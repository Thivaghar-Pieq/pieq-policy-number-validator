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12-15-25 to 12-17-25\"/>
    </mc:Choice>
  </mc:AlternateContent>
  <xr:revisionPtr revIDLastSave="0" documentId="13_ncr:1_{320AA53F-11AD-4E14-8673-04453CC26B7F}" xr6:coauthVersionLast="47" xr6:coauthVersionMax="47" xr10:uidLastSave="{00000000-0000-0000-0000-000000000000}"/>
  <bookViews>
    <workbookView xWindow="28680" yWindow="-120" windowWidth="29040" windowHeight="16440" activeTab="2" xr2:uid="{C6C48589-C633-4852-A6DA-41E7B87C5286}"/>
  </bookViews>
  <sheets>
    <sheet name="New Business Agent Statement - " sheetId="1" r:id="rId1"/>
    <sheet name="Sheet1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E16" i="3" l="1"/>
  <c r="E14" i="3"/>
  <c r="E13" i="3"/>
  <c r="M22" i="3"/>
  <c r="M21" i="3"/>
  <c r="F18" i="3"/>
  <c r="F17" i="3"/>
  <c r="F16" i="3"/>
  <c r="F15" i="3"/>
  <c r="F14" i="3"/>
  <c r="F13" i="3"/>
  <c r="F12" i="3"/>
  <c r="J22" i="3"/>
  <c r="J23" i="3"/>
  <c r="J21" i="3"/>
  <c r="M15" i="3"/>
  <c r="N15" i="3" s="1"/>
  <c r="O15" i="3" s="1"/>
  <c r="M14" i="3"/>
  <c r="N14" i="3" s="1"/>
  <c r="O14" i="3" s="1"/>
  <c r="M13" i="3"/>
  <c r="N13" i="3" s="1"/>
  <c r="O13" i="3" s="1"/>
  <c r="M12" i="3"/>
  <c r="N12" i="3" s="1"/>
  <c r="O12" i="3" s="1"/>
  <c r="B689" i="2"/>
  <c r="B691" i="2"/>
  <c r="B690" i="2"/>
  <c r="B688" i="2"/>
  <c r="B687" i="2"/>
  <c r="B686" i="2"/>
  <c r="B685" i="2"/>
  <c r="B680" i="2"/>
  <c r="B669" i="2"/>
  <c r="B668" i="2"/>
  <c r="B667" i="2"/>
  <c r="B666" i="2"/>
  <c r="B665" i="2"/>
  <c r="B675" i="2"/>
  <c r="B674" i="2"/>
  <c r="B673" i="2"/>
  <c r="B672" i="2"/>
  <c r="B671" i="2"/>
  <c r="B670" i="2"/>
  <c r="B677" i="2"/>
  <c r="B676" i="2"/>
  <c r="B679" i="2"/>
  <c r="B678" i="2"/>
  <c r="B684" i="2"/>
  <c r="B683" i="2"/>
  <c r="B682" i="2"/>
  <c r="B681" i="2"/>
  <c r="B88" i="2"/>
  <c r="B87" i="2"/>
  <c r="B83" i="2"/>
  <c r="B91" i="2"/>
  <c r="B82" i="2"/>
  <c r="B81" i="2"/>
  <c r="B86" i="2"/>
  <c r="B85" i="2"/>
  <c r="B80" i="2"/>
  <c r="B84" i="2"/>
  <c r="B89" i="2"/>
  <c r="B90" i="2"/>
  <c r="B92" i="2"/>
  <c r="B94" i="2"/>
  <c r="B93" i="2"/>
  <c r="B95" i="2"/>
  <c r="B96" i="2"/>
  <c r="B101" i="2"/>
  <c r="B100" i="2"/>
  <c r="B98" i="2"/>
  <c r="B97" i="2"/>
  <c r="B99" i="2"/>
  <c r="B103" i="2"/>
  <c r="B102" i="2"/>
  <c r="B105" i="2"/>
  <c r="B104" i="2"/>
  <c r="B107" i="2"/>
  <c r="B106" i="2"/>
  <c r="B108" i="2"/>
  <c r="B109" i="2"/>
  <c r="B110" i="2"/>
  <c r="B114" i="2"/>
  <c r="B113" i="2"/>
  <c r="B125" i="2"/>
  <c r="B124" i="2"/>
  <c r="B123" i="2"/>
  <c r="B112" i="2"/>
  <c r="B122" i="2"/>
  <c r="B121" i="2"/>
  <c r="B120" i="2"/>
  <c r="B111" i="2"/>
  <c r="B119" i="2"/>
  <c r="B118" i="2"/>
  <c r="B117" i="2"/>
  <c r="B116" i="2"/>
  <c r="B115" i="2"/>
  <c r="B127" i="2"/>
  <c r="B126" i="2"/>
  <c r="B128" i="2"/>
  <c r="B131" i="2"/>
  <c r="B130" i="2"/>
  <c r="B129" i="2"/>
  <c r="B133" i="2"/>
  <c r="B132" i="2"/>
  <c r="B135" i="2"/>
  <c r="B134" i="2"/>
  <c r="B136" i="2"/>
  <c r="B137" i="2"/>
  <c r="B139" i="2"/>
  <c r="B138" i="2"/>
  <c r="B5" i="2"/>
  <c r="B4" i="2"/>
  <c r="B3" i="2"/>
  <c r="B2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65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75" i="2"/>
  <c r="B74" i="2"/>
  <c r="B72" i="2"/>
  <c r="B78" i="2"/>
  <c r="B68" i="2"/>
  <c r="B67" i="2"/>
  <c r="B77" i="2"/>
  <c r="B71" i="2"/>
  <c r="B70" i="2"/>
  <c r="B69" i="2"/>
  <c r="B66" i="2"/>
  <c r="B73" i="2"/>
  <c r="B76" i="2"/>
  <c r="B79" i="2"/>
  <c r="B622" i="2"/>
  <c r="B640" i="2"/>
  <c r="B657" i="2"/>
  <c r="B621" i="2"/>
  <c r="B533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78" i="2"/>
  <c r="B577" i="2"/>
  <c r="B576" i="2"/>
  <c r="B575" i="2"/>
  <c r="B574" i="2"/>
  <c r="B539" i="2"/>
  <c r="B607" i="2"/>
  <c r="B573" i="2"/>
  <c r="B572" i="2"/>
  <c r="B538" i="2"/>
  <c r="B571" i="2"/>
  <c r="B570" i="2"/>
  <c r="B569" i="2"/>
  <c r="B606" i="2"/>
  <c r="B537" i="2"/>
  <c r="B568" i="2"/>
  <c r="B567" i="2"/>
  <c r="B566" i="2"/>
  <c r="B605" i="2"/>
  <c r="B565" i="2"/>
  <c r="B564" i="2"/>
  <c r="B604" i="2"/>
  <c r="B603" i="2"/>
  <c r="B602" i="2"/>
  <c r="B601" i="2"/>
  <c r="B563" i="2"/>
  <c r="B600" i="2"/>
  <c r="B599" i="2"/>
  <c r="B598" i="2"/>
  <c r="B536" i="2"/>
  <c r="B597" i="2"/>
  <c r="B596" i="2"/>
  <c r="B535" i="2"/>
  <c r="B562" i="2"/>
  <c r="B595" i="2"/>
  <c r="B594" i="2"/>
  <c r="B593" i="2"/>
  <c r="B534" i="2"/>
  <c r="B592" i="2"/>
  <c r="B591" i="2"/>
  <c r="B590" i="2"/>
  <c r="B589" i="2"/>
  <c r="B588" i="2"/>
  <c r="B587" i="2"/>
  <c r="B620" i="2"/>
  <c r="B586" i="2"/>
  <c r="B619" i="2"/>
  <c r="B585" i="2"/>
  <c r="B618" i="2"/>
  <c r="B617" i="2"/>
  <c r="B616" i="2"/>
  <c r="B561" i="2"/>
  <c r="B615" i="2"/>
  <c r="B614" i="2"/>
  <c r="B613" i="2"/>
  <c r="B584" i="2"/>
  <c r="B583" i="2"/>
  <c r="B582" i="2"/>
  <c r="B639" i="2"/>
  <c r="B612" i="2"/>
  <c r="B581" i="2"/>
  <c r="B638" i="2"/>
  <c r="B611" i="2"/>
  <c r="B637" i="2"/>
  <c r="B636" i="2"/>
  <c r="B635" i="2"/>
  <c r="B634" i="2"/>
  <c r="B633" i="2"/>
  <c r="B632" i="2"/>
  <c r="B631" i="2"/>
  <c r="B610" i="2"/>
  <c r="B609" i="2"/>
  <c r="B630" i="2"/>
  <c r="B656" i="2"/>
  <c r="B655" i="2"/>
  <c r="B654" i="2"/>
  <c r="B653" i="2"/>
  <c r="B629" i="2"/>
  <c r="B652" i="2"/>
  <c r="B628" i="2"/>
  <c r="B651" i="2"/>
  <c r="B650" i="2"/>
  <c r="B649" i="2"/>
  <c r="B648" i="2"/>
  <c r="B647" i="2"/>
  <c r="B646" i="2"/>
  <c r="B645" i="2"/>
  <c r="B644" i="2"/>
  <c r="B664" i="2"/>
  <c r="B663" i="2"/>
  <c r="B662" i="2"/>
  <c r="B627" i="2"/>
  <c r="B661" i="2"/>
  <c r="B643" i="2"/>
  <c r="B660" i="2"/>
  <c r="B626" i="2"/>
  <c r="B642" i="2"/>
  <c r="B659" i="2"/>
  <c r="B658" i="2"/>
  <c r="B580" i="2"/>
  <c r="B560" i="2"/>
  <c r="B608" i="2"/>
  <c r="B625" i="2"/>
  <c r="B559" i="2"/>
  <c r="B579" i="2"/>
  <c r="B624" i="2"/>
  <c r="B558" i="2"/>
  <c r="B506" i="2"/>
  <c r="B505" i="2"/>
  <c r="B504" i="2"/>
  <c r="B503" i="2"/>
  <c r="B531" i="2"/>
  <c r="B502" i="2"/>
  <c r="B501" i="2"/>
  <c r="B500" i="2"/>
  <c r="B499" i="2"/>
  <c r="B498" i="2"/>
  <c r="B497" i="2"/>
  <c r="B496" i="2"/>
  <c r="B532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143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142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148" i="2"/>
  <c r="B284" i="2"/>
  <c r="B283" i="2"/>
  <c r="B147" i="2"/>
  <c r="B282" i="2"/>
  <c r="B281" i="2"/>
  <c r="B280" i="2"/>
  <c r="B279" i="2"/>
  <c r="B278" i="2"/>
  <c r="B277" i="2"/>
  <c r="B276" i="2"/>
  <c r="B14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145" i="2"/>
  <c r="B258" i="2"/>
  <c r="B257" i="2"/>
  <c r="B256" i="2"/>
  <c r="B255" i="2"/>
  <c r="B254" i="2"/>
  <c r="B253" i="2"/>
  <c r="B144" i="2"/>
  <c r="B252" i="2"/>
  <c r="B251" i="2"/>
  <c r="B250" i="2"/>
  <c r="B249" i="2"/>
  <c r="B248" i="2"/>
  <c r="B247" i="2"/>
  <c r="B530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623" i="2"/>
  <c r="B641" i="2"/>
  <c r="B692" i="2"/>
  <c r="B694" i="2"/>
  <c r="B693" i="2"/>
  <c r="B697" i="2"/>
  <c r="B695" i="2"/>
  <c r="B696" i="2"/>
  <c r="B731" i="2"/>
  <c r="B730" i="2"/>
  <c r="B729" i="2"/>
  <c r="B728" i="2"/>
  <c r="B727" i="2"/>
  <c r="B1061" i="2"/>
  <c r="B1055" i="2"/>
  <c r="B914" i="2"/>
  <c r="B913" i="2"/>
  <c r="B912" i="2"/>
  <c r="B1054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790" i="2"/>
  <c r="B789" i="2"/>
  <c r="B829" i="2"/>
  <c r="B828" i="2"/>
  <c r="B827" i="2"/>
  <c r="B826" i="2"/>
  <c r="B825" i="2"/>
  <c r="B857" i="2"/>
  <c r="B856" i="2"/>
  <c r="B855" i="2"/>
  <c r="B854" i="2"/>
  <c r="B883" i="2"/>
  <c r="B898" i="2"/>
  <c r="B853" i="2"/>
  <c r="B897" i="2"/>
  <c r="B852" i="2"/>
  <c r="B788" i="2"/>
  <c r="B824" i="2"/>
  <c r="B787" i="2"/>
  <c r="B896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86" i="2"/>
  <c r="B754" i="2"/>
  <c r="B785" i="2"/>
  <c r="B753" i="2"/>
  <c r="B784" i="2"/>
  <c r="B752" i="2"/>
  <c r="B783" i="2"/>
  <c r="B751" i="2"/>
  <c r="B782" i="2"/>
  <c r="B750" i="2"/>
  <c r="B781" i="2"/>
  <c r="B780" i="2"/>
  <c r="B779" i="2"/>
  <c r="B778" i="2"/>
  <c r="B777" i="2"/>
  <c r="B776" i="2"/>
  <c r="B823" i="2"/>
  <c r="B822" i="2"/>
  <c r="B821" i="2"/>
  <c r="B820" i="2"/>
  <c r="B749" i="2"/>
  <c r="B819" i="2"/>
  <c r="B818" i="2"/>
  <c r="B817" i="2"/>
  <c r="B816" i="2"/>
  <c r="B815" i="2"/>
  <c r="B814" i="2"/>
  <c r="B813" i="2"/>
  <c r="B812" i="2"/>
  <c r="B775" i="2"/>
  <c r="B811" i="2"/>
  <c r="B774" i="2"/>
  <c r="B810" i="2"/>
  <c r="B809" i="2"/>
  <c r="B773" i="2"/>
  <c r="B808" i="2"/>
  <c r="B807" i="2"/>
  <c r="B806" i="2"/>
  <c r="B851" i="2"/>
  <c r="B850" i="2"/>
  <c r="B849" i="2"/>
  <c r="B848" i="2"/>
  <c r="B847" i="2"/>
  <c r="B846" i="2"/>
  <c r="B845" i="2"/>
  <c r="B844" i="2"/>
  <c r="B805" i="2"/>
  <c r="B843" i="2"/>
  <c r="B804" i="2"/>
  <c r="B803" i="2"/>
  <c r="B772" i="2"/>
  <c r="B842" i="2"/>
  <c r="B771" i="2"/>
  <c r="B841" i="2"/>
  <c r="B770" i="2"/>
  <c r="B802" i="2"/>
  <c r="B840" i="2"/>
  <c r="B801" i="2"/>
  <c r="B839" i="2"/>
  <c r="B838" i="2"/>
  <c r="B769" i="2"/>
  <c r="B800" i="2"/>
  <c r="B799" i="2"/>
  <c r="B837" i="2"/>
  <c r="B798" i="2"/>
  <c r="B836" i="2"/>
  <c r="B882" i="2"/>
  <c r="B797" i="2"/>
  <c r="B835" i="2"/>
  <c r="B881" i="2"/>
  <c r="B880" i="2"/>
  <c r="B879" i="2"/>
  <c r="B796" i="2"/>
  <c r="B878" i="2"/>
  <c r="B795" i="2"/>
  <c r="B877" i="2"/>
  <c r="B876" i="2"/>
  <c r="B875" i="2"/>
  <c r="B874" i="2"/>
  <c r="B794" i="2"/>
  <c r="B873" i="2"/>
  <c r="B793" i="2"/>
  <c r="B834" i="2"/>
  <c r="B833" i="2"/>
  <c r="B872" i="2"/>
  <c r="B871" i="2"/>
  <c r="B870" i="2"/>
  <c r="B869" i="2"/>
  <c r="B868" i="2"/>
  <c r="B867" i="2"/>
  <c r="B792" i="2"/>
  <c r="B791" i="2"/>
  <c r="B866" i="2"/>
  <c r="B895" i="2"/>
  <c r="B894" i="2"/>
  <c r="B865" i="2"/>
  <c r="B893" i="2"/>
  <c r="B864" i="2"/>
  <c r="B892" i="2"/>
  <c r="B891" i="2"/>
  <c r="B832" i="2"/>
  <c r="B863" i="2"/>
  <c r="B831" i="2"/>
  <c r="B862" i="2"/>
  <c r="B890" i="2"/>
  <c r="B889" i="2"/>
  <c r="B747" i="2"/>
  <c r="B888" i="2"/>
  <c r="B887" i="2"/>
  <c r="B886" i="2"/>
  <c r="B885" i="2"/>
  <c r="B861" i="2"/>
  <c r="B860" i="2"/>
  <c r="B859" i="2"/>
  <c r="B884" i="2"/>
  <c r="B904" i="2"/>
  <c r="B903" i="2"/>
  <c r="B902" i="2"/>
  <c r="B858" i="2"/>
  <c r="B901" i="2"/>
  <c r="B900" i="2"/>
  <c r="B748" i="2"/>
  <c r="B911" i="2"/>
  <c r="B910" i="2"/>
  <c r="B909" i="2"/>
  <c r="B919" i="2"/>
  <c r="B925" i="2"/>
  <c r="B924" i="2"/>
  <c r="B916" i="2"/>
  <c r="B915" i="2"/>
  <c r="B923" i="2"/>
  <c r="B918" i="2"/>
  <c r="B922" i="2"/>
  <c r="B933" i="2"/>
  <c r="B932" i="2"/>
  <c r="B931" i="2"/>
  <c r="B930" i="2"/>
  <c r="B746" i="2"/>
  <c r="B929" i="2"/>
  <c r="B917" i="2"/>
  <c r="B928" i="2"/>
  <c r="B940" i="2"/>
  <c r="B939" i="2"/>
  <c r="B938" i="2"/>
  <c r="B937" i="2"/>
  <c r="B936" i="2"/>
  <c r="B927" i="2"/>
  <c r="B935" i="2"/>
  <c r="B971" i="2"/>
  <c r="B745" i="2"/>
  <c r="B970" i="2"/>
  <c r="B969" i="2"/>
  <c r="B968" i="2"/>
  <c r="B967" i="2"/>
  <c r="B966" i="2"/>
  <c r="B965" i="2"/>
  <c r="B926" i="2"/>
  <c r="B964" i="2"/>
  <c r="B963" i="2"/>
  <c r="B962" i="2"/>
  <c r="B961" i="2"/>
  <c r="B960" i="2"/>
  <c r="B959" i="2"/>
  <c r="B958" i="2"/>
  <c r="B957" i="2"/>
  <c r="B956" i="2"/>
  <c r="B955" i="2"/>
  <c r="B934" i="2"/>
  <c r="B954" i="2"/>
  <c r="B953" i="2"/>
  <c r="B952" i="2"/>
  <c r="B744" i="2"/>
  <c r="B951" i="2"/>
  <c r="B950" i="2"/>
  <c r="B949" i="2"/>
  <c r="B948" i="2"/>
  <c r="B947" i="2"/>
  <c r="B946" i="2"/>
  <c r="B945" i="2"/>
  <c r="B944" i="2"/>
  <c r="B921" i="2"/>
  <c r="B943" i="2"/>
  <c r="B981" i="2"/>
  <c r="B980" i="2"/>
  <c r="B972" i="2"/>
  <c r="B979" i="2"/>
  <c r="B978" i="2"/>
  <c r="B975" i="2"/>
  <c r="B743" i="2"/>
  <c r="B974" i="2"/>
  <c r="B973" i="2"/>
  <c r="B977" i="2"/>
  <c r="B989" i="2"/>
  <c r="B988" i="2"/>
  <c r="B976" i="2"/>
  <c r="B986" i="2"/>
  <c r="B985" i="2"/>
  <c r="B984" i="2"/>
  <c r="B992" i="2"/>
  <c r="B983" i="2"/>
  <c r="B987" i="2"/>
  <c r="B991" i="2"/>
  <c r="B982" i="2"/>
  <c r="B990" i="2"/>
  <c r="B997" i="2"/>
  <c r="B996" i="2"/>
  <c r="B995" i="2"/>
  <c r="B994" i="2"/>
  <c r="B999" i="2"/>
  <c r="B993" i="2"/>
  <c r="B998" i="2"/>
  <c r="B1002" i="2"/>
  <c r="B1001" i="2"/>
  <c r="B920" i="2"/>
  <c r="B1053" i="2"/>
  <c r="B1052" i="2"/>
  <c r="B1000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60" i="2"/>
  <c r="B1029" i="2"/>
  <c r="B742" i="2"/>
  <c r="B1028" i="2"/>
  <c r="B1027" i="2"/>
  <c r="B1026" i="2"/>
  <c r="B1025" i="2"/>
  <c r="B1024" i="2"/>
  <c r="B1023" i="2"/>
  <c r="B1022" i="2"/>
  <c r="B942" i="2"/>
  <c r="B1021" i="2"/>
  <c r="B1020" i="2"/>
  <c r="B1019" i="2"/>
  <c r="B1018" i="2"/>
  <c r="B1017" i="2"/>
  <c r="B1016" i="2"/>
  <c r="B1015" i="2"/>
  <c r="B1014" i="2"/>
  <c r="B1059" i="2"/>
  <c r="B1056" i="2"/>
  <c r="B1058" i="2"/>
  <c r="B1057" i="2"/>
  <c r="B1063" i="2"/>
  <c r="B1062" i="2"/>
  <c r="B741" i="2"/>
  <c r="B1065" i="2"/>
  <c r="B1066" i="2"/>
  <c r="B1070" i="2"/>
  <c r="B1082" i="2"/>
  <c r="B908" i="2"/>
  <c r="B907" i="2"/>
  <c r="B1099" i="2"/>
  <c r="B830" i="2"/>
  <c r="B1111" i="2"/>
  <c r="B1100" i="2"/>
  <c r="B906" i="2"/>
  <c r="B1110" i="2"/>
  <c r="B1069" i="2"/>
  <c r="B1064" i="2"/>
  <c r="B1013" i="2"/>
  <c r="B740" i="2"/>
  <c r="B739" i="2"/>
  <c r="B941" i="2"/>
  <c r="B1068" i="2"/>
  <c r="B1067" i="2"/>
  <c r="B738" i="2"/>
  <c r="B1080" i="2"/>
  <c r="B1079" i="2"/>
  <c r="B1078" i="2"/>
  <c r="B1077" i="2"/>
  <c r="B1081" i="2"/>
  <c r="B1076" i="2"/>
  <c r="B1075" i="2"/>
  <c r="B1074" i="2"/>
  <c r="B1012" i="2"/>
  <c r="B1011" i="2"/>
  <c r="B1073" i="2"/>
  <c r="B1072" i="2"/>
  <c r="B1071" i="2"/>
  <c r="B1084" i="2"/>
  <c r="B737" i="2"/>
  <c r="B1087" i="2"/>
  <c r="B905" i="2"/>
  <c r="B1090" i="2"/>
  <c r="B1098" i="2"/>
  <c r="B1097" i="2"/>
  <c r="B1096" i="2"/>
  <c r="B1095" i="2"/>
  <c r="B1010" i="2"/>
  <c r="B1094" i="2"/>
  <c r="B1093" i="2"/>
  <c r="B1092" i="2"/>
  <c r="B1009" i="2"/>
  <c r="B736" i="2"/>
  <c r="B1008" i="2"/>
  <c r="B1116" i="2"/>
  <c r="B1007" i="2"/>
  <c r="B1115" i="2"/>
  <c r="B1114" i="2"/>
  <c r="B1083" i="2"/>
  <c r="B1086" i="2"/>
  <c r="B1103" i="2"/>
  <c r="B1112" i="2"/>
  <c r="B1088" i="2"/>
  <c r="B1006" i="2"/>
  <c r="B1091" i="2"/>
  <c r="B735" i="2"/>
  <c r="B1109" i="2"/>
  <c r="B1102" i="2"/>
  <c r="B1108" i="2"/>
  <c r="B1005" i="2"/>
  <c r="B1107" i="2"/>
  <c r="B1106" i="2"/>
  <c r="B1105" i="2"/>
  <c r="B1101" i="2"/>
  <c r="B1089" i="2"/>
  <c r="B1113" i="2"/>
  <c r="B734" i="2"/>
  <c r="B899" i="2"/>
  <c r="B1004" i="2"/>
  <c r="B1085" i="2"/>
  <c r="B1003" i="2"/>
  <c r="B1104" i="2"/>
  <c r="B733" i="2"/>
  <c r="B698" i="2"/>
  <c r="B732" i="2"/>
</calcChain>
</file>

<file path=xl/sharedStrings.xml><?xml version="1.0" encoding="utf-8"?>
<sst xmlns="http://schemas.openxmlformats.org/spreadsheetml/2006/main" count="17859" uniqueCount="2494">
  <si>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</si>
  <si>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</si>
  <si>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</si>
  <si>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</si>
  <si>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</si>
  <si>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</si>
  <si>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</si>
  <si>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</si>
  <si>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</si>
  <si>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</si>
  <si>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</si>
  <si>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</si>
  <si>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</si>
  <si>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</si>
  <si>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</si>
  <si>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</si>
  <si>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</si>
  <si>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</si>
  <si>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</si>
  <si>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</si>
  <si>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</si>
  <si>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</si>
  <si>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</si>
  <si>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</si>
  <si>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</si>
  <si>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</si>
  <si>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</si>
  <si>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</si>
  <si>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</si>
  <si>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</si>
  <si>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</si>
  <si>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</si>
  <si>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</si>
  <si>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</si>
  <si>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</si>
  <si>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</si>
  <si>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</si>
  <si>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</si>
  <si>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</si>
  <si>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</si>
  <si>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</si>
  <si>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</si>
  <si>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</si>
  <si>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</si>
  <si>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'00000030335F</t>
  </si>
  <si>
    <t>JACQUOLINE MARANDA</t>
  </si>
  <si>
    <t>IL</t>
  </si>
  <si>
    <t>'045605</t>
  </si>
  <si>
    <t>GARY PORTUGAL</t>
  </si>
  <si>
    <t>ACTIVE</t>
  </si>
  <si>
    <t>Humana MA 2019+ Level 15- 175/108 Repl 2024</t>
  </si>
  <si>
    <t>Monthly</t>
  </si>
  <si>
    <t>AV</t>
  </si>
  <si>
    <t>'00000067998K</t>
  </si>
  <si>
    <t>ANN REIGEL</t>
  </si>
  <si>
    <t>TX</t>
  </si>
  <si>
    <t>'045638</t>
  </si>
  <si>
    <t>RICHARD YALE</t>
  </si>
  <si>
    <t>Humana MA 2019+ Level 15- 175/108</t>
  </si>
  <si>
    <t>'00000181806H</t>
  </si>
  <si>
    <t>YVONNE JETT</t>
  </si>
  <si>
    <t>FL</t>
  </si>
  <si>
    <t>'045622</t>
  </si>
  <si>
    <t>JACOB YALE</t>
  </si>
  <si>
    <t>'00000255074D</t>
  </si>
  <si>
    <t>ENGIN DASDELEN</t>
  </si>
  <si>
    <t>'045612</t>
  </si>
  <si>
    <t>ANTHONY HUNSBERGER</t>
  </si>
  <si>
    <t>'00000619029K</t>
  </si>
  <si>
    <t>RICHARD KRAMER</t>
  </si>
  <si>
    <t>'00000685147D</t>
  </si>
  <si>
    <t>ALMA BOYKIN</t>
  </si>
  <si>
    <t>'00000713364K</t>
  </si>
  <si>
    <t>PAUL HOSICK</t>
  </si>
  <si>
    <t>'045772</t>
  </si>
  <si>
    <t>JASON ROLLER</t>
  </si>
  <si>
    <t>'00000751052H</t>
  </si>
  <si>
    <t>KAY ANKLAM</t>
  </si>
  <si>
    <t>WI</t>
  </si>
  <si>
    <t>'046024</t>
  </si>
  <si>
    <t>LATESHA (TC) ROSE</t>
  </si>
  <si>
    <t>'00000899458D</t>
  </si>
  <si>
    <t>THOMASINE CONWELL</t>
  </si>
  <si>
    <t>'045611</t>
  </si>
  <si>
    <t>FRANK LISKOVEC</t>
  </si>
  <si>
    <t>'00001892656K</t>
  </si>
  <si>
    <t>SUSAN POLK</t>
  </si>
  <si>
    <t>IN</t>
  </si>
  <si>
    <t>'046040</t>
  </si>
  <si>
    <t>DANIEL CARNEY</t>
  </si>
  <si>
    <t>'00001926321K</t>
  </si>
  <si>
    <t>BONNIE MOREAU</t>
  </si>
  <si>
    <t>'00003828670K</t>
  </si>
  <si>
    <t>DIMITRA FOURTOUNIS</t>
  </si>
  <si>
    <t>'045603</t>
  </si>
  <si>
    <t>ANDREW CHOI</t>
  </si>
  <si>
    <t>'00003828751K</t>
  </si>
  <si>
    <t>GEORGE FOURTOUNIS</t>
  </si>
  <si>
    <t>'00003908688K</t>
  </si>
  <si>
    <t>JUANITA FULLILOVE</t>
  </si>
  <si>
    <t>'045712</t>
  </si>
  <si>
    <t>GREGORY HANSFORD</t>
  </si>
  <si>
    <t>'00005436741K</t>
  </si>
  <si>
    <t>ALEJANDRO REYES</t>
  </si>
  <si>
    <t>'045984</t>
  </si>
  <si>
    <t>JEANET REYES</t>
  </si>
  <si>
    <t>'00005776809K</t>
  </si>
  <si>
    <t>JR CRAMER</t>
  </si>
  <si>
    <t>'043638</t>
  </si>
  <si>
    <t>THOMAS PARDUE</t>
  </si>
  <si>
    <t>'00006413675K</t>
  </si>
  <si>
    <t>ROGER TROSS</t>
  </si>
  <si>
    <t>'00006953965K</t>
  </si>
  <si>
    <t>PAULA BAYUK</t>
  </si>
  <si>
    <t>MO</t>
  </si>
  <si>
    <t>'045591</t>
  </si>
  <si>
    <t>CHRISTOPHER BROUSSEAU</t>
  </si>
  <si>
    <t>'00007328933K</t>
  </si>
  <si>
    <t>GAYLE JOHNSTON</t>
  </si>
  <si>
    <t>'00007396718K</t>
  </si>
  <si>
    <t>EVA DADIVAS</t>
  </si>
  <si>
    <t>'00007930142K</t>
  </si>
  <si>
    <t>JUDITH REICIN</t>
  </si>
  <si>
    <t>'00008035060K</t>
  </si>
  <si>
    <t>GIOVANNA BIRAZZI</t>
  </si>
  <si>
    <t>'043714</t>
  </si>
  <si>
    <t>BRIAN STROHMAN</t>
  </si>
  <si>
    <t>'00008043872K</t>
  </si>
  <si>
    <t>CLARE WALKEN</t>
  </si>
  <si>
    <t>'00008126753K</t>
  </si>
  <si>
    <t>RICHARD MASTERS</t>
  </si>
  <si>
    <t>'043748</t>
  </si>
  <si>
    <t>SCOTT FINE</t>
  </si>
  <si>
    <t>'00008289432K</t>
  </si>
  <si>
    <t>THERESA HOEPPER</t>
  </si>
  <si>
    <t>'045618</t>
  </si>
  <si>
    <t>STEPHANIE DRAPAC</t>
  </si>
  <si>
    <t>'00008544872K</t>
  </si>
  <si>
    <t>BEVERLY THOMPSON</t>
  </si>
  <si>
    <t>'00008757427K</t>
  </si>
  <si>
    <t>BARBARA SADLER</t>
  </si>
  <si>
    <t>'045967</t>
  </si>
  <si>
    <t>DANNA GREEN</t>
  </si>
  <si>
    <t>'00009344062K</t>
  </si>
  <si>
    <t>ROMA GRIMALDI</t>
  </si>
  <si>
    <t>'00009528640K</t>
  </si>
  <si>
    <t>ELENA OSORIO</t>
  </si>
  <si>
    <t>'045966</t>
  </si>
  <si>
    <t>ANTONIA NEVAREZ</t>
  </si>
  <si>
    <t>'00009771343K</t>
  </si>
  <si>
    <t>PEGGY KELLAR</t>
  </si>
  <si>
    <t>'045632</t>
  </si>
  <si>
    <t>BARRY SCHUMANN</t>
  </si>
  <si>
    <t>'00009822795K</t>
  </si>
  <si>
    <t>ARTIS PERRY</t>
  </si>
  <si>
    <t>OH</t>
  </si>
  <si>
    <t>'00009886382K</t>
  </si>
  <si>
    <t>CYNTHIA HILDRETH</t>
  </si>
  <si>
    <t>GA</t>
  </si>
  <si>
    <t>'046113</t>
  </si>
  <si>
    <t>BUFFY FREDRIKSZ</t>
  </si>
  <si>
    <t>'00009918046K</t>
  </si>
  <si>
    <t>MICHAEL PAVESE</t>
  </si>
  <si>
    <t>'00010166752K</t>
  </si>
  <si>
    <t>NANCY HUNTER</t>
  </si>
  <si>
    <t>'00010577957K</t>
  </si>
  <si>
    <t>ABB CLARK</t>
  </si>
  <si>
    <t>'00010660141K</t>
  </si>
  <si>
    <t>JOHN WALTON</t>
  </si>
  <si>
    <t>'045428</t>
  </si>
  <si>
    <t>NATHAN WELLER</t>
  </si>
  <si>
    <t>'00011035671K</t>
  </si>
  <si>
    <t>JOAN SANTANGELO</t>
  </si>
  <si>
    <t>'00011256187K</t>
  </si>
  <si>
    <t>WILFRED MEIER</t>
  </si>
  <si>
    <t>'045613</t>
  </si>
  <si>
    <t>RICARDO SANTOS</t>
  </si>
  <si>
    <t>'00011646647K</t>
  </si>
  <si>
    <t>BEVERLY HIBBERT</t>
  </si>
  <si>
    <t>'045684</t>
  </si>
  <si>
    <t>JILL SHEPARD</t>
  </si>
  <si>
    <t>'00012039392K</t>
  </si>
  <si>
    <t>THOMAS SCHOMMER</t>
  </si>
  <si>
    <t>'043644</t>
  </si>
  <si>
    <t>TIMOTHY HODGMAN</t>
  </si>
  <si>
    <t>'00012650386K</t>
  </si>
  <si>
    <t>DIANA GRUBE</t>
  </si>
  <si>
    <t>'00012778928K</t>
  </si>
  <si>
    <t>CORINNE NYE</t>
  </si>
  <si>
    <t>MI</t>
  </si>
  <si>
    <t>'00012822831K</t>
  </si>
  <si>
    <t>BARBARA HUMMER</t>
  </si>
  <si>
    <t>'00013052842K</t>
  </si>
  <si>
    <t>ANNIE MCKNIGHT</t>
  </si>
  <si>
    <t>LA</t>
  </si>
  <si>
    <t>'00013131363K</t>
  </si>
  <si>
    <t>SUSAN JOHNSON</t>
  </si>
  <si>
    <t>'00013158263K</t>
  </si>
  <si>
    <t>MARIA JACKSON</t>
  </si>
  <si>
    <t>'00013537314K</t>
  </si>
  <si>
    <t>ROBERT BROWN</t>
  </si>
  <si>
    <t>'045604</t>
  </si>
  <si>
    <t>JEFFREY HORN</t>
  </si>
  <si>
    <t>'00013537346K</t>
  </si>
  <si>
    <t>SANDRA BROWN</t>
  </si>
  <si>
    <t>'00013603294K</t>
  </si>
  <si>
    <t>NAIMISH PARIKH</t>
  </si>
  <si>
    <t>'00013603483K</t>
  </si>
  <si>
    <t>PRAGNA PARIKH</t>
  </si>
  <si>
    <t>'00013609271K</t>
  </si>
  <si>
    <t>LOUIS CAMPBELL</t>
  </si>
  <si>
    <t>'00013632196K</t>
  </si>
  <si>
    <t>JANET PERRY</t>
  </si>
  <si>
    <t>'043618</t>
  </si>
  <si>
    <t>SAADIA ABDUL</t>
  </si>
  <si>
    <t>'00013980729K</t>
  </si>
  <si>
    <t>MICHAEL OSTER</t>
  </si>
  <si>
    <t>CO</t>
  </si>
  <si>
    <t>'043713</t>
  </si>
  <si>
    <t>JOEL LEE</t>
  </si>
  <si>
    <t>'00014101344K</t>
  </si>
  <si>
    <t>KAREN SCHURMAN</t>
  </si>
  <si>
    <t>'00014349742K</t>
  </si>
  <si>
    <t>SHIRLEY FLEMING JONES</t>
  </si>
  <si>
    <t>'00014857265K</t>
  </si>
  <si>
    <t>EDWARD CAMPBELL</t>
  </si>
  <si>
    <t>'045709</t>
  </si>
  <si>
    <t>ESTHER HERRERA-LARSEN</t>
  </si>
  <si>
    <t>'00014867452K</t>
  </si>
  <si>
    <t>JEREMY DADIVAS</t>
  </si>
  <si>
    <t>'00014879585K</t>
  </si>
  <si>
    <t>MARILYN DOUGAL</t>
  </si>
  <si>
    <t>'043736</t>
  </si>
  <si>
    <t>DENNIS HOLYN</t>
  </si>
  <si>
    <t>'00014941118K</t>
  </si>
  <si>
    <t>MAUREEN SYMINGTON</t>
  </si>
  <si>
    <t>'00015039523K</t>
  </si>
  <si>
    <t>SUSAN PENA</t>
  </si>
  <si>
    <t>'045671</t>
  </si>
  <si>
    <t>ROBERT SHAPIRO</t>
  </si>
  <si>
    <t>'00015230157K</t>
  </si>
  <si>
    <t>JOANNE MITCHELL</t>
  </si>
  <si>
    <t>'045642</t>
  </si>
  <si>
    <t>JONATHAN ALOFF</t>
  </si>
  <si>
    <t>'00015812493K</t>
  </si>
  <si>
    <t>DENNIS LEWIS</t>
  </si>
  <si>
    <t>'00016225275K</t>
  </si>
  <si>
    <t>PHYLLIS OSTER</t>
  </si>
  <si>
    <t>'00016648630K</t>
  </si>
  <si>
    <t>MARY HALUTA</t>
  </si>
  <si>
    <t>'00017145070K</t>
  </si>
  <si>
    <t>CATHERINE BETKA</t>
  </si>
  <si>
    <t>'00017210605K</t>
  </si>
  <si>
    <t>RIZWANA SIDDIQUI</t>
  </si>
  <si>
    <t>'043633</t>
  </si>
  <si>
    <t>RICHARD WUENSCH</t>
  </si>
  <si>
    <t>'00017504051K</t>
  </si>
  <si>
    <t>CELINA MEDINA</t>
  </si>
  <si>
    <t>'043589</t>
  </si>
  <si>
    <t>JOSE TORRES</t>
  </si>
  <si>
    <t>'00017516864K</t>
  </si>
  <si>
    <t>TANYA LUCERO</t>
  </si>
  <si>
    <t>NM</t>
  </si>
  <si>
    <t>'00017588855K</t>
  </si>
  <si>
    <t>JOHNNY LEEUWENBURG</t>
  </si>
  <si>
    <t>NC</t>
  </si>
  <si>
    <t>'043718</t>
  </si>
  <si>
    <t>CHAD YALE</t>
  </si>
  <si>
    <t>'00017762694K</t>
  </si>
  <si>
    <t>SANTOS RODRIGUEZ</t>
  </si>
  <si>
    <t>'043813</t>
  </si>
  <si>
    <t>VICTOR FUENTES</t>
  </si>
  <si>
    <t>'00017770252K</t>
  </si>
  <si>
    <t>DENNIS GAUTHIER</t>
  </si>
  <si>
    <t>'00017855097K</t>
  </si>
  <si>
    <t>CLARENCE HOLDIMAN</t>
  </si>
  <si>
    <t>'00018023648K</t>
  </si>
  <si>
    <t>CHRISTOPHER BILEK</t>
  </si>
  <si>
    <t>'041686</t>
  </si>
  <si>
    <t>DALE WALENGA</t>
  </si>
  <si>
    <t>'00018056985K</t>
  </si>
  <si>
    <t>DEBORAH HELFERS</t>
  </si>
  <si>
    <t>'00018081883K</t>
  </si>
  <si>
    <t>JOANN SHANNON</t>
  </si>
  <si>
    <t>'00018094919K</t>
  </si>
  <si>
    <t>RONALD ZAWADA</t>
  </si>
  <si>
    <t>'00018142972K</t>
  </si>
  <si>
    <t>ILENE WILSON</t>
  </si>
  <si>
    <t>'00018633433K</t>
  </si>
  <si>
    <t>DAWN KINDSCHY</t>
  </si>
  <si>
    <t>'00018698307K</t>
  </si>
  <si>
    <t>JOHN JANSKY</t>
  </si>
  <si>
    <t>'00018736051K</t>
  </si>
  <si>
    <t>GERALYN BURNS</t>
  </si>
  <si>
    <t>SC</t>
  </si>
  <si>
    <t>'046013</t>
  </si>
  <si>
    <t>GREGG ARENSON</t>
  </si>
  <si>
    <t>'00018805004K</t>
  </si>
  <si>
    <t>MARY SZOLIS</t>
  </si>
  <si>
    <t>'045904</t>
  </si>
  <si>
    <t>BRITTANY OLIVER</t>
  </si>
  <si>
    <t>'00018840283K</t>
  </si>
  <si>
    <t>ANNE KLEFFEL</t>
  </si>
  <si>
    <t>'00018967854K</t>
  </si>
  <si>
    <t>DONALD HANDY</t>
  </si>
  <si>
    <t>TN</t>
  </si>
  <si>
    <t>'00019016866K</t>
  </si>
  <si>
    <t>JOSE ROBLES</t>
  </si>
  <si>
    <t>'00019229743K</t>
  </si>
  <si>
    <t>MARY ZAR</t>
  </si>
  <si>
    <t>'00019242719K</t>
  </si>
  <si>
    <t>JUDITH HANKE</t>
  </si>
  <si>
    <t>'00019450034K</t>
  </si>
  <si>
    <t>LAURA MCMILAN</t>
  </si>
  <si>
    <t>'00019674239K</t>
  </si>
  <si>
    <t>RENE KONRAD</t>
  </si>
  <si>
    <t>'00019678930K</t>
  </si>
  <si>
    <t>KEVIN KONRAD</t>
  </si>
  <si>
    <t>'00019800242K</t>
  </si>
  <si>
    <t>PATRICIA WERNER</t>
  </si>
  <si>
    <t>'045639</t>
  </si>
  <si>
    <t>STEVEN WERNER</t>
  </si>
  <si>
    <t>'00019862313K</t>
  </si>
  <si>
    <t>BRUNHILDE WILSON</t>
  </si>
  <si>
    <t>'00019915254K</t>
  </si>
  <si>
    <t>VASILE CIOATA</t>
  </si>
  <si>
    <t>'00019992699K</t>
  </si>
  <si>
    <t>VISITH SONGKHARM</t>
  </si>
  <si>
    <t>'043625</t>
  </si>
  <si>
    <t>PATSAMON THANADABOUTH</t>
  </si>
  <si>
    <t>'00020077281K</t>
  </si>
  <si>
    <t>DONALD RATTANAVONG</t>
  </si>
  <si>
    <t>'00020083106K</t>
  </si>
  <si>
    <t>EMILIE WILLIAMSON</t>
  </si>
  <si>
    <t>'00020102843K</t>
  </si>
  <si>
    <t>RUTH RAMIREZ</t>
  </si>
  <si>
    <t>'00020112096K</t>
  </si>
  <si>
    <t>LAURA DI CICCO</t>
  </si>
  <si>
    <t>'00020265321K</t>
  </si>
  <si>
    <t>MARGIT POCHOP</t>
  </si>
  <si>
    <t>'045621</t>
  </si>
  <si>
    <t>HEATHER GESKE</t>
  </si>
  <si>
    <t>'00020311619K</t>
  </si>
  <si>
    <t>CRAIG MAGNUS</t>
  </si>
  <si>
    <t>'00020313373K</t>
  </si>
  <si>
    <t>DAVID KUBLANK</t>
  </si>
  <si>
    <t>'00020326256K</t>
  </si>
  <si>
    <t>ELIZABETH TINLEY</t>
  </si>
  <si>
    <t>'00020628364K</t>
  </si>
  <si>
    <t>DONALD BENDABOUT</t>
  </si>
  <si>
    <t>OK</t>
  </si>
  <si>
    <t>'00020699255K</t>
  </si>
  <si>
    <t>SOUNDARYAKALA GADDAM</t>
  </si>
  <si>
    <t>'043800</t>
  </si>
  <si>
    <t>BARRY BRENNER</t>
  </si>
  <si>
    <t>'00020726827K</t>
  </si>
  <si>
    <t>WAYNE POLLITT</t>
  </si>
  <si>
    <t>'00020813355K</t>
  </si>
  <si>
    <t>JOSEPH GARBACZ</t>
  </si>
  <si>
    <t>'043682</t>
  </si>
  <si>
    <t>GREGORY TEIPEL</t>
  </si>
  <si>
    <t>'00020826978K</t>
  </si>
  <si>
    <t>ELANDA SHANNON</t>
  </si>
  <si>
    <t>'00021204922K</t>
  </si>
  <si>
    <t>KAREN BOURNE</t>
  </si>
  <si>
    <t>'00021373419K</t>
  </si>
  <si>
    <t>GRACIELA KLOTH</t>
  </si>
  <si>
    <t>'00021880649K</t>
  </si>
  <si>
    <t>KAREEMA ABDUL FARMER</t>
  </si>
  <si>
    <t>'00022059078K</t>
  </si>
  <si>
    <t>ERLINDA ALVA</t>
  </si>
  <si>
    <t>'00022162882K</t>
  </si>
  <si>
    <t>SUE KOPKA</t>
  </si>
  <si>
    <t>'00022486058K</t>
  </si>
  <si>
    <t>SHARON REYES</t>
  </si>
  <si>
    <t>'00022578873K</t>
  </si>
  <si>
    <t>NARESH CHAND</t>
  </si>
  <si>
    <t>'00022642268K</t>
  </si>
  <si>
    <t>PEGGY KOLANKO</t>
  </si>
  <si>
    <t>'00022773002K</t>
  </si>
  <si>
    <t>STANLEY KLEMPKE</t>
  </si>
  <si>
    <t>'00022826430K</t>
  </si>
  <si>
    <t>EILEEN SHAPIRO</t>
  </si>
  <si>
    <t>'00023446545K</t>
  </si>
  <si>
    <t>THOMAS MAY</t>
  </si>
  <si>
    <t>'00023536079K</t>
  </si>
  <si>
    <t>TODD BROWNLEE</t>
  </si>
  <si>
    <t>'00023584480K</t>
  </si>
  <si>
    <t>CORAL COOPER</t>
  </si>
  <si>
    <t>'043637</t>
  </si>
  <si>
    <t>CHRISTIAN TAUGNER</t>
  </si>
  <si>
    <t>'00023765948K</t>
  </si>
  <si>
    <t>RUSSELL LANCE</t>
  </si>
  <si>
    <t>'00024093686K</t>
  </si>
  <si>
    <t>PATRICK GILBOY</t>
  </si>
  <si>
    <t>'00024215496K</t>
  </si>
  <si>
    <t>RAFFI ANTABLIAN</t>
  </si>
  <si>
    <t>'00024304531K</t>
  </si>
  <si>
    <t>GULDEN DASDELEN</t>
  </si>
  <si>
    <t>'00024577313K</t>
  </si>
  <si>
    <t>GEORGE GUENTHER</t>
  </si>
  <si>
    <t>'00025251694K</t>
  </si>
  <si>
    <t>DONNA FLANNERY</t>
  </si>
  <si>
    <t>WA</t>
  </si>
  <si>
    <t>'045981</t>
  </si>
  <si>
    <t>JAKE SHULMAN</t>
  </si>
  <si>
    <t>'00025293389K</t>
  </si>
  <si>
    <t>ROSA CIRCOLONE</t>
  </si>
  <si>
    <t>'00025294205K</t>
  </si>
  <si>
    <t>ROBERT WITHROW</t>
  </si>
  <si>
    <t>'00025302973K</t>
  </si>
  <si>
    <t>SAMUELLA RANKINS</t>
  </si>
  <si>
    <t>'00025306415K</t>
  </si>
  <si>
    <t>CHERYL JACKSON</t>
  </si>
  <si>
    <t>'00025306587K</t>
  </si>
  <si>
    <t>JOSEPH CIRCOLONE</t>
  </si>
  <si>
    <t>'00025313880K</t>
  </si>
  <si>
    <t>GALINA YUKHVID</t>
  </si>
  <si>
    <t>'00025315948K</t>
  </si>
  <si>
    <t>KAREN JACOBSEN</t>
  </si>
  <si>
    <t>'00025316571K</t>
  </si>
  <si>
    <t>GLEN WEBER</t>
  </si>
  <si>
    <t>'00025319542K</t>
  </si>
  <si>
    <t>DANIEL SWIDERSKI</t>
  </si>
  <si>
    <t>'00025323853K</t>
  </si>
  <si>
    <t>PATRICK FOLAN</t>
  </si>
  <si>
    <t>'00025331062K</t>
  </si>
  <si>
    <t>WAYNE CLARKE</t>
  </si>
  <si>
    <t>'00025331255K</t>
  </si>
  <si>
    <t>LYNDA MAHORNEY</t>
  </si>
  <si>
    <t>'043969</t>
  </si>
  <si>
    <t>STACEY PORTUGAL</t>
  </si>
  <si>
    <t>'00025332430K</t>
  </si>
  <si>
    <t>PEGGY EULER</t>
  </si>
  <si>
    <t>'00025334547K</t>
  </si>
  <si>
    <t>LUANNE PETERS</t>
  </si>
  <si>
    <t>'00025335961K</t>
  </si>
  <si>
    <t>TERRY WOODALL</t>
  </si>
  <si>
    <t>'00025342375K</t>
  </si>
  <si>
    <t>LANE STEVEN</t>
  </si>
  <si>
    <t>'00025345966K</t>
  </si>
  <si>
    <t>MARY ATOLS</t>
  </si>
  <si>
    <t>'00025348424K</t>
  </si>
  <si>
    <t>THOMAS KENDRA</t>
  </si>
  <si>
    <t>'00025350594K</t>
  </si>
  <si>
    <t>SHABBIR RAJA</t>
  </si>
  <si>
    <t>'00025351174K</t>
  </si>
  <si>
    <t>ROBERT EULER</t>
  </si>
  <si>
    <t>'00025357502K</t>
  </si>
  <si>
    <t>MARIA MANRIQUE</t>
  </si>
  <si>
    <t>'00025360158K</t>
  </si>
  <si>
    <t>MARIBETH VAUPELL</t>
  </si>
  <si>
    <t>'047621</t>
  </si>
  <si>
    <t>TOM SERIO</t>
  </si>
  <si>
    <t>'00025360893K</t>
  </si>
  <si>
    <t>ELIZABETH LAPINSKI</t>
  </si>
  <si>
    <t>'00025361097K</t>
  </si>
  <si>
    <t>SHERRY GOOD</t>
  </si>
  <si>
    <t>'00025362480K</t>
  </si>
  <si>
    <t>SANDRA DEAN</t>
  </si>
  <si>
    <t>'00025362752K</t>
  </si>
  <si>
    <t>NANCY LOOMIS</t>
  </si>
  <si>
    <t>'00025363760K</t>
  </si>
  <si>
    <t>BRIAN GEHRMAN</t>
  </si>
  <si>
    <t>AZ</t>
  </si>
  <si>
    <t>'00025363863K</t>
  </si>
  <si>
    <t>PHILLIP POETTMANN</t>
  </si>
  <si>
    <t>'00025364280K</t>
  </si>
  <si>
    <t>JIMMY TOMPKINS</t>
  </si>
  <si>
    <t>'00025367256K</t>
  </si>
  <si>
    <t>MURAT GARGOVIC</t>
  </si>
  <si>
    <t>'00025370335K</t>
  </si>
  <si>
    <t>MARY RHODES</t>
  </si>
  <si>
    <t>'00025371719K</t>
  </si>
  <si>
    <t>JAMES SALERNO</t>
  </si>
  <si>
    <t>'00025372241K</t>
  </si>
  <si>
    <t>BARBARA LICCIARDI</t>
  </si>
  <si>
    <t>'00025375531K</t>
  </si>
  <si>
    <t>ROGER COYNE</t>
  </si>
  <si>
    <t>'045607</t>
  </si>
  <si>
    <t>PAMELA DEATON</t>
  </si>
  <si>
    <t>'00025376183K</t>
  </si>
  <si>
    <t>CORAZON MARTINEZ</t>
  </si>
  <si>
    <t>'00025376423K</t>
  </si>
  <si>
    <t>LUIS GUILLEN</t>
  </si>
  <si>
    <t>'00025381239K</t>
  </si>
  <si>
    <t>STEVEN GLAZER</t>
  </si>
  <si>
    <t>'00025382179K</t>
  </si>
  <si>
    <t>DONALD MURPHY</t>
  </si>
  <si>
    <t>'00025389554K</t>
  </si>
  <si>
    <t>DONNA WUNDER</t>
  </si>
  <si>
    <t>PA</t>
  </si>
  <si>
    <t>'045673</t>
  </si>
  <si>
    <t>MARK ROCCIA</t>
  </si>
  <si>
    <t>'00025389987K</t>
  </si>
  <si>
    <t>KAY HOWARD ANDREA</t>
  </si>
  <si>
    <t>KS</t>
  </si>
  <si>
    <t>'00025390137K</t>
  </si>
  <si>
    <t>TIMOTHY PETERS</t>
  </si>
  <si>
    <t>'00025392491K</t>
  </si>
  <si>
    <t>BARRY TROY</t>
  </si>
  <si>
    <t>NJ</t>
  </si>
  <si>
    <t>'045609</t>
  </si>
  <si>
    <t>MURRAY STERNER</t>
  </si>
  <si>
    <t>'00025393533K</t>
  </si>
  <si>
    <t>JOHN POTTS</t>
  </si>
  <si>
    <t>'00025394807K</t>
  </si>
  <si>
    <t>MICHAEL BRAND</t>
  </si>
  <si>
    <t>'00025394824K</t>
  </si>
  <si>
    <t>JOHN KOURAFAS</t>
  </si>
  <si>
    <t>'00025394960K</t>
  </si>
  <si>
    <t>KEITH GRUBE</t>
  </si>
  <si>
    <t>'00025396232K</t>
  </si>
  <si>
    <t>MARICELA GUILLEN</t>
  </si>
  <si>
    <t>'00025398558K</t>
  </si>
  <si>
    <t>SUSAN SMYTH</t>
  </si>
  <si>
    <t>'00025398679K</t>
  </si>
  <si>
    <t>KATHY SMITH</t>
  </si>
  <si>
    <t>'00025399591K</t>
  </si>
  <si>
    <t>WILLIAM ELLERBY</t>
  </si>
  <si>
    <t>'00025400726K</t>
  </si>
  <si>
    <t>PHILIP STOUT</t>
  </si>
  <si>
    <t>'00025402012K</t>
  </si>
  <si>
    <t>MICHAEL NOONAN</t>
  </si>
  <si>
    <t>'00025404972K</t>
  </si>
  <si>
    <t>LOUIS LICCIARDI</t>
  </si>
  <si>
    <t>'00025405747K</t>
  </si>
  <si>
    <t>GARY NEEMAN</t>
  </si>
  <si>
    <t>'00025405817K</t>
  </si>
  <si>
    <t>BRUCE LARSON</t>
  </si>
  <si>
    <t>'00025406761K</t>
  </si>
  <si>
    <t>JOSEPH MCCOSKEY</t>
  </si>
  <si>
    <t>'00025409132K</t>
  </si>
  <si>
    <t>PAULETTE PIERMATTEI</t>
  </si>
  <si>
    <t>'043725</t>
  </si>
  <si>
    <t>MICHAEL SEMPREVIVO</t>
  </si>
  <si>
    <t>'00025410716K</t>
  </si>
  <si>
    <t>HARRIET WALLACE</t>
  </si>
  <si>
    <t>'00025411130K</t>
  </si>
  <si>
    <t>KATHLEEN COLLINS</t>
  </si>
  <si>
    <t>'00025411262K</t>
  </si>
  <si>
    <t>LON MARCHEL</t>
  </si>
  <si>
    <t>'00025412960K</t>
  </si>
  <si>
    <t>CLINTON RIGGS</t>
  </si>
  <si>
    <t>'00025413802K</t>
  </si>
  <si>
    <t>KATHERINE MAY</t>
  </si>
  <si>
    <t>'00025416785K</t>
  </si>
  <si>
    <t>PAMELA BRAND</t>
  </si>
  <si>
    <t>'00025417306K</t>
  </si>
  <si>
    <t>LINDA PARISH</t>
  </si>
  <si>
    <t>'00025418284K</t>
  </si>
  <si>
    <t>VALERIE BLOM</t>
  </si>
  <si>
    <t>'00025423537K</t>
  </si>
  <si>
    <t>DARYL HEDLIN</t>
  </si>
  <si>
    <t>'00025423651K</t>
  </si>
  <si>
    <t>DZEVAHIRA GARGOVIC</t>
  </si>
  <si>
    <t>'00025425041K</t>
  </si>
  <si>
    <t>MICHAEL BRETAG</t>
  </si>
  <si>
    <t>'00025427508K</t>
  </si>
  <si>
    <t>MELINDA ROTH HAANPAA</t>
  </si>
  <si>
    <t>'00025428736K</t>
  </si>
  <si>
    <t>JOHN TALLENT</t>
  </si>
  <si>
    <t>'00025430520K</t>
  </si>
  <si>
    <t>DAVID LOOMIS</t>
  </si>
  <si>
    <t>'00025430672K</t>
  </si>
  <si>
    <t>JOHN HOFFMAN</t>
  </si>
  <si>
    <t>'00025430852K</t>
  </si>
  <si>
    <t>RONALD LAPINSKI</t>
  </si>
  <si>
    <t>'00025432004K</t>
  </si>
  <si>
    <t>STEVEN MILLER</t>
  </si>
  <si>
    <t>KY</t>
  </si>
  <si>
    <t>'00025432056K</t>
  </si>
  <si>
    <t>DARRELL JOHNSON</t>
  </si>
  <si>
    <t>'00025433291K</t>
  </si>
  <si>
    <t>REBECCA JONES</t>
  </si>
  <si>
    <t>'00025435497K</t>
  </si>
  <si>
    <t>MIRIAM THOMAS</t>
  </si>
  <si>
    <t>'00025436084K</t>
  </si>
  <si>
    <t>PAMELA CRAIG</t>
  </si>
  <si>
    <t>'00025436971K</t>
  </si>
  <si>
    <t>NEVENKA JURKOVIC</t>
  </si>
  <si>
    <t>'00025437226K</t>
  </si>
  <si>
    <t>PATRICIA ALMY</t>
  </si>
  <si>
    <t>'00025437821K</t>
  </si>
  <si>
    <t>ANNETTE MOORE</t>
  </si>
  <si>
    <t>'00025439660K</t>
  </si>
  <si>
    <t>NEILSON ALMY</t>
  </si>
  <si>
    <t>'00025442646K</t>
  </si>
  <si>
    <t>ANNETTE GIOE</t>
  </si>
  <si>
    <t>'00025445542K</t>
  </si>
  <si>
    <t>DAVID VELMS</t>
  </si>
  <si>
    <t>'00025445830K</t>
  </si>
  <si>
    <t>MARIA CHAVEZ</t>
  </si>
  <si>
    <t>'00025447006K</t>
  </si>
  <si>
    <t>WILLIAM KOKONAS</t>
  </si>
  <si>
    <t>'00025452431K</t>
  </si>
  <si>
    <t>FILOMENA GREFALDA</t>
  </si>
  <si>
    <t>'00025458116K</t>
  </si>
  <si>
    <t>TED MONNINGER</t>
  </si>
  <si>
    <t>'00025462092K</t>
  </si>
  <si>
    <t>THERESE EFFAT</t>
  </si>
  <si>
    <t>'043739</t>
  </si>
  <si>
    <t>ANDREA PETRUNGARO</t>
  </si>
  <si>
    <t>'00025464245K</t>
  </si>
  <si>
    <t>RICHARD BOKAL</t>
  </si>
  <si>
    <t>'00025465238K</t>
  </si>
  <si>
    <t>MICHAEL MULDOWNEY</t>
  </si>
  <si>
    <t>'043689</t>
  </si>
  <si>
    <t>ANNE MARIE KOZACHECK</t>
  </si>
  <si>
    <t>'00025469627K</t>
  </si>
  <si>
    <t>DONNA KOKONAS</t>
  </si>
  <si>
    <t>'00025471647K</t>
  </si>
  <si>
    <t>THERESA RICHEY</t>
  </si>
  <si>
    <t>'00025473229K</t>
  </si>
  <si>
    <t>DONALD THOMAS</t>
  </si>
  <si>
    <t>'00025479351K</t>
  </si>
  <si>
    <t>BARBARA KOBOVITCH</t>
  </si>
  <si>
    <t>'043867</t>
  </si>
  <si>
    <t>RYAN STOCKER</t>
  </si>
  <si>
    <t>'00025482364K</t>
  </si>
  <si>
    <t>TIMOTHY BALLAS</t>
  </si>
  <si>
    <t>'00025483585K</t>
  </si>
  <si>
    <t>EFREN GREFALDA</t>
  </si>
  <si>
    <t>'00025486027K</t>
  </si>
  <si>
    <t>ALAN MEYERS</t>
  </si>
  <si>
    <t>'00025494474K</t>
  </si>
  <si>
    <t>AMIN LAKHANI</t>
  </si>
  <si>
    <t>'00025498258K</t>
  </si>
  <si>
    <t>LYNN SCHAAF</t>
  </si>
  <si>
    <t>'043585</t>
  </si>
  <si>
    <t>PETER RICHTER</t>
  </si>
  <si>
    <t>'00025502307K</t>
  </si>
  <si>
    <t>BRIAN GIOE</t>
  </si>
  <si>
    <t>'00025503691K</t>
  </si>
  <si>
    <t>PRIMITIVO SANCHEZ</t>
  </si>
  <si>
    <t>'045896</t>
  </si>
  <si>
    <t>LENSIE GONZALEZ</t>
  </si>
  <si>
    <t>'00025503797K</t>
  </si>
  <si>
    <t>GEORGE MCCARTHY</t>
  </si>
  <si>
    <t>'00025504311K</t>
  </si>
  <si>
    <t>ADELE ENNIS</t>
  </si>
  <si>
    <t>'00025511875K</t>
  </si>
  <si>
    <t>RICHARD COLVIN</t>
  </si>
  <si>
    <t>'00025513626K</t>
  </si>
  <si>
    <t>MUMTAZ LAKHANI</t>
  </si>
  <si>
    <t>'00025516942K</t>
  </si>
  <si>
    <t>CRAIG VAUPELL</t>
  </si>
  <si>
    <t>'00025516973K</t>
  </si>
  <si>
    <t>JOHN DUDZIK</t>
  </si>
  <si>
    <t>'00025517000K</t>
  </si>
  <si>
    <t>JULIE ALLEN</t>
  </si>
  <si>
    <t>'00025517015K</t>
  </si>
  <si>
    <t>CYNTHIA MCTIGUE</t>
  </si>
  <si>
    <t>'00025527369K</t>
  </si>
  <si>
    <t>BARBARA MCFADDEN</t>
  </si>
  <si>
    <t>'00025528228K</t>
  </si>
  <si>
    <t>JOSE TORRES CARMONA</t>
  </si>
  <si>
    <t>AR</t>
  </si>
  <si>
    <t>'00025529614K</t>
  </si>
  <si>
    <t>JOHN KEEFE</t>
  </si>
  <si>
    <t>'00025530663K</t>
  </si>
  <si>
    <t>DALE CLARK</t>
  </si>
  <si>
    <t>'00025533101K</t>
  </si>
  <si>
    <t>MARY ECKLUND</t>
  </si>
  <si>
    <t>'00025534226K</t>
  </si>
  <si>
    <t>TARIQ MATIN</t>
  </si>
  <si>
    <t>'00025534956K</t>
  </si>
  <si>
    <t>CATHERINE PETO</t>
  </si>
  <si>
    <t>'00025535652K</t>
  </si>
  <si>
    <t>JOHNNY VONGCHAREUN</t>
  </si>
  <si>
    <t>'00025548742K</t>
  </si>
  <si>
    <t>CARTER CHUBB</t>
  </si>
  <si>
    <t>'043705</t>
  </si>
  <si>
    <t>MICHAEL DUNAVANT</t>
  </si>
  <si>
    <t>'00025550213K</t>
  </si>
  <si>
    <t>DONALD VENTRESS</t>
  </si>
  <si>
    <t>'00025550294K</t>
  </si>
  <si>
    <t>JENISE GALLOWAY</t>
  </si>
  <si>
    <t>'00025551950K</t>
  </si>
  <si>
    <t>RONALD LONG</t>
  </si>
  <si>
    <t>'00025552127K</t>
  </si>
  <si>
    <t>DEBORAH WELSH</t>
  </si>
  <si>
    <t>'00025559987K</t>
  </si>
  <si>
    <t>NANCY LEE</t>
  </si>
  <si>
    <t>'00025560001K</t>
  </si>
  <si>
    <t>ROBERT LEE</t>
  </si>
  <si>
    <t>'00025561661K</t>
  </si>
  <si>
    <t>DONALD HARTSHORN</t>
  </si>
  <si>
    <t>'00025562546K</t>
  </si>
  <si>
    <t>NELLY ALBUJA</t>
  </si>
  <si>
    <t>'00025562606K</t>
  </si>
  <si>
    <t>RICHARD ROHLFING</t>
  </si>
  <si>
    <t>'00025564698K</t>
  </si>
  <si>
    <t>MIKEQUE READ</t>
  </si>
  <si>
    <t>'00025565548K</t>
  </si>
  <si>
    <t>RODD ZOLKOS</t>
  </si>
  <si>
    <t>'00025565957K</t>
  </si>
  <si>
    <t>CATHERINE LISOLEIL</t>
  </si>
  <si>
    <t>'00025567810K</t>
  </si>
  <si>
    <t>KATHERINE WILLHOITE</t>
  </si>
  <si>
    <t>'00025567995K</t>
  </si>
  <si>
    <t>VIVIENNE HANES</t>
  </si>
  <si>
    <t>'00025568042K</t>
  </si>
  <si>
    <t>AMINA KARIM</t>
  </si>
  <si>
    <t>'00025568283K</t>
  </si>
  <si>
    <t>DIANE RHINERSON</t>
  </si>
  <si>
    <t>'00025571221K</t>
  </si>
  <si>
    <t>DIANNA BONFIELD</t>
  </si>
  <si>
    <t>'00025574084K</t>
  </si>
  <si>
    <t>RICHARD GREGIE</t>
  </si>
  <si>
    <t>'00025574548K</t>
  </si>
  <si>
    <t>KATHLEEN ROSS</t>
  </si>
  <si>
    <t>'00025576843K</t>
  </si>
  <si>
    <t>THOMAS GALEAZ</t>
  </si>
  <si>
    <t>'045421</t>
  </si>
  <si>
    <t>MATTHEW SHERMAN</t>
  </si>
  <si>
    <t>'00025577501K</t>
  </si>
  <si>
    <t>MARY VENTRESS</t>
  </si>
  <si>
    <t>'00025578526K</t>
  </si>
  <si>
    <t>CARMEN NUNEZ</t>
  </si>
  <si>
    <t>'00025583428K</t>
  </si>
  <si>
    <t>LAURA CSISZER</t>
  </si>
  <si>
    <t>'00025584768K</t>
  </si>
  <si>
    <t>THOMAS GATH</t>
  </si>
  <si>
    <t>'00025584966K</t>
  </si>
  <si>
    <t>REBECA MADRIGAL</t>
  </si>
  <si>
    <t>'00025587894K</t>
  </si>
  <si>
    <t>KEITH MORTON</t>
  </si>
  <si>
    <t>'00025588092K</t>
  </si>
  <si>
    <t>AIKO DRAKE</t>
  </si>
  <si>
    <t>'00025588344K</t>
  </si>
  <si>
    <t>APRIL HANDY</t>
  </si>
  <si>
    <t>'00025588361K</t>
  </si>
  <si>
    <t>JAMES BILLEK</t>
  </si>
  <si>
    <t>'00025588669K</t>
  </si>
  <si>
    <t>DAISY LEDEZMA</t>
  </si>
  <si>
    <t>'00025592377K</t>
  </si>
  <si>
    <t>NELDA YABUT</t>
  </si>
  <si>
    <t>'00025595164K</t>
  </si>
  <si>
    <t>LOWELL FAIRBANKS</t>
  </si>
  <si>
    <t>'00025595713K</t>
  </si>
  <si>
    <t>PATRICIA ADAMS</t>
  </si>
  <si>
    <t>'00025597515K</t>
  </si>
  <si>
    <t>KELLI MARTI</t>
  </si>
  <si>
    <t>'00025599080K</t>
  </si>
  <si>
    <t>KATHLEEN MCCARTHY</t>
  </si>
  <si>
    <t>'00025600991K</t>
  </si>
  <si>
    <t>PETER WALDRON</t>
  </si>
  <si>
    <t>'00025602495K</t>
  </si>
  <si>
    <t>DEBRA ANDERSON</t>
  </si>
  <si>
    <t>'00025606084K</t>
  </si>
  <si>
    <t>BILLY JOHNSON</t>
  </si>
  <si>
    <t>'00025606199K</t>
  </si>
  <si>
    <t>CYNTHIA GATH</t>
  </si>
  <si>
    <t>'00025608354K</t>
  </si>
  <si>
    <t>KATHLEEN PLOCHARSKI</t>
  </si>
  <si>
    <t>'00025609249K</t>
  </si>
  <si>
    <t>BETTY GRANDE</t>
  </si>
  <si>
    <t>DE</t>
  </si>
  <si>
    <t>'00025609368K</t>
  </si>
  <si>
    <t>MICHAEL HUFF</t>
  </si>
  <si>
    <t>'00025609976K</t>
  </si>
  <si>
    <t>BERNARDO SEUC</t>
  </si>
  <si>
    <t>'045601</t>
  </si>
  <si>
    <t>CAROL FOLEY</t>
  </si>
  <si>
    <t>'00025610081K</t>
  </si>
  <si>
    <t>MARK KANE</t>
  </si>
  <si>
    <t>'00025610631K</t>
  </si>
  <si>
    <t>ROGER FRANKLIN</t>
  </si>
  <si>
    <t>'00025613466K</t>
  </si>
  <si>
    <t>LILIA ODON</t>
  </si>
  <si>
    <t>'00025616432K</t>
  </si>
  <si>
    <t>ARACELY SERVELLON</t>
  </si>
  <si>
    <t>'00025616597K</t>
  </si>
  <si>
    <t>DEBRA BOHENTIN</t>
  </si>
  <si>
    <t>'00025619009K</t>
  </si>
  <si>
    <t>ZENAIDA BENDICIO</t>
  </si>
  <si>
    <t>'00025620432K</t>
  </si>
  <si>
    <t>DAVID DILL</t>
  </si>
  <si>
    <t>'00025621688K</t>
  </si>
  <si>
    <t>DON OHEIR</t>
  </si>
  <si>
    <t>'00025622498K</t>
  </si>
  <si>
    <t>THOMAS LANE</t>
  </si>
  <si>
    <t>'00025623822K</t>
  </si>
  <si>
    <t>DOROTHY GUTHRIE</t>
  </si>
  <si>
    <t>'00025626510K</t>
  </si>
  <si>
    <t>DANA MORRELL</t>
  </si>
  <si>
    <t>'00025626914K</t>
  </si>
  <si>
    <t>CHERYL FAIRBANKS</t>
  </si>
  <si>
    <t>'00025627066K</t>
  </si>
  <si>
    <t>CRIS HARRELL</t>
  </si>
  <si>
    <t>'00025627301K</t>
  </si>
  <si>
    <t>JACQUELINE RICHMOND</t>
  </si>
  <si>
    <t>'00025627750K</t>
  </si>
  <si>
    <t>DONALD PANKRATZ</t>
  </si>
  <si>
    <t>'00025627785K</t>
  </si>
  <si>
    <t>LINDA PERRY</t>
  </si>
  <si>
    <t>'00025627928K</t>
  </si>
  <si>
    <t>JOHN GENTILE</t>
  </si>
  <si>
    <t>'00025628025K</t>
  </si>
  <si>
    <t>MICHAEL BERNSTEIN</t>
  </si>
  <si>
    <t>'00025630170K</t>
  </si>
  <si>
    <t>PATRICIA RENDLEMAN</t>
  </si>
  <si>
    <t>'00025632302K</t>
  </si>
  <si>
    <t>KAREN PORTER</t>
  </si>
  <si>
    <t>NY</t>
  </si>
  <si>
    <t>'00025634076K</t>
  </si>
  <si>
    <t>ELI SEAMAN</t>
  </si>
  <si>
    <t>'00025634137K</t>
  </si>
  <si>
    <t>JOYCE BALDRIDGE</t>
  </si>
  <si>
    <t>'00025639973K</t>
  </si>
  <si>
    <t>DANA KLASSEN</t>
  </si>
  <si>
    <t>'00025640927K</t>
  </si>
  <si>
    <t>ROSENA BLAKNEY</t>
  </si>
  <si>
    <t>'00025642777K</t>
  </si>
  <si>
    <t>MARY SCHMITZ</t>
  </si>
  <si>
    <t>'00025643095K</t>
  </si>
  <si>
    <t>RON MULLINS</t>
  </si>
  <si>
    <t>'00025643881K</t>
  </si>
  <si>
    <t>SUZANNE TAYLOR</t>
  </si>
  <si>
    <t>'00025644004K</t>
  </si>
  <si>
    <t>JOHN HAMBY</t>
  </si>
  <si>
    <t>'00025644234K</t>
  </si>
  <si>
    <t>SIGRID ELENGA</t>
  </si>
  <si>
    <t>'00025647185K</t>
  </si>
  <si>
    <t>DAVID PORTER</t>
  </si>
  <si>
    <t>'00025648659K</t>
  </si>
  <si>
    <t>PENNY WRIGHT</t>
  </si>
  <si>
    <t>'00025655277K</t>
  </si>
  <si>
    <t>FIDELINA MOLINA RENDEROS</t>
  </si>
  <si>
    <t>'00025656606K</t>
  </si>
  <si>
    <t>HUMBERTO MERAZ</t>
  </si>
  <si>
    <t>'00025656966K</t>
  </si>
  <si>
    <t>CARL SMYTH</t>
  </si>
  <si>
    <t>'00025657551K</t>
  </si>
  <si>
    <t>KATHLEEN FISHER</t>
  </si>
  <si>
    <t>'00025660543K</t>
  </si>
  <si>
    <t>TERESA HUNLEY</t>
  </si>
  <si>
    <t>'046034</t>
  </si>
  <si>
    <t>INES BERG</t>
  </si>
  <si>
    <t>'00025662226K</t>
  </si>
  <si>
    <t>CLAYTON PHIEL</t>
  </si>
  <si>
    <t>'00025664300K</t>
  </si>
  <si>
    <t>DEBORAH HUCHER</t>
  </si>
  <si>
    <t>'00025665666K</t>
  </si>
  <si>
    <t>KEVIN CLOUD</t>
  </si>
  <si>
    <t>'043678</t>
  </si>
  <si>
    <t>MATTHEW DAUGHERTY</t>
  </si>
  <si>
    <t>'00025667226K</t>
  </si>
  <si>
    <t>CAROL REGISTER</t>
  </si>
  <si>
    <t>'00025668077K</t>
  </si>
  <si>
    <t>JAMES STOLARZ</t>
  </si>
  <si>
    <t>'046015</t>
  </si>
  <si>
    <t>SANDRA SENTMAN</t>
  </si>
  <si>
    <t>'00025671349K</t>
  </si>
  <si>
    <t>LORRENE GREENE</t>
  </si>
  <si>
    <t>'00025671959K</t>
  </si>
  <si>
    <t>DIANA DANELIUK</t>
  </si>
  <si>
    <t>'00025672310K</t>
  </si>
  <si>
    <t>OSMAN ARICIOGLU</t>
  </si>
  <si>
    <t>'00025679073K</t>
  </si>
  <si>
    <t>ZULEMA TEJEDA</t>
  </si>
  <si>
    <t>'00025679150K</t>
  </si>
  <si>
    <t>DONNA BUSHMAN</t>
  </si>
  <si>
    <t>'00025683415K</t>
  </si>
  <si>
    <t>JANET ESCHE</t>
  </si>
  <si>
    <t>'00025683508K</t>
  </si>
  <si>
    <t>RICK DAVIS</t>
  </si>
  <si>
    <t>'00025687383K</t>
  </si>
  <si>
    <t>NAZMIN MARAJ</t>
  </si>
  <si>
    <t>VA</t>
  </si>
  <si>
    <t>'00025687431K</t>
  </si>
  <si>
    <t>MATTHEW BUSHMAN</t>
  </si>
  <si>
    <t>'00025688496K</t>
  </si>
  <si>
    <t>DONALD KIDD</t>
  </si>
  <si>
    <t>'00025689622K</t>
  </si>
  <si>
    <t>KAREN WILLIAMS</t>
  </si>
  <si>
    <t>'00025689742K</t>
  </si>
  <si>
    <t>EDWIN FISHER</t>
  </si>
  <si>
    <t>'00025690483K</t>
  </si>
  <si>
    <t>MICHAEL DAHLBERG</t>
  </si>
  <si>
    <t>'00025691191K</t>
  </si>
  <si>
    <t>PETAR ERCEG</t>
  </si>
  <si>
    <t>'00025691711K</t>
  </si>
  <si>
    <t>KATHY HUGHES</t>
  </si>
  <si>
    <t>'00025694740K</t>
  </si>
  <si>
    <t>RHONDA BOYKIN</t>
  </si>
  <si>
    <t>'043692</t>
  </si>
  <si>
    <t>ADAM RICHTER</t>
  </si>
  <si>
    <t>'00025696735K</t>
  </si>
  <si>
    <t>LAWRENCE SCHILDER</t>
  </si>
  <si>
    <t>'00025697687K</t>
  </si>
  <si>
    <t>REBECCA MAHLER</t>
  </si>
  <si>
    <t>'046124</t>
  </si>
  <si>
    <t>KENNETH WEITZMAN</t>
  </si>
  <si>
    <t>'00025700285K</t>
  </si>
  <si>
    <t>TONYA LEE</t>
  </si>
  <si>
    <t>'00025701687K</t>
  </si>
  <si>
    <t>RICHARD WRONA</t>
  </si>
  <si>
    <t>'00025702286K</t>
  </si>
  <si>
    <t>TIMOTHY DANELIUK</t>
  </si>
  <si>
    <t>'00025702313K</t>
  </si>
  <si>
    <t>EVELYN BILLEK</t>
  </si>
  <si>
    <t>'00025704306K</t>
  </si>
  <si>
    <t>CLEMENTINE JOHNSON</t>
  </si>
  <si>
    <t>'00025705993K</t>
  </si>
  <si>
    <t>ALLEN MARSH</t>
  </si>
  <si>
    <t>'00025711080K</t>
  </si>
  <si>
    <t>STEPHEN REINBOLD</t>
  </si>
  <si>
    <t>'00025714219K</t>
  </si>
  <si>
    <t>CAROL KIDD</t>
  </si>
  <si>
    <t>'00025715339K</t>
  </si>
  <si>
    <t>JOYCE PITTMAN</t>
  </si>
  <si>
    <t>'00025715531K</t>
  </si>
  <si>
    <t>ANNE WRIGHT</t>
  </si>
  <si>
    <t>'00025717129K</t>
  </si>
  <si>
    <t>SARAH FREDERKING</t>
  </si>
  <si>
    <t>'00025718520K</t>
  </si>
  <si>
    <t>ROBERTA SILAGYI</t>
  </si>
  <si>
    <t>'00025721094K</t>
  </si>
  <si>
    <t>CAROLYN JAYPAL</t>
  </si>
  <si>
    <t>'00025727822K</t>
  </si>
  <si>
    <t>NOE REYES</t>
  </si>
  <si>
    <t>'00025728691K</t>
  </si>
  <si>
    <t>JESUS CARDENAS</t>
  </si>
  <si>
    <t>'00025730882K</t>
  </si>
  <si>
    <t>JOAN MARCHESE</t>
  </si>
  <si>
    <t>'00025731181K</t>
  </si>
  <si>
    <t>ANNA MCWILLIAMS</t>
  </si>
  <si>
    <t>'00025732747K</t>
  </si>
  <si>
    <t>MARILYN TUCKER</t>
  </si>
  <si>
    <t>'00025732784K</t>
  </si>
  <si>
    <t>PETER MALONE</t>
  </si>
  <si>
    <t>'00025733189K</t>
  </si>
  <si>
    <t>TRACY LEE</t>
  </si>
  <si>
    <t>'00025736695K</t>
  </si>
  <si>
    <t>MOHAMMAD SIDDIQUE</t>
  </si>
  <si>
    <t>'00025737101K</t>
  </si>
  <si>
    <t>DONALD EMRY</t>
  </si>
  <si>
    <t>'00025738654K</t>
  </si>
  <si>
    <t>JOHN THOMAS</t>
  </si>
  <si>
    <t>'00025738719K</t>
  </si>
  <si>
    <t>KENNETH ESCHE</t>
  </si>
  <si>
    <t>'00025739103K</t>
  </si>
  <si>
    <t>DEANNA MCCAULEY</t>
  </si>
  <si>
    <t>'00025739332K</t>
  </si>
  <si>
    <t>DALTON MARAJ</t>
  </si>
  <si>
    <t>'00025740596K</t>
  </si>
  <si>
    <t>RALPH ADAMS</t>
  </si>
  <si>
    <t>'00025741009K</t>
  </si>
  <si>
    <t>SCOTT TAIT</t>
  </si>
  <si>
    <t>'00025742651K</t>
  </si>
  <si>
    <t>PATRICIA LARSON</t>
  </si>
  <si>
    <t>'00025743955K</t>
  </si>
  <si>
    <t>PRESTON LORD</t>
  </si>
  <si>
    <t>'00025744468K</t>
  </si>
  <si>
    <t>VITTA AURRICHIO</t>
  </si>
  <si>
    <t>'101130395600</t>
  </si>
  <si>
    <t>VELMA LAMBERT</t>
  </si>
  <si>
    <t>'043832</t>
  </si>
  <si>
    <t>CAROL FRITZ</t>
  </si>
  <si>
    <t>Aetna MAPD NMO to MMO - 2025+ New Paper</t>
  </si>
  <si>
    <t>'101131798400</t>
  </si>
  <si>
    <t>JOYCE FINLEY</t>
  </si>
  <si>
    <t>Aetna MAPD NMO to MMO - 2025+ New E-App</t>
  </si>
  <si>
    <t>'101137276600</t>
  </si>
  <si>
    <t>ALICIA ALTON</t>
  </si>
  <si>
    <t>'102090618000</t>
  </si>
  <si>
    <t>NAYAN SINGH</t>
  </si>
  <si>
    <t>'102152552400</t>
  </si>
  <si>
    <t>KEVIN WILKER</t>
  </si>
  <si>
    <t>'043679</t>
  </si>
  <si>
    <t>DEBORAH INSKIPT</t>
  </si>
  <si>
    <t>'102229802600</t>
  </si>
  <si>
    <t>GREGG PAXTON</t>
  </si>
  <si>
    <t>'102229878600</t>
  </si>
  <si>
    <t>EULA HOWE</t>
  </si>
  <si>
    <t>'102229932000</t>
  </si>
  <si>
    <t>EDITH ZIMMER</t>
  </si>
  <si>
    <t>'102229934600</t>
  </si>
  <si>
    <t>BRENDA RINER</t>
  </si>
  <si>
    <t>'102230014500</t>
  </si>
  <si>
    <t>PEGGY BRADDOCK</t>
  </si>
  <si>
    <t>'102230025800</t>
  </si>
  <si>
    <t>GEORGE BRADDOCK</t>
  </si>
  <si>
    <t>'102230090800</t>
  </si>
  <si>
    <t>WILLIAM HILL</t>
  </si>
  <si>
    <t>'102230117000</t>
  </si>
  <si>
    <t>GARY OLDEEN</t>
  </si>
  <si>
    <t>'102230203400</t>
  </si>
  <si>
    <t>SANDRA DISKIN</t>
  </si>
  <si>
    <t>'102230278700</t>
  </si>
  <si>
    <t>PATRICIA BORISH</t>
  </si>
  <si>
    <t>'102230319400</t>
  </si>
  <si>
    <t>KAREN HARVEY</t>
  </si>
  <si>
    <t>'045670</t>
  </si>
  <si>
    <t>STEVEN BRANDT</t>
  </si>
  <si>
    <t>'102230343100</t>
  </si>
  <si>
    <t>CYNTHIA ROBINSON</t>
  </si>
  <si>
    <t>'102230347100</t>
  </si>
  <si>
    <t>RONALD DISKIN</t>
  </si>
  <si>
    <t>'102230373800</t>
  </si>
  <si>
    <t>BARBARA HILL</t>
  </si>
  <si>
    <t>'102230700500</t>
  </si>
  <si>
    <t>MARY KULUSIC</t>
  </si>
  <si>
    <t>'102230703000</t>
  </si>
  <si>
    <t>LINDA HINCHBERGER</t>
  </si>
  <si>
    <t>'043611</t>
  </si>
  <si>
    <t>TIMOTHY POWERS</t>
  </si>
  <si>
    <t>'102230720100</t>
  </si>
  <si>
    <t>TERRY DEVOS</t>
  </si>
  <si>
    <t>'102230808100</t>
  </si>
  <si>
    <t>BEVERLY BENTLEY</t>
  </si>
  <si>
    <t>'102230810500</t>
  </si>
  <si>
    <t>SANDRA SMART</t>
  </si>
  <si>
    <t>'102230820400</t>
  </si>
  <si>
    <t>MICHELE KINSEY</t>
  </si>
  <si>
    <t>'102231450200</t>
  </si>
  <si>
    <t>DAVID NAYDIHOR</t>
  </si>
  <si>
    <t>'122172434</t>
  </si>
  <si>
    <t>MICHAEL LAWTON</t>
  </si>
  <si>
    <t>'045614</t>
  </si>
  <si>
    <t>DEBORAH POWERS</t>
  </si>
  <si>
    <t>UHC MA Direct 2025 New Initial Prorated</t>
  </si>
  <si>
    <t>12/12 PRORATE</t>
  </si>
  <si>
    <t>'125404927</t>
  </si>
  <si>
    <t>VIRGINIA LEMON-KEITH</t>
  </si>
  <si>
    <t>MD</t>
  </si>
  <si>
    <t>'045627</t>
  </si>
  <si>
    <t>CATHY LEMON</t>
  </si>
  <si>
    <t>UHC MA Direct 2025 New Full</t>
  </si>
  <si>
    <t>'129949159</t>
  </si>
  <si>
    <t>RHONDA HUMPHREY</t>
  </si>
  <si>
    <t>'045885</t>
  </si>
  <si>
    <t>CHAD BENDER</t>
  </si>
  <si>
    <t>'135010181</t>
  </si>
  <si>
    <t>MIRIAM WADE</t>
  </si>
  <si>
    <t>'045717</t>
  </si>
  <si>
    <t>RONALD MAX</t>
  </si>
  <si>
    <t>'135040328</t>
  </si>
  <si>
    <t>JEANNETTE CRADDOCK</t>
  </si>
  <si>
    <t>'831885646</t>
  </si>
  <si>
    <t>D'ALENE FUNDER</t>
  </si>
  <si>
    <t>'902244700</t>
  </si>
  <si>
    <t>AMY WILLIAMS</t>
  </si>
  <si>
    <t>'045634</t>
  </si>
  <si>
    <t>PATRICIA LONG</t>
  </si>
  <si>
    <t>UHC MA Direct 2025 New Full - Other</t>
  </si>
  <si>
    <t>'905945740</t>
  </si>
  <si>
    <t>CAROLYN RADTKE</t>
  </si>
  <si>
    <t>'906430980</t>
  </si>
  <si>
    <t>JANICE MALONEY</t>
  </si>
  <si>
    <t>'909120643</t>
  </si>
  <si>
    <t>CHARLES HOSIER</t>
  </si>
  <si>
    <t>UHC MA Direct 2025 New Initial Prorated - Other</t>
  </si>
  <si>
    <t>'910103142</t>
  </si>
  <si>
    <t>ARTHUR ZELLNER</t>
  </si>
  <si>
    <t>'043974</t>
  </si>
  <si>
    <t>JENNIFER HALSAVER</t>
  </si>
  <si>
    <t>'910393030</t>
  </si>
  <si>
    <t>ABIGAIL ELLIOTT</t>
  </si>
  <si>
    <t>NA</t>
  </si>
  <si>
    <t>'911214375</t>
  </si>
  <si>
    <t>KEVIN PIERCE</t>
  </si>
  <si>
    <t>'912444947</t>
  </si>
  <si>
    <t>SARAH ERTTER</t>
  </si>
  <si>
    <t>'916546623</t>
  </si>
  <si>
    <t>PAMELA TRENT</t>
  </si>
  <si>
    <t>'046028</t>
  </si>
  <si>
    <t>TAWIAH TRENT</t>
  </si>
  <si>
    <t>'916827423</t>
  </si>
  <si>
    <t>MARILYN TRONGEAU</t>
  </si>
  <si>
    <t>'916967924</t>
  </si>
  <si>
    <t>FRANCISCO MIJANGO</t>
  </si>
  <si>
    <t>'046026</t>
  </si>
  <si>
    <t>JARED KINYUA</t>
  </si>
  <si>
    <t>'917701101</t>
  </si>
  <si>
    <t>JOHN JENSEN</t>
  </si>
  <si>
    <t>'920616139</t>
  </si>
  <si>
    <t>CHRISTINE WITTHOFT</t>
  </si>
  <si>
    <t>'921982102</t>
  </si>
  <si>
    <t>LAUREL RUSTON</t>
  </si>
  <si>
    <t>'922935380</t>
  </si>
  <si>
    <t>DIANE GILE</t>
  </si>
  <si>
    <t>'925189893</t>
  </si>
  <si>
    <t>RONALD FUNDER</t>
  </si>
  <si>
    <t>'925982271</t>
  </si>
  <si>
    <t>RANDYL MCCAULEY</t>
  </si>
  <si>
    <t>'925995823</t>
  </si>
  <si>
    <t>KEM WEBB</t>
  </si>
  <si>
    <t>'927632891</t>
  </si>
  <si>
    <t>JOANN MCPHERSON</t>
  </si>
  <si>
    <t>'934299868</t>
  </si>
  <si>
    <t>SANDRA BARDINE</t>
  </si>
  <si>
    <t>'935597255</t>
  </si>
  <si>
    <t>TERRY TRONGEAU</t>
  </si>
  <si>
    <t>'937444625</t>
  </si>
  <si>
    <t>STUART SIMCOX</t>
  </si>
  <si>
    <t>'939353500</t>
  </si>
  <si>
    <t>TOMMY MCCORMICK</t>
  </si>
  <si>
    <t>OR</t>
  </si>
  <si>
    <t>'940482810</t>
  </si>
  <si>
    <t>GREGORY STRUNK</t>
  </si>
  <si>
    <t>CA</t>
  </si>
  <si>
    <t>'940523473</t>
  </si>
  <si>
    <t>SHARON ALTOM</t>
  </si>
  <si>
    <t>'940823604</t>
  </si>
  <si>
    <t>AUGENIJA INCISI</t>
  </si>
  <si>
    <t>UHC MAPD Street payable to upline - 2025 New</t>
  </si>
  <si>
    <t>'940902300</t>
  </si>
  <si>
    <t>THONGBAY BOUNYAVONG</t>
  </si>
  <si>
    <t>'943440592</t>
  </si>
  <si>
    <t>JONES ATTERBERRY</t>
  </si>
  <si>
    <t>'943723547</t>
  </si>
  <si>
    <t>DEBORAH CHAPMAN</t>
  </si>
  <si>
    <t>'946535914</t>
  </si>
  <si>
    <t>DANIEL FEENEY</t>
  </si>
  <si>
    <t>'947965835</t>
  </si>
  <si>
    <t>EDWIN STANTON</t>
  </si>
  <si>
    <t>'951566976</t>
  </si>
  <si>
    <t>HOWARD APPELL</t>
  </si>
  <si>
    <t>'952238366</t>
  </si>
  <si>
    <t>SHARON PLUFF</t>
  </si>
  <si>
    <t>'954564449</t>
  </si>
  <si>
    <t>MAE BAYONA</t>
  </si>
  <si>
    <t>UHC MAPD Street payable to upline- 2025 Pro New</t>
  </si>
  <si>
    <t>1/12 PRORATE</t>
  </si>
  <si>
    <t>'954677244</t>
  </si>
  <si>
    <t>LONNIE ALTOM</t>
  </si>
  <si>
    <t>'957358780</t>
  </si>
  <si>
    <t>PATRICIA STEPHENSON</t>
  </si>
  <si>
    <t>'045937</t>
  </si>
  <si>
    <t>MARSHA SANDEROCK</t>
  </si>
  <si>
    <t>'962362898</t>
  </si>
  <si>
    <t>ERICA SMITH</t>
  </si>
  <si>
    <t>'962941470</t>
  </si>
  <si>
    <t>RICHARD SZALECKI</t>
  </si>
  <si>
    <t>'043690</t>
  </si>
  <si>
    <t>THOMAS KUCAN</t>
  </si>
  <si>
    <t>'964375898</t>
  </si>
  <si>
    <t>ALAN MATTA</t>
  </si>
  <si>
    <t>'966939081</t>
  </si>
  <si>
    <t>LORRAINE WILLIAMS</t>
  </si>
  <si>
    <t>'043565</t>
  </si>
  <si>
    <t>LORI TUNSTALL</t>
  </si>
  <si>
    <t>'967982621</t>
  </si>
  <si>
    <t>VERONICA JONES</t>
  </si>
  <si>
    <t>'969806734</t>
  </si>
  <si>
    <t>RICHARD WITTHOFT</t>
  </si>
  <si>
    <t>'970380792</t>
  </si>
  <si>
    <t>ANNA ROSENFELDT</t>
  </si>
  <si>
    <t>'970893671</t>
  </si>
  <si>
    <t>JANICE FELTON</t>
  </si>
  <si>
    <t>'976643581</t>
  </si>
  <si>
    <t>ALPHONSE BECCARD</t>
  </si>
  <si>
    <t>UHC MAPD Street payable to upline PA/CT- 2025 New</t>
  </si>
  <si>
    <t>'977339678</t>
  </si>
  <si>
    <t>MARY SABBI</t>
  </si>
  <si>
    <t>'977936680</t>
  </si>
  <si>
    <t>JOAN KENNY</t>
  </si>
  <si>
    <t>'977936680OV</t>
  </si>
  <si>
    <t>UHC MA Direct 2025 New Prorated - Other</t>
  </si>
  <si>
    <t>'978655359</t>
  </si>
  <si>
    <t>JANE GOLD</t>
  </si>
  <si>
    <t>'981424265</t>
  </si>
  <si>
    <t>SANDRA FRANKLIN</t>
  </si>
  <si>
    <t>'984024242</t>
  </si>
  <si>
    <t>JAMES MCDERMOTT</t>
  </si>
  <si>
    <t>'986833979</t>
  </si>
  <si>
    <t>JERRY NELSON</t>
  </si>
  <si>
    <t>'987907924</t>
  </si>
  <si>
    <t>THOMAS RAGAIN</t>
  </si>
  <si>
    <t>'993350281</t>
  </si>
  <si>
    <t>LINDA WALDA</t>
  </si>
  <si>
    <t>'A04388066</t>
  </si>
  <si>
    <t>PATRICIA LYONS-COX</t>
  </si>
  <si>
    <t>UHC AARP Med Supp 2026+ PA Plan B C F G</t>
  </si>
  <si>
    <t>'A04389052</t>
  </si>
  <si>
    <t>JAMES THOMAS</t>
  </si>
  <si>
    <t>'A04389817</t>
  </si>
  <si>
    <t>ANTHONY DICIO</t>
  </si>
  <si>
    <t>UHC AARP Med Supp 2025+ NY Plan B C F G - Repl</t>
  </si>
  <si>
    <t>'A04389912</t>
  </si>
  <si>
    <t>THOMAS ENNIS</t>
  </si>
  <si>
    <t>UHC AARP Med Supp 2026+ AZ IL KS ME NC TN WV Plan B C D F G</t>
  </si>
  <si>
    <t>'A04391258</t>
  </si>
  <si>
    <t>LAURIE HEWINGS-LITTLE</t>
  </si>
  <si>
    <t>'A04391379</t>
  </si>
  <si>
    <t>JOHN HEWINGS</t>
  </si>
  <si>
    <t>UHC AARP Med Supp 2026+ IL Plan F G</t>
  </si>
  <si>
    <t>'A04393578</t>
  </si>
  <si>
    <t>MARK MATHEWS</t>
  </si>
  <si>
    <t>UHC AARP Med Supp 2026+ CO - All Plans</t>
  </si>
  <si>
    <t>'MEQNDVYM00000136973</t>
  </si>
  <si>
    <t>JEANNE WILSON</t>
  </si>
  <si>
    <t>'MEQNPDZM00002451399</t>
  </si>
  <si>
    <t>KHAM THAMMAVONG</t>
  </si>
  <si>
    <t>'MEQNQMZM00001912124</t>
  </si>
  <si>
    <t>PEGGY DUFFIELD</t>
  </si>
  <si>
    <t>'MEQNQMZM00001984088</t>
  </si>
  <si>
    <t>ARNETTA CRAIG</t>
  </si>
  <si>
    <t>CB</t>
  </si>
  <si>
    <t>'00009949028KCB</t>
  </si>
  <si>
    <t>CLAIRE VAN HORN</t>
  </si>
  <si>
    <t>CHARGEBACK</t>
  </si>
  <si>
    <t>'00012632504KPC</t>
  </si>
  <si>
    <t>EDWIN ROBINSON</t>
  </si>
  <si>
    <t>'00015349324KCB</t>
  </si>
  <si>
    <t>SHIRLENE PETERSON</t>
  </si>
  <si>
    <t>'00017029001KCB</t>
  </si>
  <si>
    <t>LUCILLE SHAFFER</t>
  </si>
  <si>
    <t>'00020102843KPC</t>
  </si>
  <si>
    <t>'00021328483KCB</t>
  </si>
  <si>
    <t>CYNTHIA FUSILIER</t>
  </si>
  <si>
    <t>'00024120674KCB</t>
  </si>
  <si>
    <t>BARRY WOMACK</t>
  </si>
  <si>
    <t>'00024155669KCB</t>
  </si>
  <si>
    <t>THOMAS SORIERO</t>
  </si>
  <si>
    <t>'00024215496KCB</t>
  </si>
  <si>
    <t>'00024228694KCB</t>
  </si>
  <si>
    <t>ISABEL LITZMANN</t>
  </si>
  <si>
    <t>'00024280189KPDPCB</t>
  </si>
  <si>
    <t>JOANNE EURE</t>
  </si>
  <si>
    <t>Humana PDP 2019+ Level 15- 15/0</t>
  </si>
  <si>
    <t>'00024302321KCB</t>
  </si>
  <si>
    <t>THERESA ELSCLAGER</t>
  </si>
  <si>
    <t>'00024506657KCB</t>
  </si>
  <si>
    <t>ROBERT POSS</t>
  </si>
  <si>
    <t>'00024586467KCB</t>
  </si>
  <si>
    <t>KAREN DAHSE</t>
  </si>
  <si>
    <t>'00024591148KPDPCB</t>
  </si>
  <si>
    <t>CONNIE SMITH</t>
  </si>
  <si>
    <t>'00024695043KCB</t>
  </si>
  <si>
    <t>BARBARA MIDDLETON</t>
  </si>
  <si>
    <t>'00024879617KCB</t>
  </si>
  <si>
    <t>SHERRY RICHARDSON</t>
  </si>
  <si>
    <t>'101049220800PC</t>
  </si>
  <si>
    <t>FRANK HOMISON</t>
  </si>
  <si>
    <t>Aetna MAPD NMO to GMO - 4-1-23+  New E-App</t>
  </si>
  <si>
    <t>'101351741000CB</t>
  </si>
  <si>
    <t>JOCELYN ROGERS</t>
  </si>
  <si>
    <t>'101457065800CB</t>
  </si>
  <si>
    <t>MARY STANCY</t>
  </si>
  <si>
    <t>'101626134200CB</t>
  </si>
  <si>
    <t>MARJORIE WARRINGTON</t>
  </si>
  <si>
    <t>IA</t>
  </si>
  <si>
    <t>'101966955100PC</t>
  </si>
  <si>
    <t>JUDY PHELPS</t>
  </si>
  <si>
    <t>AL</t>
  </si>
  <si>
    <t>'102083459200PC</t>
  </si>
  <si>
    <t>THOMAS SOMMERS</t>
  </si>
  <si>
    <t>'966984153CB</t>
  </si>
  <si>
    <t>STEVEN BROUGHAM</t>
  </si>
  <si>
    <t>'969642789CB</t>
  </si>
  <si>
    <t>JORY INCISI</t>
  </si>
  <si>
    <t>'979108904CB</t>
  </si>
  <si>
    <t>JOSEPH WILLIAMS</t>
  </si>
  <si>
    <t>'989423301CB</t>
  </si>
  <si>
    <t>HEIDI MILLER</t>
  </si>
  <si>
    <t>CAROL SCHABER</t>
  </si>
  <si>
    <t>Humana NOV 2025 Statement</t>
  </si>
  <si>
    <t>DONNIE HAMILTON</t>
  </si>
  <si>
    <t>Active</t>
  </si>
  <si>
    <t>GERRI WALTHERS</t>
  </si>
  <si>
    <t>MARY HUSTON</t>
  </si>
  <si>
    <t>KHAIRUNNISA MOHIUDDIN</t>
  </si>
  <si>
    <t>RUBEN TORRES</t>
  </si>
  <si>
    <t>MARIANNE O'BRIEN</t>
  </si>
  <si>
    <t>DEBRA SIMS</t>
  </si>
  <si>
    <t>KAREN YOSHIKAWA</t>
  </si>
  <si>
    <t>FRED BORROWMAN</t>
  </si>
  <si>
    <t>Humana MAPD Street payable to upline- 2024 Replace</t>
  </si>
  <si>
    <t>Humana LOA NOV 2025 Statement</t>
  </si>
  <si>
    <t>LARRY BOUBEL</t>
  </si>
  <si>
    <t>STEVEN CONNOR</t>
  </si>
  <si>
    <t>RAYMOND HUMPHRIES</t>
  </si>
  <si>
    <t>CATHERINE LAUDERDALE</t>
  </si>
  <si>
    <t>PAULA MARINO</t>
  </si>
  <si>
    <t>EUGENE PAYNE</t>
  </si>
  <si>
    <t>MARYCLARE BENTLEY</t>
  </si>
  <si>
    <t>ROBERT BENTLEY</t>
  </si>
  <si>
    <t>TIMOTHY HATMAKER</t>
  </si>
  <si>
    <t>MARY GIOVINCO</t>
  </si>
  <si>
    <t>EFRAIN GARCIA</t>
  </si>
  <si>
    <t>Humana MAPD Street payable to upline - 2024 New</t>
  </si>
  <si>
    <t>TATYANA FISHMAN</t>
  </si>
  <si>
    <t>TONY PAYNE</t>
  </si>
  <si>
    <t>MARIAN PAYNE</t>
  </si>
  <si>
    <t>THERESA CIMARUSTI</t>
  </si>
  <si>
    <t>Humana MAPD Street payable to upline- 2024 Pro New</t>
  </si>
  <si>
    <t>DEBORAH BRODER</t>
  </si>
  <si>
    <t>MARTIN KELLEY</t>
  </si>
  <si>
    <t>MARIAREDEMCION DE GALA</t>
  </si>
  <si>
    <t>KATHLEEN OCONNOR</t>
  </si>
  <si>
    <t>TODD COHEN</t>
  </si>
  <si>
    <t>SCOTT WAXMAN</t>
  </si>
  <si>
    <t>LAURA MELVIN</t>
  </si>
  <si>
    <t>DAVID LEWAKOWSKI</t>
  </si>
  <si>
    <t>MARY BOETTCHER</t>
  </si>
  <si>
    <t>CHESTER ANTCZAK</t>
  </si>
  <si>
    <t>WILLIAM NAIDENOVICH</t>
  </si>
  <si>
    <t>FRANK SCARDINA</t>
  </si>
  <si>
    <t>Humana MA 2019+ Level 15- 150/84</t>
  </si>
  <si>
    <t>MITCH WISE</t>
  </si>
  <si>
    <t>RICHARD COSARO</t>
  </si>
  <si>
    <t>CHRISTINE KALIS</t>
  </si>
  <si>
    <t>PATRICIA MCGRAIL</t>
  </si>
  <si>
    <t>TERRY BRYAN</t>
  </si>
  <si>
    <t>PERIKLI HAXHI</t>
  </si>
  <si>
    <t>KRISTY DOLPH</t>
  </si>
  <si>
    <t>GIL VALENZUELA</t>
  </si>
  <si>
    <t>EDITA VALENZUELA</t>
  </si>
  <si>
    <t>PATRICK JOCHUM</t>
  </si>
  <si>
    <t>ALEXANDER RANCE</t>
  </si>
  <si>
    <t>TERRANCE HALLMAN</t>
  </si>
  <si>
    <t>DONNA CHILDS</t>
  </si>
  <si>
    <t>EDWARD RYAN</t>
  </si>
  <si>
    <t>TERESA DRAGONETTI</t>
  </si>
  <si>
    <t>RAYMOND HOCK</t>
  </si>
  <si>
    <t>PAUL ARNOLD</t>
  </si>
  <si>
    <t>MARGARET BASHLINE</t>
  </si>
  <si>
    <t>BRIAN CHINDERLE</t>
  </si>
  <si>
    <t>BRENDA REIMANN</t>
  </si>
  <si>
    <t>JUAN REYNA</t>
  </si>
  <si>
    <t>SANDRA SCHEIDENHELM</t>
  </si>
  <si>
    <t>KENNETH WONG</t>
  </si>
  <si>
    <t>GAY BAKKER</t>
  </si>
  <si>
    <t>KEITH DONOVAN</t>
  </si>
  <si>
    <t>TRACEY BROWN</t>
  </si>
  <si>
    <t>STEVE ZAFIRIADIS</t>
  </si>
  <si>
    <t>C CHADDERDON GAITSCH</t>
  </si>
  <si>
    <t>TERRY ROSS</t>
  </si>
  <si>
    <t>MARK VANDERPLUYM</t>
  </si>
  <si>
    <t>JEANA LASSITER</t>
  </si>
  <si>
    <t>LESLIE IANNACE</t>
  </si>
  <si>
    <t>JEFFREY PATRICK</t>
  </si>
  <si>
    <t>ALEX YAKULIS</t>
  </si>
  <si>
    <t>DEBBY SHEDD</t>
  </si>
  <si>
    <t>THOMAS BRISCOE</t>
  </si>
  <si>
    <t>MARY GERAGHTY</t>
  </si>
  <si>
    <t>JAMES HILBURN</t>
  </si>
  <si>
    <t>SALLY FISHER-PLANIC</t>
  </si>
  <si>
    <t>FARZANA AKRAM</t>
  </si>
  <si>
    <t>RUMPIN BUNYAVONG</t>
  </si>
  <si>
    <t>SUZI FRIESE</t>
  </si>
  <si>
    <t>MIKE FOLLANSBEE</t>
  </si>
  <si>
    <t>SHAZIA SHAHRUKH</t>
  </si>
  <si>
    <t>MAURICE ENWIA</t>
  </si>
  <si>
    <t>LORI RODGERS</t>
  </si>
  <si>
    <t>MARCELINO CENTENO</t>
  </si>
  <si>
    <t>SHIRLEY SHELTON</t>
  </si>
  <si>
    <t>MARGARET GARRITY</t>
  </si>
  <si>
    <t>ELLEN SHAKER</t>
  </si>
  <si>
    <t>SUSAN MADETE</t>
  </si>
  <si>
    <t>PATRICK OTTO</t>
  </si>
  <si>
    <t>LISA CAVITT</t>
  </si>
  <si>
    <t>JOHN SMITH</t>
  </si>
  <si>
    <t>CARRIE STEPHENS</t>
  </si>
  <si>
    <t>JR REIF</t>
  </si>
  <si>
    <t>HENRY ASEGA</t>
  </si>
  <si>
    <t>JOSEPH MANNERINO</t>
  </si>
  <si>
    <t>SHERYL MANNERINO</t>
  </si>
  <si>
    <t>DALE KLUGA</t>
  </si>
  <si>
    <t>DOREEN PUDLOWSKI</t>
  </si>
  <si>
    <t>DRAGISA PAVLOVIC</t>
  </si>
  <si>
    <t>RICKY ORLANDO</t>
  </si>
  <si>
    <t>ANNETTE BOWLING</t>
  </si>
  <si>
    <t>MARY PAUL</t>
  </si>
  <si>
    <t>JOHN MCGARY</t>
  </si>
  <si>
    <t>SAM PHOMSOPHA</t>
  </si>
  <si>
    <t>PHOUTHONE PHOMSOPHA</t>
  </si>
  <si>
    <t>CHRISTY CHUBICK</t>
  </si>
  <si>
    <t>ROBIN DIEDERICH</t>
  </si>
  <si>
    <t>TERRI EATON</t>
  </si>
  <si>
    <t>EUGENE JACKSON</t>
  </si>
  <si>
    <t>THEROLD RATHGEB</t>
  </si>
  <si>
    <t>DEBORAH BARCLAY</t>
  </si>
  <si>
    <t>KATHY VANHORN</t>
  </si>
  <si>
    <t>NICOMEDES SILVA</t>
  </si>
  <si>
    <t>DONNA DRUCKER</t>
  </si>
  <si>
    <t>ADELAIDA SILVA</t>
  </si>
  <si>
    <t>MALGORZATA GONET</t>
  </si>
  <si>
    <t>AUDREY RIDLEN</t>
  </si>
  <si>
    <t>DONARIA CARVALHO</t>
  </si>
  <si>
    <t>MARILYN SCHUMM</t>
  </si>
  <si>
    <t>ANTHONY LEONE</t>
  </si>
  <si>
    <t>LINDA HOEKS</t>
  </si>
  <si>
    <t>MARY LUPOU</t>
  </si>
  <si>
    <t>LORRAINE HACKMAN</t>
  </si>
  <si>
    <t>JUAN WILSON</t>
  </si>
  <si>
    <t>PAUL BORASH</t>
  </si>
  <si>
    <t>ANTONIO SANCHEZ</t>
  </si>
  <si>
    <t>JAMES HARBACEK</t>
  </si>
  <si>
    <t>DOLORES DUNCAN</t>
  </si>
  <si>
    <t>JAMES BECKWITH</t>
  </si>
  <si>
    <t>RALPH RICHMOND</t>
  </si>
  <si>
    <t>RACHEL WILLIAMS</t>
  </si>
  <si>
    <t>UHC PDP Street payable to upline -2024 New Full</t>
  </si>
  <si>
    <t>Per NOV 2025 UHC MA Stmt</t>
  </si>
  <si>
    <t>LAUREN KNOBBS</t>
  </si>
  <si>
    <t>YOUSRI ALI</t>
  </si>
  <si>
    <t>FRANK WUCHEVICH</t>
  </si>
  <si>
    <t>Per Aetna LOA NOV 2025 Statement</t>
  </si>
  <si>
    <t>DENNIS BELL</t>
  </si>
  <si>
    <t>THERESA MANGUS</t>
  </si>
  <si>
    <t>CAROLYN HERVEY</t>
  </si>
  <si>
    <t>DORIS MCCONNELL</t>
  </si>
  <si>
    <t>BETSY HARVEY</t>
  </si>
  <si>
    <t>GERALD KOCHMAR</t>
  </si>
  <si>
    <t>SUZANNE STEIGERWALD</t>
  </si>
  <si>
    <t>RICHARD CLOUSE</t>
  </si>
  <si>
    <t>CARL BRACKEN</t>
  </si>
  <si>
    <t>JOSEPH HOFFMAN</t>
  </si>
  <si>
    <t>MARIAN PARENTE</t>
  </si>
  <si>
    <t>RUTH CLAYPOOLE</t>
  </si>
  <si>
    <t>GRACE BRACKEN</t>
  </si>
  <si>
    <t>RUSSELL HEARN</t>
  </si>
  <si>
    <t>VICTORIA HOFFMAN</t>
  </si>
  <si>
    <t>STEPHEN GREEN</t>
  </si>
  <si>
    <t>D SULLENBERGER</t>
  </si>
  <si>
    <t>DAVID SNYDER</t>
  </si>
  <si>
    <t>RICHARD BAPTISTE</t>
  </si>
  <si>
    <t>KAREN HILLIARD</t>
  </si>
  <si>
    <t>JUDITH PEAVORNICK</t>
  </si>
  <si>
    <t>RICHARD MANGUS</t>
  </si>
  <si>
    <t>JOSEPH KOLODZIEJCZYK</t>
  </si>
  <si>
    <t>JOAN TOMSEY</t>
  </si>
  <si>
    <t>DOMINICA KOCHMAR</t>
  </si>
  <si>
    <t>DOUGLAS HERVEY</t>
  </si>
  <si>
    <t>KATHLEEN TENNYSON</t>
  </si>
  <si>
    <t>DARLENE SNYDER</t>
  </si>
  <si>
    <t>JOYCE GIESLER</t>
  </si>
  <si>
    <t>HEMA WOODWARD</t>
  </si>
  <si>
    <t>GEORGE PATRICK</t>
  </si>
  <si>
    <t>GLEN RIZZO</t>
  </si>
  <si>
    <t>STAN POPINSKI</t>
  </si>
  <si>
    <t>CLIFFORD ANDERSON</t>
  </si>
  <si>
    <t>ROSEMARIE LOKER</t>
  </si>
  <si>
    <t>KAREN RUSSELL</t>
  </si>
  <si>
    <t>BEVERLY SASSE</t>
  </si>
  <si>
    <t>RUBY FERRERE</t>
  </si>
  <si>
    <t>MARK BRANTHOOVER</t>
  </si>
  <si>
    <t>RICHARD PISOR</t>
  </si>
  <si>
    <t>ABRAHAM SANO</t>
  </si>
  <si>
    <t>JEFFREY ALLAN</t>
  </si>
  <si>
    <t>SANDRA CRIDER</t>
  </si>
  <si>
    <t>TERRY ALBECK</t>
  </si>
  <si>
    <t>DENNIS SCHELETSKY</t>
  </si>
  <si>
    <t>WILLIAM RUSSELL</t>
  </si>
  <si>
    <t>BEVERLY JONES</t>
  </si>
  <si>
    <t>BARBARA CRANE</t>
  </si>
  <si>
    <t>JEFFREY CRANE</t>
  </si>
  <si>
    <t>ROBERT MILLER</t>
  </si>
  <si>
    <t>JOHN BLAZOSKY</t>
  </si>
  <si>
    <t>WILLIAM MCDONOUGH</t>
  </si>
  <si>
    <t>PAUL EDGERTON</t>
  </si>
  <si>
    <t>NORMAN GRAHAM</t>
  </si>
  <si>
    <t>STELLA GRAHAM</t>
  </si>
  <si>
    <t>LINDA EDGERTON</t>
  </si>
  <si>
    <t>MARGIE ROME</t>
  </si>
  <si>
    <t>DEBBIE SELFRIDGE</t>
  </si>
  <si>
    <t>DENA HOCHBEIN</t>
  </si>
  <si>
    <t>DENNIS NOLLINGER</t>
  </si>
  <si>
    <t>SHARON MIHALEK</t>
  </si>
  <si>
    <t>GARY SPAULDING</t>
  </si>
  <si>
    <t>SHIRLEY SPAULDING</t>
  </si>
  <si>
    <t>ROBERT NICHOLS</t>
  </si>
  <si>
    <t>CLAUDIA CONTE</t>
  </si>
  <si>
    <t>MARILOU RUSIANA</t>
  </si>
  <si>
    <t>RICHARD LIEBERT</t>
  </si>
  <si>
    <t>JAMES HOLLOBAUGH</t>
  </si>
  <si>
    <t>RICHARD COMBEN</t>
  </si>
  <si>
    <t>JANET WIKERT</t>
  </si>
  <si>
    <t>Aetna MAPD NMO to GMO - 4-1-23+  Replace E-App</t>
  </si>
  <si>
    <t>JOHN THORPE</t>
  </si>
  <si>
    <t>ELIZABE LIEBERT</t>
  </si>
  <si>
    <t>NANCY WONG</t>
  </si>
  <si>
    <t>DAVID HARFORD</t>
  </si>
  <si>
    <t>EVELYN GRIFFITHS</t>
  </si>
  <si>
    <t>DEAN REED</t>
  </si>
  <si>
    <t>GORDON SINCLAIR</t>
  </si>
  <si>
    <t>MARJORY HARFORD</t>
  </si>
  <si>
    <t>ROBERT HNAT</t>
  </si>
  <si>
    <t>SANDRA POPINSKI</t>
  </si>
  <si>
    <t>GARY SCHMIEDECKE</t>
  </si>
  <si>
    <t>FRANK BUCK</t>
  </si>
  <si>
    <t>DEBRA BARRALL</t>
  </si>
  <si>
    <t>TIMOTHY CRIDER</t>
  </si>
  <si>
    <t>JOANNE DALUISIO</t>
  </si>
  <si>
    <t>EARL CLARK</t>
  </si>
  <si>
    <t>KATHLEEN THORNTON</t>
  </si>
  <si>
    <t>EDDIE JEWART</t>
  </si>
  <si>
    <t>REBA BECKER</t>
  </si>
  <si>
    <t>SHARON OESTERLING</t>
  </si>
  <si>
    <t>JOANNE BAPTISTE</t>
  </si>
  <si>
    <t>DARLENE STRAMA</t>
  </si>
  <si>
    <t>LON OESTERLING</t>
  </si>
  <si>
    <t>ALLAN ZWIRN</t>
  </si>
  <si>
    <t>JOAN PARK</t>
  </si>
  <si>
    <t>EARL BALENTINE</t>
  </si>
  <si>
    <t>ROBERT PARK</t>
  </si>
  <si>
    <t>RONALD GUINEY</t>
  </si>
  <si>
    <t>CHERYL TOOMEY</t>
  </si>
  <si>
    <t>THOMAS PERRY</t>
  </si>
  <si>
    <t>CHERYL TURNER</t>
  </si>
  <si>
    <t>MARGARET DICKMAN</t>
  </si>
  <si>
    <t>GAYLE MARETTI</t>
  </si>
  <si>
    <t>THOMAS MCMULLEN</t>
  </si>
  <si>
    <t>MICHALENE MCMULLEN</t>
  </si>
  <si>
    <t>DAVID MOSER</t>
  </si>
  <si>
    <t>KENNETH CLAYPOOLE</t>
  </si>
  <si>
    <t>TERESA CALAMUSA</t>
  </si>
  <si>
    <t>JOSEPH CALAMUSA</t>
  </si>
  <si>
    <t>DANIEL VEITH</t>
  </si>
  <si>
    <t>CHRISTY ROBERT</t>
  </si>
  <si>
    <t>GENEVIEVE MCDONOUGH</t>
  </si>
  <si>
    <t>JAMES NORTON</t>
  </si>
  <si>
    <t>GEORGE CRAVEN</t>
  </si>
  <si>
    <t>STACEY GORSKI</t>
  </si>
  <si>
    <t>HELEN FERGUSON</t>
  </si>
  <si>
    <t>GLENDA COUGHENOUR</t>
  </si>
  <si>
    <t>RICHARD COUGHENOUR</t>
  </si>
  <si>
    <t>RAYMOND MURTHA</t>
  </si>
  <si>
    <t>GEORGE SHAFFER</t>
  </si>
  <si>
    <t>RONALD MOORE</t>
  </si>
  <si>
    <t>RENE CARNEVALI</t>
  </si>
  <si>
    <t>JOHN MORRISON</t>
  </si>
  <si>
    <t>HOBART KENTON</t>
  </si>
  <si>
    <t>EUNICE KENTON</t>
  </si>
  <si>
    <t>DARCEE BOWSER</t>
  </si>
  <si>
    <t>RONALD PARKER</t>
  </si>
  <si>
    <t>KATHLEEN UFNER</t>
  </si>
  <si>
    <t>LINDA EURY</t>
  </si>
  <si>
    <t>MICHAEL FERDINANDSEN</t>
  </si>
  <si>
    <t>MARY FERDINANDSEN</t>
  </si>
  <si>
    <t>KAREN MCANDREWS</t>
  </si>
  <si>
    <t>ROBIN GALL</t>
  </si>
  <si>
    <t>JAMES FAGAN</t>
  </si>
  <si>
    <t>NEIL STEWART</t>
  </si>
  <si>
    <t>LINDA ARMSTRONG</t>
  </si>
  <si>
    <t>ANNA PAPA</t>
  </si>
  <si>
    <t>DAVENA HOPSON</t>
  </si>
  <si>
    <t>GERALD BRNA</t>
  </si>
  <si>
    <t>SUSAN MASON</t>
  </si>
  <si>
    <t>DONALD MCCLOSKEY</t>
  </si>
  <si>
    <t>TERRI MARBURGER</t>
  </si>
  <si>
    <t>KENNETH TROUP</t>
  </si>
  <si>
    <t>SUSAN CUPPS</t>
  </si>
  <si>
    <t>JOLINDA DOUTHETT</t>
  </si>
  <si>
    <t>PAMELA JEWART</t>
  </si>
  <si>
    <t>GREGORY FERDINANDSEN</t>
  </si>
  <si>
    <t>TERRY NEY</t>
  </si>
  <si>
    <t>LLOYD LAKE</t>
  </si>
  <si>
    <t>PEGGY ROCCO</t>
  </si>
  <si>
    <t>THOMAS BORCZ</t>
  </si>
  <si>
    <t>KIMBERLY SIDLEY</t>
  </si>
  <si>
    <t>TIMOTHY FLANIGAN</t>
  </si>
  <si>
    <t>ROGER WOLFE</t>
  </si>
  <si>
    <t>PAMELA DORCY</t>
  </si>
  <si>
    <t>CORNELIUS DORCY</t>
  </si>
  <si>
    <t>DEBORAH PEGHER</t>
  </si>
  <si>
    <t>GREGORY RUTKOSKI</t>
  </si>
  <si>
    <t>JEFFREY EDWARDS</t>
  </si>
  <si>
    <t>LINDA CARSON</t>
  </si>
  <si>
    <t>EARL CHRISTY</t>
  </si>
  <si>
    <t>VICKI HEFFERAN</t>
  </si>
  <si>
    <t>CHARLES CRAIG</t>
  </si>
  <si>
    <t>EUGENE EVANS</t>
  </si>
  <si>
    <t>ANDREW SCHRIM</t>
  </si>
  <si>
    <t>HANNAH SCHRIM</t>
  </si>
  <si>
    <t>ROBERTA YOUNG</t>
  </si>
  <si>
    <t>GARY YOUNG</t>
  </si>
  <si>
    <t>DEBRA MCCUNE</t>
  </si>
  <si>
    <t>LISA MAJESKY</t>
  </si>
  <si>
    <t>SUSAN RUSSO</t>
  </si>
  <si>
    <t>SHIRLEY ERWIN</t>
  </si>
  <si>
    <t>GERALD CUPPS</t>
  </si>
  <si>
    <t>ANNA DICKSON</t>
  </si>
  <si>
    <t>PATRICIA CHAFFIN</t>
  </si>
  <si>
    <t>JOY ROBBINS</t>
  </si>
  <si>
    <t>JANICE DEMARTINI</t>
  </si>
  <si>
    <t>RONALD THOMPSON</t>
  </si>
  <si>
    <t>HOWARD KAMERER</t>
  </si>
  <si>
    <t>JUDITH SPORKA</t>
  </si>
  <si>
    <t>STEVEN NAPOLETAN</t>
  </si>
  <si>
    <t>CHARLES JORDAN</t>
  </si>
  <si>
    <t>KAREN KROPF</t>
  </si>
  <si>
    <t>JANET PARKER</t>
  </si>
  <si>
    <t>BRUCE PETTIT</t>
  </si>
  <si>
    <t>CAROL PETTIT</t>
  </si>
  <si>
    <t>SUZANNE WARHEIT</t>
  </si>
  <si>
    <t>STACY NEMETH</t>
  </si>
  <si>
    <t>DANIEL MAGILL</t>
  </si>
  <si>
    <t>WILLIAM MAURICE</t>
  </si>
  <si>
    <t>EDWARD FANTUZZO</t>
  </si>
  <si>
    <t>KIMBERLY COBLENTZ</t>
  </si>
  <si>
    <t>SANDRA MONTGOMERY</t>
  </si>
  <si>
    <t>THOMAS MCCOMMON</t>
  </si>
  <si>
    <t>RICHARD HOLSTINE</t>
  </si>
  <si>
    <t>JANINE POLKY</t>
  </si>
  <si>
    <t>MICHAEL MONTGOMERY</t>
  </si>
  <si>
    <t>ALAN BEBLO</t>
  </si>
  <si>
    <t>SUZEE BEBLO</t>
  </si>
  <si>
    <t>MICHAEL OWENS</t>
  </si>
  <si>
    <t>NICHOLAS BURKA</t>
  </si>
  <si>
    <t>PAUL HICKOK</t>
  </si>
  <si>
    <t>DAVID PARSONS</t>
  </si>
  <si>
    <t>PATRICIA RUTKOSKI</t>
  </si>
  <si>
    <t>JANICE GAWLIK</t>
  </si>
  <si>
    <t>DONALD OLMSTEAD</t>
  </si>
  <si>
    <t>TIMOTHY PHIPPS</t>
  </si>
  <si>
    <t>ROBERT EMIGH</t>
  </si>
  <si>
    <t>NAOMI WAGNER</t>
  </si>
  <si>
    <t>WILLIAM HARTSHORN</t>
  </si>
  <si>
    <t>PATRICIA WILLIAMS</t>
  </si>
  <si>
    <t>JAMES YURISIC</t>
  </si>
  <si>
    <t>VIDIC CATHLEEN</t>
  </si>
  <si>
    <t>THOMAS BISHOP</t>
  </si>
  <si>
    <t>MARGARET BEERS</t>
  </si>
  <si>
    <t>MARY GORDON</t>
  </si>
  <si>
    <t>KEVIN GALLAGHER</t>
  </si>
  <si>
    <t>THOMAS CLAY</t>
  </si>
  <si>
    <t>CHRISTINE MACGREGOR</t>
  </si>
  <si>
    <t>JONATHAN BENETAS</t>
  </si>
  <si>
    <t>JAMES DUDEK</t>
  </si>
  <si>
    <t>MARK CIESIELSKI</t>
  </si>
  <si>
    <t>PAULA SOLEY</t>
  </si>
  <si>
    <t>NANCY MCKEE</t>
  </si>
  <si>
    <t>LORI RANDALL</t>
  </si>
  <si>
    <t>VIDALES VILLA</t>
  </si>
  <si>
    <t>PATRICIA BYRD</t>
  </si>
  <si>
    <t>JAMES FILITTO</t>
  </si>
  <si>
    <t>RONALD DUESENBERRY</t>
  </si>
  <si>
    <t>MARIAN YUROSKY</t>
  </si>
  <si>
    <t>JULIA ROSS</t>
  </si>
  <si>
    <t>JACK PARROTT</t>
  </si>
  <si>
    <t>MILLIE PARROTT</t>
  </si>
  <si>
    <t>DAVID BOLFING</t>
  </si>
  <si>
    <t>LESLIE PARK</t>
  </si>
  <si>
    <t>ROBERT BOYLE</t>
  </si>
  <si>
    <t>JAMES MILLER</t>
  </si>
  <si>
    <t>CATHY WURMB</t>
  </si>
  <si>
    <t>WALLACE ANDERSON</t>
  </si>
  <si>
    <t>TIMOTHY GORDON</t>
  </si>
  <si>
    <t>JOHN BRENCHAK</t>
  </si>
  <si>
    <t>BEEBEE KHODABUKUS</t>
  </si>
  <si>
    <t>LAURIE HURWITZ WHITE</t>
  </si>
  <si>
    <t>NANCY WILSON</t>
  </si>
  <si>
    <t>JOHN HAYS</t>
  </si>
  <si>
    <t>ELIZABETH SYCHAK</t>
  </si>
  <si>
    <t>AMY GIAMMATTEI</t>
  </si>
  <si>
    <t>LORI NELSON</t>
  </si>
  <si>
    <t>JAMES MCDONOUGH</t>
  </si>
  <si>
    <t>BRUCE SHAFFER</t>
  </si>
  <si>
    <t>ANTHONY ROMEO</t>
  </si>
  <si>
    <t>DANIEL ROTHRAUFF</t>
  </si>
  <si>
    <t>TERESA YAROSCHAK</t>
  </si>
  <si>
    <t>NANCY JOHNSON</t>
  </si>
  <si>
    <t>KAREN KUSH</t>
  </si>
  <si>
    <t>RUTH MICHLER</t>
  </si>
  <si>
    <t>CYNDIE SIMMONS</t>
  </si>
  <si>
    <t>RENEE RITCHEY</t>
  </si>
  <si>
    <t>SUSAN LARGEN</t>
  </si>
  <si>
    <t>NE</t>
  </si>
  <si>
    <t>KIRBY PASCUS</t>
  </si>
  <si>
    <t>BARBARA STOICA</t>
  </si>
  <si>
    <t>MARY RUCH</t>
  </si>
  <si>
    <t>WILLIAM BROWN</t>
  </si>
  <si>
    <t>RAYLENE MILLER</t>
  </si>
  <si>
    <t>BILLY FONG</t>
  </si>
  <si>
    <t>PAULA ANGELINI</t>
  </si>
  <si>
    <t>GUADALUPE FONG</t>
  </si>
  <si>
    <t>DAVID WOITASZEK</t>
  </si>
  <si>
    <t>ELIZABETH RICHTER</t>
  </si>
  <si>
    <t>GORDON PANEI</t>
  </si>
  <si>
    <t>SHARON LINK</t>
  </si>
  <si>
    <t>BRUCE WICKLINE</t>
  </si>
  <si>
    <t>KAREN HADAWAY</t>
  </si>
  <si>
    <t>PHILIP ANGELINI</t>
  </si>
  <si>
    <t>ROY KIMBROUGH</t>
  </si>
  <si>
    <t>LINDA MIHALKA</t>
  </si>
  <si>
    <t>DEBRA PROTZMAN</t>
  </si>
  <si>
    <t>NORINE LISCHY</t>
  </si>
  <si>
    <t>Aetna MAPD NMO to GMO - 4-1-23+  New Paper</t>
  </si>
  <si>
    <t>LOIS STEPHENS</t>
  </si>
  <si>
    <t>CYNTHIA FEESER</t>
  </si>
  <si>
    <t>ANITA ADAMS</t>
  </si>
  <si>
    <t>LORI FITZ</t>
  </si>
  <si>
    <t>SUSAN BETTENHAUSEN</t>
  </si>
  <si>
    <t>PETER PRIBILA</t>
  </si>
  <si>
    <t>KENNETH GRUDOWSKI</t>
  </si>
  <si>
    <t>DONNA ROUSSARIE</t>
  </si>
  <si>
    <t>CHIANITA HARRELL</t>
  </si>
  <si>
    <t>KENNY ASHLOCK</t>
  </si>
  <si>
    <t>LUANN MARZULLO</t>
  </si>
  <si>
    <t>ADOLFO GALARZA</t>
  </si>
  <si>
    <t>THERESA CARDIN</t>
  </si>
  <si>
    <t>FELIX SCIULLO</t>
  </si>
  <si>
    <t>REBECCA MANKO</t>
  </si>
  <si>
    <t>SONYA BOOKER</t>
  </si>
  <si>
    <t>SHARYN MCGALLIS</t>
  </si>
  <si>
    <t>RICHARD MARSHALL</t>
  </si>
  <si>
    <t>JAMES BLESSINGTON</t>
  </si>
  <si>
    <t>THOMAS SELLERS</t>
  </si>
  <si>
    <t>KATHLEEN MORAN</t>
  </si>
  <si>
    <t>WILLIAM DOBLER</t>
  </si>
  <si>
    <t>ROXANN ROBINSON</t>
  </si>
  <si>
    <t>SD</t>
  </si>
  <si>
    <t>TRACEY BROCKMAN</t>
  </si>
  <si>
    <t>JAMES MCATEE</t>
  </si>
  <si>
    <t>CHRISTOPHER PICCOLI</t>
  </si>
  <si>
    <t>BARRY RHOADES</t>
  </si>
  <si>
    <t>MARILYN DAVIDSON</t>
  </si>
  <si>
    <t>WILLIAM SAMKO</t>
  </si>
  <si>
    <t>SHARON SAMKO</t>
  </si>
  <si>
    <t>LILLIAN PHELPS</t>
  </si>
  <si>
    <t>PAUL MYRICK</t>
  </si>
  <si>
    <t>LORI BRYNICZKA</t>
  </si>
  <si>
    <t>JEFFREY KRAUSE</t>
  </si>
  <si>
    <t>KEITH MACPHAIL</t>
  </si>
  <si>
    <t>PATRICIA KRAUSE</t>
  </si>
  <si>
    <t>ANN GORDON</t>
  </si>
  <si>
    <t>MICHAEL BIESCHKE</t>
  </si>
  <si>
    <t>PAULA ROPPO</t>
  </si>
  <si>
    <t>DOUGLAS LEIN</t>
  </si>
  <si>
    <t>DIANA BORJON</t>
  </si>
  <si>
    <t>DOLORES BOLDEN</t>
  </si>
  <si>
    <t>MARY HEARN</t>
  </si>
  <si>
    <t>JESUS GUILLEN</t>
  </si>
  <si>
    <t>JOHN ROBERT OSTERKAMP</t>
  </si>
  <si>
    <t>ELIZABETH BRIDGES</t>
  </si>
  <si>
    <t>PAUL WITTMER</t>
  </si>
  <si>
    <t>RACHEL RIEDLER</t>
  </si>
  <si>
    <t>DEBORAH MIHALKO</t>
  </si>
  <si>
    <t>MARK WACHOWICZ</t>
  </si>
  <si>
    <t>THOMAS WELCH</t>
  </si>
  <si>
    <t>DEBORAH CHILENSKY</t>
  </si>
  <si>
    <t>MARK KESSLER</t>
  </si>
  <si>
    <t>MICHAEL BULL</t>
  </si>
  <si>
    <t>CYNTHIA KING</t>
  </si>
  <si>
    <t>BRIAN PISOR</t>
  </si>
  <si>
    <t>HEWLETT BROWN</t>
  </si>
  <si>
    <t>SCOTT WALLACH</t>
  </si>
  <si>
    <t>MARTHA BEARDMORE</t>
  </si>
  <si>
    <t>RAYMOND WHALEN</t>
  </si>
  <si>
    <t>MARIBEL JIMENEZ</t>
  </si>
  <si>
    <t>COLLEEN KUHNS</t>
  </si>
  <si>
    <t>THERESA PRINZ</t>
  </si>
  <si>
    <t>JOHN PRINZ</t>
  </si>
  <si>
    <t>CHARLES WOLNI</t>
  </si>
  <si>
    <t>VICTORIA PRIGG</t>
  </si>
  <si>
    <t>PEGGY OBRIEN</t>
  </si>
  <si>
    <t>JIM MCDONALD</t>
  </si>
  <si>
    <t>SANDRA FODSE</t>
  </si>
  <si>
    <t>JEFFREY RAGAZZINI</t>
  </si>
  <si>
    <t>NAOMI SHERIDAN SALMAN</t>
  </si>
  <si>
    <t>RUSSELL WILLIFORD</t>
  </si>
  <si>
    <t>WILFRED FAHRNEY</t>
  </si>
  <si>
    <t>MARGARET JEDRZEJCZAK</t>
  </si>
  <si>
    <t>POLLY NEISER</t>
  </si>
  <si>
    <t>ROGER PHELPS</t>
  </si>
  <si>
    <t>JUDITH RIDDLEBERGER</t>
  </si>
  <si>
    <t>KILEY ORTIZ</t>
  </si>
  <si>
    <t>STEVEN HOMISON</t>
  </si>
  <si>
    <t>LINDA SZYJKO</t>
  </si>
  <si>
    <t>ELENI VETTAS</t>
  </si>
  <si>
    <t>TERESE PINTA</t>
  </si>
  <si>
    <t>LAURALEE BEERMAN</t>
  </si>
  <si>
    <t>SCOTT DOLGE</t>
  </si>
  <si>
    <t>JAMES RAUSCH</t>
  </si>
  <si>
    <t>GLORIA MARSHALL</t>
  </si>
  <si>
    <t>JOHN VLAHOS</t>
  </si>
  <si>
    <t>RONALD MESHENBERG</t>
  </si>
  <si>
    <t>VICKI SKINNER</t>
  </si>
  <si>
    <t>BARBARA ZEJER</t>
  </si>
  <si>
    <t>ELISE CLANCY</t>
  </si>
  <si>
    <t>JAMES CROUT</t>
  </si>
  <si>
    <t>GREGORY PETERSON</t>
  </si>
  <si>
    <t>MARY WEATHERSTONE</t>
  </si>
  <si>
    <t>FREDERICK SICILIANO</t>
  </si>
  <si>
    <t>ALISON SPARKS</t>
  </si>
  <si>
    <t>EDWARD SCHAEFER</t>
  </si>
  <si>
    <t>TIM PRICE</t>
  </si>
  <si>
    <t>PATRICIA SCHAEFER</t>
  </si>
  <si>
    <t>LIZA LACOSTA</t>
  </si>
  <si>
    <t>LENDAYSHA TAYLOR</t>
  </si>
  <si>
    <t>UHC MAPD Street payable to upline - 2024 New</t>
  </si>
  <si>
    <t>Per NOV 2025 UHC LOAStmt</t>
  </si>
  <si>
    <t>UHC MA Direct 2024 New Full</t>
  </si>
  <si>
    <t>KEITH MOORE</t>
  </si>
  <si>
    <t>UHC MAPD Street payable to upline- 2024 Pro New</t>
  </si>
  <si>
    <t>UHC MA Direct 2024 New Prorated</t>
  </si>
  <si>
    <t>THOMAS PROFFITT</t>
  </si>
  <si>
    <t>SANDRA WHITT</t>
  </si>
  <si>
    <t>Anthem MA 2025</t>
  </si>
  <si>
    <t>Per Anthem_Elevance HFG RN NOV stmt</t>
  </si>
  <si>
    <t>STEPHEN PERRENOUD</t>
  </si>
  <si>
    <t>WILLIAM EKLOF</t>
  </si>
  <si>
    <t>DYWANNA CALLOWAY</t>
  </si>
  <si>
    <t>Anthem MA 2023</t>
  </si>
  <si>
    <t>MICHAEL SOLL</t>
  </si>
  <si>
    <t>EDWARDO ESTRADA</t>
  </si>
  <si>
    <t>Wellcare MA 2025 SGA</t>
  </si>
  <si>
    <t>Per WC HFG NOV 2025 MA Stmt</t>
  </si>
  <si>
    <t>KRISTIE BERGER</t>
  </si>
  <si>
    <t>SANDRA LYTLE</t>
  </si>
  <si>
    <t>UHC MAPD Street payable to upline PA/CT- 2024 New</t>
  </si>
  <si>
    <t>SOCORRA GARCIA</t>
  </si>
  <si>
    <t>UHC NEG Bonus Upload 12-15-2025.xlsx</t>
  </si>
  <si>
    <t>UHC MAPD Street payable to upline- 2025 Replace</t>
  </si>
  <si>
    <t>JANICE PLAISTED</t>
  </si>
  <si>
    <t>UHC MA Direct 2024 New Initial Prorated</t>
  </si>
  <si>
    <t>RICHARD LOWRY</t>
  </si>
  <si>
    <t>SHIRLEY ANDERSON</t>
  </si>
  <si>
    <t>RONALD PLAISTED</t>
  </si>
  <si>
    <t>DAVID BOWLING</t>
  </si>
  <si>
    <t>MELINDA VLAHON</t>
  </si>
  <si>
    <t>DIANA BOLTON</t>
  </si>
  <si>
    <t>GERALD BOND</t>
  </si>
  <si>
    <t>CONSTANCE OBRIEN</t>
  </si>
  <si>
    <t>JAMES MAZANEK</t>
  </si>
  <si>
    <t>UHC MAPD Street payable to upline- 2024 Replace</t>
  </si>
  <si>
    <t>DARLENE BRANDENBURG</t>
  </si>
  <si>
    <t>BEVERLY SHUMAKER</t>
  </si>
  <si>
    <t>UHC AARP Med Supp TN Plan F &amp; G</t>
  </si>
  <si>
    <t>Per NOV 2025 UHC AARP Stmt</t>
  </si>
  <si>
    <t>KATHY SHELDON</t>
  </si>
  <si>
    <t>UHC AARP Med Supp PA Area 3 2024- Plan  BC F G internal repl</t>
  </si>
  <si>
    <t>JOSEPH MCMASTER</t>
  </si>
  <si>
    <t>UHC AARP Med Supp IL Area 1- Plan  B C F G</t>
  </si>
  <si>
    <t>ANDREA BLUMBERG</t>
  </si>
  <si>
    <t>UHC AARP Med Supp FL Area 1- Plan  B C F G</t>
  </si>
  <si>
    <t>GARY MARTIN</t>
  </si>
  <si>
    <t>NANCY MARTIN</t>
  </si>
  <si>
    <t>CINDI CLIFFORD</t>
  </si>
  <si>
    <t>UHC AARP Med Supp NJ - Plan  B C D F G</t>
  </si>
  <si>
    <t>TRACY COSTANTINO</t>
  </si>
  <si>
    <t>UHC AARP Med Supp PA Area 1 2024- Plan  B F G</t>
  </si>
  <si>
    <t>JANICE KERESTLY</t>
  </si>
  <si>
    <t>UHC AARP Med Supp PA Area 1- Plan  B C F G</t>
  </si>
  <si>
    <t>ALLISON WEBER</t>
  </si>
  <si>
    <t>PETER WEBER</t>
  </si>
  <si>
    <t>NINA GAINES</t>
  </si>
  <si>
    <t>MARK GAINES</t>
  </si>
  <si>
    <t>KAREN SMITHCHURCHVILLE</t>
  </si>
  <si>
    <t>UHC AARP Med Supp PA Area 1 2024- Plan  N</t>
  </si>
  <si>
    <t>MATTHEW PHILLIPS</t>
  </si>
  <si>
    <t>MIRIAM LUCENTE</t>
  </si>
  <si>
    <t>STEPHEN SHUMAKER</t>
  </si>
  <si>
    <t>CHRISTOPHER ROLAND</t>
  </si>
  <si>
    <t>UHC AARP Med Supp FL Area 4 - High Ded Plan G</t>
  </si>
  <si>
    <t>HELEN ROLAND</t>
  </si>
  <si>
    <t>JOHN GUTKNECHT</t>
  </si>
  <si>
    <t>NANCY RICCHIO</t>
  </si>
  <si>
    <t>UHC AARP Med Supp IN all plans</t>
  </si>
  <si>
    <t>KEVIN MCCOLE</t>
  </si>
  <si>
    <t>MARYANNE NICKEL</t>
  </si>
  <si>
    <t>UHC AARP Med Supp FL Area 2 2024- Plan  BC F G</t>
  </si>
  <si>
    <t>THOMAS UJIIYE</t>
  </si>
  <si>
    <t>DOREEN NORWOOD</t>
  </si>
  <si>
    <t>EDWARD TURNER</t>
  </si>
  <si>
    <t>WILLIAM LANTGIM</t>
  </si>
  <si>
    <t>VIRGINIA MAHONEY</t>
  </si>
  <si>
    <t>TARYN GOLDSTEIN</t>
  </si>
  <si>
    <t>VERA CORTEZ</t>
  </si>
  <si>
    <t>THERESA SCHOCH</t>
  </si>
  <si>
    <t>UHC AARP Med Supp PA Area 3 2024- Plan  B F G</t>
  </si>
  <si>
    <t>HAROLD SHOCH</t>
  </si>
  <si>
    <t>ANTHONY JASIENSKI</t>
  </si>
  <si>
    <t>AKSHAY SHAH</t>
  </si>
  <si>
    <t>UHC AARP Med Supp MI 2025- Plan  B C D F G</t>
  </si>
  <si>
    <t>ILENE MCKINNEY</t>
  </si>
  <si>
    <t>BEN CORTEZ</t>
  </si>
  <si>
    <t>PAULA DUNN</t>
  </si>
  <si>
    <t>SUZANNEM BENIE</t>
  </si>
  <si>
    <t>UHC AARP Med Supp MD 2025- Plan  B C D F G</t>
  </si>
  <si>
    <t>BRENDA MAHAN</t>
  </si>
  <si>
    <t>MARYK WALSDORF</t>
  </si>
  <si>
    <t>00000030335F</t>
  </si>
  <si>
    <t>00000067998K</t>
  </si>
  <si>
    <t>00000181806H</t>
  </si>
  <si>
    <t>00000255074D</t>
  </si>
  <si>
    <t>00000619029K</t>
  </si>
  <si>
    <t>00000685147D</t>
  </si>
  <si>
    <t>00000713364K</t>
  </si>
  <si>
    <t>00000751052H</t>
  </si>
  <si>
    <t>00000899458D</t>
  </si>
  <si>
    <t>00001892656K</t>
  </si>
  <si>
    <t>00001926321K</t>
  </si>
  <si>
    <t>00003828670K</t>
  </si>
  <si>
    <t>00003828751K</t>
  </si>
  <si>
    <t>00003908688K</t>
  </si>
  <si>
    <t>00005436741K</t>
  </si>
  <si>
    <t>00005776809K</t>
  </si>
  <si>
    <t>00006413675K</t>
  </si>
  <si>
    <t>00006953965K</t>
  </si>
  <si>
    <t>00007328933K</t>
  </si>
  <si>
    <t>00007396718K</t>
  </si>
  <si>
    <t>00007930142K</t>
  </si>
  <si>
    <t>00008035060K</t>
  </si>
  <si>
    <t>00008043872K</t>
  </si>
  <si>
    <t>00008126753K</t>
  </si>
  <si>
    <t>00008289432K</t>
  </si>
  <si>
    <t>00008544872K</t>
  </si>
  <si>
    <t>00008757427K</t>
  </si>
  <si>
    <t>00009344062K</t>
  </si>
  <si>
    <t>00009528640K</t>
  </si>
  <si>
    <t>00009771343K</t>
  </si>
  <si>
    <t>00009822795K</t>
  </si>
  <si>
    <t>00009886382K</t>
  </si>
  <si>
    <t>00009918046K</t>
  </si>
  <si>
    <t>00010166752K</t>
  </si>
  <si>
    <t>00010577957K</t>
  </si>
  <si>
    <t>00010660141K</t>
  </si>
  <si>
    <t>00011035671K</t>
  </si>
  <si>
    <t>00011256187K</t>
  </si>
  <si>
    <t>00011646647K</t>
  </si>
  <si>
    <t>00012039392K</t>
  </si>
  <si>
    <t>00012650386K</t>
  </si>
  <si>
    <t>00012778928K</t>
  </si>
  <si>
    <t>00012822831K</t>
  </si>
  <si>
    <t>00013052842K</t>
  </si>
  <si>
    <t>00013131363K</t>
  </si>
  <si>
    <t>00013158263K</t>
  </si>
  <si>
    <t>00013537314K</t>
  </si>
  <si>
    <t>00013537346K</t>
  </si>
  <si>
    <t>00013603294K</t>
  </si>
  <si>
    <t>00013603483K</t>
  </si>
  <si>
    <t>00013609271K</t>
  </si>
  <si>
    <t>00013632196K</t>
  </si>
  <si>
    <t>00013980729K</t>
  </si>
  <si>
    <t>00014101344K</t>
  </si>
  <si>
    <t>00014349742K</t>
  </si>
  <si>
    <t>00014857265K</t>
  </si>
  <si>
    <t>00014867452K</t>
  </si>
  <si>
    <t>00014879585K</t>
  </si>
  <si>
    <t>00014941118K</t>
  </si>
  <si>
    <t>00015039523K</t>
  </si>
  <si>
    <t>00015230157K</t>
  </si>
  <si>
    <t>00015812493K</t>
  </si>
  <si>
    <t>00016225275K</t>
  </si>
  <si>
    <t>00016648630K</t>
  </si>
  <si>
    <t>00017145070K</t>
  </si>
  <si>
    <t>00017210605K</t>
  </si>
  <si>
    <t>00017504051K</t>
  </si>
  <si>
    <t>00017516864K</t>
  </si>
  <si>
    <t>00017588855K</t>
  </si>
  <si>
    <t>00017762694K</t>
  </si>
  <si>
    <t>00017770252K</t>
  </si>
  <si>
    <t>00017855097K</t>
  </si>
  <si>
    <t>00018023648K</t>
  </si>
  <si>
    <t>00018056985K</t>
  </si>
  <si>
    <t>00018081883K</t>
  </si>
  <si>
    <t>00018094919K</t>
  </si>
  <si>
    <t>00018142972K</t>
  </si>
  <si>
    <t>00018633433K</t>
  </si>
  <si>
    <t>00018698307K</t>
  </si>
  <si>
    <t>00018736051K</t>
  </si>
  <si>
    <t>00018805004K</t>
  </si>
  <si>
    <t>00018840283K</t>
  </si>
  <si>
    <t>00018967854K</t>
  </si>
  <si>
    <t>00019016866K</t>
  </si>
  <si>
    <t>00019229743K</t>
  </si>
  <si>
    <t>00019242719K</t>
  </si>
  <si>
    <t>00019450034K</t>
  </si>
  <si>
    <t>00019674239K</t>
  </si>
  <si>
    <t>00019678930K</t>
  </si>
  <si>
    <t>00019800242K</t>
  </si>
  <si>
    <t>00019862313K</t>
  </si>
  <si>
    <t>00019915254K</t>
  </si>
  <si>
    <t>00019992699K</t>
  </si>
  <si>
    <t>00020077281K</t>
  </si>
  <si>
    <t>00020083106K</t>
  </si>
  <si>
    <t>00020102843K</t>
  </si>
  <si>
    <t>00020112096K</t>
  </si>
  <si>
    <t>00020265321K</t>
  </si>
  <si>
    <t>00020311619K</t>
  </si>
  <si>
    <t>00020313373K</t>
  </si>
  <si>
    <t>00020326256K</t>
  </si>
  <si>
    <t>00020628364K</t>
  </si>
  <si>
    <t>00020699255K</t>
  </si>
  <si>
    <t>00020726827K</t>
  </si>
  <si>
    <t>00020813355K</t>
  </si>
  <si>
    <t>00020826978K</t>
  </si>
  <si>
    <t>00021204922K</t>
  </si>
  <si>
    <t>00021373419K</t>
  </si>
  <si>
    <t>00021880649K</t>
  </si>
  <si>
    <t>00022059078K</t>
  </si>
  <si>
    <t>00022162882K</t>
  </si>
  <si>
    <t>00022486058K</t>
  </si>
  <si>
    <t>00022578873K</t>
  </si>
  <si>
    <t>00022642268K</t>
  </si>
  <si>
    <t>00022773002K</t>
  </si>
  <si>
    <t>00022826430K</t>
  </si>
  <si>
    <t>00023446545K</t>
  </si>
  <si>
    <t>00023536079K</t>
  </si>
  <si>
    <t>00023584480K</t>
  </si>
  <si>
    <t>00023765948K</t>
  </si>
  <si>
    <t>00024093686K</t>
  </si>
  <si>
    <t>00024215496K</t>
  </si>
  <si>
    <t>00024304531K</t>
  </si>
  <si>
    <t>00024577313K</t>
  </si>
  <si>
    <t>00025251694K</t>
  </si>
  <si>
    <t>00025293389K</t>
  </si>
  <si>
    <t>00025294205K</t>
  </si>
  <si>
    <t>00025302973K</t>
  </si>
  <si>
    <t>00025306415K</t>
  </si>
  <si>
    <t>00025306587K</t>
  </si>
  <si>
    <t>00025313880K</t>
  </si>
  <si>
    <t>00025315948K</t>
  </si>
  <si>
    <t>00025316571K</t>
  </si>
  <si>
    <t>00025319542K</t>
  </si>
  <si>
    <t>00025323853K</t>
  </si>
  <si>
    <t>00025331062K</t>
  </si>
  <si>
    <t>00025331255K</t>
  </si>
  <si>
    <t>00025332430K</t>
  </si>
  <si>
    <t>00025334547K</t>
  </si>
  <si>
    <t>00025335961K</t>
  </si>
  <si>
    <t>00025342375K</t>
  </si>
  <si>
    <t>00025345966K</t>
  </si>
  <si>
    <t>00025348424K</t>
  </si>
  <si>
    <t>00025350594K</t>
  </si>
  <si>
    <t>00025351174K</t>
  </si>
  <si>
    <t>00025357502K</t>
  </si>
  <si>
    <t>00025360158K</t>
  </si>
  <si>
    <t>00025360893K</t>
  </si>
  <si>
    <t>00025361097K</t>
  </si>
  <si>
    <t>00025362480K</t>
  </si>
  <si>
    <t>00025362752K</t>
  </si>
  <si>
    <t>00025363760K</t>
  </si>
  <si>
    <t>00025363863K</t>
  </si>
  <si>
    <t>00025364280K</t>
  </si>
  <si>
    <t>00025367256K</t>
  </si>
  <si>
    <t>00025370335K</t>
  </si>
  <si>
    <t>00025371719K</t>
  </si>
  <si>
    <t>00025372241K</t>
  </si>
  <si>
    <t>00025375531K</t>
  </si>
  <si>
    <t>00025376183K</t>
  </si>
  <si>
    <t>00025376423K</t>
  </si>
  <si>
    <t>00025381239K</t>
  </si>
  <si>
    <t>00025382179K</t>
  </si>
  <si>
    <t>00025389554K</t>
  </si>
  <si>
    <t>00025389987K</t>
  </si>
  <si>
    <t>00025390137K</t>
  </si>
  <si>
    <t>00025392491K</t>
  </si>
  <si>
    <t>00025393533K</t>
  </si>
  <si>
    <t>00025394807K</t>
  </si>
  <si>
    <t>00025394824K</t>
  </si>
  <si>
    <t>00025394960K</t>
  </si>
  <si>
    <t>00025396232K</t>
  </si>
  <si>
    <t>00025398558K</t>
  </si>
  <si>
    <t>00025398679K</t>
  </si>
  <si>
    <t>00025399591K</t>
  </si>
  <si>
    <t>00025400726K</t>
  </si>
  <si>
    <t>00025402012K</t>
  </si>
  <si>
    <t>00025404972K</t>
  </si>
  <si>
    <t>00025405747K</t>
  </si>
  <si>
    <t>00025405817K</t>
  </si>
  <si>
    <t>00025406761K</t>
  </si>
  <si>
    <t>00025409132K</t>
  </si>
  <si>
    <t>00025410716K</t>
  </si>
  <si>
    <t>00025411130K</t>
  </si>
  <si>
    <t>00025411262K</t>
  </si>
  <si>
    <t>00025412960K</t>
  </si>
  <si>
    <t>00025413802K</t>
  </si>
  <si>
    <t>00025416785K</t>
  </si>
  <si>
    <t>00025417306K</t>
  </si>
  <si>
    <t>00025418284K</t>
  </si>
  <si>
    <t>00025423537K</t>
  </si>
  <si>
    <t>00025423651K</t>
  </si>
  <si>
    <t>00025425041K</t>
  </si>
  <si>
    <t>00025427508K</t>
  </si>
  <si>
    <t>00025428736K</t>
  </si>
  <si>
    <t>00025430520K</t>
  </si>
  <si>
    <t>00025430672K</t>
  </si>
  <si>
    <t>00025430852K</t>
  </si>
  <si>
    <t>00025432004K</t>
  </si>
  <si>
    <t>00025432056K</t>
  </si>
  <si>
    <t>00025433291K</t>
  </si>
  <si>
    <t>00025435497K</t>
  </si>
  <si>
    <t>00025436084K</t>
  </si>
  <si>
    <t>00025436971K</t>
  </si>
  <si>
    <t>00025437226K</t>
  </si>
  <si>
    <t>00025437821K</t>
  </si>
  <si>
    <t>00025439660K</t>
  </si>
  <si>
    <t>00025442646K</t>
  </si>
  <si>
    <t>00025445542K</t>
  </si>
  <si>
    <t>00025445830K</t>
  </si>
  <si>
    <t>00025447006K</t>
  </si>
  <si>
    <t>00025452431K</t>
  </si>
  <si>
    <t>00025458116K</t>
  </si>
  <si>
    <t>00025462092K</t>
  </si>
  <si>
    <t>00025464245K</t>
  </si>
  <si>
    <t>00025465238K</t>
  </si>
  <si>
    <t>00025469627K</t>
  </si>
  <si>
    <t>00025471647K</t>
  </si>
  <si>
    <t>00025473229K</t>
  </si>
  <si>
    <t>00025479351K</t>
  </si>
  <si>
    <t>00025482364K</t>
  </si>
  <si>
    <t>00025483585K</t>
  </si>
  <si>
    <t>00025486027K</t>
  </si>
  <si>
    <t>00025494474K</t>
  </si>
  <si>
    <t>00025498258K</t>
  </si>
  <si>
    <t>00025502307K</t>
  </si>
  <si>
    <t>00025503691K</t>
  </si>
  <si>
    <t>00025503797K</t>
  </si>
  <si>
    <t>00025504311K</t>
  </si>
  <si>
    <t>00025511875K</t>
  </si>
  <si>
    <t>00025513626K</t>
  </si>
  <si>
    <t>00025516942K</t>
  </si>
  <si>
    <t>00025516973K</t>
  </si>
  <si>
    <t>00025517000K</t>
  </si>
  <si>
    <t>00025517015K</t>
  </si>
  <si>
    <t>00025527369K</t>
  </si>
  <si>
    <t>00025528228K</t>
  </si>
  <si>
    <t>00025529614K</t>
  </si>
  <si>
    <t>00025530663K</t>
  </si>
  <si>
    <t>00025533101K</t>
  </si>
  <si>
    <t>00025534226K</t>
  </si>
  <si>
    <t>00025534956K</t>
  </si>
  <si>
    <t>00025535652K</t>
  </si>
  <si>
    <t>00025548742K</t>
  </si>
  <si>
    <t>00025550213K</t>
  </si>
  <si>
    <t>00025550294K</t>
  </si>
  <si>
    <t>00025551950K</t>
  </si>
  <si>
    <t>00025552127K</t>
  </si>
  <si>
    <t>00025559987K</t>
  </si>
  <si>
    <t>00025560001K</t>
  </si>
  <si>
    <t>00025561661K</t>
  </si>
  <si>
    <t>00025562546K</t>
  </si>
  <si>
    <t>00025562606K</t>
  </si>
  <si>
    <t>00025564698K</t>
  </si>
  <si>
    <t>00025565548K</t>
  </si>
  <si>
    <t>00025565957K</t>
  </si>
  <si>
    <t>00025567810K</t>
  </si>
  <si>
    <t>00025567995K</t>
  </si>
  <si>
    <t>00025568042K</t>
  </si>
  <si>
    <t>00025568283K</t>
  </si>
  <si>
    <t>00025571221K</t>
  </si>
  <si>
    <t>00025574084K</t>
  </si>
  <si>
    <t>00025574548K</t>
  </si>
  <si>
    <t>00025576843K</t>
  </si>
  <si>
    <t>00025577501K</t>
  </si>
  <si>
    <t>00025578526K</t>
  </si>
  <si>
    <t>00025583428K</t>
  </si>
  <si>
    <t>00025584768K</t>
  </si>
  <si>
    <t>00025584966K</t>
  </si>
  <si>
    <t>00025587894K</t>
  </si>
  <si>
    <t>00025588092K</t>
  </si>
  <si>
    <t>00025588344K</t>
  </si>
  <si>
    <t>00025588361K</t>
  </si>
  <si>
    <t>00025588669K</t>
  </si>
  <si>
    <t>00025592377K</t>
  </si>
  <si>
    <t>00025595164K</t>
  </si>
  <si>
    <t>00025595713K</t>
  </si>
  <si>
    <t>00025597515K</t>
  </si>
  <si>
    <t>00025599080K</t>
  </si>
  <si>
    <t>00025600991K</t>
  </si>
  <si>
    <t>00025602495K</t>
  </si>
  <si>
    <t>00025606084K</t>
  </si>
  <si>
    <t>00025606199K</t>
  </si>
  <si>
    <t>00025608354K</t>
  </si>
  <si>
    <t>00025609249K</t>
  </si>
  <si>
    <t>00025609368K</t>
  </si>
  <si>
    <t>00025609976K</t>
  </si>
  <si>
    <t>00025610081K</t>
  </si>
  <si>
    <t>00025610631K</t>
  </si>
  <si>
    <t>00025613466K</t>
  </si>
  <si>
    <t>00025616432K</t>
  </si>
  <si>
    <t>00025616597K</t>
  </si>
  <si>
    <t>00025619009K</t>
  </si>
  <si>
    <t>00025620432K</t>
  </si>
  <si>
    <t>00025621688K</t>
  </si>
  <si>
    <t>00025622498K</t>
  </si>
  <si>
    <t>00025623822K</t>
  </si>
  <si>
    <t>00025626510K</t>
  </si>
  <si>
    <t>00025626914K</t>
  </si>
  <si>
    <t>00025627066K</t>
  </si>
  <si>
    <t>00025627301K</t>
  </si>
  <si>
    <t>00025627750K</t>
  </si>
  <si>
    <t>00025627785K</t>
  </si>
  <si>
    <t>00025627928K</t>
  </si>
  <si>
    <t>00025628025K</t>
  </si>
  <si>
    <t>00025630170K</t>
  </si>
  <si>
    <t>00025632302K</t>
  </si>
  <si>
    <t>00025634076K</t>
  </si>
  <si>
    <t>00025634137K</t>
  </si>
  <si>
    <t>00025639973K</t>
  </si>
  <si>
    <t>00025640927K</t>
  </si>
  <si>
    <t>00025642777K</t>
  </si>
  <si>
    <t>00025643095K</t>
  </si>
  <si>
    <t>00025643881K</t>
  </si>
  <si>
    <t>00025644004K</t>
  </si>
  <si>
    <t>00025644234K</t>
  </si>
  <si>
    <t>00025647185K</t>
  </si>
  <si>
    <t>00025648659K</t>
  </si>
  <si>
    <t>00025655277K</t>
  </si>
  <si>
    <t>00025656606K</t>
  </si>
  <si>
    <t>00025656966K</t>
  </si>
  <si>
    <t>00025657551K</t>
  </si>
  <si>
    <t>00025660543K</t>
  </si>
  <si>
    <t>00025662226K</t>
  </si>
  <si>
    <t>00025664300K</t>
  </si>
  <si>
    <t>00025665666K</t>
  </si>
  <si>
    <t>00025667226K</t>
  </si>
  <si>
    <t>00025668077K</t>
  </si>
  <si>
    <t>00025671349K</t>
  </si>
  <si>
    <t>00025671959K</t>
  </si>
  <si>
    <t>00025672310K</t>
  </si>
  <si>
    <t>00025679073K</t>
  </si>
  <si>
    <t>00025679150K</t>
  </si>
  <si>
    <t>00025683415K</t>
  </si>
  <si>
    <t>00025683508K</t>
  </si>
  <si>
    <t>00025687383K</t>
  </si>
  <si>
    <t>00025687431K</t>
  </si>
  <si>
    <t>00025688496K</t>
  </si>
  <si>
    <t>00025689622K</t>
  </si>
  <si>
    <t>00025689742K</t>
  </si>
  <si>
    <t>00025690483K</t>
  </si>
  <si>
    <t>00025691191K</t>
  </si>
  <si>
    <t>00025691711K</t>
  </si>
  <si>
    <t>00025694740K</t>
  </si>
  <si>
    <t>00025696735K</t>
  </si>
  <si>
    <t>00025697687K</t>
  </si>
  <si>
    <t>00025700285K</t>
  </si>
  <si>
    <t>00025701687K</t>
  </si>
  <si>
    <t>00025702286K</t>
  </si>
  <si>
    <t>00025702313K</t>
  </si>
  <si>
    <t>00025704306K</t>
  </si>
  <si>
    <t>00025705993K</t>
  </si>
  <si>
    <t>00025711080K</t>
  </si>
  <si>
    <t>00025714219K</t>
  </si>
  <si>
    <t>00025715339K</t>
  </si>
  <si>
    <t>00025715531K</t>
  </si>
  <si>
    <t>00025717129K</t>
  </si>
  <si>
    <t>00025718520K</t>
  </si>
  <si>
    <t>00025721094K</t>
  </si>
  <si>
    <t>00025727822K</t>
  </si>
  <si>
    <t>00025728691K</t>
  </si>
  <si>
    <t>00025730882K</t>
  </si>
  <si>
    <t>00025731181K</t>
  </si>
  <si>
    <t>00025732747K</t>
  </si>
  <si>
    <t>00025732784K</t>
  </si>
  <si>
    <t>00025733189K</t>
  </si>
  <si>
    <t>00025736695K</t>
  </si>
  <si>
    <t>00025737101K</t>
  </si>
  <si>
    <t>00025738654K</t>
  </si>
  <si>
    <t>00025738719K</t>
  </si>
  <si>
    <t>00025739103K</t>
  </si>
  <si>
    <t>00025739332K</t>
  </si>
  <si>
    <t>00025740596K</t>
  </si>
  <si>
    <t>00025741009K</t>
  </si>
  <si>
    <t>00025742651K</t>
  </si>
  <si>
    <t>00025743955K</t>
  </si>
  <si>
    <t>00025744468K</t>
  </si>
  <si>
    <t>A04388066</t>
  </si>
  <si>
    <t>A04389052</t>
  </si>
  <si>
    <t>A04389817</t>
  </si>
  <si>
    <t>A04389912</t>
  </si>
  <si>
    <t>A04391258</t>
  </si>
  <si>
    <t>A04391379</t>
  </si>
  <si>
    <t>A04393578</t>
  </si>
  <si>
    <t>MEQNDVYM00000136973</t>
  </si>
  <si>
    <t>MEQNPDZM00002451399</t>
  </si>
  <si>
    <t>MEQNQMZM00001912124</t>
  </si>
  <si>
    <t>MEQNQMZM00001984088</t>
  </si>
  <si>
    <t>00000076874F</t>
  </si>
  <si>
    <t>00001672119K</t>
  </si>
  <si>
    <t>00010066661K</t>
  </si>
  <si>
    <t>00011182221K</t>
  </si>
  <si>
    <t>00011519472K</t>
  </si>
  <si>
    <t>00013131759K</t>
  </si>
  <si>
    <t>00016845150K</t>
  </si>
  <si>
    <t>00017505325K</t>
  </si>
  <si>
    <t>00018671925K</t>
  </si>
  <si>
    <t>00020054580K</t>
  </si>
  <si>
    <t>00020195670K</t>
  </si>
  <si>
    <t>00020751148K</t>
  </si>
  <si>
    <t>00021641743K</t>
  </si>
  <si>
    <t>00021686716K</t>
  </si>
  <si>
    <t>00021754102K</t>
  </si>
  <si>
    <t>00021776882K</t>
  </si>
  <si>
    <t>00021778915K</t>
  </si>
  <si>
    <t>00021783471K</t>
  </si>
  <si>
    <t>00021784141K</t>
  </si>
  <si>
    <t>00021792778K</t>
  </si>
  <si>
    <t>00021801538K</t>
  </si>
  <si>
    <t>00021812164K</t>
  </si>
  <si>
    <t>00021819613K</t>
  </si>
  <si>
    <t>00021836561K</t>
  </si>
  <si>
    <t>00021836597K</t>
  </si>
  <si>
    <t>00021852153K</t>
  </si>
  <si>
    <t>00021853327K</t>
  </si>
  <si>
    <t>00021853815K</t>
  </si>
  <si>
    <t>00021859258K</t>
  </si>
  <si>
    <t>00021865984K</t>
  </si>
  <si>
    <t>00021876313K</t>
  </si>
  <si>
    <t>00021876763K</t>
  </si>
  <si>
    <t>00021878864K</t>
  </si>
  <si>
    <t>00021881964K</t>
  </si>
  <si>
    <t>00021882434K</t>
  </si>
  <si>
    <t>00021883797K</t>
  </si>
  <si>
    <t>00021884516K</t>
  </si>
  <si>
    <t>00021892187K</t>
  </si>
  <si>
    <t>00021895596K</t>
  </si>
  <si>
    <t>00021895977K</t>
  </si>
  <si>
    <t>00021906634K</t>
  </si>
  <si>
    <t>00021908647K</t>
  </si>
  <si>
    <t>00021915889K</t>
  </si>
  <si>
    <t>00021917176K</t>
  </si>
  <si>
    <t>00021918216K</t>
  </si>
  <si>
    <t>00021920643K</t>
  </si>
  <si>
    <t>00021921861K</t>
  </si>
  <si>
    <t>00021926659K</t>
  </si>
  <si>
    <t>00021937596K</t>
  </si>
  <si>
    <t>00021938736K</t>
  </si>
  <si>
    <t>00021938762K</t>
  </si>
  <si>
    <t>00021942365K</t>
  </si>
  <si>
    <t>00021948322K</t>
  </si>
  <si>
    <t>00021951591K</t>
  </si>
  <si>
    <t>00021961080K</t>
  </si>
  <si>
    <t>00021969632K</t>
  </si>
  <si>
    <t>00021970944K</t>
  </si>
  <si>
    <t>00021973818K</t>
  </si>
  <si>
    <t>00021973839K</t>
  </si>
  <si>
    <t>00021976197K</t>
  </si>
  <si>
    <t>00021996169K</t>
  </si>
  <si>
    <t>00021999707K</t>
  </si>
  <si>
    <t>00022004915K</t>
  </si>
  <si>
    <t>00022011876K</t>
  </si>
  <si>
    <t>00022014220K</t>
  </si>
  <si>
    <t>00022021737K</t>
  </si>
  <si>
    <t>00022023339K</t>
  </si>
  <si>
    <t>00022025150K</t>
  </si>
  <si>
    <t>00022026537K</t>
  </si>
  <si>
    <t>00022031158K</t>
  </si>
  <si>
    <t>00022032935K</t>
  </si>
  <si>
    <t>00022033067K</t>
  </si>
  <si>
    <t>00022033172K</t>
  </si>
  <si>
    <t>00022035242K</t>
  </si>
  <si>
    <t>00022040894K</t>
  </si>
  <si>
    <t>00022049020K</t>
  </si>
  <si>
    <t>00022052067K</t>
  </si>
  <si>
    <t>00022063091K</t>
  </si>
  <si>
    <t>00022063543K</t>
  </si>
  <si>
    <t>00022070044K</t>
  </si>
  <si>
    <t>00022074715K</t>
  </si>
  <si>
    <t>00022077041K</t>
  </si>
  <si>
    <t>00022077277K</t>
  </si>
  <si>
    <t>00022078841K</t>
  </si>
  <si>
    <t>00022082807K</t>
  </si>
  <si>
    <t>00022083688K</t>
  </si>
  <si>
    <t>00022084599K</t>
  </si>
  <si>
    <t>00022085271K</t>
  </si>
  <si>
    <t>00022085971K</t>
  </si>
  <si>
    <t>00022087983K</t>
  </si>
  <si>
    <t>00022088151K</t>
  </si>
  <si>
    <t>00022092926K</t>
  </si>
  <si>
    <t>00022094729K</t>
  </si>
  <si>
    <t>00022094985K</t>
  </si>
  <si>
    <t>00022094990K</t>
  </si>
  <si>
    <t>00022095955K</t>
  </si>
  <si>
    <t>00022096948K</t>
  </si>
  <si>
    <t>00022097947K</t>
  </si>
  <si>
    <t>00022106958K</t>
  </si>
  <si>
    <t>00022107554K</t>
  </si>
  <si>
    <t>00022112017K</t>
  </si>
  <si>
    <t>00022137026K</t>
  </si>
  <si>
    <t>00022148995K</t>
  </si>
  <si>
    <t>00022193283K</t>
  </si>
  <si>
    <t>00022198910K</t>
  </si>
  <si>
    <t>00022203514K</t>
  </si>
  <si>
    <t>00022217599K</t>
  </si>
  <si>
    <t>00022235665K</t>
  </si>
  <si>
    <t>00022241122K</t>
  </si>
  <si>
    <t>00022256745K</t>
  </si>
  <si>
    <t>00022351069K</t>
  </si>
  <si>
    <t>00022366455K</t>
  </si>
  <si>
    <t>00022386017K</t>
  </si>
  <si>
    <t>00022406995K</t>
  </si>
  <si>
    <t>00022413863K</t>
  </si>
  <si>
    <t>00022462923K</t>
  </si>
  <si>
    <t>00022466880K</t>
  </si>
  <si>
    <t>00022498051K</t>
  </si>
  <si>
    <t>00022517390K</t>
  </si>
  <si>
    <t>00022524693K</t>
  </si>
  <si>
    <t>00022571242K</t>
  </si>
  <si>
    <t>00022602838K</t>
  </si>
  <si>
    <t>00022627896K</t>
  </si>
  <si>
    <t>00022643625K</t>
  </si>
  <si>
    <t>00022646876K</t>
  </si>
  <si>
    <t>00022659909K</t>
  </si>
  <si>
    <t>00022671607K</t>
  </si>
  <si>
    <t>00022674415K</t>
  </si>
  <si>
    <t>00022688863K</t>
  </si>
  <si>
    <t>00022698535K</t>
  </si>
  <si>
    <t>00022763707K</t>
  </si>
  <si>
    <t>140W10931</t>
  </si>
  <si>
    <t>283W17578</t>
  </si>
  <si>
    <t>352W10665</t>
  </si>
  <si>
    <t>614W13756</t>
  </si>
  <si>
    <t>829W21544</t>
  </si>
  <si>
    <t>8JY2HT0WT21</t>
  </si>
  <si>
    <t>948W21216</t>
  </si>
  <si>
    <t>A02824541</t>
  </si>
  <si>
    <t>A03722685</t>
  </si>
  <si>
    <t>A04130550</t>
  </si>
  <si>
    <t>A04136148</t>
  </si>
  <si>
    <t>A04136338</t>
  </si>
  <si>
    <t>A04137009</t>
  </si>
  <si>
    <t>A04139611</t>
  </si>
  <si>
    <t>A04142465</t>
  </si>
  <si>
    <t>A04145915</t>
  </si>
  <si>
    <t>A04148386</t>
  </si>
  <si>
    <t>A04150482</t>
  </si>
  <si>
    <t>A04150490</t>
  </si>
  <si>
    <t>A04152855</t>
  </si>
  <si>
    <t>A04155252</t>
  </si>
  <si>
    <t>A04156119</t>
  </si>
  <si>
    <t>A04161751</t>
  </si>
  <si>
    <t>A04163727</t>
  </si>
  <si>
    <t>A04164004</t>
  </si>
  <si>
    <t>A04167296</t>
  </si>
  <si>
    <t>A04167351</t>
  </si>
  <si>
    <t>A04167519</t>
  </si>
  <si>
    <t>A04172708</t>
  </si>
  <si>
    <t>A04182320</t>
  </si>
  <si>
    <t>A04185404</t>
  </si>
  <si>
    <t>A04186207</t>
  </si>
  <si>
    <t>A04187200</t>
  </si>
  <si>
    <t>A04190340</t>
  </si>
  <si>
    <t>A04191720</t>
  </si>
  <si>
    <t>A04193033</t>
  </si>
  <si>
    <t>A04194279</t>
  </si>
  <si>
    <t>A04195265</t>
  </si>
  <si>
    <t>A04199309</t>
  </si>
  <si>
    <t>A04199312</t>
  </si>
  <si>
    <t>A04205457</t>
  </si>
  <si>
    <t>A04209304</t>
  </si>
  <si>
    <t>A04212407</t>
  </si>
  <si>
    <t>A04213560</t>
  </si>
  <si>
    <t>A04217742</t>
  </si>
  <si>
    <t>A04219053</t>
  </si>
  <si>
    <t>A04219376</t>
  </si>
  <si>
    <t>A04221031</t>
  </si>
  <si>
    <t>Aetna MAPD OVR 2025</t>
  </si>
  <si>
    <t>Anthem MAPD 2025 OVR</t>
  </si>
  <si>
    <t>Humana MAPD OVR 2025</t>
  </si>
  <si>
    <t>[%/$=306][prorate=1/12]</t>
  </si>
  <si>
    <t>Humana MAPD NATIONAL 2024!</t>
  </si>
  <si>
    <t>Humana PDP 2025!</t>
  </si>
  <si>
    <t>UHC AARP MS FL Area 1- Plan B C F G</t>
  </si>
  <si>
    <t>UHC AARP MS FL Area 2 2024- Plan B C F G</t>
  </si>
  <si>
    <t>UHC AARP MS FL Area 4 2024 High Ded G</t>
  </si>
  <si>
    <t>UHC AARP MS IL Area 1 - Plan B C F G</t>
  </si>
  <si>
    <t>UHC AARP Med Supp 2025+ IN All Plans</t>
  </si>
  <si>
    <t>UHC AARP MS OR - Plan N</t>
  </si>
  <si>
    <t>UHC AARP MS MI 2025- Plan B C D F G</t>
  </si>
  <si>
    <t>UHC AARP MS PA Area 1 2024- Plan B F G</t>
  </si>
  <si>
    <t>UHC AARP MS PA Area 1 2024- Plan N</t>
  </si>
  <si>
    <t>UHC AARP MS PA Area 1- Plan B C F G 2024</t>
  </si>
  <si>
    <t>UHC AARP Med Supp PA Area 3 2024- Plan B F G</t>
  </si>
  <si>
    <t>UHC AARP MS PA Area 3 2024- Plan BC F G(90%)</t>
  </si>
  <si>
    <t>UHC AARP MS NJ - Plan B C D F G</t>
  </si>
  <si>
    <t>UHC MAPD Ovr 2025</t>
  </si>
  <si>
    <t>UHC 2025</t>
  </si>
  <si>
    <t>UHC MAPD 2025*</t>
  </si>
  <si>
    <t>UHC 2025 CT, PA, DC</t>
  </si>
  <si>
    <t>UHC PDP 2025!</t>
  </si>
  <si>
    <t>UHC MAPD Nat 2024!</t>
  </si>
  <si>
    <t>[%/$=313][prorate=3/12]</t>
  </si>
  <si>
    <t>[%/$=313][prorate=2/12]</t>
  </si>
  <si>
    <t>[%/$=705]</t>
  </si>
  <si>
    <t>[%/$=626]</t>
  </si>
  <si>
    <t>[%/$=345][prorate=1/12]</t>
  </si>
  <si>
    <t>UHC MAPD CT, PA, DC 2024!</t>
  </si>
  <si>
    <t>Wellcare MAPD Ovr</t>
  </si>
  <si>
    <t>Main Line Benefits</t>
  </si>
  <si>
    <t>17528908N</t>
  </si>
  <si>
    <t>00012632504K</t>
  </si>
  <si>
    <t>00009949028K</t>
  </si>
  <si>
    <t>00015349324K</t>
  </si>
  <si>
    <t>00017029001K</t>
  </si>
  <si>
    <t>00021328483K</t>
  </si>
  <si>
    <t>00024120674K</t>
  </si>
  <si>
    <t>00024155669K</t>
  </si>
  <si>
    <t>00024228694K</t>
  </si>
  <si>
    <t>00024302321K</t>
  </si>
  <si>
    <t>00024506657K</t>
  </si>
  <si>
    <t>00024586467K</t>
  </si>
  <si>
    <t>00024695043K</t>
  </si>
  <si>
    <t>00024879617K</t>
  </si>
  <si>
    <t>00024280189KPDP</t>
  </si>
  <si>
    <t>00024591148KPDP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</si>
</sst>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" fontId="0" fillId="34" borderId="0" xfId="0" applyNumberFormat="1" applyFill="1" applyAlignment="1">
      <alignment horizontal="left"/>
    </xf>
    <xf numFmtId="0" fontId="0" fillId="34" borderId="0" xfId="0" applyFill="1"/>
    <xf numFmtId="14" fontId="0" fillId="34" borderId="0" xfId="0" applyNumberFormat="1" applyFill="1"/>
    <xf numFmtId="8" fontId="0" fillId="34" borderId="0" xfId="0" applyNumberFormat="1" applyFill="1"/>
    <xf numFmtId="1" fontId="0" fillId="35" borderId="0" xfId="0" applyNumberFormat="1" applyFill="1" applyAlignment="1">
      <alignment horizontal="left"/>
    </xf>
    <xf numFmtId="0" fontId="0" fillId="35" borderId="0" xfId="0" applyFill="1"/>
    <xf numFmtId="14" fontId="0" fillId="35" borderId="0" xfId="0" applyNumberFormat="1" applyFill="1"/>
    <xf numFmtId="8" fontId="0" fillId="35" borderId="0" xfId="0" applyNumberFormat="1" applyFill="1"/>
    <xf numFmtId="2" fontId="0" fillId="0" borderId="0" xfId="0" applyNumberFormat="1"/>
    <xf numFmtId="10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F3130-EA2B-4BD6-9EE5-1A2DCD26C628}">
  <dimension ref="A1:AL502"/>
  <sheetViews>
    <sheetView topLeftCell="A22" workbookViewId="0">
      <selection activeCell="A470" sqref="A470:XFD470"/>
    </sheetView>
  </sheetViews>
  <sheetFormatPr defaultRowHeight="15" x14ac:dyDescent="0.25"/>
  <cols>
    <col min="1" max="1" width="10.710937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29.42578125" bestFit="1" customWidth="1"/>
    <col min="6" max="6" width="8.5703125" bestFit="1" customWidth="1"/>
    <col min="7" max="7" width="6.42578125" bestFit="1" customWidth="1"/>
    <col min="8" max="8" width="18.140625" bestFit="1" customWidth="1"/>
    <col min="9" max="9" width="24.28515625" bestFit="1" customWidth="1"/>
    <col min="10" max="10" width="27.1406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7.28515625" bestFit="1" customWidth="1"/>
    <col min="17" max="17" width="12.85546875" bestFit="1" customWidth="1"/>
    <col min="18" max="18" width="58.285156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16.140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46008</v>
      </c>
      <c r="B2" s="1">
        <v>46008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46023</v>
      </c>
      <c r="U2" t="s">
        <v>51</v>
      </c>
      <c r="X2" t="s">
        <v>52</v>
      </c>
      <c r="Y2" s="2">
        <v>0</v>
      </c>
      <c r="Z2" s="2">
        <v>108</v>
      </c>
      <c r="AA2">
        <v>1</v>
      </c>
      <c r="AB2" s="3">
        <v>1</v>
      </c>
      <c r="AC2" s="2">
        <v>108</v>
      </c>
      <c r="AD2" s="3">
        <v>0</v>
      </c>
      <c r="AE2" s="2">
        <v>0</v>
      </c>
      <c r="AF2" s="2">
        <v>108</v>
      </c>
      <c r="AK2">
        <v>6057755</v>
      </c>
    </row>
    <row r="3" spans="1:38" x14ac:dyDescent="0.25">
      <c r="A3" s="1">
        <v>46008</v>
      </c>
      <c r="B3" s="1">
        <v>46008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49</v>
      </c>
      <c r="R3" t="s">
        <v>58</v>
      </c>
      <c r="S3" s="1">
        <v>46023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6058564</v>
      </c>
    </row>
    <row r="4" spans="1:38" x14ac:dyDescent="0.25">
      <c r="A4" s="1">
        <v>46008</v>
      </c>
      <c r="B4" s="1">
        <v>46008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59</v>
      </c>
      <c r="J4" t="s">
        <v>60</v>
      </c>
      <c r="M4" t="s">
        <v>61</v>
      </c>
      <c r="O4" t="s">
        <v>62</v>
      </c>
      <c r="P4" t="s">
        <v>63</v>
      </c>
      <c r="Q4" t="s">
        <v>49</v>
      </c>
      <c r="R4" t="s">
        <v>58</v>
      </c>
      <c r="S4" s="1">
        <v>46023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6058566</v>
      </c>
    </row>
    <row r="5" spans="1:38" x14ac:dyDescent="0.25">
      <c r="A5" s="1">
        <v>46008</v>
      </c>
      <c r="B5" s="1">
        <v>46008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64</v>
      </c>
      <c r="J5" t="s">
        <v>65</v>
      </c>
      <c r="M5" t="s">
        <v>46</v>
      </c>
      <c r="O5" t="s">
        <v>66</v>
      </c>
      <c r="P5" t="s">
        <v>67</v>
      </c>
      <c r="Q5" t="s">
        <v>49</v>
      </c>
      <c r="R5" t="s">
        <v>58</v>
      </c>
      <c r="S5" s="1">
        <v>46023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6058569</v>
      </c>
    </row>
    <row r="6" spans="1:38" x14ac:dyDescent="0.25">
      <c r="A6" s="1">
        <v>46008</v>
      </c>
      <c r="B6" s="1">
        <v>46008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68</v>
      </c>
      <c r="J6" t="s">
        <v>69</v>
      </c>
      <c r="M6" t="s">
        <v>46</v>
      </c>
      <c r="O6" t="s">
        <v>66</v>
      </c>
      <c r="P6" t="s">
        <v>67</v>
      </c>
      <c r="Q6" t="s">
        <v>49</v>
      </c>
      <c r="R6" t="s">
        <v>58</v>
      </c>
      <c r="S6" s="1">
        <v>46023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6058578</v>
      </c>
    </row>
    <row r="7" spans="1:38" x14ac:dyDescent="0.25">
      <c r="A7" s="1">
        <v>46008</v>
      </c>
      <c r="B7" s="1">
        <v>46008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70</v>
      </c>
      <c r="J7" t="s">
        <v>71</v>
      </c>
      <c r="M7" t="s">
        <v>46</v>
      </c>
      <c r="O7" t="s">
        <v>56</v>
      </c>
      <c r="P7" t="s">
        <v>57</v>
      </c>
      <c r="Q7" t="s">
        <v>49</v>
      </c>
      <c r="R7" t="s">
        <v>58</v>
      </c>
      <c r="S7" s="1">
        <v>46023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6058597</v>
      </c>
    </row>
    <row r="8" spans="1:38" x14ac:dyDescent="0.25">
      <c r="A8" s="1">
        <v>46008</v>
      </c>
      <c r="B8" s="1">
        <v>46008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72</v>
      </c>
      <c r="J8" t="s">
        <v>73</v>
      </c>
      <c r="M8" t="s">
        <v>46</v>
      </c>
      <c r="O8" t="s">
        <v>74</v>
      </c>
      <c r="P8" t="s">
        <v>75</v>
      </c>
      <c r="Q8" t="s">
        <v>49</v>
      </c>
      <c r="R8" t="s">
        <v>58</v>
      </c>
      <c r="S8" s="1">
        <v>46023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6058572</v>
      </c>
    </row>
    <row r="9" spans="1:38" x14ac:dyDescent="0.25">
      <c r="A9" s="1">
        <v>46008</v>
      </c>
      <c r="B9" s="1">
        <v>46008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76</v>
      </c>
      <c r="J9" t="s">
        <v>77</v>
      </c>
      <c r="M9" t="s">
        <v>78</v>
      </c>
      <c r="O9" t="s">
        <v>79</v>
      </c>
      <c r="P9" t="s">
        <v>80</v>
      </c>
      <c r="Q9" t="s">
        <v>49</v>
      </c>
      <c r="R9" t="s">
        <v>58</v>
      </c>
      <c r="S9" s="1">
        <v>46023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6058583</v>
      </c>
    </row>
    <row r="10" spans="1:38" x14ac:dyDescent="0.25">
      <c r="A10" s="1">
        <v>46008</v>
      </c>
      <c r="B10" s="1">
        <v>46008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81</v>
      </c>
      <c r="J10" t="s">
        <v>82</v>
      </c>
      <c r="M10" t="s">
        <v>46</v>
      </c>
      <c r="O10" t="s">
        <v>83</v>
      </c>
      <c r="P10" t="s">
        <v>84</v>
      </c>
      <c r="Q10" t="s">
        <v>49</v>
      </c>
      <c r="R10" t="s">
        <v>58</v>
      </c>
      <c r="S10" s="1">
        <v>46023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6058658</v>
      </c>
    </row>
    <row r="11" spans="1:38" x14ac:dyDescent="0.25">
      <c r="A11" s="1">
        <v>46008</v>
      </c>
      <c r="B11" s="1">
        <v>46008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85</v>
      </c>
      <c r="J11" t="s">
        <v>86</v>
      </c>
      <c r="M11" t="s">
        <v>87</v>
      </c>
      <c r="O11" t="s">
        <v>88</v>
      </c>
      <c r="P11" t="s">
        <v>89</v>
      </c>
      <c r="Q11" t="s">
        <v>49</v>
      </c>
      <c r="R11" t="s">
        <v>58</v>
      </c>
      <c r="S11" s="1">
        <v>46023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6058448</v>
      </c>
    </row>
    <row r="12" spans="1:38" x14ac:dyDescent="0.25">
      <c r="A12" s="1">
        <v>46008</v>
      </c>
      <c r="B12" s="1">
        <v>46008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90</v>
      </c>
      <c r="J12" t="s">
        <v>91</v>
      </c>
      <c r="M12" t="s">
        <v>46</v>
      </c>
      <c r="O12" t="s">
        <v>66</v>
      </c>
      <c r="P12" t="s">
        <v>67</v>
      </c>
      <c r="Q12" t="s">
        <v>49</v>
      </c>
      <c r="R12" t="s">
        <v>58</v>
      </c>
      <c r="S12" s="1">
        <v>46023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6058765</v>
      </c>
    </row>
    <row r="13" spans="1:38" x14ac:dyDescent="0.25">
      <c r="A13" s="1">
        <v>46008</v>
      </c>
      <c r="B13" s="1">
        <v>46008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92</v>
      </c>
      <c r="J13" t="s">
        <v>93</v>
      </c>
      <c r="M13" t="s">
        <v>46</v>
      </c>
      <c r="O13" t="s">
        <v>94</v>
      </c>
      <c r="P13" t="s">
        <v>95</v>
      </c>
      <c r="Q13" t="s">
        <v>49</v>
      </c>
      <c r="R13" t="s">
        <v>58</v>
      </c>
      <c r="S13" s="1">
        <v>46023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6058772</v>
      </c>
    </row>
    <row r="14" spans="1:38" x14ac:dyDescent="0.25">
      <c r="A14" s="1">
        <v>46008</v>
      </c>
      <c r="B14" s="1">
        <v>46008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96</v>
      </c>
      <c r="J14" t="s">
        <v>97</v>
      </c>
      <c r="M14" t="s">
        <v>46</v>
      </c>
      <c r="O14" t="s">
        <v>94</v>
      </c>
      <c r="P14" t="s">
        <v>95</v>
      </c>
      <c r="Q14" t="s">
        <v>49</v>
      </c>
      <c r="R14" t="s">
        <v>58</v>
      </c>
      <c r="S14" s="1">
        <v>46023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6058773</v>
      </c>
    </row>
    <row r="15" spans="1:38" x14ac:dyDescent="0.25">
      <c r="A15" s="1">
        <v>46008</v>
      </c>
      <c r="B15" s="1">
        <v>46008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98</v>
      </c>
      <c r="J15" t="s">
        <v>99</v>
      </c>
      <c r="M15" t="s">
        <v>46</v>
      </c>
      <c r="O15" t="s">
        <v>100</v>
      </c>
      <c r="P15" t="s">
        <v>101</v>
      </c>
      <c r="Q15" t="s">
        <v>49</v>
      </c>
      <c r="R15" t="s">
        <v>58</v>
      </c>
      <c r="S15" s="1">
        <v>46023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6058774</v>
      </c>
    </row>
    <row r="16" spans="1:38" x14ac:dyDescent="0.25">
      <c r="A16" s="1">
        <v>46008</v>
      </c>
      <c r="B16" s="1">
        <v>46008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102</v>
      </c>
      <c r="J16" t="s">
        <v>103</v>
      </c>
      <c r="M16" t="s">
        <v>46</v>
      </c>
      <c r="O16" t="s">
        <v>104</v>
      </c>
      <c r="P16" t="s">
        <v>105</v>
      </c>
      <c r="Q16" t="s">
        <v>49</v>
      </c>
      <c r="R16" t="s">
        <v>58</v>
      </c>
      <c r="S16" s="1">
        <v>46023</v>
      </c>
      <c r="U16" t="s">
        <v>51</v>
      </c>
      <c r="X16" t="s">
        <v>52</v>
      </c>
      <c r="Y16" s="2">
        <v>0</v>
      </c>
      <c r="Z16" s="2">
        <v>175</v>
      </c>
      <c r="AA16">
        <v>1</v>
      </c>
      <c r="AB16" s="3">
        <v>1</v>
      </c>
      <c r="AC16" s="2">
        <v>175</v>
      </c>
      <c r="AD16" s="3">
        <v>0</v>
      </c>
      <c r="AE16" s="2">
        <v>0</v>
      </c>
      <c r="AF16" s="2">
        <v>175</v>
      </c>
      <c r="AK16">
        <v>6058775</v>
      </c>
    </row>
    <row r="17" spans="1:37" x14ac:dyDescent="0.25">
      <c r="A17" s="1">
        <v>46008</v>
      </c>
      <c r="B17" s="1">
        <v>46008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106</v>
      </c>
      <c r="J17" t="s">
        <v>107</v>
      </c>
      <c r="M17" t="s">
        <v>87</v>
      </c>
      <c r="O17" t="s">
        <v>108</v>
      </c>
      <c r="P17" t="s">
        <v>109</v>
      </c>
      <c r="Q17" t="s">
        <v>49</v>
      </c>
      <c r="R17" t="s">
        <v>58</v>
      </c>
      <c r="S17" s="1">
        <v>46023</v>
      </c>
      <c r="U17" t="s">
        <v>51</v>
      </c>
      <c r="X17" t="s">
        <v>52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6058790</v>
      </c>
    </row>
    <row r="18" spans="1:37" x14ac:dyDescent="0.25">
      <c r="A18" s="1">
        <v>46008</v>
      </c>
      <c r="B18" s="1">
        <v>46008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110</v>
      </c>
      <c r="J18" t="s">
        <v>111</v>
      </c>
      <c r="M18" t="s">
        <v>46</v>
      </c>
      <c r="O18" t="s">
        <v>94</v>
      </c>
      <c r="P18" t="s">
        <v>95</v>
      </c>
      <c r="Q18" t="s">
        <v>49</v>
      </c>
      <c r="R18" t="s">
        <v>58</v>
      </c>
      <c r="S18" s="1">
        <v>46023</v>
      </c>
      <c r="U18" t="s">
        <v>51</v>
      </c>
      <c r="X18" t="s">
        <v>52</v>
      </c>
      <c r="Y18" s="2">
        <v>0</v>
      </c>
      <c r="Z18" s="2">
        <v>175</v>
      </c>
      <c r="AA18">
        <v>1</v>
      </c>
      <c r="AB18" s="3">
        <v>1</v>
      </c>
      <c r="AC18" s="2">
        <v>175</v>
      </c>
      <c r="AD18" s="3">
        <v>0</v>
      </c>
      <c r="AE18" s="2">
        <v>0</v>
      </c>
      <c r="AF18" s="2">
        <v>175</v>
      </c>
      <c r="AK18">
        <v>6058799</v>
      </c>
    </row>
    <row r="19" spans="1:37" x14ac:dyDescent="0.25">
      <c r="A19" s="1">
        <v>46008</v>
      </c>
      <c r="B19" s="1">
        <v>46008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112</v>
      </c>
      <c r="J19" t="s">
        <v>113</v>
      </c>
      <c r="M19" t="s">
        <v>114</v>
      </c>
      <c r="O19" t="s">
        <v>115</v>
      </c>
      <c r="P19" t="s">
        <v>116</v>
      </c>
      <c r="Q19" t="s">
        <v>49</v>
      </c>
      <c r="R19" t="s">
        <v>50</v>
      </c>
      <c r="S19" s="1">
        <v>46023</v>
      </c>
      <c r="U19" t="s">
        <v>51</v>
      </c>
      <c r="X19" t="s">
        <v>52</v>
      </c>
      <c r="Y19" s="2">
        <v>0</v>
      </c>
      <c r="Z19" s="2">
        <v>108</v>
      </c>
      <c r="AA19">
        <v>1</v>
      </c>
      <c r="AB19" s="3">
        <v>1</v>
      </c>
      <c r="AC19" s="2">
        <v>108</v>
      </c>
      <c r="AD19" s="3">
        <v>0</v>
      </c>
      <c r="AE19" s="2">
        <v>0</v>
      </c>
      <c r="AF19" s="2">
        <v>108</v>
      </c>
      <c r="AK19">
        <v>6057767</v>
      </c>
    </row>
    <row r="20" spans="1:37" x14ac:dyDescent="0.25">
      <c r="A20" s="1">
        <v>46008</v>
      </c>
      <c r="B20" s="1">
        <v>46008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117</v>
      </c>
      <c r="J20" t="s">
        <v>118</v>
      </c>
      <c r="M20" t="s">
        <v>46</v>
      </c>
      <c r="O20" t="s">
        <v>74</v>
      </c>
      <c r="P20" t="s">
        <v>75</v>
      </c>
      <c r="Q20" t="s">
        <v>49</v>
      </c>
      <c r="R20" t="s">
        <v>50</v>
      </c>
      <c r="S20" s="1">
        <v>46023</v>
      </c>
      <c r="U20" t="s">
        <v>51</v>
      </c>
      <c r="X20" t="s">
        <v>52</v>
      </c>
      <c r="Y20" s="2">
        <v>0</v>
      </c>
      <c r="Z20" s="2">
        <v>108</v>
      </c>
      <c r="AA20">
        <v>1</v>
      </c>
      <c r="AB20" s="3">
        <v>1</v>
      </c>
      <c r="AC20" s="2">
        <v>108</v>
      </c>
      <c r="AD20" s="3">
        <v>0</v>
      </c>
      <c r="AE20" s="2">
        <v>0</v>
      </c>
      <c r="AF20" s="2">
        <v>108</v>
      </c>
      <c r="AK20">
        <v>6057768</v>
      </c>
    </row>
    <row r="21" spans="1:37" x14ac:dyDescent="0.25">
      <c r="A21" s="1">
        <v>46008</v>
      </c>
      <c r="B21" s="1">
        <v>46008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119</v>
      </c>
      <c r="J21" t="s">
        <v>120</v>
      </c>
      <c r="M21" t="s">
        <v>46</v>
      </c>
      <c r="O21" t="s">
        <v>47</v>
      </c>
      <c r="P21" t="s">
        <v>48</v>
      </c>
      <c r="Q21" t="s">
        <v>49</v>
      </c>
      <c r="R21" t="s">
        <v>58</v>
      </c>
      <c r="S21" s="1">
        <v>46023</v>
      </c>
      <c r="U21" t="s">
        <v>51</v>
      </c>
      <c r="X21" t="s">
        <v>52</v>
      </c>
      <c r="Y21" s="2">
        <v>0</v>
      </c>
      <c r="Z21" s="2">
        <v>175</v>
      </c>
      <c r="AA21">
        <v>1</v>
      </c>
      <c r="AB21" s="3">
        <v>1</v>
      </c>
      <c r="AC21" s="2">
        <v>175</v>
      </c>
      <c r="AD21" s="3">
        <v>0</v>
      </c>
      <c r="AE21" s="2">
        <v>0</v>
      </c>
      <c r="AF21" s="2">
        <v>175</v>
      </c>
      <c r="AK21">
        <v>6058800</v>
      </c>
    </row>
    <row r="22" spans="1:37" x14ac:dyDescent="0.25">
      <c r="A22" s="1">
        <v>46008</v>
      </c>
      <c r="B22" s="1">
        <v>46008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121</v>
      </c>
      <c r="J22" t="s">
        <v>122</v>
      </c>
      <c r="M22" t="s">
        <v>46</v>
      </c>
      <c r="O22" t="s">
        <v>56</v>
      </c>
      <c r="P22" t="s">
        <v>57</v>
      </c>
      <c r="Q22" t="s">
        <v>49</v>
      </c>
      <c r="R22" t="s">
        <v>58</v>
      </c>
      <c r="S22" s="1">
        <v>46023</v>
      </c>
      <c r="U22" t="s">
        <v>51</v>
      </c>
      <c r="X22" t="s">
        <v>52</v>
      </c>
      <c r="Y22" s="2">
        <v>0</v>
      </c>
      <c r="Z22" s="2">
        <v>175</v>
      </c>
      <c r="AA22">
        <v>1</v>
      </c>
      <c r="AB22" s="3">
        <v>1</v>
      </c>
      <c r="AC22" s="2">
        <v>175</v>
      </c>
      <c r="AD22" s="3">
        <v>0</v>
      </c>
      <c r="AE22" s="2">
        <v>0</v>
      </c>
      <c r="AF22" s="2">
        <v>175</v>
      </c>
      <c r="AK22">
        <v>6058812</v>
      </c>
    </row>
    <row r="23" spans="1:37" x14ac:dyDescent="0.25">
      <c r="A23" s="1">
        <v>46008</v>
      </c>
      <c r="B23" s="1">
        <v>46008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123</v>
      </c>
      <c r="J23" t="s">
        <v>124</v>
      </c>
      <c r="M23" t="s">
        <v>46</v>
      </c>
      <c r="O23" t="s">
        <v>125</v>
      </c>
      <c r="P23" t="s">
        <v>126</v>
      </c>
      <c r="Q23" t="s">
        <v>49</v>
      </c>
      <c r="R23" t="s">
        <v>50</v>
      </c>
      <c r="S23" s="1">
        <v>46023</v>
      </c>
      <c r="U23" t="s">
        <v>51</v>
      </c>
      <c r="X23" t="s">
        <v>52</v>
      </c>
      <c r="Y23" s="2">
        <v>0</v>
      </c>
      <c r="Z23" s="2">
        <v>108</v>
      </c>
      <c r="AA23">
        <v>1</v>
      </c>
      <c r="AB23" s="3">
        <v>1</v>
      </c>
      <c r="AC23" s="2">
        <v>108</v>
      </c>
      <c r="AD23" s="3">
        <v>0</v>
      </c>
      <c r="AE23" s="2">
        <v>0</v>
      </c>
      <c r="AF23" s="2">
        <v>108</v>
      </c>
      <c r="AK23">
        <v>6057736</v>
      </c>
    </row>
    <row r="24" spans="1:37" x14ac:dyDescent="0.25">
      <c r="A24" s="1">
        <v>46008</v>
      </c>
      <c r="B24" s="1">
        <v>46008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127</v>
      </c>
      <c r="J24" t="s">
        <v>128</v>
      </c>
      <c r="M24" t="s">
        <v>46</v>
      </c>
      <c r="O24" t="s">
        <v>74</v>
      </c>
      <c r="P24" t="s">
        <v>75</v>
      </c>
      <c r="Q24" t="s">
        <v>49</v>
      </c>
      <c r="R24" t="s">
        <v>58</v>
      </c>
      <c r="S24" s="1">
        <v>46023</v>
      </c>
      <c r="U24" t="s">
        <v>51</v>
      </c>
      <c r="X24" t="s">
        <v>52</v>
      </c>
      <c r="Y24" s="2">
        <v>0</v>
      </c>
      <c r="Z24" s="2">
        <v>175</v>
      </c>
      <c r="AA24">
        <v>1</v>
      </c>
      <c r="AB24" s="3">
        <v>1</v>
      </c>
      <c r="AC24" s="2">
        <v>175</v>
      </c>
      <c r="AD24" s="3">
        <v>0</v>
      </c>
      <c r="AE24" s="2">
        <v>0</v>
      </c>
      <c r="AF24" s="2">
        <v>175</v>
      </c>
      <c r="AK24">
        <v>6058814</v>
      </c>
    </row>
    <row r="25" spans="1:37" x14ac:dyDescent="0.25">
      <c r="A25" s="1">
        <v>46008</v>
      </c>
      <c r="B25" s="1">
        <v>46008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129</v>
      </c>
      <c r="J25" t="s">
        <v>130</v>
      </c>
      <c r="M25" t="s">
        <v>61</v>
      </c>
      <c r="O25" t="s">
        <v>131</v>
      </c>
      <c r="P25" t="s">
        <v>132</v>
      </c>
      <c r="Q25" t="s">
        <v>49</v>
      </c>
      <c r="R25" t="s">
        <v>58</v>
      </c>
      <c r="S25" s="1">
        <v>46023</v>
      </c>
      <c r="U25" t="s">
        <v>51</v>
      </c>
      <c r="X25" t="s">
        <v>52</v>
      </c>
      <c r="Y25" s="2">
        <v>0</v>
      </c>
      <c r="Z25" s="2">
        <v>175</v>
      </c>
      <c r="AA25">
        <v>1</v>
      </c>
      <c r="AB25" s="3">
        <v>1</v>
      </c>
      <c r="AC25" s="2">
        <v>175</v>
      </c>
      <c r="AD25" s="3">
        <v>0</v>
      </c>
      <c r="AE25" s="2">
        <v>0</v>
      </c>
      <c r="AF25" s="2">
        <v>175</v>
      </c>
      <c r="AK25">
        <v>6058495</v>
      </c>
    </row>
    <row r="26" spans="1:37" x14ac:dyDescent="0.25">
      <c r="A26" s="1">
        <v>46008</v>
      </c>
      <c r="B26" s="1">
        <v>46008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133</v>
      </c>
      <c r="J26" t="s">
        <v>134</v>
      </c>
      <c r="M26" t="s">
        <v>46</v>
      </c>
      <c r="O26" t="s">
        <v>135</v>
      </c>
      <c r="P26" t="s">
        <v>136</v>
      </c>
      <c r="Q26" t="s">
        <v>49</v>
      </c>
      <c r="R26" t="s">
        <v>58</v>
      </c>
      <c r="S26" s="1">
        <v>46023</v>
      </c>
      <c r="U26" t="s">
        <v>51</v>
      </c>
      <c r="X26" t="s">
        <v>52</v>
      </c>
      <c r="Y26" s="2">
        <v>0</v>
      </c>
      <c r="Z26" s="2">
        <v>175</v>
      </c>
      <c r="AA26">
        <v>1</v>
      </c>
      <c r="AB26" s="3">
        <v>1</v>
      </c>
      <c r="AC26" s="2">
        <v>175</v>
      </c>
      <c r="AD26" s="3">
        <v>0</v>
      </c>
      <c r="AE26" s="2">
        <v>0</v>
      </c>
      <c r="AF26" s="2">
        <v>175</v>
      </c>
      <c r="AK26">
        <v>6058816</v>
      </c>
    </row>
    <row r="27" spans="1:37" x14ac:dyDescent="0.25">
      <c r="A27" s="1">
        <v>46008</v>
      </c>
      <c r="B27" s="1">
        <v>46008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137</v>
      </c>
      <c r="J27" t="s">
        <v>138</v>
      </c>
      <c r="M27" t="s">
        <v>78</v>
      </c>
      <c r="O27" t="s">
        <v>74</v>
      </c>
      <c r="P27" t="s">
        <v>75</v>
      </c>
      <c r="Q27" t="s">
        <v>49</v>
      </c>
      <c r="R27" t="s">
        <v>58</v>
      </c>
      <c r="S27" s="1">
        <v>46023</v>
      </c>
      <c r="U27" t="s">
        <v>51</v>
      </c>
      <c r="X27" t="s">
        <v>52</v>
      </c>
      <c r="Y27" s="2">
        <v>0</v>
      </c>
      <c r="Z27" s="2">
        <v>175</v>
      </c>
      <c r="AA27">
        <v>1</v>
      </c>
      <c r="AB27" s="3">
        <v>1</v>
      </c>
      <c r="AC27" s="2">
        <v>175</v>
      </c>
      <c r="AD27" s="3">
        <v>0</v>
      </c>
      <c r="AE27" s="2">
        <v>0</v>
      </c>
      <c r="AF27" s="2">
        <v>175</v>
      </c>
      <c r="AK27">
        <v>6058817</v>
      </c>
    </row>
    <row r="28" spans="1:37" x14ac:dyDescent="0.25">
      <c r="A28" s="1">
        <v>46008</v>
      </c>
      <c r="B28" s="1">
        <v>46008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139</v>
      </c>
      <c r="J28" t="s">
        <v>140</v>
      </c>
      <c r="M28" t="s">
        <v>87</v>
      </c>
      <c r="O28" t="s">
        <v>141</v>
      </c>
      <c r="P28" t="s">
        <v>142</v>
      </c>
      <c r="Q28" t="s">
        <v>49</v>
      </c>
      <c r="R28" t="s">
        <v>58</v>
      </c>
      <c r="S28" s="1">
        <v>46023</v>
      </c>
      <c r="U28" t="s">
        <v>51</v>
      </c>
      <c r="X28" t="s">
        <v>52</v>
      </c>
      <c r="Y28" s="2">
        <v>0</v>
      </c>
      <c r="Z28" s="2">
        <v>175</v>
      </c>
      <c r="AA28">
        <v>1</v>
      </c>
      <c r="AB28" s="3">
        <v>1</v>
      </c>
      <c r="AC28" s="2">
        <v>175</v>
      </c>
      <c r="AD28" s="3">
        <v>0</v>
      </c>
      <c r="AE28" s="2">
        <v>0</v>
      </c>
      <c r="AF28" s="2">
        <v>175</v>
      </c>
      <c r="AK28">
        <v>6058818</v>
      </c>
    </row>
    <row r="29" spans="1:37" x14ac:dyDescent="0.25">
      <c r="A29" s="1">
        <v>46008</v>
      </c>
      <c r="B29" s="1">
        <v>46008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143</v>
      </c>
      <c r="J29" t="s">
        <v>144</v>
      </c>
      <c r="M29" t="s">
        <v>46</v>
      </c>
      <c r="O29" t="s">
        <v>66</v>
      </c>
      <c r="P29" t="s">
        <v>67</v>
      </c>
      <c r="Q29" t="s">
        <v>49</v>
      </c>
      <c r="R29" t="s">
        <v>58</v>
      </c>
      <c r="S29" s="1">
        <v>46023</v>
      </c>
      <c r="U29" t="s">
        <v>51</v>
      </c>
      <c r="X29" t="s">
        <v>52</v>
      </c>
      <c r="Y29" s="2">
        <v>0</v>
      </c>
      <c r="Z29" s="2">
        <v>175</v>
      </c>
      <c r="AA29">
        <v>1</v>
      </c>
      <c r="AB29" s="3">
        <v>1</v>
      </c>
      <c r="AC29" s="2">
        <v>175</v>
      </c>
      <c r="AD29" s="3">
        <v>0</v>
      </c>
      <c r="AE29" s="2">
        <v>0</v>
      </c>
      <c r="AF29" s="2">
        <v>175</v>
      </c>
      <c r="AK29">
        <v>6058820</v>
      </c>
    </row>
    <row r="30" spans="1:37" x14ac:dyDescent="0.25">
      <c r="A30" s="1">
        <v>46008</v>
      </c>
      <c r="B30" s="1">
        <v>46008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145</v>
      </c>
      <c r="J30" t="s">
        <v>146</v>
      </c>
      <c r="M30" t="s">
        <v>46</v>
      </c>
      <c r="O30" t="s">
        <v>147</v>
      </c>
      <c r="P30" t="s">
        <v>148</v>
      </c>
      <c r="Q30" t="s">
        <v>49</v>
      </c>
      <c r="R30" t="s">
        <v>58</v>
      </c>
      <c r="S30" s="1">
        <v>46023</v>
      </c>
      <c r="U30" t="s">
        <v>51</v>
      </c>
      <c r="X30" t="s">
        <v>52</v>
      </c>
      <c r="Y30" s="2">
        <v>0</v>
      </c>
      <c r="Z30" s="2">
        <v>175</v>
      </c>
      <c r="AA30">
        <v>1</v>
      </c>
      <c r="AB30" s="3">
        <v>1</v>
      </c>
      <c r="AC30" s="2">
        <v>175</v>
      </c>
      <c r="AD30" s="3">
        <v>0</v>
      </c>
      <c r="AE30" s="2">
        <v>0</v>
      </c>
      <c r="AF30" s="2">
        <v>175</v>
      </c>
      <c r="AK30">
        <v>6058824</v>
      </c>
    </row>
    <row r="31" spans="1:37" x14ac:dyDescent="0.25">
      <c r="A31" s="1">
        <v>46008</v>
      </c>
      <c r="B31" s="1">
        <v>46008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149</v>
      </c>
      <c r="J31" t="s">
        <v>150</v>
      </c>
      <c r="M31" t="s">
        <v>46</v>
      </c>
      <c r="O31" t="s">
        <v>151</v>
      </c>
      <c r="P31" t="s">
        <v>152</v>
      </c>
      <c r="Q31" t="s">
        <v>49</v>
      </c>
      <c r="R31" t="s">
        <v>58</v>
      </c>
      <c r="S31" s="1">
        <v>46023</v>
      </c>
      <c r="U31" t="s">
        <v>51</v>
      </c>
      <c r="X31" t="s">
        <v>52</v>
      </c>
      <c r="Y31" s="2">
        <v>0</v>
      </c>
      <c r="Z31" s="2">
        <v>175</v>
      </c>
      <c r="AA31">
        <v>1</v>
      </c>
      <c r="AB31" s="3">
        <v>1</v>
      </c>
      <c r="AC31" s="2">
        <v>175</v>
      </c>
      <c r="AD31" s="3">
        <v>0</v>
      </c>
      <c r="AE31" s="2">
        <v>0</v>
      </c>
      <c r="AF31" s="2">
        <v>175</v>
      </c>
      <c r="AK31">
        <v>6058825</v>
      </c>
    </row>
    <row r="32" spans="1:37" x14ac:dyDescent="0.25">
      <c r="A32" s="1">
        <v>46008</v>
      </c>
      <c r="B32" s="1">
        <v>46008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153</v>
      </c>
      <c r="J32" t="s">
        <v>154</v>
      </c>
      <c r="M32" t="s">
        <v>155</v>
      </c>
      <c r="O32" t="s">
        <v>100</v>
      </c>
      <c r="P32" t="s">
        <v>101</v>
      </c>
      <c r="Q32" t="s">
        <v>49</v>
      </c>
      <c r="R32" t="s">
        <v>58</v>
      </c>
      <c r="S32" s="1">
        <v>46023</v>
      </c>
      <c r="U32" t="s">
        <v>51</v>
      </c>
      <c r="X32" t="s">
        <v>52</v>
      </c>
      <c r="Y32" s="2">
        <v>0</v>
      </c>
      <c r="Z32" s="2">
        <v>175</v>
      </c>
      <c r="AA32">
        <v>1</v>
      </c>
      <c r="AB32" s="3">
        <v>1</v>
      </c>
      <c r="AC32" s="2">
        <v>175</v>
      </c>
      <c r="AD32" s="3">
        <v>0</v>
      </c>
      <c r="AE32" s="2">
        <v>0</v>
      </c>
      <c r="AF32" s="2">
        <v>175</v>
      </c>
      <c r="AK32">
        <v>6058826</v>
      </c>
    </row>
    <row r="33" spans="1:37" x14ac:dyDescent="0.25">
      <c r="A33" s="1">
        <v>46008</v>
      </c>
      <c r="B33" s="1">
        <v>46008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156</v>
      </c>
      <c r="J33" t="s">
        <v>157</v>
      </c>
      <c r="M33" t="s">
        <v>158</v>
      </c>
      <c r="O33" t="s">
        <v>159</v>
      </c>
      <c r="P33" t="s">
        <v>160</v>
      </c>
      <c r="Q33" t="s">
        <v>49</v>
      </c>
      <c r="R33" t="s">
        <v>50</v>
      </c>
      <c r="S33" s="1">
        <v>46023</v>
      </c>
      <c r="U33" t="s">
        <v>51</v>
      </c>
      <c r="X33" t="s">
        <v>52</v>
      </c>
      <c r="Y33" s="2">
        <v>0</v>
      </c>
      <c r="Z33" s="2">
        <v>108</v>
      </c>
      <c r="AA33">
        <v>1</v>
      </c>
      <c r="AB33" s="3">
        <v>1</v>
      </c>
      <c r="AC33" s="2">
        <v>108</v>
      </c>
      <c r="AD33" s="3">
        <v>0</v>
      </c>
      <c r="AE33" s="2">
        <v>0</v>
      </c>
      <c r="AF33" s="2">
        <v>108</v>
      </c>
      <c r="AK33">
        <v>6057737</v>
      </c>
    </row>
    <row r="34" spans="1:37" x14ac:dyDescent="0.25">
      <c r="A34" s="1">
        <v>46008</v>
      </c>
      <c r="B34" s="1">
        <v>46008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161</v>
      </c>
      <c r="J34" t="s">
        <v>162</v>
      </c>
      <c r="M34" t="s">
        <v>87</v>
      </c>
      <c r="O34" t="s">
        <v>141</v>
      </c>
      <c r="P34" t="s">
        <v>142</v>
      </c>
      <c r="Q34" t="s">
        <v>49</v>
      </c>
      <c r="R34" t="s">
        <v>58</v>
      </c>
      <c r="S34" s="1">
        <v>46023</v>
      </c>
      <c r="U34" t="s">
        <v>51</v>
      </c>
      <c r="X34" t="s">
        <v>52</v>
      </c>
      <c r="Y34" s="2">
        <v>0</v>
      </c>
      <c r="Z34" s="2">
        <v>175</v>
      </c>
      <c r="AA34">
        <v>1</v>
      </c>
      <c r="AB34" s="3">
        <v>1</v>
      </c>
      <c r="AC34" s="2">
        <v>175</v>
      </c>
      <c r="AD34" s="3">
        <v>0</v>
      </c>
      <c r="AE34" s="2">
        <v>0</v>
      </c>
      <c r="AF34" s="2">
        <v>175</v>
      </c>
      <c r="AK34">
        <v>6058827</v>
      </c>
    </row>
    <row r="35" spans="1:37" x14ac:dyDescent="0.25">
      <c r="A35" s="1">
        <v>46008</v>
      </c>
      <c r="B35" s="1">
        <v>46008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163</v>
      </c>
      <c r="J35" t="s">
        <v>164</v>
      </c>
      <c r="M35" t="s">
        <v>158</v>
      </c>
      <c r="O35" t="s">
        <v>47</v>
      </c>
      <c r="P35" t="s">
        <v>48</v>
      </c>
      <c r="Q35" t="s">
        <v>49</v>
      </c>
      <c r="R35" t="s">
        <v>58</v>
      </c>
      <c r="S35" s="1">
        <v>46023</v>
      </c>
      <c r="U35" t="s">
        <v>51</v>
      </c>
      <c r="X35" t="s">
        <v>52</v>
      </c>
      <c r="Y35" s="2">
        <v>0</v>
      </c>
      <c r="Z35" s="2">
        <v>175</v>
      </c>
      <c r="AA35">
        <v>1</v>
      </c>
      <c r="AB35" s="3">
        <v>1</v>
      </c>
      <c r="AC35" s="2">
        <v>175</v>
      </c>
      <c r="AD35" s="3">
        <v>0</v>
      </c>
      <c r="AE35" s="2">
        <v>0</v>
      </c>
      <c r="AF35" s="2">
        <v>175</v>
      </c>
      <c r="AK35">
        <v>6058828</v>
      </c>
    </row>
    <row r="36" spans="1:37" x14ac:dyDescent="0.25">
      <c r="A36" s="1">
        <v>46008</v>
      </c>
      <c r="B36" s="1">
        <v>46008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165</v>
      </c>
      <c r="J36" t="s">
        <v>166</v>
      </c>
      <c r="M36" t="s">
        <v>61</v>
      </c>
      <c r="O36" t="s">
        <v>115</v>
      </c>
      <c r="P36" t="s">
        <v>116</v>
      </c>
      <c r="Q36" t="s">
        <v>49</v>
      </c>
      <c r="R36" t="s">
        <v>58</v>
      </c>
      <c r="S36" s="1">
        <v>46023</v>
      </c>
      <c r="U36" t="s">
        <v>51</v>
      </c>
      <c r="X36" t="s">
        <v>52</v>
      </c>
      <c r="Y36" s="2">
        <v>0</v>
      </c>
      <c r="Z36" s="2">
        <v>175</v>
      </c>
      <c r="AA36">
        <v>1</v>
      </c>
      <c r="AB36" s="3">
        <v>1</v>
      </c>
      <c r="AC36" s="2">
        <v>175</v>
      </c>
      <c r="AD36" s="3">
        <v>0</v>
      </c>
      <c r="AE36" s="2">
        <v>0</v>
      </c>
      <c r="AF36" s="2">
        <v>175</v>
      </c>
      <c r="AK36">
        <v>6058829</v>
      </c>
    </row>
    <row r="37" spans="1:37" x14ac:dyDescent="0.25">
      <c r="A37" s="1">
        <v>46008</v>
      </c>
      <c r="B37" s="1">
        <v>46008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167</v>
      </c>
      <c r="J37" t="s">
        <v>168</v>
      </c>
      <c r="M37" t="s">
        <v>155</v>
      </c>
      <c r="O37" t="s">
        <v>169</v>
      </c>
      <c r="P37" t="s">
        <v>170</v>
      </c>
      <c r="Q37" t="s">
        <v>49</v>
      </c>
      <c r="R37" t="s">
        <v>58</v>
      </c>
      <c r="S37" s="1">
        <v>46023</v>
      </c>
      <c r="U37" t="s">
        <v>51</v>
      </c>
      <c r="X37" t="s">
        <v>52</v>
      </c>
      <c r="Y37" s="2">
        <v>0</v>
      </c>
      <c r="Z37" s="2">
        <v>175</v>
      </c>
      <c r="AA37">
        <v>1</v>
      </c>
      <c r="AB37" s="3">
        <v>1</v>
      </c>
      <c r="AC37" s="2">
        <v>175</v>
      </c>
      <c r="AD37" s="3">
        <v>0</v>
      </c>
      <c r="AE37" s="2">
        <v>0</v>
      </c>
      <c r="AF37" s="2">
        <v>175</v>
      </c>
      <c r="AK37">
        <v>6058565</v>
      </c>
    </row>
    <row r="38" spans="1:37" x14ac:dyDescent="0.25">
      <c r="A38" s="1">
        <v>46008</v>
      </c>
      <c r="B38" s="1">
        <v>46008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171</v>
      </c>
      <c r="J38" t="s">
        <v>172</v>
      </c>
      <c r="M38" t="s">
        <v>46</v>
      </c>
      <c r="O38" t="s">
        <v>74</v>
      </c>
      <c r="P38" t="s">
        <v>75</v>
      </c>
      <c r="Q38" t="s">
        <v>49</v>
      </c>
      <c r="R38" t="s">
        <v>58</v>
      </c>
      <c r="S38" s="1">
        <v>46023</v>
      </c>
      <c r="U38" t="s">
        <v>51</v>
      </c>
      <c r="X38" t="s">
        <v>52</v>
      </c>
      <c r="Y38" s="2">
        <v>0</v>
      </c>
      <c r="Z38" s="2">
        <v>175</v>
      </c>
      <c r="AA38">
        <v>1</v>
      </c>
      <c r="AB38" s="3">
        <v>1</v>
      </c>
      <c r="AC38" s="2">
        <v>175</v>
      </c>
      <c r="AD38" s="3">
        <v>0</v>
      </c>
      <c r="AE38" s="2">
        <v>0</v>
      </c>
      <c r="AF38" s="2">
        <v>175</v>
      </c>
      <c r="AK38">
        <v>6058567</v>
      </c>
    </row>
    <row r="39" spans="1:37" x14ac:dyDescent="0.25">
      <c r="A39" s="1">
        <v>46008</v>
      </c>
      <c r="B39" s="1">
        <v>46008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173</v>
      </c>
      <c r="J39" t="s">
        <v>174</v>
      </c>
      <c r="M39" t="s">
        <v>158</v>
      </c>
      <c r="O39" t="s">
        <v>175</v>
      </c>
      <c r="P39" t="s">
        <v>176</v>
      </c>
      <c r="Q39" t="s">
        <v>49</v>
      </c>
      <c r="R39" t="s">
        <v>58</v>
      </c>
      <c r="S39" s="1">
        <v>46023</v>
      </c>
      <c r="U39" t="s">
        <v>51</v>
      </c>
      <c r="X39" t="s">
        <v>52</v>
      </c>
      <c r="Y39" s="2">
        <v>0</v>
      </c>
      <c r="Z39" s="2">
        <v>175</v>
      </c>
      <c r="AA39">
        <v>1</v>
      </c>
      <c r="AB39" s="3">
        <v>1</v>
      </c>
      <c r="AC39" s="2">
        <v>175</v>
      </c>
      <c r="AD39" s="3">
        <v>0</v>
      </c>
      <c r="AE39" s="2">
        <v>0</v>
      </c>
      <c r="AF39" s="2">
        <v>175</v>
      </c>
      <c r="AK39">
        <v>6058568</v>
      </c>
    </row>
    <row r="40" spans="1:37" x14ac:dyDescent="0.25">
      <c r="A40" s="1">
        <v>46008</v>
      </c>
      <c r="B40" s="1">
        <v>46008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177</v>
      </c>
      <c r="J40" t="s">
        <v>178</v>
      </c>
      <c r="M40" t="s">
        <v>155</v>
      </c>
      <c r="O40" t="s">
        <v>179</v>
      </c>
      <c r="P40" t="s">
        <v>180</v>
      </c>
      <c r="Q40" t="s">
        <v>49</v>
      </c>
      <c r="R40" t="s">
        <v>58</v>
      </c>
      <c r="S40" s="1">
        <v>46023</v>
      </c>
      <c r="U40" t="s">
        <v>51</v>
      </c>
      <c r="X40" t="s">
        <v>52</v>
      </c>
      <c r="Y40" s="2">
        <v>0</v>
      </c>
      <c r="Z40" s="2">
        <v>175</v>
      </c>
      <c r="AA40">
        <v>1</v>
      </c>
      <c r="AB40" s="3">
        <v>1</v>
      </c>
      <c r="AC40" s="2">
        <v>175</v>
      </c>
      <c r="AD40" s="3">
        <v>0</v>
      </c>
      <c r="AE40" s="2">
        <v>0</v>
      </c>
      <c r="AF40" s="2">
        <v>175</v>
      </c>
      <c r="AK40">
        <v>6058358</v>
      </c>
    </row>
    <row r="41" spans="1:37" x14ac:dyDescent="0.25">
      <c r="A41" s="1">
        <v>46008</v>
      </c>
      <c r="B41" s="1">
        <v>46008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181</v>
      </c>
      <c r="J41" t="s">
        <v>182</v>
      </c>
      <c r="M41" t="s">
        <v>78</v>
      </c>
      <c r="O41" t="s">
        <v>183</v>
      </c>
      <c r="P41" t="s">
        <v>184</v>
      </c>
      <c r="Q41" t="s">
        <v>49</v>
      </c>
      <c r="R41" t="s">
        <v>58</v>
      </c>
      <c r="S41" s="1">
        <v>46023</v>
      </c>
      <c r="U41" t="s">
        <v>51</v>
      </c>
      <c r="X41" t="s">
        <v>52</v>
      </c>
      <c r="Y41" s="2">
        <v>0</v>
      </c>
      <c r="Z41" s="2">
        <v>175</v>
      </c>
      <c r="AA41">
        <v>1</v>
      </c>
      <c r="AB41" s="3">
        <v>1</v>
      </c>
      <c r="AC41" s="2">
        <v>175</v>
      </c>
      <c r="AD41" s="3">
        <v>0</v>
      </c>
      <c r="AE41" s="2">
        <v>0</v>
      </c>
      <c r="AF41" s="2">
        <v>175</v>
      </c>
      <c r="AK41">
        <v>6058570</v>
      </c>
    </row>
    <row r="42" spans="1:37" x14ac:dyDescent="0.25">
      <c r="A42" s="1">
        <v>46008</v>
      </c>
      <c r="B42" s="1">
        <v>46008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185</v>
      </c>
      <c r="J42" t="s">
        <v>186</v>
      </c>
      <c r="M42" t="s">
        <v>46</v>
      </c>
      <c r="O42" t="s">
        <v>66</v>
      </c>
      <c r="P42" t="s">
        <v>67</v>
      </c>
      <c r="Q42" t="s">
        <v>49</v>
      </c>
      <c r="R42" t="s">
        <v>58</v>
      </c>
      <c r="S42" s="1">
        <v>46023</v>
      </c>
      <c r="U42" t="s">
        <v>51</v>
      </c>
      <c r="X42" t="s">
        <v>52</v>
      </c>
      <c r="Y42" s="2">
        <v>0</v>
      </c>
      <c r="Z42" s="2">
        <v>175</v>
      </c>
      <c r="AA42">
        <v>1</v>
      </c>
      <c r="AB42" s="3">
        <v>1</v>
      </c>
      <c r="AC42" s="2">
        <v>175</v>
      </c>
      <c r="AD42" s="3">
        <v>0</v>
      </c>
      <c r="AE42" s="2">
        <v>0</v>
      </c>
      <c r="AF42" s="2">
        <v>175</v>
      </c>
      <c r="AK42">
        <v>6058571</v>
      </c>
    </row>
    <row r="43" spans="1:37" x14ac:dyDescent="0.25">
      <c r="A43" s="1">
        <v>46008</v>
      </c>
      <c r="B43" s="1">
        <v>46008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187</v>
      </c>
      <c r="J43" t="s">
        <v>188</v>
      </c>
      <c r="M43" t="s">
        <v>189</v>
      </c>
      <c r="O43" t="s">
        <v>62</v>
      </c>
      <c r="P43" t="s">
        <v>63</v>
      </c>
      <c r="Q43" t="s">
        <v>49</v>
      </c>
      <c r="R43" t="s">
        <v>58</v>
      </c>
      <c r="S43" s="1">
        <v>46023</v>
      </c>
      <c r="U43" t="s">
        <v>51</v>
      </c>
      <c r="X43" t="s">
        <v>52</v>
      </c>
      <c r="Y43" s="2">
        <v>0</v>
      </c>
      <c r="Z43" s="2">
        <v>175</v>
      </c>
      <c r="AA43">
        <v>1</v>
      </c>
      <c r="AB43" s="3">
        <v>1</v>
      </c>
      <c r="AC43" s="2">
        <v>175</v>
      </c>
      <c r="AD43" s="3">
        <v>0</v>
      </c>
      <c r="AE43" s="2">
        <v>0</v>
      </c>
      <c r="AF43" s="2">
        <v>175</v>
      </c>
      <c r="AK43">
        <v>6058573</v>
      </c>
    </row>
    <row r="44" spans="1:37" x14ac:dyDescent="0.25">
      <c r="A44" s="1">
        <v>46008</v>
      </c>
      <c r="B44" s="1">
        <v>46008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190</v>
      </c>
      <c r="J44" t="s">
        <v>191</v>
      </c>
      <c r="M44" t="s">
        <v>46</v>
      </c>
      <c r="O44" t="s">
        <v>74</v>
      </c>
      <c r="P44" t="s">
        <v>75</v>
      </c>
      <c r="Q44" t="s">
        <v>49</v>
      </c>
      <c r="R44" t="s">
        <v>58</v>
      </c>
      <c r="S44" s="1">
        <v>46023</v>
      </c>
      <c r="U44" t="s">
        <v>51</v>
      </c>
      <c r="X44" t="s">
        <v>52</v>
      </c>
      <c r="Y44" s="2">
        <v>0</v>
      </c>
      <c r="Z44" s="2">
        <v>175</v>
      </c>
      <c r="AA44">
        <v>1</v>
      </c>
      <c r="AB44" s="3">
        <v>1</v>
      </c>
      <c r="AC44" s="2">
        <v>175</v>
      </c>
      <c r="AD44" s="3">
        <v>0</v>
      </c>
      <c r="AE44" s="2">
        <v>0</v>
      </c>
      <c r="AF44" s="2">
        <v>175</v>
      </c>
      <c r="AK44">
        <v>6058574</v>
      </c>
    </row>
    <row r="45" spans="1:37" x14ac:dyDescent="0.25">
      <c r="A45" s="1">
        <v>46008</v>
      </c>
      <c r="B45" s="1">
        <v>46008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192</v>
      </c>
      <c r="J45" t="s">
        <v>193</v>
      </c>
      <c r="M45" t="s">
        <v>194</v>
      </c>
      <c r="O45" t="s">
        <v>79</v>
      </c>
      <c r="P45" t="s">
        <v>80</v>
      </c>
      <c r="Q45" t="s">
        <v>49</v>
      </c>
      <c r="R45" t="s">
        <v>58</v>
      </c>
      <c r="S45" s="1">
        <v>46023</v>
      </c>
      <c r="U45" t="s">
        <v>51</v>
      </c>
      <c r="X45" t="s">
        <v>52</v>
      </c>
      <c r="Y45" s="2">
        <v>0</v>
      </c>
      <c r="Z45" s="2">
        <v>175</v>
      </c>
      <c r="AA45">
        <v>1</v>
      </c>
      <c r="AB45" s="3">
        <v>1</v>
      </c>
      <c r="AC45" s="2">
        <v>175</v>
      </c>
      <c r="AD45" s="3">
        <v>0</v>
      </c>
      <c r="AE45" s="2">
        <v>0</v>
      </c>
      <c r="AF45" s="2">
        <v>175</v>
      </c>
      <c r="AK45">
        <v>6058575</v>
      </c>
    </row>
    <row r="46" spans="1:37" x14ac:dyDescent="0.25">
      <c r="A46" s="1">
        <v>46008</v>
      </c>
      <c r="B46" s="1">
        <v>46008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195</v>
      </c>
      <c r="J46" t="s">
        <v>196</v>
      </c>
      <c r="M46" t="s">
        <v>46</v>
      </c>
      <c r="O46" t="s">
        <v>74</v>
      </c>
      <c r="P46" t="s">
        <v>75</v>
      </c>
      <c r="Q46" t="s">
        <v>49</v>
      </c>
      <c r="R46" t="s">
        <v>58</v>
      </c>
      <c r="S46" s="1">
        <v>46023</v>
      </c>
      <c r="U46" t="s">
        <v>51</v>
      </c>
      <c r="X46" t="s">
        <v>52</v>
      </c>
      <c r="Y46" s="2">
        <v>0</v>
      </c>
      <c r="Z46" s="2">
        <v>175</v>
      </c>
      <c r="AA46">
        <v>1</v>
      </c>
      <c r="AB46" s="3">
        <v>1</v>
      </c>
      <c r="AC46" s="2">
        <v>175</v>
      </c>
      <c r="AD46" s="3">
        <v>0</v>
      </c>
      <c r="AE46" s="2">
        <v>0</v>
      </c>
      <c r="AF46" s="2">
        <v>175</v>
      </c>
      <c r="AK46">
        <v>6058576</v>
      </c>
    </row>
    <row r="47" spans="1:37" x14ac:dyDescent="0.25">
      <c r="A47" s="1">
        <v>46008</v>
      </c>
      <c r="B47" s="1">
        <v>46008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197</v>
      </c>
      <c r="J47" t="s">
        <v>198</v>
      </c>
      <c r="M47" t="s">
        <v>87</v>
      </c>
      <c r="O47" t="s">
        <v>141</v>
      </c>
      <c r="P47" t="s">
        <v>142</v>
      </c>
      <c r="Q47" t="s">
        <v>49</v>
      </c>
      <c r="R47" t="s">
        <v>58</v>
      </c>
      <c r="S47" s="1">
        <v>46023</v>
      </c>
      <c r="U47" t="s">
        <v>51</v>
      </c>
      <c r="X47" t="s">
        <v>52</v>
      </c>
      <c r="Y47" s="2">
        <v>0</v>
      </c>
      <c r="Z47" s="2">
        <v>175</v>
      </c>
      <c r="AA47">
        <v>1</v>
      </c>
      <c r="AB47" s="3">
        <v>1</v>
      </c>
      <c r="AC47" s="2">
        <v>175</v>
      </c>
      <c r="AD47" s="3">
        <v>0</v>
      </c>
      <c r="AE47" s="2">
        <v>0</v>
      </c>
      <c r="AF47" s="2">
        <v>175</v>
      </c>
      <c r="AK47">
        <v>6058579</v>
      </c>
    </row>
    <row r="48" spans="1:37" x14ac:dyDescent="0.25">
      <c r="A48" s="1">
        <v>46008</v>
      </c>
      <c r="B48" s="1">
        <v>46008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199</v>
      </c>
      <c r="J48" t="s">
        <v>200</v>
      </c>
      <c r="M48" t="s">
        <v>61</v>
      </c>
      <c r="O48" t="s">
        <v>201</v>
      </c>
      <c r="P48" t="s">
        <v>202</v>
      </c>
      <c r="Q48" t="s">
        <v>49</v>
      </c>
      <c r="R48" t="s">
        <v>58</v>
      </c>
      <c r="S48" s="1">
        <v>46023</v>
      </c>
      <c r="U48" t="s">
        <v>51</v>
      </c>
      <c r="X48" t="s">
        <v>52</v>
      </c>
      <c r="Y48" s="2">
        <v>0</v>
      </c>
      <c r="Z48" s="2">
        <v>175</v>
      </c>
      <c r="AA48">
        <v>1</v>
      </c>
      <c r="AB48" s="3">
        <v>1</v>
      </c>
      <c r="AC48" s="2">
        <v>175</v>
      </c>
      <c r="AD48" s="3">
        <v>0</v>
      </c>
      <c r="AE48" s="2">
        <v>0</v>
      </c>
      <c r="AF48" s="2">
        <v>175</v>
      </c>
      <c r="AK48">
        <v>6058580</v>
      </c>
    </row>
    <row r="49" spans="1:37" x14ac:dyDescent="0.25">
      <c r="A49" s="1">
        <v>46008</v>
      </c>
      <c r="B49" s="1">
        <v>46008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203</v>
      </c>
      <c r="J49" t="s">
        <v>204</v>
      </c>
      <c r="M49" t="s">
        <v>61</v>
      </c>
      <c r="O49" t="s">
        <v>201</v>
      </c>
      <c r="P49" t="s">
        <v>202</v>
      </c>
      <c r="Q49" t="s">
        <v>49</v>
      </c>
      <c r="R49" t="s">
        <v>58</v>
      </c>
      <c r="S49" s="1">
        <v>46023</v>
      </c>
      <c r="U49" t="s">
        <v>51</v>
      </c>
      <c r="X49" t="s">
        <v>52</v>
      </c>
      <c r="Y49" s="2">
        <v>0</v>
      </c>
      <c r="Z49" s="2">
        <v>175</v>
      </c>
      <c r="AA49">
        <v>1</v>
      </c>
      <c r="AB49" s="3">
        <v>1</v>
      </c>
      <c r="AC49" s="2">
        <v>175</v>
      </c>
      <c r="AD49" s="3">
        <v>0</v>
      </c>
      <c r="AE49" s="2">
        <v>0</v>
      </c>
      <c r="AF49" s="2">
        <v>175</v>
      </c>
      <c r="AK49">
        <v>6058581</v>
      </c>
    </row>
    <row r="50" spans="1:37" x14ac:dyDescent="0.25">
      <c r="A50" s="1">
        <v>46008</v>
      </c>
      <c r="B50" s="1">
        <v>46008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205</v>
      </c>
      <c r="J50" t="s">
        <v>206</v>
      </c>
      <c r="M50" t="s">
        <v>46</v>
      </c>
      <c r="O50" t="s">
        <v>47</v>
      </c>
      <c r="P50" t="s">
        <v>48</v>
      </c>
      <c r="Q50" t="s">
        <v>49</v>
      </c>
      <c r="R50" t="s">
        <v>58</v>
      </c>
      <c r="S50" s="1">
        <v>46023</v>
      </c>
      <c r="U50" t="s">
        <v>51</v>
      </c>
      <c r="X50" t="s">
        <v>52</v>
      </c>
      <c r="Y50" s="2">
        <v>0</v>
      </c>
      <c r="Z50" s="2">
        <v>175</v>
      </c>
      <c r="AA50">
        <v>1</v>
      </c>
      <c r="AB50" s="3">
        <v>1</v>
      </c>
      <c r="AC50" s="2">
        <v>175</v>
      </c>
      <c r="AD50" s="3">
        <v>0</v>
      </c>
      <c r="AE50" s="2">
        <v>0</v>
      </c>
      <c r="AF50" s="2">
        <v>175</v>
      </c>
      <c r="AK50">
        <v>6058582</v>
      </c>
    </row>
    <row r="51" spans="1:37" x14ac:dyDescent="0.25">
      <c r="A51" s="1">
        <v>46008</v>
      </c>
      <c r="B51" s="1">
        <v>46008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207</v>
      </c>
      <c r="J51" t="s">
        <v>208</v>
      </c>
      <c r="M51" t="s">
        <v>46</v>
      </c>
      <c r="O51" t="s">
        <v>47</v>
      </c>
      <c r="P51" t="s">
        <v>48</v>
      </c>
      <c r="Q51" t="s">
        <v>49</v>
      </c>
      <c r="R51" t="s">
        <v>58</v>
      </c>
      <c r="S51" s="1">
        <v>46023</v>
      </c>
      <c r="U51" t="s">
        <v>51</v>
      </c>
      <c r="X51" t="s">
        <v>52</v>
      </c>
      <c r="Y51" s="2">
        <v>0</v>
      </c>
      <c r="Z51" s="2">
        <v>175</v>
      </c>
      <c r="AA51">
        <v>1</v>
      </c>
      <c r="AB51" s="3">
        <v>1</v>
      </c>
      <c r="AC51" s="2">
        <v>175</v>
      </c>
      <c r="AD51" s="3">
        <v>0</v>
      </c>
      <c r="AE51" s="2">
        <v>0</v>
      </c>
      <c r="AF51" s="2">
        <v>175</v>
      </c>
      <c r="AK51">
        <v>6058584</v>
      </c>
    </row>
    <row r="52" spans="1:37" x14ac:dyDescent="0.25">
      <c r="A52" s="1">
        <v>46008</v>
      </c>
      <c r="B52" s="1">
        <v>46008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209</v>
      </c>
      <c r="J52" t="s">
        <v>210</v>
      </c>
      <c r="M52" t="s">
        <v>189</v>
      </c>
      <c r="O52" t="s">
        <v>74</v>
      </c>
      <c r="P52" t="s">
        <v>75</v>
      </c>
      <c r="Q52" t="s">
        <v>49</v>
      </c>
      <c r="R52" t="s">
        <v>58</v>
      </c>
      <c r="S52" s="1">
        <v>46023</v>
      </c>
      <c r="U52" t="s">
        <v>51</v>
      </c>
      <c r="X52" t="s">
        <v>52</v>
      </c>
      <c r="Y52" s="2">
        <v>0</v>
      </c>
      <c r="Z52" s="2">
        <v>175</v>
      </c>
      <c r="AA52">
        <v>1</v>
      </c>
      <c r="AB52" s="3">
        <v>1</v>
      </c>
      <c r="AC52" s="2">
        <v>175</v>
      </c>
      <c r="AD52" s="3">
        <v>0</v>
      </c>
      <c r="AE52" s="2">
        <v>0</v>
      </c>
      <c r="AF52" s="2">
        <v>175</v>
      </c>
      <c r="AK52">
        <v>6058585</v>
      </c>
    </row>
    <row r="53" spans="1:37" x14ac:dyDescent="0.25">
      <c r="A53" s="1">
        <v>46008</v>
      </c>
      <c r="B53" s="1">
        <v>46008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211</v>
      </c>
      <c r="J53" t="s">
        <v>212</v>
      </c>
      <c r="M53" t="s">
        <v>46</v>
      </c>
      <c r="O53" t="s">
        <v>213</v>
      </c>
      <c r="P53" t="s">
        <v>214</v>
      </c>
      <c r="Q53" t="s">
        <v>49</v>
      </c>
      <c r="R53" t="s">
        <v>58</v>
      </c>
      <c r="S53" s="1">
        <v>46023</v>
      </c>
      <c r="U53" t="s">
        <v>51</v>
      </c>
      <c r="X53" t="s">
        <v>52</v>
      </c>
      <c r="Y53" s="2">
        <v>0</v>
      </c>
      <c r="Z53" s="2">
        <v>175</v>
      </c>
      <c r="AA53">
        <v>1</v>
      </c>
      <c r="AB53" s="3">
        <v>1</v>
      </c>
      <c r="AC53" s="2">
        <v>175</v>
      </c>
      <c r="AD53" s="3">
        <v>0</v>
      </c>
      <c r="AE53" s="2">
        <v>0</v>
      </c>
      <c r="AF53" s="2">
        <v>175</v>
      </c>
      <c r="AK53">
        <v>6058586</v>
      </c>
    </row>
    <row r="54" spans="1:37" x14ac:dyDescent="0.25">
      <c r="A54" s="1">
        <v>46008</v>
      </c>
      <c r="B54" s="1">
        <v>46008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215</v>
      </c>
      <c r="J54" t="s">
        <v>216</v>
      </c>
      <c r="M54" t="s">
        <v>217</v>
      </c>
      <c r="O54" t="s">
        <v>218</v>
      </c>
      <c r="P54" t="s">
        <v>219</v>
      </c>
      <c r="Q54" t="s">
        <v>49</v>
      </c>
      <c r="R54" t="s">
        <v>58</v>
      </c>
      <c r="S54" s="1">
        <v>46023</v>
      </c>
      <c r="U54" t="s">
        <v>51</v>
      </c>
      <c r="X54" t="s">
        <v>52</v>
      </c>
      <c r="Y54" s="2">
        <v>0</v>
      </c>
      <c r="Z54" s="2">
        <v>175</v>
      </c>
      <c r="AA54">
        <v>1</v>
      </c>
      <c r="AB54" s="3">
        <v>1</v>
      </c>
      <c r="AC54" s="2">
        <v>175</v>
      </c>
      <c r="AD54" s="3">
        <v>0</v>
      </c>
      <c r="AE54" s="2">
        <v>0</v>
      </c>
      <c r="AF54" s="2">
        <v>175</v>
      </c>
      <c r="AK54">
        <v>6058364</v>
      </c>
    </row>
    <row r="55" spans="1:37" x14ac:dyDescent="0.25">
      <c r="A55" s="1">
        <v>46008</v>
      </c>
      <c r="B55" s="1">
        <v>46008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220</v>
      </c>
      <c r="J55" t="s">
        <v>221</v>
      </c>
      <c r="M55" t="s">
        <v>46</v>
      </c>
      <c r="O55" t="s">
        <v>74</v>
      </c>
      <c r="P55" t="s">
        <v>75</v>
      </c>
      <c r="Q55" t="s">
        <v>49</v>
      </c>
      <c r="R55" t="s">
        <v>58</v>
      </c>
      <c r="S55" s="1">
        <v>46023</v>
      </c>
      <c r="U55" t="s">
        <v>51</v>
      </c>
      <c r="X55" t="s">
        <v>52</v>
      </c>
      <c r="Y55" s="2">
        <v>0</v>
      </c>
      <c r="Z55" s="2">
        <v>175</v>
      </c>
      <c r="AA55">
        <v>1</v>
      </c>
      <c r="AB55" s="3">
        <v>1</v>
      </c>
      <c r="AC55" s="2">
        <v>175</v>
      </c>
      <c r="AD55" s="3">
        <v>0</v>
      </c>
      <c r="AE55" s="2">
        <v>0</v>
      </c>
      <c r="AF55" s="2">
        <v>175</v>
      </c>
      <c r="AK55">
        <v>6058588</v>
      </c>
    </row>
    <row r="56" spans="1:37" x14ac:dyDescent="0.25">
      <c r="A56" s="1">
        <v>46008</v>
      </c>
      <c r="B56" s="1">
        <v>46008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222</v>
      </c>
      <c r="J56" t="s">
        <v>223</v>
      </c>
      <c r="M56" t="s">
        <v>46</v>
      </c>
      <c r="O56" t="s">
        <v>47</v>
      </c>
      <c r="P56" t="s">
        <v>48</v>
      </c>
      <c r="Q56" t="s">
        <v>49</v>
      </c>
      <c r="R56" t="s">
        <v>58</v>
      </c>
      <c r="S56" s="1">
        <v>46023</v>
      </c>
      <c r="U56" t="s">
        <v>51</v>
      </c>
      <c r="X56" t="s">
        <v>52</v>
      </c>
      <c r="Y56" s="2">
        <v>0</v>
      </c>
      <c r="Z56" s="2">
        <v>175</v>
      </c>
      <c r="AA56">
        <v>1</v>
      </c>
      <c r="AB56" s="3">
        <v>1</v>
      </c>
      <c r="AC56" s="2">
        <v>175</v>
      </c>
      <c r="AD56" s="3">
        <v>0</v>
      </c>
      <c r="AE56" s="2">
        <v>0</v>
      </c>
      <c r="AF56" s="2">
        <v>175</v>
      </c>
      <c r="AK56">
        <v>6058589</v>
      </c>
    </row>
    <row r="57" spans="1:37" x14ac:dyDescent="0.25">
      <c r="A57" s="1">
        <v>46008</v>
      </c>
      <c r="B57" s="1">
        <v>46008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224</v>
      </c>
      <c r="J57" t="s">
        <v>225</v>
      </c>
      <c r="M57" t="s">
        <v>46</v>
      </c>
      <c r="O57" t="s">
        <v>226</v>
      </c>
      <c r="P57" t="s">
        <v>227</v>
      </c>
      <c r="Q57" t="s">
        <v>49</v>
      </c>
      <c r="R57" t="s">
        <v>50</v>
      </c>
      <c r="S57" s="1">
        <v>46023</v>
      </c>
      <c r="U57" t="s">
        <v>51</v>
      </c>
      <c r="X57" t="s">
        <v>52</v>
      </c>
      <c r="Y57" s="2">
        <v>0</v>
      </c>
      <c r="Z57" s="2">
        <v>108</v>
      </c>
      <c r="AA57">
        <v>1</v>
      </c>
      <c r="AB57" s="3">
        <v>1</v>
      </c>
      <c r="AC57" s="2">
        <v>108</v>
      </c>
      <c r="AD57" s="3">
        <v>0</v>
      </c>
      <c r="AE57" s="2">
        <v>0</v>
      </c>
      <c r="AF57" s="2">
        <v>108</v>
      </c>
      <c r="AK57">
        <v>6057760</v>
      </c>
    </row>
    <row r="58" spans="1:37" x14ac:dyDescent="0.25">
      <c r="A58" s="1">
        <v>46008</v>
      </c>
      <c r="B58" s="1">
        <v>46008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228</v>
      </c>
      <c r="J58" t="s">
        <v>229</v>
      </c>
      <c r="M58" t="s">
        <v>46</v>
      </c>
      <c r="O58" t="s">
        <v>47</v>
      </c>
      <c r="P58" t="s">
        <v>48</v>
      </c>
      <c r="Q58" t="s">
        <v>49</v>
      </c>
      <c r="R58" t="s">
        <v>58</v>
      </c>
      <c r="S58" s="1">
        <v>46023</v>
      </c>
      <c r="U58" t="s">
        <v>51</v>
      </c>
      <c r="X58" t="s">
        <v>52</v>
      </c>
      <c r="Y58" s="2">
        <v>0</v>
      </c>
      <c r="Z58" s="2">
        <v>175</v>
      </c>
      <c r="AA58">
        <v>1</v>
      </c>
      <c r="AB58" s="3">
        <v>1</v>
      </c>
      <c r="AC58" s="2">
        <v>175</v>
      </c>
      <c r="AD58" s="3">
        <v>0</v>
      </c>
      <c r="AE58" s="2">
        <v>0</v>
      </c>
      <c r="AF58" s="2">
        <v>175</v>
      </c>
      <c r="AK58">
        <v>6058592</v>
      </c>
    </row>
    <row r="59" spans="1:37" x14ac:dyDescent="0.25">
      <c r="A59" s="1">
        <v>46008</v>
      </c>
      <c r="B59" s="1">
        <v>46008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230</v>
      </c>
      <c r="J59" t="s">
        <v>231</v>
      </c>
      <c r="M59" t="s">
        <v>46</v>
      </c>
      <c r="O59" t="s">
        <v>232</v>
      </c>
      <c r="P59" t="s">
        <v>233</v>
      </c>
      <c r="Q59" t="s">
        <v>49</v>
      </c>
      <c r="R59" t="s">
        <v>58</v>
      </c>
      <c r="S59" s="1">
        <v>46023</v>
      </c>
      <c r="U59" t="s">
        <v>51</v>
      </c>
      <c r="X59" t="s">
        <v>52</v>
      </c>
      <c r="Y59" s="2">
        <v>0</v>
      </c>
      <c r="Z59" s="2">
        <v>175</v>
      </c>
      <c r="AA59">
        <v>1</v>
      </c>
      <c r="AB59" s="3">
        <v>1</v>
      </c>
      <c r="AC59" s="2">
        <v>175</v>
      </c>
      <c r="AD59" s="3">
        <v>0</v>
      </c>
      <c r="AE59" s="2">
        <v>0</v>
      </c>
      <c r="AF59" s="2">
        <v>175</v>
      </c>
      <c r="AK59">
        <v>6058593</v>
      </c>
    </row>
    <row r="60" spans="1:37" x14ac:dyDescent="0.25">
      <c r="A60" s="1">
        <v>46008</v>
      </c>
      <c r="B60" s="1">
        <v>46008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234</v>
      </c>
      <c r="J60" t="s">
        <v>235</v>
      </c>
      <c r="M60" t="s">
        <v>158</v>
      </c>
      <c r="O60" t="s">
        <v>62</v>
      </c>
      <c r="P60" t="s">
        <v>63</v>
      </c>
      <c r="Q60" t="s">
        <v>49</v>
      </c>
      <c r="R60" t="s">
        <v>58</v>
      </c>
      <c r="S60" s="1">
        <v>46023</v>
      </c>
      <c r="U60" t="s">
        <v>51</v>
      </c>
      <c r="X60" t="s">
        <v>52</v>
      </c>
      <c r="Y60" s="2">
        <v>0</v>
      </c>
      <c r="Z60" s="2">
        <v>175</v>
      </c>
      <c r="AA60">
        <v>1</v>
      </c>
      <c r="AB60" s="3">
        <v>1</v>
      </c>
      <c r="AC60" s="2">
        <v>175</v>
      </c>
      <c r="AD60" s="3">
        <v>0</v>
      </c>
      <c r="AE60" s="2">
        <v>0</v>
      </c>
      <c r="AF60" s="2">
        <v>175</v>
      </c>
      <c r="AK60">
        <v>6058594</v>
      </c>
    </row>
    <row r="61" spans="1:37" x14ac:dyDescent="0.25">
      <c r="A61" s="1">
        <v>46008</v>
      </c>
      <c r="B61" s="1">
        <v>46008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236</v>
      </c>
      <c r="J61" t="s">
        <v>237</v>
      </c>
      <c r="M61" t="s">
        <v>46</v>
      </c>
      <c r="O61" t="s">
        <v>238</v>
      </c>
      <c r="P61" t="s">
        <v>239</v>
      </c>
      <c r="Q61" t="s">
        <v>49</v>
      </c>
      <c r="R61" t="s">
        <v>58</v>
      </c>
      <c r="S61" s="1">
        <v>46023</v>
      </c>
      <c r="U61" t="s">
        <v>51</v>
      </c>
      <c r="X61" t="s">
        <v>52</v>
      </c>
      <c r="Y61" s="2">
        <v>0</v>
      </c>
      <c r="Z61" s="2">
        <v>175</v>
      </c>
      <c r="AA61">
        <v>1</v>
      </c>
      <c r="AB61" s="3">
        <v>1</v>
      </c>
      <c r="AC61" s="2">
        <v>175</v>
      </c>
      <c r="AD61" s="3">
        <v>0</v>
      </c>
      <c r="AE61" s="2">
        <v>0</v>
      </c>
      <c r="AF61" s="2">
        <v>175</v>
      </c>
      <c r="AK61">
        <v>6058595</v>
      </c>
    </row>
    <row r="62" spans="1:37" x14ac:dyDescent="0.25">
      <c r="A62" s="1">
        <v>46008</v>
      </c>
      <c r="B62" s="1">
        <v>46008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240</v>
      </c>
      <c r="J62" t="s">
        <v>241</v>
      </c>
      <c r="M62" t="s">
        <v>61</v>
      </c>
      <c r="O62" t="s">
        <v>242</v>
      </c>
      <c r="P62" t="s">
        <v>243</v>
      </c>
      <c r="Q62" t="s">
        <v>49</v>
      </c>
      <c r="R62" t="s">
        <v>58</v>
      </c>
      <c r="S62" s="1">
        <v>46023</v>
      </c>
      <c r="U62" t="s">
        <v>51</v>
      </c>
      <c r="X62" t="s">
        <v>52</v>
      </c>
      <c r="Y62" s="2">
        <v>0</v>
      </c>
      <c r="Z62" s="2">
        <v>175</v>
      </c>
      <c r="AA62">
        <v>1</v>
      </c>
      <c r="AB62" s="3">
        <v>1</v>
      </c>
      <c r="AC62" s="2">
        <v>175</v>
      </c>
      <c r="AD62" s="3">
        <v>0</v>
      </c>
      <c r="AE62" s="2">
        <v>0</v>
      </c>
      <c r="AF62" s="2">
        <v>175</v>
      </c>
      <c r="AK62">
        <v>6058371</v>
      </c>
    </row>
    <row r="63" spans="1:37" x14ac:dyDescent="0.25">
      <c r="A63" s="1">
        <v>46008</v>
      </c>
      <c r="B63" s="1">
        <v>46008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244</v>
      </c>
      <c r="J63" t="s">
        <v>245</v>
      </c>
      <c r="M63" t="s">
        <v>46</v>
      </c>
      <c r="O63" t="s">
        <v>74</v>
      </c>
      <c r="P63" t="s">
        <v>75</v>
      </c>
      <c r="Q63" t="s">
        <v>49</v>
      </c>
      <c r="R63" t="s">
        <v>58</v>
      </c>
      <c r="S63" s="1">
        <v>46023</v>
      </c>
      <c r="U63" t="s">
        <v>51</v>
      </c>
      <c r="X63" t="s">
        <v>52</v>
      </c>
      <c r="Y63" s="2">
        <v>0</v>
      </c>
      <c r="Z63" s="2">
        <v>175</v>
      </c>
      <c r="AA63">
        <v>1</v>
      </c>
      <c r="AB63" s="3">
        <v>1</v>
      </c>
      <c r="AC63" s="2">
        <v>175</v>
      </c>
      <c r="AD63" s="3">
        <v>0</v>
      </c>
      <c r="AE63" s="2">
        <v>0</v>
      </c>
      <c r="AF63" s="2">
        <v>175</v>
      </c>
      <c r="AK63">
        <v>6058598</v>
      </c>
    </row>
    <row r="64" spans="1:37" x14ac:dyDescent="0.25">
      <c r="A64" s="1">
        <v>46008</v>
      </c>
      <c r="B64" s="1">
        <v>46008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246</v>
      </c>
      <c r="J64" t="s">
        <v>247</v>
      </c>
      <c r="M64" t="s">
        <v>217</v>
      </c>
      <c r="O64" t="s">
        <v>218</v>
      </c>
      <c r="P64" t="s">
        <v>219</v>
      </c>
      <c r="Q64" t="s">
        <v>49</v>
      </c>
      <c r="R64" t="s">
        <v>58</v>
      </c>
      <c r="S64" s="1">
        <v>46023</v>
      </c>
      <c r="U64" t="s">
        <v>51</v>
      </c>
      <c r="X64" t="s">
        <v>52</v>
      </c>
      <c r="Y64" s="2">
        <v>0</v>
      </c>
      <c r="Z64" s="2">
        <v>175</v>
      </c>
      <c r="AA64">
        <v>1</v>
      </c>
      <c r="AB64" s="3">
        <v>1</v>
      </c>
      <c r="AC64" s="2">
        <v>175</v>
      </c>
      <c r="AD64" s="3">
        <v>0</v>
      </c>
      <c r="AE64" s="2">
        <v>0</v>
      </c>
      <c r="AF64" s="2">
        <v>175</v>
      </c>
      <c r="AK64">
        <v>6058380</v>
      </c>
    </row>
    <row r="65" spans="1:37" x14ac:dyDescent="0.25">
      <c r="A65" s="1">
        <v>46008</v>
      </c>
      <c r="B65" s="1">
        <v>46008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248</v>
      </c>
      <c r="J65" t="s">
        <v>249</v>
      </c>
      <c r="M65" t="s">
        <v>46</v>
      </c>
      <c r="O65" t="s">
        <v>66</v>
      </c>
      <c r="P65" t="s">
        <v>67</v>
      </c>
      <c r="Q65" t="s">
        <v>49</v>
      </c>
      <c r="R65" t="s">
        <v>50</v>
      </c>
      <c r="S65" s="1">
        <v>46023</v>
      </c>
      <c r="U65" t="s">
        <v>51</v>
      </c>
      <c r="X65" t="s">
        <v>52</v>
      </c>
      <c r="Y65" s="2">
        <v>0</v>
      </c>
      <c r="Z65" s="2">
        <v>108</v>
      </c>
      <c r="AA65">
        <v>1</v>
      </c>
      <c r="AB65" s="3">
        <v>1</v>
      </c>
      <c r="AC65" s="2">
        <v>108</v>
      </c>
      <c r="AD65" s="3">
        <v>0</v>
      </c>
      <c r="AE65" s="2">
        <v>0</v>
      </c>
      <c r="AF65" s="2">
        <v>108</v>
      </c>
      <c r="AK65">
        <v>6057763</v>
      </c>
    </row>
    <row r="66" spans="1:37" x14ac:dyDescent="0.25">
      <c r="A66" s="1">
        <v>46008</v>
      </c>
      <c r="B66" s="1">
        <v>46008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250</v>
      </c>
      <c r="J66" t="s">
        <v>251</v>
      </c>
      <c r="M66" t="s">
        <v>46</v>
      </c>
      <c r="O66" t="s">
        <v>226</v>
      </c>
      <c r="P66" t="s">
        <v>227</v>
      </c>
      <c r="Q66" t="s">
        <v>49</v>
      </c>
      <c r="R66" t="s">
        <v>58</v>
      </c>
      <c r="S66" s="1">
        <v>46023</v>
      </c>
      <c r="U66" t="s">
        <v>51</v>
      </c>
      <c r="X66" t="s">
        <v>52</v>
      </c>
      <c r="Y66" s="2">
        <v>0</v>
      </c>
      <c r="Z66" s="2">
        <v>175</v>
      </c>
      <c r="AA66">
        <v>1</v>
      </c>
      <c r="AB66" s="3">
        <v>1</v>
      </c>
      <c r="AC66" s="2">
        <v>175</v>
      </c>
      <c r="AD66" s="3">
        <v>0</v>
      </c>
      <c r="AE66" s="2">
        <v>0</v>
      </c>
      <c r="AF66" s="2">
        <v>175</v>
      </c>
      <c r="AK66">
        <v>6058630</v>
      </c>
    </row>
    <row r="67" spans="1:37" x14ac:dyDescent="0.25">
      <c r="A67" s="1">
        <v>46008</v>
      </c>
      <c r="B67" s="1">
        <v>46008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252</v>
      </c>
      <c r="J67" t="s">
        <v>253</v>
      </c>
      <c r="M67" t="s">
        <v>46</v>
      </c>
      <c r="O67" t="s">
        <v>254</v>
      </c>
      <c r="P67" t="s">
        <v>255</v>
      </c>
      <c r="Q67" t="s">
        <v>49</v>
      </c>
      <c r="R67" t="s">
        <v>58</v>
      </c>
      <c r="S67" s="1">
        <v>46023</v>
      </c>
      <c r="U67" t="s">
        <v>51</v>
      </c>
      <c r="X67" t="s">
        <v>52</v>
      </c>
      <c r="Y67" s="2">
        <v>0</v>
      </c>
      <c r="Z67" s="2">
        <v>175</v>
      </c>
      <c r="AA67">
        <v>1</v>
      </c>
      <c r="AB67" s="3">
        <v>1</v>
      </c>
      <c r="AC67" s="2">
        <v>175</v>
      </c>
      <c r="AD67" s="3">
        <v>0</v>
      </c>
      <c r="AE67" s="2">
        <v>0</v>
      </c>
      <c r="AF67" s="2">
        <v>175</v>
      </c>
      <c r="AK67">
        <v>6058634</v>
      </c>
    </row>
    <row r="68" spans="1:37" x14ac:dyDescent="0.25">
      <c r="A68" s="1">
        <v>46008</v>
      </c>
      <c r="B68" s="1">
        <v>46008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256</v>
      </c>
      <c r="J68" t="s">
        <v>257</v>
      </c>
      <c r="M68" t="s">
        <v>46</v>
      </c>
      <c r="O68" t="s">
        <v>258</v>
      </c>
      <c r="P68" t="s">
        <v>259</v>
      </c>
      <c r="Q68" t="s">
        <v>49</v>
      </c>
      <c r="R68" t="s">
        <v>58</v>
      </c>
      <c r="S68" s="1">
        <v>46023</v>
      </c>
      <c r="U68" t="s">
        <v>51</v>
      </c>
      <c r="X68" t="s">
        <v>52</v>
      </c>
      <c r="Y68" s="2">
        <v>0</v>
      </c>
      <c r="Z68" s="2">
        <v>175</v>
      </c>
      <c r="AA68">
        <v>1</v>
      </c>
      <c r="AB68" s="3">
        <v>1</v>
      </c>
      <c r="AC68" s="2">
        <v>175</v>
      </c>
      <c r="AD68" s="3">
        <v>0</v>
      </c>
      <c r="AE68" s="2">
        <v>0</v>
      </c>
      <c r="AF68" s="2">
        <v>175</v>
      </c>
      <c r="AK68">
        <v>6058399</v>
      </c>
    </row>
    <row r="69" spans="1:37" x14ac:dyDescent="0.25">
      <c r="A69" s="1">
        <v>46008</v>
      </c>
      <c r="B69" s="1">
        <v>46008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260</v>
      </c>
      <c r="J69" t="s">
        <v>261</v>
      </c>
      <c r="M69" t="s">
        <v>262</v>
      </c>
      <c r="O69" t="s">
        <v>108</v>
      </c>
      <c r="P69" t="s">
        <v>109</v>
      </c>
      <c r="Q69" t="s">
        <v>49</v>
      </c>
      <c r="R69" t="s">
        <v>58</v>
      </c>
      <c r="S69" s="1">
        <v>46023</v>
      </c>
      <c r="U69" t="s">
        <v>51</v>
      </c>
      <c r="X69" t="s">
        <v>52</v>
      </c>
      <c r="Y69" s="2">
        <v>0</v>
      </c>
      <c r="Z69" s="2">
        <v>175</v>
      </c>
      <c r="AA69">
        <v>1</v>
      </c>
      <c r="AB69" s="3">
        <v>1</v>
      </c>
      <c r="AC69" s="2">
        <v>175</v>
      </c>
      <c r="AD69" s="3">
        <v>0</v>
      </c>
      <c r="AE69" s="2">
        <v>0</v>
      </c>
      <c r="AF69" s="2">
        <v>175</v>
      </c>
      <c r="AK69">
        <v>6058666</v>
      </c>
    </row>
    <row r="70" spans="1:37" x14ac:dyDescent="0.25">
      <c r="A70" s="1">
        <v>46008</v>
      </c>
      <c r="B70" s="1">
        <v>46008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263</v>
      </c>
      <c r="J70" t="s">
        <v>264</v>
      </c>
      <c r="M70" t="s">
        <v>265</v>
      </c>
      <c r="O70" t="s">
        <v>266</v>
      </c>
      <c r="P70" t="s">
        <v>267</v>
      </c>
      <c r="Q70" t="s">
        <v>49</v>
      </c>
      <c r="R70" t="s">
        <v>58</v>
      </c>
      <c r="S70" s="1">
        <v>46023</v>
      </c>
      <c r="U70" t="s">
        <v>51</v>
      </c>
      <c r="X70" t="s">
        <v>52</v>
      </c>
      <c r="Y70" s="2">
        <v>0</v>
      </c>
      <c r="Z70" s="2">
        <v>175</v>
      </c>
      <c r="AA70">
        <v>1</v>
      </c>
      <c r="AB70" s="3">
        <v>1</v>
      </c>
      <c r="AC70" s="2">
        <v>175</v>
      </c>
      <c r="AD70" s="3">
        <v>0</v>
      </c>
      <c r="AE70" s="2">
        <v>0</v>
      </c>
      <c r="AF70" s="2">
        <v>175</v>
      </c>
      <c r="AK70">
        <v>6058667</v>
      </c>
    </row>
    <row r="71" spans="1:37" x14ac:dyDescent="0.25">
      <c r="A71" s="1">
        <v>46008</v>
      </c>
      <c r="B71" s="1">
        <v>46008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268</v>
      </c>
      <c r="J71" t="s">
        <v>269</v>
      </c>
      <c r="M71" t="s">
        <v>55</v>
      </c>
      <c r="O71" t="s">
        <v>270</v>
      </c>
      <c r="P71" t="s">
        <v>271</v>
      </c>
      <c r="Q71" t="s">
        <v>49</v>
      </c>
      <c r="R71" t="s">
        <v>58</v>
      </c>
      <c r="S71" s="1">
        <v>46023</v>
      </c>
      <c r="U71" t="s">
        <v>51</v>
      </c>
      <c r="X71" t="s">
        <v>52</v>
      </c>
      <c r="Y71" s="2">
        <v>0</v>
      </c>
      <c r="Z71" s="2">
        <v>175</v>
      </c>
      <c r="AA71">
        <v>1</v>
      </c>
      <c r="AB71" s="3">
        <v>1</v>
      </c>
      <c r="AC71" s="2">
        <v>175</v>
      </c>
      <c r="AD71" s="3">
        <v>0</v>
      </c>
      <c r="AE71" s="2">
        <v>0</v>
      </c>
      <c r="AF71" s="2">
        <v>175</v>
      </c>
      <c r="AK71">
        <v>6058670</v>
      </c>
    </row>
    <row r="72" spans="1:37" x14ac:dyDescent="0.25">
      <c r="A72" s="1">
        <v>46008</v>
      </c>
      <c r="B72" s="1">
        <v>46008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272</v>
      </c>
      <c r="J72" t="s">
        <v>273</v>
      </c>
      <c r="M72" t="s">
        <v>61</v>
      </c>
      <c r="O72" t="s">
        <v>201</v>
      </c>
      <c r="P72" t="s">
        <v>202</v>
      </c>
      <c r="Q72" t="s">
        <v>49</v>
      </c>
      <c r="R72" t="s">
        <v>50</v>
      </c>
      <c r="S72" s="1">
        <v>46023</v>
      </c>
      <c r="U72" t="s">
        <v>51</v>
      </c>
      <c r="X72" t="s">
        <v>52</v>
      </c>
      <c r="Y72" s="2">
        <v>0</v>
      </c>
      <c r="Z72" s="2">
        <v>108</v>
      </c>
      <c r="AA72">
        <v>1</v>
      </c>
      <c r="AB72" s="3">
        <v>1</v>
      </c>
      <c r="AC72" s="2">
        <v>108</v>
      </c>
      <c r="AD72" s="3">
        <v>0</v>
      </c>
      <c r="AE72" s="2">
        <v>0</v>
      </c>
      <c r="AF72" s="2">
        <v>108</v>
      </c>
      <c r="AK72">
        <v>6057764</v>
      </c>
    </row>
    <row r="73" spans="1:37" x14ac:dyDescent="0.25">
      <c r="A73" s="1">
        <v>46008</v>
      </c>
      <c r="B73" s="1">
        <v>46008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274</v>
      </c>
      <c r="J73" t="s">
        <v>275</v>
      </c>
      <c r="M73" t="s">
        <v>46</v>
      </c>
      <c r="O73" t="s">
        <v>66</v>
      </c>
      <c r="P73" t="s">
        <v>67</v>
      </c>
      <c r="Q73" t="s">
        <v>49</v>
      </c>
      <c r="R73" t="s">
        <v>58</v>
      </c>
      <c r="S73" s="1">
        <v>46023</v>
      </c>
      <c r="U73" t="s">
        <v>51</v>
      </c>
      <c r="X73" t="s">
        <v>52</v>
      </c>
      <c r="Y73" s="2">
        <v>0</v>
      </c>
      <c r="Z73" s="2">
        <v>175</v>
      </c>
      <c r="AA73">
        <v>1</v>
      </c>
      <c r="AB73" s="3">
        <v>1</v>
      </c>
      <c r="AC73" s="2">
        <v>175</v>
      </c>
      <c r="AD73" s="3">
        <v>0</v>
      </c>
      <c r="AE73" s="2">
        <v>0</v>
      </c>
      <c r="AF73" s="2">
        <v>175</v>
      </c>
      <c r="AK73">
        <v>6058690</v>
      </c>
    </row>
    <row r="74" spans="1:37" x14ac:dyDescent="0.25">
      <c r="A74" s="1">
        <v>46008</v>
      </c>
      <c r="B74" s="1">
        <v>46008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276</v>
      </c>
      <c r="J74" t="s">
        <v>277</v>
      </c>
      <c r="M74" t="s">
        <v>46</v>
      </c>
      <c r="O74" t="s">
        <v>278</v>
      </c>
      <c r="P74" t="s">
        <v>279</v>
      </c>
      <c r="Q74" t="s">
        <v>49</v>
      </c>
      <c r="R74" t="s">
        <v>58</v>
      </c>
      <c r="S74" s="1">
        <v>46023</v>
      </c>
      <c r="U74" t="s">
        <v>51</v>
      </c>
      <c r="X74" t="s">
        <v>52</v>
      </c>
      <c r="Y74" s="2">
        <v>0</v>
      </c>
      <c r="Z74" s="2">
        <v>175</v>
      </c>
      <c r="AA74">
        <v>1</v>
      </c>
      <c r="AB74" s="3">
        <v>1</v>
      </c>
      <c r="AC74" s="2">
        <v>175</v>
      </c>
      <c r="AD74" s="3">
        <v>0</v>
      </c>
      <c r="AE74" s="2">
        <v>0</v>
      </c>
      <c r="AF74" s="2">
        <v>175</v>
      </c>
      <c r="AK74">
        <v>6058695</v>
      </c>
    </row>
    <row r="75" spans="1:37" x14ac:dyDescent="0.25">
      <c r="A75" s="1">
        <v>46008</v>
      </c>
      <c r="B75" s="1">
        <v>46008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280</v>
      </c>
      <c r="J75" t="s">
        <v>281</v>
      </c>
      <c r="M75" t="s">
        <v>46</v>
      </c>
      <c r="O75" t="s">
        <v>66</v>
      </c>
      <c r="P75" t="s">
        <v>67</v>
      </c>
      <c r="Q75" t="s">
        <v>49</v>
      </c>
      <c r="R75" t="s">
        <v>50</v>
      </c>
      <c r="S75" s="1">
        <v>46023</v>
      </c>
      <c r="U75" t="s">
        <v>51</v>
      </c>
      <c r="X75" t="s">
        <v>52</v>
      </c>
      <c r="Y75" s="2">
        <v>0</v>
      </c>
      <c r="Z75" s="2">
        <v>108</v>
      </c>
      <c r="AA75">
        <v>1</v>
      </c>
      <c r="AB75" s="3">
        <v>1</v>
      </c>
      <c r="AC75" s="2">
        <v>108</v>
      </c>
      <c r="AD75" s="3">
        <v>0</v>
      </c>
      <c r="AE75" s="2">
        <v>0</v>
      </c>
      <c r="AF75" s="2">
        <v>108</v>
      </c>
      <c r="AK75">
        <v>6057765</v>
      </c>
    </row>
    <row r="76" spans="1:37" x14ac:dyDescent="0.25">
      <c r="A76" s="1">
        <v>46008</v>
      </c>
      <c r="B76" s="1">
        <v>46008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282</v>
      </c>
      <c r="J76" t="s">
        <v>283</v>
      </c>
      <c r="M76" t="s">
        <v>46</v>
      </c>
      <c r="O76" t="s">
        <v>56</v>
      </c>
      <c r="P76" t="s">
        <v>57</v>
      </c>
      <c r="Q76" t="s">
        <v>49</v>
      </c>
      <c r="R76" t="s">
        <v>50</v>
      </c>
      <c r="S76" s="1">
        <v>46023</v>
      </c>
      <c r="U76" t="s">
        <v>51</v>
      </c>
      <c r="X76" t="s">
        <v>52</v>
      </c>
      <c r="Y76" s="2">
        <v>0</v>
      </c>
      <c r="Z76" s="2">
        <v>108</v>
      </c>
      <c r="AA76">
        <v>1</v>
      </c>
      <c r="AB76" s="3">
        <v>1</v>
      </c>
      <c r="AC76" s="2">
        <v>108</v>
      </c>
      <c r="AD76" s="3">
        <v>0</v>
      </c>
      <c r="AE76" s="2">
        <v>0</v>
      </c>
      <c r="AF76" s="2">
        <v>108</v>
      </c>
      <c r="AK76">
        <v>6057766</v>
      </c>
    </row>
    <row r="77" spans="1:37" x14ac:dyDescent="0.25">
      <c r="A77" s="1">
        <v>46008</v>
      </c>
      <c r="B77" s="1">
        <v>46008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284</v>
      </c>
      <c r="J77" t="s">
        <v>285</v>
      </c>
      <c r="M77" t="s">
        <v>78</v>
      </c>
      <c r="O77" t="s">
        <v>151</v>
      </c>
      <c r="P77" t="s">
        <v>152</v>
      </c>
      <c r="Q77" t="s">
        <v>49</v>
      </c>
      <c r="R77" t="s">
        <v>58</v>
      </c>
      <c r="S77" s="1">
        <v>46023</v>
      </c>
      <c r="U77" t="s">
        <v>51</v>
      </c>
      <c r="X77" t="s">
        <v>52</v>
      </c>
      <c r="Y77" s="2">
        <v>0</v>
      </c>
      <c r="Z77" s="2">
        <v>175</v>
      </c>
      <c r="AA77">
        <v>1</v>
      </c>
      <c r="AB77" s="3">
        <v>1</v>
      </c>
      <c r="AC77" s="2">
        <v>175</v>
      </c>
      <c r="AD77" s="3">
        <v>0</v>
      </c>
      <c r="AE77" s="2">
        <v>0</v>
      </c>
      <c r="AF77" s="2">
        <v>175</v>
      </c>
      <c r="AK77">
        <v>6058696</v>
      </c>
    </row>
    <row r="78" spans="1:37" x14ac:dyDescent="0.25">
      <c r="A78" s="1">
        <v>46008</v>
      </c>
      <c r="B78" s="1">
        <v>46008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286</v>
      </c>
      <c r="J78" t="s">
        <v>287</v>
      </c>
      <c r="M78" t="s">
        <v>46</v>
      </c>
      <c r="O78" t="s">
        <v>47</v>
      </c>
      <c r="P78" t="s">
        <v>48</v>
      </c>
      <c r="Q78" t="s">
        <v>49</v>
      </c>
      <c r="R78" t="s">
        <v>58</v>
      </c>
      <c r="S78" s="1">
        <v>46023</v>
      </c>
      <c r="U78" t="s">
        <v>51</v>
      </c>
      <c r="X78" t="s">
        <v>52</v>
      </c>
      <c r="Y78" s="2">
        <v>0</v>
      </c>
      <c r="Z78" s="2">
        <v>175</v>
      </c>
      <c r="AA78">
        <v>1</v>
      </c>
      <c r="AB78" s="3">
        <v>1</v>
      </c>
      <c r="AC78" s="2">
        <v>175</v>
      </c>
      <c r="AD78" s="3">
        <v>0</v>
      </c>
      <c r="AE78" s="2">
        <v>0</v>
      </c>
      <c r="AF78" s="2">
        <v>175</v>
      </c>
      <c r="AK78">
        <v>6058697</v>
      </c>
    </row>
    <row r="79" spans="1:37" x14ac:dyDescent="0.25">
      <c r="A79" s="1">
        <v>46008</v>
      </c>
      <c r="B79" s="1">
        <v>46008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288</v>
      </c>
      <c r="J79" t="s">
        <v>289</v>
      </c>
      <c r="M79" t="s">
        <v>46</v>
      </c>
      <c r="O79" t="s">
        <v>135</v>
      </c>
      <c r="P79" t="s">
        <v>136</v>
      </c>
      <c r="Q79" t="s">
        <v>49</v>
      </c>
      <c r="R79" t="s">
        <v>58</v>
      </c>
      <c r="S79" s="1">
        <v>46023</v>
      </c>
      <c r="U79" t="s">
        <v>51</v>
      </c>
      <c r="X79" t="s">
        <v>52</v>
      </c>
      <c r="Y79" s="2">
        <v>0</v>
      </c>
      <c r="Z79" s="2">
        <v>175</v>
      </c>
      <c r="AA79">
        <v>1</v>
      </c>
      <c r="AB79" s="3">
        <v>1</v>
      </c>
      <c r="AC79" s="2">
        <v>175</v>
      </c>
      <c r="AD79" s="3">
        <v>0</v>
      </c>
      <c r="AE79" s="2">
        <v>0</v>
      </c>
      <c r="AF79" s="2">
        <v>175</v>
      </c>
      <c r="AK79">
        <v>6058733</v>
      </c>
    </row>
    <row r="80" spans="1:37" x14ac:dyDescent="0.25">
      <c r="A80" s="1">
        <v>46008</v>
      </c>
      <c r="B80" s="1">
        <v>46008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290</v>
      </c>
      <c r="J80" t="s">
        <v>291</v>
      </c>
      <c r="M80" t="s">
        <v>78</v>
      </c>
      <c r="O80" t="s">
        <v>183</v>
      </c>
      <c r="P80" t="s">
        <v>184</v>
      </c>
      <c r="Q80" t="s">
        <v>49</v>
      </c>
      <c r="R80" t="s">
        <v>58</v>
      </c>
      <c r="S80" s="1">
        <v>46023</v>
      </c>
      <c r="U80" t="s">
        <v>51</v>
      </c>
      <c r="X80" t="s">
        <v>52</v>
      </c>
      <c r="Y80" s="2">
        <v>0</v>
      </c>
      <c r="Z80" s="2">
        <v>175</v>
      </c>
      <c r="AA80">
        <v>1</v>
      </c>
      <c r="AB80" s="3">
        <v>1</v>
      </c>
      <c r="AC80" s="2">
        <v>175</v>
      </c>
      <c r="AD80" s="3">
        <v>0</v>
      </c>
      <c r="AE80" s="2">
        <v>0</v>
      </c>
      <c r="AF80" s="2">
        <v>175</v>
      </c>
      <c r="AK80">
        <v>6058734</v>
      </c>
    </row>
    <row r="81" spans="1:37" x14ac:dyDescent="0.25">
      <c r="A81" s="1">
        <v>46008</v>
      </c>
      <c r="B81" s="1">
        <v>46008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292</v>
      </c>
      <c r="J81" t="s">
        <v>293</v>
      </c>
      <c r="M81" t="s">
        <v>294</v>
      </c>
      <c r="O81" t="s">
        <v>295</v>
      </c>
      <c r="P81" t="s">
        <v>296</v>
      </c>
      <c r="Q81" t="s">
        <v>49</v>
      </c>
      <c r="R81" t="s">
        <v>58</v>
      </c>
      <c r="S81" s="1">
        <v>46023</v>
      </c>
      <c r="U81" t="s">
        <v>51</v>
      </c>
      <c r="X81" t="s">
        <v>52</v>
      </c>
      <c r="Y81" s="2">
        <v>0</v>
      </c>
      <c r="Z81" s="2">
        <v>175</v>
      </c>
      <c r="AA81">
        <v>1</v>
      </c>
      <c r="AB81" s="3">
        <v>1</v>
      </c>
      <c r="AC81" s="2">
        <v>175</v>
      </c>
      <c r="AD81" s="3">
        <v>0</v>
      </c>
      <c r="AE81" s="2">
        <v>0</v>
      </c>
      <c r="AF81" s="2">
        <v>175</v>
      </c>
      <c r="AK81">
        <v>6058739</v>
      </c>
    </row>
    <row r="82" spans="1:37" x14ac:dyDescent="0.25">
      <c r="A82" s="1">
        <v>46008</v>
      </c>
      <c r="B82" s="1">
        <v>46008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297</v>
      </c>
      <c r="J82" t="s">
        <v>298</v>
      </c>
      <c r="M82" t="s">
        <v>294</v>
      </c>
      <c r="O82" t="s">
        <v>299</v>
      </c>
      <c r="P82" t="s">
        <v>300</v>
      </c>
      <c r="Q82" t="s">
        <v>49</v>
      </c>
      <c r="R82" t="s">
        <v>58</v>
      </c>
      <c r="S82" s="1">
        <v>46023</v>
      </c>
      <c r="U82" t="s">
        <v>51</v>
      </c>
      <c r="X82" t="s">
        <v>52</v>
      </c>
      <c r="Y82" s="2">
        <v>0</v>
      </c>
      <c r="Z82" s="2">
        <v>175</v>
      </c>
      <c r="AA82">
        <v>1</v>
      </c>
      <c r="AB82" s="3">
        <v>1</v>
      </c>
      <c r="AC82" s="2">
        <v>175</v>
      </c>
      <c r="AD82" s="3">
        <v>0</v>
      </c>
      <c r="AE82" s="2">
        <v>0</v>
      </c>
      <c r="AF82" s="2">
        <v>175</v>
      </c>
      <c r="AK82">
        <v>6058740</v>
      </c>
    </row>
    <row r="83" spans="1:37" x14ac:dyDescent="0.25">
      <c r="A83" s="1">
        <v>46008</v>
      </c>
      <c r="B83" s="1">
        <v>46008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301</v>
      </c>
      <c r="J83" t="s">
        <v>302</v>
      </c>
      <c r="M83" t="s">
        <v>61</v>
      </c>
      <c r="O83" t="s">
        <v>169</v>
      </c>
      <c r="P83" t="s">
        <v>170</v>
      </c>
      <c r="Q83" t="s">
        <v>49</v>
      </c>
      <c r="R83" t="s">
        <v>58</v>
      </c>
      <c r="S83" s="1">
        <v>46023</v>
      </c>
      <c r="U83" t="s">
        <v>51</v>
      </c>
      <c r="X83" t="s">
        <v>52</v>
      </c>
      <c r="Y83" s="2">
        <v>0</v>
      </c>
      <c r="Z83" s="2">
        <v>175</v>
      </c>
      <c r="AA83">
        <v>1</v>
      </c>
      <c r="AB83" s="3">
        <v>1</v>
      </c>
      <c r="AC83" s="2">
        <v>175</v>
      </c>
      <c r="AD83" s="3">
        <v>0</v>
      </c>
      <c r="AE83" s="2">
        <v>0</v>
      </c>
      <c r="AF83" s="2">
        <v>175</v>
      </c>
      <c r="AK83">
        <v>6058741</v>
      </c>
    </row>
    <row r="84" spans="1:37" x14ac:dyDescent="0.25">
      <c r="A84" s="1">
        <v>46008</v>
      </c>
      <c r="B84" s="1">
        <v>46008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303</v>
      </c>
      <c r="J84" t="s">
        <v>304</v>
      </c>
      <c r="M84" t="s">
        <v>305</v>
      </c>
      <c r="O84" t="s">
        <v>74</v>
      </c>
      <c r="P84" t="s">
        <v>75</v>
      </c>
      <c r="Q84" t="s">
        <v>49</v>
      </c>
      <c r="R84" t="s">
        <v>58</v>
      </c>
      <c r="S84" s="1">
        <v>46023</v>
      </c>
      <c r="U84" t="s">
        <v>51</v>
      </c>
      <c r="X84" t="s">
        <v>52</v>
      </c>
      <c r="Y84" s="2">
        <v>0</v>
      </c>
      <c r="Z84" s="2">
        <v>175</v>
      </c>
      <c r="AA84">
        <v>1</v>
      </c>
      <c r="AB84" s="3">
        <v>1</v>
      </c>
      <c r="AC84" s="2">
        <v>175</v>
      </c>
      <c r="AD84" s="3">
        <v>0</v>
      </c>
      <c r="AE84" s="2">
        <v>0</v>
      </c>
      <c r="AF84" s="2">
        <v>175</v>
      </c>
      <c r="AK84">
        <v>6058747</v>
      </c>
    </row>
    <row r="85" spans="1:37" x14ac:dyDescent="0.25">
      <c r="A85" s="1">
        <v>46008</v>
      </c>
      <c r="B85" s="1">
        <v>46008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306</v>
      </c>
      <c r="J85" t="s">
        <v>307</v>
      </c>
      <c r="M85" t="s">
        <v>189</v>
      </c>
      <c r="O85" t="s">
        <v>266</v>
      </c>
      <c r="P85" t="s">
        <v>267</v>
      </c>
      <c r="Q85" t="s">
        <v>49</v>
      </c>
      <c r="R85" t="s">
        <v>58</v>
      </c>
      <c r="S85" s="1">
        <v>46023</v>
      </c>
      <c r="U85" t="s">
        <v>51</v>
      </c>
      <c r="X85" t="s">
        <v>52</v>
      </c>
      <c r="Y85" s="2">
        <v>0</v>
      </c>
      <c r="Z85" s="2">
        <v>175</v>
      </c>
      <c r="AA85">
        <v>1</v>
      </c>
      <c r="AB85" s="3">
        <v>1</v>
      </c>
      <c r="AC85" s="2">
        <v>175</v>
      </c>
      <c r="AD85" s="3">
        <v>0</v>
      </c>
      <c r="AE85" s="2">
        <v>0</v>
      </c>
      <c r="AF85" s="2">
        <v>175</v>
      </c>
      <c r="AK85">
        <v>6058748</v>
      </c>
    </row>
    <row r="86" spans="1:37" x14ac:dyDescent="0.25">
      <c r="A86" s="1">
        <v>46008</v>
      </c>
      <c r="B86" s="1">
        <v>46008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308</v>
      </c>
      <c r="J86" t="s">
        <v>309</v>
      </c>
      <c r="M86" t="s">
        <v>46</v>
      </c>
      <c r="O86" t="s">
        <v>47</v>
      </c>
      <c r="P86" t="s">
        <v>48</v>
      </c>
      <c r="Q86" t="s">
        <v>49</v>
      </c>
      <c r="R86" t="s">
        <v>58</v>
      </c>
      <c r="S86" s="1">
        <v>46023</v>
      </c>
      <c r="U86" t="s">
        <v>51</v>
      </c>
      <c r="X86" t="s">
        <v>52</v>
      </c>
      <c r="Y86" s="2">
        <v>0</v>
      </c>
      <c r="Z86" s="2">
        <v>175</v>
      </c>
      <c r="AA86">
        <v>1</v>
      </c>
      <c r="AB86" s="3">
        <v>1</v>
      </c>
      <c r="AC86" s="2">
        <v>175</v>
      </c>
      <c r="AD86" s="3">
        <v>0</v>
      </c>
      <c r="AE86" s="2">
        <v>0</v>
      </c>
      <c r="AF86" s="2">
        <v>175</v>
      </c>
      <c r="AK86">
        <v>6058766</v>
      </c>
    </row>
    <row r="87" spans="1:37" x14ac:dyDescent="0.25">
      <c r="A87" s="1">
        <v>46008</v>
      </c>
      <c r="B87" s="1">
        <v>46008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310</v>
      </c>
      <c r="J87" t="s">
        <v>311</v>
      </c>
      <c r="M87" t="s">
        <v>46</v>
      </c>
      <c r="O87" t="s">
        <v>66</v>
      </c>
      <c r="P87" t="s">
        <v>67</v>
      </c>
      <c r="Q87" t="s">
        <v>49</v>
      </c>
      <c r="R87" t="s">
        <v>58</v>
      </c>
      <c r="S87" s="1">
        <v>46023</v>
      </c>
      <c r="U87" t="s">
        <v>51</v>
      </c>
      <c r="X87" t="s">
        <v>52</v>
      </c>
      <c r="Y87" s="2">
        <v>0</v>
      </c>
      <c r="Z87" s="2">
        <v>175</v>
      </c>
      <c r="AA87">
        <v>1</v>
      </c>
      <c r="AB87" s="3">
        <v>1</v>
      </c>
      <c r="AC87" s="2">
        <v>175</v>
      </c>
      <c r="AD87" s="3">
        <v>0</v>
      </c>
      <c r="AE87" s="2">
        <v>0</v>
      </c>
      <c r="AF87" s="2">
        <v>175</v>
      </c>
      <c r="AK87">
        <v>6058767</v>
      </c>
    </row>
    <row r="88" spans="1:37" x14ac:dyDescent="0.25">
      <c r="A88" s="1">
        <v>46008</v>
      </c>
      <c r="B88" s="1">
        <v>46008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312</v>
      </c>
      <c r="J88" t="s">
        <v>313</v>
      </c>
      <c r="M88" t="s">
        <v>46</v>
      </c>
      <c r="O88" t="s">
        <v>135</v>
      </c>
      <c r="P88" t="s">
        <v>136</v>
      </c>
      <c r="Q88" t="s">
        <v>49</v>
      </c>
      <c r="R88" t="s">
        <v>58</v>
      </c>
      <c r="S88" s="1">
        <v>46023</v>
      </c>
      <c r="U88" t="s">
        <v>51</v>
      </c>
      <c r="X88" t="s">
        <v>52</v>
      </c>
      <c r="Y88" s="2">
        <v>0</v>
      </c>
      <c r="Z88" s="2">
        <v>175</v>
      </c>
      <c r="AA88">
        <v>1</v>
      </c>
      <c r="AB88" s="3">
        <v>1</v>
      </c>
      <c r="AC88" s="2">
        <v>175</v>
      </c>
      <c r="AD88" s="3">
        <v>0</v>
      </c>
      <c r="AE88" s="2">
        <v>0</v>
      </c>
      <c r="AF88" s="2">
        <v>175</v>
      </c>
      <c r="AK88">
        <v>6058791</v>
      </c>
    </row>
    <row r="89" spans="1:37" x14ac:dyDescent="0.25">
      <c r="A89" s="1">
        <v>46008</v>
      </c>
      <c r="B89" s="1">
        <v>46008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314</v>
      </c>
      <c r="J89" t="s">
        <v>315</v>
      </c>
      <c r="M89" t="s">
        <v>46</v>
      </c>
      <c r="O89" t="s">
        <v>66</v>
      </c>
      <c r="P89" t="s">
        <v>67</v>
      </c>
      <c r="Q89" t="s">
        <v>49</v>
      </c>
      <c r="R89" t="s">
        <v>58</v>
      </c>
      <c r="S89" s="1">
        <v>46023</v>
      </c>
      <c r="U89" t="s">
        <v>51</v>
      </c>
      <c r="X89" t="s">
        <v>52</v>
      </c>
      <c r="Y89" s="2">
        <v>0</v>
      </c>
      <c r="Z89" s="2">
        <v>175</v>
      </c>
      <c r="AA89">
        <v>1</v>
      </c>
      <c r="AB89" s="3">
        <v>1</v>
      </c>
      <c r="AC89" s="2">
        <v>175</v>
      </c>
      <c r="AD89" s="3">
        <v>0</v>
      </c>
      <c r="AE89" s="2">
        <v>0</v>
      </c>
      <c r="AF89" s="2">
        <v>175</v>
      </c>
      <c r="AK89">
        <v>6058797</v>
      </c>
    </row>
    <row r="90" spans="1:37" x14ac:dyDescent="0.25">
      <c r="A90" s="1">
        <v>46008</v>
      </c>
      <c r="B90" s="1">
        <v>46008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316</v>
      </c>
      <c r="J90" t="s">
        <v>317</v>
      </c>
      <c r="M90" t="s">
        <v>46</v>
      </c>
      <c r="O90" t="s">
        <v>66</v>
      </c>
      <c r="P90" t="s">
        <v>67</v>
      </c>
      <c r="Q90" t="s">
        <v>49</v>
      </c>
      <c r="R90" t="s">
        <v>58</v>
      </c>
      <c r="S90" s="1">
        <v>46023</v>
      </c>
      <c r="U90" t="s">
        <v>51</v>
      </c>
      <c r="X90" t="s">
        <v>52</v>
      </c>
      <c r="Y90" s="2">
        <v>0</v>
      </c>
      <c r="Z90" s="2">
        <v>175</v>
      </c>
      <c r="AA90">
        <v>1</v>
      </c>
      <c r="AB90" s="3">
        <v>1</v>
      </c>
      <c r="AC90" s="2">
        <v>175</v>
      </c>
      <c r="AD90" s="3">
        <v>0</v>
      </c>
      <c r="AE90" s="2">
        <v>0</v>
      </c>
      <c r="AF90" s="2">
        <v>175</v>
      </c>
      <c r="AK90">
        <v>6058798</v>
      </c>
    </row>
    <row r="91" spans="1:37" x14ac:dyDescent="0.25">
      <c r="A91" s="1">
        <v>46008</v>
      </c>
      <c r="B91" s="1">
        <v>46008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318</v>
      </c>
      <c r="J91" t="s">
        <v>319</v>
      </c>
      <c r="M91" t="s">
        <v>46</v>
      </c>
      <c r="O91" t="s">
        <v>320</v>
      </c>
      <c r="P91" t="s">
        <v>321</v>
      </c>
      <c r="Q91" t="s">
        <v>49</v>
      </c>
      <c r="R91" t="s">
        <v>58</v>
      </c>
      <c r="S91" s="1">
        <v>46023</v>
      </c>
      <c r="U91" t="s">
        <v>51</v>
      </c>
      <c r="X91" t="s">
        <v>52</v>
      </c>
      <c r="Y91" s="2">
        <v>0</v>
      </c>
      <c r="Z91" s="2">
        <v>175</v>
      </c>
      <c r="AA91">
        <v>1</v>
      </c>
      <c r="AB91" s="3">
        <v>1</v>
      </c>
      <c r="AC91" s="2">
        <v>175</v>
      </c>
      <c r="AD91" s="3">
        <v>0</v>
      </c>
      <c r="AE91" s="2">
        <v>0</v>
      </c>
      <c r="AF91" s="2">
        <v>175</v>
      </c>
      <c r="AK91">
        <v>6058813</v>
      </c>
    </row>
    <row r="92" spans="1:37" x14ac:dyDescent="0.25">
      <c r="A92" s="1">
        <v>46008</v>
      </c>
      <c r="B92" s="1">
        <v>46008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322</v>
      </c>
      <c r="J92" t="s">
        <v>323</v>
      </c>
      <c r="M92" t="s">
        <v>55</v>
      </c>
      <c r="O92" t="s">
        <v>115</v>
      </c>
      <c r="P92" t="s">
        <v>116</v>
      </c>
      <c r="Q92" t="s">
        <v>49</v>
      </c>
      <c r="R92" t="s">
        <v>58</v>
      </c>
      <c r="S92" s="1">
        <v>46023</v>
      </c>
      <c r="U92" t="s">
        <v>51</v>
      </c>
      <c r="X92" t="s">
        <v>52</v>
      </c>
      <c r="Y92" s="2">
        <v>0</v>
      </c>
      <c r="Z92" s="2">
        <v>175</v>
      </c>
      <c r="AA92">
        <v>1</v>
      </c>
      <c r="AB92" s="3">
        <v>1</v>
      </c>
      <c r="AC92" s="2">
        <v>175</v>
      </c>
      <c r="AD92" s="3">
        <v>0</v>
      </c>
      <c r="AE92" s="2">
        <v>0</v>
      </c>
      <c r="AF92" s="2">
        <v>175</v>
      </c>
      <c r="AK92">
        <v>6058815</v>
      </c>
    </row>
    <row r="93" spans="1:37" x14ac:dyDescent="0.25">
      <c r="A93" s="1">
        <v>46008</v>
      </c>
      <c r="B93" s="1">
        <v>46008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324</v>
      </c>
      <c r="J93" t="s">
        <v>325</v>
      </c>
      <c r="M93" t="s">
        <v>46</v>
      </c>
      <c r="O93" t="s">
        <v>213</v>
      </c>
      <c r="P93" t="s">
        <v>214</v>
      </c>
      <c r="Q93" t="s">
        <v>49</v>
      </c>
      <c r="R93" t="s">
        <v>50</v>
      </c>
      <c r="S93" s="1">
        <v>46023</v>
      </c>
      <c r="U93" t="s">
        <v>51</v>
      </c>
      <c r="X93" t="s">
        <v>52</v>
      </c>
      <c r="Y93" s="2">
        <v>0</v>
      </c>
      <c r="Z93" s="2">
        <v>108</v>
      </c>
      <c r="AA93">
        <v>1</v>
      </c>
      <c r="AB93" s="3">
        <v>1</v>
      </c>
      <c r="AC93" s="2">
        <v>108</v>
      </c>
      <c r="AD93" s="3">
        <v>0</v>
      </c>
      <c r="AE93" s="2">
        <v>0</v>
      </c>
      <c r="AF93" s="2">
        <v>108</v>
      </c>
      <c r="AK93">
        <v>6057769</v>
      </c>
    </row>
    <row r="94" spans="1:37" x14ac:dyDescent="0.25">
      <c r="A94" s="1">
        <v>46008</v>
      </c>
      <c r="B94" s="1">
        <v>46008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326</v>
      </c>
      <c r="J94" t="s">
        <v>327</v>
      </c>
      <c r="M94" t="s">
        <v>46</v>
      </c>
      <c r="O94" t="s">
        <v>328</v>
      </c>
      <c r="P94" t="s">
        <v>329</v>
      </c>
      <c r="Q94" t="s">
        <v>49</v>
      </c>
      <c r="R94" t="s">
        <v>58</v>
      </c>
      <c r="S94" s="1">
        <v>46023</v>
      </c>
      <c r="U94" t="s">
        <v>51</v>
      </c>
      <c r="X94" t="s">
        <v>52</v>
      </c>
      <c r="Y94" s="2">
        <v>0</v>
      </c>
      <c r="Z94" s="2">
        <v>175</v>
      </c>
      <c r="AA94">
        <v>1</v>
      </c>
      <c r="AB94" s="3">
        <v>1</v>
      </c>
      <c r="AC94" s="2">
        <v>175</v>
      </c>
      <c r="AD94" s="3">
        <v>0</v>
      </c>
      <c r="AE94" s="2">
        <v>0</v>
      </c>
      <c r="AF94" s="2">
        <v>175</v>
      </c>
      <c r="AK94">
        <v>6058830</v>
      </c>
    </row>
    <row r="95" spans="1:37" x14ac:dyDescent="0.25">
      <c r="A95" s="1">
        <v>46008</v>
      </c>
      <c r="B95" s="1">
        <v>46008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330</v>
      </c>
      <c r="J95" t="s">
        <v>331</v>
      </c>
      <c r="M95" t="s">
        <v>46</v>
      </c>
      <c r="O95" t="s">
        <v>328</v>
      </c>
      <c r="P95" t="s">
        <v>329</v>
      </c>
      <c r="Q95" t="s">
        <v>49</v>
      </c>
      <c r="R95" t="s">
        <v>50</v>
      </c>
      <c r="S95" s="1">
        <v>46023</v>
      </c>
      <c r="U95" t="s">
        <v>51</v>
      </c>
      <c r="X95" t="s">
        <v>52</v>
      </c>
      <c r="Y95" s="2">
        <v>0</v>
      </c>
      <c r="Z95" s="2">
        <v>108</v>
      </c>
      <c r="AA95">
        <v>1</v>
      </c>
      <c r="AB95" s="3">
        <v>1</v>
      </c>
      <c r="AC95" s="2">
        <v>108</v>
      </c>
      <c r="AD95" s="3">
        <v>0</v>
      </c>
      <c r="AE95" s="2">
        <v>0</v>
      </c>
      <c r="AF95" s="2">
        <v>108</v>
      </c>
      <c r="AK95">
        <v>6057770</v>
      </c>
    </row>
    <row r="96" spans="1:37" x14ac:dyDescent="0.25">
      <c r="A96" s="1">
        <v>46008</v>
      </c>
      <c r="B96" s="1">
        <v>46008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332</v>
      </c>
      <c r="J96" t="s">
        <v>333</v>
      </c>
      <c r="M96" t="s">
        <v>87</v>
      </c>
      <c r="O96" t="s">
        <v>147</v>
      </c>
      <c r="P96" t="s">
        <v>148</v>
      </c>
      <c r="Q96" t="s">
        <v>49</v>
      </c>
      <c r="R96" t="s">
        <v>58</v>
      </c>
      <c r="S96" s="1">
        <v>46023</v>
      </c>
      <c r="U96" t="s">
        <v>51</v>
      </c>
      <c r="X96" t="s">
        <v>52</v>
      </c>
      <c r="Y96" s="2">
        <v>0</v>
      </c>
      <c r="Z96" s="2">
        <v>175</v>
      </c>
      <c r="AA96">
        <v>1</v>
      </c>
      <c r="AB96" s="3">
        <v>1</v>
      </c>
      <c r="AC96" s="2">
        <v>175</v>
      </c>
      <c r="AD96" s="3">
        <v>0</v>
      </c>
      <c r="AE96" s="2">
        <v>0</v>
      </c>
      <c r="AF96" s="2">
        <v>175</v>
      </c>
      <c r="AK96">
        <v>6058831</v>
      </c>
    </row>
    <row r="97" spans="1:37" x14ac:dyDescent="0.25">
      <c r="A97" s="1">
        <v>46008</v>
      </c>
      <c r="B97" s="1">
        <v>46008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334</v>
      </c>
      <c r="J97" t="s">
        <v>335</v>
      </c>
      <c r="M97" t="s">
        <v>55</v>
      </c>
      <c r="O97" t="s">
        <v>47</v>
      </c>
      <c r="P97" t="s">
        <v>48</v>
      </c>
      <c r="Q97" t="s">
        <v>49</v>
      </c>
      <c r="R97" t="s">
        <v>58</v>
      </c>
      <c r="S97" s="1">
        <v>46023</v>
      </c>
      <c r="U97" t="s">
        <v>51</v>
      </c>
      <c r="X97" t="s">
        <v>52</v>
      </c>
      <c r="Y97" s="2">
        <v>0</v>
      </c>
      <c r="Z97" s="2">
        <v>175</v>
      </c>
      <c r="AA97">
        <v>1</v>
      </c>
      <c r="AB97" s="3">
        <v>1</v>
      </c>
      <c r="AC97" s="2">
        <v>175</v>
      </c>
      <c r="AD97" s="3">
        <v>0</v>
      </c>
      <c r="AE97" s="2">
        <v>0</v>
      </c>
      <c r="AF97" s="2">
        <v>175</v>
      </c>
      <c r="AK97">
        <v>6058832</v>
      </c>
    </row>
    <row r="98" spans="1:37" x14ac:dyDescent="0.25">
      <c r="A98" s="1">
        <v>46008</v>
      </c>
      <c r="B98" s="1">
        <v>46008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336</v>
      </c>
      <c r="J98" t="s">
        <v>337</v>
      </c>
      <c r="M98" t="s">
        <v>46</v>
      </c>
      <c r="O98" t="s">
        <v>213</v>
      </c>
      <c r="P98" t="s">
        <v>214</v>
      </c>
      <c r="Q98" t="s">
        <v>49</v>
      </c>
      <c r="R98" t="s">
        <v>58</v>
      </c>
      <c r="S98" s="1">
        <v>46023</v>
      </c>
      <c r="U98" t="s">
        <v>51</v>
      </c>
      <c r="X98" t="s">
        <v>52</v>
      </c>
      <c r="Y98" s="2">
        <v>0</v>
      </c>
      <c r="Z98" s="2">
        <v>175</v>
      </c>
      <c r="AA98">
        <v>1</v>
      </c>
      <c r="AB98" s="3">
        <v>1</v>
      </c>
      <c r="AC98" s="2">
        <v>175</v>
      </c>
      <c r="AD98" s="3">
        <v>0</v>
      </c>
      <c r="AE98" s="2">
        <v>0</v>
      </c>
      <c r="AF98" s="2">
        <v>175</v>
      </c>
      <c r="AK98">
        <v>6058833</v>
      </c>
    </row>
    <row r="99" spans="1:37" x14ac:dyDescent="0.25">
      <c r="A99" s="1">
        <v>46008</v>
      </c>
      <c r="B99" s="1">
        <v>46008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338</v>
      </c>
      <c r="J99" t="s">
        <v>339</v>
      </c>
      <c r="M99" t="s">
        <v>217</v>
      </c>
      <c r="O99" t="s">
        <v>340</v>
      </c>
      <c r="P99" t="s">
        <v>341</v>
      </c>
      <c r="Q99" t="s">
        <v>49</v>
      </c>
      <c r="R99" t="s">
        <v>50</v>
      </c>
      <c r="S99" s="1">
        <v>46023</v>
      </c>
      <c r="U99" t="s">
        <v>51</v>
      </c>
      <c r="X99" t="s">
        <v>52</v>
      </c>
      <c r="Y99" s="2">
        <v>0</v>
      </c>
      <c r="Z99" s="2">
        <v>108</v>
      </c>
      <c r="AA99">
        <v>1</v>
      </c>
      <c r="AB99" s="3">
        <v>1</v>
      </c>
      <c r="AC99" s="2">
        <v>108</v>
      </c>
      <c r="AD99" s="3">
        <v>0</v>
      </c>
      <c r="AE99" s="2">
        <v>0</v>
      </c>
      <c r="AF99" s="2">
        <v>108</v>
      </c>
      <c r="AK99">
        <v>6057771</v>
      </c>
    </row>
    <row r="100" spans="1:37" x14ac:dyDescent="0.25">
      <c r="A100" s="1">
        <v>46008</v>
      </c>
      <c r="B100" s="1">
        <v>46008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342</v>
      </c>
      <c r="J100" t="s">
        <v>343</v>
      </c>
      <c r="M100" t="s">
        <v>217</v>
      </c>
      <c r="O100" t="s">
        <v>213</v>
      </c>
      <c r="P100" t="s">
        <v>214</v>
      </c>
      <c r="Q100" t="s">
        <v>49</v>
      </c>
      <c r="R100" t="s">
        <v>58</v>
      </c>
      <c r="S100" s="1">
        <v>46023</v>
      </c>
      <c r="U100" t="s">
        <v>51</v>
      </c>
      <c r="X100" t="s">
        <v>52</v>
      </c>
      <c r="Y100" s="2">
        <v>0</v>
      </c>
      <c r="Z100" s="2">
        <v>175</v>
      </c>
      <c r="AA100">
        <v>1</v>
      </c>
      <c r="AB100" s="3">
        <v>1</v>
      </c>
      <c r="AC100" s="2">
        <v>175</v>
      </c>
      <c r="AD100" s="3">
        <v>0</v>
      </c>
      <c r="AE100" s="2">
        <v>0</v>
      </c>
      <c r="AF100" s="2">
        <v>175</v>
      </c>
      <c r="AK100">
        <v>6058840</v>
      </c>
    </row>
    <row r="101" spans="1:37" x14ac:dyDescent="0.25">
      <c r="A101" s="1">
        <v>46008</v>
      </c>
      <c r="B101" s="1">
        <v>46008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344</v>
      </c>
      <c r="J101" t="s">
        <v>345</v>
      </c>
      <c r="M101" t="s">
        <v>46</v>
      </c>
      <c r="O101" t="s">
        <v>201</v>
      </c>
      <c r="P101" t="s">
        <v>202</v>
      </c>
      <c r="Q101" t="s">
        <v>49</v>
      </c>
      <c r="R101" t="s">
        <v>50</v>
      </c>
      <c r="S101" s="1">
        <v>46023</v>
      </c>
      <c r="U101" t="s">
        <v>51</v>
      </c>
      <c r="X101" t="s">
        <v>52</v>
      </c>
      <c r="Y101" s="2">
        <v>0</v>
      </c>
      <c r="Z101" s="2">
        <v>108</v>
      </c>
      <c r="AA101">
        <v>1</v>
      </c>
      <c r="AB101" s="3">
        <v>1</v>
      </c>
      <c r="AC101" s="2">
        <v>108</v>
      </c>
      <c r="AD101" s="3">
        <v>0</v>
      </c>
      <c r="AE101" s="2">
        <v>0</v>
      </c>
      <c r="AF101" s="2">
        <v>108</v>
      </c>
      <c r="AK101">
        <v>6057772</v>
      </c>
    </row>
    <row r="102" spans="1:37" x14ac:dyDescent="0.25">
      <c r="A102" s="1">
        <v>46008</v>
      </c>
      <c r="B102" s="1">
        <v>46008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346</v>
      </c>
      <c r="J102" t="s">
        <v>347</v>
      </c>
      <c r="M102" t="s">
        <v>46</v>
      </c>
      <c r="O102" t="s">
        <v>56</v>
      </c>
      <c r="P102" t="s">
        <v>57</v>
      </c>
      <c r="Q102" t="s">
        <v>49</v>
      </c>
      <c r="R102" t="s">
        <v>58</v>
      </c>
      <c r="S102" s="1">
        <v>46023</v>
      </c>
      <c r="U102" t="s">
        <v>51</v>
      </c>
      <c r="X102" t="s">
        <v>52</v>
      </c>
      <c r="Y102" s="2">
        <v>0</v>
      </c>
      <c r="Z102" s="2">
        <v>175</v>
      </c>
      <c r="AA102">
        <v>1</v>
      </c>
      <c r="AB102" s="3">
        <v>1</v>
      </c>
      <c r="AC102" s="2">
        <v>175</v>
      </c>
      <c r="AD102" s="3">
        <v>0</v>
      </c>
      <c r="AE102" s="2">
        <v>0</v>
      </c>
      <c r="AF102" s="2">
        <v>175</v>
      </c>
      <c r="AK102">
        <v>6058841</v>
      </c>
    </row>
    <row r="103" spans="1:37" x14ac:dyDescent="0.25">
      <c r="A103" s="1">
        <v>46008</v>
      </c>
      <c r="B103" s="1">
        <v>46008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348</v>
      </c>
      <c r="J103" t="s">
        <v>349</v>
      </c>
      <c r="M103" t="s">
        <v>350</v>
      </c>
      <c r="O103" t="s">
        <v>108</v>
      </c>
      <c r="P103" t="s">
        <v>109</v>
      </c>
      <c r="Q103" t="s">
        <v>49</v>
      </c>
      <c r="R103" t="s">
        <v>50</v>
      </c>
      <c r="S103" s="1">
        <v>46023</v>
      </c>
      <c r="U103" t="s">
        <v>51</v>
      </c>
      <c r="X103" t="s">
        <v>52</v>
      </c>
      <c r="Y103" s="2">
        <v>0</v>
      </c>
      <c r="Z103" s="2">
        <v>108</v>
      </c>
      <c r="AA103">
        <v>1</v>
      </c>
      <c r="AB103" s="3">
        <v>1</v>
      </c>
      <c r="AC103" s="2">
        <v>108</v>
      </c>
      <c r="AD103" s="3">
        <v>0</v>
      </c>
      <c r="AE103" s="2">
        <v>0</v>
      </c>
      <c r="AF103" s="2">
        <v>108</v>
      </c>
      <c r="AK103">
        <v>6057773</v>
      </c>
    </row>
    <row r="104" spans="1:37" x14ac:dyDescent="0.25">
      <c r="A104" s="1">
        <v>46008</v>
      </c>
      <c r="B104" s="1">
        <v>46008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351</v>
      </c>
      <c r="J104" t="s">
        <v>352</v>
      </c>
      <c r="M104" t="s">
        <v>46</v>
      </c>
      <c r="O104" t="s">
        <v>353</v>
      </c>
      <c r="P104" t="s">
        <v>354</v>
      </c>
      <c r="Q104" t="s">
        <v>49</v>
      </c>
      <c r="R104" t="s">
        <v>58</v>
      </c>
      <c r="S104" s="1">
        <v>46023</v>
      </c>
      <c r="U104" t="s">
        <v>51</v>
      </c>
      <c r="X104" t="s">
        <v>52</v>
      </c>
      <c r="Y104" s="2">
        <v>0</v>
      </c>
      <c r="Z104" s="2">
        <v>175</v>
      </c>
      <c r="AA104">
        <v>1</v>
      </c>
      <c r="AB104" s="3">
        <v>1</v>
      </c>
      <c r="AC104" s="2">
        <v>175</v>
      </c>
      <c r="AD104" s="3">
        <v>0</v>
      </c>
      <c r="AE104" s="2">
        <v>0</v>
      </c>
      <c r="AF104" s="2">
        <v>175</v>
      </c>
      <c r="AK104">
        <v>6058860</v>
      </c>
    </row>
    <row r="105" spans="1:37" x14ac:dyDescent="0.25">
      <c r="A105" s="1">
        <v>46008</v>
      </c>
      <c r="B105" s="1">
        <v>46008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355</v>
      </c>
      <c r="J105" t="s">
        <v>356</v>
      </c>
      <c r="M105" t="s">
        <v>46</v>
      </c>
      <c r="O105" t="s">
        <v>62</v>
      </c>
      <c r="P105" t="s">
        <v>63</v>
      </c>
      <c r="Q105" t="s">
        <v>49</v>
      </c>
      <c r="R105" t="s">
        <v>58</v>
      </c>
      <c r="S105" s="1">
        <v>46023</v>
      </c>
      <c r="U105" t="s">
        <v>51</v>
      </c>
      <c r="X105" t="s">
        <v>52</v>
      </c>
      <c r="Y105" s="2">
        <v>0</v>
      </c>
      <c r="Z105" s="2">
        <v>175</v>
      </c>
      <c r="AA105">
        <v>1</v>
      </c>
      <c r="AB105" s="3">
        <v>1</v>
      </c>
      <c r="AC105" s="2">
        <v>175</v>
      </c>
      <c r="AD105" s="3">
        <v>0</v>
      </c>
      <c r="AE105" s="2">
        <v>0</v>
      </c>
      <c r="AF105" s="2">
        <v>175</v>
      </c>
      <c r="AK105">
        <v>6058861</v>
      </c>
    </row>
    <row r="106" spans="1:37" x14ac:dyDescent="0.25">
      <c r="A106" s="1">
        <v>46008</v>
      </c>
      <c r="B106" s="1">
        <v>46008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357</v>
      </c>
      <c r="J106" t="s">
        <v>358</v>
      </c>
      <c r="M106" t="s">
        <v>46</v>
      </c>
      <c r="O106" t="s">
        <v>359</v>
      </c>
      <c r="P106" t="s">
        <v>360</v>
      </c>
      <c r="Q106" t="s">
        <v>49</v>
      </c>
      <c r="R106" t="s">
        <v>58</v>
      </c>
      <c r="S106" s="1">
        <v>46023</v>
      </c>
      <c r="U106" t="s">
        <v>51</v>
      </c>
      <c r="X106" t="s">
        <v>52</v>
      </c>
      <c r="Y106" s="2">
        <v>0</v>
      </c>
      <c r="Z106" s="2">
        <v>175</v>
      </c>
      <c r="AA106">
        <v>1</v>
      </c>
      <c r="AB106" s="3">
        <v>1</v>
      </c>
      <c r="AC106" s="2">
        <v>175</v>
      </c>
      <c r="AD106" s="3">
        <v>0</v>
      </c>
      <c r="AE106" s="2">
        <v>0</v>
      </c>
      <c r="AF106" s="2">
        <v>175</v>
      </c>
      <c r="AK106">
        <v>6058864</v>
      </c>
    </row>
    <row r="107" spans="1:37" x14ac:dyDescent="0.25">
      <c r="A107" s="1">
        <v>46008</v>
      </c>
      <c r="B107" s="1">
        <v>46008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361</v>
      </c>
      <c r="J107" t="s">
        <v>362</v>
      </c>
      <c r="M107" t="s">
        <v>46</v>
      </c>
      <c r="O107" t="s">
        <v>238</v>
      </c>
      <c r="P107" t="s">
        <v>239</v>
      </c>
      <c r="Q107" t="s">
        <v>49</v>
      </c>
      <c r="R107" t="s">
        <v>58</v>
      </c>
      <c r="S107" s="1">
        <v>46023</v>
      </c>
      <c r="U107" t="s">
        <v>51</v>
      </c>
      <c r="X107" t="s">
        <v>52</v>
      </c>
      <c r="Y107" s="2">
        <v>0</v>
      </c>
      <c r="Z107" s="2">
        <v>175</v>
      </c>
      <c r="AA107">
        <v>1</v>
      </c>
      <c r="AB107" s="3">
        <v>1</v>
      </c>
      <c r="AC107" s="2">
        <v>175</v>
      </c>
      <c r="AD107" s="3">
        <v>0</v>
      </c>
      <c r="AE107" s="2">
        <v>0</v>
      </c>
      <c r="AF107" s="2">
        <v>175</v>
      </c>
      <c r="AK107">
        <v>6058865</v>
      </c>
    </row>
    <row r="108" spans="1:37" x14ac:dyDescent="0.25">
      <c r="A108" s="1">
        <v>46008</v>
      </c>
      <c r="B108" s="1">
        <v>46008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363</v>
      </c>
      <c r="J108" t="s">
        <v>364</v>
      </c>
      <c r="M108" t="s">
        <v>46</v>
      </c>
      <c r="O108" t="s">
        <v>94</v>
      </c>
      <c r="P108" t="s">
        <v>95</v>
      </c>
      <c r="Q108" t="s">
        <v>49</v>
      </c>
      <c r="R108" t="s">
        <v>50</v>
      </c>
      <c r="S108" s="1">
        <v>46023</v>
      </c>
      <c r="U108" t="s">
        <v>51</v>
      </c>
      <c r="X108" t="s">
        <v>52</v>
      </c>
      <c r="Y108" s="2">
        <v>0</v>
      </c>
      <c r="Z108" s="2">
        <v>108</v>
      </c>
      <c r="AA108">
        <v>1</v>
      </c>
      <c r="AB108" s="3">
        <v>1</v>
      </c>
      <c r="AC108" s="2">
        <v>108</v>
      </c>
      <c r="AD108" s="3">
        <v>0</v>
      </c>
      <c r="AE108" s="2">
        <v>0</v>
      </c>
      <c r="AF108" s="2">
        <v>108</v>
      </c>
      <c r="AK108">
        <v>6057774</v>
      </c>
    </row>
    <row r="109" spans="1:37" x14ac:dyDescent="0.25">
      <c r="A109" s="1">
        <v>46008</v>
      </c>
      <c r="B109" s="1">
        <v>46008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365</v>
      </c>
      <c r="J109" t="s">
        <v>366</v>
      </c>
      <c r="M109" t="s">
        <v>46</v>
      </c>
      <c r="O109" t="s">
        <v>270</v>
      </c>
      <c r="P109" t="s">
        <v>271</v>
      </c>
      <c r="Q109" t="s">
        <v>49</v>
      </c>
      <c r="R109" t="s">
        <v>50</v>
      </c>
      <c r="S109" s="1">
        <v>46023</v>
      </c>
      <c r="U109" t="s">
        <v>51</v>
      </c>
      <c r="X109" t="s">
        <v>52</v>
      </c>
      <c r="Y109" s="2">
        <v>0</v>
      </c>
      <c r="Z109" s="2">
        <v>108</v>
      </c>
      <c r="AA109">
        <v>1</v>
      </c>
      <c r="AB109" s="3">
        <v>1</v>
      </c>
      <c r="AC109" s="2">
        <v>108</v>
      </c>
      <c r="AD109" s="3">
        <v>0</v>
      </c>
      <c r="AE109" s="2">
        <v>0</v>
      </c>
      <c r="AF109" s="2">
        <v>108</v>
      </c>
      <c r="AK109">
        <v>6057756</v>
      </c>
    </row>
    <row r="110" spans="1:37" x14ac:dyDescent="0.25">
      <c r="A110" s="1">
        <v>46008</v>
      </c>
      <c r="B110" s="1">
        <v>46008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367</v>
      </c>
      <c r="J110" t="s">
        <v>368</v>
      </c>
      <c r="M110" t="s">
        <v>46</v>
      </c>
      <c r="O110" t="s">
        <v>226</v>
      </c>
      <c r="P110" t="s">
        <v>227</v>
      </c>
      <c r="Q110" t="s">
        <v>49</v>
      </c>
      <c r="R110" t="s">
        <v>58</v>
      </c>
      <c r="S110" s="1">
        <v>46023</v>
      </c>
      <c r="U110" t="s">
        <v>51</v>
      </c>
      <c r="X110" t="s">
        <v>52</v>
      </c>
      <c r="Y110" s="2">
        <v>0</v>
      </c>
      <c r="Z110" s="2">
        <v>175</v>
      </c>
      <c r="AA110">
        <v>1</v>
      </c>
      <c r="AB110" s="3">
        <v>1</v>
      </c>
      <c r="AC110" s="2">
        <v>175</v>
      </c>
      <c r="AD110" s="3">
        <v>0</v>
      </c>
      <c r="AE110" s="2">
        <v>0</v>
      </c>
      <c r="AF110" s="2">
        <v>175</v>
      </c>
      <c r="AK110">
        <v>6058577</v>
      </c>
    </row>
    <row r="111" spans="1:37" x14ac:dyDescent="0.25">
      <c r="A111" s="1">
        <v>46008</v>
      </c>
      <c r="B111" s="1">
        <v>46008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369</v>
      </c>
      <c r="J111" t="s">
        <v>370</v>
      </c>
      <c r="M111" t="s">
        <v>46</v>
      </c>
      <c r="O111" t="s">
        <v>175</v>
      </c>
      <c r="P111" t="s">
        <v>176</v>
      </c>
      <c r="Q111" t="s">
        <v>49</v>
      </c>
      <c r="R111" t="s">
        <v>58</v>
      </c>
      <c r="S111" s="1">
        <v>46023</v>
      </c>
      <c r="U111" t="s">
        <v>51</v>
      </c>
      <c r="X111" t="s">
        <v>52</v>
      </c>
      <c r="Y111" s="2">
        <v>0</v>
      </c>
      <c r="Z111" s="2">
        <v>175</v>
      </c>
      <c r="AA111">
        <v>1</v>
      </c>
      <c r="AB111" s="3">
        <v>1</v>
      </c>
      <c r="AC111" s="2">
        <v>175</v>
      </c>
      <c r="AD111" s="3">
        <v>0</v>
      </c>
      <c r="AE111" s="2">
        <v>0</v>
      </c>
      <c r="AF111" s="2">
        <v>175</v>
      </c>
      <c r="AK111">
        <v>6058587</v>
      </c>
    </row>
    <row r="112" spans="1:37" x14ac:dyDescent="0.25">
      <c r="A112" s="1">
        <v>46008</v>
      </c>
      <c r="B112" s="1">
        <v>46008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371</v>
      </c>
      <c r="J112" t="s">
        <v>372</v>
      </c>
      <c r="M112" t="s">
        <v>46</v>
      </c>
      <c r="O112" t="s">
        <v>66</v>
      </c>
      <c r="P112" t="s">
        <v>67</v>
      </c>
      <c r="Q112" t="s">
        <v>49</v>
      </c>
      <c r="R112" t="s">
        <v>50</v>
      </c>
      <c r="S112" s="1">
        <v>46023</v>
      </c>
      <c r="U112" t="s">
        <v>51</v>
      </c>
      <c r="X112" t="s">
        <v>52</v>
      </c>
      <c r="Y112" s="2">
        <v>0</v>
      </c>
      <c r="Z112" s="2">
        <v>108</v>
      </c>
      <c r="AA112">
        <v>1</v>
      </c>
      <c r="AB112" s="3">
        <v>1</v>
      </c>
      <c r="AC112" s="2">
        <v>108</v>
      </c>
      <c r="AD112" s="3">
        <v>0</v>
      </c>
      <c r="AE112" s="2">
        <v>0</v>
      </c>
      <c r="AF112" s="2">
        <v>108</v>
      </c>
      <c r="AK112">
        <v>6057757</v>
      </c>
    </row>
    <row r="113" spans="1:37" x14ac:dyDescent="0.25">
      <c r="A113" s="1">
        <v>46008</v>
      </c>
      <c r="B113" s="1">
        <v>46008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373</v>
      </c>
      <c r="J113" t="s">
        <v>374</v>
      </c>
      <c r="M113" t="s">
        <v>350</v>
      </c>
      <c r="O113" t="s">
        <v>108</v>
      </c>
      <c r="P113" t="s">
        <v>109</v>
      </c>
      <c r="Q113" t="s">
        <v>49</v>
      </c>
      <c r="R113" t="s">
        <v>50</v>
      </c>
      <c r="S113" s="1">
        <v>46023</v>
      </c>
      <c r="U113" t="s">
        <v>51</v>
      </c>
      <c r="X113" t="s">
        <v>52</v>
      </c>
      <c r="Y113" s="2">
        <v>0</v>
      </c>
      <c r="Z113" s="2">
        <v>108</v>
      </c>
      <c r="AA113">
        <v>1</v>
      </c>
      <c r="AB113" s="3">
        <v>1</v>
      </c>
      <c r="AC113" s="2">
        <v>108</v>
      </c>
      <c r="AD113" s="3">
        <v>0</v>
      </c>
      <c r="AE113" s="2">
        <v>0</v>
      </c>
      <c r="AF113" s="2">
        <v>108</v>
      </c>
      <c r="AK113">
        <v>6057758</v>
      </c>
    </row>
    <row r="114" spans="1:37" x14ac:dyDescent="0.25">
      <c r="A114" s="1">
        <v>46008</v>
      </c>
      <c r="B114" s="1">
        <v>46008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375</v>
      </c>
      <c r="J114" t="s">
        <v>376</v>
      </c>
      <c r="M114" t="s">
        <v>46</v>
      </c>
      <c r="O114" t="s">
        <v>56</v>
      </c>
      <c r="P114" t="s">
        <v>57</v>
      </c>
      <c r="Q114" t="s">
        <v>49</v>
      </c>
      <c r="R114" t="s">
        <v>58</v>
      </c>
      <c r="S114" s="1">
        <v>46023</v>
      </c>
      <c r="U114" t="s">
        <v>51</v>
      </c>
      <c r="X114" t="s">
        <v>52</v>
      </c>
      <c r="Y114" s="2">
        <v>0</v>
      </c>
      <c r="Z114" s="2">
        <v>175</v>
      </c>
      <c r="AA114">
        <v>1</v>
      </c>
      <c r="AB114" s="3">
        <v>1</v>
      </c>
      <c r="AC114" s="2">
        <v>175</v>
      </c>
      <c r="AD114" s="3">
        <v>0</v>
      </c>
      <c r="AE114" s="2">
        <v>0</v>
      </c>
      <c r="AF114" s="2">
        <v>175</v>
      </c>
      <c r="AK114">
        <v>6058590</v>
      </c>
    </row>
    <row r="115" spans="1:37" x14ac:dyDescent="0.25">
      <c r="A115" s="1">
        <v>46008</v>
      </c>
      <c r="B115" s="1">
        <v>46008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377</v>
      </c>
      <c r="J115" t="s">
        <v>378</v>
      </c>
      <c r="M115" t="s">
        <v>46</v>
      </c>
      <c r="O115" t="s">
        <v>213</v>
      </c>
      <c r="P115" t="s">
        <v>214</v>
      </c>
      <c r="Q115" t="s">
        <v>49</v>
      </c>
      <c r="R115" t="s">
        <v>50</v>
      </c>
      <c r="S115" s="1">
        <v>46023</v>
      </c>
      <c r="U115" t="s">
        <v>51</v>
      </c>
      <c r="X115" t="s">
        <v>52</v>
      </c>
      <c r="Y115" s="2">
        <v>0</v>
      </c>
      <c r="Z115" s="2">
        <v>108</v>
      </c>
      <c r="AA115">
        <v>1</v>
      </c>
      <c r="AB115" s="3">
        <v>1</v>
      </c>
      <c r="AC115" s="2">
        <v>108</v>
      </c>
      <c r="AD115" s="3">
        <v>0</v>
      </c>
      <c r="AE115" s="2">
        <v>0</v>
      </c>
      <c r="AF115" s="2">
        <v>108</v>
      </c>
      <c r="AK115">
        <v>6057759</v>
      </c>
    </row>
    <row r="116" spans="1:37" x14ac:dyDescent="0.25">
      <c r="A116" s="1">
        <v>46008</v>
      </c>
      <c r="B116" s="1">
        <v>46008</v>
      </c>
      <c r="C116" t="s">
        <v>38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379</v>
      </c>
      <c r="J116" t="s">
        <v>380</v>
      </c>
      <c r="M116" t="s">
        <v>61</v>
      </c>
      <c r="O116" t="s">
        <v>115</v>
      </c>
      <c r="P116" t="s">
        <v>116</v>
      </c>
      <c r="Q116" t="s">
        <v>49</v>
      </c>
      <c r="R116" t="s">
        <v>58</v>
      </c>
      <c r="S116" s="1">
        <v>46023</v>
      </c>
      <c r="U116" t="s">
        <v>51</v>
      </c>
      <c r="X116" t="s">
        <v>52</v>
      </c>
      <c r="Y116" s="2">
        <v>0</v>
      </c>
      <c r="Z116" s="2">
        <v>175</v>
      </c>
      <c r="AA116">
        <v>1</v>
      </c>
      <c r="AB116" s="3">
        <v>1</v>
      </c>
      <c r="AC116" s="2">
        <v>175</v>
      </c>
      <c r="AD116" s="3">
        <v>0</v>
      </c>
      <c r="AE116" s="2">
        <v>0</v>
      </c>
      <c r="AF116" s="2">
        <v>175</v>
      </c>
      <c r="AK116">
        <v>6058591</v>
      </c>
    </row>
    <row r="117" spans="1:37" x14ac:dyDescent="0.25">
      <c r="A117" s="1">
        <v>46008</v>
      </c>
      <c r="B117" s="1">
        <v>46008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381</v>
      </c>
      <c r="J117" t="s">
        <v>382</v>
      </c>
      <c r="M117" t="s">
        <v>46</v>
      </c>
      <c r="O117" t="s">
        <v>238</v>
      </c>
      <c r="P117" t="s">
        <v>239</v>
      </c>
      <c r="Q117" t="s">
        <v>49</v>
      </c>
      <c r="R117" t="s">
        <v>50</v>
      </c>
      <c r="S117" s="1">
        <v>46023</v>
      </c>
      <c r="U117" t="s">
        <v>51</v>
      </c>
      <c r="X117" t="s">
        <v>52</v>
      </c>
      <c r="Y117" s="2">
        <v>0</v>
      </c>
      <c r="Z117" s="2">
        <v>108</v>
      </c>
      <c r="AA117">
        <v>1</v>
      </c>
      <c r="AB117" s="3">
        <v>1</v>
      </c>
      <c r="AC117" s="2">
        <v>108</v>
      </c>
      <c r="AD117" s="3">
        <v>0</v>
      </c>
      <c r="AE117" s="2">
        <v>0</v>
      </c>
      <c r="AF117" s="2">
        <v>108</v>
      </c>
      <c r="AK117">
        <v>6057761</v>
      </c>
    </row>
    <row r="118" spans="1:37" x14ac:dyDescent="0.25">
      <c r="A118" s="1">
        <v>46008</v>
      </c>
      <c r="B118" s="1">
        <v>46008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383</v>
      </c>
      <c r="J118" t="s">
        <v>384</v>
      </c>
      <c r="M118" t="s">
        <v>46</v>
      </c>
      <c r="O118" t="s">
        <v>47</v>
      </c>
      <c r="P118" t="s">
        <v>48</v>
      </c>
      <c r="Q118" t="s">
        <v>49</v>
      </c>
      <c r="R118" t="s">
        <v>50</v>
      </c>
      <c r="S118" s="1">
        <v>46023</v>
      </c>
      <c r="U118" t="s">
        <v>51</v>
      </c>
      <c r="X118" t="s">
        <v>52</v>
      </c>
      <c r="Y118" s="2">
        <v>0</v>
      </c>
      <c r="Z118" s="2">
        <v>108</v>
      </c>
      <c r="AA118">
        <v>1</v>
      </c>
      <c r="AB118" s="3">
        <v>1</v>
      </c>
      <c r="AC118" s="2">
        <v>108</v>
      </c>
      <c r="AD118" s="3">
        <v>0</v>
      </c>
      <c r="AE118" s="2">
        <v>0</v>
      </c>
      <c r="AF118" s="2">
        <v>108</v>
      </c>
      <c r="AK118">
        <v>6057762</v>
      </c>
    </row>
    <row r="119" spans="1:37" x14ac:dyDescent="0.25">
      <c r="A119" s="1">
        <v>46008</v>
      </c>
      <c r="B119" s="1">
        <v>46008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385</v>
      </c>
      <c r="J119" t="s">
        <v>386</v>
      </c>
      <c r="M119" t="s">
        <v>189</v>
      </c>
      <c r="O119" t="s">
        <v>266</v>
      </c>
      <c r="P119" t="s">
        <v>267</v>
      </c>
      <c r="Q119" t="s">
        <v>49</v>
      </c>
      <c r="R119" t="s">
        <v>58</v>
      </c>
      <c r="S119" s="1">
        <v>46023</v>
      </c>
      <c r="U119" t="s">
        <v>51</v>
      </c>
      <c r="X119" t="s">
        <v>52</v>
      </c>
      <c r="Y119" s="2">
        <v>0</v>
      </c>
      <c r="Z119" s="2">
        <v>175</v>
      </c>
      <c r="AA119">
        <v>1</v>
      </c>
      <c r="AB119" s="3">
        <v>1</v>
      </c>
      <c r="AC119" s="2">
        <v>175</v>
      </c>
      <c r="AD119" s="3">
        <v>0</v>
      </c>
      <c r="AE119" s="2">
        <v>0</v>
      </c>
      <c r="AF119" s="2">
        <v>175</v>
      </c>
      <c r="AK119">
        <v>6058596</v>
      </c>
    </row>
    <row r="120" spans="1:37" x14ac:dyDescent="0.25">
      <c r="A120" s="1">
        <v>46008</v>
      </c>
      <c r="B120" s="1">
        <v>46008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387</v>
      </c>
      <c r="J120" t="s">
        <v>388</v>
      </c>
      <c r="M120" t="s">
        <v>78</v>
      </c>
      <c r="O120" t="s">
        <v>389</v>
      </c>
      <c r="P120" t="s">
        <v>390</v>
      </c>
      <c r="Q120" t="s">
        <v>49</v>
      </c>
      <c r="R120" t="s">
        <v>50</v>
      </c>
      <c r="S120" s="1">
        <v>46023</v>
      </c>
      <c r="U120" t="s">
        <v>51</v>
      </c>
      <c r="X120" t="s">
        <v>52</v>
      </c>
      <c r="Y120" s="2">
        <v>0</v>
      </c>
      <c r="Z120" s="2">
        <v>108</v>
      </c>
      <c r="AA120">
        <v>1</v>
      </c>
      <c r="AB120" s="3">
        <v>1</v>
      </c>
      <c r="AC120" s="2">
        <v>108</v>
      </c>
      <c r="AD120" s="3">
        <v>0</v>
      </c>
      <c r="AE120" s="2">
        <v>0</v>
      </c>
      <c r="AF120" s="2">
        <v>108</v>
      </c>
      <c r="AK120">
        <v>6057731</v>
      </c>
    </row>
    <row r="121" spans="1:37" x14ac:dyDescent="0.25">
      <c r="A121" s="1">
        <v>46008</v>
      </c>
      <c r="B121" s="1">
        <v>46008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391</v>
      </c>
      <c r="J121" t="s">
        <v>392</v>
      </c>
      <c r="M121" t="s">
        <v>61</v>
      </c>
      <c r="O121" t="s">
        <v>47</v>
      </c>
      <c r="P121" t="s">
        <v>48</v>
      </c>
      <c r="Q121" t="s">
        <v>49</v>
      </c>
      <c r="R121" t="s">
        <v>58</v>
      </c>
      <c r="S121" s="1">
        <v>46023</v>
      </c>
      <c r="U121" t="s">
        <v>51</v>
      </c>
      <c r="X121" t="s">
        <v>52</v>
      </c>
      <c r="Y121" s="2">
        <v>0</v>
      </c>
      <c r="Z121" s="2">
        <v>175</v>
      </c>
      <c r="AA121">
        <v>1</v>
      </c>
      <c r="AB121" s="3">
        <v>1</v>
      </c>
      <c r="AC121" s="2">
        <v>175</v>
      </c>
      <c r="AD121" s="3">
        <v>0</v>
      </c>
      <c r="AE121" s="2">
        <v>0</v>
      </c>
      <c r="AF121" s="2">
        <v>175</v>
      </c>
      <c r="AK121">
        <v>6058599</v>
      </c>
    </row>
    <row r="122" spans="1:37" x14ac:dyDescent="0.25">
      <c r="A122" s="1">
        <v>46008</v>
      </c>
      <c r="B122" s="1">
        <v>46008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393</v>
      </c>
      <c r="J122" t="s">
        <v>394</v>
      </c>
      <c r="M122" t="s">
        <v>46</v>
      </c>
      <c r="O122" t="s">
        <v>359</v>
      </c>
      <c r="P122" t="s">
        <v>360</v>
      </c>
      <c r="Q122" t="s">
        <v>49</v>
      </c>
      <c r="R122" t="s">
        <v>58</v>
      </c>
      <c r="S122" s="1">
        <v>46023</v>
      </c>
      <c r="U122" t="s">
        <v>51</v>
      </c>
      <c r="X122" t="s">
        <v>52</v>
      </c>
      <c r="Y122" s="2">
        <v>0</v>
      </c>
      <c r="Z122" s="2">
        <v>175</v>
      </c>
      <c r="AA122">
        <v>1</v>
      </c>
      <c r="AB122" s="3">
        <v>1</v>
      </c>
      <c r="AC122" s="2">
        <v>175</v>
      </c>
      <c r="AD122" s="3">
        <v>0</v>
      </c>
      <c r="AE122" s="2">
        <v>0</v>
      </c>
      <c r="AF122" s="2">
        <v>175</v>
      </c>
      <c r="AK122">
        <v>6058603</v>
      </c>
    </row>
    <row r="123" spans="1:37" x14ac:dyDescent="0.25">
      <c r="A123" s="1">
        <v>46008</v>
      </c>
      <c r="B123" s="1">
        <v>46008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395</v>
      </c>
      <c r="J123" t="s">
        <v>396</v>
      </c>
      <c r="M123" t="s">
        <v>46</v>
      </c>
      <c r="O123" t="s">
        <v>226</v>
      </c>
      <c r="P123" t="s">
        <v>227</v>
      </c>
      <c r="Q123" t="s">
        <v>49</v>
      </c>
      <c r="R123" t="s">
        <v>58</v>
      </c>
      <c r="S123" s="1">
        <v>45962</v>
      </c>
      <c r="U123" t="s">
        <v>51</v>
      </c>
      <c r="X123" t="s">
        <v>52</v>
      </c>
      <c r="Y123" s="2">
        <v>0</v>
      </c>
      <c r="Z123" s="2">
        <v>175</v>
      </c>
      <c r="AA123">
        <v>1</v>
      </c>
      <c r="AB123" s="3">
        <v>1</v>
      </c>
      <c r="AC123" s="2">
        <v>175</v>
      </c>
      <c r="AD123" s="3">
        <v>0</v>
      </c>
      <c r="AE123" s="2">
        <v>0</v>
      </c>
      <c r="AF123" s="2">
        <v>175</v>
      </c>
      <c r="AK123">
        <v>6058612</v>
      </c>
    </row>
    <row r="124" spans="1:37" x14ac:dyDescent="0.25">
      <c r="A124" s="1">
        <v>46008</v>
      </c>
      <c r="B124" s="1">
        <v>46008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397</v>
      </c>
      <c r="J124" t="s">
        <v>398</v>
      </c>
      <c r="M124" t="s">
        <v>46</v>
      </c>
      <c r="O124" t="s">
        <v>66</v>
      </c>
      <c r="P124" t="s">
        <v>67</v>
      </c>
      <c r="Q124" t="s">
        <v>49</v>
      </c>
      <c r="R124" t="s">
        <v>58</v>
      </c>
      <c r="S124" s="1">
        <v>46023</v>
      </c>
      <c r="U124" t="s">
        <v>51</v>
      </c>
      <c r="X124" t="s">
        <v>52</v>
      </c>
      <c r="Y124" s="2">
        <v>0</v>
      </c>
      <c r="Z124" s="2">
        <v>175</v>
      </c>
      <c r="AA124">
        <v>1</v>
      </c>
      <c r="AB124" s="3">
        <v>1</v>
      </c>
      <c r="AC124" s="2">
        <v>175</v>
      </c>
      <c r="AD124" s="3">
        <v>0</v>
      </c>
      <c r="AE124" s="2">
        <v>0</v>
      </c>
      <c r="AF124" s="2">
        <v>175</v>
      </c>
      <c r="AK124">
        <v>6058613</v>
      </c>
    </row>
    <row r="125" spans="1:37" x14ac:dyDescent="0.25">
      <c r="A125" s="1">
        <v>46008</v>
      </c>
      <c r="B125" s="1">
        <v>46008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399</v>
      </c>
      <c r="J125" t="s">
        <v>400</v>
      </c>
      <c r="M125" t="s">
        <v>46</v>
      </c>
      <c r="O125" t="s">
        <v>125</v>
      </c>
      <c r="P125" t="s">
        <v>126</v>
      </c>
      <c r="Q125" t="s">
        <v>49</v>
      </c>
      <c r="R125" t="s">
        <v>58</v>
      </c>
      <c r="S125" s="1">
        <v>46023</v>
      </c>
      <c r="U125" t="s">
        <v>51</v>
      </c>
      <c r="X125" t="s">
        <v>52</v>
      </c>
      <c r="Y125" s="2">
        <v>0</v>
      </c>
      <c r="Z125" s="2">
        <v>175</v>
      </c>
      <c r="AA125">
        <v>1</v>
      </c>
      <c r="AB125" s="3">
        <v>1</v>
      </c>
      <c r="AC125" s="2">
        <v>175</v>
      </c>
      <c r="AD125" s="3">
        <v>0</v>
      </c>
      <c r="AE125" s="2">
        <v>0</v>
      </c>
      <c r="AF125" s="2">
        <v>175</v>
      </c>
      <c r="AK125">
        <v>6058390</v>
      </c>
    </row>
    <row r="126" spans="1:37" x14ac:dyDescent="0.25">
      <c r="A126" s="1">
        <v>46008</v>
      </c>
      <c r="B126" s="1">
        <v>46008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401</v>
      </c>
      <c r="J126" t="s">
        <v>402</v>
      </c>
      <c r="M126" t="s">
        <v>403</v>
      </c>
      <c r="O126" t="s">
        <v>404</v>
      </c>
      <c r="P126" t="s">
        <v>405</v>
      </c>
      <c r="Q126" t="s">
        <v>49</v>
      </c>
      <c r="R126" t="s">
        <v>58</v>
      </c>
      <c r="S126" s="1">
        <v>46023</v>
      </c>
      <c r="U126" t="s">
        <v>51</v>
      </c>
      <c r="X126" t="s">
        <v>52</v>
      </c>
      <c r="Y126" s="2">
        <v>0</v>
      </c>
      <c r="Z126" s="2">
        <v>175</v>
      </c>
      <c r="AA126">
        <v>1</v>
      </c>
      <c r="AB126" s="3">
        <v>1</v>
      </c>
      <c r="AC126" s="2">
        <v>175</v>
      </c>
      <c r="AD126" s="3">
        <v>0</v>
      </c>
      <c r="AE126" s="2">
        <v>0</v>
      </c>
      <c r="AF126" s="2">
        <v>175</v>
      </c>
      <c r="AK126">
        <v>6058638</v>
      </c>
    </row>
    <row r="127" spans="1:37" x14ac:dyDescent="0.25">
      <c r="A127" s="1">
        <v>46008</v>
      </c>
      <c r="B127" s="1">
        <v>46008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406</v>
      </c>
      <c r="J127" t="s">
        <v>407</v>
      </c>
      <c r="M127" t="s">
        <v>46</v>
      </c>
      <c r="O127" t="s">
        <v>47</v>
      </c>
      <c r="P127" t="s">
        <v>48</v>
      </c>
      <c r="Q127" t="s">
        <v>49</v>
      </c>
      <c r="R127" t="s">
        <v>58</v>
      </c>
      <c r="S127" s="1">
        <v>46023</v>
      </c>
      <c r="U127" t="s">
        <v>51</v>
      </c>
      <c r="X127" t="s">
        <v>52</v>
      </c>
      <c r="Y127" s="2">
        <v>0</v>
      </c>
      <c r="Z127" s="2">
        <v>175</v>
      </c>
      <c r="AA127">
        <v>1</v>
      </c>
      <c r="AB127" s="3">
        <v>1</v>
      </c>
      <c r="AC127" s="2">
        <v>175</v>
      </c>
      <c r="AD127" s="3">
        <v>0</v>
      </c>
      <c r="AE127" s="2">
        <v>0</v>
      </c>
      <c r="AF127" s="2">
        <v>175</v>
      </c>
      <c r="AK127">
        <v>6058639</v>
      </c>
    </row>
    <row r="128" spans="1:37" x14ac:dyDescent="0.25">
      <c r="A128" s="1">
        <v>46008</v>
      </c>
      <c r="B128" s="1">
        <v>46008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408</v>
      </c>
      <c r="J128" t="s">
        <v>409</v>
      </c>
      <c r="M128" t="s">
        <v>46</v>
      </c>
      <c r="O128" t="s">
        <v>74</v>
      </c>
      <c r="P128" t="s">
        <v>75</v>
      </c>
      <c r="Q128" t="s">
        <v>49</v>
      </c>
      <c r="R128" t="s">
        <v>58</v>
      </c>
      <c r="S128" s="1">
        <v>46023</v>
      </c>
      <c r="U128" t="s">
        <v>51</v>
      </c>
      <c r="X128" t="s">
        <v>52</v>
      </c>
      <c r="Y128" s="2">
        <v>0</v>
      </c>
      <c r="Z128" s="2">
        <v>175</v>
      </c>
      <c r="AA128">
        <v>1</v>
      </c>
      <c r="AB128" s="3">
        <v>1</v>
      </c>
      <c r="AC128" s="2">
        <v>175</v>
      </c>
      <c r="AD128" s="3">
        <v>0</v>
      </c>
      <c r="AE128" s="2">
        <v>0</v>
      </c>
      <c r="AF128" s="2">
        <v>175</v>
      </c>
      <c r="AK128">
        <v>6058640</v>
      </c>
    </row>
    <row r="129" spans="1:37" x14ac:dyDescent="0.25">
      <c r="A129" s="1">
        <v>46008</v>
      </c>
      <c r="B129" s="1">
        <v>46008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410</v>
      </c>
      <c r="J129" t="s">
        <v>411</v>
      </c>
      <c r="M129" t="s">
        <v>46</v>
      </c>
      <c r="O129" t="s">
        <v>151</v>
      </c>
      <c r="P129" t="s">
        <v>152</v>
      </c>
      <c r="Q129" t="s">
        <v>49</v>
      </c>
      <c r="R129" t="s">
        <v>58</v>
      </c>
      <c r="S129" s="1">
        <v>46023</v>
      </c>
      <c r="U129" t="s">
        <v>51</v>
      </c>
      <c r="X129" t="s">
        <v>52</v>
      </c>
      <c r="Y129" s="2">
        <v>0</v>
      </c>
      <c r="Z129" s="2">
        <v>175</v>
      </c>
      <c r="AA129">
        <v>1</v>
      </c>
      <c r="AB129" s="3">
        <v>1</v>
      </c>
      <c r="AC129" s="2">
        <v>175</v>
      </c>
      <c r="AD129" s="3">
        <v>0</v>
      </c>
      <c r="AE129" s="2">
        <v>0</v>
      </c>
      <c r="AF129" s="2">
        <v>175</v>
      </c>
      <c r="AK129">
        <v>6058653</v>
      </c>
    </row>
    <row r="130" spans="1:37" x14ac:dyDescent="0.25">
      <c r="A130" s="1">
        <v>46008</v>
      </c>
      <c r="B130" s="1">
        <v>46008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412</v>
      </c>
      <c r="J130" t="s">
        <v>413</v>
      </c>
      <c r="M130" t="s">
        <v>87</v>
      </c>
      <c r="O130" t="s">
        <v>141</v>
      </c>
      <c r="P130" t="s">
        <v>142</v>
      </c>
      <c r="Q130" t="s">
        <v>49</v>
      </c>
      <c r="R130" t="s">
        <v>58</v>
      </c>
      <c r="S130" s="1">
        <v>46054</v>
      </c>
      <c r="U130" t="s">
        <v>51</v>
      </c>
      <c r="X130" t="s">
        <v>52</v>
      </c>
      <c r="Y130" s="2">
        <v>0</v>
      </c>
      <c r="Z130" s="2">
        <v>175</v>
      </c>
      <c r="AA130">
        <v>1</v>
      </c>
      <c r="AB130" s="3">
        <v>1</v>
      </c>
      <c r="AC130" s="2">
        <v>175</v>
      </c>
      <c r="AD130" s="3">
        <v>0</v>
      </c>
      <c r="AE130" s="2">
        <v>0</v>
      </c>
      <c r="AF130" s="2">
        <v>175</v>
      </c>
      <c r="AK130">
        <v>6058654</v>
      </c>
    </row>
    <row r="131" spans="1:37" x14ac:dyDescent="0.25">
      <c r="A131" s="1">
        <v>46008</v>
      </c>
      <c r="B131" s="1">
        <v>46008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414</v>
      </c>
      <c r="J131" t="s">
        <v>415</v>
      </c>
      <c r="M131" t="s">
        <v>46</v>
      </c>
      <c r="O131" t="s">
        <v>47</v>
      </c>
      <c r="P131" t="s">
        <v>48</v>
      </c>
      <c r="Q131" t="s">
        <v>49</v>
      </c>
      <c r="R131" t="s">
        <v>58</v>
      </c>
      <c r="S131" s="1">
        <v>46023</v>
      </c>
      <c r="U131" t="s">
        <v>51</v>
      </c>
      <c r="X131" t="s">
        <v>52</v>
      </c>
      <c r="Y131" s="2">
        <v>0</v>
      </c>
      <c r="Z131" s="2">
        <v>175</v>
      </c>
      <c r="AA131">
        <v>1</v>
      </c>
      <c r="AB131" s="3">
        <v>1</v>
      </c>
      <c r="AC131" s="2">
        <v>175</v>
      </c>
      <c r="AD131" s="3">
        <v>0</v>
      </c>
      <c r="AE131" s="2">
        <v>0</v>
      </c>
      <c r="AF131" s="2">
        <v>175</v>
      </c>
      <c r="AK131">
        <v>6058655</v>
      </c>
    </row>
    <row r="132" spans="1:37" x14ac:dyDescent="0.25">
      <c r="A132" s="1">
        <v>46008</v>
      </c>
      <c r="B132" s="1">
        <v>46008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416</v>
      </c>
      <c r="J132" t="s">
        <v>417</v>
      </c>
      <c r="M132" t="s">
        <v>46</v>
      </c>
      <c r="O132" t="s">
        <v>213</v>
      </c>
      <c r="P132" t="s">
        <v>214</v>
      </c>
      <c r="Q132" t="s">
        <v>49</v>
      </c>
      <c r="R132" t="s">
        <v>58</v>
      </c>
      <c r="S132" s="1">
        <v>46023</v>
      </c>
      <c r="U132" t="s">
        <v>51</v>
      </c>
      <c r="X132" t="s">
        <v>52</v>
      </c>
      <c r="Y132" s="2">
        <v>0</v>
      </c>
      <c r="Z132" s="2">
        <v>175</v>
      </c>
      <c r="AA132">
        <v>1</v>
      </c>
      <c r="AB132" s="3">
        <v>1</v>
      </c>
      <c r="AC132" s="2">
        <v>175</v>
      </c>
      <c r="AD132" s="3">
        <v>0</v>
      </c>
      <c r="AE132" s="2">
        <v>0</v>
      </c>
      <c r="AF132" s="2">
        <v>175</v>
      </c>
      <c r="AK132">
        <v>6058663</v>
      </c>
    </row>
    <row r="133" spans="1:37" x14ac:dyDescent="0.25">
      <c r="A133" s="1">
        <v>46008</v>
      </c>
      <c r="B133" s="1">
        <v>46008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418</v>
      </c>
      <c r="J133" t="s">
        <v>419</v>
      </c>
      <c r="M133" t="s">
        <v>46</v>
      </c>
      <c r="O133" t="s">
        <v>266</v>
      </c>
      <c r="P133" t="s">
        <v>267</v>
      </c>
      <c r="Q133" t="s">
        <v>49</v>
      </c>
      <c r="R133" t="s">
        <v>58</v>
      </c>
      <c r="S133" s="1">
        <v>46023</v>
      </c>
      <c r="U133" t="s">
        <v>51</v>
      </c>
      <c r="X133" t="s">
        <v>52</v>
      </c>
      <c r="Y133" s="2">
        <v>0</v>
      </c>
      <c r="Z133" s="2">
        <v>175</v>
      </c>
      <c r="AA133">
        <v>1</v>
      </c>
      <c r="AB133" s="3">
        <v>1</v>
      </c>
      <c r="AC133" s="2">
        <v>175</v>
      </c>
      <c r="AD133" s="3">
        <v>0</v>
      </c>
      <c r="AE133" s="2">
        <v>0</v>
      </c>
      <c r="AF133" s="2">
        <v>175</v>
      </c>
      <c r="AK133">
        <v>6058664</v>
      </c>
    </row>
    <row r="134" spans="1:37" x14ac:dyDescent="0.25">
      <c r="A134" s="1">
        <v>46008</v>
      </c>
      <c r="B134" s="1">
        <v>46008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420</v>
      </c>
      <c r="J134" t="s">
        <v>421</v>
      </c>
      <c r="M134" t="s">
        <v>46</v>
      </c>
      <c r="O134" t="s">
        <v>278</v>
      </c>
      <c r="P134" t="s">
        <v>279</v>
      </c>
      <c r="Q134" t="s">
        <v>49</v>
      </c>
      <c r="R134" t="s">
        <v>58</v>
      </c>
      <c r="S134" s="1">
        <v>46023</v>
      </c>
      <c r="U134" t="s">
        <v>51</v>
      </c>
      <c r="X134" t="s">
        <v>52</v>
      </c>
      <c r="Y134" s="2">
        <v>0</v>
      </c>
      <c r="Z134" s="2">
        <v>175</v>
      </c>
      <c r="AA134">
        <v>1</v>
      </c>
      <c r="AB134" s="3">
        <v>1</v>
      </c>
      <c r="AC134" s="2">
        <v>175</v>
      </c>
      <c r="AD134" s="3">
        <v>0</v>
      </c>
      <c r="AE134" s="2">
        <v>0</v>
      </c>
      <c r="AF134" s="2">
        <v>175</v>
      </c>
      <c r="AK134">
        <v>6058665</v>
      </c>
    </row>
    <row r="135" spans="1:37" x14ac:dyDescent="0.25">
      <c r="A135" s="1">
        <v>46008</v>
      </c>
      <c r="B135" s="1">
        <v>46008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422</v>
      </c>
      <c r="J135" t="s">
        <v>423</v>
      </c>
      <c r="M135" t="s">
        <v>78</v>
      </c>
      <c r="O135" t="s">
        <v>389</v>
      </c>
      <c r="P135" t="s">
        <v>390</v>
      </c>
      <c r="Q135" t="s">
        <v>49</v>
      </c>
      <c r="R135" t="s">
        <v>58</v>
      </c>
      <c r="S135" s="1">
        <v>46023</v>
      </c>
      <c r="U135" t="s">
        <v>51</v>
      </c>
      <c r="X135" t="s">
        <v>52</v>
      </c>
      <c r="Y135" s="2">
        <v>0</v>
      </c>
      <c r="Z135" s="2">
        <v>175</v>
      </c>
      <c r="AA135">
        <v>1</v>
      </c>
      <c r="AB135" s="3">
        <v>1</v>
      </c>
      <c r="AC135" s="2">
        <v>175</v>
      </c>
      <c r="AD135" s="3">
        <v>0</v>
      </c>
      <c r="AE135" s="2">
        <v>0</v>
      </c>
      <c r="AF135" s="2">
        <v>175</v>
      </c>
      <c r="AK135">
        <v>6058401</v>
      </c>
    </row>
    <row r="136" spans="1:37" x14ac:dyDescent="0.25">
      <c r="A136" s="1">
        <v>46008</v>
      </c>
      <c r="B136" s="1">
        <v>46008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424</v>
      </c>
      <c r="J136" t="s">
        <v>425</v>
      </c>
      <c r="M136" t="s">
        <v>46</v>
      </c>
      <c r="O136" t="s">
        <v>47</v>
      </c>
      <c r="P136" t="s">
        <v>48</v>
      </c>
      <c r="Q136" t="s">
        <v>49</v>
      </c>
      <c r="R136" t="s">
        <v>58</v>
      </c>
      <c r="S136" s="1">
        <v>46023</v>
      </c>
      <c r="U136" t="s">
        <v>51</v>
      </c>
      <c r="X136" t="s">
        <v>52</v>
      </c>
      <c r="Y136" s="2">
        <v>0</v>
      </c>
      <c r="Z136" s="2">
        <v>175</v>
      </c>
      <c r="AA136">
        <v>1</v>
      </c>
      <c r="AB136" s="3">
        <v>1</v>
      </c>
      <c r="AC136" s="2">
        <v>175</v>
      </c>
      <c r="AD136" s="3">
        <v>0</v>
      </c>
      <c r="AE136" s="2">
        <v>0</v>
      </c>
      <c r="AF136" s="2">
        <v>175</v>
      </c>
      <c r="AK136">
        <v>6058678</v>
      </c>
    </row>
    <row r="137" spans="1:37" x14ac:dyDescent="0.25">
      <c r="A137" s="1">
        <v>46008</v>
      </c>
      <c r="B137" s="1">
        <v>46008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426</v>
      </c>
      <c r="J137" t="s">
        <v>427</v>
      </c>
      <c r="M137" t="s">
        <v>158</v>
      </c>
      <c r="O137" t="s">
        <v>159</v>
      </c>
      <c r="P137" t="s">
        <v>160</v>
      </c>
      <c r="Q137" t="s">
        <v>49</v>
      </c>
      <c r="R137" t="s">
        <v>58</v>
      </c>
      <c r="S137" s="1">
        <v>46054</v>
      </c>
      <c r="U137" t="s">
        <v>51</v>
      </c>
      <c r="X137" t="s">
        <v>52</v>
      </c>
      <c r="Y137" s="2">
        <v>0</v>
      </c>
      <c r="Z137" s="2">
        <v>175</v>
      </c>
      <c r="AA137">
        <v>1</v>
      </c>
      <c r="AB137" s="3">
        <v>1</v>
      </c>
      <c r="AC137" s="2">
        <v>175</v>
      </c>
      <c r="AD137" s="3">
        <v>0</v>
      </c>
      <c r="AE137" s="2">
        <v>0</v>
      </c>
      <c r="AF137" s="2">
        <v>175</v>
      </c>
      <c r="AK137">
        <v>6058409</v>
      </c>
    </row>
    <row r="138" spans="1:37" x14ac:dyDescent="0.25">
      <c r="A138" s="1">
        <v>46008</v>
      </c>
      <c r="B138" s="1">
        <v>46008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428</v>
      </c>
      <c r="J138" t="s">
        <v>429</v>
      </c>
      <c r="M138" t="s">
        <v>61</v>
      </c>
      <c r="O138" t="s">
        <v>430</v>
      </c>
      <c r="P138" t="s">
        <v>431</v>
      </c>
      <c r="Q138" t="s">
        <v>49</v>
      </c>
      <c r="R138" t="s">
        <v>58</v>
      </c>
      <c r="S138" s="1">
        <v>46023</v>
      </c>
      <c r="U138" t="s">
        <v>51</v>
      </c>
      <c r="X138" t="s">
        <v>52</v>
      </c>
      <c r="Y138" s="2">
        <v>0</v>
      </c>
      <c r="Z138" s="2">
        <v>175</v>
      </c>
      <c r="AA138">
        <v>1</v>
      </c>
      <c r="AB138" s="3">
        <v>1</v>
      </c>
      <c r="AC138" s="2">
        <v>175</v>
      </c>
      <c r="AD138" s="3">
        <v>0</v>
      </c>
      <c r="AE138" s="2">
        <v>0</v>
      </c>
      <c r="AF138" s="2">
        <v>175</v>
      </c>
      <c r="AK138">
        <v>6058679</v>
      </c>
    </row>
    <row r="139" spans="1:37" x14ac:dyDescent="0.25">
      <c r="A139" s="1">
        <v>46008</v>
      </c>
      <c r="B139" s="1">
        <v>46008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432</v>
      </c>
      <c r="J139" t="s">
        <v>433</v>
      </c>
      <c r="M139" t="s">
        <v>46</v>
      </c>
      <c r="O139" t="s">
        <v>389</v>
      </c>
      <c r="P139" t="s">
        <v>390</v>
      </c>
      <c r="Q139" t="s">
        <v>49</v>
      </c>
      <c r="R139" t="s">
        <v>58</v>
      </c>
      <c r="S139" s="1">
        <v>46023</v>
      </c>
      <c r="U139" t="s">
        <v>51</v>
      </c>
      <c r="X139" t="s">
        <v>52</v>
      </c>
      <c r="Y139" s="2">
        <v>0</v>
      </c>
      <c r="Z139" s="2">
        <v>175</v>
      </c>
      <c r="AA139">
        <v>1</v>
      </c>
      <c r="AB139" s="3">
        <v>1</v>
      </c>
      <c r="AC139" s="2">
        <v>175</v>
      </c>
      <c r="AD139" s="3">
        <v>0</v>
      </c>
      <c r="AE139" s="2">
        <v>0</v>
      </c>
      <c r="AF139" s="2">
        <v>175</v>
      </c>
      <c r="AK139">
        <v>6058412</v>
      </c>
    </row>
    <row r="140" spans="1:37" x14ac:dyDescent="0.25">
      <c r="A140" s="1">
        <v>46008</v>
      </c>
      <c r="B140" s="1">
        <v>46008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434</v>
      </c>
      <c r="J140" t="s">
        <v>435</v>
      </c>
      <c r="M140" t="s">
        <v>46</v>
      </c>
      <c r="O140" t="s">
        <v>74</v>
      </c>
      <c r="P140" t="s">
        <v>75</v>
      </c>
      <c r="Q140" t="s">
        <v>49</v>
      </c>
      <c r="R140" t="s">
        <v>58</v>
      </c>
      <c r="S140" s="1">
        <v>46023</v>
      </c>
      <c r="U140" t="s">
        <v>51</v>
      </c>
      <c r="X140" t="s">
        <v>52</v>
      </c>
      <c r="Y140" s="2">
        <v>0</v>
      </c>
      <c r="Z140" s="2">
        <v>175</v>
      </c>
      <c r="AA140">
        <v>1</v>
      </c>
      <c r="AB140" s="3">
        <v>1</v>
      </c>
      <c r="AC140" s="2">
        <v>175</v>
      </c>
      <c r="AD140" s="3">
        <v>0</v>
      </c>
      <c r="AE140" s="2">
        <v>0</v>
      </c>
      <c r="AF140" s="2">
        <v>175</v>
      </c>
      <c r="AK140">
        <v>6058682</v>
      </c>
    </row>
    <row r="141" spans="1:37" x14ac:dyDescent="0.25">
      <c r="A141" s="1">
        <v>46008</v>
      </c>
      <c r="B141" s="1">
        <v>46008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436</v>
      </c>
      <c r="J141" t="s">
        <v>437</v>
      </c>
      <c r="M141" t="s">
        <v>87</v>
      </c>
      <c r="O141" t="s">
        <v>108</v>
      </c>
      <c r="P141" t="s">
        <v>109</v>
      </c>
      <c r="Q141" t="s">
        <v>49</v>
      </c>
      <c r="R141" t="s">
        <v>58</v>
      </c>
      <c r="S141" s="1">
        <v>46023</v>
      </c>
      <c r="U141" t="s">
        <v>51</v>
      </c>
      <c r="X141" t="s">
        <v>52</v>
      </c>
      <c r="Y141" s="2">
        <v>0</v>
      </c>
      <c r="Z141" s="2">
        <v>175</v>
      </c>
      <c r="AA141">
        <v>1</v>
      </c>
      <c r="AB141" s="3">
        <v>1</v>
      </c>
      <c r="AC141" s="2">
        <v>175</v>
      </c>
      <c r="AD141" s="3">
        <v>0</v>
      </c>
      <c r="AE141" s="2">
        <v>0</v>
      </c>
      <c r="AF141" s="2">
        <v>175</v>
      </c>
      <c r="AK141">
        <v>6058683</v>
      </c>
    </row>
    <row r="142" spans="1:37" x14ac:dyDescent="0.25">
      <c r="A142" s="1">
        <v>46008</v>
      </c>
      <c r="B142" s="1">
        <v>46008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438</v>
      </c>
      <c r="J142" t="s">
        <v>439</v>
      </c>
      <c r="M142" t="s">
        <v>46</v>
      </c>
      <c r="O142" t="s">
        <v>278</v>
      </c>
      <c r="P142" t="s">
        <v>279</v>
      </c>
      <c r="Q142" t="s">
        <v>49</v>
      </c>
      <c r="R142" t="s">
        <v>58</v>
      </c>
      <c r="S142" s="1">
        <v>46023</v>
      </c>
      <c r="U142" t="s">
        <v>51</v>
      </c>
      <c r="X142" t="s">
        <v>52</v>
      </c>
      <c r="Y142" s="2">
        <v>0</v>
      </c>
      <c r="Z142" s="2">
        <v>175</v>
      </c>
      <c r="AA142">
        <v>1</v>
      </c>
      <c r="AB142" s="3">
        <v>1</v>
      </c>
      <c r="AC142" s="2">
        <v>175</v>
      </c>
      <c r="AD142" s="3">
        <v>0</v>
      </c>
      <c r="AE142" s="2">
        <v>0</v>
      </c>
      <c r="AF142" s="2">
        <v>175</v>
      </c>
      <c r="AK142">
        <v>6058684</v>
      </c>
    </row>
    <row r="143" spans="1:37" x14ac:dyDescent="0.25">
      <c r="A143" s="1">
        <v>46008</v>
      </c>
      <c r="B143" s="1">
        <v>46008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440</v>
      </c>
      <c r="J143" t="s">
        <v>441</v>
      </c>
      <c r="M143" t="s">
        <v>46</v>
      </c>
      <c r="O143" t="s">
        <v>66</v>
      </c>
      <c r="P143" t="s">
        <v>67</v>
      </c>
      <c r="Q143" t="s">
        <v>49</v>
      </c>
      <c r="R143" t="s">
        <v>58</v>
      </c>
      <c r="S143" s="1">
        <v>46023</v>
      </c>
      <c r="U143" t="s">
        <v>51</v>
      </c>
      <c r="X143" t="s">
        <v>52</v>
      </c>
      <c r="Y143" s="2">
        <v>0</v>
      </c>
      <c r="Z143" s="2">
        <v>175</v>
      </c>
      <c r="AA143">
        <v>1</v>
      </c>
      <c r="AB143" s="3">
        <v>1</v>
      </c>
      <c r="AC143" s="2">
        <v>175</v>
      </c>
      <c r="AD143" s="3">
        <v>0</v>
      </c>
      <c r="AE143" s="2">
        <v>0</v>
      </c>
      <c r="AF143" s="2">
        <v>175</v>
      </c>
      <c r="AK143">
        <v>6058703</v>
      </c>
    </row>
    <row r="144" spans="1:37" x14ac:dyDescent="0.25">
      <c r="A144" s="1">
        <v>46008</v>
      </c>
      <c r="B144" s="1">
        <v>46008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442</v>
      </c>
      <c r="J144" t="s">
        <v>443</v>
      </c>
      <c r="M144" t="s">
        <v>155</v>
      </c>
      <c r="O144" t="s">
        <v>179</v>
      </c>
      <c r="P144" t="s">
        <v>180</v>
      </c>
      <c r="Q144" t="s">
        <v>49</v>
      </c>
      <c r="R144" t="s">
        <v>58</v>
      </c>
      <c r="S144" s="1">
        <v>46023</v>
      </c>
      <c r="U144" t="s">
        <v>51</v>
      </c>
      <c r="X144" t="s">
        <v>52</v>
      </c>
      <c r="Y144" s="2">
        <v>0</v>
      </c>
      <c r="Z144" s="2">
        <v>175</v>
      </c>
      <c r="AA144">
        <v>1</v>
      </c>
      <c r="AB144" s="3">
        <v>1</v>
      </c>
      <c r="AC144" s="2">
        <v>175</v>
      </c>
      <c r="AD144" s="3">
        <v>0</v>
      </c>
      <c r="AE144" s="2">
        <v>0</v>
      </c>
      <c r="AF144" s="2">
        <v>175</v>
      </c>
      <c r="AK144">
        <v>6058425</v>
      </c>
    </row>
    <row r="145" spans="1:37" x14ac:dyDescent="0.25">
      <c r="A145" s="1">
        <v>46008</v>
      </c>
      <c r="B145" s="1">
        <v>46008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444</v>
      </c>
      <c r="J145" t="s">
        <v>445</v>
      </c>
      <c r="M145" t="s">
        <v>46</v>
      </c>
      <c r="O145" t="s">
        <v>213</v>
      </c>
      <c r="P145" t="s">
        <v>214</v>
      </c>
      <c r="Q145" t="s">
        <v>49</v>
      </c>
      <c r="R145" t="s">
        <v>58</v>
      </c>
      <c r="S145" s="1">
        <v>46023</v>
      </c>
      <c r="U145" t="s">
        <v>51</v>
      </c>
      <c r="X145" t="s">
        <v>52</v>
      </c>
      <c r="Y145" s="2">
        <v>0</v>
      </c>
      <c r="Z145" s="2">
        <v>175</v>
      </c>
      <c r="AA145">
        <v>1</v>
      </c>
      <c r="AB145" s="3">
        <v>1</v>
      </c>
      <c r="AC145" s="2">
        <v>175</v>
      </c>
      <c r="AD145" s="3">
        <v>0</v>
      </c>
      <c r="AE145" s="2">
        <v>0</v>
      </c>
      <c r="AF145" s="2">
        <v>175</v>
      </c>
      <c r="AK145">
        <v>6058704</v>
      </c>
    </row>
    <row r="146" spans="1:37" x14ac:dyDescent="0.25">
      <c r="A146" s="1">
        <v>46008</v>
      </c>
      <c r="B146" s="1">
        <v>46008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446</v>
      </c>
      <c r="J146" t="s">
        <v>447</v>
      </c>
      <c r="M146" t="s">
        <v>46</v>
      </c>
      <c r="O146" t="s">
        <v>389</v>
      </c>
      <c r="P146" t="s">
        <v>390</v>
      </c>
      <c r="Q146" t="s">
        <v>49</v>
      </c>
      <c r="R146" t="s">
        <v>58</v>
      </c>
      <c r="S146" s="1">
        <v>46023</v>
      </c>
      <c r="U146" t="s">
        <v>51</v>
      </c>
      <c r="X146" t="s">
        <v>52</v>
      </c>
      <c r="Y146" s="2">
        <v>0</v>
      </c>
      <c r="Z146" s="2">
        <v>175</v>
      </c>
      <c r="AA146">
        <v>1</v>
      </c>
      <c r="AB146" s="3">
        <v>1</v>
      </c>
      <c r="AC146" s="2">
        <v>175</v>
      </c>
      <c r="AD146" s="3">
        <v>0</v>
      </c>
      <c r="AE146" s="2">
        <v>0</v>
      </c>
      <c r="AF146" s="2">
        <v>175</v>
      </c>
      <c r="AK146">
        <v>6058427</v>
      </c>
    </row>
    <row r="147" spans="1:37" x14ac:dyDescent="0.25">
      <c r="A147" s="1">
        <v>46008</v>
      </c>
      <c r="B147" s="1">
        <v>46008</v>
      </c>
      <c r="C147" t="s">
        <v>38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448</v>
      </c>
      <c r="J147" t="s">
        <v>449</v>
      </c>
      <c r="M147" t="s">
        <v>46</v>
      </c>
      <c r="O147" t="s">
        <v>147</v>
      </c>
      <c r="P147" t="s">
        <v>148</v>
      </c>
      <c r="Q147" t="s">
        <v>49</v>
      </c>
      <c r="R147" t="s">
        <v>58</v>
      </c>
      <c r="S147" s="1">
        <v>46023</v>
      </c>
      <c r="U147" t="s">
        <v>51</v>
      </c>
      <c r="X147" t="s">
        <v>52</v>
      </c>
      <c r="Y147" s="2">
        <v>0</v>
      </c>
      <c r="Z147" s="2">
        <v>175</v>
      </c>
      <c r="AA147">
        <v>1</v>
      </c>
      <c r="AB147" s="3">
        <v>1</v>
      </c>
      <c r="AC147" s="2">
        <v>175</v>
      </c>
      <c r="AD147" s="3">
        <v>0</v>
      </c>
      <c r="AE147" s="2">
        <v>0</v>
      </c>
      <c r="AF147" s="2">
        <v>175</v>
      </c>
      <c r="AK147">
        <v>6058707</v>
      </c>
    </row>
    <row r="148" spans="1:37" x14ac:dyDescent="0.25">
      <c r="A148" s="1">
        <v>46008</v>
      </c>
      <c r="B148" s="1">
        <v>46008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450</v>
      </c>
      <c r="J148" t="s">
        <v>451</v>
      </c>
      <c r="M148" t="s">
        <v>46</v>
      </c>
      <c r="O148" t="s">
        <v>452</v>
      </c>
      <c r="P148" t="s">
        <v>453</v>
      </c>
      <c r="Q148" t="s">
        <v>49</v>
      </c>
      <c r="R148" t="s">
        <v>58</v>
      </c>
      <c r="S148" s="1">
        <v>46023</v>
      </c>
      <c r="U148" t="s">
        <v>51</v>
      </c>
      <c r="X148" t="s">
        <v>52</v>
      </c>
      <c r="Y148" s="2">
        <v>0</v>
      </c>
      <c r="Z148" s="2">
        <v>175</v>
      </c>
      <c r="AA148">
        <v>1</v>
      </c>
      <c r="AB148" s="3">
        <v>1</v>
      </c>
      <c r="AC148" s="2">
        <v>175</v>
      </c>
      <c r="AD148" s="3">
        <v>0</v>
      </c>
      <c r="AE148" s="2">
        <v>0</v>
      </c>
      <c r="AF148" s="2">
        <v>175</v>
      </c>
      <c r="AK148">
        <v>6058729</v>
      </c>
    </row>
    <row r="149" spans="1:37" x14ac:dyDescent="0.25">
      <c r="A149" s="1">
        <v>46008</v>
      </c>
      <c r="B149" s="1">
        <v>46008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454</v>
      </c>
      <c r="J149" t="s">
        <v>455</v>
      </c>
      <c r="M149" t="s">
        <v>87</v>
      </c>
      <c r="O149" t="s">
        <v>141</v>
      </c>
      <c r="P149" t="s">
        <v>142</v>
      </c>
      <c r="Q149" t="s">
        <v>49</v>
      </c>
      <c r="R149" t="s">
        <v>58</v>
      </c>
      <c r="S149" s="1">
        <v>46023</v>
      </c>
      <c r="U149" t="s">
        <v>51</v>
      </c>
      <c r="X149" t="s">
        <v>52</v>
      </c>
      <c r="Y149" s="2">
        <v>0</v>
      </c>
      <c r="Z149" s="2">
        <v>175</v>
      </c>
      <c r="AA149">
        <v>1</v>
      </c>
      <c r="AB149" s="3">
        <v>1</v>
      </c>
      <c r="AC149" s="2">
        <v>175</v>
      </c>
      <c r="AD149" s="3">
        <v>0</v>
      </c>
      <c r="AE149" s="2">
        <v>0</v>
      </c>
      <c r="AF149" s="2">
        <v>175</v>
      </c>
      <c r="AK149">
        <v>6058730</v>
      </c>
    </row>
    <row r="150" spans="1:37" x14ac:dyDescent="0.25">
      <c r="A150" s="1">
        <v>46008</v>
      </c>
      <c r="B150" s="1">
        <v>46008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456</v>
      </c>
      <c r="J150" t="s">
        <v>457</v>
      </c>
      <c r="M150" t="s">
        <v>87</v>
      </c>
      <c r="O150" t="s">
        <v>141</v>
      </c>
      <c r="P150" t="s">
        <v>142</v>
      </c>
      <c r="Q150" t="s">
        <v>49</v>
      </c>
      <c r="R150" t="s">
        <v>58</v>
      </c>
      <c r="S150" s="1">
        <v>46023</v>
      </c>
      <c r="U150" t="s">
        <v>51</v>
      </c>
      <c r="X150" t="s">
        <v>52</v>
      </c>
      <c r="Y150" s="2">
        <v>0</v>
      </c>
      <c r="Z150" s="2">
        <v>175</v>
      </c>
      <c r="AA150">
        <v>1</v>
      </c>
      <c r="AB150" s="3">
        <v>1</v>
      </c>
      <c r="AC150" s="2">
        <v>175</v>
      </c>
      <c r="AD150" s="3">
        <v>0</v>
      </c>
      <c r="AE150" s="2">
        <v>0</v>
      </c>
      <c r="AF150" s="2">
        <v>175</v>
      </c>
      <c r="AK150">
        <v>6058731</v>
      </c>
    </row>
    <row r="151" spans="1:37" x14ac:dyDescent="0.25">
      <c r="A151" s="1">
        <v>46008</v>
      </c>
      <c r="B151" s="1">
        <v>46008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458</v>
      </c>
      <c r="J151" t="s">
        <v>459</v>
      </c>
      <c r="M151" t="s">
        <v>46</v>
      </c>
      <c r="O151" t="s">
        <v>201</v>
      </c>
      <c r="P151" t="s">
        <v>202</v>
      </c>
      <c r="Q151" t="s">
        <v>49</v>
      </c>
      <c r="R151" t="s">
        <v>58</v>
      </c>
      <c r="S151" s="1">
        <v>46023</v>
      </c>
      <c r="U151" t="s">
        <v>51</v>
      </c>
      <c r="X151" t="s">
        <v>52</v>
      </c>
      <c r="Y151" s="2">
        <v>0</v>
      </c>
      <c r="Z151" s="2">
        <v>175</v>
      </c>
      <c r="AA151">
        <v>1</v>
      </c>
      <c r="AB151" s="3">
        <v>1</v>
      </c>
      <c r="AC151" s="2">
        <v>175</v>
      </c>
      <c r="AD151" s="3">
        <v>0</v>
      </c>
      <c r="AE151" s="2">
        <v>0</v>
      </c>
      <c r="AF151" s="2">
        <v>175</v>
      </c>
      <c r="AK151">
        <v>6058732</v>
      </c>
    </row>
    <row r="152" spans="1:37" x14ac:dyDescent="0.25">
      <c r="A152" s="1">
        <v>46008</v>
      </c>
      <c r="B152" s="1">
        <v>46008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460</v>
      </c>
      <c r="J152" t="s">
        <v>461</v>
      </c>
      <c r="M152" t="s">
        <v>46</v>
      </c>
      <c r="O152" t="s">
        <v>226</v>
      </c>
      <c r="P152" t="s">
        <v>227</v>
      </c>
      <c r="Q152" t="s">
        <v>49</v>
      </c>
      <c r="R152" t="s">
        <v>58</v>
      </c>
      <c r="S152" s="1">
        <v>46023</v>
      </c>
      <c r="U152" t="s">
        <v>51</v>
      </c>
      <c r="X152" t="s">
        <v>52</v>
      </c>
      <c r="Y152" s="2">
        <v>0</v>
      </c>
      <c r="Z152" s="2">
        <v>175</v>
      </c>
      <c r="AA152">
        <v>1</v>
      </c>
      <c r="AB152" s="3">
        <v>1</v>
      </c>
      <c r="AC152" s="2">
        <v>175</v>
      </c>
      <c r="AD152" s="3">
        <v>0</v>
      </c>
      <c r="AE152" s="2">
        <v>0</v>
      </c>
      <c r="AF152" s="2">
        <v>175</v>
      </c>
      <c r="AK152">
        <v>6058735</v>
      </c>
    </row>
    <row r="153" spans="1:37" x14ac:dyDescent="0.25">
      <c r="A153" s="1">
        <v>46008</v>
      </c>
      <c r="B153" s="1">
        <v>46008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462</v>
      </c>
      <c r="J153" t="s">
        <v>463</v>
      </c>
      <c r="M153" t="s">
        <v>464</v>
      </c>
      <c r="O153" t="s">
        <v>278</v>
      </c>
      <c r="P153" t="s">
        <v>279</v>
      </c>
      <c r="Q153" t="s">
        <v>49</v>
      </c>
      <c r="R153" t="s">
        <v>58</v>
      </c>
      <c r="S153" s="1">
        <v>46023</v>
      </c>
      <c r="U153" t="s">
        <v>51</v>
      </c>
      <c r="X153" t="s">
        <v>52</v>
      </c>
      <c r="Y153" s="2">
        <v>0</v>
      </c>
      <c r="Z153" s="2">
        <v>175</v>
      </c>
      <c r="AA153">
        <v>1</v>
      </c>
      <c r="AB153" s="3">
        <v>1</v>
      </c>
      <c r="AC153" s="2">
        <v>175</v>
      </c>
      <c r="AD153" s="3">
        <v>0</v>
      </c>
      <c r="AE153" s="2">
        <v>0</v>
      </c>
      <c r="AF153" s="2">
        <v>175</v>
      </c>
      <c r="AK153">
        <v>6058736</v>
      </c>
    </row>
    <row r="154" spans="1:37" x14ac:dyDescent="0.25">
      <c r="A154" s="1">
        <v>46008</v>
      </c>
      <c r="B154" s="1">
        <v>46008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465</v>
      </c>
      <c r="J154" t="s">
        <v>466</v>
      </c>
      <c r="M154" t="s">
        <v>217</v>
      </c>
      <c r="O154" t="s">
        <v>218</v>
      </c>
      <c r="P154" t="s">
        <v>219</v>
      </c>
      <c r="Q154" t="s">
        <v>49</v>
      </c>
      <c r="R154" t="s">
        <v>58</v>
      </c>
      <c r="S154" s="1">
        <v>46023</v>
      </c>
      <c r="U154" t="s">
        <v>51</v>
      </c>
      <c r="X154" t="s">
        <v>52</v>
      </c>
      <c r="Y154" s="2">
        <v>0</v>
      </c>
      <c r="Z154" s="2">
        <v>175</v>
      </c>
      <c r="AA154">
        <v>1</v>
      </c>
      <c r="AB154" s="3">
        <v>1</v>
      </c>
      <c r="AC154" s="2">
        <v>175</v>
      </c>
      <c r="AD154" s="3">
        <v>0</v>
      </c>
      <c r="AE154" s="2">
        <v>0</v>
      </c>
      <c r="AF154" s="2">
        <v>175</v>
      </c>
      <c r="AK154">
        <v>6058434</v>
      </c>
    </row>
    <row r="155" spans="1:37" x14ac:dyDescent="0.25">
      <c r="A155" s="1">
        <v>46008</v>
      </c>
      <c r="B155" s="1">
        <v>46008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467</v>
      </c>
      <c r="J155" t="s">
        <v>468</v>
      </c>
      <c r="M155" t="s">
        <v>55</v>
      </c>
      <c r="O155" t="s">
        <v>359</v>
      </c>
      <c r="P155" t="s">
        <v>360</v>
      </c>
      <c r="Q155" t="s">
        <v>49</v>
      </c>
      <c r="R155" t="s">
        <v>58</v>
      </c>
      <c r="S155" s="1">
        <v>46054</v>
      </c>
      <c r="U155" t="s">
        <v>51</v>
      </c>
      <c r="X155" t="s">
        <v>52</v>
      </c>
      <c r="Y155" s="2">
        <v>0</v>
      </c>
      <c r="Z155" s="2">
        <v>175</v>
      </c>
      <c r="AA155">
        <v>1</v>
      </c>
      <c r="AB155" s="3">
        <v>1</v>
      </c>
      <c r="AC155" s="2">
        <v>175</v>
      </c>
      <c r="AD155" s="3">
        <v>0</v>
      </c>
      <c r="AE155" s="2">
        <v>0</v>
      </c>
      <c r="AF155" s="2">
        <v>175</v>
      </c>
      <c r="AK155">
        <v>6058737</v>
      </c>
    </row>
    <row r="156" spans="1:37" x14ac:dyDescent="0.25">
      <c r="A156" s="1">
        <v>46008</v>
      </c>
      <c r="B156" s="1">
        <v>46008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469</v>
      </c>
      <c r="J156" t="s">
        <v>470</v>
      </c>
      <c r="M156" t="s">
        <v>46</v>
      </c>
      <c r="O156" t="s">
        <v>56</v>
      </c>
      <c r="P156" t="s">
        <v>57</v>
      </c>
      <c r="Q156" t="s">
        <v>49</v>
      </c>
      <c r="R156" t="s">
        <v>58</v>
      </c>
      <c r="S156" s="1">
        <v>46023</v>
      </c>
      <c r="U156" t="s">
        <v>51</v>
      </c>
      <c r="X156" t="s">
        <v>52</v>
      </c>
      <c r="Y156" s="2">
        <v>0</v>
      </c>
      <c r="Z156" s="2">
        <v>175</v>
      </c>
      <c r="AA156">
        <v>1</v>
      </c>
      <c r="AB156" s="3">
        <v>1</v>
      </c>
      <c r="AC156" s="2">
        <v>175</v>
      </c>
      <c r="AD156" s="3">
        <v>0</v>
      </c>
      <c r="AE156" s="2">
        <v>0</v>
      </c>
      <c r="AF156" s="2">
        <v>175</v>
      </c>
      <c r="AK156">
        <v>6058738</v>
      </c>
    </row>
    <row r="157" spans="1:37" x14ac:dyDescent="0.25">
      <c r="A157" s="1">
        <v>46008</v>
      </c>
      <c r="B157" s="1">
        <v>46008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471</v>
      </c>
      <c r="J157" t="s">
        <v>472</v>
      </c>
      <c r="M157" t="s">
        <v>155</v>
      </c>
      <c r="O157" t="s">
        <v>179</v>
      </c>
      <c r="P157" t="s">
        <v>180</v>
      </c>
      <c r="Q157" t="s">
        <v>49</v>
      </c>
      <c r="R157" t="s">
        <v>58</v>
      </c>
      <c r="S157" s="1">
        <v>46023</v>
      </c>
      <c r="U157" t="s">
        <v>51</v>
      </c>
      <c r="X157" t="s">
        <v>52</v>
      </c>
      <c r="Y157" s="2">
        <v>0</v>
      </c>
      <c r="Z157" s="2">
        <v>175</v>
      </c>
      <c r="AA157">
        <v>1</v>
      </c>
      <c r="AB157" s="3">
        <v>1</v>
      </c>
      <c r="AC157" s="2">
        <v>175</v>
      </c>
      <c r="AD157" s="3">
        <v>0</v>
      </c>
      <c r="AE157" s="2">
        <v>0</v>
      </c>
      <c r="AF157" s="2">
        <v>175</v>
      </c>
      <c r="AK157">
        <v>6058435</v>
      </c>
    </row>
    <row r="158" spans="1:37" x14ac:dyDescent="0.25">
      <c r="A158" s="1">
        <v>46008</v>
      </c>
      <c r="B158" s="1">
        <v>46008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473</v>
      </c>
      <c r="J158" t="s">
        <v>474</v>
      </c>
      <c r="M158" t="s">
        <v>46</v>
      </c>
      <c r="O158" t="s">
        <v>389</v>
      </c>
      <c r="P158" t="s">
        <v>390</v>
      </c>
      <c r="Q158" t="s">
        <v>49</v>
      </c>
      <c r="R158" t="s">
        <v>58</v>
      </c>
      <c r="S158" s="1">
        <v>46023</v>
      </c>
      <c r="U158" t="s">
        <v>51</v>
      </c>
      <c r="X158" t="s">
        <v>52</v>
      </c>
      <c r="Y158" s="2">
        <v>0</v>
      </c>
      <c r="Z158" s="2">
        <v>175</v>
      </c>
      <c r="AA158">
        <v>1</v>
      </c>
      <c r="AB158" s="3">
        <v>1</v>
      </c>
      <c r="AC158" s="2">
        <v>175</v>
      </c>
      <c r="AD158" s="3">
        <v>0</v>
      </c>
      <c r="AE158" s="2">
        <v>0</v>
      </c>
      <c r="AF158" s="2">
        <v>175</v>
      </c>
      <c r="AK158">
        <v>6058436</v>
      </c>
    </row>
    <row r="159" spans="1:37" x14ac:dyDescent="0.25">
      <c r="A159" s="1">
        <v>46008</v>
      </c>
      <c r="B159" s="1">
        <v>46008</v>
      </c>
      <c r="C159" t="s">
        <v>38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t="s">
        <v>475</v>
      </c>
      <c r="J159" t="s">
        <v>476</v>
      </c>
      <c r="M159" t="s">
        <v>46</v>
      </c>
      <c r="O159" t="s">
        <v>278</v>
      </c>
      <c r="P159" t="s">
        <v>279</v>
      </c>
      <c r="Q159" t="s">
        <v>49</v>
      </c>
      <c r="R159" t="s">
        <v>58</v>
      </c>
      <c r="S159" s="1">
        <v>46023</v>
      </c>
      <c r="U159" t="s">
        <v>51</v>
      </c>
      <c r="X159" t="s">
        <v>52</v>
      </c>
      <c r="Y159" s="2">
        <v>0</v>
      </c>
      <c r="Z159" s="2">
        <v>175</v>
      </c>
      <c r="AA159">
        <v>1</v>
      </c>
      <c r="AB159" s="3">
        <v>1</v>
      </c>
      <c r="AC159" s="2">
        <v>175</v>
      </c>
      <c r="AD159" s="3">
        <v>0</v>
      </c>
      <c r="AE159" s="2">
        <v>0</v>
      </c>
      <c r="AF159" s="2">
        <v>175</v>
      </c>
      <c r="AK159">
        <v>6058742</v>
      </c>
    </row>
    <row r="160" spans="1:37" x14ac:dyDescent="0.25">
      <c r="A160" s="1">
        <v>46008</v>
      </c>
      <c r="B160" s="1">
        <v>46008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t="s">
        <v>477</v>
      </c>
      <c r="J160" t="s">
        <v>478</v>
      </c>
      <c r="M160" t="s">
        <v>46</v>
      </c>
      <c r="O160" t="s">
        <v>479</v>
      </c>
      <c r="P160" t="s">
        <v>480</v>
      </c>
      <c r="Q160" t="s">
        <v>49</v>
      </c>
      <c r="R160" t="s">
        <v>58</v>
      </c>
      <c r="S160" s="1">
        <v>46023</v>
      </c>
      <c r="U160" t="s">
        <v>51</v>
      </c>
      <c r="X160" t="s">
        <v>52</v>
      </c>
      <c r="Y160" s="2">
        <v>0</v>
      </c>
      <c r="Z160" s="2">
        <v>175</v>
      </c>
      <c r="AA160">
        <v>1</v>
      </c>
      <c r="AB160" s="3">
        <v>1</v>
      </c>
      <c r="AC160" s="2">
        <v>175</v>
      </c>
      <c r="AD160" s="3">
        <v>0</v>
      </c>
      <c r="AE160" s="2">
        <v>0</v>
      </c>
      <c r="AF160" s="2">
        <v>175</v>
      </c>
      <c r="AK160">
        <v>6058743</v>
      </c>
    </row>
    <row r="161" spans="1:37" x14ac:dyDescent="0.25">
      <c r="A161" s="1">
        <v>46008</v>
      </c>
      <c r="B161" s="1">
        <v>46008</v>
      </c>
      <c r="C161" t="s">
        <v>38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 t="s">
        <v>481</v>
      </c>
      <c r="J161" t="s">
        <v>482</v>
      </c>
      <c r="M161" t="s">
        <v>46</v>
      </c>
      <c r="O161" t="s">
        <v>175</v>
      </c>
      <c r="P161" t="s">
        <v>176</v>
      </c>
      <c r="Q161" t="s">
        <v>49</v>
      </c>
      <c r="R161" t="s">
        <v>58</v>
      </c>
      <c r="S161" s="1">
        <v>46023</v>
      </c>
      <c r="U161" t="s">
        <v>51</v>
      </c>
      <c r="X161" t="s">
        <v>52</v>
      </c>
      <c r="Y161" s="2">
        <v>0</v>
      </c>
      <c r="Z161" s="2">
        <v>175</v>
      </c>
      <c r="AA161">
        <v>1</v>
      </c>
      <c r="AB161" s="3">
        <v>1</v>
      </c>
      <c r="AC161" s="2">
        <v>175</v>
      </c>
      <c r="AD161" s="3">
        <v>0</v>
      </c>
      <c r="AE161" s="2">
        <v>0</v>
      </c>
      <c r="AF161" s="2">
        <v>175</v>
      </c>
      <c r="AK161">
        <v>6058744</v>
      </c>
    </row>
    <row r="162" spans="1:37" x14ac:dyDescent="0.25">
      <c r="A162" s="1">
        <v>46008</v>
      </c>
      <c r="B162" s="1">
        <v>46008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483</v>
      </c>
      <c r="J162" t="s">
        <v>484</v>
      </c>
      <c r="M162" t="s">
        <v>46</v>
      </c>
      <c r="O162" t="s">
        <v>226</v>
      </c>
      <c r="P162" t="s">
        <v>227</v>
      </c>
      <c r="Q162" t="s">
        <v>49</v>
      </c>
      <c r="R162" t="s">
        <v>58</v>
      </c>
      <c r="S162" s="1">
        <v>46023</v>
      </c>
      <c r="U162" t="s">
        <v>51</v>
      </c>
      <c r="X162" t="s">
        <v>52</v>
      </c>
      <c r="Y162" s="2">
        <v>0</v>
      </c>
      <c r="Z162" s="2">
        <v>175</v>
      </c>
      <c r="AA162">
        <v>1</v>
      </c>
      <c r="AB162" s="3">
        <v>1</v>
      </c>
      <c r="AC162" s="2">
        <v>175</v>
      </c>
      <c r="AD162" s="3">
        <v>0</v>
      </c>
      <c r="AE162" s="2">
        <v>0</v>
      </c>
      <c r="AF162" s="2">
        <v>175</v>
      </c>
      <c r="AK162">
        <v>6058745</v>
      </c>
    </row>
    <row r="163" spans="1:37" x14ac:dyDescent="0.25">
      <c r="A163" s="1">
        <v>46008</v>
      </c>
      <c r="B163" s="1">
        <v>46008</v>
      </c>
      <c r="C163" t="s">
        <v>38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t="s">
        <v>485</v>
      </c>
      <c r="J163" t="s">
        <v>486</v>
      </c>
      <c r="M163" t="s">
        <v>46</v>
      </c>
      <c r="O163" t="s">
        <v>320</v>
      </c>
      <c r="P163" t="s">
        <v>321</v>
      </c>
      <c r="Q163" t="s">
        <v>49</v>
      </c>
      <c r="R163" t="s">
        <v>58</v>
      </c>
      <c r="S163" s="1">
        <v>46054</v>
      </c>
      <c r="U163" t="s">
        <v>51</v>
      </c>
      <c r="X163" t="s">
        <v>52</v>
      </c>
      <c r="Y163" s="2">
        <v>0</v>
      </c>
      <c r="Z163" s="2">
        <v>175</v>
      </c>
      <c r="AA163">
        <v>1</v>
      </c>
      <c r="AB163" s="3">
        <v>1</v>
      </c>
      <c r="AC163" s="2">
        <v>175</v>
      </c>
      <c r="AD163" s="3">
        <v>0</v>
      </c>
      <c r="AE163" s="2">
        <v>0</v>
      </c>
      <c r="AF163" s="2">
        <v>175</v>
      </c>
      <c r="AK163">
        <v>6058746</v>
      </c>
    </row>
    <row r="164" spans="1:37" x14ac:dyDescent="0.25">
      <c r="A164" s="1">
        <v>46008</v>
      </c>
      <c r="B164" s="1">
        <v>46008</v>
      </c>
      <c r="C164" t="s">
        <v>38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t="s">
        <v>487</v>
      </c>
      <c r="J164" t="s">
        <v>488</v>
      </c>
      <c r="M164" t="s">
        <v>61</v>
      </c>
      <c r="O164" t="s">
        <v>100</v>
      </c>
      <c r="P164" t="s">
        <v>101</v>
      </c>
      <c r="Q164" t="s">
        <v>49</v>
      </c>
      <c r="R164" t="s">
        <v>58</v>
      </c>
      <c r="S164" s="1">
        <v>46023</v>
      </c>
      <c r="U164" t="s">
        <v>51</v>
      </c>
      <c r="X164" t="s">
        <v>52</v>
      </c>
      <c r="Y164" s="2">
        <v>0</v>
      </c>
      <c r="Z164" s="2">
        <v>175</v>
      </c>
      <c r="AA164">
        <v>1</v>
      </c>
      <c r="AB164" s="3">
        <v>1</v>
      </c>
      <c r="AC164" s="2">
        <v>175</v>
      </c>
      <c r="AD164" s="3">
        <v>0</v>
      </c>
      <c r="AE164" s="2">
        <v>0</v>
      </c>
      <c r="AF164" s="2">
        <v>175</v>
      </c>
      <c r="AK164">
        <v>6058749</v>
      </c>
    </row>
    <row r="165" spans="1:37" x14ac:dyDescent="0.25">
      <c r="A165" s="1">
        <v>46008</v>
      </c>
      <c r="B165" s="1">
        <v>46008</v>
      </c>
      <c r="C165" t="s">
        <v>38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 t="s">
        <v>489</v>
      </c>
      <c r="J165" t="s">
        <v>490</v>
      </c>
      <c r="M165" t="s">
        <v>491</v>
      </c>
      <c r="O165" t="s">
        <v>492</v>
      </c>
      <c r="P165" t="s">
        <v>493</v>
      </c>
      <c r="Q165" t="s">
        <v>49</v>
      </c>
      <c r="R165" t="s">
        <v>58</v>
      </c>
      <c r="S165" s="1">
        <v>46023</v>
      </c>
      <c r="U165" t="s">
        <v>51</v>
      </c>
      <c r="X165" t="s">
        <v>52</v>
      </c>
      <c r="Y165" s="2">
        <v>0</v>
      </c>
      <c r="Z165" s="2">
        <v>175</v>
      </c>
      <c r="AA165">
        <v>1</v>
      </c>
      <c r="AB165" s="3">
        <v>1</v>
      </c>
      <c r="AC165" s="2">
        <v>175</v>
      </c>
      <c r="AD165" s="3">
        <v>0</v>
      </c>
      <c r="AE165" s="2">
        <v>0</v>
      </c>
      <c r="AF165" s="2">
        <v>175</v>
      </c>
      <c r="AK165">
        <v>6058750</v>
      </c>
    </row>
    <row r="166" spans="1:37" x14ac:dyDescent="0.25">
      <c r="A166" s="1">
        <v>46008</v>
      </c>
      <c r="B166" s="1">
        <v>46008</v>
      </c>
      <c r="C166" t="s">
        <v>38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494</v>
      </c>
      <c r="J166" t="s">
        <v>495</v>
      </c>
      <c r="M166" t="s">
        <v>496</v>
      </c>
      <c r="O166" t="s">
        <v>359</v>
      </c>
      <c r="P166" t="s">
        <v>360</v>
      </c>
      <c r="Q166" t="s">
        <v>49</v>
      </c>
      <c r="R166" t="s">
        <v>58</v>
      </c>
      <c r="S166" s="1">
        <v>46054</v>
      </c>
      <c r="U166" t="s">
        <v>51</v>
      </c>
      <c r="X166" t="s">
        <v>52</v>
      </c>
      <c r="Y166" s="2">
        <v>0</v>
      </c>
      <c r="Z166" s="2">
        <v>175</v>
      </c>
      <c r="AA166">
        <v>1</v>
      </c>
      <c r="AB166" s="3">
        <v>1</v>
      </c>
      <c r="AC166" s="2">
        <v>175</v>
      </c>
      <c r="AD166" s="3">
        <v>0</v>
      </c>
      <c r="AE166" s="2">
        <v>0</v>
      </c>
      <c r="AF166" s="2">
        <v>175</v>
      </c>
      <c r="AK166">
        <v>6058751</v>
      </c>
    </row>
    <row r="167" spans="1:37" x14ac:dyDescent="0.25">
      <c r="A167" s="1">
        <v>46008</v>
      </c>
      <c r="B167" s="1">
        <v>46008</v>
      </c>
      <c r="C167" t="s">
        <v>38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497</v>
      </c>
      <c r="J167" t="s">
        <v>498</v>
      </c>
      <c r="M167" t="s">
        <v>46</v>
      </c>
      <c r="O167" t="s">
        <v>74</v>
      </c>
      <c r="P167" t="s">
        <v>75</v>
      </c>
      <c r="Q167" t="s">
        <v>49</v>
      </c>
      <c r="R167" t="s">
        <v>58</v>
      </c>
      <c r="S167" s="1">
        <v>46023</v>
      </c>
      <c r="U167" t="s">
        <v>51</v>
      </c>
      <c r="X167" t="s">
        <v>52</v>
      </c>
      <c r="Y167" s="2">
        <v>0</v>
      </c>
      <c r="Z167" s="2">
        <v>175</v>
      </c>
      <c r="AA167">
        <v>1</v>
      </c>
      <c r="AB167" s="3">
        <v>1</v>
      </c>
      <c r="AC167" s="2">
        <v>175</v>
      </c>
      <c r="AD167" s="3">
        <v>0</v>
      </c>
      <c r="AE167" s="2">
        <v>0</v>
      </c>
      <c r="AF167" s="2">
        <v>175</v>
      </c>
      <c r="AK167">
        <v>6058752</v>
      </c>
    </row>
    <row r="168" spans="1:37" x14ac:dyDescent="0.25">
      <c r="A168" s="1">
        <v>46008</v>
      </c>
      <c r="B168" s="1">
        <v>46008</v>
      </c>
      <c r="C168" t="s">
        <v>38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499</v>
      </c>
      <c r="J168" t="s">
        <v>500</v>
      </c>
      <c r="M168" t="s">
        <v>501</v>
      </c>
      <c r="O168" t="s">
        <v>502</v>
      </c>
      <c r="P168" t="s">
        <v>503</v>
      </c>
      <c r="Q168" t="s">
        <v>49</v>
      </c>
      <c r="R168" t="s">
        <v>58</v>
      </c>
      <c r="S168" s="1">
        <v>46023</v>
      </c>
      <c r="U168" t="s">
        <v>51</v>
      </c>
      <c r="X168" t="s">
        <v>52</v>
      </c>
      <c r="Y168" s="2">
        <v>0</v>
      </c>
      <c r="Z168" s="2">
        <v>175</v>
      </c>
      <c r="AA168">
        <v>1</v>
      </c>
      <c r="AB168" s="3">
        <v>1</v>
      </c>
      <c r="AC168" s="2">
        <v>175</v>
      </c>
      <c r="AD168" s="3">
        <v>0</v>
      </c>
      <c r="AE168" s="2">
        <v>0</v>
      </c>
      <c r="AF168" s="2">
        <v>175</v>
      </c>
      <c r="AK168">
        <v>6058753</v>
      </c>
    </row>
    <row r="169" spans="1:37" x14ac:dyDescent="0.25">
      <c r="A169" s="1">
        <v>46008</v>
      </c>
      <c r="B169" s="1">
        <v>46008</v>
      </c>
      <c r="C169" t="s">
        <v>38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504</v>
      </c>
      <c r="J169" t="s">
        <v>505</v>
      </c>
      <c r="M169" t="s">
        <v>155</v>
      </c>
      <c r="O169" t="s">
        <v>179</v>
      </c>
      <c r="P169" t="s">
        <v>180</v>
      </c>
      <c r="Q169" t="s">
        <v>49</v>
      </c>
      <c r="R169" t="s">
        <v>58</v>
      </c>
      <c r="S169" s="1">
        <v>46023</v>
      </c>
      <c r="U169" t="s">
        <v>51</v>
      </c>
      <c r="X169" t="s">
        <v>52</v>
      </c>
      <c r="Y169" s="2">
        <v>0</v>
      </c>
      <c r="Z169" s="2">
        <v>175</v>
      </c>
      <c r="AA169">
        <v>1</v>
      </c>
      <c r="AB169" s="3">
        <v>1</v>
      </c>
      <c r="AC169" s="2">
        <v>175</v>
      </c>
      <c r="AD169" s="3">
        <v>0</v>
      </c>
      <c r="AE169" s="2">
        <v>0</v>
      </c>
      <c r="AF169" s="2">
        <v>175</v>
      </c>
      <c r="AK169">
        <v>6058442</v>
      </c>
    </row>
    <row r="170" spans="1:37" x14ac:dyDescent="0.25">
      <c r="A170" s="1">
        <v>46008</v>
      </c>
      <c r="B170" s="1">
        <v>46008</v>
      </c>
      <c r="C170" t="s">
        <v>38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506</v>
      </c>
      <c r="J170" t="s">
        <v>507</v>
      </c>
      <c r="M170" t="s">
        <v>87</v>
      </c>
      <c r="O170" t="s">
        <v>141</v>
      </c>
      <c r="P170" t="s">
        <v>142</v>
      </c>
      <c r="Q170" t="s">
        <v>49</v>
      </c>
      <c r="R170" t="s">
        <v>58</v>
      </c>
      <c r="S170" s="1">
        <v>46023</v>
      </c>
      <c r="U170" t="s">
        <v>51</v>
      </c>
      <c r="X170" t="s">
        <v>52</v>
      </c>
      <c r="Y170" s="2">
        <v>0</v>
      </c>
      <c r="Z170" s="2">
        <v>175</v>
      </c>
      <c r="AA170">
        <v>1</v>
      </c>
      <c r="AB170" s="3">
        <v>1</v>
      </c>
      <c r="AC170" s="2">
        <v>175</v>
      </c>
      <c r="AD170" s="3">
        <v>0</v>
      </c>
      <c r="AE170" s="2">
        <v>0</v>
      </c>
      <c r="AF170" s="2">
        <v>175</v>
      </c>
      <c r="AK170">
        <v>6058754</v>
      </c>
    </row>
    <row r="171" spans="1:37" x14ac:dyDescent="0.25">
      <c r="A171" s="1">
        <v>46008</v>
      </c>
      <c r="B171" s="1">
        <v>46008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508</v>
      </c>
      <c r="J171" t="s">
        <v>509</v>
      </c>
      <c r="M171" t="s">
        <v>46</v>
      </c>
      <c r="O171" t="s">
        <v>232</v>
      </c>
      <c r="P171" t="s">
        <v>233</v>
      </c>
      <c r="Q171" t="s">
        <v>49</v>
      </c>
      <c r="R171" t="s">
        <v>58</v>
      </c>
      <c r="S171" s="1">
        <v>46023</v>
      </c>
      <c r="U171" t="s">
        <v>51</v>
      </c>
      <c r="X171" t="s">
        <v>52</v>
      </c>
      <c r="Y171" s="2">
        <v>0</v>
      </c>
      <c r="Z171" s="2">
        <v>175</v>
      </c>
      <c r="AA171">
        <v>1</v>
      </c>
      <c r="AB171" s="3">
        <v>1</v>
      </c>
      <c r="AC171" s="2">
        <v>175</v>
      </c>
      <c r="AD171" s="3">
        <v>0</v>
      </c>
      <c r="AE171" s="2">
        <v>0</v>
      </c>
      <c r="AF171" s="2">
        <v>175</v>
      </c>
      <c r="AK171">
        <v>6058755</v>
      </c>
    </row>
    <row r="172" spans="1:37" x14ac:dyDescent="0.25">
      <c r="A172" s="1">
        <v>46008</v>
      </c>
      <c r="B172" s="1">
        <v>46008</v>
      </c>
      <c r="C172" t="s">
        <v>38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510</v>
      </c>
      <c r="J172" t="s">
        <v>511</v>
      </c>
      <c r="M172" t="s">
        <v>46</v>
      </c>
      <c r="O172" t="s">
        <v>66</v>
      </c>
      <c r="P172" t="s">
        <v>67</v>
      </c>
      <c r="Q172" t="s">
        <v>49</v>
      </c>
      <c r="R172" t="s">
        <v>58</v>
      </c>
      <c r="S172" s="1">
        <v>46023</v>
      </c>
      <c r="U172" t="s">
        <v>51</v>
      </c>
      <c r="X172" t="s">
        <v>52</v>
      </c>
      <c r="Y172" s="2">
        <v>0</v>
      </c>
      <c r="Z172" s="2">
        <v>175</v>
      </c>
      <c r="AA172">
        <v>1</v>
      </c>
      <c r="AB172" s="3">
        <v>1</v>
      </c>
      <c r="AC172" s="2">
        <v>175</v>
      </c>
      <c r="AD172" s="3">
        <v>0</v>
      </c>
      <c r="AE172" s="2">
        <v>0</v>
      </c>
      <c r="AF172" s="2">
        <v>175</v>
      </c>
      <c r="AK172">
        <v>6058756</v>
      </c>
    </row>
    <row r="173" spans="1:37" x14ac:dyDescent="0.25">
      <c r="A173" s="1">
        <v>46008</v>
      </c>
      <c r="B173" s="1">
        <v>46008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512</v>
      </c>
      <c r="J173" t="s">
        <v>513</v>
      </c>
      <c r="M173" t="s">
        <v>46</v>
      </c>
      <c r="O173" t="s">
        <v>226</v>
      </c>
      <c r="P173" t="s">
        <v>227</v>
      </c>
      <c r="Q173" t="s">
        <v>49</v>
      </c>
      <c r="R173" t="s">
        <v>58</v>
      </c>
      <c r="S173" s="1">
        <v>46023</v>
      </c>
      <c r="U173" t="s">
        <v>51</v>
      </c>
      <c r="X173" t="s">
        <v>52</v>
      </c>
      <c r="Y173" s="2">
        <v>0</v>
      </c>
      <c r="Z173" s="2">
        <v>175</v>
      </c>
      <c r="AA173">
        <v>1</v>
      </c>
      <c r="AB173" s="3">
        <v>1</v>
      </c>
      <c r="AC173" s="2">
        <v>175</v>
      </c>
      <c r="AD173" s="3">
        <v>0</v>
      </c>
      <c r="AE173" s="2">
        <v>0</v>
      </c>
      <c r="AF173" s="2">
        <v>175</v>
      </c>
      <c r="AK173">
        <v>6058757</v>
      </c>
    </row>
    <row r="174" spans="1:37" x14ac:dyDescent="0.25">
      <c r="A174" s="1">
        <v>46008</v>
      </c>
      <c r="B174" s="1">
        <v>46008</v>
      </c>
      <c r="C174" t="s">
        <v>38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514</v>
      </c>
      <c r="J174" t="s">
        <v>515</v>
      </c>
      <c r="M174" t="s">
        <v>46</v>
      </c>
      <c r="O174" t="s">
        <v>47</v>
      </c>
      <c r="P174" t="s">
        <v>48</v>
      </c>
      <c r="Q174" t="s">
        <v>49</v>
      </c>
      <c r="R174" t="s">
        <v>58</v>
      </c>
      <c r="S174" s="1">
        <v>46023</v>
      </c>
      <c r="U174" t="s">
        <v>51</v>
      </c>
      <c r="X174" t="s">
        <v>52</v>
      </c>
      <c r="Y174" s="2">
        <v>0</v>
      </c>
      <c r="Z174" s="2">
        <v>175</v>
      </c>
      <c r="AA174">
        <v>1</v>
      </c>
      <c r="AB174" s="3">
        <v>1</v>
      </c>
      <c r="AC174" s="2">
        <v>175</v>
      </c>
      <c r="AD174" s="3">
        <v>0</v>
      </c>
      <c r="AE174" s="2">
        <v>0</v>
      </c>
      <c r="AF174" s="2">
        <v>175</v>
      </c>
      <c r="AK174">
        <v>6058758</v>
      </c>
    </row>
    <row r="175" spans="1:37" x14ac:dyDescent="0.25">
      <c r="A175" s="1">
        <v>46008</v>
      </c>
      <c r="B175" s="1">
        <v>46008</v>
      </c>
      <c r="C175" t="s">
        <v>38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516</v>
      </c>
      <c r="J175" t="s">
        <v>517</v>
      </c>
      <c r="M175" t="s">
        <v>87</v>
      </c>
      <c r="O175" t="s">
        <v>141</v>
      </c>
      <c r="P175" t="s">
        <v>142</v>
      </c>
      <c r="Q175" t="s">
        <v>49</v>
      </c>
      <c r="R175" t="s">
        <v>58</v>
      </c>
      <c r="S175" s="1">
        <v>46023</v>
      </c>
      <c r="U175" t="s">
        <v>51</v>
      </c>
      <c r="X175" t="s">
        <v>52</v>
      </c>
      <c r="Y175" s="2">
        <v>0</v>
      </c>
      <c r="Z175" s="2">
        <v>175</v>
      </c>
      <c r="AA175">
        <v>1</v>
      </c>
      <c r="AB175" s="3">
        <v>1</v>
      </c>
      <c r="AC175" s="2">
        <v>175</v>
      </c>
      <c r="AD175" s="3">
        <v>0</v>
      </c>
      <c r="AE175" s="2">
        <v>0</v>
      </c>
      <c r="AF175" s="2">
        <v>175</v>
      </c>
      <c r="AK175">
        <v>6058759</v>
      </c>
    </row>
    <row r="176" spans="1:37" x14ac:dyDescent="0.25">
      <c r="A176" s="1">
        <v>46008</v>
      </c>
      <c r="B176" s="1">
        <v>46008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518</v>
      </c>
      <c r="J176" t="s">
        <v>519</v>
      </c>
      <c r="M176" t="s">
        <v>46</v>
      </c>
      <c r="O176" t="s">
        <v>66</v>
      </c>
      <c r="P176" t="s">
        <v>67</v>
      </c>
      <c r="Q176" t="s">
        <v>49</v>
      </c>
      <c r="R176" t="s">
        <v>58</v>
      </c>
      <c r="S176" s="1">
        <v>46023</v>
      </c>
      <c r="U176" t="s">
        <v>51</v>
      </c>
      <c r="X176" t="s">
        <v>52</v>
      </c>
      <c r="Y176" s="2">
        <v>0</v>
      </c>
      <c r="Z176" s="2">
        <v>175</v>
      </c>
      <c r="AA176">
        <v>1</v>
      </c>
      <c r="AB176" s="3">
        <v>1</v>
      </c>
      <c r="AC176" s="2">
        <v>175</v>
      </c>
      <c r="AD176" s="3">
        <v>0</v>
      </c>
      <c r="AE176" s="2">
        <v>0</v>
      </c>
      <c r="AF176" s="2">
        <v>175</v>
      </c>
      <c r="AK176">
        <v>6058760</v>
      </c>
    </row>
    <row r="177" spans="1:37" x14ac:dyDescent="0.25">
      <c r="A177" s="1">
        <v>46008</v>
      </c>
      <c r="B177" s="1">
        <v>46008</v>
      </c>
      <c r="C177" t="s">
        <v>38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520</v>
      </c>
      <c r="J177" t="s">
        <v>521</v>
      </c>
      <c r="M177" t="s">
        <v>46</v>
      </c>
      <c r="O177" t="s">
        <v>66</v>
      </c>
      <c r="P177" t="s">
        <v>67</v>
      </c>
      <c r="Q177" t="s">
        <v>49</v>
      </c>
      <c r="R177" t="s">
        <v>58</v>
      </c>
      <c r="S177" s="1">
        <v>46023</v>
      </c>
      <c r="U177" t="s">
        <v>51</v>
      </c>
      <c r="X177" t="s">
        <v>52</v>
      </c>
      <c r="Y177" s="2">
        <v>0</v>
      </c>
      <c r="Z177" s="2">
        <v>175</v>
      </c>
      <c r="AA177">
        <v>1</v>
      </c>
      <c r="AB177" s="3">
        <v>1</v>
      </c>
      <c r="AC177" s="2">
        <v>175</v>
      </c>
      <c r="AD177" s="3">
        <v>0</v>
      </c>
      <c r="AE177" s="2">
        <v>0</v>
      </c>
      <c r="AF177" s="2">
        <v>175</v>
      </c>
      <c r="AK177">
        <v>6058761</v>
      </c>
    </row>
    <row r="178" spans="1:37" x14ac:dyDescent="0.25">
      <c r="A178" s="1">
        <v>46008</v>
      </c>
      <c r="B178" s="1">
        <v>46008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522</v>
      </c>
      <c r="J178" t="s">
        <v>523</v>
      </c>
      <c r="M178" t="s">
        <v>46</v>
      </c>
      <c r="O178" t="s">
        <v>100</v>
      </c>
      <c r="P178" t="s">
        <v>101</v>
      </c>
      <c r="Q178" t="s">
        <v>49</v>
      </c>
      <c r="R178" t="s">
        <v>58</v>
      </c>
      <c r="S178" s="1">
        <v>46023</v>
      </c>
      <c r="U178" t="s">
        <v>51</v>
      </c>
      <c r="X178" t="s">
        <v>52</v>
      </c>
      <c r="Y178" s="2">
        <v>0</v>
      </c>
      <c r="Z178" s="2">
        <v>175</v>
      </c>
      <c r="AA178">
        <v>1</v>
      </c>
      <c r="AB178" s="3">
        <v>1</v>
      </c>
      <c r="AC178" s="2">
        <v>175</v>
      </c>
      <c r="AD178" s="3">
        <v>0</v>
      </c>
      <c r="AE178" s="2">
        <v>0</v>
      </c>
      <c r="AF178" s="2">
        <v>175</v>
      </c>
      <c r="AK178">
        <v>6058762</v>
      </c>
    </row>
    <row r="179" spans="1:37" x14ac:dyDescent="0.25">
      <c r="A179" s="1">
        <v>46008</v>
      </c>
      <c r="B179" s="1">
        <v>46008</v>
      </c>
      <c r="C179" t="s">
        <v>38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524</v>
      </c>
      <c r="J179" t="s">
        <v>525</v>
      </c>
      <c r="M179" t="s">
        <v>46</v>
      </c>
      <c r="O179" t="s">
        <v>278</v>
      </c>
      <c r="P179" t="s">
        <v>279</v>
      </c>
      <c r="Q179" t="s">
        <v>49</v>
      </c>
      <c r="R179" t="s">
        <v>58</v>
      </c>
      <c r="S179" s="1">
        <v>46023</v>
      </c>
      <c r="U179" t="s">
        <v>51</v>
      </c>
      <c r="X179" t="s">
        <v>52</v>
      </c>
      <c r="Y179" s="2">
        <v>0</v>
      </c>
      <c r="Z179" s="2">
        <v>175</v>
      </c>
      <c r="AA179">
        <v>1</v>
      </c>
      <c r="AB179" s="3">
        <v>1</v>
      </c>
      <c r="AC179" s="2">
        <v>175</v>
      </c>
      <c r="AD179" s="3">
        <v>0</v>
      </c>
      <c r="AE179" s="2">
        <v>0</v>
      </c>
      <c r="AF179" s="2">
        <v>175</v>
      </c>
      <c r="AK179">
        <v>6058763</v>
      </c>
    </row>
    <row r="180" spans="1:37" x14ac:dyDescent="0.25">
      <c r="A180" s="1">
        <v>46008</v>
      </c>
      <c r="B180" s="1">
        <v>46008</v>
      </c>
      <c r="C180" t="s">
        <v>38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526</v>
      </c>
      <c r="J180" t="s">
        <v>527</v>
      </c>
      <c r="M180" t="s">
        <v>87</v>
      </c>
      <c r="O180" t="s">
        <v>141</v>
      </c>
      <c r="P180" t="s">
        <v>142</v>
      </c>
      <c r="Q180" t="s">
        <v>49</v>
      </c>
      <c r="R180" t="s">
        <v>58</v>
      </c>
      <c r="S180" s="1">
        <v>46023</v>
      </c>
      <c r="U180" t="s">
        <v>51</v>
      </c>
      <c r="X180" t="s">
        <v>52</v>
      </c>
      <c r="Y180" s="2">
        <v>0</v>
      </c>
      <c r="Z180" s="2">
        <v>175</v>
      </c>
      <c r="AA180">
        <v>1</v>
      </c>
      <c r="AB180" s="3">
        <v>1</v>
      </c>
      <c r="AC180" s="2">
        <v>175</v>
      </c>
      <c r="AD180" s="3">
        <v>0</v>
      </c>
      <c r="AE180" s="2">
        <v>0</v>
      </c>
      <c r="AF180" s="2">
        <v>175</v>
      </c>
      <c r="AK180">
        <v>6058764</v>
      </c>
    </row>
    <row r="181" spans="1:37" x14ac:dyDescent="0.25">
      <c r="A181" s="1">
        <v>46008</v>
      </c>
      <c r="B181" s="1">
        <v>46008</v>
      </c>
      <c r="C181" t="s">
        <v>38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528</v>
      </c>
      <c r="J181" t="s">
        <v>529</v>
      </c>
      <c r="M181" t="s">
        <v>217</v>
      </c>
      <c r="O181" t="s">
        <v>218</v>
      </c>
      <c r="P181" t="s">
        <v>219</v>
      </c>
      <c r="Q181" t="s">
        <v>49</v>
      </c>
      <c r="R181" t="s">
        <v>58</v>
      </c>
      <c r="S181" s="1">
        <v>46023</v>
      </c>
      <c r="U181" t="s">
        <v>51</v>
      </c>
      <c r="X181" t="s">
        <v>52</v>
      </c>
      <c r="Y181" s="2">
        <v>0</v>
      </c>
      <c r="Z181" s="2">
        <v>175</v>
      </c>
      <c r="AA181">
        <v>1</v>
      </c>
      <c r="AB181" s="3">
        <v>1</v>
      </c>
      <c r="AC181" s="2">
        <v>175</v>
      </c>
      <c r="AD181" s="3">
        <v>0</v>
      </c>
      <c r="AE181" s="2">
        <v>0</v>
      </c>
      <c r="AF181" s="2">
        <v>175</v>
      </c>
      <c r="AK181">
        <v>6058447</v>
      </c>
    </row>
    <row r="182" spans="1:37" x14ac:dyDescent="0.25">
      <c r="A182" s="1">
        <v>46008</v>
      </c>
      <c r="B182" s="1">
        <v>46008</v>
      </c>
      <c r="C182" t="s">
        <v>38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530</v>
      </c>
      <c r="J182" t="s">
        <v>531</v>
      </c>
      <c r="M182" t="s">
        <v>87</v>
      </c>
      <c r="O182" t="s">
        <v>141</v>
      </c>
      <c r="P182" t="s">
        <v>142</v>
      </c>
      <c r="Q182" t="s">
        <v>49</v>
      </c>
      <c r="R182" t="s">
        <v>58</v>
      </c>
      <c r="S182" s="1">
        <v>46023</v>
      </c>
      <c r="U182" t="s">
        <v>51</v>
      </c>
      <c r="X182" t="s">
        <v>52</v>
      </c>
      <c r="Y182" s="2">
        <v>0</v>
      </c>
      <c r="Z182" s="2">
        <v>175</v>
      </c>
      <c r="AA182">
        <v>1</v>
      </c>
      <c r="AB182" s="3">
        <v>1</v>
      </c>
      <c r="AC182" s="2">
        <v>175</v>
      </c>
      <c r="AD182" s="3">
        <v>0</v>
      </c>
      <c r="AE182" s="2">
        <v>0</v>
      </c>
      <c r="AF182" s="2">
        <v>175</v>
      </c>
      <c r="AK182">
        <v>6058768</v>
      </c>
    </row>
    <row r="183" spans="1:37" x14ac:dyDescent="0.25">
      <c r="A183" s="1">
        <v>46008</v>
      </c>
      <c r="B183" s="1">
        <v>46008</v>
      </c>
      <c r="C183" t="s">
        <v>38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532</v>
      </c>
      <c r="J183" t="s">
        <v>533</v>
      </c>
      <c r="M183" t="s">
        <v>46</v>
      </c>
      <c r="O183" t="s">
        <v>534</v>
      </c>
      <c r="P183" t="s">
        <v>535</v>
      </c>
      <c r="Q183" t="s">
        <v>49</v>
      </c>
      <c r="R183" t="s">
        <v>58</v>
      </c>
      <c r="S183" s="1">
        <v>46023</v>
      </c>
      <c r="U183" t="s">
        <v>51</v>
      </c>
      <c r="X183" t="s">
        <v>52</v>
      </c>
      <c r="Y183" s="2">
        <v>0</v>
      </c>
      <c r="Z183" s="2">
        <v>175</v>
      </c>
      <c r="AA183">
        <v>1</v>
      </c>
      <c r="AB183" s="3">
        <v>1</v>
      </c>
      <c r="AC183" s="2">
        <v>175</v>
      </c>
      <c r="AD183" s="3">
        <v>0</v>
      </c>
      <c r="AE183" s="2">
        <v>0</v>
      </c>
      <c r="AF183" s="2">
        <v>175</v>
      </c>
      <c r="AK183">
        <v>6058451</v>
      </c>
    </row>
    <row r="184" spans="1:37" x14ac:dyDescent="0.25">
      <c r="A184" s="1">
        <v>46008</v>
      </c>
      <c r="B184" s="1">
        <v>46008</v>
      </c>
      <c r="C184" t="s">
        <v>38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536</v>
      </c>
      <c r="J184" t="s">
        <v>537</v>
      </c>
      <c r="M184" t="s">
        <v>155</v>
      </c>
      <c r="O184" t="s">
        <v>179</v>
      </c>
      <c r="P184" t="s">
        <v>180</v>
      </c>
      <c r="Q184" t="s">
        <v>49</v>
      </c>
      <c r="R184" t="s">
        <v>58</v>
      </c>
      <c r="S184" s="1">
        <v>46023</v>
      </c>
      <c r="U184" t="s">
        <v>51</v>
      </c>
      <c r="X184" t="s">
        <v>52</v>
      </c>
      <c r="Y184" s="2">
        <v>0</v>
      </c>
      <c r="Z184" s="2">
        <v>175</v>
      </c>
      <c r="AA184">
        <v>1</v>
      </c>
      <c r="AB184" s="3">
        <v>1</v>
      </c>
      <c r="AC184" s="2">
        <v>175</v>
      </c>
      <c r="AD184" s="3">
        <v>0</v>
      </c>
      <c r="AE184" s="2">
        <v>0</v>
      </c>
      <c r="AF184" s="2">
        <v>175</v>
      </c>
      <c r="AK184">
        <v>6058452</v>
      </c>
    </row>
    <row r="185" spans="1:37" x14ac:dyDescent="0.25">
      <c r="A185" s="1">
        <v>46008</v>
      </c>
      <c r="B185" s="1">
        <v>46008</v>
      </c>
      <c r="C185" t="s">
        <v>38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538</v>
      </c>
      <c r="J185" t="s">
        <v>539</v>
      </c>
      <c r="M185" t="s">
        <v>46</v>
      </c>
      <c r="O185" t="s">
        <v>175</v>
      </c>
      <c r="P185" t="s">
        <v>176</v>
      </c>
      <c r="Q185" t="s">
        <v>49</v>
      </c>
      <c r="R185" t="s">
        <v>58</v>
      </c>
      <c r="S185" s="1">
        <v>46023</v>
      </c>
      <c r="U185" t="s">
        <v>51</v>
      </c>
      <c r="X185" t="s">
        <v>52</v>
      </c>
      <c r="Y185" s="2">
        <v>0</v>
      </c>
      <c r="Z185" s="2">
        <v>175</v>
      </c>
      <c r="AA185">
        <v>1</v>
      </c>
      <c r="AB185" s="3">
        <v>1</v>
      </c>
      <c r="AC185" s="2">
        <v>175</v>
      </c>
      <c r="AD185" s="3">
        <v>0</v>
      </c>
      <c r="AE185" s="2">
        <v>0</v>
      </c>
      <c r="AF185" s="2">
        <v>175</v>
      </c>
      <c r="AK185">
        <v>6058769</v>
      </c>
    </row>
    <row r="186" spans="1:37" x14ac:dyDescent="0.25">
      <c r="A186" s="1">
        <v>46008</v>
      </c>
      <c r="B186" s="1">
        <v>46008</v>
      </c>
      <c r="C186" t="s">
        <v>38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540</v>
      </c>
      <c r="J186" t="s">
        <v>541</v>
      </c>
      <c r="M186" t="s">
        <v>46</v>
      </c>
      <c r="O186" t="s">
        <v>359</v>
      </c>
      <c r="P186" t="s">
        <v>360</v>
      </c>
      <c r="Q186" t="s">
        <v>49</v>
      </c>
      <c r="R186" t="s">
        <v>58</v>
      </c>
      <c r="S186" s="1">
        <v>46023</v>
      </c>
      <c r="U186" t="s">
        <v>51</v>
      </c>
      <c r="X186" t="s">
        <v>52</v>
      </c>
      <c r="Y186" s="2">
        <v>0</v>
      </c>
      <c r="Z186" s="2">
        <v>175</v>
      </c>
      <c r="AA186">
        <v>1</v>
      </c>
      <c r="AB186" s="3">
        <v>1</v>
      </c>
      <c r="AC186" s="2">
        <v>175</v>
      </c>
      <c r="AD186" s="3">
        <v>0</v>
      </c>
      <c r="AE186" s="2">
        <v>0</v>
      </c>
      <c r="AF186" s="2">
        <v>175</v>
      </c>
      <c r="AK186">
        <v>6058770</v>
      </c>
    </row>
    <row r="187" spans="1:37" x14ac:dyDescent="0.25">
      <c r="A187" s="1">
        <v>46008</v>
      </c>
      <c r="B187" s="1">
        <v>46008</v>
      </c>
      <c r="C187" t="s">
        <v>38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t="s">
        <v>542</v>
      </c>
      <c r="J187" t="s">
        <v>543</v>
      </c>
      <c r="M187" t="s">
        <v>46</v>
      </c>
      <c r="O187" t="s">
        <v>74</v>
      </c>
      <c r="P187" t="s">
        <v>75</v>
      </c>
      <c r="Q187" t="s">
        <v>49</v>
      </c>
      <c r="R187" t="s">
        <v>58</v>
      </c>
      <c r="S187" s="1">
        <v>46023</v>
      </c>
      <c r="U187" t="s">
        <v>51</v>
      </c>
      <c r="X187" t="s">
        <v>52</v>
      </c>
      <c r="Y187" s="2">
        <v>0</v>
      </c>
      <c r="Z187" s="2">
        <v>175</v>
      </c>
      <c r="AA187">
        <v>1</v>
      </c>
      <c r="AB187" s="3">
        <v>1</v>
      </c>
      <c r="AC187" s="2">
        <v>175</v>
      </c>
      <c r="AD187" s="3">
        <v>0</v>
      </c>
      <c r="AE187" s="2">
        <v>0</v>
      </c>
      <c r="AF187" s="2">
        <v>175</v>
      </c>
      <c r="AK187">
        <v>6058771</v>
      </c>
    </row>
    <row r="188" spans="1:37" x14ac:dyDescent="0.25">
      <c r="A188" s="1">
        <v>46008</v>
      </c>
      <c r="B188" s="1">
        <v>46008</v>
      </c>
      <c r="C188" t="s">
        <v>38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 t="s">
        <v>544</v>
      </c>
      <c r="J188" t="s">
        <v>545</v>
      </c>
      <c r="M188" t="s">
        <v>114</v>
      </c>
      <c r="O188" t="s">
        <v>47</v>
      </c>
      <c r="P188" t="s">
        <v>48</v>
      </c>
      <c r="Q188" t="s">
        <v>49</v>
      </c>
      <c r="R188" t="s">
        <v>58</v>
      </c>
      <c r="S188" s="1">
        <v>46023</v>
      </c>
      <c r="U188" t="s">
        <v>51</v>
      </c>
      <c r="X188" t="s">
        <v>52</v>
      </c>
      <c r="Y188" s="2">
        <v>0</v>
      </c>
      <c r="Z188" s="2">
        <v>175</v>
      </c>
      <c r="AA188">
        <v>1</v>
      </c>
      <c r="AB188" s="3">
        <v>1</v>
      </c>
      <c r="AC188" s="2">
        <v>175</v>
      </c>
      <c r="AD188" s="3">
        <v>0</v>
      </c>
      <c r="AE188" s="2">
        <v>0</v>
      </c>
      <c r="AF188" s="2">
        <v>175</v>
      </c>
      <c r="AK188">
        <v>6058776</v>
      </c>
    </row>
    <row r="189" spans="1:37" x14ac:dyDescent="0.25">
      <c r="A189" s="1">
        <v>46008</v>
      </c>
      <c r="B189" s="1">
        <v>46008</v>
      </c>
      <c r="C189" t="s">
        <v>38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546</v>
      </c>
      <c r="J189" t="s">
        <v>547</v>
      </c>
      <c r="M189" t="s">
        <v>87</v>
      </c>
      <c r="O189" t="s">
        <v>141</v>
      </c>
      <c r="P189" t="s">
        <v>142</v>
      </c>
      <c r="Q189" t="s">
        <v>49</v>
      </c>
      <c r="R189" t="s">
        <v>58</v>
      </c>
      <c r="S189" s="1">
        <v>46023</v>
      </c>
      <c r="U189" t="s">
        <v>51</v>
      </c>
      <c r="X189" t="s">
        <v>52</v>
      </c>
      <c r="Y189" s="2">
        <v>0</v>
      </c>
      <c r="Z189" s="2">
        <v>175</v>
      </c>
      <c r="AA189">
        <v>1</v>
      </c>
      <c r="AB189" s="3">
        <v>1</v>
      </c>
      <c r="AC189" s="2">
        <v>175</v>
      </c>
      <c r="AD189" s="3">
        <v>0</v>
      </c>
      <c r="AE189" s="2">
        <v>0</v>
      </c>
      <c r="AF189" s="2">
        <v>175</v>
      </c>
      <c r="AK189">
        <v>6058777</v>
      </c>
    </row>
    <row r="190" spans="1:37" x14ac:dyDescent="0.25">
      <c r="A190" s="1">
        <v>46008</v>
      </c>
      <c r="B190" s="1">
        <v>46008</v>
      </c>
      <c r="C190" t="s">
        <v>38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548</v>
      </c>
      <c r="J190" t="s">
        <v>549</v>
      </c>
      <c r="M190" t="s">
        <v>114</v>
      </c>
      <c r="O190" t="s">
        <v>47</v>
      </c>
      <c r="P190" t="s">
        <v>48</v>
      </c>
      <c r="Q190" t="s">
        <v>49</v>
      </c>
      <c r="R190" t="s">
        <v>58</v>
      </c>
      <c r="S190" s="1">
        <v>46023</v>
      </c>
      <c r="U190" t="s">
        <v>51</v>
      </c>
      <c r="X190" t="s">
        <v>52</v>
      </c>
      <c r="Y190" s="2">
        <v>0</v>
      </c>
      <c r="Z190" s="2">
        <v>175</v>
      </c>
      <c r="AA190">
        <v>1</v>
      </c>
      <c r="AB190" s="3">
        <v>1</v>
      </c>
      <c r="AC190" s="2">
        <v>175</v>
      </c>
      <c r="AD190" s="3">
        <v>0</v>
      </c>
      <c r="AE190" s="2">
        <v>0</v>
      </c>
      <c r="AF190" s="2">
        <v>175</v>
      </c>
      <c r="AK190">
        <v>6058778</v>
      </c>
    </row>
    <row r="191" spans="1:37" x14ac:dyDescent="0.25">
      <c r="A191" s="1">
        <v>46008</v>
      </c>
      <c r="B191" s="1">
        <v>46008</v>
      </c>
      <c r="C191" t="s">
        <v>38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550</v>
      </c>
      <c r="J191" t="s">
        <v>551</v>
      </c>
      <c r="M191" t="s">
        <v>46</v>
      </c>
      <c r="O191" t="s">
        <v>147</v>
      </c>
      <c r="P191" t="s">
        <v>148</v>
      </c>
      <c r="Q191" t="s">
        <v>49</v>
      </c>
      <c r="R191" t="s">
        <v>58</v>
      </c>
      <c r="S191" s="1">
        <v>46023</v>
      </c>
      <c r="U191" t="s">
        <v>51</v>
      </c>
      <c r="X191" t="s">
        <v>52</v>
      </c>
      <c r="Y191" s="2">
        <v>0</v>
      </c>
      <c r="Z191" s="2">
        <v>175</v>
      </c>
      <c r="AA191">
        <v>1</v>
      </c>
      <c r="AB191" s="3">
        <v>1</v>
      </c>
      <c r="AC191" s="2">
        <v>175</v>
      </c>
      <c r="AD191" s="3">
        <v>0</v>
      </c>
      <c r="AE191" s="2">
        <v>0</v>
      </c>
      <c r="AF191" s="2">
        <v>175</v>
      </c>
      <c r="AK191">
        <v>6058779</v>
      </c>
    </row>
    <row r="192" spans="1:37" x14ac:dyDescent="0.25">
      <c r="A192" s="1">
        <v>46008</v>
      </c>
      <c r="B192" s="1">
        <v>46008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552</v>
      </c>
      <c r="J192" t="s">
        <v>553</v>
      </c>
      <c r="M192" t="s">
        <v>46</v>
      </c>
      <c r="O192" t="s">
        <v>100</v>
      </c>
      <c r="P192" t="s">
        <v>101</v>
      </c>
      <c r="Q192" t="s">
        <v>49</v>
      </c>
      <c r="R192" t="s">
        <v>58</v>
      </c>
      <c r="S192" s="1">
        <v>46023</v>
      </c>
      <c r="U192" t="s">
        <v>51</v>
      </c>
      <c r="X192" t="s">
        <v>52</v>
      </c>
      <c r="Y192" s="2">
        <v>0</v>
      </c>
      <c r="Z192" s="2">
        <v>175</v>
      </c>
      <c r="AA192">
        <v>1</v>
      </c>
      <c r="AB192" s="3">
        <v>1</v>
      </c>
      <c r="AC192" s="2">
        <v>175</v>
      </c>
      <c r="AD192" s="3">
        <v>0</v>
      </c>
      <c r="AE192" s="2">
        <v>0</v>
      </c>
      <c r="AF192" s="2">
        <v>175</v>
      </c>
      <c r="AK192">
        <v>6058780</v>
      </c>
    </row>
    <row r="193" spans="1:37" x14ac:dyDescent="0.25">
      <c r="A193" s="1">
        <v>46008</v>
      </c>
      <c r="B193" s="1">
        <v>46008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554</v>
      </c>
      <c r="J193" t="s">
        <v>555</v>
      </c>
      <c r="M193" t="s">
        <v>46</v>
      </c>
      <c r="O193" t="s">
        <v>56</v>
      </c>
      <c r="P193" t="s">
        <v>57</v>
      </c>
      <c r="Q193" t="s">
        <v>49</v>
      </c>
      <c r="R193" t="s">
        <v>58</v>
      </c>
      <c r="S193" s="1">
        <v>46023</v>
      </c>
      <c r="U193" t="s">
        <v>51</v>
      </c>
      <c r="X193" t="s">
        <v>52</v>
      </c>
      <c r="Y193" s="2">
        <v>0</v>
      </c>
      <c r="Z193" s="2">
        <v>175</v>
      </c>
      <c r="AA193">
        <v>1</v>
      </c>
      <c r="AB193" s="3">
        <v>1</v>
      </c>
      <c r="AC193" s="2">
        <v>175</v>
      </c>
      <c r="AD193" s="3">
        <v>0</v>
      </c>
      <c r="AE193" s="2">
        <v>0</v>
      </c>
      <c r="AF193" s="2">
        <v>175</v>
      </c>
      <c r="AK193">
        <v>6058781</v>
      </c>
    </row>
    <row r="194" spans="1:37" x14ac:dyDescent="0.25">
      <c r="A194" s="1">
        <v>46008</v>
      </c>
      <c r="B194" s="1">
        <v>46008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556</v>
      </c>
      <c r="J194" t="s">
        <v>557</v>
      </c>
      <c r="M194" t="s">
        <v>46</v>
      </c>
      <c r="O194" t="s">
        <v>56</v>
      </c>
      <c r="P194" t="s">
        <v>57</v>
      </c>
      <c r="Q194" t="s">
        <v>49</v>
      </c>
      <c r="R194" t="s">
        <v>58</v>
      </c>
      <c r="S194" s="1">
        <v>46023</v>
      </c>
      <c r="U194" t="s">
        <v>51</v>
      </c>
      <c r="X194" t="s">
        <v>52</v>
      </c>
      <c r="Y194" s="2">
        <v>0</v>
      </c>
      <c r="Z194" s="2">
        <v>175</v>
      </c>
      <c r="AA194">
        <v>1</v>
      </c>
      <c r="AB194" s="3">
        <v>1</v>
      </c>
      <c r="AC194" s="2">
        <v>175</v>
      </c>
      <c r="AD194" s="3">
        <v>0</v>
      </c>
      <c r="AE194" s="2">
        <v>0</v>
      </c>
      <c r="AF194" s="2">
        <v>175</v>
      </c>
      <c r="AK194">
        <v>6058782</v>
      </c>
    </row>
    <row r="195" spans="1:37" x14ac:dyDescent="0.25">
      <c r="A195" s="1">
        <v>46008</v>
      </c>
      <c r="B195" s="1">
        <v>46008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558</v>
      </c>
      <c r="J195" t="s">
        <v>559</v>
      </c>
      <c r="M195" t="s">
        <v>46</v>
      </c>
      <c r="O195" t="s">
        <v>94</v>
      </c>
      <c r="P195" t="s">
        <v>95</v>
      </c>
      <c r="Q195" t="s">
        <v>49</v>
      </c>
      <c r="R195" t="s">
        <v>58</v>
      </c>
      <c r="S195" s="1">
        <v>46023</v>
      </c>
      <c r="U195" t="s">
        <v>51</v>
      </c>
      <c r="X195" t="s">
        <v>52</v>
      </c>
      <c r="Y195" s="2">
        <v>0</v>
      </c>
      <c r="Z195" s="2">
        <v>175</v>
      </c>
      <c r="AA195">
        <v>1</v>
      </c>
      <c r="AB195" s="3">
        <v>1</v>
      </c>
      <c r="AC195" s="2">
        <v>175</v>
      </c>
      <c r="AD195" s="3">
        <v>0</v>
      </c>
      <c r="AE195" s="2">
        <v>0</v>
      </c>
      <c r="AF195" s="2">
        <v>175</v>
      </c>
      <c r="AK195">
        <v>6058783</v>
      </c>
    </row>
    <row r="196" spans="1:37" x14ac:dyDescent="0.25">
      <c r="A196" s="1">
        <v>46008</v>
      </c>
      <c r="B196" s="1">
        <v>46008</v>
      </c>
      <c r="C196" t="s">
        <v>38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560</v>
      </c>
      <c r="J196" t="s">
        <v>561</v>
      </c>
      <c r="M196" t="s">
        <v>46</v>
      </c>
      <c r="O196" t="s">
        <v>66</v>
      </c>
      <c r="P196" t="s">
        <v>67</v>
      </c>
      <c r="Q196" t="s">
        <v>49</v>
      </c>
      <c r="R196" t="s">
        <v>58</v>
      </c>
      <c r="S196" s="1">
        <v>46023</v>
      </c>
      <c r="U196" t="s">
        <v>51</v>
      </c>
      <c r="X196" t="s">
        <v>52</v>
      </c>
      <c r="Y196" s="2">
        <v>0</v>
      </c>
      <c r="Z196" s="2">
        <v>175</v>
      </c>
      <c r="AA196">
        <v>1</v>
      </c>
      <c r="AB196" s="3">
        <v>1</v>
      </c>
      <c r="AC196" s="2">
        <v>175</v>
      </c>
      <c r="AD196" s="3">
        <v>0</v>
      </c>
      <c r="AE196" s="2">
        <v>0</v>
      </c>
      <c r="AF196" s="2">
        <v>175</v>
      </c>
      <c r="AK196">
        <v>6058784</v>
      </c>
    </row>
    <row r="197" spans="1:37" x14ac:dyDescent="0.25">
      <c r="A197" s="1">
        <v>46008</v>
      </c>
      <c r="B197" s="1">
        <v>46008</v>
      </c>
      <c r="C197" t="s">
        <v>38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 t="s">
        <v>562</v>
      </c>
      <c r="J197" t="s">
        <v>563</v>
      </c>
      <c r="M197" t="s">
        <v>46</v>
      </c>
      <c r="O197" t="s">
        <v>226</v>
      </c>
      <c r="P197" t="s">
        <v>227</v>
      </c>
      <c r="Q197" t="s">
        <v>49</v>
      </c>
      <c r="R197" t="s">
        <v>58</v>
      </c>
      <c r="S197" s="1">
        <v>46023</v>
      </c>
      <c r="U197" t="s">
        <v>51</v>
      </c>
      <c r="X197" t="s">
        <v>52</v>
      </c>
      <c r="Y197" s="2">
        <v>0</v>
      </c>
      <c r="Z197" s="2">
        <v>175</v>
      </c>
      <c r="AA197">
        <v>1</v>
      </c>
      <c r="AB197" s="3">
        <v>1</v>
      </c>
      <c r="AC197" s="2">
        <v>175</v>
      </c>
      <c r="AD197" s="3">
        <v>0</v>
      </c>
      <c r="AE197" s="2">
        <v>0</v>
      </c>
      <c r="AF197" s="2">
        <v>175</v>
      </c>
      <c r="AK197">
        <v>6058785</v>
      </c>
    </row>
    <row r="198" spans="1:37" x14ac:dyDescent="0.25">
      <c r="A198" s="1">
        <v>46008</v>
      </c>
      <c r="B198" s="1">
        <v>46008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 t="s">
        <v>564</v>
      </c>
      <c r="J198" t="s">
        <v>565</v>
      </c>
      <c r="M198" t="s">
        <v>46</v>
      </c>
      <c r="O198" t="s">
        <v>66</v>
      </c>
      <c r="P198" t="s">
        <v>67</v>
      </c>
      <c r="Q198" t="s">
        <v>49</v>
      </c>
      <c r="R198" t="s">
        <v>58</v>
      </c>
      <c r="S198" s="1">
        <v>46023</v>
      </c>
      <c r="U198" t="s">
        <v>51</v>
      </c>
      <c r="X198" t="s">
        <v>52</v>
      </c>
      <c r="Y198" s="2">
        <v>0</v>
      </c>
      <c r="Z198" s="2">
        <v>175</v>
      </c>
      <c r="AA198">
        <v>1</v>
      </c>
      <c r="AB198" s="3">
        <v>1</v>
      </c>
      <c r="AC198" s="2">
        <v>175</v>
      </c>
      <c r="AD198" s="3">
        <v>0</v>
      </c>
      <c r="AE198" s="2">
        <v>0</v>
      </c>
      <c r="AF198" s="2">
        <v>175</v>
      </c>
      <c r="AK198">
        <v>6058786</v>
      </c>
    </row>
    <row r="199" spans="1:37" x14ac:dyDescent="0.25">
      <c r="A199" s="1">
        <v>46008</v>
      </c>
      <c r="B199" s="1">
        <v>46008</v>
      </c>
      <c r="C199" t="s">
        <v>38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 t="s">
        <v>566</v>
      </c>
      <c r="J199" t="s">
        <v>567</v>
      </c>
      <c r="M199" t="s">
        <v>87</v>
      </c>
      <c r="O199" t="s">
        <v>141</v>
      </c>
      <c r="P199" t="s">
        <v>142</v>
      </c>
      <c r="Q199" t="s">
        <v>49</v>
      </c>
      <c r="R199" t="s">
        <v>58</v>
      </c>
      <c r="S199" s="1">
        <v>46023</v>
      </c>
      <c r="U199" t="s">
        <v>51</v>
      </c>
      <c r="X199" t="s">
        <v>52</v>
      </c>
      <c r="Y199" s="2">
        <v>0</v>
      </c>
      <c r="Z199" s="2">
        <v>175</v>
      </c>
      <c r="AA199">
        <v>1</v>
      </c>
      <c r="AB199" s="3">
        <v>1</v>
      </c>
      <c r="AC199" s="2">
        <v>175</v>
      </c>
      <c r="AD199" s="3">
        <v>0</v>
      </c>
      <c r="AE199" s="2">
        <v>0</v>
      </c>
      <c r="AF199" s="2">
        <v>175</v>
      </c>
      <c r="AK199">
        <v>6058787</v>
      </c>
    </row>
    <row r="200" spans="1:37" x14ac:dyDescent="0.25">
      <c r="A200" s="1">
        <v>46008</v>
      </c>
      <c r="B200" s="1">
        <v>46008</v>
      </c>
      <c r="C200" t="s">
        <v>38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 t="s">
        <v>568</v>
      </c>
      <c r="J200" t="s">
        <v>569</v>
      </c>
      <c r="M200" t="s">
        <v>570</v>
      </c>
      <c r="O200" t="s">
        <v>141</v>
      </c>
      <c r="P200" t="s">
        <v>142</v>
      </c>
      <c r="Q200" t="s">
        <v>49</v>
      </c>
      <c r="R200" t="s">
        <v>58</v>
      </c>
      <c r="S200" s="1">
        <v>46023</v>
      </c>
      <c r="U200" t="s">
        <v>51</v>
      </c>
      <c r="X200" t="s">
        <v>52</v>
      </c>
      <c r="Y200" s="2">
        <v>0</v>
      </c>
      <c r="Z200" s="2">
        <v>175</v>
      </c>
      <c r="AA200">
        <v>1</v>
      </c>
      <c r="AB200" s="3">
        <v>1</v>
      </c>
      <c r="AC200" s="2">
        <v>175</v>
      </c>
      <c r="AD200" s="3">
        <v>0</v>
      </c>
      <c r="AE200" s="2">
        <v>0</v>
      </c>
      <c r="AF200" s="2">
        <v>175</v>
      </c>
      <c r="AK200">
        <v>6058788</v>
      </c>
    </row>
    <row r="201" spans="1:37" x14ac:dyDescent="0.25">
      <c r="A201" s="1">
        <v>46008</v>
      </c>
      <c r="B201" s="1">
        <v>46008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571</v>
      </c>
      <c r="J201" t="s">
        <v>572</v>
      </c>
      <c r="M201" t="s">
        <v>46</v>
      </c>
      <c r="O201" t="s">
        <v>66</v>
      </c>
      <c r="P201" t="s">
        <v>67</v>
      </c>
      <c r="Q201" t="s">
        <v>49</v>
      </c>
      <c r="R201" t="s">
        <v>58</v>
      </c>
      <c r="S201" s="1">
        <v>46023</v>
      </c>
      <c r="U201" t="s">
        <v>51</v>
      </c>
      <c r="X201" t="s">
        <v>52</v>
      </c>
      <c r="Y201" s="2">
        <v>0</v>
      </c>
      <c r="Z201" s="2">
        <v>175</v>
      </c>
      <c r="AA201">
        <v>1</v>
      </c>
      <c r="AB201" s="3">
        <v>1</v>
      </c>
      <c r="AC201" s="2">
        <v>175</v>
      </c>
      <c r="AD201" s="3">
        <v>0</v>
      </c>
      <c r="AE201" s="2">
        <v>0</v>
      </c>
      <c r="AF201" s="2">
        <v>175</v>
      </c>
      <c r="AK201">
        <v>6058789</v>
      </c>
    </row>
    <row r="202" spans="1:37" x14ac:dyDescent="0.25">
      <c r="A202" s="1">
        <v>46008</v>
      </c>
      <c r="B202" s="1">
        <v>46008</v>
      </c>
      <c r="C202" t="s">
        <v>38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t="s">
        <v>573</v>
      </c>
      <c r="J202" t="s">
        <v>574</v>
      </c>
      <c r="M202" t="s">
        <v>46</v>
      </c>
      <c r="O202" t="s">
        <v>56</v>
      </c>
      <c r="P202" t="s">
        <v>57</v>
      </c>
      <c r="Q202" t="s">
        <v>49</v>
      </c>
      <c r="R202" t="s">
        <v>58</v>
      </c>
      <c r="S202" s="1">
        <v>46023</v>
      </c>
      <c r="U202" t="s">
        <v>51</v>
      </c>
      <c r="X202" t="s">
        <v>52</v>
      </c>
      <c r="Y202" s="2">
        <v>0</v>
      </c>
      <c r="Z202" s="2">
        <v>175</v>
      </c>
      <c r="AA202">
        <v>1</v>
      </c>
      <c r="AB202" s="3">
        <v>1</v>
      </c>
      <c r="AC202" s="2">
        <v>175</v>
      </c>
      <c r="AD202" s="3">
        <v>0</v>
      </c>
      <c r="AE202" s="2">
        <v>0</v>
      </c>
      <c r="AF202" s="2">
        <v>175</v>
      </c>
      <c r="AK202">
        <v>6058792</v>
      </c>
    </row>
    <row r="203" spans="1:37" x14ac:dyDescent="0.25">
      <c r="A203" s="1">
        <v>46008</v>
      </c>
      <c r="B203" s="1">
        <v>46008</v>
      </c>
      <c r="C203" t="s">
        <v>38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575</v>
      </c>
      <c r="J203" t="s">
        <v>576</v>
      </c>
      <c r="M203" t="s">
        <v>155</v>
      </c>
      <c r="O203" t="s">
        <v>179</v>
      </c>
      <c r="P203" t="s">
        <v>180</v>
      </c>
      <c r="Q203" t="s">
        <v>49</v>
      </c>
      <c r="R203" t="s">
        <v>58</v>
      </c>
      <c r="S203" s="1">
        <v>46023</v>
      </c>
      <c r="U203" t="s">
        <v>51</v>
      </c>
      <c r="X203" t="s">
        <v>52</v>
      </c>
      <c r="Y203" s="2">
        <v>0</v>
      </c>
      <c r="Z203" s="2">
        <v>175</v>
      </c>
      <c r="AA203">
        <v>1</v>
      </c>
      <c r="AB203" s="3">
        <v>1</v>
      </c>
      <c r="AC203" s="2">
        <v>175</v>
      </c>
      <c r="AD203" s="3">
        <v>0</v>
      </c>
      <c r="AE203" s="2">
        <v>0</v>
      </c>
      <c r="AF203" s="2">
        <v>175</v>
      </c>
      <c r="AK203">
        <v>6058459</v>
      </c>
    </row>
    <row r="204" spans="1:37" x14ac:dyDescent="0.25">
      <c r="A204" s="1">
        <v>46008</v>
      </c>
      <c r="B204" s="1">
        <v>46008</v>
      </c>
      <c r="C204" t="s">
        <v>38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 t="s">
        <v>577</v>
      </c>
      <c r="J204" t="s">
        <v>578</v>
      </c>
      <c r="M204" t="s">
        <v>46</v>
      </c>
      <c r="O204" t="s">
        <v>278</v>
      </c>
      <c r="P204" t="s">
        <v>279</v>
      </c>
      <c r="Q204" t="s">
        <v>49</v>
      </c>
      <c r="R204" t="s">
        <v>58</v>
      </c>
      <c r="S204" s="1">
        <v>46023</v>
      </c>
      <c r="U204" t="s">
        <v>51</v>
      </c>
      <c r="X204" t="s">
        <v>52</v>
      </c>
      <c r="Y204" s="2">
        <v>0</v>
      </c>
      <c r="Z204" s="2">
        <v>175</v>
      </c>
      <c r="AA204">
        <v>1</v>
      </c>
      <c r="AB204" s="3">
        <v>1</v>
      </c>
      <c r="AC204" s="2">
        <v>175</v>
      </c>
      <c r="AD204" s="3">
        <v>0</v>
      </c>
      <c r="AE204" s="2">
        <v>0</v>
      </c>
      <c r="AF204" s="2">
        <v>175</v>
      </c>
      <c r="AK204">
        <v>6058793</v>
      </c>
    </row>
    <row r="205" spans="1:37" x14ac:dyDescent="0.25">
      <c r="A205" s="1">
        <v>46008</v>
      </c>
      <c r="B205" s="1">
        <v>46008</v>
      </c>
      <c r="C205" t="s">
        <v>38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 t="s">
        <v>579</v>
      </c>
      <c r="J205" t="s">
        <v>580</v>
      </c>
      <c r="M205" t="s">
        <v>46</v>
      </c>
      <c r="O205" t="s">
        <v>83</v>
      </c>
      <c r="P205" t="s">
        <v>84</v>
      </c>
      <c r="Q205" t="s">
        <v>49</v>
      </c>
      <c r="R205" t="s">
        <v>58</v>
      </c>
      <c r="S205" s="1">
        <v>46023</v>
      </c>
      <c r="U205" t="s">
        <v>51</v>
      </c>
      <c r="X205" t="s">
        <v>52</v>
      </c>
      <c r="Y205" s="2">
        <v>0</v>
      </c>
      <c r="Z205" s="2">
        <v>175</v>
      </c>
      <c r="AA205">
        <v>1</v>
      </c>
      <c r="AB205" s="3">
        <v>1</v>
      </c>
      <c r="AC205" s="2">
        <v>175</v>
      </c>
      <c r="AD205" s="3">
        <v>0</v>
      </c>
      <c r="AE205" s="2">
        <v>0</v>
      </c>
      <c r="AF205" s="2">
        <v>175</v>
      </c>
      <c r="AK205">
        <v>6058794</v>
      </c>
    </row>
    <row r="206" spans="1:37" x14ac:dyDescent="0.25">
      <c r="A206" s="1">
        <v>46008</v>
      </c>
      <c r="B206" s="1">
        <v>46008</v>
      </c>
      <c r="C206" t="s">
        <v>38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 t="s">
        <v>581</v>
      </c>
      <c r="J206" t="s">
        <v>582</v>
      </c>
      <c r="M206" t="s">
        <v>46</v>
      </c>
      <c r="O206" t="s">
        <v>66</v>
      </c>
      <c r="P206" t="s">
        <v>67</v>
      </c>
      <c r="Q206" t="s">
        <v>49</v>
      </c>
      <c r="R206" t="s">
        <v>58</v>
      </c>
      <c r="S206" s="1">
        <v>46023</v>
      </c>
      <c r="U206" t="s">
        <v>51</v>
      </c>
      <c r="X206" t="s">
        <v>52</v>
      </c>
      <c r="Y206" s="2">
        <v>0</v>
      </c>
      <c r="Z206" s="2">
        <v>175</v>
      </c>
      <c r="AA206">
        <v>1</v>
      </c>
      <c r="AB206" s="3">
        <v>1</v>
      </c>
      <c r="AC206" s="2">
        <v>175</v>
      </c>
      <c r="AD206" s="3">
        <v>0</v>
      </c>
      <c r="AE206" s="2">
        <v>0</v>
      </c>
      <c r="AF206" s="2">
        <v>175</v>
      </c>
      <c r="AK206">
        <v>6058795</v>
      </c>
    </row>
    <row r="207" spans="1:37" x14ac:dyDescent="0.25">
      <c r="A207" s="1">
        <v>46008</v>
      </c>
      <c r="B207" s="1">
        <v>46008</v>
      </c>
      <c r="C207" t="s">
        <v>38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583</v>
      </c>
      <c r="J207" t="s">
        <v>584</v>
      </c>
      <c r="M207" t="s">
        <v>46</v>
      </c>
      <c r="O207" t="s">
        <v>88</v>
      </c>
      <c r="P207" t="s">
        <v>89</v>
      </c>
      <c r="Q207" t="s">
        <v>49</v>
      </c>
      <c r="R207" t="s">
        <v>58</v>
      </c>
      <c r="S207" s="1">
        <v>46023</v>
      </c>
      <c r="U207" t="s">
        <v>51</v>
      </c>
      <c r="X207" t="s">
        <v>52</v>
      </c>
      <c r="Y207" s="2">
        <v>0</v>
      </c>
      <c r="Z207" s="2">
        <v>175</v>
      </c>
      <c r="AA207">
        <v>1</v>
      </c>
      <c r="AB207" s="3">
        <v>1</v>
      </c>
      <c r="AC207" s="2">
        <v>175</v>
      </c>
      <c r="AD207" s="3">
        <v>0</v>
      </c>
      <c r="AE207" s="2">
        <v>0</v>
      </c>
      <c r="AF207" s="2">
        <v>175</v>
      </c>
      <c r="AK207">
        <v>6058460</v>
      </c>
    </row>
    <row r="208" spans="1:37" x14ac:dyDescent="0.25">
      <c r="A208" s="1">
        <v>46008</v>
      </c>
      <c r="B208" s="1">
        <v>46008</v>
      </c>
      <c r="C208" t="s">
        <v>38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t="s">
        <v>585</v>
      </c>
      <c r="J208" t="s">
        <v>586</v>
      </c>
      <c r="M208" t="s">
        <v>46</v>
      </c>
      <c r="O208" t="s">
        <v>66</v>
      </c>
      <c r="P208" t="s">
        <v>67</v>
      </c>
      <c r="Q208" t="s">
        <v>49</v>
      </c>
      <c r="R208" t="s">
        <v>58</v>
      </c>
      <c r="S208" s="1">
        <v>46023</v>
      </c>
      <c r="U208" t="s">
        <v>51</v>
      </c>
      <c r="X208" t="s">
        <v>52</v>
      </c>
      <c r="Y208" s="2">
        <v>0</v>
      </c>
      <c r="Z208" s="2">
        <v>175</v>
      </c>
      <c r="AA208">
        <v>1</v>
      </c>
      <c r="AB208" s="3">
        <v>1</v>
      </c>
      <c r="AC208" s="2">
        <v>175</v>
      </c>
      <c r="AD208" s="3">
        <v>0</v>
      </c>
      <c r="AE208" s="2">
        <v>0</v>
      </c>
      <c r="AF208" s="2">
        <v>175</v>
      </c>
      <c r="AK208">
        <v>6058796</v>
      </c>
    </row>
    <row r="209" spans="1:37" x14ac:dyDescent="0.25">
      <c r="A209" s="1">
        <v>46008</v>
      </c>
      <c r="B209" s="1">
        <v>46008</v>
      </c>
      <c r="C209" t="s">
        <v>38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 t="s">
        <v>587</v>
      </c>
      <c r="J209" t="s">
        <v>588</v>
      </c>
      <c r="M209" t="s">
        <v>87</v>
      </c>
      <c r="O209" t="s">
        <v>141</v>
      </c>
      <c r="P209" t="s">
        <v>142</v>
      </c>
      <c r="Q209" t="s">
        <v>49</v>
      </c>
      <c r="R209" t="s">
        <v>58</v>
      </c>
      <c r="S209" s="1">
        <v>46023</v>
      </c>
      <c r="U209" t="s">
        <v>51</v>
      </c>
      <c r="X209" t="s">
        <v>52</v>
      </c>
      <c r="Y209" s="2">
        <v>0</v>
      </c>
      <c r="Z209" s="2">
        <v>175</v>
      </c>
      <c r="AA209">
        <v>1</v>
      </c>
      <c r="AB209" s="3">
        <v>1</v>
      </c>
      <c r="AC209" s="2">
        <v>175</v>
      </c>
      <c r="AD209" s="3">
        <v>0</v>
      </c>
      <c r="AE209" s="2">
        <v>0</v>
      </c>
      <c r="AF209" s="2">
        <v>175</v>
      </c>
      <c r="AK209">
        <v>6058801</v>
      </c>
    </row>
    <row r="210" spans="1:37" x14ac:dyDescent="0.25">
      <c r="A210" s="1">
        <v>46008</v>
      </c>
      <c r="B210" s="1">
        <v>46008</v>
      </c>
      <c r="C210" t="s">
        <v>38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t="s">
        <v>589</v>
      </c>
      <c r="J210" t="s">
        <v>590</v>
      </c>
      <c r="M210" t="s">
        <v>61</v>
      </c>
      <c r="O210" t="s">
        <v>404</v>
      </c>
      <c r="P210" t="s">
        <v>405</v>
      </c>
      <c r="Q210" t="s">
        <v>49</v>
      </c>
      <c r="R210" t="s">
        <v>58</v>
      </c>
      <c r="S210" s="1">
        <v>46023</v>
      </c>
      <c r="U210" t="s">
        <v>51</v>
      </c>
      <c r="X210" t="s">
        <v>52</v>
      </c>
      <c r="Y210" s="2">
        <v>0</v>
      </c>
      <c r="Z210" s="2">
        <v>175</v>
      </c>
      <c r="AA210">
        <v>1</v>
      </c>
      <c r="AB210" s="3">
        <v>1</v>
      </c>
      <c r="AC210" s="2">
        <v>175</v>
      </c>
      <c r="AD210" s="3">
        <v>0</v>
      </c>
      <c r="AE210" s="2">
        <v>0</v>
      </c>
      <c r="AF210" s="2">
        <v>175</v>
      </c>
      <c r="AK210">
        <v>6058802</v>
      </c>
    </row>
    <row r="211" spans="1:37" x14ac:dyDescent="0.25">
      <c r="A211" s="1">
        <v>46008</v>
      </c>
      <c r="B211" s="1">
        <v>46008</v>
      </c>
      <c r="C211" t="s">
        <v>38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t="s">
        <v>591</v>
      </c>
      <c r="J211" t="s">
        <v>592</v>
      </c>
      <c r="M211" t="s">
        <v>46</v>
      </c>
      <c r="O211" t="s">
        <v>147</v>
      </c>
      <c r="P211" t="s">
        <v>148</v>
      </c>
      <c r="Q211" t="s">
        <v>49</v>
      </c>
      <c r="R211" t="s">
        <v>58</v>
      </c>
      <c r="S211" s="1">
        <v>46023</v>
      </c>
      <c r="U211" t="s">
        <v>51</v>
      </c>
      <c r="X211" t="s">
        <v>52</v>
      </c>
      <c r="Y211" s="2">
        <v>0</v>
      </c>
      <c r="Z211" s="2">
        <v>175</v>
      </c>
      <c r="AA211">
        <v>1</v>
      </c>
      <c r="AB211" s="3">
        <v>1</v>
      </c>
      <c r="AC211" s="2">
        <v>175</v>
      </c>
      <c r="AD211" s="3">
        <v>0</v>
      </c>
      <c r="AE211" s="2">
        <v>0</v>
      </c>
      <c r="AF211" s="2">
        <v>175</v>
      </c>
      <c r="AK211">
        <v>6058803</v>
      </c>
    </row>
    <row r="212" spans="1:37" x14ac:dyDescent="0.25">
      <c r="A212" s="1">
        <v>46008</v>
      </c>
      <c r="B212" s="1">
        <v>46008</v>
      </c>
      <c r="C212" t="s">
        <v>38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593</v>
      </c>
      <c r="J212" t="s">
        <v>594</v>
      </c>
      <c r="M212" t="s">
        <v>46</v>
      </c>
      <c r="O212" t="s">
        <v>66</v>
      </c>
      <c r="P212" t="s">
        <v>67</v>
      </c>
      <c r="Q212" t="s">
        <v>49</v>
      </c>
      <c r="R212" t="s">
        <v>58</v>
      </c>
      <c r="S212" s="1">
        <v>46023</v>
      </c>
      <c r="U212" t="s">
        <v>51</v>
      </c>
      <c r="X212" t="s">
        <v>52</v>
      </c>
      <c r="Y212" s="2">
        <v>0</v>
      </c>
      <c r="Z212" s="2">
        <v>175</v>
      </c>
      <c r="AA212">
        <v>1</v>
      </c>
      <c r="AB212" s="3">
        <v>1</v>
      </c>
      <c r="AC212" s="2">
        <v>175</v>
      </c>
      <c r="AD212" s="3">
        <v>0</v>
      </c>
      <c r="AE212" s="2">
        <v>0</v>
      </c>
      <c r="AF212" s="2">
        <v>175</v>
      </c>
      <c r="AK212">
        <v>6058804</v>
      </c>
    </row>
    <row r="213" spans="1:37" x14ac:dyDescent="0.25">
      <c r="A213" s="1">
        <v>46008</v>
      </c>
      <c r="B213" s="1">
        <v>46008</v>
      </c>
      <c r="C213" t="s">
        <v>38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595</v>
      </c>
      <c r="J213" t="s">
        <v>596</v>
      </c>
      <c r="M213" t="s">
        <v>46</v>
      </c>
      <c r="O213" t="s">
        <v>328</v>
      </c>
      <c r="P213" t="s">
        <v>329</v>
      </c>
      <c r="Q213" t="s">
        <v>49</v>
      </c>
      <c r="R213" t="s">
        <v>58</v>
      </c>
      <c r="S213" s="1">
        <v>46023</v>
      </c>
      <c r="U213" t="s">
        <v>51</v>
      </c>
      <c r="X213" t="s">
        <v>52</v>
      </c>
      <c r="Y213" s="2">
        <v>0</v>
      </c>
      <c r="Z213" s="2">
        <v>175</v>
      </c>
      <c r="AA213">
        <v>1</v>
      </c>
      <c r="AB213" s="3">
        <v>1</v>
      </c>
      <c r="AC213" s="2">
        <v>175</v>
      </c>
      <c r="AD213" s="3">
        <v>0</v>
      </c>
      <c r="AE213" s="2">
        <v>0</v>
      </c>
      <c r="AF213" s="2">
        <v>175</v>
      </c>
      <c r="AK213">
        <v>6058805</v>
      </c>
    </row>
    <row r="214" spans="1:37" x14ac:dyDescent="0.25">
      <c r="A214" s="1">
        <v>46008</v>
      </c>
      <c r="B214" s="1">
        <v>46008</v>
      </c>
      <c r="C214" t="s">
        <v>38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t="s">
        <v>597</v>
      </c>
      <c r="J214" t="s">
        <v>598</v>
      </c>
      <c r="M214" t="s">
        <v>46</v>
      </c>
      <c r="O214" t="s">
        <v>479</v>
      </c>
      <c r="P214" t="s">
        <v>480</v>
      </c>
      <c r="Q214" t="s">
        <v>49</v>
      </c>
      <c r="R214" t="s">
        <v>58</v>
      </c>
      <c r="S214" s="1">
        <v>46023</v>
      </c>
      <c r="U214" t="s">
        <v>51</v>
      </c>
      <c r="X214" t="s">
        <v>52</v>
      </c>
      <c r="Y214" s="2">
        <v>0</v>
      </c>
      <c r="Z214" s="2">
        <v>175</v>
      </c>
      <c r="AA214">
        <v>1</v>
      </c>
      <c r="AB214" s="3">
        <v>1</v>
      </c>
      <c r="AC214" s="2">
        <v>175</v>
      </c>
      <c r="AD214" s="3">
        <v>0</v>
      </c>
      <c r="AE214" s="2">
        <v>0</v>
      </c>
      <c r="AF214" s="2">
        <v>175</v>
      </c>
      <c r="AK214">
        <v>6058806</v>
      </c>
    </row>
    <row r="215" spans="1:37" x14ac:dyDescent="0.25">
      <c r="A215" s="1">
        <v>46008</v>
      </c>
      <c r="B215" s="1">
        <v>46008</v>
      </c>
      <c r="C215" t="s">
        <v>38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 t="s">
        <v>599</v>
      </c>
      <c r="J215" t="s">
        <v>600</v>
      </c>
      <c r="M215" t="s">
        <v>46</v>
      </c>
      <c r="O215" t="s">
        <v>601</v>
      </c>
      <c r="P215" t="s">
        <v>602</v>
      </c>
      <c r="Q215" t="s">
        <v>49</v>
      </c>
      <c r="R215" t="s">
        <v>58</v>
      </c>
      <c r="S215" s="1">
        <v>46023</v>
      </c>
      <c r="U215" t="s">
        <v>51</v>
      </c>
      <c r="X215" t="s">
        <v>52</v>
      </c>
      <c r="Y215" s="2">
        <v>0</v>
      </c>
      <c r="Z215" s="2">
        <v>175</v>
      </c>
      <c r="AA215">
        <v>1</v>
      </c>
      <c r="AB215" s="3">
        <v>1</v>
      </c>
      <c r="AC215" s="2">
        <v>175</v>
      </c>
      <c r="AD215" s="3">
        <v>0</v>
      </c>
      <c r="AE215" s="2">
        <v>0</v>
      </c>
      <c r="AF215" s="2">
        <v>175</v>
      </c>
      <c r="AK215">
        <v>6058807</v>
      </c>
    </row>
    <row r="216" spans="1:37" x14ac:dyDescent="0.25">
      <c r="A216" s="1">
        <v>46008</v>
      </c>
      <c r="B216" s="1">
        <v>46008</v>
      </c>
      <c r="C216" t="s">
        <v>38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 t="s">
        <v>603</v>
      </c>
      <c r="J216" t="s">
        <v>604</v>
      </c>
      <c r="M216" t="s">
        <v>87</v>
      </c>
      <c r="O216" t="s">
        <v>141</v>
      </c>
      <c r="P216" t="s">
        <v>142</v>
      </c>
      <c r="Q216" t="s">
        <v>49</v>
      </c>
      <c r="R216" t="s">
        <v>58</v>
      </c>
      <c r="S216" s="1">
        <v>46023</v>
      </c>
      <c r="U216" t="s">
        <v>51</v>
      </c>
      <c r="X216" t="s">
        <v>52</v>
      </c>
      <c r="Y216" s="2">
        <v>0</v>
      </c>
      <c r="Z216" s="2">
        <v>175</v>
      </c>
      <c r="AA216">
        <v>1</v>
      </c>
      <c r="AB216" s="3">
        <v>1</v>
      </c>
      <c r="AC216" s="2">
        <v>175</v>
      </c>
      <c r="AD216" s="3">
        <v>0</v>
      </c>
      <c r="AE216" s="2">
        <v>0</v>
      </c>
      <c r="AF216" s="2">
        <v>175</v>
      </c>
      <c r="AK216">
        <v>6058808</v>
      </c>
    </row>
    <row r="217" spans="1:37" x14ac:dyDescent="0.25">
      <c r="A217" s="1">
        <v>46008</v>
      </c>
      <c r="B217" s="1">
        <v>46008</v>
      </c>
      <c r="C217" t="s">
        <v>38</v>
      </c>
      <c r="D217" t="s">
        <v>39</v>
      </c>
      <c r="E217" t="s">
        <v>40</v>
      </c>
      <c r="F217" t="s">
        <v>41</v>
      </c>
      <c r="G217" t="s">
        <v>42</v>
      </c>
      <c r="H217" t="s">
        <v>43</v>
      </c>
      <c r="I217" t="s">
        <v>605</v>
      </c>
      <c r="J217" t="s">
        <v>606</v>
      </c>
      <c r="M217" t="s">
        <v>491</v>
      </c>
      <c r="O217" t="s">
        <v>607</v>
      </c>
      <c r="P217" t="s">
        <v>608</v>
      </c>
      <c r="Q217" t="s">
        <v>49</v>
      </c>
      <c r="R217" t="s">
        <v>58</v>
      </c>
      <c r="S217" s="1">
        <v>46023</v>
      </c>
      <c r="U217" t="s">
        <v>51</v>
      </c>
      <c r="X217" t="s">
        <v>52</v>
      </c>
      <c r="Y217" s="2">
        <v>0</v>
      </c>
      <c r="Z217" s="2">
        <v>175</v>
      </c>
      <c r="AA217">
        <v>1</v>
      </c>
      <c r="AB217" s="3">
        <v>1</v>
      </c>
      <c r="AC217" s="2">
        <v>175</v>
      </c>
      <c r="AD217" s="3">
        <v>0</v>
      </c>
      <c r="AE217" s="2">
        <v>0</v>
      </c>
      <c r="AF217" s="2">
        <v>175</v>
      </c>
      <c r="AK217">
        <v>6058809</v>
      </c>
    </row>
    <row r="218" spans="1:37" x14ac:dyDescent="0.25">
      <c r="A218" s="1">
        <v>46008</v>
      </c>
      <c r="B218" s="1">
        <v>46008</v>
      </c>
      <c r="C218" t="s">
        <v>38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 t="s">
        <v>609</v>
      </c>
      <c r="J218" t="s">
        <v>610</v>
      </c>
      <c r="M218" t="s">
        <v>46</v>
      </c>
      <c r="O218" t="s">
        <v>66</v>
      </c>
      <c r="P218" t="s">
        <v>67</v>
      </c>
      <c r="Q218" t="s">
        <v>49</v>
      </c>
      <c r="R218" t="s">
        <v>58</v>
      </c>
      <c r="S218" s="1">
        <v>46023</v>
      </c>
      <c r="U218" t="s">
        <v>51</v>
      </c>
      <c r="X218" t="s">
        <v>52</v>
      </c>
      <c r="Y218" s="2">
        <v>0</v>
      </c>
      <c r="Z218" s="2">
        <v>175</v>
      </c>
      <c r="AA218">
        <v>1</v>
      </c>
      <c r="AB218" s="3">
        <v>1</v>
      </c>
      <c r="AC218" s="2">
        <v>175</v>
      </c>
      <c r="AD218" s="3">
        <v>0</v>
      </c>
      <c r="AE218" s="2">
        <v>0</v>
      </c>
      <c r="AF218" s="2">
        <v>175</v>
      </c>
      <c r="AK218">
        <v>6058810</v>
      </c>
    </row>
    <row r="219" spans="1:37" x14ac:dyDescent="0.25">
      <c r="A219" s="1">
        <v>46008</v>
      </c>
      <c r="B219" s="1">
        <v>46008</v>
      </c>
      <c r="C219" t="s">
        <v>38</v>
      </c>
      <c r="D219" t="s">
        <v>39</v>
      </c>
      <c r="E219" t="s">
        <v>40</v>
      </c>
      <c r="F219" t="s">
        <v>41</v>
      </c>
      <c r="G219" t="s">
        <v>42</v>
      </c>
      <c r="H219" t="s">
        <v>43</v>
      </c>
      <c r="I219" t="s">
        <v>611</v>
      </c>
      <c r="J219" t="s">
        <v>612</v>
      </c>
      <c r="M219" t="s">
        <v>189</v>
      </c>
      <c r="O219" t="s">
        <v>266</v>
      </c>
      <c r="P219" t="s">
        <v>267</v>
      </c>
      <c r="Q219" t="s">
        <v>49</v>
      </c>
      <c r="R219" t="s">
        <v>58</v>
      </c>
      <c r="S219" s="1">
        <v>46023</v>
      </c>
      <c r="U219" t="s">
        <v>51</v>
      </c>
      <c r="X219" t="s">
        <v>52</v>
      </c>
      <c r="Y219" s="2">
        <v>0</v>
      </c>
      <c r="Z219" s="2">
        <v>175</v>
      </c>
      <c r="AA219">
        <v>1</v>
      </c>
      <c r="AB219" s="3">
        <v>1</v>
      </c>
      <c r="AC219" s="2">
        <v>175</v>
      </c>
      <c r="AD219" s="3">
        <v>0</v>
      </c>
      <c r="AE219" s="2">
        <v>0</v>
      </c>
      <c r="AF219" s="2">
        <v>175</v>
      </c>
      <c r="AK219">
        <v>6058811</v>
      </c>
    </row>
    <row r="220" spans="1:37" x14ac:dyDescent="0.25">
      <c r="A220" s="1">
        <v>46008</v>
      </c>
      <c r="B220" s="1">
        <v>46008</v>
      </c>
      <c r="C220" t="s">
        <v>38</v>
      </c>
      <c r="D220" t="s">
        <v>39</v>
      </c>
      <c r="E220" t="s">
        <v>40</v>
      </c>
      <c r="F220" t="s">
        <v>41</v>
      </c>
      <c r="G220" t="s">
        <v>42</v>
      </c>
      <c r="H220" t="s">
        <v>43</v>
      </c>
      <c r="I220" t="s">
        <v>613</v>
      </c>
      <c r="J220" t="s">
        <v>614</v>
      </c>
      <c r="M220" t="s">
        <v>155</v>
      </c>
      <c r="O220" t="s">
        <v>179</v>
      </c>
      <c r="P220" t="s">
        <v>180</v>
      </c>
      <c r="Q220" t="s">
        <v>49</v>
      </c>
      <c r="R220" t="s">
        <v>58</v>
      </c>
      <c r="S220" s="1">
        <v>46023</v>
      </c>
      <c r="U220" t="s">
        <v>51</v>
      </c>
      <c r="X220" t="s">
        <v>52</v>
      </c>
      <c r="Y220" s="2">
        <v>0</v>
      </c>
      <c r="Z220" s="2">
        <v>175</v>
      </c>
      <c r="AA220">
        <v>1</v>
      </c>
      <c r="AB220" s="3">
        <v>1</v>
      </c>
      <c r="AC220" s="2">
        <v>175</v>
      </c>
      <c r="AD220" s="3">
        <v>0</v>
      </c>
      <c r="AE220" s="2">
        <v>0</v>
      </c>
      <c r="AF220" s="2">
        <v>175</v>
      </c>
      <c r="AK220">
        <v>6058470</v>
      </c>
    </row>
    <row r="221" spans="1:37" x14ac:dyDescent="0.25">
      <c r="A221" s="1">
        <v>46008</v>
      </c>
      <c r="B221" s="1">
        <v>46008</v>
      </c>
      <c r="C221" t="s">
        <v>38</v>
      </c>
      <c r="D221" t="s">
        <v>39</v>
      </c>
      <c r="E221" t="s">
        <v>40</v>
      </c>
      <c r="F221" t="s">
        <v>41</v>
      </c>
      <c r="G221" t="s">
        <v>42</v>
      </c>
      <c r="H221" t="s">
        <v>43</v>
      </c>
      <c r="I221" t="s">
        <v>615</v>
      </c>
      <c r="J221" t="s">
        <v>616</v>
      </c>
      <c r="M221" t="s">
        <v>501</v>
      </c>
      <c r="O221" t="s">
        <v>617</v>
      </c>
      <c r="P221" t="s">
        <v>618</v>
      </c>
      <c r="Q221" t="s">
        <v>49</v>
      </c>
      <c r="R221" t="s">
        <v>58</v>
      </c>
      <c r="S221" s="1">
        <v>46023</v>
      </c>
      <c r="U221" t="s">
        <v>51</v>
      </c>
      <c r="X221" t="s">
        <v>52</v>
      </c>
      <c r="Y221" s="2">
        <v>0</v>
      </c>
      <c r="Z221" s="2">
        <v>175</v>
      </c>
      <c r="AA221">
        <v>1</v>
      </c>
      <c r="AB221" s="3">
        <v>1</v>
      </c>
      <c r="AC221" s="2">
        <v>175</v>
      </c>
      <c r="AD221" s="3">
        <v>0</v>
      </c>
      <c r="AE221" s="2">
        <v>0</v>
      </c>
      <c r="AF221" s="2">
        <v>175</v>
      </c>
      <c r="AK221">
        <v>6058819</v>
      </c>
    </row>
    <row r="222" spans="1:37" x14ac:dyDescent="0.25">
      <c r="A222" s="1">
        <v>46008</v>
      </c>
      <c r="B222" s="1">
        <v>46008</v>
      </c>
      <c r="C222" t="s">
        <v>38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 t="s">
        <v>619</v>
      </c>
      <c r="J222" t="s">
        <v>620</v>
      </c>
      <c r="M222" t="s">
        <v>305</v>
      </c>
      <c r="O222" t="s">
        <v>66</v>
      </c>
      <c r="P222" t="s">
        <v>67</v>
      </c>
      <c r="Q222" t="s">
        <v>49</v>
      </c>
      <c r="R222" t="s">
        <v>58</v>
      </c>
      <c r="S222" s="1">
        <v>46023</v>
      </c>
      <c r="U222" t="s">
        <v>51</v>
      </c>
      <c r="X222" t="s">
        <v>52</v>
      </c>
      <c r="Y222" s="2">
        <v>0</v>
      </c>
      <c r="Z222" s="2">
        <v>175</v>
      </c>
      <c r="AA222">
        <v>1</v>
      </c>
      <c r="AB222" s="3">
        <v>1</v>
      </c>
      <c r="AC222" s="2">
        <v>175</v>
      </c>
      <c r="AD222" s="3">
        <v>0</v>
      </c>
      <c r="AE222" s="2">
        <v>0</v>
      </c>
      <c r="AF222" s="2">
        <v>175</v>
      </c>
      <c r="AK222">
        <v>6058821</v>
      </c>
    </row>
    <row r="223" spans="1:37" x14ac:dyDescent="0.25">
      <c r="A223" s="1">
        <v>46008</v>
      </c>
      <c r="B223" s="1">
        <v>46008</v>
      </c>
      <c r="C223" t="s">
        <v>38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t="s">
        <v>621</v>
      </c>
      <c r="J223" t="s">
        <v>622</v>
      </c>
      <c r="M223" t="s">
        <v>46</v>
      </c>
      <c r="O223" t="s">
        <v>328</v>
      </c>
      <c r="P223" t="s">
        <v>329</v>
      </c>
      <c r="Q223" t="s">
        <v>49</v>
      </c>
      <c r="R223" t="s">
        <v>58</v>
      </c>
      <c r="S223" s="1">
        <v>46023</v>
      </c>
      <c r="U223" t="s">
        <v>51</v>
      </c>
      <c r="X223" t="s">
        <v>52</v>
      </c>
      <c r="Y223" s="2">
        <v>0</v>
      </c>
      <c r="Z223" s="2">
        <v>175</v>
      </c>
      <c r="AA223">
        <v>1</v>
      </c>
      <c r="AB223" s="3">
        <v>1</v>
      </c>
      <c r="AC223" s="2">
        <v>175</v>
      </c>
      <c r="AD223" s="3">
        <v>0</v>
      </c>
      <c r="AE223" s="2">
        <v>0</v>
      </c>
      <c r="AF223" s="2">
        <v>175</v>
      </c>
      <c r="AK223">
        <v>6058822</v>
      </c>
    </row>
    <row r="224" spans="1:37" x14ac:dyDescent="0.25">
      <c r="A224" s="1">
        <v>46008</v>
      </c>
      <c r="B224" s="1">
        <v>46008</v>
      </c>
      <c r="C224" t="s">
        <v>38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623</v>
      </c>
      <c r="J224" t="s">
        <v>624</v>
      </c>
      <c r="M224" t="s">
        <v>46</v>
      </c>
      <c r="O224" t="s">
        <v>320</v>
      </c>
      <c r="P224" t="s">
        <v>321</v>
      </c>
      <c r="Q224" t="s">
        <v>49</v>
      </c>
      <c r="R224" t="s">
        <v>58</v>
      </c>
      <c r="S224" s="1">
        <v>46023</v>
      </c>
      <c r="U224" t="s">
        <v>51</v>
      </c>
      <c r="X224" t="s">
        <v>52</v>
      </c>
      <c r="Y224" s="2">
        <v>0</v>
      </c>
      <c r="Z224" s="2">
        <v>175</v>
      </c>
      <c r="AA224">
        <v>1</v>
      </c>
      <c r="AB224" s="3">
        <v>1</v>
      </c>
      <c r="AC224" s="2">
        <v>175</v>
      </c>
      <c r="AD224" s="3">
        <v>0</v>
      </c>
      <c r="AE224" s="2">
        <v>0</v>
      </c>
      <c r="AF224" s="2">
        <v>175</v>
      </c>
      <c r="AK224">
        <v>6058823</v>
      </c>
    </row>
    <row r="225" spans="1:37" x14ac:dyDescent="0.25">
      <c r="A225" s="1">
        <v>46008</v>
      </c>
      <c r="B225" s="1">
        <v>46008</v>
      </c>
      <c r="C225" t="s">
        <v>38</v>
      </c>
      <c r="D225" t="s">
        <v>39</v>
      </c>
      <c r="E225" t="s">
        <v>40</v>
      </c>
      <c r="F225" t="s">
        <v>41</v>
      </c>
      <c r="G225" t="s">
        <v>42</v>
      </c>
      <c r="H225" t="s">
        <v>43</v>
      </c>
      <c r="I225" t="s">
        <v>625</v>
      </c>
      <c r="J225" t="s">
        <v>626</v>
      </c>
      <c r="M225" t="s">
        <v>46</v>
      </c>
      <c r="O225" t="s">
        <v>94</v>
      </c>
      <c r="P225" t="s">
        <v>95</v>
      </c>
      <c r="Q225" t="s">
        <v>49</v>
      </c>
      <c r="R225" t="s">
        <v>58</v>
      </c>
      <c r="S225" s="1">
        <v>46023</v>
      </c>
      <c r="U225" t="s">
        <v>51</v>
      </c>
      <c r="X225" t="s">
        <v>52</v>
      </c>
      <c r="Y225" s="2">
        <v>0</v>
      </c>
      <c r="Z225" s="2">
        <v>175</v>
      </c>
      <c r="AA225">
        <v>1</v>
      </c>
      <c r="AB225" s="3">
        <v>1</v>
      </c>
      <c r="AC225" s="2">
        <v>175</v>
      </c>
      <c r="AD225" s="3">
        <v>0</v>
      </c>
      <c r="AE225" s="2">
        <v>0</v>
      </c>
      <c r="AF225" s="2">
        <v>175</v>
      </c>
      <c r="AK225">
        <v>6058834</v>
      </c>
    </row>
    <row r="226" spans="1:37" x14ac:dyDescent="0.25">
      <c r="A226" s="1">
        <v>46008</v>
      </c>
      <c r="B226" s="1">
        <v>46008</v>
      </c>
      <c r="C226" t="s">
        <v>38</v>
      </c>
      <c r="D226" t="s">
        <v>39</v>
      </c>
      <c r="E226" t="s">
        <v>40</v>
      </c>
      <c r="F226" t="s">
        <v>41</v>
      </c>
      <c r="G226" t="s">
        <v>42</v>
      </c>
      <c r="H226" t="s">
        <v>43</v>
      </c>
      <c r="I226" t="s">
        <v>627</v>
      </c>
      <c r="J226" t="s">
        <v>628</v>
      </c>
      <c r="M226" t="s">
        <v>491</v>
      </c>
      <c r="O226" t="s">
        <v>629</v>
      </c>
      <c r="P226" t="s">
        <v>630</v>
      </c>
      <c r="Q226" t="s">
        <v>49</v>
      </c>
      <c r="R226" t="s">
        <v>58</v>
      </c>
      <c r="S226" s="1">
        <v>46023</v>
      </c>
      <c r="U226" t="s">
        <v>51</v>
      </c>
      <c r="X226" t="s">
        <v>52</v>
      </c>
      <c r="Y226" s="2">
        <v>0</v>
      </c>
      <c r="Z226" s="2">
        <v>175</v>
      </c>
      <c r="AA226">
        <v>1</v>
      </c>
      <c r="AB226" s="3">
        <v>1</v>
      </c>
      <c r="AC226" s="2">
        <v>175</v>
      </c>
      <c r="AD226" s="3">
        <v>0</v>
      </c>
      <c r="AE226" s="2">
        <v>0</v>
      </c>
      <c r="AF226" s="2">
        <v>175</v>
      </c>
      <c r="AK226">
        <v>6058835</v>
      </c>
    </row>
    <row r="227" spans="1:37" x14ac:dyDescent="0.25">
      <c r="A227" s="1">
        <v>46008</v>
      </c>
      <c r="B227" s="1">
        <v>46008</v>
      </c>
      <c r="C227" t="s">
        <v>38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 t="s">
        <v>631</v>
      </c>
      <c r="J227" t="s">
        <v>632</v>
      </c>
      <c r="M227" t="s">
        <v>87</v>
      </c>
      <c r="O227" t="s">
        <v>141</v>
      </c>
      <c r="P227" t="s">
        <v>142</v>
      </c>
      <c r="Q227" t="s">
        <v>49</v>
      </c>
      <c r="R227" t="s">
        <v>58</v>
      </c>
      <c r="S227" s="1">
        <v>46023</v>
      </c>
      <c r="U227" t="s">
        <v>51</v>
      </c>
      <c r="X227" t="s">
        <v>52</v>
      </c>
      <c r="Y227" s="2">
        <v>0</v>
      </c>
      <c r="Z227" s="2">
        <v>175</v>
      </c>
      <c r="AA227">
        <v>1</v>
      </c>
      <c r="AB227" s="3">
        <v>1</v>
      </c>
      <c r="AC227" s="2">
        <v>175</v>
      </c>
      <c r="AD227" s="3">
        <v>0</v>
      </c>
      <c r="AE227" s="2">
        <v>0</v>
      </c>
      <c r="AF227" s="2">
        <v>175</v>
      </c>
      <c r="AK227">
        <v>6058836</v>
      </c>
    </row>
    <row r="228" spans="1:37" x14ac:dyDescent="0.25">
      <c r="A228" s="1">
        <v>46008</v>
      </c>
      <c r="B228" s="1">
        <v>46008</v>
      </c>
      <c r="C228" t="s">
        <v>38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 t="s">
        <v>633</v>
      </c>
      <c r="J228" t="s">
        <v>634</v>
      </c>
      <c r="M228" t="s">
        <v>55</v>
      </c>
      <c r="O228" t="s">
        <v>635</v>
      </c>
      <c r="P228" t="s">
        <v>636</v>
      </c>
      <c r="Q228" t="s">
        <v>49</v>
      </c>
      <c r="R228" t="s">
        <v>58</v>
      </c>
      <c r="S228" s="1">
        <v>46023</v>
      </c>
      <c r="U228" t="s">
        <v>51</v>
      </c>
      <c r="X228" t="s">
        <v>52</v>
      </c>
      <c r="Y228" s="2">
        <v>0</v>
      </c>
      <c r="Z228" s="2">
        <v>175</v>
      </c>
      <c r="AA228">
        <v>1</v>
      </c>
      <c r="AB228" s="3">
        <v>1</v>
      </c>
      <c r="AC228" s="2">
        <v>175</v>
      </c>
      <c r="AD228" s="3">
        <v>0</v>
      </c>
      <c r="AE228" s="2">
        <v>0</v>
      </c>
      <c r="AF228" s="2">
        <v>175</v>
      </c>
      <c r="AK228">
        <v>6058837</v>
      </c>
    </row>
    <row r="229" spans="1:37" x14ac:dyDescent="0.25">
      <c r="A229" s="1">
        <v>46008</v>
      </c>
      <c r="B229" s="1">
        <v>46008</v>
      </c>
      <c r="C229" t="s">
        <v>38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 t="s">
        <v>637</v>
      </c>
      <c r="J229" t="s">
        <v>638</v>
      </c>
      <c r="M229" t="s">
        <v>46</v>
      </c>
      <c r="O229" t="s">
        <v>270</v>
      </c>
      <c r="P229" t="s">
        <v>271</v>
      </c>
      <c r="Q229" t="s">
        <v>49</v>
      </c>
      <c r="R229" t="s">
        <v>58</v>
      </c>
      <c r="S229" s="1">
        <v>46023</v>
      </c>
      <c r="U229" t="s">
        <v>51</v>
      </c>
      <c r="X229" t="s">
        <v>52</v>
      </c>
      <c r="Y229" s="2">
        <v>0</v>
      </c>
      <c r="Z229" s="2">
        <v>175</v>
      </c>
      <c r="AA229">
        <v>1</v>
      </c>
      <c r="AB229" s="3">
        <v>1</v>
      </c>
      <c r="AC229" s="2">
        <v>175</v>
      </c>
      <c r="AD229" s="3">
        <v>0</v>
      </c>
      <c r="AE229" s="2">
        <v>0</v>
      </c>
      <c r="AF229" s="2">
        <v>175</v>
      </c>
      <c r="AK229">
        <v>6058838</v>
      </c>
    </row>
    <row r="230" spans="1:37" x14ac:dyDescent="0.25">
      <c r="A230" s="1">
        <v>46008</v>
      </c>
      <c r="B230" s="1">
        <v>46008</v>
      </c>
      <c r="C230" t="s">
        <v>38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 t="s">
        <v>639</v>
      </c>
      <c r="J230" t="s">
        <v>640</v>
      </c>
      <c r="M230" t="s">
        <v>46</v>
      </c>
      <c r="O230" t="s">
        <v>353</v>
      </c>
      <c r="P230" t="s">
        <v>354</v>
      </c>
      <c r="Q230" t="s">
        <v>49</v>
      </c>
      <c r="R230" t="s">
        <v>58</v>
      </c>
      <c r="S230" s="1">
        <v>46023</v>
      </c>
      <c r="U230" t="s">
        <v>51</v>
      </c>
      <c r="X230" t="s">
        <v>52</v>
      </c>
      <c r="Y230" s="2">
        <v>0</v>
      </c>
      <c r="Z230" s="2">
        <v>175</v>
      </c>
      <c r="AA230">
        <v>1</v>
      </c>
      <c r="AB230" s="3">
        <v>1</v>
      </c>
      <c r="AC230" s="2">
        <v>175</v>
      </c>
      <c r="AD230" s="3">
        <v>0</v>
      </c>
      <c r="AE230" s="2">
        <v>0</v>
      </c>
      <c r="AF230" s="2">
        <v>175</v>
      </c>
      <c r="AK230">
        <v>6058839</v>
      </c>
    </row>
    <row r="231" spans="1:37" x14ac:dyDescent="0.25">
      <c r="A231" s="1">
        <v>46008</v>
      </c>
      <c r="B231" s="1">
        <v>46008</v>
      </c>
      <c r="C231" t="s">
        <v>38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 t="s">
        <v>641</v>
      </c>
      <c r="J231" t="s">
        <v>642</v>
      </c>
      <c r="M231" t="s">
        <v>155</v>
      </c>
      <c r="O231" t="s">
        <v>179</v>
      </c>
      <c r="P231" t="s">
        <v>180</v>
      </c>
      <c r="Q231" t="s">
        <v>49</v>
      </c>
      <c r="R231" t="s">
        <v>58</v>
      </c>
      <c r="S231" s="1">
        <v>46023</v>
      </c>
      <c r="U231" t="s">
        <v>51</v>
      </c>
      <c r="X231" t="s">
        <v>52</v>
      </c>
      <c r="Y231" s="2">
        <v>0</v>
      </c>
      <c r="Z231" s="2">
        <v>175</v>
      </c>
      <c r="AA231">
        <v>1</v>
      </c>
      <c r="AB231" s="3">
        <v>1</v>
      </c>
      <c r="AC231" s="2">
        <v>175</v>
      </c>
      <c r="AD231" s="3">
        <v>0</v>
      </c>
      <c r="AE231" s="2">
        <v>0</v>
      </c>
      <c r="AF231" s="2">
        <v>175</v>
      </c>
      <c r="AK231">
        <v>6058476</v>
      </c>
    </row>
    <row r="232" spans="1:37" x14ac:dyDescent="0.25">
      <c r="A232" s="1">
        <v>46008</v>
      </c>
      <c r="B232" s="1">
        <v>46008</v>
      </c>
      <c r="C232" t="s">
        <v>38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t="s">
        <v>643</v>
      </c>
      <c r="J232" t="s">
        <v>644</v>
      </c>
      <c r="M232" t="s">
        <v>46</v>
      </c>
      <c r="O232" t="s">
        <v>94</v>
      </c>
      <c r="P232" t="s">
        <v>95</v>
      </c>
      <c r="Q232" t="s">
        <v>49</v>
      </c>
      <c r="R232" t="s">
        <v>58</v>
      </c>
      <c r="S232" s="1">
        <v>46023</v>
      </c>
      <c r="U232" t="s">
        <v>51</v>
      </c>
      <c r="X232" t="s">
        <v>52</v>
      </c>
      <c r="Y232" s="2">
        <v>0</v>
      </c>
      <c r="Z232" s="2">
        <v>175</v>
      </c>
      <c r="AA232">
        <v>1</v>
      </c>
      <c r="AB232" s="3">
        <v>1</v>
      </c>
      <c r="AC232" s="2">
        <v>175</v>
      </c>
      <c r="AD232" s="3">
        <v>0</v>
      </c>
      <c r="AE232" s="2">
        <v>0</v>
      </c>
      <c r="AF232" s="2">
        <v>175</v>
      </c>
      <c r="AK232">
        <v>6058842</v>
      </c>
    </row>
    <row r="233" spans="1:37" x14ac:dyDescent="0.25">
      <c r="A233" s="1">
        <v>46008</v>
      </c>
      <c r="B233" s="1">
        <v>46008</v>
      </c>
      <c r="C233" t="s">
        <v>38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 t="s">
        <v>645</v>
      </c>
      <c r="J233" t="s">
        <v>646</v>
      </c>
      <c r="M233" t="s">
        <v>46</v>
      </c>
      <c r="O233" t="s">
        <v>452</v>
      </c>
      <c r="P233" t="s">
        <v>453</v>
      </c>
      <c r="Q233" t="s">
        <v>49</v>
      </c>
      <c r="R233" t="s">
        <v>58</v>
      </c>
      <c r="S233" s="1">
        <v>46023</v>
      </c>
      <c r="U233" t="s">
        <v>51</v>
      </c>
      <c r="X233" t="s">
        <v>52</v>
      </c>
      <c r="Y233" s="2">
        <v>0</v>
      </c>
      <c r="Z233" s="2">
        <v>175</v>
      </c>
      <c r="AA233">
        <v>1</v>
      </c>
      <c r="AB233" s="3">
        <v>1</v>
      </c>
      <c r="AC233" s="2">
        <v>175</v>
      </c>
      <c r="AD233" s="3">
        <v>0</v>
      </c>
      <c r="AE233" s="2">
        <v>0</v>
      </c>
      <c r="AF233" s="2">
        <v>175</v>
      </c>
      <c r="AK233">
        <v>6058843</v>
      </c>
    </row>
    <row r="234" spans="1:37" x14ac:dyDescent="0.25">
      <c r="A234" s="1">
        <v>46008</v>
      </c>
      <c r="B234" s="1">
        <v>46008</v>
      </c>
      <c r="C234" t="s">
        <v>38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 t="s">
        <v>647</v>
      </c>
      <c r="J234" t="s">
        <v>648</v>
      </c>
      <c r="M234" t="s">
        <v>46</v>
      </c>
      <c r="O234" t="s">
        <v>66</v>
      </c>
      <c r="P234" t="s">
        <v>67</v>
      </c>
      <c r="Q234" t="s">
        <v>49</v>
      </c>
      <c r="R234" t="s">
        <v>58</v>
      </c>
      <c r="S234" s="1">
        <v>46023</v>
      </c>
      <c r="U234" t="s">
        <v>51</v>
      </c>
      <c r="X234" t="s">
        <v>52</v>
      </c>
      <c r="Y234" s="2">
        <v>0</v>
      </c>
      <c r="Z234" s="2">
        <v>175</v>
      </c>
      <c r="AA234">
        <v>1</v>
      </c>
      <c r="AB234" s="3">
        <v>1</v>
      </c>
      <c r="AC234" s="2">
        <v>175</v>
      </c>
      <c r="AD234" s="3">
        <v>0</v>
      </c>
      <c r="AE234" s="2">
        <v>0</v>
      </c>
      <c r="AF234" s="2">
        <v>175</v>
      </c>
      <c r="AK234">
        <v>6058844</v>
      </c>
    </row>
    <row r="235" spans="1:37" x14ac:dyDescent="0.25">
      <c r="A235" s="1">
        <v>46008</v>
      </c>
      <c r="B235" s="1">
        <v>46008</v>
      </c>
      <c r="C235" t="s">
        <v>38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 t="s">
        <v>649</v>
      </c>
      <c r="J235" t="s">
        <v>650</v>
      </c>
      <c r="M235" t="s">
        <v>46</v>
      </c>
      <c r="O235" t="s">
        <v>66</v>
      </c>
      <c r="P235" t="s">
        <v>67</v>
      </c>
      <c r="Q235" t="s">
        <v>49</v>
      </c>
      <c r="R235" t="s">
        <v>58</v>
      </c>
      <c r="S235" s="1">
        <v>46023</v>
      </c>
      <c r="U235" t="s">
        <v>51</v>
      </c>
      <c r="X235" t="s">
        <v>52</v>
      </c>
      <c r="Y235" s="2">
        <v>0</v>
      </c>
      <c r="Z235" s="2">
        <v>175</v>
      </c>
      <c r="AA235">
        <v>1</v>
      </c>
      <c r="AB235" s="3">
        <v>1</v>
      </c>
      <c r="AC235" s="2">
        <v>175</v>
      </c>
      <c r="AD235" s="3">
        <v>0</v>
      </c>
      <c r="AE235" s="2">
        <v>0</v>
      </c>
      <c r="AF235" s="2">
        <v>175</v>
      </c>
      <c r="AK235">
        <v>6058845</v>
      </c>
    </row>
    <row r="236" spans="1:37" x14ac:dyDescent="0.25">
      <c r="A236" s="1">
        <v>46008</v>
      </c>
      <c r="B236" s="1">
        <v>46008</v>
      </c>
      <c r="C236" t="s">
        <v>38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 t="s">
        <v>651</v>
      </c>
      <c r="J236" t="s">
        <v>652</v>
      </c>
      <c r="M236" t="s">
        <v>46</v>
      </c>
      <c r="O236" t="s">
        <v>83</v>
      </c>
      <c r="P236" t="s">
        <v>84</v>
      </c>
      <c r="Q236" t="s">
        <v>49</v>
      </c>
      <c r="R236" t="s">
        <v>58</v>
      </c>
      <c r="S236" s="1">
        <v>46023</v>
      </c>
      <c r="U236" t="s">
        <v>51</v>
      </c>
      <c r="X236" t="s">
        <v>52</v>
      </c>
      <c r="Y236" s="2">
        <v>0</v>
      </c>
      <c r="Z236" s="2">
        <v>175</v>
      </c>
      <c r="AA236">
        <v>1</v>
      </c>
      <c r="AB236" s="3">
        <v>1</v>
      </c>
      <c r="AC236" s="2">
        <v>175</v>
      </c>
      <c r="AD236" s="3">
        <v>0</v>
      </c>
      <c r="AE236" s="2">
        <v>0</v>
      </c>
      <c r="AF236" s="2">
        <v>175</v>
      </c>
      <c r="AK236">
        <v>6058846</v>
      </c>
    </row>
    <row r="237" spans="1:37" x14ac:dyDescent="0.25">
      <c r="A237" s="1">
        <v>46008</v>
      </c>
      <c r="B237" s="1">
        <v>46008</v>
      </c>
      <c r="C237" t="s">
        <v>38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653</v>
      </c>
      <c r="J237" t="s">
        <v>654</v>
      </c>
      <c r="M237" t="s">
        <v>46</v>
      </c>
      <c r="O237" t="s">
        <v>66</v>
      </c>
      <c r="P237" t="s">
        <v>67</v>
      </c>
      <c r="Q237" t="s">
        <v>49</v>
      </c>
      <c r="R237" t="s">
        <v>58</v>
      </c>
      <c r="S237" s="1">
        <v>46023</v>
      </c>
      <c r="U237" t="s">
        <v>51</v>
      </c>
      <c r="X237" t="s">
        <v>52</v>
      </c>
      <c r="Y237" s="2">
        <v>0</v>
      </c>
      <c r="Z237" s="2">
        <v>175</v>
      </c>
      <c r="AA237">
        <v>1</v>
      </c>
      <c r="AB237" s="3">
        <v>1</v>
      </c>
      <c r="AC237" s="2">
        <v>175</v>
      </c>
      <c r="AD237" s="3">
        <v>0</v>
      </c>
      <c r="AE237" s="2">
        <v>0</v>
      </c>
      <c r="AF237" s="2">
        <v>175</v>
      </c>
      <c r="AK237">
        <v>6058847</v>
      </c>
    </row>
    <row r="238" spans="1:37" x14ac:dyDescent="0.25">
      <c r="A238" s="1">
        <v>46008</v>
      </c>
      <c r="B238" s="1">
        <v>46008</v>
      </c>
      <c r="C238" t="s">
        <v>38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t="s">
        <v>655</v>
      </c>
      <c r="J238" t="s">
        <v>656</v>
      </c>
      <c r="M238" t="s">
        <v>657</v>
      </c>
      <c r="O238" t="s">
        <v>258</v>
      </c>
      <c r="P238" t="s">
        <v>259</v>
      </c>
      <c r="Q238" t="s">
        <v>49</v>
      </c>
      <c r="R238" t="s">
        <v>58</v>
      </c>
      <c r="S238" s="1">
        <v>46023</v>
      </c>
      <c r="U238" t="s">
        <v>51</v>
      </c>
      <c r="X238" t="s">
        <v>52</v>
      </c>
      <c r="Y238" s="2">
        <v>0</v>
      </c>
      <c r="Z238" s="2">
        <v>175</v>
      </c>
      <c r="AA238">
        <v>1</v>
      </c>
      <c r="AB238" s="3">
        <v>1</v>
      </c>
      <c r="AC238" s="2">
        <v>175</v>
      </c>
      <c r="AD238" s="3">
        <v>0</v>
      </c>
      <c r="AE238" s="2">
        <v>0</v>
      </c>
      <c r="AF238" s="2">
        <v>175</v>
      </c>
      <c r="AK238">
        <v>6058478</v>
      </c>
    </row>
    <row r="239" spans="1:37" x14ac:dyDescent="0.25">
      <c r="A239" s="1">
        <v>46008</v>
      </c>
      <c r="B239" s="1">
        <v>46008</v>
      </c>
      <c r="C239" t="s">
        <v>38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t="s">
        <v>658</v>
      </c>
      <c r="J239" t="s">
        <v>659</v>
      </c>
      <c r="M239" t="s">
        <v>46</v>
      </c>
      <c r="O239" t="s">
        <v>135</v>
      </c>
      <c r="P239" t="s">
        <v>136</v>
      </c>
      <c r="Q239" t="s">
        <v>49</v>
      </c>
      <c r="R239" t="s">
        <v>58</v>
      </c>
      <c r="S239" s="1">
        <v>46023</v>
      </c>
      <c r="U239" t="s">
        <v>51</v>
      </c>
      <c r="X239" t="s">
        <v>52</v>
      </c>
      <c r="Y239" s="2">
        <v>0</v>
      </c>
      <c r="Z239" s="2">
        <v>175</v>
      </c>
      <c r="AA239">
        <v>1</v>
      </c>
      <c r="AB239" s="3">
        <v>1</v>
      </c>
      <c r="AC239" s="2">
        <v>175</v>
      </c>
      <c r="AD239" s="3">
        <v>0</v>
      </c>
      <c r="AE239" s="2">
        <v>0</v>
      </c>
      <c r="AF239" s="2">
        <v>175</v>
      </c>
      <c r="AK239">
        <v>6058848</v>
      </c>
    </row>
    <row r="240" spans="1:37" x14ac:dyDescent="0.25">
      <c r="A240" s="1">
        <v>46008</v>
      </c>
      <c r="B240" s="1">
        <v>46008</v>
      </c>
      <c r="C240" t="s">
        <v>38</v>
      </c>
      <c r="D240" t="s">
        <v>39</v>
      </c>
      <c r="E240" t="s">
        <v>40</v>
      </c>
      <c r="F240" t="s">
        <v>41</v>
      </c>
      <c r="G240" t="s">
        <v>42</v>
      </c>
      <c r="H240" t="s">
        <v>43</v>
      </c>
      <c r="I240" t="s">
        <v>660</v>
      </c>
      <c r="J240" t="s">
        <v>661</v>
      </c>
      <c r="M240" t="s">
        <v>189</v>
      </c>
      <c r="O240" t="s">
        <v>266</v>
      </c>
      <c r="P240" t="s">
        <v>267</v>
      </c>
      <c r="Q240" t="s">
        <v>49</v>
      </c>
      <c r="R240" t="s">
        <v>58</v>
      </c>
      <c r="S240" s="1">
        <v>46023</v>
      </c>
      <c r="U240" t="s">
        <v>51</v>
      </c>
      <c r="X240" t="s">
        <v>52</v>
      </c>
      <c r="Y240" s="2">
        <v>0</v>
      </c>
      <c r="Z240" s="2">
        <v>175</v>
      </c>
      <c r="AA240">
        <v>1</v>
      </c>
      <c r="AB240" s="3">
        <v>1</v>
      </c>
      <c r="AC240" s="2">
        <v>175</v>
      </c>
      <c r="AD240" s="3">
        <v>0</v>
      </c>
      <c r="AE240" s="2">
        <v>0</v>
      </c>
      <c r="AF240" s="2">
        <v>175</v>
      </c>
      <c r="AK240">
        <v>6058849</v>
      </c>
    </row>
    <row r="241" spans="1:37" x14ac:dyDescent="0.25">
      <c r="A241" s="1">
        <v>46008</v>
      </c>
      <c r="B241" s="1">
        <v>46008</v>
      </c>
      <c r="C241" t="s">
        <v>38</v>
      </c>
      <c r="D241" t="s">
        <v>39</v>
      </c>
      <c r="E241" t="s">
        <v>40</v>
      </c>
      <c r="F241" t="s">
        <v>41</v>
      </c>
      <c r="G241" t="s">
        <v>42</v>
      </c>
      <c r="H241" t="s">
        <v>43</v>
      </c>
      <c r="I241" t="s">
        <v>662</v>
      </c>
      <c r="J241" t="s">
        <v>663</v>
      </c>
      <c r="M241" t="s">
        <v>46</v>
      </c>
      <c r="O241" t="s">
        <v>74</v>
      </c>
      <c r="P241" t="s">
        <v>75</v>
      </c>
      <c r="Q241" t="s">
        <v>49</v>
      </c>
      <c r="R241" t="s">
        <v>58</v>
      </c>
      <c r="S241" s="1">
        <v>46023</v>
      </c>
      <c r="U241" t="s">
        <v>51</v>
      </c>
      <c r="X241" t="s">
        <v>52</v>
      </c>
      <c r="Y241" s="2">
        <v>0</v>
      </c>
      <c r="Z241" s="2">
        <v>175</v>
      </c>
      <c r="AA241">
        <v>1</v>
      </c>
      <c r="AB241" s="3">
        <v>1</v>
      </c>
      <c r="AC241" s="2">
        <v>175</v>
      </c>
      <c r="AD241" s="3">
        <v>0</v>
      </c>
      <c r="AE241" s="2">
        <v>0</v>
      </c>
      <c r="AF241" s="2">
        <v>175</v>
      </c>
      <c r="AK241">
        <v>6058850</v>
      </c>
    </row>
    <row r="242" spans="1:37" x14ac:dyDescent="0.25">
      <c r="A242" s="1">
        <v>46008</v>
      </c>
      <c r="B242" s="1">
        <v>46008</v>
      </c>
      <c r="C242" t="s">
        <v>38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t="s">
        <v>664</v>
      </c>
      <c r="J242" t="s">
        <v>665</v>
      </c>
      <c r="M242" t="s">
        <v>46</v>
      </c>
      <c r="O242" t="s">
        <v>213</v>
      </c>
      <c r="P242" t="s">
        <v>214</v>
      </c>
      <c r="Q242" t="s">
        <v>49</v>
      </c>
      <c r="R242" t="s">
        <v>58</v>
      </c>
      <c r="S242" s="1">
        <v>46023</v>
      </c>
      <c r="U242" t="s">
        <v>51</v>
      </c>
      <c r="X242" t="s">
        <v>52</v>
      </c>
      <c r="Y242" s="2">
        <v>0</v>
      </c>
      <c r="Z242" s="2">
        <v>175</v>
      </c>
      <c r="AA242">
        <v>1</v>
      </c>
      <c r="AB242" s="3">
        <v>1</v>
      </c>
      <c r="AC242" s="2">
        <v>175</v>
      </c>
      <c r="AD242" s="3">
        <v>0</v>
      </c>
      <c r="AE242" s="2">
        <v>0</v>
      </c>
      <c r="AF242" s="2">
        <v>175</v>
      </c>
      <c r="AK242">
        <v>6058851</v>
      </c>
    </row>
    <row r="243" spans="1:37" x14ac:dyDescent="0.25">
      <c r="A243" s="1">
        <v>46008</v>
      </c>
      <c r="B243" s="1">
        <v>46008</v>
      </c>
      <c r="C243" t="s">
        <v>38</v>
      </c>
      <c r="D243" t="s">
        <v>39</v>
      </c>
      <c r="E243" t="s">
        <v>40</v>
      </c>
      <c r="F243" t="s">
        <v>41</v>
      </c>
      <c r="G243" t="s">
        <v>42</v>
      </c>
      <c r="H243" t="s">
        <v>43</v>
      </c>
      <c r="I243" t="s">
        <v>666</v>
      </c>
      <c r="J243" t="s">
        <v>667</v>
      </c>
      <c r="M243" t="s">
        <v>46</v>
      </c>
      <c r="O243" t="s">
        <v>135</v>
      </c>
      <c r="P243" t="s">
        <v>136</v>
      </c>
      <c r="Q243" t="s">
        <v>49</v>
      </c>
      <c r="R243" t="s">
        <v>58</v>
      </c>
      <c r="S243" s="1">
        <v>46023</v>
      </c>
      <c r="U243" t="s">
        <v>51</v>
      </c>
      <c r="X243" t="s">
        <v>52</v>
      </c>
      <c r="Y243" s="2">
        <v>0</v>
      </c>
      <c r="Z243" s="2">
        <v>175</v>
      </c>
      <c r="AA243">
        <v>1</v>
      </c>
      <c r="AB243" s="3">
        <v>1</v>
      </c>
      <c r="AC243" s="2">
        <v>175</v>
      </c>
      <c r="AD243" s="3">
        <v>0</v>
      </c>
      <c r="AE243" s="2">
        <v>0</v>
      </c>
      <c r="AF243" s="2">
        <v>175</v>
      </c>
      <c r="AK243">
        <v>6058852</v>
      </c>
    </row>
    <row r="244" spans="1:37" x14ac:dyDescent="0.25">
      <c r="A244" s="1">
        <v>46008</v>
      </c>
      <c r="B244" s="1">
        <v>46008</v>
      </c>
      <c r="C244" t="s">
        <v>38</v>
      </c>
      <c r="D244" t="s">
        <v>39</v>
      </c>
      <c r="E244" t="s">
        <v>40</v>
      </c>
      <c r="F244" t="s">
        <v>41</v>
      </c>
      <c r="G244" t="s">
        <v>42</v>
      </c>
      <c r="H244" t="s">
        <v>43</v>
      </c>
      <c r="I244" t="s">
        <v>668</v>
      </c>
      <c r="J244" t="s">
        <v>669</v>
      </c>
      <c r="M244" t="s">
        <v>46</v>
      </c>
      <c r="O244" t="s">
        <v>328</v>
      </c>
      <c r="P244" t="s">
        <v>329</v>
      </c>
      <c r="Q244" t="s">
        <v>49</v>
      </c>
      <c r="R244" t="s">
        <v>58</v>
      </c>
      <c r="S244" s="1">
        <v>46023</v>
      </c>
      <c r="U244" t="s">
        <v>51</v>
      </c>
      <c r="X244" t="s">
        <v>52</v>
      </c>
      <c r="Y244" s="2">
        <v>0</v>
      </c>
      <c r="Z244" s="2">
        <v>175</v>
      </c>
      <c r="AA244">
        <v>1</v>
      </c>
      <c r="AB244" s="3">
        <v>1</v>
      </c>
      <c r="AC244" s="2">
        <v>175</v>
      </c>
      <c r="AD244" s="3">
        <v>0</v>
      </c>
      <c r="AE244" s="2">
        <v>0</v>
      </c>
      <c r="AF244" s="2">
        <v>175</v>
      </c>
      <c r="AK244">
        <v>6058853</v>
      </c>
    </row>
    <row r="245" spans="1:37" x14ac:dyDescent="0.25">
      <c r="A245" s="1">
        <v>46008</v>
      </c>
      <c r="B245" s="1">
        <v>46008</v>
      </c>
      <c r="C245" t="s">
        <v>38</v>
      </c>
      <c r="D245" t="s">
        <v>39</v>
      </c>
      <c r="E245" t="s">
        <v>40</v>
      </c>
      <c r="F245" t="s">
        <v>41</v>
      </c>
      <c r="G245" t="s">
        <v>42</v>
      </c>
      <c r="H245" t="s">
        <v>43</v>
      </c>
      <c r="I245" t="s">
        <v>670</v>
      </c>
      <c r="J245" t="s">
        <v>671</v>
      </c>
      <c r="M245" t="s">
        <v>46</v>
      </c>
      <c r="O245" t="s">
        <v>672</v>
      </c>
      <c r="P245" t="s">
        <v>673</v>
      </c>
      <c r="Q245" t="s">
        <v>49</v>
      </c>
      <c r="R245" t="s">
        <v>58</v>
      </c>
      <c r="S245" s="1">
        <v>46023</v>
      </c>
      <c r="U245" t="s">
        <v>51</v>
      </c>
      <c r="X245" t="s">
        <v>52</v>
      </c>
      <c r="Y245" s="2">
        <v>0</v>
      </c>
      <c r="Z245" s="2">
        <v>175</v>
      </c>
      <c r="AA245">
        <v>1</v>
      </c>
      <c r="AB245" s="3">
        <v>1</v>
      </c>
      <c r="AC245" s="2">
        <v>175</v>
      </c>
      <c r="AD245" s="3">
        <v>0</v>
      </c>
      <c r="AE245" s="2">
        <v>0</v>
      </c>
      <c r="AF245" s="2">
        <v>175</v>
      </c>
      <c r="AK245">
        <v>6058854</v>
      </c>
    </row>
    <row r="246" spans="1:37" x14ac:dyDescent="0.25">
      <c r="A246" s="1">
        <v>46008</v>
      </c>
      <c r="B246" s="1">
        <v>46008</v>
      </c>
      <c r="C246" t="s">
        <v>38</v>
      </c>
      <c r="D246" t="s">
        <v>39</v>
      </c>
      <c r="E246" t="s">
        <v>40</v>
      </c>
      <c r="F246" t="s">
        <v>41</v>
      </c>
      <c r="G246" t="s">
        <v>42</v>
      </c>
      <c r="H246" t="s">
        <v>43</v>
      </c>
      <c r="I246" t="s">
        <v>674</v>
      </c>
      <c r="J246" t="s">
        <v>675</v>
      </c>
      <c r="M246" t="s">
        <v>87</v>
      </c>
      <c r="O246" t="s">
        <v>141</v>
      </c>
      <c r="P246" t="s">
        <v>142</v>
      </c>
      <c r="Q246" t="s">
        <v>49</v>
      </c>
      <c r="R246" t="s">
        <v>58</v>
      </c>
      <c r="S246" s="1">
        <v>46023</v>
      </c>
      <c r="U246" t="s">
        <v>51</v>
      </c>
      <c r="X246" t="s">
        <v>52</v>
      </c>
      <c r="Y246" s="2">
        <v>0</v>
      </c>
      <c r="Z246" s="2">
        <v>175</v>
      </c>
      <c r="AA246">
        <v>1</v>
      </c>
      <c r="AB246" s="3">
        <v>1</v>
      </c>
      <c r="AC246" s="2">
        <v>175</v>
      </c>
      <c r="AD246" s="3">
        <v>0</v>
      </c>
      <c r="AE246" s="2">
        <v>0</v>
      </c>
      <c r="AF246" s="2">
        <v>175</v>
      </c>
      <c r="AK246">
        <v>6058855</v>
      </c>
    </row>
    <row r="247" spans="1:37" x14ac:dyDescent="0.25">
      <c r="A247" s="1">
        <v>46008</v>
      </c>
      <c r="B247" s="1">
        <v>46008</v>
      </c>
      <c r="C247" t="s">
        <v>38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 t="s">
        <v>676</v>
      </c>
      <c r="J247" t="s">
        <v>677</v>
      </c>
      <c r="M247" t="s">
        <v>46</v>
      </c>
      <c r="O247" t="s">
        <v>479</v>
      </c>
      <c r="P247" t="s">
        <v>480</v>
      </c>
      <c r="Q247" t="s">
        <v>49</v>
      </c>
      <c r="R247" t="s">
        <v>58</v>
      </c>
      <c r="S247" s="1">
        <v>46082</v>
      </c>
      <c r="U247" t="s">
        <v>51</v>
      </c>
      <c r="X247" t="s">
        <v>52</v>
      </c>
      <c r="Y247" s="2">
        <v>0</v>
      </c>
      <c r="Z247" s="2">
        <v>175</v>
      </c>
      <c r="AA247">
        <v>1</v>
      </c>
      <c r="AB247" s="3">
        <v>1</v>
      </c>
      <c r="AC247" s="2">
        <v>175</v>
      </c>
      <c r="AD247" s="3">
        <v>0</v>
      </c>
      <c r="AE247" s="2">
        <v>0</v>
      </c>
      <c r="AF247" s="2">
        <v>175</v>
      </c>
      <c r="AK247">
        <v>6058856</v>
      </c>
    </row>
    <row r="248" spans="1:37" x14ac:dyDescent="0.25">
      <c r="A248" s="1">
        <v>46008</v>
      </c>
      <c r="B248" s="1">
        <v>46008</v>
      </c>
      <c r="C248" t="s">
        <v>38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 t="s">
        <v>678</v>
      </c>
      <c r="J248" t="s">
        <v>679</v>
      </c>
      <c r="M248" t="s">
        <v>78</v>
      </c>
      <c r="O248" t="s">
        <v>266</v>
      </c>
      <c r="P248" t="s">
        <v>267</v>
      </c>
      <c r="Q248" t="s">
        <v>49</v>
      </c>
      <c r="R248" t="s">
        <v>58</v>
      </c>
      <c r="S248" s="1">
        <v>46023</v>
      </c>
      <c r="U248" t="s">
        <v>51</v>
      </c>
      <c r="X248" t="s">
        <v>52</v>
      </c>
      <c r="Y248" s="2">
        <v>0</v>
      </c>
      <c r="Z248" s="2">
        <v>175</v>
      </c>
      <c r="AA248">
        <v>1</v>
      </c>
      <c r="AB248" s="3">
        <v>1</v>
      </c>
      <c r="AC248" s="2">
        <v>175</v>
      </c>
      <c r="AD248" s="3">
        <v>0</v>
      </c>
      <c r="AE248" s="2">
        <v>0</v>
      </c>
      <c r="AF248" s="2">
        <v>175</v>
      </c>
      <c r="AK248">
        <v>6058857</v>
      </c>
    </row>
    <row r="249" spans="1:37" x14ac:dyDescent="0.25">
      <c r="A249" s="1">
        <v>46008</v>
      </c>
      <c r="B249" s="1">
        <v>46008</v>
      </c>
      <c r="C249" t="s">
        <v>38</v>
      </c>
      <c r="D249" t="s">
        <v>39</v>
      </c>
      <c r="E249" t="s">
        <v>40</v>
      </c>
      <c r="F249" t="s">
        <v>41</v>
      </c>
      <c r="G249" t="s">
        <v>42</v>
      </c>
      <c r="H249" t="s">
        <v>43</v>
      </c>
      <c r="I249" t="s">
        <v>680</v>
      </c>
      <c r="J249" t="s">
        <v>681</v>
      </c>
      <c r="M249" t="s">
        <v>55</v>
      </c>
      <c r="O249" t="s">
        <v>430</v>
      </c>
      <c r="P249" t="s">
        <v>431</v>
      </c>
      <c r="Q249" t="s">
        <v>49</v>
      </c>
      <c r="R249" t="s">
        <v>58</v>
      </c>
      <c r="S249" s="1">
        <v>46023</v>
      </c>
      <c r="U249" t="s">
        <v>51</v>
      </c>
      <c r="X249" t="s">
        <v>52</v>
      </c>
      <c r="Y249" s="2">
        <v>0</v>
      </c>
      <c r="Z249" s="2">
        <v>175</v>
      </c>
      <c r="AA249">
        <v>1</v>
      </c>
      <c r="AB249" s="3">
        <v>1</v>
      </c>
      <c r="AC249" s="2">
        <v>175</v>
      </c>
      <c r="AD249" s="3">
        <v>0</v>
      </c>
      <c r="AE249" s="2">
        <v>0</v>
      </c>
      <c r="AF249" s="2">
        <v>175</v>
      </c>
      <c r="AK249">
        <v>6058858</v>
      </c>
    </row>
    <row r="250" spans="1:37" x14ac:dyDescent="0.25">
      <c r="A250" s="1">
        <v>46008</v>
      </c>
      <c r="B250" s="1">
        <v>46008</v>
      </c>
      <c r="C250" t="s">
        <v>38</v>
      </c>
      <c r="D250" t="s">
        <v>39</v>
      </c>
      <c r="E250" t="s">
        <v>40</v>
      </c>
      <c r="F250" t="s">
        <v>41</v>
      </c>
      <c r="G250" t="s">
        <v>42</v>
      </c>
      <c r="H250" t="s">
        <v>43</v>
      </c>
      <c r="I250" t="s">
        <v>682</v>
      </c>
      <c r="J250" t="s">
        <v>683</v>
      </c>
      <c r="M250" t="s">
        <v>46</v>
      </c>
      <c r="O250" t="s">
        <v>56</v>
      </c>
      <c r="P250" t="s">
        <v>57</v>
      </c>
      <c r="Q250" t="s">
        <v>49</v>
      </c>
      <c r="R250" t="s">
        <v>58</v>
      </c>
      <c r="S250" s="1">
        <v>46023</v>
      </c>
      <c r="U250" t="s">
        <v>51</v>
      </c>
      <c r="X250" t="s">
        <v>52</v>
      </c>
      <c r="Y250" s="2">
        <v>0</v>
      </c>
      <c r="Z250" s="2">
        <v>175</v>
      </c>
      <c r="AA250">
        <v>1</v>
      </c>
      <c r="AB250" s="3">
        <v>1</v>
      </c>
      <c r="AC250" s="2">
        <v>175</v>
      </c>
      <c r="AD250" s="3">
        <v>0</v>
      </c>
      <c r="AE250" s="2">
        <v>0</v>
      </c>
      <c r="AF250" s="2">
        <v>175</v>
      </c>
      <c r="AK250">
        <v>6058859</v>
      </c>
    </row>
    <row r="251" spans="1:37" x14ac:dyDescent="0.25">
      <c r="A251" s="1">
        <v>46008</v>
      </c>
      <c r="B251" s="1">
        <v>46008</v>
      </c>
      <c r="C251" t="s">
        <v>38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t="s">
        <v>684</v>
      </c>
      <c r="J251" t="s">
        <v>685</v>
      </c>
      <c r="M251" t="s">
        <v>46</v>
      </c>
      <c r="O251" t="s">
        <v>56</v>
      </c>
      <c r="P251" t="s">
        <v>57</v>
      </c>
      <c r="Q251" t="s">
        <v>49</v>
      </c>
      <c r="R251" t="s">
        <v>58</v>
      </c>
      <c r="S251" s="1">
        <v>46023</v>
      </c>
      <c r="U251" t="s">
        <v>51</v>
      </c>
      <c r="X251" t="s">
        <v>52</v>
      </c>
      <c r="Y251" s="2">
        <v>0</v>
      </c>
      <c r="Z251" s="2">
        <v>175</v>
      </c>
      <c r="AA251">
        <v>1</v>
      </c>
      <c r="AB251" s="3">
        <v>1</v>
      </c>
      <c r="AC251" s="2">
        <v>175</v>
      </c>
      <c r="AD251" s="3">
        <v>0</v>
      </c>
      <c r="AE251" s="2">
        <v>0</v>
      </c>
      <c r="AF251" s="2">
        <v>175</v>
      </c>
      <c r="AK251">
        <v>6058862</v>
      </c>
    </row>
    <row r="252" spans="1:37" x14ac:dyDescent="0.25">
      <c r="A252" s="1">
        <v>46008</v>
      </c>
      <c r="B252" s="1">
        <v>46008</v>
      </c>
      <c r="C252" t="s">
        <v>38</v>
      </c>
      <c r="D252" t="s">
        <v>39</v>
      </c>
      <c r="E252" t="s">
        <v>40</v>
      </c>
      <c r="F252" t="s">
        <v>41</v>
      </c>
      <c r="G252" t="s">
        <v>42</v>
      </c>
      <c r="H252" t="s">
        <v>43</v>
      </c>
      <c r="I252" t="s">
        <v>686</v>
      </c>
      <c r="J252" t="s">
        <v>687</v>
      </c>
      <c r="M252" t="s">
        <v>155</v>
      </c>
      <c r="O252" t="s">
        <v>179</v>
      </c>
      <c r="P252" t="s">
        <v>180</v>
      </c>
      <c r="Q252" t="s">
        <v>49</v>
      </c>
      <c r="R252" t="s">
        <v>58</v>
      </c>
      <c r="S252" s="1">
        <v>46023</v>
      </c>
      <c r="U252" t="s">
        <v>51</v>
      </c>
      <c r="X252" t="s">
        <v>52</v>
      </c>
      <c r="Y252" s="2">
        <v>0</v>
      </c>
      <c r="Z252" s="2">
        <v>175</v>
      </c>
      <c r="AA252">
        <v>1</v>
      </c>
      <c r="AB252" s="3">
        <v>1</v>
      </c>
      <c r="AC252" s="2">
        <v>175</v>
      </c>
      <c r="AD252" s="3">
        <v>0</v>
      </c>
      <c r="AE252" s="2">
        <v>0</v>
      </c>
      <c r="AF252" s="2">
        <v>175</v>
      </c>
      <c r="AK252">
        <v>6058490</v>
      </c>
    </row>
    <row r="253" spans="1:37" x14ac:dyDescent="0.25">
      <c r="A253" s="1">
        <v>46008</v>
      </c>
      <c r="B253" s="1">
        <v>46008</v>
      </c>
      <c r="C253" t="s">
        <v>38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 t="s">
        <v>688</v>
      </c>
      <c r="J253" t="s">
        <v>689</v>
      </c>
      <c r="M253" t="s">
        <v>46</v>
      </c>
      <c r="O253" t="s">
        <v>258</v>
      </c>
      <c r="P253" t="s">
        <v>259</v>
      </c>
      <c r="Q253" t="s">
        <v>49</v>
      </c>
      <c r="R253" t="s">
        <v>58</v>
      </c>
      <c r="S253" s="1">
        <v>46023</v>
      </c>
      <c r="U253" t="s">
        <v>51</v>
      </c>
      <c r="X253" t="s">
        <v>52</v>
      </c>
      <c r="Y253" s="2">
        <v>0</v>
      </c>
      <c r="Z253" s="2">
        <v>175</v>
      </c>
      <c r="AA253">
        <v>1</v>
      </c>
      <c r="AB253" s="3">
        <v>1</v>
      </c>
      <c r="AC253" s="2">
        <v>175</v>
      </c>
      <c r="AD253" s="3">
        <v>0</v>
      </c>
      <c r="AE253" s="2">
        <v>0</v>
      </c>
      <c r="AF253" s="2">
        <v>175</v>
      </c>
      <c r="AK253">
        <v>6058491</v>
      </c>
    </row>
    <row r="254" spans="1:37" x14ac:dyDescent="0.25">
      <c r="A254" s="1">
        <v>46008</v>
      </c>
      <c r="B254" s="1">
        <v>46008</v>
      </c>
      <c r="C254" t="s">
        <v>38</v>
      </c>
      <c r="D254" t="s">
        <v>39</v>
      </c>
      <c r="E254" t="s">
        <v>40</v>
      </c>
      <c r="F254" t="s">
        <v>41</v>
      </c>
      <c r="G254" t="s">
        <v>42</v>
      </c>
      <c r="H254" t="s">
        <v>43</v>
      </c>
      <c r="I254" t="s">
        <v>690</v>
      </c>
      <c r="J254" t="s">
        <v>691</v>
      </c>
      <c r="M254" t="s">
        <v>46</v>
      </c>
      <c r="O254" t="s">
        <v>66</v>
      </c>
      <c r="P254" t="s">
        <v>67</v>
      </c>
      <c r="Q254" t="s">
        <v>49</v>
      </c>
      <c r="R254" t="s">
        <v>58</v>
      </c>
      <c r="S254" s="1">
        <v>46023</v>
      </c>
      <c r="U254" t="s">
        <v>51</v>
      </c>
      <c r="X254" t="s">
        <v>52</v>
      </c>
      <c r="Y254" s="2">
        <v>0</v>
      </c>
      <c r="Z254" s="2">
        <v>175</v>
      </c>
      <c r="AA254">
        <v>1</v>
      </c>
      <c r="AB254" s="3">
        <v>1</v>
      </c>
      <c r="AC254" s="2">
        <v>175</v>
      </c>
      <c r="AD254" s="3">
        <v>0</v>
      </c>
      <c r="AE254" s="2">
        <v>0</v>
      </c>
      <c r="AF254" s="2">
        <v>175</v>
      </c>
      <c r="AK254">
        <v>6058863</v>
      </c>
    </row>
    <row r="255" spans="1:37" x14ac:dyDescent="0.25">
      <c r="A255" s="1">
        <v>46008</v>
      </c>
      <c r="B255" s="1">
        <v>46008</v>
      </c>
      <c r="C255" t="s">
        <v>38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 t="s">
        <v>692</v>
      </c>
      <c r="J255" t="s">
        <v>693</v>
      </c>
      <c r="M255" t="s">
        <v>217</v>
      </c>
      <c r="O255" t="s">
        <v>340</v>
      </c>
      <c r="P255" t="s">
        <v>341</v>
      </c>
      <c r="Q255" t="s">
        <v>49</v>
      </c>
      <c r="R255" t="s">
        <v>58</v>
      </c>
      <c r="S255" s="1">
        <v>46023</v>
      </c>
      <c r="U255" t="s">
        <v>51</v>
      </c>
      <c r="X255" t="s">
        <v>52</v>
      </c>
      <c r="Y255" s="2">
        <v>0</v>
      </c>
      <c r="Z255" s="2">
        <v>175</v>
      </c>
      <c r="AA255">
        <v>1</v>
      </c>
      <c r="AB255" s="3">
        <v>1</v>
      </c>
      <c r="AC255" s="2">
        <v>175</v>
      </c>
      <c r="AD255" s="3">
        <v>0</v>
      </c>
      <c r="AE255" s="2">
        <v>0</v>
      </c>
      <c r="AF255" s="2">
        <v>175</v>
      </c>
      <c r="AK255">
        <v>6058866</v>
      </c>
    </row>
    <row r="256" spans="1:37" x14ac:dyDescent="0.25">
      <c r="A256" s="1">
        <v>46008</v>
      </c>
      <c r="B256" s="1">
        <v>46008</v>
      </c>
      <c r="C256" t="s">
        <v>38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t="s">
        <v>694</v>
      </c>
      <c r="J256" t="s">
        <v>695</v>
      </c>
      <c r="M256" t="s">
        <v>46</v>
      </c>
      <c r="O256" t="s">
        <v>66</v>
      </c>
      <c r="P256" t="s">
        <v>67</v>
      </c>
      <c r="Q256" t="s">
        <v>49</v>
      </c>
      <c r="R256" t="s">
        <v>58</v>
      </c>
      <c r="S256" s="1">
        <v>46023</v>
      </c>
      <c r="U256" t="s">
        <v>51</v>
      </c>
      <c r="X256" t="s">
        <v>52</v>
      </c>
      <c r="Y256" s="2">
        <v>0</v>
      </c>
      <c r="Z256" s="2">
        <v>175</v>
      </c>
      <c r="AA256">
        <v>1</v>
      </c>
      <c r="AB256" s="3">
        <v>1</v>
      </c>
      <c r="AC256" s="2">
        <v>175</v>
      </c>
      <c r="AD256" s="3">
        <v>0</v>
      </c>
      <c r="AE256" s="2">
        <v>0</v>
      </c>
      <c r="AF256" s="2">
        <v>175</v>
      </c>
      <c r="AK256">
        <v>6058867</v>
      </c>
    </row>
    <row r="257" spans="1:37" x14ac:dyDescent="0.25">
      <c r="A257" s="1">
        <v>46008</v>
      </c>
      <c r="B257" s="1">
        <v>46008</v>
      </c>
      <c r="C257" t="s">
        <v>38</v>
      </c>
      <c r="D257" t="s">
        <v>39</v>
      </c>
      <c r="E257" t="s">
        <v>40</v>
      </c>
      <c r="F257" t="s">
        <v>41</v>
      </c>
      <c r="G257" t="s">
        <v>42</v>
      </c>
      <c r="H257" t="s">
        <v>43</v>
      </c>
      <c r="I257" t="s">
        <v>696</v>
      </c>
      <c r="J257" t="s">
        <v>697</v>
      </c>
      <c r="M257" t="s">
        <v>46</v>
      </c>
      <c r="O257" t="s">
        <v>66</v>
      </c>
      <c r="P257" t="s">
        <v>67</v>
      </c>
      <c r="Q257" t="s">
        <v>49</v>
      </c>
      <c r="R257" t="s">
        <v>58</v>
      </c>
      <c r="S257" s="1">
        <v>46023</v>
      </c>
      <c r="U257" t="s">
        <v>51</v>
      </c>
      <c r="X257" t="s">
        <v>52</v>
      </c>
      <c r="Y257" s="2">
        <v>0</v>
      </c>
      <c r="Z257" s="2">
        <v>175</v>
      </c>
      <c r="AA257">
        <v>1</v>
      </c>
      <c r="AB257" s="3">
        <v>1</v>
      </c>
      <c r="AC257" s="2">
        <v>175</v>
      </c>
      <c r="AD257" s="3">
        <v>0</v>
      </c>
      <c r="AE257" s="2">
        <v>0</v>
      </c>
      <c r="AF257" s="2">
        <v>175</v>
      </c>
      <c r="AK257">
        <v>6058868</v>
      </c>
    </row>
    <row r="258" spans="1:37" x14ac:dyDescent="0.25">
      <c r="A258" s="1">
        <v>46008</v>
      </c>
      <c r="B258" s="1">
        <v>46008</v>
      </c>
      <c r="C258" t="s">
        <v>38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 t="s">
        <v>698</v>
      </c>
      <c r="J258" t="s">
        <v>699</v>
      </c>
      <c r="M258" t="s">
        <v>46</v>
      </c>
      <c r="O258" t="s">
        <v>66</v>
      </c>
      <c r="P258" t="s">
        <v>67</v>
      </c>
      <c r="Q258" t="s">
        <v>49</v>
      </c>
      <c r="R258" t="s">
        <v>58</v>
      </c>
      <c r="S258" s="1">
        <v>46023</v>
      </c>
      <c r="U258" t="s">
        <v>51</v>
      </c>
      <c r="X258" t="s">
        <v>52</v>
      </c>
      <c r="Y258" s="2">
        <v>0</v>
      </c>
      <c r="Z258" s="2">
        <v>175</v>
      </c>
      <c r="AA258">
        <v>1</v>
      </c>
      <c r="AB258" s="3">
        <v>1</v>
      </c>
      <c r="AC258" s="2">
        <v>175</v>
      </c>
      <c r="AD258" s="3">
        <v>0</v>
      </c>
      <c r="AE258" s="2">
        <v>0</v>
      </c>
      <c r="AF258" s="2">
        <v>175</v>
      </c>
      <c r="AK258">
        <v>6058869</v>
      </c>
    </row>
    <row r="259" spans="1:37" x14ac:dyDescent="0.25">
      <c r="A259" s="1">
        <v>46008</v>
      </c>
      <c r="B259" s="1">
        <v>46008</v>
      </c>
      <c r="C259" t="s">
        <v>38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 t="s">
        <v>700</v>
      </c>
      <c r="J259" t="s">
        <v>701</v>
      </c>
      <c r="M259" t="s">
        <v>155</v>
      </c>
      <c r="O259" t="s">
        <v>179</v>
      </c>
      <c r="P259" t="s">
        <v>180</v>
      </c>
      <c r="Q259" t="s">
        <v>49</v>
      </c>
      <c r="R259" t="s">
        <v>58</v>
      </c>
      <c r="S259" s="1">
        <v>46023</v>
      </c>
      <c r="U259" t="s">
        <v>51</v>
      </c>
      <c r="X259" t="s">
        <v>52</v>
      </c>
      <c r="Y259" s="2">
        <v>0</v>
      </c>
      <c r="Z259" s="2">
        <v>175</v>
      </c>
      <c r="AA259">
        <v>1</v>
      </c>
      <c r="AB259" s="3">
        <v>1</v>
      </c>
      <c r="AC259" s="2">
        <v>175</v>
      </c>
      <c r="AD259" s="3">
        <v>0</v>
      </c>
      <c r="AE259" s="2">
        <v>0</v>
      </c>
      <c r="AF259" s="2">
        <v>175</v>
      </c>
      <c r="AK259">
        <v>6058493</v>
      </c>
    </row>
    <row r="260" spans="1:37" x14ac:dyDescent="0.25">
      <c r="A260" s="1">
        <v>46008</v>
      </c>
      <c r="B260" s="1">
        <v>46008</v>
      </c>
      <c r="C260" t="s">
        <v>38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 t="s">
        <v>702</v>
      </c>
      <c r="J260" t="s">
        <v>703</v>
      </c>
      <c r="M260" t="s">
        <v>46</v>
      </c>
      <c r="O260" t="s">
        <v>213</v>
      </c>
      <c r="P260" t="s">
        <v>214</v>
      </c>
      <c r="Q260" t="s">
        <v>49</v>
      </c>
      <c r="R260" t="s">
        <v>58</v>
      </c>
      <c r="S260" s="1">
        <v>46023</v>
      </c>
      <c r="U260" t="s">
        <v>51</v>
      </c>
      <c r="X260" t="s">
        <v>52</v>
      </c>
      <c r="Y260" s="2">
        <v>0</v>
      </c>
      <c r="Z260" s="2">
        <v>175</v>
      </c>
      <c r="AA260">
        <v>1</v>
      </c>
      <c r="AB260" s="3">
        <v>1</v>
      </c>
      <c r="AC260" s="2">
        <v>175</v>
      </c>
      <c r="AD260" s="3">
        <v>0</v>
      </c>
      <c r="AE260" s="2">
        <v>0</v>
      </c>
      <c r="AF260" s="2">
        <v>175</v>
      </c>
      <c r="AK260">
        <v>6058870</v>
      </c>
    </row>
    <row r="261" spans="1:37" x14ac:dyDescent="0.25">
      <c r="A261" s="1">
        <v>46008</v>
      </c>
      <c r="B261" s="1">
        <v>46008</v>
      </c>
      <c r="C261" t="s">
        <v>38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t="s">
        <v>704</v>
      </c>
      <c r="J261" t="s">
        <v>705</v>
      </c>
      <c r="M261" t="s">
        <v>46</v>
      </c>
      <c r="O261" t="s">
        <v>452</v>
      </c>
      <c r="P261" t="s">
        <v>453</v>
      </c>
      <c r="Q261" t="s">
        <v>49</v>
      </c>
      <c r="R261" t="s">
        <v>58</v>
      </c>
      <c r="S261" s="1">
        <v>46023</v>
      </c>
      <c r="U261" t="s">
        <v>51</v>
      </c>
      <c r="X261" t="s">
        <v>52</v>
      </c>
      <c r="Y261" s="2">
        <v>0</v>
      </c>
      <c r="Z261" s="2">
        <v>175</v>
      </c>
      <c r="AA261">
        <v>1</v>
      </c>
      <c r="AB261" s="3">
        <v>1</v>
      </c>
      <c r="AC261" s="2">
        <v>175</v>
      </c>
      <c r="AD261" s="3">
        <v>0</v>
      </c>
      <c r="AE261" s="2">
        <v>0</v>
      </c>
      <c r="AF261" s="2">
        <v>175</v>
      </c>
      <c r="AK261">
        <v>6058871</v>
      </c>
    </row>
    <row r="262" spans="1:37" x14ac:dyDescent="0.25">
      <c r="A262" s="1">
        <v>46008</v>
      </c>
      <c r="B262" s="1">
        <v>46008</v>
      </c>
      <c r="C262" t="s">
        <v>38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706</v>
      </c>
      <c r="J262" t="s">
        <v>707</v>
      </c>
      <c r="M262" t="s">
        <v>46</v>
      </c>
      <c r="O262" t="s">
        <v>238</v>
      </c>
      <c r="P262" t="s">
        <v>239</v>
      </c>
      <c r="Q262" t="s">
        <v>49</v>
      </c>
      <c r="R262" t="s">
        <v>58</v>
      </c>
      <c r="S262" s="1">
        <v>46023</v>
      </c>
      <c r="U262" t="s">
        <v>51</v>
      </c>
      <c r="X262" t="s">
        <v>52</v>
      </c>
      <c r="Y262" s="2">
        <v>0</v>
      </c>
      <c r="Z262" s="2">
        <v>175</v>
      </c>
      <c r="AA262">
        <v>1</v>
      </c>
      <c r="AB262" s="3">
        <v>1</v>
      </c>
      <c r="AC262" s="2">
        <v>175</v>
      </c>
      <c r="AD262" s="3">
        <v>0</v>
      </c>
      <c r="AE262" s="2">
        <v>0</v>
      </c>
      <c r="AF262" s="2">
        <v>175</v>
      </c>
      <c r="AK262">
        <v>6058600</v>
      </c>
    </row>
    <row r="263" spans="1:37" x14ac:dyDescent="0.25">
      <c r="A263" s="1">
        <v>46008</v>
      </c>
      <c r="B263" s="1">
        <v>46008</v>
      </c>
      <c r="C263" t="s">
        <v>38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708</v>
      </c>
      <c r="J263" t="s">
        <v>709</v>
      </c>
      <c r="M263" t="s">
        <v>46</v>
      </c>
      <c r="O263" t="s">
        <v>47</v>
      </c>
      <c r="P263" t="s">
        <v>48</v>
      </c>
      <c r="Q263" t="s">
        <v>49</v>
      </c>
      <c r="R263" t="s">
        <v>58</v>
      </c>
      <c r="S263" s="1">
        <v>46023</v>
      </c>
      <c r="U263" t="s">
        <v>51</v>
      </c>
      <c r="X263" t="s">
        <v>52</v>
      </c>
      <c r="Y263" s="2">
        <v>0</v>
      </c>
      <c r="Z263" s="2">
        <v>175</v>
      </c>
      <c r="AA263">
        <v>1</v>
      </c>
      <c r="AB263" s="3">
        <v>1</v>
      </c>
      <c r="AC263" s="2">
        <v>175</v>
      </c>
      <c r="AD263" s="3">
        <v>0</v>
      </c>
      <c r="AE263" s="2">
        <v>0</v>
      </c>
      <c r="AF263" s="2">
        <v>175</v>
      </c>
      <c r="AK263">
        <v>6058601</v>
      </c>
    </row>
    <row r="264" spans="1:37" x14ac:dyDescent="0.25">
      <c r="A264" s="1">
        <v>46008</v>
      </c>
      <c r="B264" s="1">
        <v>46008</v>
      </c>
      <c r="C264" t="s">
        <v>38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710</v>
      </c>
      <c r="J264" t="s">
        <v>711</v>
      </c>
      <c r="M264" t="s">
        <v>87</v>
      </c>
      <c r="O264" t="s">
        <v>141</v>
      </c>
      <c r="P264" t="s">
        <v>142</v>
      </c>
      <c r="Q264" t="s">
        <v>49</v>
      </c>
      <c r="R264" t="s">
        <v>58</v>
      </c>
      <c r="S264" s="1">
        <v>46023</v>
      </c>
      <c r="U264" t="s">
        <v>51</v>
      </c>
      <c r="X264" t="s">
        <v>52</v>
      </c>
      <c r="Y264" s="2">
        <v>0</v>
      </c>
      <c r="Z264" s="2">
        <v>175</v>
      </c>
      <c r="AA264">
        <v>1</v>
      </c>
      <c r="AB264" s="3">
        <v>1</v>
      </c>
      <c r="AC264" s="2">
        <v>175</v>
      </c>
      <c r="AD264" s="3">
        <v>0</v>
      </c>
      <c r="AE264" s="2">
        <v>0</v>
      </c>
      <c r="AF264" s="2">
        <v>175</v>
      </c>
      <c r="AK264">
        <v>6058602</v>
      </c>
    </row>
    <row r="265" spans="1:37" x14ac:dyDescent="0.25">
      <c r="A265" s="1">
        <v>46008</v>
      </c>
      <c r="B265" s="1">
        <v>46008</v>
      </c>
      <c r="C265" t="s">
        <v>38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t="s">
        <v>712</v>
      </c>
      <c r="J265" t="s">
        <v>713</v>
      </c>
      <c r="M265" t="s">
        <v>46</v>
      </c>
      <c r="O265" t="s">
        <v>714</v>
      </c>
      <c r="P265" t="s">
        <v>715</v>
      </c>
      <c r="Q265" t="s">
        <v>49</v>
      </c>
      <c r="R265" t="s">
        <v>58</v>
      </c>
      <c r="S265" s="1">
        <v>46023</v>
      </c>
      <c r="U265" t="s">
        <v>51</v>
      </c>
      <c r="X265" t="s">
        <v>52</v>
      </c>
      <c r="Y265" s="2">
        <v>0</v>
      </c>
      <c r="Z265" s="2">
        <v>175</v>
      </c>
      <c r="AA265">
        <v>1</v>
      </c>
      <c r="AB265" s="3">
        <v>1</v>
      </c>
      <c r="AC265" s="2">
        <v>175</v>
      </c>
      <c r="AD265" s="3">
        <v>0</v>
      </c>
      <c r="AE265" s="2">
        <v>0</v>
      </c>
      <c r="AF265" s="2">
        <v>175</v>
      </c>
      <c r="AK265">
        <v>6058604</v>
      </c>
    </row>
    <row r="266" spans="1:37" x14ac:dyDescent="0.25">
      <c r="A266" s="1">
        <v>46008</v>
      </c>
      <c r="B266" s="1">
        <v>46008</v>
      </c>
      <c r="C266" t="s">
        <v>38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716</v>
      </c>
      <c r="J266" t="s">
        <v>717</v>
      </c>
      <c r="M266" t="s">
        <v>87</v>
      </c>
      <c r="O266" t="s">
        <v>141</v>
      </c>
      <c r="P266" t="s">
        <v>142</v>
      </c>
      <c r="Q266" t="s">
        <v>49</v>
      </c>
      <c r="R266" t="s">
        <v>58</v>
      </c>
      <c r="S266" s="1">
        <v>46023</v>
      </c>
      <c r="U266" t="s">
        <v>51</v>
      </c>
      <c r="X266" t="s">
        <v>52</v>
      </c>
      <c r="Y266" s="2">
        <v>0</v>
      </c>
      <c r="Z266" s="2">
        <v>175</v>
      </c>
      <c r="AA266">
        <v>1</v>
      </c>
      <c r="AB266" s="3">
        <v>1</v>
      </c>
      <c r="AC266" s="2">
        <v>175</v>
      </c>
      <c r="AD266" s="3">
        <v>0</v>
      </c>
      <c r="AE266" s="2">
        <v>0</v>
      </c>
      <c r="AF266" s="2">
        <v>175</v>
      </c>
      <c r="AK266">
        <v>6058605</v>
      </c>
    </row>
    <row r="267" spans="1:37" x14ac:dyDescent="0.25">
      <c r="A267" s="1">
        <v>46008</v>
      </c>
      <c r="B267" s="1">
        <v>46008</v>
      </c>
      <c r="C267" t="s">
        <v>38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 t="s">
        <v>718</v>
      </c>
      <c r="J267" t="s">
        <v>719</v>
      </c>
      <c r="M267" t="s">
        <v>46</v>
      </c>
      <c r="O267" t="s">
        <v>147</v>
      </c>
      <c r="P267" t="s">
        <v>148</v>
      </c>
      <c r="Q267" t="s">
        <v>49</v>
      </c>
      <c r="R267" t="s">
        <v>58</v>
      </c>
      <c r="S267" s="1">
        <v>46023</v>
      </c>
      <c r="U267" t="s">
        <v>51</v>
      </c>
      <c r="X267" t="s">
        <v>52</v>
      </c>
      <c r="Y267" s="2">
        <v>0</v>
      </c>
      <c r="Z267" s="2">
        <v>175</v>
      </c>
      <c r="AA267">
        <v>1</v>
      </c>
      <c r="AB267" s="3">
        <v>1</v>
      </c>
      <c r="AC267" s="2">
        <v>175</v>
      </c>
      <c r="AD267" s="3">
        <v>0</v>
      </c>
      <c r="AE267" s="2">
        <v>0</v>
      </c>
      <c r="AF267" s="2">
        <v>175</v>
      </c>
      <c r="AK267">
        <v>6058606</v>
      </c>
    </row>
    <row r="268" spans="1:37" x14ac:dyDescent="0.25">
      <c r="A268" s="1">
        <v>46008</v>
      </c>
      <c r="B268" s="1">
        <v>46008</v>
      </c>
      <c r="C268" t="s">
        <v>38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720</v>
      </c>
      <c r="J268" t="s">
        <v>721</v>
      </c>
      <c r="M268" t="s">
        <v>46</v>
      </c>
      <c r="O268" t="s">
        <v>74</v>
      </c>
      <c r="P268" t="s">
        <v>75</v>
      </c>
      <c r="Q268" t="s">
        <v>49</v>
      </c>
      <c r="R268" t="s">
        <v>58</v>
      </c>
      <c r="S268" s="1">
        <v>46023</v>
      </c>
      <c r="U268" t="s">
        <v>51</v>
      </c>
      <c r="X268" t="s">
        <v>52</v>
      </c>
      <c r="Y268" s="2">
        <v>0</v>
      </c>
      <c r="Z268" s="2">
        <v>175</v>
      </c>
      <c r="AA268">
        <v>1</v>
      </c>
      <c r="AB268" s="3">
        <v>1</v>
      </c>
      <c r="AC268" s="2">
        <v>175</v>
      </c>
      <c r="AD268" s="3">
        <v>0</v>
      </c>
      <c r="AE268" s="2">
        <v>0</v>
      </c>
      <c r="AF268" s="2">
        <v>175</v>
      </c>
      <c r="AK268">
        <v>6058607</v>
      </c>
    </row>
    <row r="269" spans="1:37" x14ac:dyDescent="0.25">
      <c r="A269" s="1">
        <v>46008</v>
      </c>
      <c r="B269" s="1">
        <v>46008</v>
      </c>
      <c r="C269" t="s">
        <v>38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 t="s">
        <v>722</v>
      </c>
      <c r="J269" t="s">
        <v>723</v>
      </c>
      <c r="M269" t="s">
        <v>46</v>
      </c>
      <c r="O269" t="s">
        <v>47</v>
      </c>
      <c r="P269" t="s">
        <v>48</v>
      </c>
      <c r="Q269" t="s">
        <v>49</v>
      </c>
      <c r="R269" t="s">
        <v>58</v>
      </c>
      <c r="S269" s="1">
        <v>46023</v>
      </c>
      <c r="U269" t="s">
        <v>51</v>
      </c>
      <c r="X269" t="s">
        <v>52</v>
      </c>
      <c r="Y269" s="2">
        <v>0</v>
      </c>
      <c r="Z269" s="2">
        <v>175</v>
      </c>
      <c r="AA269">
        <v>1</v>
      </c>
      <c r="AB269" s="3">
        <v>1</v>
      </c>
      <c r="AC269" s="2">
        <v>175</v>
      </c>
      <c r="AD269" s="3">
        <v>0</v>
      </c>
      <c r="AE269" s="2">
        <v>0</v>
      </c>
      <c r="AF269" s="2">
        <v>175</v>
      </c>
      <c r="AK269">
        <v>6058608</v>
      </c>
    </row>
    <row r="270" spans="1:37" x14ac:dyDescent="0.25">
      <c r="A270" s="1">
        <v>46008</v>
      </c>
      <c r="B270" s="1">
        <v>46008</v>
      </c>
      <c r="C270" t="s">
        <v>38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t="s">
        <v>724</v>
      </c>
      <c r="J270" t="s">
        <v>725</v>
      </c>
      <c r="M270" t="s">
        <v>46</v>
      </c>
      <c r="O270" t="s">
        <v>258</v>
      </c>
      <c r="P270" t="s">
        <v>259</v>
      </c>
      <c r="Q270" t="s">
        <v>49</v>
      </c>
      <c r="R270" t="s">
        <v>58</v>
      </c>
      <c r="S270" s="1">
        <v>46023</v>
      </c>
      <c r="U270" t="s">
        <v>51</v>
      </c>
      <c r="X270" t="s">
        <v>52</v>
      </c>
      <c r="Y270" s="2">
        <v>0</v>
      </c>
      <c r="Z270" s="2">
        <v>175</v>
      </c>
      <c r="AA270">
        <v>1</v>
      </c>
      <c r="AB270" s="3">
        <v>1</v>
      </c>
      <c r="AC270" s="2">
        <v>175</v>
      </c>
      <c r="AD270" s="3">
        <v>0</v>
      </c>
      <c r="AE270" s="2">
        <v>0</v>
      </c>
      <c r="AF270" s="2">
        <v>175</v>
      </c>
      <c r="AK270">
        <v>6058385</v>
      </c>
    </row>
    <row r="271" spans="1:37" x14ac:dyDescent="0.25">
      <c r="A271" s="1">
        <v>46008</v>
      </c>
      <c r="B271" s="1">
        <v>46008</v>
      </c>
      <c r="C271" t="s">
        <v>38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 t="s">
        <v>726</v>
      </c>
      <c r="J271" t="s">
        <v>727</v>
      </c>
      <c r="M271" t="s">
        <v>46</v>
      </c>
      <c r="O271" t="s">
        <v>320</v>
      </c>
      <c r="P271" t="s">
        <v>321</v>
      </c>
      <c r="Q271" t="s">
        <v>49</v>
      </c>
      <c r="R271" t="s">
        <v>58</v>
      </c>
      <c r="S271" s="1">
        <v>46023</v>
      </c>
      <c r="U271" t="s">
        <v>51</v>
      </c>
      <c r="X271" t="s">
        <v>52</v>
      </c>
      <c r="Y271" s="2">
        <v>0</v>
      </c>
      <c r="Z271" s="2">
        <v>175</v>
      </c>
      <c r="AA271">
        <v>1</v>
      </c>
      <c r="AB271" s="3">
        <v>1</v>
      </c>
      <c r="AC271" s="2">
        <v>175</v>
      </c>
      <c r="AD271" s="3">
        <v>0</v>
      </c>
      <c r="AE271" s="2">
        <v>0</v>
      </c>
      <c r="AF271" s="2">
        <v>175</v>
      </c>
      <c r="AK271">
        <v>6058609</v>
      </c>
    </row>
    <row r="272" spans="1:37" x14ac:dyDescent="0.25">
      <c r="A272" s="1">
        <v>46008</v>
      </c>
      <c r="B272" s="1">
        <v>46008</v>
      </c>
      <c r="C272" t="s">
        <v>38</v>
      </c>
      <c r="D272" t="s">
        <v>39</v>
      </c>
      <c r="E272" t="s">
        <v>40</v>
      </c>
      <c r="F272" t="s">
        <v>41</v>
      </c>
      <c r="G272" t="s">
        <v>42</v>
      </c>
      <c r="H272" t="s">
        <v>43</v>
      </c>
      <c r="I272" t="s">
        <v>728</v>
      </c>
      <c r="J272" t="s">
        <v>729</v>
      </c>
      <c r="M272" t="s">
        <v>87</v>
      </c>
      <c r="O272" t="s">
        <v>141</v>
      </c>
      <c r="P272" t="s">
        <v>142</v>
      </c>
      <c r="Q272" t="s">
        <v>49</v>
      </c>
      <c r="R272" t="s">
        <v>58</v>
      </c>
      <c r="S272" s="1">
        <v>46023</v>
      </c>
      <c r="U272" t="s">
        <v>51</v>
      </c>
      <c r="X272" t="s">
        <v>52</v>
      </c>
      <c r="Y272" s="2">
        <v>0</v>
      </c>
      <c r="Z272" s="2">
        <v>175</v>
      </c>
      <c r="AA272">
        <v>1</v>
      </c>
      <c r="AB272" s="3">
        <v>1</v>
      </c>
      <c r="AC272" s="2">
        <v>175</v>
      </c>
      <c r="AD272" s="3">
        <v>0</v>
      </c>
      <c r="AE272" s="2">
        <v>0</v>
      </c>
      <c r="AF272" s="2">
        <v>175</v>
      </c>
      <c r="AK272">
        <v>6058610</v>
      </c>
    </row>
    <row r="273" spans="1:37" x14ac:dyDescent="0.25">
      <c r="A273" s="1">
        <v>46008</v>
      </c>
      <c r="B273" s="1">
        <v>46008</v>
      </c>
      <c r="C273" t="s">
        <v>38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 t="s">
        <v>730</v>
      </c>
      <c r="J273" t="s">
        <v>731</v>
      </c>
      <c r="M273" t="s">
        <v>46</v>
      </c>
      <c r="O273" t="s">
        <v>74</v>
      </c>
      <c r="P273" t="s">
        <v>75</v>
      </c>
      <c r="Q273" t="s">
        <v>49</v>
      </c>
      <c r="R273" t="s">
        <v>58</v>
      </c>
      <c r="S273" s="1">
        <v>46023</v>
      </c>
      <c r="U273" t="s">
        <v>51</v>
      </c>
      <c r="X273" t="s">
        <v>52</v>
      </c>
      <c r="Y273" s="2">
        <v>0</v>
      </c>
      <c r="Z273" s="2">
        <v>175</v>
      </c>
      <c r="AA273">
        <v>1</v>
      </c>
      <c r="AB273" s="3">
        <v>1</v>
      </c>
      <c r="AC273" s="2">
        <v>175</v>
      </c>
      <c r="AD273" s="3">
        <v>0</v>
      </c>
      <c r="AE273" s="2">
        <v>0</v>
      </c>
      <c r="AF273" s="2">
        <v>175</v>
      </c>
      <c r="AK273">
        <v>6058611</v>
      </c>
    </row>
    <row r="274" spans="1:37" x14ac:dyDescent="0.25">
      <c r="A274" s="1">
        <v>46008</v>
      </c>
      <c r="B274" s="1">
        <v>46008</v>
      </c>
      <c r="C274" t="s">
        <v>38</v>
      </c>
      <c r="D274" t="s">
        <v>39</v>
      </c>
      <c r="E274" t="s">
        <v>40</v>
      </c>
      <c r="F274" t="s">
        <v>41</v>
      </c>
      <c r="G274" t="s">
        <v>42</v>
      </c>
      <c r="H274" t="s">
        <v>43</v>
      </c>
      <c r="I274" t="s">
        <v>732</v>
      </c>
      <c r="J274" t="s">
        <v>733</v>
      </c>
      <c r="M274" t="s">
        <v>217</v>
      </c>
      <c r="O274" t="s">
        <v>218</v>
      </c>
      <c r="P274" t="s">
        <v>219</v>
      </c>
      <c r="Q274" t="s">
        <v>49</v>
      </c>
      <c r="R274" t="s">
        <v>58</v>
      </c>
      <c r="S274" s="1">
        <v>46023</v>
      </c>
      <c r="U274" t="s">
        <v>51</v>
      </c>
      <c r="X274" t="s">
        <v>52</v>
      </c>
      <c r="Y274" s="2">
        <v>0</v>
      </c>
      <c r="Z274" s="2">
        <v>175</v>
      </c>
      <c r="AA274">
        <v>1</v>
      </c>
      <c r="AB274" s="3">
        <v>1</v>
      </c>
      <c r="AC274" s="2">
        <v>175</v>
      </c>
      <c r="AD274" s="3">
        <v>0</v>
      </c>
      <c r="AE274" s="2">
        <v>0</v>
      </c>
      <c r="AF274" s="2">
        <v>175</v>
      </c>
      <c r="AK274">
        <v>6058386</v>
      </c>
    </row>
    <row r="275" spans="1:37" x14ac:dyDescent="0.25">
      <c r="A275" s="1">
        <v>46008</v>
      </c>
      <c r="B275" s="1">
        <v>46008</v>
      </c>
      <c r="C275" t="s">
        <v>38</v>
      </c>
      <c r="D275" t="s">
        <v>39</v>
      </c>
      <c r="E275" t="s">
        <v>40</v>
      </c>
      <c r="F275" t="s">
        <v>41</v>
      </c>
      <c r="G275" t="s">
        <v>42</v>
      </c>
      <c r="H275" t="s">
        <v>43</v>
      </c>
      <c r="I275" t="s">
        <v>734</v>
      </c>
      <c r="J275" t="s">
        <v>735</v>
      </c>
      <c r="M275" t="s">
        <v>46</v>
      </c>
      <c r="O275" t="s">
        <v>147</v>
      </c>
      <c r="P275" t="s">
        <v>148</v>
      </c>
      <c r="Q275" t="s">
        <v>49</v>
      </c>
      <c r="R275" t="s">
        <v>58</v>
      </c>
      <c r="S275" s="1">
        <v>46023</v>
      </c>
      <c r="U275" t="s">
        <v>51</v>
      </c>
      <c r="X275" t="s">
        <v>52</v>
      </c>
      <c r="Y275" s="2">
        <v>0</v>
      </c>
      <c r="Z275" s="2">
        <v>175</v>
      </c>
      <c r="AA275">
        <v>1</v>
      </c>
      <c r="AB275" s="3">
        <v>1</v>
      </c>
      <c r="AC275" s="2">
        <v>175</v>
      </c>
      <c r="AD275" s="3">
        <v>0</v>
      </c>
      <c r="AE275" s="2">
        <v>0</v>
      </c>
      <c r="AF275" s="2">
        <v>175</v>
      </c>
      <c r="AK275">
        <v>6058614</v>
      </c>
    </row>
    <row r="276" spans="1:37" x14ac:dyDescent="0.25">
      <c r="A276" s="1">
        <v>46008</v>
      </c>
      <c r="B276" s="1">
        <v>46008</v>
      </c>
      <c r="C276" t="s">
        <v>38</v>
      </c>
      <c r="D276" t="s">
        <v>39</v>
      </c>
      <c r="E276" t="s">
        <v>40</v>
      </c>
      <c r="F276" t="s">
        <v>41</v>
      </c>
      <c r="G276" t="s">
        <v>42</v>
      </c>
      <c r="H276" t="s">
        <v>43</v>
      </c>
      <c r="I276" t="s">
        <v>736</v>
      </c>
      <c r="J276" t="s">
        <v>737</v>
      </c>
      <c r="M276" t="s">
        <v>46</v>
      </c>
      <c r="O276" t="s">
        <v>175</v>
      </c>
      <c r="P276" t="s">
        <v>176</v>
      </c>
      <c r="Q276" t="s">
        <v>49</v>
      </c>
      <c r="R276" t="s">
        <v>58</v>
      </c>
      <c r="S276" s="1">
        <v>46023</v>
      </c>
      <c r="U276" t="s">
        <v>51</v>
      </c>
      <c r="X276" t="s">
        <v>52</v>
      </c>
      <c r="Y276" s="2">
        <v>0</v>
      </c>
      <c r="Z276" s="2">
        <v>175</v>
      </c>
      <c r="AA276">
        <v>1</v>
      </c>
      <c r="AB276" s="3">
        <v>1</v>
      </c>
      <c r="AC276" s="2">
        <v>175</v>
      </c>
      <c r="AD276" s="3">
        <v>0</v>
      </c>
      <c r="AE276" s="2">
        <v>0</v>
      </c>
      <c r="AF276" s="2">
        <v>175</v>
      </c>
      <c r="AK276">
        <v>6058615</v>
      </c>
    </row>
    <row r="277" spans="1:37" x14ac:dyDescent="0.25">
      <c r="A277" s="1">
        <v>46008</v>
      </c>
      <c r="B277" s="1">
        <v>46008</v>
      </c>
      <c r="C277" t="s">
        <v>38</v>
      </c>
      <c r="D277" t="s">
        <v>39</v>
      </c>
      <c r="E277" t="s">
        <v>40</v>
      </c>
      <c r="F277" t="s">
        <v>41</v>
      </c>
      <c r="G277" t="s">
        <v>42</v>
      </c>
      <c r="H277" t="s">
        <v>43</v>
      </c>
      <c r="I277" t="s">
        <v>738</v>
      </c>
      <c r="J277" t="s">
        <v>739</v>
      </c>
      <c r="M277" t="s">
        <v>262</v>
      </c>
      <c r="O277" t="s">
        <v>108</v>
      </c>
      <c r="P277" t="s">
        <v>109</v>
      </c>
      <c r="Q277" t="s">
        <v>49</v>
      </c>
      <c r="R277" t="s">
        <v>58</v>
      </c>
      <c r="S277" s="1">
        <v>46023</v>
      </c>
      <c r="U277" t="s">
        <v>51</v>
      </c>
      <c r="X277" t="s">
        <v>52</v>
      </c>
      <c r="Y277" s="2">
        <v>0</v>
      </c>
      <c r="Z277" s="2">
        <v>175</v>
      </c>
      <c r="AA277">
        <v>1</v>
      </c>
      <c r="AB277" s="3">
        <v>1</v>
      </c>
      <c r="AC277" s="2">
        <v>175</v>
      </c>
      <c r="AD277" s="3">
        <v>0</v>
      </c>
      <c r="AE277" s="2">
        <v>0</v>
      </c>
      <c r="AF277" s="2">
        <v>175</v>
      </c>
      <c r="AK277">
        <v>6058616</v>
      </c>
    </row>
    <row r="278" spans="1:37" x14ac:dyDescent="0.25">
      <c r="A278" s="1">
        <v>46008</v>
      </c>
      <c r="B278" s="1">
        <v>46008</v>
      </c>
      <c r="C278" t="s">
        <v>38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 t="s">
        <v>740</v>
      </c>
      <c r="J278" t="s">
        <v>741</v>
      </c>
      <c r="M278" t="s">
        <v>217</v>
      </c>
      <c r="O278" t="s">
        <v>218</v>
      </c>
      <c r="P278" t="s">
        <v>219</v>
      </c>
      <c r="Q278" t="s">
        <v>49</v>
      </c>
      <c r="R278" t="s">
        <v>58</v>
      </c>
      <c r="S278" s="1">
        <v>46023</v>
      </c>
      <c r="U278" t="s">
        <v>51</v>
      </c>
      <c r="X278" t="s">
        <v>52</v>
      </c>
      <c r="Y278" s="2">
        <v>0</v>
      </c>
      <c r="Z278" s="2">
        <v>175</v>
      </c>
      <c r="AA278">
        <v>1</v>
      </c>
      <c r="AB278" s="3">
        <v>1</v>
      </c>
      <c r="AC278" s="2">
        <v>175</v>
      </c>
      <c r="AD278" s="3">
        <v>0</v>
      </c>
      <c r="AE278" s="2">
        <v>0</v>
      </c>
      <c r="AF278" s="2">
        <v>175</v>
      </c>
      <c r="AK278">
        <v>6058388</v>
      </c>
    </row>
    <row r="279" spans="1:37" x14ac:dyDescent="0.25">
      <c r="A279" s="1">
        <v>46008</v>
      </c>
      <c r="B279" s="1">
        <v>46008</v>
      </c>
      <c r="C279" t="s">
        <v>38</v>
      </c>
      <c r="D279" t="s">
        <v>39</v>
      </c>
      <c r="E279" t="s">
        <v>40</v>
      </c>
      <c r="F279" t="s">
        <v>41</v>
      </c>
      <c r="G279" t="s">
        <v>42</v>
      </c>
      <c r="H279" t="s">
        <v>43</v>
      </c>
      <c r="I279" t="s">
        <v>742</v>
      </c>
      <c r="J279" t="s">
        <v>743</v>
      </c>
      <c r="M279" t="s">
        <v>87</v>
      </c>
      <c r="O279" t="s">
        <v>141</v>
      </c>
      <c r="P279" t="s">
        <v>142</v>
      </c>
      <c r="Q279" t="s">
        <v>49</v>
      </c>
      <c r="R279" t="s">
        <v>58</v>
      </c>
      <c r="S279" s="1">
        <v>46023</v>
      </c>
      <c r="U279" t="s">
        <v>51</v>
      </c>
      <c r="X279" t="s">
        <v>52</v>
      </c>
      <c r="Y279" s="2">
        <v>0</v>
      </c>
      <c r="Z279" s="2">
        <v>175</v>
      </c>
      <c r="AA279">
        <v>1</v>
      </c>
      <c r="AB279" s="3">
        <v>1</v>
      </c>
      <c r="AC279" s="2">
        <v>175</v>
      </c>
      <c r="AD279" s="3">
        <v>0</v>
      </c>
      <c r="AE279" s="2">
        <v>0</v>
      </c>
      <c r="AF279" s="2">
        <v>175</v>
      </c>
      <c r="AK279">
        <v>6058617</v>
      </c>
    </row>
    <row r="280" spans="1:37" x14ac:dyDescent="0.25">
      <c r="A280" s="1">
        <v>46008</v>
      </c>
      <c r="B280" s="1">
        <v>46008</v>
      </c>
      <c r="C280" t="s">
        <v>38</v>
      </c>
      <c r="D280" t="s">
        <v>39</v>
      </c>
      <c r="E280" t="s">
        <v>40</v>
      </c>
      <c r="F280" t="s">
        <v>41</v>
      </c>
      <c r="G280" t="s">
        <v>42</v>
      </c>
      <c r="H280" t="s">
        <v>43</v>
      </c>
      <c r="I280" t="s">
        <v>744</v>
      </c>
      <c r="J280" t="s">
        <v>745</v>
      </c>
      <c r="M280" t="s">
        <v>46</v>
      </c>
      <c r="O280" t="s">
        <v>270</v>
      </c>
      <c r="P280" t="s">
        <v>271</v>
      </c>
      <c r="Q280" t="s">
        <v>49</v>
      </c>
      <c r="R280" t="s">
        <v>58</v>
      </c>
      <c r="S280" s="1">
        <v>46023</v>
      </c>
      <c r="U280" t="s">
        <v>51</v>
      </c>
      <c r="X280" t="s">
        <v>52</v>
      </c>
      <c r="Y280" s="2">
        <v>0</v>
      </c>
      <c r="Z280" s="2">
        <v>175</v>
      </c>
      <c r="AA280">
        <v>1</v>
      </c>
      <c r="AB280" s="3">
        <v>1</v>
      </c>
      <c r="AC280" s="2">
        <v>175</v>
      </c>
      <c r="AD280" s="3">
        <v>0</v>
      </c>
      <c r="AE280" s="2">
        <v>0</v>
      </c>
      <c r="AF280" s="2">
        <v>175</v>
      </c>
      <c r="AK280">
        <v>6058618</v>
      </c>
    </row>
    <row r="281" spans="1:37" x14ac:dyDescent="0.25">
      <c r="A281" s="1">
        <v>46008</v>
      </c>
      <c r="B281" s="1">
        <v>46008</v>
      </c>
      <c r="C281" t="s">
        <v>38</v>
      </c>
      <c r="D281" t="s">
        <v>39</v>
      </c>
      <c r="E281" t="s">
        <v>40</v>
      </c>
      <c r="F281" t="s">
        <v>41</v>
      </c>
      <c r="G281" t="s">
        <v>42</v>
      </c>
      <c r="H281" t="s">
        <v>43</v>
      </c>
      <c r="I281" t="s">
        <v>746</v>
      </c>
      <c r="J281" t="s">
        <v>747</v>
      </c>
      <c r="M281" t="s">
        <v>403</v>
      </c>
      <c r="O281" t="s">
        <v>601</v>
      </c>
      <c r="P281" t="s">
        <v>602</v>
      </c>
      <c r="Q281" t="s">
        <v>49</v>
      </c>
      <c r="R281" t="s">
        <v>58</v>
      </c>
      <c r="S281" s="1">
        <v>46023</v>
      </c>
      <c r="U281" t="s">
        <v>51</v>
      </c>
      <c r="X281" t="s">
        <v>52</v>
      </c>
      <c r="Y281" s="2">
        <v>0</v>
      </c>
      <c r="Z281" s="2">
        <v>175</v>
      </c>
      <c r="AA281">
        <v>1</v>
      </c>
      <c r="AB281" s="3">
        <v>1</v>
      </c>
      <c r="AC281" s="2">
        <v>175</v>
      </c>
      <c r="AD281" s="3">
        <v>0</v>
      </c>
      <c r="AE281" s="2">
        <v>0</v>
      </c>
      <c r="AF281" s="2">
        <v>175</v>
      </c>
      <c r="AK281">
        <v>6058619</v>
      </c>
    </row>
    <row r="282" spans="1:37" x14ac:dyDescent="0.25">
      <c r="A282" s="1">
        <v>46008</v>
      </c>
      <c r="B282" s="1">
        <v>46008</v>
      </c>
      <c r="C282" t="s">
        <v>38</v>
      </c>
      <c r="D282" t="s">
        <v>39</v>
      </c>
      <c r="E282" t="s">
        <v>40</v>
      </c>
      <c r="F282" t="s">
        <v>41</v>
      </c>
      <c r="G282" t="s">
        <v>42</v>
      </c>
      <c r="H282" t="s">
        <v>43</v>
      </c>
      <c r="I282" t="s">
        <v>748</v>
      </c>
      <c r="J282" t="s">
        <v>749</v>
      </c>
      <c r="M282" t="s">
        <v>189</v>
      </c>
      <c r="O282" t="s">
        <v>151</v>
      </c>
      <c r="P282" t="s">
        <v>152</v>
      </c>
      <c r="Q282" t="s">
        <v>49</v>
      </c>
      <c r="R282" t="s">
        <v>58</v>
      </c>
      <c r="S282" s="1">
        <v>46023</v>
      </c>
      <c r="U282" t="s">
        <v>51</v>
      </c>
      <c r="X282" t="s">
        <v>52</v>
      </c>
      <c r="Y282" s="2">
        <v>0</v>
      </c>
      <c r="Z282" s="2">
        <v>175</v>
      </c>
      <c r="AA282">
        <v>1</v>
      </c>
      <c r="AB282" s="3">
        <v>1</v>
      </c>
      <c r="AC282" s="2">
        <v>175</v>
      </c>
      <c r="AD282" s="3">
        <v>0</v>
      </c>
      <c r="AE282" s="2">
        <v>0</v>
      </c>
      <c r="AF282" s="2">
        <v>175</v>
      </c>
      <c r="AK282">
        <v>6058620</v>
      </c>
    </row>
    <row r="283" spans="1:37" x14ac:dyDescent="0.25">
      <c r="A283" s="1">
        <v>46008</v>
      </c>
      <c r="B283" s="1">
        <v>46008</v>
      </c>
      <c r="C283" t="s">
        <v>38</v>
      </c>
      <c r="D283" t="s">
        <v>39</v>
      </c>
      <c r="E283" t="s">
        <v>40</v>
      </c>
      <c r="F283" t="s">
        <v>41</v>
      </c>
      <c r="G283" t="s">
        <v>42</v>
      </c>
      <c r="H283" t="s">
        <v>43</v>
      </c>
      <c r="I283" t="s">
        <v>750</v>
      </c>
      <c r="J283" t="s">
        <v>751</v>
      </c>
      <c r="M283" t="s">
        <v>46</v>
      </c>
      <c r="O283" t="s">
        <v>278</v>
      </c>
      <c r="P283" t="s">
        <v>279</v>
      </c>
      <c r="Q283" t="s">
        <v>49</v>
      </c>
      <c r="R283" t="s">
        <v>58</v>
      </c>
      <c r="S283" s="1">
        <v>46023</v>
      </c>
      <c r="U283" t="s">
        <v>51</v>
      </c>
      <c r="X283" t="s">
        <v>52</v>
      </c>
      <c r="Y283" s="2">
        <v>0</v>
      </c>
      <c r="Z283" s="2">
        <v>175</v>
      </c>
      <c r="AA283">
        <v>1</v>
      </c>
      <c r="AB283" s="3">
        <v>1</v>
      </c>
      <c r="AC283" s="2">
        <v>175</v>
      </c>
      <c r="AD283" s="3">
        <v>0</v>
      </c>
      <c r="AE283" s="2">
        <v>0</v>
      </c>
      <c r="AF283" s="2">
        <v>175</v>
      </c>
      <c r="AK283">
        <v>6058621</v>
      </c>
    </row>
    <row r="284" spans="1:37" x14ac:dyDescent="0.25">
      <c r="A284" s="1">
        <v>46008</v>
      </c>
      <c r="B284" s="1">
        <v>46008</v>
      </c>
      <c r="C284" t="s">
        <v>38</v>
      </c>
      <c r="D284" t="s">
        <v>39</v>
      </c>
      <c r="E284" t="s">
        <v>40</v>
      </c>
      <c r="F284" t="s">
        <v>41</v>
      </c>
      <c r="G284" t="s">
        <v>42</v>
      </c>
      <c r="H284" t="s">
        <v>43</v>
      </c>
      <c r="I284" t="s">
        <v>752</v>
      </c>
      <c r="J284" t="s">
        <v>753</v>
      </c>
      <c r="M284" t="s">
        <v>46</v>
      </c>
      <c r="O284" t="s">
        <v>47</v>
      </c>
      <c r="P284" t="s">
        <v>48</v>
      </c>
      <c r="Q284" t="s">
        <v>49</v>
      </c>
      <c r="R284" t="s">
        <v>58</v>
      </c>
      <c r="S284" s="1">
        <v>46023</v>
      </c>
      <c r="U284" t="s">
        <v>51</v>
      </c>
      <c r="X284" t="s">
        <v>52</v>
      </c>
      <c r="Y284" s="2">
        <v>0</v>
      </c>
      <c r="Z284" s="2">
        <v>175</v>
      </c>
      <c r="AA284">
        <v>1</v>
      </c>
      <c r="AB284" s="3">
        <v>1</v>
      </c>
      <c r="AC284" s="2">
        <v>175</v>
      </c>
      <c r="AD284" s="3">
        <v>0</v>
      </c>
      <c r="AE284" s="2">
        <v>0</v>
      </c>
      <c r="AF284" s="2">
        <v>175</v>
      </c>
      <c r="AK284">
        <v>6058622</v>
      </c>
    </row>
    <row r="285" spans="1:37" x14ac:dyDescent="0.25">
      <c r="A285" s="1">
        <v>46008</v>
      </c>
      <c r="B285" s="1">
        <v>46008</v>
      </c>
      <c r="C285" t="s">
        <v>38</v>
      </c>
      <c r="D285" t="s">
        <v>39</v>
      </c>
      <c r="E285" t="s">
        <v>40</v>
      </c>
      <c r="F285" t="s">
        <v>41</v>
      </c>
      <c r="G285" t="s">
        <v>42</v>
      </c>
      <c r="H285" t="s">
        <v>43</v>
      </c>
      <c r="I285" t="s">
        <v>754</v>
      </c>
      <c r="J285" t="s">
        <v>755</v>
      </c>
      <c r="M285" t="s">
        <v>46</v>
      </c>
      <c r="O285" t="s">
        <v>175</v>
      </c>
      <c r="P285" t="s">
        <v>176</v>
      </c>
      <c r="Q285" t="s">
        <v>49</v>
      </c>
      <c r="R285" t="s">
        <v>58</v>
      </c>
      <c r="S285" s="1">
        <v>46023</v>
      </c>
      <c r="U285" t="s">
        <v>51</v>
      </c>
      <c r="X285" t="s">
        <v>52</v>
      </c>
      <c r="Y285" s="2">
        <v>0</v>
      </c>
      <c r="Z285" s="2">
        <v>175</v>
      </c>
      <c r="AA285">
        <v>1</v>
      </c>
      <c r="AB285" s="3">
        <v>1</v>
      </c>
      <c r="AC285" s="2">
        <v>175</v>
      </c>
      <c r="AD285" s="3">
        <v>0</v>
      </c>
      <c r="AE285" s="2">
        <v>0</v>
      </c>
      <c r="AF285" s="2">
        <v>175</v>
      </c>
      <c r="AK285">
        <v>6058623</v>
      </c>
    </row>
    <row r="286" spans="1:37" x14ac:dyDescent="0.25">
      <c r="A286" s="1">
        <v>46008</v>
      </c>
      <c r="B286" s="1">
        <v>46008</v>
      </c>
      <c r="C286" t="s">
        <v>38</v>
      </c>
      <c r="D286" t="s">
        <v>39</v>
      </c>
      <c r="E286" t="s">
        <v>40</v>
      </c>
      <c r="F286" t="s">
        <v>41</v>
      </c>
      <c r="G286" t="s">
        <v>42</v>
      </c>
      <c r="H286" t="s">
        <v>43</v>
      </c>
      <c r="I286" t="s">
        <v>756</v>
      </c>
      <c r="J286" t="s">
        <v>757</v>
      </c>
      <c r="M286" t="s">
        <v>758</v>
      </c>
      <c r="O286" t="s">
        <v>299</v>
      </c>
      <c r="P286" t="s">
        <v>300</v>
      </c>
      <c r="Q286" t="s">
        <v>49</v>
      </c>
      <c r="R286" t="s">
        <v>58</v>
      </c>
      <c r="S286" s="1">
        <v>46023</v>
      </c>
      <c r="U286" t="s">
        <v>51</v>
      </c>
      <c r="X286" t="s">
        <v>52</v>
      </c>
      <c r="Y286" s="2">
        <v>0</v>
      </c>
      <c r="Z286" s="2">
        <v>175</v>
      </c>
      <c r="AA286">
        <v>1</v>
      </c>
      <c r="AB286" s="3">
        <v>1</v>
      </c>
      <c r="AC286" s="2">
        <v>175</v>
      </c>
      <c r="AD286" s="3">
        <v>0</v>
      </c>
      <c r="AE286" s="2">
        <v>0</v>
      </c>
      <c r="AF286" s="2">
        <v>175</v>
      </c>
      <c r="AK286">
        <v>6058624</v>
      </c>
    </row>
    <row r="287" spans="1:37" x14ac:dyDescent="0.25">
      <c r="A287" s="1">
        <v>46008</v>
      </c>
      <c r="B287" s="1">
        <v>46008</v>
      </c>
      <c r="C287" t="s">
        <v>38</v>
      </c>
      <c r="D287" t="s">
        <v>39</v>
      </c>
      <c r="E287" t="s">
        <v>40</v>
      </c>
      <c r="F287" t="s">
        <v>41</v>
      </c>
      <c r="G287" t="s">
        <v>42</v>
      </c>
      <c r="H287" t="s">
        <v>43</v>
      </c>
      <c r="I287" t="s">
        <v>759</v>
      </c>
      <c r="J287" t="s">
        <v>760</v>
      </c>
      <c r="M287" t="s">
        <v>46</v>
      </c>
      <c r="O287" t="s">
        <v>151</v>
      </c>
      <c r="P287" t="s">
        <v>152</v>
      </c>
      <c r="Q287" t="s">
        <v>49</v>
      </c>
      <c r="R287" t="s">
        <v>58</v>
      </c>
      <c r="S287" s="1">
        <v>46023</v>
      </c>
      <c r="U287" t="s">
        <v>51</v>
      </c>
      <c r="X287" t="s">
        <v>52</v>
      </c>
      <c r="Y287" s="2">
        <v>0</v>
      </c>
      <c r="Z287" s="2">
        <v>175</v>
      </c>
      <c r="AA287">
        <v>1</v>
      </c>
      <c r="AB287" s="3">
        <v>1</v>
      </c>
      <c r="AC287" s="2">
        <v>175</v>
      </c>
      <c r="AD287" s="3">
        <v>0</v>
      </c>
      <c r="AE287" s="2">
        <v>0</v>
      </c>
      <c r="AF287" s="2">
        <v>175</v>
      </c>
      <c r="AK287">
        <v>6058625</v>
      </c>
    </row>
    <row r="288" spans="1:37" x14ac:dyDescent="0.25">
      <c r="A288" s="1">
        <v>46008</v>
      </c>
      <c r="B288" s="1">
        <v>46008</v>
      </c>
      <c r="C288" t="s">
        <v>38</v>
      </c>
      <c r="D288" t="s">
        <v>39</v>
      </c>
      <c r="E288" t="s">
        <v>40</v>
      </c>
      <c r="F288" t="s">
        <v>41</v>
      </c>
      <c r="G288" t="s">
        <v>42</v>
      </c>
      <c r="H288" t="s">
        <v>43</v>
      </c>
      <c r="I288" t="s">
        <v>761</v>
      </c>
      <c r="J288" t="s">
        <v>762</v>
      </c>
      <c r="M288" t="s">
        <v>61</v>
      </c>
      <c r="O288" t="s">
        <v>763</v>
      </c>
      <c r="P288" t="s">
        <v>764</v>
      </c>
      <c r="Q288" t="s">
        <v>49</v>
      </c>
      <c r="R288" t="s">
        <v>58</v>
      </c>
      <c r="S288" s="1">
        <v>46023</v>
      </c>
      <c r="U288" t="s">
        <v>51</v>
      </c>
      <c r="X288" t="s">
        <v>52</v>
      </c>
      <c r="Y288" s="2">
        <v>0</v>
      </c>
      <c r="Z288" s="2">
        <v>175</v>
      </c>
      <c r="AA288">
        <v>1</v>
      </c>
      <c r="AB288" s="3">
        <v>1</v>
      </c>
      <c r="AC288" s="2">
        <v>175</v>
      </c>
      <c r="AD288" s="3">
        <v>0</v>
      </c>
      <c r="AE288" s="2">
        <v>0</v>
      </c>
      <c r="AF288" s="2">
        <v>175</v>
      </c>
      <c r="AK288">
        <v>6058626</v>
      </c>
    </row>
    <row r="289" spans="1:37" x14ac:dyDescent="0.25">
      <c r="A289" s="1">
        <v>46008</v>
      </c>
      <c r="B289" s="1">
        <v>46008</v>
      </c>
      <c r="C289" t="s">
        <v>38</v>
      </c>
      <c r="D289" t="s">
        <v>39</v>
      </c>
      <c r="E289" t="s">
        <v>40</v>
      </c>
      <c r="F289" t="s">
        <v>41</v>
      </c>
      <c r="G289" t="s">
        <v>42</v>
      </c>
      <c r="H289" t="s">
        <v>43</v>
      </c>
      <c r="I289" t="s">
        <v>765</v>
      </c>
      <c r="J289" t="s">
        <v>766</v>
      </c>
      <c r="M289" t="s">
        <v>46</v>
      </c>
      <c r="O289" t="s">
        <v>183</v>
      </c>
      <c r="P289" t="s">
        <v>184</v>
      </c>
      <c r="Q289" t="s">
        <v>49</v>
      </c>
      <c r="R289" t="s">
        <v>58</v>
      </c>
      <c r="S289" s="1">
        <v>46023</v>
      </c>
      <c r="U289" t="s">
        <v>51</v>
      </c>
      <c r="X289" t="s">
        <v>52</v>
      </c>
      <c r="Y289" s="2">
        <v>0</v>
      </c>
      <c r="Z289" s="2">
        <v>175</v>
      </c>
      <c r="AA289">
        <v>1</v>
      </c>
      <c r="AB289" s="3">
        <v>1</v>
      </c>
      <c r="AC289" s="2">
        <v>175</v>
      </c>
      <c r="AD289" s="3">
        <v>0</v>
      </c>
      <c r="AE289" s="2">
        <v>0</v>
      </c>
      <c r="AF289" s="2">
        <v>175</v>
      </c>
      <c r="AK289">
        <v>6058627</v>
      </c>
    </row>
    <row r="290" spans="1:37" x14ac:dyDescent="0.25">
      <c r="A290" s="1">
        <v>46008</v>
      </c>
      <c r="B290" s="1">
        <v>46008</v>
      </c>
      <c r="C290" t="s">
        <v>38</v>
      </c>
      <c r="D290" t="s">
        <v>39</v>
      </c>
      <c r="E290" t="s">
        <v>40</v>
      </c>
      <c r="F290" t="s">
        <v>41</v>
      </c>
      <c r="G290" t="s">
        <v>42</v>
      </c>
      <c r="H290" t="s">
        <v>43</v>
      </c>
      <c r="I290" t="s">
        <v>767</v>
      </c>
      <c r="J290" t="s">
        <v>768</v>
      </c>
      <c r="M290" t="s">
        <v>46</v>
      </c>
      <c r="O290" t="s">
        <v>100</v>
      </c>
      <c r="P290" t="s">
        <v>101</v>
      </c>
      <c r="Q290" t="s">
        <v>49</v>
      </c>
      <c r="R290" t="s">
        <v>58</v>
      </c>
      <c r="S290" s="1">
        <v>46023</v>
      </c>
      <c r="U290" t="s">
        <v>51</v>
      </c>
      <c r="X290" t="s">
        <v>52</v>
      </c>
      <c r="Y290" s="2">
        <v>0</v>
      </c>
      <c r="Z290" s="2">
        <v>175</v>
      </c>
      <c r="AA290">
        <v>1</v>
      </c>
      <c r="AB290" s="3">
        <v>1</v>
      </c>
      <c r="AC290" s="2">
        <v>175</v>
      </c>
      <c r="AD290" s="3">
        <v>0</v>
      </c>
      <c r="AE290" s="2">
        <v>0</v>
      </c>
      <c r="AF290" s="2">
        <v>175</v>
      </c>
      <c r="AK290">
        <v>6058628</v>
      </c>
    </row>
    <row r="291" spans="1:37" x14ac:dyDescent="0.25">
      <c r="A291" s="1">
        <v>46008</v>
      </c>
      <c r="B291" s="1">
        <v>46008</v>
      </c>
      <c r="C291" t="s">
        <v>38</v>
      </c>
      <c r="D291" t="s">
        <v>39</v>
      </c>
      <c r="E291" t="s">
        <v>40</v>
      </c>
      <c r="F291" t="s">
        <v>41</v>
      </c>
      <c r="G291" t="s">
        <v>42</v>
      </c>
      <c r="H291" t="s">
        <v>43</v>
      </c>
      <c r="I291" t="s">
        <v>769</v>
      </c>
      <c r="J291" t="s">
        <v>770</v>
      </c>
      <c r="M291" t="s">
        <v>46</v>
      </c>
      <c r="O291" t="s">
        <v>175</v>
      </c>
      <c r="P291" t="s">
        <v>176</v>
      </c>
      <c r="Q291" t="s">
        <v>49</v>
      </c>
      <c r="R291" t="s">
        <v>58</v>
      </c>
      <c r="S291" s="1">
        <v>46023</v>
      </c>
      <c r="U291" t="s">
        <v>51</v>
      </c>
      <c r="X291" t="s">
        <v>52</v>
      </c>
      <c r="Y291" s="2">
        <v>0</v>
      </c>
      <c r="Z291" s="2">
        <v>175</v>
      </c>
      <c r="AA291">
        <v>1</v>
      </c>
      <c r="AB291" s="3">
        <v>1</v>
      </c>
      <c r="AC291" s="2">
        <v>175</v>
      </c>
      <c r="AD291" s="3">
        <v>0</v>
      </c>
      <c r="AE291" s="2">
        <v>0</v>
      </c>
      <c r="AF291" s="2">
        <v>175</v>
      </c>
      <c r="AK291">
        <v>6058629</v>
      </c>
    </row>
    <row r="292" spans="1:37" x14ac:dyDescent="0.25">
      <c r="A292" s="1">
        <v>46008</v>
      </c>
      <c r="B292" s="1">
        <v>46008</v>
      </c>
      <c r="C292" t="s">
        <v>38</v>
      </c>
      <c r="D292" t="s">
        <v>39</v>
      </c>
      <c r="E292" t="s">
        <v>40</v>
      </c>
      <c r="F292" t="s">
        <v>41</v>
      </c>
      <c r="G292" t="s">
        <v>42</v>
      </c>
      <c r="H292" t="s">
        <v>43</v>
      </c>
      <c r="I292" t="s">
        <v>771</v>
      </c>
      <c r="J292" t="s">
        <v>772</v>
      </c>
      <c r="M292" t="s">
        <v>46</v>
      </c>
      <c r="O292" t="s">
        <v>270</v>
      </c>
      <c r="P292" t="s">
        <v>271</v>
      </c>
      <c r="Q292" t="s">
        <v>49</v>
      </c>
      <c r="R292" t="s">
        <v>58</v>
      </c>
      <c r="S292" s="1">
        <v>46023</v>
      </c>
      <c r="U292" t="s">
        <v>51</v>
      </c>
      <c r="X292" t="s">
        <v>52</v>
      </c>
      <c r="Y292" s="2">
        <v>0</v>
      </c>
      <c r="Z292" s="2">
        <v>175</v>
      </c>
      <c r="AA292">
        <v>1</v>
      </c>
      <c r="AB292" s="3">
        <v>1</v>
      </c>
      <c r="AC292" s="2">
        <v>175</v>
      </c>
      <c r="AD292" s="3">
        <v>0</v>
      </c>
      <c r="AE292" s="2">
        <v>0</v>
      </c>
      <c r="AF292" s="2">
        <v>175</v>
      </c>
      <c r="AK292">
        <v>6058631</v>
      </c>
    </row>
    <row r="293" spans="1:37" x14ac:dyDescent="0.25">
      <c r="A293" s="1">
        <v>46008</v>
      </c>
      <c r="B293" s="1">
        <v>46008</v>
      </c>
      <c r="C293" t="s">
        <v>38</v>
      </c>
      <c r="D293" t="s">
        <v>39</v>
      </c>
      <c r="E293" t="s">
        <v>40</v>
      </c>
      <c r="F293" t="s">
        <v>41</v>
      </c>
      <c r="G293" t="s">
        <v>42</v>
      </c>
      <c r="H293" t="s">
        <v>43</v>
      </c>
      <c r="I293" t="s">
        <v>773</v>
      </c>
      <c r="J293" t="s">
        <v>774</v>
      </c>
      <c r="M293" t="s">
        <v>46</v>
      </c>
      <c r="O293" t="s">
        <v>74</v>
      </c>
      <c r="P293" t="s">
        <v>75</v>
      </c>
      <c r="Q293" t="s">
        <v>49</v>
      </c>
      <c r="R293" t="s">
        <v>58</v>
      </c>
      <c r="S293" s="1">
        <v>46023</v>
      </c>
      <c r="U293" t="s">
        <v>51</v>
      </c>
      <c r="X293" t="s">
        <v>52</v>
      </c>
      <c r="Y293" s="2">
        <v>0</v>
      </c>
      <c r="Z293" s="2">
        <v>175</v>
      </c>
      <c r="AA293">
        <v>1</v>
      </c>
      <c r="AB293" s="3">
        <v>1</v>
      </c>
      <c r="AC293" s="2">
        <v>175</v>
      </c>
      <c r="AD293" s="3">
        <v>0</v>
      </c>
      <c r="AE293" s="2">
        <v>0</v>
      </c>
      <c r="AF293" s="2">
        <v>175</v>
      </c>
      <c r="AK293">
        <v>6058632</v>
      </c>
    </row>
    <row r="294" spans="1:37" x14ac:dyDescent="0.25">
      <c r="A294" s="1">
        <v>46008</v>
      </c>
      <c r="B294" s="1">
        <v>46008</v>
      </c>
      <c r="C294" t="s">
        <v>38</v>
      </c>
      <c r="D294" t="s">
        <v>39</v>
      </c>
      <c r="E294" t="s">
        <v>40</v>
      </c>
      <c r="F294" t="s">
        <v>41</v>
      </c>
      <c r="G294" t="s">
        <v>42</v>
      </c>
      <c r="H294" t="s">
        <v>43</v>
      </c>
      <c r="I294" t="s">
        <v>775</v>
      </c>
      <c r="J294" t="s">
        <v>776</v>
      </c>
      <c r="M294" t="s">
        <v>46</v>
      </c>
      <c r="O294" t="s">
        <v>175</v>
      </c>
      <c r="P294" t="s">
        <v>176</v>
      </c>
      <c r="Q294" t="s">
        <v>49</v>
      </c>
      <c r="R294" t="s">
        <v>58</v>
      </c>
      <c r="S294" s="1">
        <v>46023</v>
      </c>
      <c r="U294" t="s">
        <v>51</v>
      </c>
      <c r="X294" t="s">
        <v>52</v>
      </c>
      <c r="Y294" s="2">
        <v>0</v>
      </c>
      <c r="Z294" s="2">
        <v>175</v>
      </c>
      <c r="AA294">
        <v>1</v>
      </c>
      <c r="AB294" s="3">
        <v>1</v>
      </c>
      <c r="AC294" s="2">
        <v>175</v>
      </c>
      <c r="AD294" s="3">
        <v>0</v>
      </c>
      <c r="AE294" s="2">
        <v>0</v>
      </c>
      <c r="AF294" s="2">
        <v>175</v>
      </c>
      <c r="AK294">
        <v>6058633</v>
      </c>
    </row>
    <row r="295" spans="1:37" x14ac:dyDescent="0.25">
      <c r="A295" s="1">
        <v>46008</v>
      </c>
      <c r="B295" s="1">
        <v>46008</v>
      </c>
      <c r="C295" t="s">
        <v>38</v>
      </c>
      <c r="D295" t="s">
        <v>39</v>
      </c>
      <c r="E295" t="s">
        <v>40</v>
      </c>
      <c r="F295" t="s">
        <v>41</v>
      </c>
      <c r="G295" t="s">
        <v>42</v>
      </c>
      <c r="H295" t="s">
        <v>43</v>
      </c>
      <c r="I295" t="s">
        <v>777</v>
      </c>
      <c r="J295" t="s">
        <v>778</v>
      </c>
      <c r="M295" t="s">
        <v>46</v>
      </c>
      <c r="O295" t="s">
        <v>74</v>
      </c>
      <c r="P295" t="s">
        <v>75</v>
      </c>
      <c r="Q295" t="s">
        <v>49</v>
      </c>
      <c r="R295" t="s">
        <v>58</v>
      </c>
      <c r="S295" s="1">
        <v>46023</v>
      </c>
      <c r="U295" t="s">
        <v>51</v>
      </c>
      <c r="X295" t="s">
        <v>52</v>
      </c>
      <c r="Y295" s="2">
        <v>0</v>
      </c>
      <c r="Z295" s="2">
        <v>175</v>
      </c>
      <c r="AA295">
        <v>1</v>
      </c>
      <c r="AB295" s="3">
        <v>1</v>
      </c>
      <c r="AC295" s="2">
        <v>175</v>
      </c>
      <c r="AD295" s="3">
        <v>0</v>
      </c>
      <c r="AE295" s="2">
        <v>0</v>
      </c>
      <c r="AF295" s="2">
        <v>175</v>
      </c>
      <c r="AK295">
        <v>6058635</v>
      </c>
    </row>
    <row r="296" spans="1:37" x14ac:dyDescent="0.25">
      <c r="A296" s="1">
        <v>46008</v>
      </c>
      <c r="B296" s="1">
        <v>46008</v>
      </c>
      <c r="C296" t="s">
        <v>38</v>
      </c>
      <c r="D296" t="s">
        <v>39</v>
      </c>
      <c r="E296" t="s">
        <v>40</v>
      </c>
      <c r="F296" t="s">
        <v>41</v>
      </c>
      <c r="G296" t="s">
        <v>42</v>
      </c>
      <c r="H296" t="s">
        <v>43</v>
      </c>
      <c r="I296" t="s">
        <v>779</v>
      </c>
      <c r="J296" t="s">
        <v>780</v>
      </c>
      <c r="M296" t="s">
        <v>46</v>
      </c>
      <c r="O296" t="s">
        <v>238</v>
      </c>
      <c r="P296" t="s">
        <v>239</v>
      </c>
      <c r="Q296" t="s">
        <v>49</v>
      </c>
      <c r="R296" t="s">
        <v>58</v>
      </c>
      <c r="S296" s="1">
        <v>46023</v>
      </c>
      <c r="U296" t="s">
        <v>51</v>
      </c>
      <c r="X296" t="s">
        <v>52</v>
      </c>
      <c r="Y296" s="2">
        <v>0</v>
      </c>
      <c r="Z296" s="2">
        <v>175</v>
      </c>
      <c r="AA296">
        <v>1</v>
      </c>
      <c r="AB296" s="3">
        <v>1</v>
      </c>
      <c r="AC296" s="2">
        <v>175</v>
      </c>
      <c r="AD296" s="3">
        <v>0</v>
      </c>
      <c r="AE296" s="2">
        <v>0</v>
      </c>
      <c r="AF296" s="2">
        <v>175</v>
      </c>
      <c r="AK296">
        <v>6058636</v>
      </c>
    </row>
    <row r="297" spans="1:37" x14ac:dyDescent="0.25">
      <c r="A297" s="1">
        <v>46008</v>
      </c>
      <c r="B297" s="1">
        <v>46008</v>
      </c>
      <c r="C297" t="s">
        <v>38</v>
      </c>
      <c r="D297" t="s">
        <v>39</v>
      </c>
      <c r="E297" t="s">
        <v>40</v>
      </c>
      <c r="F297" t="s">
        <v>41</v>
      </c>
      <c r="G297" t="s">
        <v>42</v>
      </c>
      <c r="H297" t="s">
        <v>43</v>
      </c>
      <c r="I297" t="s">
        <v>781</v>
      </c>
      <c r="J297" t="s">
        <v>782</v>
      </c>
      <c r="M297" t="s">
        <v>46</v>
      </c>
      <c r="O297" t="s">
        <v>238</v>
      </c>
      <c r="P297" t="s">
        <v>239</v>
      </c>
      <c r="Q297" t="s">
        <v>49</v>
      </c>
      <c r="R297" t="s">
        <v>58</v>
      </c>
      <c r="S297" s="1">
        <v>46023</v>
      </c>
      <c r="U297" t="s">
        <v>51</v>
      </c>
      <c r="X297" t="s">
        <v>52</v>
      </c>
      <c r="Y297" s="2">
        <v>0</v>
      </c>
      <c r="Z297" s="2">
        <v>175</v>
      </c>
      <c r="AA297">
        <v>1</v>
      </c>
      <c r="AB297" s="3">
        <v>1</v>
      </c>
      <c r="AC297" s="2">
        <v>175</v>
      </c>
      <c r="AD297" s="3">
        <v>0</v>
      </c>
      <c r="AE297" s="2">
        <v>0</v>
      </c>
      <c r="AF297" s="2">
        <v>175</v>
      </c>
      <c r="AK297">
        <v>6058637</v>
      </c>
    </row>
    <row r="298" spans="1:37" x14ac:dyDescent="0.25">
      <c r="A298" s="1">
        <v>46008</v>
      </c>
      <c r="B298" s="1">
        <v>46008</v>
      </c>
      <c r="C298" t="s">
        <v>38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 t="s">
        <v>783</v>
      </c>
      <c r="J298" t="s">
        <v>784</v>
      </c>
      <c r="M298" t="s">
        <v>155</v>
      </c>
      <c r="O298" t="s">
        <v>179</v>
      </c>
      <c r="P298" t="s">
        <v>180</v>
      </c>
      <c r="Q298" t="s">
        <v>49</v>
      </c>
      <c r="R298" t="s">
        <v>58</v>
      </c>
      <c r="S298" s="1">
        <v>46023</v>
      </c>
      <c r="U298" t="s">
        <v>51</v>
      </c>
      <c r="X298" t="s">
        <v>52</v>
      </c>
      <c r="Y298" s="2">
        <v>0</v>
      </c>
      <c r="Z298" s="2">
        <v>175</v>
      </c>
      <c r="AA298">
        <v>1</v>
      </c>
      <c r="AB298" s="3">
        <v>1</v>
      </c>
      <c r="AC298" s="2">
        <v>175</v>
      </c>
      <c r="AD298" s="3">
        <v>0</v>
      </c>
      <c r="AE298" s="2">
        <v>0</v>
      </c>
      <c r="AF298" s="2">
        <v>175</v>
      </c>
      <c r="AK298">
        <v>6058392</v>
      </c>
    </row>
    <row r="299" spans="1:37" x14ac:dyDescent="0.25">
      <c r="A299" s="1">
        <v>46008</v>
      </c>
      <c r="B299" s="1">
        <v>46008</v>
      </c>
      <c r="C299" t="s">
        <v>38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 t="s">
        <v>785</v>
      </c>
      <c r="J299" t="s">
        <v>786</v>
      </c>
      <c r="M299" t="s">
        <v>61</v>
      </c>
      <c r="O299" t="s">
        <v>56</v>
      </c>
      <c r="P299" t="s">
        <v>57</v>
      </c>
      <c r="Q299" t="s">
        <v>49</v>
      </c>
      <c r="R299" t="s">
        <v>58</v>
      </c>
      <c r="S299" s="1">
        <v>46023</v>
      </c>
      <c r="U299" t="s">
        <v>51</v>
      </c>
      <c r="X299" t="s">
        <v>52</v>
      </c>
      <c r="Y299" s="2">
        <v>0</v>
      </c>
      <c r="Z299" s="2">
        <v>175</v>
      </c>
      <c r="AA299">
        <v>1</v>
      </c>
      <c r="AB299" s="3">
        <v>1</v>
      </c>
      <c r="AC299" s="2">
        <v>175</v>
      </c>
      <c r="AD299" s="3">
        <v>0</v>
      </c>
      <c r="AE299" s="2">
        <v>0</v>
      </c>
      <c r="AF299" s="2">
        <v>175</v>
      </c>
      <c r="AK299">
        <v>6058641</v>
      </c>
    </row>
    <row r="300" spans="1:37" x14ac:dyDescent="0.25">
      <c r="A300" s="1">
        <v>46008</v>
      </c>
      <c r="B300" s="1">
        <v>46008</v>
      </c>
      <c r="C300" t="s">
        <v>38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 t="s">
        <v>787</v>
      </c>
      <c r="J300" t="s">
        <v>788</v>
      </c>
      <c r="M300" t="s">
        <v>262</v>
      </c>
      <c r="O300" t="s">
        <v>108</v>
      </c>
      <c r="P300" t="s">
        <v>109</v>
      </c>
      <c r="Q300" t="s">
        <v>49</v>
      </c>
      <c r="R300" t="s">
        <v>58</v>
      </c>
      <c r="S300" s="1">
        <v>46023</v>
      </c>
      <c r="U300" t="s">
        <v>51</v>
      </c>
      <c r="X300" t="s">
        <v>52</v>
      </c>
      <c r="Y300" s="2">
        <v>0</v>
      </c>
      <c r="Z300" s="2">
        <v>175</v>
      </c>
      <c r="AA300">
        <v>1</v>
      </c>
      <c r="AB300" s="3">
        <v>1</v>
      </c>
      <c r="AC300" s="2">
        <v>175</v>
      </c>
      <c r="AD300" s="3">
        <v>0</v>
      </c>
      <c r="AE300" s="2">
        <v>0</v>
      </c>
      <c r="AF300" s="2">
        <v>175</v>
      </c>
      <c r="AK300">
        <v>6058642</v>
      </c>
    </row>
    <row r="301" spans="1:37" x14ac:dyDescent="0.25">
      <c r="A301" s="1">
        <v>46008</v>
      </c>
      <c r="B301" s="1">
        <v>46008</v>
      </c>
      <c r="C301" t="s">
        <v>38</v>
      </c>
      <c r="D301" t="s">
        <v>39</v>
      </c>
      <c r="E301" t="s">
        <v>40</v>
      </c>
      <c r="F301" t="s">
        <v>41</v>
      </c>
      <c r="G301" t="s">
        <v>42</v>
      </c>
      <c r="H301" t="s">
        <v>43</v>
      </c>
      <c r="I301" t="s">
        <v>789</v>
      </c>
      <c r="J301" t="s">
        <v>790</v>
      </c>
      <c r="M301" t="s">
        <v>46</v>
      </c>
      <c r="O301" t="s">
        <v>672</v>
      </c>
      <c r="P301" t="s">
        <v>673</v>
      </c>
      <c r="Q301" t="s">
        <v>49</v>
      </c>
      <c r="R301" t="s">
        <v>58</v>
      </c>
      <c r="S301" s="1">
        <v>46023</v>
      </c>
      <c r="U301" t="s">
        <v>51</v>
      </c>
      <c r="X301" t="s">
        <v>52</v>
      </c>
      <c r="Y301" s="2">
        <v>0</v>
      </c>
      <c r="Z301" s="2">
        <v>175</v>
      </c>
      <c r="AA301">
        <v>1</v>
      </c>
      <c r="AB301" s="3">
        <v>1</v>
      </c>
      <c r="AC301" s="2">
        <v>175</v>
      </c>
      <c r="AD301" s="3">
        <v>0</v>
      </c>
      <c r="AE301" s="2">
        <v>0</v>
      </c>
      <c r="AF301" s="2">
        <v>175</v>
      </c>
      <c r="AK301">
        <v>6058643</v>
      </c>
    </row>
    <row r="302" spans="1:37" x14ac:dyDescent="0.25">
      <c r="A302" s="1">
        <v>46008</v>
      </c>
      <c r="B302" s="1">
        <v>46008</v>
      </c>
      <c r="C302" t="s">
        <v>38</v>
      </c>
      <c r="D302" t="s">
        <v>39</v>
      </c>
      <c r="E302" t="s">
        <v>40</v>
      </c>
      <c r="F302" t="s">
        <v>41</v>
      </c>
      <c r="G302" t="s">
        <v>42</v>
      </c>
      <c r="H302" t="s">
        <v>43</v>
      </c>
      <c r="I302" t="s">
        <v>791</v>
      </c>
      <c r="J302" t="s">
        <v>792</v>
      </c>
      <c r="M302" t="s">
        <v>46</v>
      </c>
      <c r="O302" t="s">
        <v>56</v>
      </c>
      <c r="P302" t="s">
        <v>57</v>
      </c>
      <c r="Q302" t="s">
        <v>49</v>
      </c>
      <c r="R302" t="s">
        <v>58</v>
      </c>
      <c r="S302" s="1">
        <v>46023</v>
      </c>
      <c r="U302" t="s">
        <v>51</v>
      </c>
      <c r="X302" t="s">
        <v>52</v>
      </c>
      <c r="Y302" s="2">
        <v>0</v>
      </c>
      <c r="Z302" s="2">
        <v>175</v>
      </c>
      <c r="AA302">
        <v>1</v>
      </c>
      <c r="AB302" s="3">
        <v>1</v>
      </c>
      <c r="AC302" s="2">
        <v>175</v>
      </c>
      <c r="AD302" s="3">
        <v>0</v>
      </c>
      <c r="AE302" s="2">
        <v>0</v>
      </c>
      <c r="AF302" s="2">
        <v>175</v>
      </c>
      <c r="AK302">
        <v>6058644</v>
      </c>
    </row>
    <row r="303" spans="1:37" x14ac:dyDescent="0.25">
      <c r="A303" s="1">
        <v>46008</v>
      </c>
      <c r="B303" s="1">
        <v>46008</v>
      </c>
      <c r="C303" t="s">
        <v>38</v>
      </c>
      <c r="D303" t="s">
        <v>39</v>
      </c>
      <c r="E303" t="s">
        <v>40</v>
      </c>
      <c r="F303" t="s">
        <v>41</v>
      </c>
      <c r="G303" t="s">
        <v>42</v>
      </c>
      <c r="H303" t="s">
        <v>43</v>
      </c>
      <c r="I303" t="s">
        <v>793</v>
      </c>
      <c r="J303" t="s">
        <v>794</v>
      </c>
      <c r="M303" t="s">
        <v>78</v>
      </c>
      <c r="O303" t="s">
        <v>430</v>
      </c>
      <c r="P303" t="s">
        <v>431</v>
      </c>
      <c r="Q303" t="s">
        <v>49</v>
      </c>
      <c r="R303" t="s">
        <v>58</v>
      </c>
      <c r="S303" s="1">
        <v>46023</v>
      </c>
      <c r="U303" t="s">
        <v>51</v>
      </c>
      <c r="X303" t="s">
        <v>52</v>
      </c>
      <c r="Y303" s="2">
        <v>0</v>
      </c>
      <c r="Z303" s="2">
        <v>175</v>
      </c>
      <c r="AA303">
        <v>1</v>
      </c>
      <c r="AB303" s="3">
        <v>1</v>
      </c>
      <c r="AC303" s="2">
        <v>175</v>
      </c>
      <c r="AD303" s="3">
        <v>0</v>
      </c>
      <c r="AE303" s="2">
        <v>0</v>
      </c>
      <c r="AF303" s="2">
        <v>175</v>
      </c>
      <c r="AK303">
        <v>6058645</v>
      </c>
    </row>
    <row r="304" spans="1:37" x14ac:dyDescent="0.25">
      <c r="A304" s="1">
        <v>46008</v>
      </c>
      <c r="B304" s="1">
        <v>46008</v>
      </c>
      <c r="C304" t="s">
        <v>38</v>
      </c>
      <c r="D304" t="s">
        <v>39</v>
      </c>
      <c r="E304" t="s">
        <v>40</v>
      </c>
      <c r="F304" t="s">
        <v>41</v>
      </c>
      <c r="G304" t="s">
        <v>42</v>
      </c>
      <c r="H304" t="s">
        <v>43</v>
      </c>
      <c r="I304" t="s">
        <v>795</v>
      </c>
      <c r="J304" t="s">
        <v>796</v>
      </c>
      <c r="M304" t="s">
        <v>155</v>
      </c>
      <c r="O304" t="s">
        <v>100</v>
      </c>
      <c r="P304" t="s">
        <v>101</v>
      </c>
      <c r="Q304" t="s">
        <v>49</v>
      </c>
      <c r="R304" t="s">
        <v>58</v>
      </c>
      <c r="S304" s="1">
        <v>46023</v>
      </c>
      <c r="U304" t="s">
        <v>51</v>
      </c>
      <c r="X304" t="s">
        <v>52</v>
      </c>
      <c r="Y304" s="2">
        <v>0</v>
      </c>
      <c r="Z304" s="2">
        <v>175</v>
      </c>
      <c r="AA304">
        <v>1</v>
      </c>
      <c r="AB304" s="3">
        <v>1</v>
      </c>
      <c r="AC304" s="2">
        <v>175</v>
      </c>
      <c r="AD304" s="3">
        <v>0</v>
      </c>
      <c r="AE304" s="2">
        <v>0</v>
      </c>
      <c r="AF304" s="2">
        <v>175</v>
      </c>
      <c r="AK304">
        <v>6058646</v>
      </c>
    </row>
    <row r="305" spans="1:37" x14ac:dyDescent="0.25">
      <c r="A305" s="1">
        <v>46008</v>
      </c>
      <c r="B305" s="1">
        <v>46008</v>
      </c>
      <c r="C305" t="s">
        <v>38</v>
      </c>
      <c r="D305" t="s">
        <v>39</v>
      </c>
      <c r="E305" t="s">
        <v>40</v>
      </c>
      <c r="F305" t="s">
        <v>41</v>
      </c>
      <c r="G305" t="s">
        <v>42</v>
      </c>
      <c r="H305" t="s">
        <v>43</v>
      </c>
      <c r="I305" t="s">
        <v>797</v>
      </c>
      <c r="J305" t="s">
        <v>798</v>
      </c>
      <c r="M305" t="s">
        <v>61</v>
      </c>
      <c r="O305" t="s">
        <v>108</v>
      </c>
      <c r="P305" t="s">
        <v>109</v>
      </c>
      <c r="Q305" t="s">
        <v>49</v>
      </c>
      <c r="R305" t="s">
        <v>58</v>
      </c>
      <c r="S305" s="1">
        <v>46023</v>
      </c>
      <c r="U305" t="s">
        <v>51</v>
      </c>
      <c r="X305" t="s">
        <v>52</v>
      </c>
      <c r="Y305" s="2">
        <v>0</v>
      </c>
      <c r="Z305" s="2">
        <v>175</v>
      </c>
      <c r="AA305">
        <v>1</v>
      </c>
      <c r="AB305" s="3">
        <v>1</v>
      </c>
      <c r="AC305" s="2">
        <v>175</v>
      </c>
      <c r="AD305" s="3">
        <v>0</v>
      </c>
      <c r="AE305" s="2">
        <v>0</v>
      </c>
      <c r="AF305" s="2">
        <v>175</v>
      </c>
      <c r="AK305">
        <v>6058647</v>
      </c>
    </row>
    <row r="306" spans="1:37" x14ac:dyDescent="0.25">
      <c r="A306" s="1">
        <v>46008</v>
      </c>
      <c r="B306" s="1">
        <v>46008</v>
      </c>
      <c r="C306" t="s">
        <v>38</v>
      </c>
      <c r="D306" t="s">
        <v>39</v>
      </c>
      <c r="E306" t="s">
        <v>40</v>
      </c>
      <c r="F306" t="s">
        <v>41</v>
      </c>
      <c r="G306" t="s">
        <v>42</v>
      </c>
      <c r="H306" t="s">
        <v>43</v>
      </c>
      <c r="I306" t="s">
        <v>799</v>
      </c>
      <c r="J306" t="s">
        <v>800</v>
      </c>
      <c r="M306" t="s">
        <v>46</v>
      </c>
      <c r="O306" t="s">
        <v>62</v>
      </c>
      <c r="P306" t="s">
        <v>63</v>
      </c>
      <c r="Q306" t="s">
        <v>49</v>
      </c>
      <c r="R306" t="s">
        <v>58</v>
      </c>
      <c r="S306" s="1">
        <v>46023</v>
      </c>
      <c r="U306" t="s">
        <v>51</v>
      </c>
      <c r="X306" t="s">
        <v>52</v>
      </c>
      <c r="Y306" s="2">
        <v>0</v>
      </c>
      <c r="Z306" s="2">
        <v>175</v>
      </c>
      <c r="AA306">
        <v>1</v>
      </c>
      <c r="AB306" s="3">
        <v>1</v>
      </c>
      <c r="AC306" s="2">
        <v>175</v>
      </c>
      <c r="AD306" s="3">
        <v>0</v>
      </c>
      <c r="AE306" s="2">
        <v>0</v>
      </c>
      <c r="AF306" s="2">
        <v>175</v>
      </c>
      <c r="AK306">
        <v>6058648</v>
      </c>
    </row>
    <row r="307" spans="1:37" x14ac:dyDescent="0.25">
      <c r="A307" s="1">
        <v>46008</v>
      </c>
      <c r="B307" s="1">
        <v>46008</v>
      </c>
      <c r="C307" t="s">
        <v>38</v>
      </c>
      <c r="D307" t="s">
        <v>39</v>
      </c>
      <c r="E307" t="s">
        <v>40</v>
      </c>
      <c r="F307" t="s">
        <v>41</v>
      </c>
      <c r="G307" t="s">
        <v>42</v>
      </c>
      <c r="H307" t="s">
        <v>43</v>
      </c>
      <c r="I307" t="s">
        <v>801</v>
      </c>
      <c r="J307" t="s">
        <v>802</v>
      </c>
      <c r="M307" t="s">
        <v>46</v>
      </c>
      <c r="O307" t="s">
        <v>79</v>
      </c>
      <c r="P307" t="s">
        <v>80</v>
      </c>
      <c r="Q307" t="s">
        <v>49</v>
      </c>
      <c r="R307" t="s">
        <v>58</v>
      </c>
      <c r="S307" s="1">
        <v>46023</v>
      </c>
      <c r="U307" t="s">
        <v>51</v>
      </c>
      <c r="X307" t="s">
        <v>52</v>
      </c>
      <c r="Y307" s="2">
        <v>0</v>
      </c>
      <c r="Z307" s="2">
        <v>175</v>
      </c>
      <c r="AA307">
        <v>1</v>
      </c>
      <c r="AB307" s="3">
        <v>1</v>
      </c>
      <c r="AC307" s="2">
        <v>175</v>
      </c>
      <c r="AD307" s="3">
        <v>0</v>
      </c>
      <c r="AE307" s="2">
        <v>0</v>
      </c>
      <c r="AF307" s="2">
        <v>175</v>
      </c>
      <c r="AK307">
        <v>6058649</v>
      </c>
    </row>
    <row r="308" spans="1:37" x14ac:dyDescent="0.25">
      <c r="A308" s="1">
        <v>46008</v>
      </c>
      <c r="B308" s="1">
        <v>46008</v>
      </c>
      <c r="C308" t="s">
        <v>38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 t="s">
        <v>803</v>
      </c>
      <c r="J308" t="s">
        <v>804</v>
      </c>
      <c r="M308" t="s">
        <v>805</v>
      </c>
      <c r="O308" t="s">
        <v>115</v>
      </c>
      <c r="P308" t="s">
        <v>116</v>
      </c>
      <c r="Q308" t="s">
        <v>49</v>
      </c>
      <c r="R308" t="s">
        <v>58</v>
      </c>
      <c r="S308" s="1">
        <v>46023</v>
      </c>
      <c r="U308" t="s">
        <v>51</v>
      </c>
      <c r="X308" t="s">
        <v>52</v>
      </c>
      <c r="Y308" s="2">
        <v>0</v>
      </c>
      <c r="Z308" s="2">
        <v>175</v>
      </c>
      <c r="AA308">
        <v>1</v>
      </c>
      <c r="AB308" s="3">
        <v>1</v>
      </c>
      <c r="AC308" s="2">
        <v>175</v>
      </c>
      <c r="AD308" s="3">
        <v>0</v>
      </c>
      <c r="AE308" s="2">
        <v>0</v>
      </c>
      <c r="AF308" s="2">
        <v>175</v>
      </c>
      <c r="AK308">
        <v>6058650</v>
      </c>
    </row>
    <row r="309" spans="1:37" x14ac:dyDescent="0.25">
      <c r="A309" s="1">
        <v>46008</v>
      </c>
      <c r="B309" s="1">
        <v>46008</v>
      </c>
      <c r="C309" t="s">
        <v>38</v>
      </c>
      <c r="D309" t="s">
        <v>39</v>
      </c>
      <c r="E309" t="s">
        <v>40</v>
      </c>
      <c r="F309" t="s">
        <v>41</v>
      </c>
      <c r="G309" t="s">
        <v>42</v>
      </c>
      <c r="H309" t="s">
        <v>43</v>
      </c>
      <c r="I309" t="s">
        <v>806</v>
      </c>
      <c r="J309" t="s">
        <v>807</v>
      </c>
      <c r="M309" t="s">
        <v>46</v>
      </c>
      <c r="O309" t="s">
        <v>151</v>
      </c>
      <c r="P309" t="s">
        <v>152</v>
      </c>
      <c r="Q309" t="s">
        <v>49</v>
      </c>
      <c r="R309" t="s">
        <v>58</v>
      </c>
      <c r="S309" s="1">
        <v>46023</v>
      </c>
      <c r="U309" t="s">
        <v>51</v>
      </c>
      <c r="X309" t="s">
        <v>52</v>
      </c>
      <c r="Y309" s="2">
        <v>0</v>
      </c>
      <c r="Z309" s="2">
        <v>175</v>
      </c>
      <c r="AA309">
        <v>1</v>
      </c>
      <c r="AB309" s="3">
        <v>1</v>
      </c>
      <c r="AC309" s="2">
        <v>175</v>
      </c>
      <c r="AD309" s="3">
        <v>0</v>
      </c>
      <c r="AE309" s="2">
        <v>0</v>
      </c>
      <c r="AF309" s="2">
        <v>175</v>
      </c>
      <c r="AK309">
        <v>6058651</v>
      </c>
    </row>
    <row r="310" spans="1:37" x14ac:dyDescent="0.25">
      <c r="A310" s="1">
        <v>46008</v>
      </c>
      <c r="B310" s="1">
        <v>46008</v>
      </c>
      <c r="C310" t="s">
        <v>38</v>
      </c>
      <c r="D310" t="s">
        <v>39</v>
      </c>
      <c r="E310" t="s">
        <v>40</v>
      </c>
      <c r="F310" t="s">
        <v>41</v>
      </c>
      <c r="G310" t="s">
        <v>42</v>
      </c>
      <c r="H310" t="s">
        <v>43</v>
      </c>
      <c r="I310" t="s">
        <v>808</v>
      </c>
      <c r="J310" t="s">
        <v>809</v>
      </c>
      <c r="M310" t="s">
        <v>46</v>
      </c>
      <c r="O310" t="s">
        <v>74</v>
      </c>
      <c r="P310" t="s">
        <v>75</v>
      </c>
      <c r="Q310" t="s">
        <v>49</v>
      </c>
      <c r="R310" t="s">
        <v>58</v>
      </c>
      <c r="S310" s="1">
        <v>46023</v>
      </c>
      <c r="U310" t="s">
        <v>51</v>
      </c>
      <c r="X310" t="s">
        <v>52</v>
      </c>
      <c r="Y310" s="2">
        <v>0</v>
      </c>
      <c r="Z310" s="2">
        <v>175</v>
      </c>
      <c r="AA310">
        <v>1</v>
      </c>
      <c r="AB310" s="3">
        <v>1</v>
      </c>
      <c r="AC310" s="2">
        <v>175</v>
      </c>
      <c r="AD310" s="3">
        <v>0</v>
      </c>
      <c r="AE310" s="2">
        <v>0</v>
      </c>
      <c r="AF310" s="2">
        <v>175</v>
      </c>
      <c r="AK310">
        <v>6058652</v>
      </c>
    </row>
    <row r="311" spans="1:37" x14ac:dyDescent="0.25">
      <c r="A311" s="1">
        <v>46008</v>
      </c>
      <c r="B311" s="1">
        <v>46008</v>
      </c>
      <c r="C311" t="s">
        <v>38</v>
      </c>
      <c r="D311" t="s">
        <v>39</v>
      </c>
      <c r="E311" t="s">
        <v>40</v>
      </c>
      <c r="F311" t="s">
        <v>41</v>
      </c>
      <c r="G311" t="s">
        <v>42</v>
      </c>
      <c r="H311" t="s">
        <v>43</v>
      </c>
      <c r="I311" t="s">
        <v>810</v>
      </c>
      <c r="J311" t="s">
        <v>811</v>
      </c>
      <c r="M311" t="s">
        <v>46</v>
      </c>
      <c r="O311" t="s">
        <v>74</v>
      </c>
      <c r="P311" t="s">
        <v>75</v>
      </c>
      <c r="Q311" t="s">
        <v>49</v>
      </c>
      <c r="R311" t="s">
        <v>58</v>
      </c>
      <c r="S311" s="1">
        <v>46023</v>
      </c>
      <c r="U311" t="s">
        <v>51</v>
      </c>
      <c r="X311" t="s">
        <v>52</v>
      </c>
      <c r="Y311" s="2">
        <v>0</v>
      </c>
      <c r="Z311" s="2">
        <v>175</v>
      </c>
      <c r="AA311">
        <v>1</v>
      </c>
      <c r="AB311" s="3">
        <v>1</v>
      </c>
      <c r="AC311" s="2">
        <v>175</v>
      </c>
      <c r="AD311" s="3">
        <v>0</v>
      </c>
      <c r="AE311" s="2">
        <v>0</v>
      </c>
      <c r="AF311" s="2">
        <v>175</v>
      </c>
      <c r="AK311">
        <v>6058656</v>
      </c>
    </row>
    <row r="312" spans="1:37" x14ac:dyDescent="0.25">
      <c r="A312" s="1">
        <v>46008</v>
      </c>
      <c r="B312" s="1">
        <v>46008</v>
      </c>
      <c r="C312" t="s">
        <v>38</v>
      </c>
      <c r="D312" t="s">
        <v>39</v>
      </c>
      <c r="E312" t="s">
        <v>40</v>
      </c>
      <c r="F312" t="s">
        <v>41</v>
      </c>
      <c r="G312" t="s">
        <v>42</v>
      </c>
      <c r="H312" t="s">
        <v>43</v>
      </c>
      <c r="I312" t="s">
        <v>812</v>
      </c>
      <c r="J312" t="s">
        <v>813</v>
      </c>
      <c r="M312" t="s">
        <v>46</v>
      </c>
      <c r="O312" t="s">
        <v>430</v>
      </c>
      <c r="P312" t="s">
        <v>431</v>
      </c>
      <c r="Q312" t="s">
        <v>49</v>
      </c>
      <c r="R312" t="s">
        <v>58</v>
      </c>
      <c r="S312" s="1">
        <v>46023</v>
      </c>
      <c r="U312" t="s">
        <v>51</v>
      </c>
      <c r="X312" t="s">
        <v>52</v>
      </c>
      <c r="Y312" s="2">
        <v>0</v>
      </c>
      <c r="Z312" s="2">
        <v>175</v>
      </c>
      <c r="AA312">
        <v>1</v>
      </c>
      <c r="AB312" s="3">
        <v>1</v>
      </c>
      <c r="AC312" s="2">
        <v>175</v>
      </c>
      <c r="AD312" s="3">
        <v>0</v>
      </c>
      <c r="AE312" s="2">
        <v>0</v>
      </c>
      <c r="AF312" s="2">
        <v>175</v>
      </c>
      <c r="AK312">
        <v>6058657</v>
      </c>
    </row>
    <row r="313" spans="1:37" x14ac:dyDescent="0.25">
      <c r="A313" s="1">
        <v>46008</v>
      </c>
      <c r="B313" s="1">
        <v>46008</v>
      </c>
      <c r="C313" t="s">
        <v>38</v>
      </c>
      <c r="D313" t="s">
        <v>39</v>
      </c>
      <c r="E313" t="s">
        <v>40</v>
      </c>
      <c r="F313" t="s">
        <v>41</v>
      </c>
      <c r="G313" t="s">
        <v>42</v>
      </c>
      <c r="H313" t="s">
        <v>43</v>
      </c>
      <c r="I313" t="s">
        <v>814</v>
      </c>
      <c r="J313" t="s">
        <v>815</v>
      </c>
      <c r="M313" t="s">
        <v>46</v>
      </c>
      <c r="O313" t="s">
        <v>74</v>
      </c>
      <c r="P313" t="s">
        <v>75</v>
      </c>
      <c r="Q313" t="s">
        <v>49</v>
      </c>
      <c r="R313" t="s">
        <v>58</v>
      </c>
      <c r="S313" s="1">
        <v>46023</v>
      </c>
      <c r="U313" t="s">
        <v>51</v>
      </c>
      <c r="X313" t="s">
        <v>52</v>
      </c>
      <c r="Y313" s="2">
        <v>0</v>
      </c>
      <c r="Z313" s="2">
        <v>175</v>
      </c>
      <c r="AA313">
        <v>1</v>
      </c>
      <c r="AB313" s="3">
        <v>1</v>
      </c>
      <c r="AC313" s="2">
        <v>175</v>
      </c>
      <c r="AD313" s="3">
        <v>0</v>
      </c>
      <c r="AE313" s="2">
        <v>0</v>
      </c>
      <c r="AF313" s="2">
        <v>175</v>
      </c>
      <c r="AK313">
        <v>6058659</v>
      </c>
    </row>
    <row r="314" spans="1:37" x14ac:dyDescent="0.25">
      <c r="A314" s="1">
        <v>46008</v>
      </c>
      <c r="B314" s="1">
        <v>46008</v>
      </c>
      <c r="C314" t="s">
        <v>38</v>
      </c>
      <c r="D314" t="s">
        <v>39</v>
      </c>
      <c r="E314" t="s">
        <v>40</v>
      </c>
      <c r="F314" t="s">
        <v>41</v>
      </c>
      <c r="G314" t="s">
        <v>42</v>
      </c>
      <c r="H314" t="s">
        <v>43</v>
      </c>
      <c r="I314" t="s">
        <v>816</v>
      </c>
      <c r="J314" t="s">
        <v>817</v>
      </c>
      <c r="M314" t="s">
        <v>155</v>
      </c>
      <c r="O314" t="s">
        <v>179</v>
      </c>
      <c r="P314" t="s">
        <v>180</v>
      </c>
      <c r="Q314" t="s">
        <v>49</v>
      </c>
      <c r="R314" t="s">
        <v>58</v>
      </c>
      <c r="S314" s="1">
        <v>46023</v>
      </c>
      <c r="U314" t="s">
        <v>51</v>
      </c>
      <c r="X314" t="s">
        <v>52</v>
      </c>
      <c r="Y314" s="2">
        <v>0</v>
      </c>
      <c r="Z314" s="2">
        <v>175</v>
      </c>
      <c r="AA314">
        <v>1</v>
      </c>
      <c r="AB314" s="3">
        <v>1</v>
      </c>
      <c r="AC314" s="2">
        <v>175</v>
      </c>
      <c r="AD314" s="3">
        <v>0</v>
      </c>
      <c r="AE314" s="2">
        <v>0</v>
      </c>
      <c r="AF314" s="2">
        <v>175</v>
      </c>
      <c r="AK314">
        <v>6058398</v>
      </c>
    </row>
    <row r="315" spans="1:37" x14ac:dyDescent="0.25">
      <c r="A315" s="1">
        <v>46008</v>
      </c>
      <c r="B315" s="1">
        <v>46008</v>
      </c>
      <c r="C315" t="s">
        <v>38</v>
      </c>
      <c r="D315" t="s">
        <v>39</v>
      </c>
      <c r="E315" t="s">
        <v>40</v>
      </c>
      <c r="F315" t="s">
        <v>41</v>
      </c>
      <c r="G315" t="s">
        <v>42</v>
      </c>
      <c r="H315" t="s">
        <v>43</v>
      </c>
      <c r="I315" t="s">
        <v>818</v>
      </c>
      <c r="J315" t="s">
        <v>819</v>
      </c>
      <c r="M315" t="s">
        <v>46</v>
      </c>
      <c r="O315" t="s">
        <v>47</v>
      </c>
      <c r="P315" t="s">
        <v>48</v>
      </c>
      <c r="Q315" t="s">
        <v>49</v>
      </c>
      <c r="R315" t="s">
        <v>58</v>
      </c>
      <c r="S315" s="1">
        <v>46082</v>
      </c>
      <c r="U315" t="s">
        <v>51</v>
      </c>
      <c r="X315" t="s">
        <v>52</v>
      </c>
      <c r="Y315" s="2">
        <v>0</v>
      </c>
      <c r="Z315" s="2">
        <v>175</v>
      </c>
      <c r="AA315">
        <v>1</v>
      </c>
      <c r="AB315" s="3">
        <v>1</v>
      </c>
      <c r="AC315" s="2">
        <v>175</v>
      </c>
      <c r="AD315" s="3">
        <v>0</v>
      </c>
      <c r="AE315" s="2">
        <v>0</v>
      </c>
      <c r="AF315" s="2">
        <v>175</v>
      </c>
      <c r="AK315">
        <v>6058660</v>
      </c>
    </row>
    <row r="316" spans="1:37" x14ac:dyDescent="0.25">
      <c r="A316" s="1">
        <v>46008</v>
      </c>
      <c r="B316" s="1">
        <v>46008</v>
      </c>
      <c r="C316" t="s">
        <v>38</v>
      </c>
      <c r="D316" t="s">
        <v>39</v>
      </c>
      <c r="E316" t="s">
        <v>40</v>
      </c>
      <c r="F316" t="s">
        <v>41</v>
      </c>
      <c r="G316" t="s">
        <v>42</v>
      </c>
      <c r="H316" t="s">
        <v>43</v>
      </c>
      <c r="I316" t="s">
        <v>820</v>
      </c>
      <c r="J316" t="s">
        <v>821</v>
      </c>
      <c r="M316" t="s">
        <v>87</v>
      </c>
      <c r="O316" t="s">
        <v>141</v>
      </c>
      <c r="P316" t="s">
        <v>142</v>
      </c>
      <c r="Q316" t="s">
        <v>49</v>
      </c>
      <c r="R316" t="s">
        <v>58</v>
      </c>
      <c r="S316" s="1">
        <v>46023</v>
      </c>
      <c r="U316" t="s">
        <v>51</v>
      </c>
      <c r="X316" t="s">
        <v>52</v>
      </c>
      <c r="Y316" s="2">
        <v>0</v>
      </c>
      <c r="Z316" s="2">
        <v>175</v>
      </c>
      <c r="AA316">
        <v>1</v>
      </c>
      <c r="AB316" s="3">
        <v>1</v>
      </c>
      <c r="AC316" s="2">
        <v>175</v>
      </c>
      <c r="AD316" s="3">
        <v>0</v>
      </c>
      <c r="AE316" s="2">
        <v>0</v>
      </c>
      <c r="AF316" s="2">
        <v>175</v>
      </c>
      <c r="AK316">
        <v>6058661</v>
      </c>
    </row>
    <row r="317" spans="1:37" x14ac:dyDescent="0.25">
      <c r="A317" s="1">
        <v>46008</v>
      </c>
      <c r="B317" s="1">
        <v>46008</v>
      </c>
      <c r="C317" t="s">
        <v>38</v>
      </c>
      <c r="D317" t="s">
        <v>39</v>
      </c>
      <c r="E317" t="s">
        <v>40</v>
      </c>
      <c r="F317" t="s">
        <v>41</v>
      </c>
      <c r="G317" t="s">
        <v>42</v>
      </c>
      <c r="H317" t="s">
        <v>43</v>
      </c>
      <c r="I317" t="s">
        <v>822</v>
      </c>
      <c r="J317" t="s">
        <v>823</v>
      </c>
      <c r="M317" t="s">
        <v>403</v>
      </c>
      <c r="O317" t="s">
        <v>270</v>
      </c>
      <c r="P317" t="s">
        <v>271</v>
      </c>
      <c r="Q317" t="s">
        <v>49</v>
      </c>
      <c r="R317" t="s">
        <v>58</v>
      </c>
      <c r="S317" s="1">
        <v>46023</v>
      </c>
      <c r="U317" t="s">
        <v>51</v>
      </c>
      <c r="X317" t="s">
        <v>52</v>
      </c>
      <c r="Y317" s="2">
        <v>0</v>
      </c>
      <c r="Z317" s="2">
        <v>175</v>
      </c>
      <c r="AA317">
        <v>1</v>
      </c>
      <c r="AB317" s="3">
        <v>1</v>
      </c>
      <c r="AC317" s="2">
        <v>175</v>
      </c>
      <c r="AD317" s="3">
        <v>0</v>
      </c>
      <c r="AE317" s="2">
        <v>0</v>
      </c>
      <c r="AF317" s="2">
        <v>175</v>
      </c>
      <c r="AK317">
        <v>6058662</v>
      </c>
    </row>
    <row r="318" spans="1:37" x14ac:dyDescent="0.25">
      <c r="A318" s="1">
        <v>46008</v>
      </c>
      <c r="B318" s="1">
        <v>46008</v>
      </c>
      <c r="C318" t="s">
        <v>38</v>
      </c>
      <c r="D318" t="s">
        <v>39</v>
      </c>
      <c r="E318" t="s">
        <v>40</v>
      </c>
      <c r="F318" t="s">
        <v>41</v>
      </c>
      <c r="G318" t="s">
        <v>42</v>
      </c>
      <c r="H318" t="s">
        <v>43</v>
      </c>
      <c r="I318" t="s">
        <v>824</v>
      </c>
      <c r="J318" t="s">
        <v>825</v>
      </c>
      <c r="M318" t="s">
        <v>805</v>
      </c>
      <c r="O318" t="s">
        <v>115</v>
      </c>
      <c r="P318" t="s">
        <v>116</v>
      </c>
      <c r="Q318" t="s">
        <v>49</v>
      </c>
      <c r="R318" t="s">
        <v>58</v>
      </c>
      <c r="S318" s="1">
        <v>46023</v>
      </c>
      <c r="U318" t="s">
        <v>51</v>
      </c>
      <c r="X318" t="s">
        <v>52</v>
      </c>
      <c r="Y318" s="2">
        <v>0</v>
      </c>
      <c r="Z318" s="2">
        <v>175</v>
      </c>
      <c r="AA318">
        <v>1</v>
      </c>
      <c r="AB318" s="3">
        <v>1</v>
      </c>
      <c r="AC318" s="2">
        <v>175</v>
      </c>
      <c r="AD318" s="3">
        <v>0</v>
      </c>
      <c r="AE318" s="2">
        <v>0</v>
      </c>
      <c r="AF318" s="2">
        <v>175</v>
      </c>
      <c r="AK318">
        <v>6058668</v>
      </c>
    </row>
    <row r="319" spans="1:37" x14ac:dyDescent="0.25">
      <c r="A319" s="1">
        <v>46008</v>
      </c>
      <c r="B319" s="1">
        <v>46008</v>
      </c>
      <c r="C319" t="s">
        <v>38</v>
      </c>
      <c r="D319" t="s">
        <v>39</v>
      </c>
      <c r="E319" t="s">
        <v>40</v>
      </c>
      <c r="F319" t="s">
        <v>41</v>
      </c>
      <c r="G319" t="s">
        <v>42</v>
      </c>
      <c r="H319" t="s">
        <v>43</v>
      </c>
      <c r="I319" t="s">
        <v>826</v>
      </c>
      <c r="J319" t="s">
        <v>827</v>
      </c>
      <c r="M319" t="s">
        <v>61</v>
      </c>
      <c r="O319" t="s">
        <v>108</v>
      </c>
      <c r="P319" t="s">
        <v>109</v>
      </c>
      <c r="Q319" t="s">
        <v>49</v>
      </c>
      <c r="R319" t="s">
        <v>58</v>
      </c>
      <c r="S319" s="1">
        <v>46023</v>
      </c>
      <c r="U319" t="s">
        <v>51</v>
      </c>
      <c r="X319" t="s">
        <v>52</v>
      </c>
      <c r="Y319" s="2">
        <v>0</v>
      </c>
      <c r="Z319" s="2">
        <v>175</v>
      </c>
      <c r="AA319">
        <v>1</v>
      </c>
      <c r="AB319" s="3">
        <v>1</v>
      </c>
      <c r="AC319" s="2">
        <v>175</v>
      </c>
      <c r="AD319" s="3">
        <v>0</v>
      </c>
      <c r="AE319" s="2">
        <v>0</v>
      </c>
      <c r="AF319" s="2">
        <v>175</v>
      </c>
      <c r="AK319">
        <v>6058669</v>
      </c>
    </row>
    <row r="320" spans="1:37" x14ac:dyDescent="0.25">
      <c r="A320" s="1">
        <v>46008</v>
      </c>
      <c r="B320" s="1">
        <v>46008</v>
      </c>
      <c r="C320" t="s">
        <v>38</v>
      </c>
      <c r="D320" t="s">
        <v>39</v>
      </c>
      <c r="E320" t="s">
        <v>40</v>
      </c>
      <c r="F320" t="s">
        <v>41</v>
      </c>
      <c r="G320" t="s">
        <v>42</v>
      </c>
      <c r="H320" t="s">
        <v>43</v>
      </c>
      <c r="I320" t="s">
        <v>828</v>
      </c>
      <c r="J320" t="s">
        <v>829</v>
      </c>
      <c r="M320" t="s">
        <v>46</v>
      </c>
      <c r="O320" t="s">
        <v>47</v>
      </c>
      <c r="P320" t="s">
        <v>48</v>
      </c>
      <c r="Q320" t="s">
        <v>49</v>
      </c>
      <c r="R320" t="s">
        <v>58</v>
      </c>
      <c r="S320" s="1">
        <v>46023</v>
      </c>
      <c r="U320" t="s">
        <v>51</v>
      </c>
      <c r="X320" t="s">
        <v>52</v>
      </c>
      <c r="Y320" s="2">
        <v>0</v>
      </c>
      <c r="Z320" s="2">
        <v>175</v>
      </c>
      <c r="AA320">
        <v>1</v>
      </c>
      <c r="AB320" s="3">
        <v>1</v>
      </c>
      <c r="AC320" s="2">
        <v>175</v>
      </c>
      <c r="AD320" s="3">
        <v>0</v>
      </c>
      <c r="AE320" s="2">
        <v>0</v>
      </c>
      <c r="AF320" s="2">
        <v>175</v>
      </c>
      <c r="AK320">
        <v>6058671</v>
      </c>
    </row>
    <row r="321" spans="1:37" x14ac:dyDescent="0.25">
      <c r="A321" s="1">
        <v>46008</v>
      </c>
      <c r="B321" s="1">
        <v>46008</v>
      </c>
      <c r="C321" t="s">
        <v>38</v>
      </c>
      <c r="D321" t="s">
        <v>39</v>
      </c>
      <c r="E321" t="s">
        <v>40</v>
      </c>
      <c r="F321" t="s">
        <v>41</v>
      </c>
      <c r="G321" t="s">
        <v>42</v>
      </c>
      <c r="H321" t="s">
        <v>43</v>
      </c>
      <c r="I321" t="s">
        <v>830</v>
      </c>
      <c r="J321" t="s">
        <v>831</v>
      </c>
      <c r="M321" t="s">
        <v>46</v>
      </c>
      <c r="O321" t="s">
        <v>147</v>
      </c>
      <c r="P321" t="s">
        <v>148</v>
      </c>
      <c r="Q321" t="s">
        <v>49</v>
      </c>
      <c r="R321" t="s">
        <v>58</v>
      </c>
      <c r="S321" s="1">
        <v>46023</v>
      </c>
      <c r="U321" t="s">
        <v>51</v>
      </c>
      <c r="X321" t="s">
        <v>52</v>
      </c>
      <c r="Y321" s="2">
        <v>0</v>
      </c>
      <c r="Z321" s="2">
        <v>175</v>
      </c>
      <c r="AA321">
        <v>1</v>
      </c>
      <c r="AB321" s="3">
        <v>1</v>
      </c>
      <c r="AC321" s="2">
        <v>175</v>
      </c>
      <c r="AD321" s="3">
        <v>0</v>
      </c>
      <c r="AE321" s="2">
        <v>0</v>
      </c>
      <c r="AF321" s="2">
        <v>175</v>
      </c>
      <c r="AK321">
        <v>6058672</v>
      </c>
    </row>
    <row r="322" spans="1:37" x14ac:dyDescent="0.25">
      <c r="A322" s="1">
        <v>46008</v>
      </c>
      <c r="B322" s="1">
        <v>46008</v>
      </c>
      <c r="C322" t="s">
        <v>38</v>
      </c>
      <c r="D322" t="s">
        <v>39</v>
      </c>
      <c r="E322" t="s">
        <v>40</v>
      </c>
      <c r="F322" t="s">
        <v>41</v>
      </c>
      <c r="G322" t="s">
        <v>42</v>
      </c>
      <c r="H322" t="s">
        <v>43</v>
      </c>
      <c r="I322" t="s">
        <v>832</v>
      </c>
      <c r="J322" t="s">
        <v>833</v>
      </c>
      <c r="M322" t="s">
        <v>403</v>
      </c>
      <c r="O322" t="s">
        <v>270</v>
      </c>
      <c r="P322" t="s">
        <v>271</v>
      </c>
      <c r="Q322" t="s">
        <v>49</v>
      </c>
      <c r="R322" t="s">
        <v>58</v>
      </c>
      <c r="S322" s="1">
        <v>46023</v>
      </c>
      <c r="U322" t="s">
        <v>51</v>
      </c>
      <c r="X322" t="s">
        <v>52</v>
      </c>
      <c r="Y322" s="2">
        <v>0</v>
      </c>
      <c r="Z322" s="2">
        <v>175</v>
      </c>
      <c r="AA322">
        <v>1</v>
      </c>
      <c r="AB322" s="3">
        <v>1</v>
      </c>
      <c r="AC322" s="2">
        <v>175</v>
      </c>
      <c r="AD322" s="3">
        <v>0</v>
      </c>
      <c r="AE322" s="2">
        <v>0</v>
      </c>
      <c r="AF322" s="2">
        <v>175</v>
      </c>
      <c r="AK322">
        <v>6058673</v>
      </c>
    </row>
    <row r="323" spans="1:37" x14ac:dyDescent="0.25">
      <c r="A323" s="1">
        <v>46008</v>
      </c>
      <c r="B323" s="1">
        <v>46008</v>
      </c>
      <c r="C323" t="s">
        <v>38</v>
      </c>
      <c r="D323" t="s">
        <v>39</v>
      </c>
      <c r="E323" t="s">
        <v>40</v>
      </c>
      <c r="F323" t="s">
        <v>41</v>
      </c>
      <c r="G323" t="s">
        <v>42</v>
      </c>
      <c r="H323" t="s">
        <v>43</v>
      </c>
      <c r="I323" t="s">
        <v>834</v>
      </c>
      <c r="J323" t="s">
        <v>835</v>
      </c>
      <c r="M323" t="s">
        <v>46</v>
      </c>
      <c r="O323" t="s">
        <v>74</v>
      </c>
      <c r="P323" t="s">
        <v>75</v>
      </c>
      <c r="Q323" t="s">
        <v>49</v>
      </c>
      <c r="R323" t="s">
        <v>58</v>
      </c>
      <c r="S323" s="1">
        <v>46023</v>
      </c>
      <c r="U323" t="s">
        <v>51</v>
      </c>
      <c r="X323" t="s">
        <v>52</v>
      </c>
      <c r="Y323" s="2">
        <v>0</v>
      </c>
      <c r="Z323" s="2">
        <v>175</v>
      </c>
      <c r="AA323">
        <v>1</v>
      </c>
      <c r="AB323" s="3">
        <v>1</v>
      </c>
      <c r="AC323" s="2">
        <v>175</v>
      </c>
      <c r="AD323" s="3">
        <v>0</v>
      </c>
      <c r="AE323" s="2">
        <v>0</v>
      </c>
      <c r="AF323" s="2">
        <v>175</v>
      </c>
      <c r="AK323">
        <v>6058674</v>
      </c>
    </row>
    <row r="324" spans="1:37" x14ac:dyDescent="0.25">
      <c r="A324" s="1">
        <v>46008</v>
      </c>
      <c r="B324" s="1">
        <v>46008</v>
      </c>
      <c r="C324" t="s">
        <v>38</v>
      </c>
      <c r="D324" t="s">
        <v>39</v>
      </c>
      <c r="E324" t="s">
        <v>40</v>
      </c>
      <c r="F324" t="s">
        <v>41</v>
      </c>
      <c r="G324" t="s">
        <v>42</v>
      </c>
      <c r="H324" t="s">
        <v>43</v>
      </c>
      <c r="I324" t="s">
        <v>836</v>
      </c>
      <c r="J324" t="s">
        <v>837</v>
      </c>
      <c r="M324" t="s">
        <v>61</v>
      </c>
      <c r="O324" t="s">
        <v>838</v>
      </c>
      <c r="P324" t="s">
        <v>839</v>
      </c>
      <c r="Q324" t="s">
        <v>49</v>
      </c>
      <c r="R324" t="s">
        <v>58</v>
      </c>
      <c r="S324" s="1">
        <v>46023</v>
      </c>
      <c r="U324" t="s">
        <v>51</v>
      </c>
      <c r="X324" t="s">
        <v>52</v>
      </c>
      <c r="Y324" s="2">
        <v>0</v>
      </c>
      <c r="Z324" s="2">
        <v>175</v>
      </c>
      <c r="AA324">
        <v>1</v>
      </c>
      <c r="AB324" s="3">
        <v>1</v>
      </c>
      <c r="AC324" s="2">
        <v>175</v>
      </c>
      <c r="AD324" s="3">
        <v>0</v>
      </c>
      <c r="AE324" s="2">
        <v>0</v>
      </c>
      <c r="AF324" s="2">
        <v>175</v>
      </c>
      <c r="AK324">
        <v>6058405</v>
      </c>
    </row>
    <row r="325" spans="1:37" x14ac:dyDescent="0.25">
      <c r="A325" s="1">
        <v>46008</v>
      </c>
      <c r="B325" s="1">
        <v>46008</v>
      </c>
      <c r="C325" t="s">
        <v>38</v>
      </c>
      <c r="D325" t="s">
        <v>39</v>
      </c>
      <c r="E325" t="s">
        <v>40</v>
      </c>
      <c r="F325" t="s">
        <v>41</v>
      </c>
      <c r="G325" t="s">
        <v>42</v>
      </c>
      <c r="H325" t="s">
        <v>43</v>
      </c>
      <c r="I325" t="s">
        <v>840</v>
      </c>
      <c r="J325" t="s">
        <v>841</v>
      </c>
      <c r="M325" t="s">
        <v>217</v>
      </c>
      <c r="O325" t="s">
        <v>218</v>
      </c>
      <c r="P325" t="s">
        <v>219</v>
      </c>
      <c r="Q325" t="s">
        <v>49</v>
      </c>
      <c r="R325" t="s">
        <v>58</v>
      </c>
      <c r="S325" s="1">
        <v>46023</v>
      </c>
      <c r="U325" t="s">
        <v>51</v>
      </c>
      <c r="X325" t="s">
        <v>52</v>
      </c>
      <c r="Y325" s="2">
        <v>0</v>
      </c>
      <c r="Z325" s="2">
        <v>175</v>
      </c>
      <c r="AA325">
        <v>1</v>
      </c>
      <c r="AB325" s="3">
        <v>1</v>
      </c>
      <c r="AC325" s="2">
        <v>175</v>
      </c>
      <c r="AD325" s="3">
        <v>0</v>
      </c>
      <c r="AE325" s="2">
        <v>0</v>
      </c>
      <c r="AF325" s="2">
        <v>175</v>
      </c>
      <c r="AK325">
        <v>6058406</v>
      </c>
    </row>
    <row r="326" spans="1:37" x14ac:dyDescent="0.25">
      <c r="A326" s="1">
        <v>46008</v>
      </c>
      <c r="B326" s="1">
        <v>46008</v>
      </c>
      <c r="C326" t="s">
        <v>38</v>
      </c>
      <c r="D326" t="s">
        <v>39</v>
      </c>
      <c r="E326" t="s">
        <v>40</v>
      </c>
      <c r="F326" t="s">
        <v>41</v>
      </c>
      <c r="G326" t="s">
        <v>42</v>
      </c>
      <c r="H326" t="s">
        <v>43</v>
      </c>
      <c r="I326" t="s">
        <v>842</v>
      </c>
      <c r="J326" t="s">
        <v>843</v>
      </c>
      <c r="M326" t="s">
        <v>46</v>
      </c>
      <c r="O326" t="s">
        <v>125</v>
      </c>
      <c r="P326" t="s">
        <v>126</v>
      </c>
      <c r="Q326" t="s">
        <v>49</v>
      </c>
      <c r="R326" t="s">
        <v>58</v>
      </c>
      <c r="S326" s="1">
        <v>46023</v>
      </c>
      <c r="U326" t="s">
        <v>51</v>
      </c>
      <c r="X326" t="s">
        <v>52</v>
      </c>
      <c r="Y326" s="2">
        <v>0</v>
      </c>
      <c r="Z326" s="2">
        <v>175</v>
      </c>
      <c r="AA326">
        <v>1</v>
      </c>
      <c r="AB326" s="3">
        <v>1</v>
      </c>
      <c r="AC326" s="2">
        <v>175</v>
      </c>
      <c r="AD326" s="3">
        <v>0</v>
      </c>
      <c r="AE326" s="2">
        <v>0</v>
      </c>
      <c r="AF326" s="2">
        <v>175</v>
      </c>
      <c r="AK326">
        <v>6058407</v>
      </c>
    </row>
    <row r="327" spans="1:37" x14ac:dyDescent="0.25">
      <c r="A327" s="1">
        <v>46008</v>
      </c>
      <c r="B327" s="1">
        <v>46008</v>
      </c>
      <c r="C327" t="s">
        <v>38</v>
      </c>
      <c r="D327" t="s">
        <v>39</v>
      </c>
      <c r="E327" t="s">
        <v>40</v>
      </c>
      <c r="F327" t="s">
        <v>41</v>
      </c>
      <c r="G327" t="s">
        <v>42</v>
      </c>
      <c r="H327" t="s">
        <v>43</v>
      </c>
      <c r="I327" t="s">
        <v>844</v>
      </c>
      <c r="J327" t="s">
        <v>845</v>
      </c>
      <c r="M327" t="s">
        <v>55</v>
      </c>
      <c r="O327" t="s">
        <v>846</v>
      </c>
      <c r="P327" t="s">
        <v>847</v>
      </c>
      <c r="Q327" t="s">
        <v>49</v>
      </c>
      <c r="R327" t="s">
        <v>58</v>
      </c>
      <c r="S327" s="1">
        <v>46023</v>
      </c>
      <c r="U327" t="s">
        <v>51</v>
      </c>
      <c r="X327" t="s">
        <v>52</v>
      </c>
      <c r="Y327" s="2">
        <v>0</v>
      </c>
      <c r="Z327" s="2">
        <v>175</v>
      </c>
      <c r="AA327">
        <v>1</v>
      </c>
      <c r="AB327" s="3">
        <v>1</v>
      </c>
      <c r="AC327" s="2">
        <v>175</v>
      </c>
      <c r="AD327" s="3">
        <v>0</v>
      </c>
      <c r="AE327" s="2">
        <v>0</v>
      </c>
      <c r="AF327" s="2">
        <v>175</v>
      </c>
      <c r="AK327">
        <v>6058675</v>
      </c>
    </row>
    <row r="328" spans="1:37" x14ac:dyDescent="0.25">
      <c r="A328" s="1">
        <v>46008</v>
      </c>
      <c r="B328" s="1">
        <v>46008</v>
      </c>
      <c r="C328" t="s">
        <v>38</v>
      </c>
      <c r="D328" t="s">
        <v>39</v>
      </c>
      <c r="E328" t="s">
        <v>40</v>
      </c>
      <c r="F328" t="s">
        <v>41</v>
      </c>
      <c r="G328" t="s">
        <v>42</v>
      </c>
      <c r="H328" t="s">
        <v>43</v>
      </c>
      <c r="I328" t="s">
        <v>848</v>
      </c>
      <c r="J328" t="s">
        <v>849</v>
      </c>
      <c r="M328" t="s">
        <v>158</v>
      </c>
      <c r="O328" t="s">
        <v>100</v>
      </c>
      <c r="P328" t="s">
        <v>101</v>
      </c>
      <c r="Q328" t="s">
        <v>49</v>
      </c>
      <c r="R328" t="s">
        <v>58</v>
      </c>
      <c r="S328" s="1">
        <v>46023</v>
      </c>
      <c r="U328" t="s">
        <v>51</v>
      </c>
      <c r="X328" t="s">
        <v>52</v>
      </c>
      <c r="Y328" s="2">
        <v>0</v>
      </c>
      <c r="Z328" s="2">
        <v>175</v>
      </c>
      <c r="AA328">
        <v>1</v>
      </c>
      <c r="AB328" s="3">
        <v>1</v>
      </c>
      <c r="AC328" s="2">
        <v>175</v>
      </c>
      <c r="AD328" s="3">
        <v>0</v>
      </c>
      <c r="AE328" s="2">
        <v>0</v>
      </c>
      <c r="AF328" s="2">
        <v>175</v>
      </c>
      <c r="AK328">
        <v>6058676</v>
      </c>
    </row>
    <row r="329" spans="1:37" x14ac:dyDescent="0.25">
      <c r="A329" s="1">
        <v>46008</v>
      </c>
      <c r="B329" s="1">
        <v>46008</v>
      </c>
      <c r="C329" t="s">
        <v>38</v>
      </c>
      <c r="D329" t="s">
        <v>39</v>
      </c>
      <c r="E329" t="s">
        <v>40</v>
      </c>
      <c r="F329" t="s">
        <v>41</v>
      </c>
      <c r="G329" t="s">
        <v>42</v>
      </c>
      <c r="H329" t="s">
        <v>43</v>
      </c>
      <c r="I329" t="s">
        <v>850</v>
      </c>
      <c r="J329" t="s">
        <v>851</v>
      </c>
      <c r="M329" t="s">
        <v>46</v>
      </c>
      <c r="O329" t="s">
        <v>852</v>
      </c>
      <c r="P329" t="s">
        <v>853</v>
      </c>
      <c r="Q329" t="s">
        <v>49</v>
      </c>
      <c r="R329" t="s">
        <v>58</v>
      </c>
      <c r="S329" s="1">
        <v>46023</v>
      </c>
      <c r="U329" t="s">
        <v>51</v>
      </c>
      <c r="X329" t="s">
        <v>52</v>
      </c>
      <c r="Y329" s="2">
        <v>0</v>
      </c>
      <c r="Z329" s="2">
        <v>175</v>
      </c>
      <c r="AA329">
        <v>1</v>
      </c>
      <c r="AB329" s="3">
        <v>1</v>
      </c>
      <c r="AC329" s="2">
        <v>175</v>
      </c>
      <c r="AD329" s="3">
        <v>0</v>
      </c>
      <c r="AE329" s="2">
        <v>0</v>
      </c>
      <c r="AF329" s="2">
        <v>175</v>
      </c>
      <c r="AK329">
        <v>6058677</v>
      </c>
    </row>
    <row r="330" spans="1:37" x14ac:dyDescent="0.25">
      <c r="A330" s="1">
        <v>46008</v>
      </c>
      <c r="B330" s="1">
        <v>46008</v>
      </c>
      <c r="C330" t="s">
        <v>38</v>
      </c>
      <c r="D330" t="s">
        <v>39</v>
      </c>
      <c r="E330" t="s">
        <v>40</v>
      </c>
      <c r="F330" t="s">
        <v>41</v>
      </c>
      <c r="G330" t="s">
        <v>42</v>
      </c>
      <c r="H330" t="s">
        <v>43</v>
      </c>
      <c r="I330" t="s">
        <v>854</v>
      </c>
      <c r="J330" t="s">
        <v>855</v>
      </c>
      <c r="M330" t="s">
        <v>61</v>
      </c>
      <c r="O330" t="s">
        <v>115</v>
      </c>
      <c r="P330" t="s">
        <v>116</v>
      </c>
      <c r="Q330" t="s">
        <v>49</v>
      </c>
      <c r="R330" t="s">
        <v>58</v>
      </c>
      <c r="S330" s="1">
        <v>46023</v>
      </c>
      <c r="U330" t="s">
        <v>51</v>
      </c>
      <c r="X330" t="s">
        <v>52</v>
      </c>
      <c r="Y330" s="2">
        <v>0</v>
      </c>
      <c r="Z330" s="2">
        <v>175</v>
      </c>
      <c r="AA330">
        <v>1</v>
      </c>
      <c r="AB330" s="3">
        <v>1</v>
      </c>
      <c r="AC330" s="2">
        <v>175</v>
      </c>
      <c r="AD330" s="3">
        <v>0</v>
      </c>
      <c r="AE330" s="2">
        <v>0</v>
      </c>
      <c r="AF330" s="2">
        <v>175</v>
      </c>
      <c r="AK330">
        <v>6058680</v>
      </c>
    </row>
    <row r="331" spans="1:37" x14ac:dyDescent="0.25">
      <c r="A331" s="1">
        <v>46008</v>
      </c>
      <c r="B331" s="1">
        <v>46008</v>
      </c>
      <c r="C331" t="s">
        <v>38</v>
      </c>
      <c r="D331" t="s">
        <v>39</v>
      </c>
      <c r="E331" t="s">
        <v>40</v>
      </c>
      <c r="F331" t="s">
        <v>41</v>
      </c>
      <c r="G331" t="s">
        <v>42</v>
      </c>
      <c r="H331" t="s">
        <v>43</v>
      </c>
      <c r="I331" t="s">
        <v>856</v>
      </c>
      <c r="J331" t="s">
        <v>857</v>
      </c>
      <c r="M331" t="s">
        <v>46</v>
      </c>
      <c r="O331" t="s">
        <v>66</v>
      </c>
      <c r="P331" t="s">
        <v>67</v>
      </c>
      <c r="Q331" t="s">
        <v>49</v>
      </c>
      <c r="R331" t="s">
        <v>58</v>
      </c>
      <c r="S331" s="1">
        <v>46023</v>
      </c>
      <c r="U331" t="s">
        <v>51</v>
      </c>
      <c r="X331" t="s">
        <v>52</v>
      </c>
      <c r="Y331" s="2">
        <v>0</v>
      </c>
      <c r="Z331" s="2">
        <v>175</v>
      </c>
      <c r="AA331">
        <v>1</v>
      </c>
      <c r="AB331" s="3">
        <v>1</v>
      </c>
      <c r="AC331" s="2">
        <v>175</v>
      </c>
      <c r="AD331" s="3">
        <v>0</v>
      </c>
      <c r="AE331" s="2">
        <v>0</v>
      </c>
      <c r="AF331" s="2">
        <v>175</v>
      </c>
      <c r="AK331">
        <v>6058681</v>
      </c>
    </row>
    <row r="332" spans="1:37" x14ac:dyDescent="0.25">
      <c r="A332" s="1">
        <v>46008</v>
      </c>
      <c r="B332" s="1">
        <v>46008</v>
      </c>
      <c r="C332" t="s">
        <v>38</v>
      </c>
      <c r="D332" t="s">
        <v>39</v>
      </c>
      <c r="E332" t="s">
        <v>40</v>
      </c>
      <c r="F332" t="s">
        <v>41</v>
      </c>
      <c r="G332" t="s">
        <v>42</v>
      </c>
      <c r="H332" t="s">
        <v>43</v>
      </c>
      <c r="I332" t="s">
        <v>858</v>
      </c>
      <c r="J332" t="s">
        <v>859</v>
      </c>
      <c r="M332" t="s">
        <v>46</v>
      </c>
      <c r="O332" t="s">
        <v>389</v>
      </c>
      <c r="P332" t="s">
        <v>390</v>
      </c>
      <c r="Q332" t="s">
        <v>49</v>
      </c>
      <c r="R332" t="s">
        <v>58</v>
      </c>
      <c r="S332" s="1">
        <v>46023</v>
      </c>
      <c r="U332" t="s">
        <v>51</v>
      </c>
      <c r="X332" t="s">
        <v>52</v>
      </c>
      <c r="Y332" s="2">
        <v>0</v>
      </c>
      <c r="Z332" s="2">
        <v>175</v>
      </c>
      <c r="AA332">
        <v>1</v>
      </c>
      <c r="AB332" s="3">
        <v>1</v>
      </c>
      <c r="AC332" s="2">
        <v>175</v>
      </c>
      <c r="AD332" s="3">
        <v>0</v>
      </c>
      <c r="AE332" s="2">
        <v>0</v>
      </c>
      <c r="AF332" s="2">
        <v>175</v>
      </c>
      <c r="AK332">
        <v>6058410</v>
      </c>
    </row>
    <row r="333" spans="1:37" x14ac:dyDescent="0.25">
      <c r="A333" s="1">
        <v>46008</v>
      </c>
      <c r="B333" s="1">
        <v>46008</v>
      </c>
      <c r="C333" t="s">
        <v>38</v>
      </c>
      <c r="D333" t="s">
        <v>39</v>
      </c>
      <c r="E333" t="s">
        <v>40</v>
      </c>
      <c r="F333" t="s">
        <v>41</v>
      </c>
      <c r="G333" t="s">
        <v>42</v>
      </c>
      <c r="H333" t="s">
        <v>43</v>
      </c>
      <c r="I333" t="s">
        <v>860</v>
      </c>
      <c r="J333" t="s">
        <v>861</v>
      </c>
      <c r="M333" t="s">
        <v>46</v>
      </c>
      <c r="O333" t="s">
        <v>147</v>
      </c>
      <c r="P333" t="s">
        <v>148</v>
      </c>
      <c r="Q333" t="s">
        <v>49</v>
      </c>
      <c r="R333" t="s">
        <v>58</v>
      </c>
      <c r="S333" s="1">
        <v>46023</v>
      </c>
      <c r="U333" t="s">
        <v>51</v>
      </c>
      <c r="X333" t="s">
        <v>52</v>
      </c>
      <c r="Y333" s="2">
        <v>0</v>
      </c>
      <c r="Z333" s="2">
        <v>175</v>
      </c>
      <c r="AA333">
        <v>1</v>
      </c>
      <c r="AB333" s="3">
        <v>1</v>
      </c>
      <c r="AC333" s="2">
        <v>175</v>
      </c>
      <c r="AD333" s="3">
        <v>0</v>
      </c>
      <c r="AE333" s="2">
        <v>0</v>
      </c>
      <c r="AF333" s="2">
        <v>175</v>
      </c>
      <c r="AK333">
        <v>6058685</v>
      </c>
    </row>
    <row r="334" spans="1:37" x14ac:dyDescent="0.25">
      <c r="A334" s="1">
        <v>46008</v>
      </c>
      <c r="B334" s="1">
        <v>46008</v>
      </c>
      <c r="C334" t="s">
        <v>38</v>
      </c>
      <c r="D334" t="s">
        <v>39</v>
      </c>
      <c r="E334" t="s">
        <v>40</v>
      </c>
      <c r="F334" t="s">
        <v>41</v>
      </c>
      <c r="G334" t="s">
        <v>42</v>
      </c>
      <c r="H334" t="s">
        <v>43</v>
      </c>
      <c r="I334" t="s">
        <v>862</v>
      </c>
      <c r="J334" t="s">
        <v>863</v>
      </c>
      <c r="M334" t="s">
        <v>46</v>
      </c>
      <c r="O334" t="s">
        <v>74</v>
      </c>
      <c r="P334" t="s">
        <v>75</v>
      </c>
      <c r="Q334" t="s">
        <v>49</v>
      </c>
      <c r="R334" t="s">
        <v>58</v>
      </c>
      <c r="S334" s="1">
        <v>46023</v>
      </c>
      <c r="U334" t="s">
        <v>51</v>
      </c>
      <c r="X334" t="s">
        <v>52</v>
      </c>
      <c r="Y334" s="2">
        <v>0</v>
      </c>
      <c r="Z334" s="2">
        <v>175</v>
      </c>
      <c r="AA334">
        <v>1</v>
      </c>
      <c r="AB334" s="3">
        <v>1</v>
      </c>
      <c r="AC334" s="2">
        <v>175</v>
      </c>
      <c r="AD334" s="3">
        <v>0</v>
      </c>
      <c r="AE334" s="2">
        <v>0</v>
      </c>
      <c r="AF334" s="2">
        <v>175</v>
      </c>
      <c r="AK334">
        <v>6058686</v>
      </c>
    </row>
    <row r="335" spans="1:37" x14ac:dyDescent="0.25">
      <c r="A335" s="1">
        <v>46008</v>
      </c>
      <c r="B335" s="1">
        <v>46008</v>
      </c>
      <c r="C335" t="s">
        <v>38</v>
      </c>
      <c r="D335" t="s">
        <v>39</v>
      </c>
      <c r="E335" t="s">
        <v>40</v>
      </c>
      <c r="F335" t="s">
        <v>41</v>
      </c>
      <c r="G335" t="s">
        <v>42</v>
      </c>
      <c r="H335" t="s">
        <v>43</v>
      </c>
      <c r="I335" t="s">
        <v>864</v>
      </c>
      <c r="J335" t="s">
        <v>865</v>
      </c>
      <c r="M335" t="s">
        <v>46</v>
      </c>
      <c r="O335" t="s">
        <v>66</v>
      </c>
      <c r="P335" t="s">
        <v>67</v>
      </c>
      <c r="Q335" t="s">
        <v>49</v>
      </c>
      <c r="R335" t="s">
        <v>58</v>
      </c>
      <c r="S335" s="1">
        <v>46023</v>
      </c>
      <c r="U335" t="s">
        <v>51</v>
      </c>
      <c r="X335" t="s">
        <v>52</v>
      </c>
      <c r="Y335" s="2">
        <v>0</v>
      </c>
      <c r="Z335" s="2">
        <v>175</v>
      </c>
      <c r="AA335">
        <v>1</v>
      </c>
      <c r="AB335" s="3">
        <v>1</v>
      </c>
      <c r="AC335" s="2">
        <v>175</v>
      </c>
      <c r="AD335" s="3">
        <v>0</v>
      </c>
      <c r="AE335" s="2">
        <v>0</v>
      </c>
      <c r="AF335" s="2">
        <v>175</v>
      </c>
      <c r="AK335">
        <v>6058687</v>
      </c>
    </row>
    <row r="336" spans="1:37" x14ac:dyDescent="0.25">
      <c r="A336" s="1">
        <v>46008</v>
      </c>
      <c r="B336" s="1">
        <v>46008</v>
      </c>
      <c r="C336" t="s">
        <v>38</v>
      </c>
      <c r="D336" t="s">
        <v>39</v>
      </c>
      <c r="E336" t="s">
        <v>40</v>
      </c>
      <c r="F336" t="s">
        <v>41</v>
      </c>
      <c r="G336" t="s">
        <v>42</v>
      </c>
      <c r="H336" t="s">
        <v>43</v>
      </c>
      <c r="I336" t="s">
        <v>866</v>
      </c>
      <c r="J336" t="s">
        <v>867</v>
      </c>
      <c r="M336" t="s">
        <v>155</v>
      </c>
      <c r="O336" t="s">
        <v>179</v>
      </c>
      <c r="P336" t="s">
        <v>180</v>
      </c>
      <c r="Q336" t="s">
        <v>49</v>
      </c>
      <c r="R336" t="s">
        <v>58</v>
      </c>
      <c r="S336" s="1">
        <v>46023</v>
      </c>
      <c r="U336" t="s">
        <v>51</v>
      </c>
      <c r="X336" t="s">
        <v>52</v>
      </c>
      <c r="Y336" s="2">
        <v>0</v>
      </c>
      <c r="Z336" s="2">
        <v>175</v>
      </c>
      <c r="AA336">
        <v>1</v>
      </c>
      <c r="AB336" s="3">
        <v>1</v>
      </c>
      <c r="AC336" s="2">
        <v>175</v>
      </c>
      <c r="AD336" s="3">
        <v>0</v>
      </c>
      <c r="AE336" s="2">
        <v>0</v>
      </c>
      <c r="AF336" s="2">
        <v>175</v>
      </c>
      <c r="AK336">
        <v>6058414</v>
      </c>
    </row>
    <row r="337" spans="1:37" x14ac:dyDescent="0.25">
      <c r="A337" s="1">
        <v>46008</v>
      </c>
      <c r="B337" s="1">
        <v>46008</v>
      </c>
      <c r="C337" t="s">
        <v>38</v>
      </c>
      <c r="D337" t="s">
        <v>39</v>
      </c>
      <c r="E337" t="s">
        <v>40</v>
      </c>
      <c r="F337" t="s">
        <v>41</v>
      </c>
      <c r="G337" t="s">
        <v>42</v>
      </c>
      <c r="H337" t="s">
        <v>43</v>
      </c>
      <c r="I337" t="s">
        <v>868</v>
      </c>
      <c r="J337" t="s">
        <v>869</v>
      </c>
      <c r="M337" t="s">
        <v>870</v>
      </c>
      <c r="O337" t="s">
        <v>169</v>
      </c>
      <c r="P337" t="s">
        <v>170</v>
      </c>
      <c r="Q337" t="s">
        <v>49</v>
      </c>
      <c r="R337" t="s">
        <v>58</v>
      </c>
      <c r="S337" s="1">
        <v>46023</v>
      </c>
      <c r="U337" t="s">
        <v>51</v>
      </c>
      <c r="X337" t="s">
        <v>52</v>
      </c>
      <c r="Y337" s="2">
        <v>0</v>
      </c>
      <c r="Z337" s="2">
        <v>175</v>
      </c>
      <c r="AA337">
        <v>1</v>
      </c>
      <c r="AB337" s="3">
        <v>1</v>
      </c>
      <c r="AC337" s="2">
        <v>175</v>
      </c>
      <c r="AD337" s="3">
        <v>0</v>
      </c>
      <c r="AE337" s="2">
        <v>0</v>
      </c>
      <c r="AF337" s="2">
        <v>175</v>
      </c>
      <c r="AK337">
        <v>6058688</v>
      </c>
    </row>
    <row r="338" spans="1:37" x14ac:dyDescent="0.25">
      <c r="A338" s="1">
        <v>46008</v>
      </c>
      <c r="B338" s="1">
        <v>46008</v>
      </c>
      <c r="C338" t="s">
        <v>38</v>
      </c>
      <c r="D338" t="s">
        <v>39</v>
      </c>
      <c r="E338" t="s">
        <v>40</v>
      </c>
      <c r="F338" t="s">
        <v>41</v>
      </c>
      <c r="G338" t="s">
        <v>42</v>
      </c>
      <c r="H338" t="s">
        <v>43</v>
      </c>
      <c r="I338" t="s">
        <v>871</v>
      </c>
      <c r="J338" t="s">
        <v>872</v>
      </c>
      <c r="M338" t="s">
        <v>46</v>
      </c>
      <c r="O338" t="s">
        <v>74</v>
      </c>
      <c r="P338" t="s">
        <v>75</v>
      </c>
      <c r="Q338" t="s">
        <v>49</v>
      </c>
      <c r="R338" t="s">
        <v>58</v>
      </c>
      <c r="S338" s="1">
        <v>46023</v>
      </c>
      <c r="U338" t="s">
        <v>51</v>
      </c>
      <c r="X338" t="s">
        <v>52</v>
      </c>
      <c r="Y338" s="2">
        <v>0</v>
      </c>
      <c r="Z338" s="2">
        <v>175</v>
      </c>
      <c r="AA338">
        <v>1</v>
      </c>
      <c r="AB338" s="3">
        <v>1</v>
      </c>
      <c r="AC338" s="2">
        <v>175</v>
      </c>
      <c r="AD338" s="3">
        <v>0</v>
      </c>
      <c r="AE338" s="2">
        <v>0</v>
      </c>
      <c r="AF338" s="2">
        <v>175</v>
      </c>
      <c r="AK338">
        <v>6058689</v>
      </c>
    </row>
    <row r="339" spans="1:37" x14ac:dyDescent="0.25">
      <c r="A339" s="1">
        <v>46008</v>
      </c>
      <c r="B339" s="1">
        <v>46008</v>
      </c>
      <c r="C339" t="s">
        <v>38</v>
      </c>
      <c r="D339" t="s">
        <v>39</v>
      </c>
      <c r="E339" t="s">
        <v>40</v>
      </c>
      <c r="F339" t="s">
        <v>41</v>
      </c>
      <c r="G339" t="s">
        <v>42</v>
      </c>
      <c r="H339" t="s">
        <v>43</v>
      </c>
      <c r="I339" t="s">
        <v>873</v>
      </c>
      <c r="J339" t="s">
        <v>874</v>
      </c>
      <c r="M339" t="s">
        <v>55</v>
      </c>
      <c r="O339" t="s">
        <v>125</v>
      </c>
      <c r="P339" t="s">
        <v>126</v>
      </c>
      <c r="Q339" t="s">
        <v>49</v>
      </c>
      <c r="R339" t="s">
        <v>58</v>
      </c>
      <c r="S339" s="1">
        <v>46023</v>
      </c>
      <c r="U339" t="s">
        <v>51</v>
      </c>
      <c r="X339" t="s">
        <v>52</v>
      </c>
      <c r="Y339" s="2">
        <v>0</v>
      </c>
      <c r="Z339" s="2">
        <v>175</v>
      </c>
      <c r="AA339">
        <v>1</v>
      </c>
      <c r="AB339" s="3">
        <v>1</v>
      </c>
      <c r="AC339" s="2">
        <v>175</v>
      </c>
      <c r="AD339" s="3">
        <v>0</v>
      </c>
      <c r="AE339" s="2">
        <v>0</v>
      </c>
      <c r="AF339" s="2">
        <v>175</v>
      </c>
      <c r="AK339">
        <v>6058416</v>
      </c>
    </row>
    <row r="340" spans="1:37" x14ac:dyDescent="0.25">
      <c r="A340" s="1">
        <v>46008</v>
      </c>
      <c r="B340" s="1">
        <v>46008</v>
      </c>
      <c r="C340" t="s">
        <v>38</v>
      </c>
      <c r="D340" t="s">
        <v>39</v>
      </c>
      <c r="E340" t="s">
        <v>40</v>
      </c>
      <c r="F340" t="s">
        <v>41</v>
      </c>
      <c r="G340" t="s">
        <v>42</v>
      </c>
      <c r="H340" t="s">
        <v>43</v>
      </c>
      <c r="I340" t="s">
        <v>875</v>
      </c>
      <c r="J340" t="s">
        <v>876</v>
      </c>
      <c r="M340" t="s">
        <v>46</v>
      </c>
      <c r="O340" t="s">
        <v>74</v>
      </c>
      <c r="P340" t="s">
        <v>75</v>
      </c>
      <c r="Q340" t="s">
        <v>49</v>
      </c>
      <c r="R340" t="s">
        <v>58</v>
      </c>
      <c r="S340" s="1">
        <v>46023</v>
      </c>
      <c r="U340" t="s">
        <v>51</v>
      </c>
      <c r="X340" t="s">
        <v>52</v>
      </c>
      <c r="Y340" s="2">
        <v>0</v>
      </c>
      <c r="Z340" s="2">
        <v>175</v>
      </c>
      <c r="AA340">
        <v>1</v>
      </c>
      <c r="AB340" s="3">
        <v>1</v>
      </c>
      <c r="AC340" s="2">
        <v>175</v>
      </c>
      <c r="AD340" s="3">
        <v>0</v>
      </c>
      <c r="AE340" s="2">
        <v>0</v>
      </c>
      <c r="AF340" s="2">
        <v>175</v>
      </c>
      <c r="AK340">
        <v>6058691</v>
      </c>
    </row>
    <row r="341" spans="1:37" x14ac:dyDescent="0.25">
      <c r="A341" s="1">
        <v>46008</v>
      </c>
      <c r="B341" s="1">
        <v>46008</v>
      </c>
      <c r="C341" t="s">
        <v>38</v>
      </c>
      <c r="D341" t="s">
        <v>39</v>
      </c>
      <c r="E341" t="s">
        <v>40</v>
      </c>
      <c r="F341" t="s">
        <v>41</v>
      </c>
      <c r="G341" t="s">
        <v>42</v>
      </c>
      <c r="H341" t="s">
        <v>43</v>
      </c>
      <c r="I341" t="s">
        <v>877</v>
      </c>
      <c r="J341" t="s">
        <v>878</v>
      </c>
      <c r="M341" t="s">
        <v>46</v>
      </c>
      <c r="O341" t="s">
        <v>74</v>
      </c>
      <c r="P341" t="s">
        <v>75</v>
      </c>
      <c r="Q341" t="s">
        <v>49</v>
      </c>
      <c r="R341" t="s">
        <v>58</v>
      </c>
      <c r="S341" s="1">
        <v>46023</v>
      </c>
      <c r="U341" t="s">
        <v>51</v>
      </c>
      <c r="X341" t="s">
        <v>52</v>
      </c>
      <c r="Y341" s="2">
        <v>0</v>
      </c>
      <c r="Z341" s="2">
        <v>175</v>
      </c>
      <c r="AA341">
        <v>1</v>
      </c>
      <c r="AB341" s="3">
        <v>1</v>
      </c>
      <c r="AC341" s="2">
        <v>175</v>
      </c>
      <c r="AD341" s="3">
        <v>0</v>
      </c>
      <c r="AE341" s="2">
        <v>0</v>
      </c>
      <c r="AF341" s="2">
        <v>175</v>
      </c>
      <c r="AK341">
        <v>6058692</v>
      </c>
    </row>
    <row r="342" spans="1:37" x14ac:dyDescent="0.25">
      <c r="A342" s="1">
        <v>46008</v>
      </c>
      <c r="B342" s="1">
        <v>46008</v>
      </c>
      <c r="C342" t="s">
        <v>38</v>
      </c>
      <c r="D342" t="s">
        <v>39</v>
      </c>
      <c r="E342" t="s">
        <v>40</v>
      </c>
      <c r="F342" t="s">
        <v>41</v>
      </c>
      <c r="G342" t="s">
        <v>42</v>
      </c>
      <c r="H342" t="s">
        <v>43</v>
      </c>
      <c r="I342" t="s">
        <v>879</v>
      </c>
      <c r="J342" t="s">
        <v>880</v>
      </c>
      <c r="M342" t="s">
        <v>46</v>
      </c>
      <c r="O342" t="s">
        <v>66</v>
      </c>
      <c r="P342" t="s">
        <v>67</v>
      </c>
      <c r="Q342" t="s">
        <v>49</v>
      </c>
      <c r="R342" t="s">
        <v>58</v>
      </c>
      <c r="S342" s="1">
        <v>46023</v>
      </c>
      <c r="U342" t="s">
        <v>51</v>
      </c>
      <c r="X342" t="s">
        <v>52</v>
      </c>
      <c r="Y342" s="2">
        <v>0</v>
      </c>
      <c r="Z342" s="2">
        <v>175</v>
      </c>
      <c r="AA342">
        <v>1</v>
      </c>
      <c r="AB342" s="3">
        <v>1</v>
      </c>
      <c r="AC342" s="2">
        <v>175</v>
      </c>
      <c r="AD342" s="3">
        <v>0</v>
      </c>
      <c r="AE342" s="2">
        <v>0</v>
      </c>
      <c r="AF342" s="2">
        <v>175</v>
      </c>
      <c r="AK342">
        <v>6058693</v>
      </c>
    </row>
    <row r="343" spans="1:37" x14ac:dyDescent="0.25">
      <c r="A343" s="1">
        <v>46008</v>
      </c>
      <c r="B343" s="1">
        <v>46008</v>
      </c>
      <c r="C343" t="s">
        <v>38</v>
      </c>
      <c r="D343" t="s">
        <v>39</v>
      </c>
      <c r="E343" t="s">
        <v>40</v>
      </c>
      <c r="F343" t="s">
        <v>41</v>
      </c>
      <c r="G343" t="s">
        <v>42</v>
      </c>
      <c r="H343" t="s">
        <v>43</v>
      </c>
      <c r="I343" t="s">
        <v>881</v>
      </c>
      <c r="J343" t="s">
        <v>882</v>
      </c>
      <c r="M343" t="s">
        <v>46</v>
      </c>
      <c r="O343" t="s">
        <v>83</v>
      </c>
      <c r="P343" t="s">
        <v>84</v>
      </c>
      <c r="Q343" t="s">
        <v>49</v>
      </c>
      <c r="R343" t="s">
        <v>58</v>
      </c>
      <c r="S343" s="1">
        <v>46023</v>
      </c>
      <c r="U343" t="s">
        <v>51</v>
      </c>
      <c r="X343" t="s">
        <v>52</v>
      </c>
      <c r="Y343" s="2">
        <v>0</v>
      </c>
      <c r="Z343" s="2">
        <v>175</v>
      </c>
      <c r="AA343">
        <v>1</v>
      </c>
      <c r="AB343" s="3">
        <v>1</v>
      </c>
      <c r="AC343" s="2">
        <v>175</v>
      </c>
      <c r="AD343" s="3">
        <v>0</v>
      </c>
      <c r="AE343" s="2">
        <v>0</v>
      </c>
      <c r="AF343" s="2">
        <v>175</v>
      </c>
      <c r="AK343">
        <v>6058694</v>
      </c>
    </row>
    <row r="344" spans="1:37" x14ac:dyDescent="0.25">
      <c r="A344" s="1">
        <v>46008</v>
      </c>
      <c r="B344" s="1">
        <v>46008</v>
      </c>
      <c r="C344" t="s">
        <v>38</v>
      </c>
      <c r="D344" t="s">
        <v>39</v>
      </c>
      <c r="E344" t="s">
        <v>40</v>
      </c>
      <c r="F344" t="s">
        <v>41</v>
      </c>
      <c r="G344" t="s">
        <v>42</v>
      </c>
      <c r="H344" t="s">
        <v>43</v>
      </c>
      <c r="I344" t="s">
        <v>883</v>
      </c>
      <c r="J344" t="s">
        <v>884</v>
      </c>
      <c r="M344" t="s">
        <v>570</v>
      </c>
      <c r="O344" t="s">
        <v>141</v>
      </c>
      <c r="P344" t="s">
        <v>142</v>
      </c>
      <c r="Q344" t="s">
        <v>49</v>
      </c>
      <c r="R344" t="s">
        <v>58</v>
      </c>
      <c r="S344" s="1">
        <v>46023</v>
      </c>
      <c r="U344" t="s">
        <v>51</v>
      </c>
      <c r="X344" t="s">
        <v>52</v>
      </c>
      <c r="Y344" s="2">
        <v>0</v>
      </c>
      <c r="Z344" s="2">
        <v>175</v>
      </c>
      <c r="AA344">
        <v>1</v>
      </c>
      <c r="AB344" s="3">
        <v>1</v>
      </c>
      <c r="AC344" s="2">
        <v>175</v>
      </c>
      <c r="AD344" s="3">
        <v>0</v>
      </c>
      <c r="AE344" s="2">
        <v>0</v>
      </c>
      <c r="AF344" s="2">
        <v>175</v>
      </c>
      <c r="AK344">
        <v>6058698</v>
      </c>
    </row>
    <row r="345" spans="1:37" x14ac:dyDescent="0.25">
      <c r="A345" s="1">
        <v>46008</v>
      </c>
      <c r="B345" s="1">
        <v>46008</v>
      </c>
      <c r="C345" t="s">
        <v>38</v>
      </c>
      <c r="D345" t="s">
        <v>39</v>
      </c>
      <c r="E345" t="s">
        <v>40</v>
      </c>
      <c r="F345" t="s">
        <v>41</v>
      </c>
      <c r="G345" t="s">
        <v>42</v>
      </c>
      <c r="H345" t="s">
        <v>43</v>
      </c>
      <c r="I345" t="s">
        <v>885</v>
      </c>
      <c r="J345" t="s">
        <v>886</v>
      </c>
      <c r="M345" t="s">
        <v>265</v>
      </c>
      <c r="O345" t="s">
        <v>887</v>
      </c>
      <c r="P345" t="s">
        <v>888</v>
      </c>
      <c r="Q345" t="s">
        <v>49</v>
      </c>
      <c r="R345" t="s">
        <v>58</v>
      </c>
      <c r="S345" s="1">
        <v>46023</v>
      </c>
      <c r="U345" t="s">
        <v>51</v>
      </c>
      <c r="X345" t="s">
        <v>52</v>
      </c>
      <c r="Y345" s="2">
        <v>0</v>
      </c>
      <c r="Z345" s="2">
        <v>175</v>
      </c>
      <c r="AA345">
        <v>1</v>
      </c>
      <c r="AB345" s="3">
        <v>1</v>
      </c>
      <c r="AC345" s="2">
        <v>175</v>
      </c>
      <c r="AD345" s="3">
        <v>0</v>
      </c>
      <c r="AE345" s="2">
        <v>0</v>
      </c>
      <c r="AF345" s="2">
        <v>175</v>
      </c>
      <c r="AK345">
        <v>6058699</v>
      </c>
    </row>
    <row r="346" spans="1:37" x14ac:dyDescent="0.25">
      <c r="A346" s="1">
        <v>46008</v>
      </c>
      <c r="B346" s="1">
        <v>46008</v>
      </c>
      <c r="C346" t="s">
        <v>38</v>
      </c>
      <c r="D346" t="s">
        <v>39</v>
      </c>
      <c r="E346" t="s">
        <v>40</v>
      </c>
      <c r="F346" t="s">
        <v>41</v>
      </c>
      <c r="G346" t="s">
        <v>42</v>
      </c>
      <c r="H346" t="s">
        <v>43</v>
      </c>
      <c r="I346" t="s">
        <v>889</v>
      </c>
      <c r="J346" t="s">
        <v>890</v>
      </c>
      <c r="M346" t="s">
        <v>46</v>
      </c>
      <c r="O346" t="s">
        <v>135</v>
      </c>
      <c r="P346" t="s">
        <v>136</v>
      </c>
      <c r="Q346" t="s">
        <v>49</v>
      </c>
      <c r="R346" t="s">
        <v>58</v>
      </c>
      <c r="S346" s="1">
        <v>46023</v>
      </c>
      <c r="U346" t="s">
        <v>51</v>
      </c>
      <c r="X346" t="s">
        <v>52</v>
      </c>
      <c r="Y346" s="2">
        <v>0</v>
      </c>
      <c r="Z346" s="2">
        <v>175</v>
      </c>
      <c r="AA346">
        <v>1</v>
      </c>
      <c r="AB346" s="3">
        <v>1</v>
      </c>
      <c r="AC346" s="2">
        <v>175</v>
      </c>
      <c r="AD346" s="3">
        <v>0</v>
      </c>
      <c r="AE346" s="2">
        <v>0</v>
      </c>
      <c r="AF346" s="2">
        <v>175</v>
      </c>
      <c r="AK346">
        <v>6058700</v>
      </c>
    </row>
    <row r="347" spans="1:37" x14ac:dyDescent="0.25">
      <c r="A347" s="1">
        <v>46008</v>
      </c>
      <c r="B347" s="1">
        <v>46008</v>
      </c>
      <c r="C347" t="s">
        <v>38</v>
      </c>
      <c r="D347" t="s">
        <v>39</v>
      </c>
      <c r="E347" t="s">
        <v>40</v>
      </c>
      <c r="F347" t="s">
        <v>41</v>
      </c>
      <c r="G347" t="s">
        <v>42</v>
      </c>
      <c r="H347" t="s">
        <v>43</v>
      </c>
      <c r="I347" t="s">
        <v>891</v>
      </c>
      <c r="J347" t="s">
        <v>892</v>
      </c>
      <c r="M347" t="s">
        <v>61</v>
      </c>
      <c r="O347" t="s">
        <v>893</v>
      </c>
      <c r="P347" t="s">
        <v>894</v>
      </c>
      <c r="Q347" t="s">
        <v>49</v>
      </c>
      <c r="R347" t="s">
        <v>58</v>
      </c>
      <c r="S347" s="1">
        <v>46023</v>
      </c>
      <c r="U347" t="s">
        <v>51</v>
      </c>
      <c r="X347" t="s">
        <v>52</v>
      </c>
      <c r="Y347" s="2">
        <v>0</v>
      </c>
      <c r="Z347" s="2">
        <v>175</v>
      </c>
      <c r="AA347">
        <v>1</v>
      </c>
      <c r="AB347" s="3">
        <v>1</v>
      </c>
      <c r="AC347" s="2">
        <v>175</v>
      </c>
      <c r="AD347" s="3">
        <v>0</v>
      </c>
      <c r="AE347" s="2">
        <v>0</v>
      </c>
      <c r="AF347" s="2">
        <v>175</v>
      </c>
      <c r="AK347">
        <v>6058494</v>
      </c>
    </row>
    <row r="348" spans="1:37" x14ac:dyDescent="0.25">
      <c r="A348" s="1">
        <v>46008</v>
      </c>
      <c r="B348" s="1">
        <v>46008</v>
      </c>
      <c r="C348" t="s">
        <v>38</v>
      </c>
      <c r="D348" t="s">
        <v>39</v>
      </c>
      <c r="E348" t="s">
        <v>40</v>
      </c>
      <c r="F348" t="s">
        <v>41</v>
      </c>
      <c r="G348" t="s">
        <v>42</v>
      </c>
      <c r="H348" t="s">
        <v>43</v>
      </c>
      <c r="I348" t="s">
        <v>895</v>
      </c>
      <c r="J348" t="s">
        <v>896</v>
      </c>
      <c r="M348" t="s">
        <v>155</v>
      </c>
      <c r="O348" t="s">
        <v>179</v>
      </c>
      <c r="P348" t="s">
        <v>180</v>
      </c>
      <c r="Q348" t="s">
        <v>49</v>
      </c>
      <c r="R348" t="s">
        <v>58</v>
      </c>
      <c r="S348" s="1">
        <v>46023</v>
      </c>
      <c r="U348" t="s">
        <v>51</v>
      </c>
      <c r="X348" t="s">
        <v>52</v>
      </c>
      <c r="Y348" s="2">
        <v>0</v>
      </c>
      <c r="Z348" s="2">
        <v>175</v>
      </c>
      <c r="AA348">
        <v>1</v>
      </c>
      <c r="AB348" s="3">
        <v>1</v>
      </c>
      <c r="AC348" s="2">
        <v>175</v>
      </c>
      <c r="AD348" s="3">
        <v>0</v>
      </c>
      <c r="AE348" s="2">
        <v>0</v>
      </c>
      <c r="AF348" s="2">
        <v>175</v>
      </c>
      <c r="AK348">
        <v>6058419</v>
      </c>
    </row>
    <row r="349" spans="1:37" x14ac:dyDescent="0.25">
      <c r="A349" s="1">
        <v>46008</v>
      </c>
      <c r="B349" s="1">
        <v>46008</v>
      </c>
      <c r="C349" t="s">
        <v>38</v>
      </c>
      <c r="D349" t="s">
        <v>39</v>
      </c>
      <c r="E349" t="s">
        <v>40</v>
      </c>
      <c r="F349" t="s">
        <v>41</v>
      </c>
      <c r="G349" t="s">
        <v>42</v>
      </c>
      <c r="H349" t="s">
        <v>43</v>
      </c>
      <c r="I349" t="s">
        <v>897</v>
      </c>
      <c r="J349" t="s">
        <v>898</v>
      </c>
      <c r="M349" t="s">
        <v>46</v>
      </c>
      <c r="O349" t="s">
        <v>125</v>
      </c>
      <c r="P349" t="s">
        <v>126</v>
      </c>
      <c r="Q349" t="s">
        <v>49</v>
      </c>
      <c r="R349" t="s">
        <v>58</v>
      </c>
      <c r="S349" s="1">
        <v>46023</v>
      </c>
      <c r="U349" t="s">
        <v>51</v>
      </c>
      <c r="X349" t="s">
        <v>52</v>
      </c>
      <c r="Y349" s="2">
        <v>0</v>
      </c>
      <c r="Z349" s="2">
        <v>175</v>
      </c>
      <c r="AA349">
        <v>1</v>
      </c>
      <c r="AB349" s="3">
        <v>1</v>
      </c>
      <c r="AC349" s="2">
        <v>175</v>
      </c>
      <c r="AD349" s="3">
        <v>0</v>
      </c>
      <c r="AE349" s="2">
        <v>0</v>
      </c>
      <c r="AF349" s="2">
        <v>175</v>
      </c>
      <c r="AK349">
        <v>6058420</v>
      </c>
    </row>
    <row r="350" spans="1:37" x14ac:dyDescent="0.25">
      <c r="A350" s="1">
        <v>46008</v>
      </c>
      <c r="B350" s="1">
        <v>46008</v>
      </c>
      <c r="C350" t="s">
        <v>38</v>
      </c>
      <c r="D350" t="s">
        <v>39</v>
      </c>
      <c r="E350" t="s">
        <v>40</v>
      </c>
      <c r="F350" t="s">
        <v>41</v>
      </c>
      <c r="G350" t="s">
        <v>42</v>
      </c>
      <c r="H350" t="s">
        <v>43</v>
      </c>
      <c r="I350" t="s">
        <v>899</v>
      </c>
      <c r="J350" t="s">
        <v>900</v>
      </c>
      <c r="M350" t="s">
        <v>46</v>
      </c>
      <c r="O350" t="s">
        <v>66</v>
      </c>
      <c r="P350" t="s">
        <v>67</v>
      </c>
      <c r="Q350" t="s">
        <v>49</v>
      </c>
      <c r="R350" t="s">
        <v>58</v>
      </c>
      <c r="S350" s="1">
        <v>46023</v>
      </c>
      <c r="U350" t="s">
        <v>51</v>
      </c>
      <c r="X350" t="s">
        <v>52</v>
      </c>
      <c r="Y350" s="2">
        <v>0</v>
      </c>
      <c r="Z350" s="2">
        <v>175</v>
      </c>
      <c r="AA350">
        <v>1</v>
      </c>
      <c r="AB350" s="3">
        <v>1</v>
      </c>
      <c r="AC350" s="2">
        <v>175</v>
      </c>
      <c r="AD350" s="3">
        <v>0</v>
      </c>
      <c r="AE350" s="2">
        <v>0</v>
      </c>
      <c r="AF350" s="2">
        <v>175</v>
      </c>
      <c r="AK350">
        <v>6058701</v>
      </c>
    </row>
    <row r="351" spans="1:37" x14ac:dyDescent="0.25">
      <c r="A351" s="1">
        <v>46008</v>
      </c>
      <c r="B351" s="1">
        <v>46008</v>
      </c>
      <c r="C351" t="s">
        <v>38</v>
      </c>
      <c r="D351" t="s">
        <v>39</v>
      </c>
      <c r="E351" t="s">
        <v>40</v>
      </c>
      <c r="F351" t="s">
        <v>41</v>
      </c>
      <c r="G351" t="s">
        <v>42</v>
      </c>
      <c r="H351" t="s">
        <v>43</v>
      </c>
      <c r="I351" t="s">
        <v>901</v>
      </c>
      <c r="J351" t="s">
        <v>902</v>
      </c>
      <c r="M351" t="s">
        <v>217</v>
      </c>
      <c r="O351" t="s">
        <v>218</v>
      </c>
      <c r="P351" t="s">
        <v>219</v>
      </c>
      <c r="Q351" t="s">
        <v>49</v>
      </c>
      <c r="R351" t="s">
        <v>58</v>
      </c>
      <c r="S351" s="1">
        <v>46023</v>
      </c>
      <c r="U351" t="s">
        <v>51</v>
      </c>
      <c r="X351" t="s">
        <v>52</v>
      </c>
      <c r="Y351" s="2">
        <v>0</v>
      </c>
      <c r="Z351" s="2">
        <v>175</v>
      </c>
      <c r="AA351">
        <v>1</v>
      </c>
      <c r="AB351" s="3">
        <v>1</v>
      </c>
      <c r="AC351" s="2">
        <v>175</v>
      </c>
      <c r="AD351" s="3">
        <v>0</v>
      </c>
      <c r="AE351" s="2">
        <v>0</v>
      </c>
      <c r="AF351" s="2">
        <v>175</v>
      </c>
      <c r="AK351">
        <v>6058421</v>
      </c>
    </row>
    <row r="352" spans="1:37" x14ac:dyDescent="0.25">
      <c r="A352" s="1">
        <v>46008</v>
      </c>
      <c r="B352" s="1">
        <v>46008</v>
      </c>
      <c r="C352" t="s">
        <v>38</v>
      </c>
      <c r="D352" t="s">
        <v>39</v>
      </c>
      <c r="E352" t="s">
        <v>40</v>
      </c>
      <c r="F352" t="s">
        <v>41</v>
      </c>
      <c r="G352" t="s">
        <v>42</v>
      </c>
      <c r="H352" t="s">
        <v>43</v>
      </c>
      <c r="I352" t="s">
        <v>903</v>
      </c>
      <c r="J352" t="s">
        <v>904</v>
      </c>
      <c r="M352" t="s">
        <v>55</v>
      </c>
      <c r="O352" t="s">
        <v>56</v>
      </c>
      <c r="P352" t="s">
        <v>57</v>
      </c>
      <c r="Q352" t="s">
        <v>49</v>
      </c>
      <c r="R352" t="s">
        <v>58</v>
      </c>
      <c r="S352" s="1">
        <v>46023</v>
      </c>
      <c r="U352" t="s">
        <v>51</v>
      </c>
      <c r="X352" t="s">
        <v>52</v>
      </c>
      <c r="Y352" s="2">
        <v>0</v>
      </c>
      <c r="Z352" s="2">
        <v>175</v>
      </c>
      <c r="AA352">
        <v>1</v>
      </c>
      <c r="AB352" s="3">
        <v>1</v>
      </c>
      <c r="AC352" s="2">
        <v>175</v>
      </c>
      <c r="AD352" s="3">
        <v>0</v>
      </c>
      <c r="AE352" s="2">
        <v>0</v>
      </c>
      <c r="AF352" s="2">
        <v>175</v>
      </c>
      <c r="AK352">
        <v>6058702</v>
      </c>
    </row>
    <row r="353" spans="1:37" x14ac:dyDescent="0.25">
      <c r="A353" s="1">
        <v>46008</v>
      </c>
      <c r="B353" s="1">
        <v>46008</v>
      </c>
      <c r="C353" t="s">
        <v>38</v>
      </c>
      <c r="D353" t="s">
        <v>39</v>
      </c>
      <c r="E353" t="s">
        <v>40</v>
      </c>
      <c r="F353" t="s">
        <v>41</v>
      </c>
      <c r="G353" t="s">
        <v>42</v>
      </c>
      <c r="H353" t="s">
        <v>43</v>
      </c>
      <c r="I353" t="s">
        <v>905</v>
      </c>
      <c r="J353" t="s">
        <v>906</v>
      </c>
      <c r="M353" t="s">
        <v>78</v>
      </c>
      <c r="O353" t="s">
        <v>56</v>
      </c>
      <c r="P353" t="s">
        <v>57</v>
      </c>
      <c r="Q353" t="s">
        <v>49</v>
      </c>
      <c r="R353" t="s">
        <v>58</v>
      </c>
      <c r="S353" s="1">
        <v>46023</v>
      </c>
      <c r="U353" t="s">
        <v>51</v>
      </c>
      <c r="X353" t="s">
        <v>52</v>
      </c>
      <c r="Y353" s="2">
        <v>0</v>
      </c>
      <c r="Z353" s="2">
        <v>175</v>
      </c>
      <c r="AA353">
        <v>1</v>
      </c>
      <c r="AB353" s="3">
        <v>1</v>
      </c>
      <c r="AC353" s="2">
        <v>175</v>
      </c>
      <c r="AD353" s="3">
        <v>0</v>
      </c>
      <c r="AE353" s="2">
        <v>0</v>
      </c>
      <c r="AF353" s="2">
        <v>175</v>
      </c>
      <c r="AK353">
        <v>6058705</v>
      </c>
    </row>
    <row r="354" spans="1:37" x14ac:dyDescent="0.25">
      <c r="A354" s="1">
        <v>46008</v>
      </c>
      <c r="B354" s="1">
        <v>46008</v>
      </c>
      <c r="C354" t="s">
        <v>38</v>
      </c>
      <c r="D354" t="s">
        <v>39</v>
      </c>
      <c r="E354" t="s">
        <v>40</v>
      </c>
      <c r="F354" t="s">
        <v>41</v>
      </c>
      <c r="G354" t="s">
        <v>42</v>
      </c>
      <c r="H354" t="s">
        <v>43</v>
      </c>
      <c r="I354" t="s">
        <v>907</v>
      </c>
      <c r="J354" t="s">
        <v>908</v>
      </c>
      <c r="M354" t="s">
        <v>46</v>
      </c>
      <c r="O354" t="s">
        <v>404</v>
      </c>
      <c r="P354" t="s">
        <v>405</v>
      </c>
      <c r="Q354" t="s">
        <v>49</v>
      </c>
      <c r="R354" t="s">
        <v>58</v>
      </c>
      <c r="S354" s="1">
        <v>46023</v>
      </c>
      <c r="U354" t="s">
        <v>51</v>
      </c>
      <c r="X354" t="s">
        <v>52</v>
      </c>
      <c r="Y354" s="2">
        <v>0</v>
      </c>
      <c r="Z354" s="2">
        <v>175</v>
      </c>
      <c r="AA354">
        <v>1</v>
      </c>
      <c r="AB354" s="3">
        <v>1</v>
      </c>
      <c r="AC354" s="2">
        <v>175</v>
      </c>
      <c r="AD354" s="3">
        <v>0</v>
      </c>
      <c r="AE354" s="2">
        <v>0</v>
      </c>
      <c r="AF354" s="2">
        <v>175</v>
      </c>
      <c r="AK354">
        <v>6058706</v>
      </c>
    </row>
    <row r="355" spans="1:37" x14ac:dyDescent="0.25">
      <c r="A355" s="1">
        <v>46008</v>
      </c>
      <c r="B355" s="1">
        <v>46008</v>
      </c>
      <c r="C355" t="s">
        <v>38</v>
      </c>
      <c r="D355" t="s">
        <v>39</v>
      </c>
      <c r="E355" t="s">
        <v>40</v>
      </c>
      <c r="F355" t="s">
        <v>41</v>
      </c>
      <c r="G355" t="s">
        <v>42</v>
      </c>
      <c r="H355" t="s">
        <v>43</v>
      </c>
      <c r="I355" t="s">
        <v>909</v>
      </c>
      <c r="J355" t="s">
        <v>910</v>
      </c>
      <c r="M355" t="s">
        <v>55</v>
      </c>
      <c r="O355" t="s">
        <v>125</v>
      </c>
      <c r="P355" t="s">
        <v>126</v>
      </c>
      <c r="Q355" t="s">
        <v>49</v>
      </c>
      <c r="R355" t="s">
        <v>58</v>
      </c>
      <c r="S355" s="1">
        <v>46023</v>
      </c>
      <c r="U355" t="s">
        <v>51</v>
      </c>
      <c r="X355" t="s">
        <v>52</v>
      </c>
      <c r="Y355" s="2">
        <v>0</v>
      </c>
      <c r="Z355" s="2">
        <v>175</v>
      </c>
      <c r="AA355">
        <v>1</v>
      </c>
      <c r="AB355" s="3">
        <v>1</v>
      </c>
      <c r="AC355" s="2">
        <v>175</v>
      </c>
      <c r="AD355" s="3">
        <v>0</v>
      </c>
      <c r="AE355" s="2">
        <v>0</v>
      </c>
      <c r="AF355" s="2">
        <v>175</v>
      </c>
      <c r="AK355">
        <v>6058429</v>
      </c>
    </row>
    <row r="356" spans="1:37" x14ac:dyDescent="0.25">
      <c r="A356" s="1">
        <v>46008</v>
      </c>
      <c r="B356" s="1">
        <v>46008</v>
      </c>
      <c r="C356" t="s">
        <v>38</v>
      </c>
      <c r="D356" t="s">
        <v>39</v>
      </c>
      <c r="E356" t="s">
        <v>40</v>
      </c>
      <c r="F356" t="s">
        <v>41</v>
      </c>
      <c r="G356" t="s">
        <v>42</v>
      </c>
      <c r="H356" t="s">
        <v>43</v>
      </c>
      <c r="I356" t="s">
        <v>911</v>
      </c>
      <c r="J356" t="s">
        <v>912</v>
      </c>
      <c r="M356" t="s">
        <v>350</v>
      </c>
      <c r="O356" t="s">
        <v>108</v>
      </c>
      <c r="P356" t="s">
        <v>109</v>
      </c>
      <c r="Q356" t="s">
        <v>49</v>
      </c>
      <c r="R356" t="s">
        <v>58</v>
      </c>
      <c r="S356" s="1">
        <v>46023</v>
      </c>
      <c r="U356" t="s">
        <v>51</v>
      </c>
      <c r="X356" t="s">
        <v>52</v>
      </c>
      <c r="Y356" s="2">
        <v>0</v>
      </c>
      <c r="Z356" s="2">
        <v>175</v>
      </c>
      <c r="AA356">
        <v>1</v>
      </c>
      <c r="AB356" s="3">
        <v>1</v>
      </c>
      <c r="AC356" s="2">
        <v>175</v>
      </c>
      <c r="AD356" s="3">
        <v>0</v>
      </c>
      <c r="AE356" s="2">
        <v>0</v>
      </c>
      <c r="AF356" s="2">
        <v>175</v>
      </c>
      <c r="AK356">
        <v>6058708</v>
      </c>
    </row>
    <row r="357" spans="1:37" x14ac:dyDescent="0.25">
      <c r="A357" s="1">
        <v>46008</v>
      </c>
      <c r="B357" s="1">
        <v>46008</v>
      </c>
      <c r="C357" t="s">
        <v>38</v>
      </c>
      <c r="D357" t="s">
        <v>39</v>
      </c>
      <c r="E357" t="s">
        <v>40</v>
      </c>
      <c r="F357" t="s">
        <v>41</v>
      </c>
      <c r="G357" t="s">
        <v>42</v>
      </c>
      <c r="H357" t="s">
        <v>43</v>
      </c>
      <c r="I357" t="s">
        <v>913</v>
      </c>
      <c r="J357" t="s">
        <v>914</v>
      </c>
      <c r="M357" t="s">
        <v>46</v>
      </c>
      <c r="O357" t="s">
        <v>62</v>
      </c>
      <c r="P357" t="s">
        <v>63</v>
      </c>
      <c r="Q357" t="s">
        <v>49</v>
      </c>
      <c r="R357" t="s">
        <v>58</v>
      </c>
      <c r="S357" s="1">
        <v>46023</v>
      </c>
      <c r="U357" t="s">
        <v>51</v>
      </c>
      <c r="X357" t="s">
        <v>52</v>
      </c>
      <c r="Y357" s="2">
        <v>0</v>
      </c>
      <c r="Z357" s="2">
        <v>175</v>
      </c>
      <c r="AA357">
        <v>1</v>
      </c>
      <c r="AB357" s="3">
        <v>1</v>
      </c>
      <c r="AC357" s="2">
        <v>175</v>
      </c>
      <c r="AD357" s="3">
        <v>0</v>
      </c>
      <c r="AE357" s="2">
        <v>0</v>
      </c>
      <c r="AF357" s="2">
        <v>175</v>
      </c>
      <c r="AK357">
        <v>6058709</v>
      </c>
    </row>
    <row r="358" spans="1:37" x14ac:dyDescent="0.25">
      <c r="A358" s="1">
        <v>46008</v>
      </c>
      <c r="B358" s="1">
        <v>46008</v>
      </c>
      <c r="C358" t="s">
        <v>38</v>
      </c>
      <c r="D358" t="s">
        <v>39</v>
      </c>
      <c r="E358" t="s">
        <v>40</v>
      </c>
      <c r="F358" t="s">
        <v>41</v>
      </c>
      <c r="G358" t="s">
        <v>42</v>
      </c>
      <c r="H358" t="s">
        <v>43</v>
      </c>
      <c r="I358" t="s">
        <v>915</v>
      </c>
      <c r="J358" t="s">
        <v>916</v>
      </c>
      <c r="M358" t="s">
        <v>189</v>
      </c>
      <c r="O358" t="s">
        <v>74</v>
      </c>
      <c r="P358" t="s">
        <v>75</v>
      </c>
      <c r="Q358" t="s">
        <v>49</v>
      </c>
      <c r="R358" t="s">
        <v>58</v>
      </c>
      <c r="S358" s="1">
        <v>46023</v>
      </c>
      <c r="U358" t="s">
        <v>51</v>
      </c>
      <c r="X358" t="s">
        <v>52</v>
      </c>
      <c r="Y358" s="2">
        <v>0</v>
      </c>
      <c r="Z358" s="2">
        <v>175</v>
      </c>
      <c r="AA358">
        <v>1</v>
      </c>
      <c r="AB358" s="3">
        <v>1</v>
      </c>
      <c r="AC358" s="2">
        <v>175</v>
      </c>
      <c r="AD358" s="3">
        <v>0</v>
      </c>
      <c r="AE358" s="2">
        <v>0</v>
      </c>
      <c r="AF358" s="2">
        <v>175</v>
      </c>
      <c r="AK358">
        <v>6058710</v>
      </c>
    </row>
    <row r="359" spans="1:37" x14ac:dyDescent="0.25">
      <c r="A359" s="1">
        <v>46008</v>
      </c>
      <c r="B359" s="1">
        <v>46008</v>
      </c>
      <c r="C359" t="s">
        <v>38</v>
      </c>
      <c r="D359" t="s">
        <v>39</v>
      </c>
      <c r="E359" t="s">
        <v>40</v>
      </c>
      <c r="F359" t="s">
        <v>41</v>
      </c>
      <c r="G359" t="s">
        <v>42</v>
      </c>
      <c r="H359" t="s">
        <v>43</v>
      </c>
      <c r="I359" t="s">
        <v>917</v>
      </c>
      <c r="J359" t="s">
        <v>918</v>
      </c>
      <c r="M359" t="s">
        <v>46</v>
      </c>
      <c r="O359" t="s">
        <v>74</v>
      </c>
      <c r="P359" t="s">
        <v>75</v>
      </c>
      <c r="Q359" t="s">
        <v>49</v>
      </c>
      <c r="R359" t="s">
        <v>58</v>
      </c>
      <c r="S359" s="1">
        <v>46023</v>
      </c>
      <c r="U359" t="s">
        <v>51</v>
      </c>
      <c r="X359" t="s">
        <v>52</v>
      </c>
      <c r="Y359" s="2">
        <v>0</v>
      </c>
      <c r="Z359" s="2">
        <v>175</v>
      </c>
      <c r="AA359">
        <v>1</v>
      </c>
      <c r="AB359" s="3">
        <v>1</v>
      </c>
      <c r="AC359" s="2">
        <v>175</v>
      </c>
      <c r="AD359" s="3">
        <v>0</v>
      </c>
      <c r="AE359" s="2">
        <v>0</v>
      </c>
      <c r="AF359" s="2">
        <v>175</v>
      </c>
      <c r="AK359">
        <v>6058711</v>
      </c>
    </row>
    <row r="360" spans="1:37" x14ac:dyDescent="0.25">
      <c r="A360" s="1">
        <v>46008</v>
      </c>
      <c r="B360" s="1">
        <v>46008</v>
      </c>
      <c r="C360" t="s">
        <v>38</v>
      </c>
      <c r="D360" t="s">
        <v>39</v>
      </c>
      <c r="E360" t="s">
        <v>40</v>
      </c>
      <c r="F360" t="s">
        <v>41</v>
      </c>
      <c r="G360" t="s">
        <v>42</v>
      </c>
      <c r="H360" t="s">
        <v>43</v>
      </c>
      <c r="I360" t="s">
        <v>919</v>
      </c>
      <c r="J360" t="s">
        <v>920</v>
      </c>
      <c r="M360" t="s">
        <v>46</v>
      </c>
      <c r="O360" t="s">
        <v>47</v>
      </c>
      <c r="P360" t="s">
        <v>48</v>
      </c>
      <c r="Q360" t="s">
        <v>49</v>
      </c>
      <c r="R360" t="s">
        <v>58</v>
      </c>
      <c r="S360" s="1">
        <v>46023</v>
      </c>
      <c r="U360" t="s">
        <v>51</v>
      </c>
      <c r="X360" t="s">
        <v>52</v>
      </c>
      <c r="Y360" s="2">
        <v>0</v>
      </c>
      <c r="Z360" s="2">
        <v>175</v>
      </c>
      <c r="AA360">
        <v>1</v>
      </c>
      <c r="AB360" s="3">
        <v>1</v>
      </c>
      <c r="AC360" s="2">
        <v>175</v>
      </c>
      <c r="AD360" s="3">
        <v>0</v>
      </c>
      <c r="AE360" s="2">
        <v>0</v>
      </c>
      <c r="AF360" s="2">
        <v>175</v>
      </c>
      <c r="AK360">
        <v>6058712</v>
      </c>
    </row>
    <row r="361" spans="1:37" x14ac:dyDescent="0.25">
      <c r="A361" s="1">
        <v>46008</v>
      </c>
      <c r="B361" s="1">
        <v>46008</v>
      </c>
      <c r="C361" t="s">
        <v>38</v>
      </c>
      <c r="D361" t="s">
        <v>39</v>
      </c>
      <c r="E361" t="s">
        <v>40</v>
      </c>
      <c r="F361" t="s">
        <v>41</v>
      </c>
      <c r="G361" t="s">
        <v>42</v>
      </c>
      <c r="H361" t="s">
        <v>43</v>
      </c>
      <c r="I361" t="s">
        <v>921</v>
      </c>
      <c r="J361" t="s">
        <v>922</v>
      </c>
      <c r="M361" t="s">
        <v>350</v>
      </c>
      <c r="O361" t="s">
        <v>108</v>
      </c>
      <c r="P361" t="s">
        <v>109</v>
      </c>
      <c r="Q361" t="s">
        <v>49</v>
      </c>
      <c r="R361" t="s">
        <v>58</v>
      </c>
      <c r="S361" s="1">
        <v>46023</v>
      </c>
      <c r="U361" t="s">
        <v>51</v>
      </c>
      <c r="X361" t="s">
        <v>52</v>
      </c>
      <c r="Y361" s="2">
        <v>0</v>
      </c>
      <c r="Z361" s="2">
        <v>175</v>
      </c>
      <c r="AA361">
        <v>1</v>
      </c>
      <c r="AB361" s="3">
        <v>1</v>
      </c>
      <c r="AC361" s="2">
        <v>175</v>
      </c>
      <c r="AD361" s="3">
        <v>0</v>
      </c>
      <c r="AE361" s="2">
        <v>0</v>
      </c>
      <c r="AF361" s="2">
        <v>175</v>
      </c>
      <c r="AK361">
        <v>6058713</v>
      </c>
    </row>
    <row r="362" spans="1:37" x14ac:dyDescent="0.25">
      <c r="A362" s="1">
        <v>46008</v>
      </c>
      <c r="B362" s="1">
        <v>46008</v>
      </c>
      <c r="C362" t="s">
        <v>38</v>
      </c>
      <c r="D362" t="s">
        <v>39</v>
      </c>
      <c r="E362" t="s">
        <v>40</v>
      </c>
      <c r="F362" t="s">
        <v>41</v>
      </c>
      <c r="G362" t="s">
        <v>42</v>
      </c>
      <c r="H362" t="s">
        <v>43</v>
      </c>
      <c r="I362" t="s">
        <v>923</v>
      </c>
      <c r="J362" t="s">
        <v>924</v>
      </c>
      <c r="M362" t="s">
        <v>46</v>
      </c>
      <c r="O362" t="s">
        <v>135</v>
      </c>
      <c r="P362" t="s">
        <v>136</v>
      </c>
      <c r="Q362" t="s">
        <v>49</v>
      </c>
      <c r="R362" t="s">
        <v>58</v>
      </c>
      <c r="S362" s="1">
        <v>46023</v>
      </c>
      <c r="U362" t="s">
        <v>51</v>
      </c>
      <c r="X362" t="s">
        <v>52</v>
      </c>
      <c r="Y362" s="2">
        <v>0</v>
      </c>
      <c r="Z362" s="2">
        <v>175</v>
      </c>
      <c r="AA362">
        <v>1</v>
      </c>
      <c r="AB362" s="3">
        <v>1</v>
      </c>
      <c r="AC362" s="2">
        <v>175</v>
      </c>
      <c r="AD362" s="3">
        <v>0</v>
      </c>
      <c r="AE362" s="2">
        <v>0</v>
      </c>
      <c r="AF362" s="2">
        <v>175</v>
      </c>
      <c r="AK362">
        <v>6058714</v>
      </c>
    </row>
    <row r="363" spans="1:37" x14ac:dyDescent="0.25">
      <c r="A363" s="1">
        <v>46008</v>
      </c>
      <c r="B363" s="1">
        <v>46008</v>
      </c>
      <c r="C363" t="s">
        <v>38</v>
      </c>
      <c r="D363" t="s">
        <v>39</v>
      </c>
      <c r="E363" t="s">
        <v>40</v>
      </c>
      <c r="F363" t="s">
        <v>41</v>
      </c>
      <c r="G363" t="s">
        <v>42</v>
      </c>
      <c r="H363" t="s">
        <v>43</v>
      </c>
      <c r="I363" t="s">
        <v>925</v>
      </c>
      <c r="J363" t="s">
        <v>926</v>
      </c>
      <c r="M363" t="s">
        <v>46</v>
      </c>
      <c r="O363" t="s">
        <v>213</v>
      </c>
      <c r="P363" t="s">
        <v>214</v>
      </c>
      <c r="Q363" t="s">
        <v>49</v>
      </c>
      <c r="R363" t="s">
        <v>58</v>
      </c>
      <c r="S363" s="1">
        <v>46023</v>
      </c>
      <c r="U363" t="s">
        <v>51</v>
      </c>
      <c r="X363" t="s">
        <v>52</v>
      </c>
      <c r="Y363" s="2">
        <v>0</v>
      </c>
      <c r="Z363" s="2">
        <v>175</v>
      </c>
      <c r="AA363">
        <v>1</v>
      </c>
      <c r="AB363" s="3">
        <v>1</v>
      </c>
      <c r="AC363" s="2">
        <v>175</v>
      </c>
      <c r="AD363" s="3">
        <v>0</v>
      </c>
      <c r="AE363" s="2">
        <v>0</v>
      </c>
      <c r="AF363" s="2">
        <v>175</v>
      </c>
      <c r="AK363">
        <v>6058715</v>
      </c>
    </row>
    <row r="364" spans="1:37" x14ac:dyDescent="0.25">
      <c r="A364" s="1">
        <v>46008</v>
      </c>
      <c r="B364" s="1">
        <v>46008</v>
      </c>
      <c r="C364" t="s">
        <v>38</v>
      </c>
      <c r="D364" t="s">
        <v>39</v>
      </c>
      <c r="E364" t="s">
        <v>40</v>
      </c>
      <c r="F364" t="s">
        <v>41</v>
      </c>
      <c r="G364" t="s">
        <v>42</v>
      </c>
      <c r="H364" t="s">
        <v>43</v>
      </c>
      <c r="I364" t="s">
        <v>927</v>
      </c>
      <c r="J364" t="s">
        <v>928</v>
      </c>
      <c r="M364" t="s">
        <v>87</v>
      </c>
      <c r="O364" t="s">
        <v>141</v>
      </c>
      <c r="P364" t="s">
        <v>142</v>
      </c>
      <c r="Q364" t="s">
        <v>49</v>
      </c>
      <c r="R364" t="s">
        <v>58</v>
      </c>
      <c r="S364" s="1">
        <v>46023</v>
      </c>
      <c r="U364" t="s">
        <v>51</v>
      </c>
      <c r="X364" t="s">
        <v>52</v>
      </c>
      <c r="Y364" s="2">
        <v>0</v>
      </c>
      <c r="Z364" s="2">
        <v>175</v>
      </c>
      <c r="AA364">
        <v>1</v>
      </c>
      <c r="AB364" s="3">
        <v>1</v>
      </c>
      <c r="AC364" s="2">
        <v>175</v>
      </c>
      <c r="AD364" s="3">
        <v>0</v>
      </c>
      <c r="AE364" s="2">
        <v>0</v>
      </c>
      <c r="AF364" s="2">
        <v>175</v>
      </c>
      <c r="AK364">
        <v>6058716</v>
      </c>
    </row>
    <row r="365" spans="1:37" x14ac:dyDescent="0.25">
      <c r="A365" s="1">
        <v>46008</v>
      </c>
      <c r="B365" s="1">
        <v>46008</v>
      </c>
      <c r="C365" t="s">
        <v>38</v>
      </c>
      <c r="D365" t="s">
        <v>39</v>
      </c>
      <c r="E365" t="s">
        <v>40</v>
      </c>
      <c r="F365" t="s">
        <v>41</v>
      </c>
      <c r="G365" t="s">
        <v>42</v>
      </c>
      <c r="H365" t="s">
        <v>43</v>
      </c>
      <c r="I365" t="s">
        <v>929</v>
      </c>
      <c r="J365" t="s">
        <v>930</v>
      </c>
      <c r="M365" t="s">
        <v>46</v>
      </c>
      <c r="O365" t="s">
        <v>278</v>
      </c>
      <c r="P365" t="s">
        <v>279</v>
      </c>
      <c r="Q365" t="s">
        <v>49</v>
      </c>
      <c r="R365" t="s">
        <v>58</v>
      </c>
      <c r="S365" s="1">
        <v>46023</v>
      </c>
      <c r="U365" t="s">
        <v>51</v>
      </c>
      <c r="X365" t="s">
        <v>52</v>
      </c>
      <c r="Y365" s="2">
        <v>0</v>
      </c>
      <c r="Z365" s="2">
        <v>175</v>
      </c>
      <c r="AA365">
        <v>1</v>
      </c>
      <c r="AB365" s="3">
        <v>1</v>
      </c>
      <c r="AC365" s="2">
        <v>175</v>
      </c>
      <c r="AD365" s="3">
        <v>0</v>
      </c>
      <c r="AE365" s="2">
        <v>0</v>
      </c>
      <c r="AF365" s="2">
        <v>175</v>
      </c>
      <c r="AK365">
        <v>6058717</v>
      </c>
    </row>
    <row r="366" spans="1:37" x14ac:dyDescent="0.25">
      <c r="A366" s="1">
        <v>46008</v>
      </c>
      <c r="B366" s="1">
        <v>46008</v>
      </c>
      <c r="C366" t="s">
        <v>38</v>
      </c>
      <c r="D366" t="s">
        <v>39</v>
      </c>
      <c r="E366" t="s">
        <v>40</v>
      </c>
      <c r="F366" t="s">
        <v>41</v>
      </c>
      <c r="G366" t="s">
        <v>42</v>
      </c>
      <c r="H366" t="s">
        <v>43</v>
      </c>
      <c r="I366" t="s">
        <v>931</v>
      </c>
      <c r="J366" t="s">
        <v>932</v>
      </c>
      <c r="M366" t="s">
        <v>46</v>
      </c>
      <c r="O366" t="s">
        <v>66</v>
      </c>
      <c r="P366" t="s">
        <v>67</v>
      </c>
      <c r="Q366" t="s">
        <v>49</v>
      </c>
      <c r="R366" t="s">
        <v>58</v>
      </c>
      <c r="S366" s="1">
        <v>46023</v>
      </c>
      <c r="U366" t="s">
        <v>51</v>
      </c>
      <c r="X366" t="s">
        <v>52</v>
      </c>
      <c r="Y366" s="2">
        <v>0</v>
      </c>
      <c r="Z366" s="2">
        <v>175</v>
      </c>
      <c r="AA366">
        <v>1</v>
      </c>
      <c r="AB366" s="3">
        <v>1</v>
      </c>
      <c r="AC366" s="2">
        <v>175</v>
      </c>
      <c r="AD366" s="3">
        <v>0</v>
      </c>
      <c r="AE366" s="2">
        <v>0</v>
      </c>
      <c r="AF366" s="2">
        <v>175</v>
      </c>
      <c r="AK366">
        <v>6058718</v>
      </c>
    </row>
    <row r="367" spans="1:37" x14ac:dyDescent="0.25">
      <c r="A367" s="1">
        <v>46008</v>
      </c>
      <c r="B367" s="1">
        <v>46008</v>
      </c>
      <c r="C367" t="s">
        <v>38</v>
      </c>
      <c r="D367" t="s">
        <v>39</v>
      </c>
      <c r="E367" t="s">
        <v>40</v>
      </c>
      <c r="F367" t="s">
        <v>41</v>
      </c>
      <c r="G367" t="s">
        <v>42</v>
      </c>
      <c r="H367" t="s">
        <v>43</v>
      </c>
      <c r="I367" t="s">
        <v>933</v>
      </c>
      <c r="J367" t="s">
        <v>934</v>
      </c>
      <c r="M367" t="s">
        <v>87</v>
      </c>
      <c r="O367" t="s">
        <v>430</v>
      </c>
      <c r="P367" t="s">
        <v>431</v>
      </c>
      <c r="Q367" t="s">
        <v>49</v>
      </c>
      <c r="R367" t="s">
        <v>58</v>
      </c>
      <c r="S367" s="1">
        <v>46023</v>
      </c>
      <c r="U367" t="s">
        <v>51</v>
      </c>
      <c r="X367" t="s">
        <v>52</v>
      </c>
      <c r="Y367" s="2">
        <v>0</v>
      </c>
      <c r="Z367" s="2">
        <v>175</v>
      </c>
      <c r="AA367">
        <v>1</v>
      </c>
      <c r="AB367" s="3">
        <v>1</v>
      </c>
      <c r="AC367" s="2">
        <v>175</v>
      </c>
      <c r="AD367" s="3">
        <v>0</v>
      </c>
      <c r="AE367" s="2">
        <v>0</v>
      </c>
      <c r="AF367" s="2">
        <v>175</v>
      </c>
      <c r="AK367">
        <v>6058719</v>
      </c>
    </row>
    <row r="368" spans="1:37" x14ac:dyDescent="0.25">
      <c r="A368" s="1">
        <v>46008</v>
      </c>
      <c r="B368" s="1">
        <v>46008</v>
      </c>
      <c r="C368" t="s">
        <v>38</v>
      </c>
      <c r="D368" t="s">
        <v>39</v>
      </c>
      <c r="E368" t="s">
        <v>40</v>
      </c>
      <c r="F368" t="s">
        <v>41</v>
      </c>
      <c r="G368" t="s">
        <v>42</v>
      </c>
      <c r="H368" t="s">
        <v>43</v>
      </c>
      <c r="I368" t="s">
        <v>935</v>
      </c>
      <c r="J368" t="s">
        <v>936</v>
      </c>
      <c r="M368" t="s">
        <v>46</v>
      </c>
      <c r="O368" t="s">
        <v>254</v>
      </c>
      <c r="P368" t="s">
        <v>255</v>
      </c>
      <c r="Q368" t="s">
        <v>49</v>
      </c>
      <c r="R368" t="s">
        <v>58</v>
      </c>
      <c r="S368" s="1">
        <v>46023</v>
      </c>
      <c r="U368" t="s">
        <v>51</v>
      </c>
      <c r="X368" t="s">
        <v>52</v>
      </c>
      <c r="Y368" s="2">
        <v>0</v>
      </c>
      <c r="Z368" s="2">
        <v>175</v>
      </c>
      <c r="AA368">
        <v>1</v>
      </c>
      <c r="AB368" s="3">
        <v>1</v>
      </c>
      <c r="AC368" s="2">
        <v>175</v>
      </c>
      <c r="AD368" s="3">
        <v>0</v>
      </c>
      <c r="AE368" s="2">
        <v>0</v>
      </c>
      <c r="AF368" s="2">
        <v>175</v>
      </c>
      <c r="AK368">
        <v>6058720</v>
      </c>
    </row>
    <row r="369" spans="1:37" x14ac:dyDescent="0.25">
      <c r="A369" s="1">
        <v>46008</v>
      </c>
      <c r="B369" s="1">
        <v>46008</v>
      </c>
      <c r="C369" t="s">
        <v>38</v>
      </c>
      <c r="D369" t="s">
        <v>39</v>
      </c>
      <c r="E369" t="s">
        <v>40</v>
      </c>
      <c r="F369" t="s">
        <v>41</v>
      </c>
      <c r="G369" t="s">
        <v>42</v>
      </c>
      <c r="H369" t="s">
        <v>43</v>
      </c>
      <c r="I369" t="s">
        <v>937</v>
      </c>
      <c r="J369" t="s">
        <v>938</v>
      </c>
      <c r="M369" t="s">
        <v>87</v>
      </c>
      <c r="O369" t="s">
        <v>141</v>
      </c>
      <c r="P369" t="s">
        <v>142</v>
      </c>
      <c r="Q369" t="s">
        <v>49</v>
      </c>
      <c r="R369" t="s">
        <v>58</v>
      </c>
      <c r="S369" s="1">
        <v>46023</v>
      </c>
      <c r="U369" t="s">
        <v>51</v>
      </c>
      <c r="X369" t="s">
        <v>52</v>
      </c>
      <c r="Y369" s="2">
        <v>0</v>
      </c>
      <c r="Z369" s="2">
        <v>175</v>
      </c>
      <c r="AA369">
        <v>1</v>
      </c>
      <c r="AB369" s="3">
        <v>1</v>
      </c>
      <c r="AC369" s="2">
        <v>175</v>
      </c>
      <c r="AD369" s="3">
        <v>0</v>
      </c>
      <c r="AE369" s="2">
        <v>0</v>
      </c>
      <c r="AF369" s="2">
        <v>175</v>
      </c>
      <c r="AK369">
        <v>6058721</v>
      </c>
    </row>
    <row r="370" spans="1:37" x14ac:dyDescent="0.25">
      <c r="A370" s="1">
        <v>46008</v>
      </c>
      <c r="B370" s="1">
        <v>46008</v>
      </c>
      <c r="C370" t="s">
        <v>38</v>
      </c>
      <c r="D370" t="s">
        <v>39</v>
      </c>
      <c r="E370" t="s">
        <v>40</v>
      </c>
      <c r="F370" t="s">
        <v>41</v>
      </c>
      <c r="G370" t="s">
        <v>42</v>
      </c>
      <c r="H370" t="s">
        <v>43</v>
      </c>
      <c r="I370" t="s">
        <v>939</v>
      </c>
      <c r="J370" t="s">
        <v>940</v>
      </c>
      <c r="M370" t="s">
        <v>217</v>
      </c>
      <c r="O370" t="s">
        <v>151</v>
      </c>
      <c r="P370" t="s">
        <v>152</v>
      </c>
      <c r="Q370" t="s">
        <v>49</v>
      </c>
      <c r="R370" t="s">
        <v>58</v>
      </c>
      <c r="S370" s="1">
        <v>46023</v>
      </c>
      <c r="U370" t="s">
        <v>51</v>
      </c>
      <c r="X370" t="s">
        <v>52</v>
      </c>
      <c r="Y370" s="2">
        <v>0</v>
      </c>
      <c r="Z370" s="2">
        <v>175</v>
      </c>
      <c r="AA370">
        <v>1</v>
      </c>
      <c r="AB370" s="3">
        <v>1</v>
      </c>
      <c r="AC370" s="2">
        <v>175</v>
      </c>
      <c r="AD370" s="3">
        <v>0</v>
      </c>
      <c r="AE370" s="2">
        <v>0</v>
      </c>
      <c r="AF370" s="2">
        <v>175</v>
      </c>
      <c r="AK370">
        <v>6058722</v>
      </c>
    </row>
    <row r="371" spans="1:37" x14ac:dyDescent="0.25">
      <c r="A371" s="1">
        <v>46008</v>
      </c>
      <c r="B371" s="1">
        <v>46008</v>
      </c>
      <c r="C371" t="s">
        <v>38</v>
      </c>
      <c r="D371" t="s">
        <v>39</v>
      </c>
      <c r="E371" t="s">
        <v>40</v>
      </c>
      <c r="F371" t="s">
        <v>41</v>
      </c>
      <c r="G371" t="s">
        <v>42</v>
      </c>
      <c r="H371" t="s">
        <v>43</v>
      </c>
      <c r="I371" t="s">
        <v>941</v>
      </c>
      <c r="J371" t="s">
        <v>942</v>
      </c>
      <c r="M371" t="s">
        <v>46</v>
      </c>
      <c r="O371" t="s">
        <v>66</v>
      </c>
      <c r="P371" t="s">
        <v>67</v>
      </c>
      <c r="Q371" t="s">
        <v>49</v>
      </c>
      <c r="R371" t="s">
        <v>58</v>
      </c>
      <c r="S371" s="1">
        <v>46023</v>
      </c>
      <c r="U371" t="s">
        <v>51</v>
      </c>
      <c r="X371" t="s">
        <v>52</v>
      </c>
      <c r="Y371" s="2">
        <v>0</v>
      </c>
      <c r="Z371" s="2">
        <v>175</v>
      </c>
      <c r="AA371">
        <v>1</v>
      </c>
      <c r="AB371" s="3">
        <v>1</v>
      </c>
      <c r="AC371" s="2">
        <v>175</v>
      </c>
      <c r="AD371" s="3">
        <v>0</v>
      </c>
      <c r="AE371" s="2">
        <v>0</v>
      </c>
      <c r="AF371" s="2">
        <v>175</v>
      </c>
      <c r="AK371">
        <v>6058723</v>
      </c>
    </row>
    <row r="372" spans="1:37" x14ac:dyDescent="0.25">
      <c r="A372" s="1">
        <v>46008</v>
      </c>
      <c r="B372" s="1">
        <v>46008</v>
      </c>
      <c r="C372" t="s">
        <v>38</v>
      </c>
      <c r="D372" t="s">
        <v>39</v>
      </c>
      <c r="E372" t="s">
        <v>40</v>
      </c>
      <c r="F372" t="s">
        <v>41</v>
      </c>
      <c r="G372" t="s">
        <v>42</v>
      </c>
      <c r="H372" t="s">
        <v>43</v>
      </c>
      <c r="I372" t="s">
        <v>943</v>
      </c>
      <c r="J372" t="s">
        <v>944</v>
      </c>
      <c r="M372" t="s">
        <v>87</v>
      </c>
      <c r="O372" t="s">
        <v>141</v>
      </c>
      <c r="P372" t="s">
        <v>142</v>
      </c>
      <c r="Q372" t="s">
        <v>49</v>
      </c>
      <c r="R372" t="s">
        <v>58</v>
      </c>
      <c r="S372" s="1">
        <v>46023</v>
      </c>
      <c r="U372" t="s">
        <v>51</v>
      </c>
      <c r="X372" t="s">
        <v>52</v>
      </c>
      <c r="Y372" s="2">
        <v>0</v>
      </c>
      <c r="Z372" s="2">
        <v>175</v>
      </c>
      <c r="AA372">
        <v>1</v>
      </c>
      <c r="AB372" s="3">
        <v>1</v>
      </c>
      <c r="AC372" s="2">
        <v>175</v>
      </c>
      <c r="AD372" s="3">
        <v>0</v>
      </c>
      <c r="AE372" s="2">
        <v>0</v>
      </c>
      <c r="AF372" s="2">
        <v>175</v>
      </c>
      <c r="AK372">
        <v>6058724</v>
      </c>
    </row>
    <row r="373" spans="1:37" x14ac:dyDescent="0.25">
      <c r="A373" s="1">
        <v>46008</v>
      </c>
      <c r="B373" s="1">
        <v>46008</v>
      </c>
      <c r="C373" t="s">
        <v>38</v>
      </c>
      <c r="D373" t="s">
        <v>39</v>
      </c>
      <c r="E373" t="s">
        <v>40</v>
      </c>
      <c r="F373" t="s">
        <v>41</v>
      </c>
      <c r="G373" t="s">
        <v>42</v>
      </c>
      <c r="H373" t="s">
        <v>43</v>
      </c>
      <c r="I373" t="s">
        <v>945</v>
      </c>
      <c r="J373" t="s">
        <v>946</v>
      </c>
      <c r="M373" t="s">
        <v>870</v>
      </c>
      <c r="O373" t="s">
        <v>169</v>
      </c>
      <c r="P373" t="s">
        <v>170</v>
      </c>
      <c r="Q373" t="s">
        <v>49</v>
      </c>
      <c r="R373" t="s">
        <v>58</v>
      </c>
      <c r="S373" s="1">
        <v>46023</v>
      </c>
      <c r="U373" t="s">
        <v>51</v>
      </c>
      <c r="X373" t="s">
        <v>52</v>
      </c>
      <c r="Y373" s="2">
        <v>0</v>
      </c>
      <c r="Z373" s="2">
        <v>175</v>
      </c>
      <c r="AA373">
        <v>1</v>
      </c>
      <c r="AB373" s="3">
        <v>1</v>
      </c>
      <c r="AC373" s="2">
        <v>175</v>
      </c>
      <c r="AD373" s="3">
        <v>0</v>
      </c>
      <c r="AE373" s="2">
        <v>0</v>
      </c>
      <c r="AF373" s="2">
        <v>175</v>
      </c>
      <c r="AK373">
        <v>6058725</v>
      </c>
    </row>
    <row r="374" spans="1:37" x14ac:dyDescent="0.25">
      <c r="A374" s="1">
        <v>46008</v>
      </c>
      <c r="B374" s="1">
        <v>46008</v>
      </c>
      <c r="C374" t="s">
        <v>38</v>
      </c>
      <c r="D374" t="s">
        <v>39</v>
      </c>
      <c r="E374" t="s">
        <v>40</v>
      </c>
      <c r="F374" t="s">
        <v>41</v>
      </c>
      <c r="G374" t="s">
        <v>42</v>
      </c>
      <c r="H374" t="s">
        <v>43</v>
      </c>
      <c r="I374" t="s">
        <v>947</v>
      </c>
      <c r="J374" t="s">
        <v>948</v>
      </c>
      <c r="M374" t="s">
        <v>217</v>
      </c>
      <c r="O374" t="s">
        <v>218</v>
      </c>
      <c r="P374" t="s">
        <v>219</v>
      </c>
      <c r="Q374" t="s">
        <v>49</v>
      </c>
      <c r="R374" t="s">
        <v>58</v>
      </c>
      <c r="S374" s="1">
        <v>46023</v>
      </c>
      <c r="U374" t="s">
        <v>51</v>
      </c>
      <c r="X374" t="s">
        <v>52</v>
      </c>
      <c r="Y374" s="2">
        <v>0</v>
      </c>
      <c r="Z374" s="2">
        <v>175</v>
      </c>
      <c r="AA374">
        <v>1</v>
      </c>
      <c r="AB374" s="3">
        <v>1</v>
      </c>
      <c r="AC374" s="2">
        <v>175</v>
      </c>
      <c r="AD374" s="3">
        <v>0</v>
      </c>
      <c r="AE374" s="2">
        <v>0</v>
      </c>
      <c r="AF374" s="2">
        <v>175</v>
      </c>
      <c r="AK374">
        <v>6058432</v>
      </c>
    </row>
    <row r="375" spans="1:37" x14ac:dyDescent="0.25">
      <c r="A375" s="1">
        <v>46008</v>
      </c>
      <c r="B375" s="1">
        <v>46008</v>
      </c>
      <c r="C375" t="s">
        <v>38</v>
      </c>
      <c r="D375" t="s">
        <v>39</v>
      </c>
      <c r="E375" t="s">
        <v>40</v>
      </c>
      <c r="F375" t="s">
        <v>41</v>
      </c>
      <c r="G375" t="s">
        <v>42</v>
      </c>
      <c r="H375" t="s">
        <v>43</v>
      </c>
      <c r="I375" t="s">
        <v>949</v>
      </c>
      <c r="J375" t="s">
        <v>950</v>
      </c>
      <c r="M375" t="s">
        <v>217</v>
      </c>
      <c r="O375" t="s">
        <v>340</v>
      </c>
      <c r="P375" t="s">
        <v>341</v>
      </c>
      <c r="Q375" t="s">
        <v>49</v>
      </c>
      <c r="R375" t="s">
        <v>58</v>
      </c>
      <c r="S375" s="1">
        <v>46023</v>
      </c>
      <c r="U375" t="s">
        <v>51</v>
      </c>
      <c r="X375" t="s">
        <v>52</v>
      </c>
      <c r="Y375" s="2">
        <v>0</v>
      </c>
      <c r="Z375" s="2">
        <v>175</v>
      </c>
      <c r="AA375">
        <v>1</v>
      </c>
      <c r="AB375" s="3">
        <v>1</v>
      </c>
      <c r="AC375" s="2">
        <v>175</v>
      </c>
      <c r="AD375" s="3">
        <v>0</v>
      </c>
      <c r="AE375" s="2">
        <v>0</v>
      </c>
      <c r="AF375" s="2">
        <v>175</v>
      </c>
      <c r="AK375">
        <v>6058726</v>
      </c>
    </row>
    <row r="376" spans="1:37" x14ac:dyDescent="0.25">
      <c r="A376" s="1">
        <v>46008</v>
      </c>
      <c r="B376" s="1">
        <v>46008</v>
      </c>
      <c r="C376" t="s">
        <v>38</v>
      </c>
      <c r="D376" t="s">
        <v>39</v>
      </c>
      <c r="E376" t="s">
        <v>40</v>
      </c>
      <c r="F376" t="s">
        <v>41</v>
      </c>
      <c r="G376" t="s">
        <v>42</v>
      </c>
      <c r="H376" t="s">
        <v>43</v>
      </c>
      <c r="I376" t="s">
        <v>951</v>
      </c>
      <c r="J376" t="s">
        <v>952</v>
      </c>
      <c r="M376" t="s">
        <v>217</v>
      </c>
      <c r="O376" t="s">
        <v>218</v>
      </c>
      <c r="P376" t="s">
        <v>219</v>
      </c>
      <c r="Q376" t="s">
        <v>49</v>
      </c>
      <c r="R376" t="s">
        <v>58</v>
      </c>
      <c r="S376" s="1">
        <v>46023</v>
      </c>
      <c r="U376" t="s">
        <v>51</v>
      </c>
      <c r="X376" t="s">
        <v>52</v>
      </c>
      <c r="Y376" s="2">
        <v>0</v>
      </c>
      <c r="Z376" s="2">
        <v>175</v>
      </c>
      <c r="AA376">
        <v>1</v>
      </c>
      <c r="AB376" s="3">
        <v>1</v>
      </c>
      <c r="AC376" s="2">
        <v>175</v>
      </c>
      <c r="AD376" s="3">
        <v>0</v>
      </c>
      <c r="AE376" s="2">
        <v>0</v>
      </c>
      <c r="AF376" s="2">
        <v>175</v>
      </c>
      <c r="AK376">
        <v>6058433</v>
      </c>
    </row>
    <row r="377" spans="1:37" x14ac:dyDescent="0.25">
      <c r="A377" s="1">
        <v>46008</v>
      </c>
      <c r="B377" s="1">
        <v>46008</v>
      </c>
      <c r="C377" t="s">
        <v>38</v>
      </c>
      <c r="D377" t="s">
        <v>39</v>
      </c>
      <c r="E377" t="s">
        <v>40</v>
      </c>
      <c r="F377" t="s">
        <v>41</v>
      </c>
      <c r="G377" t="s">
        <v>42</v>
      </c>
      <c r="H377" t="s">
        <v>43</v>
      </c>
      <c r="I377" t="s">
        <v>953</v>
      </c>
      <c r="J377" t="s">
        <v>954</v>
      </c>
      <c r="M377" t="s">
        <v>46</v>
      </c>
      <c r="O377" t="s">
        <v>66</v>
      </c>
      <c r="P377" t="s">
        <v>67</v>
      </c>
      <c r="Q377" t="s">
        <v>49</v>
      </c>
      <c r="R377" t="s">
        <v>58</v>
      </c>
      <c r="S377" s="1">
        <v>46023</v>
      </c>
      <c r="U377" t="s">
        <v>51</v>
      </c>
      <c r="X377" t="s">
        <v>52</v>
      </c>
      <c r="Y377" s="2">
        <v>0</v>
      </c>
      <c r="Z377" s="2">
        <v>175</v>
      </c>
      <c r="AA377">
        <v>1</v>
      </c>
      <c r="AB377" s="3">
        <v>1</v>
      </c>
      <c r="AC377" s="2">
        <v>175</v>
      </c>
      <c r="AD377" s="3">
        <v>0</v>
      </c>
      <c r="AE377" s="2">
        <v>0</v>
      </c>
      <c r="AF377" s="2">
        <v>175</v>
      </c>
      <c r="AK377">
        <v>6058727</v>
      </c>
    </row>
    <row r="378" spans="1:37" x14ac:dyDescent="0.25">
      <c r="A378" s="1">
        <v>46008</v>
      </c>
      <c r="B378" s="1">
        <v>46008</v>
      </c>
      <c r="C378" t="s">
        <v>38</v>
      </c>
      <c r="D378" t="s">
        <v>39</v>
      </c>
      <c r="E378" t="s">
        <v>40</v>
      </c>
      <c r="F378" t="s">
        <v>41</v>
      </c>
      <c r="G378" t="s">
        <v>42</v>
      </c>
      <c r="H378" t="s">
        <v>43</v>
      </c>
      <c r="I378" t="s">
        <v>955</v>
      </c>
      <c r="J378" t="s">
        <v>956</v>
      </c>
      <c r="M378" t="s">
        <v>46</v>
      </c>
      <c r="O378" t="s">
        <v>74</v>
      </c>
      <c r="P378" t="s">
        <v>75</v>
      </c>
      <c r="Q378" t="s">
        <v>49</v>
      </c>
      <c r="R378" t="s">
        <v>58</v>
      </c>
      <c r="S378" s="1">
        <v>46023</v>
      </c>
      <c r="U378" t="s">
        <v>51</v>
      </c>
      <c r="X378" t="s">
        <v>52</v>
      </c>
      <c r="Y378" s="2">
        <v>0</v>
      </c>
      <c r="Z378" s="2">
        <v>175</v>
      </c>
      <c r="AA378">
        <v>1</v>
      </c>
      <c r="AB378" s="3">
        <v>1</v>
      </c>
      <c r="AC378" s="2">
        <v>175</v>
      </c>
      <c r="AD378" s="3">
        <v>0</v>
      </c>
      <c r="AE378" s="2">
        <v>0</v>
      </c>
      <c r="AF378" s="2">
        <v>175</v>
      </c>
      <c r="AK378">
        <v>6058728</v>
      </c>
    </row>
    <row r="379" spans="1:37" x14ac:dyDescent="0.25">
      <c r="A379" s="1">
        <v>46008</v>
      </c>
      <c r="B379" s="1">
        <v>46008</v>
      </c>
      <c r="C379" t="s">
        <v>38</v>
      </c>
      <c r="D379" t="s">
        <v>39</v>
      </c>
      <c r="E379" t="s">
        <v>40</v>
      </c>
      <c r="F379" t="s">
        <v>41</v>
      </c>
      <c r="G379" t="s">
        <v>42</v>
      </c>
      <c r="H379" t="s">
        <v>43</v>
      </c>
      <c r="I379" t="s">
        <v>957</v>
      </c>
      <c r="J379" t="s">
        <v>958</v>
      </c>
      <c r="M379" t="s">
        <v>46</v>
      </c>
      <c r="O379" t="s">
        <v>959</v>
      </c>
      <c r="P379" t="s">
        <v>960</v>
      </c>
      <c r="Q379" t="s">
        <v>49</v>
      </c>
      <c r="R379" t="s">
        <v>961</v>
      </c>
      <c r="S379" s="1">
        <v>46023</v>
      </c>
      <c r="U379" t="s">
        <v>51</v>
      </c>
      <c r="X379" t="s">
        <v>52</v>
      </c>
      <c r="Y379" s="2">
        <v>0</v>
      </c>
      <c r="Z379" s="2">
        <v>15</v>
      </c>
      <c r="AA379">
        <v>1</v>
      </c>
      <c r="AB379" s="3">
        <v>1</v>
      </c>
      <c r="AC379" s="2">
        <v>15</v>
      </c>
      <c r="AD379" s="3">
        <v>0</v>
      </c>
      <c r="AE379" s="2">
        <v>0</v>
      </c>
      <c r="AF379" s="2">
        <v>15</v>
      </c>
      <c r="AK379">
        <v>6057429</v>
      </c>
    </row>
    <row r="380" spans="1:37" x14ac:dyDescent="0.25">
      <c r="A380" s="1">
        <v>46008</v>
      </c>
      <c r="B380" s="1">
        <v>46008</v>
      </c>
      <c r="C380" t="s">
        <v>38</v>
      </c>
      <c r="D380" t="s">
        <v>39</v>
      </c>
      <c r="E380" t="s">
        <v>40</v>
      </c>
      <c r="F380" t="s">
        <v>41</v>
      </c>
      <c r="G380" t="s">
        <v>42</v>
      </c>
      <c r="H380" t="s">
        <v>43</v>
      </c>
      <c r="I380" t="s">
        <v>962</v>
      </c>
      <c r="J380" t="s">
        <v>963</v>
      </c>
      <c r="M380" t="s">
        <v>46</v>
      </c>
      <c r="O380" t="s">
        <v>959</v>
      </c>
      <c r="P380" t="s">
        <v>960</v>
      </c>
      <c r="Q380" t="s">
        <v>49</v>
      </c>
      <c r="R380" t="s">
        <v>964</v>
      </c>
      <c r="S380" s="1">
        <v>46023</v>
      </c>
      <c r="U380" t="s">
        <v>51</v>
      </c>
      <c r="X380" t="s">
        <v>52</v>
      </c>
      <c r="Y380" s="2">
        <v>0</v>
      </c>
      <c r="Z380" s="2">
        <v>25</v>
      </c>
      <c r="AA380">
        <v>1</v>
      </c>
      <c r="AB380" s="3">
        <v>1</v>
      </c>
      <c r="AC380" s="2">
        <v>25</v>
      </c>
      <c r="AD380" s="3">
        <v>0</v>
      </c>
      <c r="AE380" s="2">
        <v>0</v>
      </c>
      <c r="AF380" s="2">
        <v>25</v>
      </c>
      <c r="AK380">
        <v>6057404</v>
      </c>
    </row>
    <row r="381" spans="1:37" x14ac:dyDescent="0.25">
      <c r="A381" s="1">
        <v>46008</v>
      </c>
      <c r="B381" s="1">
        <v>46008</v>
      </c>
      <c r="C381" t="s">
        <v>38</v>
      </c>
      <c r="D381" t="s">
        <v>39</v>
      </c>
      <c r="E381" t="s">
        <v>40</v>
      </c>
      <c r="F381" t="s">
        <v>41</v>
      </c>
      <c r="G381" t="s">
        <v>42</v>
      </c>
      <c r="H381" t="s">
        <v>43</v>
      </c>
      <c r="I381" t="s">
        <v>965</v>
      </c>
      <c r="J381" t="s">
        <v>966</v>
      </c>
      <c r="M381" t="s">
        <v>46</v>
      </c>
      <c r="O381" t="s">
        <v>74</v>
      </c>
      <c r="P381" t="s">
        <v>75</v>
      </c>
      <c r="Q381" t="s">
        <v>49</v>
      </c>
      <c r="R381" t="s">
        <v>964</v>
      </c>
      <c r="S381" s="1">
        <v>46023</v>
      </c>
      <c r="U381" t="s">
        <v>51</v>
      </c>
      <c r="X381" t="s">
        <v>52</v>
      </c>
      <c r="Y381" s="2">
        <v>0</v>
      </c>
      <c r="Z381" s="2">
        <v>25</v>
      </c>
      <c r="AA381">
        <v>1</v>
      </c>
      <c r="AB381" s="3">
        <v>1</v>
      </c>
      <c r="AC381" s="2">
        <v>25</v>
      </c>
      <c r="AD381" s="3">
        <v>0</v>
      </c>
      <c r="AE381" s="2">
        <v>0</v>
      </c>
      <c r="AF381" s="2">
        <v>25</v>
      </c>
      <c r="AK381">
        <v>6057374</v>
      </c>
    </row>
    <row r="382" spans="1:37" x14ac:dyDescent="0.25">
      <c r="A382" s="1">
        <v>46008</v>
      </c>
      <c r="B382" s="1">
        <v>46008</v>
      </c>
      <c r="C382" t="s">
        <v>38</v>
      </c>
      <c r="D382" t="s">
        <v>39</v>
      </c>
      <c r="E382" t="s">
        <v>40</v>
      </c>
      <c r="F382" t="s">
        <v>41</v>
      </c>
      <c r="G382" t="s">
        <v>42</v>
      </c>
      <c r="H382" t="s">
        <v>43</v>
      </c>
      <c r="I382" t="s">
        <v>967</v>
      </c>
      <c r="J382" t="s">
        <v>968</v>
      </c>
      <c r="M382" t="s">
        <v>46</v>
      </c>
      <c r="O382" t="s">
        <v>47</v>
      </c>
      <c r="P382" t="s">
        <v>48</v>
      </c>
      <c r="Q382" t="s">
        <v>49</v>
      </c>
      <c r="R382" t="s">
        <v>964</v>
      </c>
      <c r="S382" s="1">
        <v>46023</v>
      </c>
      <c r="U382" t="s">
        <v>51</v>
      </c>
      <c r="X382" t="s">
        <v>52</v>
      </c>
      <c r="Y382" s="2">
        <v>0</v>
      </c>
      <c r="Z382" s="2">
        <v>25</v>
      </c>
      <c r="AA382">
        <v>1</v>
      </c>
      <c r="AB382" s="3">
        <v>1</v>
      </c>
      <c r="AC382" s="2">
        <v>25</v>
      </c>
      <c r="AD382" s="3">
        <v>0</v>
      </c>
      <c r="AE382" s="2">
        <v>0</v>
      </c>
      <c r="AF382" s="2">
        <v>25</v>
      </c>
      <c r="AK382">
        <v>6057462</v>
      </c>
    </row>
    <row r="383" spans="1:37" x14ac:dyDescent="0.25">
      <c r="A383" s="1">
        <v>46008</v>
      </c>
      <c r="B383" s="1">
        <v>46008</v>
      </c>
      <c r="C383" t="s">
        <v>38</v>
      </c>
      <c r="D383" t="s">
        <v>39</v>
      </c>
      <c r="E383" t="s">
        <v>40</v>
      </c>
      <c r="F383" t="s">
        <v>41</v>
      </c>
      <c r="G383" t="s">
        <v>42</v>
      </c>
      <c r="H383" t="s">
        <v>43</v>
      </c>
      <c r="I383" t="s">
        <v>969</v>
      </c>
      <c r="J383" t="s">
        <v>970</v>
      </c>
      <c r="M383" t="s">
        <v>491</v>
      </c>
      <c r="O383" t="s">
        <v>971</v>
      </c>
      <c r="P383" t="s">
        <v>972</v>
      </c>
      <c r="Q383" t="s">
        <v>49</v>
      </c>
      <c r="R383" t="s">
        <v>964</v>
      </c>
      <c r="S383" s="1">
        <v>46023</v>
      </c>
      <c r="U383" t="s">
        <v>51</v>
      </c>
      <c r="X383" t="s">
        <v>52</v>
      </c>
      <c r="Y383" s="2">
        <v>0</v>
      </c>
      <c r="Z383" s="2">
        <v>25</v>
      </c>
      <c r="AA383">
        <v>1</v>
      </c>
      <c r="AB383" s="3">
        <v>1</v>
      </c>
      <c r="AC383" s="2">
        <v>25</v>
      </c>
      <c r="AD383" s="3">
        <v>0</v>
      </c>
      <c r="AE383" s="2">
        <v>0</v>
      </c>
      <c r="AF383" s="2">
        <v>25</v>
      </c>
      <c r="AK383">
        <v>6057477</v>
      </c>
    </row>
    <row r="384" spans="1:37" x14ac:dyDescent="0.25">
      <c r="A384" s="1">
        <v>46008</v>
      </c>
      <c r="B384" s="1">
        <v>46008</v>
      </c>
      <c r="C384" t="s">
        <v>38</v>
      </c>
      <c r="D384" t="s">
        <v>39</v>
      </c>
      <c r="E384" t="s">
        <v>40</v>
      </c>
      <c r="F384" t="s">
        <v>41</v>
      </c>
      <c r="G384" t="s">
        <v>42</v>
      </c>
      <c r="H384" t="s">
        <v>43</v>
      </c>
      <c r="I384" t="s">
        <v>973</v>
      </c>
      <c r="J384" t="s">
        <v>974</v>
      </c>
      <c r="M384" t="s">
        <v>46</v>
      </c>
      <c r="O384" t="s">
        <v>672</v>
      </c>
      <c r="P384" t="s">
        <v>673</v>
      </c>
      <c r="Q384" t="s">
        <v>49</v>
      </c>
      <c r="R384" t="s">
        <v>961</v>
      </c>
      <c r="S384" s="1">
        <v>46023</v>
      </c>
      <c r="U384" t="s">
        <v>51</v>
      </c>
      <c r="X384" t="s">
        <v>52</v>
      </c>
      <c r="Y384" s="2">
        <v>0</v>
      </c>
      <c r="Z384" s="2">
        <v>15</v>
      </c>
      <c r="AA384">
        <v>1</v>
      </c>
      <c r="AB384" s="3">
        <v>1</v>
      </c>
      <c r="AC384" s="2">
        <v>15</v>
      </c>
      <c r="AD384" s="3">
        <v>0</v>
      </c>
      <c r="AE384" s="2">
        <v>0</v>
      </c>
      <c r="AF384" s="2">
        <v>15</v>
      </c>
      <c r="AK384">
        <v>6057445</v>
      </c>
    </row>
    <row r="385" spans="1:37" x14ac:dyDescent="0.25">
      <c r="A385" s="1">
        <v>46008</v>
      </c>
      <c r="B385" s="1">
        <v>46008</v>
      </c>
      <c r="C385" t="s">
        <v>38</v>
      </c>
      <c r="D385" t="s">
        <v>39</v>
      </c>
      <c r="E385" t="s">
        <v>40</v>
      </c>
      <c r="F385" t="s">
        <v>41</v>
      </c>
      <c r="G385" t="s">
        <v>42</v>
      </c>
      <c r="H385" t="s">
        <v>43</v>
      </c>
      <c r="I385" t="s">
        <v>975</v>
      </c>
      <c r="J385" t="s">
        <v>976</v>
      </c>
      <c r="M385" t="s">
        <v>491</v>
      </c>
      <c r="O385" t="s">
        <v>971</v>
      </c>
      <c r="P385" t="s">
        <v>972</v>
      </c>
      <c r="Q385" t="s">
        <v>49</v>
      </c>
      <c r="R385" t="s">
        <v>961</v>
      </c>
      <c r="S385" s="1">
        <v>46023</v>
      </c>
      <c r="U385" t="s">
        <v>51</v>
      </c>
      <c r="X385" t="s">
        <v>52</v>
      </c>
      <c r="Y385" s="2">
        <v>0</v>
      </c>
      <c r="Z385" s="2">
        <v>15</v>
      </c>
      <c r="AA385">
        <v>1</v>
      </c>
      <c r="AB385" s="3">
        <v>1</v>
      </c>
      <c r="AC385" s="2">
        <v>15</v>
      </c>
      <c r="AD385" s="3">
        <v>0</v>
      </c>
      <c r="AE385" s="2">
        <v>0</v>
      </c>
      <c r="AF385" s="2">
        <v>15</v>
      </c>
      <c r="AK385">
        <v>6057422</v>
      </c>
    </row>
    <row r="386" spans="1:37" x14ac:dyDescent="0.25">
      <c r="A386" s="1">
        <v>46008</v>
      </c>
      <c r="B386" s="1">
        <v>46008</v>
      </c>
      <c r="C386" t="s">
        <v>38</v>
      </c>
      <c r="D386" t="s">
        <v>39</v>
      </c>
      <c r="E386" t="s">
        <v>40</v>
      </c>
      <c r="F386" t="s">
        <v>41</v>
      </c>
      <c r="G386" t="s">
        <v>42</v>
      </c>
      <c r="H386" t="s">
        <v>43</v>
      </c>
      <c r="I386" t="s">
        <v>977</v>
      </c>
      <c r="J386" t="s">
        <v>978</v>
      </c>
      <c r="M386" t="s">
        <v>46</v>
      </c>
      <c r="O386" t="s">
        <v>74</v>
      </c>
      <c r="P386" t="s">
        <v>75</v>
      </c>
      <c r="Q386" t="s">
        <v>49</v>
      </c>
      <c r="R386" t="s">
        <v>964</v>
      </c>
      <c r="S386" s="1">
        <v>46023</v>
      </c>
      <c r="U386" t="s">
        <v>51</v>
      </c>
      <c r="X386" t="s">
        <v>52</v>
      </c>
      <c r="Y386" s="2">
        <v>0</v>
      </c>
      <c r="Z386" s="2">
        <v>25</v>
      </c>
      <c r="AA386">
        <v>1</v>
      </c>
      <c r="AB386" s="3">
        <v>1</v>
      </c>
      <c r="AC386" s="2">
        <v>25</v>
      </c>
      <c r="AD386" s="3">
        <v>0</v>
      </c>
      <c r="AE386" s="2">
        <v>0</v>
      </c>
      <c r="AF386" s="2">
        <v>25</v>
      </c>
      <c r="AK386">
        <v>6057481</v>
      </c>
    </row>
    <row r="387" spans="1:37" x14ac:dyDescent="0.25">
      <c r="A387" s="1">
        <v>46008</v>
      </c>
      <c r="B387" s="1">
        <v>46008</v>
      </c>
      <c r="C387" t="s">
        <v>38</v>
      </c>
      <c r="D387" t="s">
        <v>39</v>
      </c>
      <c r="E387" t="s">
        <v>40</v>
      </c>
      <c r="F387" t="s">
        <v>41</v>
      </c>
      <c r="G387" t="s">
        <v>42</v>
      </c>
      <c r="H387" t="s">
        <v>43</v>
      </c>
      <c r="I387" t="s">
        <v>979</v>
      </c>
      <c r="J387" t="s">
        <v>980</v>
      </c>
      <c r="M387" t="s">
        <v>46</v>
      </c>
      <c r="O387" t="s">
        <v>74</v>
      </c>
      <c r="P387" t="s">
        <v>75</v>
      </c>
      <c r="Q387" t="s">
        <v>49</v>
      </c>
      <c r="R387" t="s">
        <v>964</v>
      </c>
      <c r="S387" s="1">
        <v>46023</v>
      </c>
      <c r="U387" t="s">
        <v>51</v>
      </c>
      <c r="X387" t="s">
        <v>52</v>
      </c>
      <c r="Y387" s="2">
        <v>0</v>
      </c>
      <c r="Z387" s="2">
        <v>25</v>
      </c>
      <c r="AA387">
        <v>1</v>
      </c>
      <c r="AB387" s="3">
        <v>1</v>
      </c>
      <c r="AC387" s="2">
        <v>25</v>
      </c>
      <c r="AD387" s="3">
        <v>0</v>
      </c>
      <c r="AE387" s="2">
        <v>0</v>
      </c>
      <c r="AF387" s="2">
        <v>25</v>
      </c>
      <c r="AK387">
        <v>6057453</v>
      </c>
    </row>
    <row r="388" spans="1:37" x14ac:dyDescent="0.25">
      <c r="A388" s="1">
        <v>46008</v>
      </c>
      <c r="B388" s="1">
        <v>46008</v>
      </c>
      <c r="C388" t="s">
        <v>38</v>
      </c>
      <c r="D388" t="s">
        <v>39</v>
      </c>
      <c r="E388" t="s">
        <v>40</v>
      </c>
      <c r="F388" t="s">
        <v>41</v>
      </c>
      <c r="G388" t="s">
        <v>42</v>
      </c>
      <c r="H388" t="s">
        <v>43</v>
      </c>
      <c r="I388" t="s">
        <v>981</v>
      </c>
      <c r="J388" t="s">
        <v>982</v>
      </c>
      <c r="M388" t="s">
        <v>78</v>
      </c>
      <c r="O388" t="s">
        <v>183</v>
      </c>
      <c r="P388" t="s">
        <v>184</v>
      </c>
      <c r="Q388" t="s">
        <v>49</v>
      </c>
      <c r="R388" t="s">
        <v>964</v>
      </c>
      <c r="S388" s="1">
        <v>46023</v>
      </c>
      <c r="U388" t="s">
        <v>51</v>
      </c>
      <c r="X388" t="s">
        <v>52</v>
      </c>
      <c r="Y388" s="2">
        <v>0</v>
      </c>
      <c r="Z388" s="2">
        <v>25</v>
      </c>
      <c r="AA388">
        <v>1</v>
      </c>
      <c r="AB388" s="3">
        <v>1</v>
      </c>
      <c r="AC388" s="2">
        <v>25</v>
      </c>
      <c r="AD388" s="3">
        <v>0</v>
      </c>
      <c r="AE388" s="2">
        <v>0</v>
      </c>
      <c r="AF388" s="2">
        <v>25</v>
      </c>
      <c r="AK388">
        <v>6057386</v>
      </c>
    </row>
    <row r="389" spans="1:37" x14ac:dyDescent="0.25">
      <c r="A389" s="1">
        <v>46008</v>
      </c>
      <c r="B389" s="1">
        <v>46008</v>
      </c>
      <c r="C389" t="s">
        <v>38</v>
      </c>
      <c r="D389" t="s">
        <v>39</v>
      </c>
      <c r="E389" t="s">
        <v>40</v>
      </c>
      <c r="F389" t="s">
        <v>41</v>
      </c>
      <c r="G389" t="s">
        <v>42</v>
      </c>
      <c r="H389" t="s">
        <v>43</v>
      </c>
      <c r="I389" t="s">
        <v>983</v>
      </c>
      <c r="J389" t="s">
        <v>984</v>
      </c>
      <c r="M389" t="s">
        <v>78</v>
      </c>
      <c r="O389" t="s">
        <v>183</v>
      </c>
      <c r="P389" t="s">
        <v>184</v>
      </c>
      <c r="Q389" t="s">
        <v>49</v>
      </c>
      <c r="R389" t="s">
        <v>964</v>
      </c>
      <c r="S389" s="1">
        <v>46023</v>
      </c>
      <c r="U389" t="s">
        <v>51</v>
      </c>
      <c r="X389" t="s">
        <v>52</v>
      </c>
      <c r="Y389" s="2">
        <v>0</v>
      </c>
      <c r="Z389" s="2">
        <v>25</v>
      </c>
      <c r="AA389">
        <v>1</v>
      </c>
      <c r="AB389" s="3">
        <v>1</v>
      </c>
      <c r="AC389" s="2">
        <v>25</v>
      </c>
      <c r="AD389" s="3">
        <v>0</v>
      </c>
      <c r="AE389" s="2">
        <v>0</v>
      </c>
      <c r="AF389" s="2">
        <v>25</v>
      </c>
      <c r="AK389">
        <v>6057385</v>
      </c>
    </row>
    <row r="390" spans="1:37" x14ac:dyDescent="0.25">
      <c r="A390" s="1">
        <v>46008</v>
      </c>
      <c r="B390" s="1">
        <v>46008</v>
      </c>
      <c r="C390" t="s">
        <v>38</v>
      </c>
      <c r="D390" t="s">
        <v>39</v>
      </c>
      <c r="E390" t="s">
        <v>40</v>
      </c>
      <c r="F390" t="s">
        <v>41</v>
      </c>
      <c r="G390" t="s">
        <v>42</v>
      </c>
      <c r="H390" t="s">
        <v>43</v>
      </c>
      <c r="I390" t="s">
        <v>985</v>
      </c>
      <c r="J390" t="s">
        <v>986</v>
      </c>
      <c r="M390" t="s">
        <v>46</v>
      </c>
      <c r="O390" t="s">
        <v>714</v>
      </c>
      <c r="P390" t="s">
        <v>715</v>
      </c>
      <c r="Q390" t="s">
        <v>49</v>
      </c>
      <c r="R390" t="s">
        <v>964</v>
      </c>
      <c r="S390" s="1">
        <v>46023</v>
      </c>
      <c r="U390" t="s">
        <v>51</v>
      </c>
      <c r="X390" t="s">
        <v>52</v>
      </c>
      <c r="Y390" s="2">
        <v>0</v>
      </c>
      <c r="Z390" s="2">
        <v>25</v>
      </c>
      <c r="AA390">
        <v>1</v>
      </c>
      <c r="AB390" s="3">
        <v>1</v>
      </c>
      <c r="AC390" s="2">
        <v>25</v>
      </c>
      <c r="AD390" s="3">
        <v>0</v>
      </c>
      <c r="AE390" s="2">
        <v>0</v>
      </c>
      <c r="AF390" s="2">
        <v>25</v>
      </c>
      <c r="AK390">
        <v>6057420</v>
      </c>
    </row>
    <row r="391" spans="1:37" x14ac:dyDescent="0.25">
      <c r="A391" s="1">
        <v>46008</v>
      </c>
      <c r="B391" s="1">
        <v>46008</v>
      </c>
      <c r="C391" t="s">
        <v>38</v>
      </c>
      <c r="D391" t="s">
        <v>39</v>
      </c>
      <c r="E391" t="s">
        <v>40</v>
      </c>
      <c r="F391" t="s">
        <v>41</v>
      </c>
      <c r="G391" t="s">
        <v>42</v>
      </c>
      <c r="H391" t="s">
        <v>43</v>
      </c>
      <c r="I391" t="s">
        <v>987</v>
      </c>
      <c r="J391" t="s">
        <v>988</v>
      </c>
      <c r="M391" t="s">
        <v>46</v>
      </c>
      <c r="O391" t="s">
        <v>672</v>
      </c>
      <c r="P391" t="s">
        <v>673</v>
      </c>
      <c r="Q391" t="s">
        <v>49</v>
      </c>
      <c r="R391" t="s">
        <v>964</v>
      </c>
      <c r="S391" s="1">
        <v>46023</v>
      </c>
      <c r="U391" t="s">
        <v>51</v>
      </c>
      <c r="X391" t="s">
        <v>52</v>
      </c>
      <c r="Y391" s="2">
        <v>0</v>
      </c>
      <c r="Z391" s="2">
        <v>25</v>
      </c>
      <c r="AA391">
        <v>1</v>
      </c>
      <c r="AB391" s="3">
        <v>1</v>
      </c>
      <c r="AC391" s="2">
        <v>25</v>
      </c>
      <c r="AD391" s="3">
        <v>0</v>
      </c>
      <c r="AE391" s="2">
        <v>0</v>
      </c>
      <c r="AF391" s="2">
        <v>25</v>
      </c>
      <c r="AK391">
        <v>6057440</v>
      </c>
    </row>
    <row r="392" spans="1:37" x14ac:dyDescent="0.25">
      <c r="A392" s="1">
        <v>46008</v>
      </c>
      <c r="B392" s="1">
        <v>46008</v>
      </c>
      <c r="C392" t="s">
        <v>38</v>
      </c>
      <c r="D392" t="s">
        <v>39</v>
      </c>
      <c r="E392" t="s">
        <v>40</v>
      </c>
      <c r="F392" t="s">
        <v>41</v>
      </c>
      <c r="G392" t="s">
        <v>42</v>
      </c>
      <c r="H392" t="s">
        <v>43</v>
      </c>
      <c r="I392" t="s">
        <v>989</v>
      </c>
      <c r="J392" t="s">
        <v>990</v>
      </c>
      <c r="M392" t="s">
        <v>46</v>
      </c>
      <c r="O392" t="s">
        <v>74</v>
      </c>
      <c r="P392" t="s">
        <v>75</v>
      </c>
      <c r="Q392" t="s">
        <v>49</v>
      </c>
      <c r="R392" t="s">
        <v>964</v>
      </c>
      <c r="S392" s="1">
        <v>46023</v>
      </c>
      <c r="U392" t="s">
        <v>51</v>
      </c>
      <c r="X392" t="s">
        <v>52</v>
      </c>
      <c r="Y392" s="2">
        <v>0</v>
      </c>
      <c r="Z392" s="2">
        <v>25</v>
      </c>
      <c r="AA392">
        <v>1</v>
      </c>
      <c r="AB392" s="3">
        <v>1</v>
      </c>
      <c r="AC392" s="2">
        <v>25</v>
      </c>
      <c r="AD392" s="3">
        <v>0</v>
      </c>
      <c r="AE392" s="2">
        <v>0</v>
      </c>
      <c r="AF392" s="2">
        <v>25</v>
      </c>
      <c r="AK392">
        <v>6057398</v>
      </c>
    </row>
    <row r="393" spans="1:37" x14ac:dyDescent="0.25">
      <c r="A393" s="1">
        <v>46008</v>
      </c>
      <c r="B393" s="1">
        <v>46008</v>
      </c>
      <c r="C393" t="s">
        <v>38</v>
      </c>
      <c r="D393" t="s">
        <v>39</v>
      </c>
      <c r="E393" t="s">
        <v>40</v>
      </c>
      <c r="F393" t="s">
        <v>41</v>
      </c>
      <c r="G393" t="s">
        <v>42</v>
      </c>
      <c r="H393" t="s">
        <v>43</v>
      </c>
      <c r="I393" t="s">
        <v>991</v>
      </c>
      <c r="J393" t="s">
        <v>992</v>
      </c>
      <c r="M393" t="s">
        <v>46</v>
      </c>
      <c r="O393" t="s">
        <v>479</v>
      </c>
      <c r="P393" t="s">
        <v>480</v>
      </c>
      <c r="Q393" t="s">
        <v>49</v>
      </c>
      <c r="R393" t="s">
        <v>964</v>
      </c>
      <c r="S393" s="1">
        <v>46023</v>
      </c>
      <c r="U393" t="s">
        <v>51</v>
      </c>
      <c r="X393" t="s">
        <v>52</v>
      </c>
      <c r="Y393" s="2">
        <v>0</v>
      </c>
      <c r="Z393" s="2">
        <v>25</v>
      </c>
      <c r="AA393">
        <v>1</v>
      </c>
      <c r="AB393" s="3">
        <v>1</v>
      </c>
      <c r="AC393" s="2">
        <v>25</v>
      </c>
      <c r="AD393" s="3">
        <v>0</v>
      </c>
      <c r="AE393" s="2">
        <v>0</v>
      </c>
      <c r="AF393" s="2">
        <v>25</v>
      </c>
      <c r="AK393">
        <v>6057382</v>
      </c>
    </row>
    <row r="394" spans="1:37" x14ac:dyDescent="0.25">
      <c r="A394" s="1">
        <v>46008</v>
      </c>
      <c r="B394" s="1">
        <v>46008</v>
      </c>
      <c r="C394" t="s">
        <v>38</v>
      </c>
      <c r="D394" t="s">
        <v>39</v>
      </c>
      <c r="E394" t="s">
        <v>40</v>
      </c>
      <c r="F394" t="s">
        <v>41</v>
      </c>
      <c r="G394" t="s">
        <v>42</v>
      </c>
      <c r="H394" t="s">
        <v>43</v>
      </c>
      <c r="I394" t="s">
        <v>993</v>
      </c>
      <c r="J394" t="s">
        <v>994</v>
      </c>
      <c r="M394" t="s">
        <v>155</v>
      </c>
      <c r="O394" t="s">
        <v>995</v>
      </c>
      <c r="P394" t="s">
        <v>996</v>
      </c>
      <c r="Q394" t="s">
        <v>49</v>
      </c>
      <c r="R394" t="s">
        <v>964</v>
      </c>
      <c r="S394" s="1">
        <v>46023</v>
      </c>
      <c r="U394" t="s">
        <v>51</v>
      </c>
      <c r="X394" t="s">
        <v>52</v>
      </c>
      <c r="Y394" s="2">
        <v>0</v>
      </c>
      <c r="Z394" s="2">
        <v>25</v>
      </c>
      <c r="AA394">
        <v>1</v>
      </c>
      <c r="AB394" s="3">
        <v>1</v>
      </c>
      <c r="AC394" s="2">
        <v>25</v>
      </c>
      <c r="AD394" s="3">
        <v>0</v>
      </c>
      <c r="AE394" s="2">
        <v>0</v>
      </c>
      <c r="AF394" s="2">
        <v>25</v>
      </c>
      <c r="AK394">
        <v>6057484</v>
      </c>
    </row>
    <row r="395" spans="1:37" x14ac:dyDescent="0.25">
      <c r="A395" s="1">
        <v>46008</v>
      </c>
      <c r="B395" s="1">
        <v>46008</v>
      </c>
      <c r="C395" t="s">
        <v>38</v>
      </c>
      <c r="D395" t="s">
        <v>39</v>
      </c>
      <c r="E395" t="s">
        <v>40</v>
      </c>
      <c r="F395" t="s">
        <v>41</v>
      </c>
      <c r="G395" t="s">
        <v>42</v>
      </c>
      <c r="H395" t="s">
        <v>43</v>
      </c>
      <c r="I395" t="s">
        <v>997</v>
      </c>
      <c r="J395" t="s">
        <v>998</v>
      </c>
      <c r="M395" t="s">
        <v>46</v>
      </c>
      <c r="O395" t="s">
        <v>479</v>
      </c>
      <c r="P395" t="s">
        <v>480</v>
      </c>
      <c r="Q395" t="s">
        <v>49</v>
      </c>
      <c r="R395" t="s">
        <v>964</v>
      </c>
      <c r="S395" s="1">
        <v>46023</v>
      </c>
      <c r="U395" t="s">
        <v>51</v>
      </c>
      <c r="X395" t="s">
        <v>52</v>
      </c>
      <c r="Y395" s="2">
        <v>0</v>
      </c>
      <c r="Z395" s="2">
        <v>25</v>
      </c>
      <c r="AA395">
        <v>1</v>
      </c>
      <c r="AB395" s="3">
        <v>1</v>
      </c>
      <c r="AC395" s="2">
        <v>25</v>
      </c>
      <c r="AD395" s="3">
        <v>0</v>
      </c>
      <c r="AE395" s="2">
        <v>0</v>
      </c>
      <c r="AF395" s="2">
        <v>25</v>
      </c>
      <c r="AK395">
        <v>6057454</v>
      </c>
    </row>
    <row r="396" spans="1:37" x14ac:dyDescent="0.25">
      <c r="A396" s="1">
        <v>46008</v>
      </c>
      <c r="B396" s="1">
        <v>46008</v>
      </c>
      <c r="C396" t="s">
        <v>38</v>
      </c>
      <c r="D396" t="s">
        <v>39</v>
      </c>
      <c r="E396" t="s">
        <v>40</v>
      </c>
      <c r="F396" t="s">
        <v>41</v>
      </c>
      <c r="G396" t="s">
        <v>42</v>
      </c>
      <c r="H396" t="s">
        <v>43</v>
      </c>
      <c r="I396" t="s">
        <v>999</v>
      </c>
      <c r="J396" t="s">
        <v>1000</v>
      </c>
      <c r="M396" t="s">
        <v>46</v>
      </c>
      <c r="O396" t="s">
        <v>74</v>
      </c>
      <c r="P396" t="s">
        <v>75</v>
      </c>
      <c r="Q396" t="s">
        <v>49</v>
      </c>
      <c r="R396" t="s">
        <v>964</v>
      </c>
      <c r="S396" s="1">
        <v>46023</v>
      </c>
      <c r="U396" t="s">
        <v>51</v>
      </c>
      <c r="X396" t="s">
        <v>52</v>
      </c>
      <c r="Y396" s="2">
        <v>0</v>
      </c>
      <c r="Z396" s="2">
        <v>25</v>
      </c>
      <c r="AA396">
        <v>1</v>
      </c>
      <c r="AB396" s="3">
        <v>1</v>
      </c>
      <c r="AC396" s="2">
        <v>25</v>
      </c>
      <c r="AD396" s="3">
        <v>0</v>
      </c>
      <c r="AE396" s="2">
        <v>0</v>
      </c>
      <c r="AF396" s="2">
        <v>25</v>
      </c>
      <c r="AK396">
        <v>6057397</v>
      </c>
    </row>
    <row r="397" spans="1:37" x14ac:dyDescent="0.25">
      <c r="A397" s="1">
        <v>46008</v>
      </c>
      <c r="B397" s="1">
        <v>46008</v>
      </c>
      <c r="C397" t="s">
        <v>38</v>
      </c>
      <c r="D397" t="s">
        <v>39</v>
      </c>
      <c r="E397" t="s">
        <v>40</v>
      </c>
      <c r="F397" t="s">
        <v>41</v>
      </c>
      <c r="G397" t="s">
        <v>42</v>
      </c>
      <c r="H397" t="s">
        <v>43</v>
      </c>
      <c r="I397" t="s">
        <v>1001</v>
      </c>
      <c r="J397" t="s">
        <v>1002</v>
      </c>
      <c r="M397" t="s">
        <v>46</v>
      </c>
      <c r="O397" t="s">
        <v>714</v>
      </c>
      <c r="P397" t="s">
        <v>715</v>
      </c>
      <c r="Q397" t="s">
        <v>49</v>
      </c>
      <c r="R397" t="s">
        <v>964</v>
      </c>
      <c r="S397" s="1">
        <v>46023</v>
      </c>
      <c r="U397" t="s">
        <v>51</v>
      </c>
      <c r="X397" t="s">
        <v>52</v>
      </c>
      <c r="Y397" s="2">
        <v>0</v>
      </c>
      <c r="Z397" s="2">
        <v>25</v>
      </c>
      <c r="AA397">
        <v>1</v>
      </c>
      <c r="AB397" s="3">
        <v>1</v>
      </c>
      <c r="AC397" s="2">
        <v>25</v>
      </c>
      <c r="AD397" s="3">
        <v>0</v>
      </c>
      <c r="AE397" s="2">
        <v>0</v>
      </c>
      <c r="AF397" s="2">
        <v>25</v>
      </c>
      <c r="AK397">
        <v>6057418</v>
      </c>
    </row>
    <row r="398" spans="1:37" x14ac:dyDescent="0.25">
      <c r="A398" s="1">
        <v>46008</v>
      </c>
      <c r="B398" s="1">
        <v>46008</v>
      </c>
      <c r="C398" t="s">
        <v>38</v>
      </c>
      <c r="D398" t="s">
        <v>39</v>
      </c>
      <c r="E398" t="s">
        <v>40</v>
      </c>
      <c r="F398" t="s">
        <v>41</v>
      </c>
      <c r="G398" t="s">
        <v>42</v>
      </c>
      <c r="H398" t="s">
        <v>43</v>
      </c>
      <c r="I398" t="s">
        <v>1003</v>
      </c>
      <c r="J398" t="s">
        <v>1004</v>
      </c>
      <c r="M398" t="s">
        <v>46</v>
      </c>
      <c r="O398" t="s">
        <v>151</v>
      </c>
      <c r="P398" t="s">
        <v>152</v>
      </c>
      <c r="Q398" t="s">
        <v>49</v>
      </c>
      <c r="R398" t="s">
        <v>964</v>
      </c>
      <c r="S398" s="1">
        <v>46023</v>
      </c>
      <c r="U398" t="s">
        <v>51</v>
      </c>
      <c r="X398" t="s">
        <v>52</v>
      </c>
      <c r="Y398" s="2">
        <v>0</v>
      </c>
      <c r="Z398" s="2">
        <v>25</v>
      </c>
      <c r="AA398">
        <v>1</v>
      </c>
      <c r="AB398" s="3">
        <v>1</v>
      </c>
      <c r="AC398" s="2">
        <v>25</v>
      </c>
      <c r="AD398" s="3">
        <v>0</v>
      </c>
      <c r="AE398" s="2">
        <v>0</v>
      </c>
      <c r="AF398" s="2">
        <v>25</v>
      </c>
      <c r="AK398">
        <v>6057428</v>
      </c>
    </row>
    <row r="399" spans="1:37" x14ac:dyDescent="0.25">
      <c r="A399" s="1">
        <v>46008</v>
      </c>
      <c r="B399" s="1">
        <v>46008</v>
      </c>
      <c r="C399" t="s">
        <v>38</v>
      </c>
      <c r="D399" t="s">
        <v>39</v>
      </c>
      <c r="E399" t="s">
        <v>40</v>
      </c>
      <c r="F399" t="s">
        <v>41</v>
      </c>
      <c r="G399" t="s">
        <v>42</v>
      </c>
      <c r="H399" t="s">
        <v>43</v>
      </c>
      <c r="I399" t="s">
        <v>1005</v>
      </c>
      <c r="J399" t="s">
        <v>1006</v>
      </c>
      <c r="M399" t="s">
        <v>491</v>
      </c>
      <c r="O399" t="s">
        <v>1007</v>
      </c>
      <c r="P399" t="s">
        <v>1008</v>
      </c>
      <c r="Q399" t="s">
        <v>49</v>
      </c>
      <c r="R399" t="s">
        <v>964</v>
      </c>
      <c r="S399" s="1">
        <v>46023</v>
      </c>
      <c r="U399" t="s">
        <v>51</v>
      </c>
      <c r="X399" t="s">
        <v>52</v>
      </c>
      <c r="Y399" s="2">
        <v>0</v>
      </c>
      <c r="Z399" s="2">
        <v>25</v>
      </c>
      <c r="AA399">
        <v>1</v>
      </c>
      <c r="AB399" s="3">
        <v>1</v>
      </c>
      <c r="AC399" s="2">
        <v>25</v>
      </c>
      <c r="AD399" s="3">
        <v>0</v>
      </c>
      <c r="AE399" s="2">
        <v>0</v>
      </c>
      <c r="AF399" s="2">
        <v>25</v>
      </c>
      <c r="AK399">
        <v>6057421</v>
      </c>
    </row>
    <row r="400" spans="1:37" x14ac:dyDescent="0.25">
      <c r="A400" s="1">
        <v>46008</v>
      </c>
      <c r="B400" s="1">
        <v>46008</v>
      </c>
      <c r="C400" t="s">
        <v>38</v>
      </c>
      <c r="D400" t="s">
        <v>39</v>
      </c>
      <c r="E400" t="s">
        <v>40</v>
      </c>
      <c r="F400" t="s">
        <v>41</v>
      </c>
      <c r="G400" t="s">
        <v>42</v>
      </c>
      <c r="H400" t="s">
        <v>43</v>
      </c>
      <c r="I400" t="s">
        <v>1009</v>
      </c>
      <c r="J400" t="s">
        <v>1010</v>
      </c>
      <c r="M400" t="s">
        <v>155</v>
      </c>
      <c r="O400" t="s">
        <v>179</v>
      </c>
      <c r="P400" t="s">
        <v>180</v>
      </c>
      <c r="Q400" t="s">
        <v>49</v>
      </c>
      <c r="R400" t="s">
        <v>964</v>
      </c>
      <c r="S400" s="1">
        <v>46023</v>
      </c>
      <c r="U400" t="s">
        <v>51</v>
      </c>
      <c r="X400" t="s">
        <v>52</v>
      </c>
      <c r="Y400" s="2">
        <v>0</v>
      </c>
      <c r="Z400" s="2">
        <v>25</v>
      </c>
      <c r="AA400">
        <v>1</v>
      </c>
      <c r="AB400" s="3">
        <v>1</v>
      </c>
      <c r="AC400" s="2">
        <v>25</v>
      </c>
      <c r="AD400" s="3">
        <v>0</v>
      </c>
      <c r="AE400" s="2">
        <v>0</v>
      </c>
      <c r="AF400" s="2">
        <v>25</v>
      </c>
      <c r="AK400">
        <v>6057396</v>
      </c>
    </row>
    <row r="401" spans="1:38" x14ac:dyDescent="0.25">
      <c r="A401" s="1">
        <v>46008</v>
      </c>
      <c r="B401" s="1">
        <v>46008</v>
      </c>
      <c r="C401" t="s">
        <v>38</v>
      </c>
      <c r="D401" t="s">
        <v>39</v>
      </c>
      <c r="E401" t="s">
        <v>40</v>
      </c>
      <c r="F401" t="s">
        <v>41</v>
      </c>
      <c r="G401" t="s">
        <v>42</v>
      </c>
      <c r="H401" t="s">
        <v>43</v>
      </c>
      <c r="I401" t="s">
        <v>1011</v>
      </c>
      <c r="J401" t="s">
        <v>1012</v>
      </c>
      <c r="M401" t="s">
        <v>491</v>
      </c>
      <c r="O401" t="s">
        <v>1007</v>
      </c>
      <c r="P401" t="s">
        <v>1008</v>
      </c>
      <c r="Q401" t="s">
        <v>49</v>
      </c>
      <c r="R401" t="s">
        <v>964</v>
      </c>
      <c r="S401" s="1">
        <v>46023</v>
      </c>
      <c r="U401" t="s">
        <v>51</v>
      </c>
      <c r="X401" t="s">
        <v>52</v>
      </c>
      <c r="Y401" s="2">
        <v>0</v>
      </c>
      <c r="Z401" s="2">
        <v>25</v>
      </c>
      <c r="AA401">
        <v>1</v>
      </c>
      <c r="AB401" s="3">
        <v>1</v>
      </c>
      <c r="AC401" s="2">
        <v>25</v>
      </c>
      <c r="AD401" s="3">
        <v>0</v>
      </c>
      <c r="AE401" s="2">
        <v>0</v>
      </c>
      <c r="AF401" s="2">
        <v>25</v>
      </c>
      <c r="AK401">
        <v>6057380</v>
      </c>
    </row>
    <row r="402" spans="1:38" x14ac:dyDescent="0.25">
      <c r="A402" s="1">
        <v>46008</v>
      </c>
      <c r="B402" s="1">
        <v>46008</v>
      </c>
      <c r="C402" t="s">
        <v>38</v>
      </c>
      <c r="D402" t="s">
        <v>39</v>
      </c>
      <c r="E402" t="s">
        <v>40</v>
      </c>
      <c r="F402" t="s">
        <v>41</v>
      </c>
      <c r="G402" t="s">
        <v>42</v>
      </c>
      <c r="H402" t="s">
        <v>43</v>
      </c>
      <c r="I402" t="s">
        <v>1013</v>
      </c>
      <c r="J402" t="s">
        <v>1014</v>
      </c>
      <c r="M402" t="s">
        <v>87</v>
      </c>
      <c r="O402" t="s">
        <v>141</v>
      </c>
      <c r="P402" t="s">
        <v>142</v>
      </c>
      <c r="Q402" t="s">
        <v>49</v>
      </c>
      <c r="R402" t="s">
        <v>964</v>
      </c>
      <c r="S402" s="1">
        <v>46023</v>
      </c>
      <c r="U402" t="s">
        <v>51</v>
      </c>
      <c r="X402" t="s">
        <v>52</v>
      </c>
      <c r="Y402" s="2">
        <v>0</v>
      </c>
      <c r="Z402" s="2">
        <v>25</v>
      </c>
      <c r="AA402">
        <v>1</v>
      </c>
      <c r="AB402" s="3">
        <v>1</v>
      </c>
      <c r="AC402" s="2">
        <v>25</v>
      </c>
      <c r="AD402" s="3">
        <v>0</v>
      </c>
      <c r="AE402" s="2">
        <v>0</v>
      </c>
      <c r="AF402" s="2">
        <v>25</v>
      </c>
      <c r="AK402">
        <v>6057463</v>
      </c>
    </row>
    <row r="403" spans="1:38" x14ac:dyDescent="0.25">
      <c r="A403" s="1">
        <v>46008</v>
      </c>
      <c r="B403" s="1">
        <v>46008</v>
      </c>
      <c r="C403" t="s">
        <v>38</v>
      </c>
      <c r="D403" t="s">
        <v>39</v>
      </c>
      <c r="E403" t="s">
        <v>40</v>
      </c>
      <c r="F403" t="s">
        <v>41</v>
      </c>
      <c r="G403" t="s">
        <v>42</v>
      </c>
      <c r="H403" t="s">
        <v>43</v>
      </c>
      <c r="I403" t="s">
        <v>1015</v>
      </c>
      <c r="J403" t="s">
        <v>1016</v>
      </c>
      <c r="M403" t="s">
        <v>155</v>
      </c>
      <c r="O403" t="s">
        <v>179</v>
      </c>
      <c r="P403" t="s">
        <v>180</v>
      </c>
      <c r="Q403" t="s">
        <v>49</v>
      </c>
      <c r="R403" t="s">
        <v>964</v>
      </c>
      <c r="S403" s="1">
        <v>46023</v>
      </c>
      <c r="U403" t="s">
        <v>51</v>
      </c>
      <c r="X403" t="s">
        <v>52</v>
      </c>
      <c r="Y403" s="2">
        <v>0</v>
      </c>
      <c r="Z403" s="2">
        <v>25</v>
      </c>
      <c r="AA403">
        <v>1</v>
      </c>
      <c r="AB403" s="3">
        <v>1</v>
      </c>
      <c r="AC403" s="2">
        <v>25</v>
      </c>
      <c r="AD403" s="3">
        <v>0</v>
      </c>
      <c r="AE403" s="2">
        <v>0</v>
      </c>
      <c r="AF403" s="2">
        <v>25</v>
      </c>
      <c r="AK403">
        <v>6057427</v>
      </c>
    </row>
    <row r="404" spans="1:38" x14ac:dyDescent="0.25">
      <c r="A404" s="1">
        <v>46008</v>
      </c>
      <c r="B404" s="1">
        <v>46008</v>
      </c>
      <c r="C404" t="s">
        <v>38</v>
      </c>
      <c r="D404" t="s">
        <v>39</v>
      </c>
      <c r="E404" t="s">
        <v>40</v>
      </c>
      <c r="F404" t="s">
        <v>41</v>
      </c>
      <c r="G404" t="s">
        <v>42</v>
      </c>
      <c r="H404" t="s">
        <v>43</v>
      </c>
      <c r="I404" t="s">
        <v>1017</v>
      </c>
      <c r="J404" t="s">
        <v>1018</v>
      </c>
      <c r="M404" t="s">
        <v>78</v>
      </c>
      <c r="O404" t="s">
        <v>183</v>
      </c>
      <c r="P404" t="s">
        <v>184</v>
      </c>
      <c r="Q404" t="s">
        <v>49</v>
      </c>
      <c r="R404" t="s">
        <v>964</v>
      </c>
      <c r="S404" s="1">
        <v>46023</v>
      </c>
      <c r="U404" t="s">
        <v>51</v>
      </c>
      <c r="X404" t="s">
        <v>52</v>
      </c>
      <c r="Y404" s="2">
        <v>0</v>
      </c>
      <c r="Z404" s="2">
        <v>25</v>
      </c>
      <c r="AA404">
        <v>1</v>
      </c>
      <c r="AB404" s="3">
        <v>1</v>
      </c>
      <c r="AC404" s="2">
        <v>25</v>
      </c>
      <c r="AD404" s="3">
        <v>0</v>
      </c>
      <c r="AE404" s="2">
        <v>0</v>
      </c>
      <c r="AF404" s="2">
        <v>25</v>
      </c>
      <c r="AK404">
        <v>6057439</v>
      </c>
    </row>
    <row r="405" spans="1:38" x14ac:dyDescent="0.25">
      <c r="A405" s="1">
        <v>46008</v>
      </c>
      <c r="B405" s="1">
        <v>46008</v>
      </c>
      <c r="C405" t="s">
        <v>38</v>
      </c>
      <c r="D405" t="s">
        <v>39</v>
      </c>
      <c r="E405" t="s">
        <v>40</v>
      </c>
      <c r="F405" t="s">
        <v>41</v>
      </c>
      <c r="G405" t="s">
        <v>42</v>
      </c>
      <c r="H405" t="s">
        <v>43</v>
      </c>
      <c r="I405" t="s">
        <v>1019</v>
      </c>
      <c r="J405" t="s">
        <v>1020</v>
      </c>
      <c r="M405" t="s">
        <v>491</v>
      </c>
      <c r="O405" t="s">
        <v>1021</v>
      </c>
      <c r="P405" t="s">
        <v>1022</v>
      </c>
      <c r="Q405" t="s">
        <v>49</v>
      </c>
      <c r="R405" t="s">
        <v>1023</v>
      </c>
      <c r="S405" s="1">
        <v>46023</v>
      </c>
      <c r="U405" t="s">
        <v>51</v>
      </c>
      <c r="X405" t="s">
        <v>52</v>
      </c>
      <c r="Y405" s="2">
        <v>0</v>
      </c>
      <c r="Z405" s="2">
        <v>72</v>
      </c>
      <c r="AA405">
        <v>1</v>
      </c>
      <c r="AB405" s="3">
        <v>1</v>
      </c>
      <c r="AC405" s="2">
        <v>72</v>
      </c>
      <c r="AD405" s="3">
        <v>0</v>
      </c>
      <c r="AE405" s="2">
        <v>0</v>
      </c>
      <c r="AF405" s="2">
        <v>72</v>
      </c>
      <c r="AK405">
        <v>6059849</v>
      </c>
      <c r="AL405" t="s">
        <v>1024</v>
      </c>
    </row>
    <row r="406" spans="1:38" x14ac:dyDescent="0.25">
      <c r="A406" s="1">
        <v>46008</v>
      </c>
      <c r="B406" s="1">
        <v>46008</v>
      </c>
      <c r="C406" t="s">
        <v>38</v>
      </c>
      <c r="D406" t="s">
        <v>39</v>
      </c>
      <c r="E406" t="s">
        <v>40</v>
      </c>
      <c r="F406" t="s">
        <v>41</v>
      </c>
      <c r="G406" t="s">
        <v>42</v>
      </c>
      <c r="H406" t="s">
        <v>43</v>
      </c>
      <c r="I406" t="s">
        <v>1025</v>
      </c>
      <c r="J406" t="s">
        <v>1026</v>
      </c>
      <c r="M406" t="s">
        <v>1027</v>
      </c>
      <c r="O406" t="s">
        <v>1028</v>
      </c>
      <c r="P406" t="s">
        <v>1029</v>
      </c>
      <c r="Q406" t="s">
        <v>49</v>
      </c>
      <c r="R406" t="s">
        <v>1030</v>
      </c>
      <c r="S406" s="1">
        <v>46023</v>
      </c>
      <c r="U406" t="s">
        <v>51</v>
      </c>
      <c r="X406" t="s">
        <v>52</v>
      </c>
      <c r="Y406" s="2">
        <v>0</v>
      </c>
      <c r="Z406" s="2">
        <v>175</v>
      </c>
      <c r="AA406">
        <v>1</v>
      </c>
      <c r="AB406" s="3">
        <v>1</v>
      </c>
      <c r="AC406" s="2">
        <v>175</v>
      </c>
      <c r="AD406" s="3">
        <v>0</v>
      </c>
      <c r="AE406" s="2">
        <v>0</v>
      </c>
      <c r="AF406" s="2">
        <v>175</v>
      </c>
      <c r="AK406">
        <v>6060126</v>
      </c>
    </row>
    <row r="407" spans="1:38" x14ac:dyDescent="0.25">
      <c r="A407" s="1">
        <v>46008</v>
      </c>
      <c r="B407" s="1">
        <v>46008</v>
      </c>
      <c r="C407" t="s">
        <v>38</v>
      </c>
      <c r="D407" t="s">
        <v>39</v>
      </c>
      <c r="E407" t="s">
        <v>40</v>
      </c>
      <c r="F407" t="s">
        <v>41</v>
      </c>
      <c r="G407" t="s">
        <v>42</v>
      </c>
      <c r="H407" t="s">
        <v>43</v>
      </c>
      <c r="I407" t="s">
        <v>1031</v>
      </c>
      <c r="J407" t="s">
        <v>1032</v>
      </c>
      <c r="M407" t="s">
        <v>155</v>
      </c>
      <c r="O407" t="s">
        <v>1033</v>
      </c>
      <c r="P407" t="s">
        <v>1034</v>
      </c>
      <c r="Q407" t="s">
        <v>49</v>
      </c>
      <c r="R407" t="s">
        <v>1023</v>
      </c>
      <c r="S407" s="1">
        <v>46023</v>
      </c>
      <c r="U407" t="s">
        <v>51</v>
      </c>
      <c r="X407" t="s">
        <v>52</v>
      </c>
      <c r="Y407" s="2">
        <v>0</v>
      </c>
      <c r="Z407" s="2">
        <v>72</v>
      </c>
      <c r="AA407">
        <v>1</v>
      </c>
      <c r="AB407" s="3">
        <v>1</v>
      </c>
      <c r="AC407" s="2">
        <v>72</v>
      </c>
      <c r="AD407" s="3">
        <v>0</v>
      </c>
      <c r="AE407" s="2">
        <v>0</v>
      </c>
      <c r="AF407" s="2">
        <v>72</v>
      </c>
      <c r="AK407">
        <v>6059910</v>
      </c>
      <c r="AL407" t="s">
        <v>1024</v>
      </c>
    </row>
    <row r="408" spans="1:38" x14ac:dyDescent="0.25">
      <c r="A408" s="1">
        <v>46008</v>
      </c>
      <c r="B408" s="1">
        <v>46008</v>
      </c>
      <c r="C408" t="s">
        <v>38</v>
      </c>
      <c r="D408" t="s">
        <v>39</v>
      </c>
      <c r="E408" t="s">
        <v>40</v>
      </c>
      <c r="F408" t="s">
        <v>41</v>
      </c>
      <c r="G408" t="s">
        <v>42</v>
      </c>
      <c r="H408" t="s">
        <v>43</v>
      </c>
      <c r="I408" t="s">
        <v>1035</v>
      </c>
      <c r="J408" t="s">
        <v>1036</v>
      </c>
      <c r="M408" t="s">
        <v>1027</v>
      </c>
      <c r="O408" t="s">
        <v>1037</v>
      </c>
      <c r="P408" t="s">
        <v>1038</v>
      </c>
      <c r="Q408" t="s">
        <v>49</v>
      </c>
      <c r="R408" t="s">
        <v>1030</v>
      </c>
      <c r="S408" s="1">
        <v>46023</v>
      </c>
      <c r="U408" t="s">
        <v>51</v>
      </c>
      <c r="X408" t="s">
        <v>52</v>
      </c>
      <c r="Y408" s="2">
        <v>0</v>
      </c>
      <c r="Z408" s="2">
        <v>175</v>
      </c>
      <c r="AA408">
        <v>1</v>
      </c>
      <c r="AB408" s="3">
        <v>1</v>
      </c>
      <c r="AC408" s="2">
        <v>175</v>
      </c>
      <c r="AD408" s="3">
        <v>0</v>
      </c>
      <c r="AE408" s="2">
        <v>0</v>
      </c>
      <c r="AF408" s="2">
        <v>175</v>
      </c>
      <c r="AK408">
        <v>6060127</v>
      </c>
    </row>
    <row r="409" spans="1:38" x14ac:dyDescent="0.25">
      <c r="A409" s="1">
        <v>46008</v>
      </c>
      <c r="B409" s="1">
        <v>46008</v>
      </c>
      <c r="C409" t="s">
        <v>38</v>
      </c>
      <c r="D409" t="s">
        <v>39</v>
      </c>
      <c r="E409" t="s">
        <v>40</v>
      </c>
      <c r="F409" t="s">
        <v>41</v>
      </c>
      <c r="G409" t="s">
        <v>42</v>
      </c>
      <c r="H409" t="s">
        <v>43</v>
      </c>
      <c r="I409" t="s">
        <v>1039</v>
      </c>
      <c r="J409" t="s">
        <v>1040</v>
      </c>
      <c r="M409" t="s">
        <v>155</v>
      </c>
      <c r="O409" t="s">
        <v>115</v>
      </c>
      <c r="P409" t="s">
        <v>116</v>
      </c>
      <c r="Q409" t="s">
        <v>49</v>
      </c>
      <c r="R409" t="s">
        <v>1030</v>
      </c>
      <c r="S409" s="1">
        <v>46023</v>
      </c>
      <c r="U409" t="s">
        <v>51</v>
      </c>
      <c r="X409" t="s">
        <v>52</v>
      </c>
      <c r="Y409" s="2">
        <v>0</v>
      </c>
      <c r="Z409" s="2">
        <v>175</v>
      </c>
      <c r="AA409">
        <v>1</v>
      </c>
      <c r="AB409" s="3">
        <v>1</v>
      </c>
      <c r="AC409" s="2">
        <v>175</v>
      </c>
      <c r="AD409" s="3">
        <v>0</v>
      </c>
      <c r="AE409" s="2">
        <v>0</v>
      </c>
      <c r="AF409" s="2">
        <v>175</v>
      </c>
      <c r="AK409">
        <v>6060128</v>
      </c>
    </row>
    <row r="410" spans="1:38" x14ac:dyDescent="0.25">
      <c r="A410" s="1">
        <v>46008</v>
      </c>
      <c r="B410" s="1">
        <v>46008</v>
      </c>
      <c r="C410" t="s">
        <v>38</v>
      </c>
      <c r="D410" t="s">
        <v>39</v>
      </c>
      <c r="E410" t="s">
        <v>40</v>
      </c>
      <c r="F410" t="s">
        <v>41</v>
      </c>
      <c r="G410" t="s">
        <v>42</v>
      </c>
      <c r="H410" t="s">
        <v>43</v>
      </c>
      <c r="I410" t="s">
        <v>1041</v>
      </c>
      <c r="J410" t="s">
        <v>1042</v>
      </c>
      <c r="M410" t="s">
        <v>55</v>
      </c>
      <c r="O410" t="s">
        <v>115</v>
      </c>
      <c r="P410" t="s">
        <v>116</v>
      </c>
      <c r="Q410" t="s">
        <v>49</v>
      </c>
      <c r="R410" t="s">
        <v>1030</v>
      </c>
      <c r="S410" s="1">
        <v>46023</v>
      </c>
      <c r="U410" t="s">
        <v>51</v>
      </c>
      <c r="X410" t="s">
        <v>52</v>
      </c>
      <c r="Y410" s="2">
        <v>0</v>
      </c>
      <c r="Z410" s="2">
        <v>175</v>
      </c>
      <c r="AA410">
        <v>1</v>
      </c>
      <c r="AB410" s="3">
        <v>1</v>
      </c>
      <c r="AC410" s="2">
        <v>175</v>
      </c>
      <c r="AD410" s="3">
        <v>0</v>
      </c>
      <c r="AE410" s="2">
        <v>0</v>
      </c>
      <c r="AF410" s="2">
        <v>175</v>
      </c>
      <c r="AK410">
        <v>6060129</v>
      </c>
    </row>
    <row r="411" spans="1:38" x14ac:dyDescent="0.25">
      <c r="A411" s="1">
        <v>46008</v>
      </c>
      <c r="B411" s="1">
        <v>46008</v>
      </c>
      <c r="C411" t="s">
        <v>38</v>
      </c>
      <c r="D411" t="s">
        <v>39</v>
      </c>
      <c r="E411" t="s">
        <v>40</v>
      </c>
      <c r="F411" t="s">
        <v>41</v>
      </c>
      <c r="G411" t="s">
        <v>42</v>
      </c>
      <c r="H411" t="s">
        <v>43</v>
      </c>
      <c r="I411" t="s">
        <v>1043</v>
      </c>
      <c r="J411" t="s">
        <v>1044</v>
      </c>
      <c r="M411" t="s">
        <v>491</v>
      </c>
      <c r="O411" t="s">
        <v>1045</v>
      </c>
      <c r="P411" t="s">
        <v>1046</v>
      </c>
      <c r="Q411" t="s">
        <v>49</v>
      </c>
      <c r="R411" t="s">
        <v>1047</v>
      </c>
      <c r="S411" s="1">
        <v>46023</v>
      </c>
      <c r="U411" t="s">
        <v>51</v>
      </c>
      <c r="X411" t="s">
        <v>52</v>
      </c>
      <c r="Y411" s="2">
        <v>0</v>
      </c>
      <c r="Z411" s="2">
        <v>113</v>
      </c>
      <c r="AA411">
        <v>1</v>
      </c>
      <c r="AB411" s="3">
        <v>1</v>
      </c>
      <c r="AC411" s="2">
        <v>113</v>
      </c>
      <c r="AD411" s="3">
        <v>0</v>
      </c>
      <c r="AE411" s="2">
        <v>0</v>
      </c>
      <c r="AF411" s="2">
        <v>113</v>
      </c>
      <c r="AK411">
        <v>6059940</v>
      </c>
    </row>
    <row r="412" spans="1:38" x14ac:dyDescent="0.25">
      <c r="A412" s="1">
        <v>46008</v>
      </c>
      <c r="B412" s="1">
        <v>46008</v>
      </c>
      <c r="C412" t="s">
        <v>38</v>
      </c>
      <c r="D412" t="s">
        <v>39</v>
      </c>
      <c r="E412" t="s">
        <v>40</v>
      </c>
      <c r="F412" t="s">
        <v>41</v>
      </c>
      <c r="G412" t="s">
        <v>42</v>
      </c>
      <c r="H412" t="s">
        <v>43</v>
      </c>
      <c r="I412" t="s">
        <v>1048</v>
      </c>
      <c r="J412" t="s">
        <v>1049</v>
      </c>
      <c r="M412" t="s">
        <v>78</v>
      </c>
      <c r="O412" t="s">
        <v>47</v>
      </c>
      <c r="P412" t="s">
        <v>48</v>
      </c>
      <c r="Q412" t="s">
        <v>49</v>
      </c>
      <c r="R412" t="s">
        <v>1030</v>
      </c>
      <c r="S412" s="1">
        <v>46023</v>
      </c>
      <c r="U412" t="s">
        <v>51</v>
      </c>
      <c r="X412" t="s">
        <v>52</v>
      </c>
      <c r="Y412" s="2">
        <v>0</v>
      </c>
      <c r="Z412" s="2">
        <v>175</v>
      </c>
      <c r="AA412">
        <v>1</v>
      </c>
      <c r="AB412" s="3">
        <v>1</v>
      </c>
      <c r="AC412" s="2">
        <v>175</v>
      </c>
      <c r="AD412" s="3">
        <v>0</v>
      </c>
      <c r="AE412" s="2">
        <v>0</v>
      </c>
      <c r="AF412" s="2">
        <v>175</v>
      </c>
      <c r="AK412">
        <v>6060130</v>
      </c>
    </row>
    <row r="413" spans="1:38" x14ac:dyDescent="0.25">
      <c r="A413" s="1">
        <v>46008</v>
      </c>
      <c r="B413" s="1">
        <v>46008</v>
      </c>
      <c r="C413" t="s">
        <v>38</v>
      </c>
      <c r="D413" t="s">
        <v>39</v>
      </c>
      <c r="E413" t="s">
        <v>40</v>
      </c>
      <c r="F413" t="s">
        <v>41</v>
      </c>
      <c r="G413" t="s">
        <v>42</v>
      </c>
      <c r="H413" t="s">
        <v>43</v>
      </c>
      <c r="I413" t="s">
        <v>1050</v>
      </c>
      <c r="J413" t="s">
        <v>1051</v>
      </c>
      <c r="M413" t="s">
        <v>46</v>
      </c>
      <c r="O413" t="s">
        <v>47</v>
      </c>
      <c r="P413" t="s">
        <v>48</v>
      </c>
      <c r="Q413" t="s">
        <v>49</v>
      </c>
      <c r="R413" t="s">
        <v>1030</v>
      </c>
      <c r="S413" s="1">
        <v>46023</v>
      </c>
      <c r="U413" t="s">
        <v>51</v>
      </c>
      <c r="X413" t="s">
        <v>52</v>
      </c>
      <c r="Y413" s="2">
        <v>0</v>
      </c>
      <c r="Z413" s="2">
        <v>175</v>
      </c>
      <c r="AA413">
        <v>1</v>
      </c>
      <c r="AB413" s="3">
        <v>1</v>
      </c>
      <c r="AC413" s="2">
        <v>175</v>
      </c>
      <c r="AD413" s="3">
        <v>0</v>
      </c>
      <c r="AE413" s="2">
        <v>0</v>
      </c>
      <c r="AF413" s="2">
        <v>175</v>
      </c>
      <c r="AK413">
        <v>6060131</v>
      </c>
    </row>
    <row r="414" spans="1:38" x14ac:dyDescent="0.25">
      <c r="A414" s="1">
        <v>46008</v>
      </c>
      <c r="B414" s="1">
        <v>46008</v>
      </c>
      <c r="C414" t="s">
        <v>38</v>
      </c>
      <c r="D414" t="s">
        <v>39</v>
      </c>
      <c r="E414" t="s">
        <v>40</v>
      </c>
      <c r="F414" t="s">
        <v>41</v>
      </c>
      <c r="G414" t="s">
        <v>42</v>
      </c>
      <c r="H414" t="s">
        <v>43</v>
      </c>
      <c r="I414" t="s">
        <v>1052</v>
      </c>
      <c r="J414" t="s">
        <v>1053</v>
      </c>
      <c r="M414" t="s">
        <v>61</v>
      </c>
      <c r="O414" t="s">
        <v>201</v>
      </c>
      <c r="P414" t="s">
        <v>202</v>
      </c>
      <c r="Q414" t="s">
        <v>49</v>
      </c>
      <c r="R414" t="s">
        <v>1054</v>
      </c>
      <c r="S414" s="1">
        <v>46023</v>
      </c>
      <c r="U414" t="s">
        <v>51</v>
      </c>
      <c r="X414" t="s">
        <v>52</v>
      </c>
      <c r="Y414" s="2">
        <v>0</v>
      </c>
      <c r="Z414" s="2">
        <v>50</v>
      </c>
      <c r="AA414">
        <v>1</v>
      </c>
      <c r="AB414" s="3">
        <v>1</v>
      </c>
      <c r="AC414" s="2">
        <v>50</v>
      </c>
      <c r="AD414" s="3">
        <v>0</v>
      </c>
      <c r="AE414" s="2">
        <v>0</v>
      </c>
      <c r="AF414" s="2">
        <v>50</v>
      </c>
      <c r="AK414">
        <v>6059762</v>
      </c>
      <c r="AL414" t="s">
        <v>1024</v>
      </c>
    </row>
    <row r="415" spans="1:38" x14ac:dyDescent="0.25">
      <c r="A415" s="1">
        <v>46008</v>
      </c>
      <c r="B415" s="1">
        <v>46008</v>
      </c>
      <c r="C415" t="s">
        <v>38</v>
      </c>
      <c r="D415" t="s">
        <v>39</v>
      </c>
      <c r="E415" t="s">
        <v>40</v>
      </c>
      <c r="F415" t="s">
        <v>41</v>
      </c>
      <c r="G415" t="s">
        <v>42</v>
      </c>
      <c r="H415" t="s">
        <v>43</v>
      </c>
      <c r="I415" t="s">
        <v>1055</v>
      </c>
      <c r="J415" t="s">
        <v>1056</v>
      </c>
      <c r="M415" t="s">
        <v>155</v>
      </c>
      <c r="O415" t="s">
        <v>1057</v>
      </c>
      <c r="P415" t="s">
        <v>1058</v>
      </c>
      <c r="Q415" t="s">
        <v>49</v>
      </c>
      <c r="R415" t="s">
        <v>1030</v>
      </c>
      <c r="S415" s="1">
        <v>46023</v>
      </c>
      <c r="U415" t="s">
        <v>51</v>
      </c>
      <c r="X415" t="s">
        <v>52</v>
      </c>
      <c r="Y415" s="2">
        <v>0</v>
      </c>
      <c r="Z415" s="2">
        <v>175</v>
      </c>
      <c r="AA415">
        <v>1</v>
      </c>
      <c r="AB415" s="3">
        <v>1</v>
      </c>
      <c r="AC415" s="2">
        <v>175</v>
      </c>
      <c r="AD415" s="3">
        <v>0</v>
      </c>
      <c r="AE415" s="2">
        <v>0</v>
      </c>
      <c r="AF415" s="2">
        <v>175</v>
      </c>
      <c r="AK415">
        <v>6060132</v>
      </c>
    </row>
    <row r="416" spans="1:38" x14ac:dyDescent="0.25">
      <c r="A416" s="1">
        <v>46008</v>
      </c>
      <c r="B416" s="1">
        <v>46008</v>
      </c>
      <c r="C416" t="s">
        <v>38</v>
      </c>
      <c r="D416" t="s">
        <v>39</v>
      </c>
      <c r="E416" t="s">
        <v>40</v>
      </c>
      <c r="F416" t="s">
        <v>41</v>
      </c>
      <c r="G416" t="s">
        <v>42</v>
      </c>
      <c r="H416" t="s">
        <v>43</v>
      </c>
      <c r="I416" t="s">
        <v>1059</v>
      </c>
      <c r="J416" t="s">
        <v>1060</v>
      </c>
      <c r="M416" t="s">
        <v>1061</v>
      </c>
      <c r="O416" t="s">
        <v>430</v>
      </c>
      <c r="P416" t="s">
        <v>431</v>
      </c>
      <c r="Q416" t="s">
        <v>49</v>
      </c>
      <c r="R416" t="s">
        <v>1030</v>
      </c>
      <c r="S416" s="1">
        <v>46023</v>
      </c>
      <c r="U416" t="s">
        <v>51</v>
      </c>
      <c r="X416" t="s">
        <v>52</v>
      </c>
      <c r="Y416" s="2">
        <v>0</v>
      </c>
      <c r="Z416" s="2">
        <v>175</v>
      </c>
      <c r="AA416">
        <v>1</v>
      </c>
      <c r="AB416" s="3">
        <v>1</v>
      </c>
      <c r="AC416" s="2">
        <v>175</v>
      </c>
      <c r="AD416" s="3">
        <v>0</v>
      </c>
      <c r="AE416" s="2">
        <v>0</v>
      </c>
      <c r="AF416" s="2">
        <v>175</v>
      </c>
      <c r="AK416">
        <v>6060133</v>
      </c>
    </row>
    <row r="417" spans="1:37" x14ac:dyDescent="0.25">
      <c r="A417" s="1">
        <v>46008</v>
      </c>
      <c r="B417" s="1">
        <v>46008</v>
      </c>
      <c r="C417" t="s">
        <v>38</v>
      </c>
      <c r="D417" t="s">
        <v>39</v>
      </c>
      <c r="E417" t="s">
        <v>40</v>
      </c>
      <c r="F417" t="s">
        <v>41</v>
      </c>
      <c r="G417" t="s">
        <v>42</v>
      </c>
      <c r="H417" t="s">
        <v>43</v>
      </c>
      <c r="I417" t="s">
        <v>1062</v>
      </c>
      <c r="J417" t="s">
        <v>1063</v>
      </c>
      <c r="M417" t="s">
        <v>87</v>
      </c>
      <c r="O417" t="s">
        <v>175</v>
      </c>
      <c r="P417" t="s">
        <v>176</v>
      </c>
      <c r="Q417" t="s">
        <v>49</v>
      </c>
      <c r="R417" t="s">
        <v>1030</v>
      </c>
      <c r="S417" s="1">
        <v>46023</v>
      </c>
      <c r="U417" t="s">
        <v>51</v>
      </c>
      <c r="X417" t="s">
        <v>52</v>
      </c>
      <c r="Y417" s="2">
        <v>0</v>
      </c>
      <c r="Z417" s="2">
        <v>175</v>
      </c>
      <c r="AA417">
        <v>1</v>
      </c>
      <c r="AB417" s="3">
        <v>1</v>
      </c>
      <c r="AC417" s="2">
        <v>175</v>
      </c>
      <c r="AD417" s="3">
        <v>0</v>
      </c>
      <c r="AE417" s="2">
        <v>0</v>
      </c>
      <c r="AF417" s="2">
        <v>175</v>
      </c>
      <c r="AK417">
        <v>6060134</v>
      </c>
    </row>
    <row r="418" spans="1:37" x14ac:dyDescent="0.25">
      <c r="A418" s="1">
        <v>46008</v>
      </c>
      <c r="B418" s="1">
        <v>46008</v>
      </c>
      <c r="C418" t="s">
        <v>38</v>
      </c>
      <c r="D418" t="s">
        <v>39</v>
      </c>
      <c r="E418" t="s">
        <v>40</v>
      </c>
      <c r="F418" t="s">
        <v>41</v>
      </c>
      <c r="G418" t="s">
        <v>42</v>
      </c>
      <c r="H418" t="s">
        <v>43</v>
      </c>
      <c r="I418" t="s">
        <v>1064</v>
      </c>
      <c r="J418" t="s">
        <v>1065</v>
      </c>
      <c r="M418" t="s">
        <v>491</v>
      </c>
      <c r="O418" t="s">
        <v>617</v>
      </c>
      <c r="P418" t="s">
        <v>618</v>
      </c>
      <c r="Q418" t="s">
        <v>49</v>
      </c>
      <c r="R418" t="s">
        <v>1047</v>
      </c>
      <c r="S418" s="1">
        <v>46023</v>
      </c>
      <c r="U418" t="s">
        <v>51</v>
      </c>
      <c r="X418" t="s">
        <v>52</v>
      </c>
      <c r="Y418" s="2">
        <v>0</v>
      </c>
      <c r="Z418" s="2">
        <v>113</v>
      </c>
      <c r="AA418">
        <v>1</v>
      </c>
      <c r="AB418" s="3">
        <v>1</v>
      </c>
      <c r="AC418" s="2">
        <v>113</v>
      </c>
      <c r="AD418" s="3">
        <v>0</v>
      </c>
      <c r="AE418" s="2">
        <v>0</v>
      </c>
      <c r="AF418" s="2">
        <v>113</v>
      </c>
      <c r="AK418">
        <v>6059941</v>
      </c>
    </row>
    <row r="419" spans="1:37" x14ac:dyDescent="0.25">
      <c r="A419" s="1">
        <v>46008</v>
      </c>
      <c r="B419" s="1">
        <v>46008</v>
      </c>
      <c r="C419" t="s">
        <v>38</v>
      </c>
      <c r="D419" t="s">
        <v>39</v>
      </c>
      <c r="E419" t="s">
        <v>40</v>
      </c>
      <c r="F419" t="s">
        <v>41</v>
      </c>
      <c r="G419" t="s">
        <v>42</v>
      </c>
      <c r="H419" t="s">
        <v>43</v>
      </c>
      <c r="I419" t="s">
        <v>1066</v>
      </c>
      <c r="J419" t="s">
        <v>1067</v>
      </c>
      <c r="M419" t="s">
        <v>46</v>
      </c>
      <c r="O419" t="s">
        <v>1068</v>
      </c>
      <c r="P419" t="s">
        <v>1069</v>
      </c>
      <c r="Q419" t="s">
        <v>49</v>
      </c>
      <c r="R419" t="s">
        <v>1030</v>
      </c>
      <c r="S419" s="1">
        <v>46023</v>
      </c>
      <c r="U419" t="s">
        <v>51</v>
      </c>
      <c r="X419" t="s">
        <v>52</v>
      </c>
      <c r="Y419" s="2">
        <v>0</v>
      </c>
      <c r="Z419" s="2">
        <v>175</v>
      </c>
      <c r="AA419">
        <v>1</v>
      </c>
      <c r="AB419" s="3">
        <v>1</v>
      </c>
      <c r="AC419" s="2">
        <v>175</v>
      </c>
      <c r="AD419" s="3">
        <v>0</v>
      </c>
      <c r="AE419" s="2">
        <v>0</v>
      </c>
      <c r="AF419" s="2">
        <v>175</v>
      </c>
      <c r="AK419">
        <v>6060135</v>
      </c>
    </row>
    <row r="420" spans="1:37" x14ac:dyDescent="0.25">
      <c r="A420" s="1">
        <v>46008</v>
      </c>
      <c r="B420" s="1">
        <v>46008</v>
      </c>
      <c r="C420" t="s">
        <v>38</v>
      </c>
      <c r="D420" t="s">
        <v>39</v>
      </c>
      <c r="E420" t="s">
        <v>40</v>
      </c>
      <c r="F420" t="s">
        <v>41</v>
      </c>
      <c r="G420" t="s">
        <v>42</v>
      </c>
      <c r="H420" t="s">
        <v>43</v>
      </c>
      <c r="I420" t="s">
        <v>1070</v>
      </c>
      <c r="J420" t="s">
        <v>1071</v>
      </c>
      <c r="M420" t="s">
        <v>78</v>
      </c>
      <c r="O420" t="s">
        <v>47</v>
      </c>
      <c r="P420" t="s">
        <v>48</v>
      </c>
      <c r="Q420" t="s">
        <v>49</v>
      </c>
      <c r="R420" t="s">
        <v>1047</v>
      </c>
      <c r="S420" s="1">
        <v>46023</v>
      </c>
      <c r="U420" t="s">
        <v>51</v>
      </c>
      <c r="X420" t="s">
        <v>52</v>
      </c>
      <c r="Y420" s="2">
        <v>0</v>
      </c>
      <c r="Z420" s="2">
        <v>113</v>
      </c>
      <c r="AA420">
        <v>1</v>
      </c>
      <c r="AB420" s="3">
        <v>1</v>
      </c>
      <c r="AC420" s="2">
        <v>113</v>
      </c>
      <c r="AD420" s="3">
        <v>0</v>
      </c>
      <c r="AE420" s="2">
        <v>0</v>
      </c>
      <c r="AF420" s="2">
        <v>113</v>
      </c>
      <c r="AK420">
        <v>6059942</v>
      </c>
    </row>
    <row r="421" spans="1:37" x14ac:dyDescent="0.25">
      <c r="A421" s="1">
        <v>46008</v>
      </c>
      <c r="B421" s="1">
        <v>46008</v>
      </c>
      <c r="C421" t="s">
        <v>38</v>
      </c>
      <c r="D421" t="s">
        <v>39</v>
      </c>
      <c r="E421" t="s">
        <v>40</v>
      </c>
      <c r="F421" t="s">
        <v>41</v>
      </c>
      <c r="G421" t="s">
        <v>42</v>
      </c>
      <c r="H421" t="s">
        <v>43</v>
      </c>
      <c r="I421" t="s">
        <v>1072</v>
      </c>
      <c r="J421" t="s">
        <v>1073</v>
      </c>
      <c r="M421" t="s">
        <v>78</v>
      </c>
      <c r="O421" t="s">
        <v>1074</v>
      </c>
      <c r="P421" t="s">
        <v>1075</v>
      </c>
      <c r="Q421" t="s">
        <v>49</v>
      </c>
      <c r="R421" t="s">
        <v>1030</v>
      </c>
      <c r="S421" s="1">
        <v>46023</v>
      </c>
      <c r="U421" t="s">
        <v>51</v>
      </c>
      <c r="X421" t="s">
        <v>52</v>
      </c>
      <c r="Y421" s="2">
        <v>0</v>
      </c>
      <c r="Z421" s="2">
        <v>175</v>
      </c>
      <c r="AA421">
        <v>1</v>
      </c>
      <c r="AB421" s="3">
        <v>1</v>
      </c>
      <c r="AC421" s="2">
        <v>175</v>
      </c>
      <c r="AD421" s="3">
        <v>0</v>
      </c>
      <c r="AE421" s="2">
        <v>0</v>
      </c>
      <c r="AF421" s="2">
        <v>175</v>
      </c>
      <c r="AK421">
        <v>6060136</v>
      </c>
    </row>
    <row r="422" spans="1:37" x14ac:dyDescent="0.25">
      <c r="A422" s="1">
        <v>46008</v>
      </c>
      <c r="B422" s="1">
        <v>46008</v>
      </c>
      <c r="C422" t="s">
        <v>38</v>
      </c>
      <c r="D422" t="s">
        <v>39</v>
      </c>
      <c r="E422" t="s">
        <v>40</v>
      </c>
      <c r="F422" t="s">
        <v>41</v>
      </c>
      <c r="G422" t="s">
        <v>42</v>
      </c>
      <c r="H422" t="s">
        <v>43</v>
      </c>
      <c r="I422" t="s">
        <v>1076</v>
      </c>
      <c r="J422" t="s">
        <v>1077</v>
      </c>
      <c r="M422" t="s">
        <v>46</v>
      </c>
      <c r="O422" t="s">
        <v>115</v>
      </c>
      <c r="P422" t="s">
        <v>116</v>
      </c>
      <c r="Q422" t="s">
        <v>49</v>
      </c>
      <c r="R422" t="s">
        <v>1047</v>
      </c>
      <c r="S422" s="1">
        <v>46023</v>
      </c>
      <c r="U422" t="s">
        <v>51</v>
      </c>
      <c r="X422" t="s">
        <v>52</v>
      </c>
      <c r="Y422" s="2">
        <v>0</v>
      </c>
      <c r="Z422" s="2">
        <v>113</v>
      </c>
      <c r="AA422">
        <v>1</v>
      </c>
      <c r="AB422" s="3">
        <v>1</v>
      </c>
      <c r="AC422" s="2">
        <v>113</v>
      </c>
      <c r="AD422" s="3">
        <v>0</v>
      </c>
      <c r="AE422" s="2">
        <v>0</v>
      </c>
      <c r="AF422" s="2">
        <v>113</v>
      </c>
      <c r="AK422">
        <v>6059943</v>
      </c>
    </row>
    <row r="423" spans="1:37" x14ac:dyDescent="0.25">
      <c r="A423" s="1">
        <v>46008</v>
      </c>
      <c r="B423" s="1">
        <v>46008</v>
      </c>
      <c r="C423" t="s">
        <v>38</v>
      </c>
      <c r="D423" t="s">
        <v>39</v>
      </c>
      <c r="E423" t="s">
        <v>40</v>
      </c>
      <c r="F423" t="s">
        <v>41</v>
      </c>
      <c r="G423" t="s">
        <v>42</v>
      </c>
      <c r="H423" t="s">
        <v>43</v>
      </c>
      <c r="I423" t="s">
        <v>1078</v>
      </c>
      <c r="J423" t="s">
        <v>1079</v>
      </c>
      <c r="M423" t="s">
        <v>155</v>
      </c>
      <c r="O423" t="s">
        <v>179</v>
      </c>
      <c r="P423" t="s">
        <v>180</v>
      </c>
      <c r="Q423" t="s">
        <v>49</v>
      </c>
      <c r="R423" t="s">
        <v>1030</v>
      </c>
      <c r="S423" s="1">
        <v>46023</v>
      </c>
      <c r="U423" t="s">
        <v>51</v>
      </c>
      <c r="X423" t="s">
        <v>52</v>
      </c>
      <c r="Y423" s="2">
        <v>0</v>
      </c>
      <c r="Z423" s="2">
        <v>175</v>
      </c>
      <c r="AA423">
        <v>1</v>
      </c>
      <c r="AB423" s="3">
        <v>1</v>
      </c>
      <c r="AC423" s="2">
        <v>175</v>
      </c>
      <c r="AD423" s="3">
        <v>0</v>
      </c>
      <c r="AE423" s="2">
        <v>0</v>
      </c>
      <c r="AF423" s="2">
        <v>175</v>
      </c>
      <c r="AK423">
        <v>6060137</v>
      </c>
    </row>
    <row r="424" spans="1:37" x14ac:dyDescent="0.25">
      <c r="A424" s="1">
        <v>46008</v>
      </c>
      <c r="B424" s="1">
        <v>46008</v>
      </c>
      <c r="C424" t="s">
        <v>38</v>
      </c>
      <c r="D424" t="s">
        <v>39</v>
      </c>
      <c r="E424" t="s">
        <v>40</v>
      </c>
      <c r="F424" t="s">
        <v>41</v>
      </c>
      <c r="G424" t="s">
        <v>42</v>
      </c>
      <c r="H424" t="s">
        <v>43</v>
      </c>
      <c r="I424" t="s">
        <v>1080</v>
      </c>
      <c r="J424" t="s">
        <v>1081</v>
      </c>
      <c r="M424" t="s">
        <v>46</v>
      </c>
      <c r="O424" t="s">
        <v>115</v>
      </c>
      <c r="P424" t="s">
        <v>116</v>
      </c>
      <c r="Q424" t="s">
        <v>49</v>
      </c>
      <c r="R424" t="s">
        <v>1030</v>
      </c>
      <c r="S424" s="1">
        <v>46023</v>
      </c>
      <c r="U424" t="s">
        <v>51</v>
      </c>
      <c r="X424" t="s">
        <v>52</v>
      </c>
      <c r="Y424" s="2">
        <v>0</v>
      </c>
      <c r="Z424" s="2">
        <v>175</v>
      </c>
      <c r="AA424">
        <v>1</v>
      </c>
      <c r="AB424" s="3">
        <v>1</v>
      </c>
      <c r="AC424" s="2">
        <v>175</v>
      </c>
      <c r="AD424" s="3">
        <v>0</v>
      </c>
      <c r="AE424" s="2">
        <v>0</v>
      </c>
      <c r="AF424" s="2">
        <v>175</v>
      </c>
      <c r="AK424">
        <v>6060138</v>
      </c>
    </row>
    <row r="425" spans="1:37" x14ac:dyDescent="0.25">
      <c r="A425" s="1">
        <v>46008</v>
      </c>
      <c r="B425" s="1">
        <v>46008</v>
      </c>
      <c r="C425" t="s">
        <v>38</v>
      </c>
      <c r="D425" t="s">
        <v>39</v>
      </c>
      <c r="E425" t="s">
        <v>40</v>
      </c>
      <c r="F425" t="s">
        <v>41</v>
      </c>
      <c r="G425" t="s">
        <v>42</v>
      </c>
      <c r="H425" t="s">
        <v>43</v>
      </c>
      <c r="I425" t="s">
        <v>1082</v>
      </c>
      <c r="J425" t="s">
        <v>1083</v>
      </c>
      <c r="M425" t="s">
        <v>46</v>
      </c>
      <c r="O425" t="s">
        <v>452</v>
      </c>
      <c r="P425" t="s">
        <v>453</v>
      </c>
      <c r="Q425" t="s">
        <v>49</v>
      </c>
      <c r="R425" t="s">
        <v>1047</v>
      </c>
      <c r="S425" s="1">
        <v>46023</v>
      </c>
      <c r="U425" t="s">
        <v>51</v>
      </c>
      <c r="X425" t="s">
        <v>52</v>
      </c>
      <c r="Y425" s="2">
        <v>0</v>
      </c>
      <c r="Z425" s="2">
        <v>113</v>
      </c>
      <c r="AA425">
        <v>1</v>
      </c>
      <c r="AB425" s="3">
        <v>1</v>
      </c>
      <c r="AC425" s="2">
        <v>113</v>
      </c>
      <c r="AD425" s="3">
        <v>0</v>
      </c>
      <c r="AE425" s="2">
        <v>0</v>
      </c>
      <c r="AF425" s="2">
        <v>113</v>
      </c>
      <c r="AK425">
        <v>6059944</v>
      </c>
    </row>
    <row r="426" spans="1:37" x14ac:dyDescent="0.25">
      <c r="A426" s="1">
        <v>46008</v>
      </c>
      <c r="B426" s="1">
        <v>46008</v>
      </c>
      <c r="C426" t="s">
        <v>38</v>
      </c>
      <c r="D426" t="s">
        <v>39</v>
      </c>
      <c r="E426" t="s">
        <v>40</v>
      </c>
      <c r="F426" t="s">
        <v>41</v>
      </c>
      <c r="G426" t="s">
        <v>42</v>
      </c>
      <c r="H426" t="s">
        <v>43</v>
      </c>
      <c r="I426" t="s">
        <v>1084</v>
      </c>
      <c r="J426" t="s">
        <v>1085</v>
      </c>
      <c r="M426" t="s">
        <v>55</v>
      </c>
      <c r="O426" t="s">
        <v>115</v>
      </c>
      <c r="P426" t="s">
        <v>116</v>
      </c>
      <c r="Q426" t="s">
        <v>49</v>
      </c>
      <c r="R426" t="s">
        <v>1030</v>
      </c>
      <c r="S426" s="1">
        <v>46023</v>
      </c>
      <c r="U426" t="s">
        <v>51</v>
      </c>
      <c r="X426" t="s">
        <v>52</v>
      </c>
      <c r="Y426" s="2">
        <v>0</v>
      </c>
      <c r="Z426" s="2">
        <v>175</v>
      </c>
      <c r="AA426">
        <v>1</v>
      </c>
      <c r="AB426" s="3">
        <v>1</v>
      </c>
      <c r="AC426" s="2">
        <v>175</v>
      </c>
      <c r="AD426" s="3">
        <v>0</v>
      </c>
      <c r="AE426" s="2">
        <v>0</v>
      </c>
      <c r="AF426" s="2">
        <v>175</v>
      </c>
      <c r="AK426">
        <v>6060139</v>
      </c>
    </row>
    <row r="427" spans="1:37" x14ac:dyDescent="0.25">
      <c r="A427" s="1">
        <v>46008</v>
      </c>
      <c r="B427" s="1">
        <v>46008</v>
      </c>
      <c r="C427" t="s">
        <v>38</v>
      </c>
      <c r="D427" t="s">
        <v>39</v>
      </c>
      <c r="E427" t="s">
        <v>40</v>
      </c>
      <c r="F427" t="s">
        <v>41</v>
      </c>
      <c r="G427" t="s">
        <v>42</v>
      </c>
      <c r="H427" t="s">
        <v>43</v>
      </c>
      <c r="I427" t="s">
        <v>1086</v>
      </c>
      <c r="J427" t="s">
        <v>1087</v>
      </c>
      <c r="M427" t="s">
        <v>87</v>
      </c>
      <c r="O427" t="s">
        <v>141</v>
      </c>
      <c r="P427" t="s">
        <v>142</v>
      </c>
      <c r="Q427" t="s">
        <v>49</v>
      </c>
      <c r="R427" t="s">
        <v>1030</v>
      </c>
      <c r="S427" s="1">
        <v>46023</v>
      </c>
      <c r="U427" t="s">
        <v>51</v>
      </c>
      <c r="X427" t="s">
        <v>52</v>
      </c>
      <c r="Y427" s="2">
        <v>0</v>
      </c>
      <c r="Z427" s="2">
        <v>175</v>
      </c>
      <c r="AA427">
        <v>1</v>
      </c>
      <c r="AB427" s="3">
        <v>1</v>
      </c>
      <c r="AC427" s="2">
        <v>175</v>
      </c>
      <c r="AD427" s="3">
        <v>0</v>
      </c>
      <c r="AE427" s="2">
        <v>0</v>
      </c>
      <c r="AF427" s="2">
        <v>175</v>
      </c>
      <c r="AK427">
        <v>6060140</v>
      </c>
    </row>
    <row r="428" spans="1:37" x14ac:dyDescent="0.25">
      <c r="A428" s="1">
        <v>46008</v>
      </c>
      <c r="B428" s="1">
        <v>46008</v>
      </c>
      <c r="C428" t="s">
        <v>38</v>
      </c>
      <c r="D428" t="s">
        <v>39</v>
      </c>
      <c r="E428" t="s">
        <v>40</v>
      </c>
      <c r="F428" t="s">
        <v>41</v>
      </c>
      <c r="G428" t="s">
        <v>42</v>
      </c>
      <c r="H428" t="s">
        <v>43</v>
      </c>
      <c r="I428" t="s">
        <v>1088</v>
      </c>
      <c r="J428" t="s">
        <v>1089</v>
      </c>
      <c r="M428" t="s">
        <v>217</v>
      </c>
      <c r="O428" t="s">
        <v>340</v>
      </c>
      <c r="P428" t="s">
        <v>341</v>
      </c>
      <c r="Q428" t="s">
        <v>49</v>
      </c>
      <c r="R428" t="s">
        <v>1030</v>
      </c>
      <c r="S428" s="1">
        <v>46023</v>
      </c>
      <c r="U428" t="s">
        <v>51</v>
      </c>
      <c r="X428" t="s">
        <v>52</v>
      </c>
      <c r="Y428" s="2">
        <v>0</v>
      </c>
      <c r="Z428" s="2">
        <v>175</v>
      </c>
      <c r="AA428">
        <v>1</v>
      </c>
      <c r="AB428" s="3">
        <v>1</v>
      </c>
      <c r="AC428" s="2">
        <v>175</v>
      </c>
      <c r="AD428" s="3">
        <v>0</v>
      </c>
      <c r="AE428" s="2">
        <v>0</v>
      </c>
      <c r="AF428" s="2">
        <v>175</v>
      </c>
      <c r="AK428">
        <v>6060141</v>
      </c>
    </row>
    <row r="429" spans="1:37" x14ac:dyDescent="0.25">
      <c r="A429" s="1">
        <v>46008</v>
      </c>
      <c r="B429" s="1">
        <v>46008</v>
      </c>
      <c r="C429" t="s">
        <v>38</v>
      </c>
      <c r="D429" t="s">
        <v>39</v>
      </c>
      <c r="E429" t="s">
        <v>40</v>
      </c>
      <c r="F429" t="s">
        <v>41</v>
      </c>
      <c r="G429" t="s">
        <v>42</v>
      </c>
      <c r="H429" t="s">
        <v>43</v>
      </c>
      <c r="I429" t="s">
        <v>1090</v>
      </c>
      <c r="J429" t="s">
        <v>1091</v>
      </c>
      <c r="M429" t="s">
        <v>87</v>
      </c>
      <c r="O429" t="s">
        <v>141</v>
      </c>
      <c r="P429" t="s">
        <v>142</v>
      </c>
      <c r="Q429" t="s">
        <v>49</v>
      </c>
      <c r="R429" t="s">
        <v>1030</v>
      </c>
      <c r="S429" s="1">
        <v>46023</v>
      </c>
      <c r="U429" t="s">
        <v>51</v>
      </c>
      <c r="X429" t="s">
        <v>52</v>
      </c>
      <c r="Y429" s="2">
        <v>0</v>
      </c>
      <c r="Z429" s="2">
        <v>175</v>
      </c>
      <c r="AA429">
        <v>1</v>
      </c>
      <c r="AB429" s="3">
        <v>1</v>
      </c>
      <c r="AC429" s="2">
        <v>175</v>
      </c>
      <c r="AD429" s="3">
        <v>0</v>
      </c>
      <c r="AE429" s="2">
        <v>0</v>
      </c>
      <c r="AF429" s="2">
        <v>175</v>
      </c>
      <c r="AK429">
        <v>6060142</v>
      </c>
    </row>
    <row r="430" spans="1:37" x14ac:dyDescent="0.25">
      <c r="A430" s="1">
        <v>46008</v>
      </c>
      <c r="B430" s="1">
        <v>46008</v>
      </c>
      <c r="C430" t="s">
        <v>38</v>
      </c>
      <c r="D430" t="s">
        <v>39</v>
      </c>
      <c r="E430" t="s">
        <v>40</v>
      </c>
      <c r="F430" t="s">
        <v>41</v>
      </c>
      <c r="G430" t="s">
        <v>42</v>
      </c>
      <c r="H430" t="s">
        <v>43</v>
      </c>
      <c r="I430" t="s">
        <v>1092</v>
      </c>
      <c r="J430" t="s">
        <v>1093</v>
      </c>
      <c r="M430" t="s">
        <v>155</v>
      </c>
      <c r="O430" t="s">
        <v>179</v>
      </c>
      <c r="P430" t="s">
        <v>180</v>
      </c>
      <c r="Q430" t="s">
        <v>49</v>
      </c>
      <c r="R430" t="s">
        <v>1030</v>
      </c>
      <c r="S430" s="1">
        <v>46023</v>
      </c>
      <c r="U430" t="s">
        <v>51</v>
      </c>
      <c r="X430" t="s">
        <v>52</v>
      </c>
      <c r="Y430" s="2">
        <v>0</v>
      </c>
      <c r="Z430" s="2">
        <v>175</v>
      </c>
      <c r="AA430">
        <v>1</v>
      </c>
      <c r="AB430" s="3">
        <v>1</v>
      </c>
      <c r="AC430" s="2">
        <v>175</v>
      </c>
      <c r="AD430" s="3">
        <v>0</v>
      </c>
      <c r="AE430" s="2">
        <v>0</v>
      </c>
      <c r="AF430" s="2">
        <v>175</v>
      </c>
      <c r="AK430">
        <v>6060143</v>
      </c>
    </row>
    <row r="431" spans="1:37" x14ac:dyDescent="0.25">
      <c r="A431" s="1">
        <v>46008</v>
      </c>
      <c r="B431" s="1">
        <v>46008</v>
      </c>
      <c r="C431" t="s">
        <v>38</v>
      </c>
      <c r="D431" t="s">
        <v>39</v>
      </c>
      <c r="E431" t="s">
        <v>40</v>
      </c>
      <c r="F431" t="s">
        <v>41</v>
      </c>
      <c r="G431" t="s">
        <v>42</v>
      </c>
      <c r="H431" t="s">
        <v>43</v>
      </c>
      <c r="I431" t="s">
        <v>1094</v>
      </c>
      <c r="J431" t="s">
        <v>1095</v>
      </c>
      <c r="M431" t="s">
        <v>78</v>
      </c>
      <c r="O431" t="s">
        <v>47</v>
      </c>
      <c r="P431" t="s">
        <v>48</v>
      </c>
      <c r="Q431" t="s">
        <v>49</v>
      </c>
      <c r="R431" t="s">
        <v>1047</v>
      </c>
      <c r="S431" s="1">
        <v>46023</v>
      </c>
      <c r="U431" t="s">
        <v>51</v>
      </c>
      <c r="X431" t="s">
        <v>52</v>
      </c>
      <c r="Y431" s="2">
        <v>0</v>
      </c>
      <c r="Z431" s="2">
        <v>113</v>
      </c>
      <c r="AA431">
        <v>1</v>
      </c>
      <c r="AB431" s="3">
        <v>1</v>
      </c>
      <c r="AC431" s="2">
        <v>113</v>
      </c>
      <c r="AD431" s="3">
        <v>0</v>
      </c>
      <c r="AE431" s="2">
        <v>0</v>
      </c>
      <c r="AF431" s="2">
        <v>113</v>
      </c>
      <c r="AK431">
        <v>6059945</v>
      </c>
    </row>
    <row r="432" spans="1:37" x14ac:dyDescent="0.25">
      <c r="A432" s="1">
        <v>46008</v>
      </c>
      <c r="B432" s="1">
        <v>46008</v>
      </c>
      <c r="C432" t="s">
        <v>38</v>
      </c>
      <c r="D432" t="s">
        <v>39</v>
      </c>
      <c r="E432" t="s">
        <v>40</v>
      </c>
      <c r="F432" t="s">
        <v>41</v>
      </c>
      <c r="G432" t="s">
        <v>42</v>
      </c>
      <c r="H432" t="s">
        <v>43</v>
      </c>
      <c r="I432" t="s">
        <v>1096</v>
      </c>
      <c r="J432" t="s">
        <v>1097</v>
      </c>
      <c r="M432" t="s">
        <v>155</v>
      </c>
      <c r="O432" t="s">
        <v>115</v>
      </c>
      <c r="P432" t="s">
        <v>116</v>
      </c>
      <c r="Q432" t="s">
        <v>49</v>
      </c>
      <c r="R432" t="s">
        <v>1030</v>
      </c>
      <c r="S432" s="1">
        <v>46023</v>
      </c>
      <c r="U432" t="s">
        <v>51</v>
      </c>
      <c r="X432" t="s">
        <v>52</v>
      </c>
      <c r="Y432" s="2">
        <v>0</v>
      </c>
      <c r="Z432" s="2">
        <v>175</v>
      </c>
      <c r="AA432">
        <v>1</v>
      </c>
      <c r="AB432" s="3">
        <v>1</v>
      </c>
      <c r="AC432" s="2">
        <v>175</v>
      </c>
      <c r="AD432" s="3">
        <v>0</v>
      </c>
      <c r="AE432" s="2">
        <v>0</v>
      </c>
      <c r="AF432" s="2">
        <v>175</v>
      </c>
      <c r="AK432">
        <v>6060144</v>
      </c>
    </row>
    <row r="433" spans="1:38" x14ac:dyDescent="0.25">
      <c r="A433" s="1">
        <v>46008</v>
      </c>
      <c r="B433" s="1">
        <v>46008</v>
      </c>
      <c r="C433" t="s">
        <v>38</v>
      </c>
      <c r="D433" t="s">
        <v>39</v>
      </c>
      <c r="E433" t="s">
        <v>40</v>
      </c>
      <c r="F433" t="s">
        <v>41</v>
      </c>
      <c r="G433" t="s">
        <v>42</v>
      </c>
      <c r="H433" t="s">
        <v>43</v>
      </c>
      <c r="I433" t="s">
        <v>1098</v>
      </c>
      <c r="J433" t="s">
        <v>1099</v>
      </c>
      <c r="M433" t="s">
        <v>1100</v>
      </c>
      <c r="O433" t="s">
        <v>242</v>
      </c>
      <c r="P433" t="s">
        <v>243</v>
      </c>
      <c r="Q433" t="s">
        <v>49</v>
      </c>
      <c r="R433" t="s">
        <v>1030</v>
      </c>
      <c r="S433" s="1">
        <v>46023</v>
      </c>
      <c r="U433" t="s">
        <v>51</v>
      </c>
      <c r="X433" t="s">
        <v>52</v>
      </c>
      <c r="Y433" s="2">
        <v>0</v>
      </c>
      <c r="Z433" s="2">
        <v>175</v>
      </c>
      <c r="AA433">
        <v>1</v>
      </c>
      <c r="AB433" s="3">
        <v>1</v>
      </c>
      <c r="AC433" s="2">
        <v>175</v>
      </c>
      <c r="AD433" s="3">
        <v>0</v>
      </c>
      <c r="AE433" s="2">
        <v>0</v>
      </c>
      <c r="AF433" s="2">
        <v>175</v>
      </c>
      <c r="AK433">
        <v>6060145</v>
      </c>
    </row>
    <row r="434" spans="1:38" x14ac:dyDescent="0.25">
      <c r="A434" s="1">
        <v>46008</v>
      </c>
      <c r="B434" s="1">
        <v>46008</v>
      </c>
      <c r="C434" t="s">
        <v>38</v>
      </c>
      <c r="D434" t="s">
        <v>39</v>
      </c>
      <c r="E434" t="s">
        <v>40</v>
      </c>
      <c r="F434" t="s">
        <v>41</v>
      </c>
      <c r="G434" t="s">
        <v>42</v>
      </c>
      <c r="H434" t="s">
        <v>43</v>
      </c>
      <c r="I434" t="s">
        <v>1101</v>
      </c>
      <c r="J434" t="s">
        <v>1102</v>
      </c>
      <c r="M434" t="s">
        <v>1103</v>
      </c>
      <c r="O434" t="s">
        <v>763</v>
      </c>
      <c r="P434" t="s">
        <v>764</v>
      </c>
      <c r="Q434" t="s">
        <v>49</v>
      </c>
      <c r="R434" t="s">
        <v>1030</v>
      </c>
      <c r="S434" s="1">
        <v>46023</v>
      </c>
      <c r="U434" t="s">
        <v>51</v>
      </c>
      <c r="X434" t="s">
        <v>52</v>
      </c>
      <c r="Y434" s="2">
        <v>0</v>
      </c>
      <c r="Z434" s="2">
        <v>175</v>
      </c>
      <c r="AA434">
        <v>1</v>
      </c>
      <c r="AB434" s="3">
        <v>1</v>
      </c>
      <c r="AC434" s="2">
        <v>175</v>
      </c>
      <c r="AD434" s="3">
        <v>0</v>
      </c>
      <c r="AE434" s="2">
        <v>0</v>
      </c>
      <c r="AF434" s="2">
        <v>175</v>
      </c>
      <c r="AK434">
        <v>6060183</v>
      </c>
    </row>
    <row r="435" spans="1:38" x14ac:dyDescent="0.25">
      <c r="A435" s="1">
        <v>46008</v>
      </c>
      <c r="B435" s="1">
        <v>46008</v>
      </c>
      <c r="C435" t="s">
        <v>38</v>
      </c>
      <c r="D435" t="s">
        <v>39</v>
      </c>
      <c r="E435" t="s">
        <v>40</v>
      </c>
      <c r="F435" t="s">
        <v>41</v>
      </c>
      <c r="G435" t="s">
        <v>42</v>
      </c>
      <c r="H435" t="s">
        <v>43</v>
      </c>
      <c r="I435" t="s">
        <v>1104</v>
      </c>
      <c r="J435" t="s">
        <v>1105</v>
      </c>
      <c r="M435" t="s">
        <v>55</v>
      </c>
      <c r="O435" t="s">
        <v>115</v>
      </c>
      <c r="P435" t="s">
        <v>116</v>
      </c>
      <c r="Q435" t="s">
        <v>49</v>
      </c>
      <c r="R435" t="s">
        <v>1030</v>
      </c>
      <c r="S435" s="1">
        <v>46023</v>
      </c>
      <c r="U435" t="s">
        <v>51</v>
      </c>
      <c r="X435" t="s">
        <v>52</v>
      </c>
      <c r="Y435" s="2">
        <v>0</v>
      </c>
      <c r="Z435" s="2">
        <v>175</v>
      </c>
      <c r="AA435">
        <v>1</v>
      </c>
      <c r="AB435" s="3">
        <v>1</v>
      </c>
      <c r="AC435" s="2">
        <v>175</v>
      </c>
      <c r="AD435" s="3">
        <v>0</v>
      </c>
      <c r="AE435" s="2">
        <v>0</v>
      </c>
      <c r="AF435" s="2">
        <v>175</v>
      </c>
      <c r="AK435">
        <v>6060146</v>
      </c>
    </row>
    <row r="436" spans="1:38" x14ac:dyDescent="0.25">
      <c r="A436" s="1">
        <v>46008</v>
      </c>
      <c r="B436" s="1">
        <v>46008</v>
      </c>
      <c r="C436" t="s">
        <v>38</v>
      </c>
      <c r="D436" t="s">
        <v>39</v>
      </c>
      <c r="E436" t="s">
        <v>40</v>
      </c>
      <c r="F436" t="s">
        <v>41</v>
      </c>
      <c r="G436" t="s">
        <v>42</v>
      </c>
      <c r="H436" t="s">
        <v>43</v>
      </c>
      <c r="I436" t="s">
        <v>1106</v>
      </c>
      <c r="J436" t="s">
        <v>1107</v>
      </c>
      <c r="M436" t="s">
        <v>46</v>
      </c>
      <c r="O436" t="s">
        <v>47</v>
      </c>
      <c r="P436" t="s">
        <v>48</v>
      </c>
      <c r="Q436" t="s">
        <v>49</v>
      </c>
      <c r="R436" t="s">
        <v>1108</v>
      </c>
      <c r="S436" s="1">
        <v>45992</v>
      </c>
      <c r="U436" t="s">
        <v>51</v>
      </c>
      <c r="X436" t="s">
        <v>52</v>
      </c>
      <c r="Y436" s="2">
        <v>0</v>
      </c>
      <c r="Z436" s="2">
        <v>626</v>
      </c>
      <c r="AA436">
        <v>1</v>
      </c>
      <c r="AB436" s="3">
        <v>1</v>
      </c>
      <c r="AC436" s="2">
        <v>626</v>
      </c>
      <c r="AD436" s="3">
        <v>0</v>
      </c>
      <c r="AE436" s="2">
        <v>0</v>
      </c>
      <c r="AF436" s="2">
        <v>626</v>
      </c>
      <c r="AK436">
        <v>6060163</v>
      </c>
    </row>
    <row r="437" spans="1:38" x14ac:dyDescent="0.25">
      <c r="A437" s="1">
        <v>46008</v>
      </c>
      <c r="B437" s="1">
        <v>46008</v>
      </c>
      <c r="C437" t="s">
        <v>38</v>
      </c>
      <c r="D437" t="s">
        <v>39</v>
      </c>
      <c r="E437" t="s">
        <v>40</v>
      </c>
      <c r="F437" t="s">
        <v>41</v>
      </c>
      <c r="G437" t="s">
        <v>42</v>
      </c>
      <c r="H437" t="s">
        <v>43</v>
      </c>
      <c r="I437" t="s">
        <v>1109</v>
      </c>
      <c r="J437" t="s">
        <v>1110</v>
      </c>
      <c r="M437" t="s">
        <v>46</v>
      </c>
      <c r="O437" t="s">
        <v>328</v>
      </c>
      <c r="P437" t="s">
        <v>329</v>
      </c>
      <c r="Q437" t="s">
        <v>49</v>
      </c>
      <c r="R437" t="s">
        <v>1030</v>
      </c>
      <c r="S437" s="1">
        <v>46023</v>
      </c>
      <c r="U437" t="s">
        <v>51</v>
      </c>
      <c r="X437" t="s">
        <v>52</v>
      </c>
      <c r="Y437" s="2">
        <v>0</v>
      </c>
      <c r="Z437" s="2">
        <v>175</v>
      </c>
      <c r="AA437">
        <v>1</v>
      </c>
      <c r="AB437" s="3">
        <v>1</v>
      </c>
      <c r="AC437" s="2">
        <v>175</v>
      </c>
      <c r="AD437" s="3">
        <v>0</v>
      </c>
      <c r="AE437" s="2">
        <v>0</v>
      </c>
      <c r="AF437" s="2">
        <v>175</v>
      </c>
      <c r="AK437">
        <v>6060147</v>
      </c>
    </row>
    <row r="438" spans="1:38" x14ac:dyDescent="0.25">
      <c r="A438" s="1">
        <v>46008</v>
      </c>
      <c r="B438" s="1">
        <v>46008</v>
      </c>
      <c r="C438" t="s">
        <v>38</v>
      </c>
      <c r="D438" t="s">
        <v>39</v>
      </c>
      <c r="E438" t="s">
        <v>40</v>
      </c>
      <c r="F438" t="s">
        <v>41</v>
      </c>
      <c r="G438" t="s">
        <v>42</v>
      </c>
      <c r="H438" t="s">
        <v>43</v>
      </c>
      <c r="I438" t="s">
        <v>1111</v>
      </c>
      <c r="J438" t="s">
        <v>1112</v>
      </c>
      <c r="M438" t="s">
        <v>403</v>
      </c>
      <c r="O438" t="s">
        <v>115</v>
      </c>
      <c r="P438" t="s">
        <v>116</v>
      </c>
      <c r="Q438" t="s">
        <v>49</v>
      </c>
      <c r="R438" t="s">
        <v>1030</v>
      </c>
      <c r="S438" s="1">
        <v>46023</v>
      </c>
      <c r="U438" t="s">
        <v>51</v>
      </c>
      <c r="X438" t="s">
        <v>52</v>
      </c>
      <c r="Y438" s="2">
        <v>0</v>
      </c>
      <c r="Z438" s="2">
        <v>175</v>
      </c>
      <c r="AA438">
        <v>1</v>
      </c>
      <c r="AB438" s="3">
        <v>1</v>
      </c>
      <c r="AC438" s="2">
        <v>175</v>
      </c>
      <c r="AD438" s="3">
        <v>0</v>
      </c>
      <c r="AE438" s="2">
        <v>0</v>
      </c>
      <c r="AF438" s="2">
        <v>175</v>
      </c>
      <c r="AK438">
        <v>6060148</v>
      </c>
    </row>
    <row r="439" spans="1:38" x14ac:dyDescent="0.25">
      <c r="A439" s="1">
        <v>46008</v>
      </c>
      <c r="B439" s="1">
        <v>46008</v>
      </c>
      <c r="C439" t="s">
        <v>38</v>
      </c>
      <c r="D439" t="s">
        <v>39</v>
      </c>
      <c r="E439" t="s">
        <v>40</v>
      </c>
      <c r="F439" t="s">
        <v>41</v>
      </c>
      <c r="G439" t="s">
        <v>42</v>
      </c>
      <c r="H439" t="s">
        <v>43</v>
      </c>
      <c r="I439" t="s">
        <v>1113</v>
      </c>
      <c r="J439" t="s">
        <v>1114</v>
      </c>
      <c r="M439" t="s">
        <v>403</v>
      </c>
      <c r="O439" t="s">
        <v>115</v>
      </c>
      <c r="P439" t="s">
        <v>116</v>
      </c>
      <c r="Q439" t="s">
        <v>49</v>
      </c>
      <c r="R439" t="s">
        <v>1030</v>
      </c>
      <c r="S439" s="1">
        <v>46023</v>
      </c>
      <c r="U439" t="s">
        <v>51</v>
      </c>
      <c r="X439" t="s">
        <v>52</v>
      </c>
      <c r="Y439" s="2">
        <v>0</v>
      </c>
      <c r="Z439" s="2">
        <v>175</v>
      </c>
      <c r="AA439">
        <v>1</v>
      </c>
      <c r="AB439" s="3">
        <v>1</v>
      </c>
      <c r="AC439" s="2">
        <v>175</v>
      </c>
      <c r="AD439" s="3">
        <v>0</v>
      </c>
      <c r="AE439" s="2">
        <v>0</v>
      </c>
      <c r="AF439" s="2">
        <v>175</v>
      </c>
      <c r="AK439">
        <v>6060149</v>
      </c>
    </row>
    <row r="440" spans="1:38" x14ac:dyDescent="0.25">
      <c r="A440" s="1">
        <v>46008</v>
      </c>
      <c r="B440" s="1">
        <v>46008</v>
      </c>
      <c r="C440" t="s">
        <v>38</v>
      </c>
      <c r="D440" t="s">
        <v>39</v>
      </c>
      <c r="E440" t="s">
        <v>40</v>
      </c>
      <c r="F440" t="s">
        <v>41</v>
      </c>
      <c r="G440" t="s">
        <v>42</v>
      </c>
      <c r="H440" t="s">
        <v>43</v>
      </c>
      <c r="I440" t="s">
        <v>1115</v>
      </c>
      <c r="J440" t="s">
        <v>1116</v>
      </c>
      <c r="M440" t="s">
        <v>46</v>
      </c>
      <c r="O440" t="s">
        <v>278</v>
      </c>
      <c r="P440" t="s">
        <v>279</v>
      </c>
      <c r="Q440" t="s">
        <v>49</v>
      </c>
      <c r="R440" t="s">
        <v>1108</v>
      </c>
      <c r="S440" s="1">
        <v>45992</v>
      </c>
      <c r="U440" t="s">
        <v>51</v>
      </c>
      <c r="X440" t="s">
        <v>52</v>
      </c>
      <c r="Y440" s="2">
        <v>0</v>
      </c>
      <c r="Z440" s="2">
        <v>626</v>
      </c>
      <c r="AA440">
        <v>1</v>
      </c>
      <c r="AB440" s="3">
        <v>1</v>
      </c>
      <c r="AC440" s="2">
        <v>626</v>
      </c>
      <c r="AD440" s="3">
        <v>0</v>
      </c>
      <c r="AE440" s="2">
        <v>0</v>
      </c>
      <c r="AF440" s="2">
        <v>626</v>
      </c>
      <c r="AK440">
        <v>6060164</v>
      </c>
    </row>
    <row r="441" spans="1:38" x14ac:dyDescent="0.25">
      <c r="A441" s="1">
        <v>46008</v>
      </c>
      <c r="B441" s="1">
        <v>46008</v>
      </c>
      <c r="C441" t="s">
        <v>38</v>
      </c>
      <c r="D441" t="s">
        <v>39</v>
      </c>
      <c r="E441" t="s">
        <v>40</v>
      </c>
      <c r="F441" t="s">
        <v>41</v>
      </c>
      <c r="G441" t="s">
        <v>42</v>
      </c>
      <c r="H441" t="s">
        <v>43</v>
      </c>
      <c r="I441" t="s">
        <v>1117</v>
      </c>
      <c r="J441" t="s">
        <v>1118</v>
      </c>
      <c r="M441" t="s">
        <v>87</v>
      </c>
      <c r="O441" t="s">
        <v>141</v>
      </c>
      <c r="P441" t="s">
        <v>142</v>
      </c>
      <c r="Q441" t="s">
        <v>49</v>
      </c>
      <c r="R441" t="s">
        <v>1030</v>
      </c>
      <c r="S441" s="1">
        <v>46023</v>
      </c>
      <c r="U441" t="s">
        <v>51</v>
      </c>
      <c r="X441" t="s">
        <v>52</v>
      </c>
      <c r="Y441" s="2">
        <v>0</v>
      </c>
      <c r="Z441" s="2">
        <v>175</v>
      </c>
      <c r="AA441">
        <v>1</v>
      </c>
      <c r="AB441" s="3">
        <v>1</v>
      </c>
      <c r="AC441" s="2">
        <v>175</v>
      </c>
      <c r="AD441" s="3">
        <v>0</v>
      </c>
      <c r="AE441" s="2">
        <v>0</v>
      </c>
      <c r="AF441" s="2">
        <v>175</v>
      </c>
      <c r="AK441">
        <v>6060150</v>
      </c>
    </row>
    <row r="442" spans="1:38" x14ac:dyDescent="0.25">
      <c r="A442" s="1">
        <v>46008</v>
      </c>
      <c r="B442" s="1">
        <v>46008</v>
      </c>
      <c r="C442" t="s">
        <v>38</v>
      </c>
      <c r="D442" t="s">
        <v>39</v>
      </c>
      <c r="E442" t="s">
        <v>40</v>
      </c>
      <c r="F442" t="s">
        <v>41</v>
      </c>
      <c r="G442" t="s">
        <v>42</v>
      </c>
      <c r="H442" t="s">
        <v>43</v>
      </c>
      <c r="I442" t="s">
        <v>1119</v>
      </c>
      <c r="J442" t="s">
        <v>1120</v>
      </c>
      <c r="M442" t="s">
        <v>61</v>
      </c>
      <c r="O442" t="s">
        <v>763</v>
      </c>
      <c r="P442" t="s">
        <v>764</v>
      </c>
      <c r="Q442" t="s">
        <v>49</v>
      </c>
      <c r="R442" t="s">
        <v>1023</v>
      </c>
      <c r="S442" s="1">
        <v>46023</v>
      </c>
      <c r="U442" t="s">
        <v>51</v>
      </c>
      <c r="X442" t="s">
        <v>52</v>
      </c>
      <c r="Y442" s="2">
        <v>0</v>
      </c>
      <c r="Z442" s="2">
        <v>72</v>
      </c>
      <c r="AA442">
        <v>1</v>
      </c>
      <c r="AB442" s="3">
        <v>1</v>
      </c>
      <c r="AC442" s="2">
        <v>72</v>
      </c>
      <c r="AD442" s="3">
        <v>0</v>
      </c>
      <c r="AE442" s="2">
        <v>0</v>
      </c>
      <c r="AF442" s="2">
        <v>72</v>
      </c>
      <c r="AK442">
        <v>6059905</v>
      </c>
      <c r="AL442" t="s">
        <v>1024</v>
      </c>
    </row>
    <row r="443" spans="1:38" x14ac:dyDescent="0.25">
      <c r="A443" s="1">
        <v>46008</v>
      </c>
      <c r="B443" s="1">
        <v>46008</v>
      </c>
      <c r="C443" t="s">
        <v>38</v>
      </c>
      <c r="D443" t="s">
        <v>39</v>
      </c>
      <c r="E443" t="s">
        <v>40</v>
      </c>
      <c r="F443" t="s">
        <v>41</v>
      </c>
      <c r="G443" t="s">
        <v>42</v>
      </c>
      <c r="H443" t="s">
        <v>43</v>
      </c>
      <c r="I443" t="s">
        <v>1121</v>
      </c>
      <c r="J443" t="s">
        <v>1122</v>
      </c>
      <c r="M443" t="s">
        <v>87</v>
      </c>
      <c r="O443" t="s">
        <v>201</v>
      </c>
      <c r="P443" t="s">
        <v>202</v>
      </c>
      <c r="Q443" t="s">
        <v>49</v>
      </c>
      <c r="R443" t="s">
        <v>1023</v>
      </c>
      <c r="S443" s="1">
        <v>46023</v>
      </c>
      <c r="U443" t="s">
        <v>51</v>
      </c>
      <c r="X443" t="s">
        <v>52</v>
      </c>
      <c r="Y443" s="2">
        <v>0</v>
      </c>
      <c r="Z443" s="2">
        <v>72</v>
      </c>
      <c r="AA443">
        <v>1</v>
      </c>
      <c r="AB443" s="3">
        <v>1</v>
      </c>
      <c r="AC443" s="2">
        <v>72</v>
      </c>
      <c r="AD443" s="3">
        <v>0</v>
      </c>
      <c r="AE443" s="2">
        <v>0</v>
      </c>
      <c r="AF443" s="2">
        <v>72</v>
      </c>
      <c r="AK443">
        <v>6059906</v>
      </c>
      <c r="AL443" t="s">
        <v>1024</v>
      </c>
    </row>
    <row r="444" spans="1:38" x14ac:dyDescent="0.25">
      <c r="A444" s="1">
        <v>46008</v>
      </c>
      <c r="B444" s="1">
        <v>46008</v>
      </c>
      <c r="C444" t="s">
        <v>38</v>
      </c>
      <c r="D444" t="s">
        <v>39</v>
      </c>
      <c r="E444" t="s">
        <v>40</v>
      </c>
      <c r="F444" t="s">
        <v>41</v>
      </c>
      <c r="G444" t="s">
        <v>42</v>
      </c>
      <c r="H444" t="s">
        <v>43</v>
      </c>
      <c r="I444" t="s">
        <v>1123</v>
      </c>
      <c r="J444" t="s">
        <v>1124</v>
      </c>
      <c r="M444" t="s">
        <v>403</v>
      </c>
      <c r="O444" t="s">
        <v>1074</v>
      </c>
      <c r="P444" t="s">
        <v>1075</v>
      </c>
      <c r="Q444" t="s">
        <v>49</v>
      </c>
      <c r="R444" t="s">
        <v>1125</v>
      </c>
      <c r="S444" s="1">
        <v>45992</v>
      </c>
      <c r="U444" t="s">
        <v>51</v>
      </c>
      <c r="X444" t="s">
        <v>52</v>
      </c>
      <c r="Y444" s="2">
        <v>0</v>
      </c>
      <c r="Z444" s="2">
        <v>52.17</v>
      </c>
      <c r="AA444">
        <v>1</v>
      </c>
      <c r="AB444" s="3">
        <v>1</v>
      </c>
      <c r="AC444" s="2">
        <v>52.17</v>
      </c>
      <c r="AD444" s="3">
        <v>0</v>
      </c>
      <c r="AE444" s="2">
        <v>0</v>
      </c>
      <c r="AF444" s="2">
        <v>52.17</v>
      </c>
      <c r="AK444">
        <v>6060161</v>
      </c>
      <c r="AL444" t="s">
        <v>1126</v>
      </c>
    </row>
    <row r="445" spans="1:38" x14ac:dyDescent="0.25">
      <c r="A445" s="1">
        <v>46008</v>
      </c>
      <c r="B445" s="1">
        <v>46008</v>
      </c>
      <c r="C445" t="s">
        <v>38</v>
      </c>
      <c r="D445" t="s">
        <v>39</v>
      </c>
      <c r="E445" t="s">
        <v>40</v>
      </c>
      <c r="F445" t="s">
        <v>41</v>
      </c>
      <c r="G445" t="s">
        <v>42</v>
      </c>
      <c r="H445" t="s">
        <v>43</v>
      </c>
      <c r="I445" t="s">
        <v>1127</v>
      </c>
      <c r="J445" t="s">
        <v>1128</v>
      </c>
      <c r="M445" t="s">
        <v>1061</v>
      </c>
      <c r="O445" t="s">
        <v>115</v>
      </c>
      <c r="P445" t="s">
        <v>116</v>
      </c>
      <c r="Q445" t="s">
        <v>49</v>
      </c>
      <c r="R445" t="s">
        <v>1030</v>
      </c>
      <c r="S445" s="1">
        <v>46023</v>
      </c>
      <c r="U445" t="s">
        <v>51</v>
      </c>
      <c r="X445" t="s">
        <v>52</v>
      </c>
      <c r="Y445" s="2">
        <v>0</v>
      </c>
      <c r="Z445" s="2">
        <v>175</v>
      </c>
      <c r="AA445">
        <v>1</v>
      </c>
      <c r="AB445" s="3">
        <v>1</v>
      </c>
      <c r="AC445" s="2">
        <v>175</v>
      </c>
      <c r="AD445" s="3">
        <v>0</v>
      </c>
      <c r="AE445" s="2">
        <v>0</v>
      </c>
      <c r="AF445" s="2">
        <v>175</v>
      </c>
      <c r="AK445">
        <v>6060151</v>
      </c>
    </row>
    <row r="446" spans="1:38" x14ac:dyDescent="0.25">
      <c r="A446" s="1">
        <v>46008</v>
      </c>
      <c r="B446" s="1">
        <v>46008</v>
      </c>
      <c r="C446" t="s">
        <v>38</v>
      </c>
      <c r="D446" t="s">
        <v>39</v>
      </c>
      <c r="E446" t="s">
        <v>40</v>
      </c>
      <c r="F446" t="s">
        <v>41</v>
      </c>
      <c r="G446" t="s">
        <v>42</v>
      </c>
      <c r="H446" t="s">
        <v>43</v>
      </c>
      <c r="I446" t="s">
        <v>1129</v>
      </c>
      <c r="J446" t="s">
        <v>1130</v>
      </c>
      <c r="M446" t="s">
        <v>87</v>
      </c>
      <c r="O446" t="s">
        <v>1131</v>
      </c>
      <c r="P446" t="s">
        <v>1132</v>
      </c>
      <c r="Q446" t="s">
        <v>49</v>
      </c>
      <c r="R446" t="s">
        <v>1023</v>
      </c>
      <c r="S446" s="1">
        <v>46023</v>
      </c>
      <c r="U446" t="s">
        <v>51</v>
      </c>
      <c r="X446" t="s">
        <v>52</v>
      </c>
      <c r="Y446" s="2">
        <v>0</v>
      </c>
      <c r="Z446" s="2">
        <v>72</v>
      </c>
      <c r="AA446">
        <v>1</v>
      </c>
      <c r="AB446" s="3">
        <v>1</v>
      </c>
      <c r="AC446" s="2">
        <v>72</v>
      </c>
      <c r="AD446" s="3">
        <v>0</v>
      </c>
      <c r="AE446" s="2">
        <v>0</v>
      </c>
      <c r="AF446" s="2">
        <v>72</v>
      </c>
      <c r="AK446">
        <v>6059907</v>
      </c>
      <c r="AL446" t="s">
        <v>1024</v>
      </c>
    </row>
    <row r="447" spans="1:38" x14ac:dyDescent="0.25">
      <c r="A447" s="1">
        <v>46008</v>
      </c>
      <c r="B447" s="1">
        <v>46008</v>
      </c>
      <c r="C447" t="s">
        <v>38</v>
      </c>
      <c r="D447" t="s">
        <v>39</v>
      </c>
      <c r="E447" t="s">
        <v>40</v>
      </c>
      <c r="F447" t="s">
        <v>41</v>
      </c>
      <c r="G447" t="s">
        <v>42</v>
      </c>
      <c r="H447" t="s">
        <v>43</v>
      </c>
      <c r="I447" t="s">
        <v>1133</v>
      </c>
      <c r="J447" t="s">
        <v>1134</v>
      </c>
      <c r="M447" t="s">
        <v>61</v>
      </c>
      <c r="O447" t="s">
        <v>601</v>
      </c>
      <c r="P447" t="s">
        <v>602</v>
      </c>
      <c r="Q447" t="s">
        <v>49</v>
      </c>
      <c r="R447" t="s">
        <v>1030</v>
      </c>
      <c r="S447" s="1">
        <v>46023</v>
      </c>
      <c r="U447" t="s">
        <v>51</v>
      </c>
      <c r="X447" t="s">
        <v>52</v>
      </c>
      <c r="Y447" s="2">
        <v>0</v>
      </c>
      <c r="Z447" s="2">
        <v>175</v>
      </c>
      <c r="AA447">
        <v>1</v>
      </c>
      <c r="AB447" s="3">
        <v>1</v>
      </c>
      <c r="AC447" s="2">
        <v>175</v>
      </c>
      <c r="AD447" s="3">
        <v>0</v>
      </c>
      <c r="AE447" s="2">
        <v>0</v>
      </c>
      <c r="AF447" s="2">
        <v>175</v>
      </c>
      <c r="AK447">
        <v>6060152</v>
      </c>
    </row>
    <row r="448" spans="1:38" x14ac:dyDescent="0.25">
      <c r="A448" s="1">
        <v>46008</v>
      </c>
      <c r="B448" s="1">
        <v>46008</v>
      </c>
      <c r="C448" t="s">
        <v>38</v>
      </c>
      <c r="D448" t="s">
        <v>39</v>
      </c>
      <c r="E448" t="s">
        <v>40</v>
      </c>
      <c r="F448" t="s">
        <v>41</v>
      </c>
      <c r="G448" t="s">
        <v>42</v>
      </c>
      <c r="H448" t="s">
        <v>43</v>
      </c>
      <c r="I448" t="s">
        <v>1135</v>
      </c>
      <c r="J448" t="s">
        <v>1136</v>
      </c>
      <c r="M448" t="s">
        <v>61</v>
      </c>
      <c r="O448" t="s">
        <v>1137</v>
      </c>
      <c r="P448" t="s">
        <v>1138</v>
      </c>
      <c r="Q448" t="s">
        <v>49</v>
      </c>
      <c r="R448" t="s">
        <v>1030</v>
      </c>
      <c r="S448" s="1">
        <v>46023</v>
      </c>
      <c r="U448" t="s">
        <v>51</v>
      </c>
      <c r="X448" t="s">
        <v>52</v>
      </c>
      <c r="Y448" s="2">
        <v>0</v>
      </c>
      <c r="Z448" s="2">
        <v>175</v>
      </c>
      <c r="AA448">
        <v>1</v>
      </c>
      <c r="AB448" s="3">
        <v>1</v>
      </c>
      <c r="AC448" s="2">
        <v>175</v>
      </c>
      <c r="AD448" s="3">
        <v>0</v>
      </c>
      <c r="AE448" s="2">
        <v>0</v>
      </c>
      <c r="AF448" s="2">
        <v>175</v>
      </c>
      <c r="AK448">
        <v>6060153</v>
      </c>
    </row>
    <row r="449" spans="1:38" x14ac:dyDescent="0.25">
      <c r="A449" s="1">
        <v>46008</v>
      </c>
      <c r="B449" s="1">
        <v>46008</v>
      </c>
      <c r="C449" t="s">
        <v>38</v>
      </c>
      <c r="D449" t="s">
        <v>39</v>
      </c>
      <c r="E449" t="s">
        <v>40</v>
      </c>
      <c r="F449" t="s">
        <v>41</v>
      </c>
      <c r="G449" t="s">
        <v>42</v>
      </c>
      <c r="H449" t="s">
        <v>43</v>
      </c>
      <c r="I449" t="s">
        <v>1139</v>
      </c>
      <c r="J449" t="s">
        <v>1140</v>
      </c>
      <c r="M449" t="s">
        <v>155</v>
      </c>
      <c r="O449" t="s">
        <v>179</v>
      </c>
      <c r="P449" t="s">
        <v>180</v>
      </c>
      <c r="Q449" t="s">
        <v>49</v>
      </c>
      <c r="R449" t="s">
        <v>1023</v>
      </c>
      <c r="S449" s="1">
        <v>46023</v>
      </c>
      <c r="U449" t="s">
        <v>51</v>
      </c>
      <c r="X449" t="s">
        <v>52</v>
      </c>
      <c r="Y449" s="2">
        <v>0</v>
      </c>
      <c r="Z449" s="2">
        <v>72</v>
      </c>
      <c r="AA449">
        <v>1</v>
      </c>
      <c r="AB449" s="3">
        <v>1</v>
      </c>
      <c r="AC449" s="2">
        <v>72</v>
      </c>
      <c r="AD449" s="3">
        <v>0</v>
      </c>
      <c r="AE449" s="2">
        <v>0</v>
      </c>
      <c r="AF449" s="2">
        <v>72</v>
      </c>
      <c r="AK449">
        <v>6059908</v>
      </c>
      <c r="AL449" t="s">
        <v>1024</v>
      </c>
    </row>
    <row r="450" spans="1:38" x14ac:dyDescent="0.25">
      <c r="A450" s="1">
        <v>46008</v>
      </c>
      <c r="B450" s="1">
        <v>46008</v>
      </c>
      <c r="C450" t="s">
        <v>38</v>
      </c>
      <c r="D450" t="s">
        <v>39</v>
      </c>
      <c r="E450" t="s">
        <v>40</v>
      </c>
      <c r="F450" t="s">
        <v>41</v>
      </c>
      <c r="G450" t="s">
        <v>42</v>
      </c>
      <c r="H450" t="s">
        <v>43</v>
      </c>
      <c r="I450" t="s">
        <v>1141</v>
      </c>
      <c r="J450" t="s">
        <v>1142</v>
      </c>
      <c r="M450" t="s">
        <v>491</v>
      </c>
      <c r="O450" t="s">
        <v>1143</v>
      </c>
      <c r="P450" t="s">
        <v>1144</v>
      </c>
      <c r="Q450" t="s">
        <v>49</v>
      </c>
      <c r="R450" t="s">
        <v>1047</v>
      </c>
      <c r="S450" s="1">
        <v>46023</v>
      </c>
      <c r="U450" t="s">
        <v>51</v>
      </c>
      <c r="X450" t="s">
        <v>52</v>
      </c>
      <c r="Y450" s="2">
        <v>0</v>
      </c>
      <c r="Z450" s="2">
        <v>113</v>
      </c>
      <c r="AA450">
        <v>1</v>
      </c>
      <c r="AB450" s="3">
        <v>1</v>
      </c>
      <c r="AC450" s="2">
        <v>113</v>
      </c>
      <c r="AD450" s="3">
        <v>0</v>
      </c>
      <c r="AE450" s="2">
        <v>0</v>
      </c>
      <c r="AF450" s="2">
        <v>113</v>
      </c>
      <c r="AK450">
        <v>6059933</v>
      </c>
    </row>
    <row r="451" spans="1:38" x14ac:dyDescent="0.25">
      <c r="A451" s="1">
        <v>46008</v>
      </c>
      <c r="B451" s="1">
        <v>46008</v>
      </c>
      <c r="C451" t="s">
        <v>38</v>
      </c>
      <c r="D451" t="s">
        <v>39</v>
      </c>
      <c r="E451" t="s">
        <v>40</v>
      </c>
      <c r="F451" t="s">
        <v>41</v>
      </c>
      <c r="G451" t="s">
        <v>42</v>
      </c>
      <c r="H451" t="s">
        <v>43</v>
      </c>
      <c r="I451" t="s">
        <v>1145</v>
      </c>
      <c r="J451" t="s">
        <v>1146</v>
      </c>
      <c r="M451" t="s">
        <v>87</v>
      </c>
      <c r="O451" t="s">
        <v>430</v>
      </c>
      <c r="P451" t="s">
        <v>431</v>
      </c>
      <c r="Q451" t="s">
        <v>49</v>
      </c>
      <c r="R451" t="s">
        <v>1030</v>
      </c>
      <c r="S451" s="1">
        <v>46023</v>
      </c>
      <c r="U451" t="s">
        <v>51</v>
      </c>
      <c r="X451" t="s">
        <v>52</v>
      </c>
      <c r="Y451" s="2">
        <v>0</v>
      </c>
      <c r="Z451" s="2">
        <v>175</v>
      </c>
      <c r="AA451">
        <v>1</v>
      </c>
      <c r="AB451" s="3">
        <v>1</v>
      </c>
      <c r="AC451" s="2">
        <v>175</v>
      </c>
      <c r="AD451" s="3">
        <v>0</v>
      </c>
      <c r="AE451" s="2">
        <v>0</v>
      </c>
      <c r="AF451" s="2">
        <v>175</v>
      </c>
      <c r="AK451">
        <v>6060155</v>
      </c>
    </row>
    <row r="452" spans="1:38" x14ac:dyDescent="0.25">
      <c r="A452" s="1">
        <v>46008</v>
      </c>
      <c r="B452" s="1">
        <v>46008</v>
      </c>
      <c r="C452" t="s">
        <v>38</v>
      </c>
      <c r="D452" t="s">
        <v>39</v>
      </c>
      <c r="E452" t="s">
        <v>40</v>
      </c>
      <c r="F452" t="s">
        <v>41</v>
      </c>
      <c r="G452" t="s">
        <v>42</v>
      </c>
      <c r="H452" t="s">
        <v>43</v>
      </c>
      <c r="I452" t="s">
        <v>1147</v>
      </c>
      <c r="J452" t="s">
        <v>1148</v>
      </c>
      <c r="M452" t="s">
        <v>155</v>
      </c>
      <c r="O452" t="s">
        <v>179</v>
      </c>
      <c r="P452" t="s">
        <v>180</v>
      </c>
      <c r="Q452" t="s">
        <v>49</v>
      </c>
      <c r="R452" t="s">
        <v>1030</v>
      </c>
      <c r="S452" s="1">
        <v>46023</v>
      </c>
      <c r="U452" t="s">
        <v>51</v>
      </c>
      <c r="X452" t="s">
        <v>52</v>
      </c>
      <c r="Y452" s="2">
        <v>0</v>
      </c>
      <c r="Z452" s="2">
        <v>175</v>
      </c>
      <c r="AA452">
        <v>1</v>
      </c>
      <c r="AB452" s="3">
        <v>1</v>
      </c>
      <c r="AC452" s="2">
        <v>175</v>
      </c>
      <c r="AD452" s="3">
        <v>0</v>
      </c>
      <c r="AE452" s="2">
        <v>0</v>
      </c>
      <c r="AF452" s="2">
        <v>175</v>
      </c>
      <c r="AK452">
        <v>6060156</v>
      </c>
    </row>
    <row r="453" spans="1:38" x14ac:dyDescent="0.25">
      <c r="A453" s="1">
        <v>46008</v>
      </c>
      <c r="B453" s="1">
        <v>46008</v>
      </c>
      <c r="C453" t="s">
        <v>38</v>
      </c>
      <c r="D453" t="s">
        <v>39</v>
      </c>
      <c r="E453" t="s">
        <v>40</v>
      </c>
      <c r="F453" t="s">
        <v>41</v>
      </c>
      <c r="G453" t="s">
        <v>42</v>
      </c>
      <c r="H453" t="s">
        <v>43</v>
      </c>
      <c r="I453" t="s">
        <v>1149</v>
      </c>
      <c r="J453" t="s">
        <v>1150</v>
      </c>
      <c r="M453" t="s">
        <v>155</v>
      </c>
      <c r="O453" t="s">
        <v>179</v>
      </c>
      <c r="P453" t="s">
        <v>180</v>
      </c>
      <c r="Q453" t="s">
        <v>49</v>
      </c>
      <c r="R453" t="s">
        <v>1023</v>
      </c>
      <c r="S453" s="1">
        <v>46023</v>
      </c>
      <c r="U453" t="s">
        <v>51</v>
      </c>
      <c r="X453" t="s">
        <v>52</v>
      </c>
      <c r="Y453" s="2">
        <v>0</v>
      </c>
      <c r="Z453" s="2">
        <v>72</v>
      </c>
      <c r="AA453">
        <v>1</v>
      </c>
      <c r="AB453" s="3">
        <v>1</v>
      </c>
      <c r="AC453" s="2">
        <v>72</v>
      </c>
      <c r="AD453" s="3">
        <v>0</v>
      </c>
      <c r="AE453" s="2">
        <v>0</v>
      </c>
      <c r="AF453" s="2">
        <v>72</v>
      </c>
      <c r="AK453">
        <v>6059909</v>
      </c>
      <c r="AL453" t="s">
        <v>1024</v>
      </c>
    </row>
    <row r="454" spans="1:38" x14ac:dyDescent="0.25">
      <c r="A454" s="1">
        <v>46008</v>
      </c>
      <c r="B454" s="1">
        <v>46008</v>
      </c>
      <c r="C454" t="s">
        <v>38</v>
      </c>
      <c r="D454" t="s">
        <v>39</v>
      </c>
      <c r="E454" t="s">
        <v>40</v>
      </c>
      <c r="F454" t="s">
        <v>41</v>
      </c>
      <c r="G454" t="s">
        <v>42</v>
      </c>
      <c r="H454" t="s">
        <v>43</v>
      </c>
      <c r="I454" t="s">
        <v>1151</v>
      </c>
      <c r="J454" t="s">
        <v>1152</v>
      </c>
      <c r="M454" t="s">
        <v>61</v>
      </c>
      <c r="O454" t="s">
        <v>601</v>
      </c>
      <c r="P454" t="s">
        <v>602</v>
      </c>
      <c r="Q454" t="s">
        <v>49</v>
      </c>
      <c r="R454" t="s">
        <v>1030</v>
      </c>
      <c r="S454" s="1">
        <v>46023</v>
      </c>
      <c r="U454" t="s">
        <v>51</v>
      </c>
      <c r="X454" t="s">
        <v>52</v>
      </c>
      <c r="Y454" s="2">
        <v>0</v>
      </c>
      <c r="Z454" s="2">
        <v>175</v>
      </c>
      <c r="AA454">
        <v>1</v>
      </c>
      <c r="AB454" s="3">
        <v>1</v>
      </c>
      <c r="AC454" s="2">
        <v>175</v>
      </c>
      <c r="AD454" s="3">
        <v>0</v>
      </c>
      <c r="AE454" s="2">
        <v>0</v>
      </c>
      <c r="AF454" s="2">
        <v>175</v>
      </c>
      <c r="AK454">
        <v>6060157</v>
      </c>
    </row>
    <row r="455" spans="1:38" x14ac:dyDescent="0.25">
      <c r="A455" s="1">
        <v>46008</v>
      </c>
      <c r="B455" s="1">
        <v>46008</v>
      </c>
      <c r="C455" t="s">
        <v>38</v>
      </c>
      <c r="D455" t="s">
        <v>39</v>
      </c>
      <c r="E455" t="s">
        <v>40</v>
      </c>
      <c r="F455" t="s">
        <v>41</v>
      </c>
      <c r="G455" t="s">
        <v>42</v>
      </c>
      <c r="H455" t="s">
        <v>43</v>
      </c>
      <c r="I455" t="s">
        <v>1153</v>
      </c>
      <c r="J455" t="s">
        <v>1154</v>
      </c>
      <c r="M455" t="s">
        <v>491</v>
      </c>
      <c r="O455" t="s">
        <v>971</v>
      </c>
      <c r="P455" t="s">
        <v>972</v>
      </c>
      <c r="Q455" t="s">
        <v>49</v>
      </c>
      <c r="R455" t="s">
        <v>1155</v>
      </c>
      <c r="S455" s="1">
        <v>45992</v>
      </c>
      <c r="U455" t="s">
        <v>51</v>
      </c>
      <c r="X455" t="s">
        <v>52</v>
      </c>
      <c r="Y455" s="2">
        <v>0</v>
      </c>
      <c r="Z455" s="2">
        <v>705</v>
      </c>
      <c r="AA455">
        <v>1</v>
      </c>
      <c r="AB455" s="3">
        <v>1</v>
      </c>
      <c r="AC455" s="2">
        <v>705</v>
      </c>
      <c r="AD455" s="3">
        <v>0</v>
      </c>
      <c r="AE455" s="2">
        <v>0</v>
      </c>
      <c r="AF455" s="2">
        <v>705</v>
      </c>
      <c r="AK455">
        <v>6060167</v>
      </c>
    </row>
    <row r="456" spans="1:38" x14ac:dyDescent="0.25">
      <c r="A456" s="1">
        <v>46008</v>
      </c>
      <c r="B456" s="1">
        <v>46008</v>
      </c>
      <c r="C456" t="s">
        <v>38</v>
      </c>
      <c r="D456" t="s">
        <v>39</v>
      </c>
      <c r="E456" t="s">
        <v>40</v>
      </c>
      <c r="F456" t="s">
        <v>41</v>
      </c>
      <c r="G456" t="s">
        <v>42</v>
      </c>
      <c r="H456" t="s">
        <v>43</v>
      </c>
      <c r="I456" t="s">
        <v>1156</v>
      </c>
      <c r="J456" t="s">
        <v>1157</v>
      </c>
      <c r="M456" t="s">
        <v>491</v>
      </c>
      <c r="O456" t="s">
        <v>1143</v>
      </c>
      <c r="P456" t="s">
        <v>1144</v>
      </c>
      <c r="Q456" t="s">
        <v>49</v>
      </c>
      <c r="R456" t="s">
        <v>1047</v>
      </c>
      <c r="S456" s="1">
        <v>46023</v>
      </c>
      <c r="U456" t="s">
        <v>51</v>
      </c>
      <c r="X456" t="s">
        <v>52</v>
      </c>
      <c r="Y456" s="2">
        <v>0</v>
      </c>
      <c r="Z456" s="2">
        <v>113</v>
      </c>
      <c r="AA456">
        <v>1</v>
      </c>
      <c r="AB456" s="3">
        <v>1</v>
      </c>
      <c r="AC456" s="2">
        <v>113</v>
      </c>
      <c r="AD456" s="3">
        <v>0</v>
      </c>
      <c r="AE456" s="2">
        <v>0</v>
      </c>
      <c r="AF456" s="2">
        <v>113</v>
      </c>
      <c r="AK456">
        <v>6059934</v>
      </c>
    </row>
    <row r="457" spans="1:38" x14ac:dyDescent="0.25">
      <c r="A457" s="1">
        <v>46008</v>
      </c>
      <c r="B457" s="1">
        <v>46008</v>
      </c>
      <c r="C457" t="s">
        <v>38</v>
      </c>
      <c r="D457" t="s">
        <v>39</v>
      </c>
      <c r="E457" t="s">
        <v>40</v>
      </c>
      <c r="F457" t="s">
        <v>41</v>
      </c>
      <c r="G457" t="s">
        <v>42</v>
      </c>
      <c r="H457" t="s">
        <v>43</v>
      </c>
      <c r="I457" t="s">
        <v>1158</v>
      </c>
      <c r="J457" t="s">
        <v>1159</v>
      </c>
      <c r="M457" t="s">
        <v>61</v>
      </c>
      <c r="O457" t="s">
        <v>1074</v>
      </c>
      <c r="P457" t="s">
        <v>1075</v>
      </c>
      <c r="Q457" t="s">
        <v>49</v>
      </c>
      <c r="R457" t="s">
        <v>1125</v>
      </c>
      <c r="S457" s="1">
        <v>45992</v>
      </c>
      <c r="U457" t="s">
        <v>51</v>
      </c>
      <c r="X457" t="s">
        <v>52</v>
      </c>
      <c r="Y457" s="2">
        <v>0</v>
      </c>
      <c r="Z457" s="2">
        <v>52.17</v>
      </c>
      <c r="AA457">
        <v>1</v>
      </c>
      <c r="AB457" s="3">
        <v>1</v>
      </c>
      <c r="AC457" s="2">
        <v>52.17</v>
      </c>
      <c r="AD457" s="3">
        <v>0</v>
      </c>
      <c r="AE457" s="2">
        <v>0</v>
      </c>
      <c r="AF457" s="2">
        <v>52.17</v>
      </c>
      <c r="AK457">
        <v>6060165</v>
      </c>
      <c r="AL457" t="s">
        <v>1126</v>
      </c>
    </row>
    <row r="458" spans="1:38" x14ac:dyDescent="0.25">
      <c r="A458" s="1">
        <v>46008</v>
      </c>
      <c r="B458" s="1">
        <v>46008</v>
      </c>
      <c r="C458" t="s">
        <v>38</v>
      </c>
      <c r="D458" t="s">
        <v>39</v>
      </c>
      <c r="E458" t="s">
        <v>40</v>
      </c>
      <c r="F458" t="s">
        <v>41</v>
      </c>
      <c r="G458" t="s">
        <v>42</v>
      </c>
      <c r="H458" t="s">
        <v>43</v>
      </c>
      <c r="I458" t="s">
        <v>1160</v>
      </c>
      <c r="J458" t="s">
        <v>1159</v>
      </c>
      <c r="M458" t="s">
        <v>61</v>
      </c>
      <c r="O458" t="s">
        <v>1074</v>
      </c>
      <c r="P458" t="s">
        <v>1075</v>
      </c>
      <c r="Q458" t="s">
        <v>49</v>
      </c>
      <c r="R458" t="s">
        <v>1161</v>
      </c>
      <c r="S458" s="1">
        <v>45992</v>
      </c>
      <c r="U458" t="s">
        <v>51</v>
      </c>
      <c r="X458" t="s">
        <v>52</v>
      </c>
      <c r="Y458" s="2">
        <v>0</v>
      </c>
      <c r="Z458" s="2">
        <v>9.42</v>
      </c>
      <c r="AA458">
        <v>1</v>
      </c>
      <c r="AB458" s="3">
        <v>1</v>
      </c>
      <c r="AC458" s="2">
        <v>9.42</v>
      </c>
      <c r="AD458" s="3">
        <v>0</v>
      </c>
      <c r="AE458" s="2">
        <v>0</v>
      </c>
      <c r="AF458" s="2">
        <v>9.42</v>
      </c>
      <c r="AK458">
        <v>6060166</v>
      </c>
      <c r="AL458" t="s">
        <v>1126</v>
      </c>
    </row>
    <row r="459" spans="1:38" x14ac:dyDescent="0.25">
      <c r="A459" s="1">
        <v>46008</v>
      </c>
      <c r="B459" s="1">
        <v>46008</v>
      </c>
      <c r="C459" t="s">
        <v>38</v>
      </c>
      <c r="D459" t="s">
        <v>39</v>
      </c>
      <c r="E459" t="s">
        <v>40</v>
      </c>
      <c r="F459" t="s">
        <v>41</v>
      </c>
      <c r="G459" t="s">
        <v>42</v>
      </c>
      <c r="H459" t="s">
        <v>43</v>
      </c>
      <c r="I459" t="s">
        <v>1162</v>
      </c>
      <c r="J459" t="s">
        <v>1163</v>
      </c>
      <c r="M459" t="s">
        <v>46</v>
      </c>
      <c r="O459" t="s">
        <v>959</v>
      </c>
      <c r="P459" t="s">
        <v>960</v>
      </c>
      <c r="Q459" t="s">
        <v>49</v>
      </c>
      <c r="R459" t="s">
        <v>1030</v>
      </c>
      <c r="S459" s="1">
        <v>46023</v>
      </c>
      <c r="U459" t="s">
        <v>51</v>
      </c>
      <c r="X459" t="s">
        <v>52</v>
      </c>
      <c r="Y459" s="2">
        <v>0</v>
      </c>
      <c r="Z459" s="2">
        <v>175</v>
      </c>
      <c r="AA459">
        <v>1</v>
      </c>
      <c r="AB459" s="3">
        <v>1</v>
      </c>
      <c r="AC459" s="2">
        <v>175</v>
      </c>
      <c r="AD459" s="3">
        <v>0</v>
      </c>
      <c r="AE459" s="2">
        <v>0</v>
      </c>
      <c r="AF459" s="2">
        <v>175</v>
      </c>
      <c r="AK459">
        <v>6060154</v>
      </c>
    </row>
    <row r="460" spans="1:38" x14ac:dyDescent="0.25">
      <c r="A460" s="1">
        <v>46008</v>
      </c>
      <c r="B460" s="1">
        <v>46008</v>
      </c>
      <c r="C460" t="s">
        <v>38</v>
      </c>
      <c r="D460" t="s">
        <v>39</v>
      </c>
      <c r="E460" t="s">
        <v>40</v>
      </c>
      <c r="F460" t="s">
        <v>41</v>
      </c>
      <c r="G460" t="s">
        <v>42</v>
      </c>
      <c r="H460" t="s">
        <v>43</v>
      </c>
      <c r="I460" t="s">
        <v>1164</v>
      </c>
      <c r="J460" t="s">
        <v>1165</v>
      </c>
      <c r="M460" t="s">
        <v>61</v>
      </c>
      <c r="O460" t="s">
        <v>115</v>
      </c>
      <c r="P460" t="s">
        <v>116</v>
      </c>
      <c r="Q460" t="s">
        <v>49</v>
      </c>
      <c r="R460" t="s">
        <v>1023</v>
      </c>
      <c r="S460" s="1">
        <v>46023</v>
      </c>
      <c r="U460" t="s">
        <v>51</v>
      </c>
      <c r="X460" t="s">
        <v>52</v>
      </c>
      <c r="Y460" s="2">
        <v>0</v>
      </c>
      <c r="Z460" s="2">
        <v>72</v>
      </c>
      <c r="AA460">
        <v>1</v>
      </c>
      <c r="AB460" s="3">
        <v>1</v>
      </c>
      <c r="AC460" s="2">
        <v>72</v>
      </c>
      <c r="AD460" s="3">
        <v>0</v>
      </c>
      <c r="AE460" s="2">
        <v>0</v>
      </c>
      <c r="AF460" s="2">
        <v>72</v>
      </c>
      <c r="AK460">
        <v>6059911</v>
      </c>
      <c r="AL460" t="s">
        <v>1024</v>
      </c>
    </row>
    <row r="461" spans="1:38" x14ac:dyDescent="0.25">
      <c r="A461" s="1">
        <v>46008</v>
      </c>
      <c r="B461" s="1">
        <v>46008</v>
      </c>
      <c r="C461" t="s">
        <v>38</v>
      </c>
      <c r="D461" t="s">
        <v>39</v>
      </c>
      <c r="E461" t="s">
        <v>40</v>
      </c>
      <c r="F461" t="s">
        <v>41</v>
      </c>
      <c r="G461" t="s">
        <v>42</v>
      </c>
      <c r="H461" t="s">
        <v>43</v>
      </c>
      <c r="I461" t="s">
        <v>1166</v>
      </c>
      <c r="J461" t="s">
        <v>1167</v>
      </c>
      <c r="M461" t="s">
        <v>491</v>
      </c>
      <c r="O461" t="s">
        <v>763</v>
      </c>
      <c r="P461" t="s">
        <v>764</v>
      </c>
      <c r="Q461" t="s">
        <v>49</v>
      </c>
      <c r="R461" t="s">
        <v>1054</v>
      </c>
      <c r="S461" s="1">
        <v>46023</v>
      </c>
      <c r="U461" t="s">
        <v>51</v>
      </c>
      <c r="X461" t="s">
        <v>52</v>
      </c>
      <c r="Y461" s="2">
        <v>0</v>
      </c>
      <c r="Z461" s="2">
        <v>50</v>
      </c>
      <c r="AA461">
        <v>1</v>
      </c>
      <c r="AB461" s="3">
        <v>1</v>
      </c>
      <c r="AC461" s="2">
        <v>50</v>
      </c>
      <c r="AD461" s="3">
        <v>0</v>
      </c>
      <c r="AE461" s="2">
        <v>0</v>
      </c>
      <c r="AF461" s="2">
        <v>50</v>
      </c>
      <c r="AK461">
        <v>6059763</v>
      </c>
      <c r="AL461" t="s">
        <v>1024</v>
      </c>
    </row>
    <row r="462" spans="1:38" x14ac:dyDescent="0.25">
      <c r="A462" s="1">
        <v>46008</v>
      </c>
      <c r="B462" s="1">
        <v>46008</v>
      </c>
      <c r="C462" t="s">
        <v>38</v>
      </c>
      <c r="D462" t="s">
        <v>39</v>
      </c>
      <c r="E462" t="s">
        <v>40</v>
      </c>
      <c r="F462" t="s">
        <v>41</v>
      </c>
      <c r="G462" t="s">
        <v>42</v>
      </c>
      <c r="H462" t="s">
        <v>43</v>
      </c>
      <c r="I462" t="s">
        <v>1168</v>
      </c>
      <c r="J462" t="s">
        <v>1169</v>
      </c>
      <c r="M462" t="s">
        <v>217</v>
      </c>
      <c r="O462" t="s">
        <v>218</v>
      </c>
      <c r="P462" t="s">
        <v>219</v>
      </c>
      <c r="Q462" t="s">
        <v>49</v>
      </c>
      <c r="R462" t="s">
        <v>1023</v>
      </c>
      <c r="S462" s="1">
        <v>46023</v>
      </c>
      <c r="U462" t="s">
        <v>51</v>
      </c>
      <c r="X462" t="s">
        <v>52</v>
      </c>
      <c r="Y462" s="2">
        <v>0</v>
      </c>
      <c r="Z462" s="2">
        <v>72</v>
      </c>
      <c r="AA462">
        <v>1</v>
      </c>
      <c r="AB462" s="3">
        <v>1</v>
      </c>
      <c r="AC462" s="2">
        <v>72</v>
      </c>
      <c r="AD462" s="3">
        <v>0</v>
      </c>
      <c r="AE462" s="2">
        <v>0</v>
      </c>
      <c r="AF462" s="2">
        <v>72</v>
      </c>
      <c r="AK462">
        <v>6059912</v>
      </c>
      <c r="AL462" t="s">
        <v>1024</v>
      </c>
    </row>
    <row r="463" spans="1:38" x14ac:dyDescent="0.25">
      <c r="A463" s="1">
        <v>46008</v>
      </c>
      <c r="B463" s="1">
        <v>46008</v>
      </c>
      <c r="C463" t="s">
        <v>38</v>
      </c>
      <c r="D463" t="s">
        <v>39</v>
      </c>
      <c r="E463" t="s">
        <v>40</v>
      </c>
      <c r="F463" t="s">
        <v>41</v>
      </c>
      <c r="G463" t="s">
        <v>42</v>
      </c>
      <c r="H463" t="s">
        <v>43</v>
      </c>
      <c r="I463" t="s">
        <v>1170</v>
      </c>
      <c r="J463" t="s">
        <v>1171</v>
      </c>
      <c r="M463" t="s">
        <v>46</v>
      </c>
      <c r="O463" t="s">
        <v>430</v>
      </c>
      <c r="P463" t="s">
        <v>431</v>
      </c>
      <c r="Q463" t="s">
        <v>49</v>
      </c>
      <c r="R463" t="s">
        <v>1023</v>
      </c>
      <c r="S463" s="1">
        <v>46023</v>
      </c>
      <c r="U463" t="s">
        <v>51</v>
      </c>
      <c r="X463" t="s">
        <v>52</v>
      </c>
      <c r="Y463" s="2">
        <v>0</v>
      </c>
      <c r="Z463" s="2">
        <v>72</v>
      </c>
      <c r="AA463">
        <v>1</v>
      </c>
      <c r="AB463" s="3">
        <v>1</v>
      </c>
      <c r="AC463" s="2">
        <v>72</v>
      </c>
      <c r="AD463" s="3">
        <v>0</v>
      </c>
      <c r="AE463" s="2">
        <v>0</v>
      </c>
      <c r="AF463" s="2">
        <v>72</v>
      </c>
      <c r="AK463">
        <v>6059913</v>
      </c>
      <c r="AL463" t="s">
        <v>1024</v>
      </c>
    </row>
    <row r="464" spans="1:38" x14ac:dyDescent="0.25">
      <c r="A464" s="1">
        <v>46008</v>
      </c>
      <c r="B464" s="1">
        <v>46008</v>
      </c>
      <c r="C464" t="s">
        <v>38</v>
      </c>
      <c r="D464" t="s">
        <v>39</v>
      </c>
      <c r="E464" t="s">
        <v>40</v>
      </c>
      <c r="F464" t="s">
        <v>41</v>
      </c>
      <c r="G464" t="s">
        <v>42</v>
      </c>
      <c r="H464" t="s">
        <v>43</v>
      </c>
      <c r="I464" t="s">
        <v>1172</v>
      </c>
      <c r="J464" t="s">
        <v>1173</v>
      </c>
      <c r="M464" t="s">
        <v>217</v>
      </c>
      <c r="O464" t="s">
        <v>218</v>
      </c>
      <c r="P464" t="s">
        <v>219</v>
      </c>
      <c r="Q464" t="s">
        <v>49</v>
      </c>
      <c r="R464" t="s">
        <v>1023</v>
      </c>
      <c r="S464" s="1">
        <v>46023</v>
      </c>
      <c r="U464" t="s">
        <v>51</v>
      </c>
      <c r="X464" t="s">
        <v>52</v>
      </c>
      <c r="Y464" s="2">
        <v>0</v>
      </c>
      <c r="Z464" s="2">
        <v>72</v>
      </c>
      <c r="AA464">
        <v>1</v>
      </c>
      <c r="AB464" s="3">
        <v>1</v>
      </c>
      <c r="AC464" s="2">
        <v>72</v>
      </c>
      <c r="AD464" s="3">
        <v>0</v>
      </c>
      <c r="AE464" s="2">
        <v>0</v>
      </c>
      <c r="AF464" s="2">
        <v>72</v>
      </c>
      <c r="AK464">
        <v>6059914</v>
      </c>
      <c r="AL464" t="s">
        <v>1024</v>
      </c>
    </row>
    <row r="465" spans="1:37" x14ac:dyDescent="0.25">
      <c r="A465" s="1">
        <v>46008</v>
      </c>
      <c r="B465" s="1">
        <v>46008</v>
      </c>
      <c r="C465" t="s">
        <v>38</v>
      </c>
      <c r="D465" t="s">
        <v>39</v>
      </c>
      <c r="E465" t="s">
        <v>40</v>
      </c>
      <c r="F465" t="s">
        <v>41</v>
      </c>
      <c r="G465" t="s">
        <v>42</v>
      </c>
      <c r="H465" t="s">
        <v>43</v>
      </c>
      <c r="I465" t="s">
        <v>1174</v>
      </c>
      <c r="J465" t="s">
        <v>1175</v>
      </c>
      <c r="M465" t="s">
        <v>491</v>
      </c>
      <c r="O465" t="s">
        <v>607</v>
      </c>
      <c r="P465" t="s">
        <v>608</v>
      </c>
      <c r="Q465" t="s">
        <v>49</v>
      </c>
      <c r="R465" t="s">
        <v>1176</v>
      </c>
      <c r="S465" s="1">
        <v>46023</v>
      </c>
      <c r="U465" t="s">
        <v>51</v>
      </c>
      <c r="X465" t="s">
        <v>52</v>
      </c>
      <c r="Y465" s="2">
        <v>0</v>
      </c>
      <c r="Z465" s="2">
        <v>36</v>
      </c>
      <c r="AA465">
        <v>9</v>
      </c>
      <c r="AB465" s="3">
        <v>1</v>
      </c>
      <c r="AC465" s="2">
        <v>324</v>
      </c>
      <c r="AD465" s="3">
        <v>0</v>
      </c>
      <c r="AE465" s="2">
        <v>0</v>
      </c>
      <c r="AF465" s="2">
        <v>324</v>
      </c>
      <c r="AK465">
        <v>6059024</v>
      </c>
    </row>
    <row r="466" spans="1:37" x14ac:dyDescent="0.25">
      <c r="A466" s="1">
        <v>46008</v>
      </c>
      <c r="B466" s="1">
        <v>46008</v>
      </c>
      <c r="C466" t="s">
        <v>38</v>
      </c>
      <c r="D466" t="s">
        <v>39</v>
      </c>
      <c r="E466" t="s">
        <v>40</v>
      </c>
      <c r="F466" t="s">
        <v>41</v>
      </c>
      <c r="G466" t="s">
        <v>42</v>
      </c>
      <c r="H466" t="s">
        <v>43</v>
      </c>
      <c r="I466" t="s">
        <v>1177</v>
      </c>
      <c r="J466" t="s">
        <v>1178</v>
      </c>
      <c r="M466" t="s">
        <v>491</v>
      </c>
      <c r="O466" t="s">
        <v>492</v>
      </c>
      <c r="P466" t="s">
        <v>493</v>
      </c>
      <c r="Q466" t="s">
        <v>49</v>
      </c>
      <c r="R466" t="s">
        <v>1176</v>
      </c>
      <c r="S466" s="1">
        <v>46023</v>
      </c>
      <c r="U466" t="s">
        <v>51</v>
      </c>
      <c r="X466" t="s">
        <v>52</v>
      </c>
      <c r="Y466" s="2">
        <v>0</v>
      </c>
      <c r="Z466" s="2">
        <v>36</v>
      </c>
      <c r="AA466">
        <v>9</v>
      </c>
      <c r="AB466" s="3">
        <v>1</v>
      </c>
      <c r="AC466" s="2">
        <v>324</v>
      </c>
      <c r="AD466" s="3">
        <v>0</v>
      </c>
      <c r="AE466" s="2">
        <v>0</v>
      </c>
      <c r="AF466" s="2">
        <v>324</v>
      </c>
      <c r="AK466">
        <v>6059023</v>
      </c>
    </row>
    <row r="467" spans="1:37" s="14" customFormat="1" x14ac:dyDescent="0.25">
      <c r="A467" s="15">
        <v>46008</v>
      </c>
      <c r="B467" s="15">
        <v>46008</v>
      </c>
      <c r="C467" s="14" t="s">
        <v>38</v>
      </c>
      <c r="D467" s="14" t="s">
        <v>39</v>
      </c>
      <c r="E467" s="14" t="s">
        <v>40</v>
      </c>
      <c r="F467" s="14" t="s">
        <v>41</v>
      </c>
      <c r="G467" s="14" t="s">
        <v>42</v>
      </c>
      <c r="H467" s="14" t="s">
        <v>43</v>
      </c>
      <c r="I467" s="14" t="s">
        <v>1179</v>
      </c>
      <c r="J467" s="14" t="s">
        <v>1180</v>
      </c>
      <c r="M467" s="14" t="s">
        <v>805</v>
      </c>
      <c r="O467" s="14" t="s">
        <v>502</v>
      </c>
      <c r="P467" s="14" t="s">
        <v>503</v>
      </c>
      <c r="Q467" s="14" t="s">
        <v>49</v>
      </c>
      <c r="R467" s="14" t="s">
        <v>1181</v>
      </c>
      <c r="S467" s="15">
        <v>46023</v>
      </c>
      <c r="U467" s="14" t="s">
        <v>51</v>
      </c>
      <c r="X467" s="14" t="s">
        <v>52</v>
      </c>
      <c r="Y467" s="16">
        <v>0</v>
      </c>
      <c r="Z467" s="16">
        <v>4.8499999999999996</v>
      </c>
      <c r="AA467" s="14">
        <v>9</v>
      </c>
      <c r="AB467" s="18">
        <v>1</v>
      </c>
      <c r="AC467" s="16">
        <v>43.65</v>
      </c>
      <c r="AD467" s="18">
        <v>0</v>
      </c>
      <c r="AE467" s="16">
        <v>0</v>
      </c>
      <c r="AF467" s="16">
        <v>43.65</v>
      </c>
      <c r="AK467" s="14">
        <v>6059022</v>
      </c>
    </row>
    <row r="468" spans="1:37" x14ac:dyDescent="0.25">
      <c r="A468" s="1">
        <v>46008</v>
      </c>
      <c r="B468" s="1">
        <v>46008</v>
      </c>
      <c r="C468" t="s">
        <v>38</v>
      </c>
      <c r="D468" t="s">
        <v>39</v>
      </c>
      <c r="E468" t="s">
        <v>40</v>
      </c>
      <c r="F468" t="s">
        <v>41</v>
      </c>
      <c r="G468" t="s">
        <v>42</v>
      </c>
      <c r="H468" t="s">
        <v>43</v>
      </c>
      <c r="I468" t="s">
        <v>1182</v>
      </c>
      <c r="J468" t="s">
        <v>1183</v>
      </c>
      <c r="M468" t="s">
        <v>46</v>
      </c>
      <c r="O468" t="s">
        <v>353</v>
      </c>
      <c r="P468" t="s">
        <v>354</v>
      </c>
      <c r="Q468" t="s">
        <v>49</v>
      </c>
      <c r="R468" t="s">
        <v>1184</v>
      </c>
      <c r="S468" s="1">
        <v>46023</v>
      </c>
      <c r="U468" t="s">
        <v>51</v>
      </c>
      <c r="X468" t="s">
        <v>52</v>
      </c>
      <c r="Y468" s="2">
        <v>0</v>
      </c>
      <c r="Z468" s="2">
        <v>31.5</v>
      </c>
      <c r="AA468">
        <v>9</v>
      </c>
      <c r="AB468" s="3">
        <v>1</v>
      </c>
      <c r="AC468" s="2">
        <v>283.5</v>
      </c>
      <c r="AD468" s="3">
        <v>0</v>
      </c>
      <c r="AE468" s="2">
        <v>0</v>
      </c>
      <c r="AF468" s="2">
        <v>283.5</v>
      </c>
      <c r="AK468">
        <v>6059021</v>
      </c>
    </row>
    <row r="469" spans="1:37" x14ac:dyDescent="0.25">
      <c r="A469" s="1">
        <v>46008</v>
      </c>
      <c r="B469" s="1">
        <v>46008</v>
      </c>
      <c r="C469" t="s">
        <v>38</v>
      </c>
      <c r="D469" t="s">
        <v>39</v>
      </c>
      <c r="E469" t="s">
        <v>40</v>
      </c>
      <c r="F469" t="s">
        <v>41</v>
      </c>
      <c r="G469" t="s">
        <v>42</v>
      </c>
      <c r="H469" t="s">
        <v>43</v>
      </c>
      <c r="I469" t="s">
        <v>1185</v>
      </c>
      <c r="J469" t="s">
        <v>1186</v>
      </c>
      <c r="M469" t="s">
        <v>46</v>
      </c>
      <c r="O469" t="s">
        <v>353</v>
      </c>
      <c r="P469" t="s">
        <v>354</v>
      </c>
      <c r="Q469" t="s">
        <v>49</v>
      </c>
      <c r="R469" t="s">
        <v>1184</v>
      </c>
      <c r="S469" s="1">
        <v>46023</v>
      </c>
      <c r="U469" t="s">
        <v>51</v>
      </c>
      <c r="X469" t="s">
        <v>52</v>
      </c>
      <c r="Y469" s="2">
        <v>0</v>
      </c>
      <c r="Z469" s="2">
        <v>31.5</v>
      </c>
      <c r="AA469">
        <v>9</v>
      </c>
      <c r="AB469" s="3">
        <v>1</v>
      </c>
      <c r="AC469" s="2">
        <v>283.5</v>
      </c>
      <c r="AD469" s="3">
        <v>0</v>
      </c>
      <c r="AE469" s="2">
        <v>0</v>
      </c>
      <c r="AF469" s="2">
        <v>283.5</v>
      </c>
      <c r="AK469">
        <v>6059020</v>
      </c>
    </row>
    <row r="470" spans="1:37" s="14" customFormat="1" x14ac:dyDescent="0.25">
      <c r="A470" s="15">
        <v>46008</v>
      </c>
      <c r="B470" s="15">
        <v>46008</v>
      </c>
      <c r="C470" s="14" t="s">
        <v>38</v>
      </c>
      <c r="D470" s="14" t="s">
        <v>39</v>
      </c>
      <c r="E470" s="14" t="s">
        <v>40</v>
      </c>
      <c r="F470" s="14" t="s">
        <v>41</v>
      </c>
      <c r="G470" s="14" t="s">
        <v>42</v>
      </c>
      <c r="H470" s="14" t="s">
        <v>43</v>
      </c>
      <c r="I470" s="14" t="s">
        <v>1187</v>
      </c>
      <c r="J470" s="14" t="s">
        <v>1188</v>
      </c>
      <c r="M470" s="14" t="s">
        <v>46</v>
      </c>
      <c r="O470" s="14" t="s">
        <v>353</v>
      </c>
      <c r="P470" s="14" t="s">
        <v>354</v>
      </c>
      <c r="Q470" s="14" t="s">
        <v>49</v>
      </c>
      <c r="R470" s="14" t="s">
        <v>1189</v>
      </c>
      <c r="S470" s="15">
        <v>46054</v>
      </c>
      <c r="U470" s="14" t="s">
        <v>51</v>
      </c>
      <c r="X470" s="14" t="s">
        <v>52</v>
      </c>
      <c r="Y470" s="16">
        <v>0</v>
      </c>
      <c r="Z470" s="16">
        <v>9.83</v>
      </c>
      <c r="AA470" s="14">
        <v>9</v>
      </c>
      <c r="AB470" s="18">
        <v>1</v>
      </c>
      <c r="AC470" s="16">
        <v>88.47</v>
      </c>
      <c r="AD470" s="18">
        <v>0</v>
      </c>
      <c r="AE470" s="16">
        <v>0</v>
      </c>
      <c r="AF470" s="16">
        <v>88.47</v>
      </c>
      <c r="AK470" s="14">
        <v>6059019</v>
      </c>
    </row>
    <row r="471" spans="1:37" x14ac:dyDescent="0.25">
      <c r="A471" s="1">
        <v>46008</v>
      </c>
      <c r="B471" s="1">
        <v>46008</v>
      </c>
      <c r="C471" t="s">
        <v>38</v>
      </c>
      <c r="D471" t="s">
        <v>39</v>
      </c>
      <c r="E471" t="s">
        <v>40</v>
      </c>
      <c r="F471" t="s">
        <v>41</v>
      </c>
      <c r="G471" t="s">
        <v>42</v>
      </c>
      <c r="H471" t="s">
        <v>43</v>
      </c>
      <c r="I471" t="s">
        <v>1190</v>
      </c>
      <c r="J471" t="s">
        <v>1191</v>
      </c>
      <c r="M471" t="s">
        <v>217</v>
      </c>
      <c r="O471" t="s">
        <v>340</v>
      </c>
      <c r="P471" t="s">
        <v>341</v>
      </c>
      <c r="Q471" t="s">
        <v>49</v>
      </c>
      <c r="R471" t="s">
        <v>1192</v>
      </c>
      <c r="S471" s="1">
        <v>46023</v>
      </c>
      <c r="U471" t="s">
        <v>51</v>
      </c>
      <c r="X471" t="s">
        <v>52</v>
      </c>
      <c r="Y471" s="2">
        <v>0</v>
      </c>
      <c r="Z471" s="2">
        <v>21</v>
      </c>
      <c r="AA471">
        <v>9</v>
      </c>
      <c r="AB471" s="3">
        <v>1</v>
      </c>
      <c r="AC471" s="2">
        <v>189</v>
      </c>
      <c r="AD471" s="3">
        <v>0</v>
      </c>
      <c r="AE471" s="2">
        <v>0</v>
      </c>
      <c r="AF471" s="2">
        <v>189</v>
      </c>
      <c r="AK471">
        <v>6059018</v>
      </c>
    </row>
    <row r="472" spans="1:37" x14ac:dyDescent="0.25">
      <c r="A472" s="1">
        <v>46008</v>
      </c>
      <c r="B472" s="1">
        <v>46008</v>
      </c>
      <c r="C472" t="s">
        <v>38</v>
      </c>
      <c r="D472" t="s">
        <v>39</v>
      </c>
      <c r="E472" t="s">
        <v>40</v>
      </c>
      <c r="F472" t="s">
        <v>41</v>
      </c>
      <c r="G472" t="s">
        <v>42</v>
      </c>
      <c r="H472" t="s">
        <v>43</v>
      </c>
      <c r="I472" t="s">
        <v>1193</v>
      </c>
      <c r="J472" t="s">
        <v>1194</v>
      </c>
      <c r="M472" t="s">
        <v>46</v>
      </c>
      <c r="O472" t="s">
        <v>430</v>
      </c>
      <c r="P472" t="s">
        <v>431</v>
      </c>
      <c r="Q472" t="s">
        <v>49</v>
      </c>
      <c r="R472" t="s">
        <v>964</v>
      </c>
      <c r="S472" s="1">
        <v>46023</v>
      </c>
      <c r="U472" t="s">
        <v>51</v>
      </c>
      <c r="X472" t="s">
        <v>52</v>
      </c>
      <c r="Y472" s="2">
        <v>0</v>
      </c>
      <c r="Z472" s="2">
        <v>25</v>
      </c>
      <c r="AA472">
        <v>1</v>
      </c>
      <c r="AB472" s="3">
        <v>1</v>
      </c>
      <c r="AC472" s="2">
        <v>25</v>
      </c>
      <c r="AD472" s="3">
        <v>0</v>
      </c>
      <c r="AE472" s="2">
        <v>0</v>
      </c>
      <c r="AF472" s="2">
        <v>25</v>
      </c>
      <c r="AK472">
        <v>6057373</v>
      </c>
    </row>
    <row r="473" spans="1:37" x14ac:dyDescent="0.25">
      <c r="A473" s="1">
        <v>46008</v>
      </c>
      <c r="B473" s="1">
        <v>46008</v>
      </c>
      <c r="C473" t="s">
        <v>38</v>
      </c>
      <c r="D473" t="s">
        <v>39</v>
      </c>
      <c r="E473" t="s">
        <v>40</v>
      </c>
      <c r="F473" t="s">
        <v>41</v>
      </c>
      <c r="G473" t="s">
        <v>42</v>
      </c>
      <c r="H473" t="s">
        <v>43</v>
      </c>
      <c r="I473" t="s">
        <v>1195</v>
      </c>
      <c r="J473" t="s">
        <v>1196</v>
      </c>
      <c r="M473" t="s">
        <v>46</v>
      </c>
      <c r="O473" t="s">
        <v>328</v>
      </c>
      <c r="P473" t="s">
        <v>329</v>
      </c>
      <c r="Q473" t="s">
        <v>49</v>
      </c>
      <c r="R473" t="s">
        <v>964</v>
      </c>
      <c r="S473" s="1">
        <v>46023</v>
      </c>
      <c r="U473" t="s">
        <v>51</v>
      </c>
      <c r="X473" t="s">
        <v>52</v>
      </c>
      <c r="Y473" s="2">
        <v>0</v>
      </c>
      <c r="Z473" s="2">
        <v>25</v>
      </c>
      <c r="AA473">
        <v>1</v>
      </c>
      <c r="AB473" s="3">
        <v>1</v>
      </c>
      <c r="AC473" s="2">
        <v>25</v>
      </c>
      <c r="AD473" s="3">
        <v>0</v>
      </c>
      <c r="AE473" s="2">
        <v>0</v>
      </c>
      <c r="AF473" s="2">
        <v>25</v>
      </c>
      <c r="AK473">
        <v>6057370</v>
      </c>
    </row>
    <row r="474" spans="1:37" x14ac:dyDescent="0.25">
      <c r="A474" s="1">
        <v>46008</v>
      </c>
      <c r="B474" s="1">
        <v>46008</v>
      </c>
      <c r="C474" t="s">
        <v>38</v>
      </c>
      <c r="D474" t="s">
        <v>39</v>
      </c>
      <c r="E474" t="s">
        <v>40</v>
      </c>
      <c r="F474" t="s">
        <v>41</v>
      </c>
      <c r="G474" t="s">
        <v>42</v>
      </c>
      <c r="H474" t="s">
        <v>43</v>
      </c>
      <c r="I474" t="s">
        <v>1197</v>
      </c>
      <c r="J474" t="s">
        <v>1198</v>
      </c>
      <c r="M474" t="s">
        <v>189</v>
      </c>
      <c r="O474" t="s">
        <v>115</v>
      </c>
      <c r="P474" t="s">
        <v>116</v>
      </c>
      <c r="Q474" t="s">
        <v>49</v>
      </c>
      <c r="R474" t="s">
        <v>964</v>
      </c>
      <c r="S474" s="1">
        <v>46023</v>
      </c>
      <c r="U474" t="s">
        <v>51</v>
      </c>
      <c r="X474" t="s">
        <v>52</v>
      </c>
      <c r="Y474" s="2">
        <v>0</v>
      </c>
      <c r="Z474" s="2">
        <v>25</v>
      </c>
      <c r="AA474">
        <v>1</v>
      </c>
      <c r="AB474" s="3">
        <v>1</v>
      </c>
      <c r="AC474" s="2">
        <v>25</v>
      </c>
      <c r="AD474" s="3">
        <v>0</v>
      </c>
      <c r="AE474" s="2">
        <v>0</v>
      </c>
      <c r="AF474" s="2">
        <v>25</v>
      </c>
      <c r="AK474">
        <v>6057350</v>
      </c>
    </row>
    <row r="475" spans="1:37" x14ac:dyDescent="0.25">
      <c r="A475" s="1">
        <v>46008</v>
      </c>
      <c r="B475" s="1">
        <v>46008</v>
      </c>
      <c r="C475" t="s">
        <v>38</v>
      </c>
      <c r="D475" t="s">
        <v>39</v>
      </c>
      <c r="E475" t="s">
        <v>40</v>
      </c>
      <c r="F475" t="s">
        <v>41</v>
      </c>
      <c r="G475" t="s">
        <v>42</v>
      </c>
      <c r="H475" t="s">
        <v>43</v>
      </c>
      <c r="I475" t="s">
        <v>1199</v>
      </c>
      <c r="J475" t="s">
        <v>1200</v>
      </c>
      <c r="M475" t="s">
        <v>46</v>
      </c>
      <c r="O475" t="s">
        <v>47</v>
      </c>
      <c r="P475" t="s">
        <v>48</v>
      </c>
      <c r="Q475" t="s">
        <v>49</v>
      </c>
      <c r="R475" t="s">
        <v>964</v>
      </c>
      <c r="S475" s="1">
        <v>46023</v>
      </c>
      <c r="U475" t="s">
        <v>51</v>
      </c>
      <c r="X475" t="s">
        <v>52</v>
      </c>
      <c r="Y475" s="2">
        <v>0</v>
      </c>
      <c r="Z475" s="2">
        <v>25</v>
      </c>
      <c r="AA475">
        <v>1</v>
      </c>
      <c r="AB475" s="3">
        <v>1</v>
      </c>
      <c r="AC475" s="2">
        <v>25</v>
      </c>
      <c r="AD475" s="3">
        <v>0</v>
      </c>
      <c r="AE475" s="2">
        <v>0</v>
      </c>
      <c r="AF475" s="2">
        <v>25</v>
      </c>
      <c r="AK475">
        <v>6057347</v>
      </c>
    </row>
    <row r="476" spans="1:37" x14ac:dyDescent="0.25">
      <c r="A476" s="1">
        <v>46008</v>
      </c>
      <c r="B476" s="1">
        <v>46008</v>
      </c>
      <c r="C476" t="s">
        <v>1201</v>
      </c>
      <c r="D476" t="s">
        <v>39</v>
      </c>
      <c r="E476" t="s">
        <v>40</v>
      </c>
      <c r="F476" t="s">
        <v>41</v>
      </c>
      <c r="G476" t="s">
        <v>42</v>
      </c>
      <c r="H476" t="s">
        <v>43</v>
      </c>
      <c r="I476" t="s">
        <v>1202</v>
      </c>
      <c r="J476" t="s">
        <v>1203</v>
      </c>
      <c r="M476" t="s">
        <v>46</v>
      </c>
      <c r="O476" t="s">
        <v>83</v>
      </c>
      <c r="P476" t="s">
        <v>84</v>
      </c>
      <c r="Q476" t="s">
        <v>1204</v>
      </c>
      <c r="R476" t="s">
        <v>58</v>
      </c>
      <c r="S476" s="1">
        <v>46023</v>
      </c>
      <c r="U476" t="s">
        <v>51</v>
      </c>
      <c r="X476" t="s">
        <v>52</v>
      </c>
      <c r="AF476" s="2">
        <v>175</v>
      </c>
      <c r="AG476" s="2">
        <v>0</v>
      </c>
      <c r="AJ476" s="2">
        <v>175</v>
      </c>
    </row>
    <row r="477" spans="1:37" x14ac:dyDescent="0.25">
      <c r="A477" s="1">
        <v>46008</v>
      </c>
      <c r="B477" s="1">
        <v>46008</v>
      </c>
      <c r="C477" t="s">
        <v>1201</v>
      </c>
      <c r="D477" t="s">
        <v>39</v>
      </c>
      <c r="E477" t="s">
        <v>40</v>
      </c>
      <c r="F477" t="s">
        <v>41</v>
      </c>
      <c r="G477" t="s">
        <v>42</v>
      </c>
      <c r="H477" t="s">
        <v>43</v>
      </c>
      <c r="I477" t="s">
        <v>1205</v>
      </c>
      <c r="J477" t="s">
        <v>1206</v>
      </c>
      <c r="M477" t="s">
        <v>46</v>
      </c>
      <c r="O477" t="s">
        <v>100</v>
      </c>
      <c r="P477" t="s">
        <v>101</v>
      </c>
      <c r="Q477" t="s">
        <v>1204</v>
      </c>
      <c r="R477" t="s">
        <v>58</v>
      </c>
      <c r="S477" s="1">
        <v>45931</v>
      </c>
      <c r="U477" t="s">
        <v>51</v>
      </c>
      <c r="X477" t="s">
        <v>52</v>
      </c>
      <c r="AF477" s="2">
        <v>175</v>
      </c>
      <c r="AG477" s="2">
        <v>0</v>
      </c>
      <c r="AJ477" s="2">
        <v>145.25</v>
      </c>
    </row>
    <row r="478" spans="1:37" x14ac:dyDescent="0.25">
      <c r="A478" s="1">
        <v>46008</v>
      </c>
      <c r="B478" s="1">
        <v>46008</v>
      </c>
      <c r="C478" t="s">
        <v>1201</v>
      </c>
      <c r="D478" t="s">
        <v>39</v>
      </c>
      <c r="E478" t="s">
        <v>40</v>
      </c>
      <c r="F478" t="s">
        <v>41</v>
      </c>
      <c r="G478" t="s">
        <v>42</v>
      </c>
      <c r="H478" t="s">
        <v>43</v>
      </c>
      <c r="I478" t="s">
        <v>1207</v>
      </c>
      <c r="J478" t="s">
        <v>1208</v>
      </c>
      <c r="M478" t="s">
        <v>46</v>
      </c>
      <c r="O478" t="s">
        <v>66</v>
      </c>
      <c r="P478" t="s">
        <v>67</v>
      </c>
      <c r="Q478" t="s">
        <v>1204</v>
      </c>
      <c r="R478" t="s">
        <v>58</v>
      </c>
      <c r="S478" s="1">
        <v>46023</v>
      </c>
      <c r="U478" t="s">
        <v>51</v>
      </c>
      <c r="X478" t="s">
        <v>52</v>
      </c>
      <c r="AF478" s="2">
        <v>175</v>
      </c>
      <c r="AG478" s="2">
        <v>0</v>
      </c>
      <c r="AJ478" s="2">
        <v>175</v>
      </c>
    </row>
    <row r="479" spans="1:37" x14ac:dyDescent="0.25">
      <c r="A479" s="1">
        <v>46008</v>
      </c>
      <c r="B479" s="1">
        <v>46008</v>
      </c>
      <c r="C479" t="s">
        <v>1201</v>
      </c>
      <c r="D479" t="s">
        <v>39</v>
      </c>
      <c r="E479" t="s">
        <v>40</v>
      </c>
      <c r="F479" t="s">
        <v>41</v>
      </c>
      <c r="G479" t="s">
        <v>42</v>
      </c>
      <c r="H479" t="s">
        <v>43</v>
      </c>
      <c r="I479" t="s">
        <v>1209</v>
      </c>
      <c r="J479" t="s">
        <v>1210</v>
      </c>
      <c r="M479" t="s">
        <v>403</v>
      </c>
      <c r="O479" t="s">
        <v>635</v>
      </c>
      <c r="P479" t="s">
        <v>636</v>
      </c>
      <c r="Q479" t="s">
        <v>1204</v>
      </c>
      <c r="R479" t="s">
        <v>58</v>
      </c>
      <c r="S479" s="1">
        <v>46023</v>
      </c>
      <c r="U479" t="s">
        <v>51</v>
      </c>
      <c r="X479" t="s">
        <v>52</v>
      </c>
      <c r="AF479" s="2">
        <v>175</v>
      </c>
      <c r="AG479" s="2">
        <v>0</v>
      </c>
      <c r="AJ479" s="2">
        <v>175</v>
      </c>
    </row>
    <row r="480" spans="1:37" x14ac:dyDescent="0.25">
      <c r="A480" s="1">
        <v>46008</v>
      </c>
      <c r="B480" s="1">
        <v>46008</v>
      </c>
      <c r="C480" t="s">
        <v>1201</v>
      </c>
      <c r="D480" t="s">
        <v>39</v>
      </c>
      <c r="E480" t="s">
        <v>40</v>
      </c>
      <c r="F480" t="s">
        <v>41</v>
      </c>
      <c r="G480" t="s">
        <v>42</v>
      </c>
      <c r="H480" t="s">
        <v>43</v>
      </c>
      <c r="I480" t="s">
        <v>1211</v>
      </c>
      <c r="J480" t="s">
        <v>335</v>
      </c>
      <c r="M480" t="s">
        <v>55</v>
      </c>
      <c r="O480" t="s">
        <v>47</v>
      </c>
      <c r="P480" t="s">
        <v>48</v>
      </c>
      <c r="Q480" t="s">
        <v>1204</v>
      </c>
      <c r="R480" t="s">
        <v>50</v>
      </c>
      <c r="S480" s="1">
        <v>45931</v>
      </c>
      <c r="U480" t="s">
        <v>51</v>
      </c>
      <c r="X480" t="s">
        <v>52</v>
      </c>
      <c r="AF480" s="2">
        <v>108</v>
      </c>
      <c r="AG480" s="2">
        <v>0</v>
      </c>
      <c r="AJ480" s="2">
        <v>89.64</v>
      </c>
    </row>
    <row r="481" spans="1:36" x14ac:dyDescent="0.25">
      <c r="A481" s="1">
        <v>46008</v>
      </c>
      <c r="B481" s="1">
        <v>46008</v>
      </c>
      <c r="C481" t="s">
        <v>1201</v>
      </c>
      <c r="D481" t="s">
        <v>39</v>
      </c>
      <c r="E481" t="s">
        <v>40</v>
      </c>
      <c r="F481" t="s">
        <v>41</v>
      </c>
      <c r="G481" t="s">
        <v>42</v>
      </c>
      <c r="H481" t="s">
        <v>43</v>
      </c>
      <c r="I481" t="s">
        <v>1212</v>
      </c>
      <c r="J481" t="s">
        <v>1213</v>
      </c>
      <c r="M481" t="s">
        <v>155</v>
      </c>
      <c r="O481" t="s">
        <v>995</v>
      </c>
      <c r="P481" t="s">
        <v>996</v>
      </c>
      <c r="Q481" t="s">
        <v>1204</v>
      </c>
      <c r="R481" t="s">
        <v>58</v>
      </c>
      <c r="S481" s="1">
        <v>46023</v>
      </c>
      <c r="U481" t="s">
        <v>51</v>
      </c>
      <c r="X481" t="s">
        <v>52</v>
      </c>
      <c r="AF481" s="2">
        <v>175</v>
      </c>
      <c r="AG481" s="2">
        <v>0</v>
      </c>
      <c r="AJ481" s="2">
        <v>175</v>
      </c>
    </row>
    <row r="482" spans="1:36" x14ac:dyDescent="0.25">
      <c r="A482" s="1">
        <v>46008</v>
      </c>
      <c r="B482" s="1">
        <v>46008</v>
      </c>
      <c r="C482" t="s">
        <v>1201</v>
      </c>
      <c r="D482" t="s">
        <v>39</v>
      </c>
      <c r="E482" t="s">
        <v>40</v>
      </c>
      <c r="F482" t="s">
        <v>41</v>
      </c>
      <c r="G482" t="s">
        <v>42</v>
      </c>
      <c r="H482" t="s">
        <v>43</v>
      </c>
      <c r="I482" t="s">
        <v>1214</v>
      </c>
      <c r="J482" t="s">
        <v>1215</v>
      </c>
      <c r="M482" t="s">
        <v>46</v>
      </c>
      <c r="O482" t="s">
        <v>94</v>
      </c>
      <c r="P482" t="s">
        <v>95</v>
      </c>
      <c r="Q482" t="s">
        <v>1204</v>
      </c>
      <c r="R482" t="s">
        <v>58</v>
      </c>
      <c r="S482" s="1">
        <v>46023</v>
      </c>
      <c r="U482" t="s">
        <v>51</v>
      </c>
      <c r="X482" t="s">
        <v>52</v>
      </c>
      <c r="AF482" s="2">
        <v>175</v>
      </c>
      <c r="AG482" s="2">
        <v>0</v>
      </c>
      <c r="AJ482" s="2">
        <v>175</v>
      </c>
    </row>
    <row r="483" spans="1:36" x14ac:dyDescent="0.25">
      <c r="A483" s="1">
        <v>46008</v>
      </c>
      <c r="B483" s="1">
        <v>46008</v>
      </c>
      <c r="C483" t="s">
        <v>1201</v>
      </c>
      <c r="D483" t="s">
        <v>39</v>
      </c>
      <c r="E483" t="s">
        <v>40</v>
      </c>
      <c r="F483" t="s">
        <v>41</v>
      </c>
      <c r="G483" t="s">
        <v>42</v>
      </c>
      <c r="H483" t="s">
        <v>43</v>
      </c>
      <c r="I483" t="s">
        <v>1216</v>
      </c>
      <c r="J483" t="s">
        <v>1217</v>
      </c>
      <c r="M483" t="s">
        <v>61</v>
      </c>
      <c r="O483" t="s">
        <v>635</v>
      </c>
      <c r="P483" t="s">
        <v>636</v>
      </c>
      <c r="Q483" t="s">
        <v>1204</v>
      </c>
      <c r="R483" t="s">
        <v>58</v>
      </c>
      <c r="S483" s="1">
        <v>46023</v>
      </c>
      <c r="U483" t="s">
        <v>51</v>
      </c>
      <c r="X483" t="s">
        <v>52</v>
      </c>
      <c r="AF483" s="2">
        <v>175</v>
      </c>
      <c r="AG483" s="2">
        <v>0</v>
      </c>
      <c r="AJ483" s="2">
        <v>175</v>
      </c>
    </row>
    <row r="484" spans="1:36" x14ac:dyDescent="0.25">
      <c r="A484" s="1">
        <v>46008</v>
      </c>
      <c r="B484" s="1">
        <v>46008</v>
      </c>
      <c r="C484" t="s">
        <v>1201</v>
      </c>
      <c r="D484" t="s">
        <v>39</v>
      </c>
      <c r="E484" t="s">
        <v>40</v>
      </c>
      <c r="F484" t="s">
        <v>41</v>
      </c>
      <c r="G484" t="s">
        <v>42</v>
      </c>
      <c r="H484" t="s">
        <v>43</v>
      </c>
      <c r="I484" t="s">
        <v>1218</v>
      </c>
      <c r="J484" t="s">
        <v>396</v>
      </c>
      <c r="M484" t="s">
        <v>46</v>
      </c>
      <c r="O484" t="s">
        <v>226</v>
      </c>
      <c r="P484" t="s">
        <v>227</v>
      </c>
      <c r="Q484" t="s">
        <v>1204</v>
      </c>
      <c r="R484" t="s">
        <v>58</v>
      </c>
      <c r="S484" s="1">
        <v>46023</v>
      </c>
      <c r="U484" t="s">
        <v>51</v>
      </c>
      <c r="X484" t="s">
        <v>52</v>
      </c>
      <c r="AF484" s="2">
        <v>175</v>
      </c>
      <c r="AG484" s="2">
        <v>0</v>
      </c>
      <c r="AJ484" s="2">
        <v>175</v>
      </c>
    </row>
    <row r="485" spans="1:36" x14ac:dyDescent="0.25">
      <c r="A485" s="1">
        <v>46008</v>
      </c>
      <c r="B485" s="1">
        <v>46008</v>
      </c>
      <c r="C485" t="s">
        <v>1201</v>
      </c>
      <c r="D485" t="s">
        <v>39</v>
      </c>
      <c r="E485" t="s">
        <v>40</v>
      </c>
      <c r="F485" t="s">
        <v>41</v>
      </c>
      <c r="G485" t="s">
        <v>42</v>
      </c>
      <c r="H485" t="s">
        <v>43</v>
      </c>
      <c r="I485" t="s">
        <v>1219</v>
      </c>
      <c r="J485" t="s">
        <v>1220</v>
      </c>
      <c r="M485" t="s">
        <v>55</v>
      </c>
      <c r="O485" t="s">
        <v>47</v>
      </c>
      <c r="P485" t="s">
        <v>48</v>
      </c>
      <c r="Q485" t="s">
        <v>1204</v>
      </c>
      <c r="R485" t="s">
        <v>58</v>
      </c>
      <c r="S485" s="1">
        <v>46023</v>
      </c>
      <c r="U485" t="s">
        <v>51</v>
      </c>
      <c r="X485" t="s">
        <v>52</v>
      </c>
      <c r="AF485" s="2">
        <v>175</v>
      </c>
      <c r="AG485" s="2">
        <v>0</v>
      </c>
      <c r="AJ485" s="2">
        <v>175</v>
      </c>
    </row>
    <row r="486" spans="1:36" x14ac:dyDescent="0.25">
      <c r="A486" s="1">
        <v>46008</v>
      </c>
      <c r="B486" s="1">
        <v>46008</v>
      </c>
      <c r="C486" t="s">
        <v>1201</v>
      </c>
      <c r="D486" t="s">
        <v>39</v>
      </c>
      <c r="E486" t="s">
        <v>40</v>
      </c>
      <c r="F486" t="s">
        <v>41</v>
      </c>
      <c r="G486" t="s">
        <v>42</v>
      </c>
      <c r="H486" t="s">
        <v>43</v>
      </c>
      <c r="I486" t="s">
        <v>1221</v>
      </c>
      <c r="J486" t="s">
        <v>1222</v>
      </c>
      <c r="M486" t="s">
        <v>1027</v>
      </c>
      <c r="O486" t="s">
        <v>887</v>
      </c>
      <c r="P486" t="s">
        <v>888</v>
      </c>
      <c r="Q486" t="s">
        <v>1204</v>
      </c>
      <c r="R486" t="s">
        <v>1223</v>
      </c>
      <c r="S486" s="1">
        <v>46023</v>
      </c>
      <c r="U486" t="s">
        <v>51</v>
      </c>
      <c r="X486" t="s">
        <v>52</v>
      </c>
      <c r="AF486" s="2">
        <v>15</v>
      </c>
      <c r="AG486" s="2">
        <v>0</v>
      </c>
      <c r="AJ486" s="2">
        <v>15</v>
      </c>
    </row>
    <row r="487" spans="1:36" x14ac:dyDescent="0.25">
      <c r="A487" s="1">
        <v>46008</v>
      </c>
      <c r="B487" s="1">
        <v>46008</v>
      </c>
      <c r="C487" t="s">
        <v>1201</v>
      </c>
      <c r="D487" t="s">
        <v>39</v>
      </c>
      <c r="E487" t="s">
        <v>40</v>
      </c>
      <c r="F487" t="s">
        <v>41</v>
      </c>
      <c r="G487" t="s">
        <v>42</v>
      </c>
      <c r="H487" t="s">
        <v>43</v>
      </c>
      <c r="I487" t="s">
        <v>1224</v>
      </c>
      <c r="J487" t="s">
        <v>1225</v>
      </c>
      <c r="M487" t="s">
        <v>55</v>
      </c>
      <c r="O487" t="s">
        <v>266</v>
      </c>
      <c r="P487" t="s">
        <v>267</v>
      </c>
      <c r="Q487" t="s">
        <v>1204</v>
      </c>
      <c r="R487" t="s">
        <v>58</v>
      </c>
      <c r="S487" s="1">
        <v>45962</v>
      </c>
      <c r="U487" t="s">
        <v>51</v>
      </c>
      <c r="X487" t="s">
        <v>52</v>
      </c>
      <c r="AF487" s="2">
        <v>175</v>
      </c>
      <c r="AG487" s="2">
        <v>0</v>
      </c>
      <c r="AJ487" s="2">
        <v>175</v>
      </c>
    </row>
    <row r="488" spans="1:36" x14ac:dyDescent="0.25">
      <c r="A488" s="1">
        <v>46008</v>
      </c>
      <c r="B488" s="1">
        <v>46008</v>
      </c>
      <c r="C488" t="s">
        <v>1201</v>
      </c>
      <c r="D488" t="s">
        <v>39</v>
      </c>
      <c r="E488" t="s">
        <v>40</v>
      </c>
      <c r="F488" t="s">
        <v>41</v>
      </c>
      <c r="G488" t="s">
        <v>42</v>
      </c>
      <c r="H488" t="s">
        <v>43</v>
      </c>
      <c r="I488" t="s">
        <v>1226</v>
      </c>
      <c r="J488" t="s">
        <v>1227</v>
      </c>
      <c r="M488" t="s">
        <v>46</v>
      </c>
      <c r="O488" t="s">
        <v>66</v>
      </c>
      <c r="P488" t="s">
        <v>67</v>
      </c>
      <c r="Q488" t="s">
        <v>1204</v>
      </c>
      <c r="R488" t="s">
        <v>58</v>
      </c>
      <c r="S488" s="1">
        <v>46023</v>
      </c>
      <c r="U488" t="s">
        <v>51</v>
      </c>
      <c r="X488" t="s">
        <v>52</v>
      </c>
      <c r="AF488" s="2">
        <v>175</v>
      </c>
      <c r="AG488" s="2">
        <v>0</v>
      </c>
      <c r="AJ488" s="2">
        <v>175</v>
      </c>
    </row>
    <row r="489" spans="1:36" x14ac:dyDescent="0.25">
      <c r="A489" s="1">
        <v>46008</v>
      </c>
      <c r="B489" s="1">
        <v>46008</v>
      </c>
      <c r="C489" t="s">
        <v>1201</v>
      </c>
      <c r="D489" t="s">
        <v>39</v>
      </c>
      <c r="E489" t="s">
        <v>40</v>
      </c>
      <c r="F489" t="s">
        <v>41</v>
      </c>
      <c r="G489" t="s">
        <v>42</v>
      </c>
      <c r="H489" t="s">
        <v>43</v>
      </c>
      <c r="I489" t="s">
        <v>1228</v>
      </c>
      <c r="J489" t="s">
        <v>1229</v>
      </c>
      <c r="M489" t="s">
        <v>55</v>
      </c>
      <c r="O489" t="s">
        <v>79</v>
      </c>
      <c r="P489" t="s">
        <v>80</v>
      </c>
      <c r="Q489" t="s">
        <v>1204</v>
      </c>
      <c r="R489" t="s">
        <v>58</v>
      </c>
      <c r="S489" s="1">
        <v>46023</v>
      </c>
      <c r="U489" t="s">
        <v>51</v>
      </c>
      <c r="X489" t="s">
        <v>52</v>
      </c>
      <c r="AF489" s="2">
        <v>175</v>
      </c>
      <c r="AG489" s="2">
        <v>0</v>
      </c>
      <c r="AJ489" s="2">
        <v>175</v>
      </c>
    </row>
    <row r="490" spans="1:36" x14ac:dyDescent="0.25">
      <c r="A490" s="1">
        <v>46008</v>
      </c>
      <c r="B490" s="1">
        <v>46008</v>
      </c>
      <c r="C490" t="s">
        <v>1201</v>
      </c>
      <c r="D490" t="s">
        <v>39</v>
      </c>
      <c r="E490" t="s">
        <v>40</v>
      </c>
      <c r="F490" t="s">
        <v>41</v>
      </c>
      <c r="G490" t="s">
        <v>42</v>
      </c>
      <c r="H490" t="s">
        <v>43</v>
      </c>
      <c r="I490" t="s">
        <v>1230</v>
      </c>
      <c r="J490" t="s">
        <v>1231</v>
      </c>
      <c r="M490" t="s">
        <v>46</v>
      </c>
      <c r="O490" t="s">
        <v>62</v>
      </c>
      <c r="P490" t="s">
        <v>63</v>
      </c>
      <c r="Q490" t="s">
        <v>1204</v>
      </c>
      <c r="R490" t="s">
        <v>1223</v>
      </c>
      <c r="S490" s="1">
        <v>46023</v>
      </c>
      <c r="U490" t="s">
        <v>51</v>
      </c>
      <c r="X490" t="s">
        <v>52</v>
      </c>
      <c r="AF490" s="2">
        <v>15</v>
      </c>
      <c r="AG490" s="2">
        <v>0</v>
      </c>
      <c r="AJ490" s="2">
        <v>15</v>
      </c>
    </row>
    <row r="491" spans="1:36" x14ac:dyDescent="0.25">
      <c r="A491" s="1">
        <v>46008</v>
      </c>
      <c r="B491" s="1">
        <v>46008</v>
      </c>
      <c r="C491" t="s">
        <v>1201</v>
      </c>
      <c r="D491" t="s">
        <v>39</v>
      </c>
      <c r="E491" t="s">
        <v>40</v>
      </c>
      <c r="F491" t="s">
        <v>41</v>
      </c>
      <c r="G491" t="s">
        <v>42</v>
      </c>
      <c r="H491" t="s">
        <v>43</v>
      </c>
      <c r="I491" t="s">
        <v>1232</v>
      </c>
      <c r="J491" t="s">
        <v>1233</v>
      </c>
      <c r="M491" t="s">
        <v>46</v>
      </c>
      <c r="O491" t="s">
        <v>135</v>
      </c>
      <c r="P491" t="s">
        <v>136</v>
      </c>
      <c r="Q491" t="s">
        <v>1204</v>
      </c>
      <c r="R491" t="s">
        <v>58</v>
      </c>
      <c r="S491" s="1">
        <v>46023</v>
      </c>
      <c r="U491" t="s">
        <v>51</v>
      </c>
      <c r="X491" t="s">
        <v>52</v>
      </c>
      <c r="AF491" s="2">
        <v>175</v>
      </c>
      <c r="AG491" s="2">
        <v>0</v>
      </c>
      <c r="AJ491" s="2">
        <v>175</v>
      </c>
    </row>
    <row r="492" spans="1:36" x14ac:dyDescent="0.25">
      <c r="A492" s="1">
        <v>46008</v>
      </c>
      <c r="B492" s="1">
        <v>46008</v>
      </c>
      <c r="C492" t="s">
        <v>1201</v>
      </c>
      <c r="D492" t="s">
        <v>39</v>
      </c>
      <c r="E492" t="s">
        <v>40</v>
      </c>
      <c r="F492" t="s">
        <v>41</v>
      </c>
      <c r="G492" t="s">
        <v>42</v>
      </c>
      <c r="H492" t="s">
        <v>43</v>
      </c>
      <c r="I492" t="s">
        <v>1234</v>
      </c>
      <c r="J492" t="s">
        <v>1235</v>
      </c>
      <c r="M492" t="s">
        <v>46</v>
      </c>
      <c r="O492" t="s">
        <v>266</v>
      </c>
      <c r="P492" t="s">
        <v>267</v>
      </c>
      <c r="Q492" t="s">
        <v>1204</v>
      </c>
      <c r="R492" t="s">
        <v>58</v>
      </c>
      <c r="S492" s="1">
        <v>46023</v>
      </c>
      <c r="U492" t="s">
        <v>51</v>
      </c>
      <c r="X492" t="s">
        <v>52</v>
      </c>
      <c r="AF492" s="2">
        <v>175</v>
      </c>
      <c r="AG492" s="2">
        <v>0</v>
      </c>
      <c r="AJ492" s="2">
        <v>175</v>
      </c>
    </row>
    <row r="493" spans="1:36" x14ac:dyDescent="0.25">
      <c r="A493" s="1">
        <v>46008</v>
      </c>
      <c r="B493" s="1">
        <v>46008</v>
      </c>
      <c r="C493" t="s">
        <v>1201</v>
      </c>
      <c r="D493" t="s">
        <v>39</v>
      </c>
      <c r="E493" t="s">
        <v>40</v>
      </c>
      <c r="F493" t="s">
        <v>41</v>
      </c>
      <c r="G493" t="s">
        <v>42</v>
      </c>
      <c r="H493" t="s">
        <v>43</v>
      </c>
      <c r="I493" t="s">
        <v>1236</v>
      </c>
      <c r="J493" t="s">
        <v>1237</v>
      </c>
      <c r="M493" t="s">
        <v>491</v>
      </c>
      <c r="O493" t="s">
        <v>1007</v>
      </c>
      <c r="P493" t="s">
        <v>1008</v>
      </c>
      <c r="Q493" t="s">
        <v>1204</v>
      </c>
      <c r="R493" t="s">
        <v>1238</v>
      </c>
      <c r="S493" s="1">
        <v>45658</v>
      </c>
      <c r="U493" t="s">
        <v>51</v>
      </c>
      <c r="X493" t="s">
        <v>52</v>
      </c>
      <c r="AF493" s="2">
        <v>50</v>
      </c>
      <c r="AG493" s="2">
        <v>0</v>
      </c>
      <c r="AJ493" s="2">
        <v>4.17</v>
      </c>
    </row>
    <row r="494" spans="1:36" x14ac:dyDescent="0.25">
      <c r="A494" s="1">
        <v>46008</v>
      </c>
      <c r="B494" s="1">
        <v>46008</v>
      </c>
      <c r="C494" t="s">
        <v>1201</v>
      </c>
      <c r="D494" t="s">
        <v>39</v>
      </c>
      <c r="E494" t="s">
        <v>40</v>
      </c>
      <c r="F494" t="s">
        <v>41</v>
      </c>
      <c r="G494" t="s">
        <v>42</v>
      </c>
      <c r="H494" t="s">
        <v>43</v>
      </c>
      <c r="I494" t="s">
        <v>1239</v>
      </c>
      <c r="J494" t="s">
        <v>1240</v>
      </c>
      <c r="M494" t="s">
        <v>87</v>
      </c>
      <c r="O494" t="s">
        <v>56</v>
      </c>
      <c r="P494" t="s">
        <v>57</v>
      </c>
      <c r="Q494" t="s">
        <v>1204</v>
      </c>
      <c r="R494" t="s">
        <v>961</v>
      </c>
      <c r="S494" s="1">
        <v>46023</v>
      </c>
      <c r="U494" t="s">
        <v>51</v>
      </c>
      <c r="X494" t="s">
        <v>52</v>
      </c>
      <c r="AF494" s="2">
        <v>15</v>
      </c>
      <c r="AG494" s="2">
        <v>0</v>
      </c>
      <c r="AJ494" s="2">
        <v>15</v>
      </c>
    </row>
    <row r="495" spans="1:36" x14ac:dyDescent="0.25">
      <c r="A495" s="1">
        <v>46008</v>
      </c>
      <c r="B495" s="1">
        <v>46008</v>
      </c>
      <c r="C495" t="s">
        <v>1201</v>
      </c>
      <c r="D495" t="s">
        <v>39</v>
      </c>
      <c r="E495" t="s">
        <v>40</v>
      </c>
      <c r="F495" t="s">
        <v>41</v>
      </c>
      <c r="G495" t="s">
        <v>42</v>
      </c>
      <c r="H495" t="s">
        <v>43</v>
      </c>
      <c r="I495" t="s">
        <v>1241</v>
      </c>
      <c r="J495" t="s">
        <v>1242</v>
      </c>
      <c r="M495" t="s">
        <v>46</v>
      </c>
      <c r="O495" t="s">
        <v>278</v>
      </c>
      <c r="P495" t="s">
        <v>279</v>
      </c>
      <c r="Q495" t="s">
        <v>1204</v>
      </c>
      <c r="R495" t="s">
        <v>961</v>
      </c>
      <c r="S495" s="1">
        <v>46023</v>
      </c>
      <c r="U495" t="s">
        <v>51</v>
      </c>
      <c r="X495" t="s">
        <v>52</v>
      </c>
      <c r="AF495" s="2">
        <v>15</v>
      </c>
      <c r="AG495" s="2">
        <v>0</v>
      </c>
      <c r="AJ495" s="2">
        <v>15</v>
      </c>
    </row>
    <row r="496" spans="1:36" x14ac:dyDescent="0.25">
      <c r="A496" s="1">
        <v>46008</v>
      </c>
      <c r="B496" s="1">
        <v>46008</v>
      </c>
      <c r="C496" t="s">
        <v>1201</v>
      </c>
      <c r="D496" t="s">
        <v>39</v>
      </c>
      <c r="E496" t="s">
        <v>40</v>
      </c>
      <c r="F496" t="s">
        <v>41</v>
      </c>
      <c r="G496" t="s">
        <v>42</v>
      </c>
      <c r="H496" t="s">
        <v>43</v>
      </c>
      <c r="I496" t="s">
        <v>1243</v>
      </c>
      <c r="J496" t="s">
        <v>1244</v>
      </c>
      <c r="M496" t="s">
        <v>1245</v>
      </c>
      <c r="O496" t="s">
        <v>175</v>
      </c>
      <c r="P496" t="s">
        <v>176</v>
      </c>
      <c r="Q496" t="s">
        <v>1204</v>
      </c>
      <c r="R496" t="s">
        <v>964</v>
      </c>
      <c r="S496" s="1">
        <v>46023</v>
      </c>
      <c r="U496" t="s">
        <v>51</v>
      </c>
      <c r="X496" t="s">
        <v>52</v>
      </c>
      <c r="AF496" s="2">
        <v>25</v>
      </c>
      <c r="AG496" s="2">
        <v>0</v>
      </c>
      <c r="AJ496" s="2">
        <v>25</v>
      </c>
    </row>
    <row r="497" spans="1:36" x14ac:dyDescent="0.25">
      <c r="A497" s="1">
        <v>46008</v>
      </c>
      <c r="B497" s="1">
        <v>46008</v>
      </c>
      <c r="C497" t="s">
        <v>1201</v>
      </c>
      <c r="D497" t="s">
        <v>39</v>
      </c>
      <c r="E497" t="s">
        <v>40</v>
      </c>
      <c r="F497" t="s">
        <v>41</v>
      </c>
      <c r="G497" t="s">
        <v>42</v>
      </c>
      <c r="H497" t="s">
        <v>43</v>
      </c>
      <c r="I497" t="s">
        <v>1246</v>
      </c>
      <c r="J497" t="s">
        <v>1247</v>
      </c>
      <c r="M497" t="s">
        <v>1248</v>
      </c>
      <c r="O497" t="s">
        <v>359</v>
      </c>
      <c r="P497" t="s">
        <v>360</v>
      </c>
      <c r="Q497" t="s">
        <v>1204</v>
      </c>
      <c r="R497" t="s">
        <v>1238</v>
      </c>
      <c r="S497" s="1">
        <v>46023</v>
      </c>
      <c r="U497" t="s">
        <v>51</v>
      </c>
      <c r="X497" t="s">
        <v>52</v>
      </c>
      <c r="AF497" s="2">
        <v>50</v>
      </c>
      <c r="AG497" s="2">
        <v>0</v>
      </c>
      <c r="AJ497" s="2">
        <v>48.34</v>
      </c>
    </row>
    <row r="498" spans="1:36" x14ac:dyDescent="0.25">
      <c r="A498" s="1">
        <v>46008</v>
      </c>
      <c r="B498" s="1">
        <v>46008</v>
      </c>
      <c r="C498" t="s">
        <v>1201</v>
      </c>
      <c r="D498" t="s">
        <v>39</v>
      </c>
      <c r="E498" t="s">
        <v>40</v>
      </c>
      <c r="F498" t="s">
        <v>41</v>
      </c>
      <c r="G498" t="s">
        <v>42</v>
      </c>
      <c r="H498" t="s">
        <v>43</v>
      </c>
      <c r="I498" t="s">
        <v>1249</v>
      </c>
      <c r="J498" t="s">
        <v>1250</v>
      </c>
      <c r="M498" t="s">
        <v>46</v>
      </c>
      <c r="O498" t="s">
        <v>278</v>
      </c>
      <c r="P498" t="s">
        <v>279</v>
      </c>
      <c r="Q498" t="s">
        <v>1204</v>
      </c>
      <c r="R498" t="s">
        <v>1238</v>
      </c>
      <c r="S498" s="1">
        <v>45658</v>
      </c>
      <c r="U498" t="s">
        <v>51</v>
      </c>
      <c r="X498" t="s">
        <v>52</v>
      </c>
      <c r="AF498" s="2">
        <v>50</v>
      </c>
      <c r="AG498" s="2">
        <v>0</v>
      </c>
      <c r="AJ498" s="2">
        <v>4.17</v>
      </c>
    </row>
    <row r="499" spans="1:36" x14ac:dyDescent="0.25">
      <c r="A499" s="1">
        <v>46008</v>
      </c>
      <c r="B499" s="1">
        <v>46008</v>
      </c>
      <c r="C499" t="s">
        <v>1201</v>
      </c>
      <c r="D499" t="s">
        <v>39</v>
      </c>
      <c r="E499" t="s">
        <v>40</v>
      </c>
      <c r="F499" t="s">
        <v>41</v>
      </c>
      <c r="G499" t="s">
        <v>42</v>
      </c>
      <c r="H499" t="s">
        <v>43</v>
      </c>
      <c r="I499" t="s">
        <v>1251</v>
      </c>
      <c r="J499" t="s">
        <v>1252</v>
      </c>
      <c r="M499" t="s">
        <v>114</v>
      </c>
      <c r="O499" t="s">
        <v>115</v>
      </c>
      <c r="P499" t="s">
        <v>116</v>
      </c>
      <c r="Q499" t="s">
        <v>1204</v>
      </c>
      <c r="R499" t="s">
        <v>1047</v>
      </c>
      <c r="S499" s="1">
        <v>46023</v>
      </c>
      <c r="U499" t="s">
        <v>51</v>
      </c>
      <c r="X499" t="s">
        <v>52</v>
      </c>
      <c r="AF499" s="2">
        <v>113</v>
      </c>
      <c r="AG499" s="2">
        <v>0</v>
      </c>
      <c r="AJ499" s="2">
        <v>113</v>
      </c>
    </row>
    <row r="500" spans="1:36" x14ac:dyDescent="0.25">
      <c r="A500" s="1">
        <v>46008</v>
      </c>
      <c r="B500" s="1">
        <v>46008</v>
      </c>
      <c r="C500" t="s">
        <v>1201</v>
      </c>
      <c r="D500" t="s">
        <v>39</v>
      </c>
      <c r="E500" t="s">
        <v>40</v>
      </c>
      <c r="F500" t="s">
        <v>41</v>
      </c>
      <c r="G500" t="s">
        <v>42</v>
      </c>
      <c r="H500" t="s">
        <v>43</v>
      </c>
      <c r="I500" t="s">
        <v>1253</v>
      </c>
      <c r="J500" t="s">
        <v>1254</v>
      </c>
      <c r="M500" t="s">
        <v>46</v>
      </c>
      <c r="O500" t="s">
        <v>47</v>
      </c>
      <c r="P500" t="s">
        <v>48</v>
      </c>
      <c r="Q500" t="s">
        <v>1204</v>
      </c>
      <c r="R500" t="s">
        <v>1023</v>
      </c>
      <c r="S500" s="1">
        <v>46023</v>
      </c>
      <c r="U500" t="s">
        <v>51</v>
      </c>
      <c r="X500" t="s">
        <v>52</v>
      </c>
      <c r="AF500" s="2">
        <v>72</v>
      </c>
      <c r="AG500" s="2">
        <v>0</v>
      </c>
      <c r="AJ500" s="2">
        <v>72</v>
      </c>
    </row>
    <row r="501" spans="1:36" x14ac:dyDescent="0.25">
      <c r="A501" s="1">
        <v>46008</v>
      </c>
      <c r="B501" s="1">
        <v>46008</v>
      </c>
      <c r="C501" t="s">
        <v>1201</v>
      </c>
      <c r="D501" t="s">
        <v>39</v>
      </c>
      <c r="E501" t="s">
        <v>40</v>
      </c>
      <c r="F501" t="s">
        <v>41</v>
      </c>
      <c r="G501" t="s">
        <v>42</v>
      </c>
      <c r="H501" t="s">
        <v>43</v>
      </c>
      <c r="I501" t="s">
        <v>1255</v>
      </c>
      <c r="J501" t="s">
        <v>1256</v>
      </c>
      <c r="M501" t="s">
        <v>265</v>
      </c>
      <c r="O501" t="s">
        <v>266</v>
      </c>
      <c r="P501" t="s">
        <v>267</v>
      </c>
      <c r="Q501" t="s">
        <v>1204</v>
      </c>
      <c r="R501" t="s">
        <v>1030</v>
      </c>
      <c r="S501" s="1">
        <v>46023</v>
      </c>
      <c r="U501" t="s">
        <v>51</v>
      </c>
      <c r="X501" t="s">
        <v>52</v>
      </c>
      <c r="AF501" s="2">
        <v>175</v>
      </c>
      <c r="AG501" s="2">
        <v>0</v>
      </c>
      <c r="AJ501" s="2">
        <v>175</v>
      </c>
    </row>
    <row r="502" spans="1:36" x14ac:dyDescent="0.25">
      <c r="A502" s="1">
        <v>46008</v>
      </c>
      <c r="B502" s="1">
        <v>46008</v>
      </c>
      <c r="C502" t="s">
        <v>1201</v>
      </c>
      <c r="D502" t="s">
        <v>39</v>
      </c>
      <c r="E502" t="s">
        <v>40</v>
      </c>
      <c r="F502" t="s">
        <v>41</v>
      </c>
      <c r="G502" t="s">
        <v>42</v>
      </c>
      <c r="H502" t="s">
        <v>43</v>
      </c>
      <c r="I502" t="s">
        <v>1257</v>
      </c>
      <c r="J502" t="s">
        <v>1258</v>
      </c>
      <c r="M502" t="s">
        <v>55</v>
      </c>
      <c r="O502" t="s">
        <v>266</v>
      </c>
      <c r="P502" t="s">
        <v>267</v>
      </c>
      <c r="Q502" t="s">
        <v>1204</v>
      </c>
      <c r="R502" t="s">
        <v>1023</v>
      </c>
      <c r="S502" s="1">
        <v>46023</v>
      </c>
      <c r="U502" t="s">
        <v>51</v>
      </c>
      <c r="X502" t="s">
        <v>52</v>
      </c>
      <c r="AF502" s="2">
        <v>72</v>
      </c>
      <c r="AG502" s="2">
        <v>0</v>
      </c>
      <c r="AJ502" s="2">
        <v>72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655C2-BB06-4139-BBAF-185A1040D9C1}">
  <dimension ref="A1:AN1116"/>
  <sheetViews>
    <sheetView topLeftCell="A127" workbookViewId="0">
      <selection activeCell="B5" sqref="B5"/>
    </sheetView>
  </sheetViews>
  <sheetFormatPr defaultRowHeight="15" x14ac:dyDescent="0.25"/>
  <cols>
    <col min="1" max="2" width="20" style="4" customWidth="1"/>
    <col min="3" max="3" width="22.7109375" customWidth="1"/>
    <col min="4" max="4" width="5.5703125" bestFit="1" customWidth="1"/>
    <col min="5" max="5" width="11.140625" customWidth="1"/>
    <col min="6" max="6" width="15.5703125" customWidth="1"/>
    <col min="7" max="7" width="12.85546875" bestFit="1" customWidth="1"/>
    <col min="8" max="8" width="22.7109375" customWidth="1"/>
    <col min="9" max="9" width="10.140625" bestFit="1" customWidth="1"/>
    <col min="10" max="10" width="10.140625" customWidth="1"/>
    <col min="11" max="11" width="9.85546875" customWidth="1"/>
    <col min="12" max="12" width="4.140625" customWidth="1"/>
    <col min="13" max="13" width="8" customWidth="1"/>
    <col min="14" max="14" width="7.28515625" customWidth="1"/>
    <col min="15" max="15" width="6.5703125" customWidth="1"/>
    <col min="16" max="16" width="8.7109375" customWidth="1"/>
    <col min="17" max="17" width="10.42578125" customWidth="1"/>
    <col min="18" max="18" width="29.7109375" bestFit="1" customWidth="1"/>
    <col min="19" max="19" width="23.140625" bestFit="1" customWidth="1"/>
  </cols>
  <sheetData>
    <row r="1" spans="1:40" x14ac:dyDescent="0.25">
      <c r="A1" s="4" t="s">
        <v>8</v>
      </c>
      <c r="C1" t="s">
        <v>9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K1" t="s">
        <v>20</v>
      </c>
      <c r="L1" t="s">
        <v>23</v>
      </c>
      <c r="M1" t="s">
        <v>24</v>
      </c>
      <c r="N1" t="s">
        <v>25</v>
      </c>
      <c r="O1" t="s">
        <v>26</v>
      </c>
      <c r="P1" t="s">
        <v>28</v>
      </c>
      <c r="Q1" t="s">
        <v>37</v>
      </c>
    </row>
    <row r="2" spans="1:40" x14ac:dyDescent="0.25">
      <c r="A2" s="4" t="s">
        <v>2402</v>
      </c>
      <c r="B2" s="4" t="str">
        <f>CONCATENATE(A2,"OVR")</f>
        <v>8JY2HT0WT21OVR</v>
      </c>
      <c r="C2" t="s">
        <v>1801</v>
      </c>
      <c r="D2" t="s">
        <v>55</v>
      </c>
      <c r="E2">
        <v>20411454</v>
      </c>
      <c r="F2" t="s">
        <v>2477</v>
      </c>
      <c r="G2" t="s">
        <v>49</v>
      </c>
      <c r="H2" t="s">
        <v>1802</v>
      </c>
      <c r="I2" s="1">
        <v>45717</v>
      </c>
      <c r="J2" s="1">
        <v>45992</v>
      </c>
      <c r="K2" t="s">
        <v>51</v>
      </c>
      <c r="L2" t="s">
        <v>52</v>
      </c>
      <c r="M2" s="2">
        <v>1</v>
      </c>
      <c r="N2" s="2">
        <v>1</v>
      </c>
      <c r="P2" s="2">
        <v>6.25</v>
      </c>
      <c r="Q2" t="s">
        <v>1803</v>
      </c>
      <c r="R2" t="s">
        <v>2476</v>
      </c>
    </row>
    <row r="3" spans="1:40" x14ac:dyDescent="0.25">
      <c r="A3" s="5">
        <v>22910215</v>
      </c>
      <c r="B3" s="5" t="str">
        <f>CONCATENATE(A3,1)</f>
        <v>229102151</v>
      </c>
      <c r="C3" s="6" t="s">
        <v>1400</v>
      </c>
      <c r="D3" s="6" t="s">
        <v>46</v>
      </c>
      <c r="E3" s="6">
        <v>19681796</v>
      </c>
      <c r="F3" s="6" t="s">
        <v>390</v>
      </c>
      <c r="G3" s="6" t="s">
        <v>1262</v>
      </c>
      <c r="H3" s="6" t="s">
        <v>1397</v>
      </c>
      <c r="I3" s="7">
        <v>45627</v>
      </c>
      <c r="J3" s="7">
        <v>45992</v>
      </c>
      <c r="K3" s="6" t="s">
        <v>51</v>
      </c>
      <c r="L3" s="6" t="s">
        <v>52</v>
      </c>
      <c r="M3" s="8">
        <v>1</v>
      </c>
      <c r="N3" s="8">
        <v>1</v>
      </c>
      <c r="O3" s="6"/>
      <c r="P3" s="8">
        <v>4.17</v>
      </c>
      <c r="Q3" s="6" t="s">
        <v>1398</v>
      </c>
      <c r="R3" s="6" t="s">
        <v>2468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spans="1:40" x14ac:dyDescent="0.25">
      <c r="A4" s="5">
        <v>22844299</v>
      </c>
      <c r="B4" s="5" t="str">
        <f>CONCATENATE(A4,1)</f>
        <v>228442991</v>
      </c>
      <c r="C4" s="6" t="s">
        <v>1399</v>
      </c>
      <c r="D4" s="6" t="s">
        <v>491</v>
      </c>
      <c r="E4" s="6">
        <v>17528908</v>
      </c>
      <c r="F4" s="6" t="s">
        <v>972</v>
      </c>
      <c r="G4" s="6" t="s">
        <v>1262</v>
      </c>
      <c r="H4" s="6" t="s">
        <v>1397</v>
      </c>
      <c r="I4" s="7">
        <v>45627</v>
      </c>
      <c r="J4" s="7">
        <v>45992</v>
      </c>
      <c r="K4" s="6" t="s">
        <v>51</v>
      </c>
      <c r="L4" s="6" t="s">
        <v>52</v>
      </c>
      <c r="M4" s="8">
        <v>1</v>
      </c>
      <c r="N4" s="8">
        <v>1</v>
      </c>
      <c r="O4" s="6"/>
      <c r="P4" s="8">
        <v>4.17</v>
      </c>
      <c r="Q4" s="6" t="s">
        <v>1398</v>
      </c>
      <c r="R4" s="6" t="s">
        <v>2468</v>
      </c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 spans="1:40" x14ac:dyDescent="0.25">
      <c r="A5" s="5">
        <v>22832432</v>
      </c>
      <c r="B5" s="5" t="str">
        <f>CONCATENATE(A5,1)</f>
        <v>228324321</v>
      </c>
      <c r="C5" s="6" t="s">
        <v>1396</v>
      </c>
      <c r="D5" s="6" t="s">
        <v>46</v>
      </c>
      <c r="E5" s="6">
        <v>9213293</v>
      </c>
      <c r="F5" s="6" t="s">
        <v>48</v>
      </c>
      <c r="G5" s="6" t="s">
        <v>1262</v>
      </c>
      <c r="H5" s="6" t="s">
        <v>1397</v>
      </c>
      <c r="I5" s="7">
        <v>45627</v>
      </c>
      <c r="J5" s="7">
        <v>45992</v>
      </c>
      <c r="K5" s="6" t="s">
        <v>51</v>
      </c>
      <c r="L5" s="6" t="s">
        <v>52</v>
      </c>
      <c r="M5" s="8">
        <v>1</v>
      </c>
      <c r="N5" s="8">
        <v>1</v>
      </c>
      <c r="O5" s="6"/>
      <c r="P5" s="8">
        <v>4.17</v>
      </c>
      <c r="Q5" s="6" t="s">
        <v>1398</v>
      </c>
      <c r="R5" s="6" t="s">
        <v>2468</v>
      </c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</row>
    <row r="6" spans="1:40" x14ac:dyDescent="0.25">
      <c r="A6" s="4">
        <v>125404927</v>
      </c>
      <c r="B6" s="4" t="str">
        <f t="shared" ref="B6:B37" si="0">CONCATENATE(A6,"OVR")</f>
        <v>125404927OVR</v>
      </c>
      <c r="C6" t="s">
        <v>1026</v>
      </c>
      <c r="D6" t="s">
        <v>1027</v>
      </c>
      <c r="E6">
        <v>20411454</v>
      </c>
      <c r="F6" t="s">
        <v>2477</v>
      </c>
      <c r="G6" t="s">
        <v>49</v>
      </c>
      <c r="H6" t="s">
        <v>1030</v>
      </c>
      <c r="I6" s="1">
        <v>46023</v>
      </c>
      <c r="J6" s="1">
        <v>46054</v>
      </c>
      <c r="K6" t="s">
        <v>51</v>
      </c>
      <c r="L6" t="s">
        <v>52</v>
      </c>
      <c r="M6" s="2">
        <v>0</v>
      </c>
      <c r="N6" s="2">
        <v>175</v>
      </c>
      <c r="O6">
        <v>1</v>
      </c>
      <c r="P6" s="2">
        <v>175</v>
      </c>
      <c r="R6" t="s">
        <v>2464</v>
      </c>
    </row>
    <row r="7" spans="1:40" x14ac:dyDescent="0.25">
      <c r="A7" s="4">
        <v>135010181</v>
      </c>
      <c r="B7" s="4" t="str">
        <f t="shared" si="0"/>
        <v>135010181OVR</v>
      </c>
      <c r="C7" t="s">
        <v>1036</v>
      </c>
      <c r="D7" t="s">
        <v>1027</v>
      </c>
      <c r="E7">
        <v>20411454</v>
      </c>
      <c r="F7" t="s">
        <v>2477</v>
      </c>
      <c r="G7" t="s">
        <v>49</v>
      </c>
      <c r="H7" t="s">
        <v>1030</v>
      </c>
      <c r="I7" s="1">
        <v>46023</v>
      </c>
      <c r="J7" s="1">
        <v>46054</v>
      </c>
      <c r="K7" t="s">
        <v>51</v>
      </c>
      <c r="L7" t="s">
        <v>52</v>
      </c>
      <c r="M7" s="2">
        <v>0</v>
      </c>
      <c r="N7" s="2">
        <v>175</v>
      </c>
      <c r="O7">
        <v>1</v>
      </c>
      <c r="P7" s="2">
        <v>175</v>
      </c>
      <c r="R7" t="s">
        <v>2464</v>
      </c>
    </row>
    <row r="8" spans="1:40" x14ac:dyDescent="0.25">
      <c r="A8" s="4">
        <v>135040328</v>
      </c>
      <c r="B8" s="4" t="str">
        <f t="shared" si="0"/>
        <v>135040328OVR</v>
      </c>
      <c r="C8" t="s">
        <v>1040</v>
      </c>
      <c r="D8" t="s">
        <v>155</v>
      </c>
      <c r="E8">
        <v>20411454</v>
      </c>
      <c r="F8" t="s">
        <v>2477</v>
      </c>
      <c r="G8" t="s">
        <v>49</v>
      </c>
      <c r="H8" t="s">
        <v>1030</v>
      </c>
      <c r="I8" s="1">
        <v>46023</v>
      </c>
      <c r="J8" s="1">
        <v>46054</v>
      </c>
      <c r="K8" t="s">
        <v>51</v>
      </c>
      <c r="L8" t="s">
        <v>52</v>
      </c>
      <c r="M8" s="2">
        <v>0</v>
      </c>
      <c r="N8" s="2">
        <v>175</v>
      </c>
      <c r="O8">
        <v>1</v>
      </c>
      <c r="P8" s="2">
        <v>175</v>
      </c>
      <c r="R8" t="s">
        <v>2464</v>
      </c>
    </row>
    <row r="9" spans="1:40" x14ac:dyDescent="0.25">
      <c r="A9" s="4">
        <v>831885646</v>
      </c>
      <c r="B9" s="4" t="str">
        <f t="shared" si="0"/>
        <v>831885646OVR</v>
      </c>
      <c r="C9" t="s">
        <v>1042</v>
      </c>
      <c r="D9" t="s">
        <v>55</v>
      </c>
      <c r="E9">
        <v>20411454</v>
      </c>
      <c r="F9" t="s">
        <v>2477</v>
      </c>
      <c r="G9" t="s">
        <v>49</v>
      </c>
      <c r="H9" t="s">
        <v>1030</v>
      </c>
      <c r="I9" s="1">
        <v>46023</v>
      </c>
      <c r="J9" s="1">
        <v>46054</v>
      </c>
      <c r="K9" t="s">
        <v>51</v>
      </c>
      <c r="L9" t="s">
        <v>52</v>
      </c>
      <c r="M9" s="2">
        <v>0</v>
      </c>
      <c r="N9" s="2">
        <v>175</v>
      </c>
      <c r="O9">
        <v>1</v>
      </c>
      <c r="P9" s="2">
        <v>175</v>
      </c>
      <c r="R9" t="s">
        <v>2464</v>
      </c>
    </row>
    <row r="10" spans="1:40" x14ac:dyDescent="0.25">
      <c r="A10" s="4">
        <v>905945740</v>
      </c>
      <c r="B10" s="4" t="str">
        <f t="shared" si="0"/>
        <v>905945740OVR</v>
      </c>
      <c r="C10" t="s">
        <v>1049</v>
      </c>
      <c r="D10" t="s">
        <v>78</v>
      </c>
      <c r="E10">
        <v>20411454</v>
      </c>
      <c r="F10" t="s">
        <v>2477</v>
      </c>
      <c r="G10" t="s">
        <v>49</v>
      </c>
      <c r="H10" t="s">
        <v>1030</v>
      </c>
      <c r="I10" s="1">
        <v>46023</v>
      </c>
      <c r="J10" s="1">
        <v>46054</v>
      </c>
      <c r="K10" t="s">
        <v>51</v>
      </c>
      <c r="L10" t="s">
        <v>52</v>
      </c>
      <c r="M10" s="2">
        <v>0</v>
      </c>
      <c r="N10" s="2">
        <v>175</v>
      </c>
      <c r="O10">
        <v>1</v>
      </c>
      <c r="P10" s="2">
        <v>175</v>
      </c>
      <c r="R10" t="s">
        <v>2464</v>
      </c>
    </row>
    <row r="11" spans="1:40" x14ac:dyDescent="0.25">
      <c r="A11" s="4">
        <v>906430980</v>
      </c>
      <c r="B11" s="4" t="str">
        <f t="shared" si="0"/>
        <v>906430980OVR</v>
      </c>
      <c r="C11" t="s">
        <v>1051</v>
      </c>
      <c r="D11" t="s">
        <v>46</v>
      </c>
      <c r="E11">
        <v>20411454</v>
      </c>
      <c r="F11" t="s">
        <v>2477</v>
      </c>
      <c r="G11" t="s">
        <v>49</v>
      </c>
      <c r="H11" t="s">
        <v>1030</v>
      </c>
      <c r="I11" s="1">
        <v>46023</v>
      </c>
      <c r="J11" s="1">
        <v>46054</v>
      </c>
      <c r="K11" t="s">
        <v>51</v>
      </c>
      <c r="L11" t="s">
        <v>52</v>
      </c>
      <c r="M11" s="2">
        <v>0</v>
      </c>
      <c r="N11" s="2">
        <v>175</v>
      </c>
      <c r="O11">
        <v>1</v>
      </c>
      <c r="P11" s="2">
        <v>175</v>
      </c>
      <c r="R11" t="s">
        <v>2464</v>
      </c>
    </row>
    <row r="12" spans="1:40" x14ac:dyDescent="0.25">
      <c r="A12" s="4">
        <v>910103142</v>
      </c>
      <c r="B12" s="4" t="str">
        <f t="shared" si="0"/>
        <v>910103142OVR</v>
      </c>
      <c r="C12" t="s">
        <v>1056</v>
      </c>
      <c r="D12" t="s">
        <v>155</v>
      </c>
      <c r="E12">
        <v>20411454</v>
      </c>
      <c r="F12" t="s">
        <v>2477</v>
      </c>
      <c r="G12" t="s">
        <v>49</v>
      </c>
      <c r="H12" t="s">
        <v>1030</v>
      </c>
      <c r="I12" s="1">
        <v>46023</v>
      </c>
      <c r="J12" s="1">
        <v>46054</v>
      </c>
      <c r="K12" t="s">
        <v>51</v>
      </c>
      <c r="L12" t="s">
        <v>52</v>
      </c>
      <c r="M12" s="2">
        <v>0</v>
      </c>
      <c r="N12" s="2">
        <v>175</v>
      </c>
      <c r="O12">
        <v>1</v>
      </c>
      <c r="P12" s="2">
        <v>175</v>
      </c>
      <c r="R12" t="s">
        <v>2464</v>
      </c>
    </row>
    <row r="13" spans="1:40" x14ac:dyDescent="0.25">
      <c r="A13" s="4">
        <v>910393030</v>
      </c>
      <c r="B13" s="4" t="str">
        <f t="shared" si="0"/>
        <v>910393030OVR</v>
      </c>
      <c r="C13" t="s">
        <v>1060</v>
      </c>
      <c r="D13" t="s">
        <v>1061</v>
      </c>
      <c r="E13">
        <v>20411454</v>
      </c>
      <c r="F13" t="s">
        <v>2477</v>
      </c>
      <c r="G13" t="s">
        <v>49</v>
      </c>
      <c r="H13" t="s">
        <v>1030</v>
      </c>
      <c r="I13" s="1">
        <v>46023</v>
      </c>
      <c r="J13" s="1">
        <v>46054</v>
      </c>
      <c r="K13" t="s">
        <v>51</v>
      </c>
      <c r="L13" t="s">
        <v>52</v>
      </c>
      <c r="M13" s="2">
        <v>0</v>
      </c>
      <c r="N13" s="2">
        <v>175</v>
      </c>
      <c r="O13">
        <v>1</v>
      </c>
      <c r="P13" s="2">
        <v>175</v>
      </c>
      <c r="R13" t="s">
        <v>2464</v>
      </c>
    </row>
    <row r="14" spans="1:40" x14ac:dyDescent="0.25">
      <c r="A14" s="4">
        <v>911214375</v>
      </c>
      <c r="B14" s="4" t="str">
        <f t="shared" si="0"/>
        <v>911214375OVR</v>
      </c>
      <c r="C14" t="s">
        <v>1063</v>
      </c>
      <c r="D14" t="s">
        <v>87</v>
      </c>
      <c r="E14">
        <v>20411454</v>
      </c>
      <c r="F14" t="s">
        <v>2477</v>
      </c>
      <c r="G14" t="s">
        <v>49</v>
      </c>
      <c r="H14" t="s">
        <v>1030</v>
      </c>
      <c r="I14" s="1">
        <v>46023</v>
      </c>
      <c r="J14" s="1">
        <v>46054</v>
      </c>
      <c r="K14" t="s">
        <v>51</v>
      </c>
      <c r="L14" t="s">
        <v>52</v>
      </c>
      <c r="M14" s="2">
        <v>0</v>
      </c>
      <c r="N14" s="2">
        <v>175</v>
      </c>
      <c r="O14">
        <v>1</v>
      </c>
      <c r="P14" s="2">
        <v>175</v>
      </c>
      <c r="R14" t="s">
        <v>2464</v>
      </c>
    </row>
    <row r="15" spans="1:40" x14ac:dyDescent="0.25">
      <c r="A15" s="4">
        <v>916546623</v>
      </c>
      <c r="B15" s="4" t="str">
        <f t="shared" si="0"/>
        <v>916546623OVR</v>
      </c>
      <c r="C15" t="s">
        <v>1067</v>
      </c>
      <c r="D15" t="s">
        <v>46</v>
      </c>
      <c r="E15">
        <v>20411454</v>
      </c>
      <c r="F15" t="s">
        <v>2477</v>
      </c>
      <c r="G15" t="s">
        <v>49</v>
      </c>
      <c r="H15" t="s">
        <v>1030</v>
      </c>
      <c r="I15" s="1">
        <v>46023</v>
      </c>
      <c r="J15" s="1">
        <v>46054</v>
      </c>
      <c r="K15" t="s">
        <v>51</v>
      </c>
      <c r="L15" t="s">
        <v>52</v>
      </c>
      <c r="M15" s="2">
        <v>0</v>
      </c>
      <c r="N15" s="2">
        <v>175</v>
      </c>
      <c r="O15">
        <v>1</v>
      </c>
      <c r="P15" s="2">
        <v>175</v>
      </c>
      <c r="R15" t="s">
        <v>2464</v>
      </c>
    </row>
    <row r="16" spans="1:40" x14ac:dyDescent="0.25">
      <c r="A16" s="4">
        <v>916967924</v>
      </c>
      <c r="B16" s="4" t="str">
        <f t="shared" si="0"/>
        <v>916967924OVR</v>
      </c>
      <c r="C16" t="s">
        <v>1073</v>
      </c>
      <c r="D16" t="s">
        <v>78</v>
      </c>
      <c r="E16">
        <v>20411454</v>
      </c>
      <c r="F16" t="s">
        <v>2477</v>
      </c>
      <c r="G16" t="s">
        <v>49</v>
      </c>
      <c r="H16" t="s">
        <v>1030</v>
      </c>
      <c r="I16" s="1">
        <v>46023</v>
      </c>
      <c r="J16" s="1">
        <v>46054</v>
      </c>
      <c r="K16" t="s">
        <v>51</v>
      </c>
      <c r="L16" t="s">
        <v>52</v>
      </c>
      <c r="M16" s="2">
        <v>0</v>
      </c>
      <c r="N16" s="2">
        <v>175</v>
      </c>
      <c r="O16">
        <v>1</v>
      </c>
      <c r="P16" s="2">
        <v>175</v>
      </c>
      <c r="R16" t="s">
        <v>2464</v>
      </c>
    </row>
    <row r="17" spans="1:18" x14ac:dyDescent="0.25">
      <c r="A17" s="4">
        <v>920616139</v>
      </c>
      <c r="B17" s="4" t="str">
        <f t="shared" si="0"/>
        <v>920616139OVR</v>
      </c>
      <c r="C17" t="s">
        <v>1079</v>
      </c>
      <c r="D17" t="s">
        <v>155</v>
      </c>
      <c r="E17">
        <v>20411454</v>
      </c>
      <c r="F17" t="s">
        <v>2477</v>
      </c>
      <c r="G17" t="s">
        <v>49</v>
      </c>
      <c r="H17" t="s">
        <v>1030</v>
      </c>
      <c r="I17" s="1">
        <v>46023</v>
      </c>
      <c r="J17" s="1">
        <v>46054</v>
      </c>
      <c r="K17" t="s">
        <v>51</v>
      </c>
      <c r="L17" t="s">
        <v>52</v>
      </c>
      <c r="M17" s="2">
        <v>0</v>
      </c>
      <c r="N17" s="2">
        <v>175</v>
      </c>
      <c r="O17">
        <v>1</v>
      </c>
      <c r="P17" s="2">
        <v>175</v>
      </c>
      <c r="R17" t="s">
        <v>2464</v>
      </c>
    </row>
    <row r="18" spans="1:18" x14ac:dyDescent="0.25">
      <c r="A18" s="4">
        <v>921982102</v>
      </c>
      <c r="B18" s="4" t="str">
        <f t="shared" si="0"/>
        <v>921982102OVR</v>
      </c>
      <c r="C18" t="s">
        <v>1081</v>
      </c>
      <c r="D18" t="s">
        <v>46</v>
      </c>
      <c r="E18">
        <v>20411454</v>
      </c>
      <c r="F18" t="s">
        <v>2477</v>
      </c>
      <c r="G18" t="s">
        <v>49</v>
      </c>
      <c r="H18" t="s">
        <v>1030</v>
      </c>
      <c r="I18" s="1">
        <v>46023</v>
      </c>
      <c r="J18" s="1">
        <v>46054</v>
      </c>
      <c r="K18" t="s">
        <v>51</v>
      </c>
      <c r="L18" t="s">
        <v>52</v>
      </c>
      <c r="M18" s="2">
        <v>0</v>
      </c>
      <c r="N18" s="2">
        <v>175</v>
      </c>
      <c r="O18">
        <v>1</v>
      </c>
      <c r="P18" s="2">
        <v>175</v>
      </c>
      <c r="R18" t="s">
        <v>2464</v>
      </c>
    </row>
    <row r="19" spans="1:18" x14ac:dyDescent="0.25">
      <c r="A19" s="4">
        <v>925189893</v>
      </c>
      <c r="B19" s="4" t="str">
        <f t="shared" si="0"/>
        <v>925189893OVR</v>
      </c>
      <c r="C19" t="s">
        <v>1085</v>
      </c>
      <c r="D19" t="s">
        <v>55</v>
      </c>
      <c r="E19">
        <v>20411454</v>
      </c>
      <c r="F19" t="s">
        <v>2477</v>
      </c>
      <c r="G19" t="s">
        <v>49</v>
      </c>
      <c r="H19" t="s">
        <v>1030</v>
      </c>
      <c r="I19" s="1">
        <v>46023</v>
      </c>
      <c r="J19" s="1">
        <v>46054</v>
      </c>
      <c r="K19" t="s">
        <v>51</v>
      </c>
      <c r="L19" t="s">
        <v>52</v>
      </c>
      <c r="M19" s="2">
        <v>0</v>
      </c>
      <c r="N19" s="2">
        <v>175</v>
      </c>
      <c r="O19">
        <v>1</v>
      </c>
      <c r="P19" s="2">
        <v>175</v>
      </c>
      <c r="R19" t="s">
        <v>2464</v>
      </c>
    </row>
    <row r="20" spans="1:18" x14ac:dyDescent="0.25">
      <c r="A20" s="4">
        <v>925982271</v>
      </c>
      <c r="B20" s="4" t="str">
        <f t="shared" si="0"/>
        <v>925982271OVR</v>
      </c>
      <c r="C20" t="s">
        <v>1087</v>
      </c>
      <c r="D20" t="s">
        <v>87</v>
      </c>
      <c r="E20">
        <v>20411454</v>
      </c>
      <c r="F20" t="s">
        <v>2477</v>
      </c>
      <c r="G20" t="s">
        <v>49</v>
      </c>
      <c r="H20" t="s">
        <v>1030</v>
      </c>
      <c r="I20" s="1">
        <v>46023</v>
      </c>
      <c r="J20" s="1">
        <v>46054</v>
      </c>
      <c r="K20" t="s">
        <v>51</v>
      </c>
      <c r="L20" t="s">
        <v>52</v>
      </c>
      <c r="M20" s="2">
        <v>0</v>
      </c>
      <c r="N20" s="2">
        <v>175</v>
      </c>
      <c r="O20">
        <v>1</v>
      </c>
      <c r="P20" s="2">
        <v>175</v>
      </c>
      <c r="R20" t="s">
        <v>2464</v>
      </c>
    </row>
    <row r="21" spans="1:18" x14ac:dyDescent="0.25">
      <c r="A21" s="4">
        <v>925995823</v>
      </c>
      <c r="B21" s="4" t="str">
        <f t="shared" si="0"/>
        <v>925995823OVR</v>
      </c>
      <c r="C21" t="s">
        <v>1089</v>
      </c>
      <c r="D21" t="s">
        <v>217</v>
      </c>
      <c r="E21">
        <v>20411454</v>
      </c>
      <c r="F21" t="s">
        <v>2477</v>
      </c>
      <c r="G21" t="s">
        <v>49</v>
      </c>
      <c r="H21" t="s">
        <v>1030</v>
      </c>
      <c r="I21" s="1">
        <v>46023</v>
      </c>
      <c r="J21" s="1">
        <v>46054</v>
      </c>
      <c r="K21" t="s">
        <v>51</v>
      </c>
      <c r="L21" t="s">
        <v>52</v>
      </c>
      <c r="M21" s="2">
        <v>0</v>
      </c>
      <c r="N21" s="2">
        <v>175</v>
      </c>
      <c r="O21">
        <v>1</v>
      </c>
      <c r="P21" s="2">
        <v>175</v>
      </c>
      <c r="R21" t="s">
        <v>2464</v>
      </c>
    </row>
    <row r="22" spans="1:18" x14ac:dyDescent="0.25">
      <c r="A22" s="4">
        <v>927632891</v>
      </c>
      <c r="B22" s="4" t="str">
        <f t="shared" si="0"/>
        <v>927632891OVR</v>
      </c>
      <c r="C22" t="s">
        <v>1091</v>
      </c>
      <c r="D22" t="s">
        <v>87</v>
      </c>
      <c r="E22">
        <v>20411454</v>
      </c>
      <c r="F22" t="s">
        <v>2477</v>
      </c>
      <c r="G22" t="s">
        <v>49</v>
      </c>
      <c r="H22" t="s">
        <v>1030</v>
      </c>
      <c r="I22" s="1">
        <v>46023</v>
      </c>
      <c r="J22" s="1">
        <v>46054</v>
      </c>
      <c r="K22" t="s">
        <v>51</v>
      </c>
      <c r="L22" t="s">
        <v>52</v>
      </c>
      <c r="M22" s="2">
        <v>0</v>
      </c>
      <c r="N22" s="2">
        <v>175</v>
      </c>
      <c r="O22">
        <v>1</v>
      </c>
      <c r="P22" s="2">
        <v>175</v>
      </c>
      <c r="R22" t="s">
        <v>2464</v>
      </c>
    </row>
    <row r="23" spans="1:18" x14ac:dyDescent="0.25">
      <c r="A23" s="4">
        <v>934299868</v>
      </c>
      <c r="B23" s="4" t="str">
        <f t="shared" si="0"/>
        <v>934299868OVR</v>
      </c>
      <c r="C23" t="s">
        <v>1093</v>
      </c>
      <c r="D23" t="s">
        <v>155</v>
      </c>
      <c r="E23">
        <v>20411454</v>
      </c>
      <c r="F23" t="s">
        <v>2477</v>
      </c>
      <c r="G23" t="s">
        <v>49</v>
      </c>
      <c r="H23" t="s">
        <v>1030</v>
      </c>
      <c r="I23" s="1">
        <v>46023</v>
      </c>
      <c r="J23" s="1">
        <v>46054</v>
      </c>
      <c r="K23" t="s">
        <v>51</v>
      </c>
      <c r="L23" t="s">
        <v>52</v>
      </c>
      <c r="M23" s="2">
        <v>0</v>
      </c>
      <c r="N23" s="2">
        <v>175</v>
      </c>
      <c r="O23">
        <v>1</v>
      </c>
      <c r="P23" s="2">
        <v>175</v>
      </c>
      <c r="R23" t="s">
        <v>2464</v>
      </c>
    </row>
    <row r="24" spans="1:18" x14ac:dyDescent="0.25">
      <c r="A24" s="4">
        <v>937444625</v>
      </c>
      <c r="B24" s="4" t="str">
        <f t="shared" si="0"/>
        <v>937444625OVR</v>
      </c>
      <c r="C24" t="s">
        <v>1097</v>
      </c>
      <c r="D24" t="s">
        <v>155</v>
      </c>
      <c r="E24">
        <v>20411454</v>
      </c>
      <c r="F24" t="s">
        <v>2477</v>
      </c>
      <c r="G24" t="s">
        <v>49</v>
      </c>
      <c r="H24" t="s">
        <v>1030</v>
      </c>
      <c r="I24" s="1">
        <v>46023</v>
      </c>
      <c r="J24" s="1">
        <v>46054</v>
      </c>
      <c r="K24" t="s">
        <v>51</v>
      </c>
      <c r="L24" t="s">
        <v>52</v>
      </c>
      <c r="M24" s="2">
        <v>0</v>
      </c>
      <c r="N24" s="2">
        <v>175</v>
      </c>
      <c r="O24">
        <v>1</v>
      </c>
      <c r="P24" s="2">
        <v>175</v>
      </c>
      <c r="R24" t="s">
        <v>2464</v>
      </c>
    </row>
    <row r="25" spans="1:18" x14ac:dyDescent="0.25">
      <c r="A25" s="4">
        <v>939353500</v>
      </c>
      <c r="B25" s="4" t="str">
        <f t="shared" si="0"/>
        <v>939353500OVR</v>
      </c>
      <c r="C25" t="s">
        <v>1099</v>
      </c>
      <c r="D25" t="s">
        <v>1100</v>
      </c>
      <c r="E25">
        <v>20411454</v>
      </c>
      <c r="F25" t="s">
        <v>2477</v>
      </c>
      <c r="G25" t="s">
        <v>49</v>
      </c>
      <c r="H25" t="s">
        <v>1030</v>
      </c>
      <c r="I25" s="1">
        <v>46023</v>
      </c>
      <c r="J25" s="1">
        <v>46054</v>
      </c>
      <c r="K25" t="s">
        <v>51</v>
      </c>
      <c r="L25" t="s">
        <v>52</v>
      </c>
      <c r="M25" s="2">
        <v>0</v>
      </c>
      <c r="N25" s="2">
        <v>175</v>
      </c>
      <c r="O25">
        <v>1</v>
      </c>
      <c r="P25" s="2">
        <v>175</v>
      </c>
      <c r="R25" t="s">
        <v>2464</v>
      </c>
    </row>
    <row r="26" spans="1:18" x14ac:dyDescent="0.25">
      <c r="A26" s="4">
        <v>940482810</v>
      </c>
      <c r="B26" s="4" t="str">
        <f t="shared" si="0"/>
        <v>940482810OVR</v>
      </c>
      <c r="C26" t="s">
        <v>1102</v>
      </c>
      <c r="D26" t="s">
        <v>1103</v>
      </c>
      <c r="E26">
        <v>20411454</v>
      </c>
      <c r="F26" t="s">
        <v>2477</v>
      </c>
      <c r="G26" t="s">
        <v>49</v>
      </c>
      <c r="H26" t="s">
        <v>1030</v>
      </c>
      <c r="I26" s="1">
        <v>46023</v>
      </c>
      <c r="J26" s="1">
        <v>46054</v>
      </c>
      <c r="K26" t="s">
        <v>51</v>
      </c>
      <c r="L26" t="s">
        <v>52</v>
      </c>
      <c r="M26" s="2">
        <v>0</v>
      </c>
      <c r="N26" s="2">
        <v>175</v>
      </c>
      <c r="O26">
        <v>1</v>
      </c>
      <c r="P26" s="2">
        <v>175</v>
      </c>
      <c r="R26" t="s">
        <v>2464</v>
      </c>
    </row>
    <row r="27" spans="1:18" x14ac:dyDescent="0.25">
      <c r="A27" s="4">
        <v>940523473</v>
      </c>
      <c r="B27" s="4" t="str">
        <f t="shared" si="0"/>
        <v>940523473OVR</v>
      </c>
      <c r="C27" t="s">
        <v>1105</v>
      </c>
      <c r="D27" t="s">
        <v>55</v>
      </c>
      <c r="E27">
        <v>20411454</v>
      </c>
      <c r="F27" t="s">
        <v>2477</v>
      </c>
      <c r="G27" t="s">
        <v>49</v>
      </c>
      <c r="H27" t="s">
        <v>1030</v>
      </c>
      <c r="I27" s="1">
        <v>46023</v>
      </c>
      <c r="J27" s="1">
        <v>46054</v>
      </c>
      <c r="K27" t="s">
        <v>51</v>
      </c>
      <c r="L27" t="s">
        <v>52</v>
      </c>
      <c r="M27" s="2">
        <v>0</v>
      </c>
      <c r="N27" s="2">
        <v>175</v>
      </c>
      <c r="O27">
        <v>1</v>
      </c>
      <c r="P27" s="2">
        <v>175</v>
      </c>
      <c r="R27" t="s">
        <v>2464</v>
      </c>
    </row>
    <row r="28" spans="1:18" x14ac:dyDescent="0.25">
      <c r="A28" s="4">
        <v>940902300</v>
      </c>
      <c r="B28" s="4" t="str">
        <f t="shared" si="0"/>
        <v>940902300OVR</v>
      </c>
      <c r="C28" t="s">
        <v>1110</v>
      </c>
      <c r="D28" t="s">
        <v>46</v>
      </c>
      <c r="E28">
        <v>20411454</v>
      </c>
      <c r="F28" t="s">
        <v>2477</v>
      </c>
      <c r="G28" t="s">
        <v>49</v>
      </c>
      <c r="H28" t="s">
        <v>1030</v>
      </c>
      <c r="I28" s="1">
        <v>46023</v>
      </c>
      <c r="J28" s="1">
        <v>46054</v>
      </c>
      <c r="K28" t="s">
        <v>51</v>
      </c>
      <c r="L28" t="s">
        <v>52</v>
      </c>
      <c r="M28" s="2">
        <v>0</v>
      </c>
      <c r="N28" s="2">
        <v>175</v>
      </c>
      <c r="O28">
        <v>1</v>
      </c>
      <c r="P28" s="2">
        <v>175</v>
      </c>
      <c r="R28" t="s">
        <v>2464</v>
      </c>
    </row>
    <row r="29" spans="1:18" x14ac:dyDescent="0.25">
      <c r="A29" s="4">
        <v>943440592</v>
      </c>
      <c r="B29" s="4" t="str">
        <f t="shared" si="0"/>
        <v>943440592OVR</v>
      </c>
      <c r="C29" t="s">
        <v>1112</v>
      </c>
      <c r="D29" t="s">
        <v>403</v>
      </c>
      <c r="E29">
        <v>20411454</v>
      </c>
      <c r="F29" t="s">
        <v>2477</v>
      </c>
      <c r="G29" t="s">
        <v>49</v>
      </c>
      <c r="H29" t="s">
        <v>1030</v>
      </c>
      <c r="I29" s="1">
        <v>46023</v>
      </c>
      <c r="J29" s="1">
        <v>46054</v>
      </c>
      <c r="K29" t="s">
        <v>51</v>
      </c>
      <c r="L29" t="s">
        <v>52</v>
      </c>
      <c r="M29" s="2">
        <v>0</v>
      </c>
      <c r="N29" s="2">
        <v>175</v>
      </c>
      <c r="O29">
        <v>1</v>
      </c>
      <c r="P29" s="2">
        <v>175</v>
      </c>
      <c r="R29" t="s">
        <v>2464</v>
      </c>
    </row>
    <row r="30" spans="1:18" x14ac:dyDescent="0.25">
      <c r="A30" s="4">
        <v>943723547</v>
      </c>
      <c r="B30" s="4" t="str">
        <f t="shared" si="0"/>
        <v>943723547OVR</v>
      </c>
      <c r="C30" t="s">
        <v>1114</v>
      </c>
      <c r="D30" t="s">
        <v>403</v>
      </c>
      <c r="E30">
        <v>20411454</v>
      </c>
      <c r="F30" t="s">
        <v>2477</v>
      </c>
      <c r="G30" t="s">
        <v>49</v>
      </c>
      <c r="H30" t="s">
        <v>1030</v>
      </c>
      <c r="I30" s="1">
        <v>46023</v>
      </c>
      <c r="J30" s="1">
        <v>46054</v>
      </c>
      <c r="K30" t="s">
        <v>51</v>
      </c>
      <c r="L30" t="s">
        <v>52</v>
      </c>
      <c r="M30" s="2">
        <v>0</v>
      </c>
      <c r="N30" s="2">
        <v>175</v>
      </c>
      <c r="O30">
        <v>1</v>
      </c>
      <c r="P30" s="2">
        <v>175</v>
      </c>
      <c r="R30" t="s">
        <v>2464</v>
      </c>
    </row>
    <row r="31" spans="1:18" x14ac:dyDescent="0.25">
      <c r="A31" s="4">
        <v>947965835</v>
      </c>
      <c r="B31" s="4" t="str">
        <f t="shared" si="0"/>
        <v>947965835OVR</v>
      </c>
      <c r="C31" t="s">
        <v>1118</v>
      </c>
      <c r="D31" t="s">
        <v>87</v>
      </c>
      <c r="E31">
        <v>20411454</v>
      </c>
      <c r="F31" t="s">
        <v>2477</v>
      </c>
      <c r="G31" t="s">
        <v>49</v>
      </c>
      <c r="H31" t="s">
        <v>1030</v>
      </c>
      <c r="I31" s="1">
        <v>46023</v>
      </c>
      <c r="J31" s="1">
        <v>46054</v>
      </c>
      <c r="K31" t="s">
        <v>51</v>
      </c>
      <c r="L31" t="s">
        <v>52</v>
      </c>
      <c r="M31" s="2">
        <v>0</v>
      </c>
      <c r="N31" s="2">
        <v>175</v>
      </c>
      <c r="O31">
        <v>1</v>
      </c>
      <c r="P31" s="2">
        <v>175</v>
      </c>
      <c r="R31" t="s">
        <v>2464</v>
      </c>
    </row>
    <row r="32" spans="1:18" x14ac:dyDescent="0.25">
      <c r="A32" s="4">
        <v>954677244</v>
      </c>
      <c r="B32" s="4" t="str">
        <f t="shared" si="0"/>
        <v>954677244OVR</v>
      </c>
      <c r="C32" t="s">
        <v>1128</v>
      </c>
      <c r="D32" t="s">
        <v>1061</v>
      </c>
      <c r="E32">
        <v>20411454</v>
      </c>
      <c r="F32" t="s">
        <v>2477</v>
      </c>
      <c r="G32" t="s">
        <v>49</v>
      </c>
      <c r="H32" t="s">
        <v>1030</v>
      </c>
      <c r="I32" s="1">
        <v>46023</v>
      </c>
      <c r="J32" s="1">
        <v>46054</v>
      </c>
      <c r="K32" t="s">
        <v>51</v>
      </c>
      <c r="L32" t="s">
        <v>52</v>
      </c>
      <c r="M32" s="2">
        <v>0</v>
      </c>
      <c r="N32" s="2">
        <v>175</v>
      </c>
      <c r="O32">
        <v>1</v>
      </c>
      <c r="P32" s="2">
        <v>175</v>
      </c>
      <c r="R32" t="s">
        <v>2464</v>
      </c>
    </row>
    <row r="33" spans="1:18" x14ac:dyDescent="0.25">
      <c r="A33" s="4">
        <v>962362898</v>
      </c>
      <c r="B33" s="4" t="str">
        <f t="shared" si="0"/>
        <v>962362898OVR</v>
      </c>
      <c r="C33" t="s">
        <v>1134</v>
      </c>
      <c r="D33" t="s">
        <v>61</v>
      </c>
      <c r="E33">
        <v>20411454</v>
      </c>
      <c r="F33" t="s">
        <v>2477</v>
      </c>
      <c r="G33" t="s">
        <v>49</v>
      </c>
      <c r="H33" t="s">
        <v>1030</v>
      </c>
      <c r="I33" s="1">
        <v>46023</v>
      </c>
      <c r="J33" s="1">
        <v>46054</v>
      </c>
      <c r="K33" t="s">
        <v>51</v>
      </c>
      <c r="L33" t="s">
        <v>52</v>
      </c>
      <c r="M33" s="2">
        <v>0</v>
      </c>
      <c r="N33" s="2">
        <v>175</v>
      </c>
      <c r="O33">
        <v>1</v>
      </c>
      <c r="P33" s="2">
        <v>175</v>
      </c>
      <c r="R33" t="s">
        <v>2464</v>
      </c>
    </row>
    <row r="34" spans="1:18" x14ac:dyDescent="0.25">
      <c r="A34" s="4">
        <v>962941470</v>
      </c>
      <c r="B34" s="4" t="str">
        <f t="shared" si="0"/>
        <v>962941470OVR</v>
      </c>
      <c r="C34" t="s">
        <v>1136</v>
      </c>
      <c r="D34" t="s">
        <v>61</v>
      </c>
      <c r="E34">
        <v>20411454</v>
      </c>
      <c r="F34" t="s">
        <v>2477</v>
      </c>
      <c r="G34" t="s">
        <v>49</v>
      </c>
      <c r="H34" t="s">
        <v>1030</v>
      </c>
      <c r="I34" s="1">
        <v>46023</v>
      </c>
      <c r="J34" s="1">
        <v>46054</v>
      </c>
      <c r="K34" t="s">
        <v>51</v>
      </c>
      <c r="L34" t="s">
        <v>52</v>
      </c>
      <c r="M34" s="2">
        <v>0</v>
      </c>
      <c r="N34" s="2">
        <v>175</v>
      </c>
      <c r="O34">
        <v>1</v>
      </c>
      <c r="P34" s="2">
        <v>175</v>
      </c>
      <c r="R34" t="s">
        <v>2464</v>
      </c>
    </row>
    <row r="35" spans="1:18" x14ac:dyDescent="0.25">
      <c r="A35" s="4">
        <v>967982621</v>
      </c>
      <c r="B35" s="4" t="str">
        <f t="shared" si="0"/>
        <v>967982621OVR</v>
      </c>
      <c r="C35" t="s">
        <v>1146</v>
      </c>
      <c r="D35" t="s">
        <v>87</v>
      </c>
      <c r="E35">
        <v>20411454</v>
      </c>
      <c r="F35" t="s">
        <v>2477</v>
      </c>
      <c r="G35" t="s">
        <v>49</v>
      </c>
      <c r="H35" t="s">
        <v>1030</v>
      </c>
      <c r="I35" s="1">
        <v>46023</v>
      </c>
      <c r="J35" s="1">
        <v>46054</v>
      </c>
      <c r="K35" t="s">
        <v>51</v>
      </c>
      <c r="L35" t="s">
        <v>52</v>
      </c>
      <c r="M35" s="2">
        <v>0</v>
      </c>
      <c r="N35" s="2">
        <v>175</v>
      </c>
      <c r="O35">
        <v>1</v>
      </c>
      <c r="P35" s="2">
        <v>175</v>
      </c>
      <c r="R35" t="s">
        <v>2464</v>
      </c>
    </row>
    <row r="36" spans="1:18" x14ac:dyDescent="0.25">
      <c r="A36" s="4">
        <v>969806734</v>
      </c>
      <c r="B36" s="4" t="str">
        <f t="shared" si="0"/>
        <v>969806734OVR</v>
      </c>
      <c r="C36" t="s">
        <v>1148</v>
      </c>
      <c r="D36" t="s">
        <v>155</v>
      </c>
      <c r="E36">
        <v>20411454</v>
      </c>
      <c r="F36" t="s">
        <v>2477</v>
      </c>
      <c r="G36" t="s">
        <v>49</v>
      </c>
      <c r="H36" t="s">
        <v>1030</v>
      </c>
      <c r="I36" s="1">
        <v>46023</v>
      </c>
      <c r="J36" s="1">
        <v>46054</v>
      </c>
      <c r="K36" t="s">
        <v>51</v>
      </c>
      <c r="L36" t="s">
        <v>52</v>
      </c>
      <c r="M36" s="2">
        <v>0</v>
      </c>
      <c r="N36" s="2">
        <v>175</v>
      </c>
      <c r="O36">
        <v>1</v>
      </c>
      <c r="P36" s="2">
        <v>175</v>
      </c>
      <c r="R36" t="s">
        <v>2464</v>
      </c>
    </row>
    <row r="37" spans="1:18" x14ac:dyDescent="0.25">
      <c r="A37" s="4">
        <v>970893671</v>
      </c>
      <c r="B37" s="4" t="str">
        <f t="shared" si="0"/>
        <v>970893671OVR</v>
      </c>
      <c r="C37" t="s">
        <v>1152</v>
      </c>
      <c r="D37" t="s">
        <v>61</v>
      </c>
      <c r="E37">
        <v>20411454</v>
      </c>
      <c r="F37" t="s">
        <v>2477</v>
      </c>
      <c r="G37" t="s">
        <v>49</v>
      </c>
      <c r="H37" t="s">
        <v>1030</v>
      </c>
      <c r="I37" s="1">
        <v>46023</v>
      </c>
      <c r="J37" s="1">
        <v>46054</v>
      </c>
      <c r="K37" t="s">
        <v>51</v>
      </c>
      <c r="L37" t="s">
        <v>52</v>
      </c>
      <c r="M37" s="2">
        <v>0</v>
      </c>
      <c r="N37" s="2">
        <v>175</v>
      </c>
      <c r="O37">
        <v>1</v>
      </c>
      <c r="P37" s="2">
        <v>175</v>
      </c>
      <c r="R37" t="s">
        <v>2464</v>
      </c>
    </row>
    <row r="38" spans="1:18" x14ac:dyDescent="0.25">
      <c r="A38" s="4">
        <v>978655359</v>
      </c>
      <c r="B38" s="4" t="str">
        <f t="shared" ref="B38:B69" si="1">CONCATENATE(A38,"OVR")</f>
        <v>978655359OVR</v>
      </c>
      <c r="C38" t="s">
        <v>1163</v>
      </c>
      <c r="D38" t="s">
        <v>46</v>
      </c>
      <c r="E38">
        <v>20411454</v>
      </c>
      <c r="F38" t="s">
        <v>2477</v>
      </c>
      <c r="G38" t="s">
        <v>49</v>
      </c>
      <c r="H38" t="s">
        <v>1030</v>
      </c>
      <c r="I38" s="1">
        <v>46023</v>
      </c>
      <c r="J38" s="1">
        <v>46054</v>
      </c>
      <c r="K38" t="s">
        <v>51</v>
      </c>
      <c r="L38" t="s">
        <v>52</v>
      </c>
      <c r="M38" s="2">
        <v>0</v>
      </c>
      <c r="N38" s="2">
        <v>175</v>
      </c>
      <c r="O38">
        <v>1</v>
      </c>
      <c r="P38" s="2">
        <v>175</v>
      </c>
      <c r="R38" t="s">
        <v>2464</v>
      </c>
    </row>
    <row r="39" spans="1:18" x14ac:dyDescent="0.25">
      <c r="A39" s="4">
        <v>979108904</v>
      </c>
      <c r="B39" s="4" t="str">
        <f t="shared" si="1"/>
        <v>979108904OVR</v>
      </c>
      <c r="C39" t="s">
        <v>1256</v>
      </c>
      <c r="D39" t="s">
        <v>265</v>
      </c>
      <c r="E39">
        <v>20411454</v>
      </c>
      <c r="F39" t="s">
        <v>2477</v>
      </c>
      <c r="G39" t="s">
        <v>1204</v>
      </c>
      <c r="H39" t="s">
        <v>1030</v>
      </c>
      <c r="I39" s="1">
        <v>46023</v>
      </c>
      <c r="J39" s="1">
        <v>46054</v>
      </c>
      <c r="K39" t="s">
        <v>51</v>
      </c>
      <c r="L39" t="s">
        <v>52</v>
      </c>
      <c r="P39">
        <v>-175</v>
      </c>
      <c r="R39" t="s">
        <v>2464</v>
      </c>
    </row>
    <row r="40" spans="1:18" x14ac:dyDescent="0.25">
      <c r="A40" s="4">
        <v>902244700</v>
      </c>
      <c r="B40" s="4" t="str">
        <f t="shared" si="1"/>
        <v>902244700OVR</v>
      </c>
      <c r="C40" t="s">
        <v>1044</v>
      </c>
      <c r="D40" t="s">
        <v>491</v>
      </c>
      <c r="E40">
        <v>20411454</v>
      </c>
      <c r="F40" t="s">
        <v>2477</v>
      </c>
      <c r="G40" t="s">
        <v>49</v>
      </c>
      <c r="H40" t="s">
        <v>1047</v>
      </c>
      <c r="I40" s="1">
        <v>46023</v>
      </c>
      <c r="J40" s="1">
        <v>46054</v>
      </c>
      <c r="K40" t="s">
        <v>51</v>
      </c>
      <c r="L40" t="s">
        <v>52</v>
      </c>
      <c r="M40" s="2">
        <v>0</v>
      </c>
      <c r="N40" s="2">
        <v>113</v>
      </c>
      <c r="O40">
        <v>1</v>
      </c>
      <c r="P40" s="2">
        <v>113</v>
      </c>
      <c r="R40" t="s">
        <v>2464</v>
      </c>
    </row>
    <row r="41" spans="1:18" x14ac:dyDescent="0.25">
      <c r="A41" s="4">
        <v>912444947</v>
      </c>
      <c r="B41" s="4" t="str">
        <f t="shared" si="1"/>
        <v>912444947OVR</v>
      </c>
      <c r="C41" t="s">
        <v>1065</v>
      </c>
      <c r="D41" t="s">
        <v>491</v>
      </c>
      <c r="E41">
        <v>20411454</v>
      </c>
      <c r="F41" t="s">
        <v>2477</v>
      </c>
      <c r="G41" t="s">
        <v>49</v>
      </c>
      <c r="H41" t="s">
        <v>1047</v>
      </c>
      <c r="I41" s="1">
        <v>46023</v>
      </c>
      <c r="J41" s="1">
        <v>46054</v>
      </c>
      <c r="K41" t="s">
        <v>51</v>
      </c>
      <c r="L41" t="s">
        <v>52</v>
      </c>
      <c r="M41" s="2">
        <v>0</v>
      </c>
      <c r="N41" s="2">
        <v>113</v>
      </c>
      <c r="O41">
        <v>1</v>
      </c>
      <c r="P41" s="2">
        <v>113</v>
      </c>
      <c r="R41" t="s">
        <v>2464</v>
      </c>
    </row>
    <row r="42" spans="1:18" x14ac:dyDescent="0.25">
      <c r="A42" s="4">
        <v>916827423</v>
      </c>
      <c r="B42" s="4" t="str">
        <f t="shared" si="1"/>
        <v>916827423OVR</v>
      </c>
      <c r="C42" t="s">
        <v>1071</v>
      </c>
      <c r="D42" t="s">
        <v>78</v>
      </c>
      <c r="E42">
        <v>20411454</v>
      </c>
      <c r="F42" t="s">
        <v>2477</v>
      </c>
      <c r="G42" t="s">
        <v>49</v>
      </c>
      <c r="H42" t="s">
        <v>1047</v>
      </c>
      <c r="I42" s="1">
        <v>46023</v>
      </c>
      <c r="J42" s="1">
        <v>46054</v>
      </c>
      <c r="K42" t="s">
        <v>51</v>
      </c>
      <c r="L42" t="s">
        <v>52</v>
      </c>
      <c r="M42" s="2">
        <v>0</v>
      </c>
      <c r="N42" s="2">
        <v>113</v>
      </c>
      <c r="O42">
        <v>1</v>
      </c>
      <c r="P42" s="2">
        <v>113</v>
      </c>
      <c r="R42" t="s">
        <v>2464</v>
      </c>
    </row>
    <row r="43" spans="1:18" x14ac:dyDescent="0.25">
      <c r="A43" s="4">
        <v>917701101</v>
      </c>
      <c r="B43" s="4" t="str">
        <f t="shared" si="1"/>
        <v>917701101OVR</v>
      </c>
      <c r="C43" t="s">
        <v>1077</v>
      </c>
      <c r="D43" t="s">
        <v>46</v>
      </c>
      <c r="E43">
        <v>20411454</v>
      </c>
      <c r="F43" t="s">
        <v>2477</v>
      </c>
      <c r="G43" t="s">
        <v>49</v>
      </c>
      <c r="H43" t="s">
        <v>1047</v>
      </c>
      <c r="I43" s="1">
        <v>46023</v>
      </c>
      <c r="J43" s="1">
        <v>46054</v>
      </c>
      <c r="K43" t="s">
        <v>51</v>
      </c>
      <c r="L43" t="s">
        <v>52</v>
      </c>
      <c r="M43" s="2">
        <v>0</v>
      </c>
      <c r="N43" s="2">
        <v>113</v>
      </c>
      <c r="O43">
        <v>1</v>
      </c>
      <c r="P43" s="2">
        <v>113</v>
      </c>
      <c r="R43" t="s">
        <v>2464</v>
      </c>
    </row>
    <row r="44" spans="1:18" x14ac:dyDescent="0.25">
      <c r="A44" s="4">
        <v>922935380</v>
      </c>
      <c r="B44" s="4" t="str">
        <f t="shared" si="1"/>
        <v>922935380OVR</v>
      </c>
      <c r="C44" t="s">
        <v>1083</v>
      </c>
      <c r="D44" t="s">
        <v>46</v>
      </c>
      <c r="E44">
        <v>20411454</v>
      </c>
      <c r="F44" t="s">
        <v>2477</v>
      </c>
      <c r="G44" t="s">
        <v>49</v>
      </c>
      <c r="H44" t="s">
        <v>1047</v>
      </c>
      <c r="I44" s="1">
        <v>46023</v>
      </c>
      <c r="J44" s="1">
        <v>46054</v>
      </c>
      <c r="K44" t="s">
        <v>51</v>
      </c>
      <c r="L44" t="s">
        <v>52</v>
      </c>
      <c r="M44" s="2">
        <v>0</v>
      </c>
      <c r="N44" s="2">
        <v>113</v>
      </c>
      <c r="O44">
        <v>1</v>
      </c>
      <c r="P44" s="2">
        <v>113</v>
      </c>
      <c r="R44" t="s">
        <v>2464</v>
      </c>
    </row>
    <row r="45" spans="1:18" x14ac:dyDescent="0.25">
      <c r="A45" s="4">
        <v>935597255</v>
      </c>
      <c r="B45" s="4" t="str">
        <f t="shared" si="1"/>
        <v>935597255OVR</v>
      </c>
      <c r="C45" t="s">
        <v>1095</v>
      </c>
      <c r="D45" t="s">
        <v>78</v>
      </c>
      <c r="E45">
        <v>20411454</v>
      </c>
      <c r="F45" t="s">
        <v>2477</v>
      </c>
      <c r="G45" t="s">
        <v>49</v>
      </c>
      <c r="H45" t="s">
        <v>1047</v>
      </c>
      <c r="I45" s="1">
        <v>46023</v>
      </c>
      <c r="J45" s="1">
        <v>46054</v>
      </c>
      <c r="K45" t="s">
        <v>51</v>
      </c>
      <c r="L45" t="s">
        <v>52</v>
      </c>
      <c r="M45" s="2">
        <v>0</v>
      </c>
      <c r="N45" s="2">
        <v>113</v>
      </c>
      <c r="O45">
        <v>1</v>
      </c>
      <c r="P45" s="2">
        <v>113</v>
      </c>
      <c r="R45" t="s">
        <v>2464</v>
      </c>
    </row>
    <row r="46" spans="1:18" x14ac:dyDescent="0.25">
      <c r="A46" s="4">
        <v>966939081</v>
      </c>
      <c r="B46" s="4" t="str">
        <f t="shared" si="1"/>
        <v>966939081OVR</v>
      </c>
      <c r="C46" t="s">
        <v>1142</v>
      </c>
      <c r="D46" t="s">
        <v>491</v>
      </c>
      <c r="E46">
        <v>20411454</v>
      </c>
      <c r="F46" t="s">
        <v>2477</v>
      </c>
      <c r="G46" t="s">
        <v>49</v>
      </c>
      <c r="H46" t="s">
        <v>1047</v>
      </c>
      <c r="I46" s="1">
        <v>46023</v>
      </c>
      <c r="J46" s="1">
        <v>46054</v>
      </c>
      <c r="K46" t="s">
        <v>51</v>
      </c>
      <c r="L46" t="s">
        <v>52</v>
      </c>
      <c r="M46" s="2">
        <v>0</v>
      </c>
      <c r="N46" s="2">
        <v>113</v>
      </c>
      <c r="O46">
        <v>1</v>
      </c>
      <c r="P46" s="2">
        <v>113</v>
      </c>
      <c r="R46" t="s">
        <v>2464</v>
      </c>
    </row>
    <row r="47" spans="1:18" x14ac:dyDescent="0.25">
      <c r="A47" s="4">
        <v>977339678</v>
      </c>
      <c r="B47" s="4" t="str">
        <f t="shared" si="1"/>
        <v>977339678OVR</v>
      </c>
      <c r="C47" t="s">
        <v>1157</v>
      </c>
      <c r="D47" t="s">
        <v>491</v>
      </c>
      <c r="E47">
        <v>20411454</v>
      </c>
      <c r="F47" t="s">
        <v>2477</v>
      </c>
      <c r="G47" t="s">
        <v>49</v>
      </c>
      <c r="H47" t="s">
        <v>1047</v>
      </c>
      <c r="I47" s="1">
        <v>46023</v>
      </c>
      <c r="J47" s="1">
        <v>46054</v>
      </c>
      <c r="K47" t="s">
        <v>51</v>
      </c>
      <c r="L47" t="s">
        <v>52</v>
      </c>
      <c r="M47" s="2">
        <v>0</v>
      </c>
      <c r="N47" s="2">
        <v>113</v>
      </c>
      <c r="O47">
        <v>1</v>
      </c>
      <c r="P47" s="2">
        <v>113</v>
      </c>
      <c r="R47" t="s">
        <v>2464</v>
      </c>
    </row>
    <row r="48" spans="1:18" x14ac:dyDescent="0.25">
      <c r="A48" s="4">
        <v>966984153</v>
      </c>
      <c r="B48" s="4" t="str">
        <f t="shared" si="1"/>
        <v>966984153OVR</v>
      </c>
      <c r="C48" t="s">
        <v>1252</v>
      </c>
      <c r="D48" t="s">
        <v>114</v>
      </c>
      <c r="E48">
        <v>20411454</v>
      </c>
      <c r="F48" t="s">
        <v>2477</v>
      </c>
      <c r="G48" t="s">
        <v>1204</v>
      </c>
      <c r="H48" t="s">
        <v>1047</v>
      </c>
      <c r="I48" s="1">
        <v>46023</v>
      </c>
      <c r="J48" s="1">
        <v>46054</v>
      </c>
      <c r="K48" t="s">
        <v>51</v>
      </c>
      <c r="L48" t="s">
        <v>52</v>
      </c>
      <c r="P48">
        <v>-113</v>
      </c>
      <c r="R48" t="s">
        <v>2464</v>
      </c>
    </row>
    <row r="49" spans="1:18" x14ac:dyDescent="0.25">
      <c r="A49" s="4">
        <v>122172434</v>
      </c>
      <c r="B49" s="4" t="str">
        <f t="shared" si="1"/>
        <v>122172434OVR</v>
      </c>
      <c r="C49" t="s">
        <v>1020</v>
      </c>
      <c r="D49" t="s">
        <v>491</v>
      </c>
      <c r="E49">
        <v>20411454</v>
      </c>
      <c r="F49" t="s">
        <v>2477</v>
      </c>
      <c r="G49" t="s">
        <v>49</v>
      </c>
      <c r="H49" t="s">
        <v>1023</v>
      </c>
      <c r="I49" s="1">
        <v>46023</v>
      </c>
      <c r="J49" s="1">
        <v>46054</v>
      </c>
      <c r="K49" t="s">
        <v>51</v>
      </c>
      <c r="L49" t="s">
        <v>52</v>
      </c>
      <c r="M49" s="2">
        <v>0</v>
      </c>
      <c r="N49" s="2">
        <v>72</v>
      </c>
      <c r="O49">
        <v>1</v>
      </c>
      <c r="P49" s="2">
        <v>72</v>
      </c>
      <c r="Q49" t="s">
        <v>1024</v>
      </c>
      <c r="R49" t="s">
        <v>2464</v>
      </c>
    </row>
    <row r="50" spans="1:18" x14ac:dyDescent="0.25">
      <c r="A50" s="4">
        <v>129949159</v>
      </c>
      <c r="B50" s="4" t="str">
        <f t="shared" si="1"/>
        <v>129949159OVR</v>
      </c>
      <c r="C50" t="s">
        <v>1032</v>
      </c>
      <c r="D50" t="s">
        <v>155</v>
      </c>
      <c r="E50">
        <v>20411454</v>
      </c>
      <c r="F50" t="s">
        <v>2477</v>
      </c>
      <c r="G50" t="s">
        <v>49</v>
      </c>
      <c r="H50" t="s">
        <v>1023</v>
      </c>
      <c r="I50" s="1">
        <v>46023</v>
      </c>
      <c r="J50" s="1">
        <v>46054</v>
      </c>
      <c r="K50" t="s">
        <v>51</v>
      </c>
      <c r="L50" t="s">
        <v>52</v>
      </c>
      <c r="M50" s="2">
        <v>0</v>
      </c>
      <c r="N50" s="2">
        <v>72</v>
      </c>
      <c r="O50">
        <v>1</v>
      </c>
      <c r="P50" s="2">
        <v>72</v>
      </c>
      <c r="Q50" t="s">
        <v>1024</v>
      </c>
      <c r="R50" t="s">
        <v>2464</v>
      </c>
    </row>
    <row r="51" spans="1:18" x14ac:dyDescent="0.25">
      <c r="A51" s="4">
        <v>951566976</v>
      </c>
      <c r="B51" s="4" t="str">
        <f t="shared" si="1"/>
        <v>951566976OVR</v>
      </c>
      <c r="C51" t="s">
        <v>1120</v>
      </c>
      <c r="D51" t="s">
        <v>61</v>
      </c>
      <c r="E51">
        <v>20411454</v>
      </c>
      <c r="F51" t="s">
        <v>2477</v>
      </c>
      <c r="G51" t="s">
        <v>49</v>
      </c>
      <c r="H51" t="s">
        <v>1023</v>
      </c>
      <c r="I51" s="1">
        <v>46023</v>
      </c>
      <c r="J51" s="1">
        <v>46054</v>
      </c>
      <c r="K51" t="s">
        <v>51</v>
      </c>
      <c r="L51" t="s">
        <v>52</v>
      </c>
      <c r="M51" s="2">
        <v>0</v>
      </c>
      <c r="N51" s="2">
        <v>72</v>
      </c>
      <c r="O51">
        <v>1</v>
      </c>
      <c r="P51" s="2">
        <v>72</v>
      </c>
      <c r="Q51" t="s">
        <v>1024</v>
      </c>
      <c r="R51" t="s">
        <v>2464</v>
      </c>
    </row>
    <row r="52" spans="1:18" x14ac:dyDescent="0.25">
      <c r="A52" s="4">
        <v>952238366</v>
      </c>
      <c r="B52" s="4" t="str">
        <f t="shared" si="1"/>
        <v>952238366OVR</v>
      </c>
      <c r="C52" t="s">
        <v>1122</v>
      </c>
      <c r="D52" t="s">
        <v>87</v>
      </c>
      <c r="E52">
        <v>20411454</v>
      </c>
      <c r="F52" t="s">
        <v>2477</v>
      </c>
      <c r="G52" t="s">
        <v>49</v>
      </c>
      <c r="H52" t="s">
        <v>1023</v>
      </c>
      <c r="I52" s="1">
        <v>46023</v>
      </c>
      <c r="J52" s="1">
        <v>46054</v>
      </c>
      <c r="K52" t="s">
        <v>51</v>
      </c>
      <c r="L52" t="s">
        <v>52</v>
      </c>
      <c r="M52" s="2">
        <v>0</v>
      </c>
      <c r="N52" s="2">
        <v>72</v>
      </c>
      <c r="O52">
        <v>1</v>
      </c>
      <c r="P52" s="2">
        <v>72</v>
      </c>
      <c r="Q52" t="s">
        <v>1024</v>
      </c>
      <c r="R52" t="s">
        <v>2464</v>
      </c>
    </row>
    <row r="53" spans="1:18" x14ac:dyDescent="0.25">
      <c r="A53" s="4">
        <v>957358780</v>
      </c>
      <c r="B53" s="4" t="str">
        <f t="shared" si="1"/>
        <v>957358780OVR</v>
      </c>
      <c r="C53" t="s">
        <v>1130</v>
      </c>
      <c r="D53" t="s">
        <v>87</v>
      </c>
      <c r="E53">
        <v>20411454</v>
      </c>
      <c r="F53" t="s">
        <v>2477</v>
      </c>
      <c r="G53" t="s">
        <v>49</v>
      </c>
      <c r="H53" t="s">
        <v>1023</v>
      </c>
      <c r="I53" s="1">
        <v>46023</v>
      </c>
      <c r="J53" s="1">
        <v>46054</v>
      </c>
      <c r="K53" t="s">
        <v>51</v>
      </c>
      <c r="L53" t="s">
        <v>52</v>
      </c>
      <c r="M53" s="2">
        <v>0</v>
      </c>
      <c r="N53" s="2">
        <v>72</v>
      </c>
      <c r="O53">
        <v>1</v>
      </c>
      <c r="P53" s="2">
        <v>72</v>
      </c>
      <c r="Q53" t="s">
        <v>1024</v>
      </c>
      <c r="R53" t="s">
        <v>2464</v>
      </c>
    </row>
    <row r="54" spans="1:18" x14ac:dyDescent="0.25">
      <c r="A54" s="4">
        <v>964375898</v>
      </c>
      <c r="B54" s="4" t="str">
        <f t="shared" si="1"/>
        <v>964375898OVR</v>
      </c>
      <c r="C54" t="s">
        <v>1140</v>
      </c>
      <c r="D54" t="s">
        <v>155</v>
      </c>
      <c r="E54">
        <v>20411454</v>
      </c>
      <c r="F54" t="s">
        <v>2477</v>
      </c>
      <c r="G54" t="s">
        <v>49</v>
      </c>
      <c r="H54" t="s">
        <v>1023</v>
      </c>
      <c r="I54" s="1">
        <v>46023</v>
      </c>
      <c r="J54" s="1">
        <v>46054</v>
      </c>
      <c r="K54" t="s">
        <v>51</v>
      </c>
      <c r="L54" t="s">
        <v>52</v>
      </c>
      <c r="M54" s="2">
        <v>0</v>
      </c>
      <c r="N54" s="2">
        <v>72</v>
      </c>
      <c r="O54">
        <v>1</v>
      </c>
      <c r="P54" s="2">
        <v>72</v>
      </c>
      <c r="Q54" t="s">
        <v>1024</v>
      </c>
      <c r="R54" t="s">
        <v>2464</v>
      </c>
    </row>
    <row r="55" spans="1:18" x14ac:dyDescent="0.25">
      <c r="A55" s="4">
        <v>970380792</v>
      </c>
      <c r="B55" s="4" t="str">
        <f t="shared" si="1"/>
        <v>970380792OVR</v>
      </c>
      <c r="C55" t="s">
        <v>1150</v>
      </c>
      <c r="D55" t="s">
        <v>155</v>
      </c>
      <c r="E55">
        <v>20411454</v>
      </c>
      <c r="F55" t="s">
        <v>2477</v>
      </c>
      <c r="G55" t="s">
        <v>49</v>
      </c>
      <c r="H55" t="s">
        <v>1023</v>
      </c>
      <c r="I55" s="1">
        <v>46023</v>
      </c>
      <c r="J55" s="1">
        <v>46054</v>
      </c>
      <c r="K55" t="s">
        <v>51</v>
      </c>
      <c r="L55" t="s">
        <v>52</v>
      </c>
      <c r="M55" s="2">
        <v>0</v>
      </c>
      <c r="N55" s="2">
        <v>72</v>
      </c>
      <c r="O55">
        <v>1</v>
      </c>
      <c r="P55" s="2">
        <v>72</v>
      </c>
      <c r="Q55" t="s">
        <v>1024</v>
      </c>
      <c r="R55" t="s">
        <v>2464</v>
      </c>
    </row>
    <row r="56" spans="1:18" x14ac:dyDescent="0.25">
      <c r="A56" s="4">
        <v>981424265</v>
      </c>
      <c r="B56" s="4" t="str">
        <f t="shared" si="1"/>
        <v>981424265OVR</v>
      </c>
      <c r="C56" t="s">
        <v>1165</v>
      </c>
      <c r="D56" t="s">
        <v>61</v>
      </c>
      <c r="E56">
        <v>20411454</v>
      </c>
      <c r="F56" t="s">
        <v>2477</v>
      </c>
      <c r="G56" t="s">
        <v>49</v>
      </c>
      <c r="H56" t="s">
        <v>1023</v>
      </c>
      <c r="I56" s="1">
        <v>46023</v>
      </c>
      <c r="J56" s="1">
        <v>46054</v>
      </c>
      <c r="K56" t="s">
        <v>51</v>
      </c>
      <c r="L56" t="s">
        <v>52</v>
      </c>
      <c r="M56" s="2">
        <v>0</v>
      </c>
      <c r="N56" s="2">
        <v>72</v>
      </c>
      <c r="O56">
        <v>1</v>
      </c>
      <c r="P56" s="2">
        <v>72</v>
      </c>
      <c r="Q56" t="s">
        <v>1024</v>
      </c>
      <c r="R56" t="s">
        <v>2464</v>
      </c>
    </row>
    <row r="57" spans="1:18" x14ac:dyDescent="0.25">
      <c r="A57" s="4">
        <v>986833979</v>
      </c>
      <c r="B57" s="4" t="str">
        <f t="shared" si="1"/>
        <v>986833979OVR</v>
      </c>
      <c r="C57" t="s">
        <v>1169</v>
      </c>
      <c r="D57" t="s">
        <v>217</v>
      </c>
      <c r="E57">
        <v>20411454</v>
      </c>
      <c r="F57" t="s">
        <v>2477</v>
      </c>
      <c r="G57" t="s">
        <v>49</v>
      </c>
      <c r="H57" t="s">
        <v>1023</v>
      </c>
      <c r="I57" s="1">
        <v>46023</v>
      </c>
      <c r="J57" s="1">
        <v>46054</v>
      </c>
      <c r="K57" t="s">
        <v>51</v>
      </c>
      <c r="L57" t="s">
        <v>52</v>
      </c>
      <c r="M57" s="2">
        <v>0</v>
      </c>
      <c r="N57" s="2">
        <v>72</v>
      </c>
      <c r="O57">
        <v>1</v>
      </c>
      <c r="P57" s="2">
        <v>72</v>
      </c>
      <c r="Q57" t="s">
        <v>1024</v>
      </c>
      <c r="R57" t="s">
        <v>2464</v>
      </c>
    </row>
    <row r="58" spans="1:18" x14ac:dyDescent="0.25">
      <c r="A58" s="4">
        <v>987907924</v>
      </c>
      <c r="B58" s="4" t="str">
        <f t="shared" si="1"/>
        <v>987907924OVR</v>
      </c>
      <c r="C58" t="s">
        <v>1171</v>
      </c>
      <c r="D58" t="s">
        <v>46</v>
      </c>
      <c r="E58">
        <v>20411454</v>
      </c>
      <c r="F58" t="s">
        <v>2477</v>
      </c>
      <c r="G58" t="s">
        <v>49</v>
      </c>
      <c r="H58" t="s">
        <v>1023</v>
      </c>
      <c r="I58" s="1">
        <v>46023</v>
      </c>
      <c r="J58" s="1">
        <v>46054</v>
      </c>
      <c r="K58" t="s">
        <v>51</v>
      </c>
      <c r="L58" t="s">
        <v>52</v>
      </c>
      <c r="M58" s="2">
        <v>0</v>
      </c>
      <c r="N58" s="2">
        <v>72</v>
      </c>
      <c r="O58">
        <v>1</v>
      </c>
      <c r="P58" s="2">
        <v>72</v>
      </c>
      <c r="Q58" t="s">
        <v>1024</v>
      </c>
      <c r="R58" t="s">
        <v>2464</v>
      </c>
    </row>
    <row r="59" spans="1:18" x14ac:dyDescent="0.25">
      <c r="A59" s="4">
        <v>993350281</v>
      </c>
      <c r="B59" s="4" t="str">
        <f t="shared" si="1"/>
        <v>993350281OVR</v>
      </c>
      <c r="C59" t="s">
        <v>1173</v>
      </c>
      <c r="D59" t="s">
        <v>217</v>
      </c>
      <c r="E59">
        <v>20411454</v>
      </c>
      <c r="F59" t="s">
        <v>2477</v>
      </c>
      <c r="G59" t="s">
        <v>49</v>
      </c>
      <c r="H59" t="s">
        <v>1023</v>
      </c>
      <c r="I59" s="1">
        <v>46023</v>
      </c>
      <c r="J59" s="1">
        <v>46054</v>
      </c>
      <c r="K59" t="s">
        <v>51</v>
      </c>
      <c r="L59" t="s">
        <v>52</v>
      </c>
      <c r="M59" s="2">
        <v>0</v>
      </c>
      <c r="N59" s="2">
        <v>72</v>
      </c>
      <c r="O59">
        <v>1</v>
      </c>
      <c r="P59" s="2">
        <v>72</v>
      </c>
      <c r="Q59" t="s">
        <v>1024</v>
      </c>
      <c r="R59" t="s">
        <v>2464</v>
      </c>
    </row>
    <row r="60" spans="1:18" x14ac:dyDescent="0.25">
      <c r="A60" s="4">
        <v>969642789</v>
      </c>
      <c r="B60" s="4" t="str">
        <f t="shared" si="1"/>
        <v>969642789OVR</v>
      </c>
      <c r="C60" t="s">
        <v>1254</v>
      </c>
      <c r="D60" t="s">
        <v>46</v>
      </c>
      <c r="E60">
        <v>20411454</v>
      </c>
      <c r="F60" t="s">
        <v>2477</v>
      </c>
      <c r="G60" t="s">
        <v>1204</v>
      </c>
      <c r="H60" t="s">
        <v>1023</v>
      </c>
      <c r="I60" s="1">
        <v>46023</v>
      </c>
      <c r="J60" s="1">
        <v>46054</v>
      </c>
      <c r="K60" t="s">
        <v>51</v>
      </c>
      <c r="L60" t="s">
        <v>52</v>
      </c>
      <c r="P60">
        <v>-72</v>
      </c>
      <c r="R60" t="s">
        <v>2464</v>
      </c>
    </row>
    <row r="61" spans="1:18" x14ac:dyDescent="0.25">
      <c r="A61" s="4">
        <v>989423301</v>
      </c>
      <c r="B61" s="4" t="str">
        <f t="shared" si="1"/>
        <v>989423301OVR</v>
      </c>
      <c r="C61" t="s">
        <v>1258</v>
      </c>
      <c r="D61" t="s">
        <v>55</v>
      </c>
      <c r="E61">
        <v>20411454</v>
      </c>
      <c r="F61" t="s">
        <v>2477</v>
      </c>
      <c r="G61" t="s">
        <v>1204</v>
      </c>
      <c r="H61" t="s">
        <v>1023</v>
      </c>
      <c r="I61" s="1">
        <v>46023</v>
      </c>
      <c r="J61" s="1">
        <v>46054</v>
      </c>
      <c r="K61" t="s">
        <v>51</v>
      </c>
      <c r="L61" t="s">
        <v>52</v>
      </c>
      <c r="P61">
        <v>-72</v>
      </c>
      <c r="R61" t="s">
        <v>2464</v>
      </c>
    </row>
    <row r="62" spans="1:18" x14ac:dyDescent="0.25">
      <c r="A62" s="4">
        <v>909120643</v>
      </c>
      <c r="B62" s="4" t="str">
        <f t="shared" si="1"/>
        <v>909120643OVR</v>
      </c>
      <c r="C62" t="s">
        <v>1053</v>
      </c>
      <c r="D62" t="s">
        <v>61</v>
      </c>
      <c r="E62">
        <v>20411454</v>
      </c>
      <c r="F62" t="s">
        <v>2477</v>
      </c>
      <c r="G62" t="s">
        <v>49</v>
      </c>
      <c r="H62" t="s">
        <v>1054</v>
      </c>
      <c r="I62" s="1">
        <v>46023</v>
      </c>
      <c r="J62" s="1">
        <v>46054</v>
      </c>
      <c r="K62" t="s">
        <v>51</v>
      </c>
      <c r="L62" t="s">
        <v>52</v>
      </c>
      <c r="M62" s="2">
        <v>0</v>
      </c>
      <c r="N62" s="2">
        <v>50</v>
      </c>
      <c r="O62">
        <v>1</v>
      </c>
      <c r="P62" s="2">
        <v>50</v>
      </c>
      <c r="Q62" t="s">
        <v>1024</v>
      </c>
      <c r="R62" t="s">
        <v>2464</v>
      </c>
    </row>
    <row r="63" spans="1:18" x14ac:dyDescent="0.25">
      <c r="A63" s="4">
        <v>984024242</v>
      </c>
      <c r="B63" s="4" t="str">
        <f t="shared" si="1"/>
        <v>984024242OVR</v>
      </c>
      <c r="C63" t="s">
        <v>1167</v>
      </c>
      <c r="D63" t="s">
        <v>491</v>
      </c>
      <c r="E63">
        <v>20411454</v>
      </c>
      <c r="F63" t="s">
        <v>2477</v>
      </c>
      <c r="G63" t="s">
        <v>49</v>
      </c>
      <c r="H63" t="s">
        <v>1054</v>
      </c>
      <c r="I63" s="1">
        <v>46023</v>
      </c>
      <c r="J63" s="1">
        <v>46054</v>
      </c>
      <c r="K63" t="s">
        <v>51</v>
      </c>
      <c r="L63" t="s">
        <v>52</v>
      </c>
      <c r="M63" s="2">
        <v>0</v>
      </c>
      <c r="N63" s="2">
        <v>50</v>
      </c>
      <c r="O63">
        <v>1</v>
      </c>
      <c r="P63" s="2">
        <v>50</v>
      </c>
      <c r="Q63" t="s">
        <v>1024</v>
      </c>
      <c r="R63" t="s">
        <v>2464</v>
      </c>
    </row>
    <row r="64" spans="1:18" x14ac:dyDescent="0.25">
      <c r="A64" s="4">
        <v>977936680</v>
      </c>
      <c r="B64" s="4" t="str">
        <f t="shared" si="1"/>
        <v>977936680OVR</v>
      </c>
      <c r="C64" t="s">
        <v>1159</v>
      </c>
      <c r="D64" t="s">
        <v>61</v>
      </c>
      <c r="E64">
        <v>20411454</v>
      </c>
      <c r="F64" t="s">
        <v>2477</v>
      </c>
      <c r="G64" t="s">
        <v>49</v>
      </c>
      <c r="H64" t="s">
        <v>1161</v>
      </c>
      <c r="I64" s="1">
        <v>45992</v>
      </c>
      <c r="J64" s="1">
        <v>46023</v>
      </c>
      <c r="K64" t="s">
        <v>51</v>
      </c>
      <c r="L64" t="s">
        <v>52</v>
      </c>
      <c r="M64" s="2">
        <v>0</v>
      </c>
      <c r="N64" s="2">
        <v>9.42</v>
      </c>
      <c r="O64">
        <v>1</v>
      </c>
      <c r="P64" s="2">
        <v>9.42</v>
      </c>
      <c r="Q64" t="s">
        <v>1126</v>
      </c>
      <c r="R64" t="s">
        <v>2464</v>
      </c>
    </row>
    <row r="65" spans="1:40" x14ac:dyDescent="0.25">
      <c r="A65" s="4">
        <v>914839672</v>
      </c>
      <c r="B65" s="4" t="str">
        <f t="shared" si="1"/>
        <v>914839672OVR</v>
      </c>
      <c r="C65" t="s">
        <v>1807</v>
      </c>
      <c r="D65" t="s">
        <v>46</v>
      </c>
      <c r="E65">
        <v>20411454</v>
      </c>
      <c r="F65" t="s">
        <v>2477</v>
      </c>
      <c r="G65" t="s">
        <v>1262</v>
      </c>
      <c r="H65" t="s">
        <v>1030</v>
      </c>
      <c r="I65" s="1">
        <v>45931</v>
      </c>
      <c r="J65" s="1">
        <v>45992</v>
      </c>
      <c r="K65" t="s">
        <v>51</v>
      </c>
      <c r="L65" t="s">
        <v>52</v>
      </c>
      <c r="M65" s="2">
        <v>0</v>
      </c>
      <c r="N65" s="2">
        <v>0</v>
      </c>
      <c r="P65" s="2">
        <v>-175</v>
      </c>
      <c r="Q65" t="s">
        <v>1808</v>
      </c>
      <c r="R65" t="s">
        <v>2464</v>
      </c>
    </row>
    <row r="66" spans="1:40" x14ac:dyDescent="0.25">
      <c r="A66" s="4">
        <v>909023469</v>
      </c>
      <c r="B66" s="4" t="str">
        <f t="shared" si="1"/>
        <v>909023469OVR</v>
      </c>
      <c r="C66" t="s">
        <v>1805</v>
      </c>
      <c r="D66" t="s">
        <v>491</v>
      </c>
      <c r="E66">
        <v>20411454</v>
      </c>
      <c r="F66" t="s">
        <v>2477</v>
      </c>
      <c r="G66" t="s">
        <v>1262</v>
      </c>
      <c r="H66" t="s">
        <v>1788</v>
      </c>
      <c r="I66" s="1">
        <v>45627</v>
      </c>
      <c r="J66" s="1">
        <v>45992</v>
      </c>
      <c r="K66" t="s">
        <v>51</v>
      </c>
      <c r="L66" t="s">
        <v>52</v>
      </c>
      <c r="M66" s="2">
        <v>1</v>
      </c>
      <c r="N66" s="2">
        <v>1</v>
      </c>
      <c r="P66" s="2">
        <v>6</v>
      </c>
      <c r="Q66" t="s">
        <v>1787</v>
      </c>
      <c r="R66" t="s">
        <v>2464</v>
      </c>
    </row>
    <row r="67" spans="1:40" x14ac:dyDescent="0.25">
      <c r="A67" s="4">
        <v>920223192</v>
      </c>
      <c r="B67" s="4" t="str">
        <f t="shared" si="1"/>
        <v>920223192OVR</v>
      </c>
      <c r="C67" t="s">
        <v>1810</v>
      </c>
      <c r="D67" t="s">
        <v>491</v>
      </c>
      <c r="E67">
        <v>20411454</v>
      </c>
      <c r="F67" t="s">
        <v>2477</v>
      </c>
      <c r="G67" t="s">
        <v>49</v>
      </c>
      <c r="H67" t="s">
        <v>1811</v>
      </c>
      <c r="I67" s="1">
        <v>45627</v>
      </c>
      <c r="J67" s="1">
        <v>45992</v>
      </c>
      <c r="K67" t="s">
        <v>51</v>
      </c>
      <c r="L67" t="s">
        <v>52</v>
      </c>
      <c r="M67" s="2">
        <v>1</v>
      </c>
      <c r="N67" s="2">
        <v>1</v>
      </c>
      <c r="P67" s="2">
        <v>6</v>
      </c>
      <c r="Q67" t="s">
        <v>1398</v>
      </c>
      <c r="R67" t="s">
        <v>2464</v>
      </c>
    </row>
    <row r="68" spans="1:40" x14ac:dyDescent="0.25">
      <c r="A68" s="4">
        <v>967950774</v>
      </c>
      <c r="B68" s="4" t="str">
        <f t="shared" si="1"/>
        <v>967950774OVR</v>
      </c>
      <c r="C68" t="s">
        <v>1814</v>
      </c>
      <c r="D68" t="s">
        <v>491</v>
      </c>
      <c r="E68">
        <v>20411454</v>
      </c>
      <c r="F68" t="s">
        <v>2477</v>
      </c>
      <c r="G68" t="s">
        <v>49</v>
      </c>
      <c r="H68" t="s">
        <v>1811</v>
      </c>
      <c r="I68" s="1">
        <v>45627</v>
      </c>
      <c r="J68" s="1">
        <v>45992</v>
      </c>
      <c r="K68" t="s">
        <v>51</v>
      </c>
      <c r="L68" t="s">
        <v>52</v>
      </c>
      <c r="M68" s="2">
        <v>1</v>
      </c>
      <c r="N68" s="2">
        <v>1</v>
      </c>
      <c r="P68" s="2">
        <v>6</v>
      </c>
      <c r="Q68" t="s">
        <v>1398</v>
      </c>
      <c r="R68" t="s">
        <v>2464</v>
      </c>
    </row>
    <row r="69" spans="1:40" x14ac:dyDescent="0.25">
      <c r="A69" s="4">
        <v>967561705</v>
      </c>
      <c r="B69" s="4" t="str">
        <f t="shared" si="1"/>
        <v>967561705OVR</v>
      </c>
      <c r="C69" t="s">
        <v>1813</v>
      </c>
      <c r="D69" t="s">
        <v>46</v>
      </c>
      <c r="E69">
        <v>20411454</v>
      </c>
      <c r="F69" t="s">
        <v>2477</v>
      </c>
      <c r="G69" t="s">
        <v>1262</v>
      </c>
      <c r="H69" t="s">
        <v>1788</v>
      </c>
      <c r="I69" s="1">
        <v>45597</v>
      </c>
      <c r="J69" s="1">
        <v>45992</v>
      </c>
      <c r="K69" t="s">
        <v>51</v>
      </c>
      <c r="L69" t="s">
        <v>52</v>
      </c>
      <c r="M69" s="2">
        <v>1</v>
      </c>
      <c r="N69" s="2">
        <v>1</v>
      </c>
      <c r="P69" s="2">
        <v>6</v>
      </c>
      <c r="Q69" t="s">
        <v>1787</v>
      </c>
      <c r="R69" t="s">
        <v>2464</v>
      </c>
    </row>
    <row r="70" spans="1:40" x14ac:dyDescent="0.25">
      <c r="A70" s="4">
        <v>970181792</v>
      </c>
      <c r="B70" s="4" t="str">
        <f t="shared" ref="B70:B79" si="2">CONCATENATE(A70,"OVR")</f>
        <v>970181792OVR</v>
      </c>
      <c r="C70" t="s">
        <v>1815</v>
      </c>
      <c r="D70" t="s">
        <v>1707</v>
      </c>
      <c r="E70">
        <v>20411454</v>
      </c>
      <c r="F70" t="s">
        <v>2477</v>
      </c>
      <c r="G70" t="s">
        <v>1262</v>
      </c>
      <c r="H70" t="s">
        <v>1788</v>
      </c>
      <c r="I70" s="1">
        <v>45597</v>
      </c>
      <c r="J70" s="1">
        <v>45992</v>
      </c>
      <c r="K70" t="s">
        <v>51</v>
      </c>
      <c r="L70" t="s">
        <v>52</v>
      </c>
      <c r="M70" s="2">
        <v>1</v>
      </c>
      <c r="N70" s="2">
        <v>1</v>
      </c>
      <c r="P70" s="2">
        <v>6</v>
      </c>
      <c r="Q70" t="s">
        <v>1787</v>
      </c>
      <c r="R70" t="s">
        <v>2464</v>
      </c>
    </row>
    <row r="71" spans="1:40" x14ac:dyDescent="0.25">
      <c r="A71" s="4">
        <v>992088421</v>
      </c>
      <c r="B71" s="4" t="str">
        <f t="shared" si="2"/>
        <v>992088421OVR</v>
      </c>
      <c r="C71" t="s">
        <v>1818</v>
      </c>
      <c r="D71" t="s">
        <v>55</v>
      </c>
      <c r="E71">
        <v>20411454</v>
      </c>
      <c r="F71" t="s">
        <v>2477</v>
      </c>
      <c r="G71" t="s">
        <v>49</v>
      </c>
      <c r="H71" t="s">
        <v>1788</v>
      </c>
      <c r="I71" s="1">
        <v>45597</v>
      </c>
      <c r="J71" s="1">
        <v>45992</v>
      </c>
      <c r="K71" t="s">
        <v>51</v>
      </c>
      <c r="L71" t="s">
        <v>52</v>
      </c>
      <c r="M71" s="2">
        <v>1</v>
      </c>
      <c r="N71" s="2">
        <v>1</v>
      </c>
      <c r="P71" s="2">
        <v>6</v>
      </c>
      <c r="Q71" t="s">
        <v>1787</v>
      </c>
      <c r="R71" t="s">
        <v>2464</v>
      </c>
    </row>
    <row r="72" spans="1:40" x14ac:dyDescent="0.25">
      <c r="A72" s="4">
        <v>981141937</v>
      </c>
      <c r="B72" s="4" t="str">
        <f t="shared" si="2"/>
        <v>981141937OVR</v>
      </c>
      <c r="C72" t="s">
        <v>1816</v>
      </c>
      <c r="D72" t="s">
        <v>217</v>
      </c>
      <c r="E72">
        <v>20411454</v>
      </c>
      <c r="F72" t="s">
        <v>2477</v>
      </c>
      <c r="G72" t="s">
        <v>49</v>
      </c>
      <c r="H72" t="s">
        <v>1791</v>
      </c>
      <c r="I72" s="1">
        <v>45597</v>
      </c>
      <c r="J72" s="1">
        <v>45992</v>
      </c>
      <c r="K72" t="s">
        <v>51</v>
      </c>
      <c r="L72" t="s">
        <v>52</v>
      </c>
      <c r="M72" s="2">
        <v>1</v>
      </c>
      <c r="N72" s="2">
        <v>1</v>
      </c>
      <c r="P72" s="2">
        <v>6</v>
      </c>
      <c r="Q72" t="s">
        <v>1787</v>
      </c>
      <c r="R72" t="s">
        <v>2464</v>
      </c>
    </row>
    <row r="73" spans="1:40" x14ac:dyDescent="0.25">
      <c r="A73" s="4">
        <v>906051412</v>
      </c>
      <c r="B73" s="4" t="str">
        <f t="shared" si="2"/>
        <v>906051412OVR</v>
      </c>
      <c r="C73" t="s">
        <v>1804</v>
      </c>
      <c r="D73" t="s">
        <v>46</v>
      </c>
      <c r="E73">
        <v>20411454</v>
      </c>
      <c r="F73" t="s">
        <v>2477</v>
      </c>
      <c r="G73" t="s">
        <v>49</v>
      </c>
      <c r="H73" t="s">
        <v>1788</v>
      </c>
      <c r="I73" s="1">
        <v>45566</v>
      </c>
      <c r="J73" s="1">
        <v>45992</v>
      </c>
      <c r="K73" t="s">
        <v>51</v>
      </c>
      <c r="L73" t="s">
        <v>52</v>
      </c>
      <c r="M73" s="2">
        <v>1</v>
      </c>
      <c r="N73" s="2">
        <v>1</v>
      </c>
      <c r="P73" s="2">
        <v>6</v>
      </c>
      <c r="Q73" t="s">
        <v>1787</v>
      </c>
      <c r="R73" t="s">
        <v>2464</v>
      </c>
    </row>
    <row r="74" spans="1:40" x14ac:dyDescent="0.25">
      <c r="A74" s="4">
        <v>992426853</v>
      </c>
      <c r="B74" s="4" t="str">
        <f t="shared" si="2"/>
        <v>992426853OVR</v>
      </c>
      <c r="C74" t="s">
        <v>1820</v>
      </c>
      <c r="D74" t="s">
        <v>46</v>
      </c>
      <c r="E74">
        <v>20411454</v>
      </c>
      <c r="F74" t="s">
        <v>2477</v>
      </c>
      <c r="G74" t="s">
        <v>49</v>
      </c>
      <c r="H74" t="s">
        <v>1791</v>
      </c>
      <c r="I74" s="1">
        <v>45566</v>
      </c>
      <c r="J74" s="1">
        <v>45992</v>
      </c>
      <c r="K74" t="s">
        <v>51</v>
      </c>
      <c r="L74" t="s">
        <v>52</v>
      </c>
      <c r="M74" s="2">
        <v>1</v>
      </c>
      <c r="N74" s="2">
        <v>1</v>
      </c>
      <c r="P74" s="2">
        <v>6</v>
      </c>
      <c r="Q74" t="s">
        <v>1787</v>
      </c>
      <c r="R74" t="s">
        <v>2464</v>
      </c>
    </row>
    <row r="75" spans="1:40" x14ac:dyDescent="0.25">
      <c r="A75" s="4">
        <v>993708991</v>
      </c>
      <c r="B75" s="4" t="str">
        <f t="shared" si="2"/>
        <v>993708991OVR</v>
      </c>
      <c r="C75" t="s">
        <v>1822</v>
      </c>
      <c r="D75" t="s">
        <v>78</v>
      </c>
      <c r="E75">
        <v>20411454</v>
      </c>
      <c r="F75" t="s">
        <v>2477</v>
      </c>
      <c r="G75" t="s">
        <v>49</v>
      </c>
      <c r="H75" t="s">
        <v>1791</v>
      </c>
      <c r="I75" s="1">
        <v>45566</v>
      </c>
      <c r="J75" s="1">
        <v>45992</v>
      </c>
      <c r="K75" t="s">
        <v>51</v>
      </c>
      <c r="L75" t="s">
        <v>52</v>
      </c>
      <c r="M75" s="2">
        <v>1</v>
      </c>
      <c r="N75" s="2">
        <v>1</v>
      </c>
      <c r="P75" s="2">
        <v>6</v>
      </c>
      <c r="Q75" t="s">
        <v>1787</v>
      </c>
      <c r="R75" t="s">
        <v>2464</v>
      </c>
    </row>
    <row r="76" spans="1:40" x14ac:dyDescent="0.25">
      <c r="A76" s="4">
        <v>130625781</v>
      </c>
      <c r="B76" s="4" t="str">
        <f t="shared" si="2"/>
        <v>130625781OVR</v>
      </c>
      <c r="C76" t="s">
        <v>1792</v>
      </c>
      <c r="D76" t="s">
        <v>155</v>
      </c>
      <c r="E76">
        <v>20411454</v>
      </c>
      <c r="F76" t="s">
        <v>2477</v>
      </c>
      <c r="G76" t="s">
        <v>49</v>
      </c>
      <c r="H76" t="s">
        <v>1788</v>
      </c>
      <c r="I76" s="1">
        <v>45536</v>
      </c>
      <c r="J76" s="1">
        <v>45992</v>
      </c>
      <c r="K76" t="s">
        <v>51</v>
      </c>
      <c r="L76" t="s">
        <v>52</v>
      </c>
      <c r="M76" s="2">
        <v>1</v>
      </c>
      <c r="N76" s="2">
        <v>1</v>
      </c>
      <c r="P76" s="2">
        <v>6</v>
      </c>
      <c r="Q76" t="s">
        <v>1787</v>
      </c>
      <c r="R76" t="s">
        <v>2464</v>
      </c>
    </row>
    <row r="77" spans="1:40" x14ac:dyDescent="0.25">
      <c r="A77" s="4">
        <v>992248315</v>
      </c>
      <c r="B77" s="4" t="str">
        <f t="shared" si="2"/>
        <v>992248315OVR</v>
      </c>
      <c r="C77" t="s">
        <v>1819</v>
      </c>
      <c r="D77" t="s">
        <v>46</v>
      </c>
      <c r="E77">
        <v>20411454</v>
      </c>
      <c r="F77" t="s">
        <v>2477</v>
      </c>
      <c r="G77" t="s">
        <v>49</v>
      </c>
      <c r="H77" t="s">
        <v>1788</v>
      </c>
      <c r="I77" s="1">
        <v>45536</v>
      </c>
      <c r="J77" s="1">
        <v>45992</v>
      </c>
      <c r="K77" t="s">
        <v>51</v>
      </c>
      <c r="L77" t="s">
        <v>52</v>
      </c>
      <c r="M77" s="2">
        <v>1</v>
      </c>
      <c r="N77" s="2">
        <v>1</v>
      </c>
      <c r="P77" s="2">
        <v>6</v>
      </c>
      <c r="Q77" t="s">
        <v>1787</v>
      </c>
      <c r="R77" t="s">
        <v>2464</v>
      </c>
    </row>
    <row r="78" spans="1:40" x14ac:dyDescent="0.25">
      <c r="A78" s="4">
        <v>130524428</v>
      </c>
      <c r="B78" s="4" t="str">
        <f t="shared" si="2"/>
        <v>130524428OVR</v>
      </c>
      <c r="C78" t="s">
        <v>1789</v>
      </c>
      <c r="D78" t="s">
        <v>1027</v>
      </c>
      <c r="E78">
        <v>20411454</v>
      </c>
      <c r="F78" t="s">
        <v>2477</v>
      </c>
      <c r="G78" t="s">
        <v>49</v>
      </c>
      <c r="H78" t="s">
        <v>1791</v>
      </c>
      <c r="I78" s="1">
        <v>45505</v>
      </c>
      <c r="J78" s="1">
        <v>45992</v>
      </c>
      <c r="K78" t="s">
        <v>51</v>
      </c>
      <c r="L78" t="s">
        <v>52</v>
      </c>
      <c r="M78" s="2">
        <v>1</v>
      </c>
      <c r="N78" s="2">
        <v>1</v>
      </c>
      <c r="P78" s="2">
        <v>6</v>
      </c>
      <c r="Q78" t="s">
        <v>1787</v>
      </c>
      <c r="R78" t="s">
        <v>2464</v>
      </c>
    </row>
    <row r="79" spans="1:40" x14ac:dyDescent="0.25">
      <c r="A79" s="4">
        <v>130273314</v>
      </c>
      <c r="B79" s="4" t="str">
        <f t="shared" si="2"/>
        <v>130273314OVR</v>
      </c>
      <c r="C79" t="s">
        <v>1785</v>
      </c>
      <c r="D79" t="s">
        <v>1027</v>
      </c>
      <c r="E79">
        <v>20411454</v>
      </c>
      <c r="F79" t="s">
        <v>2477</v>
      </c>
      <c r="G79" t="s">
        <v>49</v>
      </c>
      <c r="H79" t="s">
        <v>1788</v>
      </c>
      <c r="I79" s="1">
        <v>45474</v>
      </c>
      <c r="J79" s="1">
        <v>45992</v>
      </c>
      <c r="K79" t="s">
        <v>51</v>
      </c>
      <c r="L79" t="s">
        <v>52</v>
      </c>
      <c r="M79" s="2">
        <v>1</v>
      </c>
      <c r="N79" s="2">
        <v>1</v>
      </c>
      <c r="P79" s="2">
        <v>6</v>
      </c>
      <c r="Q79" t="s">
        <v>1787</v>
      </c>
      <c r="R79" t="s">
        <v>2464</v>
      </c>
    </row>
    <row r="80" spans="1:40" x14ac:dyDescent="0.25">
      <c r="A80" s="5">
        <v>967561705</v>
      </c>
      <c r="B80" s="5" t="str">
        <f t="shared" ref="B80:B111" si="3">CONCATENATE(A80,1)</f>
        <v>9675617051</v>
      </c>
      <c r="C80" s="6" t="s">
        <v>1813</v>
      </c>
      <c r="D80" s="6" t="s">
        <v>46</v>
      </c>
      <c r="E80" s="6">
        <v>8325282</v>
      </c>
      <c r="F80" s="6" t="s">
        <v>279</v>
      </c>
      <c r="G80" s="6" t="s">
        <v>49</v>
      </c>
      <c r="H80" s="6" t="s">
        <v>1786</v>
      </c>
      <c r="I80" s="7">
        <v>45597</v>
      </c>
      <c r="J80" s="7">
        <v>45992</v>
      </c>
      <c r="K80" s="6" t="s">
        <v>51</v>
      </c>
      <c r="L80" s="6" t="s">
        <v>52</v>
      </c>
      <c r="M80" s="8">
        <v>1</v>
      </c>
      <c r="N80" s="8">
        <v>1</v>
      </c>
      <c r="O80" s="6"/>
      <c r="P80" s="8">
        <v>25.5</v>
      </c>
      <c r="Q80" s="6" t="s">
        <v>1787</v>
      </c>
      <c r="R80" s="6" t="s">
        <v>2469</v>
      </c>
      <c r="S80" s="6" t="s">
        <v>2448</v>
      </c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</row>
    <row r="81" spans="1:40" x14ac:dyDescent="0.25">
      <c r="A81" s="5">
        <v>970181792</v>
      </c>
      <c r="B81" s="5" t="str">
        <f t="shared" si="3"/>
        <v>9701817921</v>
      </c>
      <c r="C81" s="6" t="s">
        <v>1815</v>
      </c>
      <c r="D81" s="6" t="s">
        <v>1707</v>
      </c>
      <c r="E81" s="6">
        <v>8307933</v>
      </c>
      <c r="F81" s="6" t="s">
        <v>360</v>
      </c>
      <c r="G81" s="6" t="s">
        <v>1262</v>
      </c>
      <c r="H81" s="6" t="s">
        <v>1786</v>
      </c>
      <c r="I81" s="7">
        <v>45597</v>
      </c>
      <c r="J81" s="7">
        <v>45992</v>
      </c>
      <c r="K81" s="6" t="s">
        <v>51</v>
      </c>
      <c r="L81" s="6" t="s">
        <v>52</v>
      </c>
      <c r="M81" s="8">
        <v>1</v>
      </c>
      <c r="N81" s="8">
        <v>1</v>
      </c>
      <c r="O81" s="6"/>
      <c r="P81" s="8">
        <v>25.5</v>
      </c>
      <c r="Q81" s="6" t="s">
        <v>1787</v>
      </c>
      <c r="R81" s="6" t="s">
        <v>2469</v>
      </c>
      <c r="S81" s="6" t="s">
        <v>2448</v>
      </c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</row>
    <row r="82" spans="1:40" x14ac:dyDescent="0.25">
      <c r="A82" s="5">
        <v>992088421</v>
      </c>
      <c r="B82" s="5" t="str">
        <f t="shared" si="3"/>
        <v>9920884211</v>
      </c>
      <c r="C82" s="6" t="s">
        <v>1818</v>
      </c>
      <c r="D82" s="6" t="s">
        <v>55</v>
      </c>
      <c r="E82" s="6">
        <v>8307933</v>
      </c>
      <c r="F82" s="6" t="s">
        <v>360</v>
      </c>
      <c r="G82" s="6" t="s">
        <v>49</v>
      </c>
      <c r="H82" s="6" t="s">
        <v>1786</v>
      </c>
      <c r="I82" s="7">
        <v>45597</v>
      </c>
      <c r="J82" s="7">
        <v>45992</v>
      </c>
      <c r="K82" s="6" t="s">
        <v>51</v>
      </c>
      <c r="L82" s="6" t="s">
        <v>52</v>
      </c>
      <c r="M82" s="8">
        <v>1</v>
      </c>
      <c r="N82" s="8">
        <v>1</v>
      </c>
      <c r="O82" s="6"/>
      <c r="P82" s="8">
        <v>25.5</v>
      </c>
      <c r="Q82" s="6" t="s">
        <v>1787</v>
      </c>
      <c r="R82" s="6" t="s">
        <v>2469</v>
      </c>
      <c r="S82" s="6" t="s">
        <v>2448</v>
      </c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</row>
    <row r="83" spans="1:40" x14ac:dyDescent="0.25">
      <c r="A83" s="5">
        <v>981141937</v>
      </c>
      <c r="B83" s="5" t="str">
        <f t="shared" si="3"/>
        <v>9811419371</v>
      </c>
      <c r="C83" s="6" t="s">
        <v>1816</v>
      </c>
      <c r="D83" s="6" t="s">
        <v>217</v>
      </c>
      <c r="E83" s="6">
        <v>16865615</v>
      </c>
      <c r="F83" s="6" t="s">
        <v>341</v>
      </c>
      <c r="G83" s="6" t="s">
        <v>49</v>
      </c>
      <c r="H83" s="6" t="s">
        <v>1790</v>
      </c>
      <c r="I83" s="7">
        <v>45597</v>
      </c>
      <c r="J83" s="7">
        <v>45992</v>
      </c>
      <c r="K83" s="6" t="s">
        <v>51</v>
      </c>
      <c r="L83" s="6" t="s">
        <v>52</v>
      </c>
      <c r="M83" s="8">
        <v>1</v>
      </c>
      <c r="N83" s="8">
        <v>1</v>
      </c>
      <c r="O83" s="6"/>
      <c r="P83" s="8">
        <v>25.5</v>
      </c>
      <c r="Q83" s="6" t="s">
        <v>1787</v>
      </c>
      <c r="R83" s="6" t="s">
        <v>2469</v>
      </c>
      <c r="S83" s="6" t="s">
        <v>2448</v>
      </c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</row>
    <row r="84" spans="1:40" x14ac:dyDescent="0.25">
      <c r="A84" s="5">
        <v>993708991</v>
      </c>
      <c r="B84" s="5" t="str">
        <f t="shared" si="3"/>
        <v>9937089911</v>
      </c>
      <c r="C84" s="6" t="s">
        <v>1822</v>
      </c>
      <c r="D84" s="6" t="s">
        <v>78</v>
      </c>
      <c r="E84" s="6">
        <v>19681796</v>
      </c>
      <c r="F84" s="6" t="s">
        <v>390</v>
      </c>
      <c r="G84" s="6" t="s">
        <v>49</v>
      </c>
      <c r="H84" s="6" t="s">
        <v>1790</v>
      </c>
      <c r="I84" s="7">
        <v>45566</v>
      </c>
      <c r="J84" s="7">
        <v>45992</v>
      </c>
      <c r="K84" s="6" t="s">
        <v>51</v>
      </c>
      <c r="L84" s="6" t="s">
        <v>52</v>
      </c>
      <c r="M84" s="8">
        <v>1</v>
      </c>
      <c r="N84" s="8">
        <v>1</v>
      </c>
      <c r="O84" s="6"/>
      <c r="P84" s="8">
        <v>25.5</v>
      </c>
      <c r="Q84" s="6" t="s">
        <v>1787</v>
      </c>
      <c r="R84" s="6" t="s">
        <v>2469</v>
      </c>
      <c r="S84" s="6" t="s">
        <v>2448</v>
      </c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25">
      <c r="A85" s="5">
        <v>906051412</v>
      </c>
      <c r="B85" s="5" t="str">
        <f t="shared" si="3"/>
        <v>9060514121</v>
      </c>
      <c r="C85" s="6" t="s">
        <v>1804</v>
      </c>
      <c r="D85" s="6" t="s">
        <v>46</v>
      </c>
      <c r="E85" s="6">
        <v>9213293</v>
      </c>
      <c r="F85" s="6" t="s">
        <v>48</v>
      </c>
      <c r="G85" s="6" t="s">
        <v>49</v>
      </c>
      <c r="H85" s="6" t="s">
        <v>1786</v>
      </c>
      <c r="I85" s="7">
        <v>45566</v>
      </c>
      <c r="J85" s="7">
        <v>45992</v>
      </c>
      <c r="K85" s="6" t="s">
        <v>51</v>
      </c>
      <c r="L85" s="6" t="s">
        <v>52</v>
      </c>
      <c r="M85" s="8">
        <v>1</v>
      </c>
      <c r="N85" s="8">
        <v>1</v>
      </c>
      <c r="O85" s="6"/>
      <c r="P85" s="8">
        <v>25.5</v>
      </c>
      <c r="Q85" s="6" t="s">
        <v>1787</v>
      </c>
      <c r="R85" s="6" t="s">
        <v>2469</v>
      </c>
      <c r="S85" s="6" t="s">
        <v>2448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25">
      <c r="A86" s="5">
        <v>992426853</v>
      </c>
      <c r="B86" s="5" t="str">
        <f t="shared" si="3"/>
        <v>9924268531</v>
      </c>
      <c r="C86" s="6" t="s">
        <v>1820</v>
      </c>
      <c r="D86" s="6" t="s">
        <v>46</v>
      </c>
      <c r="E86" s="6">
        <v>9213293</v>
      </c>
      <c r="F86" s="6" t="s">
        <v>48</v>
      </c>
      <c r="G86" s="6" t="s">
        <v>49</v>
      </c>
      <c r="H86" s="6" t="s">
        <v>1821</v>
      </c>
      <c r="I86" s="7">
        <v>45566</v>
      </c>
      <c r="J86" s="7">
        <v>45992</v>
      </c>
      <c r="K86" s="6" t="s">
        <v>51</v>
      </c>
      <c r="L86" s="6" t="s">
        <v>52</v>
      </c>
      <c r="M86" s="8">
        <v>1</v>
      </c>
      <c r="N86" s="8">
        <v>1</v>
      </c>
      <c r="O86" s="6"/>
      <c r="P86" s="8">
        <v>25.5</v>
      </c>
      <c r="Q86" s="6" t="s">
        <v>1787</v>
      </c>
      <c r="R86" s="6" t="s">
        <v>2469</v>
      </c>
      <c r="S86" s="6" t="s">
        <v>2448</v>
      </c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</row>
    <row r="87" spans="1:40" x14ac:dyDescent="0.25">
      <c r="A87" s="5">
        <v>992248315</v>
      </c>
      <c r="B87" s="5" t="str">
        <f t="shared" si="3"/>
        <v>9922483151</v>
      </c>
      <c r="C87" s="6" t="s">
        <v>1819</v>
      </c>
      <c r="D87" s="6" t="s">
        <v>46</v>
      </c>
      <c r="E87" s="6">
        <v>18828278</v>
      </c>
      <c r="F87" s="6" t="s">
        <v>673</v>
      </c>
      <c r="G87" s="6" t="s">
        <v>49</v>
      </c>
      <c r="H87" s="6" t="s">
        <v>1786</v>
      </c>
      <c r="I87" s="7">
        <v>45536</v>
      </c>
      <c r="J87" s="7">
        <v>45992</v>
      </c>
      <c r="K87" s="6" t="s">
        <v>51</v>
      </c>
      <c r="L87" s="6" t="s">
        <v>52</v>
      </c>
      <c r="M87" s="8">
        <v>1</v>
      </c>
      <c r="N87" s="8">
        <v>1</v>
      </c>
      <c r="O87" s="6"/>
      <c r="P87" s="8">
        <v>25.5</v>
      </c>
      <c r="Q87" s="6" t="s">
        <v>1787</v>
      </c>
      <c r="R87" s="6" t="s">
        <v>2469</v>
      </c>
      <c r="S87" s="6" t="s">
        <v>2448</v>
      </c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</row>
    <row r="88" spans="1:40" x14ac:dyDescent="0.25">
      <c r="A88" s="5">
        <v>130625781</v>
      </c>
      <c r="B88" s="5" t="str">
        <f t="shared" si="3"/>
        <v>1306257811</v>
      </c>
      <c r="C88" s="6" t="s">
        <v>1792</v>
      </c>
      <c r="D88" s="6" t="s">
        <v>155</v>
      </c>
      <c r="E88" s="6">
        <v>19200754</v>
      </c>
      <c r="F88" s="6" t="s">
        <v>176</v>
      </c>
      <c r="G88" s="6" t="s">
        <v>49</v>
      </c>
      <c r="H88" s="6" t="s">
        <v>1786</v>
      </c>
      <c r="I88" s="7">
        <v>45536</v>
      </c>
      <c r="J88" s="7">
        <v>45992</v>
      </c>
      <c r="K88" s="6" t="s">
        <v>51</v>
      </c>
      <c r="L88" s="6" t="s">
        <v>52</v>
      </c>
      <c r="M88" s="8">
        <v>1</v>
      </c>
      <c r="N88" s="8">
        <v>1</v>
      </c>
      <c r="O88" s="6"/>
      <c r="P88" s="8">
        <v>25.5</v>
      </c>
      <c r="Q88" s="6" t="s">
        <v>1787</v>
      </c>
      <c r="R88" s="6" t="s">
        <v>2469</v>
      </c>
      <c r="S88" s="6" t="s">
        <v>2448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</row>
    <row r="89" spans="1:40" x14ac:dyDescent="0.25">
      <c r="A89" s="5">
        <v>130524428</v>
      </c>
      <c r="B89" s="5" t="str">
        <f t="shared" si="3"/>
        <v>1305244281</v>
      </c>
      <c r="C89" s="6" t="s">
        <v>1789</v>
      </c>
      <c r="D89" s="6" t="s">
        <v>1027</v>
      </c>
      <c r="E89" s="6">
        <v>17195620</v>
      </c>
      <c r="F89" s="6" t="s">
        <v>1029</v>
      </c>
      <c r="G89" s="6" t="s">
        <v>49</v>
      </c>
      <c r="H89" s="6" t="s">
        <v>1790</v>
      </c>
      <c r="I89" s="7">
        <v>45505</v>
      </c>
      <c r="J89" s="7">
        <v>45992</v>
      </c>
      <c r="K89" s="6" t="s">
        <v>51</v>
      </c>
      <c r="L89" s="6" t="s">
        <v>52</v>
      </c>
      <c r="M89" s="8">
        <v>1</v>
      </c>
      <c r="N89" s="8">
        <v>1</v>
      </c>
      <c r="O89" s="6"/>
      <c r="P89" s="8">
        <v>25.5</v>
      </c>
      <c r="Q89" s="6" t="s">
        <v>1787</v>
      </c>
      <c r="R89" s="6" t="s">
        <v>2469</v>
      </c>
      <c r="S89" s="6" t="s">
        <v>2448</v>
      </c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</row>
    <row r="90" spans="1:40" x14ac:dyDescent="0.25">
      <c r="A90" s="5">
        <v>130273314</v>
      </c>
      <c r="B90" s="5" t="str">
        <f t="shared" si="3"/>
        <v>1302733141</v>
      </c>
      <c r="C90" s="6" t="s">
        <v>1785</v>
      </c>
      <c r="D90" s="6" t="s">
        <v>1027</v>
      </c>
      <c r="E90" s="6">
        <v>17195620</v>
      </c>
      <c r="F90" s="6" t="s">
        <v>1029</v>
      </c>
      <c r="G90" s="6" t="s">
        <v>49</v>
      </c>
      <c r="H90" s="6" t="s">
        <v>1786</v>
      </c>
      <c r="I90" s="7">
        <v>45474</v>
      </c>
      <c r="J90" s="7">
        <v>45992</v>
      </c>
      <c r="K90" s="6" t="s">
        <v>51</v>
      </c>
      <c r="L90" s="6" t="s">
        <v>52</v>
      </c>
      <c r="M90" s="8">
        <v>1</v>
      </c>
      <c r="N90" s="8">
        <v>1</v>
      </c>
      <c r="O90" s="6"/>
      <c r="P90" s="8">
        <v>25.5</v>
      </c>
      <c r="Q90" s="6" t="s">
        <v>1787</v>
      </c>
      <c r="R90" s="6" t="s">
        <v>2469</v>
      </c>
      <c r="S90" s="6" t="s">
        <v>2448</v>
      </c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</row>
    <row r="91" spans="1:40" x14ac:dyDescent="0.25">
      <c r="A91" s="5">
        <v>991398727</v>
      </c>
      <c r="B91" s="5" t="str">
        <f t="shared" si="3"/>
        <v>9913987271</v>
      </c>
      <c r="C91" s="6" t="s">
        <v>1817</v>
      </c>
      <c r="D91" s="6" t="s">
        <v>217</v>
      </c>
      <c r="E91" s="6">
        <v>16865615</v>
      </c>
      <c r="F91" s="6" t="s">
        <v>341</v>
      </c>
      <c r="G91" s="6" t="s">
        <v>49</v>
      </c>
      <c r="H91" s="6" t="s">
        <v>1786</v>
      </c>
      <c r="I91" s="7">
        <v>45474</v>
      </c>
      <c r="J91" s="7">
        <v>45992</v>
      </c>
      <c r="K91" s="6" t="s">
        <v>51</v>
      </c>
      <c r="L91" s="6" t="s">
        <v>52</v>
      </c>
      <c r="M91" s="8">
        <v>1</v>
      </c>
      <c r="N91" s="8">
        <v>1</v>
      </c>
      <c r="O91" s="6"/>
      <c r="P91" s="8">
        <v>25.5</v>
      </c>
      <c r="Q91" s="6" t="s">
        <v>1787</v>
      </c>
      <c r="R91" s="6" t="s">
        <v>2469</v>
      </c>
      <c r="S91" s="6" t="s">
        <v>2448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</row>
    <row r="92" spans="1:40" x14ac:dyDescent="0.25">
      <c r="A92" s="5">
        <v>909023469</v>
      </c>
      <c r="B92" s="5" t="str">
        <f t="shared" si="3"/>
        <v>9090234691</v>
      </c>
      <c r="C92" s="6" t="s">
        <v>1805</v>
      </c>
      <c r="D92" s="6" t="s">
        <v>491</v>
      </c>
      <c r="E92" s="6">
        <v>19278370</v>
      </c>
      <c r="F92" s="6" t="s">
        <v>608</v>
      </c>
      <c r="G92" s="6" t="s">
        <v>1262</v>
      </c>
      <c r="H92" s="6" t="s">
        <v>1806</v>
      </c>
      <c r="I92" s="7">
        <v>45627</v>
      </c>
      <c r="J92" s="7">
        <v>45992</v>
      </c>
      <c r="K92" s="6" t="s">
        <v>51</v>
      </c>
      <c r="L92" s="6" t="s">
        <v>52</v>
      </c>
      <c r="M92" s="8">
        <v>1</v>
      </c>
      <c r="N92" s="8">
        <v>1</v>
      </c>
      <c r="O92" s="6"/>
      <c r="P92" s="8">
        <v>28.75</v>
      </c>
      <c r="Q92" s="6" t="s">
        <v>1787</v>
      </c>
      <c r="R92" s="6" t="s">
        <v>2475</v>
      </c>
      <c r="S92" s="6" t="s">
        <v>2474</v>
      </c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</row>
    <row r="93" spans="1:40" x14ac:dyDescent="0.25">
      <c r="A93" s="5">
        <v>954564449</v>
      </c>
      <c r="B93" s="5" t="str">
        <f t="shared" si="3"/>
        <v>9545644491</v>
      </c>
      <c r="C93" s="6" t="s">
        <v>1124</v>
      </c>
      <c r="D93" s="6" t="s">
        <v>403</v>
      </c>
      <c r="E93" s="6">
        <v>19279958</v>
      </c>
      <c r="F93" s="6" t="s">
        <v>1075</v>
      </c>
      <c r="G93" s="6" t="s">
        <v>49</v>
      </c>
      <c r="H93" s="6" t="s">
        <v>1125</v>
      </c>
      <c r="I93" s="7">
        <v>45992</v>
      </c>
      <c r="J93" s="7">
        <v>46023</v>
      </c>
      <c r="K93" s="6" t="s">
        <v>51</v>
      </c>
      <c r="L93" s="6" t="s">
        <v>52</v>
      </c>
      <c r="M93" s="8">
        <v>0</v>
      </c>
      <c r="N93" s="8">
        <v>52.17</v>
      </c>
      <c r="O93" s="6">
        <v>1</v>
      </c>
      <c r="P93" s="8">
        <v>52.17</v>
      </c>
      <c r="Q93" s="6" t="s">
        <v>1126</v>
      </c>
      <c r="R93" s="6" t="s">
        <v>2466</v>
      </c>
      <c r="S93" s="6" t="s">
        <v>2471</v>
      </c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</row>
    <row r="94" spans="1:40" x14ac:dyDescent="0.25">
      <c r="A94" s="5">
        <v>977936680</v>
      </c>
      <c r="B94" s="5" t="str">
        <f t="shared" si="3"/>
        <v>9779366801</v>
      </c>
      <c r="C94" s="6" t="s">
        <v>1159</v>
      </c>
      <c r="D94" s="6" t="s">
        <v>61</v>
      </c>
      <c r="E94" s="6">
        <v>19279958</v>
      </c>
      <c r="F94" s="6" t="s">
        <v>1075</v>
      </c>
      <c r="G94" s="6" t="s">
        <v>49</v>
      </c>
      <c r="H94" s="6" t="s">
        <v>1125</v>
      </c>
      <c r="I94" s="7">
        <v>45992</v>
      </c>
      <c r="J94" s="7">
        <v>46023</v>
      </c>
      <c r="K94" s="6" t="s">
        <v>51</v>
      </c>
      <c r="L94" s="6" t="s">
        <v>52</v>
      </c>
      <c r="M94" s="8">
        <v>0</v>
      </c>
      <c r="N94" s="8">
        <v>52.17</v>
      </c>
      <c r="O94" s="6">
        <v>1</v>
      </c>
      <c r="P94" s="8">
        <v>52.17</v>
      </c>
      <c r="Q94" s="6" t="s">
        <v>1126</v>
      </c>
      <c r="R94" s="6" t="s">
        <v>2466</v>
      </c>
      <c r="S94" s="6" t="s">
        <v>2471</v>
      </c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</row>
    <row r="95" spans="1:40" x14ac:dyDescent="0.25">
      <c r="A95" s="5">
        <v>914839672</v>
      </c>
      <c r="B95" s="5" t="str">
        <f t="shared" si="3"/>
        <v>9148396721</v>
      </c>
      <c r="C95" s="6" t="s">
        <v>1807</v>
      </c>
      <c r="D95" s="6" t="s">
        <v>46</v>
      </c>
      <c r="E95" s="6">
        <v>9213293</v>
      </c>
      <c r="F95" s="6" t="s">
        <v>48</v>
      </c>
      <c r="G95" s="6" t="s">
        <v>1262</v>
      </c>
      <c r="H95" s="6" t="s">
        <v>1809</v>
      </c>
      <c r="I95" s="7">
        <v>45931</v>
      </c>
      <c r="J95" s="7">
        <v>45992</v>
      </c>
      <c r="K95" s="6" t="s">
        <v>51</v>
      </c>
      <c r="L95" s="6" t="s">
        <v>52</v>
      </c>
      <c r="M95" s="8">
        <v>0</v>
      </c>
      <c r="N95" s="8">
        <v>0</v>
      </c>
      <c r="O95" s="6"/>
      <c r="P95" s="8">
        <v>-78.25</v>
      </c>
      <c r="Q95" s="6" t="s">
        <v>1808</v>
      </c>
      <c r="R95" s="6" t="s">
        <v>2466</v>
      </c>
      <c r="S95" s="6" t="s">
        <v>2470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</row>
    <row r="96" spans="1:40" x14ac:dyDescent="0.25">
      <c r="A96" s="5" t="s">
        <v>2405</v>
      </c>
      <c r="B96" s="5" t="str">
        <f t="shared" si="3"/>
        <v>A037226851</v>
      </c>
      <c r="C96" s="6" t="s">
        <v>1826</v>
      </c>
      <c r="D96" s="6" t="s">
        <v>491</v>
      </c>
      <c r="E96" s="6">
        <v>19278370</v>
      </c>
      <c r="F96" s="6" t="s">
        <v>608</v>
      </c>
      <c r="G96" s="6" t="s">
        <v>49</v>
      </c>
      <c r="H96" s="6" t="s">
        <v>1827</v>
      </c>
      <c r="I96" s="7">
        <v>45689</v>
      </c>
      <c r="J96" s="7">
        <v>45992</v>
      </c>
      <c r="K96" s="6" t="s">
        <v>51</v>
      </c>
      <c r="L96" s="6" t="s">
        <v>52</v>
      </c>
      <c r="M96" s="8">
        <v>1</v>
      </c>
      <c r="N96" s="8">
        <v>1</v>
      </c>
      <c r="O96" s="6"/>
      <c r="P96" s="8">
        <v>24.73</v>
      </c>
      <c r="Q96" s="6" t="s">
        <v>1825</v>
      </c>
      <c r="R96" s="6" t="s">
        <v>2462</v>
      </c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</row>
    <row r="97" spans="1:40" x14ac:dyDescent="0.25">
      <c r="A97" s="5" t="s">
        <v>2432</v>
      </c>
      <c r="B97" s="5" t="str">
        <f t="shared" si="3"/>
        <v>A041930331</v>
      </c>
      <c r="C97" s="6" t="s">
        <v>1862</v>
      </c>
      <c r="D97" s="6" t="s">
        <v>491</v>
      </c>
      <c r="E97" s="6">
        <v>19278370</v>
      </c>
      <c r="F97" s="6" t="s">
        <v>608</v>
      </c>
      <c r="G97" s="6" t="s">
        <v>49</v>
      </c>
      <c r="H97" s="6" t="s">
        <v>1839</v>
      </c>
      <c r="I97" s="7">
        <v>45689</v>
      </c>
      <c r="J97" s="7">
        <v>45992</v>
      </c>
      <c r="K97" s="6" t="s">
        <v>51</v>
      </c>
      <c r="L97" s="6" t="s">
        <v>52</v>
      </c>
      <c r="M97" s="8">
        <v>1</v>
      </c>
      <c r="N97" s="8">
        <v>1</v>
      </c>
      <c r="O97" s="6"/>
      <c r="P97" s="8">
        <v>36.479999999999997</v>
      </c>
      <c r="Q97" s="6" t="s">
        <v>1825</v>
      </c>
      <c r="R97" s="6" t="s">
        <v>2460</v>
      </c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</row>
    <row r="98" spans="1:40" x14ac:dyDescent="0.25">
      <c r="A98" s="5" t="s">
        <v>2443</v>
      </c>
      <c r="B98" s="5" t="str">
        <f t="shared" si="3"/>
        <v>A042193761</v>
      </c>
      <c r="C98" s="6" t="s">
        <v>1876</v>
      </c>
      <c r="D98" s="6" t="s">
        <v>491</v>
      </c>
      <c r="E98" s="6">
        <v>19278370</v>
      </c>
      <c r="F98" s="6" t="s">
        <v>608</v>
      </c>
      <c r="G98" s="6" t="s">
        <v>49</v>
      </c>
      <c r="H98" s="6" t="s">
        <v>1839</v>
      </c>
      <c r="I98" s="7">
        <v>45689</v>
      </c>
      <c r="J98" s="7">
        <v>45992</v>
      </c>
      <c r="K98" s="6" t="s">
        <v>51</v>
      </c>
      <c r="L98" s="6" t="s">
        <v>52</v>
      </c>
      <c r="M98" s="8">
        <v>1</v>
      </c>
      <c r="N98" s="8">
        <v>1</v>
      </c>
      <c r="O98" s="6"/>
      <c r="P98" s="8">
        <v>36.479999999999997</v>
      </c>
      <c r="Q98" s="6" t="s">
        <v>1825</v>
      </c>
      <c r="R98" s="6" t="s">
        <v>2460</v>
      </c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</row>
    <row r="99" spans="1:40" x14ac:dyDescent="0.25">
      <c r="A99" s="5" t="s">
        <v>2419</v>
      </c>
      <c r="B99" s="5" t="str">
        <f t="shared" si="3"/>
        <v>A041617511</v>
      </c>
      <c r="C99" s="6" t="s">
        <v>1846</v>
      </c>
      <c r="D99" s="6" t="s">
        <v>491</v>
      </c>
      <c r="E99" s="6">
        <v>19278370</v>
      </c>
      <c r="F99" s="6" t="s">
        <v>608</v>
      </c>
      <c r="G99" s="6" t="s">
        <v>49</v>
      </c>
      <c r="H99" s="6" t="s">
        <v>1839</v>
      </c>
      <c r="I99" s="7">
        <v>45658</v>
      </c>
      <c r="J99" s="7">
        <v>45992</v>
      </c>
      <c r="K99" s="6" t="s">
        <v>51</v>
      </c>
      <c r="L99" s="6" t="s">
        <v>52</v>
      </c>
      <c r="M99" s="8">
        <v>1</v>
      </c>
      <c r="N99" s="8">
        <v>1</v>
      </c>
      <c r="O99" s="6"/>
      <c r="P99" s="8">
        <v>36.479999999999997</v>
      </c>
      <c r="Q99" s="6" t="s">
        <v>1825</v>
      </c>
      <c r="R99" s="6" t="s">
        <v>2460</v>
      </c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</row>
    <row r="100" spans="1:40" x14ac:dyDescent="0.25">
      <c r="A100" s="5" t="s">
        <v>2426</v>
      </c>
      <c r="B100" s="5" t="str">
        <f t="shared" si="3"/>
        <v>A041823201</v>
      </c>
      <c r="C100" s="6" t="s">
        <v>1855</v>
      </c>
      <c r="D100" s="6" t="s">
        <v>491</v>
      </c>
      <c r="E100" s="6">
        <v>17425766</v>
      </c>
      <c r="F100" s="6" t="s">
        <v>764</v>
      </c>
      <c r="G100" s="6" t="s">
        <v>49</v>
      </c>
      <c r="H100" s="6" t="s">
        <v>1839</v>
      </c>
      <c r="I100" s="7">
        <v>45658</v>
      </c>
      <c r="J100" s="7">
        <v>45992</v>
      </c>
      <c r="K100" s="6" t="s">
        <v>51</v>
      </c>
      <c r="L100" s="6" t="s">
        <v>52</v>
      </c>
      <c r="M100" s="8">
        <v>1</v>
      </c>
      <c r="N100" s="8">
        <v>1</v>
      </c>
      <c r="O100" s="6"/>
      <c r="P100" s="8">
        <v>36.479999999999997</v>
      </c>
      <c r="Q100" s="6" t="s">
        <v>1825</v>
      </c>
      <c r="R100" s="6" t="s">
        <v>2460</v>
      </c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</row>
    <row r="101" spans="1:40" x14ac:dyDescent="0.25">
      <c r="A101" s="5" t="s">
        <v>2413</v>
      </c>
      <c r="B101" s="5" t="str">
        <f t="shared" si="3"/>
        <v>A041483861</v>
      </c>
      <c r="C101" s="6" t="s">
        <v>1838</v>
      </c>
      <c r="D101" s="6" t="s">
        <v>491</v>
      </c>
      <c r="E101" s="6">
        <v>17528908</v>
      </c>
      <c r="F101" s="6" t="s">
        <v>972</v>
      </c>
      <c r="G101" s="6" t="s">
        <v>49</v>
      </c>
      <c r="H101" s="6" t="s">
        <v>1839</v>
      </c>
      <c r="I101" s="7">
        <v>45658</v>
      </c>
      <c r="J101" s="7">
        <v>45992</v>
      </c>
      <c r="K101" s="6" t="s">
        <v>51</v>
      </c>
      <c r="L101" s="6" t="s">
        <v>52</v>
      </c>
      <c r="M101" s="8">
        <v>1</v>
      </c>
      <c r="N101" s="8">
        <v>1</v>
      </c>
      <c r="O101" s="6"/>
      <c r="P101" s="8">
        <v>36.479999999999997</v>
      </c>
      <c r="Q101" s="6" t="s">
        <v>1825</v>
      </c>
      <c r="R101" s="6" t="s">
        <v>2460</v>
      </c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</row>
    <row r="102" spans="1:40" x14ac:dyDescent="0.25">
      <c r="A102" s="5" t="s">
        <v>2418</v>
      </c>
      <c r="B102" s="5" t="str">
        <f t="shared" si="3"/>
        <v>A041561191</v>
      </c>
      <c r="C102" s="6" t="s">
        <v>1844</v>
      </c>
      <c r="D102" s="6" t="s">
        <v>491</v>
      </c>
      <c r="E102" s="6">
        <v>19278370</v>
      </c>
      <c r="F102" s="6" t="s">
        <v>608</v>
      </c>
      <c r="G102" s="6" t="s">
        <v>49</v>
      </c>
      <c r="H102" s="6" t="s">
        <v>1845</v>
      </c>
      <c r="I102" s="7">
        <v>45658</v>
      </c>
      <c r="J102" s="7">
        <v>45992</v>
      </c>
      <c r="K102" s="6" t="s">
        <v>51</v>
      </c>
      <c r="L102" s="6" t="s">
        <v>52</v>
      </c>
      <c r="M102" s="8">
        <v>1</v>
      </c>
      <c r="N102" s="8">
        <v>1</v>
      </c>
      <c r="O102" s="6"/>
      <c r="P102" s="8">
        <v>31.02</v>
      </c>
      <c r="Q102" s="6" t="s">
        <v>1825</v>
      </c>
      <c r="R102" s="6" t="s">
        <v>2459</v>
      </c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</row>
    <row r="103" spans="1:40" x14ac:dyDescent="0.25">
      <c r="A103" s="5" t="s">
        <v>2430</v>
      </c>
      <c r="B103" s="5" t="str">
        <f t="shared" si="3"/>
        <v>A041903401</v>
      </c>
      <c r="C103" s="6" t="s">
        <v>1860</v>
      </c>
      <c r="D103" s="6" t="s">
        <v>491</v>
      </c>
      <c r="E103" s="6">
        <v>19278370</v>
      </c>
      <c r="F103" s="6" t="s">
        <v>608</v>
      </c>
      <c r="G103" s="6" t="s">
        <v>49</v>
      </c>
      <c r="H103" s="6" t="s">
        <v>1845</v>
      </c>
      <c r="I103" s="7">
        <v>45658</v>
      </c>
      <c r="J103" s="7">
        <v>45992</v>
      </c>
      <c r="K103" s="6" t="s">
        <v>51</v>
      </c>
      <c r="L103" s="6" t="s">
        <v>52</v>
      </c>
      <c r="M103" s="8">
        <v>1</v>
      </c>
      <c r="N103" s="8">
        <v>1</v>
      </c>
      <c r="O103" s="6"/>
      <c r="P103" s="8">
        <v>31.02</v>
      </c>
      <c r="Q103" s="6" t="s">
        <v>1825</v>
      </c>
      <c r="R103" s="6" t="s">
        <v>2459</v>
      </c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</row>
    <row r="104" spans="1:40" x14ac:dyDescent="0.25">
      <c r="A104" s="5" t="s">
        <v>2439</v>
      </c>
      <c r="B104" s="5" t="str">
        <f t="shared" si="3"/>
        <v>A042124071</v>
      </c>
      <c r="C104" s="6" t="s">
        <v>1871</v>
      </c>
      <c r="D104" s="6" t="s">
        <v>491</v>
      </c>
      <c r="E104" s="6">
        <v>19278370</v>
      </c>
      <c r="F104" s="6" t="s">
        <v>608</v>
      </c>
      <c r="G104" s="6" t="s">
        <v>49</v>
      </c>
      <c r="H104" s="6" t="s">
        <v>1837</v>
      </c>
      <c r="I104" s="7">
        <v>45689</v>
      </c>
      <c r="J104" s="7">
        <v>45992</v>
      </c>
      <c r="K104" s="6" t="s">
        <v>51</v>
      </c>
      <c r="L104" s="6" t="s">
        <v>52</v>
      </c>
      <c r="M104" s="8">
        <v>1</v>
      </c>
      <c r="N104" s="8">
        <v>1</v>
      </c>
      <c r="O104" s="6"/>
      <c r="P104" s="8">
        <v>37.5</v>
      </c>
      <c r="Q104" s="6" t="s">
        <v>1825</v>
      </c>
      <c r="R104" s="6" t="s">
        <v>2458</v>
      </c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</row>
    <row r="105" spans="1:40" x14ac:dyDescent="0.25">
      <c r="A105" s="5" t="s">
        <v>2441</v>
      </c>
      <c r="B105" s="5" t="str">
        <f t="shared" si="3"/>
        <v>A042177421</v>
      </c>
      <c r="C105" s="6" t="s">
        <v>1873</v>
      </c>
      <c r="D105" s="6" t="s">
        <v>491</v>
      </c>
      <c r="E105" s="6">
        <v>19278370</v>
      </c>
      <c r="F105" s="6" t="s">
        <v>608</v>
      </c>
      <c r="G105" s="6" t="s">
        <v>49</v>
      </c>
      <c r="H105" s="6" t="s">
        <v>1837</v>
      </c>
      <c r="I105" s="7">
        <v>45689</v>
      </c>
      <c r="J105" s="7">
        <v>45992</v>
      </c>
      <c r="K105" s="6" t="s">
        <v>51</v>
      </c>
      <c r="L105" s="6" t="s">
        <v>52</v>
      </c>
      <c r="M105" s="8">
        <v>1</v>
      </c>
      <c r="N105" s="8">
        <v>1</v>
      </c>
      <c r="O105" s="6"/>
      <c r="P105" s="8">
        <v>37.5</v>
      </c>
      <c r="Q105" s="6" t="s">
        <v>1825</v>
      </c>
      <c r="R105" s="6" t="s">
        <v>2458</v>
      </c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</row>
    <row r="106" spans="1:40" x14ac:dyDescent="0.25">
      <c r="A106" s="5" t="s">
        <v>2411</v>
      </c>
      <c r="B106" s="5" t="str">
        <f t="shared" si="3"/>
        <v>A041424651</v>
      </c>
      <c r="C106" s="6" t="s">
        <v>1836</v>
      </c>
      <c r="D106" s="6" t="s">
        <v>491</v>
      </c>
      <c r="E106" s="6">
        <v>19278370</v>
      </c>
      <c r="F106" s="6" t="s">
        <v>608</v>
      </c>
      <c r="G106" s="6" t="s">
        <v>49</v>
      </c>
      <c r="H106" s="6" t="s">
        <v>1837</v>
      </c>
      <c r="I106" s="7">
        <v>45658</v>
      </c>
      <c r="J106" s="7">
        <v>45992</v>
      </c>
      <c r="K106" s="6" t="s">
        <v>51</v>
      </c>
      <c r="L106" s="6" t="s">
        <v>52</v>
      </c>
      <c r="M106" s="8">
        <v>1</v>
      </c>
      <c r="N106" s="8">
        <v>1</v>
      </c>
      <c r="O106" s="6"/>
      <c r="P106" s="8">
        <v>37.5</v>
      </c>
      <c r="Q106" s="6" t="s">
        <v>1825</v>
      </c>
      <c r="R106" s="6" t="s">
        <v>2458</v>
      </c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</row>
    <row r="107" spans="1:40" x14ac:dyDescent="0.25">
      <c r="A107" s="5" t="s">
        <v>2437</v>
      </c>
      <c r="B107" s="5" t="str">
        <f t="shared" si="3"/>
        <v>A042054571</v>
      </c>
      <c r="C107" s="6" t="s">
        <v>1868</v>
      </c>
      <c r="D107" s="6" t="s">
        <v>491</v>
      </c>
      <c r="E107" s="6">
        <v>19278370</v>
      </c>
      <c r="F107" s="6" t="s">
        <v>608</v>
      </c>
      <c r="G107" s="6" t="s">
        <v>49</v>
      </c>
      <c r="H107" s="6" t="s">
        <v>1837</v>
      </c>
      <c r="I107" s="7">
        <v>45658</v>
      </c>
      <c r="J107" s="7">
        <v>45992</v>
      </c>
      <c r="K107" s="6" t="s">
        <v>51</v>
      </c>
      <c r="L107" s="6" t="s">
        <v>52</v>
      </c>
      <c r="M107" s="8">
        <v>1</v>
      </c>
      <c r="N107" s="8">
        <v>1</v>
      </c>
      <c r="O107" s="6"/>
      <c r="P107" s="8">
        <v>37.5</v>
      </c>
      <c r="Q107" s="6" t="s">
        <v>1825</v>
      </c>
      <c r="R107" s="6" t="s">
        <v>2458</v>
      </c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</row>
    <row r="108" spans="1:40" x14ac:dyDescent="0.25">
      <c r="A108" s="5" t="s">
        <v>2442</v>
      </c>
      <c r="B108" s="5" t="str">
        <f t="shared" si="3"/>
        <v>A042190531</v>
      </c>
      <c r="C108" s="6" t="s">
        <v>1874</v>
      </c>
      <c r="D108" s="6" t="s">
        <v>1027</v>
      </c>
      <c r="E108" s="6">
        <v>17195620</v>
      </c>
      <c r="F108" s="6" t="s">
        <v>1029</v>
      </c>
      <c r="G108" s="6" t="s">
        <v>49</v>
      </c>
      <c r="H108" s="6" t="s">
        <v>1875</v>
      </c>
      <c r="I108" s="7">
        <v>45689</v>
      </c>
      <c r="J108" s="7">
        <v>45992</v>
      </c>
      <c r="K108" s="6" t="s">
        <v>51</v>
      </c>
      <c r="L108" s="6" t="s">
        <v>52</v>
      </c>
      <c r="M108" s="8">
        <v>1</v>
      </c>
      <c r="N108" s="8">
        <v>1</v>
      </c>
      <c r="O108" s="6"/>
      <c r="P108" s="8">
        <v>30</v>
      </c>
      <c r="Q108" s="6" t="s">
        <v>1825</v>
      </c>
      <c r="R108" s="6" t="s">
        <v>2456</v>
      </c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</row>
    <row r="109" spans="1:40" x14ac:dyDescent="0.25">
      <c r="A109" s="9" t="s">
        <v>2410</v>
      </c>
      <c r="B109" s="5" t="str">
        <f t="shared" si="3"/>
        <v>A041396111</v>
      </c>
      <c r="C109" s="10" t="s">
        <v>1834</v>
      </c>
      <c r="D109" s="10" t="s">
        <v>501</v>
      </c>
      <c r="E109" s="10">
        <v>16212649</v>
      </c>
      <c r="F109" s="10" t="s">
        <v>503</v>
      </c>
      <c r="G109" s="10" t="s">
        <v>49</v>
      </c>
      <c r="H109" s="10" t="s">
        <v>1835</v>
      </c>
      <c r="I109" s="11">
        <v>45658</v>
      </c>
      <c r="J109" s="11">
        <v>46054</v>
      </c>
      <c r="K109" s="10" t="s">
        <v>51</v>
      </c>
      <c r="L109" s="10" t="s">
        <v>52</v>
      </c>
      <c r="M109" s="12">
        <v>1</v>
      </c>
      <c r="N109" s="12">
        <v>1</v>
      </c>
      <c r="O109" s="10"/>
      <c r="P109" s="12">
        <v>34.85</v>
      </c>
      <c r="Q109" s="10" t="s">
        <v>1825</v>
      </c>
      <c r="R109" s="10" t="s">
        <v>2463</v>
      </c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</row>
    <row r="110" spans="1:40" x14ac:dyDescent="0.25">
      <c r="A110" s="5" t="s">
        <v>2438</v>
      </c>
      <c r="B110" s="5" t="str">
        <f t="shared" si="3"/>
        <v>A042093041</v>
      </c>
      <c r="C110" s="6" t="s">
        <v>1869</v>
      </c>
      <c r="D110" s="6" t="s">
        <v>189</v>
      </c>
      <c r="E110" s="6">
        <v>19681796</v>
      </c>
      <c r="F110" s="6" t="s">
        <v>390</v>
      </c>
      <c r="G110" s="6" t="s">
        <v>49</v>
      </c>
      <c r="H110" s="6" t="s">
        <v>1870</v>
      </c>
      <c r="I110" s="7">
        <v>45689</v>
      </c>
      <c r="J110" s="7">
        <v>45992</v>
      </c>
      <c r="K110" s="6" t="s">
        <v>51</v>
      </c>
      <c r="L110" s="6" t="s">
        <v>52</v>
      </c>
      <c r="M110" s="8">
        <v>1</v>
      </c>
      <c r="N110" s="8">
        <v>1</v>
      </c>
      <c r="O110" s="6"/>
      <c r="P110" s="8">
        <v>40.98</v>
      </c>
      <c r="Q110" s="6" t="s">
        <v>1825</v>
      </c>
      <c r="R110" s="6" t="s">
        <v>2457</v>
      </c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</row>
    <row r="111" spans="1:40" x14ac:dyDescent="0.25">
      <c r="A111" s="5" t="s">
        <v>2444</v>
      </c>
      <c r="B111" s="5" t="str">
        <f t="shared" si="3"/>
        <v>A042210311</v>
      </c>
      <c r="C111" s="6" t="s">
        <v>1877</v>
      </c>
      <c r="D111" s="6" t="s">
        <v>46</v>
      </c>
      <c r="E111" s="6">
        <v>8325282</v>
      </c>
      <c r="F111" s="6" t="s">
        <v>279</v>
      </c>
      <c r="G111" s="6" t="s">
        <v>49</v>
      </c>
      <c r="H111" s="6" t="s">
        <v>1829</v>
      </c>
      <c r="I111" s="7">
        <v>45689</v>
      </c>
      <c r="J111" s="7">
        <v>45992</v>
      </c>
      <c r="K111" s="6" t="s">
        <v>51</v>
      </c>
      <c r="L111" s="6" t="s">
        <v>52</v>
      </c>
      <c r="M111" s="8">
        <v>1</v>
      </c>
      <c r="N111" s="8">
        <v>1</v>
      </c>
      <c r="O111" s="6"/>
      <c r="P111" s="8">
        <v>31.98</v>
      </c>
      <c r="Q111" s="6" t="s">
        <v>1825</v>
      </c>
      <c r="R111" s="6" t="s">
        <v>2454</v>
      </c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</row>
    <row r="112" spans="1:40" x14ac:dyDescent="0.25">
      <c r="A112" s="5" t="s">
        <v>2429</v>
      </c>
      <c r="B112" s="5" t="str">
        <f t="shared" ref="B112:B139" si="4">CONCATENATE(A112,1)</f>
        <v>A041872001</v>
      </c>
      <c r="C112" s="6" t="s">
        <v>1859</v>
      </c>
      <c r="D112" s="6" t="s">
        <v>46</v>
      </c>
      <c r="E112" s="6">
        <v>9213293</v>
      </c>
      <c r="F112" s="6" t="s">
        <v>48</v>
      </c>
      <c r="G112" s="6" t="s">
        <v>49</v>
      </c>
      <c r="H112" s="6" t="s">
        <v>1829</v>
      </c>
      <c r="I112" s="7">
        <v>45689</v>
      </c>
      <c r="J112" s="7">
        <v>45992</v>
      </c>
      <c r="K112" s="6" t="s">
        <v>51</v>
      </c>
      <c r="L112" s="6" t="s">
        <v>52</v>
      </c>
      <c r="M112" s="8">
        <v>1</v>
      </c>
      <c r="N112" s="8">
        <v>1</v>
      </c>
      <c r="O112" s="6"/>
      <c r="P112" s="8">
        <v>31.98</v>
      </c>
      <c r="Q112" s="6" t="s">
        <v>1825</v>
      </c>
      <c r="R112" s="6" t="s">
        <v>2454</v>
      </c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</row>
    <row r="113" spans="1:40" x14ac:dyDescent="0.25">
      <c r="A113" s="5" t="s">
        <v>2434</v>
      </c>
      <c r="B113" s="5" t="str">
        <f t="shared" si="4"/>
        <v>A041952651</v>
      </c>
      <c r="C113" s="6" t="s">
        <v>1864</v>
      </c>
      <c r="D113" s="6" t="s">
        <v>46</v>
      </c>
      <c r="E113" s="6">
        <v>19645587</v>
      </c>
      <c r="F113" s="6" t="s">
        <v>431</v>
      </c>
      <c r="G113" s="6" t="s">
        <v>49</v>
      </c>
      <c r="H113" s="6" t="s">
        <v>1829</v>
      </c>
      <c r="I113" s="7">
        <v>45689</v>
      </c>
      <c r="J113" s="7">
        <v>45992</v>
      </c>
      <c r="K113" s="6" t="s">
        <v>51</v>
      </c>
      <c r="L113" s="6" t="s">
        <v>52</v>
      </c>
      <c r="M113" s="8">
        <v>1</v>
      </c>
      <c r="N113" s="8">
        <v>1</v>
      </c>
      <c r="O113" s="6"/>
      <c r="P113" s="8">
        <v>31.98</v>
      </c>
      <c r="Q113" s="6" t="s">
        <v>1825</v>
      </c>
      <c r="R113" s="6" t="s">
        <v>2454</v>
      </c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</row>
    <row r="114" spans="1:40" x14ac:dyDescent="0.25">
      <c r="A114" s="5" t="s">
        <v>2440</v>
      </c>
      <c r="B114" s="5" t="str">
        <f t="shared" si="4"/>
        <v>A042135601</v>
      </c>
      <c r="C114" s="6" t="s">
        <v>1872</v>
      </c>
      <c r="D114" s="6" t="s">
        <v>46</v>
      </c>
      <c r="E114" s="6">
        <v>19645587</v>
      </c>
      <c r="F114" s="6" t="s">
        <v>431</v>
      </c>
      <c r="G114" s="6" t="s">
        <v>49</v>
      </c>
      <c r="H114" s="6" t="s">
        <v>1829</v>
      </c>
      <c r="I114" s="7">
        <v>45689</v>
      </c>
      <c r="J114" s="7">
        <v>45992</v>
      </c>
      <c r="K114" s="6" t="s">
        <v>51</v>
      </c>
      <c r="L114" s="6" t="s">
        <v>52</v>
      </c>
      <c r="M114" s="8">
        <v>1</v>
      </c>
      <c r="N114" s="8">
        <v>1</v>
      </c>
      <c r="O114" s="6"/>
      <c r="P114" s="8">
        <v>31.98</v>
      </c>
      <c r="Q114" s="6" t="s">
        <v>1825</v>
      </c>
      <c r="R114" s="6" t="s">
        <v>2454</v>
      </c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</row>
    <row r="115" spans="1:40" x14ac:dyDescent="0.25">
      <c r="A115" s="5" t="s">
        <v>2414</v>
      </c>
      <c r="B115" s="5" t="str">
        <f t="shared" si="4"/>
        <v>A041504821</v>
      </c>
      <c r="C115" s="6" t="s">
        <v>1840</v>
      </c>
      <c r="D115" s="6" t="s">
        <v>46</v>
      </c>
      <c r="E115" s="6">
        <v>8325282</v>
      </c>
      <c r="F115" s="6" t="s">
        <v>279</v>
      </c>
      <c r="G115" s="6" t="s">
        <v>49</v>
      </c>
      <c r="H115" s="6" t="s">
        <v>1829</v>
      </c>
      <c r="I115" s="7">
        <v>45658</v>
      </c>
      <c r="J115" s="7">
        <v>45992</v>
      </c>
      <c r="K115" s="6" t="s">
        <v>51</v>
      </c>
      <c r="L115" s="6" t="s">
        <v>52</v>
      </c>
      <c r="M115" s="8">
        <v>1</v>
      </c>
      <c r="N115" s="8">
        <v>1</v>
      </c>
      <c r="O115" s="6"/>
      <c r="P115" s="8">
        <v>31.98</v>
      </c>
      <c r="Q115" s="6" t="s">
        <v>1825</v>
      </c>
      <c r="R115" s="6" t="s">
        <v>2454</v>
      </c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</row>
    <row r="116" spans="1:40" x14ac:dyDescent="0.25">
      <c r="A116" s="5" t="s">
        <v>2415</v>
      </c>
      <c r="B116" s="5" t="str">
        <f t="shared" si="4"/>
        <v>A041504901</v>
      </c>
      <c r="C116" s="6" t="s">
        <v>1841</v>
      </c>
      <c r="D116" s="6" t="s">
        <v>46</v>
      </c>
      <c r="E116" s="6">
        <v>8325282</v>
      </c>
      <c r="F116" s="6" t="s">
        <v>279</v>
      </c>
      <c r="G116" s="6" t="s">
        <v>49</v>
      </c>
      <c r="H116" s="6" t="s">
        <v>1829</v>
      </c>
      <c r="I116" s="7">
        <v>45658</v>
      </c>
      <c r="J116" s="7">
        <v>45992</v>
      </c>
      <c r="K116" s="6" t="s">
        <v>51</v>
      </c>
      <c r="L116" s="6" t="s">
        <v>52</v>
      </c>
      <c r="M116" s="8">
        <v>1</v>
      </c>
      <c r="N116" s="8">
        <v>1</v>
      </c>
      <c r="O116" s="6"/>
      <c r="P116" s="8">
        <v>31.98</v>
      </c>
      <c r="Q116" s="6" t="s">
        <v>1825</v>
      </c>
      <c r="R116" s="6" t="s">
        <v>2454</v>
      </c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</row>
    <row r="117" spans="1:40" x14ac:dyDescent="0.25">
      <c r="A117" s="5" t="s">
        <v>2424</v>
      </c>
      <c r="B117" s="5" t="str">
        <f t="shared" si="4"/>
        <v>A041675191</v>
      </c>
      <c r="C117" s="6" t="s">
        <v>1852</v>
      </c>
      <c r="D117" s="6" t="s">
        <v>46</v>
      </c>
      <c r="E117" s="6">
        <v>8325282</v>
      </c>
      <c r="F117" s="6" t="s">
        <v>279</v>
      </c>
      <c r="G117" s="6" t="s">
        <v>49</v>
      </c>
      <c r="H117" s="6" t="s">
        <v>1829</v>
      </c>
      <c r="I117" s="7">
        <v>45658</v>
      </c>
      <c r="J117" s="7">
        <v>45992</v>
      </c>
      <c r="K117" s="6" t="s">
        <v>51</v>
      </c>
      <c r="L117" s="6" t="s">
        <v>52</v>
      </c>
      <c r="M117" s="8">
        <v>1</v>
      </c>
      <c r="N117" s="8">
        <v>1</v>
      </c>
      <c r="O117" s="6"/>
      <c r="P117" s="8">
        <v>31.98</v>
      </c>
      <c r="Q117" s="6" t="s">
        <v>1825</v>
      </c>
      <c r="R117" s="6" t="s">
        <v>2454</v>
      </c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</row>
    <row r="118" spans="1:40" x14ac:dyDescent="0.25">
      <c r="A118" s="5" t="s">
        <v>2428</v>
      </c>
      <c r="B118" s="5" t="str">
        <f t="shared" si="4"/>
        <v>A041862071</v>
      </c>
      <c r="C118" s="6" t="s">
        <v>1858</v>
      </c>
      <c r="D118" s="6" t="s">
        <v>46</v>
      </c>
      <c r="E118" s="6">
        <v>8325282</v>
      </c>
      <c r="F118" s="6" t="s">
        <v>279</v>
      </c>
      <c r="G118" s="6" t="s">
        <v>49</v>
      </c>
      <c r="H118" s="6" t="s">
        <v>1829</v>
      </c>
      <c r="I118" s="7">
        <v>45658</v>
      </c>
      <c r="J118" s="7">
        <v>45992</v>
      </c>
      <c r="K118" s="6" t="s">
        <v>51</v>
      </c>
      <c r="L118" s="6" t="s">
        <v>52</v>
      </c>
      <c r="M118" s="8">
        <v>1</v>
      </c>
      <c r="N118" s="8">
        <v>1</v>
      </c>
      <c r="O118" s="6"/>
      <c r="P118" s="8">
        <v>31.98</v>
      </c>
      <c r="Q118" s="6" t="s">
        <v>1825</v>
      </c>
      <c r="R118" s="6" t="s">
        <v>2454</v>
      </c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</row>
    <row r="119" spans="1:40" x14ac:dyDescent="0.25">
      <c r="A119" s="5" t="s">
        <v>2431</v>
      </c>
      <c r="B119" s="5" t="str">
        <f t="shared" si="4"/>
        <v>A041917201</v>
      </c>
      <c r="C119" s="6" t="s">
        <v>1861</v>
      </c>
      <c r="D119" s="6" t="s">
        <v>46</v>
      </c>
      <c r="E119" s="6">
        <v>8325282</v>
      </c>
      <c r="F119" s="6" t="s">
        <v>279</v>
      </c>
      <c r="G119" s="6" t="s">
        <v>49</v>
      </c>
      <c r="H119" s="6" t="s">
        <v>1829</v>
      </c>
      <c r="I119" s="7">
        <v>45658</v>
      </c>
      <c r="J119" s="7">
        <v>45992</v>
      </c>
      <c r="K119" s="6" t="s">
        <v>51</v>
      </c>
      <c r="L119" s="6" t="s">
        <v>52</v>
      </c>
      <c r="M119" s="8">
        <v>1</v>
      </c>
      <c r="N119" s="8">
        <v>1</v>
      </c>
      <c r="O119" s="6"/>
      <c r="P119" s="8">
        <v>31.98</v>
      </c>
      <c r="Q119" s="6" t="s">
        <v>1825</v>
      </c>
      <c r="R119" s="6" t="s">
        <v>2454</v>
      </c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</row>
    <row r="120" spans="1:40" x14ac:dyDescent="0.25">
      <c r="A120" s="5" t="s">
        <v>2412</v>
      </c>
      <c r="B120" s="5" t="str">
        <f t="shared" si="4"/>
        <v>A041459151</v>
      </c>
      <c r="C120" s="6" t="s">
        <v>48</v>
      </c>
      <c r="D120" s="6" t="s">
        <v>46</v>
      </c>
      <c r="E120" s="6">
        <v>9213293</v>
      </c>
      <c r="F120" s="6" t="s">
        <v>48</v>
      </c>
      <c r="G120" s="6" t="s">
        <v>49</v>
      </c>
      <c r="H120" s="6" t="s">
        <v>1829</v>
      </c>
      <c r="I120" s="7">
        <v>45658</v>
      </c>
      <c r="J120" s="7">
        <v>45992</v>
      </c>
      <c r="K120" s="6" t="s">
        <v>51</v>
      </c>
      <c r="L120" s="6" t="s">
        <v>52</v>
      </c>
      <c r="M120" s="8">
        <v>1</v>
      </c>
      <c r="N120" s="8">
        <v>1</v>
      </c>
      <c r="O120" s="6"/>
      <c r="P120" s="8">
        <v>31.98</v>
      </c>
      <c r="Q120" s="6" t="s">
        <v>1825</v>
      </c>
      <c r="R120" s="6" t="s">
        <v>2454</v>
      </c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</row>
    <row r="121" spans="1:40" x14ac:dyDescent="0.25">
      <c r="A121" s="5" t="s">
        <v>2416</v>
      </c>
      <c r="B121" s="5" t="str">
        <f t="shared" si="4"/>
        <v>A041528551</v>
      </c>
      <c r="C121" s="6" t="s">
        <v>1842</v>
      </c>
      <c r="D121" s="6" t="s">
        <v>46</v>
      </c>
      <c r="E121" s="6">
        <v>9213293</v>
      </c>
      <c r="F121" s="6" t="s">
        <v>48</v>
      </c>
      <c r="G121" s="6" t="s">
        <v>49</v>
      </c>
      <c r="H121" s="6" t="s">
        <v>1829</v>
      </c>
      <c r="I121" s="7">
        <v>45658</v>
      </c>
      <c r="J121" s="7">
        <v>45992</v>
      </c>
      <c r="K121" s="6" t="s">
        <v>51</v>
      </c>
      <c r="L121" s="6" t="s">
        <v>52</v>
      </c>
      <c r="M121" s="8">
        <v>1</v>
      </c>
      <c r="N121" s="8">
        <v>1</v>
      </c>
      <c r="O121" s="6"/>
      <c r="P121" s="8">
        <v>31.98</v>
      </c>
      <c r="Q121" s="6" t="s">
        <v>1825</v>
      </c>
      <c r="R121" s="6" t="s">
        <v>2454</v>
      </c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</row>
    <row r="122" spans="1:40" x14ac:dyDescent="0.25">
      <c r="A122" s="5" t="s">
        <v>2417</v>
      </c>
      <c r="B122" s="5" t="str">
        <f t="shared" si="4"/>
        <v>A041552521</v>
      </c>
      <c r="C122" s="6" t="s">
        <v>1843</v>
      </c>
      <c r="D122" s="6" t="s">
        <v>46</v>
      </c>
      <c r="E122" s="6">
        <v>9213293</v>
      </c>
      <c r="F122" s="6" t="s">
        <v>48</v>
      </c>
      <c r="G122" s="6" t="s">
        <v>49</v>
      </c>
      <c r="H122" s="6" t="s">
        <v>1829</v>
      </c>
      <c r="I122" s="7">
        <v>45658</v>
      </c>
      <c r="J122" s="7">
        <v>45992</v>
      </c>
      <c r="K122" s="6" t="s">
        <v>51</v>
      </c>
      <c r="L122" s="6" t="s">
        <v>52</v>
      </c>
      <c r="M122" s="8">
        <v>1</v>
      </c>
      <c r="N122" s="8">
        <v>1</v>
      </c>
      <c r="O122" s="6"/>
      <c r="P122" s="8">
        <v>31.98</v>
      </c>
      <c r="Q122" s="6" t="s">
        <v>1825</v>
      </c>
      <c r="R122" s="6" t="s">
        <v>2454</v>
      </c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</row>
    <row r="123" spans="1:40" x14ac:dyDescent="0.25">
      <c r="A123" s="5" t="s">
        <v>2406</v>
      </c>
      <c r="B123" s="5" t="str">
        <f t="shared" si="4"/>
        <v>A041305501</v>
      </c>
      <c r="C123" s="6" t="s">
        <v>1828</v>
      </c>
      <c r="D123" s="6" t="s">
        <v>46</v>
      </c>
      <c r="E123" s="6">
        <v>18754354</v>
      </c>
      <c r="F123" s="6" t="s">
        <v>63</v>
      </c>
      <c r="G123" s="6" t="s">
        <v>49</v>
      </c>
      <c r="H123" s="6" t="s">
        <v>1829</v>
      </c>
      <c r="I123" s="7">
        <v>45658</v>
      </c>
      <c r="J123" s="7">
        <v>45992</v>
      </c>
      <c r="K123" s="6" t="s">
        <v>51</v>
      </c>
      <c r="L123" s="6" t="s">
        <v>52</v>
      </c>
      <c r="M123" s="8">
        <v>1</v>
      </c>
      <c r="N123" s="8">
        <v>1</v>
      </c>
      <c r="O123" s="6"/>
      <c r="P123" s="8">
        <v>31.98</v>
      </c>
      <c r="Q123" s="6" t="s">
        <v>1825</v>
      </c>
      <c r="R123" s="6" t="s">
        <v>2454</v>
      </c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</row>
    <row r="124" spans="1:40" x14ac:dyDescent="0.25">
      <c r="A124" s="5" t="s">
        <v>2408</v>
      </c>
      <c r="B124" s="5" t="str">
        <f t="shared" si="4"/>
        <v>A041363381</v>
      </c>
      <c r="C124" s="6" t="s">
        <v>1832</v>
      </c>
      <c r="D124" s="6" t="s">
        <v>46</v>
      </c>
      <c r="E124" s="6">
        <v>18754354</v>
      </c>
      <c r="F124" s="6" t="s">
        <v>63</v>
      </c>
      <c r="G124" s="6" t="s">
        <v>49</v>
      </c>
      <c r="H124" s="6" t="s">
        <v>1829</v>
      </c>
      <c r="I124" s="7">
        <v>45658</v>
      </c>
      <c r="J124" s="7">
        <v>45992</v>
      </c>
      <c r="K124" s="6" t="s">
        <v>51</v>
      </c>
      <c r="L124" s="6" t="s">
        <v>52</v>
      </c>
      <c r="M124" s="8">
        <v>1</v>
      </c>
      <c r="N124" s="8">
        <v>1</v>
      </c>
      <c r="O124" s="6"/>
      <c r="P124" s="8">
        <v>31.98</v>
      </c>
      <c r="Q124" s="6" t="s">
        <v>1825</v>
      </c>
      <c r="R124" s="6" t="s">
        <v>2454</v>
      </c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</row>
    <row r="125" spans="1:40" x14ac:dyDescent="0.25">
      <c r="A125" s="5" t="s">
        <v>2409</v>
      </c>
      <c r="B125" s="5" t="str">
        <f t="shared" si="4"/>
        <v>A041370091</v>
      </c>
      <c r="C125" s="6" t="s">
        <v>1833</v>
      </c>
      <c r="D125" s="6" t="s">
        <v>46</v>
      </c>
      <c r="E125" s="6">
        <v>18754354</v>
      </c>
      <c r="F125" s="6" t="s">
        <v>63</v>
      </c>
      <c r="G125" s="6" t="s">
        <v>49</v>
      </c>
      <c r="H125" s="6" t="s">
        <v>1829</v>
      </c>
      <c r="I125" s="7">
        <v>45658</v>
      </c>
      <c r="J125" s="7">
        <v>45992</v>
      </c>
      <c r="K125" s="6" t="s">
        <v>51</v>
      </c>
      <c r="L125" s="6" t="s">
        <v>52</v>
      </c>
      <c r="M125" s="8">
        <v>1</v>
      </c>
      <c r="N125" s="8">
        <v>1</v>
      </c>
      <c r="O125" s="6"/>
      <c r="P125" s="8">
        <v>31.98</v>
      </c>
      <c r="Q125" s="6" t="s">
        <v>1825</v>
      </c>
      <c r="R125" s="6" t="s">
        <v>2454</v>
      </c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</row>
    <row r="126" spans="1:40" x14ac:dyDescent="0.25">
      <c r="A126" s="5" t="s">
        <v>2422</v>
      </c>
      <c r="B126" s="5" t="str">
        <f t="shared" si="4"/>
        <v>A041672961</v>
      </c>
      <c r="C126" s="6" t="s">
        <v>1849</v>
      </c>
      <c r="D126" s="6" t="s">
        <v>61</v>
      </c>
      <c r="E126" s="6">
        <v>19645587</v>
      </c>
      <c r="F126" s="6" t="s">
        <v>431</v>
      </c>
      <c r="G126" s="6" t="s">
        <v>49</v>
      </c>
      <c r="H126" s="6" t="s">
        <v>1850</v>
      </c>
      <c r="I126" s="7">
        <v>45658</v>
      </c>
      <c r="J126" s="7">
        <v>45992</v>
      </c>
      <c r="K126" s="6" t="s">
        <v>51</v>
      </c>
      <c r="L126" s="6" t="s">
        <v>52</v>
      </c>
      <c r="M126" s="8">
        <v>1</v>
      </c>
      <c r="N126" s="8">
        <v>1</v>
      </c>
      <c r="O126" s="6"/>
      <c r="P126" s="8">
        <v>10.38</v>
      </c>
      <c r="Q126" s="6" t="s">
        <v>1825</v>
      </c>
      <c r="R126" s="6" t="s">
        <v>2453</v>
      </c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</row>
    <row r="127" spans="1:40" x14ac:dyDescent="0.25">
      <c r="A127" s="5" t="s">
        <v>2423</v>
      </c>
      <c r="B127" s="5" t="str">
        <f t="shared" si="4"/>
        <v>A041673511</v>
      </c>
      <c r="C127" s="6" t="s">
        <v>1851</v>
      </c>
      <c r="D127" s="6" t="s">
        <v>61</v>
      </c>
      <c r="E127" s="6">
        <v>19645587</v>
      </c>
      <c r="F127" s="6" t="s">
        <v>431</v>
      </c>
      <c r="G127" s="6" t="s">
        <v>49</v>
      </c>
      <c r="H127" s="6" t="s">
        <v>1850</v>
      </c>
      <c r="I127" s="7">
        <v>45658</v>
      </c>
      <c r="J127" s="7">
        <v>45992</v>
      </c>
      <c r="K127" s="6" t="s">
        <v>51</v>
      </c>
      <c r="L127" s="6" t="s">
        <v>52</v>
      </c>
      <c r="M127" s="8">
        <v>1</v>
      </c>
      <c r="N127" s="8">
        <v>1</v>
      </c>
      <c r="O127" s="6"/>
      <c r="P127" s="8">
        <v>10.38</v>
      </c>
      <c r="Q127" s="6" t="s">
        <v>1825</v>
      </c>
      <c r="R127" s="6" t="s">
        <v>2453</v>
      </c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</row>
    <row r="128" spans="1:40" x14ac:dyDescent="0.25">
      <c r="A128" s="9" t="s">
        <v>2427</v>
      </c>
      <c r="B128" s="5" t="str">
        <f t="shared" si="4"/>
        <v>A041854041</v>
      </c>
      <c r="C128" s="10" t="s">
        <v>1856</v>
      </c>
      <c r="D128" s="10" t="s">
        <v>61</v>
      </c>
      <c r="E128" s="10">
        <v>19645587</v>
      </c>
      <c r="F128" s="10" t="s">
        <v>431</v>
      </c>
      <c r="G128" s="10" t="s">
        <v>49</v>
      </c>
      <c r="H128" s="10" t="s">
        <v>1857</v>
      </c>
      <c r="I128" s="11">
        <v>45658</v>
      </c>
      <c r="J128" s="11">
        <v>46054</v>
      </c>
      <c r="K128" s="10" t="s">
        <v>51</v>
      </c>
      <c r="L128" s="10" t="s">
        <v>52</v>
      </c>
      <c r="M128" s="12">
        <v>1</v>
      </c>
      <c r="N128" s="12">
        <v>1</v>
      </c>
      <c r="O128" s="10"/>
      <c r="P128" s="12">
        <v>42.13</v>
      </c>
      <c r="Q128" s="10" t="s">
        <v>1825</v>
      </c>
      <c r="R128" s="10" t="s">
        <v>2452</v>
      </c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</row>
    <row r="129" spans="1:40" x14ac:dyDescent="0.25">
      <c r="A129" s="5" t="s">
        <v>2407</v>
      </c>
      <c r="B129" s="5" t="str">
        <f t="shared" si="4"/>
        <v>A041361481</v>
      </c>
      <c r="C129" s="6" t="s">
        <v>1830</v>
      </c>
      <c r="D129" s="6" t="s">
        <v>61</v>
      </c>
      <c r="E129" s="6">
        <v>17425766</v>
      </c>
      <c r="F129" s="6" t="s">
        <v>764</v>
      </c>
      <c r="G129" s="6" t="s">
        <v>49</v>
      </c>
      <c r="H129" s="6" t="s">
        <v>1831</v>
      </c>
      <c r="I129" s="7">
        <v>45658</v>
      </c>
      <c r="J129" s="7">
        <v>45992</v>
      </c>
      <c r="K129" s="6" t="s">
        <v>51</v>
      </c>
      <c r="L129" s="6" t="s">
        <v>52</v>
      </c>
      <c r="M129" s="8">
        <v>1</v>
      </c>
      <c r="N129" s="8">
        <v>1</v>
      </c>
      <c r="O129" s="6"/>
      <c r="P129" s="8">
        <v>58.19</v>
      </c>
      <c r="Q129" s="6" t="s">
        <v>1825</v>
      </c>
      <c r="R129" s="6" t="s">
        <v>2451</v>
      </c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</row>
    <row r="130" spans="1:40" x14ac:dyDescent="0.25">
      <c r="A130" s="5" t="s">
        <v>2420</v>
      </c>
      <c r="B130" s="5" t="str">
        <f t="shared" si="4"/>
        <v>A041637271</v>
      </c>
      <c r="C130" s="6" t="s">
        <v>1847</v>
      </c>
      <c r="D130" s="6" t="s">
        <v>61</v>
      </c>
      <c r="E130" s="6">
        <v>17425766</v>
      </c>
      <c r="F130" s="6" t="s">
        <v>764</v>
      </c>
      <c r="G130" s="6" t="s">
        <v>49</v>
      </c>
      <c r="H130" s="6" t="s">
        <v>1831</v>
      </c>
      <c r="I130" s="7">
        <v>45658</v>
      </c>
      <c r="J130" s="7">
        <v>45992</v>
      </c>
      <c r="K130" s="6" t="s">
        <v>51</v>
      </c>
      <c r="L130" s="6" t="s">
        <v>52</v>
      </c>
      <c r="M130" s="8">
        <v>1</v>
      </c>
      <c r="N130" s="8">
        <v>1</v>
      </c>
      <c r="O130" s="6"/>
      <c r="P130" s="8">
        <v>58.19</v>
      </c>
      <c r="Q130" s="6" t="s">
        <v>1825</v>
      </c>
      <c r="R130" s="6" t="s">
        <v>2451</v>
      </c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</row>
    <row r="131" spans="1:40" x14ac:dyDescent="0.25">
      <c r="A131" s="5" t="s">
        <v>2433</v>
      </c>
      <c r="B131" s="5" t="str">
        <f t="shared" si="4"/>
        <v>A041942791</v>
      </c>
      <c r="C131" s="6" t="s">
        <v>1863</v>
      </c>
      <c r="D131" s="6" t="s">
        <v>61</v>
      </c>
      <c r="E131" s="6">
        <v>19645587</v>
      </c>
      <c r="F131" s="6" t="s">
        <v>431</v>
      </c>
      <c r="G131" s="6" t="s">
        <v>49</v>
      </c>
      <c r="H131" s="6" t="s">
        <v>1831</v>
      </c>
      <c r="I131" s="7">
        <v>45658</v>
      </c>
      <c r="J131" s="7">
        <v>45992</v>
      </c>
      <c r="K131" s="6" t="s">
        <v>51</v>
      </c>
      <c r="L131" s="6" t="s">
        <v>52</v>
      </c>
      <c r="M131" s="8">
        <v>1</v>
      </c>
      <c r="N131" s="8">
        <v>1</v>
      </c>
      <c r="O131" s="6"/>
      <c r="P131" s="8">
        <v>58.19</v>
      </c>
      <c r="Q131" s="6" t="s">
        <v>1825</v>
      </c>
      <c r="R131" s="6" t="s">
        <v>2451</v>
      </c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</row>
    <row r="132" spans="1:40" x14ac:dyDescent="0.25">
      <c r="A132" s="9" t="s">
        <v>2404</v>
      </c>
      <c r="B132" s="5" t="str">
        <f t="shared" si="4"/>
        <v>A028245411</v>
      </c>
      <c r="C132" s="10" t="s">
        <v>1823</v>
      </c>
      <c r="D132" s="10" t="s">
        <v>305</v>
      </c>
      <c r="E132" s="10">
        <v>8325282</v>
      </c>
      <c r="F132" s="10" t="s">
        <v>279</v>
      </c>
      <c r="G132" s="10" t="s">
        <v>49</v>
      </c>
      <c r="H132" s="10" t="s">
        <v>1824</v>
      </c>
      <c r="I132" s="11">
        <v>45658</v>
      </c>
      <c r="J132" s="11">
        <v>46054</v>
      </c>
      <c r="K132" s="10" t="s">
        <v>51</v>
      </c>
      <c r="L132" s="10" t="s">
        <v>52</v>
      </c>
      <c r="M132" s="12">
        <v>1</v>
      </c>
      <c r="N132" s="12">
        <v>1</v>
      </c>
      <c r="O132" s="10"/>
      <c r="P132" s="12">
        <v>25.02</v>
      </c>
      <c r="Q132" s="10" t="s">
        <v>1825</v>
      </c>
      <c r="R132" s="10" t="s">
        <v>1824</v>
      </c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</row>
    <row r="133" spans="1:40" x14ac:dyDescent="0.25">
      <c r="A133" s="9" t="s">
        <v>2421</v>
      </c>
      <c r="B133" s="5" t="str">
        <f t="shared" si="4"/>
        <v>A041640041</v>
      </c>
      <c r="C133" s="10" t="s">
        <v>1848</v>
      </c>
      <c r="D133" s="10" t="s">
        <v>305</v>
      </c>
      <c r="E133" s="10">
        <v>8325282</v>
      </c>
      <c r="F133" s="10" t="s">
        <v>279</v>
      </c>
      <c r="G133" s="10" t="s">
        <v>49</v>
      </c>
      <c r="H133" s="10" t="s">
        <v>1824</v>
      </c>
      <c r="I133" s="11">
        <v>45658</v>
      </c>
      <c r="J133" s="11">
        <v>46054</v>
      </c>
      <c r="K133" s="10" t="s">
        <v>51</v>
      </c>
      <c r="L133" s="10" t="s">
        <v>52</v>
      </c>
      <c r="M133" s="12">
        <v>1</v>
      </c>
      <c r="N133" s="12">
        <v>1</v>
      </c>
      <c r="O133" s="10"/>
      <c r="P133" s="12">
        <v>25.02</v>
      </c>
      <c r="Q133" s="10" t="s">
        <v>1825</v>
      </c>
      <c r="R133" s="10" t="s">
        <v>1824</v>
      </c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</row>
    <row r="134" spans="1:40" x14ac:dyDescent="0.25">
      <c r="A134" s="5" t="s">
        <v>2435</v>
      </c>
      <c r="B134" s="5" t="str">
        <f t="shared" si="4"/>
        <v>A041993091</v>
      </c>
      <c r="C134" s="6" t="s">
        <v>1865</v>
      </c>
      <c r="D134" s="6" t="s">
        <v>491</v>
      </c>
      <c r="E134" s="6">
        <v>19278370</v>
      </c>
      <c r="F134" s="6" t="s">
        <v>608</v>
      </c>
      <c r="G134" s="6" t="s">
        <v>49</v>
      </c>
      <c r="H134" s="6" t="s">
        <v>1866</v>
      </c>
      <c r="I134" s="7">
        <v>45689</v>
      </c>
      <c r="J134" s="7">
        <v>45992</v>
      </c>
      <c r="K134" s="6" t="s">
        <v>51</v>
      </c>
      <c r="L134" s="6" t="s">
        <v>52</v>
      </c>
      <c r="M134" s="8">
        <v>1</v>
      </c>
      <c r="N134" s="8">
        <v>1</v>
      </c>
      <c r="O134" s="6"/>
      <c r="P134" s="8">
        <v>29.52</v>
      </c>
      <c r="Q134" s="6" t="s">
        <v>1825</v>
      </c>
      <c r="R134" s="6" t="s">
        <v>2461</v>
      </c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</row>
    <row r="135" spans="1:40" x14ac:dyDescent="0.25">
      <c r="A135" s="5" t="s">
        <v>2436</v>
      </c>
      <c r="B135" s="5" t="str">
        <f t="shared" si="4"/>
        <v>A041993121</v>
      </c>
      <c r="C135" s="6" t="s">
        <v>1867</v>
      </c>
      <c r="D135" s="6" t="s">
        <v>491</v>
      </c>
      <c r="E135" s="6">
        <v>19278370</v>
      </c>
      <c r="F135" s="6" t="s">
        <v>608</v>
      </c>
      <c r="G135" s="6" t="s">
        <v>49</v>
      </c>
      <c r="H135" s="6" t="s">
        <v>1866</v>
      </c>
      <c r="I135" s="7">
        <v>45689</v>
      </c>
      <c r="J135" s="7">
        <v>45992</v>
      </c>
      <c r="K135" s="6" t="s">
        <v>51</v>
      </c>
      <c r="L135" s="6" t="s">
        <v>52</v>
      </c>
      <c r="M135" s="8">
        <v>1</v>
      </c>
      <c r="N135" s="8">
        <v>1</v>
      </c>
      <c r="O135" s="6"/>
      <c r="P135" s="8">
        <v>29.52</v>
      </c>
      <c r="Q135" s="6" t="s">
        <v>1825</v>
      </c>
      <c r="R135" s="6" t="s">
        <v>2461</v>
      </c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</row>
    <row r="136" spans="1:40" x14ac:dyDescent="0.25">
      <c r="A136" s="5" t="s">
        <v>2425</v>
      </c>
      <c r="B136" s="5" t="str">
        <f t="shared" si="4"/>
        <v>A041727081</v>
      </c>
      <c r="C136" s="6" t="s">
        <v>1853</v>
      </c>
      <c r="D136" s="6" t="s">
        <v>87</v>
      </c>
      <c r="E136" s="6">
        <v>9213293</v>
      </c>
      <c r="F136" s="6" t="s">
        <v>48</v>
      </c>
      <c r="G136" s="6" t="s">
        <v>49</v>
      </c>
      <c r="H136" s="6" t="s">
        <v>1854</v>
      </c>
      <c r="I136" s="7">
        <v>45658</v>
      </c>
      <c r="J136" s="7">
        <v>45992</v>
      </c>
      <c r="K136" s="6" t="s">
        <v>51</v>
      </c>
      <c r="L136" s="6" t="s">
        <v>52</v>
      </c>
      <c r="M136" s="8">
        <v>1</v>
      </c>
      <c r="N136" s="8">
        <v>1</v>
      </c>
      <c r="O136" s="6"/>
      <c r="P136" s="8">
        <v>31.02</v>
      </c>
      <c r="Q136" s="6" t="s">
        <v>1825</v>
      </c>
      <c r="R136" s="6" t="s">
        <v>2455</v>
      </c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</row>
    <row r="137" spans="1:40" x14ac:dyDescent="0.25">
      <c r="A137" s="5">
        <v>976643581</v>
      </c>
      <c r="B137" s="5" t="str">
        <f t="shared" si="4"/>
        <v>9766435811</v>
      </c>
      <c r="C137" s="6" t="s">
        <v>1154</v>
      </c>
      <c r="D137" s="6" t="s">
        <v>491</v>
      </c>
      <c r="E137" s="6" t="s">
        <v>2478</v>
      </c>
      <c r="F137" s="6" t="s">
        <v>972</v>
      </c>
      <c r="G137" s="6" t="s">
        <v>49</v>
      </c>
      <c r="H137" s="6" t="s">
        <v>1155</v>
      </c>
      <c r="I137" s="7">
        <v>45992</v>
      </c>
      <c r="J137" s="7">
        <v>46023</v>
      </c>
      <c r="K137" s="6" t="s">
        <v>51</v>
      </c>
      <c r="L137" s="6" t="s">
        <v>52</v>
      </c>
      <c r="M137" s="8">
        <v>0</v>
      </c>
      <c r="N137" s="8">
        <v>705</v>
      </c>
      <c r="O137" s="6">
        <v>1</v>
      </c>
      <c r="P137" s="8">
        <v>705</v>
      </c>
      <c r="Q137" s="6"/>
      <c r="R137" s="6" t="s">
        <v>2467</v>
      </c>
      <c r="S137" s="6" t="s">
        <v>2472</v>
      </c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</row>
    <row r="138" spans="1:40" x14ac:dyDescent="0.25">
      <c r="A138" s="5">
        <v>946535914</v>
      </c>
      <c r="B138" s="5" t="str">
        <f t="shared" si="4"/>
        <v>9465359141</v>
      </c>
      <c r="C138" s="6" t="s">
        <v>1116</v>
      </c>
      <c r="D138" s="6" t="s">
        <v>46</v>
      </c>
      <c r="E138" s="6">
        <v>8325282</v>
      </c>
      <c r="F138" s="6" t="s">
        <v>279</v>
      </c>
      <c r="G138" s="6" t="s">
        <v>49</v>
      </c>
      <c r="H138" s="6" t="s">
        <v>1108</v>
      </c>
      <c r="I138" s="7">
        <v>45992</v>
      </c>
      <c r="J138" s="7">
        <v>46023</v>
      </c>
      <c r="K138" s="6" t="s">
        <v>51</v>
      </c>
      <c r="L138" s="6" t="s">
        <v>52</v>
      </c>
      <c r="M138" s="8">
        <v>0</v>
      </c>
      <c r="N138" s="8">
        <v>626</v>
      </c>
      <c r="O138" s="6">
        <v>1</v>
      </c>
      <c r="P138" s="8">
        <v>626</v>
      </c>
      <c r="Q138" s="6"/>
      <c r="R138" s="6" t="s">
        <v>2465</v>
      </c>
      <c r="S138" s="6" t="s">
        <v>2473</v>
      </c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</row>
    <row r="139" spans="1:40" x14ac:dyDescent="0.25">
      <c r="A139" s="5">
        <v>940823604</v>
      </c>
      <c r="B139" s="5" t="str">
        <f t="shared" si="4"/>
        <v>9408236041</v>
      </c>
      <c r="C139" s="6" t="s">
        <v>1107</v>
      </c>
      <c r="D139" s="6" t="s">
        <v>46</v>
      </c>
      <c r="E139" s="6">
        <v>9213293</v>
      </c>
      <c r="F139" s="6" t="s">
        <v>48</v>
      </c>
      <c r="G139" s="6" t="s">
        <v>49</v>
      </c>
      <c r="H139" s="6" t="s">
        <v>1108</v>
      </c>
      <c r="I139" s="7">
        <v>45992</v>
      </c>
      <c r="J139" s="7">
        <v>46023</v>
      </c>
      <c r="K139" s="6" t="s">
        <v>51</v>
      </c>
      <c r="L139" s="6" t="s">
        <v>52</v>
      </c>
      <c r="M139" s="8">
        <v>0</v>
      </c>
      <c r="N139" s="8">
        <v>626</v>
      </c>
      <c r="O139" s="6">
        <v>1</v>
      </c>
      <c r="P139" s="8">
        <v>626</v>
      </c>
      <c r="Q139" s="6"/>
      <c r="R139" s="6" t="s">
        <v>2465</v>
      </c>
      <c r="S139" s="6" t="s">
        <v>2473</v>
      </c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</row>
    <row r="140" spans="1:40" x14ac:dyDescent="0.25">
      <c r="A140" s="5" t="s">
        <v>2492</v>
      </c>
      <c r="B140" s="5" t="s">
        <v>2492</v>
      </c>
      <c r="C140" s="6" t="s">
        <v>1222</v>
      </c>
      <c r="D140" s="6" t="s">
        <v>1027</v>
      </c>
      <c r="E140" s="6">
        <v>9079571</v>
      </c>
      <c r="F140" s="6" t="s">
        <v>888</v>
      </c>
      <c r="G140" s="6" t="s">
        <v>1204</v>
      </c>
      <c r="H140" s="6" t="s">
        <v>1223</v>
      </c>
      <c r="I140" s="7">
        <v>46023</v>
      </c>
      <c r="J140" s="7">
        <v>46054</v>
      </c>
      <c r="K140" s="6" t="s">
        <v>51</v>
      </c>
      <c r="L140" s="6" t="s">
        <v>52</v>
      </c>
      <c r="M140" s="6"/>
      <c r="N140" s="6"/>
      <c r="O140" s="6"/>
      <c r="P140" s="6">
        <v>-15</v>
      </c>
      <c r="Q140" s="6"/>
      <c r="R140" s="6" t="s">
        <v>2450</v>
      </c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</row>
    <row r="141" spans="1:40" x14ac:dyDescent="0.25">
      <c r="A141" s="5" t="s">
        <v>2493</v>
      </c>
      <c r="B141" s="5" t="s">
        <v>2493</v>
      </c>
      <c r="C141" s="6" t="s">
        <v>1231</v>
      </c>
      <c r="D141" s="6" t="s">
        <v>46</v>
      </c>
      <c r="E141" s="6">
        <v>18754354</v>
      </c>
      <c r="F141" s="6" t="s">
        <v>63</v>
      </c>
      <c r="G141" s="6" t="s">
        <v>1204</v>
      </c>
      <c r="H141" s="6" t="s">
        <v>1223</v>
      </c>
      <c r="I141" s="7">
        <v>46023</v>
      </c>
      <c r="J141" s="7">
        <v>46054</v>
      </c>
      <c r="K141" s="6" t="s">
        <v>51</v>
      </c>
      <c r="L141" s="6" t="s">
        <v>52</v>
      </c>
      <c r="M141" s="6"/>
      <c r="N141" s="6"/>
      <c r="O141" s="6"/>
      <c r="P141" s="6">
        <v>-15</v>
      </c>
      <c r="Q141" s="6"/>
      <c r="R141" s="6" t="s">
        <v>2450</v>
      </c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</row>
    <row r="142" spans="1:40" x14ac:dyDescent="0.25">
      <c r="A142" s="4" t="s">
        <v>2123</v>
      </c>
      <c r="B142" s="4" t="str">
        <f t="shared" ref="B142:B205" si="5">CONCATENATE(A142,"OVR")</f>
        <v>00025550294KOVR</v>
      </c>
      <c r="C142" t="s">
        <v>677</v>
      </c>
      <c r="D142" t="s">
        <v>46</v>
      </c>
      <c r="E142">
        <v>20411454</v>
      </c>
      <c r="F142" t="s">
        <v>2477</v>
      </c>
      <c r="G142" t="s">
        <v>49</v>
      </c>
      <c r="H142" t="s">
        <v>58</v>
      </c>
      <c r="I142" s="1">
        <v>46082</v>
      </c>
      <c r="J142" s="1">
        <v>46113</v>
      </c>
      <c r="K142" t="s">
        <v>51</v>
      </c>
      <c r="L142" t="s">
        <v>52</v>
      </c>
      <c r="M142" s="2">
        <v>0</v>
      </c>
      <c r="N142" s="2">
        <v>175</v>
      </c>
      <c r="O142">
        <v>1</v>
      </c>
      <c r="P142" s="2">
        <v>175</v>
      </c>
      <c r="R142" t="s">
        <v>2447</v>
      </c>
    </row>
    <row r="143" spans="1:40" x14ac:dyDescent="0.25">
      <c r="A143" s="4" t="s">
        <v>2191</v>
      </c>
      <c r="B143" s="4" t="str">
        <f t="shared" si="5"/>
        <v>00025643881KOVR</v>
      </c>
      <c r="C143" t="s">
        <v>819</v>
      </c>
      <c r="D143" t="s">
        <v>46</v>
      </c>
      <c r="E143">
        <v>20411454</v>
      </c>
      <c r="F143" t="s">
        <v>2477</v>
      </c>
      <c r="G143" t="s">
        <v>49</v>
      </c>
      <c r="H143" t="s">
        <v>58</v>
      </c>
      <c r="I143" s="1">
        <v>46082</v>
      </c>
      <c r="J143" s="1">
        <v>46113</v>
      </c>
      <c r="K143" t="s">
        <v>51</v>
      </c>
      <c r="L143" t="s">
        <v>52</v>
      </c>
      <c r="M143" s="2">
        <v>0</v>
      </c>
      <c r="N143" s="2">
        <v>175</v>
      </c>
      <c r="O143">
        <v>1</v>
      </c>
      <c r="P143" s="2">
        <v>175</v>
      </c>
      <c r="R143" t="s">
        <v>2447</v>
      </c>
    </row>
    <row r="144" spans="1:40" x14ac:dyDescent="0.25">
      <c r="A144" s="4" t="s">
        <v>2006</v>
      </c>
      <c r="B144" s="4" t="str">
        <f t="shared" si="5"/>
        <v>00025306415KOVR</v>
      </c>
      <c r="C144" t="s">
        <v>413</v>
      </c>
      <c r="D144" t="s">
        <v>87</v>
      </c>
      <c r="E144">
        <v>20411454</v>
      </c>
      <c r="F144" t="s">
        <v>2477</v>
      </c>
      <c r="G144" t="s">
        <v>49</v>
      </c>
      <c r="H144" t="s">
        <v>58</v>
      </c>
      <c r="I144" s="1">
        <v>46054</v>
      </c>
      <c r="J144" s="1">
        <v>46082</v>
      </c>
      <c r="K144" t="s">
        <v>51</v>
      </c>
      <c r="L144" t="s">
        <v>52</v>
      </c>
      <c r="M144" s="2">
        <v>0</v>
      </c>
      <c r="N144" s="2">
        <v>175</v>
      </c>
      <c r="O144">
        <v>1</v>
      </c>
      <c r="P144" s="2">
        <v>175</v>
      </c>
      <c r="R144" t="s">
        <v>2447</v>
      </c>
    </row>
    <row r="145" spans="1:18" x14ac:dyDescent="0.25">
      <c r="A145" s="4" t="s">
        <v>2013</v>
      </c>
      <c r="B145" s="4" t="str">
        <f t="shared" si="5"/>
        <v>00025331062KOVR</v>
      </c>
      <c r="C145" t="s">
        <v>427</v>
      </c>
      <c r="D145" t="s">
        <v>158</v>
      </c>
      <c r="E145">
        <v>20411454</v>
      </c>
      <c r="F145" t="s">
        <v>2477</v>
      </c>
      <c r="G145" t="s">
        <v>49</v>
      </c>
      <c r="H145" t="s">
        <v>58</v>
      </c>
      <c r="I145" s="1">
        <v>46054</v>
      </c>
      <c r="J145" s="1">
        <v>46082</v>
      </c>
      <c r="K145" t="s">
        <v>51</v>
      </c>
      <c r="L145" t="s">
        <v>52</v>
      </c>
      <c r="M145" s="2">
        <v>0</v>
      </c>
      <c r="N145" s="2">
        <v>175</v>
      </c>
      <c r="O145">
        <v>1</v>
      </c>
      <c r="P145" s="2">
        <v>175</v>
      </c>
      <c r="R145" t="s">
        <v>2447</v>
      </c>
    </row>
    <row r="146" spans="1:18" x14ac:dyDescent="0.25">
      <c r="A146" s="4" t="s">
        <v>2031</v>
      </c>
      <c r="B146" s="4" t="str">
        <f t="shared" si="5"/>
        <v>00025364280KOVR</v>
      </c>
      <c r="C146" t="s">
        <v>468</v>
      </c>
      <c r="D146" t="s">
        <v>55</v>
      </c>
      <c r="E146">
        <v>20411454</v>
      </c>
      <c r="F146" t="s">
        <v>2477</v>
      </c>
      <c r="G146" t="s">
        <v>49</v>
      </c>
      <c r="H146" t="s">
        <v>58</v>
      </c>
      <c r="I146" s="1">
        <v>46054</v>
      </c>
      <c r="J146" s="1">
        <v>46082</v>
      </c>
      <c r="K146" t="s">
        <v>51</v>
      </c>
      <c r="L146" t="s">
        <v>52</v>
      </c>
      <c r="M146" s="2">
        <v>0</v>
      </c>
      <c r="N146" s="2">
        <v>175</v>
      </c>
      <c r="O146">
        <v>1</v>
      </c>
      <c r="P146" s="2">
        <v>175</v>
      </c>
      <c r="R146" t="s">
        <v>2447</v>
      </c>
    </row>
    <row r="147" spans="1:18" x14ac:dyDescent="0.25">
      <c r="A147" s="4" t="s">
        <v>2039</v>
      </c>
      <c r="B147" s="4" t="str">
        <f t="shared" si="5"/>
        <v>00025381239KOVR</v>
      </c>
      <c r="C147" t="s">
        <v>486</v>
      </c>
      <c r="D147" t="s">
        <v>46</v>
      </c>
      <c r="E147">
        <v>20411454</v>
      </c>
      <c r="F147" t="s">
        <v>2477</v>
      </c>
      <c r="G147" t="s">
        <v>49</v>
      </c>
      <c r="H147" t="s">
        <v>58</v>
      </c>
      <c r="I147" s="1">
        <v>46054</v>
      </c>
      <c r="J147" s="1">
        <v>46082</v>
      </c>
      <c r="K147" t="s">
        <v>51</v>
      </c>
      <c r="L147" t="s">
        <v>52</v>
      </c>
      <c r="M147" s="2">
        <v>0</v>
      </c>
      <c r="N147" s="2">
        <v>175</v>
      </c>
      <c r="O147">
        <v>1</v>
      </c>
      <c r="P147" s="2">
        <v>175</v>
      </c>
      <c r="R147" t="s">
        <v>2447</v>
      </c>
    </row>
    <row r="148" spans="1:18" x14ac:dyDescent="0.25">
      <c r="A148" s="4" t="s">
        <v>2042</v>
      </c>
      <c r="B148" s="4" t="str">
        <f t="shared" si="5"/>
        <v>00025389987KOVR</v>
      </c>
      <c r="C148" t="s">
        <v>495</v>
      </c>
      <c r="D148" t="s">
        <v>496</v>
      </c>
      <c r="E148">
        <v>20411454</v>
      </c>
      <c r="F148" t="s">
        <v>2477</v>
      </c>
      <c r="G148" t="s">
        <v>49</v>
      </c>
      <c r="H148" t="s">
        <v>58</v>
      </c>
      <c r="I148" s="1">
        <v>46054</v>
      </c>
      <c r="J148" s="1">
        <v>46082</v>
      </c>
      <c r="K148" t="s">
        <v>51</v>
      </c>
      <c r="L148" t="s">
        <v>52</v>
      </c>
      <c r="M148" s="2">
        <v>0</v>
      </c>
      <c r="N148" s="2">
        <v>175</v>
      </c>
      <c r="O148">
        <v>1</v>
      </c>
      <c r="P148" s="2">
        <v>175</v>
      </c>
      <c r="R148" t="s">
        <v>2447</v>
      </c>
    </row>
    <row r="149" spans="1:18" x14ac:dyDescent="0.25">
      <c r="A149" s="4" t="s">
        <v>1879</v>
      </c>
      <c r="B149" s="4" t="str">
        <f t="shared" si="5"/>
        <v>00000067998KOVR</v>
      </c>
      <c r="C149" t="s">
        <v>54</v>
      </c>
      <c r="D149" t="s">
        <v>55</v>
      </c>
      <c r="E149">
        <v>20411454</v>
      </c>
      <c r="F149" t="s">
        <v>2477</v>
      </c>
      <c r="G149" t="s">
        <v>49</v>
      </c>
      <c r="H149" t="s">
        <v>58</v>
      </c>
      <c r="I149" s="1">
        <v>46023</v>
      </c>
      <c r="J149" s="1">
        <v>46054</v>
      </c>
      <c r="K149" t="s">
        <v>51</v>
      </c>
      <c r="L149" t="s">
        <v>52</v>
      </c>
      <c r="M149" s="2">
        <v>0</v>
      </c>
      <c r="N149" s="2">
        <v>175</v>
      </c>
      <c r="O149">
        <v>1</v>
      </c>
      <c r="P149" s="2">
        <v>175</v>
      </c>
      <c r="R149" t="s">
        <v>2447</v>
      </c>
    </row>
    <row r="150" spans="1:18" x14ac:dyDescent="0.25">
      <c r="A150" s="4" t="s">
        <v>1880</v>
      </c>
      <c r="B150" s="4" t="str">
        <f t="shared" si="5"/>
        <v>00000181806HOVR</v>
      </c>
      <c r="C150" t="s">
        <v>60</v>
      </c>
      <c r="D150" t="s">
        <v>61</v>
      </c>
      <c r="E150">
        <v>20411454</v>
      </c>
      <c r="F150" t="s">
        <v>2477</v>
      </c>
      <c r="G150" t="s">
        <v>49</v>
      </c>
      <c r="H150" t="s">
        <v>58</v>
      </c>
      <c r="I150" s="1">
        <v>46023</v>
      </c>
      <c r="J150" s="1">
        <v>46054</v>
      </c>
      <c r="K150" t="s">
        <v>51</v>
      </c>
      <c r="L150" t="s">
        <v>52</v>
      </c>
      <c r="M150" s="2">
        <v>0</v>
      </c>
      <c r="N150" s="2">
        <v>175</v>
      </c>
      <c r="O150">
        <v>1</v>
      </c>
      <c r="P150" s="2">
        <v>175</v>
      </c>
      <c r="R150" t="s">
        <v>2447</v>
      </c>
    </row>
    <row r="151" spans="1:18" x14ac:dyDescent="0.25">
      <c r="A151" s="4" t="s">
        <v>1881</v>
      </c>
      <c r="B151" s="4" t="str">
        <f t="shared" si="5"/>
        <v>00000255074DOVR</v>
      </c>
      <c r="C151" t="s">
        <v>65</v>
      </c>
      <c r="D151" t="s">
        <v>46</v>
      </c>
      <c r="E151">
        <v>20411454</v>
      </c>
      <c r="F151" t="s">
        <v>2477</v>
      </c>
      <c r="G151" t="s">
        <v>49</v>
      </c>
      <c r="H151" t="s">
        <v>58</v>
      </c>
      <c r="I151" s="1">
        <v>46023</v>
      </c>
      <c r="J151" s="1">
        <v>46054</v>
      </c>
      <c r="K151" t="s">
        <v>51</v>
      </c>
      <c r="L151" t="s">
        <v>52</v>
      </c>
      <c r="M151" s="2">
        <v>0</v>
      </c>
      <c r="N151" s="2">
        <v>175</v>
      </c>
      <c r="O151">
        <v>1</v>
      </c>
      <c r="P151" s="2">
        <v>175</v>
      </c>
      <c r="R151" t="s">
        <v>2447</v>
      </c>
    </row>
    <row r="152" spans="1:18" x14ac:dyDescent="0.25">
      <c r="A152" s="4" t="s">
        <v>1882</v>
      </c>
      <c r="B152" s="4" t="str">
        <f t="shared" si="5"/>
        <v>00000619029KOVR</v>
      </c>
      <c r="C152" t="s">
        <v>69</v>
      </c>
      <c r="D152" t="s">
        <v>46</v>
      </c>
      <c r="E152">
        <v>20411454</v>
      </c>
      <c r="F152" t="s">
        <v>2477</v>
      </c>
      <c r="G152" t="s">
        <v>49</v>
      </c>
      <c r="H152" t="s">
        <v>58</v>
      </c>
      <c r="I152" s="1">
        <v>46023</v>
      </c>
      <c r="J152" s="1">
        <v>46054</v>
      </c>
      <c r="K152" t="s">
        <v>51</v>
      </c>
      <c r="L152" t="s">
        <v>52</v>
      </c>
      <c r="M152" s="2">
        <v>0</v>
      </c>
      <c r="N152" s="2">
        <v>175</v>
      </c>
      <c r="O152">
        <v>1</v>
      </c>
      <c r="P152" s="2">
        <v>175</v>
      </c>
      <c r="R152" t="s">
        <v>2447</v>
      </c>
    </row>
    <row r="153" spans="1:18" x14ac:dyDescent="0.25">
      <c r="A153" s="4" t="s">
        <v>1883</v>
      </c>
      <c r="B153" s="4" t="str">
        <f t="shared" si="5"/>
        <v>00000685147DOVR</v>
      </c>
      <c r="C153" t="s">
        <v>71</v>
      </c>
      <c r="D153" t="s">
        <v>46</v>
      </c>
      <c r="E153">
        <v>20411454</v>
      </c>
      <c r="F153" t="s">
        <v>2477</v>
      </c>
      <c r="G153" t="s">
        <v>49</v>
      </c>
      <c r="H153" t="s">
        <v>58</v>
      </c>
      <c r="I153" s="1">
        <v>46023</v>
      </c>
      <c r="J153" s="1">
        <v>46054</v>
      </c>
      <c r="K153" t="s">
        <v>51</v>
      </c>
      <c r="L153" t="s">
        <v>52</v>
      </c>
      <c r="M153" s="2">
        <v>0</v>
      </c>
      <c r="N153" s="2">
        <v>175</v>
      </c>
      <c r="O153">
        <v>1</v>
      </c>
      <c r="P153" s="2">
        <v>175</v>
      </c>
      <c r="R153" t="s">
        <v>2447</v>
      </c>
    </row>
    <row r="154" spans="1:18" x14ac:dyDescent="0.25">
      <c r="A154" s="4" t="s">
        <v>1884</v>
      </c>
      <c r="B154" s="4" t="str">
        <f t="shared" si="5"/>
        <v>00000713364KOVR</v>
      </c>
      <c r="C154" t="s">
        <v>73</v>
      </c>
      <c r="D154" t="s">
        <v>46</v>
      </c>
      <c r="E154">
        <v>20411454</v>
      </c>
      <c r="F154" t="s">
        <v>2477</v>
      </c>
      <c r="G154" t="s">
        <v>49</v>
      </c>
      <c r="H154" t="s">
        <v>58</v>
      </c>
      <c r="I154" s="1">
        <v>46023</v>
      </c>
      <c r="J154" s="1">
        <v>46054</v>
      </c>
      <c r="K154" t="s">
        <v>51</v>
      </c>
      <c r="L154" t="s">
        <v>52</v>
      </c>
      <c r="M154" s="2">
        <v>0</v>
      </c>
      <c r="N154" s="2">
        <v>175</v>
      </c>
      <c r="O154">
        <v>1</v>
      </c>
      <c r="P154" s="2">
        <v>175</v>
      </c>
      <c r="R154" t="s">
        <v>2447</v>
      </c>
    </row>
    <row r="155" spans="1:18" x14ac:dyDescent="0.25">
      <c r="A155" s="4" t="s">
        <v>1885</v>
      </c>
      <c r="B155" s="4" t="str">
        <f t="shared" si="5"/>
        <v>00000751052HOVR</v>
      </c>
      <c r="C155" t="s">
        <v>77</v>
      </c>
      <c r="D155" t="s">
        <v>78</v>
      </c>
      <c r="E155">
        <v>20411454</v>
      </c>
      <c r="F155" t="s">
        <v>2477</v>
      </c>
      <c r="G155" t="s">
        <v>49</v>
      </c>
      <c r="H155" t="s">
        <v>58</v>
      </c>
      <c r="I155" s="1">
        <v>46023</v>
      </c>
      <c r="J155" s="1">
        <v>46054</v>
      </c>
      <c r="K155" t="s">
        <v>51</v>
      </c>
      <c r="L155" t="s">
        <v>52</v>
      </c>
      <c r="M155" s="2">
        <v>0</v>
      </c>
      <c r="N155" s="2">
        <v>175</v>
      </c>
      <c r="O155">
        <v>1</v>
      </c>
      <c r="P155" s="2">
        <v>175</v>
      </c>
      <c r="R155" t="s">
        <v>2447</v>
      </c>
    </row>
    <row r="156" spans="1:18" x14ac:dyDescent="0.25">
      <c r="A156" s="4" t="s">
        <v>1886</v>
      </c>
      <c r="B156" s="4" t="str">
        <f t="shared" si="5"/>
        <v>00000899458DOVR</v>
      </c>
      <c r="C156" t="s">
        <v>82</v>
      </c>
      <c r="D156" t="s">
        <v>46</v>
      </c>
      <c r="E156">
        <v>20411454</v>
      </c>
      <c r="F156" t="s">
        <v>2477</v>
      </c>
      <c r="G156" t="s">
        <v>49</v>
      </c>
      <c r="H156" t="s">
        <v>58</v>
      </c>
      <c r="I156" s="1">
        <v>46023</v>
      </c>
      <c r="J156" s="1">
        <v>46054</v>
      </c>
      <c r="K156" t="s">
        <v>51</v>
      </c>
      <c r="L156" t="s">
        <v>52</v>
      </c>
      <c r="M156" s="2">
        <v>0</v>
      </c>
      <c r="N156" s="2">
        <v>175</v>
      </c>
      <c r="O156">
        <v>1</v>
      </c>
      <c r="P156" s="2">
        <v>175</v>
      </c>
      <c r="R156" t="s">
        <v>2447</v>
      </c>
    </row>
    <row r="157" spans="1:18" x14ac:dyDescent="0.25">
      <c r="A157" s="4" t="s">
        <v>1887</v>
      </c>
      <c r="B157" s="4" t="str">
        <f t="shared" si="5"/>
        <v>00001892656KOVR</v>
      </c>
      <c r="C157" t="s">
        <v>86</v>
      </c>
      <c r="D157" t="s">
        <v>87</v>
      </c>
      <c r="E157">
        <v>20411454</v>
      </c>
      <c r="F157" t="s">
        <v>2477</v>
      </c>
      <c r="G157" t="s">
        <v>49</v>
      </c>
      <c r="H157" t="s">
        <v>58</v>
      </c>
      <c r="I157" s="1">
        <v>46023</v>
      </c>
      <c r="J157" s="1">
        <v>46054</v>
      </c>
      <c r="K157" t="s">
        <v>51</v>
      </c>
      <c r="L157" t="s">
        <v>52</v>
      </c>
      <c r="M157" s="2">
        <v>0</v>
      </c>
      <c r="N157" s="2">
        <v>175</v>
      </c>
      <c r="O157">
        <v>1</v>
      </c>
      <c r="P157" s="2">
        <v>175</v>
      </c>
      <c r="R157" t="s">
        <v>2447</v>
      </c>
    </row>
    <row r="158" spans="1:18" x14ac:dyDescent="0.25">
      <c r="A158" s="4" t="s">
        <v>1888</v>
      </c>
      <c r="B158" s="4" t="str">
        <f t="shared" si="5"/>
        <v>00001926321KOVR</v>
      </c>
      <c r="C158" t="s">
        <v>91</v>
      </c>
      <c r="D158" t="s">
        <v>46</v>
      </c>
      <c r="E158">
        <v>20411454</v>
      </c>
      <c r="F158" t="s">
        <v>2477</v>
      </c>
      <c r="G158" t="s">
        <v>49</v>
      </c>
      <c r="H158" t="s">
        <v>58</v>
      </c>
      <c r="I158" s="1">
        <v>46023</v>
      </c>
      <c r="J158" s="1">
        <v>46054</v>
      </c>
      <c r="K158" t="s">
        <v>51</v>
      </c>
      <c r="L158" t="s">
        <v>52</v>
      </c>
      <c r="M158" s="2">
        <v>0</v>
      </c>
      <c r="N158" s="2">
        <v>175</v>
      </c>
      <c r="O158">
        <v>1</v>
      </c>
      <c r="P158" s="2">
        <v>175</v>
      </c>
      <c r="R158" t="s">
        <v>2447</v>
      </c>
    </row>
    <row r="159" spans="1:18" x14ac:dyDescent="0.25">
      <c r="A159" s="4" t="s">
        <v>1889</v>
      </c>
      <c r="B159" s="4" t="str">
        <f t="shared" si="5"/>
        <v>00003828670KOVR</v>
      </c>
      <c r="C159" t="s">
        <v>93</v>
      </c>
      <c r="D159" t="s">
        <v>46</v>
      </c>
      <c r="E159">
        <v>20411454</v>
      </c>
      <c r="F159" t="s">
        <v>2477</v>
      </c>
      <c r="G159" t="s">
        <v>49</v>
      </c>
      <c r="H159" t="s">
        <v>58</v>
      </c>
      <c r="I159" s="1">
        <v>46023</v>
      </c>
      <c r="J159" s="1">
        <v>46054</v>
      </c>
      <c r="K159" t="s">
        <v>51</v>
      </c>
      <c r="L159" t="s">
        <v>52</v>
      </c>
      <c r="M159" s="2">
        <v>0</v>
      </c>
      <c r="N159" s="2">
        <v>175</v>
      </c>
      <c r="O159">
        <v>1</v>
      </c>
      <c r="P159" s="2">
        <v>175</v>
      </c>
      <c r="R159" t="s">
        <v>2447</v>
      </c>
    </row>
    <row r="160" spans="1:18" x14ac:dyDescent="0.25">
      <c r="A160" s="4" t="s">
        <v>1890</v>
      </c>
      <c r="B160" s="4" t="str">
        <f t="shared" si="5"/>
        <v>00003828751KOVR</v>
      </c>
      <c r="C160" t="s">
        <v>97</v>
      </c>
      <c r="D160" t="s">
        <v>46</v>
      </c>
      <c r="E160">
        <v>20411454</v>
      </c>
      <c r="F160" t="s">
        <v>2477</v>
      </c>
      <c r="G160" t="s">
        <v>49</v>
      </c>
      <c r="H160" t="s">
        <v>58</v>
      </c>
      <c r="I160" s="1">
        <v>46023</v>
      </c>
      <c r="J160" s="1">
        <v>46054</v>
      </c>
      <c r="K160" t="s">
        <v>51</v>
      </c>
      <c r="L160" t="s">
        <v>52</v>
      </c>
      <c r="M160" s="2">
        <v>0</v>
      </c>
      <c r="N160" s="2">
        <v>175</v>
      </c>
      <c r="O160">
        <v>1</v>
      </c>
      <c r="P160" s="2">
        <v>175</v>
      </c>
      <c r="R160" t="s">
        <v>2447</v>
      </c>
    </row>
    <row r="161" spans="1:18" x14ac:dyDescent="0.25">
      <c r="A161" s="4" t="s">
        <v>1891</v>
      </c>
      <c r="B161" s="4" t="str">
        <f t="shared" si="5"/>
        <v>00003908688KOVR</v>
      </c>
      <c r="C161" t="s">
        <v>99</v>
      </c>
      <c r="D161" t="s">
        <v>46</v>
      </c>
      <c r="E161">
        <v>20411454</v>
      </c>
      <c r="F161" t="s">
        <v>2477</v>
      </c>
      <c r="G161" t="s">
        <v>49</v>
      </c>
      <c r="H161" t="s">
        <v>58</v>
      </c>
      <c r="I161" s="1">
        <v>46023</v>
      </c>
      <c r="J161" s="1">
        <v>46054</v>
      </c>
      <c r="K161" t="s">
        <v>51</v>
      </c>
      <c r="L161" t="s">
        <v>52</v>
      </c>
      <c r="M161" s="2">
        <v>0</v>
      </c>
      <c r="N161" s="2">
        <v>175</v>
      </c>
      <c r="O161">
        <v>1</v>
      </c>
      <c r="P161" s="2">
        <v>175</v>
      </c>
      <c r="R161" t="s">
        <v>2447</v>
      </c>
    </row>
    <row r="162" spans="1:18" x14ac:dyDescent="0.25">
      <c r="A162" s="4" t="s">
        <v>1892</v>
      </c>
      <c r="B162" s="4" t="str">
        <f t="shared" si="5"/>
        <v>00005436741KOVR</v>
      </c>
      <c r="C162" t="s">
        <v>103</v>
      </c>
      <c r="D162" t="s">
        <v>46</v>
      </c>
      <c r="E162">
        <v>20411454</v>
      </c>
      <c r="F162" t="s">
        <v>2477</v>
      </c>
      <c r="G162" t="s">
        <v>49</v>
      </c>
      <c r="H162" t="s">
        <v>58</v>
      </c>
      <c r="I162" s="1">
        <v>46023</v>
      </c>
      <c r="J162" s="1">
        <v>46054</v>
      </c>
      <c r="K162" t="s">
        <v>51</v>
      </c>
      <c r="L162" t="s">
        <v>52</v>
      </c>
      <c r="M162" s="2">
        <v>0</v>
      </c>
      <c r="N162" s="2">
        <v>175</v>
      </c>
      <c r="O162">
        <v>1</v>
      </c>
      <c r="P162" s="2">
        <v>175</v>
      </c>
      <c r="R162" t="s">
        <v>2447</v>
      </c>
    </row>
    <row r="163" spans="1:18" x14ac:dyDescent="0.25">
      <c r="A163" s="4" t="s">
        <v>1893</v>
      </c>
      <c r="B163" s="4" t="str">
        <f t="shared" si="5"/>
        <v>00005776809KOVR</v>
      </c>
      <c r="C163" t="s">
        <v>107</v>
      </c>
      <c r="D163" t="s">
        <v>87</v>
      </c>
      <c r="E163">
        <v>20411454</v>
      </c>
      <c r="F163" t="s">
        <v>2477</v>
      </c>
      <c r="G163" t="s">
        <v>49</v>
      </c>
      <c r="H163" t="s">
        <v>58</v>
      </c>
      <c r="I163" s="1">
        <v>46023</v>
      </c>
      <c r="J163" s="1">
        <v>46054</v>
      </c>
      <c r="K163" t="s">
        <v>51</v>
      </c>
      <c r="L163" t="s">
        <v>52</v>
      </c>
      <c r="M163" s="2">
        <v>0</v>
      </c>
      <c r="N163" s="2">
        <v>175</v>
      </c>
      <c r="O163">
        <v>1</v>
      </c>
      <c r="P163" s="2">
        <v>175</v>
      </c>
      <c r="R163" t="s">
        <v>2447</v>
      </c>
    </row>
    <row r="164" spans="1:18" x14ac:dyDescent="0.25">
      <c r="A164" s="4" t="s">
        <v>1894</v>
      </c>
      <c r="B164" s="4" t="str">
        <f t="shared" si="5"/>
        <v>00006413675KOVR</v>
      </c>
      <c r="C164" t="s">
        <v>111</v>
      </c>
      <c r="D164" t="s">
        <v>46</v>
      </c>
      <c r="E164">
        <v>20411454</v>
      </c>
      <c r="F164" t="s">
        <v>2477</v>
      </c>
      <c r="G164" t="s">
        <v>49</v>
      </c>
      <c r="H164" t="s">
        <v>58</v>
      </c>
      <c r="I164" s="1">
        <v>46023</v>
      </c>
      <c r="J164" s="1">
        <v>46054</v>
      </c>
      <c r="K164" t="s">
        <v>51</v>
      </c>
      <c r="L164" t="s">
        <v>52</v>
      </c>
      <c r="M164" s="2">
        <v>0</v>
      </c>
      <c r="N164" s="2">
        <v>175</v>
      </c>
      <c r="O164">
        <v>1</v>
      </c>
      <c r="P164" s="2">
        <v>175</v>
      </c>
      <c r="R164" t="s">
        <v>2447</v>
      </c>
    </row>
    <row r="165" spans="1:18" x14ac:dyDescent="0.25">
      <c r="A165" s="4" t="s">
        <v>1897</v>
      </c>
      <c r="B165" s="4" t="str">
        <f t="shared" si="5"/>
        <v>00007396718KOVR</v>
      </c>
      <c r="C165" t="s">
        <v>120</v>
      </c>
      <c r="D165" t="s">
        <v>46</v>
      </c>
      <c r="E165">
        <v>20411454</v>
      </c>
      <c r="F165" t="s">
        <v>2477</v>
      </c>
      <c r="G165" t="s">
        <v>49</v>
      </c>
      <c r="H165" t="s">
        <v>58</v>
      </c>
      <c r="I165" s="1">
        <v>46023</v>
      </c>
      <c r="J165" s="1">
        <v>46054</v>
      </c>
      <c r="K165" t="s">
        <v>51</v>
      </c>
      <c r="L165" t="s">
        <v>52</v>
      </c>
      <c r="M165" s="2">
        <v>0</v>
      </c>
      <c r="N165" s="2">
        <v>175</v>
      </c>
      <c r="O165">
        <v>1</v>
      </c>
      <c r="P165" s="2">
        <v>175</v>
      </c>
      <c r="R165" t="s">
        <v>2447</v>
      </c>
    </row>
    <row r="166" spans="1:18" x14ac:dyDescent="0.25">
      <c r="A166" s="4" t="s">
        <v>1898</v>
      </c>
      <c r="B166" s="4" t="str">
        <f t="shared" si="5"/>
        <v>00007930142KOVR</v>
      </c>
      <c r="C166" t="s">
        <v>122</v>
      </c>
      <c r="D166" t="s">
        <v>46</v>
      </c>
      <c r="E166">
        <v>20411454</v>
      </c>
      <c r="F166" t="s">
        <v>2477</v>
      </c>
      <c r="G166" t="s">
        <v>49</v>
      </c>
      <c r="H166" t="s">
        <v>58</v>
      </c>
      <c r="I166" s="1">
        <v>46023</v>
      </c>
      <c r="J166" s="1">
        <v>46054</v>
      </c>
      <c r="K166" t="s">
        <v>51</v>
      </c>
      <c r="L166" t="s">
        <v>52</v>
      </c>
      <c r="M166" s="2">
        <v>0</v>
      </c>
      <c r="N166" s="2">
        <v>175</v>
      </c>
      <c r="O166">
        <v>1</v>
      </c>
      <c r="P166" s="2">
        <v>175</v>
      </c>
      <c r="R166" t="s">
        <v>2447</v>
      </c>
    </row>
    <row r="167" spans="1:18" x14ac:dyDescent="0.25">
      <c r="A167" s="4" t="s">
        <v>1900</v>
      </c>
      <c r="B167" s="4" t="str">
        <f t="shared" si="5"/>
        <v>00008043872KOVR</v>
      </c>
      <c r="C167" t="s">
        <v>128</v>
      </c>
      <c r="D167" t="s">
        <v>46</v>
      </c>
      <c r="E167">
        <v>20411454</v>
      </c>
      <c r="F167" t="s">
        <v>2477</v>
      </c>
      <c r="G167" t="s">
        <v>49</v>
      </c>
      <c r="H167" t="s">
        <v>58</v>
      </c>
      <c r="I167" s="1">
        <v>46023</v>
      </c>
      <c r="J167" s="1">
        <v>46054</v>
      </c>
      <c r="K167" t="s">
        <v>51</v>
      </c>
      <c r="L167" t="s">
        <v>52</v>
      </c>
      <c r="M167" s="2">
        <v>0</v>
      </c>
      <c r="N167" s="2">
        <v>175</v>
      </c>
      <c r="O167">
        <v>1</v>
      </c>
      <c r="P167" s="2">
        <v>175</v>
      </c>
      <c r="R167" t="s">
        <v>2447</v>
      </c>
    </row>
    <row r="168" spans="1:18" x14ac:dyDescent="0.25">
      <c r="A168" s="4" t="s">
        <v>1901</v>
      </c>
      <c r="B168" s="4" t="str">
        <f t="shared" si="5"/>
        <v>00008126753KOVR</v>
      </c>
      <c r="C168" t="s">
        <v>130</v>
      </c>
      <c r="D168" t="s">
        <v>61</v>
      </c>
      <c r="E168">
        <v>20411454</v>
      </c>
      <c r="F168" t="s">
        <v>2477</v>
      </c>
      <c r="G168" t="s">
        <v>49</v>
      </c>
      <c r="H168" t="s">
        <v>58</v>
      </c>
      <c r="I168" s="1">
        <v>46023</v>
      </c>
      <c r="J168" s="1">
        <v>46054</v>
      </c>
      <c r="K168" t="s">
        <v>51</v>
      </c>
      <c r="L168" t="s">
        <v>52</v>
      </c>
      <c r="M168" s="2">
        <v>0</v>
      </c>
      <c r="N168" s="2">
        <v>175</v>
      </c>
      <c r="O168">
        <v>1</v>
      </c>
      <c r="P168" s="2">
        <v>175</v>
      </c>
      <c r="R168" t="s">
        <v>2447</v>
      </c>
    </row>
    <row r="169" spans="1:18" x14ac:dyDescent="0.25">
      <c r="A169" s="4" t="s">
        <v>1902</v>
      </c>
      <c r="B169" s="4" t="str">
        <f t="shared" si="5"/>
        <v>00008289432KOVR</v>
      </c>
      <c r="C169" t="s">
        <v>134</v>
      </c>
      <c r="D169" t="s">
        <v>46</v>
      </c>
      <c r="E169">
        <v>20411454</v>
      </c>
      <c r="F169" t="s">
        <v>2477</v>
      </c>
      <c r="G169" t="s">
        <v>49</v>
      </c>
      <c r="H169" t="s">
        <v>58</v>
      </c>
      <c r="I169" s="1">
        <v>46023</v>
      </c>
      <c r="J169" s="1">
        <v>46054</v>
      </c>
      <c r="K169" t="s">
        <v>51</v>
      </c>
      <c r="L169" t="s">
        <v>52</v>
      </c>
      <c r="M169" s="2">
        <v>0</v>
      </c>
      <c r="N169" s="2">
        <v>175</v>
      </c>
      <c r="O169">
        <v>1</v>
      </c>
      <c r="P169" s="2">
        <v>175</v>
      </c>
      <c r="R169" t="s">
        <v>2447</v>
      </c>
    </row>
    <row r="170" spans="1:18" x14ac:dyDescent="0.25">
      <c r="A170" s="4" t="s">
        <v>1903</v>
      </c>
      <c r="B170" s="4" t="str">
        <f t="shared" si="5"/>
        <v>00008544872KOVR</v>
      </c>
      <c r="C170" t="s">
        <v>138</v>
      </c>
      <c r="D170" t="s">
        <v>78</v>
      </c>
      <c r="E170">
        <v>20411454</v>
      </c>
      <c r="F170" t="s">
        <v>2477</v>
      </c>
      <c r="G170" t="s">
        <v>49</v>
      </c>
      <c r="H170" t="s">
        <v>58</v>
      </c>
      <c r="I170" s="1">
        <v>46023</v>
      </c>
      <c r="J170" s="1">
        <v>46054</v>
      </c>
      <c r="K170" t="s">
        <v>51</v>
      </c>
      <c r="L170" t="s">
        <v>52</v>
      </c>
      <c r="M170" s="2">
        <v>0</v>
      </c>
      <c r="N170" s="2">
        <v>175</v>
      </c>
      <c r="O170">
        <v>1</v>
      </c>
      <c r="P170" s="2">
        <v>175</v>
      </c>
      <c r="R170" t="s">
        <v>2447</v>
      </c>
    </row>
    <row r="171" spans="1:18" x14ac:dyDescent="0.25">
      <c r="A171" s="4" t="s">
        <v>1904</v>
      </c>
      <c r="B171" s="4" t="str">
        <f t="shared" si="5"/>
        <v>00008757427KOVR</v>
      </c>
      <c r="C171" t="s">
        <v>140</v>
      </c>
      <c r="D171" t="s">
        <v>87</v>
      </c>
      <c r="E171">
        <v>20411454</v>
      </c>
      <c r="F171" t="s">
        <v>2477</v>
      </c>
      <c r="G171" t="s">
        <v>49</v>
      </c>
      <c r="H171" t="s">
        <v>58</v>
      </c>
      <c r="I171" s="1">
        <v>46023</v>
      </c>
      <c r="J171" s="1">
        <v>46054</v>
      </c>
      <c r="K171" t="s">
        <v>51</v>
      </c>
      <c r="L171" t="s">
        <v>52</v>
      </c>
      <c r="M171" s="2">
        <v>0</v>
      </c>
      <c r="N171" s="2">
        <v>175</v>
      </c>
      <c r="O171">
        <v>1</v>
      </c>
      <c r="P171" s="2">
        <v>175</v>
      </c>
      <c r="R171" t="s">
        <v>2447</v>
      </c>
    </row>
    <row r="172" spans="1:18" x14ac:dyDescent="0.25">
      <c r="A172" s="4" t="s">
        <v>1905</v>
      </c>
      <c r="B172" s="4" t="str">
        <f t="shared" si="5"/>
        <v>00009344062KOVR</v>
      </c>
      <c r="C172" t="s">
        <v>144</v>
      </c>
      <c r="D172" t="s">
        <v>46</v>
      </c>
      <c r="E172">
        <v>20411454</v>
      </c>
      <c r="F172" t="s">
        <v>2477</v>
      </c>
      <c r="G172" t="s">
        <v>49</v>
      </c>
      <c r="H172" t="s">
        <v>58</v>
      </c>
      <c r="I172" s="1">
        <v>46023</v>
      </c>
      <c r="J172" s="1">
        <v>46054</v>
      </c>
      <c r="K172" t="s">
        <v>51</v>
      </c>
      <c r="L172" t="s">
        <v>52</v>
      </c>
      <c r="M172" s="2">
        <v>0</v>
      </c>
      <c r="N172" s="2">
        <v>175</v>
      </c>
      <c r="O172">
        <v>1</v>
      </c>
      <c r="P172" s="2">
        <v>175</v>
      </c>
      <c r="R172" t="s">
        <v>2447</v>
      </c>
    </row>
    <row r="173" spans="1:18" x14ac:dyDescent="0.25">
      <c r="A173" s="4" t="s">
        <v>1906</v>
      </c>
      <c r="B173" s="4" t="str">
        <f t="shared" si="5"/>
        <v>00009528640KOVR</v>
      </c>
      <c r="C173" t="s">
        <v>146</v>
      </c>
      <c r="D173" t="s">
        <v>46</v>
      </c>
      <c r="E173">
        <v>20411454</v>
      </c>
      <c r="F173" t="s">
        <v>2477</v>
      </c>
      <c r="G173" t="s">
        <v>49</v>
      </c>
      <c r="H173" t="s">
        <v>58</v>
      </c>
      <c r="I173" s="1">
        <v>46023</v>
      </c>
      <c r="J173" s="1">
        <v>46054</v>
      </c>
      <c r="K173" t="s">
        <v>51</v>
      </c>
      <c r="L173" t="s">
        <v>52</v>
      </c>
      <c r="M173" s="2">
        <v>0</v>
      </c>
      <c r="N173" s="2">
        <v>175</v>
      </c>
      <c r="O173">
        <v>1</v>
      </c>
      <c r="P173" s="2">
        <v>175</v>
      </c>
      <c r="R173" t="s">
        <v>2447</v>
      </c>
    </row>
    <row r="174" spans="1:18" x14ac:dyDescent="0.25">
      <c r="A174" s="4" t="s">
        <v>1907</v>
      </c>
      <c r="B174" s="4" t="str">
        <f t="shared" si="5"/>
        <v>00009771343KOVR</v>
      </c>
      <c r="C174" t="s">
        <v>150</v>
      </c>
      <c r="D174" t="s">
        <v>46</v>
      </c>
      <c r="E174">
        <v>20411454</v>
      </c>
      <c r="F174" t="s">
        <v>2477</v>
      </c>
      <c r="G174" t="s">
        <v>49</v>
      </c>
      <c r="H174" t="s">
        <v>58</v>
      </c>
      <c r="I174" s="1">
        <v>46023</v>
      </c>
      <c r="J174" s="1">
        <v>46054</v>
      </c>
      <c r="K174" t="s">
        <v>51</v>
      </c>
      <c r="L174" t="s">
        <v>52</v>
      </c>
      <c r="M174" s="2">
        <v>0</v>
      </c>
      <c r="N174" s="2">
        <v>175</v>
      </c>
      <c r="O174">
        <v>1</v>
      </c>
      <c r="P174" s="2">
        <v>175</v>
      </c>
      <c r="R174" t="s">
        <v>2447</v>
      </c>
    </row>
    <row r="175" spans="1:18" x14ac:dyDescent="0.25">
      <c r="A175" s="4" t="s">
        <v>1908</v>
      </c>
      <c r="B175" s="4" t="str">
        <f t="shared" si="5"/>
        <v>00009822795KOVR</v>
      </c>
      <c r="C175" t="s">
        <v>154</v>
      </c>
      <c r="D175" t="s">
        <v>155</v>
      </c>
      <c r="E175">
        <v>20411454</v>
      </c>
      <c r="F175" t="s">
        <v>2477</v>
      </c>
      <c r="G175" t="s">
        <v>49</v>
      </c>
      <c r="H175" t="s">
        <v>58</v>
      </c>
      <c r="I175" s="1">
        <v>46023</v>
      </c>
      <c r="J175" s="1">
        <v>46054</v>
      </c>
      <c r="K175" t="s">
        <v>51</v>
      </c>
      <c r="L175" t="s">
        <v>52</v>
      </c>
      <c r="M175" s="2">
        <v>0</v>
      </c>
      <c r="N175" s="2">
        <v>175</v>
      </c>
      <c r="O175">
        <v>1</v>
      </c>
      <c r="P175" s="2">
        <v>175</v>
      </c>
      <c r="R175" t="s">
        <v>2447</v>
      </c>
    </row>
    <row r="176" spans="1:18" x14ac:dyDescent="0.25">
      <c r="A176" s="4" t="s">
        <v>1910</v>
      </c>
      <c r="B176" s="4" t="str">
        <f t="shared" si="5"/>
        <v>00009918046KOVR</v>
      </c>
      <c r="C176" t="s">
        <v>162</v>
      </c>
      <c r="D176" t="s">
        <v>87</v>
      </c>
      <c r="E176">
        <v>20411454</v>
      </c>
      <c r="F176" t="s">
        <v>2477</v>
      </c>
      <c r="G176" t="s">
        <v>49</v>
      </c>
      <c r="H176" t="s">
        <v>58</v>
      </c>
      <c r="I176" s="1">
        <v>46023</v>
      </c>
      <c r="J176" s="1">
        <v>46054</v>
      </c>
      <c r="K176" t="s">
        <v>51</v>
      </c>
      <c r="L176" t="s">
        <v>52</v>
      </c>
      <c r="M176" s="2">
        <v>0</v>
      </c>
      <c r="N176" s="2">
        <v>175</v>
      </c>
      <c r="O176">
        <v>1</v>
      </c>
      <c r="P176" s="2">
        <v>175</v>
      </c>
      <c r="R176" t="s">
        <v>2447</v>
      </c>
    </row>
    <row r="177" spans="1:18" x14ac:dyDescent="0.25">
      <c r="A177" s="4" t="s">
        <v>1911</v>
      </c>
      <c r="B177" s="4" t="str">
        <f t="shared" si="5"/>
        <v>00010166752KOVR</v>
      </c>
      <c r="C177" t="s">
        <v>164</v>
      </c>
      <c r="D177" t="s">
        <v>158</v>
      </c>
      <c r="E177">
        <v>20411454</v>
      </c>
      <c r="F177" t="s">
        <v>2477</v>
      </c>
      <c r="G177" t="s">
        <v>49</v>
      </c>
      <c r="H177" t="s">
        <v>58</v>
      </c>
      <c r="I177" s="1">
        <v>46023</v>
      </c>
      <c r="J177" s="1">
        <v>46054</v>
      </c>
      <c r="K177" t="s">
        <v>51</v>
      </c>
      <c r="L177" t="s">
        <v>52</v>
      </c>
      <c r="M177" s="2">
        <v>0</v>
      </c>
      <c r="N177" s="2">
        <v>175</v>
      </c>
      <c r="O177">
        <v>1</v>
      </c>
      <c r="P177" s="2">
        <v>175</v>
      </c>
      <c r="R177" t="s">
        <v>2447</v>
      </c>
    </row>
    <row r="178" spans="1:18" x14ac:dyDescent="0.25">
      <c r="A178" s="4" t="s">
        <v>1912</v>
      </c>
      <c r="B178" s="4" t="str">
        <f t="shared" si="5"/>
        <v>00010577957KOVR</v>
      </c>
      <c r="C178" t="s">
        <v>166</v>
      </c>
      <c r="D178" t="s">
        <v>61</v>
      </c>
      <c r="E178">
        <v>20411454</v>
      </c>
      <c r="F178" t="s">
        <v>2477</v>
      </c>
      <c r="G178" t="s">
        <v>49</v>
      </c>
      <c r="H178" t="s">
        <v>58</v>
      </c>
      <c r="I178" s="1">
        <v>46023</v>
      </c>
      <c r="J178" s="1">
        <v>46054</v>
      </c>
      <c r="K178" t="s">
        <v>51</v>
      </c>
      <c r="L178" t="s">
        <v>52</v>
      </c>
      <c r="M178" s="2">
        <v>0</v>
      </c>
      <c r="N178" s="2">
        <v>175</v>
      </c>
      <c r="O178">
        <v>1</v>
      </c>
      <c r="P178" s="2">
        <v>175</v>
      </c>
      <c r="R178" t="s">
        <v>2447</v>
      </c>
    </row>
    <row r="179" spans="1:18" x14ac:dyDescent="0.25">
      <c r="A179" s="4" t="s">
        <v>1913</v>
      </c>
      <c r="B179" s="4" t="str">
        <f t="shared" si="5"/>
        <v>00010660141KOVR</v>
      </c>
      <c r="C179" t="s">
        <v>168</v>
      </c>
      <c r="D179" t="s">
        <v>155</v>
      </c>
      <c r="E179">
        <v>20411454</v>
      </c>
      <c r="F179" t="s">
        <v>2477</v>
      </c>
      <c r="G179" t="s">
        <v>49</v>
      </c>
      <c r="H179" t="s">
        <v>58</v>
      </c>
      <c r="I179" s="1">
        <v>46023</v>
      </c>
      <c r="J179" s="1">
        <v>46054</v>
      </c>
      <c r="K179" t="s">
        <v>51</v>
      </c>
      <c r="L179" t="s">
        <v>52</v>
      </c>
      <c r="M179" s="2">
        <v>0</v>
      </c>
      <c r="N179" s="2">
        <v>175</v>
      </c>
      <c r="O179">
        <v>1</v>
      </c>
      <c r="P179" s="2">
        <v>175</v>
      </c>
      <c r="R179" t="s">
        <v>2447</v>
      </c>
    </row>
    <row r="180" spans="1:18" x14ac:dyDescent="0.25">
      <c r="A180" s="4" t="s">
        <v>1914</v>
      </c>
      <c r="B180" s="4" t="str">
        <f t="shared" si="5"/>
        <v>00011035671KOVR</v>
      </c>
      <c r="C180" t="s">
        <v>172</v>
      </c>
      <c r="D180" t="s">
        <v>46</v>
      </c>
      <c r="E180">
        <v>20411454</v>
      </c>
      <c r="F180" t="s">
        <v>2477</v>
      </c>
      <c r="G180" t="s">
        <v>49</v>
      </c>
      <c r="H180" t="s">
        <v>58</v>
      </c>
      <c r="I180" s="1">
        <v>46023</v>
      </c>
      <c r="J180" s="1">
        <v>46054</v>
      </c>
      <c r="K180" t="s">
        <v>51</v>
      </c>
      <c r="L180" t="s">
        <v>52</v>
      </c>
      <c r="M180" s="2">
        <v>0</v>
      </c>
      <c r="N180" s="2">
        <v>175</v>
      </c>
      <c r="O180">
        <v>1</v>
      </c>
      <c r="P180" s="2">
        <v>175</v>
      </c>
      <c r="R180" t="s">
        <v>2447</v>
      </c>
    </row>
    <row r="181" spans="1:18" x14ac:dyDescent="0.25">
      <c r="A181" s="4" t="s">
        <v>1915</v>
      </c>
      <c r="B181" s="4" t="str">
        <f t="shared" si="5"/>
        <v>00011256187KOVR</v>
      </c>
      <c r="C181" t="s">
        <v>174</v>
      </c>
      <c r="D181" t="s">
        <v>158</v>
      </c>
      <c r="E181">
        <v>20411454</v>
      </c>
      <c r="F181" t="s">
        <v>2477</v>
      </c>
      <c r="G181" t="s">
        <v>49</v>
      </c>
      <c r="H181" t="s">
        <v>58</v>
      </c>
      <c r="I181" s="1">
        <v>46023</v>
      </c>
      <c r="J181" s="1">
        <v>46054</v>
      </c>
      <c r="K181" t="s">
        <v>51</v>
      </c>
      <c r="L181" t="s">
        <v>52</v>
      </c>
      <c r="M181" s="2">
        <v>0</v>
      </c>
      <c r="N181" s="2">
        <v>175</v>
      </c>
      <c r="O181">
        <v>1</v>
      </c>
      <c r="P181" s="2">
        <v>175</v>
      </c>
      <c r="R181" t="s">
        <v>2447</v>
      </c>
    </row>
    <row r="182" spans="1:18" x14ac:dyDescent="0.25">
      <c r="A182" s="4" t="s">
        <v>1916</v>
      </c>
      <c r="B182" s="4" t="str">
        <f t="shared" si="5"/>
        <v>00011646647KOVR</v>
      </c>
      <c r="C182" t="s">
        <v>178</v>
      </c>
      <c r="D182" t="s">
        <v>155</v>
      </c>
      <c r="E182">
        <v>20411454</v>
      </c>
      <c r="F182" t="s">
        <v>2477</v>
      </c>
      <c r="G182" t="s">
        <v>49</v>
      </c>
      <c r="H182" t="s">
        <v>58</v>
      </c>
      <c r="I182" s="1">
        <v>46023</v>
      </c>
      <c r="J182" s="1">
        <v>46054</v>
      </c>
      <c r="K182" t="s">
        <v>51</v>
      </c>
      <c r="L182" t="s">
        <v>52</v>
      </c>
      <c r="M182" s="2">
        <v>0</v>
      </c>
      <c r="N182" s="2">
        <v>175</v>
      </c>
      <c r="O182">
        <v>1</v>
      </c>
      <c r="P182" s="2">
        <v>175</v>
      </c>
      <c r="R182" t="s">
        <v>2447</v>
      </c>
    </row>
    <row r="183" spans="1:18" x14ac:dyDescent="0.25">
      <c r="A183" s="4" t="s">
        <v>1917</v>
      </c>
      <c r="B183" s="4" t="str">
        <f t="shared" si="5"/>
        <v>00012039392KOVR</v>
      </c>
      <c r="C183" t="s">
        <v>182</v>
      </c>
      <c r="D183" t="s">
        <v>78</v>
      </c>
      <c r="E183">
        <v>20411454</v>
      </c>
      <c r="F183" t="s">
        <v>2477</v>
      </c>
      <c r="G183" t="s">
        <v>49</v>
      </c>
      <c r="H183" t="s">
        <v>58</v>
      </c>
      <c r="I183" s="1">
        <v>46023</v>
      </c>
      <c r="J183" s="1">
        <v>46054</v>
      </c>
      <c r="K183" t="s">
        <v>51</v>
      </c>
      <c r="L183" t="s">
        <v>52</v>
      </c>
      <c r="M183" s="2">
        <v>0</v>
      </c>
      <c r="N183" s="2">
        <v>175</v>
      </c>
      <c r="O183">
        <v>1</v>
      </c>
      <c r="P183" s="2">
        <v>175</v>
      </c>
      <c r="R183" t="s">
        <v>2447</v>
      </c>
    </row>
    <row r="184" spans="1:18" x14ac:dyDescent="0.25">
      <c r="A184" s="4" t="s">
        <v>1918</v>
      </c>
      <c r="B184" s="4" t="str">
        <f t="shared" si="5"/>
        <v>00012650386KOVR</v>
      </c>
      <c r="C184" t="s">
        <v>186</v>
      </c>
      <c r="D184" t="s">
        <v>46</v>
      </c>
      <c r="E184">
        <v>20411454</v>
      </c>
      <c r="F184" t="s">
        <v>2477</v>
      </c>
      <c r="G184" t="s">
        <v>49</v>
      </c>
      <c r="H184" t="s">
        <v>58</v>
      </c>
      <c r="I184" s="1">
        <v>46023</v>
      </c>
      <c r="J184" s="1">
        <v>46054</v>
      </c>
      <c r="K184" t="s">
        <v>51</v>
      </c>
      <c r="L184" t="s">
        <v>52</v>
      </c>
      <c r="M184" s="2">
        <v>0</v>
      </c>
      <c r="N184" s="2">
        <v>175</v>
      </c>
      <c r="O184">
        <v>1</v>
      </c>
      <c r="P184" s="2">
        <v>175</v>
      </c>
      <c r="R184" t="s">
        <v>2447</v>
      </c>
    </row>
    <row r="185" spans="1:18" x14ac:dyDescent="0.25">
      <c r="A185" s="4" t="s">
        <v>1919</v>
      </c>
      <c r="B185" s="4" t="str">
        <f t="shared" si="5"/>
        <v>00012778928KOVR</v>
      </c>
      <c r="C185" t="s">
        <v>188</v>
      </c>
      <c r="D185" t="s">
        <v>189</v>
      </c>
      <c r="E185">
        <v>20411454</v>
      </c>
      <c r="F185" t="s">
        <v>2477</v>
      </c>
      <c r="G185" t="s">
        <v>49</v>
      </c>
      <c r="H185" t="s">
        <v>58</v>
      </c>
      <c r="I185" s="1">
        <v>46023</v>
      </c>
      <c r="J185" s="1">
        <v>46054</v>
      </c>
      <c r="K185" t="s">
        <v>51</v>
      </c>
      <c r="L185" t="s">
        <v>52</v>
      </c>
      <c r="M185" s="2">
        <v>0</v>
      </c>
      <c r="N185" s="2">
        <v>175</v>
      </c>
      <c r="O185">
        <v>1</v>
      </c>
      <c r="P185" s="2">
        <v>175</v>
      </c>
      <c r="R185" t="s">
        <v>2447</v>
      </c>
    </row>
    <row r="186" spans="1:18" x14ac:dyDescent="0.25">
      <c r="A186" s="4" t="s">
        <v>1920</v>
      </c>
      <c r="B186" s="4" t="str">
        <f t="shared" si="5"/>
        <v>00012822831KOVR</v>
      </c>
      <c r="C186" t="s">
        <v>191</v>
      </c>
      <c r="D186" t="s">
        <v>46</v>
      </c>
      <c r="E186">
        <v>20411454</v>
      </c>
      <c r="F186" t="s">
        <v>2477</v>
      </c>
      <c r="G186" t="s">
        <v>49</v>
      </c>
      <c r="H186" t="s">
        <v>58</v>
      </c>
      <c r="I186" s="1">
        <v>46023</v>
      </c>
      <c r="J186" s="1">
        <v>46054</v>
      </c>
      <c r="K186" t="s">
        <v>51</v>
      </c>
      <c r="L186" t="s">
        <v>52</v>
      </c>
      <c r="M186" s="2">
        <v>0</v>
      </c>
      <c r="N186" s="2">
        <v>175</v>
      </c>
      <c r="O186">
        <v>1</v>
      </c>
      <c r="P186" s="2">
        <v>175</v>
      </c>
      <c r="R186" t="s">
        <v>2447</v>
      </c>
    </row>
    <row r="187" spans="1:18" x14ac:dyDescent="0.25">
      <c r="A187" s="4" t="s">
        <v>1921</v>
      </c>
      <c r="B187" s="4" t="str">
        <f t="shared" si="5"/>
        <v>00013052842KOVR</v>
      </c>
      <c r="C187" t="s">
        <v>193</v>
      </c>
      <c r="D187" t="s">
        <v>194</v>
      </c>
      <c r="E187">
        <v>20411454</v>
      </c>
      <c r="F187" t="s">
        <v>2477</v>
      </c>
      <c r="G187" t="s">
        <v>49</v>
      </c>
      <c r="H187" t="s">
        <v>58</v>
      </c>
      <c r="I187" s="1">
        <v>46023</v>
      </c>
      <c r="J187" s="1">
        <v>46054</v>
      </c>
      <c r="K187" t="s">
        <v>51</v>
      </c>
      <c r="L187" t="s">
        <v>52</v>
      </c>
      <c r="M187" s="2">
        <v>0</v>
      </c>
      <c r="N187" s="2">
        <v>175</v>
      </c>
      <c r="O187">
        <v>1</v>
      </c>
      <c r="P187" s="2">
        <v>175</v>
      </c>
      <c r="R187" t="s">
        <v>2447</v>
      </c>
    </row>
    <row r="188" spans="1:18" x14ac:dyDescent="0.25">
      <c r="A188" s="4" t="s">
        <v>1922</v>
      </c>
      <c r="B188" s="4" t="str">
        <f t="shared" si="5"/>
        <v>00013131363KOVR</v>
      </c>
      <c r="C188" t="s">
        <v>196</v>
      </c>
      <c r="D188" t="s">
        <v>46</v>
      </c>
      <c r="E188">
        <v>20411454</v>
      </c>
      <c r="F188" t="s">
        <v>2477</v>
      </c>
      <c r="G188" t="s">
        <v>49</v>
      </c>
      <c r="H188" t="s">
        <v>58</v>
      </c>
      <c r="I188" s="1">
        <v>46023</v>
      </c>
      <c r="J188" s="1">
        <v>46054</v>
      </c>
      <c r="K188" t="s">
        <v>51</v>
      </c>
      <c r="L188" t="s">
        <v>52</v>
      </c>
      <c r="M188" s="2">
        <v>0</v>
      </c>
      <c r="N188" s="2">
        <v>175</v>
      </c>
      <c r="O188">
        <v>1</v>
      </c>
      <c r="P188" s="2">
        <v>175</v>
      </c>
      <c r="R188" t="s">
        <v>2447</v>
      </c>
    </row>
    <row r="189" spans="1:18" x14ac:dyDescent="0.25">
      <c r="A189" s="4" t="s">
        <v>1923</v>
      </c>
      <c r="B189" s="4" t="str">
        <f t="shared" si="5"/>
        <v>00013158263KOVR</v>
      </c>
      <c r="C189" t="s">
        <v>198</v>
      </c>
      <c r="D189" t="s">
        <v>87</v>
      </c>
      <c r="E189">
        <v>20411454</v>
      </c>
      <c r="F189" t="s">
        <v>2477</v>
      </c>
      <c r="G189" t="s">
        <v>49</v>
      </c>
      <c r="H189" t="s">
        <v>58</v>
      </c>
      <c r="I189" s="1">
        <v>46023</v>
      </c>
      <c r="J189" s="1">
        <v>46054</v>
      </c>
      <c r="K189" t="s">
        <v>51</v>
      </c>
      <c r="L189" t="s">
        <v>52</v>
      </c>
      <c r="M189" s="2">
        <v>0</v>
      </c>
      <c r="N189" s="2">
        <v>175</v>
      </c>
      <c r="O189">
        <v>1</v>
      </c>
      <c r="P189" s="2">
        <v>175</v>
      </c>
      <c r="R189" t="s">
        <v>2447</v>
      </c>
    </row>
    <row r="190" spans="1:18" x14ac:dyDescent="0.25">
      <c r="A190" s="4" t="s">
        <v>1924</v>
      </c>
      <c r="B190" s="4" t="str">
        <f t="shared" si="5"/>
        <v>00013537314KOVR</v>
      </c>
      <c r="C190" t="s">
        <v>200</v>
      </c>
      <c r="D190" t="s">
        <v>61</v>
      </c>
      <c r="E190">
        <v>20411454</v>
      </c>
      <c r="F190" t="s">
        <v>2477</v>
      </c>
      <c r="G190" t="s">
        <v>49</v>
      </c>
      <c r="H190" t="s">
        <v>58</v>
      </c>
      <c r="I190" s="1">
        <v>46023</v>
      </c>
      <c r="J190" s="1">
        <v>46054</v>
      </c>
      <c r="K190" t="s">
        <v>51</v>
      </c>
      <c r="L190" t="s">
        <v>52</v>
      </c>
      <c r="M190" s="2">
        <v>0</v>
      </c>
      <c r="N190" s="2">
        <v>175</v>
      </c>
      <c r="O190">
        <v>1</v>
      </c>
      <c r="P190" s="2">
        <v>175</v>
      </c>
      <c r="R190" t="s">
        <v>2447</v>
      </c>
    </row>
    <row r="191" spans="1:18" x14ac:dyDescent="0.25">
      <c r="A191" s="4" t="s">
        <v>1925</v>
      </c>
      <c r="B191" s="4" t="str">
        <f t="shared" si="5"/>
        <v>00013537346KOVR</v>
      </c>
      <c r="C191" t="s">
        <v>204</v>
      </c>
      <c r="D191" t="s">
        <v>61</v>
      </c>
      <c r="E191">
        <v>20411454</v>
      </c>
      <c r="F191" t="s">
        <v>2477</v>
      </c>
      <c r="G191" t="s">
        <v>49</v>
      </c>
      <c r="H191" t="s">
        <v>58</v>
      </c>
      <c r="I191" s="1">
        <v>46023</v>
      </c>
      <c r="J191" s="1">
        <v>46054</v>
      </c>
      <c r="K191" t="s">
        <v>51</v>
      </c>
      <c r="L191" t="s">
        <v>52</v>
      </c>
      <c r="M191" s="2">
        <v>0</v>
      </c>
      <c r="N191" s="2">
        <v>175</v>
      </c>
      <c r="O191">
        <v>1</v>
      </c>
      <c r="P191" s="2">
        <v>175</v>
      </c>
      <c r="R191" t="s">
        <v>2447</v>
      </c>
    </row>
    <row r="192" spans="1:18" x14ac:dyDescent="0.25">
      <c r="A192" s="4" t="s">
        <v>1926</v>
      </c>
      <c r="B192" s="4" t="str">
        <f t="shared" si="5"/>
        <v>00013603294KOVR</v>
      </c>
      <c r="C192" t="s">
        <v>206</v>
      </c>
      <c r="D192" t="s">
        <v>46</v>
      </c>
      <c r="E192">
        <v>20411454</v>
      </c>
      <c r="F192" t="s">
        <v>2477</v>
      </c>
      <c r="G192" t="s">
        <v>49</v>
      </c>
      <c r="H192" t="s">
        <v>58</v>
      </c>
      <c r="I192" s="1">
        <v>46023</v>
      </c>
      <c r="J192" s="1">
        <v>46054</v>
      </c>
      <c r="K192" t="s">
        <v>51</v>
      </c>
      <c r="L192" t="s">
        <v>52</v>
      </c>
      <c r="M192" s="2">
        <v>0</v>
      </c>
      <c r="N192" s="2">
        <v>175</v>
      </c>
      <c r="O192">
        <v>1</v>
      </c>
      <c r="P192" s="2">
        <v>175</v>
      </c>
      <c r="R192" t="s">
        <v>2447</v>
      </c>
    </row>
    <row r="193" spans="1:18" x14ac:dyDescent="0.25">
      <c r="A193" s="4" t="s">
        <v>1927</v>
      </c>
      <c r="B193" s="4" t="str">
        <f t="shared" si="5"/>
        <v>00013603483KOVR</v>
      </c>
      <c r="C193" t="s">
        <v>208</v>
      </c>
      <c r="D193" t="s">
        <v>46</v>
      </c>
      <c r="E193">
        <v>20411454</v>
      </c>
      <c r="F193" t="s">
        <v>2477</v>
      </c>
      <c r="G193" t="s">
        <v>49</v>
      </c>
      <c r="H193" t="s">
        <v>58</v>
      </c>
      <c r="I193" s="1">
        <v>46023</v>
      </c>
      <c r="J193" s="1">
        <v>46054</v>
      </c>
      <c r="K193" t="s">
        <v>51</v>
      </c>
      <c r="L193" t="s">
        <v>52</v>
      </c>
      <c r="M193" s="2">
        <v>0</v>
      </c>
      <c r="N193" s="2">
        <v>175</v>
      </c>
      <c r="O193">
        <v>1</v>
      </c>
      <c r="P193" s="2">
        <v>175</v>
      </c>
      <c r="R193" t="s">
        <v>2447</v>
      </c>
    </row>
    <row r="194" spans="1:18" x14ac:dyDescent="0.25">
      <c r="A194" s="4" t="s">
        <v>1928</v>
      </c>
      <c r="B194" s="4" t="str">
        <f t="shared" si="5"/>
        <v>00013609271KOVR</v>
      </c>
      <c r="C194" t="s">
        <v>210</v>
      </c>
      <c r="D194" t="s">
        <v>189</v>
      </c>
      <c r="E194">
        <v>20411454</v>
      </c>
      <c r="F194" t="s">
        <v>2477</v>
      </c>
      <c r="G194" t="s">
        <v>49</v>
      </c>
      <c r="H194" t="s">
        <v>58</v>
      </c>
      <c r="I194" s="1">
        <v>46023</v>
      </c>
      <c r="J194" s="1">
        <v>46054</v>
      </c>
      <c r="K194" t="s">
        <v>51</v>
      </c>
      <c r="L194" t="s">
        <v>52</v>
      </c>
      <c r="M194" s="2">
        <v>0</v>
      </c>
      <c r="N194" s="2">
        <v>175</v>
      </c>
      <c r="O194">
        <v>1</v>
      </c>
      <c r="P194" s="2">
        <v>175</v>
      </c>
      <c r="R194" t="s">
        <v>2447</v>
      </c>
    </row>
    <row r="195" spans="1:18" x14ac:dyDescent="0.25">
      <c r="A195" s="4" t="s">
        <v>1929</v>
      </c>
      <c r="B195" s="4" t="str">
        <f t="shared" si="5"/>
        <v>00013632196KOVR</v>
      </c>
      <c r="C195" t="s">
        <v>212</v>
      </c>
      <c r="D195" t="s">
        <v>46</v>
      </c>
      <c r="E195">
        <v>20411454</v>
      </c>
      <c r="F195" t="s">
        <v>2477</v>
      </c>
      <c r="G195" t="s">
        <v>49</v>
      </c>
      <c r="H195" t="s">
        <v>58</v>
      </c>
      <c r="I195" s="1">
        <v>46023</v>
      </c>
      <c r="J195" s="1">
        <v>46054</v>
      </c>
      <c r="K195" t="s">
        <v>51</v>
      </c>
      <c r="L195" t="s">
        <v>52</v>
      </c>
      <c r="M195" s="2">
        <v>0</v>
      </c>
      <c r="N195" s="2">
        <v>175</v>
      </c>
      <c r="O195">
        <v>1</v>
      </c>
      <c r="P195" s="2">
        <v>175</v>
      </c>
      <c r="R195" t="s">
        <v>2447</v>
      </c>
    </row>
    <row r="196" spans="1:18" x14ac:dyDescent="0.25">
      <c r="A196" s="4" t="s">
        <v>1930</v>
      </c>
      <c r="B196" s="4" t="str">
        <f t="shared" si="5"/>
        <v>00013980729KOVR</v>
      </c>
      <c r="C196" t="s">
        <v>216</v>
      </c>
      <c r="D196" t="s">
        <v>217</v>
      </c>
      <c r="E196">
        <v>20411454</v>
      </c>
      <c r="F196" t="s">
        <v>2477</v>
      </c>
      <c r="G196" t="s">
        <v>49</v>
      </c>
      <c r="H196" t="s">
        <v>58</v>
      </c>
      <c r="I196" s="1">
        <v>46023</v>
      </c>
      <c r="J196" s="1">
        <v>46054</v>
      </c>
      <c r="K196" t="s">
        <v>51</v>
      </c>
      <c r="L196" t="s">
        <v>52</v>
      </c>
      <c r="M196" s="2">
        <v>0</v>
      </c>
      <c r="N196" s="2">
        <v>175</v>
      </c>
      <c r="O196">
        <v>1</v>
      </c>
      <c r="P196" s="2">
        <v>175</v>
      </c>
      <c r="R196" t="s">
        <v>2447</v>
      </c>
    </row>
    <row r="197" spans="1:18" x14ac:dyDescent="0.25">
      <c r="A197" s="4" t="s">
        <v>1931</v>
      </c>
      <c r="B197" s="4" t="str">
        <f t="shared" si="5"/>
        <v>00014101344KOVR</v>
      </c>
      <c r="C197" t="s">
        <v>221</v>
      </c>
      <c r="D197" t="s">
        <v>46</v>
      </c>
      <c r="E197">
        <v>20411454</v>
      </c>
      <c r="F197" t="s">
        <v>2477</v>
      </c>
      <c r="G197" t="s">
        <v>49</v>
      </c>
      <c r="H197" t="s">
        <v>58</v>
      </c>
      <c r="I197" s="1">
        <v>46023</v>
      </c>
      <c r="J197" s="1">
        <v>46054</v>
      </c>
      <c r="K197" t="s">
        <v>51</v>
      </c>
      <c r="L197" t="s">
        <v>52</v>
      </c>
      <c r="M197" s="2">
        <v>0</v>
      </c>
      <c r="N197" s="2">
        <v>175</v>
      </c>
      <c r="O197">
        <v>1</v>
      </c>
      <c r="P197" s="2">
        <v>175</v>
      </c>
      <c r="R197" t="s">
        <v>2447</v>
      </c>
    </row>
    <row r="198" spans="1:18" x14ac:dyDescent="0.25">
      <c r="A198" s="4" t="s">
        <v>1932</v>
      </c>
      <c r="B198" s="4" t="str">
        <f t="shared" si="5"/>
        <v>00014349742KOVR</v>
      </c>
      <c r="C198" t="s">
        <v>223</v>
      </c>
      <c r="D198" t="s">
        <v>46</v>
      </c>
      <c r="E198">
        <v>20411454</v>
      </c>
      <c r="F198" t="s">
        <v>2477</v>
      </c>
      <c r="G198" t="s">
        <v>49</v>
      </c>
      <c r="H198" t="s">
        <v>58</v>
      </c>
      <c r="I198" s="1">
        <v>46023</v>
      </c>
      <c r="J198" s="1">
        <v>46054</v>
      </c>
      <c r="K198" t="s">
        <v>51</v>
      </c>
      <c r="L198" t="s">
        <v>52</v>
      </c>
      <c r="M198" s="2">
        <v>0</v>
      </c>
      <c r="N198" s="2">
        <v>175</v>
      </c>
      <c r="O198">
        <v>1</v>
      </c>
      <c r="P198" s="2">
        <v>175</v>
      </c>
      <c r="R198" t="s">
        <v>2447</v>
      </c>
    </row>
    <row r="199" spans="1:18" x14ac:dyDescent="0.25">
      <c r="A199" s="4" t="s">
        <v>1934</v>
      </c>
      <c r="B199" s="4" t="str">
        <f t="shared" si="5"/>
        <v>00014867452KOVR</v>
      </c>
      <c r="C199" t="s">
        <v>229</v>
      </c>
      <c r="D199" t="s">
        <v>46</v>
      </c>
      <c r="E199">
        <v>20411454</v>
      </c>
      <c r="F199" t="s">
        <v>2477</v>
      </c>
      <c r="G199" t="s">
        <v>49</v>
      </c>
      <c r="H199" t="s">
        <v>58</v>
      </c>
      <c r="I199" s="1">
        <v>46023</v>
      </c>
      <c r="J199" s="1">
        <v>46054</v>
      </c>
      <c r="K199" t="s">
        <v>51</v>
      </c>
      <c r="L199" t="s">
        <v>52</v>
      </c>
      <c r="M199" s="2">
        <v>0</v>
      </c>
      <c r="N199" s="2">
        <v>175</v>
      </c>
      <c r="O199">
        <v>1</v>
      </c>
      <c r="P199" s="2">
        <v>175</v>
      </c>
      <c r="R199" t="s">
        <v>2447</v>
      </c>
    </row>
    <row r="200" spans="1:18" x14ac:dyDescent="0.25">
      <c r="A200" s="4" t="s">
        <v>1935</v>
      </c>
      <c r="B200" s="4" t="str">
        <f t="shared" si="5"/>
        <v>00014879585KOVR</v>
      </c>
      <c r="C200" t="s">
        <v>231</v>
      </c>
      <c r="D200" t="s">
        <v>46</v>
      </c>
      <c r="E200">
        <v>20411454</v>
      </c>
      <c r="F200" t="s">
        <v>2477</v>
      </c>
      <c r="G200" t="s">
        <v>49</v>
      </c>
      <c r="H200" t="s">
        <v>58</v>
      </c>
      <c r="I200" s="1">
        <v>46023</v>
      </c>
      <c r="J200" s="1">
        <v>46054</v>
      </c>
      <c r="K200" t="s">
        <v>51</v>
      </c>
      <c r="L200" t="s">
        <v>52</v>
      </c>
      <c r="M200" s="2">
        <v>0</v>
      </c>
      <c r="N200" s="2">
        <v>175</v>
      </c>
      <c r="O200">
        <v>1</v>
      </c>
      <c r="P200" s="2">
        <v>175</v>
      </c>
      <c r="R200" t="s">
        <v>2447</v>
      </c>
    </row>
    <row r="201" spans="1:18" x14ac:dyDescent="0.25">
      <c r="A201" s="4" t="s">
        <v>1936</v>
      </c>
      <c r="B201" s="4" t="str">
        <f t="shared" si="5"/>
        <v>00014941118KOVR</v>
      </c>
      <c r="C201" t="s">
        <v>235</v>
      </c>
      <c r="D201" t="s">
        <v>158</v>
      </c>
      <c r="E201">
        <v>20411454</v>
      </c>
      <c r="F201" t="s">
        <v>2477</v>
      </c>
      <c r="G201" t="s">
        <v>49</v>
      </c>
      <c r="H201" t="s">
        <v>58</v>
      </c>
      <c r="I201" s="1">
        <v>46023</v>
      </c>
      <c r="J201" s="1">
        <v>46054</v>
      </c>
      <c r="K201" t="s">
        <v>51</v>
      </c>
      <c r="L201" t="s">
        <v>52</v>
      </c>
      <c r="M201" s="2">
        <v>0</v>
      </c>
      <c r="N201" s="2">
        <v>175</v>
      </c>
      <c r="O201">
        <v>1</v>
      </c>
      <c r="P201" s="2">
        <v>175</v>
      </c>
      <c r="R201" t="s">
        <v>2447</v>
      </c>
    </row>
    <row r="202" spans="1:18" x14ac:dyDescent="0.25">
      <c r="A202" s="4" t="s">
        <v>1937</v>
      </c>
      <c r="B202" s="4" t="str">
        <f t="shared" si="5"/>
        <v>00015039523KOVR</v>
      </c>
      <c r="C202" t="s">
        <v>237</v>
      </c>
      <c r="D202" t="s">
        <v>46</v>
      </c>
      <c r="E202">
        <v>20411454</v>
      </c>
      <c r="F202" t="s">
        <v>2477</v>
      </c>
      <c r="G202" t="s">
        <v>49</v>
      </c>
      <c r="H202" t="s">
        <v>58</v>
      </c>
      <c r="I202" s="1">
        <v>46023</v>
      </c>
      <c r="J202" s="1">
        <v>46054</v>
      </c>
      <c r="K202" t="s">
        <v>51</v>
      </c>
      <c r="L202" t="s">
        <v>52</v>
      </c>
      <c r="M202" s="2">
        <v>0</v>
      </c>
      <c r="N202" s="2">
        <v>175</v>
      </c>
      <c r="O202">
        <v>1</v>
      </c>
      <c r="P202" s="2">
        <v>175</v>
      </c>
      <c r="R202" t="s">
        <v>2447</v>
      </c>
    </row>
    <row r="203" spans="1:18" x14ac:dyDescent="0.25">
      <c r="A203" s="4" t="s">
        <v>1938</v>
      </c>
      <c r="B203" s="4" t="str">
        <f t="shared" si="5"/>
        <v>00015230157KOVR</v>
      </c>
      <c r="C203" t="s">
        <v>241</v>
      </c>
      <c r="D203" t="s">
        <v>61</v>
      </c>
      <c r="E203">
        <v>20411454</v>
      </c>
      <c r="F203" t="s">
        <v>2477</v>
      </c>
      <c r="G203" t="s">
        <v>49</v>
      </c>
      <c r="H203" t="s">
        <v>58</v>
      </c>
      <c r="I203" s="1">
        <v>46023</v>
      </c>
      <c r="J203" s="1">
        <v>46054</v>
      </c>
      <c r="K203" t="s">
        <v>51</v>
      </c>
      <c r="L203" t="s">
        <v>52</v>
      </c>
      <c r="M203" s="2">
        <v>0</v>
      </c>
      <c r="N203" s="2">
        <v>175</v>
      </c>
      <c r="O203">
        <v>1</v>
      </c>
      <c r="P203" s="2">
        <v>175</v>
      </c>
      <c r="R203" t="s">
        <v>2447</v>
      </c>
    </row>
    <row r="204" spans="1:18" x14ac:dyDescent="0.25">
      <c r="A204" s="4" t="s">
        <v>1939</v>
      </c>
      <c r="B204" s="4" t="str">
        <f t="shared" si="5"/>
        <v>00015812493KOVR</v>
      </c>
      <c r="C204" t="s">
        <v>245</v>
      </c>
      <c r="D204" t="s">
        <v>46</v>
      </c>
      <c r="E204">
        <v>20411454</v>
      </c>
      <c r="F204" t="s">
        <v>2477</v>
      </c>
      <c r="G204" t="s">
        <v>49</v>
      </c>
      <c r="H204" t="s">
        <v>58</v>
      </c>
      <c r="I204" s="1">
        <v>46023</v>
      </c>
      <c r="J204" s="1">
        <v>46054</v>
      </c>
      <c r="K204" t="s">
        <v>51</v>
      </c>
      <c r="L204" t="s">
        <v>52</v>
      </c>
      <c r="M204" s="2">
        <v>0</v>
      </c>
      <c r="N204" s="2">
        <v>175</v>
      </c>
      <c r="O204">
        <v>1</v>
      </c>
      <c r="P204" s="2">
        <v>175</v>
      </c>
      <c r="R204" t="s">
        <v>2447</v>
      </c>
    </row>
    <row r="205" spans="1:18" x14ac:dyDescent="0.25">
      <c r="A205" s="4" t="s">
        <v>1940</v>
      </c>
      <c r="B205" s="4" t="str">
        <f t="shared" si="5"/>
        <v>00016225275KOVR</v>
      </c>
      <c r="C205" t="s">
        <v>247</v>
      </c>
      <c r="D205" t="s">
        <v>217</v>
      </c>
      <c r="E205">
        <v>20411454</v>
      </c>
      <c r="F205" t="s">
        <v>2477</v>
      </c>
      <c r="G205" t="s">
        <v>49</v>
      </c>
      <c r="H205" t="s">
        <v>58</v>
      </c>
      <c r="I205" s="1">
        <v>46023</v>
      </c>
      <c r="J205" s="1">
        <v>46054</v>
      </c>
      <c r="K205" t="s">
        <v>51</v>
      </c>
      <c r="L205" t="s">
        <v>52</v>
      </c>
      <c r="M205" s="2">
        <v>0</v>
      </c>
      <c r="N205" s="2">
        <v>175</v>
      </c>
      <c r="O205">
        <v>1</v>
      </c>
      <c r="P205" s="2">
        <v>175</v>
      </c>
      <c r="R205" t="s">
        <v>2447</v>
      </c>
    </row>
    <row r="206" spans="1:18" x14ac:dyDescent="0.25">
      <c r="A206" s="4" t="s">
        <v>1942</v>
      </c>
      <c r="B206" s="4" t="str">
        <f t="shared" ref="B206:B269" si="6">CONCATENATE(A206,"OVR")</f>
        <v>00017145070KOVR</v>
      </c>
      <c r="C206" t="s">
        <v>251</v>
      </c>
      <c r="D206" t="s">
        <v>46</v>
      </c>
      <c r="E206">
        <v>20411454</v>
      </c>
      <c r="F206" t="s">
        <v>2477</v>
      </c>
      <c r="G206" t="s">
        <v>49</v>
      </c>
      <c r="H206" t="s">
        <v>58</v>
      </c>
      <c r="I206" s="1">
        <v>46023</v>
      </c>
      <c r="J206" s="1">
        <v>46054</v>
      </c>
      <c r="K206" t="s">
        <v>51</v>
      </c>
      <c r="L206" t="s">
        <v>52</v>
      </c>
      <c r="M206" s="2">
        <v>0</v>
      </c>
      <c r="N206" s="2">
        <v>175</v>
      </c>
      <c r="O206">
        <v>1</v>
      </c>
      <c r="P206" s="2">
        <v>175</v>
      </c>
      <c r="R206" t="s">
        <v>2447</v>
      </c>
    </row>
    <row r="207" spans="1:18" x14ac:dyDescent="0.25">
      <c r="A207" s="4" t="s">
        <v>1943</v>
      </c>
      <c r="B207" s="4" t="str">
        <f t="shared" si="6"/>
        <v>00017210605KOVR</v>
      </c>
      <c r="C207" t="s">
        <v>253</v>
      </c>
      <c r="D207" t="s">
        <v>46</v>
      </c>
      <c r="E207">
        <v>20411454</v>
      </c>
      <c r="F207" t="s">
        <v>2477</v>
      </c>
      <c r="G207" t="s">
        <v>49</v>
      </c>
      <c r="H207" t="s">
        <v>58</v>
      </c>
      <c r="I207" s="1">
        <v>46023</v>
      </c>
      <c r="J207" s="1">
        <v>46054</v>
      </c>
      <c r="K207" t="s">
        <v>51</v>
      </c>
      <c r="L207" t="s">
        <v>52</v>
      </c>
      <c r="M207" s="2">
        <v>0</v>
      </c>
      <c r="N207" s="2">
        <v>175</v>
      </c>
      <c r="O207">
        <v>1</v>
      </c>
      <c r="P207" s="2">
        <v>175</v>
      </c>
      <c r="R207" t="s">
        <v>2447</v>
      </c>
    </row>
    <row r="208" spans="1:18" x14ac:dyDescent="0.25">
      <c r="A208" s="4" t="s">
        <v>1944</v>
      </c>
      <c r="B208" s="4" t="str">
        <f t="shared" si="6"/>
        <v>00017504051KOVR</v>
      </c>
      <c r="C208" t="s">
        <v>257</v>
      </c>
      <c r="D208" t="s">
        <v>46</v>
      </c>
      <c r="E208">
        <v>20411454</v>
      </c>
      <c r="F208" t="s">
        <v>2477</v>
      </c>
      <c r="G208" t="s">
        <v>49</v>
      </c>
      <c r="H208" t="s">
        <v>58</v>
      </c>
      <c r="I208" s="1">
        <v>46023</v>
      </c>
      <c r="J208" s="1">
        <v>46054</v>
      </c>
      <c r="K208" t="s">
        <v>51</v>
      </c>
      <c r="L208" t="s">
        <v>52</v>
      </c>
      <c r="M208" s="2">
        <v>0</v>
      </c>
      <c r="N208" s="2">
        <v>175</v>
      </c>
      <c r="O208">
        <v>1</v>
      </c>
      <c r="P208" s="2">
        <v>175</v>
      </c>
      <c r="R208" t="s">
        <v>2447</v>
      </c>
    </row>
    <row r="209" spans="1:18" x14ac:dyDescent="0.25">
      <c r="A209" s="4" t="s">
        <v>1945</v>
      </c>
      <c r="B209" s="4" t="str">
        <f t="shared" si="6"/>
        <v>00017516864KOVR</v>
      </c>
      <c r="C209" t="s">
        <v>261</v>
      </c>
      <c r="D209" t="s">
        <v>262</v>
      </c>
      <c r="E209">
        <v>20411454</v>
      </c>
      <c r="F209" t="s">
        <v>2477</v>
      </c>
      <c r="G209" t="s">
        <v>49</v>
      </c>
      <c r="H209" t="s">
        <v>58</v>
      </c>
      <c r="I209" s="1">
        <v>46023</v>
      </c>
      <c r="J209" s="1">
        <v>46054</v>
      </c>
      <c r="K209" t="s">
        <v>51</v>
      </c>
      <c r="L209" t="s">
        <v>52</v>
      </c>
      <c r="M209" s="2">
        <v>0</v>
      </c>
      <c r="N209" s="2">
        <v>175</v>
      </c>
      <c r="O209">
        <v>1</v>
      </c>
      <c r="P209" s="2">
        <v>175</v>
      </c>
      <c r="R209" t="s">
        <v>2447</v>
      </c>
    </row>
    <row r="210" spans="1:18" x14ac:dyDescent="0.25">
      <c r="A210" s="4" t="s">
        <v>1946</v>
      </c>
      <c r="B210" s="4" t="str">
        <f t="shared" si="6"/>
        <v>00017588855KOVR</v>
      </c>
      <c r="C210" t="s">
        <v>264</v>
      </c>
      <c r="D210" t="s">
        <v>265</v>
      </c>
      <c r="E210">
        <v>20411454</v>
      </c>
      <c r="F210" t="s">
        <v>2477</v>
      </c>
      <c r="G210" t="s">
        <v>49</v>
      </c>
      <c r="H210" t="s">
        <v>58</v>
      </c>
      <c r="I210" s="1">
        <v>46023</v>
      </c>
      <c r="J210" s="1">
        <v>46054</v>
      </c>
      <c r="K210" t="s">
        <v>51</v>
      </c>
      <c r="L210" t="s">
        <v>52</v>
      </c>
      <c r="M210" s="2">
        <v>0</v>
      </c>
      <c r="N210" s="2">
        <v>175</v>
      </c>
      <c r="O210">
        <v>1</v>
      </c>
      <c r="P210" s="2">
        <v>175</v>
      </c>
      <c r="R210" t="s">
        <v>2447</v>
      </c>
    </row>
    <row r="211" spans="1:18" x14ac:dyDescent="0.25">
      <c r="A211" s="4" t="s">
        <v>1947</v>
      </c>
      <c r="B211" s="4" t="str">
        <f t="shared" si="6"/>
        <v>00017762694KOVR</v>
      </c>
      <c r="C211" t="s">
        <v>269</v>
      </c>
      <c r="D211" t="s">
        <v>55</v>
      </c>
      <c r="E211">
        <v>20411454</v>
      </c>
      <c r="F211" t="s">
        <v>2477</v>
      </c>
      <c r="G211" t="s">
        <v>49</v>
      </c>
      <c r="H211" t="s">
        <v>58</v>
      </c>
      <c r="I211" s="1">
        <v>46023</v>
      </c>
      <c r="J211" s="1">
        <v>46054</v>
      </c>
      <c r="K211" t="s">
        <v>51</v>
      </c>
      <c r="L211" t="s">
        <v>52</v>
      </c>
      <c r="M211" s="2">
        <v>0</v>
      </c>
      <c r="N211" s="2">
        <v>175</v>
      </c>
      <c r="O211">
        <v>1</v>
      </c>
      <c r="P211" s="2">
        <v>175</v>
      </c>
      <c r="R211" t="s">
        <v>2447</v>
      </c>
    </row>
    <row r="212" spans="1:18" x14ac:dyDescent="0.25">
      <c r="A212" s="4" t="s">
        <v>1949</v>
      </c>
      <c r="B212" s="4" t="str">
        <f t="shared" si="6"/>
        <v>00017855097KOVR</v>
      </c>
      <c r="C212" t="s">
        <v>275</v>
      </c>
      <c r="D212" t="s">
        <v>46</v>
      </c>
      <c r="E212">
        <v>20411454</v>
      </c>
      <c r="F212" t="s">
        <v>2477</v>
      </c>
      <c r="G212" t="s">
        <v>49</v>
      </c>
      <c r="H212" t="s">
        <v>58</v>
      </c>
      <c r="I212" s="1">
        <v>46023</v>
      </c>
      <c r="J212" s="1">
        <v>46054</v>
      </c>
      <c r="K212" t="s">
        <v>51</v>
      </c>
      <c r="L212" t="s">
        <v>52</v>
      </c>
      <c r="M212" s="2">
        <v>0</v>
      </c>
      <c r="N212" s="2">
        <v>175</v>
      </c>
      <c r="O212">
        <v>1</v>
      </c>
      <c r="P212" s="2">
        <v>175</v>
      </c>
      <c r="R212" t="s">
        <v>2447</v>
      </c>
    </row>
    <row r="213" spans="1:18" x14ac:dyDescent="0.25">
      <c r="A213" s="4" t="s">
        <v>1950</v>
      </c>
      <c r="B213" s="4" t="str">
        <f t="shared" si="6"/>
        <v>00018023648KOVR</v>
      </c>
      <c r="C213" t="s">
        <v>277</v>
      </c>
      <c r="D213" t="s">
        <v>46</v>
      </c>
      <c r="E213">
        <v>20411454</v>
      </c>
      <c r="F213" t="s">
        <v>2477</v>
      </c>
      <c r="G213" t="s">
        <v>49</v>
      </c>
      <c r="H213" t="s">
        <v>58</v>
      </c>
      <c r="I213" s="1">
        <v>46023</v>
      </c>
      <c r="J213" s="1">
        <v>46054</v>
      </c>
      <c r="K213" t="s">
        <v>51</v>
      </c>
      <c r="L213" t="s">
        <v>52</v>
      </c>
      <c r="M213" s="2">
        <v>0</v>
      </c>
      <c r="N213" s="2">
        <v>175</v>
      </c>
      <c r="O213">
        <v>1</v>
      </c>
      <c r="P213" s="2">
        <v>175</v>
      </c>
      <c r="R213" t="s">
        <v>2447</v>
      </c>
    </row>
    <row r="214" spans="1:18" x14ac:dyDescent="0.25">
      <c r="A214" s="4" t="s">
        <v>1953</v>
      </c>
      <c r="B214" s="4" t="str">
        <f t="shared" si="6"/>
        <v>00018094919KOVR</v>
      </c>
      <c r="C214" t="s">
        <v>285</v>
      </c>
      <c r="D214" t="s">
        <v>78</v>
      </c>
      <c r="E214">
        <v>20411454</v>
      </c>
      <c r="F214" t="s">
        <v>2477</v>
      </c>
      <c r="G214" t="s">
        <v>49</v>
      </c>
      <c r="H214" t="s">
        <v>58</v>
      </c>
      <c r="I214" s="1">
        <v>46023</v>
      </c>
      <c r="J214" s="1">
        <v>46054</v>
      </c>
      <c r="K214" t="s">
        <v>51</v>
      </c>
      <c r="L214" t="s">
        <v>52</v>
      </c>
      <c r="M214" s="2">
        <v>0</v>
      </c>
      <c r="N214" s="2">
        <v>175</v>
      </c>
      <c r="O214">
        <v>1</v>
      </c>
      <c r="P214" s="2">
        <v>175</v>
      </c>
      <c r="R214" t="s">
        <v>2447</v>
      </c>
    </row>
    <row r="215" spans="1:18" x14ac:dyDescent="0.25">
      <c r="A215" s="4" t="s">
        <v>1954</v>
      </c>
      <c r="B215" s="4" t="str">
        <f t="shared" si="6"/>
        <v>00018142972KOVR</v>
      </c>
      <c r="C215" t="s">
        <v>287</v>
      </c>
      <c r="D215" t="s">
        <v>46</v>
      </c>
      <c r="E215">
        <v>20411454</v>
      </c>
      <c r="F215" t="s">
        <v>2477</v>
      </c>
      <c r="G215" t="s">
        <v>49</v>
      </c>
      <c r="H215" t="s">
        <v>58</v>
      </c>
      <c r="I215" s="1">
        <v>46023</v>
      </c>
      <c r="J215" s="1">
        <v>46054</v>
      </c>
      <c r="K215" t="s">
        <v>51</v>
      </c>
      <c r="L215" t="s">
        <v>52</v>
      </c>
      <c r="M215" s="2">
        <v>0</v>
      </c>
      <c r="N215" s="2">
        <v>175</v>
      </c>
      <c r="O215">
        <v>1</v>
      </c>
      <c r="P215" s="2">
        <v>175</v>
      </c>
      <c r="R215" t="s">
        <v>2447</v>
      </c>
    </row>
    <row r="216" spans="1:18" x14ac:dyDescent="0.25">
      <c r="A216" s="4" t="s">
        <v>1955</v>
      </c>
      <c r="B216" s="4" t="str">
        <f t="shared" si="6"/>
        <v>00018633433KOVR</v>
      </c>
      <c r="C216" t="s">
        <v>289</v>
      </c>
      <c r="D216" t="s">
        <v>46</v>
      </c>
      <c r="E216">
        <v>20411454</v>
      </c>
      <c r="F216" t="s">
        <v>2477</v>
      </c>
      <c r="G216" t="s">
        <v>49</v>
      </c>
      <c r="H216" t="s">
        <v>58</v>
      </c>
      <c r="I216" s="1">
        <v>46023</v>
      </c>
      <c r="J216" s="1">
        <v>46054</v>
      </c>
      <c r="K216" t="s">
        <v>51</v>
      </c>
      <c r="L216" t="s">
        <v>52</v>
      </c>
      <c r="M216" s="2">
        <v>0</v>
      </c>
      <c r="N216" s="2">
        <v>175</v>
      </c>
      <c r="O216">
        <v>1</v>
      </c>
      <c r="P216" s="2">
        <v>175</v>
      </c>
      <c r="R216" t="s">
        <v>2447</v>
      </c>
    </row>
    <row r="217" spans="1:18" x14ac:dyDescent="0.25">
      <c r="A217" s="4" t="s">
        <v>1956</v>
      </c>
      <c r="B217" s="4" t="str">
        <f t="shared" si="6"/>
        <v>00018698307KOVR</v>
      </c>
      <c r="C217" t="s">
        <v>291</v>
      </c>
      <c r="D217" t="s">
        <v>78</v>
      </c>
      <c r="E217">
        <v>20411454</v>
      </c>
      <c r="F217" t="s">
        <v>2477</v>
      </c>
      <c r="G217" t="s">
        <v>49</v>
      </c>
      <c r="H217" t="s">
        <v>58</v>
      </c>
      <c r="I217" s="1">
        <v>46023</v>
      </c>
      <c r="J217" s="1">
        <v>46054</v>
      </c>
      <c r="K217" t="s">
        <v>51</v>
      </c>
      <c r="L217" t="s">
        <v>52</v>
      </c>
      <c r="M217" s="2">
        <v>0</v>
      </c>
      <c r="N217" s="2">
        <v>175</v>
      </c>
      <c r="O217">
        <v>1</v>
      </c>
      <c r="P217" s="2">
        <v>175</v>
      </c>
      <c r="R217" t="s">
        <v>2447</v>
      </c>
    </row>
    <row r="218" spans="1:18" x14ac:dyDescent="0.25">
      <c r="A218" s="4" t="s">
        <v>1957</v>
      </c>
      <c r="B218" s="4" t="str">
        <f t="shared" si="6"/>
        <v>00018736051KOVR</v>
      </c>
      <c r="C218" t="s">
        <v>293</v>
      </c>
      <c r="D218" t="s">
        <v>294</v>
      </c>
      <c r="E218">
        <v>20411454</v>
      </c>
      <c r="F218" t="s">
        <v>2477</v>
      </c>
      <c r="G218" t="s">
        <v>49</v>
      </c>
      <c r="H218" t="s">
        <v>58</v>
      </c>
      <c r="I218" s="1">
        <v>46023</v>
      </c>
      <c r="J218" s="1">
        <v>46054</v>
      </c>
      <c r="K218" t="s">
        <v>51</v>
      </c>
      <c r="L218" t="s">
        <v>52</v>
      </c>
      <c r="M218" s="2">
        <v>0</v>
      </c>
      <c r="N218" s="2">
        <v>175</v>
      </c>
      <c r="O218">
        <v>1</v>
      </c>
      <c r="P218" s="2">
        <v>175</v>
      </c>
      <c r="R218" t="s">
        <v>2447</v>
      </c>
    </row>
    <row r="219" spans="1:18" x14ac:dyDescent="0.25">
      <c r="A219" s="4" t="s">
        <v>1958</v>
      </c>
      <c r="B219" s="4" t="str">
        <f t="shared" si="6"/>
        <v>00018805004KOVR</v>
      </c>
      <c r="C219" t="s">
        <v>298</v>
      </c>
      <c r="D219" t="s">
        <v>294</v>
      </c>
      <c r="E219">
        <v>20411454</v>
      </c>
      <c r="F219" t="s">
        <v>2477</v>
      </c>
      <c r="G219" t="s">
        <v>49</v>
      </c>
      <c r="H219" t="s">
        <v>58</v>
      </c>
      <c r="I219" s="1">
        <v>46023</v>
      </c>
      <c r="J219" s="1">
        <v>46054</v>
      </c>
      <c r="K219" t="s">
        <v>51</v>
      </c>
      <c r="L219" t="s">
        <v>52</v>
      </c>
      <c r="M219" s="2">
        <v>0</v>
      </c>
      <c r="N219" s="2">
        <v>175</v>
      </c>
      <c r="O219">
        <v>1</v>
      </c>
      <c r="P219" s="2">
        <v>175</v>
      </c>
      <c r="R219" t="s">
        <v>2447</v>
      </c>
    </row>
    <row r="220" spans="1:18" x14ac:dyDescent="0.25">
      <c r="A220" s="4" t="s">
        <v>1959</v>
      </c>
      <c r="B220" s="4" t="str">
        <f t="shared" si="6"/>
        <v>00018840283KOVR</v>
      </c>
      <c r="C220" t="s">
        <v>302</v>
      </c>
      <c r="D220" t="s">
        <v>61</v>
      </c>
      <c r="E220">
        <v>20411454</v>
      </c>
      <c r="F220" t="s">
        <v>2477</v>
      </c>
      <c r="G220" t="s">
        <v>49</v>
      </c>
      <c r="H220" t="s">
        <v>58</v>
      </c>
      <c r="I220" s="1">
        <v>46023</v>
      </c>
      <c r="J220" s="1">
        <v>46054</v>
      </c>
      <c r="K220" t="s">
        <v>51</v>
      </c>
      <c r="L220" t="s">
        <v>52</v>
      </c>
      <c r="M220" s="2">
        <v>0</v>
      </c>
      <c r="N220" s="2">
        <v>175</v>
      </c>
      <c r="O220">
        <v>1</v>
      </c>
      <c r="P220" s="2">
        <v>175</v>
      </c>
      <c r="R220" t="s">
        <v>2447</v>
      </c>
    </row>
    <row r="221" spans="1:18" x14ac:dyDescent="0.25">
      <c r="A221" s="4" t="s">
        <v>1960</v>
      </c>
      <c r="B221" s="4" t="str">
        <f t="shared" si="6"/>
        <v>00018967854KOVR</v>
      </c>
      <c r="C221" t="s">
        <v>304</v>
      </c>
      <c r="D221" t="s">
        <v>305</v>
      </c>
      <c r="E221">
        <v>20411454</v>
      </c>
      <c r="F221" t="s">
        <v>2477</v>
      </c>
      <c r="G221" t="s">
        <v>49</v>
      </c>
      <c r="H221" t="s">
        <v>58</v>
      </c>
      <c r="I221" s="1">
        <v>46023</v>
      </c>
      <c r="J221" s="1">
        <v>46054</v>
      </c>
      <c r="K221" t="s">
        <v>51</v>
      </c>
      <c r="L221" t="s">
        <v>52</v>
      </c>
      <c r="M221" s="2">
        <v>0</v>
      </c>
      <c r="N221" s="2">
        <v>175</v>
      </c>
      <c r="O221">
        <v>1</v>
      </c>
      <c r="P221" s="2">
        <v>175</v>
      </c>
      <c r="R221" t="s">
        <v>2447</v>
      </c>
    </row>
    <row r="222" spans="1:18" x14ac:dyDescent="0.25">
      <c r="A222" s="4" t="s">
        <v>1961</v>
      </c>
      <c r="B222" s="4" t="str">
        <f t="shared" si="6"/>
        <v>00019016866KOVR</v>
      </c>
      <c r="C222" t="s">
        <v>307</v>
      </c>
      <c r="D222" t="s">
        <v>189</v>
      </c>
      <c r="E222">
        <v>20411454</v>
      </c>
      <c r="F222" t="s">
        <v>2477</v>
      </c>
      <c r="G222" t="s">
        <v>49</v>
      </c>
      <c r="H222" t="s">
        <v>58</v>
      </c>
      <c r="I222" s="1">
        <v>46023</v>
      </c>
      <c r="J222" s="1">
        <v>46054</v>
      </c>
      <c r="K222" t="s">
        <v>51</v>
      </c>
      <c r="L222" t="s">
        <v>52</v>
      </c>
      <c r="M222" s="2">
        <v>0</v>
      </c>
      <c r="N222" s="2">
        <v>175</v>
      </c>
      <c r="O222">
        <v>1</v>
      </c>
      <c r="P222" s="2">
        <v>175</v>
      </c>
      <c r="R222" t="s">
        <v>2447</v>
      </c>
    </row>
    <row r="223" spans="1:18" x14ac:dyDescent="0.25">
      <c r="A223" s="4" t="s">
        <v>1962</v>
      </c>
      <c r="B223" s="4" t="str">
        <f t="shared" si="6"/>
        <v>00019229743KOVR</v>
      </c>
      <c r="C223" t="s">
        <v>309</v>
      </c>
      <c r="D223" t="s">
        <v>46</v>
      </c>
      <c r="E223">
        <v>20411454</v>
      </c>
      <c r="F223" t="s">
        <v>2477</v>
      </c>
      <c r="G223" t="s">
        <v>49</v>
      </c>
      <c r="H223" t="s">
        <v>58</v>
      </c>
      <c r="I223" s="1">
        <v>46023</v>
      </c>
      <c r="J223" s="1">
        <v>46054</v>
      </c>
      <c r="K223" t="s">
        <v>51</v>
      </c>
      <c r="L223" t="s">
        <v>52</v>
      </c>
      <c r="M223" s="2">
        <v>0</v>
      </c>
      <c r="N223" s="2">
        <v>175</v>
      </c>
      <c r="O223">
        <v>1</v>
      </c>
      <c r="P223" s="2">
        <v>175</v>
      </c>
      <c r="R223" t="s">
        <v>2447</v>
      </c>
    </row>
    <row r="224" spans="1:18" x14ac:dyDescent="0.25">
      <c r="A224" s="4" t="s">
        <v>1963</v>
      </c>
      <c r="B224" s="4" t="str">
        <f t="shared" si="6"/>
        <v>00019242719KOVR</v>
      </c>
      <c r="C224" t="s">
        <v>311</v>
      </c>
      <c r="D224" t="s">
        <v>46</v>
      </c>
      <c r="E224">
        <v>20411454</v>
      </c>
      <c r="F224" t="s">
        <v>2477</v>
      </c>
      <c r="G224" t="s">
        <v>49</v>
      </c>
      <c r="H224" t="s">
        <v>58</v>
      </c>
      <c r="I224" s="1">
        <v>46023</v>
      </c>
      <c r="J224" s="1">
        <v>46054</v>
      </c>
      <c r="K224" t="s">
        <v>51</v>
      </c>
      <c r="L224" t="s">
        <v>52</v>
      </c>
      <c r="M224" s="2">
        <v>0</v>
      </c>
      <c r="N224" s="2">
        <v>175</v>
      </c>
      <c r="O224">
        <v>1</v>
      </c>
      <c r="P224" s="2">
        <v>175</v>
      </c>
      <c r="R224" t="s">
        <v>2447</v>
      </c>
    </row>
    <row r="225" spans="1:18" x14ac:dyDescent="0.25">
      <c r="A225" s="4" t="s">
        <v>1964</v>
      </c>
      <c r="B225" s="4" t="str">
        <f t="shared" si="6"/>
        <v>00019450034KOVR</v>
      </c>
      <c r="C225" t="s">
        <v>313</v>
      </c>
      <c r="D225" t="s">
        <v>46</v>
      </c>
      <c r="E225">
        <v>20411454</v>
      </c>
      <c r="F225" t="s">
        <v>2477</v>
      </c>
      <c r="G225" t="s">
        <v>49</v>
      </c>
      <c r="H225" t="s">
        <v>58</v>
      </c>
      <c r="I225" s="1">
        <v>46023</v>
      </c>
      <c r="J225" s="1">
        <v>46054</v>
      </c>
      <c r="K225" t="s">
        <v>51</v>
      </c>
      <c r="L225" t="s">
        <v>52</v>
      </c>
      <c r="M225" s="2">
        <v>0</v>
      </c>
      <c r="N225" s="2">
        <v>175</v>
      </c>
      <c r="O225">
        <v>1</v>
      </c>
      <c r="P225" s="2">
        <v>175</v>
      </c>
      <c r="R225" t="s">
        <v>2447</v>
      </c>
    </row>
    <row r="226" spans="1:18" x14ac:dyDescent="0.25">
      <c r="A226" s="4" t="s">
        <v>1965</v>
      </c>
      <c r="B226" s="4" t="str">
        <f t="shared" si="6"/>
        <v>00019674239KOVR</v>
      </c>
      <c r="C226" t="s">
        <v>315</v>
      </c>
      <c r="D226" t="s">
        <v>46</v>
      </c>
      <c r="E226">
        <v>20411454</v>
      </c>
      <c r="F226" t="s">
        <v>2477</v>
      </c>
      <c r="G226" t="s">
        <v>49</v>
      </c>
      <c r="H226" t="s">
        <v>58</v>
      </c>
      <c r="I226" s="1">
        <v>46023</v>
      </c>
      <c r="J226" s="1">
        <v>46054</v>
      </c>
      <c r="K226" t="s">
        <v>51</v>
      </c>
      <c r="L226" t="s">
        <v>52</v>
      </c>
      <c r="M226" s="2">
        <v>0</v>
      </c>
      <c r="N226" s="2">
        <v>175</v>
      </c>
      <c r="O226">
        <v>1</v>
      </c>
      <c r="P226" s="2">
        <v>175</v>
      </c>
      <c r="R226" t="s">
        <v>2447</v>
      </c>
    </row>
    <row r="227" spans="1:18" x14ac:dyDescent="0.25">
      <c r="A227" s="4" t="s">
        <v>1966</v>
      </c>
      <c r="B227" s="4" t="str">
        <f t="shared" si="6"/>
        <v>00019678930KOVR</v>
      </c>
      <c r="C227" t="s">
        <v>317</v>
      </c>
      <c r="D227" t="s">
        <v>46</v>
      </c>
      <c r="E227">
        <v>20411454</v>
      </c>
      <c r="F227" t="s">
        <v>2477</v>
      </c>
      <c r="G227" t="s">
        <v>49</v>
      </c>
      <c r="H227" t="s">
        <v>58</v>
      </c>
      <c r="I227" s="1">
        <v>46023</v>
      </c>
      <c r="J227" s="1">
        <v>46054</v>
      </c>
      <c r="K227" t="s">
        <v>51</v>
      </c>
      <c r="L227" t="s">
        <v>52</v>
      </c>
      <c r="M227" s="2">
        <v>0</v>
      </c>
      <c r="N227" s="2">
        <v>175</v>
      </c>
      <c r="O227">
        <v>1</v>
      </c>
      <c r="P227" s="2">
        <v>175</v>
      </c>
      <c r="R227" t="s">
        <v>2447</v>
      </c>
    </row>
    <row r="228" spans="1:18" x14ac:dyDescent="0.25">
      <c r="A228" s="4" t="s">
        <v>1967</v>
      </c>
      <c r="B228" s="4" t="str">
        <f t="shared" si="6"/>
        <v>00019800242KOVR</v>
      </c>
      <c r="C228" t="s">
        <v>319</v>
      </c>
      <c r="D228" t="s">
        <v>46</v>
      </c>
      <c r="E228">
        <v>20411454</v>
      </c>
      <c r="F228" t="s">
        <v>2477</v>
      </c>
      <c r="G228" t="s">
        <v>49</v>
      </c>
      <c r="H228" t="s">
        <v>58</v>
      </c>
      <c r="I228" s="1">
        <v>46023</v>
      </c>
      <c r="J228" s="1">
        <v>46054</v>
      </c>
      <c r="K228" t="s">
        <v>51</v>
      </c>
      <c r="L228" t="s">
        <v>52</v>
      </c>
      <c r="M228" s="2">
        <v>0</v>
      </c>
      <c r="N228" s="2">
        <v>175</v>
      </c>
      <c r="O228">
        <v>1</v>
      </c>
      <c r="P228" s="2">
        <v>175</v>
      </c>
      <c r="R228" t="s">
        <v>2447</v>
      </c>
    </row>
    <row r="229" spans="1:18" x14ac:dyDescent="0.25">
      <c r="A229" s="4" t="s">
        <v>1968</v>
      </c>
      <c r="B229" s="4" t="str">
        <f t="shared" si="6"/>
        <v>00019862313KOVR</v>
      </c>
      <c r="C229" t="s">
        <v>323</v>
      </c>
      <c r="D229" t="s">
        <v>55</v>
      </c>
      <c r="E229">
        <v>20411454</v>
      </c>
      <c r="F229" t="s">
        <v>2477</v>
      </c>
      <c r="G229" t="s">
        <v>49</v>
      </c>
      <c r="H229" t="s">
        <v>58</v>
      </c>
      <c r="I229" s="1">
        <v>46023</v>
      </c>
      <c r="J229" s="1">
        <v>46054</v>
      </c>
      <c r="K229" t="s">
        <v>51</v>
      </c>
      <c r="L229" t="s">
        <v>52</v>
      </c>
      <c r="M229" s="2">
        <v>0</v>
      </c>
      <c r="N229" s="2">
        <v>175</v>
      </c>
      <c r="O229">
        <v>1</v>
      </c>
      <c r="P229" s="2">
        <v>175</v>
      </c>
      <c r="R229" t="s">
        <v>2447</v>
      </c>
    </row>
    <row r="230" spans="1:18" x14ac:dyDescent="0.25">
      <c r="A230" s="4" t="s">
        <v>1970</v>
      </c>
      <c r="B230" s="4" t="str">
        <f t="shared" si="6"/>
        <v>00019992699KOVR</v>
      </c>
      <c r="C230" t="s">
        <v>327</v>
      </c>
      <c r="D230" t="s">
        <v>46</v>
      </c>
      <c r="E230">
        <v>20411454</v>
      </c>
      <c r="F230" t="s">
        <v>2477</v>
      </c>
      <c r="G230" t="s">
        <v>49</v>
      </c>
      <c r="H230" t="s">
        <v>58</v>
      </c>
      <c r="I230" s="1">
        <v>46023</v>
      </c>
      <c r="J230" s="1">
        <v>46054</v>
      </c>
      <c r="K230" t="s">
        <v>51</v>
      </c>
      <c r="L230" t="s">
        <v>52</v>
      </c>
      <c r="M230" s="2">
        <v>0</v>
      </c>
      <c r="N230" s="2">
        <v>175</v>
      </c>
      <c r="O230">
        <v>1</v>
      </c>
      <c r="P230" s="2">
        <v>175</v>
      </c>
      <c r="R230" t="s">
        <v>2447</v>
      </c>
    </row>
    <row r="231" spans="1:18" x14ac:dyDescent="0.25">
      <c r="A231" s="4" t="s">
        <v>1972</v>
      </c>
      <c r="B231" s="4" t="str">
        <f t="shared" si="6"/>
        <v>00020083106KOVR</v>
      </c>
      <c r="C231" t="s">
        <v>333</v>
      </c>
      <c r="D231" t="s">
        <v>87</v>
      </c>
      <c r="E231">
        <v>20411454</v>
      </c>
      <c r="F231" t="s">
        <v>2477</v>
      </c>
      <c r="G231" t="s">
        <v>49</v>
      </c>
      <c r="H231" t="s">
        <v>58</v>
      </c>
      <c r="I231" s="1">
        <v>46023</v>
      </c>
      <c r="J231" s="1">
        <v>46054</v>
      </c>
      <c r="K231" t="s">
        <v>51</v>
      </c>
      <c r="L231" t="s">
        <v>52</v>
      </c>
      <c r="M231" s="2">
        <v>0</v>
      </c>
      <c r="N231" s="2">
        <v>175</v>
      </c>
      <c r="O231">
        <v>1</v>
      </c>
      <c r="P231" s="2">
        <v>175</v>
      </c>
      <c r="R231" t="s">
        <v>2447</v>
      </c>
    </row>
    <row r="232" spans="1:18" x14ac:dyDescent="0.25">
      <c r="A232" s="4" t="s">
        <v>1973</v>
      </c>
      <c r="B232" s="4" t="str">
        <f t="shared" si="6"/>
        <v>00020102843KOVR</v>
      </c>
      <c r="C232" t="s">
        <v>335</v>
      </c>
      <c r="D232" t="s">
        <v>55</v>
      </c>
      <c r="E232">
        <v>20411454</v>
      </c>
      <c r="F232" t="s">
        <v>2477</v>
      </c>
      <c r="G232" t="s">
        <v>49</v>
      </c>
      <c r="H232" t="s">
        <v>58</v>
      </c>
      <c r="I232" s="1">
        <v>46023</v>
      </c>
      <c r="J232" s="1">
        <v>46054</v>
      </c>
      <c r="K232" t="s">
        <v>51</v>
      </c>
      <c r="L232" t="s">
        <v>52</v>
      </c>
      <c r="M232" s="2">
        <v>0</v>
      </c>
      <c r="N232" s="2">
        <v>175</v>
      </c>
      <c r="O232">
        <v>1</v>
      </c>
      <c r="P232" s="2">
        <v>175</v>
      </c>
      <c r="R232" t="s">
        <v>2447</v>
      </c>
    </row>
    <row r="233" spans="1:18" x14ac:dyDescent="0.25">
      <c r="A233" s="4" t="s">
        <v>1974</v>
      </c>
      <c r="B233" s="4" t="str">
        <f t="shared" si="6"/>
        <v>00020112096KOVR</v>
      </c>
      <c r="C233" t="s">
        <v>337</v>
      </c>
      <c r="D233" t="s">
        <v>46</v>
      </c>
      <c r="E233">
        <v>20411454</v>
      </c>
      <c r="F233" t="s">
        <v>2477</v>
      </c>
      <c r="G233" t="s">
        <v>49</v>
      </c>
      <c r="H233" t="s">
        <v>58</v>
      </c>
      <c r="I233" s="1">
        <v>46023</v>
      </c>
      <c r="J233" s="1">
        <v>46054</v>
      </c>
      <c r="K233" t="s">
        <v>51</v>
      </c>
      <c r="L233" t="s">
        <v>52</v>
      </c>
      <c r="M233" s="2">
        <v>0</v>
      </c>
      <c r="N233" s="2">
        <v>175</v>
      </c>
      <c r="O233">
        <v>1</v>
      </c>
      <c r="P233" s="2">
        <v>175</v>
      </c>
      <c r="R233" t="s">
        <v>2447</v>
      </c>
    </row>
    <row r="234" spans="1:18" x14ac:dyDescent="0.25">
      <c r="A234" s="4" t="s">
        <v>1976</v>
      </c>
      <c r="B234" s="4" t="str">
        <f t="shared" si="6"/>
        <v>00020311619KOVR</v>
      </c>
      <c r="C234" t="s">
        <v>343</v>
      </c>
      <c r="D234" t="s">
        <v>217</v>
      </c>
      <c r="E234">
        <v>20411454</v>
      </c>
      <c r="F234" t="s">
        <v>2477</v>
      </c>
      <c r="G234" t="s">
        <v>49</v>
      </c>
      <c r="H234" t="s">
        <v>58</v>
      </c>
      <c r="I234" s="1">
        <v>46023</v>
      </c>
      <c r="J234" s="1">
        <v>46054</v>
      </c>
      <c r="K234" t="s">
        <v>51</v>
      </c>
      <c r="L234" t="s">
        <v>52</v>
      </c>
      <c r="M234" s="2">
        <v>0</v>
      </c>
      <c r="N234" s="2">
        <v>175</v>
      </c>
      <c r="O234">
        <v>1</v>
      </c>
      <c r="P234" s="2">
        <v>175</v>
      </c>
      <c r="R234" t="s">
        <v>2447</v>
      </c>
    </row>
    <row r="235" spans="1:18" x14ac:dyDescent="0.25">
      <c r="A235" s="4" t="s">
        <v>1978</v>
      </c>
      <c r="B235" s="4" t="str">
        <f t="shared" si="6"/>
        <v>00020326256KOVR</v>
      </c>
      <c r="C235" t="s">
        <v>347</v>
      </c>
      <c r="D235" t="s">
        <v>46</v>
      </c>
      <c r="E235">
        <v>20411454</v>
      </c>
      <c r="F235" t="s">
        <v>2477</v>
      </c>
      <c r="G235" t="s">
        <v>49</v>
      </c>
      <c r="H235" t="s">
        <v>58</v>
      </c>
      <c r="I235" s="1">
        <v>46023</v>
      </c>
      <c r="J235" s="1">
        <v>46054</v>
      </c>
      <c r="K235" t="s">
        <v>51</v>
      </c>
      <c r="L235" t="s">
        <v>52</v>
      </c>
      <c r="M235" s="2">
        <v>0</v>
      </c>
      <c r="N235" s="2">
        <v>175</v>
      </c>
      <c r="O235">
        <v>1</v>
      </c>
      <c r="P235" s="2">
        <v>175</v>
      </c>
      <c r="R235" t="s">
        <v>2447</v>
      </c>
    </row>
    <row r="236" spans="1:18" x14ac:dyDescent="0.25">
      <c r="A236" s="4" t="s">
        <v>1980</v>
      </c>
      <c r="B236" s="4" t="str">
        <f t="shared" si="6"/>
        <v>00020699255KOVR</v>
      </c>
      <c r="C236" t="s">
        <v>352</v>
      </c>
      <c r="D236" t="s">
        <v>46</v>
      </c>
      <c r="E236">
        <v>20411454</v>
      </c>
      <c r="F236" t="s">
        <v>2477</v>
      </c>
      <c r="G236" t="s">
        <v>49</v>
      </c>
      <c r="H236" t="s">
        <v>58</v>
      </c>
      <c r="I236" s="1">
        <v>46023</v>
      </c>
      <c r="J236" s="1">
        <v>46054</v>
      </c>
      <c r="K236" t="s">
        <v>51</v>
      </c>
      <c r="L236" t="s">
        <v>52</v>
      </c>
      <c r="M236" s="2">
        <v>0</v>
      </c>
      <c r="N236" s="2">
        <v>175</v>
      </c>
      <c r="O236">
        <v>1</v>
      </c>
      <c r="P236" s="2">
        <v>175</v>
      </c>
      <c r="R236" t="s">
        <v>2447</v>
      </c>
    </row>
    <row r="237" spans="1:18" x14ac:dyDescent="0.25">
      <c r="A237" s="4" t="s">
        <v>1981</v>
      </c>
      <c r="B237" s="4" t="str">
        <f t="shared" si="6"/>
        <v>00020726827KOVR</v>
      </c>
      <c r="C237" t="s">
        <v>356</v>
      </c>
      <c r="D237" t="s">
        <v>46</v>
      </c>
      <c r="E237">
        <v>20411454</v>
      </c>
      <c r="F237" t="s">
        <v>2477</v>
      </c>
      <c r="G237" t="s">
        <v>49</v>
      </c>
      <c r="H237" t="s">
        <v>58</v>
      </c>
      <c r="I237" s="1">
        <v>46023</v>
      </c>
      <c r="J237" s="1">
        <v>46054</v>
      </c>
      <c r="K237" t="s">
        <v>51</v>
      </c>
      <c r="L237" t="s">
        <v>52</v>
      </c>
      <c r="M237" s="2">
        <v>0</v>
      </c>
      <c r="N237" s="2">
        <v>175</v>
      </c>
      <c r="O237">
        <v>1</v>
      </c>
      <c r="P237" s="2">
        <v>175</v>
      </c>
      <c r="R237" t="s">
        <v>2447</v>
      </c>
    </row>
    <row r="238" spans="1:18" x14ac:dyDescent="0.25">
      <c r="A238" s="4" t="s">
        <v>1982</v>
      </c>
      <c r="B238" s="4" t="str">
        <f t="shared" si="6"/>
        <v>00020813355KOVR</v>
      </c>
      <c r="C238" t="s">
        <v>358</v>
      </c>
      <c r="D238" t="s">
        <v>46</v>
      </c>
      <c r="E238">
        <v>20411454</v>
      </c>
      <c r="F238" t="s">
        <v>2477</v>
      </c>
      <c r="G238" t="s">
        <v>49</v>
      </c>
      <c r="H238" t="s">
        <v>58</v>
      </c>
      <c r="I238" s="1">
        <v>46023</v>
      </c>
      <c r="J238" s="1">
        <v>46054</v>
      </c>
      <c r="K238" t="s">
        <v>51</v>
      </c>
      <c r="L238" t="s">
        <v>52</v>
      </c>
      <c r="M238" s="2">
        <v>0</v>
      </c>
      <c r="N238" s="2">
        <v>175</v>
      </c>
      <c r="O238">
        <v>1</v>
      </c>
      <c r="P238" s="2">
        <v>175</v>
      </c>
      <c r="R238" t="s">
        <v>2447</v>
      </c>
    </row>
    <row r="239" spans="1:18" x14ac:dyDescent="0.25">
      <c r="A239" s="4" t="s">
        <v>1983</v>
      </c>
      <c r="B239" s="4" t="str">
        <f t="shared" si="6"/>
        <v>00020826978KOVR</v>
      </c>
      <c r="C239" t="s">
        <v>362</v>
      </c>
      <c r="D239" t="s">
        <v>46</v>
      </c>
      <c r="E239">
        <v>20411454</v>
      </c>
      <c r="F239" t="s">
        <v>2477</v>
      </c>
      <c r="G239" t="s">
        <v>49</v>
      </c>
      <c r="H239" t="s">
        <v>58</v>
      </c>
      <c r="I239" s="1">
        <v>46023</v>
      </c>
      <c r="J239" s="1">
        <v>46054</v>
      </c>
      <c r="K239" t="s">
        <v>51</v>
      </c>
      <c r="L239" t="s">
        <v>52</v>
      </c>
      <c r="M239" s="2">
        <v>0</v>
      </c>
      <c r="N239" s="2">
        <v>175</v>
      </c>
      <c r="O239">
        <v>1</v>
      </c>
      <c r="P239" s="2">
        <v>175</v>
      </c>
      <c r="R239" t="s">
        <v>2447</v>
      </c>
    </row>
    <row r="240" spans="1:18" x14ac:dyDescent="0.25">
      <c r="A240" s="4" t="s">
        <v>1986</v>
      </c>
      <c r="B240" s="4" t="str">
        <f t="shared" si="6"/>
        <v>00021880649KOVR</v>
      </c>
      <c r="C240" t="s">
        <v>368</v>
      </c>
      <c r="D240" t="s">
        <v>46</v>
      </c>
      <c r="E240">
        <v>20411454</v>
      </c>
      <c r="F240" t="s">
        <v>2477</v>
      </c>
      <c r="G240" t="s">
        <v>49</v>
      </c>
      <c r="H240" t="s">
        <v>58</v>
      </c>
      <c r="I240" s="1">
        <v>46023</v>
      </c>
      <c r="J240" s="1">
        <v>46054</v>
      </c>
      <c r="K240" t="s">
        <v>51</v>
      </c>
      <c r="L240" t="s">
        <v>52</v>
      </c>
      <c r="M240" s="2">
        <v>0</v>
      </c>
      <c r="N240" s="2">
        <v>175</v>
      </c>
      <c r="O240">
        <v>1</v>
      </c>
      <c r="P240" s="2">
        <v>175</v>
      </c>
      <c r="R240" t="s">
        <v>2447</v>
      </c>
    </row>
    <row r="241" spans="1:18" x14ac:dyDescent="0.25">
      <c r="A241" s="4" t="s">
        <v>1987</v>
      </c>
      <c r="B241" s="4" t="str">
        <f t="shared" si="6"/>
        <v>00022059078KOVR</v>
      </c>
      <c r="C241" t="s">
        <v>370</v>
      </c>
      <c r="D241" t="s">
        <v>46</v>
      </c>
      <c r="E241">
        <v>20411454</v>
      </c>
      <c r="F241" t="s">
        <v>2477</v>
      </c>
      <c r="G241" t="s">
        <v>49</v>
      </c>
      <c r="H241" t="s">
        <v>58</v>
      </c>
      <c r="I241" s="1">
        <v>46023</v>
      </c>
      <c r="J241" s="1">
        <v>46054</v>
      </c>
      <c r="K241" t="s">
        <v>51</v>
      </c>
      <c r="L241" t="s">
        <v>52</v>
      </c>
      <c r="M241" s="2">
        <v>0</v>
      </c>
      <c r="N241" s="2">
        <v>175</v>
      </c>
      <c r="O241">
        <v>1</v>
      </c>
      <c r="P241" s="2">
        <v>175</v>
      </c>
      <c r="R241" t="s">
        <v>2447</v>
      </c>
    </row>
    <row r="242" spans="1:18" x14ac:dyDescent="0.25">
      <c r="A242" s="4" t="s">
        <v>1990</v>
      </c>
      <c r="B242" s="4" t="str">
        <f t="shared" si="6"/>
        <v>00022578873KOVR</v>
      </c>
      <c r="C242" t="s">
        <v>376</v>
      </c>
      <c r="D242" t="s">
        <v>46</v>
      </c>
      <c r="E242">
        <v>20411454</v>
      </c>
      <c r="F242" t="s">
        <v>2477</v>
      </c>
      <c r="G242" t="s">
        <v>49</v>
      </c>
      <c r="H242" t="s">
        <v>58</v>
      </c>
      <c r="I242" s="1">
        <v>46023</v>
      </c>
      <c r="J242" s="1">
        <v>46054</v>
      </c>
      <c r="K242" t="s">
        <v>51</v>
      </c>
      <c r="L242" t="s">
        <v>52</v>
      </c>
      <c r="M242" s="2">
        <v>0</v>
      </c>
      <c r="N242" s="2">
        <v>175</v>
      </c>
      <c r="O242">
        <v>1</v>
      </c>
      <c r="P242" s="2">
        <v>175</v>
      </c>
      <c r="R242" t="s">
        <v>2447</v>
      </c>
    </row>
    <row r="243" spans="1:18" x14ac:dyDescent="0.25">
      <c r="A243" s="4" t="s">
        <v>1992</v>
      </c>
      <c r="B243" s="4" t="str">
        <f t="shared" si="6"/>
        <v>00022773002KOVR</v>
      </c>
      <c r="C243" t="s">
        <v>380</v>
      </c>
      <c r="D243" t="s">
        <v>61</v>
      </c>
      <c r="E243">
        <v>20411454</v>
      </c>
      <c r="F243" t="s">
        <v>2477</v>
      </c>
      <c r="G243" t="s">
        <v>49</v>
      </c>
      <c r="H243" t="s">
        <v>58</v>
      </c>
      <c r="I243" s="1">
        <v>46023</v>
      </c>
      <c r="J243" s="1">
        <v>46054</v>
      </c>
      <c r="K243" t="s">
        <v>51</v>
      </c>
      <c r="L243" t="s">
        <v>52</v>
      </c>
      <c r="M243" s="2">
        <v>0</v>
      </c>
      <c r="N243" s="2">
        <v>175</v>
      </c>
      <c r="O243">
        <v>1</v>
      </c>
      <c r="P243" s="2">
        <v>175</v>
      </c>
      <c r="R243" t="s">
        <v>2447</v>
      </c>
    </row>
    <row r="244" spans="1:18" x14ac:dyDescent="0.25">
      <c r="A244" s="4" t="s">
        <v>1995</v>
      </c>
      <c r="B244" s="4" t="str">
        <f t="shared" si="6"/>
        <v>00023536079KOVR</v>
      </c>
      <c r="C244" t="s">
        <v>386</v>
      </c>
      <c r="D244" t="s">
        <v>189</v>
      </c>
      <c r="E244">
        <v>20411454</v>
      </c>
      <c r="F244" t="s">
        <v>2477</v>
      </c>
      <c r="G244" t="s">
        <v>49</v>
      </c>
      <c r="H244" t="s">
        <v>58</v>
      </c>
      <c r="I244" s="1">
        <v>46023</v>
      </c>
      <c r="J244" s="1">
        <v>46054</v>
      </c>
      <c r="K244" t="s">
        <v>51</v>
      </c>
      <c r="L244" t="s">
        <v>52</v>
      </c>
      <c r="M244" s="2">
        <v>0</v>
      </c>
      <c r="N244" s="2">
        <v>175</v>
      </c>
      <c r="O244">
        <v>1</v>
      </c>
      <c r="P244" s="2">
        <v>175</v>
      </c>
      <c r="R244" t="s">
        <v>2447</v>
      </c>
    </row>
    <row r="245" spans="1:18" x14ac:dyDescent="0.25">
      <c r="A245" s="4" t="s">
        <v>1997</v>
      </c>
      <c r="B245" s="4" t="str">
        <f t="shared" si="6"/>
        <v>00023765948KOVR</v>
      </c>
      <c r="C245" t="s">
        <v>392</v>
      </c>
      <c r="D245" t="s">
        <v>61</v>
      </c>
      <c r="E245">
        <v>20411454</v>
      </c>
      <c r="F245" t="s">
        <v>2477</v>
      </c>
      <c r="G245" t="s">
        <v>49</v>
      </c>
      <c r="H245" t="s">
        <v>58</v>
      </c>
      <c r="I245" s="1">
        <v>46023</v>
      </c>
      <c r="J245" s="1">
        <v>46054</v>
      </c>
      <c r="K245" t="s">
        <v>51</v>
      </c>
      <c r="L245" t="s">
        <v>52</v>
      </c>
      <c r="M245" s="2">
        <v>0</v>
      </c>
      <c r="N245" s="2">
        <v>175</v>
      </c>
      <c r="O245">
        <v>1</v>
      </c>
      <c r="P245" s="2">
        <v>175</v>
      </c>
      <c r="R245" t="s">
        <v>2447</v>
      </c>
    </row>
    <row r="246" spans="1:18" x14ac:dyDescent="0.25">
      <c r="A246" s="4" t="s">
        <v>1998</v>
      </c>
      <c r="B246" s="4" t="str">
        <f t="shared" si="6"/>
        <v>00024093686KOVR</v>
      </c>
      <c r="C246" t="s">
        <v>394</v>
      </c>
      <c r="D246" t="s">
        <v>46</v>
      </c>
      <c r="E246">
        <v>20411454</v>
      </c>
      <c r="F246" t="s">
        <v>2477</v>
      </c>
      <c r="G246" t="s">
        <v>49</v>
      </c>
      <c r="H246" t="s">
        <v>58</v>
      </c>
      <c r="I246" s="1">
        <v>46023</v>
      </c>
      <c r="J246" s="1">
        <v>46054</v>
      </c>
      <c r="K246" t="s">
        <v>51</v>
      </c>
      <c r="L246" t="s">
        <v>52</v>
      </c>
      <c r="M246" s="2">
        <v>0</v>
      </c>
      <c r="N246" s="2">
        <v>175</v>
      </c>
      <c r="O246">
        <v>1</v>
      </c>
      <c r="P246" s="2">
        <v>175</v>
      </c>
      <c r="R246" t="s">
        <v>2447</v>
      </c>
    </row>
    <row r="247" spans="1:18" x14ac:dyDescent="0.25">
      <c r="A247" s="4" t="s">
        <v>2000</v>
      </c>
      <c r="B247" s="4" t="str">
        <f t="shared" si="6"/>
        <v>00024304531KOVR</v>
      </c>
      <c r="C247" t="s">
        <v>398</v>
      </c>
      <c r="D247" t="s">
        <v>46</v>
      </c>
      <c r="E247">
        <v>20411454</v>
      </c>
      <c r="F247" t="s">
        <v>2477</v>
      </c>
      <c r="G247" t="s">
        <v>49</v>
      </c>
      <c r="H247" t="s">
        <v>58</v>
      </c>
      <c r="I247" s="1">
        <v>46023</v>
      </c>
      <c r="J247" s="1">
        <v>46054</v>
      </c>
      <c r="K247" t="s">
        <v>51</v>
      </c>
      <c r="L247" t="s">
        <v>52</v>
      </c>
      <c r="M247" s="2">
        <v>0</v>
      </c>
      <c r="N247" s="2">
        <v>175</v>
      </c>
      <c r="O247">
        <v>1</v>
      </c>
      <c r="P247" s="2">
        <v>175</v>
      </c>
      <c r="R247" t="s">
        <v>2447</v>
      </c>
    </row>
    <row r="248" spans="1:18" x14ac:dyDescent="0.25">
      <c r="A248" s="4" t="s">
        <v>2001</v>
      </c>
      <c r="B248" s="4" t="str">
        <f t="shared" si="6"/>
        <v>00024577313KOVR</v>
      </c>
      <c r="C248" t="s">
        <v>400</v>
      </c>
      <c r="D248" t="s">
        <v>46</v>
      </c>
      <c r="E248">
        <v>20411454</v>
      </c>
      <c r="F248" t="s">
        <v>2477</v>
      </c>
      <c r="G248" t="s">
        <v>49</v>
      </c>
      <c r="H248" t="s">
        <v>58</v>
      </c>
      <c r="I248" s="1">
        <v>46023</v>
      </c>
      <c r="J248" s="1">
        <v>46054</v>
      </c>
      <c r="K248" t="s">
        <v>51</v>
      </c>
      <c r="L248" t="s">
        <v>52</v>
      </c>
      <c r="M248" s="2">
        <v>0</v>
      </c>
      <c r="N248" s="2">
        <v>175</v>
      </c>
      <c r="O248">
        <v>1</v>
      </c>
      <c r="P248" s="2">
        <v>175</v>
      </c>
      <c r="R248" t="s">
        <v>2447</v>
      </c>
    </row>
    <row r="249" spans="1:18" x14ac:dyDescent="0.25">
      <c r="A249" s="4" t="s">
        <v>2002</v>
      </c>
      <c r="B249" s="4" t="str">
        <f t="shared" si="6"/>
        <v>00025251694KOVR</v>
      </c>
      <c r="C249" t="s">
        <v>402</v>
      </c>
      <c r="D249" t="s">
        <v>403</v>
      </c>
      <c r="E249">
        <v>20411454</v>
      </c>
      <c r="F249" t="s">
        <v>2477</v>
      </c>
      <c r="G249" t="s">
        <v>49</v>
      </c>
      <c r="H249" t="s">
        <v>58</v>
      </c>
      <c r="I249" s="1">
        <v>46023</v>
      </c>
      <c r="J249" s="1">
        <v>46054</v>
      </c>
      <c r="K249" t="s">
        <v>51</v>
      </c>
      <c r="L249" t="s">
        <v>52</v>
      </c>
      <c r="M249" s="2">
        <v>0</v>
      </c>
      <c r="N249" s="2">
        <v>175</v>
      </c>
      <c r="O249">
        <v>1</v>
      </c>
      <c r="P249" s="2">
        <v>175</v>
      </c>
      <c r="R249" t="s">
        <v>2447</v>
      </c>
    </row>
    <row r="250" spans="1:18" x14ac:dyDescent="0.25">
      <c r="A250" s="4" t="s">
        <v>2003</v>
      </c>
      <c r="B250" s="4" t="str">
        <f t="shared" si="6"/>
        <v>00025293389KOVR</v>
      </c>
      <c r="C250" t="s">
        <v>407</v>
      </c>
      <c r="D250" t="s">
        <v>46</v>
      </c>
      <c r="E250">
        <v>20411454</v>
      </c>
      <c r="F250" t="s">
        <v>2477</v>
      </c>
      <c r="G250" t="s">
        <v>49</v>
      </c>
      <c r="H250" t="s">
        <v>58</v>
      </c>
      <c r="I250" s="1">
        <v>46023</v>
      </c>
      <c r="J250" s="1">
        <v>46054</v>
      </c>
      <c r="K250" t="s">
        <v>51</v>
      </c>
      <c r="L250" t="s">
        <v>52</v>
      </c>
      <c r="M250" s="2">
        <v>0</v>
      </c>
      <c r="N250" s="2">
        <v>175</v>
      </c>
      <c r="O250">
        <v>1</v>
      </c>
      <c r="P250" s="2">
        <v>175</v>
      </c>
      <c r="R250" t="s">
        <v>2447</v>
      </c>
    </row>
    <row r="251" spans="1:18" x14ac:dyDescent="0.25">
      <c r="A251" s="4" t="s">
        <v>2004</v>
      </c>
      <c r="B251" s="4" t="str">
        <f t="shared" si="6"/>
        <v>00025294205KOVR</v>
      </c>
      <c r="C251" t="s">
        <v>409</v>
      </c>
      <c r="D251" t="s">
        <v>46</v>
      </c>
      <c r="E251">
        <v>20411454</v>
      </c>
      <c r="F251" t="s">
        <v>2477</v>
      </c>
      <c r="G251" t="s">
        <v>49</v>
      </c>
      <c r="H251" t="s">
        <v>58</v>
      </c>
      <c r="I251" s="1">
        <v>46023</v>
      </c>
      <c r="J251" s="1">
        <v>46054</v>
      </c>
      <c r="K251" t="s">
        <v>51</v>
      </c>
      <c r="L251" t="s">
        <v>52</v>
      </c>
      <c r="M251" s="2">
        <v>0</v>
      </c>
      <c r="N251" s="2">
        <v>175</v>
      </c>
      <c r="O251">
        <v>1</v>
      </c>
      <c r="P251" s="2">
        <v>175</v>
      </c>
      <c r="R251" t="s">
        <v>2447</v>
      </c>
    </row>
    <row r="252" spans="1:18" x14ac:dyDescent="0.25">
      <c r="A252" s="4" t="s">
        <v>2005</v>
      </c>
      <c r="B252" s="4" t="str">
        <f t="shared" si="6"/>
        <v>00025302973KOVR</v>
      </c>
      <c r="C252" t="s">
        <v>411</v>
      </c>
      <c r="D252" t="s">
        <v>46</v>
      </c>
      <c r="E252">
        <v>20411454</v>
      </c>
      <c r="F252" t="s">
        <v>2477</v>
      </c>
      <c r="G252" t="s">
        <v>49</v>
      </c>
      <c r="H252" t="s">
        <v>58</v>
      </c>
      <c r="I252" s="1">
        <v>46023</v>
      </c>
      <c r="J252" s="1">
        <v>46054</v>
      </c>
      <c r="K252" t="s">
        <v>51</v>
      </c>
      <c r="L252" t="s">
        <v>52</v>
      </c>
      <c r="M252" s="2">
        <v>0</v>
      </c>
      <c r="N252" s="2">
        <v>175</v>
      </c>
      <c r="O252">
        <v>1</v>
      </c>
      <c r="P252" s="2">
        <v>175</v>
      </c>
      <c r="R252" t="s">
        <v>2447</v>
      </c>
    </row>
    <row r="253" spans="1:18" x14ac:dyDescent="0.25">
      <c r="A253" s="4" t="s">
        <v>2007</v>
      </c>
      <c r="B253" s="4" t="str">
        <f t="shared" si="6"/>
        <v>00025306587KOVR</v>
      </c>
      <c r="C253" t="s">
        <v>415</v>
      </c>
      <c r="D253" t="s">
        <v>46</v>
      </c>
      <c r="E253">
        <v>20411454</v>
      </c>
      <c r="F253" t="s">
        <v>2477</v>
      </c>
      <c r="G253" t="s">
        <v>49</v>
      </c>
      <c r="H253" t="s">
        <v>58</v>
      </c>
      <c r="I253" s="1">
        <v>46023</v>
      </c>
      <c r="J253" s="1">
        <v>46054</v>
      </c>
      <c r="K253" t="s">
        <v>51</v>
      </c>
      <c r="L253" t="s">
        <v>52</v>
      </c>
      <c r="M253" s="2">
        <v>0</v>
      </c>
      <c r="N253" s="2">
        <v>175</v>
      </c>
      <c r="O253">
        <v>1</v>
      </c>
      <c r="P253" s="2">
        <v>175</v>
      </c>
      <c r="R253" t="s">
        <v>2447</v>
      </c>
    </row>
    <row r="254" spans="1:18" x14ac:dyDescent="0.25">
      <c r="A254" s="4" t="s">
        <v>2008</v>
      </c>
      <c r="B254" s="4" t="str">
        <f t="shared" si="6"/>
        <v>00025313880KOVR</v>
      </c>
      <c r="C254" t="s">
        <v>417</v>
      </c>
      <c r="D254" t="s">
        <v>46</v>
      </c>
      <c r="E254">
        <v>20411454</v>
      </c>
      <c r="F254" t="s">
        <v>2477</v>
      </c>
      <c r="G254" t="s">
        <v>49</v>
      </c>
      <c r="H254" t="s">
        <v>58</v>
      </c>
      <c r="I254" s="1">
        <v>46023</v>
      </c>
      <c r="J254" s="1">
        <v>46054</v>
      </c>
      <c r="K254" t="s">
        <v>51</v>
      </c>
      <c r="L254" t="s">
        <v>52</v>
      </c>
      <c r="M254" s="2">
        <v>0</v>
      </c>
      <c r="N254" s="2">
        <v>175</v>
      </c>
      <c r="O254">
        <v>1</v>
      </c>
      <c r="P254" s="2">
        <v>175</v>
      </c>
      <c r="R254" t="s">
        <v>2447</v>
      </c>
    </row>
    <row r="255" spans="1:18" x14ac:dyDescent="0.25">
      <c r="A255" s="4" t="s">
        <v>2009</v>
      </c>
      <c r="B255" s="4" t="str">
        <f t="shared" si="6"/>
        <v>00025315948KOVR</v>
      </c>
      <c r="C255" t="s">
        <v>419</v>
      </c>
      <c r="D255" t="s">
        <v>46</v>
      </c>
      <c r="E255">
        <v>20411454</v>
      </c>
      <c r="F255" t="s">
        <v>2477</v>
      </c>
      <c r="G255" t="s">
        <v>49</v>
      </c>
      <c r="H255" t="s">
        <v>58</v>
      </c>
      <c r="I255" s="1">
        <v>46023</v>
      </c>
      <c r="J255" s="1">
        <v>46054</v>
      </c>
      <c r="K255" t="s">
        <v>51</v>
      </c>
      <c r="L255" t="s">
        <v>52</v>
      </c>
      <c r="M255" s="2">
        <v>0</v>
      </c>
      <c r="N255" s="2">
        <v>175</v>
      </c>
      <c r="O255">
        <v>1</v>
      </c>
      <c r="P255" s="2">
        <v>175</v>
      </c>
      <c r="R255" t="s">
        <v>2447</v>
      </c>
    </row>
    <row r="256" spans="1:18" x14ac:dyDescent="0.25">
      <c r="A256" s="4" t="s">
        <v>2010</v>
      </c>
      <c r="B256" s="4" t="str">
        <f t="shared" si="6"/>
        <v>00025316571KOVR</v>
      </c>
      <c r="C256" t="s">
        <v>421</v>
      </c>
      <c r="D256" t="s">
        <v>46</v>
      </c>
      <c r="E256">
        <v>20411454</v>
      </c>
      <c r="F256" t="s">
        <v>2477</v>
      </c>
      <c r="G256" t="s">
        <v>49</v>
      </c>
      <c r="H256" t="s">
        <v>58</v>
      </c>
      <c r="I256" s="1">
        <v>46023</v>
      </c>
      <c r="J256" s="1">
        <v>46054</v>
      </c>
      <c r="K256" t="s">
        <v>51</v>
      </c>
      <c r="L256" t="s">
        <v>52</v>
      </c>
      <c r="M256" s="2">
        <v>0</v>
      </c>
      <c r="N256" s="2">
        <v>175</v>
      </c>
      <c r="O256">
        <v>1</v>
      </c>
      <c r="P256" s="2">
        <v>175</v>
      </c>
      <c r="R256" t="s">
        <v>2447</v>
      </c>
    </row>
    <row r="257" spans="1:18" x14ac:dyDescent="0.25">
      <c r="A257" s="4" t="s">
        <v>2011</v>
      </c>
      <c r="B257" s="4" t="str">
        <f t="shared" si="6"/>
        <v>00025319542KOVR</v>
      </c>
      <c r="C257" t="s">
        <v>423</v>
      </c>
      <c r="D257" t="s">
        <v>78</v>
      </c>
      <c r="E257">
        <v>20411454</v>
      </c>
      <c r="F257" t="s">
        <v>2477</v>
      </c>
      <c r="G257" t="s">
        <v>49</v>
      </c>
      <c r="H257" t="s">
        <v>58</v>
      </c>
      <c r="I257" s="1">
        <v>46023</v>
      </c>
      <c r="J257" s="1">
        <v>46054</v>
      </c>
      <c r="K257" t="s">
        <v>51</v>
      </c>
      <c r="L257" t="s">
        <v>52</v>
      </c>
      <c r="M257" s="2">
        <v>0</v>
      </c>
      <c r="N257" s="2">
        <v>175</v>
      </c>
      <c r="O257">
        <v>1</v>
      </c>
      <c r="P257" s="2">
        <v>175</v>
      </c>
      <c r="R257" t="s">
        <v>2447</v>
      </c>
    </row>
    <row r="258" spans="1:18" x14ac:dyDescent="0.25">
      <c r="A258" s="4" t="s">
        <v>2012</v>
      </c>
      <c r="B258" s="4" t="str">
        <f t="shared" si="6"/>
        <v>00025323853KOVR</v>
      </c>
      <c r="C258" t="s">
        <v>425</v>
      </c>
      <c r="D258" t="s">
        <v>46</v>
      </c>
      <c r="E258">
        <v>20411454</v>
      </c>
      <c r="F258" t="s">
        <v>2477</v>
      </c>
      <c r="G258" t="s">
        <v>49</v>
      </c>
      <c r="H258" t="s">
        <v>58</v>
      </c>
      <c r="I258" s="1">
        <v>46023</v>
      </c>
      <c r="J258" s="1">
        <v>46054</v>
      </c>
      <c r="K258" t="s">
        <v>51</v>
      </c>
      <c r="L258" t="s">
        <v>52</v>
      </c>
      <c r="M258" s="2">
        <v>0</v>
      </c>
      <c r="N258" s="2">
        <v>175</v>
      </c>
      <c r="O258">
        <v>1</v>
      </c>
      <c r="P258" s="2">
        <v>175</v>
      </c>
      <c r="R258" t="s">
        <v>2447</v>
      </c>
    </row>
    <row r="259" spans="1:18" x14ac:dyDescent="0.25">
      <c r="A259" s="4" t="s">
        <v>2014</v>
      </c>
      <c r="B259" s="4" t="str">
        <f t="shared" si="6"/>
        <v>00025331255KOVR</v>
      </c>
      <c r="C259" t="s">
        <v>429</v>
      </c>
      <c r="D259" t="s">
        <v>61</v>
      </c>
      <c r="E259">
        <v>20411454</v>
      </c>
      <c r="F259" t="s">
        <v>2477</v>
      </c>
      <c r="G259" t="s">
        <v>49</v>
      </c>
      <c r="H259" t="s">
        <v>58</v>
      </c>
      <c r="I259" s="1">
        <v>46023</v>
      </c>
      <c r="J259" s="1">
        <v>46054</v>
      </c>
      <c r="K259" t="s">
        <v>51</v>
      </c>
      <c r="L259" t="s">
        <v>52</v>
      </c>
      <c r="M259" s="2">
        <v>0</v>
      </c>
      <c r="N259" s="2">
        <v>175</v>
      </c>
      <c r="O259">
        <v>1</v>
      </c>
      <c r="P259" s="2">
        <v>175</v>
      </c>
      <c r="R259" t="s">
        <v>2447</v>
      </c>
    </row>
    <row r="260" spans="1:18" x14ac:dyDescent="0.25">
      <c r="A260" s="4" t="s">
        <v>2015</v>
      </c>
      <c r="B260" s="4" t="str">
        <f t="shared" si="6"/>
        <v>00025332430KOVR</v>
      </c>
      <c r="C260" t="s">
        <v>433</v>
      </c>
      <c r="D260" t="s">
        <v>46</v>
      </c>
      <c r="E260">
        <v>20411454</v>
      </c>
      <c r="F260" t="s">
        <v>2477</v>
      </c>
      <c r="G260" t="s">
        <v>49</v>
      </c>
      <c r="H260" t="s">
        <v>58</v>
      </c>
      <c r="I260" s="1">
        <v>46023</v>
      </c>
      <c r="J260" s="1">
        <v>46054</v>
      </c>
      <c r="K260" t="s">
        <v>51</v>
      </c>
      <c r="L260" t="s">
        <v>52</v>
      </c>
      <c r="M260" s="2">
        <v>0</v>
      </c>
      <c r="N260" s="2">
        <v>175</v>
      </c>
      <c r="O260">
        <v>1</v>
      </c>
      <c r="P260" s="2">
        <v>175</v>
      </c>
      <c r="R260" t="s">
        <v>2447</v>
      </c>
    </row>
    <row r="261" spans="1:18" x14ac:dyDescent="0.25">
      <c r="A261" s="4" t="s">
        <v>2016</v>
      </c>
      <c r="B261" s="4" t="str">
        <f t="shared" si="6"/>
        <v>00025334547KOVR</v>
      </c>
      <c r="C261" t="s">
        <v>435</v>
      </c>
      <c r="D261" t="s">
        <v>46</v>
      </c>
      <c r="E261">
        <v>20411454</v>
      </c>
      <c r="F261" t="s">
        <v>2477</v>
      </c>
      <c r="G261" t="s">
        <v>49</v>
      </c>
      <c r="H261" t="s">
        <v>58</v>
      </c>
      <c r="I261" s="1">
        <v>46023</v>
      </c>
      <c r="J261" s="1">
        <v>46054</v>
      </c>
      <c r="K261" t="s">
        <v>51</v>
      </c>
      <c r="L261" t="s">
        <v>52</v>
      </c>
      <c r="M261" s="2">
        <v>0</v>
      </c>
      <c r="N261" s="2">
        <v>175</v>
      </c>
      <c r="O261">
        <v>1</v>
      </c>
      <c r="P261" s="2">
        <v>175</v>
      </c>
      <c r="R261" t="s">
        <v>2447</v>
      </c>
    </row>
    <row r="262" spans="1:18" x14ac:dyDescent="0.25">
      <c r="A262" s="4" t="s">
        <v>2017</v>
      </c>
      <c r="B262" s="4" t="str">
        <f t="shared" si="6"/>
        <v>00025335961KOVR</v>
      </c>
      <c r="C262" t="s">
        <v>437</v>
      </c>
      <c r="D262" t="s">
        <v>87</v>
      </c>
      <c r="E262">
        <v>20411454</v>
      </c>
      <c r="F262" t="s">
        <v>2477</v>
      </c>
      <c r="G262" t="s">
        <v>49</v>
      </c>
      <c r="H262" t="s">
        <v>58</v>
      </c>
      <c r="I262" s="1">
        <v>46023</v>
      </c>
      <c r="J262" s="1">
        <v>46054</v>
      </c>
      <c r="K262" t="s">
        <v>51</v>
      </c>
      <c r="L262" t="s">
        <v>52</v>
      </c>
      <c r="M262" s="2">
        <v>0</v>
      </c>
      <c r="N262" s="2">
        <v>175</v>
      </c>
      <c r="O262">
        <v>1</v>
      </c>
      <c r="P262" s="2">
        <v>175</v>
      </c>
      <c r="R262" t="s">
        <v>2447</v>
      </c>
    </row>
    <row r="263" spans="1:18" x14ac:dyDescent="0.25">
      <c r="A263" s="4" t="s">
        <v>2018</v>
      </c>
      <c r="B263" s="4" t="str">
        <f t="shared" si="6"/>
        <v>00025342375KOVR</v>
      </c>
      <c r="C263" t="s">
        <v>439</v>
      </c>
      <c r="D263" t="s">
        <v>46</v>
      </c>
      <c r="E263">
        <v>20411454</v>
      </c>
      <c r="F263" t="s">
        <v>2477</v>
      </c>
      <c r="G263" t="s">
        <v>49</v>
      </c>
      <c r="H263" t="s">
        <v>58</v>
      </c>
      <c r="I263" s="1">
        <v>46023</v>
      </c>
      <c r="J263" s="1">
        <v>46054</v>
      </c>
      <c r="K263" t="s">
        <v>51</v>
      </c>
      <c r="L263" t="s">
        <v>52</v>
      </c>
      <c r="M263" s="2">
        <v>0</v>
      </c>
      <c r="N263" s="2">
        <v>175</v>
      </c>
      <c r="O263">
        <v>1</v>
      </c>
      <c r="P263" s="2">
        <v>175</v>
      </c>
      <c r="R263" t="s">
        <v>2447</v>
      </c>
    </row>
    <row r="264" spans="1:18" x14ac:dyDescent="0.25">
      <c r="A264" s="4" t="s">
        <v>2019</v>
      </c>
      <c r="B264" s="4" t="str">
        <f t="shared" si="6"/>
        <v>00025345966KOVR</v>
      </c>
      <c r="C264" t="s">
        <v>441</v>
      </c>
      <c r="D264" t="s">
        <v>46</v>
      </c>
      <c r="E264">
        <v>20411454</v>
      </c>
      <c r="F264" t="s">
        <v>2477</v>
      </c>
      <c r="G264" t="s">
        <v>49</v>
      </c>
      <c r="H264" t="s">
        <v>58</v>
      </c>
      <c r="I264" s="1">
        <v>46023</v>
      </c>
      <c r="J264" s="1">
        <v>46054</v>
      </c>
      <c r="K264" t="s">
        <v>51</v>
      </c>
      <c r="L264" t="s">
        <v>52</v>
      </c>
      <c r="M264" s="2">
        <v>0</v>
      </c>
      <c r="N264" s="2">
        <v>175</v>
      </c>
      <c r="O264">
        <v>1</v>
      </c>
      <c r="P264" s="2">
        <v>175</v>
      </c>
      <c r="R264" t="s">
        <v>2447</v>
      </c>
    </row>
    <row r="265" spans="1:18" x14ac:dyDescent="0.25">
      <c r="A265" s="4" t="s">
        <v>2020</v>
      </c>
      <c r="B265" s="4" t="str">
        <f t="shared" si="6"/>
        <v>00025348424KOVR</v>
      </c>
      <c r="C265" t="s">
        <v>443</v>
      </c>
      <c r="D265" t="s">
        <v>155</v>
      </c>
      <c r="E265">
        <v>20411454</v>
      </c>
      <c r="F265" t="s">
        <v>2477</v>
      </c>
      <c r="G265" t="s">
        <v>49</v>
      </c>
      <c r="H265" t="s">
        <v>58</v>
      </c>
      <c r="I265" s="1">
        <v>46023</v>
      </c>
      <c r="J265" s="1">
        <v>46054</v>
      </c>
      <c r="K265" t="s">
        <v>51</v>
      </c>
      <c r="L265" t="s">
        <v>52</v>
      </c>
      <c r="M265" s="2">
        <v>0</v>
      </c>
      <c r="N265" s="2">
        <v>175</v>
      </c>
      <c r="O265">
        <v>1</v>
      </c>
      <c r="P265" s="2">
        <v>175</v>
      </c>
      <c r="R265" t="s">
        <v>2447</v>
      </c>
    </row>
    <row r="266" spans="1:18" x14ac:dyDescent="0.25">
      <c r="A266" s="4" t="s">
        <v>2021</v>
      </c>
      <c r="B266" s="4" t="str">
        <f t="shared" si="6"/>
        <v>00025350594KOVR</v>
      </c>
      <c r="C266" t="s">
        <v>445</v>
      </c>
      <c r="D266" t="s">
        <v>46</v>
      </c>
      <c r="E266">
        <v>20411454</v>
      </c>
      <c r="F266" t="s">
        <v>2477</v>
      </c>
      <c r="G266" t="s">
        <v>49</v>
      </c>
      <c r="H266" t="s">
        <v>58</v>
      </c>
      <c r="I266" s="1">
        <v>46023</v>
      </c>
      <c r="J266" s="1">
        <v>46054</v>
      </c>
      <c r="K266" t="s">
        <v>51</v>
      </c>
      <c r="L266" t="s">
        <v>52</v>
      </c>
      <c r="M266" s="2">
        <v>0</v>
      </c>
      <c r="N266" s="2">
        <v>175</v>
      </c>
      <c r="O266">
        <v>1</v>
      </c>
      <c r="P266" s="2">
        <v>175</v>
      </c>
      <c r="R266" t="s">
        <v>2447</v>
      </c>
    </row>
    <row r="267" spans="1:18" x14ac:dyDescent="0.25">
      <c r="A267" s="4" t="s">
        <v>2022</v>
      </c>
      <c r="B267" s="4" t="str">
        <f t="shared" si="6"/>
        <v>00025351174KOVR</v>
      </c>
      <c r="C267" t="s">
        <v>447</v>
      </c>
      <c r="D267" t="s">
        <v>46</v>
      </c>
      <c r="E267">
        <v>20411454</v>
      </c>
      <c r="F267" t="s">
        <v>2477</v>
      </c>
      <c r="G267" t="s">
        <v>49</v>
      </c>
      <c r="H267" t="s">
        <v>58</v>
      </c>
      <c r="I267" s="1">
        <v>46023</v>
      </c>
      <c r="J267" s="1">
        <v>46054</v>
      </c>
      <c r="K267" t="s">
        <v>51</v>
      </c>
      <c r="L267" t="s">
        <v>52</v>
      </c>
      <c r="M267" s="2">
        <v>0</v>
      </c>
      <c r="N267" s="2">
        <v>175</v>
      </c>
      <c r="O267">
        <v>1</v>
      </c>
      <c r="P267" s="2">
        <v>175</v>
      </c>
      <c r="R267" t="s">
        <v>2447</v>
      </c>
    </row>
    <row r="268" spans="1:18" x14ac:dyDescent="0.25">
      <c r="A268" s="4" t="s">
        <v>2023</v>
      </c>
      <c r="B268" s="4" t="str">
        <f t="shared" si="6"/>
        <v>00025357502KOVR</v>
      </c>
      <c r="C268" t="s">
        <v>449</v>
      </c>
      <c r="D268" t="s">
        <v>46</v>
      </c>
      <c r="E268">
        <v>20411454</v>
      </c>
      <c r="F268" t="s">
        <v>2477</v>
      </c>
      <c r="G268" t="s">
        <v>49</v>
      </c>
      <c r="H268" t="s">
        <v>58</v>
      </c>
      <c r="I268" s="1">
        <v>46023</v>
      </c>
      <c r="J268" s="1">
        <v>46054</v>
      </c>
      <c r="K268" t="s">
        <v>51</v>
      </c>
      <c r="L268" t="s">
        <v>52</v>
      </c>
      <c r="M268" s="2">
        <v>0</v>
      </c>
      <c r="N268" s="2">
        <v>175</v>
      </c>
      <c r="O268">
        <v>1</v>
      </c>
      <c r="P268" s="2">
        <v>175</v>
      </c>
      <c r="R268" t="s">
        <v>2447</v>
      </c>
    </row>
    <row r="269" spans="1:18" x14ac:dyDescent="0.25">
      <c r="A269" s="4" t="s">
        <v>2024</v>
      </c>
      <c r="B269" s="4" t="str">
        <f t="shared" si="6"/>
        <v>00025360158KOVR</v>
      </c>
      <c r="C269" t="s">
        <v>451</v>
      </c>
      <c r="D269" t="s">
        <v>46</v>
      </c>
      <c r="E269">
        <v>20411454</v>
      </c>
      <c r="F269" t="s">
        <v>2477</v>
      </c>
      <c r="G269" t="s">
        <v>49</v>
      </c>
      <c r="H269" t="s">
        <v>58</v>
      </c>
      <c r="I269" s="1">
        <v>46023</v>
      </c>
      <c r="J269" s="1">
        <v>46054</v>
      </c>
      <c r="K269" t="s">
        <v>51</v>
      </c>
      <c r="L269" t="s">
        <v>52</v>
      </c>
      <c r="M269" s="2">
        <v>0</v>
      </c>
      <c r="N269" s="2">
        <v>175</v>
      </c>
      <c r="O269">
        <v>1</v>
      </c>
      <c r="P269" s="2">
        <v>175</v>
      </c>
      <c r="R269" t="s">
        <v>2447</v>
      </c>
    </row>
    <row r="270" spans="1:18" x14ac:dyDescent="0.25">
      <c r="A270" s="4" t="s">
        <v>2025</v>
      </c>
      <c r="B270" s="4" t="str">
        <f t="shared" ref="B270:B333" si="7">CONCATENATE(A270,"OVR")</f>
        <v>00025360893KOVR</v>
      </c>
      <c r="C270" t="s">
        <v>455</v>
      </c>
      <c r="D270" t="s">
        <v>87</v>
      </c>
      <c r="E270">
        <v>20411454</v>
      </c>
      <c r="F270" t="s">
        <v>2477</v>
      </c>
      <c r="G270" t="s">
        <v>49</v>
      </c>
      <c r="H270" t="s">
        <v>58</v>
      </c>
      <c r="I270" s="1">
        <v>46023</v>
      </c>
      <c r="J270" s="1">
        <v>46054</v>
      </c>
      <c r="K270" t="s">
        <v>51</v>
      </c>
      <c r="L270" t="s">
        <v>52</v>
      </c>
      <c r="M270" s="2">
        <v>0</v>
      </c>
      <c r="N270" s="2">
        <v>175</v>
      </c>
      <c r="O270">
        <v>1</v>
      </c>
      <c r="P270" s="2">
        <v>175</v>
      </c>
      <c r="R270" t="s">
        <v>2447</v>
      </c>
    </row>
    <row r="271" spans="1:18" x14ac:dyDescent="0.25">
      <c r="A271" s="4" t="s">
        <v>2026</v>
      </c>
      <c r="B271" s="4" t="str">
        <f t="shared" si="7"/>
        <v>00025361097KOVR</v>
      </c>
      <c r="C271" t="s">
        <v>457</v>
      </c>
      <c r="D271" t="s">
        <v>87</v>
      </c>
      <c r="E271">
        <v>20411454</v>
      </c>
      <c r="F271" t="s">
        <v>2477</v>
      </c>
      <c r="G271" t="s">
        <v>49</v>
      </c>
      <c r="H271" t="s">
        <v>58</v>
      </c>
      <c r="I271" s="1">
        <v>46023</v>
      </c>
      <c r="J271" s="1">
        <v>46054</v>
      </c>
      <c r="K271" t="s">
        <v>51</v>
      </c>
      <c r="L271" t="s">
        <v>52</v>
      </c>
      <c r="M271" s="2">
        <v>0</v>
      </c>
      <c r="N271" s="2">
        <v>175</v>
      </c>
      <c r="O271">
        <v>1</v>
      </c>
      <c r="P271" s="2">
        <v>175</v>
      </c>
      <c r="R271" t="s">
        <v>2447</v>
      </c>
    </row>
    <row r="272" spans="1:18" x14ac:dyDescent="0.25">
      <c r="A272" s="4" t="s">
        <v>2027</v>
      </c>
      <c r="B272" s="4" t="str">
        <f t="shared" si="7"/>
        <v>00025362480KOVR</v>
      </c>
      <c r="C272" t="s">
        <v>459</v>
      </c>
      <c r="D272" t="s">
        <v>46</v>
      </c>
      <c r="E272">
        <v>20411454</v>
      </c>
      <c r="F272" t="s">
        <v>2477</v>
      </c>
      <c r="G272" t="s">
        <v>49</v>
      </c>
      <c r="H272" t="s">
        <v>58</v>
      </c>
      <c r="I272" s="1">
        <v>46023</v>
      </c>
      <c r="J272" s="1">
        <v>46054</v>
      </c>
      <c r="K272" t="s">
        <v>51</v>
      </c>
      <c r="L272" t="s">
        <v>52</v>
      </c>
      <c r="M272" s="2">
        <v>0</v>
      </c>
      <c r="N272" s="2">
        <v>175</v>
      </c>
      <c r="O272">
        <v>1</v>
      </c>
      <c r="P272" s="2">
        <v>175</v>
      </c>
      <c r="R272" t="s">
        <v>2447</v>
      </c>
    </row>
    <row r="273" spans="1:18" x14ac:dyDescent="0.25">
      <c r="A273" s="4" t="s">
        <v>2028</v>
      </c>
      <c r="B273" s="4" t="str">
        <f t="shared" si="7"/>
        <v>00025362752KOVR</v>
      </c>
      <c r="C273" t="s">
        <v>461</v>
      </c>
      <c r="D273" t="s">
        <v>46</v>
      </c>
      <c r="E273">
        <v>20411454</v>
      </c>
      <c r="F273" t="s">
        <v>2477</v>
      </c>
      <c r="G273" t="s">
        <v>49</v>
      </c>
      <c r="H273" t="s">
        <v>58</v>
      </c>
      <c r="I273" s="1">
        <v>46023</v>
      </c>
      <c r="J273" s="1">
        <v>46054</v>
      </c>
      <c r="K273" t="s">
        <v>51</v>
      </c>
      <c r="L273" t="s">
        <v>52</v>
      </c>
      <c r="M273" s="2">
        <v>0</v>
      </c>
      <c r="N273" s="2">
        <v>175</v>
      </c>
      <c r="O273">
        <v>1</v>
      </c>
      <c r="P273" s="2">
        <v>175</v>
      </c>
      <c r="R273" t="s">
        <v>2447</v>
      </c>
    </row>
    <row r="274" spans="1:18" x14ac:dyDescent="0.25">
      <c r="A274" s="4" t="s">
        <v>2029</v>
      </c>
      <c r="B274" s="4" t="str">
        <f t="shared" si="7"/>
        <v>00025363760KOVR</v>
      </c>
      <c r="C274" t="s">
        <v>463</v>
      </c>
      <c r="D274" t="s">
        <v>464</v>
      </c>
      <c r="E274">
        <v>20411454</v>
      </c>
      <c r="F274" t="s">
        <v>2477</v>
      </c>
      <c r="G274" t="s">
        <v>49</v>
      </c>
      <c r="H274" t="s">
        <v>58</v>
      </c>
      <c r="I274" s="1">
        <v>46023</v>
      </c>
      <c r="J274" s="1">
        <v>46054</v>
      </c>
      <c r="K274" t="s">
        <v>51</v>
      </c>
      <c r="L274" t="s">
        <v>52</v>
      </c>
      <c r="M274" s="2">
        <v>0</v>
      </c>
      <c r="N274" s="2">
        <v>175</v>
      </c>
      <c r="O274">
        <v>1</v>
      </c>
      <c r="P274" s="2">
        <v>175</v>
      </c>
      <c r="R274" t="s">
        <v>2447</v>
      </c>
    </row>
    <row r="275" spans="1:18" x14ac:dyDescent="0.25">
      <c r="A275" s="4" t="s">
        <v>2030</v>
      </c>
      <c r="B275" s="4" t="str">
        <f t="shared" si="7"/>
        <v>00025363863KOVR</v>
      </c>
      <c r="C275" t="s">
        <v>466</v>
      </c>
      <c r="D275" t="s">
        <v>217</v>
      </c>
      <c r="E275">
        <v>20411454</v>
      </c>
      <c r="F275" t="s">
        <v>2477</v>
      </c>
      <c r="G275" t="s">
        <v>49</v>
      </c>
      <c r="H275" t="s">
        <v>58</v>
      </c>
      <c r="I275" s="1">
        <v>46023</v>
      </c>
      <c r="J275" s="1">
        <v>46054</v>
      </c>
      <c r="K275" t="s">
        <v>51</v>
      </c>
      <c r="L275" t="s">
        <v>52</v>
      </c>
      <c r="M275" s="2">
        <v>0</v>
      </c>
      <c r="N275" s="2">
        <v>175</v>
      </c>
      <c r="O275">
        <v>1</v>
      </c>
      <c r="P275" s="2">
        <v>175</v>
      </c>
      <c r="R275" t="s">
        <v>2447</v>
      </c>
    </row>
    <row r="276" spans="1:18" x14ac:dyDescent="0.25">
      <c r="A276" s="4" t="s">
        <v>2032</v>
      </c>
      <c r="B276" s="4" t="str">
        <f t="shared" si="7"/>
        <v>00025367256KOVR</v>
      </c>
      <c r="C276" t="s">
        <v>470</v>
      </c>
      <c r="D276" t="s">
        <v>46</v>
      </c>
      <c r="E276">
        <v>20411454</v>
      </c>
      <c r="F276" t="s">
        <v>2477</v>
      </c>
      <c r="G276" t="s">
        <v>49</v>
      </c>
      <c r="H276" t="s">
        <v>58</v>
      </c>
      <c r="I276" s="1">
        <v>46023</v>
      </c>
      <c r="J276" s="1">
        <v>46054</v>
      </c>
      <c r="K276" t="s">
        <v>51</v>
      </c>
      <c r="L276" t="s">
        <v>52</v>
      </c>
      <c r="M276" s="2">
        <v>0</v>
      </c>
      <c r="N276" s="2">
        <v>175</v>
      </c>
      <c r="O276">
        <v>1</v>
      </c>
      <c r="P276" s="2">
        <v>175</v>
      </c>
      <c r="R276" t="s">
        <v>2447</v>
      </c>
    </row>
    <row r="277" spans="1:18" x14ac:dyDescent="0.25">
      <c r="A277" s="4" t="s">
        <v>2033</v>
      </c>
      <c r="B277" s="4" t="str">
        <f t="shared" si="7"/>
        <v>00025370335KOVR</v>
      </c>
      <c r="C277" t="s">
        <v>472</v>
      </c>
      <c r="D277" t="s">
        <v>155</v>
      </c>
      <c r="E277">
        <v>20411454</v>
      </c>
      <c r="F277" t="s">
        <v>2477</v>
      </c>
      <c r="G277" t="s">
        <v>49</v>
      </c>
      <c r="H277" t="s">
        <v>58</v>
      </c>
      <c r="I277" s="1">
        <v>46023</v>
      </c>
      <c r="J277" s="1">
        <v>46054</v>
      </c>
      <c r="K277" t="s">
        <v>51</v>
      </c>
      <c r="L277" t="s">
        <v>52</v>
      </c>
      <c r="M277" s="2">
        <v>0</v>
      </c>
      <c r="N277" s="2">
        <v>175</v>
      </c>
      <c r="O277">
        <v>1</v>
      </c>
      <c r="P277" s="2">
        <v>175</v>
      </c>
      <c r="R277" t="s">
        <v>2447</v>
      </c>
    </row>
    <row r="278" spans="1:18" x14ac:dyDescent="0.25">
      <c r="A278" s="4" t="s">
        <v>2034</v>
      </c>
      <c r="B278" s="4" t="str">
        <f t="shared" si="7"/>
        <v>00025371719KOVR</v>
      </c>
      <c r="C278" t="s">
        <v>474</v>
      </c>
      <c r="D278" t="s">
        <v>46</v>
      </c>
      <c r="E278">
        <v>20411454</v>
      </c>
      <c r="F278" t="s">
        <v>2477</v>
      </c>
      <c r="G278" t="s">
        <v>49</v>
      </c>
      <c r="H278" t="s">
        <v>58</v>
      </c>
      <c r="I278" s="1">
        <v>46023</v>
      </c>
      <c r="J278" s="1">
        <v>46054</v>
      </c>
      <c r="K278" t="s">
        <v>51</v>
      </c>
      <c r="L278" t="s">
        <v>52</v>
      </c>
      <c r="M278" s="2">
        <v>0</v>
      </c>
      <c r="N278" s="2">
        <v>175</v>
      </c>
      <c r="O278">
        <v>1</v>
      </c>
      <c r="P278" s="2">
        <v>175</v>
      </c>
      <c r="R278" t="s">
        <v>2447</v>
      </c>
    </row>
    <row r="279" spans="1:18" x14ac:dyDescent="0.25">
      <c r="A279" s="4" t="s">
        <v>2035</v>
      </c>
      <c r="B279" s="4" t="str">
        <f t="shared" si="7"/>
        <v>00025372241KOVR</v>
      </c>
      <c r="C279" t="s">
        <v>476</v>
      </c>
      <c r="D279" t="s">
        <v>46</v>
      </c>
      <c r="E279">
        <v>20411454</v>
      </c>
      <c r="F279" t="s">
        <v>2477</v>
      </c>
      <c r="G279" t="s">
        <v>49</v>
      </c>
      <c r="H279" t="s">
        <v>58</v>
      </c>
      <c r="I279" s="1">
        <v>46023</v>
      </c>
      <c r="J279" s="1">
        <v>46054</v>
      </c>
      <c r="K279" t="s">
        <v>51</v>
      </c>
      <c r="L279" t="s">
        <v>52</v>
      </c>
      <c r="M279" s="2">
        <v>0</v>
      </c>
      <c r="N279" s="2">
        <v>175</v>
      </c>
      <c r="O279">
        <v>1</v>
      </c>
      <c r="P279" s="2">
        <v>175</v>
      </c>
      <c r="R279" t="s">
        <v>2447</v>
      </c>
    </row>
    <row r="280" spans="1:18" x14ac:dyDescent="0.25">
      <c r="A280" s="4" t="s">
        <v>2036</v>
      </c>
      <c r="B280" s="4" t="str">
        <f t="shared" si="7"/>
        <v>00025375531KOVR</v>
      </c>
      <c r="C280" t="s">
        <v>478</v>
      </c>
      <c r="D280" t="s">
        <v>46</v>
      </c>
      <c r="E280">
        <v>20411454</v>
      </c>
      <c r="F280" t="s">
        <v>2477</v>
      </c>
      <c r="G280" t="s">
        <v>49</v>
      </c>
      <c r="H280" t="s">
        <v>58</v>
      </c>
      <c r="I280" s="1">
        <v>46023</v>
      </c>
      <c r="J280" s="1">
        <v>46054</v>
      </c>
      <c r="K280" t="s">
        <v>51</v>
      </c>
      <c r="L280" t="s">
        <v>52</v>
      </c>
      <c r="M280" s="2">
        <v>0</v>
      </c>
      <c r="N280" s="2">
        <v>175</v>
      </c>
      <c r="O280">
        <v>1</v>
      </c>
      <c r="P280" s="2">
        <v>175</v>
      </c>
      <c r="R280" t="s">
        <v>2447</v>
      </c>
    </row>
    <row r="281" spans="1:18" x14ac:dyDescent="0.25">
      <c r="A281" s="4" t="s">
        <v>2037</v>
      </c>
      <c r="B281" s="4" t="str">
        <f t="shared" si="7"/>
        <v>00025376183KOVR</v>
      </c>
      <c r="C281" t="s">
        <v>482</v>
      </c>
      <c r="D281" t="s">
        <v>46</v>
      </c>
      <c r="E281">
        <v>20411454</v>
      </c>
      <c r="F281" t="s">
        <v>2477</v>
      </c>
      <c r="G281" t="s">
        <v>49</v>
      </c>
      <c r="H281" t="s">
        <v>58</v>
      </c>
      <c r="I281" s="1">
        <v>46023</v>
      </c>
      <c r="J281" s="1">
        <v>46054</v>
      </c>
      <c r="K281" t="s">
        <v>51</v>
      </c>
      <c r="L281" t="s">
        <v>52</v>
      </c>
      <c r="M281" s="2">
        <v>0</v>
      </c>
      <c r="N281" s="2">
        <v>175</v>
      </c>
      <c r="O281">
        <v>1</v>
      </c>
      <c r="P281" s="2">
        <v>175</v>
      </c>
      <c r="R281" t="s">
        <v>2447</v>
      </c>
    </row>
    <row r="282" spans="1:18" x14ac:dyDescent="0.25">
      <c r="A282" s="4" t="s">
        <v>2038</v>
      </c>
      <c r="B282" s="4" t="str">
        <f t="shared" si="7"/>
        <v>00025376423KOVR</v>
      </c>
      <c r="C282" t="s">
        <v>484</v>
      </c>
      <c r="D282" t="s">
        <v>46</v>
      </c>
      <c r="E282">
        <v>20411454</v>
      </c>
      <c r="F282" t="s">
        <v>2477</v>
      </c>
      <c r="G282" t="s">
        <v>49</v>
      </c>
      <c r="H282" t="s">
        <v>58</v>
      </c>
      <c r="I282" s="1">
        <v>46023</v>
      </c>
      <c r="J282" s="1">
        <v>46054</v>
      </c>
      <c r="K282" t="s">
        <v>51</v>
      </c>
      <c r="L282" t="s">
        <v>52</v>
      </c>
      <c r="M282" s="2">
        <v>0</v>
      </c>
      <c r="N282" s="2">
        <v>175</v>
      </c>
      <c r="O282">
        <v>1</v>
      </c>
      <c r="P282" s="2">
        <v>175</v>
      </c>
      <c r="R282" t="s">
        <v>2447</v>
      </c>
    </row>
    <row r="283" spans="1:18" x14ac:dyDescent="0.25">
      <c r="A283" s="4" t="s">
        <v>2040</v>
      </c>
      <c r="B283" s="4" t="str">
        <f t="shared" si="7"/>
        <v>00025382179KOVR</v>
      </c>
      <c r="C283" t="s">
        <v>488</v>
      </c>
      <c r="D283" t="s">
        <v>61</v>
      </c>
      <c r="E283">
        <v>20411454</v>
      </c>
      <c r="F283" t="s">
        <v>2477</v>
      </c>
      <c r="G283" t="s">
        <v>49</v>
      </c>
      <c r="H283" t="s">
        <v>58</v>
      </c>
      <c r="I283" s="1">
        <v>46023</v>
      </c>
      <c r="J283" s="1">
        <v>46054</v>
      </c>
      <c r="K283" t="s">
        <v>51</v>
      </c>
      <c r="L283" t="s">
        <v>52</v>
      </c>
      <c r="M283" s="2">
        <v>0</v>
      </c>
      <c r="N283" s="2">
        <v>175</v>
      </c>
      <c r="O283">
        <v>1</v>
      </c>
      <c r="P283" s="2">
        <v>175</v>
      </c>
      <c r="R283" t="s">
        <v>2447</v>
      </c>
    </row>
    <row r="284" spans="1:18" x14ac:dyDescent="0.25">
      <c r="A284" s="4" t="s">
        <v>2041</v>
      </c>
      <c r="B284" s="4" t="str">
        <f t="shared" si="7"/>
        <v>00025389554KOVR</v>
      </c>
      <c r="C284" t="s">
        <v>490</v>
      </c>
      <c r="D284" t="s">
        <v>491</v>
      </c>
      <c r="E284">
        <v>20411454</v>
      </c>
      <c r="F284" t="s">
        <v>2477</v>
      </c>
      <c r="G284" t="s">
        <v>49</v>
      </c>
      <c r="H284" t="s">
        <v>58</v>
      </c>
      <c r="I284" s="1">
        <v>46023</v>
      </c>
      <c r="J284" s="1">
        <v>46054</v>
      </c>
      <c r="K284" t="s">
        <v>51</v>
      </c>
      <c r="L284" t="s">
        <v>52</v>
      </c>
      <c r="M284" s="2">
        <v>0</v>
      </c>
      <c r="N284" s="2">
        <v>175</v>
      </c>
      <c r="O284">
        <v>1</v>
      </c>
      <c r="P284" s="2">
        <v>175</v>
      </c>
      <c r="R284" t="s">
        <v>2447</v>
      </c>
    </row>
    <row r="285" spans="1:18" x14ac:dyDescent="0.25">
      <c r="A285" s="4" t="s">
        <v>2043</v>
      </c>
      <c r="B285" s="4" t="str">
        <f t="shared" si="7"/>
        <v>00025390137KOVR</v>
      </c>
      <c r="C285" t="s">
        <v>498</v>
      </c>
      <c r="D285" t="s">
        <v>46</v>
      </c>
      <c r="E285">
        <v>20411454</v>
      </c>
      <c r="F285" t="s">
        <v>2477</v>
      </c>
      <c r="G285" t="s">
        <v>49</v>
      </c>
      <c r="H285" t="s">
        <v>58</v>
      </c>
      <c r="I285" s="1">
        <v>46023</v>
      </c>
      <c r="J285" s="1">
        <v>46054</v>
      </c>
      <c r="K285" t="s">
        <v>51</v>
      </c>
      <c r="L285" t="s">
        <v>52</v>
      </c>
      <c r="M285" s="2">
        <v>0</v>
      </c>
      <c r="N285" s="2">
        <v>175</v>
      </c>
      <c r="O285">
        <v>1</v>
      </c>
      <c r="P285" s="2">
        <v>175</v>
      </c>
      <c r="R285" t="s">
        <v>2447</v>
      </c>
    </row>
    <row r="286" spans="1:18" x14ac:dyDescent="0.25">
      <c r="A286" s="4" t="s">
        <v>2044</v>
      </c>
      <c r="B286" s="4" t="str">
        <f t="shared" si="7"/>
        <v>00025392491KOVR</v>
      </c>
      <c r="C286" t="s">
        <v>500</v>
      </c>
      <c r="D286" t="s">
        <v>501</v>
      </c>
      <c r="E286">
        <v>20411454</v>
      </c>
      <c r="F286" t="s">
        <v>2477</v>
      </c>
      <c r="G286" t="s">
        <v>49</v>
      </c>
      <c r="H286" t="s">
        <v>58</v>
      </c>
      <c r="I286" s="1">
        <v>46023</v>
      </c>
      <c r="J286" s="1">
        <v>46054</v>
      </c>
      <c r="K286" t="s">
        <v>51</v>
      </c>
      <c r="L286" t="s">
        <v>52</v>
      </c>
      <c r="M286" s="2">
        <v>0</v>
      </c>
      <c r="N286" s="2">
        <v>175</v>
      </c>
      <c r="O286">
        <v>1</v>
      </c>
      <c r="P286" s="2">
        <v>175</v>
      </c>
      <c r="R286" t="s">
        <v>2447</v>
      </c>
    </row>
    <row r="287" spans="1:18" x14ac:dyDescent="0.25">
      <c r="A287" s="4" t="s">
        <v>2045</v>
      </c>
      <c r="B287" s="4" t="str">
        <f t="shared" si="7"/>
        <v>00025393533KOVR</v>
      </c>
      <c r="C287" t="s">
        <v>505</v>
      </c>
      <c r="D287" t="s">
        <v>155</v>
      </c>
      <c r="E287">
        <v>20411454</v>
      </c>
      <c r="F287" t="s">
        <v>2477</v>
      </c>
      <c r="G287" t="s">
        <v>49</v>
      </c>
      <c r="H287" t="s">
        <v>58</v>
      </c>
      <c r="I287" s="1">
        <v>46023</v>
      </c>
      <c r="J287" s="1">
        <v>46054</v>
      </c>
      <c r="K287" t="s">
        <v>51</v>
      </c>
      <c r="L287" t="s">
        <v>52</v>
      </c>
      <c r="M287" s="2">
        <v>0</v>
      </c>
      <c r="N287" s="2">
        <v>175</v>
      </c>
      <c r="O287">
        <v>1</v>
      </c>
      <c r="P287" s="2">
        <v>175</v>
      </c>
      <c r="R287" t="s">
        <v>2447</v>
      </c>
    </row>
    <row r="288" spans="1:18" x14ac:dyDescent="0.25">
      <c r="A288" s="4" t="s">
        <v>2046</v>
      </c>
      <c r="B288" s="4" t="str">
        <f t="shared" si="7"/>
        <v>00025394807KOVR</v>
      </c>
      <c r="C288" t="s">
        <v>507</v>
      </c>
      <c r="D288" t="s">
        <v>87</v>
      </c>
      <c r="E288">
        <v>20411454</v>
      </c>
      <c r="F288" t="s">
        <v>2477</v>
      </c>
      <c r="G288" t="s">
        <v>49</v>
      </c>
      <c r="H288" t="s">
        <v>58</v>
      </c>
      <c r="I288" s="1">
        <v>46023</v>
      </c>
      <c r="J288" s="1">
        <v>46054</v>
      </c>
      <c r="K288" t="s">
        <v>51</v>
      </c>
      <c r="L288" t="s">
        <v>52</v>
      </c>
      <c r="M288" s="2">
        <v>0</v>
      </c>
      <c r="N288" s="2">
        <v>175</v>
      </c>
      <c r="O288">
        <v>1</v>
      </c>
      <c r="P288" s="2">
        <v>175</v>
      </c>
      <c r="R288" t="s">
        <v>2447</v>
      </c>
    </row>
    <row r="289" spans="1:18" x14ac:dyDescent="0.25">
      <c r="A289" s="4" t="s">
        <v>2047</v>
      </c>
      <c r="B289" s="4" t="str">
        <f t="shared" si="7"/>
        <v>00025394824KOVR</v>
      </c>
      <c r="C289" t="s">
        <v>509</v>
      </c>
      <c r="D289" t="s">
        <v>46</v>
      </c>
      <c r="E289">
        <v>20411454</v>
      </c>
      <c r="F289" t="s">
        <v>2477</v>
      </c>
      <c r="G289" t="s">
        <v>49</v>
      </c>
      <c r="H289" t="s">
        <v>58</v>
      </c>
      <c r="I289" s="1">
        <v>46023</v>
      </c>
      <c r="J289" s="1">
        <v>46054</v>
      </c>
      <c r="K289" t="s">
        <v>51</v>
      </c>
      <c r="L289" t="s">
        <v>52</v>
      </c>
      <c r="M289" s="2">
        <v>0</v>
      </c>
      <c r="N289" s="2">
        <v>175</v>
      </c>
      <c r="O289">
        <v>1</v>
      </c>
      <c r="P289" s="2">
        <v>175</v>
      </c>
      <c r="R289" t="s">
        <v>2447</v>
      </c>
    </row>
    <row r="290" spans="1:18" x14ac:dyDescent="0.25">
      <c r="A290" s="4" t="s">
        <v>2048</v>
      </c>
      <c r="B290" s="4" t="str">
        <f t="shared" si="7"/>
        <v>00025394960KOVR</v>
      </c>
      <c r="C290" t="s">
        <v>511</v>
      </c>
      <c r="D290" t="s">
        <v>46</v>
      </c>
      <c r="E290">
        <v>20411454</v>
      </c>
      <c r="F290" t="s">
        <v>2477</v>
      </c>
      <c r="G290" t="s">
        <v>49</v>
      </c>
      <c r="H290" t="s">
        <v>58</v>
      </c>
      <c r="I290" s="1">
        <v>46023</v>
      </c>
      <c r="J290" s="1">
        <v>46054</v>
      </c>
      <c r="K290" t="s">
        <v>51</v>
      </c>
      <c r="L290" t="s">
        <v>52</v>
      </c>
      <c r="M290" s="2">
        <v>0</v>
      </c>
      <c r="N290" s="2">
        <v>175</v>
      </c>
      <c r="O290">
        <v>1</v>
      </c>
      <c r="P290" s="2">
        <v>175</v>
      </c>
      <c r="R290" t="s">
        <v>2447</v>
      </c>
    </row>
    <row r="291" spans="1:18" x14ac:dyDescent="0.25">
      <c r="A291" s="4" t="s">
        <v>2049</v>
      </c>
      <c r="B291" s="4" t="str">
        <f t="shared" si="7"/>
        <v>00025396232KOVR</v>
      </c>
      <c r="C291" t="s">
        <v>513</v>
      </c>
      <c r="D291" t="s">
        <v>46</v>
      </c>
      <c r="E291">
        <v>20411454</v>
      </c>
      <c r="F291" t="s">
        <v>2477</v>
      </c>
      <c r="G291" t="s">
        <v>49</v>
      </c>
      <c r="H291" t="s">
        <v>58</v>
      </c>
      <c r="I291" s="1">
        <v>46023</v>
      </c>
      <c r="J291" s="1">
        <v>46054</v>
      </c>
      <c r="K291" t="s">
        <v>51</v>
      </c>
      <c r="L291" t="s">
        <v>52</v>
      </c>
      <c r="M291" s="2">
        <v>0</v>
      </c>
      <c r="N291" s="2">
        <v>175</v>
      </c>
      <c r="O291">
        <v>1</v>
      </c>
      <c r="P291" s="2">
        <v>175</v>
      </c>
      <c r="R291" t="s">
        <v>2447</v>
      </c>
    </row>
    <row r="292" spans="1:18" x14ac:dyDescent="0.25">
      <c r="A292" s="4" t="s">
        <v>2050</v>
      </c>
      <c r="B292" s="4" t="str">
        <f t="shared" si="7"/>
        <v>00025398558KOVR</v>
      </c>
      <c r="C292" t="s">
        <v>515</v>
      </c>
      <c r="D292" t="s">
        <v>46</v>
      </c>
      <c r="E292">
        <v>20411454</v>
      </c>
      <c r="F292" t="s">
        <v>2477</v>
      </c>
      <c r="G292" t="s">
        <v>49</v>
      </c>
      <c r="H292" t="s">
        <v>58</v>
      </c>
      <c r="I292" s="1">
        <v>46023</v>
      </c>
      <c r="J292" s="1">
        <v>46054</v>
      </c>
      <c r="K292" t="s">
        <v>51</v>
      </c>
      <c r="L292" t="s">
        <v>52</v>
      </c>
      <c r="M292" s="2">
        <v>0</v>
      </c>
      <c r="N292" s="2">
        <v>175</v>
      </c>
      <c r="O292">
        <v>1</v>
      </c>
      <c r="P292" s="2">
        <v>175</v>
      </c>
      <c r="R292" t="s">
        <v>2447</v>
      </c>
    </row>
    <row r="293" spans="1:18" x14ac:dyDescent="0.25">
      <c r="A293" s="4" t="s">
        <v>2051</v>
      </c>
      <c r="B293" s="4" t="str">
        <f t="shared" si="7"/>
        <v>00025398679KOVR</v>
      </c>
      <c r="C293" t="s">
        <v>517</v>
      </c>
      <c r="D293" t="s">
        <v>87</v>
      </c>
      <c r="E293">
        <v>20411454</v>
      </c>
      <c r="F293" t="s">
        <v>2477</v>
      </c>
      <c r="G293" t="s">
        <v>49</v>
      </c>
      <c r="H293" t="s">
        <v>58</v>
      </c>
      <c r="I293" s="1">
        <v>46023</v>
      </c>
      <c r="J293" s="1">
        <v>46054</v>
      </c>
      <c r="K293" t="s">
        <v>51</v>
      </c>
      <c r="L293" t="s">
        <v>52</v>
      </c>
      <c r="M293" s="2">
        <v>0</v>
      </c>
      <c r="N293" s="2">
        <v>175</v>
      </c>
      <c r="O293">
        <v>1</v>
      </c>
      <c r="P293" s="2">
        <v>175</v>
      </c>
      <c r="R293" t="s">
        <v>2447</v>
      </c>
    </row>
    <row r="294" spans="1:18" x14ac:dyDescent="0.25">
      <c r="A294" s="4" t="s">
        <v>2052</v>
      </c>
      <c r="B294" s="4" t="str">
        <f t="shared" si="7"/>
        <v>00025399591KOVR</v>
      </c>
      <c r="C294" t="s">
        <v>519</v>
      </c>
      <c r="D294" t="s">
        <v>46</v>
      </c>
      <c r="E294">
        <v>20411454</v>
      </c>
      <c r="F294" t="s">
        <v>2477</v>
      </c>
      <c r="G294" t="s">
        <v>49</v>
      </c>
      <c r="H294" t="s">
        <v>58</v>
      </c>
      <c r="I294" s="1">
        <v>46023</v>
      </c>
      <c r="J294" s="1">
        <v>46054</v>
      </c>
      <c r="K294" t="s">
        <v>51</v>
      </c>
      <c r="L294" t="s">
        <v>52</v>
      </c>
      <c r="M294" s="2">
        <v>0</v>
      </c>
      <c r="N294" s="2">
        <v>175</v>
      </c>
      <c r="O294">
        <v>1</v>
      </c>
      <c r="P294" s="2">
        <v>175</v>
      </c>
      <c r="R294" t="s">
        <v>2447</v>
      </c>
    </row>
    <row r="295" spans="1:18" x14ac:dyDescent="0.25">
      <c r="A295" s="4" t="s">
        <v>2053</v>
      </c>
      <c r="B295" s="4" t="str">
        <f t="shared" si="7"/>
        <v>00025400726KOVR</v>
      </c>
      <c r="C295" t="s">
        <v>521</v>
      </c>
      <c r="D295" t="s">
        <v>46</v>
      </c>
      <c r="E295">
        <v>20411454</v>
      </c>
      <c r="F295" t="s">
        <v>2477</v>
      </c>
      <c r="G295" t="s">
        <v>49</v>
      </c>
      <c r="H295" t="s">
        <v>58</v>
      </c>
      <c r="I295" s="1">
        <v>46023</v>
      </c>
      <c r="J295" s="1">
        <v>46054</v>
      </c>
      <c r="K295" t="s">
        <v>51</v>
      </c>
      <c r="L295" t="s">
        <v>52</v>
      </c>
      <c r="M295" s="2">
        <v>0</v>
      </c>
      <c r="N295" s="2">
        <v>175</v>
      </c>
      <c r="O295">
        <v>1</v>
      </c>
      <c r="P295" s="2">
        <v>175</v>
      </c>
      <c r="R295" t="s">
        <v>2447</v>
      </c>
    </row>
    <row r="296" spans="1:18" x14ac:dyDescent="0.25">
      <c r="A296" s="4" t="s">
        <v>2054</v>
      </c>
      <c r="B296" s="4" t="str">
        <f t="shared" si="7"/>
        <v>00025402012KOVR</v>
      </c>
      <c r="C296" t="s">
        <v>523</v>
      </c>
      <c r="D296" t="s">
        <v>46</v>
      </c>
      <c r="E296">
        <v>20411454</v>
      </c>
      <c r="F296" t="s">
        <v>2477</v>
      </c>
      <c r="G296" t="s">
        <v>49</v>
      </c>
      <c r="H296" t="s">
        <v>58</v>
      </c>
      <c r="I296" s="1">
        <v>46023</v>
      </c>
      <c r="J296" s="1">
        <v>46054</v>
      </c>
      <c r="K296" t="s">
        <v>51</v>
      </c>
      <c r="L296" t="s">
        <v>52</v>
      </c>
      <c r="M296" s="2">
        <v>0</v>
      </c>
      <c r="N296" s="2">
        <v>175</v>
      </c>
      <c r="O296">
        <v>1</v>
      </c>
      <c r="P296" s="2">
        <v>175</v>
      </c>
      <c r="R296" t="s">
        <v>2447</v>
      </c>
    </row>
    <row r="297" spans="1:18" x14ac:dyDescent="0.25">
      <c r="A297" s="4" t="s">
        <v>2055</v>
      </c>
      <c r="B297" s="4" t="str">
        <f t="shared" si="7"/>
        <v>00025404972KOVR</v>
      </c>
      <c r="C297" t="s">
        <v>525</v>
      </c>
      <c r="D297" t="s">
        <v>46</v>
      </c>
      <c r="E297">
        <v>20411454</v>
      </c>
      <c r="F297" t="s">
        <v>2477</v>
      </c>
      <c r="G297" t="s">
        <v>49</v>
      </c>
      <c r="H297" t="s">
        <v>58</v>
      </c>
      <c r="I297" s="1">
        <v>46023</v>
      </c>
      <c r="J297" s="1">
        <v>46054</v>
      </c>
      <c r="K297" t="s">
        <v>51</v>
      </c>
      <c r="L297" t="s">
        <v>52</v>
      </c>
      <c r="M297" s="2">
        <v>0</v>
      </c>
      <c r="N297" s="2">
        <v>175</v>
      </c>
      <c r="O297">
        <v>1</v>
      </c>
      <c r="P297" s="2">
        <v>175</v>
      </c>
      <c r="R297" t="s">
        <v>2447</v>
      </c>
    </row>
    <row r="298" spans="1:18" x14ac:dyDescent="0.25">
      <c r="A298" s="4" t="s">
        <v>2056</v>
      </c>
      <c r="B298" s="4" t="str">
        <f t="shared" si="7"/>
        <v>00025405747KOVR</v>
      </c>
      <c r="C298" t="s">
        <v>527</v>
      </c>
      <c r="D298" t="s">
        <v>87</v>
      </c>
      <c r="E298">
        <v>20411454</v>
      </c>
      <c r="F298" t="s">
        <v>2477</v>
      </c>
      <c r="G298" t="s">
        <v>49</v>
      </c>
      <c r="H298" t="s">
        <v>58</v>
      </c>
      <c r="I298" s="1">
        <v>46023</v>
      </c>
      <c r="J298" s="1">
        <v>46054</v>
      </c>
      <c r="K298" t="s">
        <v>51</v>
      </c>
      <c r="L298" t="s">
        <v>52</v>
      </c>
      <c r="M298" s="2">
        <v>0</v>
      </c>
      <c r="N298" s="2">
        <v>175</v>
      </c>
      <c r="O298">
        <v>1</v>
      </c>
      <c r="P298" s="2">
        <v>175</v>
      </c>
      <c r="R298" t="s">
        <v>2447</v>
      </c>
    </row>
    <row r="299" spans="1:18" x14ac:dyDescent="0.25">
      <c r="A299" s="4" t="s">
        <v>2057</v>
      </c>
      <c r="B299" s="4" t="str">
        <f t="shared" si="7"/>
        <v>00025405817KOVR</v>
      </c>
      <c r="C299" t="s">
        <v>529</v>
      </c>
      <c r="D299" t="s">
        <v>217</v>
      </c>
      <c r="E299">
        <v>20411454</v>
      </c>
      <c r="F299" t="s">
        <v>2477</v>
      </c>
      <c r="G299" t="s">
        <v>49</v>
      </c>
      <c r="H299" t="s">
        <v>58</v>
      </c>
      <c r="I299" s="1">
        <v>46023</v>
      </c>
      <c r="J299" s="1">
        <v>46054</v>
      </c>
      <c r="K299" t="s">
        <v>51</v>
      </c>
      <c r="L299" t="s">
        <v>52</v>
      </c>
      <c r="M299" s="2">
        <v>0</v>
      </c>
      <c r="N299" s="2">
        <v>175</v>
      </c>
      <c r="O299">
        <v>1</v>
      </c>
      <c r="P299" s="2">
        <v>175</v>
      </c>
      <c r="R299" t="s">
        <v>2447</v>
      </c>
    </row>
    <row r="300" spans="1:18" x14ac:dyDescent="0.25">
      <c r="A300" s="4" t="s">
        <v>2058</v>
      </c>
      <c r="B300" s="4" t="str">
        <f t="shared" si="7"/>
        <v>00025406761KOVR</v>
      </c>
      <c r="C300" t="s">
        <v>531</v>
      </c>
      <c r="D300" t="s">
        <v>87</v>
      </c>
      <c r="E300">
        <v>20411454</v>
      </c>
      <c r="F300" t="s">
        <v>2477</v>
      </c>
      <c r="G300" t="s">
        <v>49</v>
      </c>
      <c r="H300" t="s">
        <v>58</v>
      </c>
      <c r="I300" s="1">
        <v>46023</v>
      </c>
      <c r="J300" s="1">
        <v>46054</v>
      </c>
      <c r="K300" t="s">
        <v>51</v>
      </c>
      <c r="L300" t="s">
        <v>52</v>
      </c>
      <c r="M300" s="2">
        <v>0</v>
      </c>
      <c r="N300" s="2">
        <v>175</v>
      </c>
      <c r="O300">
        <v>1</v>
      </c>
      <c r="P300" s="2">
        <v>175</v>
      </c>
      <c r="R300" t="s">
        <v>2447</v>
      </c>
    </row>
    <row r="301" spans="1:18" x14ac:dyDescent="0.25">
      <c r="A301" s="4" t="s">
        <v>2059</v>
      </c>
      <c r="B301" s="4" t="str">
        <f t="shared" si="7"/>
        <v>00025409132KOVR</v>
      </c>
      <c r="C301" t="s">
        <v>533</v>
      </c>
      <c r="D301" t="s">
        <v>46</v>
      </c>
      <c r="E301">
        <v>20411454</v>
      </c>
      <c r="F301" t="s">
        <v>2477</v>
      </c>
      <c r="G301" t="s">
        <v>49</v>
      </c>
      <c r="H301" t="s">
        <v>58</v>
      </c>
      <c r="I301" s="1">
        <v>46023</v>
      </c>
      <c r="J301" s="1">
        <v>46054</v>
      </c>
      <c r="K301" t="s">
        <v>51</v>
      </c>
      <c r="L301" t="s">
        <v>52</v>
      </c>
      <c r="M301" s="2">
        <v>0</v>
      </c>
      <c r="N301" s="2">
        <v>175</v>
      </c>
      <c r="O301">
        <v>1</v>
      </c>
      <c r="P301" s="2">
        <v>175</v>
      </c>
      <c r="R301" t="s">
        <v>2447</v>
      </c>
    </row>
    <row r="302" spans="1:18" x14ac:dyDescent="0.25">
      <c r="A302" s="4" t="s">
        <v>2060</v>
      </c>
      <c r="B302" s="4" t="str">
        <f t="shared" si="7"/>
        <v>00025410716KOVR</v>
      </c>
      <c r="C302" t="s">
        <v>537</v>
      </c>
      <c r="D302" t="s">
        <v>155</v>
      </c>
      <c r="E302">
        <v>20411454</v>
      </c>
      <c r="F302" t="s">
        <v>2477</v>
      </c>
      <c r="G302" t="s">
        <v>49</v>
      </c>
      <c r="H302" t="s">
        <v>58</v>
      </c>
      <c r="I302" s="1">
        <v>46023</v>
      </c>
      <c r="J302" s="1">
        <v>46054</v>
      </c>
      <c r="K302" t="s">
        <v>51</v>
      </c>
      <c r="L302" t="s">
        <v>52</v>
      </c>
      <c r="M302" s="2">
        <v>0</v>
      </c>
      <c r="N302" s="2">
        <v>175</v>
      </c>
      <c r="O302">
        <v>1</v>
      </c>
      <c r="P302" s="2">
        <v>175</v>
      </c>
      <c r="R302" t="s">
        <v>2447</v>
      </c>
    </row>
    <row r="303" spans="1:18" x14ac:dyDescent="0.25">
      <c r="A303" s="4" t="s">
        <v>2061</v>
      </c>
      <c r="B303" s="4" t="str">
        <f t="shared" si="7"/>
        <v>00025411130KOVR</v>
      </c>
      <c r="C303" t="s">
        <v>539</v>
      </c>
      <c r="D303" t="s">
        <v>46</v>
      </c>
      <c r="E303">
        <v>20411454</v>
      </c>
      <c r="F303" t="s">
        <v>2477</v>
      </c>
      <c r="G303" t="s">
        <v>49</v>
      </c>
      <c r="H303" t="s">
        <v>58</v>
      </c>
      <c r="I303" s="1">
        <v>46023</v>
      </c>
      <c r="J303" s="1">
        <v>46054</v>
      </c>
      <c r="K303" t="s">
        <v>51</v>
      </c>
      <c r="L303" t="s">
        <v>52</v>
      </c>
      <c r="M303" s="2">
        <v>0</v>
      </c>
      <c r="N303" s="2">
        <v>175</v>
      </c>
      <c r="O303">
        <v>1</v>
      </c>
      <c r="P303" s="2">
        <v>175</v>
      </c>
      <c r="R303" t="s">
        <v>2447</v>
      </c>
    </row>
    <row r="304" spans="1:18" x14ac:dyDescent="0.25">
      <c r="A304" s="4" t="s">
        <v>2062</v>
      </c>
      <c r="B304" s="4" t="str">
        <f t="shared" si="7"/>
        <v>00025411262KOVR</v>
      </c>
      <c r="C304" t="s">
        <v>541</v>
      </c>
      <c r="D304" t="s">
        <v>46</v>
      </c>
      <c r="E304">
        <v>20411454</v>
      </c>
      <c r="F304" t="s">
        <v>2477</v>
      </c>
      <c r="G304" t="s">
        <v>49</v>
      </c>
      <c r="H304" t="s">
        <v>58</v>
      </c>
      <c r="I304" s="1">
        <v>46023</v>
      </c>
      <c r="J304" s="1">
        <v>46054</v>
      </c>
      <c r="K304" t="s">
        <v>51</v>
      </c>
      <c r="L304" t="s">
        <v>52</v>
      </c>
      <c r="M304" s="2">
        <v>0</v>
      </c>
      <c r="N304" s="2">
        <v>175</v>
      </c>
      <c r="O304">
        <v>1</v>
      </c>
      <c r="P304" s="2">
        <v>175</v>
      </c>
      <c r="R304" t="s">
        <v>2447</v>
      </c>
    </row>
    <row r="305" spans="1:18" x14ac:dyDescent="0.25">
      <c r="A305" s="4" t="s">
        <v>2063</v>
      </c>
      <c r="B305" s="4" t="str">
        <f t="shared" si="7"/>
        <v>00025412960KOVR</v>
      </c>
      <c r="C305" t="s">
        <v>543</v>
      </c>
      <c r="D305" t="s">
        <v>46</v>
      </c>
      <c r="E305">
        <v>20411454</v>
      </c>
      <c r="F305" t="s">
        <v>2477</v>
      </c>
      <c r="G305" t="s">
        <v>49</v>
      </c>
      <c r="H305" t="s">
        <v>58</v>
      </c>
      <c r="I305" s="1">
        <v>46023</v>
      </c>
      <c r="J305" s="1">
        <v>46054</v>
      </c>
      <c r="K305" t="s">
        <v>51</v>
      </c>
      <c r="L305" t="s">
        <v>52</v>
      </c>
      <c r="M305" s="2">
        <v>0</v>
      </c>
      <c r="N305" s="2">
        <v>175</v>
      </c>
      <c r="O305">
        <v>1</v>
      </c>
      <c r="P305" s="2">
        <v>175</v>
      </c>
      <c r="R305" t="s">
        <v>2447</v>
      </c>
    </row>
    <row r="306" spans="1:18" x14ac:dyDescent="0.25">
      <c r="A306" s="4" t="s">
        <v>2064</v>
      </c>
      <c r="B306" s="4" t="str">
        <f t="shared" si="7"/>
        <v>00025413802KOVR</v>
      </c>
      <c r="C306" t="s">
        <v>545</v>
      </c>
      <c r="D306" t="s">
        <v>114</v>
      </c>
      <c r="E306">
        <v>20411454</v>
      </c>
      <c r="F306" t="s">
        <v>2477</v>
      </c>
      <c r="G306" t="s">
        <v>49</v>
      </c>
      <c r="H306" t="s">
        <v>58</v>
      </c>
      <c r="I306" s="1">
        <v>46023</v>
      </c>
      <c r="J306" s="1">
        <v>46054</v>
      </c>
      <c r="K306" t="s">
        <v>51</v>
      </c>
      <c r="L306" t="s">
        <v>52</v>
      </c>
      <c r="M306" s="2">
        <v>0</v>
      </c>
      <c r="N306" s="2">
        <v>175</v>
      </c>
      <c r="O306">
        <v>1</v>
      </c>
      <c r="P306" s="2">
        <v>175</v>
      </c>
      <c r="R306" t="s">
        <v>2447</v>
      </c>
    </row>
    <row r="307" spans="1:18" x14ac:dyDescent="0.25">
      <c r="A307" s="4" t="s">
        <v>2065</v>
      </c>
      <c r="B307" s="4" t="str">
        <f t="shared" si="7"/>
        <v>00025416785KOVR</v>
      </c>
      <c r="C307" t="s">
        <v>547</v>
      </c>
      <c r="D307" t="s">
        <v>87</v>
      </c>
      <c r="E307">
        <v>20411454</v>
      </c>
      <c r="F307" t="s">
        <v>2477</v>
      </c>
      <c r="G307" t="s">
        <v>49</v>
      </c>
      <c r="H307" t="s">
        <v>58</v>
      </c>
      <c r="I307" s="1">
        <v>46023</v>
      </c>
      <c r="J307" s="1">
        <v>46054</v>
      </c>
      <c r="K307" t="s">
        <v>51</v>
      </c>
      <c r="L307" t="s">
        <v>52</v>
      </c>
      <c r="M307" s="2">
        <v>0</v>
      </c>
      <c r="N307" s="2">
        <v>175</v>
      </c>
      <c r="O307">
        <v>1</v>
      </c>
      <c r="P307" s="2">
        <v>175</v>
      </c>
      <c r="R307" t="s">
        <v>2447</v>
      </c>
    </row>
    <row r="308" spans="1:18" x14ac:dyDescent="0.25">
      <c r="A308" s="4" t="s">
        <v>2066</v>
      </c>
      <c r="B308" s="4" t="str">
        <f t="shared" si="7"/>
        <v>00025417306KOVR</v>
      </c>
      <c r="C308" t="s">
        <v>549</v>
      </c>
      <c r="D308" t="s">
        <v>114</v>
      </c>
      <c r="E308">
        <v>20411454</v>
      </c>
      <c r="F308" t="s">
        <v>2477</v>
      </c>
      <c r="G308" t="s">
        <v>49</v>
      </c>
      <c r="H308" t="s">
        <v>58</v>
      </c>
      <c r="I308" s="1">
        <v>46023</v>
      </c>
      <c r="J308" s="1">
        <v>46054</v>
      </c>
      <c r="K308" t="s">
        <v>51</v>
      </c>
      <c r="L308" t="s">
        <v>52</v>
      </c>
      <c r="M308" s="2">
        <v>0</v>
      </c>
      <c r="N308" s="2">
        <v>175</v>
      </c>
      <c r="O308">
        <v>1</v>
      </c>
      <c r="P308" s="2">
        <v>175</v>
      </c>
      <c r="R308" t="s">
        <v>2447</v>
      </c>
    </row>
    <row r="309" spans="1:18" x14ac:dyDescent="0.25">
      <c r="A309" s="4" t="s">
        <v>2067</v>
      </c>
      <c r="B309" s="4" t="str">
        <f t="shared" si="7"/>
        <v>00025418284KOVR</v>
      </c>
      <c r="C309" t="s">
        <v>551</v>
      </c>
      <c r="D309" t="s">
        <v>46</v>
      </c>
      <c r="E309">
        <v>20411454</v>
      </c>
      <c r="F309" t="s">
        <v>2477</v>
      </c>
      <c r="G309" t="s">
        <v>49</v>
      </c>
      <c r="H309" t="s">
        <v>58</v>
      </c>
      <c r="I309" s="1">
        <v>46023</v>
      </c>
      <c r="J309" s="1">
        <v>46054</v>
      </c>
      <c r="K309" t="s">
        <v>51</v>
      </c>
      <c r="L309" t="s">
        <v>52</v>
      </c>
      <c r="M309" s="2">
        <v>0</v>
      </c>
      <c r="N309" s="2">
        <v>175</v>
      </c>
      <c r="O309">
        <v>1</v>
      </c>
      <c r="P309" s="2">
        <v>175</v>
      </c>
      <c r="R309" t="s">
        <v>2447</v>
      </c>
    </row>
    <row r="310" spans="1:18" x14ac:dyDescent="0.25">
      <c r="A310" s="4" t="s">
        <v>2068</v>
      </c>
      <c r="B310" s="4" t="str">
        <f t="shared" si="7"/>
        <v>00025423537KOVR</v>
      </c>
      <c r="C310" t="s">
        <v>553</v>
      </c>
      <c r="D310" t="s">
        <v>46</v>
      </c>
      <c r="E310">
        <v>20411454</v>
      </c>
      <c r="F310" t="s">
        <v>2477</v>
      </c>
      <c r="G310" t="s">
        <v>49</v>
      </c>
      <c r="H310" t="s">
        <v>58</v>
      </c>
      <c r="I310" s="1">
        <v>46023</v>
      </c>
      <c r="J310" s="1">
        <v>46054</v>
      </c>
      <c r="K310" t="s">
        <v>51</v>
      </c>
      <c r="L310" t="s">
        <v>52</v>
      </c>
      <c r="M310" s="2">
        <v>0</v>
      </c>
      <c r="N310" s="2">
        <v>175</v>
      </c>
      <c r="O310">
        <v>1</v>
      </c>
      <c r="P310" s="2">
        <v>175</v>
      </c>
      <c r="R310" t="s">
        <v>2447</v>
      </c>
    </row>
    <row r="311" spans="1:18" x14ac:dyDescent="0.25">
      <c r="A311" s="4" t="s">
        <v>2069</v>
      </c>
      <c r="B311" s="4" t="str">
        <f t="shared" si="7"/>
        <v>00025423651KOVR</v>
      </c>
      <c r="C311" t="s">
        <v>555</v>
      </c>
      <c r="D311" t="s">
        <v>46</v>
      </c>
      <c r="E311">
        <v>20411454</v>
      </c>
      <c r="F311" t="s">
        <v>2477</v>
      </c>
      <c r="G311" t="s">
        <v>49</v>
      </c>
      <c r="H311" t="s">
        <v>58</v>
      </c>
      <c r="I311" s="1">
        <v>46023</v>
      </c>
      <c r="J311" s="1">
        <v>46054</v>
      </c>
      <c r="K311" t="s">
        <v>51</v>
      </c>
      <c r="L311" t="s">
        <v>52</v>
      </c>
      <c r="M311" s="2">
        <v>0</v>
      </c>
      <c r="N311" s="2">
        <v>175</v>
      </c>
      <c r="O311">
        <v>1</v>
      </c>
      <c r="P311" s="2">
        <v>175</v>
      </c>
      <c r="R311" t="s">
        <v>2447</v>
      </c>
    </row>
    <row r="312" spans="1:18" x14ac:dyDescent="0.25">
      <c r="A312" s="4" t="s">
        <v>2070</v>
      </c>
      <c r="B312" s="4" t="str">
        <f t="shared" si="7"/>
        <v>00025425041KOVR</v>
      </c>
      <c r="C312" t="s">
        <v>557</v>
      </c>
      <c r="D312" t="s">
        <v>46</v>
      </c>
      <c r="E312">
        <v>20411454</v>
      </c>
      <c r="F312" t="s">
        <v>2477</v>
      </c>
      <c r="G312" t="s">
        <v>49</v>
      </c>
      <c r="H312" t="s">
        <v>58</v>
      </c>
      <c r="I312" s="1">
        <v>46023</v>
      </c>
      <c r="J312" s="1">
        <v>46054</v>
      </c>
      <c r="K312" t="s">
        <v>51</v>
      </c>
      <c r="L312" t="s">
        <v>52</v>
      </c>
      <c r="M312" s="2">
        <v>0</v>
      </c>
      <c r="N312" s="2">
        <v>175</v>
      </c>
      <c r="O312">
        <v>1</v>
      </c>
      <c r="P312" s="2">
        <v>175</v>
      </c>
      <c r="R312" t="s">
        <v>2447</v>
      </c>
    </row>
    <row r="313" spans="1:18" x14ac:dyDescent="0.25">
      <c r="A313" s="4" t="s">
        <v>2071</v>
      </c>
      <c r="B313" s="4" t="str">
        <f t="shared" si="7"/>
        <v>00025427508KOVR</v>
      </c>
      <c r="C313" t="s">
        <v>559</v>
      </c>
      <c r="D313" t="s">
        <v>46</v>
      </c>
      <c r="E313">
        <v>20411454</v>
      </c>
      <c r="F313" t="s">
        <v>2477</v>
      </c>
      <c r="G313" t="s">
        <v>49</v>
      </c>
      <c r="H313" t="s">
        <v>58</v>
      </c>
      <c r="I313" s="1">
        <v>46023</v>
      </c>
      <c r="J313" s="1">
        <v>46054</v>
      </c>
      <c r="K313" t="s">
        <v>51</v>
      </c>
      <c r="L313" t="s">
        <v>52</v>
      </c>
      <c r="M313" s="2">
        <v>0</v>
      </c>
      <c r="N313" s="2">
        <v>175</v>
      </c>
      <c r="O313">
        <v>1</v>
      </c>
      <c r="P313" s="2">
        <v>175</v>
      </c>
      <c r="R313" t="s">
        <v>2447</v>
      </c>
    </row>
    <row r="314" spans="1:18" x14ac:dyDescent="0.25">
      <c r="A314" s="4" t="s">
        <v>2072</v>
      </c>
      <c r="B314" s="4" t="str">
        <f t="shared" si="7"/>
        <v>00025428736KOVR</v>
      </c>
      <c r="C314" t="s">
        <v>561</v>
      </c>
      <c r="D314" t="s">
        <v>46</v>
      </c>
      <c r="E314">
        <v>20411454</v>
      </c>
      <c r="F314" t="s">
        <v>2477</v>
      </c>
      <c r="G314" t="s">
        <v>49</v>
      </c>
      <c r="H314" t="s">
        <v>58</v>
      </c>
      <c r="I314" s="1">
        <v>46023</v>
      </c>
      <c r="J314" s="1">
        <v>46054</v>
      </c>
      <c r="K314" t="s">
        <v>51</v>
      </c>
      <c r="L314" t="s">
        <v>52</v>
      </c>
      <c r="M314" s="2">
        <v>0</v>
      </c>
      <c r="N314" s="2">
        <v>175</v>
      </c>
      <c r="O314">
        <v>1</v>
      </c>
      <c r="P314" s="2">
        <v>175</v>
      </c>
      <c r="R314" t="s">
        <v>2447</v>
      </c>
    </row>
    <row r="315" spans="1:18" x14ac:dyDescent="0.25">
      <c r="A315" s="4" t="s">
        <v>2073</v>
      </c>
      <c r="B315" s="4" t="str">
        <f t="shared" si="7"/>
        <v>00025430520KOVR</v>
      </c>
      <c r="C315" t="s">
        <v>563</v>
      </c>
      <c r="D315" t="s">
        <v>46</v>
      </c>
      <c r="E315">
        <v>20411454</v>
      </c>
      <c r="F315" t="s">
        <v>2477</v>
      </c>
      <c r="G315" t="s">
        <v>49</v>
      </c>
      <c r="H315" t="s">
        <v>58</v>
      </c>
      <c r="I315" s="1">
        <v>46023</v>
      </c>
      <c r="J315" s="1">
        <v>46054</v>
      </c>
      <c r="K315" t="s">
        <v>51</v>
      </c>
      <c r="L315" t="s">
        <v>52</v>
      </c>
      <c r="M315" s="2">
        <v>0</v>
      </c>
      <c r="N315" s="2">
        <v>175</v>
      </c>
      <c r="O315">
        <v>1</v>
      </c>
      <c r="P315" s="2">
        <v>175</v>
      </c>
      <c r="R315" t="s">
        <v>2447</v>
      </c>
    </row>
    <row r="316" spans="1:18" x14ac:dyDescent="0.25">
      <c r="A316" s="4" t="s">
        <v>2074</v>
      </c>
      <c r="B316" s="4" t="str">
        <f t="shared" si="7"/>
        <v>00025430672KOVR</v>
      </c>
      <c r="C316" t="s">
        <v>565</v>
      </c>
      <c r="D316" t="s">
        <v>46</v>
      </c>
      <c r="E316">
        <v>20411454</v>
      </c>
      <c r="F316" t="s">
        <v>2477</v>
      </c>
      <c r="G316" t="s">
        <v>49</v>
      </c>
      <c r="H316" t="s">
        <v>58</v>
      </c>
      <c r="I316" s="1">
        <v>46023</v>
      </c>
      <c r="J316" s="1">
        <v>46054</v>
      </c>
      <c r="K316" t="s">
        <v>51</v>
      </c>
      <c r="L316" t="s">
        <v>52</v>
      </c>
      <c r="M316" s="2">
        <v>0</v>
      </c>
      <c r="N316" s="2">
        <v>175</v>
      </c>
      <c r="O316">
        <v>1</v>
      </c>
      <c r="P316" s="2">
        <v>175</v>
      </c>
      <c r="R316" t="s">
        <v>2447</v>
      </c>
    </row>
    <row r="317" spans="1:18" x14ac:dyDescent="0.25">
      <c r="A317" s="4" t="s">
        <v>2075</v>
      </c>
      <c r="B317" s="4" t="str">
        <f t="shared" si="7"/>
        <v>00025430852KOVR</v>
      </c>
      <c r="C317" t="s">
        <v>567</v>
      </c>
      <c r="D317" t="s">
        <v>87</v>
      </c>
      <c r="E317">
        <v>20411454</v>
      </c>
      <c r="F317" t="s">
        <v>2477</v>
      </c>
      <c r="G317" t="s">
        <v>49</v>
      </c>
      <c r="H317" t="s">
        <v>58</v>
      </c>
      <c r="I317" s="1">
        <v>46023</v>
      </c>
      <c r="J317" s="1">
        <v>46054</v>
      </c>
      <c r="K317" t="s">
        <v>51</v>
      </c>
      <c r="L317" t="s">
        <v>52</v>
      </c>
      <c r="M317" s="2">
        <v>0</v>
      </c>
      <c r="N317" s="2">
        <v>175</v>
      </c>
      <c r="O317">
        <v>1</v>
      </c>
      <c r="P317" s="2">
        <v>175</v>
      </c>
      <c r="R317" t="s">
        <v>2447</v>
      </c>
    </row>
    <row r="318" spans="1:18" x14ac:dyDescent="0.25">
      <c r="A318" s="4" t="s">
        <v>2076</v>
      </c>
      <c r="B318" s="4" t="str">
        <f t="shared" si="7"/>
        <v>00025432004KOVR</v>
      </c>
      <c r="C318" t="s">
        <v>569</v>
      </c>
      <c r="D318" t="s">
        <v>570</v>
      </c>
      <c r="E318">
        <v>20411454</v>
      </c>
      <c r="F318" t="s">
        <v>2477</v>
      </c>
      <c r="G318" t="s">
        <v>49</v>
      </c>
      <c r="H318" t="s">
        <v>58</v>
      </c>
      <c r="I318" s="1">
        <v>46023</v>
      </c>
      <c r="J318" s="1">
        <v>46054</v>
      </c>
      <c r="K318" t="s">
        <v>51</v>
      </c>
      <c r="L318" t="s">
        <v>52</v>
      </c>
      <c r="M318" s="2">
        <v>0</v>
      </c>
      <c r="N318" s="2">
        <v>175</v>
      </c>
      <c r="O318">
        <v>1</v>
      </c>
      <c r="P318" s="2">
        <v>175</v>
      </c>
      <c r="R318" t="s">
        <v>2447</v>
      </c>
    </row>
    <row r="319" spans="1:18" x14ac:dyDescent="0.25">
      <c r="A319" s="4" t="s">
        <v>2077</v>
      </c>
      <c r="B319" s="4" t="str">
        <f t="shared" si="7"/>
        <v>00025432056KOVR</v>
      </c>
      <c r="C319" t="s">
        <v>572</v>
      </c>
      <c r="D319" t="s">
        <v>46</v>
      </c>
      <c r="E319">
        <v>20411454</v>
      </c>
      <c r="F319" t="s">
        <v>2477</v>
      </c>
      <c r="G319" t="s">
        <v>49</v>
      </c>
      <c r="H319" t="s">
        <v>58</v>
      </c>
      <c r="I319" s="1">
        <v>46023</v>
      </c>
      <c r="J319" s="1">
        <v>46054</v>
      </c>
      <c r="K319" t="s">
        <v>51</v>
      </c>
      <c r="L319" t="s">
        <v>52</v>
      </c>
      <c r="M319" s="2">
        <v>0</v>
      </c>
      <c r="N319" s="2">
        <v>175</v>
      </c>
      <c r="O319">
        <v>1</v>
      </c>
      <c r="P319" s="2">
        <v>175</v>
      </c>
      <c r="R319" t="s">
        <v>2447</v>
      </c>
    </row>
    <row r="320" spans="1:18" x14ac:dyDescent="0.25">
      <c r="A320" s="4" t="s">
        <v>2078</v>
      </c>
      <c r="B320" s="4" t="str">
        <f t="shared" si="7"/>
        <v>00025433291KOVR</v>
      </c>
      <c r="C320" t="s">
        <v>574</v>
      </c>
      <c r="D320" t="s">
        <v>46</v>
      </c>
      <c r="E320">
        <v>20411454</v>
      </c>
      <c r="F320" t="s">
        <v>2477</v>
      </c>
      <c r="G320" t="s">
        <v>49</v>
      </c>
      <c r="H320" t="s">
        <v>58</v>
      </c>
      <c r="I320" s="1">
        <v>46023</v>
      </c>
      <c r="J320" s="1">
        <v>46054</v>
      </c>
      <c r="K320" t="s">
        <v>51</v>
      </c>
      <c r="L320" t="s">
        <v>52</v>
      </c>
      <c r="M320" s="2">
        <v>0</v>
      </c>
      <c r="N320" s="2">
        <v>175</v>
      </c>
      <c r="O320">
        <v>1</v>
      </c>
      <c r="P320" s="2">
        <v>175</v>
      </c>
      <c r="R320" t="s">
        <v>2447</v>
      </c>
    </row>
    <row r="321" spans="1:18" x14ac:dyDescent="0.25">
      <c r="A321" s="4" t="s">
        <v>2079</v>
      </c>
      <c r="B321" s="4" t="str">
        <f t="shared" si="7"/>
        <v>00025435497KOVR</v>
      </c>
      <c r="C321" t="s">
        <v>576</v>
      </c>
      <c r="D321" t="s">
        <v>155</v>
      </c>
      <c r="E321">
        <v>20411454</v>
      </c>
      <c r="F321" t="s">
        <v>2477</v>
      </c>
      <c r="G321" t="s">
        <v>49</v>
      </c>
      <c r="H321" t="s">
        <v>58</v>
      </c>
      <c r="I321" s="1">
        <v>46023</v>
      </c>
      <c r="J321" s="1">
        <v>46054</v>
      </c>
      <c r="K321" t="s">
        <v>51</v>
      </c>
      <c r="L321" t="s">
        <v>52</v>
      </c>
      <c r="M321" s="2">
        <v>0</v>
      </c>
      <c r="N321" s="2">
        <v>175</v>
      </c>
      <c r="O321">
        <v>1</v>
      </c>
      <c r="P321" s="2">
        <v>175</v>
      </c>
      <c r="R321" t="s">
        <v>2447</v>
      </c>
    </row>
    <row r="322" spans="1:18" x14ac:dyDescent="0.25">
      <c r="A322" s="4" t="s">
        <v>2080</v>
      </c>
      <c r="B322" s="4" t="str">
        <f t="shared" si="7"/>
        <v>00025436084KOVR</v>
      </c>
      <c r="C322" t="s">
        <v>578</v>
      </c>
      <c r="D322" t="s">
        <v>46</v>
      </c>
      <c r="E322">
        <v>20411454</v>
      </c>
      <c r="F322" t="s">
        <v>2477</v>
      </c>
      <c r="G322" t="s">
        <v>49</v>
      </c>
      <c r="H322" t="s">
        <v>58</v>
      </c>
      <c r="I322" s="1">
        <v>46023</v>
      </c>
      <c r="J322" s="1">
        <v>46054</v>
      </c>
      <c r="K322" t="s">
        <v>51</v>
      </c>
      <c r="L322" t="s">
        <v>52</v>
      </c>
      <c r="M322" s="2">
        <v>0</v>
      </c>
      <c r="N322" s="2">
        <v>175</v>
      </c>
      <c r="O322">
        <v>1</v>
      </c>
      <c r="P322" s="2">
        <v>175</v>
      </c>
      <c r="R322" t="s">
        <v>2447</v>
      </c>
    </row>
    <row r="323" spans="1:18" x14ac:dyDescent="0.25">
      <c r="A323" s="4" t="s">
        <v>2081</v>
      </c>
      <c r="B323" s="4" t="str">
        <f t="shared" si="7"/>
        <v>00025436971KOVR</v>
      </c>
      <c r="C323" t="s">
        <v>580</v>
      </c>
      <c r="D323" t="s">
        <v>46</v>
      </c>
      <c r="E323">
        <v>20411454</v>
      </c>
      <c r="F323" t="s">
        <v>2477</v>
      </c>
      <c r="G323" t="s">
        <v>49</v>
      </c>
      <c r="H323" t="s">
        <v>58</v>
      </c>
      <c r="I323" s="1">
        <v>46023</v>
      </c>
      <c r="J323" s="1">
        <v>46054</v>
      </c>
      <c r="K323" t="s">
        <v>51</v>
      </c>
      <c r="L323" t="s">
        <v>52</v>
      </c>
      <c r="M323" s="2">
        <v>0</v>
      </c>
      <c r="N323" s="2">
        <v>175</v>
      </c>
      <c r="O323">
        <v>1</v>
      </c>
      <c r="P323" s="2">
        <v>175</v>
      </c>
      <c r="R323" t="s">
        <v>2447</v>
      </c>
    </row>
    <row r="324" spans="1:18" x14ac:dyDescent="0.25">
      <c r="A324" s="4" t="s">
        <v>2082</v>
      </c>
      <c r="B324" s="4" t="str">
        <f t="shared" si="7"/>
        <v>00025437226KOVR</v>
      </c>
      <c r="C324" t="s">
        <v>582</v>
      </c>
      <c r="D324" t="s">
        <v>46</v>
      </c>
      <c r="E324">
        <v>20411454</v>
      </c>
      <c r="F324" t="s">
        <v>2477</v>
      </c>
      <c r="G324" t="s">
        <v>49</v>
      </c>
      <c r="H324" t="s">
        <v>58</v>
      </c>
      <c r="I324" s="1">
        <v>46023</v>
      </c>
      <c r="J324" s="1">
        <v>46054</v>
      </c>
      <c r="K324" t="s">
        <v>51</v>
      </c>
      <c r="L324" t="s">
        <v>52</v>
      </c>
      <c r="M324" s="2">
        <v>0</v>
      </c>
      <c r="N324" s="2">
        <v>175</v>
      </c>
      <c r="O324">
        <v>1</v>
      </c>
      <c r="P324" s="2">
        <v>175</v>
      </c>
      <c r="R324" t="s">
        <v>2447</v>
      </c>
    </row>
    <row r="325" spans="1:18" x14ac:dyDescent="0.25">
      <c r="A325" s="4" t="s">
        <v>2083</v>
      </c>
      <c r="B325" s="4" t="str">
        <f t="shared" si="7"/>
        <v>00025437821KOVR</v>
      </c>
      <c r="C325" t="s">
        <v>584</v>
      </c>
      <c r="D325" t="s">
        <v>46</v>
      </c>
      <c r="E325">
        <v>20411454</v>
      </c>
      <c r="F325" t="s">
        <v>2477</v>
      </c>
      <c r="G325" t="s">
        <v>49</v>
      </c>
      <c r="H325" t="s">
        <v>58</v>
      </c>
      <c r="I325" s="1">
        <v>46023</v>
      </c>
      <c r="J325" s="1">
        <v>46054</v>
      </c>
      <c r="K325" t="s">
        <v>51</v>
      </c>
      <c r="L325" t="s">
        <v>52</v>
      </c>
      <c r="M325" s="2">
        <v>0</v>
      </c>
      <c r="N325" s="2">
        <v>175</v>
      </c>
      <c r="O325">
        <v>1</v>
      </c>
      <c r="P325" s="2">
        <v>175</v>
      </c>
      <c r="R325" t="s">
        <v>2447</v>
      </c>
    </row>
    <row r="326" spans="1:18" x14ac:dyDescent="0.25">
      <c r="A326" s="4" t="s">
        <v>2084</v>
      </c>
      <c r="B326" s="4" t="str">
        <f t="shared" si="7"/>
        <v>00025439660KOVR</v>
      </c>
      <c r="C326" t="s">
        <v>586</v>
      </c>
      <c r="D326" t="s">
        <v>46</v>
      </c>
      <c r="E326">
        <v>20411454</v>
      </c>
      <c r="F326" t="s">
        <v>2477</v>
      </c>
      <c r="G326" t="s">
        <v>49</v>
      </c>
      <c r="H326" t="s">
        <v>58</v>
      </c>
      <c r="I326" s="1">
        <v>46023</v>
      </c>
      <c r="J326" s="1">
        <v>46054</v>
      </c>
      <c r="K326" t="s">
        <v>51</v>
      </c>
      <c r="L326" t="s">
        <v>52</v>
      </c>
      <c r="M326" s="2">
        <v>0</v>
      </c>
      <c r="N326" s="2">
        <v>175</v>
      </c>
      <c r="O326">
        <v>1</v>
      </c>
      <c r="P326" s="2">
        <v>175</v>
      </c>
      <c r="R326" t="s">
        <v>2447</v>
      </c>
    </row>
    <row r="327" spans="1:18" x14ac:dyDescent="0.25">
      <c r="A327" s="4" t="s">
        <v>2085</v>
      </c>
      <c r="B327" s="4" t="str">
        <f t="shared" si="7"/>
        <v>00025442646KOVR</v>
      </c>
      <c r="C327" t="s">
        <v>588</v>
      </c>
      <c r="D327" t="s">
        <v>87</v>
      </c>
      <c r="E327">
        <v>20411454</v>
      </c>
      <c r="F327" t="s">
        <v>2477</v>
      </c>
      <c r="G327" t="s">
        <v>49</v>
      </c>
      <c r="H327" t="s">
        <v>58</v>
      </c>
      <c r="I327" s="1">
        <v>46023</v>
      </c>
      <c r="J327" s="1">
        <v>46054</v>
      </c>
      <c r="K327" t="s">
        <v>51</v>
      </c>
      <c r="L327" t="s">
        <v>52</v>
      </c>
      <c r="M327" s="2">
        <v>0</v>
      </c>
      <c r="N327" s="2">
        <v>175</v>
      </c>
      <c r="O327">
        <v>1</v>
      </c>
      <c r="P327" s="2">
        <v>175</v>
      </c>
      <c r="R327" t="s">
        <v>2447</v>
      </c>
    </row>
    <row r="328" spans="1:18" x14ac:dyDescent="0.25">
      <c r="A328" s="4" t="s">
        <v>2086</v>
      </c>
      <c r="B328" s="4" t="str">
        <f t="shared" si="7"/>
        <v>00025445542KOVR</v>
      </c>
      <c r="C328" t="s">
        <v>590</v>
      </c>
      <c r="D328" t="s">
        <v>61</v>
      </c>
      <c r="E328">
        <v>20411454</v>
      </c>
      <c r="F328" t="s">
        <v>2477</v>
      </c>
      <c r="G328" t="s">
        <v>49</v>
      </c>
      <c r="H328" t="s">
        <v>58</v>
      </c>
      <c r="I328" s="1">
        <v>46023</v>
      </c>
      <c r="J328" s="1">
        <v>46054</v>
      </c>
      <c r="K328" t="s">
        <v>51</v>
      </c>
      <c r="L328" t="s">
        <v>52</v>
      </c>
      <c r="M328" s="2">
        <v>0</v>
      </c>
      <c r="N328" s="2">
        <v>175</v>
      </c>
      <c r="O328">
        <v>1</v>
      </c>
      <c r="P328" s="2">
        <v>175</v>
      </c>
      <c r="R328" t="s">
        <v>2447</v>
      </c>
    </row>
    <row r="329" spans="1:18" x14ac:dyDescent="0.25">
      <c r="A329" s="4" t="s">
        <v>2087</v>
      </c>
      <c r="B329" s="4" t="str">
        <f t="shared" si="7"/>
        <v>00025445830KOVR</v>
      </c>
      <c r="C329" t="s">
        <v>592</v>
      </c>
      <c r="D329" t="s">
        <v>46</v>
      </c>
      <c r="E329">
        <v>20411454</v>
      </c>
      <c r="F329" t="s">
        <v>2477</v>
      </c>
      <c r="G329" t="s">
        <v>49</v>
      </c>
      <c r="H329" t="s">
        <v>58</v>
      </c>
      <c r="I329" s="1">
        <v>46023</v>
      </c>
      <c r="J329" s="1">
        <v>46054</v>
      </c>
      <c r="K329" t="s">
        <v>51</v>
      </c>
      <c r="L329" t="s">
        <v>52</v>
      </c>
      <c r="M329" s="2">
        <v>0</v>
      </c>
      <c r="N329" s="2">
        <v>175</v>
      </c>
      <c r="O329">
        <v>1</v>
      </c>
      <c r="P329" s="2">
        <v>175</v>
      </c>
      <c r="R329" t="s">
        <v>2447</v>
      </c>
    </row>
    <row r="330" spans="1:18" x14ac:dyDescent="0.25">
      <c r="A330" s="4" t="s">
        <v>2088</v>
      </c>
      <c r="B330" s="4" t="str">
        <f t="shared" si="7"/>
        <v>00025447006KOVR</v>
      </c>
      <c r="C330" t="s">
        <v>594</v>
      </c>
      <c r="D330" t="s">
        <v>46</v>
      </c>
      <c r="E330">
        <v>20411454</v>
      </c>
      <c r="F330" t="s">
        <v>2477</v>
      </c>
      <c r="G330" t="s">
        <v>49</v>
      </c>
      <c r="H330" t="s">
        <v>58</v>
      </c>
      <c r="I330" s="1">
        <v>46023</v>
      </c>
      <c r="J330" s="1">
        <v>46054</v>
      </c>
      <c r="K330" t="s">
        <v>51</v>
      </c>
      <c r="L330" t="s">
        <v>52</v>
      </c>
      <c r="M330" s="2">
        <v>0</v>
      </c>
      <c r="N330" s="2">
        <v>175</v>
      </c>
      <c r="O330">
        <v>1</v>
      </c>
      <c r="P330" s="2">
        <v>175</v>
      </c>
      <c r="R330" t="s">
        <v>2447</v>
      </c>
    </row>
    <row r="331" spans="1:18" x14ac:dyDescent="0.25">
      <c r="A331" s="4" t="s">
        <v>2089</v>
      </c>
      <c r="B331" s="4" t="str">
        <f t="shared" si="7"/>
        <v>00025452431KOVR</v>
      </c>
      <c r="C331" t="s">
        <v>596</v>
      </c>
      <c r="D331" t="s">
        <v>46</v>
      </c>
      <c r="E331">
        <v>20411454</v>
      </c>
      <c r="F331" t="s">
        <v>2477</v>
      </c>
      <c r="G331" t="s">
        <v>49</v>
      </c>
      <c r="H331" t="s">
        <v>58</v>
      </c>
      <c r="I331" s="1">
        <v>46023</v>
      </c>
      <c r="J331" s="1">
        <v>46054</v>
      </c>
      <c r="K331" t="s">
        <v>51</v>
      </c>
      <c r="L331" t="s">
        <v>52</v>
      </c>
      <c r="M331" s="2">
        <v>0</v>
      </c>
      <c r="N331" s="2">
        <v>175</v>
      </c>
      <c r="O331">
        <v>1</v>
      </c>
      <c r="P331" s="2">
        <v>175</v>
      </c>
      <c r="R331" t="s">
        <v>2447</v>
      </c>
    </row>
    <row r="332" spans="1:18" x14ac:dyDescent="0.25">
      <c r="A332" s="4" t="s">
        <v>2090</v>
      </c>
      <c r="B332" s="4" t="str">
        <f t="shared" si="7"/>
        <v>00025458116KOVR</v>
      </c>
      <c r="C332" t="s">
        <v>598</v>
      </c>
      <c r="D332" t="s">
        <v>46</v>
      </c>
      <c r="E332">
        <v>20411454</v>
      </c>
      <c r="F332" t="s">
        <v>2477</v>
      </c>
      <c r="G332" t="s">
        <v>49</v>
      </c>
      <c r="H332" t="s">
        <v>58</v>
      </c>
      <c r="I332" s="1">
        <v>46023</v>
      </c>
      <c r="J332" s="1">
        <v>46054</v>
      </c>
      <c r="K332" t="s">
        <v>51</v>
      </c>
      <c r="L332" t="s">
        <v>52</v>
      </c>
      <c r="M332" s="2">
        <v>0</v>
      </c>
      <c r="N332" s="2">
        <v>175</v>
      </c>
      <c r="O332">
        <v>1</v>
      </c>
      <c r="P332" s="2">
        <v>175</v>
      </c>
      <c r="R332" t="s">
        <v>2447</v>
      </c>
    </row>
    <row r="333" spans="1:18" x14ac:dyDescent="0.25">
      <c r="A333" s="4" t="s">
        <v>2091</v>
      </c>
      <c r="B333" s="4" t="str">
        <f t="shared" si="7"/>
        <v>00025462092KOVR</v>
      </c>
      <c r="C333" t="s">
        <v>600</v>
      </c>
      <c r="D333" t="s">
        <v>46</v>
      </c>
      <c r="E333">
        <v>20411454</v>
      </c>
      <c r="F333" t="s">
        <v>2477</v>
      </c>
      <c r="G333" t="s">
        <v>49</v>
      </c>
      <c r="H333" t="s">
        <v>58</v>
      </c>
      <c r="I333" s="1">
        <v>46023</v>
      </c>
      <c r="J333" s="1">
        <v>46054</v>
      </c>
      <c r="K333" t="s">
        <v>51</v>
      </c>
      <c r="L333" t="s">
        <v>52</v>
      </c>
      <c r="M333" s="2">
        <v>0</v>
      </c>
      <c r="N333" s="2">
        <v>175</v>
      </c>
      <c r="O333">
        <v>1</v>
      </c>
      <c r="P333" s="2">
        <v>175</v>
      </c>
      <c r="R333" t="s">
        <v>2447</v>
      </c>
    </row>
    <row r="334" spans="1:18" x14ac:dyDescent="0.25">
      <c r="A334" s="4" t="s">
        <v>2092</v>
      </c>
      <c r="B334" s="4" t="str">
        <f t="shared" ref="B334:B397" si="8">CONCATENATE(A334,"OVR")</f>
        <v>00025464245KOVR</v>
      </c>
      <c r="C334" t="s">
        <v>604</v>
      </c>
      <c r="D334" t="s">
        <v>87</v>
      </c>
      <c r="E334">
        <v>20411454</v>
      </c>
      <c r="F334" t="s">
        <v>2477</v>
      </c>
      <c r="G334" t="s">
        <v>49</v>
      </c>
      <c r="H334" t="s">
        <v>58</v>
      </c>
      <c r="I334" s="1">
        <v>46023</v>
      </c>
      <c r="J334" s="1">
        <v>46054</v>
      </c>
      <c r="K334" t="s">
        <v>51</v>
      </c>
      <c r="L334" t="s">
        <v>52</v>
      </c>
      <c r="M334" s="2">
        <v>0</v>
      </c>
      <c r="N334" s="2">
        <v>175</v>
      </c>
      <c r="O334">
        <v>1</v>
      </c>
      <c r="P334" s="2">
        <v>175</v>
      </c>
      <c r="R334" t="s">
        <v>2447</v>
      </c>
    </row>
    <row r="335" spans="1:18" x14ac:dyDescent="0.25">
      <c r="A335" s="4" t="s">
        <v>2093</v>
      </c>
      <c r="B335" s="4" t="str">
        <f t="shared" si="8"/>
        <v>00025465238KOVR</v>
      </c>
      <c r="C335" t="s">
        <v>606</v>
      </c>
      <c r="D335" t="s">
        <v>491</v>
      </c>
      <c r="E335">
        <v>20411454</v>
      </c>
      <c r="F335" t="s">
        <v>2477</v>
      </c>
      <c r="G335" t="s">
        <v>49</v>
      </c>
      <c r="H335" t="s">
        <v>58</v>
      </c>
      <c r="I335" s="1">
        <v>46023</v>
      </c>
      <c r="J335" s="1">
        <v>46054</v>
      </c>
      <c r="K335" t="s">
        <v>51</v>
      </c>
      <c r="L335" t="s">
        <v>52</v>
      </c>
      <c r="M335" s="2">
        <v>0</v>
      </c>
      <c r="N335" s="2">
        <v>175</v>
      </c>
      <c r="O335">
        <v>1</v>
      </c>
      <c r="P335" s="2">
        <v>175</v>
      </c>
      <c r="R335" t="s">
        <v>2447</v>
      </c>
    </row>
    <row r="336" spans="1:18" x14ac:dyDescent="0.25">
      <c r="A336" s="4" t="s">
        <v>2094</v>
      </c>
      <c r="B336" s="4" t="str">
        <f t="shared" si="8"/>
        <v>00025469627KOVR</v>
      </c>
      <c r="C336" t="s">
        <v>610</v>
      </c>
      <c r="D336" t="s">
        <v>46</v>
      </c>
      <c r="E336">
        <v>20411454</v>
      </c>
      <c r="F336" t="s">
        <v>2477</v>
      </c>
      <c r="G336" t="s">
        <v>49</v>
      </c>
      <c r="H336" t="s">
        <v>58</v>
      </c>
      <c r="I336" s="1">
        <v>46023</v>
      </c>
      <c r="J336" s="1">
        <v>46054</v>
      </c>
      <c r="K336" t="s">
        <v>51</v>
      </c>
      <c r="L336" t="s">
        <v>52</v>
      </c>
      <c r="M336" s="2">
        <v>0</v>
      </c>
      <c r="N336" s="2">
        <v>175</v>
      </c>
      <c r="O336">
        <v>1</v>
      </c>
      <c r="P336" s="2">
        <v>175</v>
      </c>
      <c r="R336" t="s">
        <v>2447</v>
      </c>
    </row>
    <row r="337" spans="1:18" x14ac:dyDescent="0.25">
      <c r="A337" s="4" t="s">
        <v>2095</v>
      </c>
      <c r="B337" s="4" t="str">
        <f t="shared" si="8"/>
        <v>00025471647KOVR</v>
      </c>
      <c r="C337" t="s">
        <v>612</v>
      </c>
      <c r="D337" t="s">
        <v>189</v>
      </c>
      <c r="E337">
        <v>20411454</v>
      </c>
      <c r="F337" t="s">
        <v>2477</v>
      </c>
      <c r="G337" t="s">
        <v>49</v>
      </c>
      <c r="H337" t="s">
        <v>58</v>
      </c>
      <c r="I337" s="1">
        <v>46023</v>
      </c>
      <c r="J337" s="1">
        <v>46054</v>
      </c>
      <c r="K337" t="s">
        <v>51</v>
      </c>
      <c r="L337" t="s">
        <v>52</v>
      </c>
      <c r="M337" s="2">
        <v>0</v>
      </c>
      <c r="N337" s="2">
        <v>175</v>
      </c>
      <c r="O337">
        <v>1</v>
      </c>
      <c r="P337" s="2">
        <v>175</v>
      </c>
      <c r="R337" t="s">
        <v>2447</v>
      </c>
    </row>
    <row r="338" spans="1:18" x14ac:dyDescent="0.25">
      <c r="A338" s="4" t="s">
        <v>2096</v>
      </c>
      <c r="B338" s="4" t="str">
        <f t="shared" si="8"/>
        <v>00025473229KOVR</v>
      </c>
      <c r="C338" t="s">
        <v>614</v>
      </c>
      <c r="D338" t="s">
        <v>155</v>
      </c>
      <c r="E338">
        <v>20411454</v>
      </c>
      <c r="F338" t="s">
        <v>2477</v>
      </c>
      <c r="G338" t="s">
        <v>49</v>
      </c>
      <c r="H338" t="s">
        <v>58</v>
      </c>
      <c r="I338" s="1">
        <v>46023</v>
      </c>
      <c r="J338" s="1">
        <v>46054</v>
      </c>
      <c r="K338" t="s">
        <v>51</v>
      </c>
      <c r="L338" t="s">
        <v>52</v>
      </c>
      <c r="M338" s="2">
        <v>0</v>
      </c>
      <c r="N338" s="2">
        <v>175</v>
      </c>
      <c r="O338">
        <v>1</v>
      </c>
      <c r="P338" s="2">
        <v>175</v>
      </c>
      <c r="R338" t="s">
        <v>2447</v>
      </c>
    </row>
    <row r="339" spans="1:18" x14ac:dyDescent="0.25">
      <c r="A339" s="4" t="s">
        <v>2097</v>
      </c>
      <c r="B339" s="4" t="str">
        <f t="shared" si="8"/>
        <v>00025479351KOVR</v>
      </c>
      <c r="C339" t="s">
        <v>616</v>
      </c>
      <c r="D339" t="s">
        <v>501</v>
      </c>
      <c r="E339">
        <v>20411454</v>
      </c>
      <c r="F339" t="s">
        <v>2477</v>
      </c>
      <c r="G339" t="s">
        <v>49</v>
      </c>
      <c r="H339" t="s">
        <v>58</v>
      </c>
      <c r="I339" s="1">
        <v>46023</v>
      </c>
      <c r="J339" s="1">
        <v>46054</v>
      </c>
      <c r="K339" t="s">
        <v>51</v>
      </c>
      <c r="L339" t="s">
        <v>52</v>
      </c>
      <c r="M339" s="2">
        <v>0</v>
      </c>
      <c r="N339" s="2">
        <v>175</v>
      </c>
      <c r="O339">
        <v>1</v>
      </c>
      <c r="P339" s="2">
        <v>175</v>
      </c>
      <c r="R339" t="s">
        <v>2447</v>
      </c>
    </row>
    <row r="340" spans="1:18" x14ac:dyDescent="0.25">
      <c r="A340" s="4" t="s">
        <v>2098</v>
      </c>
      <c r="B340" s="4" t="str">
        <f t="shared" si="8"/>
        <v>00025482364KOVR</v>
      </c>
      <c r="C340" t="s">
        <v>620</v>
      </c>
      <c r="D340" t="s">
        <v>305</v>
      </c>
      <c r="E340">
        <v>20411454</v>
      </c>
      <c r="F340" t="s">
        <v>2477</v>
      </c>
      <c r="G340" t="s">
        <v>49</v>
      </c>
      <c r="H340" t="s">
        <v>58</v>
      </c>
      <c r="I340" s="1">
        <v>46023</v>
      </c>
      <c r="J340" s="1">
        <v>46054</v>
      </c>
      <c r="K340" t="s">
        <v>51</v>
      </c>
      <c r="L340" t="s">
        <v>52</v>
      </c>
      <c r="M340" s="2">
        <v>0</v>
      </c>
      <c r="N340" s="2">
        <v>175</v>
      </c>
      <c r="O340">
        <v>1</v>
      </c>
      <c r="P340" s="2">
        <v>175</v>
      </c>
      <c r="R340" t="s">
        <v>2447</v>
      </c>
    </row>
    <row r="341" spans="1:18" x14ac:dyDescent="0.25">
      <c r="A341" s="4" t="s">
        <v>2099</v>
      </c>
      <c r="B341" s="4" t="str">
        <f t="shared" si="8"/>
        <v>00025483585KOVR</v>
      </c>
      <c r="C341" t="s">
        <v>622</v>
      </c>
      <c r="D341" t="s">
        <v>46</v>
      </c>
      <c r="E341">
        <v>20411454</v>
      </c>
      <c r="F341" t="s">
        <v>2477</v>
      </c>
      <c r="G341" t="s">
        <v>49</v>
      </c>
      <c r="H341" t="s">
        <v>58</v>
      </c>
      <c r="I341" s="1">
        <v>46023</v>
      </c>
      <c r="J341" s="1">
        <v>46054</v>
      </c>
      <c r="K341" t="s">
        <v>51</v>
      </c>
      <c r="L341" t="s">
        <v>52</v>
      </c>
      <c r="M341" s="2">
        <v>0</v>
      </c>
      <c r="N341" s="2">
        <v>175</v>
      </c>
      <c r="O341">
        <v>1</v>
      </c>
      <c r="P341" s="2">
        <v>175</v>
      </c>
      <c r="R341" t="s">
        <v>2447</v>
      </c>
    </row>
    <row r="342" spans="1:18" x14ac:dyDescent="0.25">
      <c r="A342" s="4" t="s">
        <v>2100</v>
      </c>
      <c r="B342" s="4" t="str">
        <f t="shared" si="8"/>
        <v>00025486027KOVR</v>
      </c>
      <c r="C342" t="s">
        <v>624</v>
      </c>
      <c r="D342" t="s">
        <v>46</v>
      </c>
      <c r="E342">
        <v>20411454</v>
      </c>
      <c r="F342" t="s">
        <v>2477</v>
      </c>
      <c r="G342" t="s">
        <v>49</v>
      </c>
      <c r="H342" t="s">
        <v>58</v>
      </c>
      <c r="I342" s="1">
        <v>46023</v>
      </c>
      <c r="J342" s="1">
        <v>46054</v>
      </c>
      <c r="K342" t="s">
        <v>51</v>
      </c>
      <c r="L342" t="s">
        <v>52</v>
      </c>
      <c r="M342" s="2">
        <v>0</v>
      </c>
      <c r="N342" s="2">
        <v>175</v>
      </c>
      <c r="O342">
        <v>1</v>
      </c>
      <c r="P342" s="2">
        <v>175</v>
      </c>
      <c r="R342" t="s">
        <v>2447</v>
      </c>
    </row>
    <row r="343" spans="1:18" x14ac:dyDescent="0.25">
      <c r="A343" s="4" t="s">
        <v>2101</v>
      </c>
      <c r="B343" s="4" t="str">
        <f t="shared" si="8"/>
        <v>00025494474KOVR</v>
      </c>
      <c r="C343" t="s">
        <v>626</v>
      </c>
      <c r="D343" t="s">
        <v>46</v>
      </c>
      <c r="E343">
        <v>20411454</v>
      </c>
      <c r="F343" t="s">
        <v>2477</v>
      </c>
      <c r="G343" t="s">
        <v>49</v>
      </c>
      <c r="H343" t="s">
        <v>58</v>
      </c>
      <c r="I343" s="1">
        <v>46023</v>
      </c>
      <c r="J343" s="1">
        <v>46054</v>
      </c>
      <c r="K343" t="s">
        <v>51</v>
      </c>
      <c r="L343" t="s">
        <v>52</v>
      </c>
      <c r="M343" s="2">
        <v>0</v>
      </c>
      <c r="N343" s="2">
        <v>175</v>
      </c>
      <c r="O343">
        <v>1</v>
      </c>
      <c r="P343" s="2">
        <v>175</v>
      </c>
      <c r="R343" t="s">
        <v>2447</v>
      </c>
    </row>
    <row r="344" spans="1:18" x14ac:dyDescent="0.25">
      <c r="A344" s="4" t="s">
        <v>2102</v>
      </c>
      <c r="B344" s="4" t="str">
        <f t="shared" si="8"/>
        <v>00025498258KOVR</v>
      </c>
      <c r="C344" t="s">
        <v>628</v>
      </c>
      <c r="D344" t="s">
        <v>491</v>
      </c>
      <c r="E344">
        <v>20411454</v>
      </c>
      <c r="F344" t="s">
        <v>2477</v>
      </c>
      <c r="G344" t="s">
        <v>49</v>
      </c>
      <c r="H344" t="s">
        <v>58</v>
      </c>
      <c r="I344" s="1">
        <v>46023</v>
      </c>
      <c r="J344" s="1">
        <v>46054</v>
      </c>
      <c r="K344" t="s">
        <v>51</v>
      </c>
      <c r="L344" t="s">
        <v>52</v>
      </c>
      <c r="M344" s="2">
        <v>0</v>
      </c>
      <c r="N344" s="2">
        <v>175</v>
      </c>
      <c r="O344">
        <v>1</v>
      </c>
      <c r="P344" s="2">
        <v>175</v>
      </c>
      <c r="R344" t="s">
        <v>2447</v>
      </c>
    </row>
    <row r="345" spans="1:18" x14ac:dyDescent="0.25">
      <c r="A345" s="4" t="s">
        <v>2103</v>
      </c>
      <c r="B345" s="4" t="str">
        <f t="shared" si="8"/>
        <v>00025502307KOVR</v>
      </c>
      <c r="C345" t="s">
        <v>632</v>
      </c>
      <c r="D345" t="s">
        <v>87</v>
      </c>
      <c r="E345">
        <v>20411454</v>
      </c>
      <c r="F345" t="s">
        <v>2477</v>
      </c>
      <c r="G345" t="s">
        <v>49</v>
      </c>
      <c r="H345" t="s">
        <v>58</v>
      </c>
      <c r="I345" s="1">
        <v>46023</v>
      </c>
      <c r="J345" s="1">
        <v>46054</v>
      </c>
      <c r="K345" t="s">
        <v>51</v>
      </c>
      <c r="L345" t="s">
        <v>52</v>
      </c>
      <c r="M345" s="2">
        <v>0</v>
      </c>
      <c r="N345" s="2">
        <v>175</v>
      </c>
      <c r="O345">
        <v>1</v>
      </c>
      <c r="P345" s="2">
        <v>175</v>
      </c>
      <c r="R345" t="s">
        <v>2447</v>
      </c>
    </row>
    <row r="346" spans="1:18" x14ac:dyDescent="0.25">
      <c r="A346" s="4" t="s">
        <v>2104</v>
      </c>
      <c r="B346" s="4" t="str">
        <f t="shared" si="8"/>
        <v>00025503691KOVR</v>
      </c>
      <c r="C346" t="s">
        <v>634</v>
      </c>
      <c r="D346" t="s">
        <v>55</v>
      </c>
      <c r="E346">
        <v>20411454</v>
      </c>
      <c r="F346" t="s">
        <v>2477</v>
      </c>
      <c r="G346" t="s">
        <v>49</v>
      </c>
      <c r="H346" t="s">
        <v>58</v>
      </c>
      <c r="I346" s="1">
        <v>46023</v>
      </c>
      <c r="J346" s="1">
        <v>46054</v>
      </c>
      <c r="K346" t="s">
        <v>51</v>
      </c>
      <c r="L346" t="s">
        <v>52</v>
      </c>
      <c r="M346" s="2">
        <v>0</v>
      </c>
      <c r="N346" s="2">
        <v>175</v>
      </c>
      <c r="O346">
        <v>1</v>
      </c>
      <c r="P346" s="2">
        <v>175</v>
      </c>
      <c r="R346" t="s">
        <v>2447</v>
      </c>
    </row>
    <row r="347" spans="1:18" x14ac:dyDescent="0.25">
      <c r="A347" s="4" t="s">
        <v>2105</v>
      </c>
      <c r="B347" s="4" t="str">
        <f t="shared" si="8"/>
        <v>00025503797KOVR</v>
      </c>
      <c r="C347" t="s">
        <v>638</v>
      </c>
      <c r="D347" t="s">
        <v>46</v>
      </c>
      <c r="E347">
        <v>20411454</v>
      </c>
      <c r="F347" t="s">
        <v>2477</v>
      </c>
      <c r="G347" t="s">
        <v>49</v>
      </c>
      <c r="H347" t="s">
        <v>58</v>
      </c>
      <c r="I347" s="1">
        <v>46023</v>
      </c>
      <c r="J347" s="1">
        <v>46054</v>
      </c>
      <c r="K347" t="s">
        <v>51</v>
      </c>
      <c r="L347" t="s">
        <v>52</v>
      </c>
      <c r="M347" s="2">
        <v>0</v>
      </c>
      <c r="N347" s="2">
        <v>175</v>
      </c>
      <c r="O347">
        <v>1</v>
      </c>
      <c r="P347" s="2">
        <v>175</v>
      </c>
      <c r="R347" t="s">
        <v>2447</v>
      </c>
    </row>
    <row r="348" spans="1:18" x14ac:dyDescent="0.25">
      <c r="A348" s="4" t="s">
        <v>2106</v>
      </c>
      <c r="B348" s="4" t="str">
        <f t="shared" si="8"/>
        <v>00025504311KOVR</v>
      </c>
      <c r="C348" t="s">
        <v>640</v>
      </c>
      <c r="D348" t="s">
        <v>46</v>
      </c>
      <c r="E348">
        <v>20411454</v>
      </c>
      <c r="F348" t="s">
        <v>2477</v>
      </c>
      <c r="G348" t="s">
        <v>49</v>
      </c>
      <c r="H348" t="s">
        <v>58</v>
      </c>
      <c r="I348" s="1">
        <v>46023</v>
      </c>
      <c r="J348" s="1">
        <v>46054</v>
      </c>
      <c r="K348" t="s">
        <v>51</v>
      </c>
      <c r="L348" t="s">
        <v>52</v>
      </c>
      <c r="M348" s="2">
        <v>0</v>
      </c>
      <c r="N348" s="2">
        <v>175</v>
      </c>
      <c r="O348">
        <v>1</v>
      </c>
      <c r="P348" s="2">
        <v>175</v>
      </c>
      <c r="R348" t="s">
        <v>2447</v>
      </c>
    </row>
    <row r="349" spans="1:18" x14ac:dyDescent="0.25">
      <c r="A349" s="4" t="s">
        <v>2107</v>
      </c>
      <c r="B349" s="4" t="str">
        <f t="shared" si="8"/>
        <v>00025511875KOVR</v>
      </c>
      <c r="C349" t="s">
        <v>642</v>
      </c>
      <c r="D349" t="s">
        <v>155</v>
      </c>
      <c r="E349">
        <v>20411454</v>
      </c>
      <c r="F349" t="s">
        <v>2477</v>
      </c>
      <c r="G349" t="s">
        <v>49</v>
      </c>
      <c r="H349" t="s">
        <v>58</v>
      </c>
      <c r="I349" s="1">
        <v>46023</v>
      </c>
      <c r="J349" s="1">
        <v>46054</v>
      </c>
      <c r="K349" t="s">
        <v>51</v>
      </c>
      <c r="L349" t="s">
        <v>52</v>
      </c>
      <c r="M349" s="2">
        <v>0</v>
      </c>
      <c r="N349" s="2">
        <v>175</v>
      </c>
      <c r="O349">
        <v>1</v>
      </c>
      <c r="P349" s="2">
        <v>175</v>
      </c>
      <c r="R349" t="s">
        <v>2447</v>
      </c>
    </row>
    <row r="350" spans="1:18" x14ac:dyDescent="0.25">
      <c r="A350" s="4" t="s">
        <v>2108</v>
      </c>
      <c r="B350" s="4" t="str">
        <f t="shared" si="8"/>
        <v>00025513626KOVR</v>
      </c>
      <c r="C350" t="s">
        <v>644</v>
      </c>
      <c r="D350" t="s">
        <v>46</v>
      </c>
      <c r="E350">
        <v>20411454</v>
      </c>
      <c r="F350" t="s">
        <v>2477</v>
      </c>
      <c r="G350" t="s">
        <v>49</v>
      </c>
      <c r="H350" t="s">
        <v>58</v>
      </c>
      <c r="I350" s="1">
        <v>46023</v>
      </c>
      <c r="J350" s="1">
        <v>46054</v>
      </c>
      <c r="K350" t="s">
        <v>51</v>
      </c>
      <c r="L350" t="s">
        <v>52</v>
      </c>
      <c r="M350" s="2">
        <v>0</v>
      </c>
      <c r="N350" s="2">
        <v>175</v>
      </c>
      <c r="O350">
        <v>1</v>
      </c>
      <c r="P350" s="2">
        <v>175</v>
      </c>
      <c r="R350" t="s">
        <v>2447</v>
      </c>
    </row>
    <row r="351" spans="1:18" x14ac:dyDescent="0.25">
      <c r="A351" s="4" t="s">
        <v>2109</v>
      </c>
      <c r="B351" s="4" t="str">
        <f t="shared" si="8"/>
        <v>00025516942KOVR</v>
      </c>
      <c r="C351" t="s">
        <v>646</v>
      </c>
      <c r="D351" t="s">
        <v>46</v>
      </c>
      <c r="E351">
        <v>20411454</v>
      </c>
      <c r="F351" t="s">
        <v>2477</v>
      </c>
      <c r="G351" t="s">
        <v>49</v>
      </c>
      <c r="H351" t="s">
        <v>58</v>
      </c>
      <c r="I351" s="1">
        <v>46023</v>
      </c>
      <c r="J351" s="1">
        <v>46054</v>
      </c>
      <c r="K351" t="s">
        <v>51</v>
      </c>
      <c r="L351" t="s">
        <v>52</v>
      </c>
      <c r="M351" s="2">
        <v>0</v>
      </c>
      <c r="N351" s="2">
        <v>175</v>
      </c>
      <c r="O351">
        <v>1</v>
      </c>
      <c r="P351" s="2">
        <v>175</v>
      </c>
      <c r="R351" t="s">
        <v>2447</v>
      </c>
    </row>
    <row r="352" spans="1:18" x14ac:dyDescent="0.25">
      <c r="A352" s="4" t="s">
        <v>2110</v>
      </c>
      <c r="B352" s="4" t="str">
        <f t="shared" si="8"/>
        <v>00025516973KOVR</v>
      </c>
      <c r="C352" t="s">
        <v>648</v>
      </c>
      <c r="D352" t="s">
        <v>46</v>
      </c>
      <c r="E352">
        <v>20411454</v>
      </c>
      <c r="F352" t="s">
        <v>2477</v>
      </c>
      <c r="G352" t="s">
        <v>49</v>
      </c>
      <c r="H352" t="s">
        <v>58</v>
      </c>
      <c r="I352" s="1">
        <v>46023</v>
      </c>
      <c r="J352" s="1">
        <v>46054</v>
      </c>
      <c r="K352" t="s">
        <v>51</v>
      </c>
      <c r="L352" t="s">
        <v>52</v>
      </c>
      <c r="M352" s="2">
        <v>0</v>
      </c>
      <c r="N352" s="2">
        <v>175</v>
      </c>
      <c r="O352">
        <v>1</v>
      </c>
      <c r="P352" s="2">
        <v>175</v>
      </c>
      <c r="R352" t="s">
        <v>2447</v>
      </c>
    </row>
    <row r="353" spans="1:18" x14ac:dyDescent="0.25">
      <c r="A353" s="4" t="s">
        <v>2111</v>
      </c>
      <c r="B353" s="4" t="str">
        <f t="shared" si="8"/>
        <v>00025517000KOVR</v>
      </c>
      <c r="C353" t="s">
        <v>650</v>
      </c>
      <c r="D353" t="s">
        <v>46</v>
      </c>
      <c r="E353">
        <v>20411454</v>
      </c>
      <c r="F353" t="s">
        <v>2477</v>
      </c>
      <c r="G353" t="s">
        <v>49</v>
      </c>
      <c r="H353" t="s">
        <v>58</v>
      </c>
      <c r="I353" s="1">
        <v>46023</v>
      </c>
      <c r="J353" s="1">
        <v>46054</v>
      </c>
      <c r="K353" t="s">
        <v>51</v>
      </c>
      <c r="L353" t="s">
        <v>52</v>
      </c>
      <c r="M353" s="2">
        <v>0</v>
      </c>
      <c r="N353" s="2">
        <v>175</v>
      </c>
      <c r="O353">
        <v>1</v>
      </c>
      <c r="P353" s="2">
        <v>175</v>
      </c>
      <c r="R353" t="s">
        <v>2447</v>
      </c>
    </row>
    <row r="354" spans="1:18" x14ac:dyDescent="0.25">
      <c r="A354" s="4" t="s">
        <v>2112</v>
      </c>
      <c r="B354" s="4" t="str">
        <f t="shared" si="8"/>
        <v>00025517015KOVR</v>
      </c>
      <c r="C354" t="s">
        <v>652</v>
      </c>
      <c r="D354" t="s">
        <v>46</v>
      </c>
      <c r="E354">
        <v>20411454</v>
      </c>
      <c r="F354" t="s">
        <v>2477</v>
      </c>
      <c r="G354" t="s">
        <v>49</v>
      </c>
      <c r="H354" t="s">
        <v>58</v>
      </c>
      <c r="I354" s="1">
        <v>46023</v>
      </c>
      <c r="J354" s="1">
        <v>46054</v>
      </c>
      <c r="K354" t="s">
        <v>51</v>
      </c>
      <c r="L354" t="s">
        <v>52</v>
      </c>
      <c r="M354" s="2">
        <v>0</v>
      </c>
      <c r="N354" s="2">
        <v>175</v>
      </c>
      <c r="O354">
        <v>1</v>
      </c>
      <c r="P354" s="2">
        <v>175</v>
      </c>
      <c r="R354" t="s">
        <v>2447</v>
      </c>
    </row>
    <row r="355" spans="1:18" x14ac:dyDescent="0.25">
      <c r="A355" s="4" t="s">
        <v>2113</v>
      </c>
      <c r="B355" s="4" t="str">
        <f t="shared" si="8"/>
        <v>00025527369KOVR</v>
      </c>
      <c r="C355" t="s">
        <v>654</v>
      </c>
      <c r="D355" t="s">
        <v>46</v>
      </c>
      <c r="E355">
        <v>20411454</v>
      </c>
      <c r="F355" t="s">
        <v>2477</v>
      </c>
      <c r="G355" t="s">
        <v>49</v>
      </c>
      <c r="H355" t="s">
        <v>58</v>
      </c>
      <c r="I355" s="1">
        <v>46023</v>
      </c>
      <c r="J355" s="1">
        <v>46054</v>
      </c>
      <c r="K355" t="s">
        <v>51</v>
      </c>
      <c r="L355" t="s">
        <v>52</v>
      </c>
      <c r="M355" s="2">
        <v>0</v>
      </c>
      <c r="N355" s="2">
        <v>175</v>
      </c>
      <c r="O355">
        <v>1</v>
      </c>
      <c r="P355" s="2">
        <v>175</v>
      </c>
      <c r="R355" t="s">
        <v>2447</v>
      </c>
    </row>
    <row r="356" spans="1:18" x14ac:dyDescent="0.25">
      <c r="A356" s="4" t="s">
        <v>2114</v>
      </c>
      <c r="B356" s="4" t="str">
        <f t="shared" si="8"/>
        <v>00025528228KOVR</v>
      </c>
      <c r="C356" t="s">
        <v>656</v>
      </c>
      <c r="D356" t="s">
        <v>657</v>
      </c>
      <c r="E356">
        <v>20411454</v>
      </c>
      <c r="F356" t="s">
        <v>2477</v>
      </c>
      <c r="G356" t="s">
        <v>49</v>
      </c>
      <c r="H356" t="s">
        <v>58</v>
      </c>
      <c r="I356" s="1">
        <v>46023</v>
      </c>
      <c r="J356" s="1">
        <v>46054</v>
      </c>
      <c r="K356" t="s">
        <v>51</v>
      </c>
      <c r="L356" t="s">
        <v>52</v>
      </c>
      <c r="M356" s="2">
        <v>0</v>
      </c>
      <c r="N356" s="2">
        <v>175</v>
      </c>
      <c r="O356">
        <v>1</v>
      </c>
      <c r="P356" s="2">
        <v>175</v>
      </c>
      <c r="R356" t="s">
        <v>2447</v>
      </c>
    </row>
    <row r="357" spans="1:18" x14ac:dyDescent="0.25">
      <c r="A357" s="4" t="s">
        <v>2115</v>
      </c>
      <c r="B357" s="4" t="str">
        <f t="shared" si="8"/>
        <v>00025529614KOVR</v>
      </c>
      <c r="C357" t="s">
        <v>659</v>
      </c>
      <c r="D357" t="s">
        <v>46</v>
      </c>
      <c r="E357">
        <v>20411454</v>
      </c>
      <c r="F357" t="s">
        <v>2477</v>
      </c>
      <c r="G357" t="s">
        <v>49</v>
      </c>
      <c r="H357" t="s">
        <v>58</v>
      </c>
      <c r="I357" s="1">
        <v>46023</v>
      </c>
      <c r="J357" s="1">
        <v>46054</v>
      </c>
      <c r="K357" t="s">
        <v>51</v>
      </c>
      <c r="L357" t="s">
        <v>52</v>
      </c>
      <c r="M357" s="2">
        <v>0</v>
      </c>
      <c r="N357" s="2">
        <v>175</v>
      </c>
      <c r="O357">
        <v>1</v>
      </c>
      <c r="P357" s="2">
        <v>175</v>
      </c>
      <c r="R357" t="s">
        <v>2447</v>
      </c>
    </row>
    <row r="358" spans="1:18" x14ac:dyDescent="0.25">
      <c r="A358" s="4" t="s">
        <v>2116</v>
      </c>
      <c r="B358" s="4" t="str">
        <f t="shared" si="8"/>
        <v>00025530663KOVR</v>
      </c>
      <c r="C358" t="s">
        <v>661</v>
      </c>
      <c r="D358" t="s">
        <v>189</v>
      </c>
      <c r="E358">
        <v>20411454</v>
      </c>
      <c r="F358" t="s">
        <v>2477</v>
      </c>
      <c r="G358" t="s">
        <v>49</v>
      </c>
      <c r="H358" t="s">
        <v>58</v>
      </c>
      <c r="I358" s="1">
        <v>46023</v>
      </c>
      <c r="J358" s="1">
        <v>46054</v>
      </c>
      <c r="K358" t="s">
        <v>51</v>
      </c>
      <c r="L358" t="s">
        <v>52</v>
      </c>
      <c r="M358" s="2">
        <v>0</v>
      </c>
      <c r="N358" s="2">
        <v>175</v>
      </c>
      <c r="O358">
        <v>1</v>
      </c>
      <c r="P358" s="2">
        <v>175</v>
      </c>
      <c r="R358" t="s">
        <v>2447</v>
      </c>
    </row>
    <row r="359" spans="1:18" x14ac:dyDescent="0.25">
      <c r="A359" s="4" t="s">
        <v>2117</v>
      </c>
      <c r="B359" s="4" t="str">
        <f t="shared" si="8"/>
        <v>00025533101KOVR</v>
      </c>
      <c r="C359" t="s">
        <v>663</v>
      </c>
      <c r="D359" t="s">
        <v>46</v>
      </c>
      <c r="E359">
        <v>20411454</v>
      </c>
      <c r="F359" t="s">
        <v>2477</v>
      </c>
      <c r="G359" t="s">
        <v>49</v>
      </c>
      <c r="H359" t="s">
        <v>58</v>
      </c>
      <c r="I359" s="1">
        <v>46023</v>
      </c>
      <c r="J359" s="1">
        <v>46054</v>
      </c>
      <c r="K359" t="s">
        <v>51</v>
      </c>
      <c r="L359" t="s">
        <v>52</v>
      </c>
      <c r="M359" s="2">
        <v>0</v>
      </c>
      <c r="N359" s="2">
        <v>175</v>
      </c>
      <c r="O359">
        <v>1</v>
      </c>
      <c r="P359" s="2">
        <v>175</v>
      </c>
      <c r="R359" t="s">
        <v>2447</v>
      </c>
    </row>
    <row r="360" spans="1:18" x14ac:dyDescent="0.25">
      <c r="A360" s="4" t="s">
        <v>2118</v>
      </c>
      <c r="B360" s="4" t="str">
        <f t="shared" si="8"/>
        <v>00025534226KOVR</v>
      </c>
      <c r="C360" t="s">
        <v>665</v>
      </c>
      <c r="D360" t="s">
        <v>46</v>
      </c>
      <c r="E360">
        <v>20411454</v>
      </c>
      <c r="F360" t="s">
        <v>2477</v>
      </c>
      <c r="G360" t="s">
        <v>49</v>
      </c>
      <c r="H360" t="s">
        <v>58</v>
      </c>
      <c r="I360" s="1">
        <v>46023</v>
      </c>
      <c r="J360" s="1">
        <v>46054</v>
      </c>
      <c r="K360" t="s">
        <v>51</v>
      </c>
      <c r="L360" t="s">
        <v>52</v>
      </c>
      <c r="M360" s="2">
        <v>0</v>
      </c>
      <c r="N360" s="2">
        <v>175</v>
      </c>
      <c r="O360">
        <v>1</v>
      </c>
      <c r="P360" s="2">
        <v>175</v>
      </c>
      <c r="R360" t="s">
        <v>2447</v>
      </c>
    </row>
    <row r="361" spans="1:18" x14ac:dyDescent="0.25">
      <c r="A361" s="4" t="s">
        <v>2119</v>
      </c>
      <c r="B361" s="4" t="str">
        <f t="shared" si="8"/>
        <v>00025534956KOVR</v>
      </c>
      <c r="C361" t="s">
        <v>667</v>
      </c>
      <c r="D361" t="s">
        <v>46</v>
      </c>
      <c r="E361">
        <v>20411454</v>
      </c>
      <c r="F361" t="s">
        <v>2477</v>
      </c>
      <c r="G361" t="s">
        <v>49</v>
      </c>
      <c r="H361" t="s">
        <v>58</v>
      </c>
      <c r="I361" s="1">
        <v>46023</v>
      </c>
      <c r="J361" s="1">
        <v>46054</v>
      </c>
      <c r="K361" t="s">
        <v>51</v>
      </c>
      <c r="L361" t="s">
        <v>52</v>
      </c>
      <c r="M361" s="2">
        <v>0</v>
      </c>
      <c r="N361" s="2">
        <v>175</v>
      </c>
      <c r="O361">
        <v>1</v>
      </c>
      <c r="P361" s="2">
        <v>175</v>
      </c>
      <c r="R361" t="s">
        <v>2447</v>
      </c>
    </row>
    <row r="362" spans="1:18" x14ac:dyDescent="0.25">
      <c r="A362" s="4" t="s">
        <v>2120</v>
      </c>
      <c r="B362" s="4" t="str">
        <f t="shared" si="8"/>
        <v>00025535652KOVR</v>
      </c>
      <c r="C362" t="s">
        <v>669</v>
      </c>
      <c r="D362" t="s">
        <v>46</v>
      </c>
      <c r="E362">
        <v>20411454</v>
      </c>
      <c r="F362" t="s">
        <v>2477</v>
      </c>
      <c r="G362" t="s">
        <v>49</v>
      </c>
      <c r="H362" t="s">
        <v>58</v>
      </c>
      <c r="I362" s="1">
        <v>46023</v>
      </c>
      <c r="J362" s="1">
        <v>46054</v>
      </c>
      <c r="K362" t="s">
        <v>51</v>
      </c>
      <c r="L362" t="s">
        <v>52</v>
      </c>
      <c r="M362" s="2">
        <v>0</v>
      </c>
      <c r="N362" s="2">
        <v>175</v>
      </c>
      <c r="O362">
        <v>1</v>
      </c>
      <c r="P362" s="2">
        <v>175</v>
      </c>
      <c r="R362" t="s">
        <v>2447</v>
      </c>
    </row>
    <row r="363" spans="1:18" x14ac:dyDescent="0.25">
      <c r="A363" s="4" t="s">
        <v>2121</v>
      </c>
      <c r="B363" s="4" t="str">
        <f t="shared" si="8"/>
        <v>00025548742KOVR</v>
      </c>
      <c r="C363" t="s">
        <v>671</v>
      </c>
      <c r="D363" t="s">
        <v>46</v>
      </c>
      <c r="E363">
        <v>20411454</v>
      </c>
      <c r="F363" t="s">
        <v>2477</v>
      </c>
      <c r="G363" t="s">
        <v>49</v>
      </c>
      <c r="H363" t="s">
        <v>58</v>
      </c>
      <c r="I363" s="1">
        <v>46023</v>
      </c>
      <c r="J363" s="1">
        <v>46054</v>
      </c>
      <c r="K363" t="s">
        <v>51</v>
      </c>
      <c r="L363" t="s">
        <v>52</v>
      </c>
      <c r="M363" s="2">
        <v>0</v>
      </c>
      <c r="N363" s="2">
        <v>175</v>
      </c>
      <c r="O363">
        <v>1</v>
      </c>
      <c r="P363" s="2">
        <v>175</v>
      </c>
      <c r="R363" t="s">
        <v>2447</v>
      </c>
    </row>
    <row r="364" spans="1:18" x14ac:dyDescent="0.25">
      <c r="A364" s="4" t="s">
        <v>2122</v>
      </c>
      <c r="B364" s="4" t="str">
        <f t="shared" si="8"/>
        <v>00025550213KOVR</v>
      </c>
      <c r="C364" t="s">
        <v>675</v>
      </c>
      <c r="D364" t="s">
        <v>87</v>
      </c>
      <c r="E364">
        <v>20411454</v>
      </c>
      <c r="F364" t="s">
        <v>2477</v>
      </c>
      <c r="G364" t="s">
        <v>49</v>
      </c>
      <c r="H364" t="s">
        <v>58</v>
      </c>
      <c r="I364" s="1">
        <v>46023</v>
      </c>
      <c r="J364" s="1">
        <v>46054</v>
      </c>
      <c r="K364" t="s">
        <v>51</v>
      </c>
      <c r="L364" t="s">
        <v>52</v>
      </c>
      <c r="M364" s="2">
        <v>0</v>
      </c>
      <c r="N364" s="2">
        <v>175</v>
      </c>
      <c r="O364">
        <v>1</v>
      </c>
      <c r="P364" s="2">
        <v>175</v>
      </c>
      <c r="R364" t="s">
        <v>2447</v>
      </c>
    </row>
    <row r="365" spans="1:18" x14ac:dyDescent="0.25">
      <c r="A365" s="4" t="s">
        <v>2124</v>
      </c>
      <c r="B365" s="4" t="str">
        <f t="shared" si="8"/>
        <v>00025551950KOVR</v>
      </c>
      <c r="C365" t="s">
        <v>679</v>
      </c>
      <c r="D365" t="s">
        <v>78</v>
      </c>
      <c r="E365">
        <v>20411454</v>
      </c>
      <c r="F365" t="s">
        <v>2477</v>
      </c>
      <c r="G365" t="s">
        <v>49</v>
      </c>
      <c r="H365" t="s">
        <v>58</v>
      </c>
      <c r="I365" s="1">
        <v>46023</v>
      </c>
      <c r="J365" s="1">
        <v>46054</v>
      </c>
      <c r="K365" t="s">
        <v>51</v>
      </c>
      <c r="L365" t="s">
        <v>52</v>
      </c>
      <c r="M365" s="2">
        <v>0</v>
      </c>
      <c r="N365" s="2">
        <v>175</v>
      </c>
      <c r="O365">
        <v>1</v>
      </c>
      <c r="P365" s="2">
        <v>175</v>
      </c>
      <c r="R365" t="s">
        <v>2447</v>
      </c>
    </row>
    <row r="366" spans="1:18" x14ac:dyDescent="0.25">
      <c r="A366" s="4" t="s">
        <v>2125</v>
      </c>
      <c r="B366" s="4" t="str">
        <f t="shared" si="8"/>
        <v>00025552127KOVR</v>
      </c>
      <c r="C366" t="s">
        <v>681</v>
      </c>
      <c r="D366" t="s">
        <v>55</v>
      </c>
      <c r="E366">
        <v>20411454</v>
      </c>
      <c r="F366" t="s">
        <v>2477</v>
      </c>
      <c r="G366" t="s">
        <v>49</v>
      </c>
      <c r="H366" t="s">
        <v>58</v>
      </c>
      <c r="I366" s="1">
        <v>46023</v>
      </c>
      <c r="J366" s="1">
        <v>46054</v>
      </c>
      <c r="K366" t="s">
        <v>51</v>
      </c>
      <c r="L366" t="s">
        <v>52</v>
      </c>
      <c r="M366" s="2">
        <v>0</v>
      </c>
      <c r="N366" s="2">
        <v>175</v>
      </c>
      <c r="O366">
        <v>1</v>
      </c>
      <c r="P366" s="2">
        <v>175</v>
      </c>
      <c r="R366" t="s">
        <v>2447</v>
      </c>
    </row>
    <row r="367" spans="1:18" x14ac:dyDescent="0.25">
      <c r="A367" s="4" t="s">
        <v>2126</v>
      </c>
      <c r="B367" s="4" t="str">
        <f t="shared" si="8"/>
        <v>00025559987KOVR</v>
      </c>
      <c r="C367" t="s">
        <v>683</v>
      </c>
      <c r="D367" t="s">
        <v>46</v>
      </c>
      <c r="E367">
        <v>20411454</v>
      </c>
      <c r="F367" t="s">
        <v>2477</v>
      </c>
      <c r="G367" t="s">
        <v>49</v>
      </c>
      <c r="H367" t="s">
        <v>58</v>
      </c>
      <c r="I367" s="1">
        <v>46023</v>
      </c>
      <c r="J367" s="1">
        <v>46054</v>
      </c>
      <c r="K367" t="s">
        <v>51</v>
      </c>
      <c r="L367" t="s">
        <v>52</v>
      </c>
      <c r="M367" s="2">
        <v>0</v>
      </c>
      <c r="N367" s="2">
        <v>175</v>
      </c>
      <c r="O367">
        <v>1</v>
      </c>
      <c r="P367" s="2">
        <v>175</v>
      </c>
      <c r="R367" t="s">
        <v>2447</v>
      </c>
    </row>
    <row r="368" spans="1:18" x14ac:dyDescent="0.25">
      <c r="A368" s="4" t="s">
        <v>2127</v>
      </c>
      <c r="B368" s="4" t="str">
        <f t="shared" si="8"/>
        <v>00025560001KOVR</v>
      </c>
      <c r="C368" t="s">
        <v>685</v>
      </c>
      <c r="D368" t="s">
        <v>46</v>
      </c>
      <c r="E368">
        <v>20411454</v>
      </c>
      <c r="F368" t="s">
        <v>2477</v>
      </c>
      <c r="G368" t="s">
        <v>49</v>
      </c>
      <c r="H368" t="s">
        <v>58</v>
      </c>
      <c r="I368" s="1">
        <v>46023</v>
      </c>
      <c r="J368" s="1">
        <v>46054</v>
      </c>
      <c r="K368" t="s">
        <v>51</v>
      </c>
      <c r="L368" t="s">
        <v>52</v>
      </c>
      <c r="M368" s="2">
        <v>0</v>
      </c>
      <c r="N368" s="2">
        <v>175</v>
      </c>
      <c r="O368">
        <v>1</v>
      </c>
      <c r="P368" s="2">
        <v>175</v>
      </c>
      <c r="R368" t="s">
        <v>2447</v>
      </c>
    </row>
    <row r="369" spans="1:18" x14ac:dyDescent="0.25">
      <c r="A369" s="4" t="s">
        <v>2128</v>
      </c>
      <c r="B369" s="4" t="str">
        <f t="shared" si="8"/>
        <v>00025561661KOVR</v>
      </c>
      <c r="C369" t="s">
        <v>687</v>
      </c>
      <c r="D369" t="s">
        <v>155</v>
      </c>
      <c r="E369">
        <v>20411454</v>
      </c>
      <c r="F369" t="s">
        <v>2477</v>
      </c>
      <c r="G369" t="s">
        <v>49</v>
      </c>
      <c r="H369" t="s">
        <v>58</v>
      </c>
      <c r="I369" s="1">
        <v>46023</v>
      </c>
      <c r="J369" s="1">
        <v>46054</v>
      </c>
      <c r="K369" t="s">
        <v>51</v>
      </c>
      <c r="L369" t="s">
        <v>52</v>
      </c>
      <c r="M369" s="2">
        <v>0</v>
      </c>
      <c r="N369" s="2">
        <v>175</v>
      </c>
      <c r="O369">
        <v>1</v>
      </c>
      <c r="P369" s="2">
        <v>175</v>
      </c>
      <c r="R369" t="s">
        <v>2447</v>
      </c>
    </row>
    <row r="370" spans="1:18" x14ac:dyDescent="0.25">
      <c r="A370" s="4" t="s">
        <v>2129</v>
      </c>
      <c r="B370" s="4" t="str">
        <f t="shared" si="8"/>
        <v>00025562546KOVR</v>
      </c>
      <c r="C370" t="s">
        <v>689</v>
      </c>
      <c r="D370" t="s">
        <v>46</v>
      </c>
      <c r="E370">
        <v>20411454</v>
      </c>
      <c r="F370" t="s">
        <v>2477</v>
      </c>
      <c r="G370" t="s">
        <v>49</v>
      </c>
      <c r="H370" t="s">
        <v>58</v>
      </c>
      <c r="I370" s="1">
        <v>46023</v>
      </c>
      <c r="J370" s="1">
        <v>46054</v>
      </c>
      <c r="K370" t="s">
        <v>51</v>
      </c>
      <c r="L370" t="s">
        <v>52</v>
      </c>
      <c r="M370" s="2">
        <v>0</v>
      </c>
      <c r="N370" s="2">
        <v>175</v>
      </c>
      <c r="O370">
        <v>1</v>
      </c>
      <c r="P370" s="2">
        <v>175</v>
      </c>
      <c r="R370" t="s">
        <v>2447</v>
      </c>
    </row>
    <row r="371" spans="1:18" x14ac:dyDescent="0.25">
      <c r="A371" s="4" t="s">
        <v>2130</v>
      </c>
      <c r="B371" s="4" t="str">
        <f t="shared" si="8"/>
        <v>00025562606KOVR</v>
      </c>
      <c r="C371" t="s">
        <v>691</v>
      </c>
      <c r="D371" t="s">
        <v>46</v>
      </c>
      <c r="E371">
        <v>20411454</v>
      </c>
      <c r="F371" t="s">
        <v>2477</v>
      </c>
      <c r="G371" t="s">
        <v>49</v>
      </c>
      <c r="H371" t="s">
        <v>58</v>
      </c>
      <c r="I371" s="1">
        <v>46023</v>
      </c>
      <c r="J371" s="1">
        <v>46054</v>
      </c>
      <c r="K371" t="s">
        <v>51</v>
      </c>
      <c r="L371" t="s">
        <v>52</v>
      </c>
      <c r="M371" s="2">
        <v>0</v>
      </c>
      <c r="N371" s="2">
        <v>175</v>
      </c>
      <c r="O371">
        <v>1</v>
      </c>
      <c r="P371" s="2">
        <v>175</v>
      </c>
      <c r="R371" t="s">
        <v>2447</v>
      </c>
    </row>
    <row r="372" spans="1:18" x14ac:dyDescent="0.25">
      <c r="A372" s="4" t="s">
        <v>2131</v>
      </c>
      <c r="B372" s="4" t="str">
        <f t="shared" si="8"/>
        <v>00025564698KOVR</v>
      </c>
      <c r="C372" t="s">
        <v>693</v>
      </c>
      <c r="D372" t="s">
        <v>217</v>
      </c>
      <c r="E372">
        <v>20411454</v>
      </c>
      <c r="F372" t="s">
        <v>2477</v>
      </c>
      <c r="G372" t="s">
        <v>49</v>
      </c>
      <c r="H372" t="s">
        <v>58</v>
      </c>
      <c r="I372" s="1">
        <v>46023</v>
      </c>
      <c r="J372" s="1">
        <v>46054</v>
      </c>
      <c r="K372" t="s">
        <v>51</v>
      </c>
      <c r="L372" t="s">
        <v>52</v>
      </c>
      <c r="M372" s="2">
        <v>0</v>
      </c>
      <c r="N372" s="2">
        <v>175</v>
      </c>
      <c r="O372">
        <v>1</v>
      </c>
      <c r="P372" s="2">
        <v>175</v>
      </c>
      <c r="R372" t="s">
        <v>2447</v>
      </c>
    </row>
    <row r="373" spans="1:18" x14ac:dyDescent="0.25">
      <c r="A373" s="4" t="s">
        <v>2132</v>
      </c>
      <c r="B373" s="4" t="str">
        <f t="shared" si="8"/>
        <v>00025565548KOVR</v>
      </c>
      <c r="C373" t="s">
        <v>695</v>
      </c>
      <c r="D373" t="s">
        <v>46</v>
      </c>
      <c r="E373">
        <v>20411454</v>
      </c>
      <c r="F373" t="s">
        <v>2477</v>
      </c>
      <c r="G373" t="s">
        <v>49</v>
      </c>
      <c r="H373" t="s">
        <v>58</v>
      </c>
      <c r="I373" s="1">
        <v>46023</v>
      </c>
      <c r="J373" s="1">
        <v>46054</v>
      </c>
      <c r="K373" t="s">
        <v>51</v>
      </c>
      <c r="L373" t="s">
        <v>52</v>
      </c>
      <c r="M373" s="2">
        <v>0</v>
      </c>
      <c r="N373" s="2">
        <v>175</v>
      </c>
      <c r="O373">
        <v>1</v>
      </c>
      <c r="P373" s="2">
        <v>175</v>
      </c>
      <c r="R373" t="s">
        <v>2447</v>
      </c>
    </row>
    <row r="374" spans="1:18" x14ac:dyDescent="0.25">
      <c r="A374" s="4" t="s">
        <v>2133</v>
      </c>
      <c r="B374" s="4" t="str">
        <f t="shared" si="8"/>
        <v>00025565957KOVR</v>
      </c>
      <c r="C374" t="s">
        <v>697</v>
      </c>
      <c r="D374" t="s">
        <v>46</v>
      </c>
      <c r="E374">
        <v>20411454</v>
      </c>
      <c r="F374" t="s">
        <v>2477</v>
      </c>
      <c r="G374" t="s">
        <v>49</v>
      </c>
      <c r="H374" t="s">
        <v>58</v>
      </c>
      <c r="I374" s="1">
        <v>46023</v>
      </c>
      <c r="J374" s="1">
        <v>46054</v>
      </c>
      <c r="K374" t="s">
        <v>51</v>
      </c>
      <c r="L374" t="s">
        <v>52</v>
      </c>
      <c r="M374" s="2">
        <v>0</v>
      </c>
      <c r="N374" s="2">
        <v>175</v>
      </c>
      <c r="O374">
        <v>1</v>
      </c>
      <c r="P374" s="2">
        <v>175</v>
      </c>
      <c r="R374" t="s">
        <v>2447</v>
      </c>
    </row>
    <row r="375" spans="1:18" x14ac:dyDescent="0.25">
      <c r="A375" s="4" t="s">
        <v>2134</v>
      </c>
      <c r="B375" s="4" t="str">
        <f t="shared" si="8"/>
        <v>00025567810KOVR</v>
      </c>
      <c r="C375" t="s">
        <v>699</v>
      </c>
      <c r="D375" t="s">
        <v>46</v>
      </c>
      <c r="E375">
        <v>20411454</v>
      </c>
      <c r="F375" t="s">
        <v>2477</v>
      </c>
      <c r="G375" t="s">
        <v>49</v>
      </c>
      <c r="H375" t="s">
        <v>58</v>
      </c>
      <c r="I375" s="1">
        <v>46023</v>
      </c>
      <c r="J375" s="1">
        <v>46054</v>
      </c>
      <c r="K375" t="s">
        <v>51</v>
      </c>
      <c r="L375" t="s">
        <v>52</v>
      </c>
      <c r="M375" s="2">
        <v>0</v>
      </c>
      <c r="N375" s="2">
        <v>175</v>
      </c>
      <c r="O375">
        <v>1</v>
      </c>
      <c r="P375" s="2">
        <v>175</v>
      </c>
      <c r="R375" t="s">
        <v>2447</v>
      </c>
    </row>
    <row r="376" spans="1:18" x14ac:dyDescent="0.25">
      <c r="A376" s="4" t="s">
        <v>2135</v>
      </c>
      <c r="B376" s="4" t="str">
        <f t="shared" si="8"/>
        <v>00025567995KOVR</v>
      </c>
      <c r="C376" t="s">
        <v>701</v>
      </c>
      <c r="D376" t="s">
        <v>155</v>
      </c>
      <c r="E376">
        <v>20411454</v>
      </c>
      <c r="F376" t="s">
        <v>2477</v>
      </c>
      <c r="G376" t="s">
        <v>49</v>
      </c>
      <c r="H376" t="s">
        <v>58</v>
      </c>
      <c r="I376" s="1">
        <v>46023</v>
      </c>
      <c r="J376" s="1">
        <v>46054</v>
      </c>
      <c r="K376" t="s">
        <v>51</v>
      </c>
      <c r="L376" t="s">
        <v>52</v>
      </c>
      <c r="M376" s="2">
        <v>0</v>
      </c>
      <c r="N376" s="2">
        <v>175</v>
      </c>
      <c r="O376">
        <v>1</v>
      </c>
      <c r="P376" s="2">
        <v>175</v>
      </c>
      <c r="R376" t="s">
        <v>2447</v>
      </c>
    </row>
    <row r="377" spans="1:18" x14ac:dyDescent="0.25">
      <c r="A377" s="4" t="s">
        <v>2136</v>
      </c>
      <c r="B377" s="4" t="str">
        <f t="shared" si="8"/>
        <v>00025568042KOVR</v>
      </c>
      <c r="C377" t="s">
        <v>703</v>
      </c>
      <c r="D377" t="s">
        <v>46</v>
      </c>
      <c r="E377">
        <v>20411454</v>
      </c>
      <c r="F377" t="s">
        <v>2477</v>
      </c>
      <c r="G377" t="s">
        <v>49</v>
      </c>
      <c r="H377" t="s">
        <v>58</v>
      </c>
      <c r="I377" s="1">
        <v>46023</v>
      </c>
      <c r="J377" s="1">
        <v>46054</v>
      </c>
      <c r="K377" t="s">
        <v>51</v>
      </c>
      <c r="L377" t="s">
        <v>52</v>
      </c>
      <c r="M377" s="2">
        <v>0</v>
      </c>
      <c r="N377" s="2">
        <v>175</v>
      </c>
      <c r="O377">
        <v>1</v>
      </c>
      <c r="P377" s="2">
        <v>175</v>
      </c>
      <c r="R377" t="s">
        <v>2447</v>
      </c>
    </row>
    <row r="378" spans="1:18" x14ac:dyDescent="0.25">
      <c r="A378" s="4" t="s">
        <v>2137</v>
      </c>
      <c r="B378" s="4" t="str">
        <f t="shared" si="8"/>
        <v>00025568283KOVR</v>
      </c>
      <c r="C378" t="s">
        <v>705</v>
      </c>
      <c r="D378" t="s">
        <v>46</v>
      </c>
      <c r="E378">
        <v>20411454</v>
      </c>
      <c r="F378" t="s">
        <v>2477</v>
      </c>
      <c r="G378" t="s">
        <v>49</v>
      </c>
      <c r="H378" t="s">
        <v>58</v>
      </c>
      <c r="I378" s="1">
        <v>46023</v>
      </c>
      <c r="J378" s="1">
        <v>46054</v>
      </c>
      <c r="K378" t="s">
        <v>51</v>
      </c>
      <c r="L378" t="s">
        <v>52</v>
      </c>
      <c r="M378" s="2">
        <v>0</v>
      </c>
      <c r="N378" s="2">
        <v>175</v>
      </c>
      <c r="O378">
        <v>1</v>
      </c>
      <c r="P378" s="2">
        <v>175</v>
      </c>
      <c r="R378" t="s">
        <v>2447</v>
      </c>
    </row>
    <row r="379" spans="1:18" x14ac:dyDescent="0.25">
      <c r="A379" s="4" t="s">
        <v>2138</v>
      </c>
      <c r="B379" s="4" t="str">
        <f t="shared" si="8"/>
        <v>00025571221KOVR</v>
      </c>
      <c r="C379" t="s">
        <v>707</v>
      </c>
      <c r="D379" t="s">
        <v>46</v>
      </c>
      <c r="E379">
        <v>20411454</v>
      </c>
      <c r="F379" t="s">
        <v>2477</v>
      </c>
      <c r="G379" t="s">
        <v>49</v>
      </c>
      <c r="H379" t="s">
        <v>58</v>
      </c>
      <c r="I379" s="1">
        <v>46023</v>
      </c>
      <c r="J379" s="1">
        <v>46054</v>
      </c>
      <c r="K379" t="s">
        <v>51</v>
      </c>
      <c r="L379" t="s">
        <v>52</v>
      </c>
      <c r="M379" s="2">
        <v>0</v>
      </c>
      <c r="N379" s="2">
        <v>175</v>
      </c>
      <c r="O379">
        <v>1</v>
      </c>
      <c r="P379" s="2">
        <v>175</v>
      </c>
      <c r="R379" t="s">
        <v>2447</v>
      </c>
    </row>
    <row r="380" spans="1:18" x14ac:dyDescent="0.25">
      <c r="A380" s="4" t="s">
        <v>2139</v>
      </c>
      <c r="B380" s="4" t="str">
        <f t="shared" si="8"/>
        <v>00025574084KOVR</v>
      </c>
      <c r="C380" t="s">
        <v>709</v>
      </c>
      <c r="D380" t="s">
        <v>46</v>
      </c>
      <c r="E380">
        <v>20411454</v>
      </c>
      <c r="F380" t="s">
        <v>2477</v>
      </c>
      <c r="G380" t="s">
        <v>49</v>
      </c>
      <c r="H380" t="s">
        <v>58</v>
      </c>
      <c r="I380" s="1">
        <v>46023</v>
      </c>
      <c r="J380" s="1">
        <v>46054</v>
      </c>
      <c r="K380" t="s">
        <v>51</v>
      </c>
      <c r="L380" t="s">
        <v>52</v>
      </c>
      <c r="M380" s="2">
        <v>0</v>
      </c>
      <c r="N380" s="2">
        <v>175</v>
      </c>
      <c r="O380">
        <v>1</v>
      </c>
      <c r="P380" s="2">
        <v>175</v>
      </c>
      <c r="R380" t="s">
        <v>2447</v>
      </c>
    </row>
    <row r="381" spans="1:18" x14ac:dyDescent="0.25">
      <c r="A381" s="4" t="s">
        <v>2140</v>
      </c>
      <c r="B381" s="4" t="str">
        <f t="shared" si="8"/>
        <v>00025574548KOVR</v>
      </c>
      <c r="C381" t="s">
        <v>711</v>
      </c>
      <c r="D381" t="s">
        <v>87</v>
      </c>
      <c r="E381">
        <v>20411454</v>
      </c>
      <c r="F381" t="s">
        <v>2477</v>
      </c>
      <c r="G381" t="s">
        <v>49</v>
      </c>
      <c r="H381" t="s">
        <v>58</v>
      </c>
      <c r="I381" s="1">
        <v>46023</v>
      </c>
      <c r="J381" s="1">
        <v>46054</v>
      </c>
      <c r="K381" t="s">
        <v>51</v>
      </c>
      <c r="L381" t="s">
        <v>52</v>
      </c>
      <c r="M381" s="2">
        <v>0</v>
      </c>
      <c r="N381" s="2">
        <v>175</v>
      </c>
      <c r="O381">
        <v>1</v>
      </c>
      <c r="P381" s="2">
        <v>175</v>
      </c>
      <c r="R381" t="s">
        <v>2447</v>
      </c>
    </row>
    <row r="382" spans="1:18" x14ac:dyDescent="0.25">
      <c r="A382" s="4" t="s">
        <v>2141</v>
      </c>
      <c r="B382" s="4" t="str">
        <f t="shared" si="8"/>
        <v>00025576843KOVR</v>
      </c>
      <c r="C382" t="s">
        <v>713</v>
      </c>
      <c r="D382" t="s">
        <v>46</v>
      </c>
      <c r="E382">
        <v>20411454</v>
      </c>
      <c r="F382" t="s">
        <v>2477</v>
      </c>
      <c r="G382" t="s">
        <v>49</v>
      </c>
      <c r="H382" t="s">
        <v>58</v>
      </c>
      <c r="I382" s="1">
        <v>46023</v>
      </c>
      <c r="J382" s="1">
        <v>46054</v>
      </c>
      <c r="K382" t="s">
        <v>51</v>
      </c>
      <c r="L382" t="s">
        <v>52</v>
      </c>
      <c r="M382" s="2">
        <v>0</v>
      </c>
      <c r="N382" s="2">
        <v>175</v>
      </c>
      <c r="O382">
        <v>1</v>
      </c>
      <c r="P382" s="2">
        <v>175</v>
      </c>
      <c r="R382" t="s">
        <v>2447</v>
      </c>
    </row>
    <row r="383" spans="1:18" x14ac:dyDescent="0.25">
      <c r="A383" s="4" t="s">
        <v>2142</v>
      </c>
      <c r="B383" s="4" t="str">
        <f t="shared" si="8"/>
        <v>00025577501KOVR</v>
      </c>
      <c r="C383" t="s">
        <v>717</v>
      </c>
      <c r="D383" t="s">
        <v>87</v>
      </c>
      <c r="E383">
        <v>20411454</v>
      </c>
      <c r="F383" t="s">
        <v>2477</v>
      </c>
      <c r="G383" t="s">
        <v>49</v>
      </c>
      <c r="H383" t="s">
        <v>58</v>
      </c>
      <c r="I383" s="1">
        <v>46023</v>
      </c>
      <c r="J383" s="1">
        <v>46054</v>
      </c>
      <c r="K383" t="s">
        <v>51</v>
      </c>
      <c r="L383" t="s">
        <v>52</v>
      </c>
      <c r="M383" s="2">
        <v>0</v>
      </c>
      <c r="N383" s="2">
        <v>175</v>
      </c>
      <c r="O383">
        <v>1</v>
      </c>
      <c r="P383" s="2">
        <v>175</v>
      </c>
      <c r="R383" t="s">
        <v>2447</v>
      </c>
    </row>
    <row r="384" spans="1:18" x14ac:dyDescent="0.25">
      <c r="A384" s="4" t="s">
        <v>2143</v>
      </c>
      <c r="B384" s="4" t="str">
        <f t="shared" si="8"/>
        <v>00025578526KOVR</v>
      </c>
      <c r="C384" t="s">
        <v>719</v>
      </c>
      <c r="D384" t="s">
        <v>46</v>
      </c>
      <c r="E384">
        <v>20411454</v>
      </c>
      <c r="F384" t="s">
        <v>2477</v>
      </c>
      <c r="G384" t="s">
        <v>49</v>
      </c>
      <c r="H384" t="s">
        <v>58</v>
      </c>
      <c r="I384" s="1">
        <v>46023</v>
      </c>
      <c r="J384" s="1">
        <v>46054</v>
      </c>
      <c r="K384" t="s">
        <v>51</v>
      </c>
      <c r="L384" t="s">
        <v>52</v>
      </c>
      <c r="M384" s="2">
        <v>0</v>
      </c>
      <c r="N384" s="2">
        <v>175</v>
      </c>
      <c r="O384">
        <v>1</v>
      </c>
      <c r="P384" s="2">
        <v>175</v>
      </c>
      <c r="R384" t="s">
        <v>2447</v>
      </c>
    </row>
    <row r="385" spans="1:18" x14ac:dyDescent="0.25">
      <c r="A385" s="4" t="s">
        <v>2144</v>
      </c>
      <c r="B385" s="4" t="str">
        <f t="shared" si="8"/>
        <v>00025583428KOVR</v>
      </c>
      <c r="C385" t="s">
        <v>721</v>
      </c>
      <c r="D385" t="s">
        <v>46</v>
      </c>
      <c r="E385">
        <v>20411454</v>
      </c>
      <c r="F385" t="s">
        <v>2477</v>
      </c>
      <c r="G385" t="s">
        <v>49</v>
      </c>
      <c r="H385" t="s">
        <v>58</v>
      </c>
      <c r="I385" s="1">
        <v>46023</v>
      </c>
      <c r="J385" s="1">
        <v>46054</v>
      </c>
      <c r="K385" t="s">
        <v>51</v>
      </c>
      <c r="L385" t="s">
        <v>52</v>
      </c>
      <c r="M385" s="2">
        <v>0</v>
      </c>
      <c r="N385" s="2">
        <v>175</v>
      </c>
      <c r="O385">
        <v>1</v>
      </c>
      <c r="P385" s="2">
        <v>175</v>
      </c>
      <c r="R385" t="s">
        <v>2447</v>
      </c>
    </row>
    <row r="386" spans="1:18" x14ac:dyDescent="0.25">
      <c r="A386" s="4" t="s">
        <v>2145</v>
      </c>
      <c r="B386" s="4" t="str">
        <f t="shared" si="8"/>
        <v>00025584768KOVR</v>
      </c>
      <c r="C386" t="s">
        <v>723</v>
      </c>
      <c r="D386" t="s">
        <v>46</v>
      </c>
      <c r="E386">
        <v>20411454</v>
      </c>
      <c r="F386" t="s">
        <v>2477</v>
      </c>
      <c r="G386" t="s">
        <v>49</v>
      </c>
      <c r="H386" t="s">
        <v>58</v>
      </c>
      <c r="I386" s="1">
        <v>46023</v>
      </c>
      <c r="J386" s="1">
        <v>46054</v>
      </c>
      <c r="K386" t="s">
        <v>51</v>
      </c>
      <c r="L386" t="s">
        <v>52</v>
      </c>
      <c r="M386" s="2">
        <v>0</v>
      </c>
      <c r="N386" s="2">
        <v>175</v>
      </c>
      <c r="O386">
        <v>1</v>
      </c>
      <c r="P386" s="2">
        <v>175</v>
      </c>
      <c r="R386" t="s">
        <v>2447</v>
      </c>
    </row>
    <row r="387" spans="1:18" x14ac:dyDescent="0.25">
      <c r="A387" s="4" t="s">
        <v>2146</v>
      </c>
      <c r="B387" s="4" t="str">
        <f t="shared" si="8"/>
        <v>00025584966KOVR</v>
      </c>
      <c r="C387" t="s">
        <v>725</v>
      </c>
      <c r="D387" t="s">
        <v>46</v>
      </c>
      <c r="E387">
        <v>20411454</v>
      </c>
      <c r="F387" t="s">
        <v>2477</v>
      </c>
      <c r="G387" t="s">
        <v>49</v>
      </c>
      <c r="H387" t="s">
        <v>58</v>
      </c>
      <c r="I387" s="1">
        <v>46023</v>
      </c>
      <c r="J387" s="1">
        <v>46054</v>
      </c>
      <c r="K387" t="s">
        <v>51</v>
      </c>
      <c r="L387" t="s">
        <v>52</v>
      </c>
      <c r="M387" s="2">
        <v>0</v>
      </c>
      <c r="N387" s="2">
        <v>175</v>
      </c>
      <c r="O387">
        <v>1</v>
      </c>
      <c r="P387" s="2">
        <v>175</v>
      </c>
      <c r="R387" t="s">
        <v>2447</v>
      </c>
    </row>
    <row r="388" spans="1:18" x14ac:dyDescent="0.25">
      <c r="A388" s="4" t="s">
        <v>2147</v>
      </c>
      <c r="B388" s="4" t="str">
        <f t="shared" si="8"/>
        <v>00025587894KOVR</v>
      </c>
      <c r="C388" t="s">
        <v>727</v>
      </c>
      <c r="D388" t="s">
        <v>46</v>
      </c>
      <c r="E388">
        <v>20411454</v>
      </c>
      <c r="F388" t="s">
        <v>2477</v>
      </c>
      <c r="G388" t="s">
        <v>49</v>
      </c>
      <c r="H388" t="s">
        <v>58</v>
      </c>
      <c r="I388" s="1">
        <v>46023</v>
      </c>
      <c r="J388" s="1">
        <v>46054</v>
      </c>
      <c r="K388" t="s">
        <v>51</v>
      </c>
      <c r="L388" t="s">
        <v>52</v>
      </c>
      <c r="M388" s="2">
        <v>0</v>
      </c>
      <c r="N388" s="2">
        <v>175</v>
      </c>
      <c r="O388">
        <v>1</v>
      </c>
      <c r="P388" s="2">
        <v>175</v>
      </c>
      <c r="R388" t="s">
        <v>2447</v>
      </c>
    </row>
    <row r="389" spans="1:18" x14ac:dyDescent="0.25">
      <c r="A389" s="4" t="s">
        <v>2148</v>
      </c>
      <c r="B389" s="4" t="str">
        <f t="shared" si="8"/>
        <v>00025588092KOVR</v>
      </c>
      <c r="C389" t="s">
        <v>729</v>
      </c>
      <c r="D389" t="s">
        <v>87</v>
      </c>
      <c r="E389">
        <v>20411454</v>
      </c>
      <c r="F389" t="s">
        <v>2477</v>
      </c>
      <c r="G389" t="s">
        <v>49</v>
      </c>
      <c r="H389" t="s">
        <v>58</v>
      </c>
      <c r="I389" s="1">
        <v>46023</v>
      </c>
      <c r="J389" s="1">
        <v>46054</v>
      </c>
      <c r="K389" t="s">
        <v>51</v>
      </c>
      <c r="L389" t="s">
        <v>52</v>
      </c>
      <c r="M389" s="2">
        <v>0</v>
      </c>
      <c r="N389" s="2">
        <v>175</v>
      </c>
      <c r="O389">
        <v>1</v>
      </c>
      <c r="P389" s="2">
        <v>175</v>
      </c>
      <c r="R389" t="s">
        <v>2447</v>
      </c>
    </row>
    <row r="390" spans="1:18" x14ac:dyDescent="0.25">
      <c r="A390" s="4" t="s">
        <v>2149</v>
      </c>
      <c r="B390" s="4" t="str">
        <f t="shared" si="8"/>
        <v>00025588344KOVR</v>
      </c>
      <c r="C390" t="s">
        <v>731</v>
      </c>
      <c r="D390" t="s">
        <v>46</v>
      </c>
      <c r="E390">
        <v>20411454</v>
      </c>
      <c r="F390" t="s">
        <v>2477</v>
      </c>
      <c r="G390" t="s">
        <v>49</v>
      </c>
      <c r="H390" t="s">
        <v>58</v>
      </c>
      <c r="I390" s="1">
        <v>46023</v>
      </c>
      <c r="J390" s="1">
        <v>46054</v>
      </c>
      <c r="K390" t="s">
        <v>51</v>
      </c>
      <c r="L390" t="s">
        <v>52</v>
      </c>
      <c r="M390" s="2">
        <v>0</v>
      </c>
      <c r="N390" s="2">
        <v>175</v>
      </c>
      <c r="O390">
        <v>1</v>
      </c>
      <c r="P390" s="2">
        <v>175</v>
      </c>
      <c r="R390" t="s">
        <v>2447</v>
      </c>
    </row>
    <row r="391" spans="1:18" x14ac:dyDescent="0.25">
      <c r="A391" s="4" t="s">
        <v>2150</v>
      </c>
      <c r="B391" s="4" t="str">
        <f t="shared" si="8"/>
        <v>00025588361KOVR</v>
      </c>
      <c r="C391" t="s">
        <v>733</v>
      </c>
      <c r="D391" t="s">
        <v>217</v>
      </c>
      <c r="E391">
        <v>20411454</v>
      </c>
      <c r="F391" t="s">
        <v>2477</v>
      </c>
      <c r="G391" t="s">
        <v>49</v>
      </c>
      <c r="H391" t="s">
        <v>58</v>
      </c>
      <c r="I391" s="1">
        <v>46023</v>
      </c>
      <c r="J391" s="1">
        <v>46054</v>
      </c>
      <c r="K391" t="s">
        <v>51</v>
      </c>
      <c r="L391" t="s">
        <v>52</v>
      </c>
      <c r="M391" s="2">
        <v>0</v>
      </c>
      <c r="N391" s="2">
        <v>175</v>
      </c>
      <c r="O391">
        <v>1</v>
      </c>
      <c r="P391" s="2">
        <v>175</v>
      </c>
      <c r="R391" t="s">
        <v>2447</v>
      </c>
    </row>
    <row r="392" spans="1:18" x14ac:dyDescent="0.25">
      <c r="A392" s="4" t="s">
        <v>2151</v>
      </c>
      <c r="B392" s="4" t="str">
        <f t="shared" si="8"/>
        <v>00025588669KOVR</v>
      </c>
      <c r="C392" t="s">
        <v>735</v>
      </c>
      <c r="D392" t="s">
        <v>46</v>
      </c>
      <c r="E392">
        <v>20411454</v>
      </c>
      <c r="F392" t="s">
        <v>2477</v>
      </c>
      <c r="G392" t="s">
        <v>49</v>
      </c>
      <c r="H392" t="s">
        <v>58</v>
      </c>
      <c r="I392" s="1">
        <v>46023</v>
      </c>
      <c r="J392" s="1">
        <v>46054</v>
      </c>
      <c r="K392" t="s">
        <v>51</v>
      </c>
      <c r="L392" t="s">
        <v>52</v>
      </c>
      <c r="M392" s="2">
        <v>0</v>
      </c>
      <c r="N392" s="2">
        <v>175</v>
      </c>
      <c r="O392">
        <v>1</v>
      </c>
      <c r="P392" s="2">
        <v>175</v>
      </c>
      <c r="R392" t="s">
        <v>2447</v>
      </c>
    </row>
    <row r="393" spans="1:18" x14ac:dyDescent="0.25">
      <c r="A393" s="4" t="s">
        <v>2152</v>
      </c>
      <c r="B393" s="4" t="str">
        <f t="shared" si="8"/>
        <v>00025592377KOVR</v>
      </c>
      <c r="C393" t="s">
        <v>737</v>
      </c>
      <c r="D393" t="s">
        <v>46</v>
      </c>
      <c r="E393">
        <v>20411454</v>
      </c>
      <c r="F393" t="s">
        <v>2477</v>
      </c>
      <c r="G393" t="s">
        <v>49</v>
      </c>
      <c r="H393" t="s">
        <v>58</v>
      </c>
      <c r="I393" s="1">
        <v>46023</v>
      </c>
      <c r="J393" s="1">
        <v>46054</v>
      </c>
      <c r="K393" t="s">
        <v>51</v>
      </c>
      <c r="L393" t="s">
        <v>52</v>
      </c>
      <c r="M393" s="2">
        <v>0</v>
      </c>
      <c r="N393" s="2">
        <v>175</v>
      </c>
      <c r="O393">
        <v>1</v>
      </c>
      <c r="P393" s="2">
        <v>175</v>
      </c>
      <c r="R393" t="s">
        <v>2447</v>
      </c>
    </row>
    <row r="394" spans="1:18" x14ac:dyDescent="0.25">
      <c r="A394" s="4" t="s">
        <v>2153</v>
      </c>
      <c r="B394" s="4" t="str">
        <f t="shared" si="8"/>
        <v>00025595164KOVR</v>
      </c>
      <c r="C394" t="s">
        <v>739</v>
      </c>
      <c r="D394" t="s">
        <v>262</v>
      </c>
      <c r="E394">
        <v>20411454</v>
      </c>
      <c r="F394" t="s">
        <v>2477</v>
      </c>
      <c r="G394" t="s">
        <v>49</v>
      </c>
      <c r="H394" t="s">
        <v>58</v>
      </c>
      <c r="I394" s="1">
        <v>46023</v>
      </c>
      <c r="J394" s="1">
        <v>46054</v>
      </c>
      <c r="K394" t="s">
        <v>51</v>
      </c>
      <c r="L394" t="s">
        <v>52</v>
      </c>
      <c r="M394" s="2">
        <v>0</v>
      </c>
      <c r="N394" s="2">
        <v>175</v>
      </c>
      <c r="O394">
        <v>1</v>
      </c>
      <c r="P394" s="2">
        <v>175</v>
      </c>
      <c r="R394" t="s">
        <v>2447</v>
      </c>
    </row>
    <row r="395" spans="1:18" x14ac:dyDescent="0.25">
      <c r="A395" s="4" t="s">
        <v>2154</v>
      </c>
      <c r="B395" s="4" t="str">
        <f t="shared" si="8"/>
        <v>00025595713KOVR</v>
      </c>
      <c r="C395" t="s">
        <v>741</v>
      </c>
      <c r="D395" t="s">
        <v>217</v>
      </c>
      <c r="E395">
        <v>20411454</v>
      </c>
      <c r="F395" t="s">
        <v>2477</v>
      </c>
      <c r="G395" t="s">
        <v>49</v>
      </c>
      <c r="H395" t="s">
        <v>58</v>
      </c>
      <c r="I395" s="1">
        <v>46023</v>
      </c>
      <c r="J395" s="1">
        <v>46054</v>
      </c>
      <c r="K395" t="s">
        <v>51</v>
      </c>
      <c r="L395" t="s">
        <v>52</v>
      </c>
      <c r="M395" s="2">
        <v>0</v>
      </c>
      <c r="N395" s="2">
        <v>175</v>
      </c>
      <c r="O395">
        <v>1</v>
      </c>
      <c r="P395" s="2">
        <v>175</v>
      </c>
      <c r="R395" t="s">
        <v>2447</v>
      </c>
    </row>
    <row r="396" spans="1:18" x14ac:dyDescent="0.25">
      <c r="A396" s="4" t="s">
        <v>2155</v>
      </c>
      <c r="B396" s="4" t="str">
        <f t="shared" si="8"/>
        <v>00025597515KOVR</v>
      </c>
      <c r="C396" t="s">
        <v>743</v>
      </c>
      <c r="D396" t="s">
        <v>87</v>
      </c>
      <c r="E396">
        <v>20411454</v>
      </c>
      <c r="F396" t="s">
        <v>2477</v>
      </c>
      <c r="G396" t="s">
        <v>49</v>
      </c>
      <c r="H396" t="s">
        <v>58</v>
      </c>
      <c r="I396" s="1">
        <v>46023</v>
      </c>
      <c r="J396" s="1">
        <v>46054</v>
      </c>
      <c r="K396" t="s">
        <v>51</v>
      </c>
      <c r="L396" t="s">
        <v>52</v>
      </c>
      <c r="M396" s="2">
        <v>0</v>
      </c>
      <c r="N396" s="2">
        <v>175</v>
      </c>
      <c r="O396">
        <v>1</v>
      </c>
      <c r="P396" s="2">
        <v>175</v>
      </c>
      <c r="R396" t="s">
        <v>2447</v>
      </c>
    </row>
    <row r="397" spans="1:18" x14ac:dyDescent="0.25">
      <c r="A397" s="4" t="s">
        <v>2156</v>
      </c>
      <c r="B397" s="4" t="str">
        <f t="shared" si="8"/>
        <v>00025599080KOVR</v>
      </c>
      <c r="C397" t="s">
        <v>745</v>
      </c>
      <c r="D397" t="s">
        <v>46</v>
      </c>
      <c r="E397">
        <v>20411454</v>
      </c>
      <c r="F397" t="s">
        <v>2477</v>
      </c>
      <c r="G397" t="s">
        <v>49</v>
      </c>
      <c r="H397" t="s">
        <v>58</v>
      </c>
      <c r="I397" s="1">
        <v>46023</v>
      </c>
      <c r="J397" s="1">
        <v>46054</v>
      </c>
      <c r="K397" t="s">
        <v>51</v>
      </c>
      <c r="L397" t="s">
        <v>52</v>
      </c>
      <c r="M397" s="2">
        <v>0</v>
      </c>
      <c r="N397" s="2">
        <v>175</v>
      </c>
      <c r="O397">
        <v>1</v>
      </c>
      <c r="P397" s="2">
        <v>175</v>
      </c>
      <c r="R397" t="s">
        <v>2447</v>
      </c>
    </row>
    <row r="398" spans="1:18" x14ac:dyDescent="0.25">
      <c r="A398" s="4" t="s">
        <v>2157</v>
      </c>
      <c r="B398" s="4" t="str">
        <f t="shared" ref="B398:B461" si="9">CONCATENATE(A398,"OVR")</f>
        <v>00025600991KOVR</v>
      </c>
      <c r="C398" t="s">
        <v>747</v>
      </c>
      <c r="D398" t="s">
        <v>403</v>
      </c>
      <c r="E398">
        <v>20411454</v>
      </c>
      <c r="F398" t="s">
        <v>2477</v>
      </c>
      <c r="G398" t="s">
        <v>49</v>
      </c>
      <c r="H398" t="s">
        <v>58</v>
      </c>
      <c r="I398" s="1">
        <v>46023</v>
      </c>
      <c r="J398" s="1">
        <v>46054</v>
      </c>
      <c r="K398" t="s">
        <v>51</v>
      </c>
      <c r="L398" t="s">
        <v>52</v>
      </c>
      <c r="M398" s="2">
        <v>0</v>
      </c>
      <c r="N398" s="2">
        <v>175</v>
      </c>
      <c r="O398">
        <v>1</v>
      </c>
      <c r="P398" s="2">
        <v>175</v>
      </c>
      <c r="R398" t="s">
        <v>2447</v>
      </c>
    </row>
    <row r="399" spans="1:18" x14ac:dyDescent="0.25">
      <c r="A399" s="4" t="s">
        <v>2158</v>
      </c>
      <c r="B399" s="4" t="str">
        <f t="shared" si="9"/>
        <v>00025602495KOVR</v>
      </c>
      <c r="C399" t="s">
        <v>749</v>
      </c>
      <c r="D399" t="s">
        <v>189</v>
      </c>
      <c r="E399">
        <v>20411454</v>
      </c>
      <c r="F399" t="s">
        <v>2477</v>
      </c>
      <c r="G399" t="s">
        <v>49</v>
      </c>
      <c r="H399" t="s">
        <v>58</v>
      </c>
      <c r="I399" s="1">
        <v>46023</v>
      </c>
      <c r="J399" s="1">
        <v>46054</v>
      </c>
      <c r="K399" t="s">
        <v>51</v>
      </c>
      <c r="L399" t="s">
        <v>52</v>
      </c>
      <c r="M399" s="2">
        <v>0</v>
      </c>
      <c r="N399" s="2">
        <v>175</v>
      </c>
      <c r="O399">
        <v>1</v>
      </c>
      <c r="P399" s="2">
        <v>175</v>
      </c>
      <c r="R399" t="s">
        <v>2447</v>
      </c>
    </row>
    <row r="400" spans="1:18" x14ac:dyDescent="0.25">
      <c r="A400" s="4" t="s">
        <v>2159</v>
      </c>
      <c r="B400" s="4" t="str">
        <f t="shared" si="9"/>
        <v>00025606084KOVR</v>
      </c>
      <c r="C400" t="s">
        <v>751</v>
      </c>
      <c r="D400" t="s">
        <v>46</v>
      </c>
      <c r="E400">
        <v>20411454</v>
      </c>
      <c r="F400" t="s">
        <v>2477</v>
      </c>
      <c r="G400" t="s">
        <v>49</v>
      </c>
      <c r="H400" t="s">
        <v>58</v>
      </c>
      <c r="I400" s="1">
        <v>46023</v>
      </c>
      <c r="J400" s="1">
        <v>46054</v>
      </c>
      <c r="K400" t="s">
        <v>51</v>
      </c>
      <c r="L400" t="s">
        <v>52</v>
      </c>
      <c r="M400" s="2">
        <v>0</v>
      </c>
      <c r="N400" s="2">
        <v>175</v>
      </c>
      <c r="O400">
        <v>1</v>
      </c>
      <c r="P400" s="2">
        <v>175</v>
      </c>
      <c r="R400" t="s">
        <v>2447</v>
      </c>
    </row>
    <row r="401" spans="1:18" x14ac:dyDescent="0.25">
      <c r="A401" s="4" t="s">
        <v>2160</v>
      </c>
      <c r="B401" s="4" t="str">
        <f t="shared" si="9"/>
        <v>00025606199KOVR</v>
      </c>
      <c r="C401" t="s">
        <v>753</v>
      </c>
      <c r="D401" t="s">
        <v>46</v>
      </c>
      <c r="E401">
        <v>20411454</v>
      </c>
      <c r="F401" t="s">
        <v>2477</v>
      </c>
      <c r="G401" t="s">
        <v>49</v>
      </c>
      <c r="H401" t="s">
        <v>58</v>
      </c>
      <c r="I401" s="1">
        <v>46023</v>
      </c>
      <c r="J401" s="1">
        <v>46054</v>
      </c>
      <c r="K401" t="s">
        <v>51</v>
      </c>
      <c r="L401" t="s">
        <v>52</v>
      </c>
      <c r="M401" s="2">
        <v>0</v>
      </c>
      <c r="N401" s="2">
        <v>175</v>
      </c>
      <c r="O401">
        <v>1</v>
      </c>
      <c r="P401" s="2">
        <v>175</v>
      </c>
      <c r="R401" t="s">
        <v>2447</v>
      </c>
    </row>
    <row r="402" spans="1:18" x14ac:dyDescent="0.25">
      <c r="A402" s="4" t="s">
        <v>2161</v>
      </c>
      <c r="B402" s="4" t="str">
        <f t="shared" si="9"/>
        <v>00025608354KOVR</v>
      </c>
      <c r="C402" t="s">
        <v>755</v>
      </c>
      <c r="D402" t="s">
        <v>46</v>
      </c>
      <c r="E402">
        <v>20411454</v>
      </c>
      <c r="F402" t="s">
        <v>2477</v>
      </c>
      <c r="G402" t="s">
        <v>49</v>
      </c>
      <c r="H402" t="s">
        <v>58</v>
      </c>
      <c r="I402" s="1">
        <v>46023</v>
      </c>
      <c r="J402" s="1">
        <v>46054</v>
      </c>
      <c r="K402" t="s">
        <v>51</v>
      </c>
      <c r="L402" t="s">
        <v>52</v>
      </c>
      <c r="M402" s="2">
        <v>0</v>
      </c>
      <c r="N402" s="2">
        <v>175</v>
      </c>
      <c r="O402">
        <v>1</v>
      </c>
      <c r="P402" s="2">
        <v>175</v>
      </c>
      <c r="R402" t="s">
        <v>2447</v>
      </c>
    </row>
    <row r="403" spans="1:18" x14ac:dyDescent="0.25">
      <c r="A403" s="4" t="s">
        <v>2162</v>
      </c>
      <c r="B403" s="4" t="str">
        <f t="shared" si="9"/>
        <v>00025609249KOVR</v>
      </c>
      <c r="C403" t="s">
        <v>757</v>
      </c>
      <c r="D403" t="s">
        <v>758</v>
      </c>
      <c r="E403">
        <v>20411454</v>
      </c>
      <c r="F403" t="s">
        <v>2477</v>
      </c>
      <c r="G403" t="s">
        <v>49</v>
      </c>
      <c r="H403" t="s">
        <v>58</v>
      </c>
      <c r="I403" s="1">
        <v>46023</v>
      </c>
      <c r="J403" s="1">
        <v>46054</v>
      </c>
      <c r="K403" t="s">
        <v>51</v>
      </c>
      <c r="L403" t="s">
        <v>52</v>
      </c>
      <c r="M403" s="2">
        <v>0</v>
      </c>
      <c r="N403" s="2">
        <v>175</v>
      </c>
      <c r="O403">
        <v>1</v>
      </c>
      <c r="P403" s="2">
        <v>175</v>
      </c>
      <c r="R403" t="s">
        <v>2447</v>
      </c>
    </row>
    <row r="404" spans="1:18" x14ac:dyDescent="0.25">
      <c r="A404" s="4" t="s">
        <v>2163</v>
      </c>
      <c r="B404" s="4" t="str">
        <f t="shared" si="9"/>
        <v>00025609368KOVR</v>
      </c>
      <c r="C404" t="s">
        <v>760</v>
      </c>
      <c r="D404" t="s">
        <v>46</v>
      </c>
      <c r="E404">
        <v>20411454</v>
      </c>
      <c r="F404" t="s">
        <v>2477</v>
      </c>
      <c r="G404" t="s">
        <v>49</v>
      </c>
      <c r="H404" t="s">
        <v>58</v>
      </c>
      <c r="I404" s="1">
        <v>46023</v>
      </c>
      <c r="J404" s="1">
        <v>46054</v>
      </c>
      <c r="K404" t="s">
        <v>51</v>
      </c>
      <c r="L404" t="s">
        <v>52</v>
      </c>
      <c r="M404" s="2">
        <v>0</v>
      </c>
      <c r="N404" s="2">
        <v>175</v>
      </c>
      <c r="O404">
        <v>1</v>
      </c>
      <c r="P404" s="2">
        <v>175</v>
      </c>
      <c r="R404" t="s">
        <v>2447</v>
      </c>
    </row>
    <row r="405" spans="1:18" x14ac:dyDescent="0.25">
      <c r="A405" s="4" t="s">
        <v>2164</v>
      </c>
      <c r="B405" s="4" t="str">
        <f t="shared" si="9"/>
        <v>00025609976KOVR</v>
      </c>
      <c r="C405" t="s">
        <v>762</v>
      </c>
      <c r="D405" t="s">
        <v>61</v>
      </c>
      <c r="E405">
        <v>20411454</v>
      </c>
      <c r="F405" t="s">
        <v>2477</v>
      </c>
      <c r="G405" t="s">
        <v>49</v>
      </c>
      <c r="H405" t="s">
        <v>58</v>
      </c>
      <c r="I405" s="1">
        <v>46023</v>
      </c>
      <c r="J405" s="1">
        <v>46054</v>
      </c>
      <c r="K405" t="s">
        <v>51</v>
      </c>
      <c r="L405" t="s">
        <v>52</v>
      </c>
      <c r="M405" s="2">
        <v>0</v>
      </c>
      <c r="N405" s="2">
        <v>175</v>
      </c>
      <c r="O405">
        <v>1</v>
      </c>
      <c r="P405" s="2">
        <v>175</v>
      </c>
      <c r="R405" t="s">
        <v>2447</v>
      </c>
    </row>
    <row r="406" spans="1:18" x14ac:dyDescent="0.25">
      <c r="A406" s="4" t="s">
        <v>2165</v>
      </c>
      <c r="B406" s="4" t="str">
        <f t="shared" si="9"/>
        <v>00025610081KOVR</v>
      </c>
      <c r="C406" t="s">
        <v>766</v>
      </c>
      <c r="D406" t="s">
        <v>46</v>
      </c>
      <c r="E406">
        <v>20411454</v>
      </c>
      <c r="F406" t="s">
        <v>2477</v>
      </c>
      <c r="G406" t="s">
        <v>49</v>
      </c>
      <c r="H406" t="s">
        <v>58</v>
      </c>
      <c r="I406" s="1">
        <v>46023</v>
      </c>
      <c r="J406" s="1">
        <v>46054</v>
      </c>
      <c r="K406" t="s">
        <v>51</v>
      </c>
      <c r="L406" t="s">
        <v>52</v>
      </c>
      <c r="M406" s="2">
        <v>0</v>
      </c>
      <c r="N406" s="2">
        <v>175</v>
      </c>
      <c r="O406">
        <v>1</v>
      </c>
      <c r="P406" s="2">
        <v>175</v>
      </c>
      <c r="R406" t="s">
        <v>2447</v>
      </c>
    </row>
    <row r="407" spans="1:18" x14ac:dyDescent="0.25">
      <c r="A407" s="4" t="s">
        <v>2166</v>
      </c>
      <c r="B407" s="4" t="str">
        <f t="shared" si="9"/>
        <v>00025610631KOVR</v>
      </c>
      <c r="C407" t="s">
        <v>768</v>
      </c>
      <c r="D407" t="s">
        <v>46</v>
      </c>
      <c r="E407">
        <v>20411454</v>
      </c>
      <c r="F407" t="s">
        <v>2477</v>
      </c>
      <c r="G407" t="s">
        <v>49</v>
      </c>
      <c r="H407" t="s">
        <v>58</v>
      </c>
      <c r="I407" s="1">
        <v>46023</v>
      </c>
      <c r="J407" s="1">
        <v>46054</v>
      </c>
      <c r="K407" t="s">
        <v>51</v>
      </c>
      <c r="L407" t="s">
        <v>52</v>
      </c>
      <c r="M407" s="2">
        <v>0</v>
      </c>
      <c r="N407" s="2">
        <v>175</v>
      </c>
      <c r="O407">
        <v>1</v>
      </c>
      <c r="P407" s="2">
        <v>175</v>
      </c>
      <c r="R407" t="s">
        <v>2447</v>
      </c>
    </row>
    <row r="408" spans="1:18" x14ac:dyDescent="0.25">
      <c r="A408" s="4" t="s">
        <v>2167</v>
      </c>
      <c r="B408" s="4" t="str">
        <f t="shared" si="9"/>
        <v>00025613466KOVR</v>
      </c>
      <c r="C408" t="s">
        <v>770</v>
      </c>
      <c r="D408" t="s">
        <v>46</v>
      </c>
      <c r="E408">
        <v>20411454</v>
      </c>
      <c r="F408" t="s">
        <v>2477</v>
      </c>
      <c r="G408" t="s">
        <v>49</v>
      </c>
      <c r="H408" t="s">
        <v>58</v>
      </c>
      <c r="I408" s="1">
        <v>46023</v>
      </c>
      <c r="J408" s="1">
        <v>46054</v>
      </c>
      <c r="K408" t="s">
        <v>51</v>
      </c>
      <c r="L408" t="s">
        <v>52</v>
      </c>
      <c r="M408" s="2">
        <v>0</v>
      </c>
      <c r="N408" s="2">
        <v>175</v>
      </c>
      <c r="O408">
        <v>1</v>
      </c>
      <c r="P408" s="2">
        <v>175</v>
      </c>
      <c r="R408" t="s">
        <v>2447</v>
      </c>
    </row>
    <row r="409" spans="1:18" x14ac:dyDescent="0.25">
      <c r="A409" s="4" t="s">
        <v>2168</v>
      </c>
      <c r="B409" s="4" t="str">
        <f t="shared" si="9"/>
        <v>00025616432KOVR</v>
      </c>
      <c r="C409" t="s">
        <v>772</v>
      </c>
      <c r="D409" t="s">
        <v>46</v>
      </c>
      <c r="E409">
        <v>20411454</v>
      </c>
      <c r="F409" t="s">
        <v>2477</v>
      </c>
      <c r="G409" t="s">
        <v>49</v>
      </c>
      <c r="H409" t="s">
        <v>58</v>
      </c>
      <c r="I409" s="1">
        <v>46023</v>
      </c>
      <c r="J409" s="1">
        <v>46054</v>
      </c>
      <c r="K409" t="s">
        <v>51</v>
      </c>
      <c r="L409" t="s">
        <v>52</v>
      </c>
      <c r="M409" s="2">
        <v>0</v>
      </c>
      <c r="N409" s="2">
        <v>175</v>
      </c>
      <c r="O409">
        <v>1</v>
      </c>
      <c r="P409" s="2">
        <v>175</v>
      </c>
      <c r="R409" t="s">
        <v>2447</v>
      </c>
    </row>
    <row r="410" spans="1:18" x14ac:dyDescent="0.25">
      <c r="A410" s="4" t="s">
        <v>2169</v>
      </c>
      <c r="B410" s="4" t="str">
        <f t="shared" si="9"/>
        <v>00025616597KOVR</v>
      </c>
      <c r="C410" t="s">
        <v>774</v>
      </c>
      <c r="D410" t="s">
        <v>46</v>
      </c>
      <c r="E410">
        <v>20411454</v>
      </c>
      <c r="F410" t="s">
        <v>2477</v>
      </c>
      <c r="G410" t="s">
        <v>49</v>
      </c>
      <c r="H410" t="s">
        <v>58</v>
      </c>
      <c r="I410" s="1">
        <v>46023</v>
      </c>
      <c r="J410" s="1">
        <v>46054</v>
      </c>
      <c r="K410" t="s">
        <v>51</v>
      </c>
      <c r="L410" t="s">
        <v>52</v>
      </c>
      <c r="M410" s="2">
        <v>0</v>
      </c>
      <c r="N410" s="2">
        <v>175</v>
      </c>
      <c r="O410">
        <v>1</v>
      </c>
      <c r="P410" s="2">
        <v>175</v>
      </c>
      <c r="R410" t="s">
        <v>2447</v>
      </c>
    </row>
    <row r="411" spans="1:18" x14ac:dyDescent="0.25">
      <c r="A411" s="4" t="s">
        <v>2170</v>
      </c>
      <c r="B411" s="4" t="str">
        <f t="shared" si="9"/>
        <v>00025619009KOVR</v>
      </c>
      <c r="C411" t="s">
        <v>776</v>
      </c>
      <c r="D411" t="s">
        <v>46</v>
      </c>
      <c r="E411">
        <v>20411454</v>
      </c>
      <c r="F411" t="s">
        <v>2477</v>
      </c>
      <c r="G411" t="s">
        <v>49</v>
      </c>
      <c r="H411" t="s">
        <v>58</v>
      </c>
      <c r="I411" s="1">
        <v>46023</v>
      </c>
      <c r="J411" s="1">
        <v>46054</v>
      </c>
      <c r="K411" t="s">
        <v>51</v>
      </c>
      <c r="L411" t="s">
        <v>52</v>
      </c>
      <c r="M411" s="2">
        <v>0</v>
      </c>
      <c r="N411" s="2">
        <v>175</v>
      </c>
      <c r="O411">
        <v>1</v>
      </c>
      <c r="P411" s="2">
        <v>175</v>
      </c>
      <c r="R411" t="s">
        <v>2447</v>
      </c>
    </row>
    <row r="412" spans="1:18" x14ac:dyDescent="0.25">
      <c r="A412" s="4" t="s">
        <v>2171</v>
      </c>
      <c r="B412" s="4" t="str">
        <f t="shared" si="9"/>
        <v>00025620432KOVR</v>
      </c>
      <c r="C412" t="s">
        <v>778</v>
      </c>
      <c r="D412" t="s">
        <v>46</v>
      </c>
      <c r="E412">
        <v>20411454</v>
      </c>
      <c r="F412" t="s">
        <v>2477</v>
      </c>
      <c r="G412" t="s">
        <v>49</v>
      </c>
      <c r="H412" t="s">
        <v>58</v>
      </c>
      <c r="I412" s="1">
        <v>46023</v>
      </c>
      <c r="J412" s="1">
        <v>46054</v>
      </c>
      <c r="K412" t="s">
        <v>51</v>
      </c>
      <c r="L412" t="s">
        <v>52</v>
      </c>
      <c r="M412" s="2">
        <v>0</v>
      </c>
      <c r="N412" s="2">
        <v>175</v>
      </c>
      <c r="O412">
        <v>1</v>
      </c>
      <c r="P412" s="2">
        <v>175</v>
      </c>
      <c r="R412" t="s">
        <v>2447</v>
      </c>
    </row>
    <row r="413" spans="1:18" x14ac:dyDescent="0.25">
      <c r="A413" s="4" t="s">
        <v>2172</v>
      </c>
      <c r="B413" s="4" t="str">
        <f t="shared" si="9"/>
        <v>00025621688KOVR</v>
      </c>
      <c r="C413" t="s">
        <v>780</v>
      </c>
      <c r="D413" t="s">
        <v>46</v>
      </c>
      <c r="E413">
        <v>20411454</v>
      </c>
      <c r="F413" t="s">
        <v>2477</v>
      </c>
      <c r="G413" t="s">
        <v>49</v>
      </c>
      <c r="H413" t="s">
        <v>58</v>
      </c>
      <c r="I413" s="1">
        <v>46023</v>
      </c>
      <c r="J413" s="1">
        <v>46054</v>
      </c>
      <c r="K413" t="s">
        <v>51</v>
      </c>
      <c r="L413" t="s">
        <v>52</v>
      </c>
      <c r="M413" s="2">
        <v>0</v>
      </c>
      <c r="N413" s="2">
        <v>175</v>
      </c>
      <c r="O413">
        <v>1</v>
      </c>
      <c r="P413" s="2">
        <v>175</v>
      </c>
      <c r="R413" t="s">
        <v>2447</v>
      </c>
    </row>
    <row r="414" spans="1:18" x14ac:dyDescent="0.25">
      <c r="A414" s="4" t="s">
        <v>2173</v>
      </c>
      <c r="B414" s="4" t="str">
        <f t="shared" si="9"/>
        <v>00025622498KOVR</v>
      </c>
      <c r="C414" t="s">
        <v>782</v>
      </c>
      <c r="D414" t="s">
        <v>46</v>
      </c>
      <c r="E414">
        <v>20411454</v>
      </c>
      <c r="F414" t="s">
        <v>2477</v>
      </c>
      <c r="G414" t="s">
        <v>49</v>
      </c>
      <c r="H414" t="s">
        <v>58</v>
      </c>
      <c r="I414" s="1">
        <v>46023</v>
      </c>
      <c r="J414" s="1">
        <v>46054</v>
      </c>
      <c r="K414" t="s">
        <v>51</v>
      </c>
      <c r="L414" t="s">
        <v>52</v>
      </c>
      <c r="M414" s="2">
        <v>0</v>
      </c>
      <c r="N414" s="2">
        <v>175</v>
      </c>
      <c r="O414">
        <v>1</v>
      </c>
      <c r="P414" s="2">
        <v>175</v>
      </c>
      <c r="R414" t="s">
        <v>2447</v>
      </c>
    </row>
    <row r="415" spans="1:18" x14ac:dyDescent="0.25">
      <c r="A415" s="4" t="s">
        <v>2174</v>
      </c>
      <c r="B415" s="4" t="str">
        <f t="shared" si="9"/>
        <v>00025623822KOVR</v>
      </c>
      <c r="C415" t="s">
        <v>784</v>
      </c>
      <c r="D415" t="s">
        <v>155</v>
      </c>
      <c r="E415">
        <v>20411454</v>
      </c>
      <c r="F415" t="s">
        <v>2477</v>
      </c>
      <c r="G415" t="s">
        <v>49</v>
      </c>
      <c r="H415" t="s">
        <v>58</v>
      </c>
      <c r="I415" s="1">
        <v>46023</v>
      </c>
      <c r="J415" s="1">
        <v>46054</v>
      </c>
      <c r="K415" t="s">
        <v>51</v>
      </c>
      <c r="L415" t="s">
        <v>52</v>
      </c>
      <c r="M415" s="2">
        <v>0</v>
      </c>
      <c r="N415" s="2">
        <v>175</v>
      </c>
      <c r="O415">
        <v>1</v>
      </c>
      <c r="P415" s="2">
        <v>175</v>
      </c>
      <c r="R415" t="s">
        <v>2447</v>
      </c>
    </row>
    <row r="416" spans="1:18" x14ac:dyDescent="0.25">
      <c r="A416" s="4" t="s">
        <v>2175</v>
      </c>
      <c r="B416" s="4" t="str">
        <f t="shared" si="9"/>
        <v>00025626510KOVR</v>
      </c>
      <c r="C416" t="s">
        <v>786</v>
      </c>
      <c r="D416" t="s">
        <v>61</v>
      </c>
      <c r="E416">
        <v>20411454</v>
      </c>
      <c r="F416" t="s">
        <v>2477</v>
      </c>
      <c r="G416" t="s">
        <v>49</v>
      </c>
      <c r="H416" t="s">
        <v>58</v>
      </c>
      <c r="I416" s="1">
        <v>46023</v>
      </c>
      <c r="J416" s="1">
        <v>46054</v>
      </c>
      <c r="K416" t="s">
        <v>51</v>
      </c>
      <c r="L416" t="s">
        <v>52</v>
      </c>
      <c r="M416" s="2">
        <v>0</v>
      </c>
      <c r="N416" s="2">
        <v>175</v>
      </c>
      <c r="O416">
        <v>1</v>
      </c>
      <c r="P416" s="2">
        <v>175</v>
      </c>
      <c r="R416" t="s">
        <v>2447</v>
      </c>
    </row>
    <row r="417" spans="1:18" x14ac:dyDescent="0.25">
      <c r="A417" s="4" t="s">
        <v>2176</v>
      </c>
      <c r="B417" s="4" t="str">
        <f t="shared" si="9"/>
        <v>00025626914KOVR</v>
      </c>
      <c r="C417" t="s">
        <v>788</v>
      </c>
      <c r="D417" t="s">
        <v>262</v>
      </c>
      <c r="E417">
        <v>20411454</v>
      </c>
      <c r="F417" t="s">
        <v>2477</v>
      </c>
      <c r="G417" t="s">
        <v>49</v>
      </c>
      <c r="H417" t="s">
        <v>58</v>
      </c>
      <c r="I417" s="1">
        <v>46023</v>
      </c>
      <c r="J417" s="1">
        <v>46054</v>
      </c>
      <c r="K417" t="s">
        <v>51</v>
      </c>
      <c r="L417" t="s">
        <v>52</v>
      </c>
      <c r="M417" s="2">
        <v>0</v>
      </c>
      <c r="N417" s="2">
        <v>175</v>
      </c>
      <c r="O417">
        <v>1</v>
      </c>
      <c r="P417" s="2">
        <v>175</v>
      </c>
      <c r="R417" t="s">
        <v>2447</v>
      </c>
    </row>
    <row r="418" spans="1:18" x14ac:dyDescent="0.25">
      <c r="A418" s="4" t="s">
        <v>2177</v>
      </c>
      <c r="B418" s="4" t="str">
        <f t="shared" si="9"/>
        <v>00025627066KOVR</v>
      </c>
      <c r="C418" t="s">
        <v>790</v>
      </c>
      <c r="D418" t="s">
        <v>46</v>
      </c>
      <c r="E418">
        <v>20411454</v>
      </c>
      <c r="F418" t="s">
        <v>2477</v>
      </c>
      <c r="G418" t="s">
        <v>49</v>
      </c>
      <c r="H418" t="s">
        <v>58</v>
      </c>
      <c r="I418" s="1">
        <v>46023</v>
      </c>
      <c r="J418" s="1">
        <v>46054</v>
      </c>
      <c r="K418" t="s">
        <v>51</v>
      </c>
      <c r="L418" t="s">
        <v>52</v>
      </c>
      <c r="M418" s="2">
        <v>0</v>
      </c>
      <c r="N418" s="2">
        <v>175</v>
      </c>
      <c r="O418">
        <v>1</v>
      </c>
      <c r="P418" s="2">
        <v>175</v>
      </c>
      <c r="R418" t="s">
        <v>2447</v>
      </c>
    </row>
    <row r="419" spans="1:18" x14ac:dyDescent="0.25">
      <c r="A419" s="4" t="s">
        <v>2178</v>
      </c>
      <c r="B419" s="4" t="str">
        <f t="shared" si="9"/>
        <v>00025627301KOVR</v>
      </c>
      <c r="C419" t="s">
        <v>792</v>
      </c>
      <c r="D419" t="s">
        <v>46</v>
      </c>
      <c r="E419">
        <v>20411454</v>
      </c>
      <c r="F419" t="s">
        <v>2477</v>
      </c>
      <c r="G419" t="s">
        <v>49</v>
      </c>
      <c r="H419" t="s">
        <v>58</v>
      </c>
      <c r="I419" s="1">
        <v>46023</v>
      </c>
      <c r="J419" s="1">
        <v>46054</v>
      </c>
      <c r="K419" t="s">
        <v>51</v>
      </c>
      <c r="L419" t="s">
        <v>52</v>
      </c>
      <c r="M419" s="2">
        <v>0</v>
      </c>
      <c r="N419" s="2">
        <v>175</v>
      </c>
      <c r="O419">
        <v>1</v>
      </c>
      <c r="P419" s="2">
        <v>175</v>
      </c>
      <c r="R419" t="s">
        <v>2447</v>
      </c>
    </row>
    <row r="420" spans="1:18" x14ac:dyDescent="0.25">
      <c r="A420" s="4" t="s">
        <v>2179</v>
      </c>
      <c r="B420" s="4" t="str">
        <f t="shared" si="9"/>
        <v>00025627750KOVR</v>
      </c>
      <c r="C420" t="s">
        <v>794</v>
      </c>
      <c r="D420" t="s">
        <v>78</v>
      </c>
      <c r="E420">
        <v>20411454</v>
      </c>
      <c r="F420" t="s">
        <v>2477</v>
      </c>
      <c r="G420" t="s">
        <v>49</v>
      </c>
      <c r="H420" t="s">
        <v>58</v>
      </c>
      <c r="I420" s="1">
        <v>46023</v>
      </c>
      <c r="J420" s="1">
        <v>46054</v>
      </c>
      <c r="K420" t="s">
        <v>51</v>
      </c>
      <c r="L420" t="s">
        <v>52</v>
      </c>
      <c r="M420" s="2">
        <v>0</v>
      </c>
      <c r="N420" s="2">
        <v>175</v>
      </c>
      <c r="O420">
        <v>1</v>
      </c>
      <c r="P420" s="2">
        <v>175</v>
      </c>
      <c r="R420" t="s">
        <v>2447</v>
      </c>
    </row>
    <row r="421" spans="1:18" x14ac:dyDescent="0.25">
      <c r="A421" s="4" t="s">
        <v>2180</v>
      </c>
      <c r="B421" s="4" t="str">
        <f t="shared" si="9"/>
        <v>00025627785KOVR</v>
      </c>
      <c r="C421" t="s">
        <v>796</v>
      </c>
      <c r="D421" t="s">
        <v>155</v>
      </c>
      <c r="E421">
        <v>20411454</v>
      </c>
      <c r="F421" t="s">
        <v>2477</v>
      </c>
      <c r="G421" t="s">
        <v>49</v>
      </c>
      <c r="H421" t="s">
        <v>58</v>
      </c>
      <c r="I421" s="1">
        <v>46023</v>
      </c>
      <c r="J421" s="1">
        <v>46054</v>
      </c>
      <c r="K421" t="s">
        <v>51</v>
      </c>
      <c r="L421" t="s">
        <v>52</v>
      </c>
      <c r="M421" s="2">
        <v>0</v>
      </c>
      <c r="N421" s="2">
        <v>175</v>
      </c>
      <c r="O421">
        <v>1</v>
      </c>
      <c r="P421" s="2">
        <v>175</v>
      </c>
      <c r="R421" t="s">
        <v>2447</v>
      </c>
    </row>
    <row r="422" spans="1:18" x14ac:dyDescent="0.25">
      <c r="A422" s="4" t="s">
        <v>2181</v>
      </c>
      <c r="B422" s="4" t="str">
        <f t="shared" si="9"/>
        <v>00025627928KOVR</v>
      </c>
      <c r="C422" t="s">
        <v>798</v>
      </c>
      <c r="D422" t="s">
        <v>61</v>
      </c>
      <c r="E422">
        <v>20411454</v>
      </c>
      <c r="F422" t="s">
        <v>2477</v>
      </c>
      <c r="G422" t="s">
        <v>49</v>
      </c>
      <c r="H422" t="s">
        <v>58</v>
      </c>
      <c r="I422" s="1">
        <v>46023</v>
      </c>
      <c r="J422" s="1">
        <v>46054</v>
      </c>
      <c r="K422" t="s">
        <v>51</v>
      </c>
      <c r="L422" t="s">
        <v>52</v>
      </c>
      <c r="M422" s="2">
        <v>0</v>
      </c>
      <c r="N422" s="2">
        <v>175</v>
      </c>
      <c r="O422">
        <v>1</v>
      </c>
      <c r="P422" s="2">
        <v>175</v>
      </c>
      <c r="R422" t="s">
        <v>2447</v>
      </c>
    </row>
    <row r="423" spans="1:18" x14ac:dyDescent="0.25">
      <c r="A423" s="4" t="s">
        <v>2182</v>
      </c>
      <c r="B423" s="4" t="str">
        <f t="shared" si="9"/>
        <v>00025628025KOVR</v>
      </c>
      <c r="C423" t="s">
        <v>800</v>
      </c>
      <c r="D423" t="s">
        <v>46</v>
      </c>
      <c r="E423">
        <v>20411454</v>
      </c>
      <c r="F423" t="s">
        <v>2477</v>
      </c>
      <c r="G423" t="s">
        <v>49</v>
      </c>
      <c r="H423" t="s">
        <v>58</v>
      </c>
      <c r="I423" s="1">
        <v>46023</v>
      </c>
      <c r="J423" s="1">
        <v>46054</v>
      </c>
      <c r="K423" t="s">
        <v>51</v>
      </c>
      <c r="L423" t="s">
        <v>52</v>
      </c>
      <c r="M423" s="2">
        <v>0</v>
      </c>
      <c r="N423" s="2">
        <v>175</v>
      </c>
      <c r="O423">
        <v>1</v>
      </c>
      <c r="P423" s="2">
        <v>175</v>
      </c>
      <c r="R423" t="s">
        <v>2447</v>
      </c>
    </row>
    <row r="424" spans="1:18" x14ac:dyDescent="0.25">
      <c r="A424" s="4" t="s">
        <v>2183</v>
      </c>
      <c r="B424" s="4" t="str">
        <f t="shared" si="9"/>
        <v>00025630170KOVR</v>
      </c>
      <c r="C424" t="s">
        <v>802</v>
      </c>
      <c r="D424" t="s">
        <v>46</v>
      </c>
      <c r="E424">
        <v>20411454</v>
      </c>
      <c r="F424" t="s">
        <v>2477</v>
      </c>
      <c r="G424" t="s">
        <v>49</v>
      </c>
      <c r="H424" t="s">
        <v>58</v>
      </c>
      <c r="I424" s="1">
        <v>46023</v>
      </c>
      <c r="J424" s="1">
        <v>46054</v>
      </c>
      <c r="K424" t="s">
        <v>51</v>
      </c>
      <c r="L424" t="s">
        <v>52</v>
      </c>
      <c r="M424" s="2">
        <v>0</v>
      </c>
      <c r="N424" s="2">
        <v>175</v>
      </c>
      <c r="O424">
        <v>1</v>
      </c>
      <c r="P424" s="2">
        <v>175</v>
      </c>
      <c r="R424" t="s">
        <v>2447</v>
      </c>
    </row>
    <row r="425" spans="1:18" x14ac:dyDescent="0.25">
      <c r="A425" s="4" t="s">
        <v>2184</v>
      </c>
      <c r="B425" s="4" t="str">
        <f t="shared" si="9"/>
        <v>00025632302KOVR</v>
      </c>
      <c r="C425" t="s">
        <v>804</v>
      </c>
      <c r="D425" t="s">
        <v>805</v>
      </c>
      <c r="E425">
        <v>20411454</v>
      </c>
      <c r="F425" t="s">
        <v>2477</v>
      </c>
      <c r="G425" t="s">
        <v>49</v>
      </c>
      <c r="H425" t="s">
        <v>58</v>
      </c>
      <c r="I425" s="1">
        <v>46023</v>
      </c>
      <c r="J425" s="1">
        <v>46054</v>
      </c>
      <c r="K425" t="s">
        <v>51</v>
      </c>
      <c r="L425" t="s">
        <v>52</v>
      </c>
      <c r="M425" s="2">
        <v>0</v>
      </c>
      <c r="N425" s="2">
        <v>175</v>
      </c>
      <c r="O425">
        <v>1</v>
      </c>
      <c r="P425" s="2">
        <v>175</v>
      </c>
      <c r="R425" t="s">
        <v>2447</v>
      </c>
    </row>
    <row r="426" spans="1:18" x14ac:dyDescent="0.25">
      <c r="A426" s="4" t="s">
        <v>2185</v>
      </c>
      <c r="B426" s="4" t="str">
        <f t="shared" si="9"/>
        <v>00025634076KOVR</v>
      </c>
      <c r="C426" t="s">
        <v>807</v>
      </c>
      <c r="D426" t="s">
        <v>46</v>
      </c>
      <c r="E426">
        <v>20411454</v>
      </c>
      <c r="F426" t="s">
        <v>2477</v>
      </c>
      <c r="G426" t="s">
        <v>49</v>
      </c>
      <c r="H426" t="s">
        <v>58</v>
      </c>
      <c r="I426" s="1">
        <v>46023</v>
      </c>
      <c r="J426" s="1">
        <v>46054</v>
      </c>
      <c r="K426" t="s">
        <v>51</v>
      </c>
      <c r="L426" t="s">
        <v>52</v>
      </c>
      <c r="M426" s="2">
        <v>0</v>
      </c>
      <c r="N426" s="2">
        <v>175</v>
      </c>
      <c r="O426">
        <v>1</v>
      </c>
      <c r="P426" s="2">
        <v>175</v>
      </c>
      <c r="R426" t="s">
        <v>2447</v>
      </c>
    </row>
    <row r="427" spans="1:18" x14ac:dyDescent="0.25">
      <c r="A427" s="4" t="s">
        <v>2186</v>
      </c>
      <c r="B427" s="4" t="str">
        <f t="shared" si="9"/>
        <v>00025634137KOVR</v>
      </c>
      <c r="C427" t="s">
        <v>809</v>
      </c>
      <c r="D427" t="s">
        <v>46</v>
      </c>
      <c r="E427">
        <v>20411454</v>
      </c>
      <c r="F427" t="s">
        <v>2477</v>
      </c>
      <c r="G427" t="s">
        <v>49</v>
      </c>
      <c r="H427" t="s">
        <v>58</v>
      </c>
      <c r="I427" s="1">
        <v>46023</v>
      </c>
      <c r="J427" s="1">
        <v>46054</v>
      </c>
      <c r="K427" t="s">
        <v>51</v>
      </c>
      <c r="L427" t="s">
        <v>52</v>
      </c>
      <c r="M427" s="2">
        <v>0</v>
      </c>
      <c r="N427" s="2">
        <v>175</v>
      </c>
      <c r="O427">
        <v>1</v>
      </c>
      <c r="P427" s="2">
        <v>175</v>
      </c>
      <c r="R427" t="s">
        <v>2447</v>
      </c>
    </row>
    <row r="428" spans="1:18" x14ac:dyDescent="0.25">
      <c r="A428" s="4" t="s">
        <v>2187</v>
      </c>
      <c r="B428" s="4" t="str">
        <f t="shared" si="9"/>
        <v>00025639973KOVR</v>
      </c>
      <c r="C428" t="s">
        <v>811</v>
      </c>
      <c r="D428" t="s">
        <v>46</v>
      </c>
      <c r="E428">
        <v>20411454</v>
      </c>
      <c r="F428" t="s">
        <v>2477</v>
      </c>
      <c r="G428" t="s">
        <v>49</v>
      </c>
      <c r="H428" t="s">
        <v>58</v>
      </c>
      <c r="I428" s="1">
        <v>46023</v>
      </c>
      <c r="J428" s="1">
        <v>46054</v>
      </c>
      <c r="K428" t="s">
        <v>51</v>
      </c>
      <c r="L428" t="s">
        <v>52</v>
      </c>
      <c r="M428" s="2">
        <v>0</v>
      </c>
      <c r="N428" s="2">
        <v>175</v>
      </c>
      <c r="O428">
        <v>1</v>
      </c>
      <c r="P428" s="2">
        <v>175</v>
      </c>
      <c r="R428" t="s">
        <v>2447</v>
      </c>
    </row>
    <row r="429" spans="1:18" x14ac:dyDescent="0.25">
      <c r="A429" s="4" t="s">
        <v>2188</v>
      </c>
      <c r="B429" s="4" t="str">
        <f t="shared" si="9"/>
        <v>00025640927KOVR</v>
      </c>
      <c r="C429" t="s">
        <v>813</v>
      </c>
      <c r="D429" t="s">
        <v>46</v>
      </c>
      <c r="E429">
        <v>20411454</v>
      </c>
      <c r="F429" t="s">
        <v>2477</v>
      </c>
      <c r="G429" t="s">
        <v>49</v>
      </c>
      <c r="H429" t="s">
        <v>58</v>
      </c>
      <c r="I429" s="1">
        <v>46023</v>
      </c>
      <c r="J429" s="1">
        <v>46054</v>
      </c>
      <c r="K429" t="s">
        <v>51</v>
      </c>
      <c r="L429" t="s">
        <v>52</v>
      </c>
      <c r="M429" s="2">
        <v>0</v>
      </c>
      <c r="N429" s="2">
        <v>175</v>
      </c>
      <c r="O429">
        <v>1</v>
      </c>
      <c r="P429" s="2">
        <v>175</v>
      </c>
      <c r="R429" t="s">
        <v>2447</v>
      </c>
    </row>
    <row r="430" spans="1:18" x14ac:dyDescent="0.25">
      <c r="A430" s="4" t="s">
        <v>2189</v>
      </c>
      <c r="B430" s="4" t="str">
        <f t="shared" si="9"/>
        <v>00025642777KOVR</v>
      </c>
      <c r="C430" t="s">
        <v>815</v>
      </c>
      <c r="D430" t="s">
        <v>46</v>
      </c>
      <c r="E430">
        <v>20411454</v>
      </c>
      <c r="F430" t="s">
        <v>2477</v>
      </c>
      <c r="G430" t="s">
        <v>49</v>
      </c>
      <c r="H430" t="s">
        <v>58</v>
      </c>
      <c r="I430" s="1">
        <v>46023</v>
      </c>
      <c r="J430" s="1">
        <v>46054</v>
      </c>
      <c r="K430" t="s">
        <v>51</v>
      </c>
      <c r="L430" t="s">
        <v>52</v>
      </c>
      <c r="M430" s="2">
        <v>0</v>
      </c>
      <c r="N430" s="2">
        <v>175</v>
      </c>
      <c r="O430">
        <v>1</v>
      </c>
      <c r="P430" s="2">
        <v>175</v>
      </c>
      <c r="R430" t="s">
        <v>2447</v>
      </c>
    </row>
    <row r="431" spans="1:18" x14ac:dyDescent="0.25">
      <c r="A431" s="4" t="s">
        <v>2190</v>
      </c>
      <c r="B431" s="4" t="str">
        <f t="shared" si="9"/>
        <v>00025643095KOVR</v>
      </c>
      <c r="C431" t="s">
        <v>817</v>
      </c>
      <c r="D431" t="s">
        <v>155</v>
      </c>
      <c r="E431">
        <v>20411454</v>
      </c>
      <c r="F431" t="s">
        <v>2477</v>
      </c>
      <c r="G431" t="s">
        <v>49</v>
      </c>
      <c r="H431" t="s">
        <v>58</v>
      </c>
      <c r="I431" s="1">
        <v>46023</v>
      </c>
      <c r="J431" s="1">
        <v>46054</v>
      </c>
      <c r="K431" t="s">
        <v>51</v>
      </c>
      <c r="L431" t="s">
        <v>52</v>
      </c>
      <c r="M431" s="2">
        <v>0</v>
      </c>
      <c r="N431" s="2">
        <v>175</v>
      </c>
      <c r="O431">
        <v>1</v>
      </c>
      <c r="P431" s="2">
        <v>175</v>
      </c>
      <c r="R431" t="s">
        <v>2447</v>
      </c>
    </row>
    <row r="432" spans="1:18" x14ac:dyDescent="0.25">
      <c r="A432" s="4" t="s">
        <v>2192</v>
      </c>
      <c r="B432" s="4" t="str">
        <f t="shared" si="9"/>
        <v>00025644004KOVR</v>
      </c>
      <c r="C432" t="s">
        <v>821</v>
      </c>
      <c r="D432" t="s">
        <v>87</v>
      </c>
      <c r="E432">
        <v>20411454</v>
      </c>
      <c r="F432" t="s">
        <v>2477</v>
      </c>
      <c r="G432" t="s">
        <v>49</v>
      </c>
      <c r="H432" t="s">
        <v>58</v>
      </c>
      <c r="I432" s="1">
        <v>46023</v>
      </c>
      <c r="J432" s="1">
        <v>46054</v>
      </c>
      <c r="K432" t="s">
        <v>51</v>
      </c>
      <c r="L432" t="s">
        <v>52</v>
      </c>
      <c r="M432" s="2">
        <v>0</v>
      </c>
      <c r="N432" s="2">
        <v>175</v>
      </c>
      <c r="O432">
        <v>1</v>
      </c>
      <c r="P432" s="2">
        <v>175</v>
      </c>
      <c r="R432" t="s">
        <v>2447</v>
      </c>
    </row>
    <row r="433" spans="1:18" x14ac:dyDescent="0.25">
      <c r="A433" s="4" t="s">
        <v>2193</v>
      </c>
      <c r="B433" s="4" t="str">
        <f t="shared" si="9"/>
        <v>00025644234KOVR</v>
      </c>
      <c r="C433" t="s">
        <v>823</v>
      </c>
      <c r="D433" t="s">
        <v>403</v>
      </c>
      <c r="E433">
        <v>20411454</v>
      </c>
      <c r="F433" t="s">
        <v>2477</v>
      </c>
      <c r="G433" t="s">
        <v>49</v>
      </c>
      <c r="H433" t="s">
        <v>58</v>
      </c>
      <c r="I433" s="1">
        <v>46023</v>
      </c>
      <c r="J433" s="1">
        <v>46054</v>
      </c>
      <c r="K433" t="s">
        <v>51</v>
      </c>
      <c r="L433" t="s">
        <v>52</v>
      </c>
      <c r="M433" s="2">
        <v>0</v>
      </c>
      <c r="N433" s="2">
        <v>175</v>
      </c>
      <c r="O433">
        <v>1</v>
      </c>
      <c r="P433" s="2">
        <v>175</v>
      </c>
      <c r="R433" t="s">
        <v>2447</v>
      </c>
    </row>
    <row r="434" spans="1:18" x14ac:dyDescent="0.25">
      <c r="A434" s="4" t="s">
        <v>2194</v>
      </c>
      <c r="B434" s="4" t="str">
        <f t="shared" si="9"/>
        <v>00025647185KOVR</v>
      </c>
      <c r="C434" t="s">
        <v>825</v>
      </c>
      <c r="D434" t="s">
        <v>805</v>
      </c>
      <c r="E434">
        <v>20411454</v>
      </c>
      <c r="F434" t="s">
        <v>2477</v>
      </c>
      <c r="G434" t="s">
        <v>49</v>
      </c>
      <c r="H434" t="s">
        <v>58</v>
      </c>
      <c r="I434" s="1">
        <v>46023</v>
      </c>
      <c r="J434" s="1">
        <v>46054</v>
      </c>
      <c r="K434" t="s">
        <v>51</v>
      </c>
      <c r="L434" t="s">
        <v>52</v>
      </c>
      <c r="M434" s="2">
        <v>0</v>
      </c>
      <c r="N434" s="2">
        <v>175</v>
      </c>
      <c r="O434">
        <v>1</v>
      </c>
      <c r="P434" s="2">
        <v>175</v>
      </c>
      <c r="R434" t="s">
        <v>2447</v>
      </c>
    </row>
    <row r="435" spans="1:18" x14ac:dyDescent="0.25">
      <c r="A435" s="4" t="s">
        <v>2195</v>
      </c>
      <c r="B435" s="4" t="str">
        <f t="shared" si="9"/>
        <v>00025648659KOVR</v>
      </c>
      <c r="C435" t="s">
        <v>827</v>
      </c>
      <c r="D435" t="s">
        <v>61</v>
      </c>
      <c r="E435">
        <v>20411454</v>
      </c>
      <c r="F435" t="s">
        <v>2477</v>
      </c>
      <c r="G435" t="s">
        <v>49</v>
      </c>
      <c r="H435" t="s">
        <v>58</v>
      </c>
      <c r="I435" s="1">
        <v>46023</v>
      </c>
      <c r="J435" s="1">
        <v>46054</v>
      </c>
      <c r="K435" t="s">
        <v>51</v>
      </c>
      <c r="L435" t="s">
        <v>52</v>
      </c>
      <c r="M435" s="2">
        <v>0</v>
      </c>
      <c r="N435" s="2">
        <v>175</v>
      </c>
      <c r="O435">
        <v>1</v>
      </c>
      <c r="P435" s="2">
        <v>175</v>
      </c>
      <c r="R435" t="s">
        <v>2447</v>
      </c>
    </row>
    <row r="436" spans="1:18" x14ac:dyDescent="0.25">
      <c r="A436" s="4" t="s">
        <v>2196</v>
      </c>
      <c r="B436" s="4" t="str">
        <f t="shared" si="9"/>
        <v>00025655277KOVR</v>
      </c>
      <c r="C436" t="s">
        <v>829</v>
      </c>
      <c r="D436" t="s">
        <v>46</v>
      </c>
      <c r="E436">
        <v>20411454</v>
      </c>
      <c r="F436" t="s">
        <v>2477</v>
      </c>
      <c r="G436" t="s">
        <v>49</v>
      </c>
      <c r="H436" t="s">
        <v>58</v>
      </c>
      <c r="I436" s="1">
        <v>46023</v>
      </c>
      <c r="J436" s="1">
        <v>46054</v>
      </c>
      <c r="K436" t="s">
        <v>51</v>
      </c>
      <c r="L436" t="s">
        <v>52</v>
      </c>
      <c r="M436" s="2">
        <v>0</v>
      </c>
      <c r="N436" s="2">
        <v>175</v>
      </c>
      <c r="O436">
        <v>1</v>
      </c>
      <c r="P436" s="2">
        <v>175</v>
      </c>
      <c r="R436" t="s">
        <v>2447</v>
      </c>
    </row>
    <row r="437" spans="1:18" x14ac:dyDescent="0.25">
      <c r="A437" s="4" t="s">
        <v>2197</v>
      </c>
      <c r="B437" s="4" t="str">
        <f t="shared" si="9"/>
        <v>00025656606KOVR</v>
      </c>
      <c r="C437" t="s">
        <v>831</v>
      </c>
      <c r="D437" t="s">
        <v>46</v>
      </c>
      <c r="E437">
        <v>20411454</v>
      </c>
      <c r="F437" t="s">
        <v>2477</v>
      </c>
      <c r="G437" t="s">
        <v>49</v>
      </c>
      <c r="H437" t="s">
        <v>58</v>
      </c>
      <c r="I437" s="1">
        <v>46023</v>
      </c>
      <c r="J437" s="1">
        <v>46054</v>
      </c>
      <c r="K437" t="s">
        <v>51</v>
      </c>
      <c r="L437" t="s">
        <v>52</v>
      </c>
      <c r="M437" s="2">
        <v>0</v>
      </c>
      <c r="N437" s="2">
        <v>175</v>
      </c>
      <c r="O437">
        <v>1</v>
      </c>
      <c r="P437" s="2">
        <v>175</v>
      </c>
      <c r="R437" t="s">
        <v>2447</v>
      </c>
    </row>
    <row r="438" spans="1:18" x14ac:dyDescent="0.25">
      <c r="A438" s="4" t="s">
        <v>2198</v>
      </c>
      <c r="B438" s="4" t="str">
        <f t="shared" si="9"/>
        <v>00025656966KOVR</v>
      </c>
      <c r="C438" t="s">
        <v>833</v>
      </c>
      <c r="D438" t="s">
        <v>403</v>
      </c>
      <c r="E438">
        <v>20411454</v>
      </c>
      <c r="F438" t="s">
        <v>2477</v>
      </c>
      <c r="G438" t="s">
        <v>49</v>
      </c>
      <c r="H438" t="s">
        <v>58</v>
      </c>
      <c r="I438" s="1">
        <v>46023</v>
      </c>
      <c r="J438" s="1">
        <v>46054</v>
      </c>
      <c r="K438" t="s">
        <v>51</v>
      </c>
      <c r="L438" t="s">
        <v>52</v>
      </c>
      <c r="M438" s="2">
        <v>0</v>
      </c>
      <c r="N438" s="2">
        <v>175</v>
      </c>
      <c r="O438">
        <v>1</v>
      </c>
      <c r="P438" s="2">
        <v>175</v>
      </c>
      <c r="R438" t="s">
        <v>2447</v>
      </c>
    </row>
    <row r="439" spans="1:18" x14ac:dyDescent="0.25">
      <c r="A439" s="4" t="s">
        <v>2199</v>
      </c>
      <c r="B439" s="4" t="str">
        <f t="shared" si="9"/>
        <v>00025657551KOVR</v>
      </c>
      <c r="C439" t="s">
        <v>835</v>
      </c>
      <c r="D439" t="s">
        <v>46</v>
      </c>
      <c r="E439">
        <v>20411454</v>
      </c>
      <c r="F439" t="s">
        <v>2477</v>
      </c>
      <c r="G439" t="s">
        <v>49</v>
      </c>
      <c r="H439" t="s">
        <v>58</v>
      </c>
      <c r="I439" s="1">
        <v>46023</v>
      </c>
      <c r="J439" s="1">
        <v>46054</v>
      </c>
      <c r="K439" t="s">
        <v>51</v>
      </c>
      <c r="L439" t="s">
        <v>52</v>
      </c>
      <c r="M439" s="2">
        <v>0</v>
      </c>
      <c r="N439" s="2">
        <v>175</v>
      </c>
      <c r="O439">
        <v>1</v>
      </c>
      <c r="P439" s="2">
        <v>175</v>
      </c>
      <c r="R439" t="s">
        <v>2447</v>
      </c>
    </row>
    <row r="440" spans="1:18" x14ac:dyDescent="0.25">
      <c r="A440" s="4" t="s">
        <v>2200</v>
      </c>
      <c r="B440" s="4" t="str">
        <f t="shared" si="9"/>
        <v>00025660543KOVR</v>
      </c>
      <c r="C440" t="s">
        <v>837</v>
      </c>
      <c r="D440" t="s">
        <v>61</v>
      </c>
      <c r="E440">
        <v>20411454</v>
      </c>
      <c r="F440" t="s">
        <v>2477</v>
      </c>
      <c r="G440" t="s">
        <v>49</v>
      </c>
      <c r="H440" t="s">
        <v>58</v>
      </c>
      <c r="I440" s="1">
        <v>46023</v>
      </c>
      <c r="J440" s="1">
        <v>46054</v>
      </c>
      <c r="K440" t="s">
        <v>51</v>
      </c>
      <c r="L440" t="s">
        <v>52</v>
      </c>
      <c r="M440" s="2">
        <v>0</v>
      </c>
      <c r="N440" s="2">
        <v>175</v>
      </c>
      <c r="O440">
        <v>1</v>
      </c>
      <c r="P440" s="2">
        <v>175</v>
      </c>
      <c r="R440" t="s">
        <v>2447</v>
      </c>
    </row>
    <row r="441" spans="1:18" x14ac:dyDescent="0.25">
      <c r="A441" s="4" t="s">
        <v>2201</v>
      </c>
      <c r="B441" s="4" t="str">
        <f t="shared" si="9"/>
        <v>00025662226KOVR</v>
      </c>
      <c r="C441" t="s">
        <v>841</v>
      </c>
      <c r="D441" t="s">
        <v>217</v>
      </c>
      <c r="E441">
        <v>20411454</v>
      </c>
      <c r="F441" t="s">
        <v>2477</v>
      </c>
      <c r="G441" t="s">
        <v>49</v>
      </c>
      <c r="H441" t="s">
        <v>58</v>
      </c>
      <c r="I441" s="1">
        <v>46023</v>
      </c>
      <c r="J441" s="1">
        <v>46054</v>
      </c>
      <c r="K441" t="s">
        <v>51</v>
      </c>
      <c r="L441" t="s">
        <v>52</v>
      </c>
      <c r="M441" s="2">
        <v>0</v>
      </c>
      <c r="N441" s="2">
        <v>175</v>
      </c>
      <c r="O441">
        <v>1</v>
      </c>
      <c r="P441" s="2">
        <v>175</v>
      </c>
      <c r="R441" t="s">
        <v>2447</v>
      </c>
    </row>
    <row r="442" spans="1:18" x14ac:dyDescent="0.25">
      <c r="A442" s="4" t="s">
        <v>2202</v>
      </c>
      <c r="B442" s="4" t="str">
        <f t="shared" si="9"/>
        <v>00025664300KOVR</v>
      </c>
      <c r="C442" t="s">
        <v>843</v>
      </c>
      <c r="D442" t="s">
        <v>46</v>
      </c>
      <c r="E442">
        <v>20411454</v>
      </c>
      <c r="F442" t="s">
        <v>2477</v>
      </c>
      <c r="G442" t="s">
        <v>49</v>
      </c>
      <c r="H442" t="s">
        <v>58</v>
      </c>
      <c r="I442" s="1">
        <v>46023</v>
      </c>
      <c r="J442" s="1">
        <v>46054</v>
      </c>
      <c r="K442" t="s">
        <v>51</v>
      </c>
      <c r="L442" t="s">
        <v>52</v>
      </c>
      <c r="M442" s="2">
        <v>0</v>
      </c>
      <c r="N442" s="2">
        <v>175</v>
      </c>
      <c r="O442">
        <v>1</v>
      </c>
      <c r="P442" s="2">
        <v>175</v>
      </c>
      <c r="R442" t="s">
        <v>2447</v>
      </c>
    </row>
    <row r="443" spans="1:18" x14ac:dyDescent="0.25">
      <c r="A443" s="4" t="s">
        <v>2203</v>
      </c>
      <c r="B443" s="4" t="str">
        <f t="shared" si="9"/>
        <v>00025665666KOVR</v>
      </c>
      <c r="C443" t="s">
        <v>845</v>
      </c>
      <c r="D443" t="s">
        <v>55</v>
      </c>
      <c r="E443">
        <v>20411454</v>
      </c>
      <c r="F443" t="s">
        <v>2477</v>
      </c>
      <c r="G443" t="s">
        <v>49</v>
      </c>
      <c r="H443" t="s">
        <v>58</v>
      </c>
      <c r="I443" s="1">
        <v>46023</v>
      </c>
      <c r="J443" s="1">
        <v>46054</v>
      </c>
      <c r="K443" t="s">
        <v>51</v>
      </c>
      <c r="L443" t="s">
        <v>52</v>
      </c>
      <c r="M443" s="2">
        <v>0</v>
      </c>
      <c r="N443" s="2">
        <v>175</v>
      </c>
      <c r="O443">
        <v>1</v>
      </c>
      <c r="P443" s="2">
        <v>175</v>
      </c>
      <c r="R443" t="s">
        <v>2447</v>
      </c>
    </row>
    <row r="444" spans="1:18" x14ac:dyDescent="0.25">
      <c r="A444" s="4" t="s">
        <v>2204</v>
      </c>
      <c r="B444" s="4" t="str">
        <f t="shared" si="9"/>
        <v>00025667226KOVR</v>
      </c>
      <c r="C444" t="s">
        <v>849</v>
      </c>
      <c r="D444" t="s">
        <v>158</v>
      </c>
      <c r="E444">
        <v>20411454</v>
      </c>
      <c r="F444" t="s">
        <v>2477</v>
      </c>
      <c r="G444" t="s">
        <v>49</v>
      </c>
      <c r="H444" t="s">
        <v>58</v>
      </c>
      <c r="I444" s="1">
        <v>46023</v>
      </c>
      <c r="J444" s="1">
        <v>46054</v>
      </c>
      <c r="K444" t="s">
        <v>51</v>
      </c>
      <c r="L444" t="s">
        <v>52</v>
      </c>
      <c r="M444" s="2">
        <v>0</v>
      </c>
      <c r="N444" s="2">
        <v>175</v>
      </c>
      <c r="O444">
        <v>1</v>
      </c>
      <c r="P444" s="2">
        <v>175</v>
      </c>
      <c r="R444" t="s">
        <v>2447</v>
      </c>
    </row>
    <row r="445" spans="1:18" x14ac:dyDescent="0.25">
      <c r="A445" s="4" t="s">
        <v>2205</v>
      </c>
      <c r="B445" s="4" t="str">
        <f t="shared" si="9"/>
        <v>00025668077KOVR</v>
      </c>
      <c r="C445" t="s">
        <v>851</v>
      </c>
      <c r="D445" t="s">
        <v>46</v>
      </c>
      <c r="E445">
        <v>20411454</v>
      </c>
      <c r="F445" t="s">
        <v>2477</v>
      </c>
      <c r="G445" t="s">
        <v>49</v>
      </c>
      <c r="H445" t="s">
        <v>58</v>
      </c>
      <c r="I445" s="1">
        <v>46023</v>
      </c>
      <c r="J445" s="1">
        <v>46054</v>
      </c>
      <c r="K445" t="s">
        <v>51</v>
      </c>
      <c r="L445" t="s">
        <v>52</v>
      </c>
      <c r="M445" s="2">
        <v>0</v>
      </c>
      <c r="N445" s="2">
        <v>175</v>
      </c>
      <c r="O445">
        <v>1</v>
      </c>
      <c r="P445" s="2">
        <v>175</v>
      </c>
      <c r="R445" t="s">
        <v>2447</v>
      </c>
    </row>
    <row r="446" spans="1:18" x14ac:dyDescent="0.25">
      <c r="A446" s="4" t="s">
        <v>2206</v>
      </c>
      <c r="B446" s="4" t="str">
        <f t="shared" si="9"/>
        <v>00025671349KOVR</v>
      </c>
      <c r="C446" t="s">
        <v>855</v>
      </c>
      <c r="D446" t="s">
        <v>61</v>
      </c>
      <c r="E446">
        <v>20411454</v>
      </c>
      <c r="F446" t="s">
        <v>2477</v>
      </c>
      <c r="G446" t="s">
        <v>49</v>
      </c>
      <c r="H446" t="s">
        <v>58</v>
      </c>
      <c r="I446" s="1">
        <v>46023</v>
      </c>
      <c r="J446" s="1">
        <v>46054</v>
      </c>
      <c r="K446" t="s">
        <v>51</v>
      </c>
      <c r="L446" t="s">
        <v>52</v>
      </c>
      <c r="M446" s="2">
        <v>0</v>
      </c>
      <c r="N446" s="2">
        <v>175</v>
      </c>
      <c r="O446">
        <v>1</v>
      </c>
      <c r="P446" s="2">
        <v>175</v>
      </c>
      <c r="R446" t="s">
        <v>2447</v>
      </c>
    </row>
    <row r="447" spans="1:18" x14ac:dyDescent="0.25">
      <c r="A447" s="4" t="s">
        <v>2207</v>
      </c>
      <c r="B447" s="4" t="str">
        <f t="shared" si="9"/>
        <v>00025671959KOVR</v>
      </c>
      <c r="C447" t="s">
        <v>857</v>
      </c>
      <c r="D447" t="s">
        <v>46</v>
      </c>
      <c r="E447">
        <v>20411454</v>
      </c>
      <c r="F447" t="s">
        <v>2477</v>
      </c>
      <c r="G447" t="s">
        <v>49</v>
      </c>
      <c r="H447" t="s">
        <v>58</v>
      </c>
      <c r="I447" s="1">
        <v>46023</v>
      </c>
      <c r="J447" s="1">
        <v>46054</v>
      </c>
      <c r="K447" t="s">
        <v>51</v>
      </c>
      <c r="L447" t="s">
        <v>52</v>
      </c>
      <c r="M447" s="2">
        <v>0</v>
      </c>
      <c r="N447" s="2">
        <v>175</v>
      </c>
      <c r="O447">
        <v>1</v>
      </c>
      <c r="P447" s="2">
        <v>175</v>
      </c>
      <c r="R447" t="s">
        <v>2447</v>
      </c>
    </row>
    <row r="448" spans="1:18" x14ac:dyDescent="0.25">
      <c r="A448" s="4" t="s">
        <v>2208</v>
      </c>
      <c r="B448" s="4" t="str">
        <f t="shared" si="9"/>
        <v>00025672310KOVR</v>
      </c>
      <c r="C448" t="s">
        <v>859</v>
      </c>
      <c r="D448" t="s">
        <v>46</v>
      </c>
      <c r="E448">
        <v>20411454</v>
      </c>
      <c r="F448" t="s">
        <v>2477</v>
      </c>
      <c r="G448" t="s">
        <v>49</v>
      </c>
      <c r="H448" t="s">
        <v>58</v>
      </c>
      <c r="I448" s="1">
        <v>46023</v>
      </c>
      <c r="J448" s="1">
        <v>46054</v>
      </c>
      <c r="K448" t="s">
        <v>51</v>
      </c>
      <c r="L448" t="s">
        <v>52</v>
      </c>
      <c r="M448" s="2">
        <v>0</v>
      </c>
      <c r="N448" s="2">
        <v>175</v>
      </c>
      <c r="O448">
        <v>1</v>
      </c>
      <c r="P448" s="2">
        <v>175</v>
      </c>
      <c r="R448" t="s">
        <v>2447</v>
      </c>
    </row>
    <row r="449" spans="1:18" x14ac:dyDescent="0.25">
      <c r="A449" s="4" t="s">
        <v>2209</v>
      </c>
      <c r="B449" s="4" t="str">
        <f t="shared" si="9"/>
        <v>00025679073KOVR</v>
      </c>
      <c r="C449" t="s">
        <v>861</v>
      </c>
      <c r="D449" t="s">
        <v>46</v>
      </c>
      <c r="E449">
        <v>20411454</v>
      </c>
      <c r="F449" t="s">
        <v>2477</v>
      </c>
      <c r="G449" t="s">
        <v>49</v>
      </c>
      <c r="H449" t="s">
        <v>58</v>
      </c>
      <c r="I449" s="1">
        <v>46023</v>
      </c>
      <c r="J449" s="1">
        <v>46054</v>
      </c>
      <c r="K449" t="s">
        <v>51</v>
      </c>
      <c r="L449" t="s">
        <v>52</v>
      </c>
      <c r="M449" s="2">
        <v>0</v>
      </c>
      <c r="N449" s="2">
        <v>175</v>
      </c>
      <c r="O449">
        <v>1</v>
      </c>
      <c r="P449" s="2">
        <v>175</v>
      </c>
      <c r="R449" t="s">
        <v>2447</v>
      </c>
    </row>
    <row r="450" spans="1:18" x14ac:dyDescent="0.25">
      <c r="A450" s="4" t="s">
        <v>2210</v>
      </c>
      <c r="B450" s="4" t="str">
        <f t="shared" si="9"/>
        <v>00025679150KOVR</v>
      </c>
      <c r="C450" t="s">
        <v>863</v>
      </c>
      <c r="D450" t="s">
        <v>46</v>
      </c>
      <c r="E450">
        <v>20411454</v>
      </c>
      <c r="F450" t="s">
        <v>2477</v>
      </c>
      <c r="G450" t="s">
        <v>49</v>
      </c>
      <c r="H450" t="s">
        <v>58</v>
      </c>
      <c r="I450" s="1">
        <v>46023</v>
      </c>
      <c r="J450" s="1">
        <v>46054</v>
      </c>
      <c r="K450" t="s">
        <v>51</v>
      </c>
      <c r="L450" t="s">
        <v>52</v>
      </c>
      <c r="M450" s="2">
        <v>0</v>
      </c>
      <c r="N450" s="2">
        <v>175</v>
      </c>
      <c r="O450">
        <v>1</v>
      </c>
      <c r="P450" s="2">
        <v>175</v>
      </c>
      <c r="R450" t="s">
        <v>2447</v>
      </c>
    </row>
    <row r="451" spans="1:18" x14ac:dyDescent="0.25">
      <c r="A451" s="4" t="s">
        <v>2211</v>
      </c>
      <c r="B451" s="4" t="str">
        <f t="shared" si="9"/>
        <v>00025683415KOVR</v>
      </c>
      <c r="C451" t="s">
        <v>865</v>
      </c>
      <c r="D451" t="s">
        <v>46</v>
      </c>
      <c r="E451">
        <v>20411454</v>
      </c>
      <c r="F451" t="s">
        <v>2477</v>
      </c>
      <c r="G451" t="s">
        <v>49</v>
      </c>
      <c r="H451" t="s">
        <v>58</v>
      </c>
      <c r="I451" s="1">
        <v>46023</v>
      </c>
      <c r="J451" s="1">
        <v>46054</v>
      </c>
      <c r="K451" t="s">
        <v>51</v>
      </c>
      <c r="L451" t="s">
        <v>52</v>
      </c>
      <c r="M451" s="2">
        <v>0</v>
      </c>
      <c r="N451" s="2">
        <v>175</v>
      </c>
      <c r="O451">
        <v>1</v>
      </c>
      <c r="P451" s="2">
        <v>175</v>
      </c>
      <c r="R451" t="s">
        <v>2447</v>
      </c>
    </row>
    <row r="452" spans="1:18" x14ac:dyDescent="0.25">
      <c r="A452" s="4" t="s">
        <v>2212</v>
      </c>
      <c r="B452" s="4" t="str">
        <f t="shared" si="9"/>
        <v>00025683508KOVR</v>
      </c>
      <c r="C452" t="s">
        <v>867</v>
      </c>
      <c r="D452" t="s">
        <v>155</v>
      </c>
      <c r="E452">
        <v>20411454</v>
      </c>
      <c r="F452" t="s">
        <v>2477</v>
      </c>
      <c r="G452" t="s">
        <v>49</v>
      </c>
      <c r="H452" t="s">
        <v>58</v>
      </c>
      <c r="I452" s="1">
        <v>46023</v>
      </c>
      <c r="J452" s="1">
        <v>46054</v>
      </c>
      <c r="K452" t="s">
        <v>51</v>
      </c>
      <c r="L452" t="s">
        <v>52</v>
      </c>
      <c r="M452" s="2">
        <v>0</v>
      </c>
      <c r="N452" s="2">
        <v>175</v>
      </c>
      <c r="O452">
        <v>1</v>
      </c>
      <c r="P452" s="2">
        <v>175</v>
      </c>
      <c r="R452" t="s">
        <v>2447</v>
      </c>
    </row>
    <row r="453" spans="1:18" x14ac:dyDescent="0.25">
      <c r="A453" s="4" t="s">
        <v>2213</v>
      </c>
      <c r="B453" s="4" t="str">
        <f t="shared" si="9"/>
        <v>00025687383KOVR</v>
      </c>
      <c r="C453" t="s">
        <v>869</v>
      </c>
      <c r="D453" t="s">
        <v>870</v>
      </c>
      <c r="E453">
        <v>20411454</v>
      </c>
      <c r="F453" t="s">
        <v>2477</v>
      </c>
      <c r="G453" t="s">
        <v>49</v>
      </c>
      <c r="H453" t="s">
        <v>58</v>
      </c>
      <c r="I453" s="1">
        <v>46023</v>
      </c>
      <c r="J453" s="1">
        <v>46054</v>
      </c>
      <c r="K453" t="s">
        <v>51</v>
      </c>
      <c r="L453" t="s">
        <v>52</v>
      </c>
      <c r="M453" s="2">
        <v>0</v>
      </c>
      <c r="N453" s="2">
        <v>175</v>
      </c>
      <c r="O453">
        <v>1</v>
      </c>
      <c r="P453" s="2">
        <v>175</v>
      </c>
      <c r="R453" t="s">
        <v>2447</v>
      </c>
    </row>
    <row r="454" spans="1:18" x14ac:dyDescent="0.25">
      <c r="A454" s="4" t="s">
        <v>2214</v>
      </c>
      <c r="B454" s="4" t="str">
        <f t="shared" si="9"/>
        <v>00025687431KOVR</v>
      </c>
      <c r="C454" t="s">
        <v>872</v>
      </c>
      <c r="D454" t="s">
        <v>46</v>
      </c>
      <c r="E454">
        <v>20411454</v>
      </c>
      <c r="F454" t="s">
        <v>2477</v>
      </c>
      <c r="G454" t="s">
        <v>49</v>
      </c>
      <c r="H454" t="s">
        <v>58</v>
      </c>
      <c r="I454" s="1">
        <v>46023</v>
      </c>
      <c r="J454" s="1">
        <v>46054</v>
      </c>
      <c r="K454" t="s">
        <v>51</v>
      </c>
      <c r="L454" t="s">
        <v>52</v>
      </c>
      <c r="M454" s="2">
        <v>0</v>
      </c>
      <c r="N454" s="2">
        <v>175</v>
      </c>
      <c r="O454">
        <v>1</v>
      </c>
      <c r="P454" s="2">
        <v>175</v>
      </c>
      <c r="R454" t="s">
        <v>2447</v>
      </c>
    </row>
    <row r="455" spans="1:18" x14ac:dyDescent="0.25">
      <c r="A455" s="4" t="s">
        <v>2215</v>
      </c>
      <c r="B455" s="4" t="str">
        <f t="shared" si="9"/>
        <v>00025688496KOVR</v>
      </c>
      <c r="C455" t="s">
        <v>874</v>
      </c>
      <c r="D455" t="s">
        <v>55</v>
      </c>
      <c r="E455">
        <v>20411454</v>
      </c>
      <c r="F455" t="s">
        <v>2477</v>
      </c>
      <c r="G455" t="s">
        <v>49</v>
      </c>
      <c r="H455" t="s">
        <v>58</v>
      </c>
      <c r="I455" s="1">
        <v>46023</v>
      </c>
      <c r="J455" s="1">
        <v>46054</v>
      </c>
      <c r="K455" t="s">
        <v>51</v>
      </c>
      <c r="L455" t="s">
        <v>52</v>
      </c>
      <c r="M455" s="2">
        <v>0</v>
      </c>
      <c r="N455" s="2">
        <v>175</v>
      </c>
      <c r="O455">
        <v>1</v>
      </c>
      <c r="P455" s="2">
        <v>175</v>
      </c>
      <c r="R455" t="s">
        <v>2447</v>
      </c>
    </row>
    <row r="456" spans="1:18" x14ac:dyDescent="0.25">
      <c r="A456" s="4" t="s">
        <v>2216</v>
      </c>
      <c r="B456" s="4" t="str">
        <f t="shared" si="9"/>
        <v>00025689622KOVR</v>
      </c>
      <c r="C456" t="s">
        <v>876</v>
      </c>
      <c r="D456" t="s">
        <v>46</v>
      </c>
      <c r="E456">
        <v>20411454</v>
      </c>
      <c r="F456" t="s">
        <v>2477</v>
      </c>
      <c r="G456" t="s">
        <v>49</v>
      </c>
      <c r="H456" t="s">
        <v>58</v>
      </c>
      <c r="I456" s="1">
        <v>46023</v>
      </c>
      <c r="J456" s="1">
        <v>46054</v>
      </c>
      <c r="K456" t="s">
        <v>51</v>
      </c>
      <c r="L456" t="s">
        <v>52</v>
      </c>
      <c r="M456" s="2">
        <v>0</v>
      </c>
      <c r="N456" s="2">
        <v>175</v>
      </c>
      <c r="O456">
        <v>1</v>
      </c>
      <c r="P456" s="2">
        <v>175</v>
      </c>
      <c r="R456" t="s">
        <v>2447</v>
      </c>
    </row>
    <row r="457" spans="1:18" x14ac:dyDescent="0.25">
      <c r="A457" s="4" t="s">
        <v>2217</v>
      </c>
      <c r="B457" s="4" t="str">
        <f t="shared" si="9"/>
        <v>00025689742KOVR</v>
      </c>
      <c r="C457" t="s">
        <v>878</v>
      </c>
      <c r="D457" t="s">
        <v>46</v>
      </c>
      <c r="E457">
        <v>20411454</v>
      </c>
      <c r="F457" t="s">
        <v>2477</v>
      </c>
      <c r="G457" t="s">
        <v>49</v>
      </c>
      <c r="H457" t="s">
        <v>58</v>
      </c>
      <c r="I457" s="1">
        <v>46023</v>
      </c>
      <c r="J457" s="1">
        <v>46054</v>
      </c>
      <c r="K457" t="s">
        <v>51</v>
      </c>
      <c r="L457" t="s">
        <v>52</v>
      </c>
      <c r="M457" s="2">
        <v>0</v>
      </c>
      <c r="N457" s="2">
        <v>175</v>
      </c>
      <c r="O457">
        <v>1</v>
      </c>
      <c r="P457" s="2">
        <v>175</v>
      </c>
      <c r="R457" t="s">
        <v>2447</v>
      </c>
    </row>
    <row r="458" spans="1:18" x14ac:dyDescent="0.25">
      <c r="A458" s="4" t="s">
        <v>2218</v>
      </c>
      <c r="B458" s="4" t="str">
        <f t="shared" si="9"/>
        <v>00025690483KOVR</v>
      </c>
      <c r="C458" t="s">
        <v>880</v>
      </c>
      <c r="D458" t="s">
        <v>46</v>
      </c>
      <c r="E458">
        <v>20411454</v>
      </c>
      <c r="F458" t="s">
        <v>2477</v>
      </c>
      <c r="G458" t="s">
        <v>49</v>
      </c>
      <c r="H458" t="s">
        <v>58</v>
      </c>
      <c r="I458" s="1">
        <v>46023</v>
      </c>
      <c r="J458" s="1">
        <v>46054</v>
      </c>
      <c r="K458" t="s">
        <v>51</v>
      </c>
      <c r="L458" t="s">
        <v>52</v>
      </c>
      <c r="M458" s="2">
        <v>0</v>
      </c>
      <c r="N458" s="2">
        <v>175</v>
      </c>
      <c r="O458">
        <v>1</v>
      </c>
      <c r="P458" s="2">
        <v>175</v>
      </c>
      <c r="R458" t="s">
        <v>2447</v>
      </c>
    </row>
    <row r="459" spans="1:18" x14ac:dyDescent="0.25">
      <c r="A459" s="4" t="s">
        <v>2219</v>
      </c>
      <c r="B459" s="4" t="str">
        <f t="shared" si="9"/>
        <v>00025691191KOVR</v>
      </c>
      <c r="C459" t="s">
        <v>882</v>
      </c>
      <c r="D459" t="s">
        <v>46</v>
      </c>
      <c r="E459">
        <v>20411454</v>
      </c>
      <c r="F459" t="s">
        <v>2477</v>
      </c>
      <c r="G459" t="s">
        <v>49</v>
      </c>
      <c r="H459" t="s">
        <v>58</v>
      </c>
      <c r="I459" s="1">
        <v>46023</v>
      </c>
      <c r="J459" s="1">
        <v>46054</v>
      </c>
      <c r="K459" t="s">
        <v>51</v>
      </c>
      <c r="L459" t="s">
        <v>52</v>
      </c>
      <c r="M459" s="2">
        <v>0</v>
      </c>
      <c r="N459" s="2">
        <v>175</v>
      </c>
      <c r="O459">
        <v>1</v>
      </c>
      <c r="P459" s="2">
        <v>175</v>
      </c>
      <c r="R459" t="s">
        <v>2447</v>
      </c>
    </row>
    <row r="460" spans="1:18" x14ac:dyDescent="0.25">
      <c r="A460" s="4" t="s">
        <v>2220</v>
      </c>
      <c r="B460" s="4" t="str">
        <f t="shared" si="9"/>
        <v>00025691711KOVR</v>
      </c>
      <c r="C460" t="s">
        <v>884</v>
      </c>
      <c r="D460" t="s">
        <v>570</v>
      </c>
      <c r="E460">
        <v>20411454</v>
      </c>
      <c r="F460" t="s">
        <v>2477</v>
      </c>
      <c r="G460" t="s">
        <v>49</v>
      </c>
      <c r="H460" t="s">
        <v>58</v>
      </c>
      <c r="I460" s="1">
        <v>46023</v>
      </c>
      <c r="J460" s="1">
        <v>46054</v>
      </c>
      <c r="K460" t="s">
        <v>51</v>
      </c>
      <c r="L460" t="s">
        <v>52</v>
      </c>
      <c r="M460" s="2">
        <v>0</v>
      </c>
      <c r="N460" s="2">
        <v>175</v>
      </c>
      <c r="O460">
        <v>1</v>
      </c>
      <c r="P460" s="2">
        <v>175</v>
      </c>
      <c r="R460" t="s">
        <v>2447</v>
      </c>
    </row>
    <row r="461" spans="1:18" x14ac:dyDescent="0.25">
      <c r="A461" s="4" t="s">
        <v>2221</v>
      </c>
      <c r="B461" s="4" t="str">
        <f t="shared" si="9"/>
        <v>00025694740KOVR</v>
      </c>
      <c r="C461" t="s">
        <v>886</v>
      </c>
      <c r="D461" t="s">
        <v>265</v>
      </c>
      <c r="E461">
        <v>20411454</v>
      </c>
      <c r="F461" t="s">
        <v>2477</v>
      </c>
      <c r="G461" t="s">
        <v>49</v>
      </c>
      <c r="H461" t="s">
        <v>58</v>
      </c>
      <c r="I461" s="1">
        <v>46023</v>
      </c>
      <c r="J461" s="1">
        <v>46054</v>
      </c>
      <c r="K461" t="s">
        <v>51</v>
      </c>
      <c r="L461" t="s">
        <v>52</v>
      </c>
      <c r="M461" s="2">
        <v>0</v>
      </c>
      <c r="N461" s="2">
        <v>175</v>
      </c>
      <c r="O461">
        <v>1</v>
      </c>
      <c r="P461" s="2">
        <v>175</v>
      </c>
      <c r="R461" t="s">
        <v>2447</v>
      </c>
    </row>
    <row r="462" spans="1:18" x14ac:dyDescent="0.25">
      <c r="A462" s="4" t="s">
        <v>2222</v>
      </c>
      <c r="B462" s="4" t="str">
        <f t="shared" ref="B462:B525" si="10">CONCATENATE(A462,"OVR")</f>
        <v>00025696735KOVR</v>
      </c>
      <c r="C462" t="s">
        <v>890</v>
      </c>
      <c r="D462" t="s">
        <v>46</v>
      </c>
      <c r="E462">
        <v>20411454</v>
      </c>
      <c r="F462" t="s">
        <v>2477</v>
      </c>
      <c r="G462" t="s">
        <v>49</v>
      </c>
      <c r="H462" t="s">
        <v>58</v>
      </c>
      <c r="I462" s="1">
        <v>46023</v>
      </c>
      <c r="J462" s="1">
        <v>46054</v>
      </c>
      <c r="K462" t="s">
        <v>51</v>
      </c>
      <c r="L462" t="s">
        <v>52</v>
      </c>
      <c r="M462" s="2">
        <v>0</v>
      </c>
      <c r="N462" s="2">
        <v>175</v>
      </c>
      <c r="O462">
        <v>1</v>
      </c>
      <c r="P462" s="2">
        <v>175</v>
      </c>
      <c r="R462" t="s">
        <v>2447</v>
      </c>
    </row>
    <row r="463" spans="1:18" x14ac:dyDescent="0.25">
      <c r="A463" s="4" t="s">
        <v>2223</v>
      </c>
      <c r="B463" s="4" t="str">
        <f t="shared" si="10"/>
        <v>00025697687KOVR</v>
      </c>
      <c r="C463" t="s">
        <v>892</v>
      </c>
      <c r="D463" t="s">
        <v>61</v>
      </c>
      <c r="E463">
        <v>20411454</v>
      </c>
      <c r="F463" t="s">
        <v>2477</v>
      </c>
      <c r="G463" t="s">
        <v>49</v>
      </c>
      <c r="H463" t="s">
        <v>58</v>
      </c>
      <c r="I463" s="1">
        <v>46023</v>
      </c>
      <c r="J463" s="1">
        <v>46054</v>
      </c>
      <c r="K463" t="s">
        <v>51</v>
      </c>
      <c r="L463" t="s">
        <v>52</v>
      </c>
      <c r="M463" s="2">
        <v>0</v>
      </c>
      <c r="N463" s="2">
        <v>175</v>
      </c>
      <c r="O463">
        <v>1</v>
      </c>
      <c r="P463" s="2">
        <v>175</v>
      </c>
      <c r="R463" t="s">
        <v>2447</v>
      </c>
    </row>
    <row r="464" spans="1:18" x14ac:dyDescent="0.25">
      <c r="A464" s="4" t="s">
        <v>2224</v>
      </c>
      <c r="B464" s="4" t="str">
        <f t="shared" si="10"/>
        <v>00025700285KOVR</v>
      </c>
      <c r="C464" t="s">
        <v>896</v>
      </c>
      <c r="D464" t="s">
        <v>155</v>
      </c>
      <c r="E464">
        <v>20411454</v>
      </c>
      <c r="F464" t="s">
        <v>2477</v>
      </c>
      <c r="G464" t="s">
        <v>49</v>
      </c>
      <c r="H464" t="s">
        <v>58</v>
      </c>
      <c r="I464" s="1">
        <v>46023</v>
      </c>
      <c r="J464" s="1">
        <v>46054</v>
      </c>
      <c r="K464" t="s">
        <v>51</v>
      </c>
      <c r="L464" t="s">
        <v>52</v>
      </c>
      <c r="M464" s="2">
        <v>0</v>
      </c>
      <c r="N464" s="2">
        <v>175</v>
      </c>
      <c r="O464">
        <v>1</v>
      </c>
      <c r="P464" s="2">
        <v>175</v>
      </c>
      <c r="R464" t="s">
        <v>2447</v>
      </c>
    </row>
    <row r="465" spans="1:18" x14ac:dyDescent="0.25">
      <c r="A465" s="4" t="s">
        <v>2225</v>
      </c>
      <c r="B465" s="4" t="str">
        <f t="shared" si="10"/>
        <v>00025701687KOVR</v>
      </c>
      <c r="C465" t="s">
        <v>898</v>
      </c>
      <c r="D465" t="s">
        <v>46</v>
      </c>
      <c r="E465">
        <v>20411454</v>
      </c>
      <c r="F465" t="s">
        <v>2477</v>
      </c>
      <c r="G465" t="s">
        <v>49</v>
      </c>
      <c r="H465" t="s">
        <v>58</v>
      </c>
      <c r="I465" s="1">
        <v>46023</v>
      </c>
      <c r="J465" s="1">
        <v>46054</v>
      </c>
      <c r="K465" t="s">
        <v>51</v>
      </c>
      <c r="L465" t="s">
        <v>52</v>
      </c>
      <c r="M465" s="2">
        <v>0</v>
      </c>
      <c r="N465" s="2">
        <v>175</v>
      </c>
      <c r="O465">
        <v>1</v>
      </c>
      <c r="P465" s="2">
        <v>175</v>
      </c>
      <c r="R465" t="s">
        <v>2447</v>
      </c>
    </row>
    <row r="466" spans="1:18" x14ac:dyDescent="0.25">
      <c r="A466" s="4" t="s">
        <v>2226</v>
      </c>
      <c r="B466" s="4" t="str">
        <f t="shared" si="10"/>
        <v>00025702286KOVR</v>
      </c>
      <c r="C466" t="s">
        <v>900</v>
      </c>
      <c r="D466" t="s">
        <v>46</v>
      </c>
      <c r="E466">
        <v>20411454</v>
      </c>
      <c r="F466" t="s">
        <v>2477</v>
      </c>
      <c r="G466" t="s">
        <v>49</v>
      </c>
      <c r="H466" t="s">
        <v>58</v>
      </c>
      <c r="I466" s="1">
        <v>46023</v>
      </c>
      <c r="J466" s="1">
        <v>46054</v>
      </c>
      <c r="K466" t="s">
        <v>51</v>
      </c>
      <c r="L466" t="s">
        <v>52</v>
      </c>
      <c r="M466" s="2">
        <v>0</v>
      </c>
      <c r="N466" s="2">
        <v>175</v>
      </c>
      <c r="O466">
        <v>1</v>
      </c>
      <c r="P466" s="2">
        <v>175</v>
      </c>
      <c r="R466" t="s">
        <v>2447</v>
      </c>
    </row>
    <row r="467" spans="1:18" x14ac:dyDescent="0.25">
      <c r="A467" s="4" t="s">
        <v>2227</v>
      </c>
      <c r="B467" s="4" t="str">
        <f t="shared" si="10"/>
        <v>00025702313KOVR</v>
      </c>
      <c r="C467" t="s">
        <v>902</v>
      </c>
      <c r="D467" t="s">
        <v>217</v>
      </c>
      <c r="E467">
        <v>20411454</v>
      </c>
      <c r="F467" t="s">
        <v>2477</v>
      </c>
      <c r="G467" t="s">
        <v>49</v>
      </c>
      <c r="H467" t="s">
        <v>58</v>
      </c>
      <c r="I467" s="1">
        <v>46023</v>
      </c>
      <c r="J467" s="1">
        <v>46054</v>
      </c>
      <c r="K467" t="s">
        <v>51</v>
      </c>
      <c r="L467" t="s">
        <v>52</v>
      </c>
      <c r="M467" s="2">
        <v>0</v>
      </c>
      <c r="N467" s="2">
        <v>175</v>
      </c>
      <c r="O467">
        <v>1</v>
      </c>
      <c r="P467" s="2">
        <v>175</v>
      </c>
      <c r="R467" t="s">
        <v>2447</v>
      </c>
    </row>
    <row r="468" spans="1:18" x14ac:dyDescent="0.25">
      <c r="A468" s="4" t="s">
        <v>2228</v>
      </c>
      <c r="B468" s="4" t="str">
        <f t="shared" si="10"/>
        <v>00025704306KOVR</v>
      </c>
      <c r="C468" t="s">
        <v>904</v>
      </c>
      <c r="D468" t="s">
        <v>55</v>
      </c>
      <c r="E468">
        <v>20411454</v>
      </c>
      <c r="F468" t="s">
        <v>2477</v>
      </c>
      <c r="G468" t="s">
        <v>49</v>
      </c>
      <c r="H468" t="s">
        <v>58</v>
      </c>
      <c r="I468" s="1">
        <v>46023</v>
      </c>
      <c r="J468" s="1">
        <v>46054</v>
      </c>
      <c r="K468" t="s">
        <v>51</v>
      </c>
      <c r="L468" t="s">
        <v>52</v>
      </c>
      <c r="M468" s="2">
        <v>0</v>
      </c>
      <c r="N468" s="2">
        <v>175</v>
      </c>
      <c r="O468">
        <v>1</v>
      </c>
      <c r="P468" s="2">
        <v>175</v>
      </c>
      <c r="R468" t="s">
        <v>2447</v>
      </c>
    </row>
    <row r="469" spans="1:18" x14ac:dyDescent="0.25">
      <c r="A469" s="4" t="s">
        <v>2229</v>
      </c>
      <c r="B469" s="4" t="str">
        <f t="shared" si="10"/>
        <v>00025705993KOVR</v>
      </c>
      <c r="C469" t="s">
        <v>906</v>
      </c>
      <c r="D469" t="s">
        <v>78</v>
      </c>
      <c r="E469">
        <v>20411454</v>
      </c>
      <c r="F469" t="s">
        <v>2477</v>
      </c>
      <c r="G469" t="s">
        <v>49</v>
      </c>
      <c r="H469" t="s">
        <v>58</v>
      </c>
      <c r="I469" s="1">
        <v>46023</v>
      </c>
      <c r="J469" s="1">
        <v>46054</v>
      </c>
      <c r="K469" t="s">
        <v>51</v>
      </c>
      <c r="L469" t="s">
        <v>52</v>
      </c>
      <c r="M469" s="2">
        <v>0</v>
      </c>
      <c r="N469" s="2">
        <v>175</v>
      </c>
      <c r="O469">
        <v>1</v>
      </c>
      <c r="P469" s="2">
        <v>175</v>
      </c>
      <c r="R469" t="s">
        <v>2447</v>
      </c>
    </row>
    <row r="470" spans="1:18" x14ac:dyDescent="0.25">
      <c r="A470" s="4" t="s">
        <v>2230</v>
      </c>
      <c r="B470" s="4" t="str">
        <f t="shared" si="10"/>
        <v>00025711080KOVR</v>
      </c>
      <c r="C470" t="s">
        <v>908</v>
      </c>
      <c r="D470" t="s">
        <v>46</v>
      </c>
      <c r="E470">
        <v>20411454</v>
      </c>
      <c r="F470" t="s">
        <v>2477</v>
      </c>
      <c r="G470" t="s">
        <v>49</v>
      </c>
      <c r="H470" t="s">
        <v>58</v>
      </c>
      <c r="I470" s="1">
        <v>46023</v>
      </c>
      <c r="J470" s="1">
        <v>46054</v>
      </c>
      <c r="K470" t="s">
        <v>51</v>
      </c>
      <c r="L470" t="s">
        <v>52</v>
      </c>
      <c r="M470" s="2">
        <v>0</v>
      </c>
      <c r="N470" s="2">
        <v>175</v>
      </c>
      <c r="O470">
        <v>1</v>
      </c>
      <c r="P470" s="2">
        <v>175</v>
      </c>
      <c r="R470" t="s">
        <v>2447</v>
      </c>
    </row>
    <row r="471" spans="1:18" x14ac:dyDescent="0.25">
      <c r="A471" s="4" t="s">
        <v>2231</v>
      </c>
      <c r="B471" s="4" t="str">
        <f t="shared" si="10"/>
        <v>00025714219KOVR</v>
      </c>
      <c r="C471" t="s">
        <v>910</v>
      </c>
      <c r="D471" t="s">
        <v>55</v>
      </c>
      <c r="E471">
        <v>20411454</v>
      </c>
      <c r="F471" t="s">
        <v>2477</v>
      </c>
      <c r="G471" t="s">
        <v>49</v>
      </c>
      <c r="H471" t="s">
        <v>58</v>
      </c>
      <c r="I471" s="1">
        <v>46023</v>
      </c>
      <c r="J471" s="1">
        <v>46054</v>
      </c>
      <c r="K471" t="s">
        <v>51</v>
      </c>
      <c r="L471" t="s">
        <v>52</v>
      </c>
      <c r="M471" s="2">
        <v>0</v>
      </c>
      <c r="N471" s="2">
        <v>175</v>
      </c>
      <c r="O471">
        <v>1</v>
      </c>
      <c r="P471" s="2">
        <v>175</v>
      </c>
      <c r="R471" t="s">
        <v>2447</v>
      </c>
    </row>
    <row r="472" spans="1:18" x14ac:dyDescent="0.25">
      <c r="A472" s="4" t="s">
        <v>2232</v>
      </c>
      <c r="B472" s="4" t="str">
        <f t="shared" si="10"/>
        <v>00025715339KOVR</v>
      </c>
      <c r="C472" t="s">
        <v>912</v>
      </c>
      <c r="D472" t="s">
        <v>350</v>
      </c>
      <c r="E472">
        <v>20411454</v>
      </c>
      <c r="F472" t="s">
        <v>2477</v>
      </c>
      <c r="G472" t="s">
        <v>49</v>
      </c>
      <c r="H472" t="s">
        <v>58</v>
      </c>
      <c r="I472" s="1">
        <v>46023</v>
      </c>
      <c r="J472" s="1">
        <v>46054</v>
      </c>
      <c r="K472" t="s">
        <v>51</v>
      </c>
      <c r="L472" t="s">
        <v>52</v>
      </c>
      <c r="M472" s="2">
        <v>0</v>
      </c>
      <c r="N472" s="2">
        <v>175</v>
      </c>
      <c r="O472">
        <v>1</v>
      </c>
      <c r="P472" s="2">
        <v>175</v>
      </c>
      <c r="R472" t="s">
        <v>2447</v>
      </c>
    </row>
    <row r="473" spans="1:18" x14ac:dyDescent="0.25">
      <c r="A473" s="4" t="s">
        <v>2233</v>
      </c>
      <c r="B473" s="4" t="str">
        <f t="shared" si="10"/>
        <v>00025715531KOVR</v>
      </c>
      <c r="C473" t="s">
        <v>914</v>
      </c>
      <c r="D473" t="s">
        <v>46</v>
      </c>
      <c r="E473">
        <v>20411454</v>
      </c>
      <c r="F473" t="s">
        <v>2477</v>
      </c>
      <c r="G473" t="s">
        <v>49</v>
      </c>
      <c r="H473" t="s">
        <v>58</v>
      </c>
      <c r="I473" s="1">
        <v>46023</v>
      </c>
      <c r="J473" s="1">
        <v>46054</v>
      </c>
      <c r="K473" t="s">
        <v>51</v>
      </c>
      <c r="L473" t="s">
        <v>52</v>
      </c>
      <c r="M473" s="2">
        <v>0</v>
      </c>
      <c r="N473" s="2">
        <v>175</v>
      </c>
      <c r="O473">
        <v>1</v>
      </c>
      <c r="P473" s="2">
        <v>175</v>
      </c>
      <c r="R473" t="s">
        <v>2447</v>
      </c>
    </row>
    <row r="474" spans="1:18" x14ac:dyDescent="0.25">
      <c r="A474" s="4" t="s">
        <v>2234</v>
      </c>
      <c r="B474" s="4" t="str">
        <f t="shared" si="10"/>
        <v>00025717129KOVR</v>
      </c>
      <c r="C474" t="s">
        <v>916</v>
      </c>
      <c r="D474" t="s">
        <v>189</v>
      </c>
      <c r="E474">
        <v>20411454</v>
      </c>
      <c r="F474" t="s">
        <v>2477</v>
      </c>
      <c r="G474" t="s">
        <v>49</v>
      </c>
      <c r="H474" t="s">
        <v>58</v>
      </c>
      <c r="I474" s="1">
        <v>46023</v>
      </c>
      <c r="J474" s="1">
        <v>46054</v>
      </c>
      <c r="K474" t="s">
        <v>51</v>
      </c>
      <c r="L474" t="s">
        <v>52</v>
      </c>
      <c r="M474" s="2">
        <v>0</v>
      </c>
      <c r="N474" s="2">
        <v>175</v>
      </c>
      <c r="O474">
        <v>1</v>
      </c>
      <c r="P474" s="2">
        <v>175</v>
      </c>
      <c r="R474" t="s">
        <v>2447</v>
      </c>
    </row>
    <row r="475" spans="1:18" x14ac:dyDescent="0.25">
      <c r="A475" s="4" t="s">
        <v>2235</v>
      </c>
      <c r="B475" s="4" t="str">
        <f t="shared" si="10"/>
        <v>00025718520KOVR</v>
      </c>
      <c r="C475" t="s">
        <v>918</v>
      </c>
      <c r="D475" t="s">
        <v>46</v>
      </c>
      <c r="E475">
        <v>20411454</v>
      </c>
      <c r="F475" t="s">
        <v>2477</v>
      </c>
      <c r="G475" t="s">
        <v>49</v>
      </c>
      <c r="H475" t="s">
        <v>58</v>
      </c>
      <c r="I475" s="1">
        <v>46023</v>
      </c>
      <c r="J475" s="1">
        <v>46054</v>
      </c>
      <c r="K475" t="s">
        <v>51</v>
      </c>
      <c r="L475" t="s">
        <v>52</v>
      </c>
      <c r="M475" s="2">
        <v>0</v>
      </c>
      <c r="N475" s="2">
        <v>175</v>
      </c>
      <c r="O475">
        <v>1</v>
      </c>
      <c r="P475" s="2">
        <v>175</v>
      </c>
      <c r="R475" t="s">
        <v>2447</v>
      </c>
    </row>
    <row r="476" spans="1:18" x14ac:dyDescent="0.25">
      <c r="A476" s="4" t="s">
        <v>2236</v>
      </c>
      <c r="B476" s="4" t="str">
        <f t="shared" si="10"/>
        <v>00025721094KOVR</v>
      </c>
      <c r="C476" t="s">
        <v>920</v>
      </c>
      <c r="D476" t="s">
        <v>46</v>
      </c>
      <c r="E476">
        <v>20411454</v>
      </c>
      <c r="F476" t="s">
        <v>2477</v>
      </c>
      <c r="G476" t="s">
        <v>49</v>
      </c>
      <c r="H476" t="s">
        <v>58</v>
      </c>
      <c r="I476" s="1">
        <v>46023</v>
      </c>
      <c r="J476" s="1">
        <v>46054</v>
      </c>
      <c r="K476" t="s">
        <v>51</v>
      </c>
      <c r="L476" t="s">
        <v>52</v>
      </c>
      <c r="M476" s="2">
        <v>0</v>
      </c>
      <c r="N476" s="2">
        <v>175</v>
      </c>
      <c r="O476">
        <v>1</v>
      </c>
      <c r="P476" s="2">
        <v>175</v>
      </c>
      <c r="R476" t="s">
        <v>2447</v>
      </c>
    </row>
    <row r="477" spans="1:18" x14ac:dyDescent="0.25">
      <c r="A477" s="4" t="s">
        <v>2237</v>
      </c>
      <c r="B477" s="4" t="str">
        <f t="shared" si="10"/>
        <v>00025727822KOVR</v>
      </c>
      <c r="C477" t="s">
        <v>922</v>
      </c>
      <c r="D477" t="s">
        <v>350</v>
      </c>
      <c r="E477">
        <v>20411454</v>
      </c>
      <c r="F477" t="s">
        <v>2477</v>
      </c>
      <c r="G477" t="s">
        <v>49</v>
      </c>
      <c r="H477" t="s">
        <v>58</v>
      </c>
      <c r="I477" s="1">
        <v>46023</v>
      </c>
      <c r="J477" s="1">
        <v>46054</v>
      </c>
      <c r="K477" t="s">
        <v>51</v>
      </c>
      <c r="L477" t="s">
        <v>52</v>
      </c>
      <c r="M477" s="2">
        <v>0</v>
      </c>
      <c r="N477" s="2">
        <v>175</v>
      </c>
      <c r="O477">
        <v>1</v>
      </c>
      <c r="P477" s="2">
        <v>175</v>
      </c>
      <c r="R477" t="s">
        <v>2447</v>
      </c>
    </row>
    <row r="478" spans="1:18" x14ac:dyDescent="0.25">
      <c r="A478" s="4" t="s">
        <v>2238</v>
      </c>
      <c r="B478" s="4" t="str">
        <f t="shared" si="10"/>
        <v>00025728691KOVR</v>
      </c>
      <c r="C478" t="s">
        <v>924</v>
      </c>
      <c r="D478" t="s">
        <v>46</v>
      </c>
      <c r="E478">
        <v>20411454</v>
      </c>
      <c r="F478" t="s">
        <v>2477</v>
      </c>
      <c r="G478" t="s">
        <v>49</v>
      </c>
      <c r="H478" t="s">
        <v>58</v>
      </c>
      <c r="I478" s="1">
        <v>46023</v>
      </c>
      <c r="J478" s="1">
        <v>46054</v>
      </c>
      <c r="K478" t="s">
        <v>51</v>
      </c>
      <c r="L478" t="s">
        <v>52</v>
      </c>
      <c r="M478" s="2">
        <v>0</v>
      </c>
      <c r="N478" s="2">
        <v>175</v>
      </c>
      <c r="O478">
        <v>1</v>
      </c>
      <c r="P478" s="2">
        <v>175</v>
      </c>
      <c r="R478" t="s">
        <v>2447</v>
      </c>
    </row>
    <row r="479" spans="1:18" x14ac:dyDescent="0.25">
      <c r="A479" s="4" t="s">
        <v>2239</v>
      </c>
      <c r="B479" s="4" t="str">
        <f t="shared" si="10"/>
        <v>00025730882KOVR</v>
      </c>
      <c r="C479" t="s">
        <v>926</v>
      </c>
      <c r="D479" t="s">
        <v>46</v>
      </c>
      <c r="E479">
        <v>20411454</v>
      </c>
      <c r="F479" t="s">
        <v>2477</v>
      </c>
      <c r="G479" t="s">
        <v>49</v>
      </c>
      <c r="H479" t="s">
        <v>58</v>
      </c>
      <c r="I479" s="1">
        <v>46023</v>
      </c>
      <c r="J479" s="1">
        <v>46054</v>
      </c>
      <c r="K479" t="s">
        <v>51</v>
      </c>
      <c r="L479" t="s">
        <v>52</v>
      </c>
      <c r="M479" s="2">
        <v>0</v>
      </c>
      <c r="N479" s="2">
        <v>175</v>
      </c>
      <c r="O479">
        <v>1</v>
      </c>
      <c r="P479" s="2">
        <v>175</v>
      </c>
      <c r="R479" t="s">
        <v>2447</v>
      </c>
    </row>
    <row r="480" spans="1:18" x14ac:dyDescent="0.25">
      <c r="A480" s="4" t="s">
        <v>2240</v>
      </c>
      <c r="B480" s="4" t="str">
        <f t="shared" si="10"/>
        <v>00025731181KOVR</v>
      </c>
      <c r="C480" t="s">
        <v>928</v>
      </c>
      <c r="D480" t="s">
        <v>87</v>
      </c>
      <c r="E480">
        <v>20411454</v>
      </c>
      <c r="F480" t="s">
        <v>2477</v>
      </c>
      <c r="G480" t="s">
        <v>49</v>
      </c>
      <c r="H480" t="s">
        <v>58</v>
      </c>
      <c r="I480" s="1">
        <v>46023</v>
      </c>
      <c r="J480" s="1">
        <v>46054</v>
      </c>
      <c r="K480" t="s">
        <v>51</v>
      </c>
      <c r="L480" t="s">
        <v>52</v>
      </c>
      <c r="M480" s="2">
        <v>0</v>
      </c>
      <c r="N480" s="2">
        <v>175</v>
      </c>
      <c r="O480">
        <v>1</v>
      </c>
      <c r="P480" s="2">
        <v>175</v>
      </c>
      <c r="R480" t="s">
        <v>2447</v>
      </c>
    </row>
    <row r="481" spans="1:18" x14ac:dyDescent="0.25">
      <c r="A481" s="4" t="s">
        <v>2241</v>
      </c>
      <c r="B481" s="4" t="str">
        <f t="shared" si="10"/>
        <v>00025732747KOVR</v>
      </c>
      <c r="C481" t="s">
        <v>930</v>
      </c>
      <c r="D481" t="s">
        <v>46</v>
      </c>
      <c r="E481">
        <v>20411454</v>
      </c>
      <c r="F481" t="s">
        <v>2477</v>
      </c>
      <c r="G481" t="s">
        <v>49</v>
      </c>
      <c r="H481" t="s">
        <v>58</v>
      </c>
      <c r="I481" s="1">
        <v>46023</v>
      </c>
      <c r="J481" s="1">
        <v>46054</v>
      </c>
      <c r="K481" t="s">
        <v>51</v>
      </c>
      <c r="L481" t="s">
        <v>52</v>
      </c>
      <c r="M481" s="2">
        <v>0</v>
      </c>
      <c r="N481" s="2">
        <v>175</v>
      </c>
      <c r="O481">
        <v>1</v>
      </c>
      <c r="P481" s="2">
        <v>175</v>
      </c>
      <c r="R481" t="s">
        <v>2447</v>
      </c>
    </row>
    <row r="482" spans="1:18" x14ac:dyDescent="0.25">
      <c r="A482" s="4" t="s">
        <v>2242</v>
      </c>
      <c r="B482" s="4" t="str">
        <f t="shared" si="10"/>
        <v>00025732784KOVR</v>
      </c>
      <c r="C482" t="s">
        <v>932</v>
      </c>
      <c r="D482" t="s">
        <v>46</v>
      </c>
      <c r="E482">
        <v>20411454</v>
      </c>
      <c r="F482" t="s">
        <v>2477</v>
      </c>
      <c r="G482" t="s">
        <v>49</v>
      </c>
      <c r="H482" t="s">
        <v>58</v>
      </c>
      <c r="I482" s="1">
        <v>46023</v>
      </c>
      <c r="J482" s="1">
        <v>46054</v>
      </c>
      <c r="K482" t="s">
        <v>51</v>
      </c>
      <c r="L482" t="s">
        <v>52</v>
      </c>
      <c r="M482" s="2">
        <v>0</v>
      </c>
      <c r="N482" s="2">
        <v>175</v>
      </c>
      <c r="O482">
        <v>1</v>
      </c>
      <c r="P482" s="2">
        <v>175</v>
      </c>
      <c r="R482" t="s">
        <v>2447</v>
      </c>
    </row>
    <row r="483" spans="1:18" x14ac:dyDescent="0.25">
      <c r="A483" s="4" t="s">
        <v>2243</v>
      </c>
      <c r="B483" s="4" t="str">
        <f t="shared" si="10"/>
        <v>00025733189KOVR</v>
      </c>
      <c r="C483" t="s">
        <v>934</v>
      </c>
      <c r="D483" t="s">
        <v>87</v>
      </c>
      <c r="E483">
        <v>20411454</v>
      </c>
      <c r="F483" t="s">
        <v>2477</v>
      </c>
      <c r="G483" t="s">
        <v>49</v>
      </c>
      <c r="H483" t="s">
        <v>58</v>
      </c>
      <c r="I483" s="1">
        <v>46023</v>
      </c>
      <c r="J483" s="1">
        <v>46054</v>
      </c>
      <c r="K483" t="s">
        <v>51</v>
      </c>
      <c r="L483" t="s">
        <v>52</v>
      </c>
      <c r="M483" s="2">
        <v>0</v>
      </c>
      <c r="N483" s="2">
        <v>175</v>
      </c>
      <c r="O483">
        <v>1</v>
      </c>
      <c r="P483" s="2">
        <v>175</v>
      </c>
      <c r="R483" t="s">
        <v>2447</v>
      </c>
    </row>
    <row r="484" spans="1:18" x14ac:dyDescent="0.25">
      <c r="A484" s="4" t="s">
        <v>2244</v>
      </c>
      <c r="B484" s="4" t="str">
        <f t="shared" si="10"/>
        <v>00025736695KOVR</v>
      </c>
      <c r="C484" t="s">
        <v>936</v>
      </c>
      <c r="D484" t="s">
        <v>46</v>
      </c>
      <c r="E484">
        <v>20411454</v>
      </c>
      <c r="F484" t="s">
        <v>2477</v>
      </c>
      <c r="G484" t="s">
        <v>49</v>
      </c>
      <c r="H484" t="s">
        <v>58</v>
      </c>
      <c r="I484" s="1">
        <v>46023</v>
      </c>
      <c r="J484" s="1">
        <v>46054</v>
      </c>
      <c r="K484" t="s">
        <v>51</v>
      </c>
      <c r="L484" t="s">
        <v>52</v>
      </c>
      <c r="M484" s="2">
        <v>0</v>
      </c>
      <c r="N484" s="2">
        <v>175</v>
      </c>
      <c r="O484">
        <v>1</v>
      </c>
      <c r="P484" s="2">
        <v>175</v>
      </c>
      <c r="R484" t="s">
        <v>2447</v>
      </c>
    </row>
    <row r="485" spans="1:18" x14ac:dyDescent="0.25">
      <c r="A485" s="4" t="s">
        <v>2245</v>
      </c>
      <c r="B485" s="4" t="str">
        <f t="shared" si="10"/>
        <v>00025737101KOVR</v>
      </c>
      <c r="C485" t="s">
        <v>938</v>
      </c>
      <c r="D485" t="s">
        <v>87</v>
      </c>
      <c r="E485">
        <v>20411454</v>
      </c>
      <c r="F485" t="s">
        <v>2477</v>
      </c>
      <c r="G485" t="s">
        <v>49</v>
      </c>
      <c r="H485" t="s">
        <v>58</v>
      </c>
      <c r="I485" s="1">
        <v>46023</v>
      </c>
      <c r="J485" s="1">
        <v>46054</v>
      </c>
      <c r="K485" t="s">
        <v>51</v>
      </c>
      <c r="L485" t="s">
        <v>52</v>
      </c>
      <c r="M485" s="2">
        <v>0</v>
      </c>
      <c r="N485" s="2">
        <v>175</v>
      </c>
      <c r="O485">
        <v>1</v>
      </c>
      <c r="P485" s="2">
        <v>175</v>
      </c>
      <c r="R485" t="s">
        <v>2447</v>
      </c>
    </row>
    <row r="486" spans="1:18" x14ac:dyDescent="0.25">
      <c r="A486" s="4" t="s">
        <v>2246</v>
      </c>
      <c r="B486" s="4" t="str">
        <f t="shared" si="10"/>
        <v>00025738654KOVR</v>
      </c>
      <c r="C486" t="s">
        <v>940</v>
      </c>
      <c r="D486" t="s">
        <v>217</v>
      </c>
      <c r="E486">
        <v>20411454</v>
      </c>
      <c r="F486" t="s">
        <v>2477</v>
      </c>
      <c r="G486" t="s">
        <v>49</v>
      </c>
      <c r="H486" t="s">
        <v>58</v>
      </c>
      <c r="I486" s="1">
        <v>46023</v>
      </c>
      <c r="J486" s="1">
        <v>46054</v>
      </c>
      <c r="K486" t="s">
        <v>51</v>
      </c>
      <c r="L486" t="s">
        <v>52</v>
      </c>
      <c r="M486" s="2">
        <v>0</v>
      </c>
      <c r="N486" s="2">
        <v>175</v>
      </c>
      <c r="O486">
        <v>1</v>
      </c>
      <c r="P486" s="2">
        <v>175</v>
      </c>
      <c r="R486" t="s">
        <v>2447</v>
      </c>
    </row>
    <row r="487" spans="1:18" x14ac:dyDescent="0.25">
      <c r="A487" s="4" t="s">
        <v>2247</v>
      </c>
      <c r="B487" s="4" t="str">
        <f t="shared" si="10"/>
        <v>00025738719KOVR</v>
      </c>
      <c r="C487" t="s">
        <v>942</v>
      </c>
      <c r="D487" t="s">
        <v>46</v>
      </c>
      <c r="E487">
        <v>20411454</v>
      </c>
      <c r="F487" t="s">
        <v>2477</v>
      </c>
      <c r="G487" t="s">
        <v>49</v>
      </c>
      <c r="H487" t="s">
        <v>58</v>
      </c>
      <c r="I487" s="1">
        <v>46023</v>
      </c>
      <c r="J487" s="1">
        <v>46054</v>
      </c>
      <c r="K487" t="s">
        <v>51</v>
      </c>
      <c r="L487" t="s">
        <v>52</v>
      </c>
      <c r="M487" s="2">
        <v>0</v>
      </c>
      <c r="N487" s="2">
        <v>175</v>
      </c>
      <c r="O487">
        <v>1</v>
      </c>
      <c r="P487" s="2">
        <v>175</v>
      </c>
      <c r="R487" t="s">
        <v>2447</v>
      </c>
    </row>
    <row r="488" spans="1:18" x14ac:dyDescent="0.25">
      <c r="A488" s="4" t="s">
        <v>2248</v>
      </c>
      <c r="B488" s="4" t="str">
        <f t="shared" si="10"/>
        <v>00025739103KOVR</v>
      </c>
      <c r="C488" t="s">
        <v>944</v>
      </c>
      <c r="D488" t="s">
        <v>87</v>
      </c>
      <c r="E488">
        <v>20411454</v>
      </c>
      <c r="F488" t="s">
        <v>2477</v>
      </c>
      <c r="G488" t="s">
        <v>49</v>
      </c>
      <c r="H488" t="s">
        <v>58</v>
      </c>
      <c r="I488" s="1">
        <v>46023</v>
      </c>
      <c r="J488" s="1">
        <v>46054</v>
      </c>
      <c r="K488" t="s">
        <v>51</v>
      </c>
      <c r="L488" t="s">
        <v>52</v>
      </c>
      <c r="M488" s="2">
        <v>0</v>
      </c>
      <c r="N488" s="2">
        <v>175</v>
      </c>
      <c r="O488">
        <v>1</v>
      </c>
      <c r="P488" s="2">
        <v>175</v>
      </c>
      <c r="R488" t="s">
        <v>2447</v>
      </c>
    </row>
    <row r="489" spans="1:18" x14ac:dyDescent="0.25">
      <c r="A489" s="4" t="s">
        <v>2249</v>
      </c>
      <c r="B489" s="4" t="str">
        <f t="shared" si="10"/>
        <v>00025739332KOVR</v>
      </c>
      <c r="C489" t="s">
        <v>946</v>
      </c>
      <c r="D489" t="s">
        <v>870</v>
      </c>
      <c r="E489">
        <v>20411454</v>
      </c>
      <c r="F489" t="s">
        <v>2477</v>
      </c>
      <c r="G489" t="s">
        <v>49</v>
      </c>
      <c r="H489" t="s">
        <v>58</v>
      </c>
      <c r="I489" s="1">
        <v>46023</v>
      </c>
      <c r="J489" s="1">
        <v>46054</v>
      </c>
      <c r="K489" t="s">
        <v>51</v>
      </c>
      <c r="L489" t="s">
        <v>52</v>
      </c>
      <c r="M489" s="2">
        <v>0</v>
      </c>
      <c r="N489" s="2">
        <v>175</v>
      </c>
      <c r="O489">
        <v>1</v>
      </c>
      <c r="P489" s="2">
        <v>175</v>
      </c>
      <c r="R489" t="s">
        <v>2447</v>
      </c>
    </row>
    <row r="490" spans="1:18" x14ac:dyDescent="0.25">
      <c r="A490" s="4" t="s">
        <v>2250</v>
      </c>
      <c r="B490" s="4" t="str">
        <f t="shared" si="10"/>
        <v>00025740596KOVR</v>
      </c>
      <c r="C490" t="s">
        <v>948</v>
      </c>
      <c r="D490" t="s">
        <v>217</v>
      </c>
      <c r="E490">
        <v>20411454</v>
      </c>
      <c r="F490" t="s">
        <v>2477</v>
      </c>
      <c r="G490" t="s">
        <v>49</v>
      </c>
      <c r="H490" t="s">
        <v>58</v>
      </c>
      <c r="I490" s="1">
        <v>46023</v>
      </c>
      <c r="J490" s="1">
        <v>46054</v>
      </c>
      <c r="K490" t="s">
        <v>51</v>
      </c>
      <c r="L490" t="s">
        <v>52</v>
      </c>
      <c r="M490" s="2">
        <v>0</v>
      </c>
      <c r="N490" s="2">
        <v>175</v>
      </c>
      <c r="O490">
        <v>1</v>
      </c>
      <c r="P490" s="2">
        <v>175</v>
      </c>
      <c r="R490" t="s">
        <v>2447</v>
      </c>
    </row>
    <row r="491" spans="1:18" x14ac:dyDescent="0.25">
      <c r="A491" s="4" t="s">
        <v>2251</v>
      </c>
      <c r="B491" s="4" t="str">
        <f t="shared" si="10"/>
        <v>00025741009KOVR</v>
      </c>
      <c r="C491" t="s">
        <v>950</v>
      </c>
      <c r="D491" t="s">
        <v>217</v>
      </c>
      <c r="E491">
        <v>20411454</v>
      </c>
      <c r="F491" t="s">
        <v>2477</v>
      </c>
      <c r="G491" t="s">
        <v>49</v>
      </c>
      <c r="H491" t="s">
        <v>58</v>
      </c>
      <c r="I491" s="1">
        <v>46023</v>
      </c>
      <c r="J491" s="1">
        <v>46054</v>
      </c>
      <c r="K491" t="s">
        <v>51</v>
      </c>
      <c r="L491" t="s">
        <v>52</v>
      </c>
      <c r="M491" s="2">
        <v>0</v>
      </c>
      <c r="N491" s="2">
        <v>175</v>
      </c>
      <c r="O491">
        <v>1</v>
      </c>
      <c r="P491" s="2">
        <v>175</v>
      </c>
      <c r="R491" t="s">
        <v>2447</v>
      </c>
    </row>
    <row r="492" spans="1:18" x14ac:dyDescent="0.25">
      <c r="A492" s="4" t="s">
        <v>2252</v>
      </c>
      <c r="B492" s="4" t="str">
        <f t="shared" si="10"/>
        <v>00025742651KOVR</v>
      </c>
      <c r="C492" t="s">
        <v>952</v>
      </c>
      <c r="D492" t="s">
        <v>217</v>
      </c>
      <c r="E492">
        <v>20411454</v>
      </c>
      <c r="F492" t="s">
        <v>2477</v>
      </c>
      <c r="G492" t="s">
        <v>49</v>
      </c>
      <c r="H492" t="s">
        <v>58</v>
      </c>
      <c r="I492" s="1">
        <v>46023</v>
      </c>
      <c r="J492" s="1">
        <v>46054</v>
      </c>
      <c r="K492" t="s">
        <v>51</v>
      </c>
      <c r="L492" t="s">
        <v>52</v>
      </c>
      <c r="M492" s="2">
        <v>0</v>
      </c>
      <c r="N492" s="2">
        <v>175</v>
      </c>
      <c r="O492">
        <v>1</v>
      </c>
      <c r="P492" s="2">
        <v>175</v>
      </c>
      <c r="R492" t="s">
        <v>2447</v>
      </c>
    </row>
    <row r="493" spans="1:18" x14ac:dyDescent="0.25">
      <c r="A493" s="4" t="s">
        <v>2253</v>
      </c>
      <c r="B493" s="4" t="str">
        <f t="shared" si="10"/>
        <v>00025743955KOVR</v>
      </c>
      <c r="C493" t="s">
        <v>954</v>
      </c>
      <c r="D493" t="s">
        <v>46</v>
      </c>
      <c r="E493">
        <v>20411454</v>
      </c>
      <c r="F493" t="s">
        <v>2477</v>
      </c>
      <c r="G493" t="s">
        <v>49</v>
      </c>
      <c r="H493" t="s">
        <v>58</v>
      </c>
      <c r="I493" s="1">
        <v>46023</v>
      </c>
      <c r="J493" s="1">
        <v>46054</v>
      </c>
      <c r="K493" t="s">
        <v>51</v>
      </c>
      <c r="L493" t="s">
        <v>52</v>
      </c>
      <c r="M493" s="2">
        <v>0</v>
      </c>
      <c r="N493" s="2">
        <v>175</v>
      </c>
      <c r="O493">
        <v>1</v>
      </c>
      <c r="P493" s="2">
        <v>175</v>
      </c>
      <c r="R493" t="s">
        <v>2447</v>
      </c>
    </row>
    <row r="494" spans="1:18" x14ac:dyDescent="0.25">
      <c r="A494" s="4" t="s">
        <v>2254</v>
      </c>
      <c r="B494" s="4" t="str">
        <f t="shared" si="10"/>
        <v>00025744468KOVR</v>
      </c>
      <c r="C494" t="s">
        <v>956</v>
      </c>
      <c r="D494" t="s">
        <v>46</v>
      </c>
      <c r="E494">
        <v>20411454</v>
      </c>
      <c r="F494" t="s">
        <v>2477</v>
      </c>
      <c r="G494" t="s">
        <v>49</v>
      </c>
      <c r="H494" t="s">
        <v>58</v>
      </c>
      <c r="I494" s="1">
        <v>46023</v>
      </c>
      <c r="J494" s="1">
        <v>46054</v>
      </c>
      <c r="K494" t="s">
        <v>51</v>
      </c>
      <c r="L494" t="s">
        <v>52</v>
      </c>
      <c r="M494" s="2">
        <v>0</v>
      </c>
      <c r="N494" s="2">
        <v>175</v>
      </c>
      <c r="O494">
        <v>1</v>
      </c>
      <c r="P494" s="2">
        <v>175</v>
      </c>
      <c r="R494" t="s">
        <v>2447</v>
      </c>
    </row>
    <row r="495" spans="1:18" x14ac:dyDescent="0.25">
      <c r="A495" s="4" t="s">
        <v>2480</v>
      </c>
      <c r="B495" s="4" t="str">
        <f t="shared" si="10"/>
        <v>00009949028KOVR</v>
      </c>
      <c r="C495" t="s">
        <v>1203</v>
      </c>
      <c r="D495" t="s">
        <v>46</v>
      </c>
      <c r="E495">
        <v>20411454</v>
      </c>
      <c r="F495" t="s">
        <v>2477</v>
      </c>
      <c r="G495" t="s">
        <v>1204</v>
      </c>
      <c r="H495" t="s">
        <v>58</v>
      </c>
      <c r="I495" s="1">
        <v>46023</v>
      </c>
      <c r="J495" s="1">
        <v>46054</v>
      </c>
      <c r="K495" t="s">
        <v>51</v>
      </c>
      <c r="L495" t="s">
        <v>52</v>
      </c>
      <c r="P495">
        <v>-175</v>
      </c>
      <c r="R495" t="s">
        <v>2447</v>
      </c>
    </row>
    <row r="496" spans="1:18" x14ac:dyDescent="0.25">
      <c r="A496" s="4" t="s">
        <v>2481</v>
      </c>
      <c r="B496" s="4" t="str">
        <f t="shared" si="10"/>
        <v>00015349324KOVR</v>
      </c>
      <c r="C496" t="s">
        <v>1208</v>
      </c>
      <c r="D496" t="s">
        <v>46</v>
      </c>
      <c r="E496">
        <v>20411454</v>
      </c>
      <c r="F496" t="s">
        <v>2477</v>
      </c>
      <c r="G496" t="s">
        <v>1204</v>
      </c>
      <c r="H496" t="s">
        <v>58</v>
      </c>
      <c r="I496" s="1">
        <v>46023</v>
      </c>
      <c r="J496" s="1">
        <v>46054</v>
      </c>
      <c r="K496" t="s">
        <v>51</v>
      </c>
      <c r="L496" t="s">
        <v>52</v>
      </c>
      <c r="P496">
        <v>-175</v>
      </c>
      <c r="R496" t="s">
        <v>2447</v>
      </c>
    </row>
    <row r="497" spans="1:18" x14ac:dyDescent="0.25">
      <c r="A497" s="4" t="s">
        <v>2482</v>
      </c>
      <c r="B497" s="4" t="str">
        <f t="shared" si="10"/>
        <v>00017029001KOVR</v>
      </c>
      <c r="C497" t="s">
        <v>1210</v>
      </c>
      <c r="D497" t="s">
        <v>403</v>
      </c>
      <c r="E497">
        <v>20411454</v>
      </c>
      <c r="F497" t="s">
        <v>2477</v>
      </c>
      <c r="G497" t="s">
        <v>1204</v>
      </c>
      <c r="H497" t="s">
        <v>58</v>
      </c>
      <c r="I497" s="1">
        <v>46023</v>
      </c>
      <c r="J497" s="1">
        <v>46054</v>
      </c>
      <c r="K497" t="s">
        <v>51</v>
      </c>
      <c r="L497" t="s">
        <v>52</v>
      </c>
      <c r="P497">
        <v>-175</v>
      </c>
      <c r="R497" t="s">
        <v>2447</v>
      </c>
    </row>
    <row r="498" spans="1:18" x14ac:dyDescent="0.25">
      <c r="A498" s="4" t="s">
        <v>2483</v>
      </c>
      <c r="B498" s="4" t="str">
        <f t="shared" si="10"/>
        <v>00021328483KOVR</v>
      </c>
      <c r="C498" t="s">
        <v>1213</v>
      </c>
      <c r="D498" t="s">
        <v>155</v>
      </c>
      <c r="E498">
        <v>20411454</v>
      </c>
      <c r="F498" t="s">
        <v>2477</v>
      </c>
      <c r="G498" t="s">
        <v>1204</v>
      </c>
      <c r="H498" t="s">
        <v>58</v>
      </c>
      <c r="I498" s="1">
        <v>46023</v>
      </c>
      <c r="J498" s="1">
        <v>46054</v>
      </c>
      <c r="K498" t="s">
        <v>51</v>
      </c>
      <c r="L498" t="s">
        <v>52</v>
      </c>
      <c r="P498">
        <v>-175</v>
      </c>
      <c r="R498" t="s">
        <v>2447</v>
      </c>
    </row>
    <row r="499" spans="1:18" x14ac:dyDescent="0.25">
      <c r="A499" s="4" t="s">
        <v>2484</v>
      </c>
      <c r="B499" s="4" t="str">
        <f t="shared" si="10"/>
        <v>00024120674KOVR</v>
      </c>
      <c r="C499" t="s">
        <v>1215</v>
      </c>
      <c r="D499" t="s">
        <v>46</v>
      </c>
      <c r="E499">
        <v>20411454</v>
      </c>
      <c r="F499" t="s">
        <v>2477</v>
      </c>
      <c r="G499" t="s">
        <v>1204</v>
      </c>
      <c r="H499" t="s">
        <v>58</v>
      </c>
      <c r="I499" s="1">
        <v>46023</v>
      </c>
      <c r="J499" s="1">
        <v>46054</v>
      </c>
      <c r="K499" t="s">
        <v>51</v>
      </c>
      <c r="L499" t="s">
        <v>52</v>
      </c>
      <c r="P499">
        <v>-175</v>
      </c>
      <c r="R499" t="s">
        <v>2447</v>
      </c>
    </row>
    <row r="500" spans="1:18" x14ac:dyDescent="0.25">
      <c r="A500" s="4" t="s">
        <v>2485</v>
      </c>
      <c r="B500" s="4" t="str">
        <f t="shared" si="10"/>
        <v>00024155669KOVR</v>
      </c>
      <c r="C500" t="s">
        <v>1217</v>
      </c>
      <c r="D500" t="s">
        <v>61</v>
      </c>
      <c r="E500">
        <v>20411454</v>
      </c>
      <c r="F500" t="s">
        <v>2477</v>
      </c>
      <c r="G500" t="s">
        <v>1204</v>
      </c>
      <c r="H500" t="s">
        <v>58</v>
      </c>
      <c r="I500" s="1">
        <v>46023</v>
      </c>
      <c r="J500" s="1">
        <v>46054</v>
      </c>
      <c r="K500" t="s">
        <v>51</v>
      </c>
      <c r="L500" t="s">
        <v>52</v>
      </c>
      <c r="P500">
        <v>-175</v>
      </c>
      <c r="R500" t="s">
        <v>2447</v>
      </c>
    </row>
    <row r="501" spans="1:18" x14ac:dyDescent="0.25">
      <c r="A501" s="4" t="s">
        <v>1999</v>
      </c>
      <c r="B501" s="4" t="str">
        <f t="shared" si="10"/>
        <v>00024215496KOVR</v>
      </c>
      <c r="C501" t="s">
        <v>396</v>
      </c>
      <c r="D501" t="s">
        <v>46</v>
      </c>
      <c r="E501">
        <v>20411454</v>
      </c>
      <c r="F501" t="s">
        <v>2477</v>
      </c>
      <c r="G501" t="s">
        <v>1204</v>
      </c>
      <c r="H501" t="s">
        <v>58</v>
      </c>
      <c r="I501" s="1">
        <v>46023</v>
      </c>
      <c r="J501" s="1">
        <v>46054</v>
      </c>
      <c r="K501" t="s">
        <v>51</v>
      </c>
      <c r="L501" t="s">
        <v>52</v>
      </c>
      <c r="P501">
        <v>-175</v>
      </c>
      <c r="R501" t="s">
        <v>2447</v>
      </c>
    </row>
    <row r="502" spans="1:18" x14ac:dyDescent="0.25">
      <c r="A502" s="4" t="s">
        <v>2486</v>
      </c>
      <c r="B502" s="4" t="str">
        <f t="shared" si="10"/>
        <v>00024228694KOVR</v>
      </c>
      <c r="C502" t="s">
        <v>1220</v>
      </c>
      <c r="D502" t="s">
        <v>55</v>
      </c>
      <c r="E502">
        <v>20411454</v>
      </c>
      <c r="F502" t="s">
        <v>2477</v>
      </c>
      <c r="G502" t="s">
        <v>1204</v>
      </c>
      <c r="H502" t="s">
        <v>58</v>
      </c>
      <c r="I502" s="1">
        <v>46023</v>
      </c>
      <c r="J502" s="1">
        <v>46054</v>
      </c>
      <c r="K502" t="s">
        <v>51</v>
      </c>
      <c r="L502" t="s">
        <v>52</v>
      </c>
      <c r="P502">
        <v>-175</v>
      </c>
      <c r="R502" t="s">
        <v>2447</v>
      </c>
    </row>
    <row r="503" spans="1:18" x14ac:dyDescent="0.25">
      <c r="A503" s="4" t="s">
        <v>2488</v>
      </c>
      <c r="B503" s="4" t="str">
        <f t="shared" si="10"/>
        <v>00024506657KOVR</v>
      </c>
      <c r="C503" t="s">
        <v>1227</v>
      </c>
      <c r="D503" t="s">
        <v>46</v>
      </c>
      <c r="E503">
        <v>20411454</v>
      </c>
      <c r="F503" t="s">
        <v>2477</v>
      </c>
      <c r="G503" t="s">
        <v>1204</v>
      </c>
      <c r="H503" t="s">
        <v>58</v>
      </c>
      <c r="I503" s="1">
        <v>46023</v>
      </c>
      <c r="J503" s="1">
        <v>46054</v>
      </c>
      <c r="K503" t="s">
        <v>51</v>
      </c>
      <c r="L503" t="s">
        <v>52</v>
      </c>
      <c r="P503">
        <v>-175</v>
      </c>
      <c r="R503" t="s">
        <v>2447</v>
      </c>
    </row>
    <row r="504" spans="1:18" x14ac:dyDescent="0.25">
      <c r="A504" s="4" t="s">
        <v>2489</v>
      </c>
      <c r="B504" s="4" t="str">
        <f t="shared" si="10"/>
        <v>00024586467KOVR</v>
      </c>
      <c r="C504" t="s">
        <v>1229</v>
      </c>
      <c r="D504" t="s">
        <v>55</v>
      </c>
      <c r="E504">
        <v>20411454</v>
      </c>
      <c r="F504" t="s">
        <v>2477</v>
      </c>
      <c r="G504" t="s">
        <v>1204</v>
      </c>
      <c r="H504" t="s">
        <v>58</v>
      </c>
      <c r="I504" s="1">
        <v>46023</v>
      </c>
      <c r="J504" s="1">
        <v>46054</v>
      </c>
      <c r="K504" t="s">
        <v>51</v>
      </c>
      <c r="L504" t="s">
        <v>52</v>
      </c>
      <c r="P504">
        <v>-175</v>
      </c>
      <c r="R504" t="s">
        <v>2447</v>
      </c>
    </row>
    <row r="505" spans="1:18" x14ac:dyDescent="0.25">
      <c r="A505" s="4" t="s">
        <v>2490</v>
      </c>
      <c r="B505" s="4" t="str">
        <f t="shared" si="10"/>
        <v>00024695043KOVR</v>
      </c>
      <c r="C505" t="s">
        <v>1233</v>
      </c>
      <c r="D505" t="s">
        <v>46</v>
      </c>
      <c r="E505">
        <v>20411454</v>
      </c>
      <c r="F505" t="s">
        <v>2477</v>
      </c>
      <c r="G505" t="s">
        <v>1204</v>
      </c>
      <c r="H505" t="s">
        <v>58</v>
      </c>
      <c r="I505" s="1">
        <v>46023</v>
      </c>
      <c r="J505" s="1">
        <v>46054</v>
      </c>
      <c r="K505" t="s">
        <v>51</v>
      </c>
      <c r="L505" t="s">
        <v>52</v>
      </c>
      <c r="P505">
        <v>-175</v>
      </c>
      <c r="R505" t="s">
        <v>2447</v>
      </c>
    </row>
    <row r="506" spans="1:18" x14ac:dyDescent="0.25">
      <c r="A506" s="4" t="s">
        <v>2491</v>
      </c>
      <c r="B506" s="4" t="str">
        <f t="shared" si="10"/>
        <v>00024879617KOVR</v>
      </c>
      <c r="C506" t="s">
        <v>1235</v>
      </c>
      <c r="D506" t="s">
        <v>46</v>
      </c>
      <c r="E506">
        <v>20411454</v>
      </c>
      <c r="F506" t="s">
        <v>2477</v>
      </c>
      <c r="G506" t="s">
        <v>1204</v>
      </c>
      <c r="H506" t="s">
        <v>58</v>
      </c>
      <c r="I506" s="1">
        <v>46023</v>
      </c>
      <c r="J506" s="1">
        <v>46054</v>
      </c>
      <c r="K506" t="s">
        <v>51</v>
      </c>
      <c r="L506" t="s">
        <v>52</v>
      </c>
      <c r="P506">
        <v>-175</v>
      </c>
      <c r="R506" t="s">
        <v>2447</v>
      </c>
    </row>
    <row r="507" spans="1:18" x14ac:dyDescent="0.25">
      <c r="A507" s="4" t="s">
        <v>1878</v>
      </c>
      <c r="B507" s="4" t="str">
        <f t="shared" si="10"/>
        <v>00000030335FOVR</v>
      </c>
      <c r="C507" t="s">
        <v>45</v>
      </c>
      <c r="D507" t="s">
        <v>46</v>
      </c>
      <c r="E507">
        <v>20411454</v>
      </c>
      <c r="F507" t="s">
        <v>2477</v>
      </c>
      <c r="G507" t="s">
        <v>49</v>
      </c>
      <c r="H507" t="s">
        <v>50</v>
      </c>
      <c r="I507" s="1">
        <v>46023</v>
      </c>
      <c r="J507" s="1">
        <v>46054</v>
      </c>
      <c r="K507" t="s">
        <v>51</v>
      </c>
      <c r="L507" t="s">
        <v>52</v>
      </c>
      <c r="M507" s="2">
        <v>0</v>
      </c>
      <c r="N507" s="2">
        <v>108</v>
      </c>
      <c r="O507">
        <v>1</v>
      </c>
      <c r="P507" s="2">
        <v>108</v>
      </c>
      <c r="R507" t="s">
        <v>2447</v>
      </c>
    </row>
    <row r="508" spans="1:18" x14ac:dyDescent="0.25">
      <c r="A508" s="4" t="s">
        <v>1895</v>
      </c>
      <c r="B508" s="4" t="str">
        <f t="shared" si="10"/>
        <v>00006953965KOVR</v>
      </c>
      <c r="C508" t="s">
        <v>113</v>
      </c>
      <c r="D508" t="s">
        <v>114</v>
      </c>
      <c r="E508">
        <v>20411454</v>
      </c>
      <c r="F508" t="s">
        <v>2477</v>
      </c>
      <c r="G508" t="s">
        <v>49</v>
      </c>
      <c r="H508" t="s">
        <v>50</v>
      </c>
      <c r="I508" s="1">
        <v>46023</v>
      </c>
      <c r="J508" s="1">
        <v>46054</v>
      </c>
      <c r="K508" t="s">
        <v>51</v>
      </c>
      <c r="L508" t="s">
        <v>52</v>
      </c>
      <c r="M508" s="2">
        <v>0</v>
      </c>
      <c r="N508" s="2">
        <v>108</v>
      </c>
      <c r="O508">
        <v>1</v>
      </c>
      <c r="P508" s="2">
        <v>108</v>
      </c>
      <c r="R508" t="s">
        <v>2447</v>
      </c>
    </row>
    <row r="509" spans="1:18" x14ac:dyDescent="0.25">
      <c r="A509" s="4" t="s">
        <v>1896</v>
      </c>
      <c r="B509" s="4" t="str">
        <f t="shared" si="10"/>
        <v>00007328933KOVR</v>
      </c>
      <c r="C509" t="s">
        <v>118</v>
      </c>
      <c r="D509" t="s">
        <v>46</v>
      </c>
      <c r="E509">
        <v>20411454</v>
      </c>
      <c r="F509" t="s">
        <v>2477</v>
      </c>
      <c r="G509" t="s">
        <v>49</v>
      </c>
      <c r="H509" t="s">
        <v>50</v>
      </c>
      <c r="I509" s="1">
        <v>46023</v>
      </c>
      <c r="J509" s="1">
        <v>46054</v>
      </c>
      <c r="K509" t="s">
        <v>51</v>
      </c>
      <c r="L509" t="s">
        <v>52</v>
      </c>
      <c r="M509" s="2">
        <v>0</v>
      </c>
      <c r="N509" s="2">
        <v>108</v>
      </c>
      <c r="O509">
        <v>1</v>
      </c>
      <c r="P509" s="2">
        <v>108</v>
      </c>
      <c r="R509" t="s">
        <v>2447</v>
      </c>
    </row>
    <row r="510" spans="1:18" x14ac:dyDescent="0.25">
      <c r="A510" s="4" t="s">
        <v>1899</v>
      </c>
      <c r="B510" s="4" t="str">
        <f t="shared" si="10"/>
        <v>00008035060KOVR</v>
      </c>
      <c r="C510" t="s">
        <v>124</v>
      </c>
      <c r="D510" t="s">
        <v>46</v>
      </c>
      <c r="E510">
        <v>20411454</v>
      </c>
      <c r="F510" t="s">
        <v>2477</v>
      </c>
      <c r="G510" t="s">
        <v>49</v>
      </c>
      <c r="H510" t="s">
        <v>50</v>
      </c>
      <c r="I510" s="1">
        <v>46023</v>
      </c>
      <c r="J510" s="1">
        <v>46054</v>
      </c>
      <c r="K510" t="s">
        <v>51</v>
      </c>
      <c r="L510" t="s">
        <v>52</v>
      </c>
      <c r="M510" s="2">
        <v>0</v>
      </c>
      <c r="N510" s="2">
        <v>108</v>
      </c>
      <c r="O510">
        <v>1</v>
      </c>
      <c r="P510" s="2">
        <v>108</v>
      </c>
      <c r="R510" t="s">
        <v>2447</v>
      </c>
    </row>
    <row r="511" spans="1:18" x14ac:dyDescent="0.25">
      <c r="A511" s="4" t="s">
        <v>1909</v>
      </c>
      <c r="B511" s="4" t="str">
        <f t="shared" si="10"/>
        <v>00009886382KOVR</v>
      </c>
      <c r="C511" t="s">
        <v>157</v>
      </c>
      <c r="D511" t="s">
        <v>158</v>
      </c>
      <c r="E511">
        <v>20411454</v>
      </c>
      <c r="F511" t="s">
        <v>2477</v>
      </c>
      <c r="G511" t="s">
        <v>49</v>
      </c>
      <c r="H511" t="s">
        <v>50</v>
      </c>
      <c r="I511" s="1">
        <v>46023</v>
      </c>
      <c r="J511" s="1">
        <v>46054</v>
      </c>
      <c r="K511" t="s">
        <v>51</v>
      </c>
      <c r="L511" t="s">
        <v>52</v>
      </c>
      <c r="M511" s="2">
        <v>0</v>
      </c>
      <c r="N511" s="2">
        <v>108</v>
      </c>
      <c r="O511">
        <v>1</v>
      </c>
      <c r="P511" s="2">
        <v>108</v>
      </c>
      <c r="R511" t="s">
        <v>2447</v>
      </c>
    </row>
    <row r="512" spans="1:18" x14ac:dyDescent="0.25">
      <c r="A512" s="4" t="s">
        <v>1933</v>
      </c>
      <c r="B512" s="4" t="str">
        <f t="shared" si="10"/>
        <v>00014857265KOVR</v>
      </c>
      <c r="C512" t="s">
        <v>225</v>
      </c>
      <c r="D512" t="s">
        <v>46</v>
      </c>
      <c r="E512">
        <v>20411454</v>
      </c>
      <c r="F512" t="s">
        <v>2477</v>
      </c>
      <c r="G512" t="s">
        <v>49</v>
      </c>
      <c r="H512" t="s">
        <v>50</v>
      </c>
      <c r="I512" s="1">
        <v>46023</v>
      </c>
      <c r="J512" s="1">
        <v>46054</v>
      </c>
      <c r="K512" t="s">
        <v>51</v>
      </c>
      <c r="L512" t="s">
        <v>52</v>
      </c>
      <c r="M512" s="2">
        <v>0</v>
      </c>
      <c r="N512" s="2">
        <v>108</v>
      </c>
      <c r="O512">
        <v>1</v>
      </c>
      <c r="P512" s="2">
        <v>108</v>
      </c>
      <c r="R512" t="s">
        <v>2447</v>
      </c>
    </row>
    <row r="513" spans="1:18" x14ac:dyDescent="0.25">
      <c r="A513" s="4" t="s">
        <v>1941</v>
      </c>
      <c r="B513" s="4" t="str">
        <f t="shared" si="10"/>
        <v>00016648630KOVR</v>
      </c>
      <c r="C513" t="s">
        <v>249</v>
      </c>
      <c r="D513" t="s">
        <v>46</v>
      </c>
      <c r="E513">
        <v>20411454</v>
      </c>
      <c r="F513" t="s">
        <v>2477</v>
      </c>
      <c r="G513" t="s">
        <v>49</v>
      </c>
      <c r="H513" t="s">
        <v>50</v>
      </c>
      <c r="I513" s="1">
        <v>46023</v>
      </c>
      <c r="J513" s="1">
        <v>46054</v>
      </c>
      <c r="K513" t="s">
        <v>51</v>
      </c>
      <c r="L513" t="s">
        <v>52</v>
      </c>
      <c r="M513" s="2">
        <v>0</v>
      </c>
      <c r="N513" s="2">
        <v>108</v>
      </c>
      <c r="O513">
        <v>1</v>
      </c>
      <c r="P513" s="2">
        <v>108</v>
      </c>
      <c r="R513" t="s">
        <v>2447</v>
      </c>
    </row>
    <row r="514" spans="1:18" x14ac:dyDescent="0.25">
      <c r="A514" s="4" t="s">
        <v>1948</v>
      </c>
      <c r="B514" s="4" t="str">
        <f t="shared" si="10"/>
        <v>00017770252KOVR</v>
      </c>
      <c r="C514" t="s">
        <v>273</v>
      </c>
      <c r="D514" t="s">
        <v>61</v>
      </c>
      <c r="E514">
        <v>20411454</v>
      </c>
      <c r="F514" t="s">
        <v>2477</v>
      </c>
      <c r="G514" t="s">
        <v>49</v>
      </c>
      <c r="H514" t="s">
        <v>50</v>
      </c>
      <c r="I514" s="1">
        <v>46023</v>
      </c>
      <c r="J514" s="1">
        <v>46054</v>
      </c>
      <c r="K514" t="s">
        <v>51</v>
      </c>
      <c r="L514" t="s">
        <v>52</v>
      </c>
      <c r="M514" s="2">
        <v>0</v>
      </c>
      <c r="N514" s="2">
        <v>108</v>
      </c>
      <c r="O514">
        <v>1</v>
      </c>
      <c r="P514" s="2">
        <v>108</v>
      </c>
      <c r="R514" t="s">
        <v>2447</v>
      </c>
    </row>
    <row r="515" spans="1:18" x14ac:dyDescent="0.25">
      <c r="A515" s="4" t="s">
        <v>1951</v>
      </c>
      <c r="B515" s="4" t="str">
        <f t="shared" si="10"/>
        <v>00018056985KOVR</v>
      </c>
      <c r="C515" t="s">
        <v>281</v>
      </c>
      <c r="D515" t="s">
        <v>46</v>
      </c>
      <c r="E515">
        <v>20411454</v>
      </c>
      <c r="F515" t="s">
        <v>2477</v>
      </c>
      <c r="G515" t="s">
        <v>49</v>
      </c>
      <c r="H515" t="s">
        <v>50</v>
      </c>
      <c r="I515" s="1">
        <v>46023</v>
      </c>
      <c r="J515" s="1">
        <v>46054</v>
      </c>
      <c r="K515" t="s">
        <v>51</v>
      </c>
      <c r="L515" t="s">
        <v>52</v>
      </c>
      <c r="M515" s="2">
        <v>0</v>
      </c>
      <c r="N515" s="2">
        <v>108</v>
      </c>
      <c r="O515">
        <v>1</v>
      </c>
      <c r="P515" s="2">
        <v>108</v>
      </c>
      <c r="R515" t="s">
        <v>2447</v>
      </c>
    </row>
    <row r="516" spans="1:18" x14ac:dyDescent="0.25">
      <c r="A516" s="4" t="s">
        <v>1952</v>
      </c>
      <c r="B516" s="4" t="str">
        <f t="shared" si="10"/>
        <v>00018081883KOVR</v>
      </c>
      <c r="C516" t="s">
        <v>283</v>
      </c>
      <c r="D516" t="s">
        <v>46</v>
      </c>
      <c r="E516">
        <v>20411454</v>
      </c>
      <c r="F516" t="s">
        <v>2477</v>
      </c>
      <c r="G516" t="s">
        <v>49</v>
      </c>
      <c r="H516" t="s">
        <v>50</v>
      </c>
      <c r="I516" s="1">
        <v>46023</v>
      </c>
      <c r="J516" s="1">
        <v>46054</v>
      </c>
      <c r="K516" t="s">
        <v>51</v>
      </c>
      <c r="L516" t="s">
        <v>52</v>
      </c>
      <c r="M516" s="2">
        <v>0</v>
      </c>
      <c r="N516" s="2">
        <v>108</v>
      </c>
      <c r="O516">
        <v>1</v>
      </c>
      <c r="P516" s="2">
        <v>108</v>
      </c>
      <c r="R516" t="s">
        <v>2447</v>
      </c>
    </row>
    <row r="517" spans="1:18" x14ac:dyDescent="0.25">
      <c r="A517" s="4" t="s">
        <v>1969</v>
      </c>
      <c r="B517" s="4" t="str">
        <f t="shared" si="10"/>
        <v>00019915254KOVR</v>
      </c>
      <c r="C517" t="s">
        <v>325</v>
      </c>
      <c r="D517" t="s">
        <v>46</v>
      </c>
      <c r="E517">
        <v>20411454</v>
      </c>
      <c r="F517" t="s">
        <v>2477</v>
      </c>
      <c r="G517" t="s">
        <v>49</v>
      </c>
      <c r="H517" t="s">
        <v>50</v>
      </c>
      <c r="I517" s="1">
        <v>46023</v>
      </c>
      <c r="J517" s="1">
        <v>46054</v>
      </c>
      <c r="K517" t="s">
        <v>51</v>
      </c>
      <c r="L517" t="s">
        <v>52</v>
      </c>
      <c r="M517" s="2">
        <v>0</v>
      </c>
      <c r="N517" s="2">
        <v>108</v>
      </c>
      <c r="O517">
        <v>1</v>
      </c>
      <c r="P517" s="2">
        <v>108</v>
      </c>
      <c r="R517" t="s">
        <v>2447</v>
      </c>
    </row>
    <row r="518" spans="1:18" x14ac:dyDescent="0.25">
      <c r="A518" s="4" t="s">
        <v>1971</v>
      </c>
      <c r="B518" s="4" t="str">
        <f t="shared" si="10"/>
        <v>00020077281KOVR</v>
      </c>
      <c r="C518" t="s">
        <v>331</v>
      </c>
      <c r="D518" t="s">
        <v>46</v>
      </c>
      <c r="E518">
        <v>20411454</v>
      </c>
      <c r="F518" t="s">
        <v>2477</v>
      </c>
      <c r="G518" t="s">
        <v>49</v>
      </c>
      <c r="H518" t="s">
        <v>50</v>
      </c>
      <c r="I518" s="1">
        <v>46023</v>
      </c>
      <c r="J518" s="1">
        <v>46054</v>
      </c>
      <c r="K518" t="s">
        <v>51</v>
      </c>
      <c r="L518" t="s">
        <v>52</v>
      </c>
      <c r="M518" s="2">
        <v>0</v>
      </c>
      <c r="N518" s="2">
        <v>108</v>
      </c>
      <c r="O518">
        <v>1</v>
      </c>
      <c r="P518" s="2">
        <v>108</v>
      </c>
      <c r="R518" t="s">
        <v>2447</v>
      </c>
    </row>
    <row r="519" spans="1:18" x14ac:dyDescent="0.25">
      <c r="A519" s="4" t="s">
        <v>1975</v>
      </c>
      <c r="B519" s="4" t="str">
        <f t="shared" si="10"/>
        <v>00020265321KOVR</v>
      </c>
      <c r="C519" t="s">
        <v>339</v>
      </c>
      <c r="D519" t="s">
        <v>217</v>
      </c>
      <c r="E519">
        <v>20411454</v>
      </c>
      <c r="F519" t="s">
        <v>2477</v>
      </c>
      <c r="G519" t="s">
        <v>49</v>
      </c>
      <c r="H519" t="s">
        <v>50</v>
      </c>
      <c r="I519" s="1">
        <v>46023</v>
      </c>
      <c r="J519" s="1">
        <v>46054</v>
      </c>
      <c r="K519" t="s">
        <v>51</v>
      </c>
      <c r="L519" t="s">
        <v>52</v>
      </c>
      <c r="M519" s="2">
        <v>0</v>
      </c>
      <c r="N519" s="2">
        <v>108</v>
      </c>
      <c r="O519">
        <v>1</v>
      </c>
      <c r="P519" s="2">
        <v>108</v>
      </c>
      <c r="R519" t="s">
        <v>2447</v>
      </c>
    </row>
    <row r="520" spans="1:18" x14ac:dyDescent="0.25">
      <c r="A520" s="4" t="s">
        <v>1977</v>
      </c>
      <c r="B520" s="4" t="str">
        <f t="shared" si="10"/>
        <v>00020313373KOVR</v>
      </c>
      <c r="C520" t="s">
        <v>345</v>
      </c>
      <c r="D520" t="s">
        <v>46</v>
      </c>
      <c r="E520">
        <v>20411454</v>
      </c>
      <c r="F520" t="s">
        <v>2477</v>
      </c>
      <c r="G520" t="s">
        <v>49</v>
      </c>
      <c r="H520" t="s">
        <v>50</v>
      </c>
      <c r="I520" s="1">
        <v>46023</v>
      </c>
      <c r="J520" s="1">
        <v>46054</v>
      </c>
      <c r="K520" t="s">
        <v>51</v>
      </c>
      <c r="L520" t="s">
        <v>52</v>
      </c>
      <c r="M520" s="2">
        <v>0</v>
      </c>
      <c r="N520" s="2">
        <v>108</v>
      </c>
      <c r="O520">
        <v>1</v>
      </c>
      <c r="P520" s="2">
        <v>108</v>
      </c>
      <c r="R520" t="s">
        <v>2447</v>
      </c>
    </row>
    <row r="521" spans="1:18" x14ac:dyDescent="0.25">
      <c r="A521" s="4" t="s">
        <v>1979</v>
      </c>
      <c r="B521" s="4" t="str">
        <f t="shared" si="10"/>
        <v>00020628364KOVR</v>
      </c>
      <c r="C521" t="s">
        <v>349</v>
      </c>
      <c r="D521" t="s">
        <v>350</v>
      </c>
      <c r="E521">
        <v>20411454</v>
      </c>
      <c r="F521" t="s">
        <v>2477</v>
      </c>
      <c r="G521" t="s">
        <v>49</v>
      </c>
      <c r="H521" t="s">
        <v>50</v>
      </c>
      <c r="I521" s="1">
        <v>46023</v>
      </c>
      <c r="J521" s="1">
        <v>46054</v>
      </c>
      <c r="K521" t="s">
        <v>51</v>
      </c>
      <c r="L521" t="s">
        <v>52</v>
      </c>
      <c r="M521" s="2">
        <v>0</v>
      </c>
      <c r="N521" s="2">
        <v>108</v>
      </c>
      <c r="O521">
        <v>1</v>
      </c>
      <c r="P521" s="2">
        <v>108</v>
      </c>
      <c r="R521" t="s">
        <v>2447</v>
      </c>
    </row>
    <row r="522" spans="1:18" x14ac:dyDescent="0.25">
      <c r="A522" s="4" t="s">
        <v>1984</v>
      </c>
      <c r="B522" s="4" t="str">
        <f t="shared" si="10"/>
        <v>00021204922KOVR</v>
      </c>
      <c r="C522" t="s">
        <v>364</v>
      </c>
      <c r="D522" t="s">
        <v>46</v>
      </c>
      <c r="E522">
        <v>20411454</v>
      </c>
      <c r="F522" t="s">
        <v>2477</v>
      </c>
      <c r="G522" t="s">
        <v>49</v>
      </c>
      <c r="H522" t="s">
        <v>50</v>
      </c>
      <c r="I522" s="1">
        <v>46023</v>
      </c>
      <c r="J522" s="1">
        <v>46054</v>
      </c>
      <c r="K522" t="s">
        <v>51</v>
      </c>
      <c r="L522" t="s">
        <v>52</v>
      </c>
      <c r="M522" s="2">
        <v>0</v>
      </c>
      <c r="N522" s="2">
        <v>108</v>
      </c>
      <c r="O522">
        <v>1</v>
      </c>
      <c r="P522" s="2">
        <v>108</v>
      </c>
      <c r="R522" t="s">
        <v>2447</v>
      </c>
    </row>
    <row r="523" spans="1:18" x14ac:dyDescent="0.25">
      <c r="A523" s="4" t="s">
        <v>1985</v>
      </c>
      <c r="B523" s="4" t="str">
        <f t="shared" si="10"/>
        <v>00021373419KOVR</v>
      </c>
      <c r="C523" t="s">
        <v>366</v>
      </c>
      <c r="D523" t="s">
        <v>46</v>
      </c>
      <c r="E523">
        <v>20411454</v>
      </c>
      <c r="F523" t="s">
        <v>2477</v>
      </c>
      <c r="G523" t="s">
        <v>49</v>
      </c>
      <c r="H523" t="s">
        <v>50</v>
      </c>
      <c r="I523" s="1">
        <v>46023</v>
      </c>
      <c r="J523" s="1">
        <v>46054</v>
      </c>
      <c r="K523" t="s">
        <v>51</v>
      </c>
      <c r="L523" t="s">
        <v>52</v>
      </c>
      <c r="M523" s="2">
        <v>0</v>
      </c>
      <c r="N523" s="2">
        <v>108</v>
      </c>
      <c r="O523">
        <v>1</v>
      </c>
      <c r="P523" s="2">
        <v>108</v>
      </c>
      <c r="R523" t="s">
        <v>2447</v>
      </c>
    </row>
    <row r="524" spans="1:18" x14ac:dyDescent="0.25">
      <c r="A524" s="4" t="s">
        <v>1988</v>
      </c>
      <c r="B524" s="4" t="str">
        <f t="shared" si="10"/>
        <v>00022162882KOVR</v>
      </c>
      <c r="C524" t="s">
        <v>372</v>
      </c>
      <c r="D524" t="s">
        <v>46</v>
      </c>
      <c r="E524">
        <v>20411454</v>
      </c>
      <c r="F524" t="s">
        <v>2477</v>
      </c>
      <c r="G524" t="s">
        <v>49</v>
      </c>
      <c r="H524" t="s">
        <v>50</v>
      </c>
      <c r="I524" s="1">
        <v>46023</v>
      </c>
      <c r="J524" s="1">
        <v>46054</v>
      </c>
      <c r="K524" t="s">
        <v>51</v>
      </c>
      <c r="L524" t="s">
        <v>52</v>
      </c>
      <c r="M524" s="2">
        <v>0</v>
      </c>
      <c r="N524" s="2">
        <v>108</v>
      </c>
      <c r="O524">
        <v>1</v>
      </c>
      <c r="P524" s="2">
        <v>108</v>
      </c>
      <c r="R524" t="s">
        <v>2447</v>
      </c>
    </row>
    <row r="525" spans="1:18" x14ac:dyDescent="0.25">
      <c r="A525" s="4" t="s">
        <v>1989</v>
      </c>
      <c r="B525" s="4" t="str">
        <f t="shared" si="10"/>
        <v>00022486058KOVR</v>
      </c>
      <c r="C525" t="s">
        <v>374</v>
      </c>
      <c r="D525" t="s">
        <v>350</v>
      </c>
      <c r="E525">
        <v>20411454</v>
      </c>
      <c r="F525" t="s">
        <v>2477</v>
      </c>
      <c r="G525" t="s">
        <v>49</v>
      </c>
      <c r="H525" t="s">
        <v>50</v>
      </c>
      <c r="I525" s="1">
        <v>46023</v>
      </c>
      <c r="J525" s="1">
        <v>46054</v>
      </c>
      <c r="K525" t="s">
        <v>51</v>
      </c>
      <c r="L525" t="s">
        <v>52</v>
      </c>
      <c r="M525" s="2">
        <v>0</v>
      </c>
      <c r="N525" s="2">
        <v>108</v>
      </c>
      <c r="O525">
        <v>1</v>
      </c>
      <c r="P525" s="2">
        <v>108</v>
      </c>
      <c r="R525" t="s">
        <v>2447</v>
      </c>
    </row>
    <row r="526" spans="1:18" x14ac:dyDescent="0.25">
      <c r="A526" s="4" t="s">
        <v>1991</v>
      </c>
      <c r="B526" s="4" t="str">
        <f t="shared" ref="B526:B589" si="11">CONCATENATE(A526,"OVR")</f>
        <v>00022642268KOVR</v>
      </c>
      <c r="C526" t="s">
        <v>378</v>
      </c>
      <c r="D526" t="s">
        <v>46</v>
      </c>
      <c r="E526">
        <v>20411454</v>
      </c>
      <c r="F526" t="s">
        <v>2477</v>
      </c>
      <c r="G526" t="s">
        <v>49</v>
      </c>
      <c r="H526" t="s">
        <v>50</v>
      </c>
      <c r="I526" s="1">
        <v>46023</v>
      </c>
      <c r="J526" s="1">
        <v>46054</v>
      </c>
      <c r="K526" t="s">
        <v>51</v>
      </c>
      <c r="L526" t="s">
        <v>52</v>
      </c>
      <c r="M526" s="2">
        <v>0</v>
      </c>
      <c r="N526" s="2">
        <v>108</v>
      </c>
      <c r="O526">
        <v>1</v>
      </c>
      <c r="P526" s="2">
        <v>108</v>
      </c>
      <c r="R526" t="s">
        <v>2447</v>
      </c>
    </row>
    <row r="527" spans="1:18" x14ac:dyDescent="0.25">
      <c r="A527" s="4" t="s">
        <v>1993</v>
      </c>
      <c r="B527" s="4" t="str">
        <f t="shared" si="11"/>
        <v>00022826430KOVR</v>
      </c>
      <c r="C527" t="s">
        <v>382</v>
      </c>
      <c r="D527" t="s">
        <v>46</v>
      </c>
      <c r="E527">
        <v>20411454</v>
      </c>
      <c r="F527" t="s">
        <v>2477</v>
      </c>
      <c r="G527" t="s">
        <v>49</v>
      </c>
      <c r="H527" t="s">
        <v>50</v>
      </c>
      <c r="I527" s="1">
        <v>46023</v>
      </c>
      <c r="J527" s="1">
        <v>46054</v>
      </c>
      <c r="K527" t="s">
        <v>51</v>
      </c>
      <c r="L527" t="s">
        <v>52</v>
      </c>
      <c r="M527" s="2">
        <v>0</v>
      </c>
      <c r="N527" s="2">
        <v>108</v>
      </c>
      <c r="O527">
        <v>1</v>
      </c>
      <c r="P527" s="2">
        <v>108</v>
      </c>
      <c r="R527" t="s">
        <v>2447</v>
      </c>
    </row>
    <row r="528" spans="1:18" x14ac:dyDescent="0.25">
      <c r="A528" s="4" t="s">
        <v>1994</v>
      </c>
      <c r="B528" s="4" t="str">
        <f t="shared" si="11"/>
        <v>00023446545KOVR</v>
      </c>
      <c r="C528" t="s">
        <v>384</v>
      </c>
      <c r="D528" t="s">
        <v>46</v>
      </c>
      <c r="E528">
        <v>20411454</v>
      </c>
      <c r="F528" t="s">
        <v>2477</v>
      </c>
      <c r="G528" t="s">
        <v>49</v>
      </c>
      <c r="H528" t="s">
        <v>50</v>
      </c>
      <c r="I528" s="1">
        <v>46023</v>
      </c>
      <c r="J528" s="1">
        <v>46054</v>
      </c>
      <c r="K528" t="s">
        <v>51</v>
      </c>
      <c r="L528" t="s">
        <v>52</v>
      </c>
      <c r="M528" s="2">
        <v>0</v>
      </c>
      <c r="N528" s="2">
        <v>108</v>
      </c>
      <c r="O528">
        <v>1</v>
      </c>
      <c r="P528" s="2">
        <v>108</v>
      </c>
      <c r="R528" t="s">
        <v>2447</v>
      </c>
    </row>
    <row r="529" spans="1:18" x14ac:dyDescent="0.25">
      <c r="A529" s="4" t="s">
        <v>1996</v>
      </c>
      <c r="B529" s="4" t="str">
        <f t="shared" si="11"/>
        <v>00023584480KOVR</v>
      </c>
      <c r="C529" t="s">
        <v>388</v>
      </c>
      <c r="D529" t="s">
        <v>78</v>
      </c>
      <c r="E529">
        <v>20411454</v>
      </c>
      <c r="F529" t="s">
        <v>2477</v>
      </c>
      <c r="G529" t="s">
        <v>49</v>
      </c>
      <c r="H529" t="s">
        <v>50</v>
      </c>
      <c r="I529" s="1">
        <v>46023</v>
      </c>
      <c r="J529" s="1">
        <v>46054</v>
      </c>
      <c r="K529" t="s">
        <v>51</v>
      </c>
      <c r="L529" t="s">
        <v>52</v>
      </c>
      <c r="M529" s="2">
        <v>0</v>
      </c>
      <c r="N529" s="2">
        <v>108</v>
      </c>
      <c r="O529">
        <v>1</v>
      </c>
      <c r="P529" s="2">
        <v>108</v>
      </c>
      <c r="R529" t="s">
        <v>2447</v>
      </c>
    </row>
    <row r="530" spans="1:18" x14ac:dyDescent="0.25">
      <c r="A530" s="4" t="s">
        <v>1999</v>
      </c>
      <c r="B530" s="4" t="str">
        <f t="shared" si="11"/>
        <v>00024215496KOVR</v>
      </c>
      <c r="C530" t="s">
        <v>396</v>
      </c>
      <c r="D530" t="s">
        <v>46</v>
      </c>
      <c r="E530">
        <v>20411454</v>
      </c>
      <c r="F530" t="s">
        <v>2477</v>
      </c>
      <c r="G530" t="s">
        <v>49</v>
      </c>
      <c r="H530" t="s">
        <v>58</v>
      </c>
      <c r="I530" s="1">
        <v>45962</v>
      </c>
      <c r="J530" s="1">
        <v>45992</v>
      </c>
      <c r="K530" t="s">
        <v>51</v>
      </c>
      <c r="L530" t="s">
        <v>52</v>
      </c>
      <c r="M530" s="2">
        <v>0</v>
      </c>
      <c r="N530" s="2">
        <v>175</v>
      </c>
      <c r="O530">
        <v>1</v>
      </c>
      <c r="P530" s="2">
        <v>175</v>
      </c>
      <c r="R530" t="s">
        <v>2447</v>
      </c>
    </row>
    <row r="531" spans="1:18" x14ac:dyDescent="0.25">
      <c r="A531" s="4" t="s">
        <v>2487</v>
      </c>
      <c r="B531" s="4" t="str">
        <f t="shared" si="11"/>
        <v>00024302321KOVR</v>
      </c>
      <c r="C531" t="s">
        <v>1225</v>
      </c>
      <c r="D531" t="s">
        <v>55</v>
      </c>
      <c r="E531">
        <v>20411454</v>
      </c>
      <c r="F531" t="s">
        <v>2477</v>
      </c>
      <c r="G531" t="s">
        <v>1204</v>
      </c>
      <c r="H531" t="s">
        <v>58</v>
      </c>
      <c r="I531" s="1">
        <v>45962</v>
      </c>
      <c r="J531" s="1">
        <v>45992</v>
      </c>
      <c r="K531" t="s">
        <v>51</v>
      </c>
      <c r="L531" t="s">
        <v>52</v>
      </c>
      <c r="P531">
        <v>-175</v>
      </c>
      <c r="R531" t="s">
        <v>2447</v>
      </c>
    </row>
    <row r="532" spans="1:18" x14ac:dyDescent="0.25">
      <c r="A532" s="4" t="s">
        <v>2479</v>
      </c>
      <c r="B532" s="4" t="str">
        <f t="shared" si="11"/>
        <v>00012632504KOVR</v>
      </c>
      <c r="C532" t="s">
        <v>1206</v>
      </c>
      <c r="D532" t="s">
        <v>46</v>
      </c>
      <c r="E532">
        <v>20411454</v>
      </c>
      <c r="F532" t="s">
        <v>2477</v>
      </c>
      <c r="G532" t="s">
        <v>1204</v>
      </c>
      <c r="H532" t="s">
        <v>58</v>
      </c>
      <c r="I532" s="1">
        <v>45931</v>
      </c>
      <c r="J532" s="1">
        <v>45992</v>
      </c>
      <c r="K532" t="s">
        <v>51</v>
      </c>
      <c r="L532" t="s">
        <v>52</v>
      </c>
      <c r="P532">
        <v>-145.25</v>
      </c>
      <c r="R532" t="s">
        <v>2447</v>
      </c>
    </row>
    <row r="533" spans="1:18" x14ac:dyDescent="0.25">
      <c r="A533" s="4" t="s">
        <v>1973</v>
      </c>
      <c r="B533" s="4" t="str">
        <f t="shared" si="11"/>
        <v>00020102843KOVR</v>
      </c>
      <c r="C533" t="s">
        <v>335</v>
      </c>
      <c r="D533" t="s">
        <v>55</v>
      </c>
      <c r="E533">
        <v>20411454</v>
      </c>
      <c r="F533" t="s">
        <v>2477</v>
      </c>
      <c r="G533" t="s">
        <v>1204</v>
      </c>
      <c r="H533" t="s">
        <v>50</v>
      </c>
      <c r="I533" s="1">
        <v>45931</v>
      </c>
      <c r="J533" s="1">
        <v>45992</v>
      </c>
      <c r="K533" t="s">
        <v>51</v>
      </c>
      <c r="L533" t="s">
        <v>52</v>
      </c>
      <c r="P533">
        <v>-89.64</v>
      </c>
      <c r="R533" t="s">
        <v>2447</v>
      </c>
    </row>
    <row r="534" spans="1:18" x14ac:dyDescent="0.25">
      <c r="A534" s="4" t="s">
        <v>2341</v>
      </c>
      <c r="B534" s="4" t="str">
        <f t="shared" si="11"/>
        <v>00022049020KOVR</v>
      </c>
      <c r="C534" t="s">
        <v>1340</v>
      </c>
      <c r="D534" t="s">
        <v>1061</v>
      </c>
      <c r="E534">
        <v>20411454</v>
      </c>
      <c r="F534" t="s">
        <v>2477</v>
      </c>
      <c r="G534" t="s">
        <v>49</v>
      </c>
      <c r="H534" t="s">
        <v>58</v>
      </c>
      <c r="I534" s="1">
        <v>45627</v>
      </c>
      <c r="J534" s="1">
        <v>45992</v>
      </c>
      <c r="K534" t="s">
        <v>51</v>
      </c>
      <c r="L534" t="s">
        <v>52</v>
      </c>
      <c r="M534" s="2">
        <v>1</v>
      </c>
      <c r="N534" s="2">
        <v>1</v>
      </c>
      <c r="P534" s="2">
        <v>9</v>
      </c>
      <c r="Q534" t="s">
        <v>1260</v>
      </c>
      <c r="R534" t="s">
        <v>2447</v>
      </c>
    </row>
    <row r="535" spans="1:18" x14ac:dyDescent="0.25">
      <c r="A535" s="4" t="s">
        <v>2346</v>
      </c>
      <c r="B535" s="4" t="str">
        <f t="shared" si="11"/>
        <v>00022074715KOVR</v>
      </c>
      <c r="C535" t="s">
        <v>1345</v>
      </c>
      <c r="D535" t="s">
        <v>1061</v>
      </c>
      <c r="E535">
        <v>20411454</v>
      </c>
      <c r="F535" t="s">
        <v>2477</v>
      </c>
      <c r="G535" t="s">
        <v>49</v>
      </c>
      <c r="H535" t="s">
        <v>58</v>
      </c>
      <c r="I535" s="1">
        <v>45627</v>
      </c>
      <c r="J535" s="1">
        <v>45992</v>
      </c>
      <c r="K535" t="s">
        <v>51</v>
      </c>
      <c r="L535" t="s">
        <v>52</v>
      </c>
      <c r="M535" s="2">
        <v>1</v>
      </c>
      <c r="N535" s="2">
        <v>1</v>
      </c>
      <c r="P535" s="2">
        <v>9</v>
      </c>
      <c r="Q535" t="s">
        <v>1260</v>
      </c>
      <c r="R535" t="s">
        <v>2447</v>
      </c>
    </row>
    <row r="536" spans="1:18" x14ac:dyDescent="0.25">
      <c r="A536" s="4" t="s">
        <v>2349</v>
      </c>
      <c r="B536" s="4" t="str">
        <f t="shared" si="11"/>
        <v>00022078841KOVR</v>
      </c>
      <c r="C536" t="s">
        <v>1348</v>
      </c>
      <c r="D536" t="s">
        <v>1061</v>
      </c>
      <c r="E536">
        <v>20411454</v>
      </c>
      <c r="F536" t="s">
        <v>2477</v>
      </c>
      <c r="G536" t="s">
        <v>49</v>
      </c>
      <c r="H536" t="s">
        <v>58</v>
      </c>
      <c r="I536" s="1">
        <v>45627</v>
      </c>
      <c r="J536" s="1">
        <v>45992</v>
      </c>
      <c r="K536" t="s">
        <v>51</v>
      </c>
      <c r="L536" t="s">
        <v>52</v>
      </c>
      <c r="M536" s="2">
        <v>1</v>
      </c>
      <c r="N536" s="2">
        <v>1</v>
      </c>
      <c r="P536" s="2">
        <v>9</v>
      </c>
      <c r="Q536" t="s">
        <v>1260</v>
      </c>
      <c r="R536" t="s">
        <v>2447</v>
      </c>
    </row>
    <row r="537" spans="1:18" x14ac:dyDescent="0.25">
      <c r="A537" s="4" t="s">
        <v>2364</v>
      </c>
      <c r="B537" s="4" t="str">
        <f t="shared" si="11"/>
        <v>00022106958KOVR</v>
      </c>
      <c r="C537" t="s">
        <v>1363</v>
      </c>
      <c r="D537" t="s">
        <v>1061</v>
      </c>
      <c r="E537">
        <v>20411454</v>
      </c>
      <c r="F537" t="s">
        <v>2477</v>
      </c>
      <c r="G537" t="s">
        <v>49</v>
      </c>
      <c r="H537" t="s">
        <v>58</v>
      </c>
      <c r="I537" s="1">
        <v>45627</v>
      </c>
      <c r="J537" s="1">
        <v>45992</v>
      </c>
      <c r="K537" t="s">
        <v>51</v>
      </c>
      <c r="L537" t="s">
        <v>52</v>
      </c>
      <c r="M537" s="2">
        <v>1</v>
      </c>
      <c r="N537" s="2">
        <v>1</v>
      </c>
      <c r="P537" s="2">
        <v>9</v>
      </c>
      <c r="Q537" t="s">
        <v>1260</v>
      </c>
      <c r="R537" t="s">
        <v>2447</v>
      </c>
    </row>
    <row r="538" spans="1:18" x14ac:dyDescent="0.25">
      <c r="A538" s="4" t="s">
        <v>2369</v>
      </c>
      <c r="B538" s="4" t="str">
        <f t="shared" si="11"/>
        <v>00022193283KOVR</v>
      </c>
      <c r="C538" t="s">
        <v>1368</v>
      </c>
      <c r="D538" t="s">
        <v>1061</v>
      </c>
      <c r="E538">
        <v>20411454</v>
      </c>
      <c r="F538" t="s">
        <v>2477</v>
      </c>
      <c r="G538" t="s">
        <v>49</v>
      </c>
      <c r="H538" t="s">
        <v>58</v>
      </c>
      <c r="I538" s="1">
        <v>45627</v>
      </c>
      <c r="J538" s="1">
        <v>45992</v>
      </c>
      <c r="K538" t="s">
        <v>51</v>
      </c>
      <c r="L538" t="s">
        <v>52</v>
      </c>
      <c r="M538" s="2">
        <v>1</v>
      </c>
      <c r="N538" s="2">
        <v>1</v>
      </c>
      <c r="P538" s="2">
        <v>9</v>
      </c>
      <c r="Q538" t="s">
        <v>1260</v>
      </c>
      <c r="R538" t="s">
        <v>2447</v>
      </c>
    </row>
    <row r="539" spans="1:18" x14ac:dyDescent="0.25">
      <c r="A539" s="4" t="s">
        <v>2373</v>
      </c>
      <c r="B539" s="4" t="str">
        <f t="shared" si="11"/>
        <v>00022235665KOVR</v>
      </c>
      <c r="C539" t="s">
        <v>1372</v>
      </c>
      <c r="D539" t="s">
        <v>1061</v>
      </c>
      <c r="E539">
        <v>20411454</v>
      </c>
      <c r="F539" t="s">
        <v>2477</v>
      </c>
      <c r="G539" t="s">
        <v>49</v>
      </c>
      <c r="H539" t="s">
        <v>58</v>
      </c>
      <c r="I539" s="1">
        <v>45627</v>
      </c>
      <c r="J539" s="1">
        <v>45992</v>
      </c>
      <c r="K539" t="s">
        <v>51</v>
      </c>
      <c r="L539" t="s">
        <v>52</v>
      </c>
      <c r="M539" s="2">
        <v>1</v>
      </c>
      <c r="N539" s="2">
        <v>1</v>
      </c>
      <c r="P539" s="2">
        <v>9</v>
      </c>
      <c r="Q539" t="s">
        <v>1260</v>
      </c>
      <c r="R539" t="s">
        <v>2447</v>
      </c>
    </row>
    <row r="540" spans="1:18" x14ac:dyDescent="0.25">
      <c r="A540" s="4" t="s">
        <v>2379</v>
      </c>
      <c r="B540" s="4" t="str">
        <f t="shared" si="11"/>
        <v>00022406995KOVR</v>
      </c>
      <c r="C540" t="s">
        <v>1378</v>
      </c>
      <c r="D540" t="s">
        <v>1061</v>
      </c>
      <c r="E540">
        <v>20411454</v>
      </c>
      <c r="F540" t="s">
        <v>2477</v>
      </c>
      <c r="G540" t="s">
        <v>49</v>
      </c>
      <c r="H540" t="s">
        <v>58</v>
      </c>
      <c r="I540" s="1">
        <v>45627</v>
      </c>
      <c r="J540" s="1">
        <v>45992</v>
      </c>
      <c r="K540" t="s">
        <v>51</v>
      </c>
      <c r="L540" t="s">
        <v>52</v>
      </c>
      <c r="M540" s="2">
        <v>1</v>
      </c>
      <c r="N540" s="2">
        <v>1</v>
      </c>
      <c r="P540" s="2">
        <v>9</v>
      </c>
      <c r="Q540" t="s">
        <v>1260</v>
      </c>
      <c r="R540" t="s">
        <v>2447</v>
      </c>
    </row>
    <row r="541" spans="1:18" x14ac:dyDescent="0.25">
      <c r="A541" s="4" t="s">
        <v>2380</v>
      </c>
      <c r="B541" s="4" t="str">
        <f t="shared" si="11"/>
        <v>00022413863KOVR</v>
      </c>
      <c r="C541" t="s">
        <v>1379</v>
      </c>
      <c r="D541" t="s">
        <v>1061</v>
      </c>
      <c r="E541">
        <v>20411454</v>
      </c>
      <c r="F541" t="s">
        <v>2477</v>
      </c>
      <c r="G541" t="s">
        <v>49</v>
      </c>
      <c r="H541" t="s">
        <v>58</v>
      </c>
      <c r="I541" s="1">
        <v>45627</v>
      </c>
      <c r="J541" s="1">
        <v>45992</v>
      </c>
      <c r="K541" t="s">
        <v>51</v>
      </c>
      <c r="L541" t="s">
        <v>52</v>
      </c>
      <c r="M541" s="2">
        <v>1</v>
      </c>
      <c r="N541" s="2">
        <v>1</v>
      </c>
      <c r="P541" s="2">
        <v>9</v>
      </c>
      <c r="Q541" t="s">
        <v>1260</v>
      </c>
      <c r="R541" t="s">
        <v>2447</v>
      </c>
    </row>
    <row r="542" spans="1:18" x14ac:dyDescent="0.25">
      <c r="A542" s="4" t="s">
        <v>2381</v>
      </c>
      <c r="B542" s="4" t="str">
        <f t="shared" si="11"/>
        <v>00022462923KOVR</v>
      </c>
      <c r="C542" t="s">
        <v>1380</v>
      </c>
      <c r="D542" t="s">
        <v>1061</v>
      </c>
      <c r="E542">
        <v>20411454</v>
      </c>
      <c r="F542" t="s">
        <v>2477</v>
      </c>
      <c r="G542" t="s">
        <v>49</v>
      </c>
      <c r="H542" t="s">
        <v>58</v>
      </c>
      <c r="I542" s="1">
        <v>45627</v>
      </c>
      <c r="J542" s="1">
        <v>45992</v>
      </c>
      <c r="K542" t="s">
        <v>51</v>
      </c>
      <c r="L542" t="s">
        <v>52</v>
      </c>
      <c r="M542" s="2">
        <v>1</v>
      </c>
      <c r="N542" s="2">
        <v>1</v>
      </c>
      <c r="P542" s="2">
        <v>9</v>
      </c>
      <c r="Q542" t="s">
        <v>1260</v>
      </c>
      <c r="R542" t="s">
        <v>2447</v>
      </c>
    </row>
    <row r="543" spans="1:18" x14ac:dyDescent="0.25">
      <c r="A543" s="4" t="s">
        <v>2382</v>
      </c>
      <c r="B543" s="4" t="str">
        <f t="shared" si="11"/>
        <v>00022466880KOVR</v>
      </c>
      <c r="C543" t="s">
        <v>1381</v>
      </c>
      <c r="D543" t="s">
        <v>1061</v>
      </c>
      <c r="E543">
        <v>20411454</v>
      </c>
      <c r="F543" t="s">
        <v>2477</v>
      </c>
      <c r="G543" t="s">
        <v>49</v>
      </c>
      <c r="H543" t="s">
        <v>58</v>
      </c>
      <c r="I543" s="1">
        <v>45627</v>
      </c>
      <c r="J543" s="1">
        <v>45992</v>
      </c>
      <c r="K543" t="s">
        <v>51</v>
      </c>
      <c r="L543" t="s">
        <v>52</v>
      </c>
      <c r="M543" s="2">
        <v>1</v>
      </c>
      <c r="N543" s="2">
        <v>1</v>
      </c>
      <c r="P543" s="2">
        <v>9</v>
      </c>
      <c r="Q543" t="s">
        <v>1260</v>
      </c>
      <c r="R543" t="s">
        <v>2447</v>
      </c>
    </row>
    <row r="544" spans="1:18" x14ac:dyDescent="0.25">
      <c r="A544" s="4" t="s">
        <v>2383</v>
      </c>
      <c r="B544" s="4" t="str">
        <f t="shared" si="11"/>
        <v>00022498051KOVR</v>
      </c>
      <c r="C544" t="s">
        <v>1382</v>
      </c>
      <c r="D544" t="s">
        <v>1061</v>
      </c>
      <c r="E544">
        <v>20411454</v>
      </c>
      <c r="F544" t="s">
        <v>2477</v>
      </c>
      <c r="G544" t="s">
        <v>49</v>
      </c>
      <c r="H544" t="s">
        <v>58</v>
      </c>
      <c r="I544" s="1">
        <v>45627</v>
      </c>
      <c r="J544" s="1">
        <v>45992</v>
      </c>
      <c r="K544" t="s">
        <v>51</v>
      </c>
      <c r="L544" t="s">
        <v>52</v>
      </c>
      <c r="M544" s="2">
        <v>1</v>
      </c>
      <c r="N544" s="2">
        <v>1</v>
      </c>
      <c r="P544" s="2">
        <v>9</v>
      </c>
      <c r="Q544" t="s">
        <v>1260</v>
      </c>
      <c r="R544" t="s">
        <v>2447</v>
      </c>
    </row>
    <row r="545" spans="1:18" x14ac:dyDescent="0.25">
      <c r="A545" s="4" t="s">
        <v>2384</v>
      </c>
      <c r="B545" s="4" t="str">
        <f t="shared" si="11"/>
        <v>00022517390KOVR</v>
      </c>
      <c r="C545" t="s">
        <v>1383</v>
      </c>
      <c r="D545" t="s">
        <v>1061</v>
      </c>
      <c r="E545">
        <v>20411454</v>
      </c>
      <c r="F545" t="s">
        <v>2477</v>
      </c>
      <c r="G545" t="s">
        <v>49</v>
      </c>
      <c r="H545" t="s">
        <v>58</v>
      </c>
      <c r="I545" s="1">
        <v>45627</v>
      </c>
      <c r="J545" s="1">
        <v>45992</v>
      </c>
      <c r="K545" t="s">
        <v>51</v>
      </c>
      <c r="L545" t="s">
        <v>52</v>
      </c>
      <c r="M545" s="2">
        <v>1</v>
      </c>
      <c r="N545" s="2">
        <v>1</v>
      </c>
      <c r="P545" s="2">
        <v>9</v>
      </c>
      <c r="Q545" t="s">
        <v>1260</v>
      </c>
      <c r="R545" t="s">
        <v>2447</v>
      </c>
    </row>
    <row r="546" spans="1:18" x14ac:dyDescent="0.25">
      <c r="A546" s="4" t="s">
        <v>2385</v>
      </c>
      <c r="B546" s="4" t="str">
        <f t="shared" si="11"/>
        <v>00022524693KOVR</v>
      </c>
      <c r="C546" t="s">
        <v>1384</v>
      </c>
      <c r="D546" t="s">
        <v>1061</v>
      </c>
      <c r="E546">
        <v>20411454</v>
      </c>
      <c r="F546" t="s">
        <v>2477</v>
      </c>
      <c r="G546" t="s">
        <v>49</v>
      </c>
      <c r="H546" t="s">
        <v>58</v>
      </c>
      <c r="I546" s="1">
        <v>45627</v>
      </c>
      <c r="J546" s="1">
        <v>45992</v>
      </c>
      <c r="K546" t="s">
        <v>51</v>
      </c>
      <c r="L546" t="s">
        <v>52</v>
      </c>
      <c r="M546" s="2">
        <v>1</v>
      </c>
      <c r="N546" s="2">
        <v>1</v>
      </c>
      <c r="P546" s="2">
        <v>9</v>
      </c>
      <c r="Q546" t="s">
        <v>1260</v>
      </c>
      <c r="R546" t="s">
        <v>2447</v>
      </c>
    </row>
    <row r="547" spans="1:18" x14ac:dyDescent="0.25">
      <c r="A547" s="4" t="s">
        <v>2386</v>
      </c>
      <c r="B547" s="4" t="str">
        <f t="shared" si="11"/>
        <v>00022571242KOVR</v>
      </c>
      <c r="C547" t="s">
        <v>1385</v>
      </c>
      <c r="D547" t="s">
        <v>1061</v>
      </c>
      <c r="E547">
        <v>20411454</v>
      </c>
      <c r="F547" t="s">
        <v>2477</v>
      </c>
      <c r="G547" t="s">
        <v>49</v>
      </c>
      <c r="H547" t="s">
        <v>58</v>
      </c>
      <c r="I547" s="1">
        <v>45627</v>
      </c>
      <c r="J547" s="1">
        <v>45992</v>
      </c>
      <c r="K547" t="s">
        <v>51</v>
      </c>
      <c r="L547" t="s">
        <v>52</v>
      </c>
      <c r="M547" s="2">
        <v>1</v>
      </c>
      <c r="N547" s="2">
        <v>1</v>
      </c>
      <c r="P547" s="2">
        <v>9</v>
      </c>
      <c r="Q547" t="s">
        <v>1260</v>
      </c>
      <c r="R547" t="s">
        <v>2447</v>
      </c>
    </row>
    <row r="548" spans="1:18" x14ac:dyDescent="0.25">
      <c r="A548" s="4" t="s">
        <v>2387</v>
      </c>
      <c r="B548" s="4" t="str">
        <f t="shared" si="11"/>
        <v>00022602838KOVR</v>
      </c>
      <c r="C548" t="s">
        <v>1386</v>
      </c>
      <c r="D548" t="s">
        <v>1061</v>
      </c>
      <c r="E548">
        <v>20411454</v>
      </c>
      <c r="F548" t="s">
        <v>2477</v>
      </c>
      <c r="G548" t="s">
        <v>49</v>
      </c>
      <c r="H548" t="s">
        <v>58</v>
      </c>
      <c r="I548" s="1">
        <v>45627</v>
      </c>
      <c r="J548" s="1">
        <v>45992</v>
      </c>
      <c r="K548" t="s">
        <v>51</v>
      </c>
      <c r="L548" t="s">
        <v>52</v>
      </c>
      <c r="M548" s="2">
        <v>1</v>
      </c>
      <c r="N548" s="2">
        <v>1</v>
      </c>
      <c r="P548" s="2">
        <v>9</v>
      </c>
      <c r="Q548" t="s">
        <v>1260</v>
      </c>
      <c r="R548" t="s">
        <v>2447</v>
      </c>
    </row>
    <row r="549" spans="1:18" x14ac:dyDescent="0.25">
      <c r="A549" s="4" t="s">
        <v>2388</v>
      </c>
      <c r="B549" s="4" t="str">
        <f t="shared" si="11"/>
        <v>00022627896KOVR</v>
      </c>
      <c r="C549" t="s">
        <v>1387</v>
      </c>
      <c r="D549" t="s">
        <v>1061</v>
      </c>
      <c r="E549">
        <v>20411454</v>
      </c>
      <c r="F549" t="s">
        <v>2477</v>
      </c>
      <c r="G549" t="s">
        <v>49</v>
      </c>
      <c r="H549" t="s">
        <v>58</v>
      </c>
      <c r="I549" s="1">
        <v>45627</v>
      </c>
      <c r="J549" s="1">
        <v>45992</v>
      </c>
      <c r="K549" t="s">
        <v>51</v>
      </c>
      <c r="L549" t="s">
        <v>52</v>
      </c>
      <c r="M549" s="2">
        <v>1</v>
      </c>
      <c r="N549" s="2">
        <v>1</v>
      </c>
      <c r="P549" s="2">
        <v>9</v>
      </c>
      <c r="Q549" t="s">
        <v>1260</v>
      </c>
      <c r="R549" t="s">
        <v>2447</v>
      </c>
    </row>
    <row r="550" spans="1:18" x14ac:dyDescent="0.25">
      <c r="A550" s="4" t="s">
        <v>2389</v>
      </c>
      <c r="B550" s="4" t="str">
        <f t="shared" si="11"/>
        <v>00022643625KOVR</v>
      </c>
      <c r="C550" t="s">
        <v>1388</v>
      </c>
      <c r="D550" t="s">
        <v>1061</v>
      </c>
      <c r="E550">
        <v>20411454</v>
      </c>
      <c r="F550" t="s">
        <v>2477</v>
      </c>
      <c r="G550" t="s">
        <v>49</v>
      </c>
      <c r="H550" t="s">
        <v>58</v>
      </c>
      <c r="I550" s="1">
        <v>45627</v>
      </c>
      <c r="J550" s="1">
        <v>45992</v>
      </c>
      <c r="K550" t="s">
        <v>51</v>
      </c>
      <c r="L550" t="s">
        <v>52</v>
      </c>
      <c r="M550" s="2">
        <v>1</v>
      </c>
      <c r="N550" s="2">
        <v>1</v>
      </c>
      <c r="P550" s="2">
        <v>9</v>
      </c>
      <c r="Q550" t="s">
        <v>1260</v>
      </c>
      <c r="R550" t="s">
        <v>2447</v>
      </c>
    </row>
    <row r="551" spans="1:18" x14ac:dyDescent="0.25">
      <c r="A551" s="4" t="s">
        <v>2390</v>
      </c>
      <c r="B551" s="4" t="str">
        <f t="shared" si="11"/>
        <v>00022646876KOVR</v>
      </c>
      <c r="C551" t="s">
        <v>1389</v>
      </c>
      <c r="D551" t="s">
        <v>1061</v>
      </c>
      <c r="E551">
        <v>20411454</v>
      </c>
      <c r="F551" t="s">
        <v>2477</v>
      </c>
      <c r="G551" t="s">
        <v>49</v>
      </c>
      <c r="H551" t="s">
        <v>58</v>
      </c>
      <c r="I551" s="1">
        <v>45627</v>
      </c>
      <c r="J551" s="1">
        <v>45992</v>
      </c>
      <c r="K551" t="s">
        <v>51</v>
      </c>
      <c r="L551" t="s">
        <v>52</v>
      </c>
      <c r="M551" s="2">
        <v>1</v>
      </c>
      <c r="N551" s="2">
        <v>1</v>
      </c>
      <c r="P551" s="2">
        <v>9</v>
      </c>
      <c r="Q551" t="s">
        <v>1260</v>
      </c>
      <c r="R551" t="s">
        <v>2447</v>
      </c>
    </row>
    <row r="552" spans="1:18" x14ac:dyDescent="0.25">
      <c r="A552" s="4" t="s">
        <v>2391</v>
      </c>
      <c r="B552" s="4" t="str">
        <f t="shared" si="11"/>
        <v>00022659909KOVR</v>
      </c>
      <c r="C552" t="s">
        <v>1390</v>
      </c>
      <c r="D552" t="s">
        <v>1061</v>
      </c>
      <c r="E552">
        <v>20411454</v>
      </c>
      <c r="F552" t="s">
        <v>2477</v>
      </c>
      <c r="G552" t="s">
        <v>49</v>
      </c>
      <c r="H552" t="s">
        <v>58</v>
      </c>
      <c r="I552" s="1">
        <v>45627</v>
      </c>
      <c r="J552" s="1">
        <v>45992</v>
      </c>
      <c r="K552" t="s">
        <v>51</v>
      </c>
      <c r="L552" t="s">
        <v>52</v>
      </c>
      <c r="M552" s="2">
        <v>1</v>
      </c>
      <c r="N552" s="2">
        <v>1</v>
      </c>
      <c r="P552" s="2">
        <v>9</v>
      </c>
      <c r="Q552" t="s">
        <v>1260</v>
      </c>
      <c r="R552" t="s">
        <v>2447</v>
      </c>
    </row>
    <row r="553" spans="1:18" x14ac:dyDescent="0.25">
      <c r="A553" s="4" t="s">
        <v>2392</v>
      </c>
      <c r="B553" s="4" t="str">
        <f t="shared" si="11"/>
        <v>00022671607KOVR</v>
      </c>
      <c r="C553" t="s">
        <v>1391</v>
      </c>
      <c r="D553" t="s">
        <v>1061</v>
      </c>
      <c r="E553">
        <v>20411454</v>
      </c>
      <c r="F553" t="s">
        <v>2477</v>
      </c>
      <c r="G553" t="s">
        <v>49</v>
      </c>
      <c r="H553" t="s">
        <v>58</v>
      </c>
      <c r="I553" s="1">
        <v>45627</v>
      </c>
      <c r="J553" s="1">
        <v>45992</v>
      </c>
      <c r="K553" t="s">
        <v>51</v>
      </c>
      <c r="L553" t="s">
        <v>52</v>
      </c>
      <c r="M553" s="2">
        <v>1</v>
      </c>
      <c r="N553" s="2">
        <v>1</v>
      </c>
      <c r="P553" s="2">
        <v>9</v>
      </c>
      <c r="Q553" t="s">
        <v>1260</v>
      </c>
      <c r="R553" t="s">
        <v>2447</v>
      </c>
    </row>
    <row r="554" spans="1:18" x14ac:dyDescent="0.25">
      <c r="A554" s="4" t="s">
        <v>2393</v>
      </c>
      <c r="B554" s="4" t="str">
        <f t="shared" si="11"/>
        <v>00022674415KOVR</v>
      </c>
      <c r="C554" t="s">
        <v>1392</v>
      </c>
      <c r="D554" t="s">
        <v>1061</v>
      </c>
      <c r="E554">
        <v>20411454</v>
      </c>
      <c r="F554" t="s">
        <v>2477</v>
      </c>
      <c r="G554" t="s">
        <v>49</v>
      </c>
      <c r="H554" t="s">
        <v>58</v>
      </c>
      <c r="I554" s="1">
        <v>45627</v>
      </c>
      <c r="J554" s="1">
        <v>45992</v>
      </c>
      <c r="K554" t="s">
        <v>51</v>
      </c>
      <c r="L554" t="s">
        <v>52</v>
      </c>
      <c r="M554" s="2">
        <v>1</v>
      </c>
      <c r="N554" s="2">
        <v>1</v>
      </c>
      <c r="P554" s="2">
        <v>9</v>
      </c>
      <c r="Q554" t="s">
        <v>1260</v>
      </c>
      <c r="R554" t="s">
        <v>2447</v>
      </c>
    </row>
    <row r="555" spans="1:18" x14ac:dyDescent="0.25">
      <c r="A555" s="4" t="s">
        <v>2394</v>
      </c>
      <c r="B555" s="4" t="str">
        <f t="shared" si="11"/>
        <v>00022688863KOVR</v>
      </c>
      <c r="C555" t="s">
        <v>1393</v>
      </c>
      <c r="D555" t="s">
        <v>1061</v>
      </c>
      <c r="E555">
        <v>20411454</v>
      </c>
      <c r="F555" t="s">
        <v>2477</v>
      </c>
      <c r="G555" t="s">
        <v>1262</v>
      </c>
      <c r="H555" t="s">
        <v>58</v>
      </c>
      <c r="I555" s="1">
        <v>45627</v>
      </c>
      <c r="J555" s="1">
        <v>45992</v>
      </c>
      <c r="K555" t="s">
        <v>51</v>
      </c>
      <c r="L555" t="s">
        <v>52</v>
      </c>
      <c r="M555" s="2">
        <v>1</v>
      </c>
      <c r="N555" s="2">
        <v>1</v>
      </c>
      <c r="P555" s="2">
        <v>9</v>
      </c>
      <c r="Q555" t="s">
        <v>1260</v>
      </c>
      <c r="R555" t="s">
        <v>2447</v>
      </c>
    </row>
    <row r="556" spans="1:18" x14ac:dyDescent="0.25">
      <c r="A556" s="4" t="s">
        <v>2395</v>
      </c>
      <c r="B556" s="4" t="str">
        <f t="shared" si="11"/>
        <v>00022698535KOVR</v>
      </c>
      <c r="C556" t="s">
        <v>1394</v>
      </c>
      <c r="D556" t="s">
        <v>1061</v>
      </c>
      <c r="E556">
        <v>20411454</v>
      </c>
      <c r="F556" t="s">
        <v>2477</v>
      </c>
      <c r="G556" t="s">
        <v>49</v>
      </c>
      <c r="H556" t="s">
        <v>58</v>
      </c>
      <c r="I556" s="1">
        <v>45627</v>
      </c>
      <c r="J556" s="1">
        <v>45992</v>
      </c>
      <c r="K556" t="s">
        <v>51</v>
      </c>
      <c r="L556" t="s">
        <v>52</v>
      </c>
      <c r="M556" s="2">
        <v>1</v>
      </c>
      <c r="N556" s="2">
        <v>1</v>
      </c>
      <c r="P556" s="2">
        <v>9</v>
      </c>
      <c r="Q556" t="s">
        <v>1260</v>
      </c>
      <c r="R556" t="s">
        <v>2447</v>
      </c>
    </row>
    <row r="557" spans="1:18" x14ac:dyDescent="0.25">
      <c r="A557" s="4" t="s">
        <v>2396</v>
      </c>
      <c r="B557" s="4" t="str">
        <f t="shared" si="11"/>
        <v>00022763707KOVR</v>
      </c>
      <c r="C557" t="s">
        <v>1395</v>
      </c>
      <c r="D557" t="s">
        <v>1061</v>
      </c>
      <c r="E557">
        <v>20411454</v>
      </c>
      <c r="F557" t="s">
        <v>2477</v>
      </c>
      <c r="G557" t="s">
        <v>49</v>
      </c>
      <c r="H557" t="s">
        <v>58</v>
      </c>
      <c r="I557" s="1">
        <v>45627</v>
      </c>
      <c r="J557" s="1">
        <v>45992</v>
      </c>
      <c r="K557" t="s">
        <v>51</v>
      </c>
      <c r="L557" t="s">
        <v>52</v>
      </c>
      <c r="M557" s="2">
        <v>1</v>
      </c>
      <c r="N557" s="2">
        <v>1</v>
      </c>
      <c r="P557" s="2">
        <v>9</v>
      </c>
      <c r="Q557" t="s">
        <v>1260</v>
      </c>
      <c r="R557" t="s">
        <v>2447</v>
      </c>
    </row>
    <row r="558" spans="1:18" x14ac:dyDescent="0.25">
      <c r="A558" s="4" t="s">
        <v>2266</v>
      </c>
      <c r="B558" s="4" t="str">
        <f t="shared" si="11"/>
        <v>00000076874FOVR</v>
      </c>
      <c r="C558" t="s">
        <v>1259</v>
      </c>
      <c r="D558" t="s">
        <v>1061</v>
      </c>
      <c r="E558">
        <v>20411454</v>
      </c>
      <c r="F558" t="s">
        <v>2477</v>
      </c>
      <c r="G558" t="s">
        <v>49</v>
      </c>
      <c r="H558" t="s">
        <v>58</v>
      </c>
      <c r="I558" s="1">
        <v>45597</v>
      </c>
      <c r="J558" s="1">
        <v>45992</v>
      </c>
      <c r="K558" t="s">
        <v>51</v>
      </c>
      <c r="L558" t="s">
        <v>52</v>
      </c>
      <c r="M558" s="2">
        <v>1</v>
      </c>
      <c r="N558" s="2">
        <v>1</v>
      </c>
      <c r="P558" s="2">
        <v>9</v>
      </c>
      <c r="Q558" t="s">
        <v>1260</v>
      </c>
      <c r="R558" t="s">
        <v>2447</v>
      </c>
    </row>
    <row r="559" spans="1:18" x14ac:dyDescent="0.25">
      <c r="A559" s="4" t="s">
        <v>2270</v>
      </c>
      <c r="B559" s="4" t="str">
        <f t="shared" si="11"/>
        <v>00011519472KOVR</v>
      </c>
      <c r="C559" t="s">
        <v>1265</v>
      </c>
      <c r="D559" t="s">
        <v>1061</v>
      </c>
      <c r="E559">
        <v>20411454</v>
      </c>
      <c r="F559" t="s">
        <v>2477</v>
      </c>
      <c r="G559" t="s">
        <v>49</v>
      </c>
      <c r="H559" t="s">
        <v>58</v>
      </c>
      <c r="I559" s="1">
        <v>45597</v>
      </c>
      <c r="J559" s="1">
        <v>45992</v>
      </c>
      <c r="K559" t="s">
        <v>51</v>
      </c>
      <c r="L559" t="s">
        <v>52</v>
      </c>
      <c r="M559" s="2">
        <v>1</v>
      </c>
      <c r="N559" s="2">
        <v>1</v>
      </c>
      <c r="P559" s="2">
        <v>9</v>
      </c>
      <c r="Q559" t="s">
        <v>1260</v>
      </c>
      <c r="R559" t="s">
        <v>2447</v>
      </c>
    </row>
    <row r="560" spans="1:18" x14ac:dyDescent="0.25">
      <c r="A560" s="4" t="s">
        <v>2274</v>
      </c>
      <c r="B560" s="4" t="str">
        <f t="shared" si="11"/>
        <v>00018671925KOVR</v>
      </c>
      <c r="C560" t="s">
        <v>1269</v>
      </c>
      <c r="D560" t="s">
        <v>1061</v>
      </c>
      <c r="E560">
        <v>20411454</v>
      </c>
      <c r="F560" t="s">
        <v>2477</v>
      </c>
      <c r="G560" t="s">
        <v>49</v>
      </c>
      <c r="H560" t="s">
        <v>58</v>
      </c>
      <c r="I560" s="1">
        <v>45597</v>
      </c>
      <c r="J560" s="1">
        <v>45992</v>
      </c>
      <c r="K560" t="s">
        <v>51</v>
      </c>
      <c r="L560" t="s">
        <v>52</v>
      </c>
      <c r="M560" s="2">
        <v>1</v>
      </c>
      <c r="N560" s="2">
        <v>1</v>
      </c>
      <c r="P560" s="2">
        <v>9</v>
      </c>
      <c r="Q560" t="s">
        <v>1260</v>
      </c>
      <c r="R560" t="s">
        <v>2447</v>
      </c>
    </row>
    <row r="561" spans="1:18" x14ac:dyDescent="0.25">
      <c r="A561" s="4" t="s">
        <v>2327</v>
      </c>
      <c r="B561" s="4" t="str">
        <f t="shared" si="11"/>
        <v>00021999707KOVR</v>
      </c>
      <c r="C561" t="s">
        <v>1326</v>
      </c>
      <c r="D561" t="s">
        <v>1061</v>
      </c>
      <c r="E561">
        <v>20411454</v>
      </c>
      <c r="F561" t="s">
        <v>2477</v>
      </c>
      <c r="G561" t="s">
        <v>1262</v>
      </c>
      <c r="H561" t="s">
        <v>58</v>
      </c>
      <c r="I561" s="1">
        <v>45597</v>
      </c>
      <c r="J561" s="1">
        <v>45992</v>
      </c>
      <c r="K561" t="s">
        <v>51</v>
      </c>
      <c r="L561" t="s">
        <v>52</v>
      </c>
      <c r="M561" s="2">
        <v>1</v>
      </c>
      <c r="N561" s="2">
        <v>1</v>
      </c>
      <c r="P561" s="2">
        <v>9</v>
      </c>
      <c r="Q561" t="s">
        <v>1260</v>
      </c>
      <c r="R561" t="s">
        <v>2447</v>
      </c>
    </row>
    <row r="562" spans="1:18" x14ac:dyDescent="0.25">
      <c r="A562" s="4" t="s">
        <v>2345</v>
      </c>
      <c r="B562" s="4" t="str">
        <f t="shared" si="11"/>
        <v>00022070044KOVR</v>
      </c>
      <c r="C562" t="s">
        <v>1344</v>
      </c>
      <c r="D562" t="s">
        <v>1061</v>
      </c>
      <c r="E562">
        <v>20411454</v>
      </c>
      <c r="F562" t="s">
        <v>2477</v>
      </c>
      <c r="G562" t="s">
        <v>49</v>
      </c>
      <c r="H562" t="s">
        <v>58</v>
      </c>
      <c r="I562" s="1">
        <v>45597</v>
      </c>
      <c r="J562" s="1">
        <v>45992</v>
      </c>
      <c r="K562" t="s">
        <v>51</v>
      </c>
      <c r="L562" t="s">
        <v>52</v>
      </c>
      <c r="M562" s="2">
        <v>1</v>
      </c>
      <c r="N562" s="2">
        <v>1</v>
      </c>
      <c r="P562" s="2">
        <v>9</v>
      </c>
      <c r="Q562" t="s">
        <v>1260</v>
      </c>
      <c r="R562" t="s">
        <v>2447</v>
      </c>
    </row>
    <row r="563" spans="1:18" x14ac:dyDescent="0.25">
      <c r="A563" s="4" t="s">
        <v>2353</v>
      </c>
      <c r="B563" s="4" t="str">
        <f t="shared" si="11"/>
        <v>00022085271KOVR</v>
      </c>
      <c r="C563" t="s">
        <v>1352</v>
      </c>
      <c r="D563" t="s">
        <v>1061</v>
      </c>
      <c r="E563">
        <v>20411454</v>
      </c>
      <c r="F563" t="s">
        <v>2477</v>
      </c>
      <c r="G563" t="s">
        <v>49</v>
      </c>
      <c r="H563" t="s">
        <v>58</v>
      </c>
      <c r="I563" s="1">
        <v>45597</v>
      </c>
      <c r="J563" s="1">
        <v>45992</v>
      </c>
      <c r="K563" t="s">
        <v>51</v>
      </c>
      <c r="L563" t="s">
        <v>52</v>
      </c>
      <c r="M563" s="2">
        <v>1</v>
      </c>
      <c r="N563" s="2">
        <v>1</v>
      </c>
      <c r="P563" s="2">
        <v>9</v>
      </c>
      <c r="Q563" t="s">
        <v>1260</v>
      </c>
      <c r="R563" t="s">
        <v>2447</v>
      </c>
    </row>
    <row r="564" spans="1:18" x14ac:dyDescent="0.25">
      <c r="A564" s="4" t="s">
        <v>2358</v>
      </c>
      <c r="B564" s="4" t="str">
        <f t="shared" si="11"/>
        <v>00022094729KOVR</v>
      </c>
      <c r="C564" t="s">
        <v>1357</v>
      </c>
      <c r="D564" t="s">
        <v>1061</v>
      </c>
      <c r="E564">
        <v>20411454</v>
      </c>
      <c r="F564" t="s">
        <v>2477</v>
      </c>
      <c r="G564" t="s">
        <v>49</v>
      </c>
      <c r="H564" t="s">
        <v>58</v>
      </c>
      <c r="I564" s="1">
        <v>45597</v>
      </c>
      <c r="J564" s="1">
        <v>45992</v>
      </c>
      <c r="K564" t="s">
        <v>51</v>
      </c>
      <c r="L564" t="s">
        <v>52</v>
      </c>
      <c r="M564" s="2">
        <v>1</v>
      </c>
      <c r="N564" s="2">
        <v>1</v>
      </c>
      <c r="P564" s="2">
        <v>9</v>
      </c>
      <c r="Q564" t="s">
        <v>1272</v>
      </c>
      <c r="R564" t="s">
        <v>2447</v>
      </c>
    </row>
    <row r="565" spans="1:18" x14ac:dyDescent="0.25">
      <c r="A565" s="4" t="s">
        <v>2359</v>
      </c>
      <c r="B565" s="4" t="str">
        <f t="shared" si="11"/>
        <v>00022094985KOVR</v>
      </c>
      <c r="C565" t="s">
        <v>1358</v>
      </c>
      <c r="D565" t="s">
        <v>1061</v>
      </c>
      <c r="E565">
        <v>20411454</v>
      </c>
      <c r="F565" t="s">
        <v>2477</v>
      </c>
      <c r="G565" t="s">
        <v>49</v>
      </c>
      <c r="H565" t="s">
        <v>58</v>
      </c>
      <c r="I565" s="1">
        <v>45597</v>
      </c>
      <c r="J565" s="1">
        <v>45992</v>
      </c>
      <c r="K565" t="s">
        <v>51</v>
      </c>
      <c r="L565" t="s">
        <v>52</v>
      </c>
      <c r="M565" s="2">
        <v>1</v>
      </c>
      <c r="N565" s="2">
        <v>1</v>
      </c>
      <c r="P565" s="2">
        <v>9</v>
      </c>
      <c r="Q565" t="s">
        <v>1272</v>
      </c>
      <c r="R565" t="s">
        <v>2447</v>
      </c>
    </row>
    <row r="566" spans="1:18" x14ac:dyDescent="0.25">
      <c r="A566" s="4" t="s">
        <v>2361</v>
      </c>
      <c r="B566" s="4" t="str">
        <f t="shared" si="11"/>
        <v>00022095955KOVR</v>
      </c>
      <c r="C566" t="s">
        <v>1360</v>
      </c>
      <c r="D566" t="s">
        <v>1061</v>
      </c>
      <c r="E566">
        <v>20411454</v>
      </c>
      <c r="F566" t="s">
        <v>2477</v>
      </c>
      <c r="G566" t="s">
        <v>49</v>
      </c>
      <c r="H566" t="s">
        <v>58</v>
      </c>
      <c r="I566" s="1">
        <v>45597</v>
      </c>
      <c r="J566" s="1">
        <v>45992</v>
      </c>
      <c r="K566" t="s">
        <v>51</v>
      </c>
      <c r="L566" t="s">
        <v>52</v>
      </c>
      <c r="M566" s="2">
        <v>1</v>
      </c>
      <c r="N566" s="2">
        <v>1</v>
      </c>
      <c r="P566" s="2">
        <v>9</v>
      </c>
      <c r="Q566" t="s">
        <v>1272</v>
      </c>
      <c r="R566" t="s">
        <v>2447</v>
      </c>
    </row>
    <row r="567" spans="1:18" x14ac:dyDescent="0.25">
      <c r="A567" s="4" t="s">
        <v>2362</v>
      </c>
      <c r="B567" s="4" t="str">
        <f t="shared" si="11"/>
        <v>00022096948KOVR</v>
      </c>
      <c r="C567" t="s">
        <v>1361</v>
      </c>
      <c r="D567" t="s">
        <v>1061</v>
      </c>
      <c r="E567">
        <v>20411454</v>
      </c>
      <c r="F567" t="s">
        <v>2477</v>
      </c>
      <c r="G567" t="s">
        <v>49</v>
      </c>
      <c r="H567" t="s">
        <v>58</v>
      </c>
      <c r="I567" s="1">
        <v>45597</v>
      </c>
      <c r="J567" s="1">
        <v>45992</v>
      </c>
      <c r="K567" t="s">
        <v>51</v>
      </c>
      <c r="L567" t="s">
        <v>52</v>
      </c>
      <c r="M567" s="2">
        <v>1</v>
      </c>
      <c r="N567" s="2">
        <v>1</v>
      </c>
      <c r="P567" s="2">
        <v>9</v>
      </c>
      <c r="Q567" t="s">
        <v>1272</v>
      </c>
      <c r="R567" t="s">
        <v>2447</v>
      </c>
    </row>
    <row r="568" spans="1:18" x14ac:dyDescent="0.25">
      <c r="A568" s="4" t="s">
        <v>2363</v>
      </c>
      <c r="B568" s="4" t="str">
        <f t="shared" si="11"/>
        <v>00022097947KOVR</v>
      </c>
      <c r="C568" t="s">
        <v>1362</v>
      </c>
      <c r="D568" t="s">
        <v>1061</v>
      </c>
      <c r="E568">
        <v>20411454</v>
      </c>
      <c r="F568" t="s">
        <v>2477</v>
      </c>
      <c r="G568" t="s">
        <v>49</v>
      </c>
      <c r="H568" t="s">
        <v>58</v>
      </c>
      <c r="I568" s="1">
        <v>45597</v>
      </c>
      <c r="J568" s="1">
        <v>45992</v>
      </c>
      <c r="K568" t="s">
        <v>51</v>
      </c>
      <c r="L568" t="s">
        <v>52</v>
      </c>
      <c r="M568" s="2">
        <v>1</v>
      </c>
      <c r="N568" s="2">
        <v>1</v>
      </c>
      <c r="P568" s="2">
        <v>9</v>
      </c>
      <c r="Q568" t="s">
        <v>1272</v>
      </c>
      <c r="R568" t="s">
        <v>2447</v>
      </c>
    </row>
    <row r="569" spans="1:18" x14ac:dyDescent="0.25">
      <c r="A569" s="4" t="s">
        <v>2366</v>
      </c>
      <c r="B569" s="4" t="str">
        <f t="shared" si="11"/>
        <v>00022112017KOVR</v>
      </c>
      <c r="C569" t="s">
        <v>1365</v>
      </c>
      <c r="D569" t="s">
        <v>1061</v>
      </c>
      <c r="E569">
        <v>20411454</v>
      </c>
      <c r="F569" t="s">
        <v>2477</v>
      </c>
      <c r="G569" t="s">
        <v>49</v>
      </c>
      <c r="H569" t="s">
        <v>58</v>
      </c>
      <c r="I569" s="1">
        <v>45597</v>
      </c>
      <c r="J569" s="1">
        <v>45992</v>
      </c>
      <c r="K569" t="s">
        <v>51</v>
      </c>
      <c r="L569" t="s">
        <v>52</v>
      </c>
      <c r="M569" s="2">
        <v>1</v>
      </c>
      <c r="N569" s="2">
        <v>1</v>
      </c>
      <c r="P569" s="2">
        <v>9</v>
      </c>
      <c r="Q569" t="s">
        <v>1260</v>
      </c>
      <c r="R569" t="s">
        <v>2447</v>
      </c>
    </row>
    <row r="570" spans="1:18" x14ac:dyDescent="0.25">
      <c r="A570" s="4" t="s">
        <v>2367</v>
      </c>
      <c r="B570" s="4" t="str">
        <f t="shared" si="11"/>
        <v>00022137026KOVR</v>
      </c>
      <c r="C570" t="s">
        <v>1366</v>
      </c>
      <c r="D570" t="s">
        <v>1061</v>
      </c>
      <c r="E570">
        <v>20411454</v>
      </c>
      <c r="F570" t="s">
        <v>2477</v>
      </c>
      <c r="G570" t="s">
        <v>49</v>
      </c>
      <c r="H570" t="s">
        <v>58</v>
      </c>
      <c r="I570" s="1">
        <v>45597</v>
      </c>
      <c r="J570" s="1">
        <v>45992</v>
      </c>
      <c r="K570" t="s">
        <v>51</v>
      </c>
      <c r="L570" t="s">
        <v>52</v>
      </c>
      <c r="M570" s="2">
        <v>1</v>
      </c>
      <c r="N570" s="2">
        <v>1</v>
      </c>
      <c r="P570" s="2">
        <v>9</v>
      </c>
      <c r="Q570" t="s">
        <v>1260</v>
      </c>
      <c r="R570" t="s">
        <v>2447</v>
      </c>
    </row>
    <row r="571" spans="1:18" x14ac:dyDescent="0.25">
      <c r="A571" s="4" t="s">
        <v>2368</v>
      </c>
      <c r="B571" s="4" t="str">
        <f t="shared" si="11"/>
        <v>00022148995KOVR</v>
      </c>
      <c r="C571" t="s">
        <v>1367</v>
      </c>
      <c r="D571" t="s">
        <v>1061</v>
      </c>
      <c r="E571">
        <v>20411454</v>
      </c>
      <c r="F571" t="s">
        <v>2477</v>
      </c>
      <c r="G571" t="s">
        <v>49</v>
      </c>
      <c r="H571" t="s">
        <v>58</v>
      </c>
      <c r="I571" s="1">
        <v>45597</v>
      </c>
      <c r="J571" s="1">
        <v>45992</v>
      </c>
      <c r="K571" t="s">
        <v>51</v>
      </c>
      <c r="L571" t="s">
        <v>52</v>
      </c>
      <c r="M571" s="2">
        <v>1</v>
      </c>
      <c r="N571" s="2">
        <v>1</v>
      </c>
      <c r="P571" s="2">
        <v>9</v>
      </c>
      <c r="Q571" t="s">
        <v>1260</v>
      </c>
      <c r="R571" t="s">
        <v>2447</v>
      </c>
    </row>
    <row r="572" spans="1:18" x14ac:dyDescent="0.25">
      <c r="A572" s="4" t="s">
        <v>2370</v>
      </c>
      <c r="B572" s="4" t="str">
        <f t="shared" si="11"/>
        <v>00022198910KOVR</v>
      </c>
      <c r="C572" t="s">
        <v>1369</v>
      </c>
      <c r="D572" t="s">
        <v>1061</v>
      </c>
      <c r="E572">
        <v>20411454</v>
      </c>
      <c r="F572" t="s">
        <v>2477</v>
      </c>
      <c r="G572" t="s">
        <v>49</v>
      </c>
      <c r="H572" t="s">
        <v>58</v>
      </c>
      <c r="I572" s="1">
        <v>45597</v>
      </c>
      <c r="J572" s="1">
        <v>45992</v>
      </c>
      <c r="K572" t="s">
        <v>51</v>
      </c>
      <c r="L572" t="s">
        <v>52</v>
      </c>
      <c r="M572" s="2">
        <v>1</v>
      </c>
      <c r="N572" s="2">
        <v>1</v>
      </c>
      <c r="P572" s="2">
        <v>9</v>
      </c>
      <c r="Q572" t="s">
        <v>1260</v>
      </c>
      <c r="R572" t="s">
        <v>2447</v>
      </c>
    </row>
    <row r="573" spans="1:18" x14ac:dyDescent="0.25">
      <c r="A573" s="4" t="s">
        <v>2371</v>
      </c>
      <c r="B573" s="4" t="str">
        <f t="shared" si="11"/>
        <v>00022203514KOVR</v>
      </c>
      <c r="C573" t="s">
        <v>1370</v>
      </c>
      <c r="D573" t="s">
        <v>1061</v>
      </c>
      <c r="E573">
        <v>20411454</v>
      </c>
      <c r="F573" t="s">
        <v>2477</v>
      </c>
      <c r="G573" t="s">
        <v>49</v>
      </c>
      <c r="H573" t="s">
        <v>58</v>
      </c>
      <c r="I573" s="1">
        <v>45597</v>
      </c>
      <c r="J573" s="1">
        <v>45992</v>
      </c>
      <c r="K573" t="s">
        <v>51</v>
      </c>
      <c r="L573" t="s">
        <v>52</v>
      </c>
      <c r="M573" s="2">
        <v>1</v>
      </c>
      <c r="N573" s="2">
        <v>1</v>
      </c>
      <c r="P573" s="2">
        <v>9</v>
      </c>
      <c r="Q573" t="s">
        <v>1260</v>
      </c>
      <c r="R573" t="s">
        <v>2447</v>
      </c>
    </row>
    <row r="574" spans="1:18" x14ac:dyDescent="0.25">
      <c r="A574" s="4" t="s">
        <v>2374</v>
      </c>
      <c r="B574" s="4" t="str">
        <f t="shared" si="11"/>
        <v>00022241122KOVR</v>
      </c>
      <c r="C574" t="s">
        <v>1373</v>
      </c>
      <c r="D574" t="s">
        <v>1061</v>
      </c>
      <c r="E574">
        <v>20411454</v>
      </c>
      <c r="F574" t="s">
        <v>2477</v>
      </c>
      <c r="G574" t="s">
        <v>49</v>
      </c>
      <c r="H574" t="s">
        <v>58</v>
      </c>
      <c r="I574" s="1">
        <v>45597</v>
      </c>
      <c r="J574" s="1">
        <v>45992</v>
      </c>
      <c r="K574" t="s">
        <v>51</v>
      </c>
      <c r="L574" t="s">
        <v>52</v>
      </c>
      <c r="M574" s="2">
        <v>1</v>
      </c>
      <c r="N574" s="2">
        <v>1</v>
      </c>
      <c r="P574" s="2">
        <v>9</v>
      </c>
      <c r="Q574" t="s">
        <v>1260</v>
      </c>
      <c r="R574" t="s">
        <v>2447</v>
      </c>
    </row>
    <row r="575" spans="1:18" x14ac:dyDescent="0.25">
      <c r="A575" s="4" t="s">
        <v>2375</v>
      </c>
      <c r="B575" s="4" t="str">
        <f t="shared" si="11"/>
        <v>00022256745KOVR</v>
      </c>
      <c r="C575" t="s">
        <v>1374</v>
      </c>
      <c r="D575" t="s">
        <v>1061</v>
      </c>
      <c r="E575">
        <v>20411454</v>
      </c>
      <c r="F575" t="s">
        <v>2477</v>
      </c>
      <c r="G575" t="s">
        <v>49</v>
      </c>
      <c r="H575" t="s">
        <v>58</v>
      </c>
      <c r="I575" s="1">
        <v>45597</v>
      </c>
      <c r="J575" s="1">
        <v>45992</v>
      </c>
      <c r="K575" t="s">
        <v>51</v>
      </c>
      <c r="L575" t="s">
        <v>52</v>
      </c>
      <c r="M575" s="2">
        <v>1</v>
      </c>
      <c r="N575" s="2">
        <v>1</v>
      </c>
      <c r="P575" s="2">
        <v>9</v>
      </c>
      <c r="Q575" t="s">
        <v>1260</v>
      </c>
      <c r="R575" t="s">
        <v>2447</v>
      </c>
    </row>
    <row r="576" spans="1:18" x14ac:dyDescent="0.25">
      <c r="A576" s="4" t="s">
        <v>2376</v>
      </c>
      <c r="B576" s="4" t="str">
        <f t="shared" si="11"/>
        <v>00022351069KOVR</v>
      </c>
      <c r="C576" t="s">
        <v>1375</v>
      </c>
      <c r="D576" t="s">
        <v>1061</v>
      </c>
      <c r="E576">
        <v>20411454</v>
      </c>
      <c r="F576" t="s">
        <v>2477</v>
      </c>
      <c r="G576" t="s">
        <v>49</v>
      </c>
      <c r="H576" t="s">
        <v>58</v>
      </c>
      <c r="I576" s="1">
        <v>45597</v>
      </c>
      <c r="J576" s="1">
        <v>45992</v>
      </c>
      <c r="K576" t="s">
        <v>51</v>
      </c>
      <c r="L576" t="s">
        <v>52</v>
      </c>
      <c r="M576" s="2">
        <v>1</v>
      </c>
      <c r="N576" s="2">
        <v>1</v>
      </c>
      <c r="P576" s="2">
        <v>9</v>
      </c>
      <c r="Q576" t="s">
        <v>1260</v>
      </c>
      <c r="R576" t="s">
        <v>2447</v>
      </c>
    </row>
    <row r="577" spans="1:18" x14ac:dyDescent="0.25">
      <c r="A577" s="4" t="s">
        <v>2377</v>
      </c>
      <c r="B577" s="4" t="str">
        <f t="shared" si="11"/>
        <v>00022366455KOVR</v>
      </c>
      <c r="C577" t="s">
        <v>1376</v>
      </c>
      <c r="D577" t="s">
        <v>1061</v>
      </c>
      <c r="E577">
        <v>20411454</v>
      </c>
      <c r="F577" t="s">
        <v>2477</v>
      </c>
      <c r="G577" t="s">
        <v>49</v>
      </c>
      <c r="H577" t="s">
        <v>58</v>
      </c>
      <c r="I577" s="1">
        <v>45597</v>
      </c>
      <c r="J577" s="1">
        <v>45992</v>
      </c>
      <c r="K577" t="s">
        <v>51</v>
      </c>
      <c r="L577" t="s">
        <v>52</v>
      </c>
      <c r="M577" s="2">
        <v>1</v>
      </c>
      <c r="N577" s="2">
        <v>1</v>
      </c>
      <c r="P577" s="2">
        <v>4</v>
      </c>
      <c r="Q577" t="s">
        <v>1260</v>
      </c>
      <c r="R577" t="s">
        <v>2447</v>
      </c>
    </row>
    <row r="578" spans="1:18" x14ac:dyDescent="0.25">
      <c r="A578" s="4" t="s">
        <v>2378</v>
      </c>
      <c r="B578" s="4" t="str">
        <f t="shared" si="11"/>
        <v>00022386017KOVR</v>
      </c>
      <c r="C578" t="s">
        <v>1377</v>
      </c>
      <c r="D578" t="s">
        <v>1061</v>
      </c>
      <c r="E578">
        <v>20411454</v>
      </c>
      <c r="F578" t="s">
        <v>2477</v>
      </c>
      <c r="G578" t="s">
        <v>49</v>
      </c>
      <c r="H578" t="s">
        <v>58</v>
      </c>
      <c r="I578" s="1">
        <v>45597</v>
      </c>
      <c r="J578" s="1">
        <v>45992</v>
      </c>
      <c r="K578" t="s">
        <v>51</v>
      </c>
      <c r="L578" t="s">
        <v>52</v>
      </c>
      <c r="M578" s="2">
        <v>1</v>
      </c>
      <c r="N578" s="2">
        <v>1</v>
      </c>
      <c r="P578" s="2">
        <v>9</v>
      </c>
      <c r="Q578" t="s">
        <v>1260</v>
      </c>
      <c r="R578" t="s">
        <v>2447</v>
      </c>
    </row>
    <row r="579" spans="1:18" x14ac:dyDescent="0.25">
      <c r="A579" s="4" t="s">
        <v>2269</v>
      </c>
      <c r="B579" s="4" t="str">
        <f t="shared" si="11"/>
        <v>00011182221KOVR</v>
      </c>
      <c r="C579" t="s">
        <v>1264</v>
      </c>
      <c r="D579" t="s">
        <v>1061</v>
      </c>
      <c r="E579">
        <v>20411454</v>
      </c>
      <c r="F579" t="s">
        <v>2477</v>
      </c>
      <c r="G579" t="s">
        <v>1262</v>
      </c>
      <c r="H579" t="s">
        <v>58</v>
      </c>
      <c r="I579" s="1">
        <v>45566</v>
      </c>
      <c r="J579" s="1">
        <v>45992</v>
      </c>
      <c r="K579" t="s">
        <v>51</v>
      </c>
      <c r="L579" t="s">
        <v>52</v>
      </c>
      <c r="M579" s="2">
        <v>1</v>
      </c>
      <c r="N579" s="2">
        <v>1</v>
      </c>
      <c r="P579" s="2">
        <v>9</v>
      </c>
      <c r="Q579" t="s">
        <v>1260</v>
      </c>
      <c r="R579" t="s">
        <v>2447</v>
      </c>
    </row>
    <row r="580" spans="1:18" x14ac:dyDescent="0.25">
      <c r="A580" s="4" t="s">
        <v>2276</v>
      </c>
      <c r="B580" s="4" t="str">
        <f t="shared" si="11"/>
        <v>00020195670KOVR</v>
      </c>
      <c r="C580" t="s">
        <v>1273</v>
      </c>
      <c r="D580" t="s">
        <v>1061</v>
      </c>
      <c r="E580">
        <v>20411454</v>
      </c>
      <c r="F580" t="s">
        <v>2477</v>
      </c>
      <c r="G580" t="s">
        <v>49</v>
      </c>
      <c r="H580" t="s">
        <v>58</v>
      </c>
      <c r="I580" s="1">
        <v>45566</v>
      </c>
      <c r="J580" s="1">
        <v>45992</v>
      </c>
      <c r="K580" t="s">
        <v>51</v>
      </c>
      <c r="L580" t="s">
        <v>52</v>
      </c>
      <c r="M580" s="2">
        <v>1</v>
      </c>
      <c r="N580" s="2">
        <v>1</v>
      </c>
      <c r="P580" s="2">
        <v>9</v>
      </c>
      <c r="Q580" t="s">
        <v>1260</v>
      </c>
      <c r="R580" t="s">
        <v>2447</v>
      </c>
    </row>
    <row r="581" spans="1:18" x14ac:dyDescent="0.25">
      <c r="A581" s="4" t="s">
        <v>2318</v>
      </c>
      <c r="B581" s="4" t="str">
        <f t="shared" si="11"/>
        <v>00021948322KOVR</v>
      </c>
      <c r="C581" t="s">
        <v>1317</v>
      </c>
      <c r="D581" t="s">
        <v>1061</v>
      </c>
      <c r="E581">
        <v>20411454</v>
      </c>
      <c r="F581" t="s">
        <v>2477</v>
      </c>
      <c r="G581" t="s">
        <v>49</v>
      </c>
      <c r="H581" t="s">
        <v>58</v>
      </c>
      <c r="I581" s="1">
        <v>45566</v>
      </c>
      <c r="J581" s="1">
        <v>45992</v>
      </c>
      <c r="K581" t="s">
        <v>51</v>
      </c>
      <c r="L581" t="s">
        <v>52</v>
      </c>
      <c r="M581" s="2">
        <v>1</v>
      </c>
      <c r="N581" s="2">
        <v>1</v>
      </c>
      <c r="P581" s="2">
        <v>9</v>
      </c>
      <c r="Q581" t="s">
        <v>1260</v>
      </c>
      <c r="R581" t="s">
        <v>2447</v>
      </c>
    </row>
    <row r="582" spans="1:18" x14ac:dyDescent="0.25">
      <c r="A582" s="4" t="s">
        <v>2321</v>
      </c>
      <c r="B582" s="4" t="str">
        <f t="shared" si="11"/>
        <v>00021969632KOVR</v>
      </c>
      <c r="C582" t="s">
        <v>1320</v>
      </c>
      <c r="D582" t="s">
        <v>1061</v>
      </c>
      <c r="E582">
        <v>20411454</v>
      </c>
      <c r="F582" t="s">
        <v>2477</v>
      </c>
      <c r="G582" t="s">
        <v>1262</v>
      </c>
      <c r="H582" t="s">
        <v>58</v>
      </c>
      <c r="I582" s="1">
        <v>45566</v>
      </c>
      <c r="J582" s="1">
        <v>45992</v>
      </c>
      <c r="K582" t="s">
        <v>51</v>
      </c>
      <c r="L582" t="s">
        <v>52</v>
      </c>
      <c r="M582" s="2">
        <v>1</v>
      </c>
      <c r="N582" s="2">
        <v>1</v>
      </c>
      <c r="P582" s="2">
        <v>9</v>
      </c>
      <c r="Q582" t="s">
        <v>1260</v>
      </c>
      <c r="R582" t="s">
        <v>2447</v>
      </c>
    </row>
    <row r="583" spans="1:18" x14ac:dyDescent="0.25">
      <c r="A583" s="4" t="s">
        <v>2322</v>
      </c>
      <c r="B583" s="4" t="str">
        <f t="shared" si="11"/>
        <v>00021970944KOVR</v>
      </c>
      <c r="C583" t="s">
        <v>1321</v>
      </c>
      <c r="D583" t="s">
        <v>1061</v>
      </c>
      <c r="E583">
        <v>20411454</v>
      </c>
      <c r="F583" t="s">
        <v>2477</v>
      </c>
      <c r="G583" t="s">
        <v>1262</v>
      </c>
      <c r="H583" t="s">
        <v>58</v>
      </c>
      <c r="I583" s="1">
        <v>45566</v>
      </c>
      <c r="J583" s="1">
        <v>45992</v>
      </c>
      <c r="K583" t="s">
        <v>51</v>
      </c>
      <c r="L583" t="s">
        <v>52</v>
      </c>
      <c r="M583" s="2">
        <v>1</v>
      </c>
      <c r="N583" s="2">
        <v>1</v>
      </c>
      <c r="P583" s="2">
        <v>9</v>
      </c>
      <c r="Q583" t="s">
        <v>1260</v>
      </c>
      <c r="R583" t="s">
        <v>2447</v>
      </c>
    </row>
    <row r="584" spans="1:18" x14ac:dyDescent="0.25">
      <c r="A584" s="4" t="s">
        <v>2323</v>
      </c>
      <c r="B584" s="4" t="str">
        <f t="shared" si="11"/>
        <v>00021973818KOVR</v>
      </c>
      <c r="C584" t="s">
        <v>1322</v>
      </c>
      <c r="D584" t="s">
        <v>1061</v>
      </c>
      <c r="E584">
        <v>20411454</v>
      </c>
      <c r="F584" t="s">
        <v>2477</v>
      </c>
      <c r="G584" t="s">
        <v>1262</v>
      </c>
      <c r="H584" t="s">
        <v>58</v>
      </c>
      <c r="I584" s="1">
        <v>45566</v>
      </c>
      <c r="J584" s="1">
        <v>45992</v>
      </c>
      <c r="K584" t="s">
        <v>51</v>
      </c>
      <c r="L584" t="s">
        <v>52</v>
      </c>
      <c r="M584" s="2">
        <v>1</v>
      </c>
      <c r="N584" s="2">
        <v>1</v>
      </c>
      <c r="P584" s="2">
        <v>9</v>
      </c>
      <c r="Q584" t="s">
        <v>1260</v>
      </c>
      <c r="R584" t="s">
        <v>2447</v>
      </c>
    </row>
    <row r="585" spans="1:18" x14ac:dyDescent="0.25">
      <c r="A585" s="4" t="s">
        <v>2331</v>
      </c>
      <c r="B585" s="4" t="str">
        <f t="shared" si="11"/>
        <v>00022021737KOVR</v>
      </c>
      <c r="C585" t="s">
        <v>1330</v>
      </c>
      <c r="D585" t="s">
        <v>1061</v>
      </c>
      <c r="E585">
        <v>20411454</v>
      </c>
      <c r="F585" t="s">
        <v>2477</v>
      </c>
      <c r="G585" t="s">
        <v>1262</v>
      </c>
      <c r="H585" t="s">
        <v>58</v>
      </c>
      <c r="I585" s="1">
        <v>45566</v>
      </c>
      <c r="J585" s="1">
        <v>45992</v>
      </c>
      <c r="K585" t="s">
        <v>51</v>
      </c>
      <c r="L585" t="s">
        <v>52</v>
      </c>
      <c r="M585" s="2">
        <v>1</v>
      </c>
      <c r="N585" s="2">
        <v>1</v>
      </c>
      <c r="P585" s="2">
        <v>9</v>
      </c>
      <c r="Q585" t="s">
        <v>1260</v>
      </c>
      <c r="R585" t="s">
        <v>2447</v>
      </c>
    </row>
    <row r="586" spans="1:18" x14ac:dyDescent="0.25">
      <c r="A586" s="4" t="s">
        <v>2333</v>
      </c>
      <c r="B586" s="4" t="str">
        <f t="shared" si="11"/>
        <v>00022025150KOVR</v>
      </c>
      <c r="C586" t="s">
        <v>1332</v>
      </c>
      <c r="D586" t="s">
        <v>1061</v>
      </c>
      <c r="E586">
        <v>20411454</v>
      </c>
      <c r="F586" t="s">
        <v>2477</v>
      </c>
      <c r="G586" t="s">
        <v>49</v>
      </c>
      <c r="H586" t="s">
        <v>58</v>
      </c>
      <c r="I586" s="1">
        <v>45566</v>
      </c>
      <c r="J586" s="1">
        <v>45992</v>
      </c>
      <c r="K586" t="s">
        <v>51</v>
      </c>
      <c r="L586" t="s">
        <v>52</v>
      </c>
      <c r="M586" s="2">
        <v>1</v>
      </c>
      <c r="N586" s="2">
        <v>1</v>
      </c>
      <c r="P586" s="2">
        <v>9</v>
      </c>
      <c r="Q586" t="s">
        <v>1272</v>
      </c>
      <c r="R586" t="s">
        <v>2447</v>
      </c>
    </row>
    <row r="587" spans="1:18" x14ac:dyDescent="0.25">
      <c r="A587" s="4" t="s">
        <v>2335</v>
      </c>
      <c r="B587" s="4" t="str">
        <f t="shared" si="11"/>
        <v>00022031158KOVR</v>
      </c>
      <c r="C587" t="s">
        <v>1334</v>
      </c>
      <c r="D587" t="s">
        <v>1061</v>
      </c>
      <c r="E587">
        <v>20411454</v>
      </c>
      <c r="F587" t="s">
        <v>2477</v>
      </c>
      <c r="G587" t="s">
        <v>49</v>
      </c>
      <c r="H587" t="s">
        <v>58</v>
      </c>
      <c r="I587" s="1">
        <v>45566</v>
      </c>
      <c r="J587" s="1">
        <v>45992</v>
      </c>
      <c r="K587" t="s">
        <v>51</v>
      </c>
      <c r="L587" t="s">
        <v>52</v>
      </c>
      <c r="M587" s="2">
        <v>1</v>
      </c>
      <c r="N587" s="2">
        <v>1</v>
      </c>
      <c r="P587" s="2">
        <v>9</v>
      </c>
      <c r="Q587" t="s">
        <v>1272</v>
      </c>
      <c r="R587" t="s">
        <v>2447</v>
      </c>
    </row>
    <row r="588" spans="1:18" x14ac:dyDescent="0.25">
      <c r="A588" s="4" t="s">
        <v>2336</v>
      </c>
      <c r="B588" s="4" t="str">
        <f t="shared" si="11"/>
        <v>00022032935KOVR</v>
      </c>
      <c r="C588" t="s">
        <v>1335</v>
      </c>
      <c r="D588" t="s">
        <v>1061</v>
      </c>
      <c r="E588">
        <v>20411454</v>
      </c>
      <c r="F588" t="s">
        <v>2477</v>
      </c>
      <c r="G588" t="s">
        <v>49</v>
      </c>
      <c r="H588" t="s">
        <v>58</v>
      </c>
      <c r="I588" s="1">
        <v>45566</v>
      </c>
      <c r="J588" s="1">
        <v>45992</v>
      </c>
      <c r="K588" t="s">
        <v>51</v>
      </c>
      <c r="L588" t="s">
        <v>52</v>
      </c>
      <c r="M588" s="2">
        <v>1</v>
      </c>
      <c r="N588" s="2">
        <v>1</v>
      </c>
      <c r="P588" s="2">
        <v>9</v>
      </c>
      <c r="Q588" t="s">
        <v>1272</v>
      </c>
      <c r="R588" t="s">
        <v>2447</v>
      </c>
    </row>
    <row r="589" spans="1:18" x14ac:dyDescent="0.25">
      <c r="A589" s="4" t="s">
        <v>2337</v>
      </c>
      <c r="B589" s="4" t="str">
        <f t="shared" si="11"/>
        <v>00022033067KOVR</v>
      </c>
      <c r="C589" t="s">
        <v>1336</v>
      </c>
      <c r="D589" t="s">
        <v>1061</v>
      </c>
      <c r="E589">
        <v>20411454</v>
      </c>
      <c r="F589" t="s">
        <v>2477</v>
      </c>
      <c r="G589" t="s">
        <v>1262</v>
      </c>
      <c r="H589" t="s">
        <v>58</v>
      </c>
      <c r="I589" s="1">
        <v>45566</v>
      </c>
      <c r="J589" s="1">
        <v>45992</v>
      </c>
      <c r="K589" t="s">
        <v>51</v>
      </c>
      <c r="L589" t="s">
        <v>52</v>
      </c>
      <c r="M589" s="2">
        <v>1</v>
      </c>
      <c r="N589" s="2">
        <v>1</v>
      </c>
      <c r="P589" s="2">
        <v>9</v>
      </c>
      <c r="Q589" t="s">
        <v>1260</v>
      </c>
      <c r="R589" t="s">
        <v>2447</v>
      </c>
    </row>
    <row r="590" spans="1:18" x14ac:dyDescent="0.25">
      <c r="A590" s="4" t="s">
        <v>2338</v>
      </c>
      <c r="B590" s="4" t="str">
        <f t="shared" ref="B590:B653" si="12">CONCATENATE(A590,"OVR")</f>
        <v>00022033172KOVR</v>
      </c>
      <c r="C590" t="s">
        <v>1337</v>
      </c>
      <c r="D590" t="s">
        <v>1061</v>
      </c>
      <c r="E590">
        <v>20411454</v>
      </c>
      <c r="F590" t="s">
        <v>2477</v>
      </c>
      <c r="G590" t="s">
        <v>1262</v>
      </c>
      <c r="H590" t="s">
        <v>58</v>
      </c>
      <c r="I590" s="1">
        <v>45566</v>
      </c>
      <c r="J590" s="1">
        <v>45992</v>
      </c>
      <c r="K590" t="s">
        <v>51</v>
      </c>
      <c r="L590" t="s">
        <v>52</v>
      </c>
      <c r="M590" s="2">
        <v>1</v>
      </c>
      <c r="N590" s="2">
        <v>1</v>
      </c>
      <c r="P590" s="2">
        <v>9</v>
      </c>
      <c r="Q590" t="s">
        <v>1260</v>
      </c>
      <c r="R590" t="s">
        <v>2447</v>
      </c>
    </row>
    <row r="591" spans="1:18" x14ac:dyDescent="0.25">
      <c r="A591" s="4" t="s">
        <v>2339</v>
      </c>
      <c r="B591" s="4" t="str">
        <f t="shared" si="12"/>
        <v>00022035242KOVR</v>
      </c>
      <c r="C591" t="s">
        <v>1338</v>
      </c>
      <c r="D591" t="s">
        <v>1061</v>
      </c>
      <c r="E591">
        <v>20411454</v>
      </c>
      <c r="F591" t="s">
        <v>2477</v>
      </c>
      <c r="G591" t="s">
        <v>49</v>
      </c>
      <c r="H591" t="s">
        <v>58</v>
      </c>
      <c r="I591" s="1">
        <v>45566</v>
      </c>
      <c r="J591" s="1">
        <v>45992</v>
      </c>
      <c r="K591" t="s">
        <v>51</v>
      </c>
      <c r="L591" t="s">
        <v>52</v>
      </c>
      <c r="M591" s="2">
        <v>1</v>
      </c>
      <c r="N591" s="2">
        <v>1</v>
      </c>
      <c r="P591" s="2">
        <v>9</v>
      </c>
      <c r="Q591" t="s">
        <v>1272</v>
      </c>
      <c r="R591" t="s">
        <v>2447</v>
      </c>
    </row>
    <row r="592" spans="1:18" x14ac:dyDescent="0.25">
      <c r="A592" s="4" t="s">
        <v>2340</v>
      </c>
      <c r="B592" s="4" t="str">
        <f t="shared" si="12"/>
        <v>00022040894KOVR</v>
      </c>
      <c r="C592" t="s">
        <v>1339</v>
      </c>
      <c r="D592" t="s">
        <v>1061</v>
      </c>
      <c r="E592">
        <v>20411454</v>
      </c>
      <c r="F592" t="s">
        <v>2477</v>
      </c>
      <c r="G592" t="s">
        <v>49</v>
      </c>
      <c r="H592" t="s">
        <v>58</v>
      </c>
      <c r="I592" s="1">
        <v>45566</v>
      </c>
      <c r="J592" s="1">
        <v>45992</v>
      </c>
      <c r="K592" t="s">
        <v>51</v>
      </c>
      <c r="L592" t="s">
        <v>52</v>
      </c>
      <c r="M592" s="2">
        <v>1</v>
      </c>
      <c r="N592" s="2">
        <v>1</v>
      </c>
      <c r="P592" s="2">
        <v>9</v>
      </c>
      <c r="Q592" t="s">
        <v>1272</v>
      </c>
      <c r="R592" t="s">
        <v>2447</v>
      </c>
    </row>
    <row r="593" spans="1:18" x14ac:dyDescent="0.25">
      <c r="A593" s="4" t="s">
        <v>2342</v>
      </c>
      <c r="B593" s="4" t="str">
        <f t="shared" si="12"/>
        <v>00022052067KOVR</v>
      </c>
      <c r="C593" t="s">
        <v>1341</v>
      </c>
      <c r="D593" t="s">
        <v>1061</v>
      </c>
      <c r="E593">
        <v>20411454</v>
      </c>
      <c r="F593" t="s">
        <v>2477</v>
      </c>
      <c r="G593" t="s">
        <v>49</v>
      </c>
      <c r="H593" t="s">
        <v>58</v>
      </c>
      <c r="I593" s="1">
        <v>45566</v>
      </c>
      <c r="J593" s="1">
        <v>45992</v>
      </c>
      <c r="K593" t="s">
        <v>51</v>
      </c>
      <c r="L593" t="s">
        <v>52</v>
      </c>
      <c r="M593" s="2">
        <v>1</v>
      </c>
      <c r="N593" s="2">
        <v>1</v>
      </c>
      <c r="P593" s="2">
        <v>9</v>
      </c>
      <c r="Q593" t="s">
        <v>1272</v>
      </c>
      <c r="R593" t="s">
        <v>2447</v>
      </c>
    </row>
    <row r="594" spans="1:18" x14ac:dyDescent="0.25">
      <c r="A594" s="4" t="s">
        <v>2343</v>
      </c>
      <c r="B594" s="4" t="str">
        <f t="shared" si="12"/>
        <v>00022063091KOVR</v>
      </c>
      <c r="C594" t="s">
        <v>1342</v>
      </c>
      <c r="D594" t="s">
        <v>1061</v>
      </c>
      <c r="E594">
        <v>20411454</v>
      </c>
      <c r="F594" t="s">
        <v>2477</v>
      </c>
      <c r="G594" t="s">
        <v>49</v>
      </c>
      <c r="H594" t="s">
        <v>58</v>
      </c>
      <c r="I594" s="1">
        <v>45566</v>
      </c>
      <c r="J594" s="1">
        <v>45992</v>
      </c>
      <c r="K594" t="s">
        <v>51</v>
      </c>
      <c r="L594" t="s">
        <v>52</v>
      </c>
      <c r="M594" s="2">
        <v>1</v>
      </c>
      <c r="N594" s="2">
        <v>1</v>
      </c>
      <c r="P594" s="2">
        <v>9</v>
      </c>
      <c r="Q594" t="s">
        <v>1260</v>
      </c>
      <c r="R594" t="s">
        <v>2447</v>
      </c>
    </row>
    <row r="595" spans="1:18" x14ac:dyDescent="0.25">
      <c r="A595" s="4" t="s">
        <v>2344</v>
      </c>
      <c r="B595" s="4" t="str">
        <f t="shared" si="12"/>
        <v>00022063543KOVR</v>
      </c>
      <c r="C595" t="s">
        <v>1343</v>
      </c>
      <c r="D595" t="s">
        <v>1061</v>
      </c>
      <c r="E595">
        <v>20411454</v>
      </c>
      <c r="F595" t="s">
        <v>2477</v>
      </c>
      <c r="G595" t="s">
        <v>49</v>
      </c>
      <c r="H595" t="s">
        <v>58</v>
      </c>
      <c r="I595" s="1">
        <v>45566</v>
      </c>
      <c r="J595" s="1">
        <v>45992</v>
      </c>
      <c r="K595" t="s">
        <v>51</v>
      </c>
      <c r="L595" t="s">
        <v>52</v>
      </c>
      <c r="M595" s="2">
        <v>1</v>
      </c>
      <c r="N595" s="2">
        <v>1</v>
      </c>
      <c r="P595" s="2">
        <v>9</v>
      </c>
      <c r="Q595" t="s">
        <v>1260</v>
      </c>
      <c r="R595" t="s">
        <v>2447</v>
      </c>
    </row>
    <row r="596" spans="1:18" x14ac:dyDescent="0.25">
      <c r="A596" s="4" t="s">
        <v>2347</v>
      </c>
      <c r="B596" s="4" t="str">
        <f t="shared" si="12"/>
        <v>00022077041KOVR</v>
      </c>
      <c r="C596" t="s">
        <v>1346</v>
      </c>
      <c r="D596" t="s">
        <v>1061</v>
      </c>
      <c r="E596">
        <v>20411454</v>
      </c>
      <c r="F596" t="s">
        <v>2477</v>
      </c>
      <c r="G596" t="s">
        <v>49</v>
      </c>
      <c r="H596" t="s">
        <v>58</v>
      </c>
      <c r="I596" s="1">
        <v>45566</v>
      </c>
      <c r="J596" s="1">
        <v>45992</v>
      </c>
      <c r="K596" t="s">
        <v>51</v>
      </c>
      <c r="L596" t="s">
        <v>52</v>
      </c>
      <c r="M596" s="2">
        <v>1</v>
      </c>
      <c r="N596" s="2">
        <v>1</v>
      </c>
      <c r="P596" s="2">
        <v>9</v>
      </c>
      <c r="Q596" t="s">
        <v>1260</v>
      </c>
      <c r="R596" t="s">
        <v>2447</v>
      </c>
    </row>
    <row r="597" spans="1:18" x14ac:dyDescent="0.25">
      <c r="A597" s="4" t="s">
        <v>2348</v>
      </c>
      <c r="B597" s="4" t="str">
        <f t="shared" si="12"/>
        <v>00022077277KOVR</v>
      </c>
      <c r="C597" t="s">
        <v>1347</v>
      </c>
      <c r="D597" t="s">
        <v>1061</v>
      </c>
      <c r="E597">
        <v>20411454</v>
      </c>
      <c r="F597" t="s">
        <v>2477</v>
      </c>
      <c r="G597" t="s">
        <v>49</v>
      </c>
      <c r="H597" t="s">
        <v>58</v>
      </c>
      <c r="I597" s="1">
        <v>45566</v>
      </c>
      <c r="J597" s="1">
        <v>45992</v>
      </c>
      <c r="K597" t="s">
        <v>51</v>
      </c>
      <c r="L597" t="s">
        <v>52</v>
      </c>
      <c r="M597" s="2">
        <v>1</v>
      </c>
      <c r="N597" s="2">
        <v>1</v>
      </c>
      <c r="P597" s="2">
        <v>9</v>
      </c>
      <c r="Q597" t="s">
        <v>1260</v>
      </c>
      <c r="R597" t="s">
        <v>2447</v>
      </c>
    </row>
    <row r="598" spans="1:18" x14ac:dyDescent="0.25">
      <c r="A598" s="4" t="s">
        <v>2350</v>
      </c>
      <c r="B598" s="4" t="str">
        <f t="shared" si="12"/>
        <v>00022082807KOVR</v>
      </c>
      <c r="C598" t="s">
        <v>1349</v>
      </c>
      <c r="D598" t="s">
        <v>1061</v>
      </c>
      <c r="E598">
        <v>20411454</v>
      </c>
      <c r="F598" t="s">
        <v>2477</v>
      </c>
      <c r="G598" t="s">
        <v>49</v>
      </c>
      <c r="H598" t="s">
        <v>58</v>
      </c>
      <c r="I598" s="1">
        <v>45566</v>
      </c>
      <c r="J598" s="1">
        <v>45992</v>
      </c>
      <c r="K598" t="s">
        <v>51</v>
      </c>
      <c r="L598" t="s">
        <v>52</v>
      </c>
      <c r="M598" s="2">
        <v>1</v>
      </c>
      <c r="N598" s="2">
        <v>1</v>
      </c>
      <c r="P598" s="2">
        <v>9</v>
      </c>
      <c r="Q598" t="s">
        <v>1260</v>
      </c>
      <c r="R598" t="s">
        <v>2447</v>
      </c>
    </row>
    <row r="599" spans="1:18" x14ac:dyDescent="0.25">
      <c r="A599" s="4" t="s">
        <v>2351</v>
      </c>
      <c r="B599" s="4" t="str">
        <f t="shared" si="12"/>
        <v>00022083688KOVR</v>
      </c>
      <c r="C599" t="s">
        <v>1350</v>
      </c>
      <c r="D599" t="s">
        <v>1061</v>
      </c>
      <c r="E599">
        <v>20411454</v>
      </c>
      <c r="F599" t="s">
        <v>2477</v>
      </c>
      <c r="G599" t="s">
        <v>49</v>
      </c>
      <c r="H599" t="s">
        <v>58</v>
      </c>
      <c r="I599" s="1">
        <v>45566</v>
      </c>
      <c r="J599" s="1">
        <v>45992</v>
      </c>
      <c r="K599" t="s">
        <v>51</v>
      </c>
      <c r="L599" t="s">
        <v>52</v>
      </c>
      <c r="M599" s="2">
        <v>1</v>
      </c>
      <c r="N599" s="2">
        <v>1</v>
      </c>
      <c r="P599" s="2">
        <v>9</v>
      </c>
      <c r="Q599" t="s">
        <v>1260</v>
      </c>
      <c r="R599" t="s">
        <v>2447</v>
      </c>
    </row>
    <row r="600" spans="1:18" x14ac:dyDescent="0.25">
      <c r="A600" s="4" t="s">
        <v>2352</v>
      </c>
      <c r="B600" s="4" t="str">
        <f t="shared" si="12"/>
        <v>00022084599KOVR</v>
      </c>
      <c r="C600" t="s">
        <v>1351</v>
      </c>
      <c r="D600" t="s">
        <v>1061</v>
      </c>
      <c r="E600">
        <v>20411454</v>
      </c>
      <c r="F600" t="s">
        <v>2477</v>
      </c>
      <c r="G600" t="s">
        <v>49</v>
      </c>
      <c r="H600" t="s">
        <v>58</v>
      </c>
      <c r="I600" s="1">
        <v>45566</v>
      </c>
      <c r="J600" s="1">
        <v>45992</v>
      </c>
      <c r="K600" t="s">
        <v>51</v>
      </c>
      <c r="L600" t="s">
        <v>52</v>
      </c>
      <c r="M600" s="2">
        <v>1</v>
      </c>
      <c r="N600" s="2">
        <v>1</v>
      </c>
      <c r="P600" s="2">
        <v>9</v>
      </c>
      <c r="Q600" t="s">
        <v>1260</v>
      </c>
      <c r="R600" t="s">
        <v>2447</v>
      </c>
    </row>
    <row r="601" spans="1:18" x14ac:dyDescent="0.25">
      <c r="A601" s="4" t="s">
        <v>2354</v>
      </c>
      <c r="B601" s="4" t="str">
        <f t="shared" si="12"/>
        <v>00022085971KOVR</v>
      </c>
      <c r="C601" t="s">
        <v>1353</v>
      </c>
      <c r="D601" t="s">
        <v>1061</v>
      </c>
      <c r="E601">
        <v>20411454</v>
      </c>
      <c r="F601" t="s">
        <v>2477</v>
      </c>
      <c r="G601" t="s">
        <v>49</v>
      </c>
      <c r="H601" t="s">
        <v>58</v>
      </c>
      <c r="I601" s="1">
        <v>45566</v>
      </c>
      <c r="J601" s="1">
        <v>45992</v>
      </c>
      <c r="K601" t="s">
        <v>51</v>
      </c>
      <c r="L601" t="s">
        <v>52</v>
      </c>
      <c r="M601" s="2">
        <v>1</v>
      </c>
      <c r="N601" s="2">
        <v>1</v>
      </c>
      <c r="P601" s="2">
        <v>9</v>
      </c>
      <c r="Q601" t="s">
        <v>1260</v>
      </c>
      <c r="R601" t="s">
        <v>2447</v>
      </c>
    </row>
    <row r="602" spans="1:18" x14ac:dyDescent="0.25">
      <c r="A602" s="4" t="s">
        <v>2355</v>
      </c>
      <c r="B602" s="4" t="str">
        <f t="shared" si="12"/>
        <v>00022087983KOVR</v>
      </c>
      <c r="C602" t="s">
        <v>1354</v>
      </c>
      <c r="D602" t="s">
        <v>1061</v>
      </c>
      <c r="E602">
        <v>20411454</v>
      </c>
      <c r="F602" t="s">
        <v>2477</v>
      </c>
      <c r="G602" t="s">
        <v>49</v>
      </c>
      <c r="H602" t="s">
        <v>58</v>
      </c>
      <c r="I602" s="1">
        <v>45566</v>
      </c>
      <c r="J602" s="1">
        <v>45992</v>
      </c>
      <c r="K602" t="s">
        <v>51</v>
      </c>
      <c r="L602" t="s">
        <v>52</v>
      </c>
      <c r="M602" s="2">
        <v>1</v>
      </c>
      <c r="N602" s="2">
        <v>1</v>
      </c>
      <c r="P602" s="2">
        <v>9</v>
      </c>
      <c r="Q602" t="s">
        <v>1260</v>
      </c>
      <c r="R602" t="s">
        <v>2447</v>
      </c>
    </row>
    <row r="603" spans="1:18" x14ac:dyDescent="0.25">
      <c r="A603" s="4" t="s">
        <v>2356</v>
      </c>
      <c r="B603" s="4" t="str">
        <f t="shared" si="12"/>
        <v>00022088151KOVR</v>
      </c>
      <c r="C603" t="s">
        <v>1355</v>
      </c>
      <c r="D603" t="s">
        <v>1061</v>
      </c>
      <c r="E603">
        <v>20411454</v>
      </c>
      <c r="F603" t="s">
        <v>2477</v>
      </c>
      <c r="G603" t="s">
        <v>49</v>
      </c>
      <c r="H603" t="s">
        <v>58</v>
      </c>
      <c r="I603" s="1">
        <v>45566</v>
      </c>
      <c r="J603" s="1">
        <v>45992</v>
      </c>
      <c r="K603" t="s">
        <v>51</v>
      </c>
      <c r="L603" t="s">
        <v>52</v>
      </c>
      <c r="M603" s="2">
        <v>1</v>
      </c>
      <c r="N603" s="2">
        <v>1</v>
      </c>
      <c r="P603" s="2">
        <v>9</v>
      </c>
      <c r="Q603" t="s">
        <v>1260</v>
      </c>
      <c r="R603" t="s">
        <v>2447</v>
      </c>
    </row>
    <row r="604" spans="1:18" x14ac:dyDescent="0.25">
      <c r="A604" s="4" t="s">
        <v>2357</v>
      </c>
      <c r="B604" s="4" t="str">
        <f t="shared" si="12"/>
        <v>00022092926KOVR</v>
      </c>
      <c r="C604" t="s">
        <v>1356</v>
      </c>
      <c r="D604" t="s">
        <v>1061</v>
      </c>
      <c r="E604">
        <v>20411454</v>
      </c>
      <c r="F604" t="s">
        <v>2477</v>
      </c>
      <c r="G604" t="s">
        <v>49</v>
      </c>
      <c r="H604" t="s">
        <v>58</v>
      </c>
      <c r="I604" s="1">
        <v>45566</v>
      </c>
      <c r="J604" s="1">
        <v>45992</v>
      </c>
      <c r="K604" t="s">
        <v>51</v>
      </c>
      <c r="L604" t="s">
        <v>52</v>
      </c>
      <c r="M604" s="2">
        <v>1</v>
      </c>
      <c r="N604" s="2">
        <v>1</v>
      </c>
      <c r="P604" s="2">
        <v>9</v>
      </c>
      <c r="Q604" t="s">
        <v>1260</v>
      </c>
      <c r="R604" t="s">
        <v>2447</v>
      </c>
    </row>
    <row r="605" spans="1:18" x14ac:dyDescent="0.25">
      <c r="A605" s="4" t="s">
        <v>2360</v>
      </c>
      <c r="B605" s="4" t="str">
        <f t="shared" si="12"/>
        <v>00022094990KOVR</v>
      </c>
      <c r="C605" t="s">
        <v>1359</v>
      </c>
      <c r="D605" t="s">
        <v>1061</v>
      </c>
      <c r="E605">
        <v>20411454</v>
      </c>
      <c r="F605" t="s">
        <v>2477</v>
      </c>
      <c r="G605" t="s">
        <v>49</v>
      </c>
      <c r="H605" t="s">
        <v>58</v>
      </c>
      <c r="I605" s="1">
        <v>45566</v>
      </c>
      <c r="J605" s="1">
        <v>45992</v>
      </c>
      <c r="K605" t="s">
        <v>51</v>
      </c>
      <c r="L605" t="s">
        <v>52</v>
      </c>
      <c r="M605" s="2">
        <v>1</v>
      </c>
      <c r="N605" s="2">
        <v>1</v>
      </c>
      <c r="P605" s="2">
        <v>9</v>
      </c>
      <c r="Q605" t="s">
        <v>1260</v>
      </c>
      <c r="R605" t="s">
        <v>2447</v>
      </c>
    </row>
    <row r="606" spans="1:18" x14ac:dyDescent="0.25">
      <c r="A606" s="4" t="s">
        <v>2365</v>
      </c>
      <c r="B606" s="4" t="str">
        <f t="shared" si="12"/>
        <v>00022107554KOVR</v>
      </c>
      <c r="C606" t="s">
        <v>1364</v>
      </c>
      <c r="D606" t="s">
        <v>1061</v>
      </c>
      <c r="E606">
        <v>20411454</v>
      </c>
      <c r="F606" t="s">
        <v>2477</v>
      </c>
      <c r="G606" t="s">
        <v>49</v>
      </c>
      <c r="H606" t="s">
        <v>58</v>
      </c>
      <c r="I606" s="1">
        <v>45566</v>
      </c>
      <c r="J606" s="1">
        <v>45992</v>
      </c>
      <c r="K606" t="s">
        <v>51</v>
      </c>
      <c r="L606" t="s">
        <v>52</v>
      </c>
      <c r="M606" s="2">
        <v>1</v>
      </c>
      <c r="N606" s="2">
        <v>1</v>
      </c>
      <c r="P606" s="2">
        <v>9</v>
      </c>
      <c r="Q606" t="s">
        <v>1260</v>
      </c>
      <c r="R606" t="s">
        <v>2447</v>
      </c>
    </row>
    <row r="607" spans="1:18" x14ac:dyDescent="0.25">
      <c r="A607" s="4" t="s">
        <v>2372</v>
      </c>
      <c r="B607" s="4" t="str">
        <f t="shared" si="12"/>
        <v>00022217599KOVR</v>
      </c>
      <c r="C607" t="s">
        <v>1371</v>
      </c>
      <c r="D607" t="s">
        <v>1061</v>
      </c>
      <c r="E607">
        <v>20411454</v>
      </c>
      <c r="F607" t="s">
        <v>2477</v>
      </c>
      <c r="G607" t="s">
        <v>49</v>
      </c>
      <c r="H607" t="s">
        <v>58</v>
      </c>
      <c r="I607" s="1">
        <v>45566</v>
      </c>
      <c r="J607" s="1">
        <v>45992</v>
      </c>
      <c r="K607" t="s">
        <v>51</v>
      </c>
      <c r="L607" t="s">
        <v>52</v>
      </c>
      <c r="M607" s="2">
        <v>1</v>
      </c>
      <c r="N607" s="2">
        <v>1</v>
      </c>
      <c r="P607" s="2">
        <v>9</v>
      </c>
      <c r="Q607" t="s">
        <v>1260</v>
      </c>
      <c r="R607" t="s">
        <v>2447</v>
      </c>
    </row>
    <row r="608" spans="1:18" x14ac:dyDescent="0.25">
      <c r="A608" s="4" t="s">
        <v>2272</v>
      </c>
      <c r="B608" s="4" t="str">
        <f t="shared" si="12"/>
        <v>00016845150KOVR</v>
      </c>
      <c r="C608" t="s">
        <v>1267</v>
      </c>
      <c r="D608" t="s">
        <v>1061</v>
      </c>
      <c r="E608">
        <v>20411454</v>
      </c>
      <c r="F608" t="s">
        <v>2477</v>
      </c>
      <c r="G608" t="s">
        <v>1262</v>
      </c>
      <c r="H608" t="s">
        <v>58</v>
      </c>
      <c r="I608" s="1">
        <v>45536</v>
      </c>
      <c r="J608" s="1">
        <v>45992</v>
      </c>
      <c r="K608" t="s">
        <v>51</v>
      </c>
      <c r="L608" t="s">
        <v>52</v>
      </c>
      <c r="M608" s="2">
        <v>1</v>
      </c>
      <c r="N608" s="2">
        <v>1</v>
      </c>
      <c r="P608" s="2">
        <v>9</v>
      </c>
      <c r="Q608" t="s">
        <v>1260</v>
      </c>
      <c r="R608" t="s">
        <v>2447</v>
      </c>
    </row>
    <row r="609" spans="1:18" x14ac:dyDescent="0.25">
      <c r="A609" s="4" t="s">
        <v>2306</v>
      </c>
      <c r="B609" s="4" t="str">
        <f t="shared" si="12"/>
        <v>00021906634KOVR</v>
      </c>
      <c r="C609" t="s">
        <v>1305</v>
      </c>
      <c r="D609" t="s">
        <v>1061</v>
      </c>
      <c r="E609">
        <v>20411454</v>
      </c>
      <c r="F609" t="s">
        <v>2477</v>
      </c>
      <c r="G609" t="s">
        <v>1262</v>
      </c>
      <c r="H609" t="s">
        <v>58</v>
      </c>
      <c r="I609" s="1">
        <v>45536</v>
      </c>
      <c r="J609" s="1">
        <v>45992</v>
      </c>
      <c r="K609" t="s">
        <v>51</v>
      </c>
      <c r="L609" t="s">
        <v>52</v>
      </c>
      <c r="M609" s="2">
        <v>1</v>
      </c>
      <c r="N609" s="2">
        <v>1</v>
      </c>
      <c r="P609" s="2">
        <v>9</v>
      </c>
      <c r="Q609" t="s">
        <v>1260</v>
      </c>
      <c r="R609" t="s">
        <v>2447</v>
      </c>
    </row>
    <row r="610" spans="1:18" x14ac:dyDescent="0.25">
      <c r="A610" s="4" t="s">
        <v>2308</v>
      </c>
      <c r="B610" s="4" t="str">
        <f t="shared" si="12"/>
        <v>00021915889KOVR</v>
      </c>
      <c r="C610" t="s">
        <v>1307</v>
      </c>
      <c r="D610" t="s">
        <v>1061</v>
      </c>
      <c r="E610">
        <v>20411454</v>
      </c>
      <c r="F610" t="s">
        <v>2477</v>
      </c>
      <c r="G610" t="s">
        <v>1262</v>
      </c>
      <c r="H610" t="s">
        <v>58</v>
      </c>
      <c r="I610" s="1">
        <v>45536</v>
      </c>
      <c r="J610" s="1">
        <v>45992</v>
      </c>
      <c r="K610" t="s">
        <v>51</v>
      </c>
      <c r="L610" t="s">
        <v>52</v>
      </c>
      <c r="M610" s="2">
        <v>1</v>
      </c>
      <c r="N610" s="2">
        <v>1</v>
      </c>
      <c r="P610" s="2">
        <v>9</v>
      </c>
      <c r="Q610" t="s">
        <v>1260</v>
      </c>
      <c r="R610" t="s">
        <v>2447</v>
      </c>
    </row>
    <row r="611" spans="1:18" x14ac:dyDescent="0.25">
      <c r="A611" s="4" t="s">
        <v>2316</v>
      </c>
      <c r="B611" s="4" t="str">
        <f t="shared" si="12"/>
        <v>00021938762KOVR</v>
      </c>
      <c r="C611" t="s">
        <v>1315</v>
      </c>
      <c r="D611" t="s">
        <v>1061</v>
      </c>
      <c r="E611">
        <v>20411454</v>
      </c>
      <c r="F611" t="s">
        <v>2477</v>
      </c>
      <c r="G611" t="s">
        <v>49</v>
      </c>
      <c r="H611" t="s">
        <v>58</v>
      </c>
      <c r="I611" s="1">
        <v>45536</v>
      </c>
      <c r="J611" s="1">
        <v>45992</v>
      </c>
      <c r="K611" t="s">
        <v>51</v>
      </c>
      <c r="L611" t="s">
        <v>52</v>
      </c>
      <c r="M611" s="2">
        <v>1</v>
      </c>
      <c r="N611" s="2">
        <v>1</v>
      </c>
      <c r="P611" s="2">
        <v>9</v>
      </c>
      <c r="Q611" t="s">
        <v>1260</v>
      </c>
      <c r="R611" t="s">
        <v>2447</v>
      </c>
    </row>
    <row r="612" spans="1:18" x14ac:dyDescent="0.25">
      <c r="A612" s="4" t="s">
        <v>2319</v>
      </c>
      <c r="B612" s="4" t="str">
        <f t="shared" si="12"/>
        <v>00021951591KOVR</v>
      </c>
      <c r="C612" t="s">
        <v>1318</v>
      </c>
      <c r="D612" t="s">
        <v>1061</v>
      </c>
      <c r="E612">
        <v>20411454</v>
      </c>
      <c r="F612" t="s">
        <v>2477</v>
      </c>
      <c r="G612" t="s">
        <v>1262</v>
      </c>
      <c r="H612" t="s">
        <v>58</v>
      </c>
      <c r="I612" s="1">
        <v>45536</v>
      </c>
      <c r="J612" s="1">
        <v>45992</v>
      </c>
      <c r="K612" t="s">
        <v>51</v>
      </c>
      <c r="L612" t="s">
        <v>52</v>
      </c>
      <c r="M612" s="2">
        <v>1</v>
      </c>
      <c r="N612" s="2">
        <v>1</v>
      </c>
      <c r="P612" s="2">
        <v>9</v>
      </c>
      <c r="Q612" t="s">
        <v>1260</v>
      </c>
      <c r="R612" t="s">
        <v>2447</v>
      </c>
    </row>
    <row r="613" spans="1:18" x14ac:dyDescent="0.25">
      <c r="A613" s="4" t="s">
        <v>2324</v>
      </c>
      <c r="B613" s="4" t="str">
        <f t="shared" si="12"/>
        <v>00021973839KOVR</v>
      </c>
      <c r="C613" t="s">
        <v>1323</v>
      </c>
      <c r="D613" t="s">
        <v>1061</v>
      </c>
      <c r="E613">
        <v>20411454</v>
      </c>
      <c r="F613" t="s">
        <v>2477</v>
      </c>
      <c r="G613" t="s">
        <v>49</v>
      </c>
      <c r="H613" t="s">
        <v>58</v>
      </c>
      <c r="I613" s="1">
        <v>45536</v>
      </c>
      <c r="J613" s="1">
        <v>45992</v>
      </c>
      <c r="K613" t="s">
        <v>51</v>
      </c>
      <c r="L613" t="s">
        <v>52</v>
      </c>
      <c r="M613" s="2">
        <v>1</v>
      </c>
      <c r="N613" s="2">
        <v>1</v>
      </c>
      <c r="P613" s="2">
        <v>9</v>
      </c>
      <c r="Q613" t="s">
        <v>1272</v>
      </c>
      <c r="R613" t="s">
        <v>2447</v>
      </c>
    </row>
    <row r="614" spans="1:18" x14ac:dyDescent="0.25">
      <c r="A614" s="4" t="s">
        <v>2325</v>
      </c>
      <c r="B614" s="4" t="str">
        <f t="shared" si="12"/>
        <v>00021976197KOVR</v>
      </c>
      <c r="C614" t="s">
        <v>1324</v>
      </c>
      <c r="D614" t="s">
        <v>1061</v>
      </c>
      <c r="E614">
        <v>20411454</v>
      </c>
      <c r="F614" t="s">
        <v>2477</v>
      </c>
      <c r="G614" t="s">
        <v>1262</v>
      </c>
      <c r="H614" t="s">
        <v>58</v>
      </c>
      <c r="I614" s="1">
        <v>45536</v>
      </c>
      <c r="J614" s="1">
        <v>45992</v>
      </c>
      <c r="K614" t="s">
        <v>51</v>
      </c>
      <c r="L614" t="s">
        <v>52</v>
      </c>
      <c r="M614" s="2">
        <v>1</v>
      </c>
      <c r="N614" s="2">
        <v>1</v>
      </c>
      <c r="P614" s="2">
        <v>9</v>
      </c>
      <c r="Q614" t="s">
        <v>1260</v>
      </c>
      <c r="R614" t="s">
        <v>2447</v>
      </c>
    </row>
    <row r="615" spans="1:18" x14ac:dyDescent="0.25">
      <c r="A615" s="4" t="s">
        <v>2326</v>
      </c>
      <c r="B615" s="4" t="str">
        <f t="shared" si="12"/>
        <v>00021996169KOVR</v>
      </c>
      <c r="C615" t="s">
        <v>1325</v>
      </c>
      <c r="D615" t="s">
        <v>1061</v>
      </c>
      <c r="E615">
        <v>20411454</v>
      </c>
      <c r="F615" t="s">
        <v>2477</v>
      </c>
      <c r="G615" t="s">
        <v>1262</v>
      </c>
      <c r="H615" t="s">
        <v>58</v>
      </c>
      <c r="I615" s="1">
        <v>45536</v>
      </c>
      <c r="J615" s="1">
        <v>45992</v>
      </c>
      <c r="K615" t="s">
        <v>51</v>
      </c>
      <c r="L615" t="s">
        <v>52</v>
      </c>
      <c r="M615" s="2">
        <v>1</v>
      </c>
      <c r="N615" s="2">
        <v>1</v>
      </c>
      <c r="P615" s="2">
        <v>9</v>
      </c>
      <c r="Q615" t="s">
        <v>1260</v>
      </c>
      <c r="R615" t="s">
        <v>2447</v>
      </c>
    </row>
    <row r="616" spans="1:18" x14ac:dyDescent="0.25">
      <c r="A616" s="4" t="s">
        <v>2328</v>
      </c>
      <c r="B616" s="4" t="str">
        <f t="shared" si="12"/>
        <v>00022004915KOVR</v>
      </c>
      <c r="C616" t="s">
        <v>1327</v>
      </c>
      <c r="D616" t="s">
        <v>1061</v>
      </c>
      <c r="E616">
        <v>20411454</v>
      </c>
      <c r="F616" t="s">
        <v>2477</v>
      </c>
      <c r="G616" t="s">
        <v>49</v>
      </c>
      <c r="H616" t="s">
        <v>58</v>
      </c>
      <c r="I616" s="1">
        <v>45536</v>
      </c>
      <c r="J616" s="1">
        <v>45992</v>
      </c>
      <c r="K616" t="s">
        <v>51</v>
      </c>
      <c r="L616" t="s">
        <v>52</v>
      </c>
      <c r="M616" s="2">
        <v>1</v>
      </c>
      <c r="N616" s="2">
        <v>1</v>
      </c>
      <c r="P616" s="2">
        <v>9</v>
      </c>
      <c r="Q616" t="s">
        <v>1272</v>
      </c>
      <c r="R616" t="s">
        <v>2447</v>
      </c>
    </row>
    <row r="617" spans="1:18" x14ac:dyDescent="0.25">
      <c r="A617" s="4" t="s">
        <v>2329</v>
      </c>
      <c r="B617" s="4" t="str">
        <f t="shared" si="12"/>
        <v>00022011876KOVR</v>
      </c>
      <c r="C617" t="s">
        <v>1328</v>
      </c>
      <c r="D617" t="s">
        <v>1061</v>
      </c>
      <c r="E617">
        <v>20411454</v>
      </c>
      <c r="F617" t="s">
        <v>2477</v>
      </c>
      <c r="G617" t="s">
        <v>1262</v>
      </c>
      <c r="H617" t="s">
        <v>58</v>
      </c>
      <c r="I617" s="1">
        <v>45536</v>
      </c>
      <c r="J617" s="1">
        <v>45992</v>
      </c>
      <c r="K617" t="s">
        <v>51</v>
      </c>
      <c r="L617" t="s">
        <v>52</v>
      </c>
      <c r="M617" s="2">
        <v>1</v>
      </c>
      <c r="N617" s="2">
        <v>1</v>
      </c>
      <c r="P617" s="2">
        <v>9</v>
      </c>
      <c r="Q617" t="s">
        <v>1260</v>
      </c>
      <c r="R617" t="s">
        <v>2447</v>
      </c>
    </row>
    <row r="618" spans="1:18" x14ac:dyDescent="0.25">
      <c r="A618" s="4" t="s">
        <v>2330</v>
      </c>
      <c r="B618" s="4" t="str">
        <f t="shared" si="12"/>
        <v>00022014220KOVR</v>
      </c>
      <c r="C618" t="s">
        <v>1329</v>
      </c>
      <c r="D618" t="s">
        <v>1061</v>
      </c>
      <c r="E618">
        <v>20411454</v>
      </c>
      <c r="F618" t="s">
        <v>2477</v>
      </c>
      <c r="G618" t="s">
        <v>1262</v>
      </c>
      <c r="H618" t="s">
        <v>58</v>
      </c>
      <c r="I618" s="1">
        <v>45536</v>
      </c>
      <c r="J618" s="1">
        <v>45992</v>
      </c>
      <c r="K618" t="s">
        <v>51</v>
      </c>
      <c r="L618" t="s">
        <v>52</v>
      </c>
      <c r="M618" s="2">
        <v>1</v>
      </c>
      <c r="N618" s="2">
        <v>1</v>
      </c>
      <c r="P618" s="2">
        <v>9</v>
      </c>
      <c r="Q618" t="s">
        <v>1260</v>
      </c>
      <c r="R618" t="s">
        <v>2447</v>
      </c>
    </row>
    <row r="619" spans="1:18" x14ac:dyDescent="0.25">
      <c r="A619" s="4" t="s">
        <v>2332</v>
      </c>
      <c r="B619" s="4" t="str">
        <f t="shared" si="12"/>
        <v>00022023339KOVR</v>
      </c>
      <c r="C619" t="s">
        <v>1331</v>
      </c>
      <c r="D619" t="s">
        <v>1061</v>
      </c>
      <c r="E619">
        <v>20411454</v>
      </c>
      <c r="F619" t="s">
        <v>2477</v>
      </c>
      <c r="G619" t="s">
        <v>1262</v>
      </c>
      <c r="H619" t="s">
        <v>58</v>
      </c>
      <c r="I619" s="1">
        <v>45536</v>
      </c>
      <c r="J619" s="1">
        <v>45992</v>
      </c>
      <c r="K619" t="s">
        <v>51</v>
      </c>
      <c r="L619" t="s">
        <v>52</v>
      </c>
      <c r="M619" s="2">
        <v>1</v>
      </c>
      <c r="N619" s="2">
        <v>1</v>
      </c>
      <c r="P619" s="2">
        <v>9</v>
      </c>
      <c r="Q619" t="s">
        <v>1260</v>
      </c>
      <c r="R619" t="s">
        <v>2447</v>
      </c>
    </row>
    <row r="620" spans="1:18" x14ac:dyDescent="0.25">
      <c r="A620" s="4" t="s">
        <v>2334</v>
      </c>
      <c r="B620" s="4" t="str">
        <f t="shared" si="12"/>
        <v>00022026537KOVR</v>
      </c>
      <c r="C620" t="s">
        <v>1333</v>
      </c>
      <c r="D620" t="s">
        <v>1061</v>
      </c>
      <c r="E620">
        <v>20411454</v>
      </c>
      <c r="F620" t="s">
        <v>2477</v>
      </c>
      <c r="G620" t="s">
        <v>1262</v>
      </c>
      <c r="H620" t="s">
        <v>58</v>
      </c>
      <c r="I620" s="1">
        <v>45536</v>
      </c>
      <c r="J620" s="1">
        <v>45992</v>
      </c>
      <c r="K620" t="s">
        <v>51</v>
      </c>
      <c r="L620" t="s">
        <v>52</v>
      </c>
      <c r="M620" s="2">
        <v>1</v>
      </c>
      <c r="N620" s="2">
        <v>1</v>
      </c>
      <c r="P620" s="2">
        <v>9</v>
      </c>
      <c r="Q620" t="s">
        <v>1260</v>
      </c>
      <c r="R620" t="s">
        <v>2447</v>
      </c>
    </row>
    <row r="621" spans="1:18" x14ac:dyDescent="0.25">
      <c r="A621" s="4" t="s">
        <v>2267</v>
      </c>
      <c r="B621" s="4" t="str">
        <f t="shared" si="12"/>
        <v>00001672119KOVR</v>
      </c>
      <c r="C621" t="s">
        <v>1261</v>
      </c>
      <c r="D621" t="s">
        <v>1061</v>
      </c>
      <c r="E621">
        <v>20411454</v>
      </c>
      <c r="F621" t="s">
        <v>2477</v>
      </c>
      <c r="G621" t="s">
        <v>1262</v>
      </c>
      <c r="H621" t="s">
        <v>50</v>
      </c>
      <c r="I621" s="1">
        <v>45536</v>
      </c>
      <c r="J621" s="1">
        <v>45992</v>
      </c>
      <c r="K621" t="s">
        <v>51</v>
      </c>
      <c r="L621" t="s">
        <v>52</v>
      </c>
      <c r="M621" s="2">
        <v>1</v>
      </c>
      <c r="N621" s="2">
        <v>1</v>
      </c>
      <c r="P621" s="2">
        <v>9</v>
      </c>
      <c r="Q621" t="s">
        <v>1260</v>
      </c>
      <c r="R621" t="s">
        <v>2447</v>
      </c>
    </row>
    <row r="622" spans="1:18" x14ac:dyDescent="0.25">
      <c r="A622" s="4" t="s">
        <v>2277</v>
      </c>
      <c r="B622" s="4" t="str">
        <f t="shared" si="12"/>
        <v>00020751148KOVR</v>
      </c>
      <c r="C622" t="s">
        <v>1274</v>
      </c>
      <c r="D622" t="s">
        <v>1061</v>
      </c>
      <c r="E622">
        <v>20411454</v>
      </c>
      <c r="F622" t="s">
        <v>2477</v>
      </c>
      <c r="G622" t="s">
        <v>1262</v>
      </c>
      <c r="H622" t="s">
        <v>50</v>
      </c>
      <c r="I622" s="1">
        <v>45536</v>
      </c>
      <c r="J622" s="1">
        <v>45992</v>
      </c>
      <c r="K622" t="s">
        <v>51</v>
      </c>
      <c r="L622" t="s">
        <v>52</v>
      </c>
      <c r="M622" s="2">
        <v>1</v>
      </c>
      <c r="N622" s="2">
        <v>1</v>
      </c>
      <c r="P622" s="2">
        <v>9</v>
      </c>
      <c r="Q622" t="s">
        <v>1260</v>
      </c>
      <c r="R622" t="s">
        <v>2447</v>
      </c>
    </row>
    <row r="623" spans="1:18" x14ac:dyDescent="0.25">
      <c r="A623" s="4" t="s">
        <v>2307</v>
      </c>
      <c r="B623" s="4" t="str">
        <f t="shared" si="12"/>
        <v>00021908647KOVR</v>
      </c>
      <c r="C623" t="s">
        <v>1306</v>
      </c>
      <c r="D623" t="s">
        <v>1061</v>
      </c>
      <c r="E623">
        <v>20411454</v>
      </c>
      <c r="F623" t="s">
        <v>2477</v>
      </c>
      <c r="G623" t="s">
        <v>49</v>
      </c>
      <c r="H623" t="s">
        <v>1302</v>
      </c>
      <c r="I623" s="1">
        <v>45505</v>
      </c>
      <c r="J623" s="1">
        <v>45992</v>
      </c>
      <c r="K623" t="s">
        <v>51</v>
      </c>
      <c r="L623" t="s">
        <v>52</v>
      </c>
      <c r="M623" s="2">
        <v>1</v>
      </c>
      <c r="N623" s="2">
        <v>1</v>
      </c>
      <c r="P623" s="2">
        <v>7</v>
      </c>
      <c r="Q623" t="s">
        <v>1260</v>
      </c>
      <c r="R623" t="s">
        <v>2447</v>
      </c>
    </row>
    <row r="624" spans="1:18" x14ac:dyDescent="0.25">
      <c r="A624" s="4" t="s">
        <v>2268</v>
      </c>
      <c r="B624" s="4" t="str">
        <f t="shared" si="12"/>
        <v>00010066661KOVR</v>
      </c>
      <c r="C624" t="s">
        <v>1263</v>
      </c>
      <c r="D624" t="s">
        <v>1061</v>
      </c>
      <c r="E624">
        <v>20411454</v>
      </c>
      <c r="F624" t="s">
        <v>2477</v>
      </c>
      <c r="G624" t="s">
        <v>1262</v>
      </c>
      <c r="H624" t="s">
        <v>58</v>
      </c>
      <c r="I624" s="1">
        <v>45505</v>
      </c>
      <c r="J624" s="1">
        <v>45992</v>
      </c>
      <c r="K624" t="s">
        <v>51</v>
      </c>
      <c r="L624" t="s">
        <v>52</v>
      </c>
      <c r="M624" s="2">
        <v>1</v>
      </c>
      <c r="N624" s="2">
        <v>1</v>
      </c>
      <c r="P624" s="2">
        <v>9</v>
      </c>
      <c r="Q624" t="s">
        <v>1260</v>
      </c>
      <c r="R624" t="s">
        <v>2447</v>
      </c>
    </row>
    <row r="625" spans="1:18" x14ac:dyDescent="0.25">
      <c r="A625" s="4" t="s">
        <v>2271</v>
      </c>
      <c r="B625" s="4" t="str">
        <f t="shared" si="12"/>
        <v>00013131759KOVR</v>
      </c>
      <c r="C625" t="s">
        <v>1266</v>
      </c>
      <c r="D625" t="s">
        <v>1061</v>
      </c>
      <c r="E625">
        <v>20411454</v>
      </c>
      <c r="F625" t="s">
        <v>2477</v>
      </c>
      <c r="G625" t="s">
        <v>1262</v>
      </c>
      <c r="H625" t="s">
        <v>58</v>
      </c>
      <c r="I625" s="1">
        <v>45505</v>
      </c>
      <c r="J625" s="1">
        <v>45992</v>
      </c>
      <c r="K625" t="s">
        <v>51</v>
      </c>
      <c r="L625" t="s">
        <v>52</v>
      </c>
      <c r="M625" s="2">
        <v>1</v>
      </c>
      <c r="N625" s="2">
        <v>1</v>
      </c>
      <c r="P625" s="2">
        <v>9</v>
      </c>
      <c r="Q625" t="s">
        <v>1260</v>
      </c>
      <c r="R625" t="s">
        <v>2447</v>
      </c>
    </row>
    <row r="626" spans="1:18" x14ac:dyDescent="0.25">
      <c r="A626" s="4" t="s">
        <v>2281</v>
      </c>
      <c r="B626" s="4" t="str">
        <f t="shared" si="12"/>
        <v>00021776882KOVR</v>
      </c>
      <c r="C626" t="s">
        <v>1277</v>
      </c>
      <c r="D626" t="s">
        <v>1061</v>
      </c>
      <c r="E626">
        <v>20411454</v>
      </c>
      <c r="F626" t="s">
        <v>2477</v>
      </c>
      <c r="G626" t="s">
        <v>1262</v>
      </c>
      <c r="H626" t="s">
        <v>58</v>
      </c>
      <c r="I626" s="1">
        <v>45505</v>
      </c>
      <c r="J626" s="1">
        <v>45992</v>
      </c>
      <c r="K626" t="s">
        <v>51</v>
      </c>
      <c r="L626" t="s">
        <v>52</v>
      </c>
      <c r="M626" s="2">
        <v>1</v>
      </c>
      <c r="N626" s="2">
        <v>1</v>
      </c>
      <c r="P626" s="2">
        <v>9</v>
      </c>
      <c r="Q626" t="s">
        <v>1260</v>
      </c>
      <c r="R626" t="s">
        <v>2447</v>
      </c>
    </row>
    <row r="627" spans="1:18" x14ac:dyDescent="0.25">
      <c r="A627" s="4" t="s">
        <v>2285</v>
      </c>
      <c r="B627" s="4" t="str">
        <f t="shared" si="12"/>
        <v>00021792778KOVR</v>
      </c>
      <c r="C627" t="s">
        <v>1281</v>
      </c>
      <c r="D627" t="s">
        <v>1061</v>
      </c>
      <c r="E627">
        <v>20411454</v>
      </c>
      <c r="F627" t="s">
        <v>2477</v>
      </c>
      <c r="G627" t="s">
        <v>1262</v>
      </c>
      <c r="H627" t="s">
        <v>58</v>
      </c>
      <c r="I627" s="1">
        <v>45505</v>
      </c>
      <c r="J627" s="1">
        <v>45992</v>
      </c>
      <c r="K627" t="s">
        <v>51</v>
      </c>
      <c r="L627" t="s">
        <v>52</v>
      </c>
      <c r="M627" s="2">
        <v>1</v>
      </c>
      <c r="N627" s="2">
        <v>1</v>
      </c>
      <c r="P627" s="2">
        <v>9</v>
      </c>
      <c r="Q627" t="s">
        <v>1260</v>
      </c>
      <c r="R627" t="s">
        <v>2447</v>
      </c>
    </row>
    <row r="628" spans="1:18" x14ac:dyDescent="0.25">
      <c r="A628" s="4" t="s">
        <v>2297</v>
      </c>
      <c r="B628" s="4" t="str">
        <f t="shared" si="12"/>
        <v>00021876763KOVR</v>
      </c>
      <c r="C628" t="s">
        <v>1295</v>
      </c>
      <c r="D628" t="s">
        <v>1061</v>
      </c>
      <c r="E628">
        <v>20411454</v>
      </c>
      <c r="F628" t="s">
        <v>2477</v>
      </c>
      <c r="G628" t="s">
        <v>1262</v>
      </c>
      <c r="H628" t="s">
        <v>58</v>
      </c>
      <c r="I628" s="1">
        <v>45505</v>
      </c>
      <c r="J628" s="1">
        <v>45992</v>
      </c>
      <c r="K628" t="s">
        <v>51</v>
      </c>
      <c r="L628" t="s">
        <v>52</v>
      </c>
      <c r="M628" s="2">
        <v>1</v>
      </c>
      <c r="N628" s="2">
        <v>1</v>
      </c>
      <c r="P628" s="2">
        <v>9</v>
      </c>
      <c r="Q628" t="s">
        <v>1260</v>
      </c>
      <c r="R628" t="s">
        <v>2447</v>
      </c>
    </row>
    <row r="629" spans="1:18" x14ac:dyDescent="0.25">
      <c r="A629" s="4" t="s">
        <v>2299</v>
      </c>
      <c r="B629" s="4" t="str">
        <f t="shared" si="12"/>
        <v>00021881964KOVR</v>
      </c>
      <c r="C629" t="s">
        <v>1297</v>
      </c>
      <c r="D629" t="s">
        <v>1061</v>
      </c>
      <c r="E629">
        <v>20411454</v>
      </c>
      <c r="F629" t="s">
        <v>2477</v>
      </c>
      <c r="G629" t="s">
        <v>1262</v>
      </c>
      <c r="H629" t="s">
        <v>58</v>
      </c>
      <c r="I629" s="1">
        <v>45505</v>
      </c>
      <c r="J629" s="1">
        <v>45992</v>
      </c>
      <c r="K629" t="s">
        <v>51</v>
      </c>
      <c r="L629" t="s">
        <v>52</v>
      </c>
      <c r="M629" s="2">
        <v>1</v>
      </c>
      <c r="N629" s="2">
        <v>1</v>
      </c>
      <c r="P629" s="2">
        <v>9</v>
      </c>
      <c r="Q629" t="s">
        <v>1260</v>
      </c>
      <c r="R629" t="s">
        <v>2447</v>
      </c>
    </row>
    <row r="630" spans="1:18" x14ac:dyDescent="0.25">
      <c r="A630" s="4" t="s">
        <v>2305</v>
      </c>
      <c r="B630" s="4" t="str">
        <f t="shared" si="12"/>
        <v>00021895977KOVR</v>
      </c>
      <c r="C630" t="s">
        <v>1304</v>
      </c>
      <c r="D630" t="s">
        <v>1061</v>
      </c>
      <c r="E630">
        <v>20411454</v>
      </c>
      <c r="F630" t="s">
        <v>2477</v>
      </c>
      <c r="G630" t="s">
        <v>49</v>
      </c>
      <c r="H630" t="s">
        <v>58</v>
      </c>
      <c r="I630" s="1">
        <v>45505</v>
      </c>
      <c r="J630" s="1">
        <v>45992</v>
      </c>
      <c r="K630" t="s">
        <v>51</v>
      </c>
      <c r="L630" t="s">
        <v>52</v>
      </c>
      <c r="M630" s="2">
        <v>1</v>
      </c>
      <c r="N630" s="2">
        <v>1</v>
      </c>
      <c r="P630" s="2">
        <v>9</v>
      </c>
      <c r="Q630" t="s">
        <v>1272</v>
      </c>
      <c r="R630" t="s">
        <v>2447</v>
      </c>
    </row>
    <row r="631" spans="1:18" x14ac:dyDescent="0.25">
      <c r="A631" s="4" t="s">
        <v>2309</v>
      </c>
      <c r="B631" s="4" t="str">
        <f t="shared" si="12"/>
        <v>00021917176KOVR</v>
      </c>
      <c r="C631" t="s">
        <v>1308</v>
      </c>
      <c r="D631" t="s">
        <v>1061</v>
      </c>
      <c r="E631">
        <v>20411454</v>
      </c>
      <c r="F631" t="s">
        <v>2477</v>
      </c>
      <c r="G631" t="s">
        <v>49</v>
      </c>
      <c r="H631" t="s">
        <v>58</v>
      </c>
      <c r="I631" s="1">
        <v>45505</v>
      </c>
      <c r="J631" s="1">
        <v>45992</v>
      </c>
      <c r="K631" t="s">
        <v>51</v>
      </c>
      <c r="L631" t="s">
        <v>52</v>
      </c>
      <c r="M631" s="2">
        <v>1</v>
      </c>
      <c r="N631" s="2">
        <v>1</v>
      </c>
      <c r="P631" s="2">
        <v>9</v>
      </c>
      <c r="Q631" t="s">
        <v>1272</v>
      </c>
      <c r="R631" t="s">
        <v>2447</v>
      </c>
    </row>
    <row r="632" spans="1:18" x14ac:dyDescent="0.25">
      <c r="A632" s="4" t="s">
        <v>2310</v>
      </c>
      <c r="B632" s="4" t="str">
        <f t="shared" si="12"/>
        <v>00021918216KOVR</v>
      </c>
      <c r="C632" t="s">
        <v>1309</v>
      </c>
      <c r="D632" t="s">
        <v>1061</v>
      </c>
      <c r="E632">
        <v>20411454</v>
      </c>
      <c r="F632" t="s">
        <v>2477</v>
      </c>
      <c r="G632" t="s">
        <v>1262</v>
      </c>
      <c r="H632" t="s">
        <v>58</v>
      </c>
      <c r="I632" s="1">
        <v>45505</v>
      </c>
      <c r="J632" s="1">
        <v>45992</v>
      </c>
      <c r="K632" t="s">
        <v>51</v>
      </c>
      <c r="L632" t="s">
        <v>52</v>
      </c>
      <c r="M632" s="2">
        <v>1</v>
      </c>
      <c r="N632" s="2">
        <v>1</v>
      </c>
      <c r="P632" s="2">
        <v>9</v>
      </c>
      <c r="Q632" t="s">
        <v>1260</v>
      </c>
      <c r="R632" t="s">
        <v>2447</v>
      </c>
    </row>
    <row r="633" spans="1:18" x14ac:dyDescent="0.25">
      <c r="A633" s="4" t="s">
        <v>2311</v>
      </c>
      <c r="B633" s="4" t="str">
        <f t="shared" si="12"/>
        <v>00021920643KOVR</v>
      </c>
      <c r="C633" t="s">
        <v>1310</v>
      </c>
      <c r="D633" t="s">
        <v>1061</v>
      </c>
      <c r="E633">
        <v>20411454</v>
      </c>
      <c r="F633" t="s">
        <v>2477</v>
      </c>
      <c r="G633" t="s">
        <v>1262</v>
      </c>
      <c r="H633" t="s">
        <v>58</v>
      </c>
      <c r="I633" s="1">
        <v>45505</v>
      </c>
      <c r="J633" s="1">
        <v>45992</v>
      </c>
      <c r="K633" t="s">
        <v>51</v>
      </c>
      <c r="L633" t="s">
        <v>52</v>
      </c>
      <c r="M633" s="2">
        <v>1</v>
      </c>
      <c r="N633" s="2">
        <v>1</v>
      </c>
      <c r="P633" s="2">
        <v>9</v>
      </c>
      <c r="Q633" t="s">
        <v>1260</v>
      </c>
      <c r="R633" t="s">
        <v>2447</v>
      </c>
    </row>
    <row r="634" spans="1:18" x14ac:dyDescent="0.25">
      <c r="A634" s="4" t="s">
        <v>2312</v>
      </c>
      <c r="B634" s="4" t="str">
        <f t="shared" si="12"/>
        <v>00021921861KOVR</v>
      </c>
      <c r="C634" t="s">
        <v>1311</v>
      </c>
      <c r="D634" t="s">
        <v>1061</v>
      </c>
      <c r="E634">
        <v>20411454</v>
      </c>
      <c r="F634" t="s">
        <v>2477</v>
      </c>
      <c r="G634" t="s">
        <v>1262</v>
      </c>
      <c r="H634" t="s">
        <v>58</v>
      </c>
      <c r="I634" s="1">
        <v>45505</v>
      </c>
      <c r="J634" s="1">
        <v>45992</v>
      </c>
      <c r="K634" t="s">
        <v>51</v>
      </c>
      <c r="L634" t="s">
        <v>52</v>
      </c>
      <c r="M634" s="2">
        <v>1</v>
      </c>
      <c r="N634" s="2">
        <v>1</v>
      </c>
      <c r="P634" s="2">
        <v>9</v>
      </c>
      <c r="Q634" t="s">
        <v>1260</v>
      </c>
      <c r="R634" t="s">
        <v>2447</v>
      </c>
    </row>
    <row r="635" spans="1:18" x14ac:dyDescent="0.25">
      <c r="A635" s="4" t="s">
        <v>2313</v>
      </c>
      <c r="B635" s="4" t="str">
        <f t="shared" si="12"/>
        <v>00021926659KOVR</v>
      </c>
      <c r="C635" t="s">
        <v>1312</v>
      </c>
      <c r="D635" t="s">
        <v>1061</v>
      </c>
      <c r="E635">
        <v>20411454</v>
      </c>
      <c r="F635" t="s">
        <v>2477</v>
      </c>
      <c r="G635" t="s">
        <v>1262</v>
      </c>
      <c r="H635" t="s">
        <v>58</v>
      </c>
      <c r="I635" s="1">
        <v>45505</v>
      </c>
      <c r="J635" s="1">
        <v>45992</v>
      </c>
      <c r="K635" t="s">
        <v>51</v>
      </c>
      <c r="L635" t="s">
        <v>52</v>
      </c>
      <c r="M635" s="2">
        <v>1</v>
      </c>
      <c r="N635" s="2">
        <v>1</v>
      </c>
      <c r="P635" s="2">
        <v>9</v>
      </c>
      <c r="Q635" t="s">
        <v>1260</v>
      </c>
      <c r="R635" t="s">
        <v>2447</v>
      </c>
    </row>
    <row r="636" spans="1:18" x14ac:dyDescent="0.25">
      <c r="A636" s="4" t="s">
        <v>2314</v>
      </c>
      <c r="B636" s="4" t="str">
        <f t="shared" si="12"/>
        <v>00021937596KOVR</v>
      </c>
      <c r="C636" t="s">
        <v>1313</v>
      </c>
      <c r="D636" t="s">
        <v>1061</v>
      </c>
      <c r="E636">
        <v>20411454</v>
      </c>
      <c r="F636" t="s">
        <v>2477</v>
      </c>
      <c r="G636" t="s">
        <v>49</v>
      </c>
      <c r="H636" t="s">
        <v>58</v>
      </c>
      <c r="I636" s="1">
        <v>45505</v>
      </c>
      <c r="J636" s="1">
        <v>45992</v>
      </c>
      <c r="K636" t="s">
        <v>51</v>
      </c>
      <c r="L636" t="s">
        <v>52</v>
      </c>
      <c r="M636" s="2">
        <v>1</v>
      </c>
      <c r="N636" s="2">
        <v>1</v>
      </c>
      <c r="P636" s="2">
        <v>9</v>
      </c>
      <c r="Q636" t="s">
        <v>1260</v>
      </c>
      <c r="R636" t="s">
        <v>2447</v>
      </c>
    </row>
    <row r="637" spans="1:18" x14ac:dyDescent="0.25">
      <c r="A637" s="4" t="s">
        <v>2315</v>
      </c>
      <c r="B637" s="4" t="str">
        <f t="shared" si="12"/>
        <v>00021938736KOVR</v>
      </c>
      <c r="C637" t="s">
        <v>1314</v>
      </c>
      <c r="D637" t="s">
        <v>1061</v>
      </c>
      <c r="E637">
        <v>20411454</v>
      </c>
      <c r="F637" t="s">
        <v>2477</v>
      </c>
      <c r="G637" t="s">
        <v>1262</v>
      </c>
      <c r="H637" t="s">
        <v>58</v>
      </c>
      <c r="I637" s="1">
        <v>45505</v>
      </c>
      <c r="J637" s="1">
        <v>45992</v>
      </c>
      <c r="K637" t="s">
        <v>51</v>
      </c>
      <c r="L637" t="s">
        <v>52</v>
      </c>
      <c r="M637" s="2">
        <v>1</v>
      </c>
      <c r="N637" s="2">
        <v>1</v>
      </c>
      <c r="P637" s="2">
        <v>9</v>
      </c>
      <c r="Q637" t="s">
        <v>1260</v>
      </c>
      <c r="R637" t="s">
        <v>2447</v>
      </c>
    </row>
    <row r="638" spans="1:18" x14ac:dyDescent="0.25">
      <c r="A638" s="4" t="s">
        <v>2317</v>
      </c>
      <c r="B638" s="4" t="str">
        <f t="shared" si="12"/>
        <v>00021942365KOVR</v>
      </c>
      <c r="C638" t="s">
        <v>1316</v>
      </c>
      <c r="D638" t="s">
        <v>1061</v>
      </c>
      <c r="E638">
        <v>20411454</v>
      </c>
      <c r="F638" t="s">
        <v>2477</v>
      </c>
      <c r="G638" t="s">
        <v>1262</v>
      </c>
      <c r="H638" t="s">
        <v>58</v>
      </c>
      <c r="I638" s="1">
        <v>45505</v>
      </c>
      <c r="J638" s="1">
        <v>45992</v>
      </c>
      <c r="K638" t="s">
        <v>51</v>
      </c>
      <c r="L638" t="s">
        <v>52</v>
      </c>
      <c r="M638" s="2">
        <v>1</v>
      </c>
      <c r="N638" s="2">
        <v>1</v>
      </c>
      <c r="P638" s="2">
        <v>9</v>
      </c>
      <c r="Q638" t="s">
        <v>1260</v>
      </c>
      <c r="R638" t="s">
        <v>2447</v>
      </c>
    </row>
    <row r="639" spans="1:18" x14ac:dyDescent="0.25">
      <c r="A639" s="4" t="s">
        <v>2320</v>
      </c>
      <c r="B639" s="4" t="str">
        <f t="shared" si="12"/>
        <v>00021961080KOVR</v>
      </c>
      <c r="C639" t="s">
        <v>1319</v>
      </c>
      <c r="D639" t="s">
        <v>1061</v>
      </c>
      <c r="E639">
        <v>20411454</v>
      </c>
      <c r="F639" t="s">
        <v>2477</v>
      </c>
      <c r="G639" t="s">
        <v>1262</v>
      </c>
      <c r="H639" t="s">
        <v>58</v>
      </c>
      <c r="I639" s="1">
        <v>45505</v>
      </c>
      <c r="J639" s="1">
        <v>45992</v>
      </c>
      <c r="K639" t="s">
        <v>51</v>
      </c>
      <c r="L639" t="s">
        <v>52</v>
      </c>
      <c r="M639" s="2">
        <v>1</v>
      </c>
      <c r="N639" s="2">
        <v>1</v>
      </c>
      <c r="P639" s="2">
        <v>9</v>
      </c>
      <c r="Q639" t="s">
        <v>1260</v>
      </c>
      <c r="R639" t="s">
        <v>2447</v>
      </c>
    </row>
    <row r="640" spans="1:18" x14ac:dyDescent="0.25">
      <c r="A640" s="4" t="s">
        <v>2275</v>
      </c>
      <c r="B640" s="4" t="str">
        <f t="shared" si="12"/>
        <v>00020054580KOVR</v>
      </c>
      <c r="C640" t="s">
        <v>1270</v>
      </c>
      <c r="D640" t="s">
        <v>1061</v>
      </c>
      <c r="E640">
        <v>20411454</v>
      </c>
      <c r="F640" t="s">
        <v>2477</v>
      </c>
      <c r="G640" t="s">
        <v>49</v>
      </c>
      <c r="H640" t="s">
        <v>50</v>
      </c>
      <c r="I640" s="1">
        <v>45505</v>
      </c>
      <c r="J640" s="1">
        <v>45992</v>
      </c>
      <c r="K640" t="s">
        <v>51</v>
      </c>
      <c r="L640" t="s">
        <v>52</v>
      </c>
      <c r="M640" s="2">
        <v>1</v>
      </c>
      <c r="N640" s="2">
        <v>1</v>
      </c>
      <c r="P640" s="2">
        <v>9</v>
      </c>
      <c r="Q640" t="s">
        <v>1272</v>
      </c>
      <c r="R640" t="s">
        <v>2447</v>
      </c>
    </row>
    <row r="641" spans="1:18" x14ac:dyDescent="0.25">
      <c r="A641" s="4" t="s">
        <v>2303</v>
      </c>
      <c r="B641" s="4" t="str">
        <f t="shared" si="12"/>
        <v>00021892187KOVR</v>
      </c>
      <c r="C641" t="s">
        <v>1301</v>
      </c>
      <c r="D641" t="s">
        <v>1061</v>
      </c>
      <c r="E641">
        <v>20411454</v>
      </c>
      <c r="F641" t="s">
        <v>2477</v>
      </c>
      <c r="G641" t="s">
        <v>49</v>
      </c>
      <c r="H641" t="s">
        <v>1302</v>
      </c>
      <c r="I641" s="1">
        <v>45474</v>
      </c>
      <c r="J641" s="1">
        <v>45992</v>
      </c>
      <c r="K641" t="s">
        <v>51</v>
      </c>
      <c r="L641" t="s">
        <v>52</v>
      </c>
      <c r="M641" s="2">
        <v>1</v>
      </c>
      <c r="N641" s="2">
        <v>1</v>
      </c>
      <c r="P641" s="2">
        <v>7</v>
      </c>
      <c r="Q641" t="s">
        <v>1260</v>
      </c>
      <c r="R641" t="s">
        <v>2447</v>
      </c>
    </row>
    <row r="642" spans="1:18" x14ac:dyDescent="0.25">
      <c r="A642" s="4" t="s">
        <v>2280</v>
      </c>
      <c r="B642" s="4" t="str">
        <f t="shared" si="12"/>
        <v>00021754102KOVR</v>
      </c>
      <c r="C642" t="s">
        <v>1276</v>
      </c>
      <c r="D642" t="s">
        <v>1061</v>
      </c>
      <c r="E642">
        <v>20411454</v>
      </c>
      <c r="F642" t="s">
        <v>2477</v>
      </c>
      <c r="G642" t="s">
        <v>1262</v>
      </c>
      <c r="H642" t="s">
        <v>58</v>
      </c>
      <c r="I642" s="1">
        <v>45474</v>
      </c>
      <c r="J642" s="1">
        <v>45992</v>
      </c>
      <c r="K642" t="s">
        <v>51</v>
      </c>
      <c r="L642" t="s">
        <v>52</v>
      </c>
      <c r="M642" s="2">
        <v>1</v>
      </c>
      <c r="N642" s="2">
        <v>1</v>
      </c>
      <c r="P642" s="2">
        <v>9</v>
      </c>
      <c r="Q642" t="s">
        <v>1260</v>
      </c>
      <c r="R642" t="s">
        <v>2447</v>
      </c>
    </row>
    <row r="643" spans="1:18" x14ac:dyDescent="0.25">
      <c r="A643" s="4" t="s">
        <v>2283</v>
      </c>
      <c r="B643" s="4" t="str">
        <f t="shared" si="12"/>
        <v>00021783471KOVR</v>
      </c>
      <c r="C643" t="s">
        <v>1279</v>
      </c>
      <c r="D643" t="s">
        <v>1061</v>
      </c>
      <c r="E643">
        <v>20411454</v>
      </c>
      <c r="F643" t="s">
        <v>2477</v>
      </c>
      <c r="G643" t="s">
        <v>1262</v>
      </c>
      <c r="H643" t="s">
        <v>58</v>
      </c>
      <c r="I643" s="1">
        <v>45474</v>
      </c>
      <c r="J643" s="1">
        <v>45992</v>
      </c>
      <c r="K643" t="s">
        <v>51</v>
      </c>
      <c r="L643" t="s">
        <v>52</v>
      </c>
      <c r="M643" s="2">
        <v>1</v>
      </c>
      <c r="N643" s="2">
        <v>1</v>
      </c>
      <c r="P643" s="2">
        <v>9</v>
      </c>
      <c r="Q643" t="s">
        <v>1260</v>
      </c>
      <c r="R643" t="s">
        <v>2447</v>
      </c>
    </row>
    <row r="644" spans="1:18" x14ac:dyDescent="0.25">
      <c r="A644" s="4" t="s">
        <v>2289</v>
      </c>
      <c r="B644" s="4" t="str">
        <f t="shared" si="12"/>
        <v>00021836561KOVR</v>
      </c>
      <c r="C644" t="s">
        <v>1286</v>
      </c>
      <c r="D644" t="s">
        <v>1061</v>
      </c>
      <c r="E644">
        <v>20411454</v>
      </c>
      <c r="F644" t="s">
        <v>2477</v>
      </c>
      <c r="G644" t="s">
        <v>49</v>
      </c>
      <c r="H644" t="s">
        <v>58</v>
      </c>
      <c r="I644" s="1">
        <v>45474</v>
      </c>
      <c r="J644" s="1">
        <v>45992</v>
      </c>
      <c r="K644" t="s">
        <v>51</v>
      </c>
      <c r="L644" t="s">
        <v>52</v>
      </c>
      <c r="M644" s="2">
        <v>1</v>
      </c>
      <c r="N644" s="2">
        <v>1</v>
      </c>
      <c r="P644" s="2">
        <v>9</v>
      </c>
      <c r="Q644" t="s">
        <v>1272</v>
      </c>
      <c r="R644" t="s">
        <v>2447</v>
      </c>
    </row>
    <row r="645" spans="1:18" x14ac:dyDescent="0.25">
      <c r="A645" s="4" t="s">
        <v>2290</v>
      </c>
      <c r="B645" s="4" t="str">
        <f t="shared" si="12"/>
        <v>00021836597KOVR</v>
      </c>
      <c r="C645" t="s">
        <v>1287</v>
      </c>
      <c r="D645" t="s">
        <v>1061</v>
      </c>
      <c r="E645">
        <v>20411454</v>
      </c>
      <c r="F645" t="s">
        <v>2477</v>
      </c>
      <c r="G645" t="s">
        <v>49</v>
      </c>
      <c r="H645" t="s">
        <v>58</v>
      </c>
      <c r="I645" s="1">
        <v>45474</v>
      </c>
      <c r="J645" s="1">
        <v>45992</v>
      </c>
      <c r="K645" t="s">
        <v>51</v>
      </c>
      <c r="L645" t="s">
        <v>52</v>
      </c>
      <c r="M645" s="2">
        <v>1</v>
      </c>
      <c r="N645" s="2">
        <v>1</v>
      </c>
      <c r="P645" s="2">
        <v>9</v>
      </c>
      <c r="Q645" t="s">
        <v>1272</v>
      </c>
      <c r="R645" t="s">
        <v>2447</v>
      </c>
    </row>
    <row r="646" spans="1:18" x14ac:dyDescent="0.25">
      <c r="A646" s="4" t="s">
        <v>2291</v>
      </c>
      <c r="B646" s="4" t="str">
        <f t="shared" si="12"/>
        <v>00021852153KOVR</v>
      </c>
      <c r="C646" t="s">
        <v>1288</v>
      </c>
      <c r="D646" t="s">
        <v>1061</v>
      </c>
      <c r="E646">
        <v>20411454</v>
      </c>
      <c r="F646" t="s">
        <v>2477</v>
      </c>
      <c r="G646" t="s">
        <v>49</v>
      </c>
      <c r="H646" t="s">
        <v>58</v>
      </c>
      <c r="I646" s="1">
        <v>45474</v>
      </c>
      <c r="J646" s="1">
        <v>45992</v>
      </c>
      <c r="K646" t="s">
        <v>51</v>
      </c>
      <c r="L646" t="s">
        <v>52</v>
      </c>
      <c r="M646" s="2">
        <v>1</v>
      </c>
      <c r="N646" s="2">
        <v>1</v>
      </c>
      <c r="P646" s="2">
        <v>9</v>
      </c>
      <c r="Q646" t="s">
        <v>1272</v>
      </c>
      <c r="R646" t="s">
        <v>2447</v>
      </c>
    </row>
    <row r="647" spans="1:18" x14ac:dyDescent="0.25">
      <c r="A647" s="4" t="s">
        <v>2292</v>
      </c>
      <c r="B647" s="4" t="str">
        <f t="shared" si="12"/>
        <v>00021853327KOVR</v>
      </c>
      <c r="C647" t="s">
        <v>1290</v>
      </c>
      <c r="D647" t="s">
        <v>1061</v>
      </c>
      <c r="E647">
        <v>20411454</v>
      </c>
      <c r="F647" t="s">
        <v>2477</v>
      </c>
      <c r="G647" t="s">
        <v>49</v>
      </c>
      <c r="H647" t="s">
        <v>58</v>
      </c>
      <c r="I647" s="1">
        <v>45474</v>
      </c>
      <c r="J647" s="1">
        <v>45992</v>
      </c>
      <c r="K647" t="s">
        <v>51</v>
      </c>
      <c r="L647" t="s">
        <v>52</v>
      </c>
      <c r="M647" s="2">
        <v>1</v>
      </c>
      <c r="N647" s="2">
        <v>1</v>
      </c>
      <c r="P647" s="2">
        <v>9</v>
      </c>
      <c r="Q647" t="s">
        <v>1272</v>
      </c>
      <c r="R647" t="s">
        <v>2447</v>
      </c>
    </row>
    <row r="648" spans="1:18" x14ac:dyDescent="0.25">
      <c r="A648" s="4" t="s">
        <v>2293</v>
      </c>
      <c r="B648" s="4" t="str">
        <f t="shared" si="12"/>
        <v>00021853815KOVR</v>
      </c>
      <c r="C648" t="s">
        <v>1291</v>
      </c>
      <c r="D648" t="s">
        <v>1061</v>
      </c>
      <c r="E648">
        <v>20411454</v>
      </c>
      <c r="F648" t="s">
        <v>2477</v>
      </c>
      <c r="G648" t="s">
        <v>49</v>
      </c>
      <c r="H648" t="s">
        <v>58</v>
      </c>
      <c r="I648" s="1">
        <v>45474</v>
      </c>
      <c r="J648" s="1">
        <v>45992</v>
      </c>
      <c r="K648" t="s">
        <v>51</v>
      </c>
      <c r="L648" t="s">
        <v>52</v>
      </c>
      <c r="M648" s="2">
        <v>1</v>
      </c>
      <c r="N648" s="2">
        <v>1</v>
      </c>
      <c r="P648" s="2">
        <v>9</v>
      </c>
      <c r="Q648" t="s">
        <v>1272</v>
      </c>
      <c r="R648" t="s">
        <v>2447</v>
      </c>
    </row>
    <row r="649" spans="1:18" x14ac:dyDescent="0.25">
      <c r="A649" s="4" t="s">
        <v>2294</v>
      </c>
      <c r="B649" s="4" t="str">
        <f t="shared" si="12"/>
        <v>00021859258KOVR</v>
      </c>
      <c r="C649" t="s">
        <v>1292</v>
      </c>
      <c r="D649" t="s">
        <v>1061</v>
      </c>
      <c r="E649">
        <v>20411454</v>
      </c>
      <c r="F649" t="s">
        <v>2477</v>
      </c>
      <c r="G649" t="s">
        <v>49</v>
      </c>
      <c r="H649" t="s">
        <v>58</v>
      </c>
      <c r="I649" s="1">
        <v>45474</v>
      </c>
      <c r="J649" s="1">
        <v>45992</v>
      </c>
      <c r="K649" t="s">
        <v>51</v>
      </c>
      <c r="L649" t="s">
        <v>52</v>
      </c>
      <c r="M649" s="2">
        <v>1</v>
      </c>
      <c r="N649" s="2">
        <v>1</v>
      </c>
      <c r="P649" s="2">
        <v>9</v>
      </c>
      <c r="Q649" t="s">
        <v>1272</v>
      </c>
      <c r="R649" t="s">
        <v>2447</v>
      </c>
    </row>
    <row r="650" spans="1:18" x14ac:dyDescent="0.25">
      <c r="A650" s="4" t="s">
        <v>2295</v>
      </c>
      <c r="B650" s="4" t="str">
        <f t="shared" si="12"/>
        <v>00021865984KOVR</v>
      </c>
      <c r="C650" t="s">
        <v>1293</v>
      </c>
      <c r="E650">
        <v>20411454</v>
      </c>
      <c r="F650" t="s">
        <v>2477</v>
      </c>
      <c r="G650" t="s">
        <v>1262</v>
      </c>
      <c r="H650" t="s">
        <v>58</v>
      </c>
      <c r="I650" s="1">
        <v>45474</v>
      </c>
      <c r="J650" s="1">
        <v>45992</v>
      </c>
      <c r="K650" t="s">
        <v>51</v>
      </c>
      <c r="L650" t="s">
        <v>52</v>
      </c>
      <c r="M650" s="2">
        <v>1</v>
      </c>
      <c r="N650" s="2">
        <v>1</v>
      </c>
      <c r="P650" s="2">
        <v>9</v>
      </c>
      <c r="Q650" t="s">
        <v>1272</v>
      </c>
      <c r="R650" t="s">
        <v>2447</v>
      </c>
    </row>
    <row r="651" spans="1:18" x14ac:dyDescent="0.25">
      <c r="A651" s="4" t="s">
        <v>2296</v>
      </c>
      <c r="B651" s="4" t="str">
        <f t="shared" si="12"/>
        <v>00021876313KOVR</v>
      </c>
      <c r="C651" t="s">
        <v>1294</v>
      </c>
      <c r="D651" t="s">
        <v>1061</v>
      </c>
      <c r="E651">
        <v>20411454</v>
      </c>
      <c r="F651" t="s">
        <v>2477</v>
      </c>
      <c r="G651" t="s">
        <v>1262</v>
      </c>
      <c r="H651" t="s">
        <v>58</v>
      </c>
      <c r="I651" s="1">
        <v>45474</v>
      </c>
      <c r="J651" s="1">
        <v>45992</v>
      </c>
      <c r="K651" t="s">
        <v>51</v>
      </c>
      <c r="L651" t="s">
        <v>52</v>
      </c>
      <c r="M651" s="2">
        <v>1</v>
      </c>
      <c r="N651" s="2">
        <v>1</v>
      </c>
      <c r="P651" s="2">
        <v>9</v>
      </c>
      <c r="Q651" t="s">
        <v>1260</v>
      </c>
      <c r="R651" t="s">
        <v>2447</v>
      </c>
    </row>
    <row r="652" spans="1:18" x14ac:dyDescent="0.25">
      <c r="A652" s="4" t="s">
        <v>2298</v>
      </c>
      <c r="B652" s="4" t="str">
        <f t="shared" si="12"/>
        <v>00021878864KOVR</v>
      </c>
      <c r="C652" t="s">
        <v>1296</v>
      </c>
      <c r="D652" t="s">
        <v>1061</v>
      </c>
      <c r="E652">
        <v>20411454</v>
      </c>
      <c r="F652" t="s">
        <v>2477</v>
      </c>
      <c r="G652" t="s">
        <v>1262</v>
      </c>
      <c r="H652" t="s">
        <v>58</v>
      </c>
      <c r="I652" s="1">
        <v>45474</v>
      </c>
      <c r="J652" s="1">
        <v>45992</v>
      </c>
      <c r="K652" t="s">
        <v>51</v>
      </c>
      <c r="L652" t="s">
        <v>52</v>
      </c>
      <c r="M652" s="2">
        <v>1</v>
      </c>
      <c r="N652" s="2">
        <v>1</v>
      </c>
      <c r="P652" s="2">
        <v>9</v>
      </c>
      <c r="Q652" t="s">
        <v>1260</v>
      </c>
      <c r="R652" t="s">
        <v>2447</v>
      </c>
    </row>
    <row r="653" spans="1:18" x14ac:dyDescent="0.25">
      <c r="A653" s="4" t="s">
        <v>2300</v>
      </c>
      <c r="B653" s="4" t="str">
        <f t="shared" si="12"/>
        <v>00021882434KOVR</v>
      </c>
      <c r="C653" t="s">
        <v>1298</v>
      </c>
      <c r="D653" t="s">
        <v>1061</v>
      </c>
      <c r="E653">
        <v>20411454</v>
      </c>
      <c r="F653" t="s">
        <v>2477</v>
      </c>
      <c r="G653" t="s">
        <v>49</v>
      </c>
      <c r="H653" t="s">
        <v>58</v>
      </c>
      <c r="I653" s="1">
        <v>45474</v>
      </c>
      <c r="J653" s="1">
        <v>45992</v>
      </c>
      <c r="K653" t="s">
        <v>51</v>
      </c>
      <c r="L653" t="s">
        <v>52</v>
      </c>
      <c r="M653" s="2">
        <v>1</v>
      </c>
      <c r="N653" s="2">
        <v>1</v>
      </c>
      <c r="P653" s="2">
        <v>9</v>
      </c>
      <c r="Q653" t="s">
        <v>1272</v>
      </c>
      <c r="R653" t="s">
        <v>2447</v>
      </c>
    </row>
    <row r="654" spans="1:18" x14ac:dyDescent="0.25">
      <c r="A654" s="4" t="s">
        <v>2301</v>
      </c>
      <c r="B654" s="4" t="str">
        <f t="shared" ref="B654:B664" si="13">CONCATENATE(A654,"OVR")</f>
        <v>00021883797KOVR</v>
      </c>
      <c r="C654" t="s">
        <v>1299</v>
      </c>
      <c r="D654" t="s">
        <v>1061</v>
      </c>
      <c r="E654">
        <v>20411454</v>
      </c>
      <c r="F654" t="s">
        <v>2477</v>
      </c>
      <c r="G654" t="s">
        <v>1262</v>
      </c>
      <c r="H654" t="s">
        <v>58</v>
      </c>
      <c r="I654" s="1">
        <v>45474</v>
      </c>
      <c r="J654" s="1">
        <v>45992</v>
      </c>
      <c r="K654" t="s">
        <v>51</v>
      </c>
      <c r="L654" t="s">
        <v>52</v>
      </c>
      <c r="M654" s="2">
        <v>1</v>
      </c>
      <c r="N654" s="2">
        <v>1</v>
      </c>
      <c r="P654" s="2">
        <v>9</v>
      </c>
      <c r="Q654" t="s">
        <v>1260</v>
      </c>
      <c r="R654" t="s">
        <v>2447</v>
      </c>
    </row>
    <row r="655" spans="1:18" x14ac:dyDescent="0.25">
      <c r="A655" s="4" t="s">
        <v>2302</v>
      </c>
      <c r="B655" s="4" t="str">
        <f t="shared" si="13"/>
        <v>00021884516KOVR</v>
      </c>
      <c r="C655" t="s">
        <v>1300</v>
      </c>
      <c r="D655" t="s">
        <v>1061</v>
      </c>
      <c r="E655">
        <v>20411454</v>
      </c>
      <c r="F655" t="s">
        <v>2477</v>
      </c>
      <c r="G655" t="s">
        <v>49</v>
      </c>
      <c r="H655" t="s">
        <v>58</v>
      </c>
      <c r="I655" s="1">
        <v>45474</v>
      </c>
      <c r="J655" s="1">
        <v>45992</v>
      </c>
      <c r="K655" t="s">
        <v>51</v>
      </c>
      <c r="L655" t="s">
        <v>52</v>
      </c>
      <c r="M655" s="2">
        <v>1</v>
      </c>
      <c r="N655" s="2">
        <v>1</v>
      </c>
      <c r="P655" s="2">
        <v>9</v>
      </c>
      <c r="Q655" t="s">
        <v>1272</v>
      </c>
      <c r="R655" t="s">
        <v>2447</v>
      </c>
    </row>
    <row r="656" spans="1:18" x14ac:dyDescent="0.25">
      <c r="A656" s="4" t="s">
        <v>2304</v>
      </c>
      <c r="B656" s="4" t="str">
        <f t="shared" si="13"/>
        <v>00021895596KOVR</v>
      </c>
      <c r="C656" t="s">
        <v>1303</v>
      </c>
      <c r="D656" t="s">
        <v>1061</v>
      </c>
      <c r="E656">
        <v>20411454</v>
      </c>
      <c r="F656" t="s">
        <v>2477</v>
      </c>
      <c r="G656" t="s">
        <v>1262</v>
      </c>
      <c r="H656" t="s">
        <v>58</v>
      </c>
      <c r="I656" s="1">
        <v>45474</v>
      </c>
      <c r="J656" s="1">
        <v>45992</v>
      </c>
      <c r="K656" t="s">
        <v>51</v>
      </c>
      <c r="L656" t="s">
        <v>52</v>
      </c>
      <c r="M656" s="2">
        <v>1</v>
      </c>
      <c r="N656" s="2">
        <v>1</v>
      </c>
      <c r="P656" s="2">
        <v>9</v>
      </c>
      <c r="Q656" t="s">
        <v>1260</v>
      </c>
      <c r="R656" t="s">
        <v>2447</v>
      </c>
    </row>
    <row r="657" spans="1:40" x14ac:dyDescent="0.25">
      <c r="A657" s="4" t="s">
        <v>2273</v>
      </c>
      <c r="B657" s="4" t="str">
        <f t="shared" si="13"/>
        <v>00017505325KOVR</v>
      </c>
      <c r="C657" t="s">
        <v>1268</v>
      </c>
      <c r="D657" t="s">
        <v>1061</v>
      </c>
      <c r="E657">
        <v>20411454</v>
      </c>
      <c r="F657" t="s">
        <v>2477</v>
      </c>
      <c r="G657" t="s">
        <v>1262</v>
      </c>
      <c r="H657" t="s">
        <v>50</v>
      </c>
      <c r="I657" s="1">
        <v>45474</v>
      </c>
      <c r="J657" s="1">
        <v>45992</v>
      </c>
      <c r="K657" t="s">
        <v>51</v>
      </c>
      <c r="L657" t="s">
        <v>52</v>
      </c>
      <c r="M657" s="2">
        <v>1</v>
      </c>
      <c r="N657" s="2">
        <v>1</v>
      </c>
      <c r="P657" s="2">
        <v>9</v>
      </c>
      <c r="Q657" t="s">
        <v>1260</v>
      </c>
      <c r="R657" t="s">
        <v>2447</v>
      </c>
    </row>
    <row r="658" spans="1:40" x14ac:dyDescent="0.25">
      <c r="A658" s="4" t="s">
        <v>2278</v>
      </c>
      <c r="B658" s="4" t="str">
        <f t="shared" si="13"/>
        <v>00021641743KOVR</v>
      </c>
      <c r="C658" t="s">
        <v>1275</v>
      </c>
      <c r="D658" t="s">
        <v>1061</v>
      </c>
      <c r="E658">
        <v>20411454</v>
      </c>
      <c r="F658" t="s">
        <v>2477</v>
      </c>
      <c r="G658" t="s">
        <v>1262</v>
      </c>
      <c r="H658" t="s">
        <v>58</v>
      </c>
      <c r="I658" s="1">
        <v>45444</v>
      </c>
      <c r="J658" s="1">
        <v>45992</v>
      </c>
      <c r="K658" t="s">
        <v>51</v>
      </c>
      <c r="L658" t="s">
        <v>52</v>
      </c>
      <c r="M658" s="2">
        <v>1</v>
      </c>
      <c r="N658" s="2">
        <v>1</v>
      </c>
      <c r="P658" s="2">
        <v>9</v>
      </c>
      <c r="Q658" t="s">
        <v>1260</v>
      </c>
      <c r="R658" t="s">
        <v>2447</v>
      </c>
    </row>
    <row r="659" spans="1:40" x14ac:dyDescent="0.25">
      <c r="A659" s="4" t="s">
        <v>2279</v>
      </c>
      <c r="B659" s="4" t="str">
        <f t="shared" si="13"/>
        <v>00021686716KOVR</v>
      </c>
      <c r="C659" t="s">
        <v>1128</v>
      </c>
      <c r="D659" t="s">
        <v>1061</v>
      </c>
      <c r="E659">
        <v>20411454</v>
      </c>
      <c r="F659" t="s">
        <v>2477</v>
      </c>
      <c r="G659" t="s">
        <v>1262</v>
      </c>
      <c r="H659" t="s">
        <v>58</v>
      </c>
      <c r="I659" s="1">
        <v>45444</v>
      </c>
      <c r="J659" s="1">
        <v>45992</v>
      </c>
      <c r="K659" t="s">
        <v>51</v>
      </c>
      <c r="L659" t="s">
        <v>52</v>
      </c>
      <c r="M659" s="2">
        <v>1</v>
      </c>
      <c r="N659" s="2">
        <v>1</v>
      </c>
      <c r="P659" s="2">
        <v>9</v>
      </c>
      <c r="Q659" t="s">
        <v>1260</v>
      </c>
      <c r="R659" t="s">
        <v>2447</v>
      </c>
    </row>
    <row r="660" spans="1:40" x14ac:dyDescent="0.25">
      <c r="A660" s="4" t="s">
        <v>2282</v>
      </c>
      <c r="B660" s="4" t="str">
        <f t="shared" si="13"/>
        <v>00021778915KOVR</v>
      </c>
      <c r="C660" t="s">
        <v>1278</v>
      </c>
      <c r="D660" t="s">
        <v>1061</v>
      </c>
      <c r="E660">
        <v>20411454</v>
      </c>
      <c r="F660" t="s">
        <v>2477</v>
      </c>
      <c r="G660" t="s">
        <v>1262</v>
      </c>
      <c r="H660" t="s">
        <v>58</v>
      </c>
      <c r="I660" s="1">
        <v>45444</v>
      </c>
      <c r="J660" s="1">
        <v>45992</v>
      </c>
      <c r="K660" t="s">
        <v>51</v>
      </c>
      <c r="L660" t="s">
        <v>52</v>
      </c>
      <c r="M660" s="2">
        <v>1</v>
      </c>
      <c r="N660" s="2">
        <v>1</v>
      </c>
      <c r="P660" s="2">
        <v>9</v>
      </c>
      <c r="Q660" t="s">
        <v>1260</v>
      </c>
      <c r="R660" t="s">
        <v>2447</v>
      </c>
    </row>
    <row r="661" spans="1:40" x14ac:dyDescent="0.25">
      <c r="A661" s="4" t="s">
        <v>2284</v>
      </c>
      <c r="B661" s="4" t="str">
        <f t="shared" si="13"/>
        <v>00021784141KOVR</v>
      </c>
      <c r="C661" t="s">
        <v>1280</v>
      </c>
      <c r="D661" t="s">
        <v>1061</v>
      </c>
      <c r="E661">
        <v>20411454</v>
      </c>
      <c r="F661" t="s">
        <v>2477</v>
      </c>
      <c r="G661" t="s">
        <v>1262</v>
      </c>
      <c r="H661" t="s">
        <v>58</v>
      </c>
      <c r="I661" s="1">
        <v>45444</v>
      </c>
      <c r="J661" s="1">
        <v>45992</v>
      </c>
      <c r="K661" t="s">
        <v>51</v>
      </c>
      <c r="L661" t="s">
        <v>52</v>
      </c>
      <c r="M661" s="2">
        <v>1</v>
      </c>
      <c r="N661" s="2">
        <v>1</v>
      </c>
      <c r="P661" s="2">
        <v>9</v>
      </c>
      <c r="Q661" t="s">
        <v>1260</v>
      </c>
      <c r="R661" t="s">
        <v>2447</v>
      </c>
    </row>
    <row r="662" spans="1:40" x14ac:dyDescent="0.25">
      <c r="A662" s="4" t="s">
        <v>2286</v>
      </c>
      <c r="B662" s="4" t="str">
        <f t="shared" si="13"/>
        <v>00021801538KOVR</v>
      </c>
      <c r="C662" t="s">
        <v>1282</v>
      </c>
      <c r="D662" t="s">
        <v>1061</v>
      </c>
      <c r="E662">
        <v>20411454</v>
      </c>
      <c r="F662" t="s">
        <v>2477</v>
      </c>
      <c r="G662" t="s">
        <v>1262</v>
      </c>
      <c r="H662" t="s">
        <v>58</v>
      </c>
      <c r="I662" s="1">
        <v>45444</v>
      </c>
      <c r="J662" s="1">
        <v>45992</v>
      </c>
      <c r="K662" t="s">
        <v>51</v>
      </c>
      <c r="L662" t="s">
        <v>52</v>
      </c>
      <c r="M662" s="2">
        <v>1</v>
      </c>
      <c r="N662" s="2">
        <v>1</v>
      </c>
      <c r="P662" s="2">
        <v>9</v>
      </c>
      <c r="Q662" t="s">
        <v>1260</v>
      </c>
      <c r="R662" t="s">
        <v>2447</v>
      </c>
    </row>
    <row r="663" spans="1:40" x14ac:dyDescent="0.25">
      <c r="A663" s="4" t="s">
        <v>2287</v>
      </c>
      <c r="B663" s="4" t="str">
        <f t="shared" si="13"/>
        <v>00021812164KOVR</v>
      </c>
      <c r="C663" t="s">
        <v>1283</v>
      </c>
      <c r="D663" t="s">
        <v>1061</v>
      </c>
      <c r="E663">
        <v>20411454</v>
      </c>
      <c r="F663" t="s">
        <v>2477</v>
      </c>
      <c r="G663" t="s">
        <v>49</v>
      </c>
      <c r="H663" t="s">
        <v>58</v>
      </c>
      <c r="I663" s="1">
        <v>45444</v>
      </c>
      <c r="J663" s="1">
        <v>45992</v>
      </c>
      <c r="K663" t="s">
        <v>51</v>
      </c>
      <c r="L663" t="s">
        <v>52</v>
      </c>
      <c r="M663" s="2">
        <v>1</v>
      </c>
      <c r="N663" s="2">
        <v>1</v>
      </c>
      <c r="P663" s="2">
        <v>9</v>
      </c>
      <c r="Q663" t="s">
        <v>1272</v>
      </c>
      <c r="R663" t="s">
        <v>2447</v>
      </c>
    </row>
    <row r="664" spans="1:40" x14ac:dyDescent="0.25">
      <c r="A664" s="4" t="s">
        <v>2288</v>
      </c>
      <c r="B664" s="4" t="str">
        <f t="shared" si="13"/>
        <v>00021819613KOVR</v>
      </c>
      <c r="C664" t="s">
        <v>1285</v>
      </c>
      <c r="D664" t="s">
        <v>1061</v>
      </c>
      <c r="E664">
        <v>20411454</v>
      </c>
      <c r="F664" t="s">
        <v>2477</v>
      </c>
      <c r="G664" t="s">
        <v>49</v>
      </c>
      <c r="H664" t="s">
        <v>58</v>
      </c>
      <c r="I664" s="1">
        <v>45444</v>
      </c>
      <c r="J664" s="1">
        <v>45992</v>
      </c>
      <c r="K664" t="s">
        <v>51</v>
      </c>
      <c r="L664" t="s">
        <v>52</v>
      </c>
      <c r="M664" s="2">
        <v>1</v>
      </c>
      <c r="N664" s="2">
        <v>1</v>
      </c>
      <c r="P664" s="2">
        <v>9</v>
      </c>
      <c r="Q664" t="s">
        <v>1272</v>
      </c>
      <c r="R664" t="s">
        <v>2447</v>
      </c>
    </row>
    <row r="665" spans="1:40" x14ac:dyDescent="0.25">
      <c r="A665" s="5" t="s">
        <v>2358</v>
      </c>
      <c r="B665" s="5" t="str">
        <f t="shared" ref="B665:B691" si="14">CONCATENATE(A665,1)</f>
        <v>00022094729K1</v>
      </c>
      <c r="C665" s="6" t="s">
        <v>1357</v>
      </c>
      <c r="D665" s="6" t="s">
        <v>1061</v>
      </c>
      <c r="E665" s="6">
        <v>7470776</v>
      </c>
      <c r="F665" s="6" t="s">
        <v>95</v>
      </c>
      <c r="G665" s="6" t="s">
        <v>49</v>
      </c>
      <c r="H665" s="6" t="s">
        <v>1284</v>
      </c>
      <c r="I665" s="7">
        <v>45597</v>
      </c>
      <c r="J665" s="7">
        <v>45992</v>
      </c>
      <c r="K665" s="6" t="s">
        <v>51</v>
      </c>
      <c r="L665" s="6" t="s">
        <v>52</v>
      </c>
      <c r="M665" s="8">
        <v>1</v>
      </c>
      <c r="N665" s="8">
        <v>1</v>
      </c>
      <c r="O665" s="6"/>
      <c r="P665" s="8">
        <v>25.5</v>
      </c>
      <c r="Q665" s="6" t="s">
        <v>1272</v>
      </c>
      <c r="R665" s="6" t="s">
        <v>2449</v>
      </c>
      <c r="S665" s="6" t="s">
        <v>2448</v>
      </c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</row>
    <row r="666" spans="1:40" x14ac:dyDescent="0.25">
      <c r="A666" s="5" t="s">
        <v>2359</v>
      </c>
      <c r="B666" s="5" t="str">
        <f t="shared" si="14"/>
        <v>00022094985K1</v>
      </c>
      <c r="C666" s="6" t="s">
        <v>1358</v>
      </c>
      <c r="D666" s="6" t="s">
        <v>1061</v>
      </c>
      <c r="E666" s="6">
        <v>7470776</v>
      </c>
      <c r="F666" s="6" t="s">
        <v>95</v>
      </c>
      <c r="G666" s="6" t="s">
        <v>49</v>
      </c>
      <c r="H666" s="6" t="s">
        <v>1284</v>
      </c>
      <c r="I666" s="7">
        <v>45597</v>
      </c>
      <c r="J666" s="7">
        <v>45992</v>
      </c>
      <c r="K666" s="6" t="s">
        <v>51</v>
      </c>
      <c r="L666" s="6" t="s">
        <v>52</v>
      </c>
      <c r="M666" s="8">
        <v>1</v>
      </c>
      <c r="N666" s="8">
        <v>1</v>
      </c>
      <c r="O666" s="6"/>
      <c r="P666" s="8">
        <v>25.5</v>
      </c>
      <c r="Q666" s="6" t="s">
        <v>1272</v>
      </c>
      <c r="R666" s="6" t="s">
        <v>2449</v>
      </c>
      <c r="S666" s="6" t="s">
        <v>2448</v>
      </c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</row>
    <row r="667" spans="1:40" x14ac:dyDescent="0.25">
      <c r="A667" s="5" t="s">
        <v>2361</v>
      </c>
      <c r="B667" s="5" t="str">
        <f t="shared" si="14"/>
        <v>00022095955K1</v>
      </c>
      <c r="C667" s="6" t="s">
        <v>1360</v>
      </c>
      <c r="D667" s="6" t="s">
        <v>1061</v>
      </c>
      <c r="E667" s="6">
        <v>7470776</v>
      </c>
      <c r="F667" s="6" t="s">
        <v>95</v>
      </c>
      <c r="G667" s="6" t="s">
        <v>49</v>
      </c>
      <c r="H667" s="6" t="s">
        <v>1284</v>
      </c>
      <c r="I667" s="7">
        <v>45597</v>
      </c>
      <c r="J667" s="7">
        <v>45992</v>
      </c>
      <c r="K667" s="6" t="s">
        <v>51</v>
      </c>
      <c r="L667" s="6" t="s">
        <v>52</v>
      </c>
      <c r="M667" s="8">
        <v>1</v>
      </c>
      <c r="N667" s="8">
        <v>1</v>
      </c>
      <c r="O667" s="6"/>
      <c r="P667" s="8">
        <v>25.5</v>
      </c>
      <c r="Q667" s="6" t="s">
        <v>1272</v>
      </c>
      <c r="R667" s="6" t="s">
        <v>2449</v>
      </c>
      <c r="S667" s="6" t="s">
        <v>2448</v>
      </c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</row>
    <row r="668" spans="1:40" x14ac:dyDescent="0.25">
      <c r="A668" s="5" t="s">
        <v>2362</v>
      </c>
      <c r="B668" s="5" t="str">
        <f t="shared" si="14"/>
        <v>00022096948K1</v>
      </c>
      <c r="C668" s="6" t="s">
        <v>1361</v>
      </c>
      <c r="D668" s="6" t="s">
        <v>1061</v>
      </c>
      <c r="E668" s="6">
        <v>7470776</v>
      </c>
      <c r="F668" s="6" t="s">
        <v>95</v>
      </c>
      <c r="G668" s="6" t="s">
        <v>49</v>
      </c>
      <c r="H668" s="6" t="s">
        <v>1284</v>
      </c>
      <c r="I668" s="7">
        <v>45597</v>
      </c>
      <c r="J668" s="7">
        <v>45992</v>
      </c>
      <c r="K668" s="6" t="s">
        <v>51</v>
      </c>
      <c r="L668" s="6" t="s">
        <v>52</v>
      </c>
      <c r="M668" s="8">
        <v>1</v>
      </c>
      <c r="N668" s="8">
        <v>1</v>
      </c>
      <c r="O668" s="6"/>
      <c r="P668" s="8">
        <v>25.5</v>
      </c>
      <c r="Q668" s="6" t="s">
        <v>1272</v>
      </c>
      <c r="R668" s="6" t="s">
        <v>2449</v>
      </c>
      <c r="S668" s="6" t="s">
        <v>2448</v>
      </c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</row>
    <row r="669" spans="1:40" x14ac:dyDescent="0.25">
      <c r="A669" s="5" t="s">
        <v>2363</v>
      </c>
      <c r="B669" s="5" t="str">
        <f t="shared" si="14"/>
        <v>00022097947K1</v>
      </c>
      <c r="C669" s="6" t="s">
        <v>1362</v>
      </c>
      <c r="D669" s="6" t="s">
        <v>1061</v>
      </c>
      <c r="E669" s="6">
        <v>7470776</v>
      </c>
      <c r="F669" s="6" t="s">
        <v>95</v>
      </c>
      <c r="G669" s="6" t="s">
        <v>49</v>
      </c>
      <c r="H669" s="6" t="s">
        <v>1284</v>
      </c>
      <c r="I669" s="7">
        <v>45597</v>
      </c>
      <c r="J669" s="7">
        <v>45992</v>
      </c>
      <c r="K669" s="6" t="s">
        <v>51</v>
      </c>
      <c r="L669" s="6" t="s">
        <v>52</v>
      </c>
      <c r="M669" s="8">
        <v>1</v>
      </c>
      <c r="N669" s="8">
        <v>1</v>
      </c>
      <c r="O669" s="6"/>
      <c r="P669" s="8">
        <v>25.5</v>
      </c>
      <c r="Q669" s="6" t="s">
        <v>1272</v>
      </c>
      <c r="R669" s="6" t="s">
        <v>2449</v>
      </c>
      <c r="S669" s="6" t="s">
        <v>2448</v>
      </c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</row>
    <row r="670" spans="1:40" x14ac:dyDescent="0.25">
      <c r="A670" s="5" t="s">
        <v>2333</v>
      </c>
      <c r="B670" s="5" t="str">
        <f t="shared" si="14"/>
        <v>00022025150K1</v>
      </c>
      <c r="C670" s="6" t="s">
        <v>1332</v>
      </c>
      <c r="D670" s="6" t="s">
        <v>1061</v>
      </c>
      <c r="E670" s="6">
        <v>7470776</v>
      </c>
      <c r="F670" s="6" t="s">
        <v>95</v>
      </c>
      <c r="G670" s="6" t="s">
        <v>1262</v>
      </c>
      <c r="H670" s="6" t="s">
        <v>1284</v>
      </c>
      <c r="I670" s="7">
        <v>45566</v>
      </c>
      <c r="J670" s="7">
        <v>45992</v>
      </c>
      <c r="K670" s="6" t="s">
        <v>51</v>
      </c>
      <c r="L670" s="6" t="s">
        <v>52</v>
      </c>
      <c r="M670" s="8">
        <v>1</v>
      </c>
      <c r="N670" s="8">
        <v>1</v>
      </c>
      <c r="O670" s="6"/>
      <c r="P670" s="8">
        <v>25.5</v>
      </c>
      <c r="Q670" s="6" t="s">
        <v>1272</v>
      </c>
      <c r="R670" s="6" t="s">
        <v>2449</v>
      </c>
      <c r="S670" s="6" t="s">
        <v>2448</v>
      </c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</row>
    <row r="671" spans="1:40" x14ac:dyDescent="0.25">
      <c r="A671" s="5" t="s">
        <v>2335</v>
      </c>
      <c r="B671" s="5" t="str">
        <f t="shared" si="14"/>
        <v>00022031158K1</v>
      </c>
      <c r="C671" s="6" t="s">
        <v>1334</v>
      </c>
      <c r="D671" s="6" t="s">
        <v>1061</v>
      </c>
      <c r="E671" s="6">
        <v>7470776</v>
      </c>
      <c r="F671" s="6" t="s">
        <v>95</v>
      </c>
      <c r="G671" s="6" t="s">
        <v>1262</v>
      </c>
      <c r="H671" s="6" t="s">
        <v>1284</v>
      </c>
      <c r="I671" s="7">
        <v>45566</v>
      </c>
      <c r="J671" s="7">
        <v>45992</v>
      </c>
      <c r="K671" s="6" t="s">
        <v>51</v>
      </c>
      <c r="L671" s="6" t="s">
        <v>52</v>
      </c>
      <c r="M671" s="8">
        <v>1</v>
      </c>
      <c r="N671" s="8">
        <v>1</v>
      </c>
      <c r="O671" s="6"/>
      <c r="P671" s="8">
        <v>25.5</v>
      </c>
      <c r="Q671" s="6" t="s">
        <v>1272</v>
      </c>
      <c r="R671" s="6" t="s">
        <v>2449</v>
      </c>
      <c r="S671" s="6" t="s">
        <v>2448</v>
      </c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</row>
    <row r="672" spans="1:40" x14ac:dyDescent="0.25">
      <c r="A672" s="5" t="s">
        <v>2336</v>
      </c>
      <c r="B672" s="5" t="str">
        <f t="shared" si="14"/>
        <v>00022032935K1</v>
      </c>
      <c r="C672" s="6" t="s">
        <v>1335</v>
      </c>
      <c r="D672" s="6" t="s">
        <v>1061</v>
      </c>
      <c r="E672" s="6">
        <v>7470776</v>
      </c>
      <c r="F672" s="6" t="s">
        <v>95</v>
      </c>
      <c r="G672" s="6" t="s">
        <v>1262</v>
      </c>
      <c r="H672" s="6" t="s">
        <v>1284</v>
      </c>
      <c r="I672" s="7">
        <v>45566</v>
      </c>
      <c r="J672" s="7">
        <v>45992</v>
      </c>
      <c r="K672" s="6" t="s">
        <v>51</v>
      </c>
      <c r="L672" s="6" t="s">
        <v>52</v>
      </c>
      <c r="M672" s="8">
        <v>1</v>
      </c>
      <c r="N672" s="8">
        <v>1</v>
      </c>
      <c r="O672" s="6"/>
      <c r="P672" s="8">
        <v>25.5</v>
      </c>
      <c r="Q672" s="6" t="s">
        <v>1272</v>
      </c>
      <c r="R672" s="6" t="s">
        <v>2449</v>
      </c>
      <c r="S672" s="6" t="s">
        <v>2448</v>
      </c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</row>
    <row r="673" spans="1:40" x14ac:dyDescent="0.25">
      <c r="A673" s="5" t="s">
        <v>2339</v>
      </c>
      <c r="B673" s="5" t="str">
        <f t="shared" si="14"/>
        <v>00022035242K1</v>
      </c>
      <c r="C673" s="6" t="s">
        <v>1338</v>
      </c>
      <c r="D673" s="6" t="s">
        <v>1061</v>
      </c>
      <c r="E673" s="6">
        <v>7470776</v>
      </c>
      <c r="F673" s="6" t="s">
        <v>95</v>
      </c>
      <c r="G673" s="6" t="s">
        <v>1262</v>
      </c>
      <c r="H673" s="6" t="s">
        <v>1284</v>
      </c>
      <c r="I673" s="7">
        <v>45566</v>
      </c>
      <c r="J673" s="7">
        <v>45992</v>
      </c>
      <c r="K673" s="6" t="s">
        <v>51</v>
      </c>
      <c r="L673" s="6" t="s">
        <v>52</v>
      </c>
      <c r="M673" s="8">
        <v>1</v>
      </c>
      <c r="N673" s="8">
        <v>1</v>
      </c>
      <c r="O673" s="6"/>
      <c r="P673" s="8">
        <v>25.5</v>
      </c>
      <c r="Q673" s="6" t="s">
        <v>1272</v>
      </c>
      <c r="R673" s="6" t="s">
        <v>2449</v>
      </c>
      <c r="S673" s="6" t="s">
        <v>2448</v>
      </c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</row>
    <row r="674" spans="1:40" x14ac:dyDescent="0.25">
      <c r="A674" s="5" t="s">
        <v>2340</v>
      </c>
      <c r="B674" s="5" t="str">
        <f t="shared" si="14"/>
        <v>00022040894K1</v>
      </c>
      <c r="C674" s="6" t="s">
        <v>1339</v>
      </c>
      <c r="D674" s="6" t="s">
        <v>1061</v>
      </c>
      <c r="E674" s="6">
        <v>7470776</v>
      </c>
      <c r="F674" s="6" t="s">
        <v>95</v>
      </c>
      <c r="G674" s="6" t="s">
        <v>1262</v>
      </c>
      <c r="H674" s="6" t="s">
        <v>1284</v>
      </c>
      <c r="I674" s="7">
        <v>45566</v>
      </c>
      <c r="J674" s="7">
        <v>45992</v>
      </c>
      <c r="K674" s="6" t="s">
        <v>51</v>
      </c>
      <c r="L674" s="6" t="s">
        <v>52</v>
      </c>
      <c r="M674" s="8">
        <v>1</v>
      </c>
      <c r="N674" s="8">
        <v>1</v>
      </c>
      <c r="O674" s="6"/>
      <c r="P674" s="8">
        <v>25.5</v>
      </c>
      <c r="Q674" s="6" t="s">
        <v>1272</v>
      </c>
      <c r="R674" s="6" t="s">
        <v>2449</v>
      </c>
      <c r="S674" s="6" t="s">
        <v>2448</v>
      </c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</row>
    <row r="675" spans="1:40" x14ac:dyDescent="0.25">
      <c r="A675" s="5" t="s">
        <v>2342</v>
      </c>
      <c r="B675" s="5" t="str">
        <f t="shared" si="14"/>
        <v>00022052067K1</v>
      </c>
      <c r="C675" s="6" t="s">
        <v>1341</v>
      </c>
      <c r="D675" s="6" t="s">
        <v>1061</v>
      </c>
      <c r="E675" s="6">
        <v>7470776</v>
      </c>
      <c r="F675" s="6" t="s">
        <v>95</v>
      </c>
      <c r="G675" s="6" t="s">
        <v>1262</v>
      </c>
      <c r="H675" s="6" t="s">
        <v>1284</v>
      </c>
      <c r="I675" s="7">
        <v>45566</v>
      </c>
      <c r="J675" s="7">
        <v>45992</v>
      </c>
      <c r="K675" s="6" t="s">
        <v>51</v>
      </c>
      <c r="L675" s="6" t="s">
        <v>52</v>
      </c>
      <c r="M675" s="8">
        <v>1</v>
      </c>
      <c r="N675" s="8">
        <v>1</v>
      </c>
      <c r="O675" s="6"/>
      <c r="P675" s="8">
        <v>25.5</v>
      </c>
      <c r="Q675" s="6" t="s">
        <v>1272</v>
      </c>
      <c r="R675" s="6" t="s">
        <v>2449</v>
      </c>
      <c r="S675" s="6" t="s">
        <v>2448</v>
      </c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</row>
    <row r="676" spans="1:40" x14ac:dyDescent="0.25">
      <c r="A676" s="5" t="s">
        <v>2324</v>
      </c>
      <c r="B676" s="5" t="str">
        <f t="shared" si="14"/>
        <v>00021973839K1</v>
      </c>
      <c r="C676" s="6" t="s">
        <v>1323</v>
      </c>
      <c r="D676" s="6" t="s">
        <v>1061</v>
      </c>
      <c r="E676" s="6">
        <v>7470776</v>
      </c>
      <c r="F676" s="6" t="s">
        <v>95</v>
      </c>
      <c r="G676" s="6" t="s">
        <v>49</v>
      </c>
      <c r="H676" s="6" t="s">
        <v>1284</v>
      </c>
      <c r="I676" s="7">
        <v>45536</v>
      </c>
      <c r="J676" s="7">
        <v>45992</v>
      </c>
      <c r="K676" s="6" t="s">
        <v>51</v>
      </c>
      <c r="L676" s="6" t="s">
        <v>52</v>
      </c>
      <c r="M676" s="8">
        <v>1</v>
      </c>
      <c r="N676" s="8">
        <v>1</v>
      </c>
      <c r="O676" s="6"/>
      <c r="P676" s="8">
        <v>25.5</v>
      </c>
      <c r="Q676" s="6" t="s">
        <v>1272</v>
      </c>
      <c r="R676" s="6" t="s">
        <v>2449</v>
      </c>
      <c r="S676" s="6" t="s">
        <v>2448</v>
      </c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</row>
    <row r="677" spans="1:40" x14ac:dyDescent="0.25">
      <c r="A677" s="5" t="s">
        <v>2328</v>
      </c>
      <c r="B677" s="5" t="str">
        <f t="shared" si="14"/>
        <v>00022004915K1</v>
      </c>
      <c r="C677" s="6" t="s">
        <v>1327</v>
      </c>
      <c r="D677" s="6" t="s">
        <v>1061</v>
      </c>
      <c r="E677" s="6">
        <v>7470776</v>
      </c>
      <c r="F677" s="6" t="s">
        <v>95</v>
      </c>
      <c r="G677" s="6" t="s">
        <v>49</v>
      </c>
      <c r="H677" s="6" t="s">
        <v>1284</v>
      </c>
      <c r="I677" s="7">
        <v>45536</v>
      </c>
      <c r="J677" s="7">
        <v>45992</v>
      </c>
      <c r="K677" s="6" t="s">
        <v>51</v>
      </c>
      <c r="L677" s="6" t="s">
        <v>52</v>
      </c>
      <c r="M677" s="8">
        <v>1</v>
      </c>
      <c r="N677" s="8">
        <v>1</v>
      </c>
      <c r="O677" s="6"/>
      <c r="P677" s="8">
        <v>25.5</v>
      </c>
      <c r="Q677" s="6" t="s">
        <v>1272</v>
      </c>
      <c r="R677" s="6" t="s">
        <v>2449</v>
      </c>
      <c r="S677" s="6" t="s">
        <v>2448</v>
      </c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</row>
    <row r="678" spans="1:40" x14ac:dyDescent="0.25">
      <c r="A678" s="5" t="s">
        <v>2305</v>
      </c>
      <c r="B678" s="5" t="str">
        <f t="shared" si="14"/>
        <v>00021895977K1</v>
      </c>
      <c r="C678" s="6" t="s">
        <v>1304</v>
      </c>
      <c r="D678" s="6" t="s">
        <v>1061</v>
      </c>
      <c r="E678" s="6">
        <v>7470776</v>
      </c>
      <c r="F678" s="6" t="s">
        <v>95</v>
      </c>
      <c r="G678" s="6" t="s">
        <v>49</v>
      </c>
      <c r="H678" s="6" t="s">
        <v>1284</v>
      </c>
      <c r="I678" s="7">
        <v>45505</v>
      </c>
      <c r="J678" s="7">
        <v>45992</v>
      </c>
      <c r="K678" s="6" t="s">
        <v>51</v>
      </c>
      <c r="L678" s="6" t="s">
        <v>52</v>
      </c>
      <c r="M678" s="8">
        <v>1</v>
      </c>
      <c r="N678" s="8">
        <v>1</v>
      </c>
      <c r="O678" s="6"/>
      <c r="P678" s="8">
        <v>25.5</v>
      </c>
      <c r="Q678" s="6" t="s">
        <v>1272</v>
      </c>
      <c r="R678" s="6" t="s">
        <v>2449</v>
      </c>
      <c r="S678" s="6" t="s">
        <v>2448</v>
      </c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</row>
    <row r="679" spans="1:40" x14ac:dyDescent="0.25">
      <c r="A679" s="5" t="s">
        <v>2309</v>
      </c>
      <c r="B679" s="5" t="str">
        <f t="shared" si="14"/>
        <v>00021917176K1</v>
      </c>
      <c r="C679" s="6" t="s">
        <v>1308</v>
      </c>
      <c r="D679" s="6" t="s">
        <v>1061</v>
      </c>
      <c r="E679" s="6">
        <v>7470776</v>
      </c>
      <c r="F679" s="6" t="s">
        <v>95</v>
      </c>
      <c r="G679" s="6" t="s">
        <v>49</v>
      </c>
      <c r="H679" s="6" t="s">
        <v>1284</v>
      </c>
      <c r="I679" s="7">
        <v>45505</v>
      </c>
      <c r="J679" s="7">
        <v>45992</v>
      </c>
      <c r="K679" s="6" t="s">
        <v>51</v>
      </c>
      <c r="L679" s="6" t="s">
        <v>52</v>
      </c>
      <c r="M679" s="8">
        <v>1</v>
      </c>
      <c r="N679" s="8">
        <v>1</v>
      </c>
      <c r="O679" s="6"/>
      <c r="P679" s="8">
        <v>25.5</v>
      </c>
      <c r="Q679" s="6" t="s">
        <v>1272</v>
      </c>
      <c r="R679" s="6" t="s">
        <v>2449</v>
      </c>
      <c r="S679" s="6" t="s">
        <v>2448</v>
      </c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</row>
    <row r="680" spans="1:40" x14ac:dyDescent="0.25">
      <c r="A680" s="5" t="s">
        <v>2275</v>
      </c>
      <c r="B680" s="5" t="str">
        <f t="shared" si="14"/>
        <v>00020054580K1</v>
      </c>
      <c r="C680" s="6" t="s">
        <v>1270</v>
      </c>
      <c r="D680" s="6" t="s">
        <v>1061</v>
      </c>
      <c r="E680" s="6">
        <v>7470776</v>
      </c>
      <c r="F680" s="6" t="s">
        <v>95</v>
      </c>
      <c r="G680" s="6" t="s">
        <v>49</v>
      </c>
      <c r="H680" s="6" t="s">
        <v>1271</v>
      </c>
      <c r="I680" s="7">
        <v>45505</v>
      </c>
      <c r="J680" s="7">
        <v>45992</v>
      </c>
      <c r="K680" s="6" t="s">
        <v>51</v>
      </c>
      <c r="L680" s="6" t="s">
        <v>52</v>
      </c>
      <c r="M680" s="8">
        <v>1</v>
      </c>
      <c r="N680" s="8">
        <v>1</v>
      </c>
      <c r="O680" s="6"/>
      <c r="P680" s="8">
        <v>25.5</v>
      </c>
      <c r="Q680" s="6" t="s">
        <v>1272</v>
      </c>
      <c r="R680" s="6" t="s">
        <v>2449</v>
      </c>
      <c r="S680" s="6" t="s">
        <v>2448</v>
      </c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</row>
    <row r="681" spans="1:40" x14ac:dyDescent="0.25">
      <c r="A681" s="5" t="s">
        <v>2289</v>
      </c>
      <c r="B681" s="5" t="str">
        <f t="shared" si="14"/>
        <v>00021836561K1</v>
      </c>
      <c r="C681" s="6" t="s">
        <v>1286</v>
      </c>
      <c r="D681" s="6" t="s">
        <v>1061</v>
      </c>
      <c r="E681" s="6">
        <v>7470776</v>
      </c>
      <c r="F681" s="6" t="s">
        <v>95</v>
      </c>
      <c r="G681" s="6" t="s">
        <v>49</v>
      </c>
      <c r="H681" s="6" t="s">
        <v>1284</v>
      </c>
      <c r="I681" s="7">
        <v>45474</v>
      </c>
      <c r="J681" s="7">
        <v>45992</v>
      </c>
      <c r="K681" s="6" t="s">
        <v>51</v>
      </c>
      <c r="L681" s="6" t="s">
        <v>52</v>
      </c>
      <c r="M681" s="8">
        <v>1</v>
      </c>
      <c r="N681" s="8">
        <v>1</v>
      </c>
      <c r="O681" s="6"/>
      <c r="P681" s="8">
        <v>25.5</v>
      </c>
      <c r="Q681" s="6" t="s">
        <v>1272</v>
      </c>
      <c r="R681" s="6" t="s">
        <v>2449</v>
      </c>
      <c r="S681" s="6" t="s">
        <v>2448</v>
      </c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</row>
    <row r="682" spans="1:40" x14ac:dyDescent="0.25">
      <c r="A682" s="5" t="s">
        <v>2290</v>
      </c>
      <c r="B682" s="5" t="str">
        <f t="shared" si="14"/>
        <v>00021836597K1</v>
      </c>
      <c r="C682" s="6" t="s">
        <v>1287</v>
      </c>
      <c r="D682" s="6" t="s">
        <v>1061</v>
      </c>
      <c r="E682" s="6">
        <v>7470776</v>
      </c>
      <c r="F682" s="6" t="s">
        <v>95</v>
      </c>
      <c r="G682" s="6" t="s">
        <v>49</v>
      </c>
      <c r="H682" s="6" t="s">
        <v>1284</v>
      </c>
      <c r="I682" s="7">
        <v>45474</v>
      </c>
      <c r="J682" s="7">
        <v>45992</v>
      </c>
      <c r="K682" s="6" t="s">
        <v>51</v>
      </c>
      <c r="L682" s="6" t="s">
        <v>52</v>
      </c>
      <c r="M682" s="8">
        <v>1</v>
      </c>
      <c r="N682" s="8">
        <v>1</v>
      </c>
      <c r="O682" s="6"/>
      <c r="P682" s="8">
        <v>25.5</v>
      </c>
      <c r="Q682" s="6" t="s">
        <v>1272</v>
      </c>
      <c r="R682" s="6" t="s">
        <v>2449</v>
      </c>
      <c r="S682" s="6" t="s">
        <v>2448</v>
      </c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</row>
    <row r="683" spans="1:40" x14ac:dyDescent="0.25">
      <c r="A683" s="5" t="s">
        <v>2295</v>
      </c>
      <c r="B683" s="5" t="str">
        <f t="shared" si="14"/>
        <v>00021865984K1</v>
      </c>
      <c r="C683" s="6" t="s">
        <v>1293</v>
      </c>
      <c r="D683" s="6"/>
      <c r="E683" s="6">
        <v>7470776</v>
      </c>
      <c r="F683" s="6" t="s">
        <v>95</v>
      </c>
      <c r="G683" s="6" t="s">
        <v>49</v>
      </c>
      <c r="H683" s="6" t="s">
        <v>1284</v>
      </c>
      <c r="I683" s="7">
        <v>45474</v>
      </c>
      <c r="J683" s="7">
        <v>45992</v>
      </c>
      <c r="K683" s="6" t="s">
        <v>51</v>
      </c>
      <c r="L683" s="6" t="s">
        <v>52</v>
      </c>
      <c r="M683" s="8">
        <v>1</v>
      </c>
      <c r="N683" s="8">
        <v>1</v>
      </c>
      <c r="O683" s="6"/>
      <c r="P683" s="8">
        <v>25.5</v>
      </c>
      <c r="Q683" s="6" t="s">
        <v>1272</v>
      </c>
      <c r="R683" s="6" t="s">
        <v>2449</v>
      </c>
      <c r="S683" s="6" t="s">
        <v>2448</v>
      </c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</row>
    <row r="684" spans="1:40" x14ac:dyDescent="0.25">
      <c r="A684" s="5" t="s">
        <v>2300</v>
      </c>
      <c r="B684" s="5" t="str">
        <f t="shared" si="14"/>
        <v>00021882434K1</v>
      </c>
      <c r="C684" s="6" t="s">
        <v>1298</v>
      </c>
      <c r="D684" s="6" t="s">
        <v>1061</v>
      </c>
      <c r="E684" s="6">
        <v>7470776</v>
      </c>
      <c r="F684" s="6" t="s">
        <v>95</v>
      </c>
      <c r="G684" s="6" t="s">
        <v>49</v>
      </c>
      <c r="H684" s="6" t="s">
        <v>1284</v>
      </c>
      <c r="I684" s="7">
        <v>45474</v>
      </c>
      <c r="J684" s="7">
        <v>45992</v>
      </c>
      <c r="K684" s="6" t="s">
        <v>51</v>
      </c>
      <c r="L684" s="6" t="s">
        <v>52</v>
      </c>
      <c r="M684" s="8">
        <v>1</v>
      </c>
      <c r="N684" s="8">
        <v>1</v>
      </c>
      <c r="O684" s="6"/>
      <c r="P684" s="8">
        <v>25.5</v>
      </c>
      <c r="Q684" s="6" t="s">
        <v>1272</v>
      </c>
      <c r="R684" s="6" t="s">
        <v>2449</v>
      </c>
      <c r="S684" s="6" t="s">
        <v>2448</v>
      </c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</row>
    <row r="685" spans="1:40" x14ac:dyDescent="0.25">
      <c r="A685" s="5" t="s">
        <v>2302</v>
      </c>
      <c r="B685" s="5" t="str">
        <f t="shared" si="14"/>
        <v>00021884516K1</v>
      </c>
      <c r="C685" s="6" t="s">
        <v>1300</v>
      </c>
      <c r="D685" s="6" t="s">
        <v>1061</v>
      </c>
      <c r="E685" s="6">
        <v>7470776</v>
      </c>
      <c r="F685" s="6" t="s">
        <v>95</v>
      </c>
      <c r="G685" s="6" t="s">
        <v>49</v>
      </c>
      <c r="H685" s="6" t="s">
        <v>1271</v>
      </c>
      <c r="I685" s="7">
        <v>45474</v>
      </c>
      <c r="J685" s="7">
        <v>45992</v>
      </c>
      <c r="K685" s="6" t="s">
        <v>51</v>
      </c>
      <c r="L685" s="6" t="s">
        <v>52</v>
      </c>
      <c r="M685" s="8">
        <v>1</v>
      </c>
      <c r="N685" s="8">
        <v>1</v>
      </c>
      <c r="O685" s="6"/>
      <c r="P685" s="8">
        <v>25.5</v>
      </c>
      <c r="Q685" s="6" t="s">
        <v>1272</v>
      </c>
      <c r="R685" s="6" t="s">
        <v>2449</v>
      </c>
      <c r="S685" s="6" t="s">
        <v>2448</v>
      </c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</row>
    <row r="686" spans="1:40" x14ac:dyDescent="0.25">
      <c r="A686" s="5" t="s">
        <v>2293</v>
      </c>
      <c r="B686" s="5" t="str">
        <f t="shared" si="14"/>
        <v>00021853815K1</v>
      </c>
      <c r="C686" s="6" t="s">
        <v>1291</v>
      </c>
      <c r="D686" s="6" t="s">
        <v>1061</v>
      </c>
      <c r="E686" s="6">
        <v>7146581</v>
      </c>
      <c r="F686" s="6" t="s">
        <v>67</v>
      </c>
      <c r="G686" s="6" t="s">
        <v>49</v>
      </c>
      <c r="H686" s="6" t="s">
        <v>1284</v>
      </c>
      <c r="I686" s="7">
        <v>45474</v>
      </c>
      <c r="J686" s="7">
        <v>45992</v>
      </c>
      <c r="K686" s="6" t="s">
        <v>51</v>
      </c>
      <c r="L686" s="6" t="s">
        <v>52</v>
      </c>
      <c r="M686" s="8">
        <v>1</v>
      </c>
      <c r="N686" s="8">
        <v>1</v>
      </c>
      <c r="O686" s="6"/>
      <c r="P686" s="8">
        <v>25.5</v>
      </c>
      <c r="Q686" s="6" t="s">
        <v>1272</v>
      </c>
      <c r="R686" s="6" t="s">
        <v>2449</v>
      </c>
      <c r="S686" s="6" t="s">
        <v>2448</v>
      </c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</row>
    <row r="687" spans="1:40" x14ac:dyDescent="0.25">
      <c r="A687" s="5" t="s">
        <v>2291</v>
      </c>
      <c r="B687" s="5" t="str">
        <f t="shared" si="14"/>
        <v>00021852153K1</v>
      </c>
      <c r="C687" s="6" t="s">
        <v>1288</v>
      </c>
      <c r="D687" s="6" t="s">
        <v>1061</v>
      </c>
      <c r="E687" s="6">
        <v>7146581</v>
      </c>
      <c r="F687" s="6" t="s">
        <v>67</v>
      </c>
      <c r="G687" s="6" t="s">
        <v>49</v>
      </c>
      <c r="H687" s="6" t="s">
        <v>1289</v>
      </c>
      <c r="I687" s="7">
        <v>45474</v>
      </c>
      <c r="J687" s="7">
        <v>45992</v>
      </c>
      <c r="K687" s="6" t="s">
        <v>51</v>
      </c>
      <c r="L687" s="6" t="s">
        <v>52</v>
      </c>
      <c r="M687" s="8">
        <v>1</v>
      </c>
      <c r="N687" s="8">
        <v>1</v>
      </c>
      <c r="O687" s="6"/>
      <c r="P687" s="8">
        <v>25.5</v>
      </c>
      <c r="Q687" s="6" t="s">
        <v>1272</v>
      </c>
      <c r="R687" s="6" t="s">
        <v>2449</v>
      </c>
      <c r="S687" s="6" t="s">
        <v>2448</v>
      </c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</row>
    <row r="688" spans="1:40" x14ac:dyDescent="0.25">
      <c r="A688" s="5" t="s">
        <v>2292</v>
      </c>
      <c r="B688" s="5" t="str">
        <f t="shared" si="14"/>
        <v>00021853327K1</v>
      </c>
      <c r="C688" s="6" t="s">
        <v>1290</v>
      </c>
      <c r="D688" s="6" t="s">
        <v>1061</v>
      </c>
      <c r="E688" s="6">
        <v>8814784</v>
      </c>
      <c r="F688" s="6" t="s">
        <v>84</v>
      </c>
      <c r="G688" s="6" t="s">
        <v>49</v>
      </c>
      <c r="H688" s="6" t="s">
        <v>1284</v>
      </c>
      <c r="I688" s="7">
        <v>45474</v>
      </c>
      <c r="J688" s="7">
        <v>45992</v>
      </c>
      <c r="K688" s="6" t="s">
        <v>51</v>
      </c>
      <c r="L688" s="6" t="s">
        <v>52</v>
      </c>
      <c r="M688" s="8">
        <v>1</v>
      </c>
      <c r="N688" s="8">
        <v>1</v>
      </c>
      <c r="O688" s="6"/>
      <c r="P688" s="8">
        <v>25.5</v>
      </c>
      <c r="Q688" s="6" t="s">
        <v>1272</v>
      </c>
      <c r="R688" s="6" t="s">
        <v>2449</v>
      </c>
      <c r="S688" s="6" t="s">
        <v>2448</v>
      </c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</row>
    <row r="689" spans="1:40" x14ac:dyDescent="0.25">
      <c r="A689" s="5" t="s">
        <v>2294</v>
      </c>
      <c r="B689" s="5" t="str">
        <f t="shared" si="14"/>
        <v>00021859258K1</v>
      </c>
      <c r="C689" s="6" t="s">
        <v>1292</v>
      </c>
      <c r="D689" s="6" t="s">
        <v>1061</v>
      </c>
      <c r="E689" s="6">
        <v>19200754</v>
      </c>
      <c r="F689" s="6" t="s">
        <v>176</v>
      </c>
      <c r="G689" s="6" t="s">
        <v>49</v>
      </c>
      <c r="H689" s="6" t="s">
        <v>1284</v>
      </c>
      <c r="I689" s="7">
        <v>45474</v>
      </c>
      <c r="J689" s="7">
        <v>45992</v>
      </c>
      <c r="K689" s="6" t="s">
        <v>51</v>
      </c>
      <c r="L689" s="6" t="s">
        <v>52</v>
      </c>
      <c r="M689" s="8">
        <v>1</v>
      </c>
      <c r="N689" s="8">
        <v>1</v>
      </c>
      <c r="O689" s="6"/>
      <c r="P689" s="8">
        <v>25.5</v>
      </c>
      <c r="Q689" s="6" t="s">
        <v>1272</v>
      </c>
      <c r="R689" s="6" t="s">
        <v>2449</v>
      </c>
      <c r="S689" s="6" t="s">
        <v>2448</v>
      </c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</row>
    <row r="690" spans="1:40" x14ac:dyDescent="0.25">
      <c r="A690" s="5" t="s">
        <v>2287</v>
      </c>
      <c r="B690" s="5" t="str">
        <f t="shared" si="14"/>
        <v>00021812164K1</v>
      </c>
      <c r="C690" s="6" t="s">
        <v>1283</v>
      </c>
      <c r="D690" s="6" t="s">
        <v>1061</v>
      </c>
      <c r="E690" s="6">
        <v>9213293</v>
      </c>
      <c r="F690" s="6" t="s">
        <v>48</v>
      </c>
      <c r="G690" s="6" t="s">
        <v>49</v>
      </c>
      <c r="H690" s="6" t="s">
        <v>1284</v>
      </c>
      <c r="I690" s="7">
        <v>45444</v>
      </c>
      <c r="J690" s="7">
        <v>45992</v>
      </c>
      <c r="K690" s="6" t="s">
        <v>51</v>
      </c>
      <c r="L690" s="6" t="s">
        <v>52</v>
      </c>
      <c r="M690" s="8">
        <v>1</v>
      </c>
      <c r="N690" s="8">
        <v>1</v>
      </c>
      <c r="O690" s="6"/>
      <c r="P690" s="8">
        <v>25.5</v>
      </c>
      <c r="Q690" s="6" t="s">
        <v>1272</v>
      </c>
      <c r="R690" s="6" t="s">
        <v>2449</v>
      </c>
      <c r="S690" s="6" t="s">
        <v>2448</v>
      </c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</row>
    <row r="691" spans="1:40" x14ac:dyDescent="0.25">
      <c r="A691" s="5" t="s">
        <v>2288</v>
      </c>
      <c r="B691" s="5" t="str">
        <f t="shared" si="14"/>
        <v>00021819613K1</v>
      </c>
      <c r="C691" s="6" t="s">
        <v>1285</v>
      </c>
      <c r="D691" s="6" t="s">
        <v>1061</v>
      </c>
      <c r="E691" s="6">
        <v>8244481</v>
      </c>
      <c r="F691" s="6" t="s">
        <v>480</v>
      </c>
      <c r="G691" s="6" t="s">
        <v>49</v>
      </c>
      <c r="H691" s="6" t="s">
        <v>1284</v>
      </c>
      <c r="I691" s="7">
        <v>45444</v>
      </c>
      <c r="J691" s="7">
        <v>45992</v>
      </c>
      <c r="K691" s="6" t="s">
        <v>51</v>
      </c>
      <c r="L691" s="6" t="s">
        <v>52</v>
      </c>
      <c r="M691" s="8">
        <v>1</v>
      </c>
      <c r="N691" s="8">
        <v>1</v>
      </c>
      <c r="O691" s="6"/>
      <c r="P691" s="8">
        <v>25.5</v>
      </c>
      <c r="Q691" s="6" t="s">
        <v>1272</v>
      </c>
      <c r="R691" s="6" t="s">
        <v>2449</v>
      </c>
      <c r="S691" s="6" t="s">
        <v>2448</v>
      </c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</row>
    <row r="692" spans="1:40" x14ac:dyDescent="0.25">
      <c r="A692" s="4" t="s">
        <v>2399</v>
      </c>
      <c r="B692" s="4" t="str">
        <f t="shared" ref="B692:B755" si="15">CONCATENATE(A692,"OVR")</f>
        <v>352W10665OVR</v>
      </c>
      <c r="C692" t="s">
        <v>1797</v>
      </c>
      <c r="D692" t="s">
        <v>1061</v>
      </c>
      <c r="E692">
        <v>20411454</v>
      </c>
      <c r="F692" t="s">
        <v>2477</v>
      </c>
      <c r="G692" t="s">
        <v>49</v>
      </c>
      <c r="H692" t="s">
        <v>1794</v>
      </c>
      <c r="I692" s="1">
        <v>45809</v>
      </c>
      <c r="J692" s="1">
        <v>45992</v>
      </c>
      <c r="K692" t="s">
        <v>51</v>
      </c>
      <c r="L692" t="s">
        <v>52</v>
      </c>
      <c r="M692" s="2">
        <v>1</v>
      </c>
      <c r="N692" s="2">
        <v>1</v>
      </c>
      <c r="P692" s="2">
        <v>7</v>
      </c>
      <c r="Q692" t="s">
        <v>1795</v>
      </c>
      <c r="R692" t="s">
        <v>2446</v>
      </c>
    </row>
    <row r="693" spans="1:40" x14ac:dyDescent="0.25">
      <c r="A693" s="4" t="s">
        <v>2397</v>
      </c>
      <c r="B693" s="4" t="str">
        <f t="shared" si="15"/>
        <v>140W10931OVR</v>
      </c>
      <c r="C693" t="s">
        <v>1793</v>
      </c>
      <c r="D693" t="s">
        <v>1061</v>
      </c>
      <c r="E693">
        <v>20411454</v>
      </c>
      <c r="F693" t="s">
        <v>2477</v>
      </c>
      <c r="G693" t="s">
        <v>49</v>
      </c>
      <c r="H693" t="s">
        <v>1794</v>
      </c>
      <c r="I693" s="1">
        <v>45717</v>
      </c>
      <c r="J693" s="1">
        <v>45992</v>
      </c>
      <c r="K693" t="s">
        <v>51</v>
      </c>
      <c r="L693" t="s">
        <v>52</v>
      </c>
      <c r="M693" s="2">
        <v>1</v>
      </c>
      <c r="N693" s="2">
        <v>1</v>
      </c>
      <c r="P693" s="2">
        <v>7</v>
      </c>
      <c r="Q693" t="s">
        <v>1795</v>
      </c>
      <c r="R693" t="s">
        <v>2446</v>
      </c>
    </row>
    <row r="694" spans="1:40" x14ac:dyDescent="0.25">
      <c r="A694" s="4" t="s">
        <v>2398</v>
      </c>
      <c r="B694" s="4" t="str">
        <f t="shared" si="15"/>
        <v>283W17578OVR</v>
      </c>
      <c r="C694" t="s">
        <v>1796</v>
      </c>
      <c r="D694" t="s">
        <v>1061</v>
      </c>
      <c r="E694">
        <v>20411454</v>
      </c>
      <c r="F694" t="s">
        <v>2477</v>
      </c>
      <c r="G694" t="s">
        <v>49</v>
      </c>
      <c r="H694" t="s">
        <v>1794</v>
      </c>
      <c r="I694" s="1">
        <v>45658</v>
      </c>
      <c r="J694" s="1">
        <v>45992</v>
      </c>
      <c r="K694" t="s">
        <v>51</v>
      </c>
      <c r="L694" t="s">
        <v>52</v>
      </c>
      <c r="M694" s="2">
        <v>1</v>
      </c>
      <c r="N694" s="2">
        <v>1</v>
      </c>
      <c r="P694" s="2">
        <v>7</v>
      </c>
      <c r="Q694" t="s">
        <v>1795</v>
      </c>
      <c r="R694" t="s">
        <v>2446</v>
      </c>
    </row>
    <row r="695" spans="1:40" x14ac:dyDescent="0.25">
      <c r="A695" s="4" t="s">
        <v>2401</v>
      </c>
      <c r="B695" s="4" t="str">
        <f t="shared" si="15"/>
        <v>829W21544OVR</v>
      </c>
      <c r="C695" t="s">
        <v>1800</v>
      </c>
      <c r="E695">
        <v>20411454</v>
      </c>
      <c r="F695" t="s">
        <v>2477</v>
      </c>
      <c r="G695" t="s">
        <v>49</v>
      </c>
      <c r="H695" t="s">
        <v>1799</v>
      </c>
      <c r="I695" s="1">
        <v>45597</v>
      </c>
      <c r="J695" s="1">
        <v>45992</v>
      </c>
      <c r="K695" t="s">
        <v>51</v>
      </c>
      <c r="L695" t="s">
        <v>52</v>
      </c>
      <c r="M695" s="2">
        <v>1</v>
      </c>
      <c r="N695" s="2">
        <v>1</v>
      </c>
      <c r="P695" s="2">
        <v>12.5</v>
      </c>
      <c r="Q695" t="s">
        <v>1795</v>
      </c>
      <c r="R695" t="s">
        <v>2446</v>
      </c>
    </row>
    <row r="696" spans="1:40" x14ac:dyDescent="0.25">
      <c r="A696" s="4" t="s">
        <v>2400</v>
      </c>
      <c r="B696" s="4" t="str">
        <f t="shared" si="15"/>
        <v>614W13756OVR</v>
      </c>
      <c r="C696" t="s">
        <v>1798</v>
      </c>
      <c r="E696">
        <v>20411454</v>
      </c>
      <c r="F696" t="s">
        <v>2477</v>
      </c>
      <c r="G696" t="s">
        <v>1262</v>
      </c>
      <c r="H696" t="s">
        <v>1799</v>
      </c>
      <c r="I696" s="1">
        <v>45566</v>
      </c>
      <c r="J696" s="1">
        <v>45992</v>
      </c>
      <c r="K696" t="s">
        <v>51</v>
      </c>
      <c r="L696" t="s">
        <v>52</v>
      </c>
      <c r="M696" s="2">
        <v>2</v>
      </c>
      <c r="N696" s="2">
        <v>2</v>
      </c>
      <c r="P696" s="2">
        <v>14</v>
      </c>
      <c r="Q696" t="s">
        <v>1795</v>
      </c>
      <c r="R696" t="s">
        <v>2446</v>
      </c>
    </row>
    <row r="697" spans="1:40" x14ac:dyDescent="0.25">
      <c r="A697" s="4" t="s">
        <v>2403</v>
      </c>
      <c r="B697" s="4" t="str">
        <f t="shared" si="15"/>
        <v>948W21216OVR</v>
      </c>
      <c r="C697" t="s">
        <v>1812</v>
      </c>
      <c r="E697">
        <v>20411454</v>
      </c>
      <c r="F697" t="s">
        <v>2477</v>
      </c>
      <c r="G697" t="s">
        <v>49</v>
      </c>
      <c r="H697" t="s">
        <v>1799</v>
      </c>
      <c r="I697" s="1">
        <v>45536</v>
      </c>
      <c r="J697" s="1">
        <v>45992</v>
      </c>
      <c r="K697" t="s">
        <v>51</v>
      </c>
      <c r="L697" t="s">
        <v>52</v>
      </c>
      <c r="M697" s="2">
        <v>2</v>
      </c>
      <c r="N697" s="2">
        <v>2</v>
      </c>
      <c r="P697" s="2">
        <v>14</v>
      </c>
      <c r="Q697" t="s">
        <v>1795</v>
      </c>
      <c r="R697" t="s">
        <v>2446</v>
      </c>
    </row>
    <row r="698" spans="1:40" x14ac:dyDescent="0.25">
      <c r="A698" s="4">
        <v>101966955100</v>
      </c>
      <c r="B698" s="4" t="str">
        <f t="shared" si="15"/>
        <v>101966955100OVR</v>
      </c>
      <c r="C698" t="s">
        <v>1247</v>
      </c>
      <c r="D698" t="s">
        <v>1248</v>
      </c>
      <c r="E698">
        <v>20411454</v>
      </c>
      <c r="F698" t="s">
        <v>2477</v>
      </c>
      <c r="G698" t="s">
        <v>1204</v>
      </c>
      <c r="H698" t="s">
        <v>1238</v>
      </c>
      <c r="I698" s="1">
        <v>46023</v>
      </c>
      <c r="J698" s="1">
        <v>46054</v>
      </c>
      <c r="K698" t="s">
        <v>51</v>
      </c>
      <c r="L698" t="s">
        <v>52</v>
      </c>
      <c r="P698">
        <v>-48.34</v>
      </c>
      <c r="R698" t="s">
        <v>2445</v>
      </c>
    </row>
    <row r="699" spans="1:40" x14ac:dyDescent="0.25">
      <c r="A699" s="4">
        <v>101131798400</v>
      </c>
      <c r="B699" s="4" t="str">
        <f t="shared" si="15"/>
        <v>101131798400OVR</v>
      </c>
      <c r="C699" t="s">
        <v>963</v>
      </c>
      <c r="D699" t="s">
        <v>46</v>
      </c>
      <c r="E699">
        <v>20411454</v>
      </c>
      <c r="F699" t="s">
        <v>2477</v>
      </c>
      <c r="G699" t="s">
        <v>49</v>
      </c>
      <c r="H699" t="s">
        <v>964</v>
      </c>
      <c r="I699" s="1">
        <v>46023</v>
      </c>
      <c r="J699" s="1">
        <v>46054</v>
      </c>
      <c r="K699" t="s">
        <v>51</v>
      </c>
      <c r="L699" t="s">
        <v>52</v>
      </c>
      <c r="M699" s="2">
        <v>0</v>
      </c>
      <c r="N699" s="2">
        <v>25</v>
      </c>
      <c r="O699">
        <v>1</v>
      </c>
      <c r="P699" s="2">
        <v>25</v>
      </c>
      <c r="R699" t="s">
        <v>2445</v>
      </c>
    </row>
    <row r="700" spans="1:40" x14ac:dyDescent="0.25">
      <c r="A700" s="4">
        <v>101137276600</v>
      </c>
      <c r="B700" s="4" t="str">
        <f t="shared" si="15"/>
        <v>101137276600OVR</v>
      </c>
      <c r="C700" t="s">
        <v>966</v>
      </c>
      <c r="D700" t="s">
        <v>46</v>
      </c>
      <c r="E700">
        <v>20411454</v>
      </c>
      <c r="F700" t="s">
        <v>2477</v>
      </c>
      <c r="G700" t="s">
        <v>49</v>
      </c>
      <c r="H700" t="s">
        <v>964</v>
      </c>
      <c r="I700" s="1">
        <v>46023</v>
      </c>
      <c r="J700" s="1">
        <v>46054</v>
      </c>
      <c r="K700" t="s">
        <v>51</v>
      </c>
      <c r="L700" t="s">
        <v>52</v>
      </c>
      <c r="M700" s="2">
        <v>0</v>
      </c>
      <c r="N700" s="2">
        <v>25</v>
      </c>
      <c r="O700">
        <v>1</v>
      </c>
      <c r="P700" s="2">
        <v>25</v>
      </c>
      <c r="R700" t="s">
        <v>2445</v>
      </c>
    </row>
    <row r="701" spans="1:40" x14ac:dyDescent="0.25">
      <c r="A701" s="4">
        <v>102090618000</v>
      </c>
      <c r="B701" s="4" t="str">
        <f t="shared" si="15"/>
        <v>102090618000OVR</v>
      </c>
      <c r="C701" t="s">
        <v>968</v>
      </c>
      <c r="D701" t="s">
        <v>46</v>
      </c>
      <c r="E701">
        <v>20411454</v>
      </c>
      <c r="F701" t="s">
        <v>2477</v>
      </c>
      <c r="G701" t="s">
        <v>49</v>
      </c>
      <c r="H701" t="s">
        <v>964</v>
      </c>
      <c r="I701" s="1">
        <v>46023</v>
      </c>
      <c r="J701" s="1">
        <v>46054</v>
      </c>
      <c r="K701" t="s">
        <v>51</v>
      </c>
      <c r="L701" t="s">
        <v>52</v>
      </c>
      <c r="M701" s="2">
        <v>0</v>
      </c>
      <c r="N701" s="2">
        <v>25</v>
      </c>
      <c r="O701">
        <v>1</v>
      </c>
      <c r="P701" s="2">
        <v>25</v>
      </c>
      <c r="R701" t="s">
        <v>2445</v>
      </c>
    </row>
    <row r="702" spans="1:40" x14ac:dyDescent="0.25">
      <c r="A702" s="4">
        <v>102152552400</v>
      </c>
      <c r="B702" s="4" t="str">
        <f t="shared" si="15"/>
        <v>102152552400OVR</v>
      </c>
      <c r="C702" t="s">
        <v>970</v>
      </c>
      <c r="D702" t="s">
        <v>491</v>
      </c>
      <c r="E702">
        <v>20411454</v>
      </c>
      <c r="F702" t="s">
        <v>2477</v>
      </c>
      <c r="G702" t="s">
        <v>49</v>
      </c>
      <c r="H702" t="s">
        <v>964</v>
      </c>
      <c r="I702" s="1">
        <v>46023</v>
      </c>
      <c r="J702" s="1">
        <v>46054</v>
      </c>
      <c r="K702" t="s">
        <v>51</v>
      </c>
      <c r="L702" t="s">
        <v>52</v>
      </c>
      <c r="M702" s="2">
        <v>0</v>
      </c>
      <c r="N702" s="2">
        <v>25</v>
      </c>
      <c r="O702">
        <v>1</v>
      </c>
      <c r="P702" s="2">
        <v>25</v>
      </c>
      <c r="R702" t="s">
        <v>2445</v>
      </c>
    </row>
    <row r="703" spans="1:40" x14ac:dyDescent="0.25">
      <c r="A703" s="4">
        <v>102229932000</v>
      </c>
      <c r="B703" s="4" t="str">
        <f t="shared" si="15"/>
        <v>102229932000OVR</v>
      </c>
      <c r="C703" t="s">
        <v>978</v>
      </c>
      <c r="D703" t="s">
        <v>46</v>
      </c>
      <c r="E703">
        <v>20411454</v>
      </c>
      <c r="F703" t="s">
        <v>2477</v>
      </c>
      <c r="G703" t="s">
        <v>49</v>
      </c>
      <c r="H703" t="s">
        <v>964</v>
      </c>
      <c r="I703" s="1">
        <v>46023</v>
      </c>
      <c r="J703" s="1">
        <v>46054</v>
      </c>
      <c r="K703" t="s">
        <v>51</v>
      </c>
      <c r="L703" t="s">
        <v>52</v>
      </c>
      <c r="M703" s="2">
        <v>0</v>
      </c>
      <c r="N703" s="2">
        <v>25</v>
      </c>
      <c r="O703">
        <v>1</v>
      </c>
      <c r="P703" s="2">
        <v>25</v>
      </c>
      <c r="R703" t="s">
        <v>2445</v>
      </c>
    </row>
    <row r="704" spans="1:40" x14ac:dyDescent="0.25">
      <c r="A704" s="4">
        <v>102229934600</v>
      </c>
      <c r="B704" s="4" t="str">
        <f t="shared" si="15"/>
        <v>102229934600OVR</v>
      </c>
      <c r="C704" t="s">
        <v>980</v>
      </c>
      <c r="D704" t="s">
        <v>46</v>
      </c>
      <c r="E704">
        <v>20411454</v>
      </c>
      <c r="F704" t="s">
        <v>2477</v>
      </c>
      <c r="G704" t="s">
        <v>49</v>
      </c>
      <c r="H704" t="s">
        <v>964</v>
      </c>
      <c r="I704" s="1">
        <v>46023</v>
      </c>
      <c r="J704" s="1">
        <v>46054</v>
      </c>
      <c r="K704" t="s">
        <v>51</v>
      </c>
      <c r="L704" t="s">
        <v>52</v>
      </c>
      <c r="M704" s="2">
        <v>0</v>
      </c>
      <c r="N704" s="2">
        <v>25</v>
      </c>
      <c r="O704">
        <v>1</v>
      </c>
      <c r="P704" s="2">
        <v>25</v>
      </c>
      <c r="R704" t="s">
        <v>2445</v>
      </c>
    </row>
    <row r="705" spans="1:18" x14ac:dyDescent="0.25">
      <c r="A705" s="4">
        <v>102230014500</v>
      </c>
      <c r="B705" s="4" t="str">
        <f t="shared" si="15"/>
        <v>102230014500OVR</v>
      </c>
      <c r="C705" t="s">
        <v>982</v>
      </c>
      <c r="D705" t="s">
        <v>78</v>
      </c>
      <c r="E705">
        <v>20411454</v>
      </c>
      <c r="F705" t="s">
        <v>2477</v>
      </c>
      <c r="G705" t="s">
        <v>49</v>
      </c>
      <c r="H705" t="s">
        <v>964</v>
      </c>
      <c r="I705" s="1">
        <v>46023</v>
      </c>
      <c r="J705" s="1">
        <v>46054</v>
      </c>
      <c r="K705" t="s">
        <v>51</v>
      </c>
      <c r="L705" t="s">
        <v>52</v>
      </c>
      <c r="M705" s="2">
        <v>0</v>
      </c>
      <c r="N705" s="2">
        <v>25</v>
      </c>
      <c r="O705">
        <v>1</v>
      </c>
      <c r="P705" s="2">
        <v>25</v>
      </c>
      <c r="R705" t="s">
        <v>2445</v>
      </c>
    </row>
    <row r="706" spans="1:18" x14ac:dyDescent="0.25">
      <c r="A706" s="4">
        <v>102230025800</v>
      </c>
      <c r="B706" s="4" t="str">
        <f t="shared" si="15"/>
        <v>102230025800OVR</v>
      </c>
      <c r="C706" t="s">
        <v>984</v>
      </c>
      <c r="D706" t="s">
        <v>78</v>
      </c>
      <c r="E706">
        <v>20411454</v>
      </c>
      <c r="F706" t="s">
        <v>2477</v>
      </c>
      <c r="G706" t="s">
        <v>49</v>
      </c>
      <c r="H706" t="s">
        <v>964</v>
      </c>
      <c r="I706" s="1">
        <v>46023</v>
      </c>
      <c r="J706" s="1">
        <v>46054</v>
      </c>
      <c r="K706" t="s">
        <v>51</v>
      </c>
      <c r="L706" t="s">
        <v>52</v>
      </c>
      <c r="M706" s="2">
        <v>0</v>
      </c>
      <c r="N706" s="2">
        <v>25</v>
      </c>
      <c r="O706">
        <v>1</v>
      </c>
      <c r="P706" s="2">
        <v>25</v>
      </c>
      <c r="R706" t="s">
        <v>2445</v>
      </c>
    </row>
    <row r="707" spans="1:18" x14ac:dyDescent="0.25">
      <c r="A707" s="4">
        <v>102230090800</v>
      </c>
      <c r="B707" s="4" t="str">
        <f t="shared" si="15"/>
        <v>102230090800OVR</v>
      </c>
      <c r="C707" t="s">
        <v>986</v>
      </c>
      <c r="D707" t="s">
        <v>46</v>
      </c>
      <c r="E707">
        <v>20411454</v>
      </c>
      <c r="F707" t="s">
        <v>2477</v>
      </c>
      <c r="G707" t="s">
        <v>49</v>
      </c>
      <c r="H707" t="s">
        <v>964</v>
      </c>
      <c r="I707" s="1">
        <v>46023</v>
      </c>
      <c r="J707" s="1">
        <v>46054</v>
      </c>
      <c r="K707" t="s">
        <v>51</v>
      </c>
      <c r="L707" t="s">
        <v>52</v>
      </c>
      <c r="M707" s="2">
        <v>0</v>
      </c>
      <c r="N707" s="2">
        <v>25</v>
      </c>
      <c r="O707">
        <v>1</v>
      </c>
      <c r="P707" s="2">
        <v>25</v>
      </c>
      <c r="R707" t="s">
        <v>2445</v>
      </c>
    </row>
    <row r="708" spans="1:18" x14ac:dyDescent="0.25">
      <c r="A708" s="4">
        <v>102230117000</v>
      </c>
      <c r="B708" s="4" t="str">
        <f t="shared" si="15"/>
        <v>102230117000OVR</v>
      </c>
      <c r="C708" t="s">
        <v>988</v>
      </c>
      <c r="D708" t="s">
        <v>46</v>
      </c>
      <c r="E708">
        <v>20411454</v>
      </c>
      <c r="F708" t="s">
        <v>2477</v>
      </c>
      <c r="G708" t="s">
        <v>49</v>
      </c>
      <c r="H708" t="s">
        <v>964</v>
      </c>
      <c r="I708" s="1">
        <v>46023</v>
      </c>
      <c r="J708" s="1">
        <v>46054</v>
      </c>
      <c r="K708" t="s">
        <v>51</v>
      </c>
      <c r="L708" t="s">
        <v>52</v>
      </c>
      <c r="M708" s="2">
        <v>0</v>
      </c>
      <c r="N708" s="2">
        <v>25</v>
      </c>
      <c r="O708">
        <v>1</v>
      </c>
      <c r="P708" s="2">
        <v>25</v>
      </c>
      <c r="R708" t="s">
        <v>2445</v>
      </c>
    </row>
    <row r="709" spans="1:18" x14ac:dyDescent="0.25">
      <c r="A709" s="4">
        <v>102230203400</v>
      </c>
      <c r="B709" s="4" t="str">
        <f t="shared" si="15"/>
        <v>102230203400OVR</v>
      </c>
      <c r="C709" t="s">
        <v>990</v>
      </c>
      <c r="D709" t="s">
        <v>46</v>
      </c>
      <c r="E709">
        <v>20411454</v>
      </c>
      <c r="F709" t="s">
        <v>2477</v>
      </c>
      <c r="G709" t="s">
        <v>49</v>
      </c>
      <c r="H709" t="s">
        <v>964</v>
      </c>
      <c r="I709" s="1">
        <v>46023</v>
      </c>
      <c r="J709" s="1">
        <v>46054</v>
      </c>
      <c r="K709" t="s">
        <v>51</v>
      </c>
      <c r="L709" t="s">
        <v>52</v>
      </c>
      <c r="M709" s="2">
        <v>0</v>
      </c>
      <c r="N709" s="2">
        <v>25</v>
      </c>
      <c r="O709">
        <v>1</v>
      </c>
      <c r="P709" s="2">
        <v>25</v>
      </c>
      <c r="R709" t="s">
        <v>2445</v>
      </c>
    </row>
    <row r="710" spans="1:18" x14ac:dyDescent="0.25">
      <c r="A710" s="4">
        <v>102230278700</v>
      </c>
      <c r="B710" s="4" t="str">
        <f t="shared" si="15"/>
        <v>102230278700OVR</v>
      </c>
      <c r="C710" t="s">
        <v>992</v>
      </c>
      <c r="D710" t="s">
        <v>46</v>
      </c>
      <c r="E710">
        <v>20411454</v>
      </c>
      <c r="F710" t="s">
        <v>2477</v>
      </c>
      <c r="G710" t="s">
        <v>49</v>
      </c>
      <c r="H710" t="s">
        <v>964</v>
      </c>
      <c r="I710" s="1">
        <v>46023</v>
      </c>
      <c r="J710" s="1">
        <v>46054</v>
      </c>
      <c r="K710" t="s">
        <v>51</v>
      </c>
      <c r="L710" t="s">
        <v>52</v>
      </c>
      <c r="M710" s="2">
        <v>0</v>
      </c>
      <c r="N710" s="2">
        <v>25</v>
      </c>
      <c r="O710">
        <v>1</v>
      </c>
      <c r="P710" s="2">
        <v>25</v>
      </c>
      <c r="R710" t="s">
        <v>2445</v>
      </c>
    </row>
    <row r="711" spans="1:18" x14ac:dyDescent="0.25">
      <c r="A711" s="4">
        <v>102230319400</v>
      </c>
      <c r="B711" s="4" t="str">
        <f t="shared" si="15"/>
        <v>102230319400OVR</v>
      </c>
      <c r="C711" t="s">
        <v>994</v>
      </c>
      <c r="D711" t="s">
        <v>155</v>
      </c>
      <c r="E711">
        <v>20411454</v>
      </c>
      <c r="F711" t="s">
        <v>2477</v>
      </c>
      <c r="G711" t="s">
        <v>49</v>
      </c>
      <c r="H711" t="s">
        <v>964</v>
      </c>
      <c r="I711" s="1">
        <v>46023</v>
      </c>
      <c r="J711" s="1">
        <v>46054</v>
      </c>
      <c r="K711" t="s">
        <v>51</v>
      </c>
      <c r="L711" t="s">
        <v>52</v>
      </c>
      <c r="M711" s="2">
        <v>0</v>
      </c>
      <c r="N711" s="2">
        <v>25</v>
      </c>
      <c r="O711">
        <v>1</v>
      </c>
      <c r="P711" s="2">
        <v>25</v>
      </c>
      <c r="R711" t="s">
        <v>2445</v>
      </c>
    </row>
    <row r="712" spans="1:18" x14ac:dyDescent="0.25">
      <c r="A712" s="4">
        <v>102230343100</v>
      </c>
      <c r="B712" s="4" t="str">
        <f t="shared" si="15"/>
        <v>102230343100OVR</v>
      </c>
      <c r="C712" t="s">
        <v>998</v>
      </c>
      <c r="D712" t="s">
        <v>46</v>
      </c>
      <c r="E712">
        <v>20411454</v>
      </c>
      <c r="F712" t="s">
        <v>2477</v>
      </c>
      <c r="G712" t="s">
        <v>49</v>
      </c>
      <c r="H712" t="s">
        <v>964</v>
      </c>
      <c r="I712" s="1">
        <v>46023</v>
      </c>
      <c r="J712" s="1">
        <v>46054</v>
      </c>
      <c r="K712" t="s">
        <v>51</v>
      </c>
      <c r="L712" t="s">
        <v>52</v>
      </c>
      <c r="M712" s="2">
        <v>0</v>
      </c>
      <c r="N712" s="2">
        <v>25</v>
      </c>
      <c r="O712">
        <v>1</v>
      </c>
      <c r="P712" s="2">
        <v>25</v>
      </c>
      <c r="R712" t="s">
        <v>2445</v>
      </c>
    </row>
    <row r="713" spans="1:18" x14ac:dyDescent="0.25">
      <c r="A713" s="4">
        <v>102230347100</v>
      </c>
      <c r="B713" s="4" t="str">
        <f t="shared" si="15"/>
        <v>102230347100OVR</v>
      </c>
      <c r="C713" t="s">
        <v>1000</v>
      </c>
      <c r="D713" t="s">
        <v>46</v>
      </c>
      <c r="E713">
        <v>20411454</v>
      </c>
      <c r="F713" t="s">
        <v>2477</v>
      </c>
      <c r="G713" t="s">
        <v>49</v>
      </c>
      <c r="H713" t="s">
        <v>964</v>
      </c>
      <c r="I713" s="1">
        <v>46023</v>
      </c>
      <c r="J713" s="1">
        <v>46054</v>
      </c>
      <c r="K713" t="s">
        <v>51</v>
      </c>
      <c r="L713" t="s">
        <v>52</v>
      </c>
      <c r="M713" s="2">
        <v>0</v>
      </c>
      <c r="N713" s="2">
        <v>25</v>
      </c>
      <c r="O713">
        <v>1</v>
      </c>
      <c r="P713" s="2">
        <v>25</v>
      </c>
      <c r="R713" t="s">
        <v>2445</v>
      </c>
    </row>
    <row r="714" spans="1:18" x14ac:dyDescent="0.25">
      <c r="A714" s="4">
        <v>102230373800</v>
      </c>
      <c r="B714" s="4" t="str">
        <f t="shared" si="15"/>
        <v>102230373800OVR</v>
      </c>
      <c r="C714" t="s">
        <v>1002</v>
      </c>
      <c r="D714" t="s">
        <v>46</v>
      </c>
      <c r="E714">
        <v>20411454</v>
      </c>
      <c r="F714" t="s">
        <v>2477</v>
      </c>
      <c r="G714" t="s">
        <v>49</v>
      </c>
      <c r="H714" t="s">
        <v>964</v>
      </c>
      <c r="I714" s="1">
        <v>46023</v>
      </c>
      <c r="J714" s="1">
        <v>46054</v>
      </c>
      <c r="K714" t="s">
        <v>51</v>
      </c>
      <c r="L714" t="s">
        <v>52</v>
      </c>
      <c r="M714" s="2">
        <v>0</v>
      </c>
      <c r="N714" s="2">
        <v>25</v>
      </c>
      <c r="O714">
        <v>1</v>
      </c>
      <c r="P714" s="2">
        <v>25</v>
      </c>
      <c r="R714" t="s">
        <v>2445</v>
      </c>
    </row>
    <row r="715" spans="1:18" x14ac:dyDescent="0.25">
      <c r="A715" s="4">
        <v>102230700500</v>
      </c>
      <c r="B715" s="4" t="str">
        <f t="shared" si="15"/>
        <v>102230700500OVR</v>
      </c>
      <c r="C715" t="s">
        <v>1004</v>
      </c>
      <c r="D715" t="s">
        <v>46</v>
      </c>
      <c r="E715">
        <v>20411454</v>
      </c>
      <c r="F715" t="s">
        <v>2477</v>
      </c>
      <c r="G715" t="s">
        <v>49</v>
      </c>
      <c r="H715" t="s">
        <v>964</v>
      </c>
      <c r="I715" s="1">
        <v>46023</v>
      </c>
      <c r="J715" s="1">
        <v>46054</v>
      </c>
      <c r="K715" t="s">
        <v>51</v>
      </c>
      <c r="L715" t="s">
        <v>52</v>
      </c>
      <c r="M715" s="2">
        <v>0</v>
      </c>
      <c r="N715" s="2">
        <v>25</v>
      </c>
      <c r="O715">
        <v>1</v>
      </c>
      <c r="P715" s="2">
        <v>25</v>
      </c>
      <c r="R715" t="s">
        <v>2445</v>
      </c>
    </row>
    <row r="716" spans="1:18" x14ac:dyDescent="0.25">
      <c r="A716" s="4">
        <v>102230703000</v>
      </c>
      <c r="B716" s="4" t="str">
        <f t="shared" si="15"/>
        <v>102230703000OVR</v>
      </c>
      <c r="C716" t="s">
        <v>1006</v>
      </c>
      <c r="D716" t="s">
        <v>491</v>
      </c>
      <c r="E716">
        <v>20411454</v>
      </c>
      <c r="F716" t="s">
        <v>2477</v>
      </c>
      <c r="G716" t="s">
        <v>49</v>
      </c>
      <c r="H716" t="s">
        <v>964</v>
      </c>
      <c r="I716" s="1">
        <v>46023</v>
      </c>
      <c r="J716" s="1">
        <v>46054</v>
      </c>
      <c r="K716" t="s">
        <v>51</v>
      </c>
      <c r="L716" t="s">
        <v>52</v>
      </c>
      <c r="M716" s="2">
        <v>0</v>
      </c>
      <c r="N716" s="2">
        <v>25</v>
      </c>
      <c r="O716">
        <v>1</v>
      </c>
      <c r="P716" s="2">
        <v>25</v>
      </c>
      <c r="R716" t="s">
        <v>2445</v>
      </c>
    </row>
    <row r="717" spans="1:18" x14ac:dyDescent="0.25">
      <c r="A717" s="4">
        <v>102230720100</v>
      </c>
      <c r="B717" s="4" t="str">
        <f t="shared" si="15"/>
        <v>102230720100OVR</v>
      </c>
      <c r="C717" t="s">
        <v>1010</v>
      </c>
      <c r="D717" t="s">
        <v>155</v>
      </c>
      <c r="E717">
        <v>20411454</v>
      </c>
      <c r="F717" t="s">
        <v>2477</v>
      </c>
      <c r="G717" t="s">
        <v>49</v>
      </c>
      <c r="H717" t="s">
        <v>964</v>
      </c>
      <c r="I717" s="1">
        <v>46023</v>
      </c>
      <c r="J717" s="1">
        <v>46054</v>
      </c>
      <c r="K717" t="s">
        <v>51</v>
      </c>
      <c r="L717" t="s">
        <v>52</v>
      </c>
      <c r="M717" s="2">
        <v>0</v>
      </c>
      <c r="N717" s="2">
        <v>25</v>
      </c>
      <c r="O717">
        <v>1</v>
      </c>
      <c r="P717" s="2">
        <v>25</v>
      </c>
      <c r="R717" t="s">
        <v>2445</v>
      </c>
    </row>
    <row r="718" spans="1:18" x14ac:dyDescent="0.25">
      <c r="A718" s="4">
        <v>102230808100</v>
      </c>
      <c r="B718" s="4" t="str">
        <f t="shared" si="15"/>
        <v>102230808100OVR</v>
      </c>
      <c r="C718" t="s">
        <v>1012</v>
      </c>
      <c r="D718" t="s">
        <v>491</v>
      </c>
      <c r="E718">
        <v>20411454</v>
      </c>
      <c r="F718" t="s">
        <v>2477</v>
      </c>
      <c r="G718" t="s">
        <v>49</v>
      </c>
      <c r="H718" t="s">
        <v>964</v>
      </c>
      <c r="I718" s="1">
        <v>46023</v>
      </c>
      <c r="J718" s="1">
        <v>46054</v>
      </c>
      <c r="K718" t="s">
        <v>51</v>
      </c>
      <c r="L718" t="s">
        <v>52</v>
      </c>
      <c r="M718" s="2">
        <v>0</v>
      </c>
      <c r="N718" s="2">
        <v>25</v>
      </c>
      <c r="O718">
        <v>1</v>
      </c>
      <c r="P718" s="2">
        <v>25</v>
      </c>
      <c r="R718" t="s">
        <v>2445</v>
      </c>
    </row>
    <row r="719" spans="1:18" x14ac:dyDescent="0.25">
      <c r="A719" s="4">
        <v>102230810500</v>
      </c>
      <c r="B719" s="4" t="str">
        <f t="shared" si="15"/>
        <v>102230810500OVR</v>
      </c>
      <c r="C719" t="s">
        <v>1014</v>
      </c>
      <c r="D719" t="s">
        <v>87</v>
      </c>
      <c r="E719">
        <v>20411454</v>
      </c>
      <c r="F719" t="s">
        <v>2477</v>
      </c>
      <c r="G719" t="s">
        <v>49</v>
      </c>
      <c r="H719" t="s">
        <v>964</v>
      </c>
      <c r="I719" s="1">
        <v>46023</v>
      </c>
      <c r="J719" s="1">
        <v>46054</v>
      </c>
      <c r="K719" t="s">
        <v>51</v>
      </c>
      <c r="L719" t="s">
        <v>52</v>
      </c>
      <c r="M719" s="2">
        <v>0</v>
      </c>
      <c r="N719" s="2">
        <v>25</v>
      </c>
      <c r="O719">
        <v>1</v>
      </c>
      <c r="P719" s="2">
        <v>25</v>
      </c>
      <c r="R719" t="s">
        <v>2445</v>
      </c>
    </row>
    <row r="720" spans="1:18" x14ac:dyDescent="0.25">
      <c r="A720" s="4">
        <v>102230820400</v>
      </c>
      <c r="B720" s="4" t="str">
        <f t="shared" si="15"/>
        <v>102230820400OVR</v>
      </c>
      <c r="C720" t="s">
        <v>1016</v>
      </c>
      <c r="D720" t="s">
        <v>155</v>
      </c>
      <c r="E720">
        <v>20411454</v>
      </c>
      <c r="F720" t="s">
        <v>2477</v>
      </c>
      <c r="G720" t="s">
        <v>49</v>
      </c>
      <c r="H720" t="s">
        <v>964</v>
      </c>
      <c r="I720" s="1">
        <v>46023</v>
      </c>
      <c r="J720" s="1">
        <v>46054</v>
      </c>
      <c r="K720" t="s">
        <v>51</v>
      </c>
      <c r="L720" t="s">
        <v>52</v>
      </c>
      <c r="M720" s="2">
        <v>0</v>
      </c>
      <c r="N720" s="2">
        <v>25</v>
      </c>
      <c r="O720">
        <v>1</v>
      </c>
      <c r="P720" s="2">
        <v>25</v>
      </c>
      <c r="R720" t="s">
        <v>2445</v>
      </c>
    </row>
    <row r="721" spans="1:18" x14ac:dyDescent="0.25">
      <c r="A721" s="4">
        <v>102231450200</v>
      </c>
      <c r="B721" s="4" t="str">
        <f t="shared" si="15"/>
        <v>102231450200OVR</v>
      </c>
      <c r="C721" t="s">
        <v>1018</v>
      </c>
      <c r="D721" t="s">
        <v>78</v>
      </c>
      <c r="E721">
        <v>20411454</v>
      </c>
      <c r="F721" t="s">
        <v>2477</v>
      </c>
      <c r="G721" t="s">
        <v>49</v>
      </c>
      <c r="H721" t="s">
        <v>964</v>
      </c>
      <c r="I721" s="1">
        <v>46023</v>
      </c>
      <c r="J721" s="1">
        <v>46054</v>
      </c>
      <c r="K721" t="s">
        <v>51</v>
      </c>
      <c r="L721" t="s">
        <v>52</v>
      </c>
      <c r="M721" s="2">
        <v>0</v>
      </c>
      <c r="N721" s="2">
        <v>25</v>
      </c>
      <c r="O721">
        <v>1</v>
      </c>
      <c r="P721" s="2">
        <v>25</v>
      </c>
      <c r="R721" t="s">
        <v>2445</v>
      </c>
    </row>
    <row r="722" spans="1:18" x14ac:dyDescent="0.25">
      <c r="A722" s="4" t="s">
        <v>2262</v>
      </c>
      <c r="B722" s="4" t="str">
        <f t="shared" si="15"/>
        <v>MEQNDVYM00000136973OVR</v>
      </c>
      <c r="C722" t="s">
        <v>1194</v>
      </c>
      <c r="D722" t="s">
        <v>46</v>
      </c>
      <c r="E722">
        <v>20411454</v>
      </c>
      <c r="F722" t="s">
        <v>2477</v>
      </c>
      <c r="G722" t="s">
        <v>49</v>
      </c>
      <c r="H722" t="s">
        <v>964</v>
      </c>
      <c r="I722" s="1">
        <v>46023</v>
      </c>
      <c r="J722" s="1">
        <v>46054</v>
      </c>
      <c r="K722" t="s">
        <v>51</v>
      </c>
      <c r="L722" t="s">
        <v>52</v>
      </c>
      <c r="M722" s="2">
        <v>0</v>
      </c>
      <c r="N722" s="2">
        <v>25</v>
      </c>
      <c r="O722">
        <v>1</v>
      </c>
      <c r="P722" s="2">
        <v>25</v>
      </c>
      <c r="R722" t="s">
        <v>2445</v>
      </c>
    </row>
    <row r="723" spans="1:18" x14ac:dyDescent="0.25">
      <c r="A723" s="4" t="s">
        <v>2263</v>
      </c>
      <c r="B723" s="4" t="str">
        <f t="shared" si="15"/>
        <v>MEQNPDZM00002451399OVR</v>
      </c>
      <c r="C723" t="s">
        <v>1196</v>
      </c>
      <c r="D723" t="s">
        <v>46</v>
      </c>
      <c r="E723">
        <v>20411454</v>
      </c>
      <c r="F723" t="s">
        <v>2477</v>
      </c>
      <c r="G723" t="s">
        <v>49</v>
      </c>
      <c r="H723" t="s">
        <v>964</v>
      </c>
      <c r="I723" s="1">
        <v>46023</v>
      </c>
      <c r="J723" s="1">
        <v>46054</v>
      </c>
      <c r="K723" t="s">
        <v>51</v>
      </c>
      <c r="L723" t="s">
        <v>52</v>
      </c>
      <c r="M723" s="2">
        <v>0</v>
      </c>
      <c r="N723" s="2">
        <v>25</v>
      </c>
      <c r="O723">
        <v>1</v>
      </c>
      <c r="P723" s="2">
        <v>25</v>
      </c>
      <c r="R723" t="s">
        <v>2445</v>
      </c>
    </row>
    <row r="724" spans="1:18" x14ac:dyDescent="0.25">
      <c r="A724" s="4" t="s">
        <v>2264</v>
      </c>
      <c r="B724" s="4" t="str">
        <f t="shared" si="15"/>
        <v>MEQNQMZM00001912124OVR</v>
      </c>
      <c r="C724" t="s">
        <v>1198</v>
      </c>
      <c r="D724" t="s">
        <v>189</v>
      </c>
      <c r="E724">
        <v>20411454</v>
      </c>
      <c r="F724" t="s">
        <v>2477</v>
      </c>
      <c r="G724" t="s">
        <v>49</v>
      </c>
      <c r="H724" t="s">
        <v>964</v>
      </c>
      <c r="I724" s="1">
        <v>46023</v>
      </c>
      <c r="J724" s="1">
        <v>46054</v>
      </c>
      <c r="K724" t="s">
        <v>51</v>
      </c>
      <c r="L724" t="s">
        <v>52</v>
      </c>
      <c r="M724" s="2">
        <v>0</v>
      </c>
      <c r="N724" s="2">
        <v>25</v>
      </c>
      <c r="O724">
        <v>1</v>
      </c>
      <c r="P724" s="2">
        <v>25</v>
      </c>
      <c r="R724" t="s">
        <v>2445</v>
      </c>
    </row>
    <row r="725" spans="1:18" x14ac:dyDescent="0.25">
      <c r="A725" s="4" t="s">
        <v>2265</v>
      </c>
      <c r="B725" s="4" t="str">
        <f t="shared" si="15"/>
        <v>MEQNQMZM00001984088OVR</v>
      </c>
      <c r="C725" t="s">
        <v>1200</v>
      </c>
      <c r="D725" t="s">
        <v>46</v>
      </c>
      <c r="E725">
        <v>20411454</v>
      </c>
      <c r="F725" t="s">
        <v>2477</v>
      </c>
      <c r="G725" t="s">
        <v>49</v>
      </c>
      <c r="H725" t="s">
        <v>964</v>
      </c>
      <c r="I725" s="1">
        <v>46023</v>
      </c>
      <c r="J725" s="1">
        <v>46054</v>
      </c>
      <c r="K725" t="s">
        <v>51</v>
      </c>
      <c r="L725" t="s">
        <v>52</v>
      </c>
      <c r="M725" s="2">
        <v>0</v>
      </c>
      <c r="N725" s="2">
        <v>25</v>
      </c>
      <c r="O725">
        <v>1</v>
      </c>
      <c r="P725" s="2">
        <v>25</v>
      </c>
      <c r="R725" t="s">
        <v>2445</v>
      </c>
    </row>
    <row r="726" spans="1:18" x14ac:dyDescent="0.25">
      <c r="A726" s="4">
        <v>101626134200</v>
      </c>
      <c r="B726" s="4" t="str">
        <f t="shared" si="15"/>
        <v>101626134200OVR</v>
      </c>
      <c r="C726" t="s">
        <v>1244</v>
      </c>
      <c r="D726" t="s">
        <v>1245</v>
      </c>
      <c r="E726">
        <v>20411454</v>
      </c>
      <c r="F726" t="s">
        <v>2477</v>
      </c>
      <c r="G726" t="s">
        <v>1204</v>
      </c>
      <c r="H726" t="s">
        <v>964</v>
      </c>
      <c r="I726" s="1">
        <v>46023</v>
      </c>
      <c r="J726" s="1">
        <v>46054</v>
      </c>
      <c r="K726" t="s">
        <v>51</v>
      </c>
      <c r="L726" t="s">
        <v>52</v>
      </c>
      <c r="P726">
        <v>-25</v>
      </c>
      <c r="R726" t="s">
        <v>2445</v>
      </c>
    </row>
    <row r="727" spans="1:18" x14ac:dyDescent="0.25">
      <c r="A727" s="4">
        <v>101130395600</v>
      </c>
      <c r="B727" s="4" t="str">
        <f t="shared" si="15"/>
        <v>101130395600OVR</v>
      </c>
      <c r="C727" t="s">
        <v>958</v>
      </c>
      <c r="D727" t="s">
        <v>46</v>
      </c>
      <c r="E727">
        <v>20411454</v>
      </c>
      <c r="F727" t="s">
        <v>2477</v>
      </c>
      <c r="G727" t="s">
        <v>49</v>
      </c>
      <c r="H727" t="s">
        <v>961</v>
      </c>
      <c r="I727" s="1">
        <v>46023</v>
      </c>
      <c r="J727" s="1">
        <v>46054</v>
      </c>
      <c r="K727" t="s">
        <v>51</v>
      </c>
      <c r="L727" t="s">
        <v>52</v>
      </c>
      <c r="M727" s="2">
        <v>0</v>
      </c>
      <c r="N727" s="2">
        <v>15</v>
      </c>
      <c r="O727">
        <v>1</v>
      </c>
      <c r="P727" s="2">
        <v>15</v>
      </c>
      <c r="R727" t="s">
        <v>2445</v>
      </c>
    </row>
    <row r="728" spans="1:18" x14ac:dyDescent="0.25">
      <c r="A728" s="4">
        <v>102229802600</v>
      </c>
      <c r="B728" s="4" t="str">
        <f t="shared" si="15"/>
        <v>102229802600OVR</v>
      </c>
      <c r="C728" t="s">
        <v>974</v>
      </c>
      <c r="D728" t="s">
        <v>46</v>
      </c>
      <c r="E728">
        <v>20411454</v>
      </c>
      <c r="F728" t="s">
        <v>2477</v>
      </c>
      <c r="G728" t="s">
        <v>49</v>
      </c>
      <c r="H728" t="s">
        <v>961</v>
      </c>
      <c r="I728" s="1">
        <v>46023</v>
      </c>
      <c r="J728" s="1">
        <v>46054</v>
      </c>
      <c r="K728" t="s">
        <v>51</v>
      </c>
      <c r="L728" t="s">
        <v>52</v>
      </c>
      <c r="M728" s="2">
        <v>0</v>
      </c>
      <c r="N728" s="2">
        <v>15</v>
      </c>
      <c r="O728">
        <v>1</v>
      </c>
      <c r="P728" s="2">
        <v>15</v>
      </c>
      <c r="R728" t="s">
        <v>2445</v>
      </c>
    </row>
    <row r="729" spans="1:18" x14ac:dyDescent="0.25">
      <c r="A729" s="4">
        <v>102229878600</v>
      </c>
      <c r="B729" s="4" t="str">
        <f t="shared" si="15"/>
        <v>102229878600OVR</v>
      </c>
      <c r="C729" t="s">
        <v>976</v>
      </c>
      <c r="D729" t="s">
        <v>491</v>
      </c>
      <c r="E729">
        <v>20411454</v>
      </c>
      <c r="F729" t="s">
        <v>2477</v>
      </c>
      <c r="G729" t="s">
        <v>49</v>
      </c>
      <c r="H729" t="s">
        <v>961</v>
      </c>
      <c r="I729" s="1">
        <v>46023</v>
      </c>
      <c r="J729" s="1">
        <v>46054</v>
      </c>
      <c r="K729" t="s">
        <v>51</v>
      </c>
      <c r="L729" t="s">
        <v>52</v>
      </c>
      <c r="M729" s="2">
        <v>0</v>
      </c>
      <c r="N729" s="2">
        <v>15</v>
      </c>
      <c r="O729">
        <v>1</v>
      </c>
      <c r="P729" s="2">
        <v>15</v>
      </c>
      <c r="R729" t="s">
        <v>2445</v>
      </c>
    </row>
    <row r="730" spans="1:18" x14ac:dyDescent="0.25">
      <c r="A730" s="4">
        <v>101351741000</v>
      </c>
      <c r="B730" s="4" t="str">
        <f t="shared" si="15"/>
        <v>101351741000OVR</v>
      </c>
      <c r="C730" t="s">
        <v>1240</v>
      </c>
      <c r="D730" t="s">
        <v>87</v>
      </c>
      <c r="E730">
        <v>20411454</v>
      </c>
      <c r="F730" t="s">
        <v>2477</v>
      </c>
      <c r="G730" t="s">
        <v>1204</v>
      </c>
      <c r="H730" t="s">
        <v>961</v>
      </c>
      <c r="I730" s="1">
        <v>46023</v>
      </c>
      <c r="J730" s="1">
        <v>46054</v>
      </c>
      <c r="K730" t="s">
        <v>51</v>
      </c>
      <c r="L730" t="s">
        <v>52</v>
      </c>
      <c r="P730">
        <v>-15</v>
      </c>
      <c r="R730" t="s">
        <v>2445</v>
      </c>
    </row>
    <row r="731" spans="1:18" x14ac:dyDescent="0.25">
      <c r="A731" s="4">
        <v>101457065800</v>
      </c>
      <c r="B731" s="4" t="str">
        <f t="shared" si="15"/>
        <v>101457065800OVR</v>
      </c>
      <c r="C731" t="s">
        <v>1242</v>
      </c>
      <c r="D731" t="s">
        <v>46</v>
      </c>
      <c r="E731">
        <v>20411454</v>
      </c>
      <c r="F731" t="s">
        <v>2477</v>
      </c>
      <c r="G731" t="s">
        <v>1204</v>
      </c>
      <c r="H731" t="s">
        <v>961</v>
      </c>
      <c r="I731" s="1">
        <v>46023</v>
      </c>
      <c r="J731" s="1">
        <v>46054</v>
      </c>
      <c r="K731" t="s">
        <v>51</v>
      </c>
      <c r="L731" t="s">
        <v>52</v>
      </c>
      <c r="P731">
        <v>-15</v>
      </c>
      <c r="R731" t="s">
        <v>2445</v>
      </c>
    </row>
    <row r="732" spans="1:18" x14ac:dyDescent="0.25">
      <c r="A732" s="4">
        <v>101049220800</v>
      </c>
      <c r="B732" s="4" t="str">
        <f t="shared" si="15"/>
        <v>101049220800OVR</v>
      </c>
      <c r="C732" t="s">
        <v>1237</v>
      </c>
      <c r="D732" t="s">
        <v>491</v>
      </c>
      <c r="E732">
        <v>20411454</v>
      </c>
      <c r="F732" t="s">
        <v>2477</v>
      </c>
      <c r="G732" t="s">
        <v>1204</v>
      </c>
      <c r="H732" t="s">
        <v>1238</v>
      </c>
      <c r="I732" s="1">
        <v>45658</v>
      </c>
      <c r="J732" s="1">
        <v>45992</v>
      </c>
      <c r="K732" t="s">
        <v>51</v>
      </c>
      <c r="L732" t="s">
        <v>52</v>
      </c>
      <c r="P732">
        <v>-4.17</v>
      </c>
      <c r="R732" t="s">
        <v>2445</v>
      </c>
    </row>
    <row r="733" spans="1:18" x14ac:dyDescent="0.25">
      <c r="A733" s="4">
        <v>102083459200</v>
      </c>
      <c r="B733" s="4" t="str">
        <f t="shared" si="15"/>
        <v>102083459200OVR</v>
      </c>
      <c r="C733" t="s">
        <v>1250</v>
      </c>
      <c r="D733" t="s">
        <v>46</v>
      </c>
      <c r="E733">
        <v>20411454</v>
      </c>
      <c r="F733" t="s">
        <v>2477</v>
      </c>
      <c r="G733" t="s">
        <v>1204</v>
      </c>
      <c r="H733" t="s">
        <v>1238</v>
      </c>
      <c r="I733" s="1">
        <v>45658</v>
      </c>
      <c r="J733" s="1">
        <v>45992</v>
      </c>
      <c r="K733" t="s">
        <v>51</v>
      </c>
      <c r="L733" t="s">
        <v>52</v>
      </c>
      <c r="P733">
        <v>-4.17</v>
      </c>
      <c r="R733" t="s">
        <v>2445</v>
      </c>
    </row>
    <row r="734" spans="1:18" x14ac:dyDescent="0.25">
      <c r="A734" s="4">
        <v>101051689400</v>
      </c>
      <c r="B734" s="4" t="str">
        <f t="shared" si="15"/>
        <v>101051689400OVR</v>
      </c>
      <c r="C734" t="s">
        <v>1407</v>
      </c>
      <c r="D734" t="s">
        <v>491</v>
      </c>
      <c r="E734">
        <v>20411454</v>
      </c>
      <c r="F734" t="s">
        <v>2477</v>
      </c>
      <c r="G734" t="s">
        <v>49</v>
      </c>
      <c r="H734" t="s">
        <v>1238</v>
      </c>
      <c r="I734" s="1">
        <v>45658</v>
      </c>
      <c r="J734" s="1">
        <v>45992</v>
      </c>
      <c r="K734" t="s">
        <v>51</v>
      </c>
      <c r="L734" t="s">
        <v>52</v>
      </c>
      <c r="M734" s="2">
        <v>1</v>
      </c>
      <c r="N734" s="2">
        <v>1</v>
      </c>
      <c r="P734" s="2">
        <v>2</v>
      </c>
      <c r="Q734" t="s">
        <v>1402</v>
      </c>
      <c r="R734" t="s">
        <v>2445</v>
      </c>
    </row>
    <row r="735" spans="1:18" x14ac:dyDescent="0.25">
      <c r="A735" s="4">
        <v>101063039500</v>
      </c>
      <c r="B735" s="4" t="str">
        <f t="shared" si="15"/>
        <v>101063039500OVR</v>
      </c>
      <c r="C735" t="s">
        <v>1418</v>
      </c>
      <c r="D735" t="s">
        <v>491</v>
      </c>
      <c r="E735">
        <v>20411454</v>
      </c>
      <c r="F735" t="s">
        <v>2477</v>
      </c>
      <c r="G735" t="s">
        <v>49</v>
      </c>
      <c r="H735" t="s">
        <v>1238</v>
      </c>
      <c r="I735" s="1">
        <v>45658</v>
      </c>
      <c r="J735" s="1">
        <v>45992</v>
      </c>
      <c r="K735" t="s">
        <v>51</v>
      </c>
      <c r="L735" t="s">
        <v>52</v>
      </c>
      <c r="M735" s="2">
        <v>1</v>
      </c>
      <c r="N735" s="2">
        <v>1</v>
      </c>
      <c r="P735" s="2">
        <v>2</v>
      </c>
      <c r="Q735" t="s">
        <v>1402</v>
      </c>
      <c r="R735" t="s">
        <v>2445</v>
      </c>
    </row>
    <row r="736" spans="1:18" x14ac:dyDescent="0.25">
      <c r="A736" s="4">
        <v>101097095200</v>
      </c>
      <c r="B736" s="4" t="str">
        <f t="shared" si="15"/>
        <v>101097095200OVR</v>
      </c>
      <c r="C736" t="s">
        <v>1431</v>
      </c>
      <c r="D736" t="s">
        <v>491</v>
      </c>
      <c r="E736">
        <v>20411454</v>
      </c>
      <c r="F736" t="s">
        <v>2477</v>
      </c>
      <c r="G736" t="s">
        <v>49</v>
      </c>
      <c r="H736" t="s">
        <v>1238</v>
      </c>
      <c r="I736" s="1">
        <v>45658</v>
      </c>
      <c r="J736" s="1">
        <v>45992</v>
      </c>
      <c r="K736" t="s">
        <v>51</v>
      </c>
      <c r="L736" t="s">
        <v>52</v>
      </c>
      <c r="M736" s="2">
        <v>1</v>
      </c>
      <c r="N736" s="2">
        <v>1</v>
      </c>
      <c r="P736" s="2">
        <v>2</v>
      </c>
      <c r="Q736" t="s">
        <v>1402</v>
      </c>
      <c r="R736" t="s">
        <v>2445</v>
      </c>
    </row>
    <row r="737" spans="1:18" x14ac:dyDescent="0.25">
      <c r="A737" s="4">
        <v>101183834800</v>
      </c>
      <c r="B737" s="4" t="str">
        <f t="shared" si="15"/>
        <v>101183834800OVR</v>
      </c>
      <c r="C737" t="s">
        <v>1445</v>
      </c>
      <c r="D737" t="s">
        <v>491</v>
      </c>
      <c r="E737">
        <v>20411454</v>
      </c>
      <c r="F737" t="s">
        <v>2477</v>
      </c>
      <c r="G737" t="s">
        <v>49</v>
      </c>
      <c r="H737" t="s">
        <v>1238</v>
      </c>
      <c r="I737" s="1">
        <v>45658</v>
      </c>
      <c r="J737" s="1">
        <v>45992</v>
      </c>
      <c r="K737" t="s">
        <v>51</v>
      </c>
      <c r="L737" t="s">
        <v>52</v>
      </c>
      <c r="M737" s="2">
        <v>1</v>
      </c>
      <c r="N737" s="2">
        <v>1</v>
      </c>
      <c r="P737" s="2">
        <v>2</v>
      </c>
      <c r="Q737" t="s">
        <v>1402</v>
      </c>
      <c r="R737" t="s">
        <v>2445</v>
      </c>
    </row>
    <row r="738" spans="1:18" x14ac:dyDescent="0.25">
      <c r="A738" s="4">
        <v>101209240300</v>
      </c>
      <c r="B738" s="4" t="str">
        <f t="shared" si="15"/>
        <v>101209240300OVR</v>
      </c>
      <c r="C738" t="s">
        <v>1460</v>
      </c>
      <c r="D738" t="s">
        <v>491</v>
      </c>
      <c r="E738">
        <v>20411454</v>
      </c>
      <c r="F738" t="s">
        <v>2477</v>
      </c>
      <c r="G738" t="s">
        <v>49</v>
      </c>
      <c r="H738" t="s">
        <v>1238</v>
      </c>
      <c r="I738" s="1">
        <v>45658</v>
      </c>
      <c r="J738" s="1">
        <v>45992</v>
      </c>
      <c r="K738" t="s">
        <v>51</v>
      </c>
      <c r="L738" t="s">
        <v>52</v>
      </c>
      <c r="M738" s="2">
        <v>1</v>
      </c>
      <c r="N738" s="2">
        <v>1</v>
      </c>
      <c r="P738" s="2">
        <v>2</v>
      </c>
      <c r="Q738" t="s">
        <v>1402</v>
      </c>
      <c r="R738" t="s">
        <v>2445</v>
      </c>
    </row>
    <row r="739" spans="1:18" x14ac:dyDescent="0.25">
      <c r="A739" s="4">
        <v>101209755200</v>
      </c>
      <c r="B739" s="4" t="str">
        <f t="shared" si="15"/>
        <v>101209755200OVR</v>
      </c>
      <c r="C739" t="s">
        <v>1464</v>
      </c>
      <c r="D739" t="s">
        <v>491</v>
      </c>
      <c r="E739">
        <v>20411454</v>
      </c>
      <c r="F739" t="s">
        <v>2477</v>
      </c>
      <c r="G739" t="s">
        <v>49</v>
      </c>
      <c r="H739" t="s">
        <v>1238</v>
      </c>
      <c r="I739" s="1">
        <v>45658</v>
      </c>
      <c r="J739" s="1">
        <v>45992</v>
      </c>
      <c r="K739" t="s">
        <v>51</v>
      </c>
      <c r="L739" t="s">
        <v>52</v>
      </c>
      <c r="M739" s="2">
        <v>1</v>
      </c>
      <c r="N739" s="2">
        <v>1</v>
      </c>
      <c r="P739" s="2">
        <v>2</v>
      </c>
      <c r="Q739" t="s">
        <v>1402</v>
      </c>
      <c r="R739" t="s">
        <v>2445</v>
      </c>
    </row>
    <row r="740" spans="1:18" x14ac:dyDescent="0.25">
      <c r="A740" s="4">
        <v>101209812800</v>
      </c>
      <c r="B740" s="4" t="str">
        <f t="shared" si="15"/>
        <v>101209812800OVR</v>
      </c>
      <c r="C740" t="s">
        <v>1465</v>
      </c>
      <c r="D740" t="s">
        <v>491</v>
      </c>
      <c r="E740">
        <v>20411454</v>
      </c>
      <c r="F740" t="s">
        <v>2477</v>
      </c>
      <c r="G740" t="s">
        <v>49</v>
      </c>
      <c r="H740" t="s">
        <v>1238</v>
      </c>
      <c r="I740" s="1">
        <v>45658</v>
      </c>
      <c r="J740" s="1">
        <v>45992</v>
      </c>
      <c r="K740" t="s">
        <v>51</v>
      </c>
      <c r="L740" t="s">
        <v>52</v>
      </c>
      <c r="M740" s="2">
        <v>1</v>
      </c>
      <c r="N740" s="2">
        <v>1</v>
      </c>
      <c r="P740" s="2">
        <v>2</v>
      </c>
      <c r="Q740" t="s">
        <v>1402</v>
      </c>
      <c r="R740" t="s">
        <v>2445</v>
      </c>
    </row>
    <row r="741" spans="1:18" x14ac:dyDescent="0.25">
      <c r="A741" s="4">
        <v>101458763400</v>
      </c>
      <c r="B741" s="4" t="str">
        <f t="shared" si="15"/>
        <v>101458763400OVR</v>
      </c>
      <c r="C741" t="s">
        <v>1487</v>
      </c>
      <c r="D741" t="s">
        <v>491</v>
      </c>
      <c r="E741">
        <v>20411454</v>
      </c>
      <c r="F741" t="s">
        <v>2477</v>
      </c>
      <c r="G741" t="s">
        <v>49</v>
      </c>
      <c r="H741" t="s">
        <v>1238</v>
      </c>
      <c r="I741" s="1">
        <v>45658</v>
      </c>
      <c r="J741" s="1">
        <v>45992</v>
      </c>
      <c r="K741" t="s">
        <v>51</v>
      </c>
      <c r="L741" t="s">
        <v>52</v>
      </c>
      <c r="M741" s="2">
        <v>1</v>
      </c>
      <c r="N741" s="2">
        <v>1</v>
      </c>
      <c r="P741" s="2">
        <v>2</v>
      </c>
      <c r="Q741" t="s">
        <v>1402</v>
      </c>
      <c r="R741" t="s">
        <v>2445</v>
      </c>
    </row>
    <row r="742" spans="1:18" x14ac:dyDescent="0.25">
      <c r="A742" s="4">
        <v>101475587700</v>
      </c>
      <c r="B742" s="4" t="str">
        <f t="shared" si="15"/>
        <v>101475587700OVR</v>
      </c>
      <c r="C742" t="s">
        <v>1511</v>
      </c>
      <c r="D742" t="s">
        <v>491</v>
      </c>
      <c r="E742">
        <v>20411454</v>
      </c>
      <c r="F742" t="s">
        <v>2477</v>
      </c>
      <c r="G742" t="s">
        <v>49</v>
      </c>
      <c r="H742" t="s">
        <v>1238</v>
      </c>
      <c r="I742" s="1">
        <v>45658</v>
      </c>
      <c r="J742" s="1">
        <v>45992</v>
      </c>
      <c r="K742" t="s">
        <v>51</v>
      </c>
      <c r="L742" t="s">
        <v>52</v>
      </c>
      <c r="M742" s="2">
        <v>1</v>
      </c>
      <c r="N742" s="2">
        <v>1</v>
      </c>
      <c r="P742" s="2">
        <v>2</v>
      </c>
      <c r="Q742" t="s">
        <v>1402</v>
      </c>
      <c r="R742" t="s">
        <v>2445</v>
      </c>
    </row>
    <row r="743" spans="1:18" x14ac:dyDescent="0.25">
      <c r="A743" s="4">
        <v>101554359200</v>
      </c>
      <c r="B743" s="4" t="str">
        <f t="shared" si="15"/>
        <v>101554359200OVR</v>
      </c>
      <c r="C743" t="s">
        <v>1566</v>
      </c>
      <c r="D743" t="s">
        <v>491</v>
      </c>
      <c r="E743">
        <v>20411454</v>
      </c>
      <c r="F743" t="s">
        <v>2477</v>
      </c>
      <c r="G743" t="s">
        <v>49</v>
      </c>
      <c r="H743" t="s">
        <v>1238</v>
      </c>
      <c r="I743" s="1">
        <v>45658</v>
      </c>
      <c r="J743" s="1">
        <v>45992</v>
      </c>
      <c r="K743" t="s">
        <v>51</v>
      </c>
      <c r="L743" t="s">
        <v>52</v>
      </c>
      <c r="M743" s="2">
        <v>1</v>
      </c>
      <c r="N743" s="2">
        <v>1</v>
      </c>
      <c r="P743" s="2">
        <v>2</v>
      </c>
      <c r="Q743" t="s">
        <v>1402</v>
      </c>
      <c r="R743" t="s">
        <v>2445</v>
      </c>
    </row>
    <row r="744" spans="1:18" x14ac:dyDescent="0.25">
      <c r="A744" s="4">
        <v>101565683600</v>
      </c>
      <c r="B744" s="4" t="str">
        <f t="shared" si="15"/>
        <v>101565683600OVR</v>
      </c>
      <c r="C744" t="s">
        <v>1582</v>
      </c>
      <c r="D744" t="s">
        <v>491</v>
      </c>
      <c r="E744">
        <v>20411454</v>
      </c>
      <c r="F744" t="s">
        <v>2477</v>
      </c>
      <c r="G744" t="s">
        <v>49</v>
      </c>
      <c r="H744" t="s">
        <v>1238</v>
      </c>
      <c r="I744" s="1">
        <v>45658</v>
      </c>
      <c r="J744" s="1">
        <v>45992</v>
      </c>
      <c r="K744" t="s">
        <v>51</v>
      </c>
      <c r="L744" t="s">
        <v>52</v>
      </c>
      <c r="M744" s="2">
        <v>1</v>
      </c>
      <c r="N744" s="2">
        <v>1</v>
      </c>
      <c r="P744" s="2">
        <v>2</v>
      </c>
      <c r="Q744" t="s">
        <v>1402</v>
      </c>
      <c r="R744" t="s">
        <v>2445</v>
      </c>
    </row>
    <row r="745" spans="1:18" x14ac:dyDescent="0.25">
      <c r="A745" s="4">
        <v>101645612000</v>
      </c>
      <c r="B745" s="4" t="str">
        <f t="shared" si="15"/>
        <v>101645612000OVR</v>
      </c>
      <c r="C745" t="s">
        <v>1604</v>
      </c>
      <c r="D745" t="s">
        <v>491</v>
      </c>
      <c r="E745">
        <v>20411454</v>
      </c>
      <c r="F745" t="s">
        <v>2477</v>
      </c>
      <c r="G745" t="s">
        <v>49</v>
      </c>
      <c r="H745" t="s">
        <v>1238</v>
      </c>
      <c r="I745" s="1">
        <v>45658</v>
      </c>
      <c r="J745" s="1">
        <v>45992</v>
      </c>
      <c r="K745" t="s">
        <v>51</v>
      </c>
      <c r="L745" t="s">
        <v>52</v>
      </c>
      <c r="M745" s="2">
        <v>1</v>
      </c>
      <c r="N745" s="2">
        <v>1</v>
      </c>
      <c r="P745" s="2">
        <v>2</v>
      </c>
      <c r="Q745" t="s">
        <v>1402</v>
      </c>
      <c r="R745" t="s">
        <v>2445</v>
      </c>
    </row>
    <row r="746" spans="1:18" x14ac:dyDescent="0.25">
      <c r="A746" s="4">
        <v>101696815200</v>
      </c>
      <c r="B746" s="4" t="str">
        <f t="shared" si="15"/>
        <v>101696815200OVR</v>
      </c>
      <c r="C746" t="s">
        <v>1616</v>
      </c>
      <c r="D746" t="s">
        <v>491</v>
      </c>
      <c r="E746">
        <v>20411454</v>
      </c>
      <c r="F746" t="s">
        <v>2477</v>
      </c>
      <c r="G746" t="s">
        <v>49</v>
      </c>
      <c r="H746" t="s">
        <v>1238</v>
      </c>
      <c r="I746" s="1">
        <v>45658</v>
      </c>
      <c r="J746" s="1">
        <v>45992</v>
      </c>
      <c r="K746" t="s">
        <v>51</v>
      </c>
      <c r="L746" t="s">
        <v>52</v>
      </c>
      <c r="M746" s="2">
        <v>1</v>
      </c>
      <c r="N746" s="2">
        <v>1</v>
      </c>
      <c r="P746" s="2">
        <v>2</v>
      </c>
      <c r="Q746" t="s">
        <v>1402</v>
      </c>
      <c r="R746" t="s">
        <v>2445</v>
      </c>
    </row>
    <row r="747" spans="1:18" x14ac:dyDescent="0.25">
      <c r="A747" s="4">
        <v>102017011000</v>
      </c>
      <c r="B747" s="4" t="str">
        <f t="shared" si="15"/>
        <v>102017011000OVR</v>
      </c>
      <c r="C747" t="s">
        <v>1649</v>
      </c>
      <c r="D747" t="s">
        <v>491</v>
      </c>
      <c r="E747">
        <v>20411454</v>
      </c>
      <c r="F747" t="s">
        <v>2477</v>
      </c>
      <c r="G747" t="s">
        <v>1262</v>
      </c>
      <c r="H747" t="s">
        <v>1238</v>
      </c>
      <c r="I747" s="1">
        <v>45658</v>
      </c>
      <c r="J747" s="1">
        <v>45992</v>
      </c>
      <c r="K747" t="s">
        <v>51</v>
      </c>
      <c r="L747" t="s">
        <v>52</v>
      </c>
      <c r="M747" s="2">
        <v>1</v>
      </c>
      <c r="N747" s="2">
        <v>1</v>
      </c>
      <c r="P747" s="2">
        <v>2</v>
      </c>
      <c r="Q747" t="s">
        <v>1402</v>
      </c>
      <c r="R747" t="s">
        <v>2445</v>
      </c>
    </row>
    <row r="748" spans="1:18" x14ac:dyDescent="0.25">
      <c r="A748" s="4">
        <v>101953198300</v>
      </c>
      <c r="B748" s="4" t="str">
        <f t="shared" si="15"/>
        <v>101953198300OVR</v>
      </c>
      <c r="C748" t="s">
        <v>1633</v>
      </c>
      <c r="D748" t="s">
        <v>491</v>
      </c>
      <c r="E748">
        <v>20411454</v>
      </c>
      <c r="F748" t="s">
        <v>2477</v>
      </c>
      <c r="G748" t="s">
        <v>49</v>
      </c>
      <c r="H748" t="s">
        <v>1238</v>
      </c>
      <c r="I748" s="1">
        <v>45627</v>
      </c>
      <c r="J748" s="1">
        <v>45992</v>
      </c>
      <c r="K748" t="s">
        <v>51</v>
      </c>
      <c r="L748" t="s">
        <v>52</v>
      </c>
      <c r="M748" s="2">
        <v>1</v>
      </c>
      <c r="N748" s="2">
        <v>1</v>
      </c>
      <c r="P748" s="2">
        <v>2</v>
      </c>
      <c r="Q748" t="s">
        <v>1402</v>
      </c>
      <c r="R748" t="s">
        <v>2445</v>
      </c>
    </row>
    <row r="749" spans="1:18" x14ac:dyDescent="0.25">
      <c r="A749" s="4">
        <v>102062449500</v>
      </c>
      <c r="B749" s="4" t="str">
        <f t="shared" si="15"/>
        <v>102062449500OVR</v>
      </c>
      <c r="C749" t="s">
        <v>1745</v>
      </c>
      <c r="D749" t="s">
        <v>46</v>
      </c>
      <c r="E749">
        <v>20411454</v>
      </c>
      <c r="F749" t="s">
        <v>2477</v>
      </c>
      <c r="G749" t="s">
        <v>49</v>
      </c>
      <c r="H749" t="s">
        <v>1238</v>
      </c>
      <c r="I749" s="1">
        <v>45627</v>
      </c>
      <c r="J749" s="1">
        <v>45992</v>
      </c>
      <c r="K749" t="s">
        <v>51</v>
      </c>
      <c r="L749" t="s">
        <v>52</v>
      </c>
      <c r="M749" s="2">
        <v>1</v>
      </c>
      <c r="N749" s="2">
        <v>1</v>
      </c>
      <c r="P749" s="2">
        <v>2</v>
      </c>
      <c r="Q749" t="s">
        <v>1402</v>
      </c>
      <c r="R749" t="s">
        <v>2445</v>
      </c>
    </row>
    <row r="750" spans="1:18" x14ac:dyDescent="0.25">
      <c r="A750" s="4">
        <v>102069037500</v>
      </c>
      <c r="B750" s="4" t="str">
        <f t="shared" si="15"/>
        <v>102069037500OVR</v>
      </c>
      <c r="C750" t="s">
        <v>1759</v>
      </c>
      <c r="D750" t="s">
        <v>491</v>
      </c>
      <c r="E750">
        <v>20411454</v>
      </c>
      <c r="F750" t="s">
        <v>2477</v>
      </c>
      <c r="G750" t="s">
        <v>49</v>
      </c>
      <c r="H750" t="s">
        <v>1238</v>
      </c>
      <c r="I750" s="1">
        <v>45627</v>
      </c>
      <c r="J750" s="1">
        <v>45992</v>
      </c>
      <c r="K750" t="s">
        <v>51</v>
      </c>
      <c r="L750" t="s">
        <v>52</v>
      </c>
      <c r="M750" s="2">
        <v>1</v>
      </c>
      <c r="N750" s="2">
        <v>1</v>
      </c>
      <c r="P750" s="2">
        <v>2</v>
      </c>
      <c r="Q750" t="s">
        <v>1402</v>
      </c>
      <c r="R750" t="s">
        <v>2445</v>
      </c>
    </row>
    <row r="751" spans="1:18" x14ac:dyDescent="0.25">
      <c r="A751" s="4">
        <v>102069393600</v>
      </c>
      <c r="B751" s="4" t="str">
        <f t="shared" si="15"/>
        <v>102069393600OVR</v>
      </c>
      <c r="C751" t="s">
        <v>1761</v>
      </c>
      <c r="D751" t="s">
        <v>61</v>
      </c>
      <c r="E751">
        <v>20411454</v>
      </c>
      <c r="F751" t="s">
        <v>2477</v>
      </c>
      <c r="G751" t="s">
        <v>49</v>
      </c>
      <c r="H751" t="s">
        <v>1238</v>
      </c>
      <c r="I751" s="1">
        <v>45627</v>
      </c>
      <c r="J751" s="1">
        <v>45992</v>
      </c>
      <c r="K751" t="s">
        <v>51</v>
      </c>
      <c r="L751" t="s">
        <v>52</v>
      </c>
      <c r="M751" s="2">
        <v>1</v>
      </c>
      <c r="N751" s="2">
        <v>1</v>
      </c>
      <c r="P751" s="2">
        <v>2</v>
      </c>
      <c r="Q751" t="s">
        <v>1402</v>
      </c>
      <c r="R751" t="s">
        <v>2445</v>
      </c>
    </row>
    <row r="752" spans="1:18" x14ac:dyDescent="0.25">
      <c r="A752" s="4">
        <v>102072923100</v>
      </c>
      <c r="B752" s="4" t="str">
        <f t="shared" si="15"/>
        <v>102072923100OVR</v>
      </c>
      <c r="C752" t="s">
        <v>1764</v>
      </c>
      <c r="D752" t="s">
        <v>491</v>
      </c>
      <c r="E752">
        <v>20411454</v>
      </c>
      <c r="F752" t="s">
        <v>2477</v>
      </c>
      <c r="G752" t="s">
        <v>49</v>
      </c>
      <c r="H752" t="s">
        <v>1238</v>
      </c>
      <c r="I752" s="1">
        <v>45627</v>
      </c>
      <c r="J752" s="1">
        <v>45992</v>
      </c>
      <c r="K752" t="s">
        <v>51</v>
      </c>
      <c r="L752" t="s">
        <v>52</v>
      </c>
      <c r="M752" s="2">
        <v>1</v>
      </c>
      <c r="N752" s="2">
        <v>1</v>
      </c>
      <c r="P752" s="2">
        <v>2</v>
      </c>
      <c r="Q752" t="s">
        <v>1402</v>
      </c>
      <c r="R752" t="s">
        <v>2445</v>
      </c>
    </row>
    <row r="753" spans="1:18" x14ac:dyDescent="0.25">
      <c r="A753" s="4">
        <v>102078822400</v>
      </c>
      <c r="B753" s="4" t="str">
        <f t="shared" si="15"/>
        <v>102078822400OVR</v>
      </c>
      <c r="C753" t="s">
        <v>1767</v>
      </c>
      <c r="D753" t="s">
        <v>217</v>
      </c>
      <c r="E753">
        <v>20411454</v>
      </c>
      <c r="F753" t="s">
        <v>2477</v>
      </c>
      <c r="G753" t="s">
        <v>49</v>
      </c>
      <c r="H753" t="s">
        <v>1238</v>
      </c>
      <c r="I753" s="1">
        <v>45627</v>
      </c>
      <c r="J753" s="1">
        <v>45992</v>
      </c>
      <c r="K753" t="s">
        <v>51</v>
      </c>
      <c r="L753" t="s">
        <v>52</v>
      </c>
      <c r="M753" s="2">
        <v>1</v>
      </c>
      <c r="N753" s="2">
        <v>1</v>
      </c>
      <c r="P753" s="2">
        <v>2</v>
      </c>
      <c r="Q753" t="s">
        <v>1402</v>
      </c>
      <c r="R753" t="s">
        <v>2445</v>
      </c>
    </row>
    <row r="754" spans="1:18" x14ac:dyDescent="0.25">
      <c r="A754" s="4">
        <v>102081559700</v>
      </c>
      <c r="B754" s="4" t="str">
        <f t="shared" si="15"/>
        <v>102081559700OVR</v>
      </c>
      <c r="C754" t="s">
        <v>1770</v>
      </c>
      <c r="D754" t="s">
        <v>491</v>
      </c>
      <c r="E754">
        <v>20411454</v>
      </c>
      <c r="F754" t="s">
        <v>2477</v>
      </c>
      <c r="G754" t="s">
        <v>49</v>
      </c>
      <c r="H754" t="s">
        <v>1238</v>
      </c>
      <c r="I754" s="1">
        <v>45627</v>
      </c>
      <c r="J754" s="1">
        <v>45992</v>
      </c>
      <c r="K754" t="s">
        <v>51</v>
      </c>
      <c r="L754" t="s">
        <v>52</v>
      </c>
      <c r="M754" s="2">
        <v>1</v>
      </c>
      <c r="N754" s="2">
        <v>1</v>
      </c>
      <c r="P754" s="2">
        <v>2</v>
      </c>
      <c r="Q754" t="s">
        <v>1402</v>
      </c>
      <c r="R754" t="s">
        <v>2445</v>
      </c>
    </row>
    <row r="755" spans="1:18" x14ac:dyDescent="0.25">
      <c r="A755" s="4">
        <v>102084927600</v>
      </c>
      <c r="B755" s="4" t="str">
        <f t="shared" si="15"/>
        <v>102084927600OVR</v>
      </c>
      <c r="C755" t="s">
        <v>1772</v>
      </c>
      <c r="D755" t="s">
        <v>46</v>
      </c>
      <c r="E755">
        <v>20411454</v>
      </c>
      <c r="F755" t="s">
        <v>2477</v>
      </c>
      <c r="G755" t="s">
        <v>49</v>
      </c>
      <c r="H755" t="s">
        <v>1238</v>
      </c>
      <c r="I755" s="1">
        <v>45627</v>
      </c>
      <c r="J755" s="1">
        <v>45992</v>
      </c>
      <c r="K755" t="s">
        <v>51</v>
      </c>
      <c r="L755" t="s">
        <v>52</v>
      </c>
      <c r="M755" s="2">
        <v>1</v>
      </c>
      <c r="N755" s="2">
        <v>1</v>
      </c>
      <c r="P755" s="2">
        <v>2</v>
      </c>
      <c r="Q755" t="s">
        <v>1402</v>
      </c>
      <c r="R755" t="s">
        <v>2445</v>
      </c>
    </row>
    <row r="756" spans="1:18" x14ac:dyDescent="0.25">
      <c r="A756" s="4">
        <v>102085672600</v>
      </c>
      <c r="B756" s="4" t="str">
        <f t="shared" ref="B756:B819" si="16">CONCATENATE(A756,"OVR")</f>
        <v>102085672600OVR</v>
      </c>
      <c r="C756" t="s">
        <v>1773</v>
      </c>
      <c r="D756" t="s">
        <v>78</v>
      </c>
      <c r="E756">
        <v>20411454</v>
      </c>
      <c r="F756" t="s">
        <v>2477</v>
      </c>
      <c r="G756" t="s">
        <v>49</v>
      </c>
      <c r="H756" t="s">
        <v>1238</v>
      </c>
      <c r="I756" s="1">
        <v>45627</v>
      </c>
      <c r="J756" s="1">
        <v>45992</v>
      </c>
      <c r="K756" t="s">
        <v>51</v>
      </c>
      <c r="L756" t="s">
        <v>52</v>
      </c>
      <c r="M756" s="2">
        <v>1</v>
      </c>
      <c r="N756" s="2">
        <v>1</v>
      </c>
      <c r="P756" s="2">
        <v>2</v>
      </c>
      <c r="Q756" t="s">
        <v>1402</v>
      </c>
      <c r="R756" t="s">
        <v>2445</v>
      </c>
    </row>
    <row r="757" spans="1:18" x14ac:dyDescent="0.25">
      <c r="A757" s="4">
        <v>102086309300</v>
      </c>
      <c r="B757" s="4" t="str">
        <f t="shared" si="16"/>
        <v>102086309300OVR</v>
      </c>
      <c r="C757" t="s">
        <v>1774</v>
      </c>
      <c r="D757" t="s">
        <v>46</v>
      </c>
      <c r="E757">
        <v>20411454</v>
      </c>
      <c r="F757" t="s">
        <v>2477</v>
      </c>
      <c r="G757" t="s">
        <v>49</v>
      </c>
      <c r="H757" t="s">
        <v>1238</v>
      </c>
      <c r="I757" s="1">
        <v>45627</v>
      </c>
      <c r="J757" s="1">
        <v>45992</v>
      </c>
      <c r="K757" t="s">
        <v>51</v>
      </c>
      <c r="L757" t="s">
        <v>52</v>
      </c>
      <c r="M757" s="2">
        <v>1</v>
      </c>
      <c r="N757" s="2">
        <v>1</v>
      </c>
      <c r="P757" s="2">
        <v>2</v>
      </c>
      <c r="Q757" t="s">
        <v>1402</v>
      </c>
      <c r="R757" t="s">
        <v>2445</v>
      </c>
    </row>
    <row r="758" spans="1:18" x14ac:dyDescent="0.25">
      <c r="A758" s="4">
        <v>102088844600</v>
      </c>
      <c r="B758" s="4" t="str">
        <f t="shared" si="16"/>
        <v>102088844600OVR</v>
      </c>
      <c r="C758" t="s">
        <v>1775</v>
      </c>
      <c r="D758" t="s">
        <v>46</v>
      </c>
      <c r="E758">
        <v>20411454</v>
      </c>
      <c r="F758" t="s">
        <v>2477</v>
      </c>
      <c r="G758" t="s">
        <v>49</v>
      </c>
      <c r="H758" t="s">
        <v>1238</v>
      </c>
      <c r="I758" s="1">
        <v>45627</v>
      </c>
      <c r="J758" s="1">
        <v>45992</v>
      </c>
      <c r="K758" t="s">
        <v>51</v>
      </c>
      <c r="L758" t="s">
        <v>52</v>
      </c>
      <c r="M758" s="2">
        <v>1</v>
      </c>
      <c r="N758" s="2">
        <v>1</v>
      </c>
      <c r="P758" s="2">
        <v>2</v>
      </c>
      <c r="Q758" t="s">
        <v>1402</v>
      </c>
      <c r="R758" t="s">
        <v>2445</v>
      </c>
    </row>
    <row r="759" spans="1:18" x14ac:dyDescent="0.25">
      <c r="A759" s="4">
        <v>102092114400</v>
      </c>
      <c r="B759" s="4" t="str">
        <f t="shared" si="16"/>
        <v>102092114400OVR</v>
      </c>
      <c r="C759" t="s">
        <v>1776</v>
      </c>
      <c r="D759" t="s">
        <v>46</v>
      </c>
      <c r="E759">
        <v>20411454</v>
      </c>
      <c r="F759" t="s">
        <v>2477</v>
      </c>
      <c r="G759" t="s">
        <v>49</v>
      </c>
      <c r="H759" t="s">
        <v>1238</v>
      </c>
      <c r="I759" s="1">
        <v>45627</v>
      </c>
      <c r="J759" s="1">
        <v>45992</v>
      </c>
      <c r="K759" t="s">
        <v>51</v>
      </c>
      <c r="L759" t="s">
        <v>52</v>
      </c>
      <c r="M759" s="2">
        <v>1</v>
      </c>
      <c r="N759" s="2">
        <v>1</v>
      </c>
      <c r="P759" s="2">
        <v>2</v>
      </c>
      <c r="Q759" t="s">
        <v>1402</v>
      </c>
      <c r="R759" t="s">
        <v>2445</v>
      </c>
    </row>
    <row r="760" spans="1:18" x14ac:dyDescent="0.25">
      <c r="A760" s="4">
        <v>102095689100</v>
      </c>
      <c r="B760" s="4" t="str">
        <f t="shared" si="16"/>
        <v>102095689100OVR</v>
      </c>
      <c r="C760" t="s">
        <v>1777</v>
      </c>
      <c r="D760" t="s">
        <v>78</v>
      </c>
      <c r="E760">
        <v>20411454</v>
      </c>
      <c r="F760" t="s">
        <v>2477</v>
      </c>
      <c r="G760" t="s">
        <v>49</v>
      </c>
      <c r="H760" t="s">
        <v>1238</v>
      </c>
      <c r="I760" s="1">
        <v>45627</v>
      </c>
      <c r="J760" s="1">
        <v>45992</v>
      </c>
      <c r="K760" t="s">
        <v>51</v>
      </c>
      <c r="L760" t="s">
        <v>52</v>
      </c>
      <c r="M760" s="2">
        <v>1</v>
      </c>
      <c r="N760" s="2">
        <v>1</v>
      </c>
      <c r="P760" s="2">
        <v>2</v>
      </c>
      <c r="Q760" t="s">
        <v>1402</v>
      </c>
      <c r="R760" t="s">
        <v>2445</v>
      </c>
    </row>
    <row r="761" spans="1:18" x14ac:dyDescent="0.25">
      <c r="A761" s="4">
        <v>102097467700</v>
      </c>
      <c r="B761" s="4" t="str">
        <f t="shared" si="16"/>
        <v>102097467700OVR</v>
      </c>
      <c r="C761" t="s">
        <v>1778</v>
      </c>
      <c r="D761" t="s">
        <v>55</v>
      </c>
      <c r="E761">
        <v>20411454</v>
      </c>
      <c r="F761" t="s">
        <v>2477</v>
      </c>
      <c r="G761" t="s">
        <v>49</v>
      </c>
      <c r="H761" t="s">
        <v>1238</v>
      </c>
      <c r="I761" s="1">
        <v>45627</v>
      </c>
      <c r="J761" s="1">
        <v>45992</v>
      </c>
      <c r="K761" t="s">
        <v>51</v>
      </c>
      <c r="L761" t="s">
        <v>52</v>
      </c>
      <c r="M761" s="2">
        <v>1</v>
      </c>
      <c r="N761" s="2">
        <v>1</v>
      </c>
      <c r="P761" s="2">
        <v>2</v>
      </c>
      <c r="Q761" t="s">
        <v>1402</v>
      </c>
      <c r="R761" t="s">
        <v>2445</v>
      </c>
    </row>
    <row r="762" spans="1:18" x14ac:dyDescent="0.25">
      <c r="A762" s="4">
        <v>102098890500</v>
      </c>
      <c r="B762" s="4" t="str">
        <f t="shared" si="16"/>
        <v>102098890500OVR</v>
      </c>
      <c r="C762" t="s">
        <v>1779</v>
      </c>
      <c r="D762" t="s">
        <v>491</v>
      </c>
      <c r="E762">
        <v>20411454</v>
      </c>
      <c r="F762" t="s">
        <v>2477</v>
      </c>
      <c r="G762" t="s">
        <v>49</v>
      </c>
      <c r="H762" t="s">
        <v>1238</v>
      </c>
      <c r="I762" s="1">
        <v>45627</v>
      </c>
      <c r="J762" s="1">
        <v>45992</v>
      </c>
      <c r="K762" t="s">
        <v>51</v>
      </c>
      <c r="L762" t="s">
        <v>52</v>
      </c>
      <c r="M762" s="2">
        <v>1</v>
      </c>
      <c r="N762" s="2">
        <v>1</v>
      </c>
      <c r="P762" s="2">
        <v>2</v>
      </c>
      <c r="Q762" t="s">
        <v>1402</v>
      </c>
      <c r="R762" t="s">
        <v>2445</v>
      </c>
    </row>
    <row r="763" spans="1:18" x14ac:dyDescent="0.25">
      <c r="A763" s="4">
        <v>102104604100</v>
      </c>
      <c r="B763" s="4" t="str">
        <f t="shared" si="16"/>
        <v>102104604100OVR</v>
      </c>
      <c r="C763" t="s">
        <v>1780</v>
      </c>
      <c r="D763" t="s">
        <v>217</v>
      </c>
      <c r="E763">
        <v>20411454</v>
      </c>
      <c r="F763" t="s">
        <v>2477</v>
      </c>
      <c r="G763" t="s">
        <v>49</v>
      </c>
      <c r="H763" t="s">
        <v>1238</v>
      </c>
      <c r="I763" s="1">
        <v>45627</v>
      </c>
      <c r="J763" s="1">
        <v>45992</v>
      </c>
      <c r="K763" t="s">
        <v>51</v>
      </c>
      <c r="L763" t="s">
        <v>52</v>
      </c>
      <c r="M763" s="2">
        <v>1</v>
      </c>
      <c r="N763" s="2">
        <v>1</v>
      </c>
      <c r="P763" s="2">
        <v>2</v>
      </c>
      <c r="Q763" t="s">
        <v>1402</v>
      </c>
      <c r="R763" t="s">
        <v>2445</v>
      </c>
    </row>
    <row r="764" spans="1:18" x14ac:dyDescent="0.25">
      <c r="A764" s="4">
        <v>102105540600</v>
      </c>
      <c r="B764" s="4" t="str">
        <f t="shared" si="16"/>
        <v>102105540600OVR</v>
      </c>
      <c r="C764" t="s">
        <v>1781</v>
      </c>
      <c r="D764" t="s">
        <v>46</v>
      </c>
      <c r="E764">
        <v>20411454</v>
      </c>
      <c r="F764" t="s">
        <v>2477</v>
      </c>
      <c r="G764" t="s">
        <v>49</v>
      </c>
      <c r="H764" t="s">
        <v>1238</v>
      </c>
      <c r="I764" s="1">
        <v>45627</v>
      </c>
      <c r="J764" s="1">
        <v>45992</v>
      </c>
      <c r="K764" t="s">
        <v>51</v>
      </c>
      <c r="L764" t="s">
        <v>52</v>
      </c>
      <c r="M764" s="2">
        <v>1</v>
      </c>
      <c r="N764" s="2">
        <v>1</v>
      </c>
      <c r="P764" s="2">
        <v>2</v>
      </c>
      <c r="Q764" t="s">
        <v>1402</v>
      </c>
      <c r="R764" t="s">
        <v>2445</v>
      </c>
    </row>
    <row r="765" spans="1:18" x14ac:dyDescent="0.25">
      <c r="A765" s="4">
        <v>102105930700</v>
      </c>
      <c r="B765" s="4" t="str">
        <f t="shared" si="16"/>
        <v>102105930700OVR</v>
      </c>
      <c r="C765" t="s">
        <v>1782</v>
      </c>
      <c r="D765" t="s">
        <v>46</v>
      </c>
      <c r="E765">
        <v>20411454</v>
      </c>
      <c r="F765" t="s">
        <v>2477</v>
      </c>
      <c r="G765" t="s">
        <v>49</v>
      </c>
      <c r="H765" t="s">
        <v>1238</v>
      </c>
      <c r="I765" s="1">
        <v>45627</v>
      </c>
      <c r="J765" s="1">
        <v>45992</v>
      </c>
      <c r="K765" t="s">
        <v>51</v>
      </c>
      <c r="L765" t="s">
        <v>52</v>
      </c>
      <c r="M765" s="2">
        <v>1</v>
      </c>
      <c r="N765" s="2">
        <v>1</v>
      </c>
      <c r="P765" s="2">
        <v>2</v>
      </c>
      <c r="Q765" t="s">
        <v>1402</v>
      </c>
      <c r="R765" t="s">
        <v>2445</v>
      </c>
    </row>
    <row r="766" spans="1:18" x14ac:dyDescent="0.25">
      <c r="A766" s="4">
        <v>102109694200</v>
      </c>
      <c r="B766" s="4" t="str">
        <f t="shared" si="16"/>
        <v>102109694200OVR</v>
      </c>
      <c r="C766" t="s">
        <v>545</v>
      </c>
      <c r="D766" t="s">
        <v>46</v>
      </c>
      <c r="E766">
        <v>20411454</v>
      </c>
      <c r="F766" t="s">
        <v>2477</v>
      </c>
      <c r="G766" t="s">
        <v>49</v>
      </c>
      <c r="H766" t="s">
        <v>1238</v>
      </c>
      <c r="I766" s="1">
        <v>45627</v>
      </c>
      <c r="J766" s="1">
        <v>45992</v>
      </c>
      <c r="K766" t="s">
        <v>51</v>
      </c>
      <c r="L766" t="s">
        <v>52</v>
      </c>
      <c r="M766" s="2">
        <v>1</v>
      </c>
      <c r="N766" s="2">
        <v>1</v>
      </c>
      <c r="P766" s="2">
        <v>2</v>
      </c>
      <c r="Q766" t="s">
        <v>1402</v>
      </c>
      <c r="R766" t="s">
        <v>2445</v>
      </c>
    </row>
    <row r="767" spans="1:18" x14ac:dyDescent="0.25">
      <c r="A767" s="4">
        <v>102123717600</v>
      </c>
      <c r="B767" s="4" t="str">
        <f t="shared" si="16"/>
        <v>102123717600OVR</v>
      </c>
      <c r="C767" t="s">
        <v>1783</v>
      </c>
      <c r="D767" t="s">
        <v>46</v>
      </c>
      <c r="E767">
        <v>20411454</v>
      </c>
      <c r="F767" t="s">
        <v>2477</v>
      </c>
      <c r="G767" t="s">
        <v>49</v>
      </c>
      <c r="H767" t="s">
        <v>1238</v>
      </c>
      <c r="I767" s="1">
        <v>45627</v>
      </c>
      <c r="J767" s="1">
        <v>45992</v>
      </c>
      <c r="K767" t="s">
        <v>51</v>
      </c>
      <c r="L767" t="s">
        <v>52</v>
      </c>
      <c r="M767" s="2">
        <v>1</v>
      </c>
      <c r="N767" s="2">
        <v>1</v>
      </c>
      <c r="P767" s="2">
        <v>2</v>
      </c>
      <c r="Q767" t="s">
        <v>1402</v>
      </c>
      <c r="R767" t="s">
        <v>2445</v>
      </c>
    </row>
    <row r="768" spans="1:18" x14ac:dyDescent="0.25">
      <c r="A768" s="4">
        <v>102131626700</v>
      </c>
      <c r="B768" s="4" t="str">
        <f t="shared" si="16"/>
        <v>102131626700OVR</v>
      </c>
      <c r="C768" t="s">
        <v>1784</v>
      </c>
      <c r="D768" t="s">
        <v>1027</v>
      </c>
      <c r="E768">
        <v>20411454</v>
      </c>
      <c r="F768" t="s">
        <v>2477</v>
      </c>
      <c r="G768" t="s">
        <v>49</v>
      </c>
      <c r="H768" t="s">
        <v>1238</v>
      </c>
      <c r="I768" s="1">
        <v>45627</v>
      </c>
      <c r="J768" s="1">
        <v>45992</v>
      </c>
      <c r="K768" t="s">
        <v>51</v>
      </c>
      <c r="L768" t="s">
        <v>52</v>
      </c>
      <c r="M768" s="2">
        <v>1</v>
      </c>
      <c r="N768" s="2">
        <v>1</v>
      </c>
      <c r="P768" s="2">
        <v>2</v>
      </c>
      <c r="Q768" t="s">
        <v>1402</v>
      </c>
      <c r="R768" t="s">
        <v>2445</v>
      </c>
    </row>
    <row r="769" spans="1:18" x14ac:dyDescent="0.25">
      <c r="A769" s="4">
        <v>102046259200</v>
      </c>
      <c r="B769" s="4" t="str">
        <f t="shared" si="16"/>
        <v>102046259200OVR</v>
      </c>
      <c r="C769" t="s">
        <v>1700</v>
      </c>
      <c r="D769" t="s">
        <v>491</v>
      </c>
      <c r="E769">
        <v>20411454</v>
      </c>
      <c r="F769" t="s">
        <v>2477</v>
      </c>
      <c r="G769" t="s">
        <v>49</v>
      </c>
      <c r="H769" t="s">
        <v>1238</v>
      </c>
      <c r="I769" s="1">
        <v>45597</v>
      </c>
      <c r="J769" s="1">
        <v>45992</v>
      </c>
      <c r="K769" t="s">
        <v>51</v>
      </c>
      <c r="L769" t="s">
        <v>52</v>
      </c>
      <c r="M769" s="2">
        <v>1</v>
      </c>
      <c r="N769" s="2">
        <v>1</v>
      </c>
      <c r="P769" s="2">
        <v>2</v>
      </c>
      <c r="Q769" t="s">
        <v>1402</v>
      </c>
      <c r="R769" t="s">
        <v>2445</v>
      </c>
    </row>
    <row r="770" spans="1:18" x14ac:dyDescent="0.25">
      <c r="A770" s="4">
        <v>102049245100</v>
      </c>
      <c r="B770" s="4" t="str">
        <f t="shared" si="16"/>
        <v>102049245100OVR</v>
      </c>
      <c r="C770" t="s">
        <v>1706</v>
      </c>
      <c r="D770" t="s">
        <v>1707</v>
      </c>
      <c r="E770">
        <v>20411454</v>
      </c>
      <c r="F770" t="s">
        <v>2477</v>
      </c>
      <c r="G770" t="s">
        <v>49</v>
      </c>
      <c r="H770" t="s">
        <v>1238</v>
      </c>
      <c r="I770" s="1">
        <v>45597</v>
      </c>
      <c r="J770" s="1">
        <v>45992</v>
      </c>
      <c r="K770" t="s">
        <v>51</v>
      </c>
      <c r="L770" t="s">
        <v>52</v>
      </c>
      <c r="M770" s="2">
        <v>1</v>
      </c>
      <c r="N770" s="2">
        <v>1</v>
      </c>
      <c r="P770" s="2">
        <v>2</v>
      </c>
      <c r="Q770" t="s">
        <v>1402</v>
      </c>
      <c r="R770" t="s">
        <v>2445</v>
      </c>
    </row>
    <row r="771" spans="1:18" x14ac:dyDescent="0.25">
      <c r="A771" s="4">
        <v>102049634300</v>
      </c>
      <c r="B771" s="4" t="str">
        <f t="shared" si="16"/>
        <v>102049634300OVR</v>
      </c>
      <c r="C771" t="s">
        <v>1709</v>
      </c>
      <c r="D771" t="s">
        <v>491</v>
      </c>
      <c r="E771">
        <v>20411454</v>
      </c>
      <c r="F771" t="s">
        <v>2477</v>
      </c>
      <c r="G771" t="s">
        <v>49</v>
      </c>
      <c r="H771" t="s">
        <v>1238</v>
      </c>
      <c r="I771" s="1">
        <v>45597</v>
      </c>
      <c r="J771" s="1">
        <v>45992</v>
      </c>
      <c r="K771" t="s">
        <v>51</v>
      </c>
      <c r="L771" t="s">
        <v>52</v>
      </c>
      <c r="M771" s="2">
        <v>1</v>
      </c>
      <c r="N771" s="2">
        <v>1</v>
      </c>
      <c r="P771" s="2">
        <v>2</v>
      </c>
      <c r="Q771" t="s">
        <v>1402</v>
      </c>
      <c r="R771" t="s">
        <v>2445</v>
      </c>
    </row>
    <row r="772" spans="1:18" x14ac:dyDescent="0.25">
      <c r="A772" s="4">
        <v>102049732200</v>
      </c>
      <c r="B772" s="4" t="str">
        <f t="shared" si="16"/>
        <v>102049732200OVR</v>
      </c>
      <c r="C772" t="s">
        <v>1712</v>
      </c>
      <c r="D772" t="s">
        <v>46</v>
      </c>
      <c r="E772">
        <v>20411454</v>
      </c>
      <c r="F772" t="s">
        <v>2477</v>
      </c>
      <c r="G772" t="s">
        <v>49</v>
      </c>
      <c r="H772" t="s">
        <v>1238</v>
      </c>
      <c r="I772" s="1">
        <v>45597</v>
      </c>
      <c r="J772" s="1">
        <v>45992</v>
      </c>
      <c r="K772" t="s">
        <v>51</v>
      </c>
      <c r="L772" t="s">
        <v>52</v>
      </c>
      <c r="M772" s="2">
        <v>1</v>
      </c>
      <c r="N772" s="2">
        <v>1</v>
      </c>
      <c r="P772" s="2">
        <v>2</v>
      </c>
      <c r="Q772" t="s">
        <v>1402</v>
      </c>
      <c r="R772" t="s">
        <v>2445</v>
      </c>
    </row>
    <row r="773" spans="1:18" x14ac:dyDescent="0.25">
      <c r="A773" s="4">
        <v>102055440700</v>
      </c>
      <c r="B773" s="4" t="str">
        <f t="shared" si="16"/>
        <v>102055440700OVR</v>
      </c>
      <c r="C773" t="s">
        <v>1729</v>
      </c>
      <c r="D773" t="s">
        <v>1707</v>
      </c>
      <c r="E773">
        <v>20411454</v>
      </c>
      <c r="F773" t="s">
        <v>2477</v>
      </c>
      <c r="G773" t="s">
        <v>49</v>
      </c>
      <c r="H773" t="s">
        <v>1238</v>
      </c>
      <c r="I773" s="1">
        <v>45597</v>
      </c>
      <c r="J773" s="1">
        <v>45992</v>
      </c>
      <c r="K773" t="s">
        <v>51</v>
      </c>
      <c r="L773" t="s">
        <v>52</v>
      </c>
      <c r="M773" s="2">
        <v>1</v>
      </c>
      <c r="N773" s="2">
        <v>1</v>
      </c>
      <c r="P773" s="2">
        <v>2</v>
      </c>
      <c r="Q773" t="s">
        <v>1402</v>
      </c>
      <c r="R773" t="s">
        <v>2445</v>
      </c>
    </row>
    <row r="774" spans="1:18" x14ac:dyDescent="0.25">
      <c r="A774" s="4">
        <v>102058154400</v>
      </c>
      <c r="B774" s="4" t="str">
        <f t="shared" si="16"/>
        <v>102058154400OVR</v>
      </c>
      <c r="C774" t="s">
        <v>1732</v>
      </c>
      <c r="D774" t="s">
        <v>46</v>
      </c>
      <c r="E774">
        <v>20411454</v>
      </c>
      <c r="F774" t="s">
        <v>2477</v>
      </c>
      <c r="G774" t="s">
        <v>49</v>
      </c>
      <c r="H774" t="s">
        <v>1238</v>
      </c>
      <c r="I774" s="1">
        <v>45597</v>
      </c>
      <c r="J774" s="1">
        <v>45992</v>
      </c>
      <c r="K774" t="s">
        <v>51</v>
      </c>
      <c r="L774" t="s">
        <v>52</v>
      </c>
      <c r="M774" s="2">
        <v>1</v>
      </c>
      <c r="N774" s="2">
        <v>1</v>
      </c>
      <c r="P774" s="2">
        <v>2</v>
      </c>
      <c r="Q774" t="s">
        <v>1402</v>
      </c>
      <c r="R774" t="s">
        <v>2445</v>
      </c>
    </row>
    <row r="775" spans="1:18" x14ac:dyDescent="0.25">
      <c r="A775" s="4">
        <v>102058656500</v>
      </c>
      <c r="B775" s="4" t="str">
        <f t="shared" si="16"/>
        <v>102058656500OVR</v>
      </c>
      <c r="C775" t="s">
        <v>1734</v>
      </c>
      <c r="D775" t="s">
        <v>46</v>
      </c>
      <c r="E775">
        <v>20411454</v>
      </c>
      <c r="F775" t="s">
        <v>2477</v>
      </c>
      <c r="G775" t="s">
        <v>49</v>
      </c>
      <c r="H775" t="s">
        <v>1238</v>
      </c>
      <c r="I775" s="1">
        <v>45597</v>
      </c>
      <c r="J775" s="1">
        <v>45992</v>
      </c>
      <c r="K775" t="s">
        <v>51</v>
      </c>
      <c r="L775" t="s">
        <v>52</v>
      </c>
      <c r="M775" s="2">
        <v>1</v>
      </c>
      <c r="N775" s="2">
        <v>1</v>
      </c>
      <c r="P775" s="2">
        <v>2</v>
      </c>
      <c r="Q775" t="s">
        <v>1402</v>
      </c>
      <c r="R775" t="s">
        <v>2445</v>
      </c>
    </row>
    <row r="776" spans="1:18" x14ac:dyDescent="0.25">
      <c r="A776" s="4">
        <v>102065623700</v>
      </c>
      <c r="B776" s="4" t="str">
        <f t="shared" si="16"/>
        <v>102065623700OVR</v>
      </c>
      <c r="C776" t="s">
        <v>1753</v>
      </c>
      <c r="D776" t="s">
        <v>491</v>
      </c>
      <c r="E776">
        <v>20411454</v>
      </c>
      <c r="F776" t="s">
        <v>2477</v>
      </c>
      <c r="G776" t="s">
        <v>49</v>
      </c>
      <c r="H776" t="s">
        <v>1238</v>
      </c>
      <c r="I776" s="1">
        <v>45597</v>
      </c>
      <c r="J776" s="1">
        <v>45992</v>
      </c>
      <c r="K776" t="s">
        <v>51</v>
      </c>
      <c r="L776" t="s">
        <v>52</v>
      </c>
      <c r="M776" s="2">
        <v>1</v>
      </c>
      <c r="N776" s="2">
        <v>1</v>
      </c>
      <c r="P776" s="2">
        <v>2</v>
      </c>
      <c r="Q776" t="s">
        <v>1402</v>
      </c>
      <c r="R776" t="s">
        <v>2445</v>
      </c>
    </row>
    <row r="777" spans="1:18" x14ac:dyDescent="0.25">
      <c r="A777" s="4">
        <v>102065624200</v>
      </c>
      <c r="B777" s="4" t="str">
        <f t="shared" si="16"/>
        <v>102065624200OVR</v>
      </c>
      <c r="C777" t="s">
        <v>1754</v>
      </c>
      <c r="D777" t="s">
        <v>491</v>
      </c>
      <c r="E777">
        <v>20411454</v>
      </c>
      <c r="F777" t="s">
        <v>2477</v>
      </c>
      <c r="G777" t="s">
        <v>49</v>
      </c>
      <c r="H777" t="s">
        <v>1238</v>
      </c>
      <c r="I777" s="1">
        <v>45597</v>
      </c>
      <c r="J777" s="1">
        <v>45992</v>
      </c>
      <c r="K777" t="s">
        <v>51</v>
      </c>
      <c r="L777" t="s">
        <v>52</v>
      </c>
      <c r="M777" s="2">
        <v>1</v>
      </c>
      <c r="N777" s="2">
        <v>1</v>
      </c>
      <c r="P777" s="2">
        <v>2</v>
      </c>
      <c r="Q777" t="s">
        <v>1402</v>
      </c>
      <c r="R777" t="s">
        <v>2445</v>
      </c>
    </row>
    <row r="778" spans="1:18" x14ac:dyDescent="0.25">
      <c r="A778" s="4">
        <v>102066402500</v>
      </c>
      <c r="B778" s="4" t="str">
        <f t="shared" si="16"/>
        <v>102066402500OVR</v>
      </c>
      <c r="C778" t="s">
        <v>1755</v>
      </c>
      <c r="D778" t="s">
        <v>46</v>
      </c>
      <c r="E778">
        <v>20411454</v>
      </c>
      <c r="F778" t="s">
        <v>2477</v>
      </c>
      <c r="G778" t="s">
        <v>49</v>
      </c>
      <c r="H778" t="s">
        <v>1238</v>
      </c>
      <c r="I778" s="1">
        <v>45597</v>
      </c>
      <c r="J778" s="1">
        <v>45992</v>
      </c>
      <c r="K778" t="s">
        <v>51</v>
      </c>
      <c r="L778" t="s">
        <v>52</v>
      </c>
      <c r="M778" s="2">
        <v>1</v>
      </c>
      <c r="N778" s="2">
        <v>1</v>
      </c>
      <c r="P778" s="2">
        <v>2</v>
      </c>
      <c r="Q778" t="s">
        <v>1402</v>
      </c>
      <c r="R778" t="s">
        <v>2445</v>
      </c>
    </row>
    <row r="779" spans="1:18" x14ac:dyDescent="0.25">
      <c r="A779" s="4">
        <v>102066699300</v>
      </c>
      <c r="B779" s="4" t="str">
        <f t="shared" si="16"/>
        <v>102066699300OVR</v>
      </c>
      <c r="C779" t="s">
        <v>1756</v>
      </c>
      <c r="E779">
        <v>20411454</v>
      </c>
      <c r="F779" t="s">
        <v>2477</v>
      </c>
      <c r="G779" t="s">
        <v>49</v>
      </c>
      <c r="H779" t="s">
        <v>1238</v>
      </c>
      <c r="I779" s="1">
        <v>45597</v>
      </c>
      <c r="J779" s="1">
        <v>45992</v>
      </c>
      <c r="K779" t="s">
        <v>51</v>
      </c>
      <c r="L779" t="s">
        <v>52</v>
      </c>
      <c r="M779" s="2">
        <v>1</v>
      </c>
      <c r="N779" s="2">
        <v>1</v>
      </c>
      <c r="P779" s="2">
        <v>2</v>
      </c>
      <c r="Q779" t="s">
        <v>1402</v>
      </c>
      <c r="R779" t="s">
        <v>2445</v>
      </c>
    </row>
    <row r="780" spans="1:18" x14ac:dyDescent="0.25">
      <c r="A780" s="4">
        <v>102068178600</v>
      </c>
      <c r="B780" s="4" t="str">
        <f t="shared" si="16"/>
        <v>102068178600OVR</v>
      </c>
      <c r="C780" t="s">
        <v>1757</v>
      </c>
      <c r="D780" t="s">
        <v>491</v>
      </c>
      <c r="E780">
        <v>20411454</v>
      </c>
      <c r="F780" t="s">
        <v>2477</v>
      </c>
      <c r="G780" t="s">
        <v>49</v>
      </c>
      <c r="H780" t="s">
        <v>1238</v>
      </c>
      <c r="I780" s="1">
        <v>45597</v>
      </c>
      <c r="J780" s="1">
        <v>45992</v>
      </c>
      <c r="K780" t="s">
        <v>51</v>
      </c>
      <c r="L780" t="s">
        <v>52</v>
      </c>
      <c r="M780" s="2">
        <v>1</v>
      </c>
      <c r="N780" s="2">
        <v>1</v>
      </c>
      <c r="P780" s="2">
        <v>2</v>
      </c>
      <c r="Q780" t="s">
        <v>1402</v>
      </c>
      <c r="R780" t="s">
        <v>2445</v>
      </c>
    </row>
    <row r="781" spans="1:18" x14ac:dyDescent="0.25">
      <c r="A781" s="4">
        <v>102068196700</v>
      </c>
      <c r="B781" s="4" t="str">
        <f t="shared" si="16"/>
        <v>102068196700OVR</v>
      </c>
      <c r="C781" t="s">
        <v>1758</v>
      </c>
      <c r="D781" t="s">
        <v>46</v>
      </c>
      <c r="E781">
        <v>20411454</v>
      </c>
      <c r="F781" t="s">
        <v>2477</v>
      </c>
      <c r="G781" t="s">
        <v>49</v>
      </c>
      <c r="H781" t="s">
        <v>1238</v>
      </c>
      <c r="I781" s="1">
        <v>45597</v>
      </c>
      <c r="J781" s="1">
        <v>45992</v>
      </c>
      <c r="K781" t="s">
        <v>51</v>
      </c>
      <c r="L781" t="s">
        <v>52</v>
      </c>
      <c r="M781" s="2">
        <v>1</v>
      </c>
      <c r="N781" s="2">
        <v>1</v>
      </c>
      <c r="P781" s="2">
        <v>2</v>
      </c>
      <c r="Q781" t="s">
        <v>1402</v>
      </c>
      <c r="R781" t="s">
        <v>2445</v>
      </c>
    </row>
    <row r="782" spans="1:18" x14ac:dyDescent="0.25">
      <c r="A782" s="4">
        <v>102069330900</v>
      </c>
      <c r="B782" s="4" t="str">
        <f t="shared" si="16"/>
        <v>102069330900OVR</v>
      </c>
      <c r="C782" t="s">
        <v>1760</v>
      </c>
      <c r="D782" t="s">
        <v>1248</v>
      </c>
      <c r="E782">
        <v>20411454</v>
      </c>
      <c r="F782" t="s">
        <v>2477</v>
      </c>
      <c r="G782" t="s">
        <v>49</v>
      </c>
      <c r="H782" t="s">
        <v>1238</v>
      </c>
      <c r="I782" s="1">
        <v>45597</v>
      </c>
      <c r="J782" s="1">
        <v>45992</v>
      </c>
      <c r="K782" t="s">
        <v>51</v>
      </c>
      <c r="L782" t="s">
        <v>52</v>
      </c>
      <c r="M782" s="2">
        <v>1</v>
      </c>
      <c r="N782" s="2">
        <v>1</v>
      </c>
      <c r="P782" s="2">
        <v>2</v>
      </c>
      <c r="Q782" t="s">
        <v>1402</v>
      </c>
      <c r="R782" t="s">
        <v>2445</v>
      </c>
    </row>
    <row r="783" spans="1:18" x14ac:dyDescent="0.25">
      <c r="A783" s="4">
        <v>102071177500</v>
      </c>
      <c r="B783" s="4" t="str">
        <f t="shared" si="16"/>
        <v>102071177500OVR</v>
      </c>
      <c r="C783" t="s">
        <v>1763</v>
      </c>
      <c r="D783" t="s">
        <v>491</v>
      </c>
      <c r="E783">
        <v>20411454</v>
      </c>
      <c r="F783" t="s">
        <v>2477</v>
      </c>
      <c r="G783" t="s">
        <v>49</v>
      </c>
      <c r="H783" t="s">
        <v>1238</v>
      </c>
      <c r="I783" s="1">
        <v>45597</v>
      </c>
      <c r="J783" s="1">
        <v>45992</v>
      </c>
      <c r="K783" t="s">
        <v>51</v>
      </c>
      <c r="L783" t="s">
        <v>52</v>
      </c>
      <c r="M783" s="2">
        <v>1</v>
      </c>
      <c r="N783" s="2">
        <v>1</v>
      </c>
      <c r="P783" s="2">
        <v>2</v>
      </c>
      <c r="Q783" t="s">
        <v>1402</v>
      </c>
      <c r="R783" t="s">
        <v>2445</v>
      </c>
    </row>
    <row r="784" spans="1:18" x14ac:dyDescent="0.25">
      <c r="A784" s="4">
        <v>102078192100</v>
      </c>
      <c r="B784" s="4" t="str">
        <f t="shared" si="16"/>
        <v>102078192100OVR</v>
      </c>
      <c r="C784" t="s">
        <v>1766</v>
      </c>
      <c r="D784" t="s">
        <v>78</v>
      </c>
      <c r="E784">
        <v>20411454</v>
      </c>
      <c r="F784" t="s">
        <v>2477</v>
      </c>
      <c r="G784" t="s">
        <v>49</v>
      </c>
      <c r="H784" t="s">
        <v>1238</v>
      </c>
      <c r="I784" s="1">
        <v>45597</v>
      </c>
      <c r="J784" s="1">
        <v>45992</v>
      </c>
      <c r="K784" t="s">
        <v>51</v>
      </c>
      <c r="L784" t="s">
        <v>52</v>
      </c>
      <c r="M784" s="2">
        <v>1</v>
      </c>
      <c r="N784" s="2">
        <v>1</v>
      </c>
      <c r="P784" s="2">
        <v>2</v>
      </c>
      <c r="Q784" t="s">
        <v>1402</v>
      </c>
      <c r="R784" t="s">
        <v>2445</v>
      </c>
    </row>
    <row r="785" spans="1:18" x14ac:dyDescent="0.25">
      <c r="A785" s="4">
        <v>102079442100</v>
      </c>
      <c r="B785" s="4" t="str">
        <f t="shared" si="16"/>
        <v>102079442100OVR</v>
      </c>
      <c r="C785" t="s">
        <v>1768</v>
      </c>
      <c r="D785" t="s">
        <v>1707</v>
      </c>
      <c r="E785">
        <v>20411454</v>
      </c>
      <c r="F785" t="s">
        <v>2477</v>
      </c>
      <c r="G785" t="s">
        <v>49</v>
      </c>
      <c r="H785" t="s">
        <v>1238</v>
      </c>
      <c r="I785" s="1">
        <v>45597</v>
      </c>
      <c r="J785" s="1">
        <v>45992</v>
      </c>
      <c r="K785" t="s">
        <v>51</v>
      </c>
      <c r="L785" t="s">
        <v>52</v>
      </c>
      <c r="M785" s="2">
        <v>1</v>
      </c>
      <c r="N785" s="2">
        <v>1</v>
      </c>
      <c r="P785" s="2">
        <v>2</v>
      </c>
      <c r="Q785" t="s">
        <v>1402</v>
      </c>
      <c r="R785" t="s">
        <v>2445</v>
      </c>
    </row>
    <row r="786" spans="1:18" x14ac:dyDescent="0.25">
      <c r="A786" s="4">
        <v>102082370200</v>
      </c>
      <c r="B786" s="4" t="str">
        <f t="shared" si="16"/>
        <v>102082370200OVR</v>
      </c>
      <c r="C786" t="s">
        <v>1771</v>
      </c>
      <c r="D786" t="s">
        <v>46</v>
      </c>
      <c r="E786">
        <v>20411454</v>
      </c>
      <c r="F786" t="s">
        <v>2477</v>
      </c>
      <c r="G786" t="s">
        <v>49</v>
      </c>
      <c r="H786" t="s">
        <v>1238</v>
      </c>
      <c r="I786" s="1">
        <v>45597</v>
      </c>
      <c r="J786" s="1">
        <v>45992</v>
      </c>
      <c r="K786" t="s">
        <v>51</v>
      </c>
      <c r="L786" t="s">
        <v>52</v>
      </c>
      <c r="M786" s="2">
        <v>1</v>
      </c>
      <c r="N786" s="2">
        <v>1</v>
      </c>
      <c r="P786" s="2">
        <v>2</v>
      </c>
      <c r="Q786" t="s">
        <v>1402</v>
      </c>
      <c r="R786" t="s">
        <v>2445</v>
      </c>
    </row>
    <row r="787" spans="1:18" x14ac:dyDescent="0.25">
      <c r="A787" s="4">
        <v>102074570600</v>
      </c>
      <c r="B787" s="4" t="str">
        <f t="shared" si="16"/>
        <v>102074570600OVR</v>
      </c>
      <c r="C787" t="s">
        <v>1765</v>
      </c>
      <c r="D787" t="s">
        <v>1027</v>
      </c>
      <c r="E787">
        <v>20411454</v>
      </c>
      <c r="F787" t="s">
        <v>2477</v>
      </c>
      <c r="G787" t="s">
        <v>49</v>
      </c>
      <c r="H787" t="s">
        <v>1683</v>
      </c>
      <c r="I787" s="1">
        <v>45597</v>
      </c>
      <c r="J787" s="1">
        <v>45992</v>
      </c>
      <c r="K787" t="s">
        <v>51</v>
      </c>
      <c r="L787" t="s">
        <v>52</v>
      </c>
      <c r="M787" s="2">
        <v>1</v>
      </c>
      <c r="N787" s="2">
        <v>1</v>
      </c>
      <c r="P787" s="2">
        <v>2</v>
      </c>
      <c r="Q787" t="s">
        <v>1402</v>
      </c>
      <c r="R787" t="s">
        <v>2445</v>
      </c>
    </row>
    <row r="788" spans="1:18" x14ac:dyDescent="0.25">
      <c r="A788" s="4">
        <v>101458074100</v>
      </c>
      <c r="B788" s="4" t="str">
        <f t="shared" si="16"/>
        <v>101458074100OVR</v>
      </c>
      <c r="C788" t="s">
        <v>1485</v>
      </c>
      <c r="D788" t="s">
        <v>61</v>
      </c>
      <c r="E788">
        <v>20411454</v>
      </c>
      <c r="F788" t="s">
        <v>2477</v>
      </c>
      <c r="G788" t="s">
        <v>49</v>
      </c>
      <c r="H788" t="s">
        <v>1473</v>
      </c>
      <c r="I788" s="1">
        <v>45597</v>
      </c>
      <c r="J788" s="1">
        <v>45992</v>
      </c>
      <c r="K788" t="s">
        <v>51</v>
      </c>
      <c r="L788" t="s">
        <v>52</v>
      </c>
      <c r="M788" s="2">
        <v>1</v>
      </c>
      <c r="N788" s="2">
        <v>1</v>
      </c>
      <c r="P788" s="2">
        <v>2</v>
      </c>
      <c r="Q788" t="s">
        <v>1402</v>
      </c>
      <c r="R788" t="s">
        <v>2445</v>
      </c>
    </row>
    <row r="789" spans="1:18" x14ac:dyDescent="0.25">
      <c r="A789" s="4">
        <v>102070306300</v>
      </c>
      <c r="B789" s="4" t="str">
        <f t="shared" si="16"/>
        <v>102070306300OVR</v>
      </c>
      <c r="C789" t="s">
        <v>1762</v>
      </c>
      <c r="D789" t="s">
        <v>217</v>
      </c>
      <c r="E789">
        <v>20411454</v>
      </c>
      <c r="F789" t="s">
        <v>2477</v>
      </c>
      <c r="G789" t="s">
        <v>49</v>
      </c>
      <c r="H789" t="s">
        <v>1473</v>
      </c>
      <c r="I789" s="1">
        <v>45597</v>
      </c>
      <c r="J789" s="1">
        <v>45992</v>
      </c>
      <c r="K789" t="s">
        <v>51</v>
      </c>
      <c r="L789" t="s">
        <v>52</v>
      </c>
      <c r="M789" s="2">
        <v>1</v>
      </c>
      <c r="N789" s="2">
        <v>1</v>
      </c>
      <c r="P789" s="2">
        <v>2</v>
      </c>
      <c r="Q789" t="s">
        <v>1402</v>
      </c>
      <c r="R789" t="s">
        <v>2445</v>
      </c>
    </row>
    <row r="790" spans="1:18" x14ac:dyDescent="0.25">
      <c r="A790" s="4">
        <v>102079872100</v>
      </c>
      <c r="B790" s="4" t="str">
        <f t="shared" si="16"/>
        <v>102079872100OVR</v>
      </c>
      <c r="C790" t="s">
        <v>1769</v>
      </c>
      <c r="D790" t="s">
        <v>491</v>
      </c>
      <c r="E790">
        <v>20411454</v>
      </c>
      <c r="F790" t="s">
        <v>2477</v>
      </c>
      <c r="G790" t="s">
        <v>49</v>
      </c>
      <c r="H790" t="s">
        <v>1473</v>
      </c>
      <c r="I790" s="1">
        <v>45597</v>
      </c>
      <c r="J790" s="1">
        <v>45992</v>
      </c>
      <c r="K790" t="s">
        <v>51</v>
      </c>
      <c r="L790" t="s">
        <v>52</v>
      </c>
      <c r="M790" s="2">
        <v>1</v>
      </c>
      <c r="N790" s="2">
        <v>1</v>
      </c>
      <c r="P790" s="2">
        <v>2</v>
      </c>
      <c r="Q790" t="s">
        <v>1402</v>
      </c>
      <c r="R790" t="s">
        <v>2445</v>
      </c>
    </row>
    <row r="791" spans="1:18" x14ac:dyDescent="0.25">
      <c r="A791" s="4">
        <v>102029053100</v>
      </c>
      <c r="B791" s="4" t="str">
        <f t="shared" si="16"/>
        <v>102029053100OVR</v>
      </c>
      <c r="C791" t="s">
        <v>1666</v>
      </c>
      <c r="D791" t="s">
        <v>491</v>
      </c>
      <c r="E791">
        <v>20411454</v>
      </c>
      <c r="F791" t="s">
        <v>2477</v>
      </c>
      <c r="G791" t="s">
        <v>49</v>
      </c>
      <c r="H791" t="s">
        <v>1238</v>
      </c>
      <c r="I791" s="1">
        <v>45566</v>
      </c>
      <c r="J791" s="1">
        <v>45992</v>
      </c>
      <c r="K791" t="s">
        <v>51</v>
      </c>
      <c r="L791" t="s">
        <v>52</v>
      </c>
      <c r="M791" s="2">
        <v>1</v>
      </c>
      <c r="N791" s="2">
        <v>1</v>
      </c>
      <c r="P791" s="2">
        <v>2</v>
      </c>
      <c r="Q791" t="s">
        <v>1402</v>
      </c>
      <c r="R791" t="s">
        <v>2445</v>
      </c>
    </row>
    <row r="792" spans="1:18" x14ac:dyDescent="0.25">
      <c r="A792" s="4">
        <v>102029646800</v>
      </c>
      <c r="B792" s="4" t="str">
        <f t="shared" si="16"/>
        <v>102029646800OVR</v>
      </c>
      <c r="C792" t="s">
        <v>1667</v>
      </c>
      <c r="D792" t="s">
        <v>46</v>
      </c>
      <c r="E792">
        <v>20411454</v>
      </c>
      <c r="F792" t="s">
        <v>2477</v>
      </c>
      <c r="G792" t="s">
        <v>49</v>
      </c>
      <c r="H792" t="s">
        <v>1238</v>
      </c>
      <c r="I792" s="1">
        <v>45566</v>
      </c>
      <c r="J792" s="1">
        <v>45992</v>
      </c>
      <c r="K792" t="s">
        <v>51</v>
      </c>
      <c r="L792" t="s">
        <v>52</v>
      </c>
      <c r="M792" s="2">
        <v>1</v>
      </c>
      <c r="N792" s="2">
        <v>1</v>
      </c>
      <c r="P792" s="2">
        <v>2</v>
      </c>
      <c r="Q792" t="s">
        <v>1402</v>
      </c>
      <c r="R792" t="s">
        <v>2445</v>
      </c>
    </row>
    <row r="793" spans="1:18" x14ac:dyDescent="0.25">
      <c r="A793" s="4">
        <v>102035273900</v>
      </c>
      <c r="B793" s="4" t="str">
        <f t="shared" si="16"/>
        <v>102035273900OVR</v>
      </c>
      <c r="C793" t="s">
        <v>1677</v>
      </c>
      <c r="D793" t="s">
        <v>46</v>
      </c>
      <c r="E793">
        <v>20411454</v>
      </c>
      <c r="F793" t="s">
        <v>2477</v>
      </c>
      <c r="G793" t="s">
        <v>49</v>
      </c>
      <c r="H793" t="s">
        <v>1238</v>
      </c>
      <c r="I793" s="1">
        <v>45566</v>
      </c>
      <c r="J793" s="1">
        <v>45992</v>
      </c>
      <c r="K793" t="s">
        <v>51</v>
      </c>
      <c r="L793" t="s">
        <v>52</v>
      </c>
      <c r="M793" s="2">
        <v>1</v>
      </c>
      <c r="N793" s="2">
        <v>1</v>
      </c>
      <c r="P793" s="2">
        <v>2</v>
      </c>
      <c r="Q793" t="s">
        <v>1402</v>
      </c>
      <c r="R793" t="s">
        <v>2445</v>
      </c>
    </row>
    <row r="794" spans="1:18" x14ac:dyDescent="0.25">
      <c r="A794" s="4">
        <v>102035806200</v>
      </c>
      <c r="B794" s="4" t="str">
        <f t="shared" si="16"/>
        <v>102035806200OVR</v>
      </c>
      <c r="C794" t="s">
        <v>1679</v>
      </c>
      <c r="D794" t="s">
        <v>1248</v>
      </c>
      <c r="E794">
        <v>20411454</v>
      </c>
      <c r="F794" t="s">
        <v>2477</v>
      </c>
      <c r="G794" t="s">
        <v>49</v>
      </c>
      <c r="H794" t="s">
        <v>1238</v>
      </c>
      <c r="I794" s="1">
        <v>45566</v>
      </c>
      <c r="J794" s="1">
        <v>45992</v>
      </c>
      <c r="K794" t="s">
        <v>51</v>
      </c>
      <c r="L794" t="s">
        <v>52</v>
      </c>
      <c r="M794" s="2">
        <v>1</v>
      </c>
      <c r="N794" s="2">
        <v>1</v>
      </c>
      <c r="P794" s="2">
        <v>2</v>
      </c>
      <c r="Q794" t="s">
        <v>1402</v>
      </c>
      <c r="R794" t="s">
        <v>2445</v>
      </c>
    </row>
    <row r="795" spans="1:18" x14ac:dyDescent="0.25">
      <c r="A795" s="4">
        <v>102037067200</v>
      </c>
      <c r="B795" s="4" t="str">
        <f t="shared" si="16"/>
        <v>102037067200OVR</v>
      </c>
      <c r="C795" t="s">
        <v>755</v>
      </c>
      <c r="D795" t="s">
        <v>46</v>
      </c>
      <c r="E795">
        <v>20411454</v>
      </c>
      <c r="F795" t="s">
        <v>2477</v>
      </c>
      <c r="G795" t="s">
        <v>49</v>
      </c>
      <c r="H795" t="s">
        <v>1238</v>
      </c>
      <c r="I795" s="1">
        <v>45566</v>
      </c>
      <c r="J795" s="1">
        <v>45992</v>
      </c>
      <c r="K795" t="s">
        <v>51</v>
      </c>
      <c r="L795" t="s">
        <v>52</v>
      </c>
      <c r="M795" s="2">
        <v>1</v>
      </c>
      <c r="N795" s="2">
        <v>1</v>
      </c>
      <c r="P795" s="2">
        <v>2</v>
      </c>
      <c r="Q795" t="s">
        <v>1402</v>
      </c>
      <c r="R795" t="s">
        <v>2445</v>
      </c>
    </row>
    <row r="796" spans="1:18" x14ac:dyDescent="0.25">
      <c r="A796" s="4">
        <v>102037208500</v>
      </c>
      <c r="B796" s="4" t="str">
        <f t="shared" si="16"/>
        <v>102037208500OVR</v>
      </c>
      <c r="C796" t="s">
        <v>1687</v>
      </c>
      <c r="D796" t="s">
        <v>155</v>
      </c>
      <c r="E796">
        <v>20411454</v>
      </c>
      <c r="F796" t="s">
        <v>2477</v>
      </c>
      <c r="G796" t="s">
        <v>49</v>
      </c>
      <c r="H796" t="s">
        <v>1238</v>
      </c>
      <c r="I796" s="1">
        <v>45566</v>
      </c>
      <c r="J796" s="1">
        <v>45992</v>
      </c>
      <c r="K796" t="s">
        <v>51</v>
      </c>
      <c r="L796" t="s">
        <v>52</v>
      </c>
      <c r="M796" s="2">
        <v>1</v>
      </c>
      <c r="N796" s="2">
        <v>1</v>
      </c>
      <c r="P796" s="2">
        <v>2</v>
      </c>
      <c r="Q796" t="s">
        <v>1402</v>
      </c>
      <c r="R796" t="s">
        <v>2445</v>
      </c>
    </row>
    <row r="797" spans="1:18" x14ac:dyDescent="0.25">
      <c r="A797" s="4">
        <v>102040827300</v>
      </c>
      <c r="B797" s="4" t="str">
        <f t="shared" si="16"/>
        <v>102040827300OVR</v>
      </c>
      <c r="C797" t="s">
        <v>1692</v>
      </c>
      <c r="D797" t="s">
        <v>46</v>
      </c>
      <c r="E797">
        <v>20411454</v>
      </c>
      <c r="F797" t="s">
        <v>2477</v>
      </c>
      <c r="G797" t="s">
        <v>49</v>
      </c>
      <c r="H797" t="s">
        <v>1238</v>
      </c>
      <c r="I797" s="1">
        <v>45566</v>
      </c>
      <c r="J797" s="1">
        <v>45992</v>
      </c>
      <c r="K797" t="s">
        <v>51</v>
      </c>
      <c r="L797" t="s">
        <v>52</v>
      </c>
      <c r="M797" s="2">
        <v>1</v>
      </c>
      <c r="N797" s="2">
        <v>1</v>
      </c>
      <c r="P797" s="2">
        <v>2</v>
      </c>
      <c r="Q797" t="s">
        <v>1402</v>
      </c>
      <c r="R797" t="s">
        <v>2445</v>
      </c>
    </row>
    <row r="798" spans="1:18" x14ac:dyDescent="0.25">
      <c r="A798" s="4">
        <v>102043771500</v>
      </c>
      <c r="B798" s="4" t="str">
        <f t="shared" si="16"/>
        <v>102043771500OVR</v>
      </c>
      <c r="C798" t="s">
        <v>1696</v>
      </c>
      <c r="D798" t="s">
        <v>46</v>
      </c>
      <c r="E798">
        <v>20411454</v>
      </c>
      <c r="F798" t="s">
        <v>2477</v>
      </c>
      <c r="G798" t="s">
        <v>49</v>
      </c>
      <c r="H798" t="s">
        <v>1238</v>
      </c>
      <c r="I798" s="1">
        <v>45566</v>
      </c>
      <c r="J798" s="1">
        <v>45992</v>
      </c>
      <c r="K798" t="s">
        <v>51</v>
      </c>
      <c r="L798" t="s">
        <v>52</v>
      </c>
      <c r="M798" s="2">
        <v>1</v>
      </c>
      <c r="N798" s="2">
        <v>1</v>
      </c>
      <c r="P798" s="2">
        <v>2</v>
      </c>
      <c r="Q798" t="s">
        <v>1402</v>
      </c>
      <c r="R798" t="s">
        <v>2445</v>
      </c>
    </row>
    <row r="799" spans="1:18" x14ac:dyDescent="0.25">
      <c r="A799" s="4">
        <v>102044679100</v>
      </c>
      <c r="B799" s="4" t="str">
        <f t="shared" si="16"/>
        <v>102044679100OVR</v>
      </c>
      <c r="C799" t="s">
        <v>1698</v>
      </c>
      <c r="D799" t="s">
        <v>491</v>
      </c>
      <c r="E799">
        <v>20411454</v>
      </c>
      <c r="F799" t="s">
        <v>2477</v>
      </c>
      <c r="G799" t="s">
        <v>49</v>
      </c>
      <c r="H799" t="s">
        <v>1238</v>
      </c>
      <c r="I799" s="1">
        <v>45566</v>
      </c>
      <c r="J799" s="1">
        <v>45992</v>
      </c>
      <c r="K799" t="s">
        <v>51</v>
      </c>
      <c r="L799" t="s">
        <v>52</v>
      </c>
      <c r="M799" s="2">
        <v>1</v>
      </c>
      <c r="N799" s="2">
        <v>1</v>
      </c>
      <c r="P799" s="2">
        <v>2</v>
      </c>
      <c r="Q799" t="s">
        <v>1402</v>
      </c>
      <c r="R799" t="s">
        <v>2445</v>
      </c>
    </row>
    <row r="800" spans="1:18" x14ac:dyDescent="0.25">
      <c r="A800" s="4">
        <v>102044729900</v>
      </c>
      <c r="B800" s="4" t="str">
        <f t="shared" si="16"/>
        <v>102044729900OVR</v>
      </c>
      <c r="C800" t="s">
        <v>1699</v>
      </c>
      <c r="D800" t="s">
        <v>46</v>
      </c>
      <c r="E800">
        <v>20411454</v>
      </c>
      <c r="F800" t="s">
        <v>2477</v>
      </c>
      <c r="G800" t="s">
        <v>49</v>
      </c>
      <c r="H800" t="s">
        <v>1238</v>
      </c>
      <c r="I800" s="1">
        <v>45566</v>
      </c>
      <c r="J800" s="1">
        <v>45992</v>
      </c>
      <c r="K800" t="s">
        <v>51</v>
      </c>
      <c r="L800" t="s">
        <v>52</v>
      </c>
      <c r="M800" s="2">
        <v>1</v>
      </c>
      <c r="N800" s="2">
        <v>1</v>
      </c>
      <c r="P800" s="2">
        <v>2</v>
      </c>
      <c r="Q800" t="s">
        <v>1402</v>
      </c>
      <c r="R800" t="s">
        <v>2445</v>
      </c>
    </row>
    <row r="801" spans="1:18" x14ac:dyDescent="0.25">
      <c r="A801" s="4">
        <v>102048671500</v>
      </c>
      <c r="B801" s="4" t="str">
        <f t="shared" si="16"/>
        <v>102048671500OVR</v>
      </c>
      <c r="C801" t="s">
        <v>1703</v>
      </c>
      <c r="D801" t="s">
        <v>491</v>
      </c>
      <c r="E801">
        <v>20411454</v>
      </c>
      <c r="F801" t="s">
        <v>2477</v>
      </c>
      <c r="G801" t="s">
        <v>49</v>
      </c>
      <c r="H801" t="s">
        <v>1238</v>
      </c>
      <c r="I801" s="1">
        <v>45566</v>
      </c>
      <c r="J801" s="1">
        <v>45992</v>
      </c>
      <c r="K801" t="s">
        <v>51</v>
      </c>
      <c r="L801" t="s">
        <v>52</v>
      </c>
      <c r="M801" s="2">
        <v>1</v>
      </c>
      <c r="N801" s="2">
        <v>1</v>
      </c>
      <c r="P801" s="2">
        <v>2</v>
      </c>
      <c r="Q801" t="s">
        <v>1402</v>
      </c>
      <c r="R801" t="s">
        <v>2445</v>
      </c>
    </row>
    <row r="802" spans="1:18" x14ac:dyDescent="0.25">
      <c r="A802" s="4">
        <v>102049165000</v>
      </c>
      <c r="B802" s="4" t="str">
        <f t="shared" si="16"/>
        <v>102049165000OVR</v>
      </c>
      <c r="C802" t="s">
        <v>1705</v>
      </c>
      <c r="D802" t="s">
        <v>46</v>
      </c>
      <c r="E802">
        <v>20411454</v>
      </c>
      <c r="F802" t="s">
        <v>2477</v>
      </c>
      <c r="G802" t="s">
        <v>49</v>
      </c>
      <c r="H802" t="s">
        <v>1238</v>
      </c>
      <c r="I802" s="1">
        <v>45566</v>
      </c>
      <c r="J802" s="1">
        <v>45992</v>
      </c>
      <c r="K802" t="s">
        <v>51</v>
      </c>
      <c r="L802" t="s">
        <v>52</v>
      </c>
      <c r="M802" s="2">
        <v>1</v>
      </c>
      <c r="N802" s="2">
        <v>1</v>
      </c>
      <c r="P802" s="2">
        <v>2</v>
      </c>
      <c r="Q802" t="s">
        <v>1402</v>
      </c>
      <c r="R802" t="s">
        <v>2445</v>
      </c>
    </row>
    <row r="803" spans="1:18" x14ac:dyDescent="0.25">
      <c r="A803" s="4">
        <v>102050057000</v>
      </c>
      <c r="B803" s="4" t="str">
        <f t="shared" si="16"/>
        <v>102050057000OVR</v>
      </c>
      <c r="C803" t="s">
        <v>1713</v>
      </c>
      <c r="D803" t="s">
        <v>491</v>
      </c>
      <c r="E803">
        <v>20411454</v>
      </c>
      <c r="F803" t="s">
        <v>2477</v>
      </c>
      <c r="G803" t="s">
        <v>49</v>
      </c>
      <c r="H803" t="s">
        <v>1238</v>
      </c>
      <c r="I803" s="1">
        <v>45566</v>
      </c>
      <c r="J803" s="1">
        <v>45992</v>
      </c>
      <c r="K803" t="s">
        <v>51</v>
      </c>
      <c r="L803" t="s">
        <v>52</v>
      </c>
      <c r="M803" s="2">
        <v>1</v>
      </c>
      <c r="N803" s="2">
        <v>1</v>
      </c>
      <c r="P803" s="2">
        <v>2</v>
      </c>
      <c r="Q803" t="s">
        <v>1402</v>
      </c>
      <c r="R803" t="s">
        <v>2445</v>
      </c>
    </row>
    <row r="804" spans="1:18" x14ac:dyDescent="0.25">
      <c r="A804" s="4">
        <v>102050057700</v>
      </c>
      <c r="B804" s="4" t="str">
        <f t="shared" si="16"/>
        <v>102050057700OVR</v>
      </c>
      <c r="C804" t="s">
        <v>1714</v>
      </c>
      <c r="D804" t="s">
        <v>491</v>
      </c>
      <c r="E804">
        <v>20411454</v>
      </c>
      <c r="F804" t="s">
        <v>2477</v>
      </c>
      <c r="G804" t="s">
        <v>49</v>
      </c>
      <c r="H804" t="s">
        <v>1238</v>
      </c>
      <c r="I804" s="1">
        <v>45566</v>
      </c>
      <c r="J804" s="1">
        <v>45992</v>
      </c>
      <c r="K804" t="s">
        <v>51</v>
      </c>
      <c r="L804" t="s">
        <v>52</v>
      </c>
      <c r="M804" s="2">
        <v>1</v>
      </c>
      <c r="N804" s="2">
        <v>1</v>
      </c>
      <c r="P804" s="2">
        <v>2</v>
      </c>
      <c r="Q804" t="s">
        <v>1402</v>
      </c>
      <c r="R804" t="s">
        <v>2445</v>
      </c>
    </row>
    <row r="805" spans="1:18" x14ac:dyDescent="0.25">
      <c r="A805" s="4">
        <v>102050715300</v>
      </c>
      <c r="B805" s="4" t="str">
        <f t="shared" si="16"/>
        <v>102050715300OVR</v>
      </c>
      <c r="C805" t="s">
        <v>1717</v>
      </c>
      <c r="D805" t="s">
        <v>46</v>
      </c>
      <c r="E805">
        <v>20411454</v>
      </c>
      <c r="F805" t="s">
        <v>2477</v>
      </c>
      <c r="G805" t="s">
        <v>49</v>
      </c>
      <c r="H805" t="s">
        <v>1238</v>
      </c>
      <c r="I805" s="1">
        <v>45566</v>
      </c>
      <c r="J805" s="1">
        <v>45992</v>
      </c>
      <c r="K805" t="s">
        <v>51</v>
      </c>
      <c r="L805" t="s">
        <v>52</v>
      </c>
      <c r="M805" s="2">
        <v>1</v>
      </c>
      <c r="N805" s="2">
        <v>1</v>
      </c>
      <c r="P805" s="2">
        <v>2</v>
      </c>
      <c r="Q805" t="s">
        <v>1402</v>
      </c>
      <c r="R805" t="s">
        <v>2445</v>
      </c>
    </row>
    <row r="806" spans="1:18" x14ac:dyDescent="0.25">
      <c r="A806" s="4">
        <v>102054994500</v>
      </c>
      <c r="B806" s="4" t="str">
        <f t="shared" si="16"/>
        <v>102054994500OVR</v>
      </c>
      <c r="C806" t="s">
        <v>1726</v>
      </c>
      <c r="D806" t="s">
        <v>1248</v>
      </c>
      <c r="E806">
        <v>20411454</v>
      </c>
      <c r="F806" t="s">
        <v>2477</v>
      </c>
      <c r="G806" t="s">
        <v>49</v>
      </c>
      <c r="H806" t="s">
        <v>1238</v>
      </c>
      <c r="I806" s="1">
        <v>45566</v>
      </c>
      <c r="J806" s="1">
        <v>45992</v>
      </c>
      <c r="K806" t="s">
        <v>51</v>
      </c>
      <c r="L806" t="s">
        <v>52</v>
      </c>
      <c r="M806" s="2">
        <v>1</v>
      </c>
      <c r="N806" s="2">
        <v>1</v>
      </c>
      <c r="P806" s="2">
        <v>2</v>
      </c>
      <c r="Q806" t="s">
        <v>1402</v>
      </c>
      <c r="R806" t="s">
        <v>2445</v>
      </c>
    </row>
    <row r="807" spans="1:18" x14ac:dyDescent="0.25">
      <c r="A807" s="4">
        <v>102054999900</v>
      </c>
      <c r="B807" s="4" t="str">
        <f t="shared" si="16"/>
        <v>102054999900OVR</v>
      </c>
      <c r="C807" t="s">
        <v>1727</v>
      </c>
      <c r="D807" t="s">
        <v>491</v>
      </c>
      <c r="E807">
        <v>20411454</v>
      </c>
      <c r="F807" t="s">
        <v>2477</v>
      </c>
      <c r="G807" t="s">
        <v>49</v>
      </c>
      <c r="H807" t="s">
        <v>1238</v>
      </c>
      <c r="I807" s="1">
        <v>45566</v>
      </c>
      <c r="J807" s="1">
        <v>45992</v>
      </c>
      <c r="K807" t="s">
        <v>51</v>
      </c>
      <c r="L807" t="s">
        <v>52</v>
      </c>
      <c r="M807" s="2">
        <v>1</v>
      </c>
      <c r="N807" s="2">
        <v>1</v>
      </c>
      <c r="P807" s="2">
        <v>2</v>
      </c>
      <c r="Q807" t="s">
        <v>1402</v>
      </c>
      <c r="R807" t="s">
        <v>2445</v>
      </c>
    </row>
    <row r="808" spans="1:18" x14ac:dyDescent="0.25">
      <c r="A808" s="4">
        <v>102055396200</v>
      </c>
      <c r="B808" s="4" t="str">
        <f t="shared" si="16"/>
        <v>102055396200OVR</v>
      </c>
      <c r="C808" t="s">
        <v>1728</v>
      </c>
      <c r="D808" t="s">
        <v>46</v>
      </c>
      <c r="E808">
        <v>20411454</v>
      </c>
      <c r="F808" t="s">
        <v>2477</v>
      </c>
      <c r="G808" t="s">
        <v>49</v>
      </c>
      <c r="H808" t="s">
        <v>1238</v>
      </c>
      <c r="I808" s="1">
        <v>45566</v>
      </c>
      <c r="J808" s="1">
        <v>45992</v>
      </c>
      <c r="K808" t="s">
        <v>51</v>
      </c>
      <c r="L808" t="s">
        <v>52</v>
      </c>
      <c r="M808" s="2">
        <v>1</v>
      </c>
      <c r="N808" s="2">
        <v>1</v>
      </c>
      <c r="P808" s="2">
        <v>2</v>
      </c>
      <c r="Q808" t="s">
        <v>1402</v>
      </c>
      <c r="R808" t="s">
        <v>2445</v>
      </c>
    </row>
    <row r="809" spans="1:18" x14ac:dyDescent="0.25">
      <c r="A809" s="4">
        <v>102056819400</v>
      </c>
      <c r="B809" s="4" t="str">
        <f t="shared" si="16"/>
        <v>102056819400OVR</v>
      </c>
      <c r="C809" t="s">
        <v>1730</v>
      </c>
      <c r="D809" t="s">
        <v>61</v>
      </c>
      <c r="E809">
        <v>20411454</v>
      </c>
      <c r="F809" t="s">
        <v>2477</v>
      </c>
      <c r="G809" t="s">
        <v>49</v>
      </c>
      <c r="H809" t="s">
        <v>1238</v>
      </c>
      <c r="I809" s="1">
        <v>45566</v>
      </c>
      <c r="J809" s="1">
        <v>45992</v>
      </c>
      <c r="K809" t="s">
        <v>51</v>
      </c>
      <c r="L809" t="s">
        <v>52</v>
      </c>
      <c r="M809" s="2">
        <v>1</v>
      </c>
      <c r="N809" s="2">
        <v>1</v>
      </c>
      <c r="P809" s="2">
        <v>2</v>
      </c>
      <c r="Q809" t="s">
        <v>1402</v>
      </c>
      <c r="R809" t="s">
        <v>2445</v>
      </c>
    </row>
    <row r="810" spans="1:18" x14ac:dyDescent="0.25">
      <c r="A810" s="4">
        <v>102056835200</v>
      </c>
      <c r="B810" s="4" t="str">
        <f t="shared" si="16"/>
        <v>102056835200OVR</v>
      </c>
      <c r="C810" t="s">
        <v>1731</v>
      </c>
      <c r="D810" t="s">
        <v>491</v>
      </c>
      <c r="E810">
        <v>20411454</v>
      </c>
      <c r="F810" t="s">
        <v>2477</v>
      </c>
      <c r="G810" t="s">
        <v>49</v>
      </c>
      <c r="H810" t="s">
        <v>1238</v>
      </c>
      <c r="I810" s="1">
        <v>45566</v>
      </c>
      <c r="J810" s="1">
        <v>45992</v>
      </c>
      <c r="K810" t="s">
        <v>51</v>
      </c>
      <c r="L810" t="s">
        <v>52</v>
      </c>
      <c r="M810" s="2">
        <v>1</v>
      </c>
      <c r="N810" s="2">
        <v>1</v>
      </c>
      <c r="P810" s="2">
        <v>2</v>
      </c>
      <c r="Q810" t="s">
        <v>1402</v>
      </c>
      <c r="R810" t="s">
        <v>2445</v>
      </c>
    </row>
    <row r="811" spans="1:18" x14ac:dyDescent="0.25">
      <c r="A811" s="4">
        <v>102058162400</v>
      </c>
      <c r="B811" s="4" t="str">
        <f t="shared" si="16"/>
        <v>102058162400OVR</v>
      </c>
      <c r="C811" t="s">
        <v>1733</v>
      </c>
      <c r="D811" t="s">
        <v>491</v>
      </c>
      <c r="E811">
        <v>20411454</v>
      </c>
      <c r="F811" t="s">
        <v>2477</v>
      </c>
      <c r="G811" t="s">
        <v>49</v>
      </c>
      <c r="H811" t="s">
        <v>1238</v>
      </c>
      <c r="I811" s="1">
        <v>45566</v>
      </c>
      <c r="J811" s="1">
        <v>45992</v>
      </c>
      <c r="K811" t="s">
        <v>51</v>
      </c>
      <c r="L811" t="s">
        <v>52</v>
      </c>
      <c r="M811" s="2">
        <v>1</v>
      </c>
      <c r="N811" s="2">
        <v>1</v>
      </c>
      <c r="P811" s="2">
        <v>2</v>
      </c>
      <c r="Q811" t="s">
        <v>1402</v>
      </c>
      <c r="R811" t="s">
        <v>2445</v>
      </c>
    </row>
    <row r="812" spans="1:18" x14ac:dyDescent="0.25">
      <c r="A812" s="4">
        <v>102059200300</v>
      </c>
      <c r="B812" s="4" t="str">
        <f t="shared" si="16"/>
        <v>102059200300OVR</v>
      </c>
      <c r="C812" t="s">
        <v>1735</v>
      </c>
      <c r="D812" t="s">
        <v>46</v>
      </c>
      <c r="E812">
        <v>20411454</v>
      </c>
      <c r="F812" t="s">
        <v>2477</v>
      </c>
      <c r="G812" t="s">
        <v>49</v>
      </c>
      <c r="H812" t="s">
        <v>1238</v>
      </c>
      <c r="I812" s="1">
        <v>45566</v>
      </c>
      <c r="J812" s="1">
        <v>45992</v>
      </c>
      <c r="K812" t="s">
        <v>51</v>
      </c>
      <c r="L812" t="s">
        <v>52</v>
      </c>
      <c r="M812" s="2">
        <v>1</v>
      </c>
      <c r="N812" s="2">
        <v>1</v>
      </c>
      <c r="P812" s="2">
        <v>2</v>
      </c>
      <c r="Q812" t="s">
        <v>1402</v>
      </c>
      <c r="R812" t="s">
        <v>2445</v>
      </c>
    </row>
    <row r="813" spans="1:18" x14ac:dyDescent="0.25">
      <c r="A813" s="4">
        <v>102059218000</v>
      </c>
      <c r="B813" s="4" t="str">
        <f t="shared" si="16"/>
        <v>102059218000OVR</v>
      </c>
      <c r="C813" t="s">
        <v>1736</v>
      </c>
      <c r="D813" t="s">
        <v>491</v>
      </c>
      <c r="E813">
        <v>20411454</v>
      </c>
      <c r="F813" t="s">
        <v>2477</v>
      </c>
      <c r="G813" t="s">
        <v>49</v>
      </c>
      <c r="H813" t="s">
        <v>1238</v>
      </c>
      <c r="I813" s="1">
        <v>45566</v>
      </c>
      <c r="J813" s="1">
        <v>45992</v>
      </c>
      <c r="K813" t="s">
        <v>51</v>
      </c>
      <c r="L813" t="s">
        <v>52</v>
      </c>
      <c r="M813" s="2">
        <v>1</v>
      </c>
      <c r="N813" s="2">
        <v>1</v>
      </c>
      <c r="P813" s="2">
        <v>2</v>
      </c>
      <c r="Q813" t="s">
        <v>1402</v>
      </c>
      <c r="R813" t="s">
        <v>2445</v>
      </c>
    </row>
    <row r="814" spans="1:18" x14ac:dyDescent="0.25">
      <c r="A814" s="4">
        <v>102059559800</v>
      </c>
      <c r="B814" s="4" t="str">
        <f t="shared" si="16"/>
        <v>102059559800OVR</v>
      </c>
      <c r="C814" t="s">
        <v>1737</v>
      </c>
      <c r="D814" t="s">
        <v>491</v>
      </c>
      <c r="E814">
        <v>20411454</v>
      </c>
      <c r="F814" t="s">
        <v>2477</v>
      </c>
      <c r="G814" t="s">
        <v>49</v>
      </c>
      <c r="H814" t="s">
        <v>1238</v>
      </c>
      <c r="I814" s="1">
        <v>45566</v>
      </c>
      <c r="J814" s="1">
        <v>45992</v>
      </c>
      <c r="K814" t="s">
        <v>51</v>
      </c>
      <c r="L814" t="s">
        <v>52</v>
      </c>
      <c r="M814" s="2">
        <v>1</v>
      </c>
      <c r="N814" s="2">
        <v>1</v>
      </c>
      <c r="P814" s="2">
        <v>2</v>
      </c>
      <c r="Q814" t="s">
        <v>1402</v>
      </c>
      <c r="R814" t="s">
        <v>2445</v>
      </c>
    </row>
    <row r="815" spans="1:18" x14ac:dyDescent="0.25">
      <c r="A815" s="4">
        <v>102059560100</v>
      </c>
      <c r="B815" s="4" t="str">
        <f t="shared" si="16"/>
        <v>102059560100OVR</v>
      </c>
      <c r="C815" t="s">
        <v>1738</v>
      </c>
      <c r="D815" t="s">
        <v>496</v>
      </c>
      <c r="E815">
        <v>20411454</v>
      </c>
      <c r="F815" t="s">
        <v>2477</v>
      </c>
      <c r="G815" t="s">
        <v>49</v>
      </c>
      <c r="H815" t="s">
        <v>1238</v>
      </c>
      <c r="I815" s="1">
        <v>45566</v>
      </c>
      <c r="J815" s="1">
        <v>45992</v>
      </c>
      <c r="K815" t="s">
        <v>51</v>
      </c>
      <c r="L815" t="s">
        <v>52</v>
      </c>
      <c r="M815" s="2">
        <v>1</v>
      </c>
      <c r="N815" s="2">
        <v>1</v>
      </c>
      <c r="P815" s="2">
        <v>2</v>
      </c>
      <c r="Q815" t="s">
        <v>1402</v>
      </c>
      <c r="R815" t="s">
        <v>2445</v>
      </c>
    </row>
    <row r="816" spans="1:18" x14ac:dyDescent="0.25">
      <c r="A816" s="4">
        <v>102061419300</v>
      </c>
      <c r="B816" s="4" t="str">
        <f t="shared" si="16"/>
        <v>102061419300OVR</v>
      </c>
      <c r="C816" t="s">
        <v>1741</v>
      </c>
      <c r="D816" t="s">
        <v>491</v>
      </c>
      <c r="E816">
        <v>20411454</v>
      </c>
      <c r="F816" t="s">
        <v>2477</v>
      </c>
      <c r="G816" t="s">
        <v>49</v>
      </c>
      <c r="H816" t="s">
        <v>1238</v>
      </c>
      <c r="I816" s="1">
        <v>45566</v>
      </c>
      <c r="J816" s="1">
        <v>45992</v>
      </c>
      <c r="K816" t="s">
        <v>51</v>
      </c>
      <c r="L816" t="s">
        <v>52</v>
      </c>
      <c r="M816" s="2">
        <v>1</v>
      </c>
      <c r="N816" s="2">
        <v>1</v>
      </c>
      <c r="P816" s="2">
        <v>2</v>
      </c>
      <c r="Q816" t="s">
        <v>1402</v>
      </c>
      <c r="R816" t="s">
        <v>2445</v>
      </c>
    </row>
    <row r="817" spans="1:18" x14ac:dyDescent="0.25">
      <c r="A817" s="4">
        <v>102061556500</v>
      </c>
      <c r="B817" s="4" t="str">
        <f t="shared" si="16"/>
        <v>102061556500OVR</v>
      </c>
      <c r="C817" t="s">
        <v>1742</v>
      </c>
      <c r="D817" t="s">
        <v>46</v>
      </c>
      <c r="E817">
        <v>20411454</v>
      </c>
      <c r="F817" t="s">
        <v>2477</v>
      </c>
      <c r="G817" t="s">
        <v>49</v>
      </c>
      <c r="H817" t="s">
        <v>1238</v>
      </c>
      <c r="I817" s="1">
        <v>45566</v>
      </c>
      <c r="J817" s="1">
        <v>45992</v>
      </c>
      <c r="K817" t="s">
        <v>51</v>
      </c>
      <c r="L817" t="s">
        <v>52</v>
      </c>
      <c r="M817" s="2">
        <v>1</v>
      </c>
      <c r="N817" s="2">
        <v>1</v>
      </c>
      <c r="P817" s="2">
        <v>2</v>
      </c>
      <c r="Q817" t="s">
        <v>1402</v>
      </c>
      <c r="R817" t="s">
        <v>2445</v>
      </c>
    </row>
    <row r="818" spans="1:18" x14ac:dyDescent="0.25">
      <c r="A818" s="4">
        <v>102061588300</v>
      </c>
      <c r="B818" s="4" t="str">
        <f t="shared" si="16"/>
        <v>102061588300OVR</v>
      </c>
      <c r="C818" t="s">
        <v>1743</v>
      </c>
      <c r="D818" t="s">
        <v>491</v>
      </c>
      <c r="E818">
        <v>20411454</v>
      </c>
      <c r="F818" t="s">
        <v>2477</v>
      </c>
      <c r="G818" t="s">
        <v>49</v>
      </c>
      <c r="H818" t="s">
        <v>1238</v>
      </c>
      <c r="I818" s="1">
        <v>45566</v>
      </c>
      <c r="J818" s="1">
        <v>45992</v>
      </c>
      <c r="K818" t="s">
        <v>51</v>
      </c>
      <c r="L818" t="s">
        <v>52</v>
      </c>
      <c r="M818" s="2">
        <v>1</v>
      </c>
      <c r="N818" s="2">
        <v>1</v>
      </c>
      <c r="P818" s="2">
        <v>2</v>
      </c>
      <c r="Q818" t="s">
        <v>1402</v>
      </c>
      <c r="R818" t="s">
        <v>2445</v>
      </c>
    </row>
    <row r="819" spans="1:18" x14ac:dyDescent="0.25">
      <c r="A819" s="4">
        <v>102061850500</v>
      </c>
      <c r="B819" s="4" t="str">
        <f t="shared" si="16"/>
        <v>102061850500OVR</v>
      </c>
      <c r="C819" t="s">
        <v>1744</v>
      </c>
      <c r="D819" t="s">
        <v>46</v>
      </c>
      <c r="E819">
        <v>20411454</v>
      </c>
      <c r="F819" t="s">
        <v>2477</v>
      </c>
      <c r="G819" t="s">
        <v>49</v>
      </c>
      <c r="H819" t="s">
        <v>1238</v>
      </c>
      <c r="I819" s="1">
        <v>45566</v>
      </c>
      <c r="J819" s="1">
        <v>45992</v>
      </c>
      <c r="K819" t="s">
        <v>51</v>
      </c>
      <c r="L819" t="s">
        <v>52</v>
      </c>
      <c r="M819" s="2">
        <v>1</v>
      </c>
      <c r="N819" s="2">
        <v>1</v>
      </c>
      <c r="P819" s="2">
        <v>2</v>
      </c>
      <c r="Q819" t="s">
        <v>1402</v>
      </c>
      <c r="R819" t="s">
        <v>2445</v>
      </c>
    </row>
    <row r="820" spans="1:18" x14ac:dyDescent="0.25">
      <c r="A820" s="4">
        <v>102063468900</v>
      </c>
      <c r="B820" s="4" t="str">
        <f t="shared" ref="B820:B883" si="17">CONCATENATE(A820,"OVR")</f>
        <v>102063468900OVR</v>
      </c>
      <c r="C820" t="s">
        <v>1746</v>
      </c>
      <c r="D820" t="s">
        <v>46</v>
      </c>
      <c r="E820">
        <v>20411454</v>
      </c>
      <c r="F820" t="s">
        <v>2477</v>
      </c>
      <c r="G820" t="s">
        <v>49</v>
      </c>
      <c r="H820" t="s">
        <v>1238</v>
      </c>
      <c r="I820" s="1">
        <v>45566</v>
      </c>
      <c r="J820" s="1">
        <v>45992</v>
      </c>
      <c r="K820" t="s">
        <v>51</v>
      </c>
      <c r="L820" t="s">
        <v>52</v>
      </c>
      <c r="M820" s="2">
        <v>1</v>
      </c>
      <c r="N820" s="2">
        <v>1</v>
      </c>
      <c r="P820" s="2">
        <v>2</v>
      </c>
      <c r="Q820" t="s">
        <v>1402</v>
      </c>
      <c r="R820" t="s">
        <v>2445</v>
      </c>
    </row>
    <row r="821" spans="1:18" x14ac:dyDescent="0.25">
      <c r="A821" s="4">
        <v>102064231900</v>
      </c>
      <c r="B821" s="4" t="str">
        <f t="shared" si="17"/>
        <v>102064231900OVR</v>
      </c>
      <c r="C821" t="s">
        <v>1749</v>
      </c>
      <c r="D821" t="s">
        <v>491</v>
      </c>
      <c r="E821">
        <v>20411454</v>
      </c>
      <c r="F821" t="s">
        <v>2477</v>
      </c>
      <c r="G821" t="s">
        <v>49</v>
      </c>
      <c r="H821" t="s">
        <v>1238</v>
      </c>
      <c r="I821" s="1">
        <v>45566</v>
      </c>
      <c r="J821" s="1">
        <v>45992</v>
      </c>
      <c r="K821" t="s">
        <v>51</v>
      </c>
      <c r="L821" t="s">
        <v>52</v>
      </c>
      <c r="M821" s="2">
        <v>1</v>
      </c>
      <c r="N821" s="2">
        <v>1</v>
      </c>
      <c r="P821" s="2">
        <v>2</v>
      </c>
      <c r="Q821" t="s">
        <v>1402</v>
      </c>
      <c r="R821" t="s">
        <v>2445</v>
      </c>
    </row>
    <row r="822" spans="1:18" x14ac:dyDescent="0.25">
      <c r="A822" s="4">
        <v>102064758600</v>
      </c>
      <c r="B822" s="4" t="str">
        <f t="shared" si="17"/>
        <v>102064758600OVR</v>
      </c>
      <c r="C822" t="s">
        <v>1750</v>
      </c>
      <c r="D822" t="s">
        <v>491</v>
      </c>
      <c r="E822">
        <v>20411454</v>
      </c>
      <c r="F822" t="s">
        <v>2477</v>
      </c>
      <c r="G822" t="s">
        <v>49</v>
      </c>
      <c r="H822" t="s">
        <v>1238</v>
      </c>
      <c r="I822" s="1">
        <v>45566</v>
      </c>
      <c r="J822" s="1">
        <v>45992</v>
      </c>
      <c r="K822" t="s">
        <v>51</v>
      </c>
      <c r="L822" t="s">
        <v>52</v>
      </c>
      <c r="M822" s="2">
        <v>1</v>
      </c>
      <c r="N822" s="2">
        <v>1</v>
      </c>
      <c r="P822" s="2">
        <v>2</v>
      </c>
      <c r="Q822" t="s">
        <v>1402</v>
      </c>
      <c r="R822" t="s">
        <v>2445</v>
      </c>
    </row>
    <row r="823" spans="1:18" x14ac:dyDescent="0.25">
      <c r="A823" s="4">
        <v>102064852300</v>
      </c>
      <c r="B823" s="4" t="str">
        <f t="shared" si="17"/>
        <v>102064852300OVR</v>
      </c>
      <c r="C823" t="s">
        <v>1752</v>
      </c>
      <c r="D823" t="s">
        <v>46</v>
      </c>
      <c r="E823">
        <v>20411454</v>
      </c>
      <c r="F823" t="s">
        <v>2477</v>
      </c>
      <c r="G823" t="s">
        <v>49</v>
      </c>
      <c r="H823" t="s">
        <v>1238</v>
      </c>
      <c r="I823" s="1">
        <v>45566</v>
      </c>
      <c r="J823" s="1">
        <v>45992</v>
      </c>
      <c r="K823" t="s">
        <v>51</v>
      </c>
      <c r="L823" t="s">
        <v>52</v>
      </c>
      <c r="M823" s="2">
        <v>1</v>
      </c>
      <c r="N823" s="2">
        <v>1</v>
      </c>
      <c r="P823" s="2">
        <v>2</v>
      </c>
      <c r="Q823" t="s">
        <v>1402</v>
      </c>
      <c r="R823" t="s">
        <v>2445</v>
      </c>
    </row>
    <row r="824" spans="1:18" x14ac:dyDescent="0.25">
      <c r="A824" s="4">
        <v>101301145800</v>
      </c>
      <c r="B824" s="4" t="str">
        <f t="shared" si="17"/>
        <v>101301145800OVR</v>
      </c>
      <c r="C824" t="s">
        <v>1472</v>
      </c>
      <c r="D824" t="s">
        <v>491</v>
      </c>
      <c r="E824">
        <v>20411454</v>
      </c>
      <c r="F824" t="s">
        <v>2477</v>
      </c>
      <c r="G824" t="s">
        <v>49</v>
      </c>
      <c r="H824" t="s">
        <v>1473</v>
      </c>
      <c r="I824" s="1">
        <v>45566</v>
      </c>
      <c r="J824" s="1">
        <v>45992</v>
      </c>
      <c r="K824" t="s">
        <v>51</v>
      </c>
      <c r="L824" t="s">
        <v>52</v>
      </c>
      <c r="M824" s="2">
        <v>1</v>
      </c>
      <c r="N824" s="2">
        <v>1</v>
      </c>
      <c r="P824" s="2">
        <v>2</v>
      </c>
      <c r="Q824" t="s">
        <v>1402</v>
      </c>
      <c r="R824" t="s">
        <v>2445</v>
      </c>
    </row>
    <row r="825" spans="1:18" x14ac:dyDescent="0.25">
      <c r="A825" s="4">
        <v>102059613800</v>
      </c>
      <c r="B825" s="4" t="str">
        <f t="shared" si="17"/>
        <v>102059613800OVR</v>
      </c>
      <c r="C825" t="s">
        <v>1739</v>
      </c>
      <c r="D825" t="s">
        <v>491</v>
      </c>
      <c r="E825">
        <v>20411454</v>
      </c>
      <c r="F825" t="s">
        <v>2477</v>
      </c>
      <c r="G825" t="s">
        <v>49</v>
      </c>
      <c r="H825" t="s">
        <v>1473</v>
      </c>
      <c r="I825" s="1">
        <v>45566</v>
      </c>
      <c r="J825" s="1">
        <v>45992</v>
      </c>
      <c r="K825" t="s">
        <v>51</v>
      </c>
      <c r="L825" t="s">
        <v>52</v>
      </c>
      <c r="M825" s="2">
        <v>1</v>
      </c>
      <c r="N825" s="2">
        <v>1</v>
      </c>
      <c r="P825" s="2">
        <v>2</v>
      </c>
      <c r="Q825" t="s">
        <v>1402</v>
      </c>
      <c r="R825" t="s">
        <v>2445</v>
      </c>
    </row>
    <row r="826" spans="1:18" x14ac:dyDescent="0.25">
      <c r="A826" s="4">
        <v>102059621800</v>
      </c>
      <c r="B826" s="4" t="str">
        <f t="shared" si="17"/>
        <v>102059621800OVR</v>
      </c>
      <c r="C826" t="s">
        <v>1740</v>
      </c>
      <c r="D826" t="s">
        <v>491</v>
      </c>
      <c r="E826">
        <v>20411454</v>
      </c>
      <c r="F826" t="s">
        <v>2477</v>
      </c>
      <c r="G826" t="s">
        <v>49</v>
      </c>
      <c r="H826" t="s">
        <v>1473</v>
      </c>
      <c r="I826" s="1">
        <v>45566</v>
      </c>
      <c r="J826" s="1">
        <v>45992</v>
      </c>
      <c r="K826" t="s">
        <v>51</v>
      </c>
      <c r="L826" t="s">
        <v>52</v>
      </c>
      <c r="M826" s="2">
        <v>1</v>
      </c>
      <c r="N826" s="2">
        <v>1</v>
      </c>
      <c r="P826" s="2">
        <v>2</v>
      </c>
      <c r="Q826" t="s">
        <v>1402</v>
      </c>
      <c r="R826" t="s">
        <v>2445</v>
      </c>
    </row>
    <row r="827" spans="1:18" x14ac:dyDescent="0.25">
      <c r="A827" s="4">
        <v>102063802200</v>
      </c>
      <c r="B827" s="4" t="str">
        <f t="shared" si="17"/>
        <v>102063802200OVR</v>
      </c>
      <c r="C827" t="s">
        <v>1747</v>
      </c>
      <c r="D827" t="s">
        <v>87</v>
      </c>
      <c r="E827">
        <v>20411454</v>
      </c>
      <c r="F827" t="s">
        <v>2477</v>
      </c>
      <c r="G827" t="s">
        <v>49</v>
      </c>
      <c r="H827" t="s">
        <v>1473</v>
      </c>
      <c r="I827" s="1">
        <v>45566</v>
      </c>
      <c r="J827" s="1">
        <v>45992</v>
      </c>
      <c r="K827" t="s">
        <v>51</v>
      </c>
      <c r="L827" t="s">
        <v>52</v>
      </c>
      <c r="M827" s="2">
        <v>1</v>
      </c>
      <c r="N827" s="2">
        <v>1</v>
      </c>
      <c r="P827" s="2">
        <v>2</v>
      </c>
      <c r="Q827" t="s">
        <v>1402</v>
      </c>
      <c r="R827" t="s">
        <v>2445</v>
      </c>
    </row>
    <row r="828" spans="1:18" x14ac:dyDescent="0.25">
      <c r="A828" s="4">
        <v>102063811100</v>
      </c>
      <c r="B828" s="4" t="str">
        <f t="shared" si="17"/>
        <v>102063811100OVR</v>
      </c>
      <c r="C828" t="s">
        <v>1748</v>
      </c>
      <c r="D828" t="s">
        <v>87</v>
      </c>
      <c r="E828">
        <v>20411454</v>
      </c>
      <c r="F828" t="s">
        <v>2477</v>
      </c>
      <c r="G828" t="s">
        <v>49</v>
      </c>
      <c r="H828" t="s">
        <v>1473</v>
      </c>
      <c r="I828" s="1">
        <v>45566</v>
      </c>
      <c r="J828" s="1">
        <v>45992</v>
      </c>
      <c r="K828" t="s">
        <v>51</v>
      </c>
      <c r="L828" t="s">
        <v>52</v>
      </c>
      <c r="M828" s="2">
        <v>1</v>
      </c>
      <c r="N828" s="2">
        <v>1</v>
      </c>
      <c r="P828" s="2">
        <v>2</v>
      </c>
      <c r="Q828" t="s">
        <v>1402</v>
      </c>
      <c r="R828" t="s">
        <v>2445</v>
      </c>
    </row>
    <row r="829" spans="1:18" x14ac:dyDescent="0.25">
      <c r="A829" s="4">
        <v>102064780500</v>
      </c>
      <c r="B829" s="4" t="str">
        <f t="shared" si="17"/>
        <v>102064780500OVR</v>
      </c>
      <c r="C829" t="s">
        <v>1751</v>
      </c>
      <c r="D829" t="s">
        <v>46</v>
      </c>
      <c r="E829">
        <v>20411454</v>
      </c>
      <c r="F829" t="s">
        <v>2477</v>
      </c>
      <c r="G829" t="s">
        <v>49</v>
      </c>
      <c r="H829" t="s">
        <v>1473</v>
      </c>
      <c r="I829" s="1">
        <v>45566</v>
      </c>
      <c r="J829" s="1">
        <v>45992</v>
      </c>
      <c r="K829" t="s">
        <v>51</v>
      </c>
      <c r="L829" t="s">
        <v>52</v>
      </c>
      <c r="M829" s="2">
        <v>1</v>
      </c>
      <c r="N829" s="2">
        <v>1</v>
      </c>
      <c r="P829" s="2">
        <v>2</v>
      </c>
      <c r="Q829" t="s">
        <v>1402</v>
      </c>
      <c r="R829" t="s">
        <v>2445</v>
      </c>
    </row>
    <row r="830" spans="1:18" x14ac:dyDescent="0.25">
      <c r="A830" s="4">
        <v>101338772600</v>
      </c>
      <c r="B830" s="4" t="str">
        <f t="shared" si="17"/>
        <v>101338772600OVR</v>
      </c>
      <c r="C830" t="s">
        <v>1476</v>
      </c>
      <c r="D830" t="s">
        <v>1061</v>
      </c>
      <c r="E830">
        <v>20411454</v>
      </c>
      <c r="F830" t="s">
        <v>2477</v>
      </c>
      <c r="G830" t="s">
        <v>49</v>
      </c>
      <c r="H830" t="s">
        <v>1238</v>
      </c>
      <c r="I830" s="1">
        <v>45536</v>
      </c>
      <c r="J830" s="1">
        <v>45992</v>
      </c>
      <c r="K830" t="s">
        <v>51</v>
      </c>
      <c r="L830" t="s">
        <v>52</v>
      </c>
      <c r="M830" s="2">
        <v>1</v>
      </c>
      <c r="N830" s="2">
        <v>1</v>
      </c>
      <c r="P830" s="2">
        <v>2</v>
      </c>
      <c r="Q830" t="s">
        <v>1402</v>
      </c>
      <c r="R830" t="s">
        <v>2445</v>
      </c>
    </row>
    <row r="831" spans="1:18" x14ac:dyDescent="0.25">
      <c r="A831" s="4">
        <v>102021150000</v>
      </c>
      <c r="B831" s="4" t="str">
        <f t="shared" si="17"/>
        <v>102021150000OVR</v>
      </c>
      <c r="C831" t="s">
        <v>1653</v>
      </c>
      <c r="D831" t="s">
        <v>491</v>
      </c>
      <c r="E831">
        <v>20411454</v>
      </c>
      <c r="F831" t="s">
        <v>2477</v>
      </c>
      <c r="G831" t="s">
        <v>49</v>
      </c>
      <c r="H831" t="s">
        <v>1238</v>
      </c>
      <c r="I831" s="1">
        <v>45536</v>
      </c>
      <c r="J831" s="1">
        <v>45992</v>
      </c>
      <c r="K831" t="s">
        <v>51</v>
      </c>
      <c r="L831" t="s">
        <v>52</v>
      </c>
      <c r="M831" s="2">
        <v>1</v>
      </c>
      <c r="N831" s="2">
        <v>1</v>
      </c>
      <c r="P831" s="2">
        <v>2</v>
      </c>
      <c r="Q831" t="s">
        <v>1402</v>
      </c>
      <c r="R831" t="s">
        <v>2445</v>
      </c>
    </row>
    <row r="832" spans="1:18" x14ac:dyDescent="0.25">
      <c r="A832" s="4">
        <v>102021703600</v>
      </c>
      <c r="B832" s="4" t="str">
        <f t="shared" si="17"/>
        <v>102021703600OVR</v>
      </c>
      <c r="C832" t="s">
        <v>1655</v>
      </c>
      <c r="D832" t="s">
        <v>491</v>
      </c>
      <c r="E832">
        <v>20411454</v>
      </c>
      <c r="F832" t="s">
        <v>2477</v>
      </c>
      <c r="G832" t="s">
        <v>49</v>
      </c>
      <c r="H832" t="s">
        <v>1238</v>
      </c>
      <c r="I832" s="1">
        <v>45536</v>
      </c>
      <c r="J832" s="1">
        <v>45992</v>
      </c>
      <c r="K832" t="s">
        <v>51</v>
      </c>
      <c r="L832" t="s">
        <v>52</v>
      </c>
      <c r="M832" s="2">
        <v>1</v>
      </c>
      <c r="N832" s="2">
        <v>1</v>
      </c>
      <c r="P832" s="2">
        <v>2</v>
      </c>
      <c r="Q832" t="s">
        <v>1402</v>
      </c>
      <c r="R832" t="s">
        <v>2445</v>
      </c>
    </row>
    <row r="833" spans="1:18" x14ac:dyDescent="0.25">
      <c r="A833" s="4">
        <v>102034658300</v>
      </c>
      <c r="B833" s="4" t="str">
        <f t="shared" si="17"/>
        <v>102034658300OVR</v>
      </c>
      <c r="C833" t="s">
        <v>1675</v>
      </c>
      <c r="D833" t="s">
        <v>491</v>
      </c>
      <c r="E833">
        <v>20411454</v>
      </c>
      <c r="F833" t="s">
        <v>2477</v>
      </c>
      <c r="G833" t="s">
        <v>49</v>
      </c>
      <c r="H833" t="s">
        <v>1238</v>
      </c>
      <c r="I833" s="1">
        <v>45536</v>
      </c>
      <c r="J833" s="1">
        <v>45992</v>
      </c>
      <c r="K833" t="s">
        <v>51</v>
      </c>
      <c r="L833" t="s">
        <v>52</v>
      </c>
      <c r="M833" s="2">
        <v>1</v>
      </c>
      <c r="N833" s="2">
        <v>1</v>
      </c>
      <c r="P833" s="2">
        <v>2</v>
      </c>
      <c r="Q833" t="s">
        <v>1402</v>
      </c>
      <c r="R833" t="s">
        <v>2445</v>
      </c>
    </row>
    <row r="834" spans="1:18" x14ac:dyDescent="0.25">
      <c r="A834" s="4">
        <v>102035247000</v>
      </c>
      <c r="B834" s="4" t="str">
        <f t="shared" si="17"/>
        <v>102035247000OVR</v>
      </c>
      <c r="C834" t="s">
        <v>1676</v>
      </c>
      <c r="D834" t="s">
        <v>491</v>
      </c>
      <c r="E834">
        <v>20411454</v>
      </c>
      <c r="F834" t="s">
        <v>2477</v>
      </c>
      <c r="G834" t="s">
        <v>49</v>
      </c>
      <c r="H834" t="s">
        <v>1238</v>
      </c>
      <c r="I834" s="1">
        <v>45536</v>
      </c>
      <c r="J834" s="1">
        <v>45992</v>
      </c>
      <c r="K834" t="s">
        <v>51</v>
      </c>
      <c r="L834" t="s">
        <v>52</v>
      </c>
      <c r="M834" s="2">
        <v>1</v>
      </c>
      <c r="N834" s="2">
        <v>1</v>
      </c>
      <c r="P834" s="2">
        <v>2</v>
      </c>
      <c r="Q834" t="s">
        <v>1402</v>
      </c>
      <c r="R834" t="s">
        <v>2445</v>
      </c>
    </row>
    <row r="835" spans="1:18" x14ac:dyDescent="0.25">
      <c r="A835" s="4">
        <v>102040124800</v>
      </c>
      <c r="B835" s="4" t="str">
        <f t="shared" si="17"/>
        <v>102040124800OVR</v>
      </c>
      <c r="C835" t="s">
        <v>1691</v>
      </c>
      <c r="D835" t="s">
        <v>55</v>
      </c>
      <c r="E835">
        <v>20411454</v>
      </c>
      <c r="F835" t="s">
        <v>2477</v>
      </c>
      <c r="G835" t="s">
        <v>49</v>
      </c>
      <c r="H835" t="s">
        <v>1238</v>
      </c>
      <c r="I835" s="1">
        <v>45536</v>
      </c>
      <c r="J835" s="1">
        <v>45992</v>
      </c>
      <c r="K835" t="s">
        <v>51</v>
      </c>
      <c r="L835" t="s">
        <v>52</v>
      </c>
      <c r="M835" s="2">
        <v>1</v>
      </c>
      <c r="N835" s="2">
        <v>1</v>
      </c>
      <c r="P835" s="2">
        <v>2</v>
      </c>
      <c r="Q835" t="s">
        <v>1402</v>
      </c>
      <c r="R835" t="s">
        <v>2445</v>
      </c>
    </row>
    <row r="836" spans="1:18" x14ac:dyDescent="0.25">
      <c r="A836" s="4">
        <v>102042487000</v>
      </c>
      <c r="B836" s="4" t="str">
        <f t="shared" si="17"/>
        <v>102042487000OVR</v>
      </c>
      <c r="C836" t="s">
        <v>1694</v>
      </c>
      <c r="D836" t="s">
        <v>491</v>
      </c>
      <c r="E836">
        <v>20411454</v>
      </c>
      <c r="F836" t="s">
        <v>2477</v>
      </c>
      <c r="G836" t="s">
        <v>49</v>
      </c>
      <c r="H836" t="s">
        <v>1238</v>
      </c>
      <c r="I836" s="1">
        <v>45536</v>
      </c>
      <c r="J836" s="1">
        <v>45992</v>
      </c>
      <c r="K836" t="s">
        <v>51</v>
      </c>
      <c r="L836" t="s">
        <v>52</v>
      </c>
      <c r="M836" s="2">
        <v>1</v>
      </c>
      <c r="N836" s="2">
        <v>1</v>
      </c>
      <c r="P836" s="2">
        <v>2</v>
      </c>
      <c r="Q836" t="s">
        <v>1402</v>
      </c>
      <c r="R836" t="s">
        <v>2445</v>
      </c>
    </row>
    <row r="837" spans="1:18" x14ac:dyDescent="0.25">
      <c r="A837" s="4">
        <v>102043872000</v>
      </c>
      <c r="B837" s="4" t="str">
        <f t="shared" si="17"/>
        <v>102043872000OVR</v>
      </c>
      <c r="C837" t="s">
        <v>1697</v>
      </c>
      <c r="D837" t="s">
        <v>491</v>
      </c>
      <c r="E837">
        <v>20411454</v>
      </c>
      <c r="F837" t="s">
        <v>2477</v>
      </c>
      <c r="G837" t="s">
        <v>49</v>
      </c>
      <c r="H837" t="s">
        <v>1238</v>
      </c>
      <c r="I837" s="1">
        <v>45536</v>
      </c>
      <c r="J837" s="1">
        <v>45992</v>
      </c>
      <c r="K837" t="s">
        <v>51</v>
      </c>
      <c r="L837" t="s">
        <v>52</v>
      </c>
      <c r="M837" s="2">
        <v>1</v>
      </c>
      <c r="N837" s="2">
        <v>1</v>
      </c>
      <c r="P837" s="2">
        <v>2</v>
      </c>
      <c r="Q837" t="s">
        <v>1402</v>
      </c>
      <c r="R837" t="s">
        <v>2445</v>
      </c>
    </row>
    <row r="838" spans="1:18" x14ac:dyDescent="0.25">
      <c r="A838" s="4">
        <v>102046287500</v>
      </c>
      <c r="B838" s="4" t="str">
        <f t="shared" si="17"/>
        <v>102046287500OVR</v>
      </c>
      <c r="C838" t="s">
        <v>1701</v>
      </c>
      <c r="D838" t="s">
        <v>491</v>
      </c>
      <c r="E838">
        <v>20411454</v>
      </c>
      <c r="F838" t="s">
        <v>2477</v>
      </c>
      <c r="G838" t="s">
        <v>49</v>
      </c>
      <c r="H838" t="s">
        <v>1238</v>
      </c>
      <c r="I838" s="1">
        <v>45536</v>
      </c>
      <c r="J838" s="1">
        <v>45992</v>
      </c>
      <c r="K838" t="s">
        <v>51</v>
      </c>
      <c r="L838" t="s">
        <v>52</v>
      </c>
      <c r="M838" s="2">
        <v>1</v>
      </c>
      <c r="N838" s="2">
        <v>1</v>
      </c>
      <c r="P838" s="2">
        <v>2</v>
      </c>
      <c r="Q838" t="s">
        <v>1402</v>
      </c>
      <c r="R838" t="s">
        <v>2445</v>
      </c>
    </row>
    <row r="839" spans="1:18" x14ac:dyDescent="0.25">
      <c r="A839" s="4">
        <v>102046673700</v>
      </c>
      <c r="B839" s="4" t="str">
        <f t="shared" si="17"/>
        <v>102046673700OVR</v>
      </c>
      <c r="C839" t="s">
        <v>1702</v>
      </c>
      <c r="D839" t="s">
        <v>491</v>
      </c>
      <c r="E839">
        <v>20411454</v>
      </c>
      <c r="F839" t="s">
        <v>2477</v>
      </c>
      <c r="G839" t="s">
        <v>49</v>
      </c>
      <c r="H839" t="s">
        <v>1238</v>
      </c>
      <c r="I839" s="1">
        <v>45536</v>
      </c>
      <c r="J839" s="1">
        <v>45992</v>
      </c>
      <c r="K839" t="s">
        <v>51</v>
      </c>
      <c r="L839" t="s">
        <v>52</v>
      </c>
      <c r="M839" s="2">
        <v>1</v>
      </c>
      <c r="N839" s="2">
        <v>1</v>
      </c>
      <c r="P839" s="2">
        <v>2</v>
      </c>
      <c r="Q839" t="s">
        <v>1402</v>
      </c>
      <c r="R839" t="s">
        <v>2445</v>
      </c>
    </row>
    <row r="840" spans="1:18" x14ac:dyDescent="0.25">
      <c r="A840" s="4">
        <v>102048695700</v>
      </c>
      <c r="B840" s="4" t="str">
        <f t="shared" si="17"/>
        <v>102048695700OVR</v>
      </c>
      <c r="C840" t="s">
        <v>1704</v>
      </c>
      <c r="D840" t="s">
        <v>491</v>
      </c>
      <c r="E840">
        <v>20411454</v>
      </c>
      <c r="F840" t="s">
        <v>2477</v>
      </c>
      <c r="G840" t="s">
        <v>49</v>
      </c>
      <c r="H840" t="s">
        <v>1238</v>
      </c>
      <c r="I840" s="1">
        <v>45536</v>
      </c>
      <c r="J840" s="1">
        <v>45992</v>
      </c>
      <c r="K840" t="s">
        <v>51</v>
      </c>
      <c r="L840" t="s">
        <v>52</v>
      </c>
      <c r="M840" s="2">
        <v>1</v>
      </c>
      <c r="N840" s="2">
        <v>1</v>
      </c>
      <c r="P840" s="2">
        <v>2</v>
      </c>
      <c r="Q840" t="s">
        <v>1402</v>
      </c>
      <c r="R840" t="s">
        <v>2445</v>
      </c>
    </row>
    <row r="841" spans="1:18" x14ac:dyDescent="0.25">
      <c r="A841" s="4">
        <v>102049267000</v>
      </c>
      <c r="B841" s="4" t="str">
        <f t="shared" si="17"/>
        <v>102049267000OVR</v>
      </c>
      <c r="C841" t="s">
        <v>1708</v>
      </c>
      <c r="D841" t="s">
        <v>491</v>
      </c>
      <c r="E841">
        <v>20411454</v>
      </c>
      <c r="F841" t="s">
        <v>2477</v>
      </c>
      <c r="G841" t="s">
        <v>49</v>
      </c>
      <c r="H841" t="s">
        <v>1238</v>
      </c>
      <c r="I841" s="1">
        <v>45536</v>
      </c>
      <c r="J841" s="1">
        <v>45992</v>
      </c>
      <c r="K841" t="s">
        <v>51</v>
      </c>
      <c r="L841" t="s">
        <v>52</v>
      </c>
      <c r="M841" s="2">
        <v>1</v>
      </c>
      <c r="N841" s="2">
        <v>1</v>
      </c>
      <c r="P841" s="2">
        <v>2</v>
      </c>
      <c r="Q841" t="s">
        <v>1402</v>
      </c>
      <c r="R841" t="s">
        <v>2445</v>
      </c>
    </row>
    <row r="842" spans="1:18" x14ac:dyDescent="0.25">
      <c r="A842" s="4">
        <v>102049702100</v>
      </c>
      <c r="B842" s="4" t="str">
        <f t="shared" si="17"/>
        <v>102049702100OVR</v>
      </c>
      <c r="C842" t="s">
        <v>1711</v>
      </c>
      <c r="D842" t="s">
        <v>158</v>
      </c>
      <c r="E842">
        <v>20411454</v>
      </c>
      <c r="F842" t="s">
        <v>2477</v>
      </c>
      <c r="G842" t="s">
        <v>49</v>
      </c>
      <c r="H842" t="s">
        <v>1238</v>
      </c>
      <c r="I842" s="1">
        <v>45536</v>
      </c>
      <c r="J842" s="1">
        <v>45992</v>
      </c>
      <c r="K842" t="s">
        <v>51</v>
      </c>
      <c r="L842" t="s">
        <v>52</v>
      </c>
      <c r="M842" s="2">
        <v>1</v>
      </c>
      <c r="N842" s="2">
        <v>1</v>
      </c>
      <c r="P842" s="2">
        <v>2</v>
      </c>
      <c r="Q842" t="s">
        <v>1402</v>
      </c>
      <c r="R842" t="s">
        <v>2445</v>
      </c>
    </row>
    <row r="843" spans="1:18" x14ac:dyDescent="0.25">
      <c r="A843" s="4">
        <v>102050179700</v>
      </c>
      <c r="B843" s="4" t="str">
        <f t="shared" si="17"/>
        <v>102050179700OVR</v>
      </c>
      <c r="C843" t="s">
        <v>1716</v>
      </c>
      <c r="D843" t="s">
        <v>265</v>
      </c>
      <c r="E843">
        <v>20411454</v>
      </c>
      <c r="F843" t="s">
        <v>2477</v>
      </c>
      <c r="G843" t="s">
        <v>49</v>
      </c>
      <c r="H843" t="s">
        <v>1238</v>
      </c>
      <c r="I843" s="1">
        <v>45536</v>
      </c>
      <c r="J843" s="1">
        <v>45992</v>
      </c>
      <c r="K843" t="s">
        <v>51</v>
      </c>
      <c r="L843" t="s">
        <v>52</v>
      </c>
      <c r="M843" s="2">
        <v>1</v>
      </c>
      <c r="N843" s="2">
        <v>1</v>
      </c>
      <c r="P843" s="2">
        <v>2</v>
      </c>
      <c r="Q843" t="s">
        <v>1402</v>
      </c>
      <c r="R843" t="s">
        <v>2445</v>
      </c>
    </row>
    <row r="844" spans="1:18" x14ac:dyDescent="0.25">
      <c r="A844" s="4">
        <v>102051406100</v>
      </c>
      <c r="B844" s="4" t="str">
        <f t="shared" si="17"/>
        <v>102051406100OVR</v>
      </c>
      <c r="C844" t="s">
        <v>1718</v>
      </c>
      <c r="D844" t="s">
        <v>491</v>
      </c>
      <c r="E844">
        <v>20411454</v>
      </c>
      <c r="F844" t="s">
        <v>2477</v>
      </c>
      <c r="G844" t="s">
        <v>49</v>
      </c>
      <c r="H844" t="s">
        <v>1238</v>
      </c>
      <c r="I844" s="1">
        <v>45536</v>
      </c>
      <c r="J844" s="1">
        <v>45992</v>
      </c>
      <c r="K844" t="s">
        <v>51</v>
      </c>
      <c r="L844" t="s">
        <v>52</v>
      </c>
      <c r="M844" s="2">
        <v>1</v>
      </c>
      <c r="N844" s="2">
        <v>1</v>
      </c>
      <c r="P844" s="2">
        <v>2</v>
      </c>
      <c r="Q844" t="s">
        <v>1402</v>
      </c>
      <c r="R844" t="s">
        <v>2445</v>
      </c>
    </row>
    <row r="845" spans="1:18" x14ac:dyDescent="0.25">
      <c r="A845" s="4">
        <v>102051423100</v>
      </c>
      <c r="B845" s="4" t="str">
        <f t="shared" si="17"/>
        <v>102051423100OVR</v>
      </c>
      <c r="C845" t="s">
        <v>1719</v>
      </c>
      <c r="D845" t="s">
        <v>217</v>
      </c>
      <c r="E845">
        <v>20411454</v>
      </c>
      <c r="F845" t="s">
        <v>2477</v>
      </c>
      <c r="G845" t="s">
        <v>49</v>
      </c>
      <c r="H845" t="s">
        <v>1238</v>
      </c>
      <c r="I845" s="1">
        <v>45536</v>
      </c>
      <c r="J845" s="1">
        <v>45992</v>
      </c>
      <c r="K845" t="s">
        <v>51</v>
      </c>
      <c r="L845" t="s">
        <v>52</v>
      </c>
      <c r="M845" s="2">
        <v>1</v>
      </c>
      <c r="N845" s="2">
        <v>1</v>
      </c>
      <c r="P845" s="2">
        <v>2</v>
      </c>
      <c r="Q845" t="s">
        <v>1402</v>
      </c>
      <c r="R845" t="s">
        <v>2445</v>
      </c>
    </row>
    <row r="846" spans="1:18" x14ac:dyDescent="0.25">
      <c r="A846" s="4">
        <v>102051462300</v>
      </c>
      <c r="B846" s="4" t="str">
        <f t="shared" si="17"/>
        <v>102051462300OVR</v>
      </c>
      <c r="C846" t="s">
        <v>1720</v>
      </c>
      <c r="D846" t="s">
        <v>491</v>
      </c>
      <c r="E846">
        <v>20411454</v>
      </c>
      <c r="F846" t="s">
        <v>2477</v>
      </c>
      <c r="G846" t="s">
        <v>49</v>
      </c>
      <c r="H846" t="s">
        <v>1238</v>
      </c>
      <c r="I846" s="1">
        <v>45536</v>
      </c>
      <c r="J846" s="1">
        <v>45992</v>
      </c>
      <c r="K846" t="s">
        <v>51</v>
      </c>
      <c r="L846" t="s">
        <v>52</v>
      </c>
      <c r="M846" s="2">
        <v>1</v>
      </c>
      <c r="N846" s="2">
        <v>1</v>
      </c>
      <c r="P846" s="2">
        <v>2</v>
      </c>
      <c r="Q846" t="s">
        <v>1402</v>
      </c>
      <c r="R846" t="s">
        <v>2445</v>
      </c>
    </row>
    <row r="847" spans="1:18" x14ac:dyDescent="0.25">
      <c r="A847" s="4">
        <v>102051937300</v>
      </c>
      <c r="B847" s="4" t="str">
        <f t="shared" si="17"/>
        <v>102051937300OVR</v>
      </c>
      <c r="C847" t="s">
        <v>1721</v>
      </c>
      <c r="D847" t="s">
        <v>55</v>
      </c>
      <c r="E847">
        <v>20411454</v>
      </c>
      <c r="F847" t="s">
        <v>2477</v>
      </c>
      <c r="G847" t="s">
        <v>49</v>
      </c>
      <c r="H847" t="s">
        <v>1238</v>
      </c>
      <c r="I847" s="1">
        <v>45536</v>
      </c>
      <c r="J847" s="1">
        <v>45992</v>
      </c>
      <c r="K847" t="s">
        <v>51</v>
      </c>
      <c r="L847" t="s">
        <v>52</v>
      </c>
      <c r="M847" s="2">
        <v>1</v>
      </c>
      <c r="N847" s="2">
        <v>1</v>
      </c>
      <c r="P847" s="2">
        <v>2</v>
      </c>
      <c r="Q847" t="s">
        <v>1402</v>
      </c>
      <c r="R847" t="s">
        <v>2445</v>
      </c>
    </row>
    <row r="848" spans="1:18" x14ac:dyDescent="0.25">
      <c r="A848" s="4">
        <v>102052502800</v>
      </c>
      <c r="B848" s="4" t="str">
        <f t="shared" si="17"/>
        <v>102052502800OVR</v>
      </c>
      <c r="C848" t="s">
        <v>1722</v>
      </c>
      <c r="D848" t="s">
        <v>46</v>
      </c>
      <c r="E848">
        <v>20411454</v>
      </c>
      <c r="F848" t="s">
        <v>2477</v>
      </c>
      <c r="G848" t="s">
        <v>49</v>
      </c>
      <c r="H848" t="s">
        <v>1238</v>
      </c>
      <c r="I848" s="1">
        <v>45536</v>
      </c>
      <c r="J848" s="1">
        <v>45992</v>
      </c>
      <c r="K848" t="s">
        <v>51</v>
      </c>
      <c r="L848" t="s">
        <v>52</v>
      </c>
      <c r="M848" s="2">
        <v>1</v>
      </c>
      <c r="N848" s="2">
        <v>1</v>
      </c>
      <c r="P848" s="2">
        <v>2</v>
      </c>
      <c r="Q848" t="s">
        <v>1402</v>
      </c>
      <c r="R848" t="s">
        <v>2445</v>
      </c>
    </row>
    <row r="849" spans="1:18" x14ac:dyDescent="0.25">
      <c r="A849" s="4">
        <v>102053217100</v>
      </c>
      <c r="B849" s="4" t="str">
        <f t="shared" si="17"/>
        <v>102053217100OVR</v>
      </c>
      <c r="C849" t="s">
        <v>1724</v>
      </c>
      <c r="D849" t="s">
        <v>46</v>
      </c>
      <c r="E849">
        <v>20411454</v>
      </c>
      <c r="F849" t="s">
        <v>2477</v>
      </c>
      <c r="G849" t="s">
        <v>49</v>
      </c>
      <c r="H849" t="s">
        <v>1238</v>
      </c>
      <c r="I849" s="1">
        <v>45536</v>
      </c>
      <c r="J849" s="1">
        <v>45992</v>
      </c>
      <c r="K849" t="s">
        <v>51</v>
      </c>
      <c r="L849" t="s">
        <v>52</v>
      </c>
      <c r="M849" s="2">
        <v>1</v>
      </c>
      <c r="N849" s="2">
        <v>1</v>
      </c>
      <c r="P849" s="2">
        <v>2</v>
      </c>
      <c r="Q849" t="s">
        <v>1402</v>
      </c>
      <c r="R849" t="s">
        <v>2445</v>
      </c>
    </row>
    <row r="850" spans="1:18" x14ac:dyDescent="0.25">
      <c r="A850" s="4">
        <v>102053241100</v>
      </c>
      <c r="B850" s="4" t="str">
        <f t="shared" si="17"/>
        <v>102053241100OVR</v>
      </c>
      <c r="C850" t="s">
        <v>932</v>
      </c>
      <c r="D850" t="s">
        <v>46</v>
      </c>
      <c r="E850">
        <v>20411454</v>
      </c>
      <c r="F850" t="s">
        <v>2477</v>
      </c>
      <c r="G850" t="s">
        <v>49</v>
      </c>
      <c r="H850" t="s">
        <v>1238</v>
      </c>
      <c r="I850" s="1">
        <v>45536</v>
      </c>
      <c r="J850" s="1">
        <v>45992</v>
      </c>
      <c r="K850" t="s">
        <v>51</v>
      </c>
      <c r="L850" t="s">
        <v>52</v>
      </c>
      <c r="M850" s="2">
        <v>1</v>
      </c>
      <c r="N850" s="2">
        <v>1</v>
      </c>
      <c r="P850" s="2">
        <v>2</v>
      </c>
      <c r="Q850" t="s">
        <v>1402</v>
      </c>
      <c r="R850" t="s">
        <v>2445</v>
      </c>
    </row>
    <row r="851" spans="1:18" x14ac:dyDescent="0.25">
      <c r="A851" s="4">
        <v>102053814300</v>
      </c>
      <c r="B851" s="4" t="str">
        <f t="shared" si="17"/>
        <v>102053814300OVR</v>
      </c>
      <c r="C851" t="s">
        <v>1725</v>
      </c>
      <c r="D851" t="s">
        <v>46</v>
      </c>
      <c r="E851">
        <v>20411454</v>
      </c>
      <c r="F851" t="s">
        <v>2477</v>
      </c>
      <c r="G851" t="s">
        <v>49</v>
      </c>
      <c r="H851" t="s">
        <v>1238</v>
      </c>
      <c r="I851" s="1">
        <v>45536</v>
      </c>
      <c r="J851" s="1">
        <v>45992</v>
      </c>
      <c r="K851" t="s">
        <v>51</v>
      </c>
      <c r="L851" t="s">
        <v>52</v>
      </c>
      <c r="M851" s="2">
        <v>1</v>
      </c>
      <c r="N851" s="2">
        <v>1</v>
      </c>
      <c r="P851" s="2">
        <v>2</v>
      </c>
      <c r="Q851" t="s">
        <v>1402</v>
      </c>
      <c r="R851" t="s">
        <v>2445</v>
      </c>
    </row>
    <row r="852" spans="1:18" x14ac:dyDescent="0.25">
      <c r="A852" s="4">
        <v>101545020000</v>
      </c>
      <c r="B852" s="4" t="str">
        <f t="shared" si="17"/>
        <v>101545020000OVR</v>
      </c>
      <c r="C852" t="s">
        <v>1551</v>
      </c>
      <c r="D852" t="s">
        <v>155</v>
      </c>
      <c r="E852">
        <v>20411454</v>
      </c>
      <c r="F852" t="s">
        <v>2477</v>
      </c>
      <c r="G852" t="s">
        <v>49</v>
      </c>
      <c r="H852" t="s">
        <v>1473</v>
      </c>
      <c r="I852" s="1">
        <v>45536</v>
      </c>
      <c r="J852" s="1">
        <v>45992</v>
      </c>
      <c r="K852" t="s">
        <v>51</v>
      </c>
      <c r="L852" t="s">
        <v>52</v>
      </c>
      <c r="M852" s="2">
        <v>1</v>
      </c>
      <c r="N852" s="2">
        <v>1</v>
      </c>
      <c r="P852" s="2">
        <v>2</v>
      </c>
      <c r="Q852" t="s">
        <v>1402</v>
      </c>
      <c r="R852" t="s">
        <v>2445</v>
      </c>
    </row>
    <row r="853" spans="1:18" x14ac:dyDescent="0.25">
      <c r="A853" s="4">
        <v>101987999900</v>
      </c>
      <c r="B853" s="4" t="str">
        <f t="shared" si="17"/>
        <v>101987999900OVR</v>
      </c>
      <c r="C853" t="s">
        <v>1634</v>
      </c>
      <c r="D853" t="s">
        <v>265</v>
      </c>
      <c r="E853">
        <v>20411454</v>
      </c>
      <c r="F853" t="s">
        <v>2477</v>
      </c>
      <c r="G853" t="s">
        <v>49</v>
      </c>
      <c r="H853" t="s">
        <v>1473</v>
      </c>
      <c r="I853" s="1">
        <v>45536</v>
      </c>
      <c r="J853" s="1">
        <v>45992</v>
      </c>
      <c r="K853" t="s">
        <v>51</v>
      </c>
      <c r="L853" t="s">
        <v>52</v>
      </c>
      <c r="M853" s="2">
        <v>1</v>
      </c>
      <c r="N853" s="2">
        <v>1</v>
      </c>
      <c r="P853" s="2">
        <v>2</v>
      </c>
      <c r="Q853" t="s">
        <v>1402</v>
      </c>
      <c r="R853" t="s">
        <v>2445</v>
      </c>
    </row>
    <row r="854" spans="1:18" x14ac:dyDescent="0.25">
      <c r="A854" s="4">
        <v>102042978300</v>
      </c>
      <c r="B854" s="4" t="str">
        <f t="shared" si="17"/>
        <v>102042978300OVR</v>
      </c>
      <c r="C854" t="s">
        <v>1695</v>
      </c>
      <c r="D854" t="s">
        <v>46</v>
      </c>
      <c r="E854">
        <v>20411454</v>
      </c>
      <c r="F854" t="s">
        <v>2477</v>
      </c>
      <c r="G854" t="s">
        <v>49</v>
      </c>
      <c r="H854" t="s">
        <v>1473</v>
      </c>
      <c r="I854" s="1">
        <v>45536</v>
      </c>
      <c r="J854" s="1">
        <v>45992</v>
      </c>
      <c r="K854" t="s">
        <v>51</v>
      </c>
      <c r="L854" t="s">
        <v>52</v>
      </c>
      <c r="M854" s="2">
        <v>1</v>
      </c>
      <c r="N854" s="2">
        <v>1</v>
      </c>
      <c r="P854" s="2">
        <v>2</v>
      </c>
      <c r="Q854" t="s">
        <v>1402</v>
      </c>
      <c r="R854" t="s">
        <v>2445</v>
      </c>
    </row>
    <row r="855" spans="1:18" x14ac:dyDescent="0.25">
      <c r="A855" s="4">
        <v>102049657500</v>
      </c>
      <c r="B855" s="4" t="str">
        <f t="shared" si="17"/>
        <v>102049657500OVR</v>
      </c>
      <c r="C855" t="s">
        <v>1710</v>
      </c>
      <c r="D855" t="s">
        <v>46</v>
      </c>
      <c r="E855">
        <v>20411454</v>
      </c>
      <c r="F855" t="s">
        <v>2477</v>
      </c>
      <c r="G855" t="s">
        <v>49</v>
      </c>
      <c r="H855" t="s">
        <v>1473</v>
      </c>
      <c r="I855" s="1">
        <v>45536</v>
      </c>
      <c r="J855" s="1">
        <v>45992</v>
      </c>
      <c r="K855" t="s">
        <v>51</v>
      </c>
      <c r="L855" t="s">
        <v>52</v>
      </c>
      <c r="M855" s="2">
        <v>1</v>
      </c>
      <c r="N855" s="2">
        <v>1</v>
      </c>
      <c r="P855" s="2">
        <v>2</v>
      </c>
      <c r="Q855" t="s">
        <v>1402</v>
      </c>
      <c r="R855" t="s">
        <v>2445</v>
      </c>
    </row>
    <row r="856" spans="1:18" x14ac:dyDescent="0.25">
      <c r="A856" s="4">
        <v>102050160600</v>
      </c>
      <c r="B856" s="4" t="str">
        <f t="shared" si="17"/>
        <v>102050160600OVR</v>
      </c>
      <c r="C856" t="s">
        <v>1715</v>
      </c>
      <c r="D856" t="s">
        <v>1248</v>
      </c>
      <c r="E856">
        <v>20411454</v>
      </c>
      <c r="F856" t="s">
        <v>2477</v>
      </c>
      <c r="G856" t="s">
        <v>49</v>
      </c>
      <c r="H856" t="s">
        <v>1473</v>
      </c>
      <c r="I856" s="1">
        <v>45536</v>
      </c>
      <c r="J856" s="1">
        <v>45992</v>
      </c>
      <c r="K856" t="s">
        <v>51</v>
      </c>
      <c r="L856" t="s">
        <v>52</v>
      </c>
      <c r="M856" s="2">
        <v>1</v>
      </c>
      <c r="N856" s="2">
        <v>1</v>
      </c>
      <c r="P856" s="2">
        <v>2</v>
      </c>
      <c r="Q856" t="s">
        <v>1402</v>
      </c>
      <c r="R856" t="s">
        <v>2445</v>
      </c>
    </row>
    <row r="857" spans="1:18" x14ac:dyDescent="0.25">
      <c r="A857" s="4">
        <v>102053113700</v>
      </c>
      <c r="B857" s="4" t="str">
        <f t="shared" si="17"/>
        <v>102053113700OVR</v>
      </c>
      <c r="C857" t="s">
        <v>1723</v>
      </c>
      <c r="D857" t="s">
        <v>46</v>
      </c>
      <c r="E857">
        <v>20411454</v>
      </c>
      <c r="F857" t="s">
        <v>2477</v>
      </c>
      <c r="G857" t="s">
        <v>49</v>
      </c>
      <c r="H857" t="s">
        <v>1473</v>
      </c>
      <c r="I857" s="1">
        <v>45536</v>
      </c>
      <c r="J857" s="1">
        <v>45992</v>
      </c>
      <c r="K857" t="s">
        <v>51</v>
      </c>
      <c r="L857" t="s">
        <v>52</v>
      </c>
      <c r="M857" s="2">
        <v>1</v>
      </c>
      <c r="N857" s="2">
        <v>1</v>
      </c>
      <c r="P857" s="2">
        <v>2</v>
      </c>
      <c r="Q857" t="s">
        <v>1402</v>
      </c>
      <c r="R857" t="s">
        <v>2445</v>
      </c>
    </row>
    <row r="858" spans="1:18" x14ac:dyDescent="0.25">
      <c r="A858" s="4">
        <v>102007511900</v>
      </c>
      <c r="B858" s="4" t="str">
        <f t="shared" si="17"/>
        <v>102007511900OVR</v>
      </c>
      <c r="C858" t="s">
        <v>1637</v>
      </c>
      <c r="D858" t="s">
        <v>114</v>
      </c>
      <c r="E858">
        <v>20411454</v>
      </c>
      <c r="F858" t="s">
        <v>2477</v>
      </c>
      <c r="G858" t="s">
        <v>49</v>
      </c>
      <c r="H858" t="s">
        <v>1238</v>
      </c>
      <c r="I858" s="1">
        <v>45505</v>
      </c>
      <c r="J858" s="1">
        <v>45992</v>
      </c>
      <c r="K858" t="s">
        <v>51</v>
      </c>
      <c r="L858" t="s">
        <v>52</v>
      </c>
      <c r="M858" s="2">
        <v>1</v>
      </c>
      <c r="N858" s="2">
        <v>1</v>
      </c>
      <c r="P858" s="2">
        <v>2</v>
      </c>
      <c r="Q858" t="s">
        <v>1402</v>
      </c>
      <c r="R858" t="s">
        <v>2445</v>
      </c>
    </row>
    <row r="859" spans="1:18" x14ac:dyDescent="0.25">
      <c r="A859" s="4">
        <v>102012252800</v>
      </c>
      <c r="B859" s="4" t="str">
        <f t="shared" si="17"/>
        <v>102012252800OVR</v>
      </c>
      <c r="C859" t="s">
        <v>1642</v>
      </c>
      <c r="D859" t="s">
        <v>87</v>
      </c>
      <c r="E859">
        <v>20411454</v>
      </c>
      <c r="F859" t="s">
        <v>2477</v>
      </c>
      <c r="G859" t="s">
        <v>49</v>
      </c>
      <c r="H859" t="s">
        <v>1238</v>
      </c>
      <c r="I859" s="1">
        <v>45505</v>
      </c>
      <c r="J859" s="1">
        <v>45992</v>
      </c>
      <c r="K859" t="s">
        <v>51</v>
      </c>
      <c r="L859" t="s">
        <v>52</v>
      </c>
      <c r="M859" s="2">
        <v>1</v>
      </c>
      <c r="N859" s="2">
        <v>1</v>
      </c>
      <c r="P859" s="2">
        <v>2</v>
      </c>
      <c r="Q859" t="s">
        <v>1402</v>
      </c>
      <c r="R859" t="s">
        <v>2445</v>
      </c>
    </row>
    <row r="860" spans="1:18" x14ac:dyDescent="0.25">
      <c r="A860" s="4">
        <v>102013256200</v>
      </c>
      <c r="B860" s="4" t="str">
        <f t="shared" si="17"/>
        <v>102013256200OVR</v>
      </c>
      <c r="C860" t="s">
        <v>1643</v>
      </c>
      <c r="D860" t="s">
        <v>491</v>
      </c>
      <c r="E860">
        <v>20411454</v>
      </c>
      <c r="F860" t="s">
        <v>2477</v>
      </c>
      <c r="G860" t="s">
        <v>49</v>
      </c>
      <c r="H860" t="s">
        <v>1238</v>
      </c>
      <c r="I860" s="1">
        <v>45505</v>
      </c>
      <c r="J860" s="1">
        <v>45992</v>
      </c>
      <c r="K860" t="s">
        <v>51</v>
      </c>
      <c r="L860" t="s">
        <v>52</v>
      </c>
      <c r="M860" s="2">
        <v>1</v>
      </c>
      <c r="N860" s="2">
        <v>1</v>
      </c>
      <c r="P860" s="2">
        <v>2</v>
      </c>
      <c r="Q860" t="s">
        <v>1402</v>
      </c>
      <c r="R860" t="s">
        <v>2445</v>
      </c>
    </row>
    <row r="861" spans="1:18" x14ac:dyDescent="0.25">
      <c r="A861" s="4">
        <v>102014399100</v>
      </c>
      <c r="B861" s="4" t="str">
        <f t="shared" si="17"/>
        <v>102014399100OVR</v>
      </c>
      <c r="C861" t="s">
        <v>1644</v>
      </c>
      <c r="D861" t="s">
        <v>491</v>
      </c>
      <c r="E861">
        <v>20411454</v>
      </c>
      <c r="F861" t="s">
        <v>2477</v>
      </c>
      <c r="G861" t="s">
        <v>49</v>
      </c>
      <c r="H861" t="s">
        <v>1238</v>
      </c>
      <c r="I861" s="1">
        <v>45505</v>
      </c>
      <c r="J861" s="1">
        <v>45992</v>
      </c>
      <c r="K861" t="s">
        <v>51</v>
      </c>
      <c r="L861" t="s">
        <v>52</v>
      </c>
      <c r="M861" s="2">
        <v>1</v>
      </c>
      <c r="N861" s="2">
        <v>1</v>
      </c>
      <c r="P861" s="2">
        <v>2</v>
      </c>
      <c r="Q861" t="s">
        <v>1402</v>
      </c>
      <c r="R861" t="s">
        <v>2445</v>
      </c>
    </row>
    <row r="862" spans="1:18" x14ac:dyDescent="0.25">
      <c r="A862" s="4">
        <v>102018981300</v>
      </c>
      <c r="B862" s="4" t="str">
        <f t="shared" si="17"/>
        <v>102018981300OVR</v>
      </c>
      <c r="C862" t="s">
        <v>1652</v>
      </c>
      <c r="D862" t="s">
        <v>491</v>
      </c>
      <c r="E862">
        <v>20411454</v>
      </c>
      <c r="F862" t="s">
        <v>2477</v>
      </c>
      <c r="G862" t="s">
        <v>49</v>
      </c>
      <c r="H862" t="s">
        <v>1238</v>
      </c>
      <c r="I862" s="1">
        <v>45505</v>
      </c>
      <c r="J862" s="1">
        <v>45992</v>
      </c>
      <c r="K862" t="s">
        <v>51</v>
      </c>
      <c r="L862" t="s">
        <v>52</v>
      </c>
      <c r="M862" s="2">
        <v>1</v>
      </c>
      <c r="N862" s="2">
        <v>1</v>
      </c>
      <c r="P862" s="2">
        <v>2</v>
      </c>
      <c r="Q862" t="s">
        <v>1402</v>
      </c>
      <c r="R862" t="s">
        <v>2445</v>
      </c>
    </row>
    <row r="863" spans="1:18" x14ac:dyDescent="0.25">
      <c r="A863" s="4">
        <v>102021599000</v>
      </c>
      <c r="B863" s="4" t="str">
        <f t="shared" si="17"/>
        <v>102021599000OVR</v>
      </c>
      <c r="C863" t="s">
        <v>1654</v>
      </c>
      <c r="D863" t="s">
        <v>491</v>
      </c>
      <c r="E863">
        <v>20411454</v>
      </c>
      <c r="F863" t="s">
        <v>2477</v>
      </c>
      <c r="G863" t="s">
        <v>49</v>
      </c>
      <c r="H863" t="s">
        <v>1238</v>
      </c>
      <c r="I863" s="1">
        <v>45505</v>
      </c>
      <c r="J863" s="1">
        <v>45992</v>
      </c>
      <c r="K863" t="s">
        <v>51</v>
      </c>
      <c r="L863" t="s">
        <v>52</v>
      </c>
      <c r="M863" s="2">
        <v>1</v>
      </c>
      <c r="N863" s="2">
        <v>1</v>
      </c>
      <c r="P863" s="2">
        <v>2</v>
      </c>
      <c r="Q863" t="s">
        <v>1402</v>
      </c>
      <c r="R863" t="s">
        <v>2445</v>
      </c>
    </row>
    <row r="864" spans="1:18" x14ac:dyDescent="0.25">
      <c r="A864" s="4">
        <v>102022904500</v>
      </c>
      <c r="B864" s="4" t="str">
        <f t="shared" si="17"/>
        <v>102022904500OVR</v>
      </c>
      <c r="C864" t="s">
        <v>1658</v>
      </c>
      <c r="D864" t="s">
        <v>491</v>
      </c>
      <c r="E864">
        <v>20411454</v>
      </c>
      <c r="F864" t="s">
        <v>2477</v>
      </c>
      <c r="G864" t="s">
        <v>49</v>
      </c>
      <c r="H864" t="s">
        <v>1238</v>
      </c>
      <c r="I864" s="1">
        <v>45505</v>
      </c>
      <c r="J864" s="1">
        <v>45992</v>
      </c>
      <c r="K864" t="s">
        <v>51</v>
      </c>
      <c r="L864" t="s">
        <v>52</v>
      </c>
      <c r="M864" s="2">
        <v>1</v>
      </c>
      <c r="N864" s="2">
        <v>1</v>
      </c>
      <c r="P864" s="2">
        <v>2</v>
      </c>
      <c r="Q864" t="s">
        <v>1402</v>
      </c>
      <c r="R864" t="s">
        <v>2445</v>
      </c>
    </row>
    <row r="865" spans="1:18" x14ac:dyDescent="0.25">
      <c r="A865" s="4">
        <v>102025592500</v>
      </c>
      <c r="B865" s="4" t="str">
        <f t="shared" si="17"/>
        <v>102025592500OVR</v>
      </c>
      <c r="C865" t="s">
        <v>1661</v>
      </c>
      <c r="D865" t="s">
        <v>55</v>
      </c>
      <c r="E865">
        <v>20411454</v>
      </c>
      <c r="F865" t="s">
        <v>2477</v>
      </c>
      <c r="G865" t="s">
        <v>49</v>
      </c>
      <c r="H865" t="s">
        <v>1238</v>
      </c>
      <c r="I865" s="1">
        <v>45505</v>
      </c>
      <c r="J865" s="1">
        <v>45992</v>
      </c>
      <c r="K865" t="s">
        <v>51</v>
      </c>
      <c r="L865" t="s">
        <v>52</v>
      </c>
      <c r="M865" s="2">
        <v>1</v>
      </c>
      <c r="N865" s="2">
        <v>1</v>
      </c>
      <c r="P865" s="2">
        <v>2</v>
      </c>
      <c r="Q865" t="s">
        <v>1402</v>
      </c>
      <c r="R865" t="s">
        <v>2445</v>
      </c>
    </row>
    <row r="866" spans="1:18" x14ac:dyDescent="0.25">
      <c r="A866" s="4">
        <v>102028483000</v>
      </c>
      <c r="B866" s="4" t="str">
        <f t="shared" si="17"/>
        <v>102028483000OVR</v>
      </c>
      <c r="C866" t="s">
        <v>1665</v>
      </c>
      <c r="D866" t="s">
        <v>491</v>
      </c>
      <c r="E866">
        <v>20411454</v>
      </c>
      <c r="F866" t="s">
        <v>2477</v>
      </c>
      <c r="G866" t="s">
        <v>49</v>
      </c>
      <c r="H866" t="s">
        <v>1238</v>
      </c>
      <c r="I866" s="1">
        <v>45505</v>
      </c>
      <c r="J866" s="1">
        <v>45992</v>
      </c>
      <c r="K866" t="s">
        <v>51</v>
      </c>
      <c r="L866" t="s">
        <v>52</v>
      </c>
      <c r="M866" s="2">
        <v>1</v>
      </c>
      <c r="N866" s="2">
        <v>1</v>
      </c>
      <c r="P866" s="2">
        <v>2</v>
      </c>
      <c r="Q866" t="s">
        <v>1402</v>
      </c>
      <c r="R866" t="s">
        <v>2445</v>
      </c>
    </row>
    <row r="867" spans="1:18" x14ac:dyDescent="0.25">
      <c r="A867" s="4">
        <v>102030348000</v>
      </c>
      <c r="B867" s="4" t="str">
        <f t="shared" si="17"/>
        <v>102030348000OVR</v>
      </c>
      <c r="C867" t="s">
        <v>1668</v>
      </c>
      <c r="D867" t="s">
        <v>491</v>
      </c>
      <c r="E867">
        <v>20411454</v>
      </c>
      <c r="F867" t="s">
        <v>2477</v>
      </c>
      <c r="G867" t="s">
        <v>49</v>
      </c>
      <c r="H867" t="s">
        <v>1238</v>
      </c>
      <c r="I867" s="1">
        <v>45505</v>
      </c>
      <c r="J867" s="1">
        <v>45992</v>
      </c>
      <c r="K867" t="s">
        <v>51</v>
      </c>
      <c r="L867" t="s">
        <v>52</v>
      </c>
      <c r="M867" s="2">
        <v>1</v>
      </c>
      <c r="N867" s="2">
        <v>1</v>
      </c>
      <c r="P867" s="2">
        <v>2</v>
      </c>
      <c r="Q867" t="s">
        <v>1402</v>
      </c>
      <c r="R867" t="s">
        <v>2445</v>
      </c>
    </row>
    <row r="868" spans="1:18" x14ac:dyDescent="0.25">
      <c r="A868" s="4">
        <v>102030760700</v>
      </c>
      <c r="B868" s="4" t="str">
        <f t="shared" si="17"/>
        <v>102030760700OVR</v>
      </c>
      <c r="C868" t="s">
        <v>1669</v>
      </c>
      <c r="D868" t="s">
        <v>46</v>
      </c>
      <c r="E868">
        <v>20411454</v>
      </c>
      <c r="F868" t="s">
        <v>2477</v>
      </c>
      <c r="G868" t="s">
        <v>49</v>
      </c>
      <c r="H868" t="s">
        <v>1238</v>
      </c>
      <c r="I868" s="1">
        <v>45505</v>
      </c>
      <c r="J868" s="1">
        <v>45992</v>
      </c>
      <c r="K868" t="s">
        <v>51</v>
      </c>
      <c r="L868" t="s">
        <v>52</v>
      </c>
      <c r="M868" s="2">
        <v>1</v>
      </c>
      <c r="N868" s="2">
        <v>1</v>
      </c>
      <c r="P868" s="2">
        <v>2</v>
      </c>
      <c r="Q868" t="s">
        <v>1402</v>
      </c>
      <c r="R868" t="s">
        <v>2445</v>
      </c>
    </row>
    <row r="869" spans="1:18" x14ac:dyDescent="0.25">
      <c r="A869" s="4">
        <v>102030823900</v>
      </c>
      <c r="B869" s="4" t="str">
        <f t="shared" si="17"/>
        <v>102030823900OVR</v>
      </c>
      <c r="C869" t="s">
        <v>1670</v>
      </c>
      <c r="D869" t="s">
        <v>46</v>
      </c>
      <c r="E869">
        <v>20411454</v>
      </c>
      <c r="F869" t="s">
        <v>2477</v>
      </c>
      <c r="G869" t="s">
        <v>49</v>
      </c>
      <c r="H869" t="s">
        <v>1238</v>
      </c>
      <c r="I869" s="1">
        <v>45505</v>
      </c>
      <c r="J869" s="1">
        <v>45992</v>
      </c>
      <c r="K869" t="s">
        <v>51</v>
      </c>
      <c r="L869" t="s">
        <v>52</v>
      </c>
      <c r="M869" s="2">
        <v>1</v>
      </c>
      <c r="N869" s="2">
        <v>1</v>
      </c>
      <c r="P869" s="2">
        <v>2</v>
      </c>
      <c r="Q869" t="s">
        <v>1402</v>
      </c>
      <c r="R869" t="s">
        <v>2445</v>
      </c>
    </row>
    <row r="870" spans="1:18" x14ac:dyDescent="0.25">
      <c r="A870" s="4">
        <v>102030825500</v>
      </c>
      <c r="B870" s="4" t="str">
        <f t="shared" si="17"/>
        <v>102030825500OVR</v>
      </c>
      <c r="C870" t="s">
        <v>1671</v>
      </c>
      <c r="D870" t="s">
        <v>46</v>
      </c>
      <c r="E870">
        <v>20411454</v>
      </c>
      <c r="F870" t="s">
        <v>2477</v>
      </c>
      <c r="G870" t="s">
        <v>49</v>
      </c>
      <c r="H870" t="s">
        <v>1238</v>
      </c>
      <c r="I870" s="1">
        <v>45505</v>
      </c>
      <c r="J870" s="1">
        <v>45992</v>
      </c>
      <c r="K870" t="s">
        <v>51</v>
      </c>
      <c r="L870" t="s">
        <v>52</v>
      </c>
      <c r="M870" s="2">
        <v>1</v>
      </c>
      <c r="N870" s="2">
        <v>1</v>
      </c>
      <c r="P870" s="2">
        <v>2</v>
      </c>
      <c r="Q870" t="s">
        <v>1402</v>
      </c>
      <c r="R870" t="s">
        <v>2445</v>
      </c>
    </row>
    <row r="871" spans="1:18" x14ac:dyDescent="0.25">
      <c r="A871" s="4">
        <v>102031351800</v>
      </c>
      <c r="B871" s="4" t="str">
        <f t="shared" si="17"/>
        <v>102031351800OVR</v>
      </c>
      <c r="C871" t="s">
        <v>1672</v>
      </c>
      <c r="D871" t="s">
        <v>491</v>
      </c>
      <c r="E871">
        <v>20411454</v>
      </c>
      <c r="F871" t="s">
        <v>2477</v>
      </c>
      <c r="G871" t="s">
        <v>49</v>
      </c>
      <c r="H871" t="s">
        <v>1238</v>
      </c>
      <c r="I871" s="1">
        <v>45505</v>
      </c>
      <c r="J871" s="1">
        <v>45992</v>
      </c>
      <c r="K871" t="s">
        <v>51</v>
      </c>
      <c r="L871" t="s">
        <v>52</v>
      </c>
      <c r="M871" s="2">
        <v>1</v>
      </c>
      <c r="N871" s="2">
        <v>1</v>
      </c>
      <c r="P871" s="2">
        <v>2</v>
      </c>
      <c r="Q871" t="s">
        <v>1402</v>
      </c>
      <c r="R871" t="s">
        <v>2445</v>
      </c>
    </row>
    <row r="872" spans="1:18" x14ac:dyDescent="0.25">
      <c r="A872" s="4">
        <v>102033862400</v>
      </c>
      <c r="B872" s="4" t="str">
        <f t="shared" si="17"/>
        <v>102033862400OVR</v>
      </c>
      <c r="C872" t="s">
        <v>1674</v>
      </c>
      <c r="D872" t="s">
        <v>491</v>
      </c>
      <c r="E872">
        <v>20411454</v>
      </c>
      <c r="F872" t="s">
        <v>2477</v>
      </c>
      <c r="G872" t="s">
        <v>49</v>
      </c>
      <c r="H872" t="s">
        <v>1238</v>
      </c>
      <c r="I872" s="1">
        <v>45505</v>
      </c>
      <c r="J872" s="1">
        <v>45992</v>
      </c>
      <c r="K872" t="s">
        <v>51</v>
      </c>
      <c r="L872" t="s">
        <v>52</v>
      </c>
      <c r="M872" s="2">
        <v>1</v>
      </c>
      <c r="N872" s="2">
        <v>1</v>
      </c>
      <c r="P872" s="2">
        <v>2</v>
      </c>
      <c r="Q872" t="s">
        <v>1402</v>
      </c>
      <c r="R872" t="s">
        <v>2445</v>
      </c>
    </row>
    <row r="873" spans="1:18" x14ac:dyDescent="0.25">
      <c r="A873" s="4">
        <v>102035359600</v>
      </c>
      <c r="B873" s="4" t="str">
        <f t="shared" si="17"/>
        <v>102035359600OVR</v>
      </c>
      <c r="C873" t="s">
        <v>1678</v>
      </c>
      <c r="D873" t="s">
        <v>46</v>
      </c>
      <c r="E873">
        <v>20411454</v>
      </c>
      <c r="F873" t="s">
        <v>2477</v>
      </c>
      <c r="G873" t="s">
        <v>49</v>
      </c>
      <c r="H873" t="s">
        <v>1238</v>
      </c>
      <c r="I873" s="1">
        <v>45505</v>
      </c>
      <c r="J873" s="1">
        <v>45992</v>
      </c>
      <c r="K873" t="s">
        <v>51</v>
      </c>
      <c r="L873" t="s">
        <v>52</v>
      </c>
      <c r="M873" s="2">
        <v>1</v>
      </c>
      <c r="N873" s="2">
        <v>1</v>
      </c>
      <c r="P873" s="2">
        <v>2</v>
      </c>
      <c r="Q873" t="s">
        <v>1402</v>
      </c>
      <c r="R873" t="s">
        <v>2445</v>
      </c>
    </row>
    <row r="874" spans="1:18" x14ac:dyDescent="0.25">
      <c r="A874" s="4">
        <v>102035849400</v>
      </c>
      <c r="B874" s="4" t="str">
        <f t="shared" si="17"/>
        <v>102035849400OVR</v>
      </c>
      <c r="C874" t="s">
        <v>1680</v>
      </c>
      <c r="D874" t="s">
        <v>46</v>
      </c>
      <c r="E874">
        <v>20411454</v>
      </c>
      <c r="F874" t="s">
        <v>2477</v>
      </c>
      <c r="G874" t="s">
        <v>49</v>
      </c>
      <c r="H874" t="s">
        <v>1238</v>
      </c>
      <c r="I874" s="1">
        <v>45505</v>
      </c>
      <c r="J874" s="1">
        <v>45992</v>
      </c>
      <c r="K874" t="s">
        <v>51</v>
      </c>
      <c r="L874" t="s">
        <v>52</v>
      </c>
      <c r="M874" s="2">
        <v>1</v>
      </c>
      <c r="N874" s="2">
        <v>1</v>
      </c>
      <c r="P874" s="2">
        <v>2</v>
      </c>
      <c r="Q874" t="s">
        <v>1402</v>
      </c>
      <c r="R874" t="s">
        <v>2445</v>
      </c>
    </row>
    <row r="875" spans="1:18" x14ac:dyDescent="0.25">
      <c r="A875" s="4">
        <v>102035916500</v>
      </c>
      <c r="B875" s="4" t="str">
        <f t="shared" si="17"/>
        <v>102035916500OVR</v>
      </c>
      <c r="C875" t="s">
        <v>1681</v>
      </c>
      <c r="D875" t="s">
        <v>491</v>
      </c>
      <c r="E875">
        <v>20411454</v>
      </c>
      <c r="F875" t="s">
        <v>2477</v>
      </c>
      <c r="G875" t="s">
        <v>49</v>
      </c>
      <c r="H875" t="s">
        <v>1238</v>
      </c>
      <c r="I875" s="1">
        <v>45505</v>
      </c>
      <c r="J875" s="1">
        <v>45992</v>
      </c>
      <c r="K875" t="s">
        <v>51</v>
      </c>
      <c r="L875" t="s">
        <v>52</v>
      </c>
      <c r="M875" s="2">
        <v>1</v>
      </c>
      <c r="N875" s="2">
        <v>1</v>
      </c>
      <c r="P875" s="2">
        <v>2</v>
      </c>
      <c r="Q875" t="s">
        <v>1402</v>
      </c>
      <c r="R875" t="s">
        <v>2445</v>
      </c>
    </row>
    <row r="876" spans="1:18" x14ac:dyDescent="0.25">
      <c r="A876" s="4">
        <v>102036450000</v>
      </c>
      <c r="B876" s="4" t="str">
        <f t="shared" si="17"/>
        <v>102036450000OVR</v>
      </c>
      <c r="C876" t="s">
        <v>1684</v>
      </c>
      <c r="D876" t="s">
        <v>491</v>
      </c>
      <c r="E876">
        <v>20411454</v>
      </c>
      <c r="F876" t="s">
        <v>2477</v>
      </c>
      <c r="G876" t="s">
        <v>49</v>
      </c>
      <c r="H876" t="s">
        <v>1238</v>
      </c>
      <c r="I876" s="1">
        <v>45505</v>
      </c>
      <c r="J876" s="1">
        <v>45992</v>
      </c>
      <c r="K876" t="s">
        <v>51</v>
      </c>
      <c r="L876" t="s">
        <v>52</v>
      </c>
      <c r="M876" s="2">
        <v>1</v>
      </c>
      <c r="N876" s="2">
        <v>1</v>
      </c>
      <c r="P876" s="2">
        <v>2</v>
      </c>
      <c r="Q876" t="s">
        <v>1402</v>
      </c>
      <c r="R876" t="s">
        <v>2445</v>
      </c>
    </row>
    <row r="877" spans="1:18" x14ac:dyDescent="0.25">
      <c r="A877" s="4">
        <v>102036471300</v>
      </c>
      <c r="B877" s="4" t="str">
        <f t="shared" si="17"/>
        <v>102036471300OVR</v>
      </c>
      <c r="C877" t="s">
        <v>1685</v>
      </c>
      <c r="D877" t="s">
        <v>491</v>
      </c>
      <c r="E877">
        <v>20411454</v>
      </c>
      <c r="F877" t="s">
        <v>2477</v>
      </c>
      <c r="G877" t="s">
        <v>49</v>
      </c>
      <c r="H877" t="s">
        <v>1238</v>
      </c>
      <c r="I877" s="1">
        <v>45505</v>
      </c>
      <c r="J877" s="1">
        <v>45992</v>
      </c>
      <c r="K877" t="s">
        <v>51</v>
      </c>
      <c r="L877" t="s">
        <v>52</v>
      </c>
      <c r="M877" s="2">
        <v>1</v>
      </c>
      <c r="N877" s="2">
        <v>1</v>
      </c>
      <c r="P877" s="2">
        <v>2</v>
      </c>
      <c r="Q877" t="s">
        <v>1402</v>
      </c>
      <c r="R877" t="s">
        <v>2445</v>
      </c>
    </row>
    <row r="878" spans="1:18" x14ac:dyDescent="0.25">
      <c r="A878" s="4">
        <v>102037178300</v>
      </c>
      <c r="B878" s="4" t="str">
        <f t="shared" si="17"/>
        <v>102037178300OVR</v>
      </c>
      <c r="C878" t="s">
        <v>1686</v>
      </c>
      <c r="D878" t="s">
        <v>491</v>
      </c>
      <c r="E878">
        <v>20411454</v>
      </c>
      <c r="F878" t="s">
        <v>2477</v>
      </c>
      <c r="G878" t="s">
        <v>49</v>
      </c>
      <c r="H878" t="s">
        <v>1238</v>
      </c>
      <c r="I878" s="1">
        <v>45505</v>
      </c>
      <c r="J878" s="1">
        <v>45992</v>
      </c>
      <c r="K878" t="s">
        <v>51</v>
      </c>
      <c r="L878" t="s">
        <v>52</v>
      </c>
      <c r="M878" s="2">
        <v>1</v>
      </c>
      <c r="N878" s="2">
        <v>1</v>
      </c>
      <c r="P878" s="2">
        <v>2</v>
      </c>
      <c r="Q878" t="s">
        <v>1402</v>
      </c>
      <c r="R878" t="s">
        <v>2445</v>
      </c>
    </row>
    <row r="879" spans="1:18" x14ac:dyDescent="0.25">
      <c r="A879" s="4">
        <v>102037260600</v>
      </c>
      <c r="B879" s="4" t="str">
        <f t="shared" si="17"/>
        <v>102037260600OVR</v>
      </c>
      <c r="C879" t="s">
        <v>1688</v>
      </c>
      <c r="D879" t="s">
        <v>46</v>
      </c>
      <c r="E879">
        <v>20411454</v>
      </c>
      <c r="F879" t="s">
        <v>2477</v>
      </c>
      <c r="G879" t="s">
        <v>49</v>
      </c>
      <c r="H879" t="s">
        <v>1238</v>
      </c>
      <c r="I879" s="1">
        <v>45505</v>
      </c>
      <c r="J879" s="1">
        <v>45992</v>
      </c>
      <c r="K879" t="s">
        <v>51</v>
      </c>
      <c r="L879" t="s">
        <v>52</v>
      </c>
      <c r="M879" s="2">
        <v>1</v>
      </c>
      <c r="N879" s="2">
        <v>1</v>
      </c>
      <c r="P879" s="2">
        <v>2</v>
      </c>
      <c r="Q879" t="s">
        <v>1402</v>
      </c>
      <c r="R879" t="s">
        <v>2445</v>
      </c>
    </row>
    <row r="880" spans="1:18" x14ac:dyDescent="0.25">
      <c r="A880" s="4">
        <v>102037642800</v>
      </c>
      <c r="B880" s="4" t="str">
        <f t="shared" si="17"/>
        <v>102037642800OVR</v>
      </c>
      <c r="C880" t="s">
        <v>1689</v>
      </c>
      <c r="D880" t="s">
        <v>491</v>
      </c>
      <c r="E880">
        <v>20411454</v>
      </c>
      <c r="F880" t="s">
        <v>2477</v>
      </c>
      <c r="G880" t="s">
        <v>49</v>
      </c>
      <c r="H880" t="s">
        <v>1238</v>
      </c>
      <c r="I880" s="1">
        <v>45505</v>
      </c>
      <c r="J880" s="1">
        <v>45992</v>
      </c>
      <c r="K880" t="s">
        <v>51</v>
      </c>
      <c r="L880" t="s">
        <v>52</v>
      </c>
      <c r="M880" s="2">
        <v>1</v>
      </c>
      <c r="N880" s="2">
        <v>1</v>
      </c>
      <c r="P880" s="2">
        <v>2</v>
      </c>
      <c r="Q880" t="s">
        <v>1402</v>
      </c>
      <c r="R880" t="s">
        <v>2445</v>
      </c>
    </row>
    <row r="881" spans="1:18" x14ac:dyDescent="0.25">
      <c r="A881" s="4">
        <v>102038194700</v>
      </c>
      <c r="B881" s="4" t="str">
        <f t="shared" si="17"/>
        <v>102038194700OVR</v>
      </c>
      <c r="C881" t="s">
        <v>1690</v>
      </c>
      <c r="D881" t="s">
        <v>155</v>
      </c>
      <c r="E881">
        <v>20411454</v>
      </c>
      <c r="F881" t="s">
        <v>2477</v>
      </c>
      <c r="G881" t="s">
        <v>49</v>
      </c>
      <c r="H881" t="s">
        <v>1238</v>
      </c>
      <c r="I881" s="1">
        <v>45505</v>
      </c>
      <c r="J881" s="1">
        <v>45992</v>
      </c>
      <c r="K881" t="s">
        <v>51</v>
      </c>
      <c r="L881" t="s">
        <v>52</v>
      </c>
      <c r="M881" s="2">
        <v>1</v>
      </c>
      <c r="N881" s="2">
        <v>1</v>
      </c>
      <c r="P881" s="2">
        <v>2</v>
      </c>
      <c r="Q881" t="s">
        <v>1402</v>
      </c>
      <c r="R881" t="s">
        <v>2445</v>
      </c>
    </row>
    <row r="882" spans="1:18" x14ac:dyDescent="0.25">
      <c r="A882" s="4">
        <v>102041647300</v>
      </c>
      <c r="B882" s="4" t="str">
        <f t="shared" si="17"/>
        <v>102041647300OVR</v>
      </c>
      <c r="C882" t="s">
        <v>1693</v>
      </c>
      <c r="D882" t="s">
        <v>114</v>
      </c>
      <c r="E882">
        <v>20411454</v>
      </c>
      <c r="F882" t="s">
        <v>2477</v>
      </c>
      <c r="G882" t="s">
        <v>49</v>
      </c>
      <c r="H882" t="s">
        <v>1238</v>
      </c>
      <c r="I882" s="1">
        <v>45505</v>
      </c>
      <c r="J882" s="1">
        <v>45992</v>
      </c>
      <c r="K882" t="s">
        <v>51</v>
      </c>
      <c r="L882" t="s">
        <v>52</v>
      </c>
      <c r="M882" s="2">
        <v>1</v>
      </c>
      <c r="N882" s="2">
        <v>1</v>
      </c>
      <c r="P882" s="2">
        <v>2</v>
      </c>
      <c r="Q882" t="s">
        <v>1402</v>
      </c>
      <c r="R882" t="s">
        <v>2445</v>
      </c>
    </row>
    <row r="883" spans="1:18" x14ac:dyDescent="0.25">
      <c r="A883" s="4">
        <v>102033829400</v>
      </c>
      <c r="B883" s="4" t="str">
        <f t="shared" si="17"/>
        <v>102033829400OVR</v>
      </c>
      <c r="C883" t="s">
        <v>1673</v>
      </c>
      <c r="D883" t="s">
        <v>61</v>
      </c>
      <c r="E883">
        <v>20411454</v>
      </c>
      <c r="F883" t="s">
        <v>2477</v>
      </c>
      <c r="G883" t="s">
        <v>49</v>
      </c>
      <c r="H883" t="s">
        <v>1473</v>
      </c>
      <c r="I883" s="1">
        <v>45505</v>
      </c>
      <c r="J883" s="1">
        <v>45992</v>
      </c>
      <c r="K883" t="s">
        <v>51</v>
      </c>
      <c r="L883" t="s">
        <v>52</v>
      </c>
      <c r="M883" s="2">
        <v>1</v>
      </c>
      <c r="N883" s="2">
        <v>1</v>
      </c>
      <c r="P883" s="2">
        <v>2</v>
      </c>
      <c r="Q883" t="s">
        <v>1402</v>
      </c>
      <c r="R883" t="s">
        <v>2445</v>
      </c>
    </row>
    <row r="884" spans="1:18" x14ac:dyDescent="0.25">
      <c r="A884" s="4">
        <v>102010075000</v>
      </c>
      <c r="B884" s="4" t="str">
        <f t="shared" ref="B884:B947" si="18">CONCATENATE(A884,"OVR")</f>
        <v>102010075000OVR</v>
      </c>
      <c r="C884" t="s">
        <v>1641</v>
      </c>
      <c r="D884" t="s">
        <v>491</v>
      </c>
      <c r="E884">
        <v>20411454</v>
      </c>
      <c r="F884" t="s">
        <v>2477</v>
      </c>
      <c r="G884" t="s">
        <v>49</v>
      </c>
      <c r="H884" t="s">
        <v>1238</v>
      </c>
      <c r="I884" s="1">
        <v>45474</v>
      </c>
      <c r="J884" s="1">
        <v>45992</v>
      </c>
      <c r="K884" t="s">
        <v>51</v>
      </c>
      <c r="L884" t="s">
        <v>52</v>
      </c>
      <c r="M884" s="2">
        <v>1</v>
      </c>
      <c r="N884" s="2">
        <v>1</v>
      </c>
      <c r="P884" s="2">
        <v>2</v>
      </c>
      <c r="Q884" t="s">
        <v>1402</v>
      </c>
      <c r="R884" t="s">
        <v>2445</v>
      </c>
    </row>
    <row r="885" spans="1:18" x14ac:dyDescent="0.25">
      <c r="A885" s="4">
        <v>102014897000</v>
      </c>
      <c r="B885" s="4" t="str">
        <f t="shared" si="18"/>
        <v>102014897000OVR</v>
      </c>
      <c r="C885" t="s">
        <v>1645</v>
      </c>
      <c r="D885" t="s">
        <v>491</v>
      </c>
      <c r="E885">
        <v>20411454</v>
      </c>
      <c r="F885" t="s">
        <v>2477</v>
      </c>
      <c r="G885" t="s">
        <v>49</v>
      </c>
      <c r="H885" t="s">
        <v>1238</v>
      </c>
      <c r="I885" s="1">
        <v>45474</v>
      </c>
      <c r="J885" s="1">
        <v>45992</v>
      </c>
      <c r="K885" t="s">
        <v>51</v>
      </c>
      <c r="L885" t="s">
        <v>52</v>
      </c>
      <c r="M885" s="2">
        <v>1</v>
      </c>
      <c r="N885" s="2">
        <v>1</v>
      </c>
      <c r="P885" s="2">
        <v>2</v>
      </c>
      <c r="Q885" t="s">
        <v>1402</v>
      </c>
      <c r="R885" t="s">
        <v>2445</v>
      </c>
    </row>
    <row r="886" spans="1:18" x14ac:dyDescent="0.25">
      <c r="A886" s="4">
        <v>102015648800</v>
      </c>
      <c r="B886" s="4" t="str">
        <f t="shared" si="18"/>
        <v>102015648800OVR</v>
      </c>
      <c r="C886" t="s">
        <v>1646</v>
      </c>
      <c r="D886" t="s">
        <v>491</v>
      </c>
      <c r="E886">
        <v>20411454</v>
      </c>
      <c r="F886" t="s">
        <v>2477</v>
      </c>
      <c r="G886" t="s">
        <v>49</v>
      </c>
      <c r="H886" t="s">
        <v>1238</v>
      </c>
      <c r="I886" s="1">
        <v>45474</v>
      </c>
      <c r="J886" s="1">
        <v>45992</v>
      </c>
      <c r="K886" t="s">
        <v>51</v>
      </c>
      <c r="L886" t="s">
        <v>52</v>
      </c>
      <c r="M886" s="2">
        <v>1</v>
      </c>
      <c r="N886" s="2">
        <v>1</v>
      </c>
      <c r="P886" s="2">
        <v>2</v>
      </c>
      <c r="Q886" t="s">
        <v>1402</v>
      </c>
      <c r="R886" t="s">
        <v>2445</v>
      </c>
    </row>
    <row r="887" spans="1:18" x14ac:dyDescent="0.25">
      <c r="A887" s="4">
        <v>102015762800</v>
      </c>
      <c r="B887" s="4" t="str">
        <f t="shared" si="18"/>
        <v>102015762800OVR</v>
      </c>
      <c r="C887" t="s">
        <v>1647</v>
      </c>
      <c r="D887" t="s">
        <v>491</v>
      </c>
      <c r="E887">
        <v>20411454</v>
      </c>
      <c r="F887" t="s">
        <v>2477</v>
      </c>
      <c r="G887" t="s">
        <v>49</v>
      </c>
      <c r="H887" t="s">
        <v>1238</v>
      </c>
      <c r="I887" s="1">
        <v>45474</v>
      </c>
      <c r="J887" s="1">
        <v>45992</v>
      </c>
      <c r="K887" t="s">
        <v>51</v>
      </c>
      <c r="L887" t="s">
        <v>52</v>
      </c>
      <c r="M887" s="2">
        <v>1</v>
      </c>
      <c r="N887" s="2">
        <v>1</v>
      </c>
      <c r="P887" s="2">
        <v>2</v>
      </c>
      <c r="Q887" t="s">
        <v>1402</v>
      </c>
      <c r="R887" t="s">
        <v>2445</v>
      </c>
    </row>
    <row r="888" spans="1:18" x14ac:dyDescent="0.25">
      <c r="A888" s="4">
        <v>102017009100</v>
      </c>
      <c r="B888" s="4" t="str">
        <f t="shared" si="18"/>
        <v>102017009100OVR</v>
      </c>
      <c r="C888" t="s">
        <v>1648</v>
      </c>
      <c r="D888" t="s">
        <v>491</v>
      </c>
      <c r="E888">
        <v>20411454</v>
      </c>
      <c r="F888" t="s">
        <v>2477</v>
      </c>
      <c r="G888" t="s">
        <v>49</v>
      </c>
      <c r="H888" t="s">
        <v>1238</v>
      </c>
      <c r="I888" s="1">
        <v>45474</v>
      </c>
      <c r="J888" s="1">
        <v>45992</v>
      </c>
      <c r="K888" t="s">
        <v>51</v>
      </c>
      <c r="L888" t="s">
        <v>52</v>
      </c>
      <c r="M888" s="2">
        <v>1</v>
      </c>
      <c r="N888" s="2">
        <v>1</v>
      </c>
      <c r="P888" s="2">
        <v>2</v>
      </c>
      <c r="Q888" t="s">
        <v>1402</v>
      </c>
      <c r="R888" t="s">
        <v>2445</v>
      </c>
    </row>
    <row r="889" spans="1:18" x14ac:dyDescent="0.25">
      <c r="A889" s="4">
        <v>102017011100</v>
      </c>
      <c r="B889" s="4" t="str">
        <f t="shared" si="18"/>
        <v>102017011100OVR</v>
      </c>
      <c r="C889" t="s">
        <v>1650</v>
      </c>
      <c r="D889" t="s">
        <v>491</v>
      </c>
      <c r="E889">
        <v>20411454</v>
      </c>
      <c r="F889" t="s">
        <v>2477</v>
      </c>
      <c r="G889" t="s">
        <v>49</v>
      </c>
      <c r="H889" t="s">
        <v>1238</v>
      </c>
      <c r="I889" s="1">
        <v>45474</v>
      </c>
      <c r="J889" s="1">
        <v>45992</v>
      </c>
      <c r="K889" t="s">
        <v>51</v>
      </c>
      <c r="L889" t="s">
        <v>52</v>
      </c>
      <c r="M889" s="2">
        <v>1</v>
      </c>
      <c r="N889" s="2">
        <v>1</v>
      </c>
      <c r="P889" s="2">
        <v>2</v>
      </c>
      <c r="Q889" t="s">
        <v>1402</v>
      </c>
      <c r="R889" t="s">
        <v>2445</v>
      </c>
    </row>
    <row r="890" spans="1:18" x14ac:dyDescent="0.25">
      <c r="A890" s="4">
        <v>102017118900</v>
      </c>
      <c r="B890" s="4" t="str">
        <f t="shared" si="18"/>
        <v>102017118900OVR</v>
      </c>
      <c r="C890" t="s">
        <v>1651</v>
      </c>
      <c r="D890" t="s">
        <v>46</v>
      </c>
      <c r="E890">
        <v>20411454</v>
      </c>
      <c r="F890" t="s">
        <v>2477</v>
      </c>
      <c r="G890" t="s">
        <v>49</v>
      </c>
      <c r="H890" t="s">
        <v>1238</v>
      </c>
      <c r="I890" s="1">
        <v>45474</v>
      </c>
      <c r="J890" s="1">
        <v>45992</v>
      </c>
      <c r="K890" t="s">
        <v>51</v>
      </c>
      <c r="L890" t="s">
        <v>52</v>
      </c>
      <c r="M890" s="2">
        <v>1</v>
      </c>
      <c r="N890" s="2">
        <v>1</v>
      </c>
      <c r="P890" s="2">
        <v>2</v>
      </c>
      <c r="Q890" t="s">
        <v>1402</v>
      </c>
      <c r="R890" t="s">
        <v>2445</v>
      </c>
    </row>
    <row r="891" spans="1:18" x14ac:dyDescent="0.25">
      <c r="A891" s="4">
        <v>102022258700</v>
      </c>
      <c r="B891" s="4" t="str">
        <f t="shared" si="18"/>
        <v>102022258700OVR</v>
      </c>
      <c r="C891" t="s">
        <v>1656</v>
      </c>
      <c r="D891" t="s">
        <v>491</v>
      </c>
      <c r="E891">
        <v>20411454</v>
      </c>
      <c r="F891" t="s">
        <v>2477</v>
      </c>
      <c r="G891" t="s">
        <v>49</v>
      </c>
      <c r="H891" t="s">
        <v>1238</v>
      </c>
      <c r="I891" s="1">
        <v>45474</v>
      </c>
      <c r="J891" s="1">
        <v>45992</v>
      </c>
      <c r="K891" t="s">
        <v>51</v>
      </c>
      <c r="L891" t="s">
        <v>52</v>
      </c>
      <c r="M891" s="2">
        <v>1</v>
      </c>
      <c r="N891" s="2">
        <v>1</v>
      </c>
      <c r="P891" s="2">
        <v>2</v>
      </c>
      <c r="Q891" t="s">
        <v>1402</v>
      </c>
      <c r="R891" t="s">
        <v>2445</v>
      </c>
    </row>
    <row r="892" spans="1:18" x14ac:dyDescent="0.25">
      <c r="A892" s="4">
        <v>102022261800</v>
      </c>
      <c r="B892" s="4" t="str">
        <f t="shared" si="18"/>
        <v>102022261800OVR</v>
      </c>
      <c r="C892" t="s">
        <v>1657</v>
      </c>
      <c r="D892" t="s">
        <v>491</v>
      </c>
      <c r="E892">
        <v>20411454</v>
      </c>
      <c r="F892" t="s">
        <v>2477</v>
      </c>
      <c r="G892" t="s">
        <v>49</v>
      </c>
      <c r="H892" t="s">
        <v>1238</v>
      </c>
      <c r="I892" s="1">
        <v>45474</v>
      </c>
      <c r="J892" s="1">
        <v>45992</v>
      </c>
      <c r="K892" t="s">
        <v>51</v>
      </c>
      <c r="L892" t="s">
        <v>52</v>
      </c>
      <c r="M892" s="2">
        <v>1</v>
      </c>
      <c r="N892" s="2">
        <v>1</v>
      </c>
      <c r="P892" s="2">
        <v>2</v>
      </c>
      <c r="Q892" t="s">
        <v>1402</v>
      </c>
      <c r="R892" t="s">
        <v>2445</v>
      </c>
    </row>
    <row r="893" spans="1:18" x14ac:dyDescent="0.25">
      <c r="A893" s="4">
        <v>102025517700</v>
      </c>
      <c r="B893" s="4" t="str">
        <f t="shared" si="18"/>
        <v>102025517700OVR</v>
      </c>
      <c r="C893" t="s">
        <v>1660</v>
      </c>
      <c r="D893" t="s">
        <v>1061</v>
      </c>
      <c r="E893">
        <v>20411454</v>
      </c>
      <c r="F893" t="s">
        <v>2477</v>
      </c>
      <c r="G893" t="s">
        <v>49</v>
      </c>
      <c r="H893" t="s">
        <v>1238</v>
      </c>
      <c r="I893" s="1">
        <v>45474</v>
      </c>
      <c r="J893" s="1">
        <v>45992</v>
      </c>
      <c r="K893" t="s">
        <v>51</v>
      </c>
      <c r="L893" t="s">
        <v>52</v>
      </c>
      <c r="M893" s="2">
        <v>1</v>
      </c>
      <c r="N893" s="2">
        <v>1</v>
      </c>
      <c r="P893" s="2">
        <v>2</v>
      </c>
      <c r="Q893" t="s">
        <v>1402</v>
      </c>
      <c r="R893" t="s">
        <v>2445</v>
      </c>
    </row>
    <row r="894" spans="1:18" x14ac:dyDescent="0.25">
      <c r="A894" s="4">
        <v>102026454000</v>
      </c>
      <c r="B894" s="4" t="str">
        <f t="shared" si="18"/>
        <v>102026454000OVR</v>
      </c>
      <c r="C894" t="s">
        <v>1662</v>
      </c>
      <c r="D894" t="s">
        <v>1663</v>
      </c>
      <c r="E894">
        <v>20411454</v>
      </c>
      <c r="F894" t="s">
        <v>2477</v>
      </c>
      <c r="G894" t="s">
        <v>49</v>
      </c>
      <c r="H894" t="s">
        <v>1238</v>
      </c>
      <c r="I894" s="1">
        <v>45474</v>
      </c>
      <c r="J894" s="1">
        <v>45992</v>
      </c>
      <c r="K894" t="s">
        <v>51</v>
      </c>
      <c r="L894" t="s">
        <v>52</v>
      </c>
      <c r="M894" s="2">
        <v>1</v>
      </c>
      <c r="N894" s="2">
        <v>1</v>
      </c>
      <c r="P894" s="2">
        <v>2</v>
      </c>
      <c r="Q894" t="s">
        <v>1402</v>
      </c>
      <c r="R894" t="s">
        <v>2445</v>
      </c>
    </row>
    <row r="895" spans="1:18" x14ac:dyDescent="0.25">
      <c r="A895" s="4">
        <v>102027923000</v>
      </c>
      <c r="B895" s="4" t="str">
        <f t="shared" si="18"/>
        <v>102027923000OVR</v>
      </c>
      <c r="C895" t="s">
        <v>1664</v>
      </c>
      <c r="D895" t="s">
        <v>46</v>
      </c>
      <c r="E895">
        <v>20411454</v>
      </c>
      <c r="F895" t="s">
        <v>2477</v>
      </c>
      <c r="G895" t="s">
        <v>49</v>
      </c>
      <c r="H895" t="s">
        <v>1238</v>
      </c>
      <c r="I895" s="1">
        <v>45474</v>
      </c>
      <c r="J895" s="1">
        <v>45992</v>
      </c>
      <c r="K895" t="s">
        <v>51</v>
      </c>
      <c r="L895" t="s">
        <v>52</v>
      </c>
      <c r="M895" s="2">
        <v>1</v>
      </c>
      <c r="N895" s="2">
        <v>1</v>
      </c>
      <c r="P895" s="2">
        <v>2</v>
      </c>
      <c r="Q895" t="s">
        <v>1402</v>
      </c>
      <c r="R895" t="s">
        <v>2445</v>
      </c>
    </row>
    <row r="896" spans="1:18" x14ac:dyDescent="0.25">
      <c r="A896" s="4">
        <v>102035997700</v>
      </c>
      <c r="B896" s="4" t="str">
        <f t="shared" si="18"/>
        <v>102035997700OVR</v>
      </c>
      <c r="C896" t="s">
        <v>1682</v>
      </c>
      <c r="D896" t="s">
        <v>491</v>
      </c>
      <c r="E896">
        <v>20411454</v>
      </c>
      <c r="F896" t="s">
        <v>2477</v>
      </c>
      <c r="G896" t="s">
        <v>49</v>
      </c>
      <c r="H896" t="s">
        <v>1683</v>
      </c>
      <c r="I896" s="1">
        <v>45474</v>
      </c>
      <c r="J896" s="1">
        <v>45992</v>
      </c>
      <c r="K896" t="s">
        <v>51</v>
      </c>
      <c r="L896" t="s">
        <v>52</v>
      </c>
      <c r="M896" s="2">
        <v>1</v>
      </c>
      <c r="N896" s="2">
        <v>1</v>
      </c>
      <c r="P896" s="2">
        <v>2</v>
      </c>
      <c r="Q896" t="s">
        <v>1402</v>
      </c>
      <c r="R896" t="s">
        <v>2445</v>
      </c>
    </row>
    <row r="897" spans="1:18" x14ac:dyDescent="0.25">
      <c r="A897" s="4">
        <v>101872588800</v>
      </c>
      <c r="B897" s="4" t="str">
        <f t="shared" si="18"/>
        <v>101872588800OVR</v>
      </c>
      <c r="C897" t="s">
        <v>1632</v>
      </c>
      <c r="D897" t="s">
        <v>491</v>
      </c>
      <c r="E897">
        <v>20411454</v>
      </c>
      <c r="F897" t="s">
        <v>2477</v>
      </c>
      <c r="G897" t="s">
        <v>49</v>
      </c>
      <c r="H897" t="s">
        <v>1473</v>
      </c>
      <c r="I897" s="1">
        <v>45474</v>
      </c>
      <c r="J897" s="1">
        <v>45992</v>
      </c>
      <c r="K897" t="s">
        <v>51</v>
      </c>
      <c r="L897" t="s">
        <v>52</v>
      </c>
      <c r="M897" s="2">
        <v>1</v>
      </c>
      <c r="N897" s="2">
        <v>1</v>
      </c>
      <c r="P897" s="2">
        <v>2</v>
      </c>
      <c r="Q897" t="s">
        <v>1402</v>
      </c>
      <c r="R897" t="s">
        <v>2445</v>
      </c>
    </row>
    <row r="898" spans="1:18" x14ac:dyDescent="0.25">
      <c r="A898" s="4">
        <v>102022919300</v>
      </c>
      <c r="B898" s="4" t="str">
        <f t="shared" si="18"/>
        <v>102022919300OVR</v>
      </c>
      <c r="C898" t="s">
        <v>1659</v>
      </c>
      <c r="D898" t="s">
        <v>491</v>
      </c>
      <c r="E898">
        <v>20411454</v>
      </c>
      <c r="F898" t="s">
        <v>2477</v>
      </c>
      <c r="G898" t="s">
        <v>49</v>
      </c>
      <c r="H898" t="s">
        <v>1473</v>
      </c>
      <c r="I898" s="1">
        <v>45474</v>
      </c>
      <c r="J898" s="1">
        <v>45992</v>
      </c>
      <c r="K898" t="s">
        <v>51</v>
      </c>
      <c r="L898" t="s">
        <v>52</v>
      </c>
      <c r="M898" s="2">
        <v>1</v>
      </c>
      <c r="N898" s="2">
        <v>1</v>
      </c>
      <c r="P898" s="2">
        <v>2</v>
      </c>
      <c r="Q898" t="s">
        <v>1402</v>
      </c>
      <c r="R898" t="s">
        <v>2445</v>
      </c>
    </row>
    <row r="899" spans="1:18" x14ac:dyDescent="0.25">
      <c r="A899" s="4">
        <v>101051538100</v>
      </c>
      <c r="B899" s="4" t="str">
        <f t="shared" si="18"/>
        <v>101051538100OVR</v>
      </c>
      <c r="C899" t="s">
        <v>1406</v>
      </c>
      <c r="D899" t="s">
        <v>114</v>
      </c>
      <c r="E899">
        <v>20411454</v>
      </c>
      <c r="F899" t="s">
        <v>2477</v>
      </c>
      <c r="G899" t="s">
        <v>49</v>
      </c>
      <c r="H899" t="s">
        <v>1238</v>
      </c>
      <c r="I899" s="1">
        <v>45444</v>
      </c>
      <c r="J899" s="1">
        <v>45992</v>
      </c>
      <c r="K899" t="s">
        <v>51</v>
      </c>
      <c r="L899" t="s">
        <v>52</v>
      </c>
      <c r="M899" s="2">
        <v>1</v>
      </c>
      <c r="N899" s="2">
        <v>1</v>
      </c>
      <c r="P899" s="2">
        <v>2</v>
      </c>
      <c r="Q899" t="s">
        <v>1402</v>
      </c>
      <c r="R899" t="s">
        <v>2445</v>
      </c>
    </row>
    <row r="900" spans="1:18" x14ac:dyDescent="0.25">
      <c r="A900" s="4">
        <v>102006468500</v>
      </c>
      <c r="B900" s="4" t="str">
        <f t="shared" si="18"/>
        <v>102006468500OVR</v>
      </c>
      <c r="C900" t="s">
        <v>1635</v>
      </c>
      <c r="D900" t="s">
        <v>265</v>
      </c>
      <c r="E900">
        <v>20411454</v>
      </c>
      <c r="F900" t="s">
        <v>2477</v>
      </c>
      <c r="G900" t="s">
        <v>49</v>
      </c>
      <c r="H900" t="s">
        <v>1238</v>
      </c>
      <c r="I900" s="1">
        <v>45444</v>
      </c>
      <c r="J900" s="1">
        <v>45992</v>
      </c>
      <c r="K900" t="s">
        <v>51</v>
      </c>
      <c r="L900" t="s">
        <v>52</v>
      </c>
      <c r="M900" s="2">
        <v>1</v>
      </c>
      <c r="N900" s="2">
        <v>1</v>
      </c>
      <c r="P900" s="2">
        <v>2</v>
      </c>
      <c r="Q900" t="s">
        <v>1402</v>
      </c>
      <c r="R900" t="s">
        <v>2445</v>
      </c>
    </row>
    <row r="901" spans="1:18" x14ac:dyDescent="0.25">
      <c r="A901" s="4">
        <v>102006527900</v>
      </c>
      <c r="B901" s="4" t="str">
        <f t="shared" si="18"/>
        <v>102006527900OVR</v>
      </c>
      <c r="C901" t="s">
        <v>1636</v>
      </c>
      <c r="D901" t="s">
        <v>265</v>
      </c>
      <c r="E901">
        <v>20411454</v>
      </c>
      <c r="F901" t="s">
        <v>2477</v>
      </c>
      <c r="G901" t="s">
        <v>49</v>
      </c>
      <c r="H901" t="s">
        <v>1238</v>
      </c>
      <c r="I901" s="1">
        <v>45444</v>
      </c>
      <c r="J901" s="1">
        <v>45992</v>
      </c>
      <c r="K901" t="s">
        <v>51</v>
      </c>
      <c r="L901" t="s">
        <v>52</v>
      </c>
      <c r="M901" s="2">
        <v>1</v>
      </c>
      <c r="N901" s="2">
        <v>1</v>
      </c>
      <c r="P901" s="2">
        <v>2</v>
      </c>
      <c r="Q901" t="s">
        <v>1402</v>
      </c>
      <c r="R901" t="s">
        <v>2445</v>
      </c>
    </row>
    <row r="902" spans="1:18" x14ac:dyDescent="0.25">
      <c r="A902" s="4">
        <v>102008188300</v>
      </c>
      <c r="B902" s="4" t="str">
        <f t="shared" si="18"/>
        <v>102008188300OVR</v>
      </c>
      <c r="C902" t="s">
        <v>1638</v>
      </c>
      <c r="D902" t="s">
        <v>155</v>
      </c>
      <c r="E902">
        <v>20411454</v>
      </c>
      <c r="F902" t="s">
        <v>2477</v>
      </c>
      <c r="G902" t="s">
        <v>49</v>
      </c>
      <c r="H902" t="s">
        <v>1238</v>
      </c>
      <c r="I902" s="1">
        <v>45444</v>
      </c>
      <c r="J902" s="1">
        <v>45992</v>
      </c>
      <c r="K902" t="s">
        <v>51</v>
      </c>
      <c r="L902" t="s">
        <v>52</v>
      </c>
      <c r="M902" s="2">
        <v>1</v>
      </c>
      <c r="N902" s="2">
        <v>1</v>
      </c>
      <c r="P902" s="2">
        <v>2</v>
      </c>
      <c r="Q902" t="s">
        <v>1402</v>
      </c>
      <c r="R902" t="s">
        <v>2445</v>
      </c>
    </row>
    <row r="903" spans="1:18" x14ac:dyDescent="0.25">
      <c r="A903" s="4">
        <v>102009524100</v>
      </c>
      <c r="B903" s="4" t="str">
        <f t="shared" si="18"/>
        <v>102009524100OVR</v>
      </c>
      <c r="C903" t="s">
        <v>1639</v>
      </c>
      <c r="D903" t="s">
        <v>491</v>
      </c>
      <c r="E903">
        <v>20411454</v>
      </c>
      <c r="F903" t="s">
        <v>2477</v>
      </c>
      <c r="G903" t="s">
        <v>49</v>
      </c>
      <c r="H903" t="s">
        <v>1238</v>
      </c>
      <c r="I903" s="1">
        <v>45444</v>
      </c>
      <c r="J903" s="1">
        <v>45992</v>
      </c>
      <c r="K903" t="s">
        <v>51</v>
      </c>
      <c r="L903" t="s">
        <v>52</v>
      </c>
      <c r="M903" s="2">
        <v>1</v>
      </c>
      <c r="N903" s="2">
        <v>1</v>
      </c>
      <c r="P903" s="2">
        <v>2</v>
      </c>
      <c r="Q903" t="s">
        <v>1402</v>
      </c>
      <c r="R903" t="s">
        <v>2445</v>
      </c>
    </row>
    <row r="904" spans="1:18" x14ac:dyDescent="0.25">
      <c r="A904" s="4">
        <v>102009546700</v>
      </c>
      <c r="B904" s="4" t="str">
        <f t="shared" si="18"/>
        <v>102009546700OVR</v>
      </c>
      <c r="C904" t="s">
        <v>1640</v>
      </c>
      <c r="D904" t="s">
        <v>491</v>
      </c>
      <c r="E904">
        <v>20411454</v>
      </c>
      <c r="F904" t="s">
        <v>2477</v>
      </c>
      <c r="G904" t="s">
        <v>49</v>
      </c>
      <c r="H904" t="s">
        <v>1238</v>
      </c>
      <c r="I904" s="1">
        <v>45444</v>
      </c>
      <c r="J904" s="1">
        <v>45992</v>
      </c>
      <c r="K904" t="s">
        <v>51</v>
      </c>
      <c r="L904" t="s">
        <v>52</v>
      </c>
      <c r="M904" s="2">
        <v>1</v>
      </c>
      <c r="N904" s="2">
        <v>1</v>
      </c>
      <c r="P904" s="2">
        <v>2</v>
      </c>
      <c r="Q904" t="s">
        <v>1402</v>
      </c>
      <c r="R904" t="s">
        <v>2445</v>
      </c>
    </row>
    <row r="905" spans="1:18" x14ac:dyDescent="0.25">
      <c r="A905" s="4">
        <v>101138580000</v>
      </c>
      <c r="B905" s="4" t="str">
        <f t="shared" si="18"/>
        <v>101138580000OVR</v>
      </c>
      <c r="C905" t="s">
        <v>1443</v>
      </c>
      <c r="D905" t="s">
        <v>491</v>
      </c>
      <c r="E905">
        <v>20411454</v>
      </c>
      <c r="F905" t="s">
        <v>2477</v>
      </c>
      <c r="G905" t="s">
        <v>49</v>
      </c>
      <c r="H905" t="s">
        <v>1238</v>
      </c>
      <c r="I905" s="1">
        <v>45292</v>
      </c>
      <c r="J905" s="1">
        <v>45992</v>
      </c>
      <c r="K905" t="s">
        <v>51</v>
      </c>
      <c r="L905" t="s">
        <v>52</v>
      </c>
      <c r="M905" s="2">
        <v>1</v>
      </c>
      <c r="N905" s="2">
        <v>1</v>
      </c>
      <c r="P905" s="2">
        <v>2</v>
      </c>
      <c r="Q905" t="s">
        <v>1402</v>
      </c>
      <c r="R905" t="s">
        <v>2445</v>
      </c>
    </row>
    <row r="906" spans="1:18" x14ac:dyDescent="0.25">
      <c r="A906" s="4">
        <v>101298071600</v>
      </c>
      <c r="B906" s="4" t="str">
        <f t="shared" si="18"/>
        <v>101298071600OVR</v>
      </c>
      <c r="C906" t="s">
        <v>1471</v>
      </c>
      <c r="D906" t="s">
        <v>46</v>
      </c>
      <c r="E906">
        <v>20411454</v>
      </c>
      <c r="F906" t="s">
        <v>2477</v>
      </c>
      <c r="G906" t="s">
        <v>49</v>
      </c>
      <c r="H906" t="s">
        <v>1238</v>
      </c>
      <c r="I906" s="1">
        <v>45292</v>
      </c>
      <c r="J906" s="1">
        <v>45992</v>
      </c>
      <c r="K906" t="s">
        <v>51</v>
      </c>
      <c r="L906" t="s">
        <v>52</v>
      </c>
      <c r="M906" s="2">
        <v>1</v>
      </c>
      <c r="N906" s="2">
        <v>1</v>
      </c>
      <c r="P906" s="2">
        <v>2</v>
      </c>
      <c r="Q906" t="s">
        <v>1402</v>
      </c>
      <c r="R906" t="s">
        <v>2445</v>
      </c>
    </row>
    <row r="907" spans="1:18" x14ac:dyDescent="0.25">
      <c r="A907" s="4">
        <v>101368023800</v>
      </c>
      <c r="B907" s="4" t="str">
        <f t="shared" si="18"/>
        <v>101368023800OVR</v>
      </c>
      <c r="C907" t="s">
        <v>1479</v>
      </c>
      <c r="D907" t="s">
        <v>46</v>
      </c>
      <c r="E907">
        <v>20411454</v>
      </c>
      <c r="F907" t="s">
        <v>2477</v>
      </c>
      <c r="G907" t="s">
        <v>49</v>
      </c>
      <c r="H907" t="s">
        <v>1238</v>
      </c>
      <c r="I907" s="1">
        <v>45292</v>
      </c>
      <c r="J907" s="1">
        <v>45992</v>
      </c>
      <c r="K907" t="s">
        <v>51</v>
      </c>
      <c r="L907" t="s">
        <v>52</v>
      </c>
      <c r="M907" s="2">
        <v>1</v>
      </c>
      <c r="N907" s="2">
        <v>1</v>
      </c>
      <c r="P907" s="2">
        <v>2</v>
      </c>
      <c r="Q907" t="s">
        <v>1402</v>
      </c>
      <c r="R907" t="s">
        <v>2445</v>
      </c>
    </row>
    <row r="908" spans="1:18" x14ac:dyDescent="0.25">
      <c r="A908" s="4">
        <v>101375450100</v>
      </c>
      <c r="B908" s="4" t="str">
        <f t="shared" si="18"/>
        <v>101375450100OVR</v>
      </c>
      <c r="C908" t="s">
        <v>1480</v>
      </c>
      <c r="D908" t="s">
        <v>46</v>
      </c>
      <c r="E908">
        <v>20411454</v>
      </c>
      <c r="F908" t="s">
        <v>2477</v>
      </c>
      <c r="G908" t="s">
        <v>49</v>
      </c>
      <c r="H908" t="s">
        <v>1238</v>
      </c>
      <c r="I908" s="1">
        <v>45292</v>
      </c>
      <c r="J908" s="1">
        <v>45992</v>
      </c>
      <c r="K908" t="s">
        <v>51</v>
      </c>
      <c r="L908" t="s">
        <v>52</v>
      </c>
      <c r="M908" s="2">
        <v>1</v>
      </c>
      <c r="N908" s="2">
        <v>1</v>
      </c>
      <c r="P908" s="2">
        <v>2</v>
      </c>
      <c r="Q908" t="s">
        <v>1402</v>
      </c>
      <c r="R908" t="s">
        <v>2445</v>
      </c>
    </row>
    <row r="909" spans="1:18" x14ac:dyDescent="0.25">
      <c r="A909" s="4">
        <v>101785684000</v>
      </c>
      <c r="B909" s="4" t="str">
        <f t="shared" si="18"/>
        <v>101785684000OVR</v>
      </c>
      <c r="C909" t="s">
        <v>1629</v>
      </c>
      <c r="D909" t="s">
        <v>350</v>
      </c>
      <c r="E909">
        <v>20411454</v>
      </c>
      <c r="F909" t="s">
        <v>2477</v>
      </c>
      <c r="G909" t="s">
        <v>49</v>
      </c>
      <c r="H909" t="s">
        <v>1238</v>
      </c>
      <c r="I909" s="1">
        <v>45292</v>
      </c>
      <c r="J909" s="1">
        <v>45992</v>
      </c>
      <c r="K909" t="s">
        <v>51</v>
      </c>
      <c r="L909" t="s">
        <v>52</v>
      </c>
      <c r="M909" s="2">
        <v>1</v>
      </c>
      <c r="N909" s="2">
        <v>1</v>
      </c>
      <c r="P909" s="2">
        <v>2</v>
      </c>
      <c r="Q909" t="s">
        <v>1402</v>
      </c>
      <c r="R909" t="s">
        <v>2445</v>
      </c>
    </row>
    <row r="910" spans="1:18" x14ac:dyDescent="0.25">
      <c r="A910" s="4">
        <v>101857276600</v>
      </c>
      <c r="B910" s="4" t="str">
        <f t="shared" si="18"/>
        <v>101857276600OVR</v>
      </c>
      <c r="C910" t="s">
        <v>1630</v>
      </c>
      <c r="D910" t="s">
        <v>61</v>
      </c>
      <c r="E910">
        <v>20411454</v>
      </c>
      <c r="F910" t="s">
        <v>2477</v>
      </c>
      <c r="G910" t="s">
        <v>49</v>
      </c>
      <c r="H910" t="s">
        <v>1238</v>
      </c>
      <c r="I910" s="1">
        <v>45292</v>
      </c>
      <c r="J910" s="1">
        <v>45992</v>
      </c>
      <c r="K910" t="s">
        <v>51</v>
      </c>
      <c r="L910" t="s">
        <v>52</v>
      </c>
      <c r="M910" s="2">
        <v>1</v>
      </c>
      <c r="N910" s="2">
        <v>1</v>
      </c>
      <c r="P910" s="2">
        <v>2</v>
      </c>
      <c r="Q910" t="s">
        <v>1402</v>
      </c>
      <c r="R910" t="s">
        <v>2445</v>
      </c>
    </row>
    <row r="911" spans="1:18" x14ac:dyDescent="0.25">
      <c r="A911" s="4">
        <v>101857371800</v>
      </c>
      <c r="B911" s="4" t="str">
        <f t="shared" si="18"/>
        <v>101857371800OVR</v>
      </c>
      <c r="C911" t="s">
        <v>1631</v>
      </c>
      <c r="D911" t="s">
        <v>1061</v>
      </c>
      <c r="E911">
        <v>20411454</v>
      </c>
      <c r="F911" t="s">
        <v>2477</v>
      </c>
      <c r="G911" t="s">
        <v>49</v>
      </c>
      <c r="H911" t="s">
        <v>1238</v>
      </c>
      <c r="I911" s="1">
        <v>45292</v>
      </c>
      <c r="J911" s="1">
        <v>45992</v>
      </c>
      <c r="K911" t="s">
        <v>51</v>
      </c>
      <c r="L911" t="s">
        <v>52</v>
      </c>
      <c r="M911" s="2">
        <v>1</v>
      </c>
      <c r="N911" s="2">
        <v>1</v>
      </c>
      <c r="P911" s="2">
        <v>2</v>
      </c>
      <c r="Q911" t="s">
        <v>1402</v>
      </c>
      <c r="R911" t="s">
        <v>2445</v>
      </c>
    </row>
    <row r="912" spans="1:18" x14ac:dyDescent="0.25">
      <c r="A912" s="4">
        <v>101282879900</v>
      </c>
      <c r="B912" s="4" t="str">
        <f t="shared" si="18"/>
        <v>101282879900OVR</v>
      </c>
      <c r="C912" t="s">
        <v>1470</v>
      </c>
      <c r="D912" t="s">
        <v>491</v>
      </c>
      <c r="E912">
        <v>20411454</v>
      </c>
      <c r="F912" t="s">
        <v>2477</v>
      </c>
      <c r="G912" t="s">
        <v>49</v>
      </c>
      <c r="H912" t="s">
        <v>964</v>
      </c>
      <c r="I912" s="1">
        <v>45292</v>
      </c>
      <c r="J912" s="1">
        <v>45992</v>
      </c>
      <c r="K912" t="s">
        <v>51</v>
      </c>
      <c r="L912" t="s">
        <v>52</v>
      </c>
      <c r="M912" s="2">
        <v>1</v>
      </c>
      <c r="N912" s="2">
        <v>1</v>
      </c>
      <c r="P912" s="2">
        <v>1.17</v>
      </c>
      <c r="Q912" t="s">
        <v>1402</v>
      </c>
      <c r="R912" t="s">
        <v>2445</v>
      </c>
    </row>
    <row r="913" spans="1:18" x14ac:dyDescent="0.25">
      <c r="A913" s="4">
        <v>101338974000</v>
      </c>
      <c r="B913" s="4" t="str">
        <f t="shared" si="18"/>
        <v>101338974000OVR</v>
      </c>
      <c r="C913" t="s">
        <v>1477</v>
      </c>
      <c r="D913" t="s">
        <v>265</v>
      </c>
      <c r="E913">
        <v>20411454</v>
      </c>
      <c r="F913" t="s">
        <v>2477</v>
      </c>
      <c r="G913" t="s">
        <v>49</v>
      </c>
      <c r="H913" t="s">
        <v>964</v>
      </c>
      <c r="I913" s="1">
        <v>45292</v>
      </c>
      <c r="J913" s="1">
        <v>45992</v>
      </c>
      <c r="K913" t="s">
        <v>51</v>
      </c>
      <c r="L913" t="s">
        <v>52</v>
      </c>
      <c r="M913" s="2">
        <v>1</v>
      </c>
      <c r="N913" s="2">
        <v>1</v>
      </c>
      <c r="P913" s="2">
        <v>1.17</v>
      </c>
      <c r="Q913" t="s">
        <v>1402</v>
      </c>
      <c r="R913" t="s">
        <v>2445</v>
      </c>
    </row>
    <row r="914" spans="1:18" x14ac:dyDescent="0.25">
      <c r="A914" s="4">
        <v>101380282300</v>
      </c>
      <c r="B914" s="4" t="str">
        <f t="shared" si="18"/>
        <v>101380282300OVR</v>
      </c>
      <c r="C914" t="s">
        <v>1481</v>
      </c>
      <c r="D914" t="s">
        <v>265</v>
      </c>
      <c r="E914">
        <v>20411454</v>
      </c>
      <c r="F914" t="s">
        <v>2477</v>
      </c>
      <c r="G914" t="s">
        <v>49</v>
      </c>
      <c r="H914" t="s">
        <v>964</v>
      </c>
      <c r="I914" s="1">
        <v>45292</v>
      </c>
      <c r="J914" s="1">
        <v>45992</v>
      </c>
      <c r="K914" t="s">
        <v>51</v>
      </c>
      <c r="L914" t="s">
        <v>52</v>
      </c>
      <c r="M914" s="2">
        <v>1</v>
      </c>
      <c r="N914" s="2">
        <v>1</v>
      </c>
      <c r="P914" s="2">
        <v>1.17</v>
      </c>
      <c r="Q914" t="s">
        <v>1402</v>
      </c>
      <c r="R914" t="s">
        <v>2445</v>
      </c>
    </row>
    <row r="915" spans="1:18" x14ac:dyDescent="0.25">
      <c r="A915" s="4">
        <v>101708065000</v>
      </c>
      <c r="B915" s="4" t="str">
        <f t="shared" si="18"/>
        <v>101708065000OVR</v>
      </c>
      <c r="C915" t="s">
        <v>1624</v>
      </c>
      <c r="D915" t="s">
        <v>491</v>
      </c>
      <c r="E915">
        <v>20411454</v>
      </c>
      <c r="F915" t="s">
        <v>2477</v>
      </c>
      <c r="G915" t="s">
        <v>49</v>
      </c>
      <c r="H915" t="s">
        <v>1238</v>
      </c>
      <c r="I915" s="1">
        <v>45078</v>
      </c>
      <c r="J915" s="1">
        <v>45992</v>
      </c>
      <c r="K915" t="s">
        <v>51</v>
      </c>
      <c r="L915" t="s">
        <v>52</v>
      </c>
      <c r="M915" s="2">
        <v>1</v>
      </c>
      <c r="N915" s="2">
        <v>1</v>
      </c>
      <c r="P915" s="2">
        <v>2</v>
      </c>
      <c r="Q915" t="s">
        <v>1402</v>
      </c>
      <c r="R915" t="s">
        <v>2445</v>
      </c>
    </row>
    <row r="916" spans="1:18" x14ac:dyDescent="0.25">
      <c r="A916" s="4">
        <v>101708071100</v>
      </c>
      <c r="B916" s="4" t="str">
        <f t="shared" si="18"/>
        <v>101708071100OVR</v>
      </c>
      <c r="C916" t="s">
        <v>1625</v>
      </c>
      <c r="D916" t="s">
        <v>491</v>
      </c>
      <c r="E916">
        <v>20411454</v>
      </c>
      <c r="F916" t="s">
        <v>2477</v>
      </c>
      <c r="G916" t="s">
        <v>49</v>
      </c>
      <c r="H916" t="s">
        <v>1238</v>
      </c>
      <c r="I916" s="1">
        <v>45078</v>
      </c>
      <c r="J916" s="1">
        <v>45992</v>
      </c>
      <c r="K916" t="s">
        <v>51</v>
      </c>
      <c r="L916" t="s">
        <v>52</v>
      </c>
      <c r="M916" s="2">
        <v>1</v>
      </c>
      <c r="N916" s="2">
        <v>1</v>
      </c>
      <c r="P916" s="2">
        <v>2</v>
      </c>
      <c r="Q916" t="s">
        <v>1402</v>
      </c>
      <c r="R916" t="s">
        <v>2445</v>
      </c>
    </row>
    <row r="917" spans="1:18" x14ac:dyDescent="0.25">
      <c r="A917" s="4">
        <v>101694605000</v>
      </c>
      <c r="B917" s="4" t="str">
        <f t="shared" si="18"/>
        <v>101694605000OVR</v>
      </c>
      <c r="C917" t="s">
        <v>1614</v>
      </c>
      <c r="D917" t="s">
        <v>491</v>
      </c>
      <c r="E917">
        <v>20411454</v>
      </c>
      <c r="F917" t="s">
        <v>2477</v>
      </c>
      <c r="G917" t="s">
        <v>49</v>
      </c>
      <c r="H917" t="s">
        <v>1238</v>
      </c>
      <c r="I917" s="1">
        <v>45047</v>
      </c>
      <c r="J917" s="1">
        <v>45992</v>
      </c>
      <c r="K917" t="s">
        <v>51</v>
      </c>
      <c r="L917" t="s">
        <v>52</v>
      </c>
      <c r="M917" s="2">
        <v>1</v>
      </c>
      <c r="N917" s="2">
        <v>1</v>
      </c>
      <c r="P917" s="2">
        <v>2</v>
      </c>
      <c r="Q917" t="s">
        <v>1402</v>
      </c>
      <c r="R917" t="s">
        <v>2445</v>
      </c>
    </row>
    <row r="918" spans="1:18" x14ac:dyDescent="0.25">
      <c r="A918" s="4">
        <v>101707075800</v>
      </c>
      <c r="B918" s="4" t="str">
        <f t="shared" si="18"/>
        <v>101707075800OVR</v>
      </c>
      <c r="C918" t="s">
        <v>1622</v>
      </c>
      <c r="D918" t="s">
        <v>491</v>
      </c>
      <c r="E918">
        <v>20411454</v>
      </c>
      <c r="F918" t="s">
        <v>2477</v>
      </c>
      <c r="G918" t="s">
        <v>49</v>
      </c>
      <c r="H918" t="s">
        <v>1238</v>
      </c>
      <c r="I918" s="1">
        <v>45047</v>
      </c>
      <c r="J918" s="1">
        <v>45992</v>
      </c>
      <c r="K918" t="s">
        <v>51</v>
      </c>
      <c r="L918" t="s">
        <v>52</v>
      </c>
      <c r="M918" s="2">
        <v>1</v>
      </c>
      <c r="N918" s="2">
        <v>1</v>
      </c>
      <c r="P918" s="2">
        <v>2</v>
      </c>
      <c r="Q918" t="s">
        <v>1402</v>
      </c>
      <c r="R918" t="s">
        <v>2445</v>
      </c>
    </row>
    <row r="919" spans="1:18" x14ac:dyDescent="0.25">
      <c r="A919" s="4">
        <v>101720743300</v>
      </c>
      <c r="B919" s="4" t="str">
        <f t="shared" si="18"/>
        <v>101720743300OVR</v>
      </c>
      <c r="C919" t="s">
        <v>1628</v>
      </c>
      <c r="D919" t="s">
        <v>491</v>
      </c>
      <c r="E919">
        <v>20411454</v>
      </c>
      <c r="F919" t="s">
        <v>2477</v>
      </c>
      <c r="G919" t="s">
        <v>49</v>
      </c>
      <c r="H919" t="s">
        <v>1238</v>
      </c>
      <c r="I919" s="1">
        <v>45047</v>
      </c>
      <c r="J919" s="1">
        <v>45992</v>
      </c>
      <c r="K919" t="s">
        <v>51</v>
      </c>
      <c r="L919" t="s">
        <v>52</v>
      </c>
      <c r="M919" s="2">
        <v>1</v>
      </c>
      <c r="N919" s="2">
        <v>1</v>
      </c>
      <c r="P919" s="2">
        <v>2</v>
      </c>
      <c r="Q919" t="s">
        <v>1402</v>
      </c>
      <c r="R919" t="s">
        <v>2445</v>
      </c>
    </row>
    <row r="920" spans="1:18" x14ac:dyDescent="0.25">
      <c r="A920" s="4">
        <v>101519777300</v>
      </c>
      <c r="B920" s="4" t="str">
        <f t="shared" si="18"/>
        <v>101519777300OVR</v>
      </c>
      <c r="C920" t="s">
        <v>1540</v>
      </c>
      <c r="D920" t="s">
        <v>491</v>
      </c>
      <c r="E920">
        <v>20411454</v>
      </c>
      <c r="F920" t="s">
        <v>2477</v>
      </c>
      <c r="G920" t="s">
        <v>49</v>
      </c>
      <c r="H920" t="s">
        <v>1238</v>
      </c>
      <c r="I920" s="1">
        <v>45017</v>
      </c>
      <c r="J920" s="1">
        <v>45992</v>
      </c>
      <c r="K920" t="s">
        <v>51</v>
      </c>
      <c r="L920" t="s">
        <v>52</v>
      </c>
      <c r="M920" s="2">
        <v>1</v>
      </c>
      <c r="N920" s="2">
        <v>1</v>
      </c>
      <c r="P920" s="2">
        <v>2</v>
      </c>
      <c r="Q920" t="s">
        <v>1402</v>
      </c>
      <c r="R920" t="s">
        <v>2445</v>
      </c>
    </row>
    <row r="921" spans="1:18" x14ac:dyDescent="0.25">
      <c r="A921" s="4">
        <v>101562443500</v>
      </c>
      <c r="B921" s="4" t="str">
        <f t="shared" si="18"/>
        <v>101562443500OVR</v>
      </c>
      <c r="C921" t="s">
        <v>1573</v>
      </c>
      <c r="D921" t="s">
        <v>491</v>
      </c>
      <c r="E921">
        <v>20411454</v>
      </c>
      <c r="F921" t="s">
        <v>2477</v>
      </c>
      <c r="G921" t="s">
        <v>49</v>
      </c>
      <c r="H921" t="s">
        <v>1238</v>
      </c>
      <c r="I921" s="1">
        <v>45017</v>
      </c>
      <c r="J921" s="1">
        <v>45992</v>
      </c>
      <c r="K921" t="s">
        <v>51</v>
      </c>
      <c r="L921" t="s">
        <v>52</v>
      </c>
      <c r="M921" s="2">
        <v>1</v>
      </c>
      <c r="N921" s="2">
        <v>1</v>
      </c>
      <c r="P921" s="2">
        <v>2</v>
      </c>
      <c r="Q921" t="s">
        <v>1402</v>
      </c>
      <c r="R921" t="s">
        <v>2445</v>
      </c>
    </row>
    <row r="922" spans="1:18" x14ac:dyDescent="0.25">
      <c r="A922" s="4">
        <v>101705440500</v>
      </c>
      <c r="B922" s="4" t="str">
        <f t="shared" si="18"/>
        <v>101705440500OVR</v>
      </c>
      <c r="C922" t="s">
        <v>1621</v>
      </c>
      <c r="D922" t="s">
        <v>491</v>
      </c>
      <c r="E922">
        <v>20411454</v>
      </c>
      <c r="F922" t="s">
        <v>2477</v>
      </c>
      <c r="G922" t="s">
        <v>49</v>
      </c>
      <c r="H922" t="s">
        <v>1238</v>
      </c>
      <c r="I922" s="1">
        <v>45017</v>
      </c>
      <c r="J922" s="1">
        <v>45992</v>
      </c>
      <c r="K922" t="s">
        <v>51</v>
      </c>
      <c r="L922" t="s">
        <v>52</v>
      </c>
      <c r="M922" s="2">
        <v>1</v>
      </c>
      <c r="N922" s="2">
        <v>1</v>
      </c>
      <c r="P922" s="2">
        <v>2</v>
      </c>
      <c r="Q922" t="s">
        <v>1402</v>
      </c>
      <c r="R922" t="s">
        <v>2445</v>
      </c>
    </row>
    <row r="923" spans="1:18" x14ac:dyDescent="0.25">
      <c r="A923" s="4">
        <v>101707211600</v>
      </c>
      <c r="B923" s="4" t="str">
        <f t="shared" si="18"/>
        <v>101707211600OVR</v>
      </c>
      <c r="C923" t="s">
        <v>1623</v>
      </c>
      <c r="D923" t="s">
        <v>491</v>
      </c>
      <c r="E923">
        <v>20411454</v>
      </c>
      <c r="F923" t="s">
        <v>2477</v>
      </c>
      <c r="G923" t="s">
        <v>49</v>
      </c>
      <c r="H923" t="s">
        <v>1238</v>
      </c>
      <c r="I923" s="1">
        <v>45017</v>
      </c>
      <c r="J923" s="1">
        <v>45992</v>
      </c>
      <c r="K923" t="s">
        <v>51</v>
      </c>
      <c r="L923" t="s">
        <v>52</v>
      </c>
      <c r="M923" s="2">
        <v>1</v>
      </c>
      <c r="N923" s="2">
        <v>1</v>
      </c>
      <c r="P923" s="2">
        <v>2</v>
      </c>
      <c r="Q923" t="s">
        <v>1402</v>
      </c>
      <c r="R923" t="s">
        <v>2445</v>
      </c>
    </row>
    <row r="924" spans="1:18" x14ac:dyDescent="0.25">
      <c r="A924" s="4">
        <v>101708503500</v>
      </c>
      <c r="B924" s="4" t="str">
        <f t="shared" si="18"/>
        <v>101708503500OVR</v>
      </c>
      <c r="C924" t="s">
        <v>1626</v>
      </c>
      <c r="D924" t="s">
        <v>491</v>
      </c>
      <c r="E924">
        <v>20411454</v>
      </c>
      <c r="F924" t="s">
        <v>2477</v>
      </c>
      <c r="G924" t="s">
        <v>49</v>
      </c>
      <c r="H924" t="s">
        <v>1238</v>
      </c>
      <c r="I924" s="1">
        <v>45017</v>
      </c>
      <c r="J924" s="1">
        <v>45992</v>
      </c>
      <c r="K924" t="s">
        <v>51</v>
      </c>
      <c r="L924" t="s">
        <v>52</v>
      </c>
      <c r="M924" s="2">
        <v>1</v>
      </c>
      <c r="N924" s="2">
        <v>1</v>
      </c>
      <c r="P924" s="2">
        <v>2</v>
      </c>
      <c r="Q924" t="s">
        <v>1402</v>
      </c>
      <c r="R924" t="s">
        <v>2445</v>
      </c>
    </row>
    <row r="925" spans="1:18" x14ac:dyDescent="0.25">
      <c r="A925" s="4">
        <v>101709439700</v>
      </c>
      <c r="B925" s="4" t="str">
        <f t="shared" si="18"/>
        <v>101709439700OVR</v>
      </c>
      <c r="C925" t="s">
        <v>1627</v>
      </c>
      <c r="D925" t="s">
        <v>491</v>
      </c>
      <c r="E925">
        <v>20411454</v>
      </c>
      <c r="F925" t="s">
        <v>2477</v>
      </c>
      <c r="G925" t="s">
        <v>49</v>
      </c>
      <c r="H925" t="s">
        <v>1238</v>
      </c>
      <c r="I925" s="1">
        <v>45017</v>
      </c>
      <c r="J925" s="1">
        <v>45992</v>
      </c>
      <c r="K925" t="s">
        <v>51</v>
      </c>
      <c r="L925" t="s">
        <v>52</v>
      </c>
      <c r="M925" s="2">
        <v>1</v>
      </c>
      <c r="N925" s="2">
        <v>1</v>
      </c>
      <c r="P925" s="2">
        <v>2</v>
      </c>
      <c r="Q925" t="s">
        <v>1402</v>
      </c>
      <c r="R925" t="s">
        <v>2445</v>
      </c>
    </row>
    <row r="926" spans="1:18" x14ac:dyDescent="0.25">
      <c r="A926" s="4">
        <v>101626027800</v>
      </c>
      <c r="B926" s="4" t="str">
        <f t="shared" si="18"/>
        <v>101626027800OVR</v>
      </c>
      <c r="C926" t="s">
        <v>1597</v>
      </c>
      <c r="D926" t="s">
        <v>491</v>
      </c>
      <c r="E926">
        <v>20411454</v>
      </c>
      <c r="F926" t="s">
        <v>2477</v>
      </c>
      <c r="G926" t="s">
        <v>49</v>
      </c>
      <c r="H926" t="s">
        <v>1238</v>
      </c>
      <c r="I926" s="1">
        <v>44986</v>
      </c>
      <c r="J926" s="1">
        <v>45992</v>
      </c>
      <c r="K926" t="s">
        <v>51</v>
      </c>
      <c r="L926" t="s">
        <v>52</v>
      </c>
      <c r="M926" s="2">
        <v>1</v>
      </c>
      <c r="N926" s="2">
        <v>1</v>
      </c>
      <c r="P926" s="2">
        <v>2</v>
      </c>
      <c r="Q926" t="s">
        <v>1402</v>
      </c>
      <c r="R926" t="s">
        <v>2445</v>
      </c>
    </row>
    <row r="927" spans="1:18" x14ac:dyDescent="0.25">
      <c r="A927" s="4">
        <v>101685446200</v>
      </c>
      <c r="B927" s="4" t="str">
        <f t="shared" si="18"/>
        <v>101685446200OVR</v>
      </c>
      <c r="C927" t="s">
        <v>1607</v>
      </c>
      <c r="D927" t="s">
        <v>491</v>
      </c>
      <c r="E927">
        <v>20411454</v>
      </c>
      <c r="F927" t="s">
        <v>2477</v>
      </c>
      <c r="G927" t="s">
        <v>49</v>
      </c>
      <c r="H927" t="s">
        <v>1238</v>
      </c>
      <c r="I927" s="1">
        <v>44986</v>
      </c>
      <c r="J927" s="1">
        <v>45992</v>
      </c>
      <c r="K927" t="s">
        <v>51</v>
      </c>
      <c r="L927" t="s">
        <v>52</v>
      </c>
      <c r="M927" s="2">
        <v>1</v>
      </c>
      <c r="N927" s="2">
        <v>1</v>
      </c>
      <c r="P927" s="2">
        <v>2</v>
      </c>
      <c r="Q927" t="s">
        <v>1402</v>
      </c>
      <c r="R927" t="s">
        <v>2445</v>
      </c>
    </row>
    <row r="928" spans="1:18" x14ac:dyDescent="0.25">
      <c r="A928" s="4">
        <v>101693064700</v>
      </c>
      <c r="B928" s="4" t="str">
        <f t="shared" si="18"/>
        <v>101693064700OVR</v>
      </c>
      <c r="C928" t="s">
        <v>1613</v>
      </c>
      <c r="D928" t="s">
        <v>491</v>
      </c>
      <c r="E928">
        <v>20411454</v>
      </c>
      <c r="F928" t="s">
        <v>2477</v>
      </c>
      <c r="G928" t="s">
        <v>49</v>
      </c>
      <c r="H928" t="s">
        <v>1238</v>
      </c>
      <c r="I928" s="1">
        <v>44986</v>
      </c>
      <c r="J928" s="1">
        <v>45992</v>
      </c>
      <c r="K928" t="s">
        <v>51</v>
      </c>
      <c r="L928" t="s">
        <v>52</v>
      </c>
      <c r="M928" s="2">
        <v>1</v>
      </c>
      <c r="N928" s="2">
        <v>1</v>
      </c>
      <c r="P928" s="2">
        <v>2</v>
      </c>
      <c r="Q928" t="s">
        <v>1402</v>
      </c>
      <c r="R928" t="s">
        <v>2445</v>
      </c>
    </row>
    <row r="929" spans="1:18" x14ac:dyDescent="0.25">
      <c r="A929" s="4">
        <v>101696813600</v>
      </c>
      <c r="B929" s="4" t="str">
        <f t="shared" si="18"/>
        <v>101696813600OVR</v>
      </c>
      <c r="C929" t="s">
        <v>1615</v>
      </c>
      <c r="D929" t="s">
        <v>491</v>
      </c>
      <c r="E929">
        <v>20411454</v>
      </c>
      <c r="F929" t="s">
        <v>2477</v>
      </c>
      <c r="G929" t="s">
        <v>49</v>
      </c>
      <c r="H929" t="s">
        <v>1238</v>
      </c>
      <c r="I929" s="1">
        <v>44986</v>
      </c>
      <c r="J929" s="1">
        <v>45992</v>
      </c>
      <c r="K929" t="s">
        <v>51</v>
      </c>
      <c r="L929" t="s">
        <v>52</v>
      </c>
      <c r="M929" s="2">
        <v>1</v>
      </c>
      <c r="N929" s="2">
        <v>1</v>
      </c>
      <c r="P929" s="2">
        <v>2</v>
      </c>
      <c r="Q929" t="s">
        <v>1402</v>
      </c>
      <c r="R929" t="s">
        <v>2445</v>
      </c>
    </row>
    <row r="930" spans="1:18" x14ac:dyDescent="0.25">
      <c r="A930" s="4">
        <v>101697166100</v>
      </c>
      <c r="B930" s="4" t="str">
        <f t="shared" si="18"/>
        <v>101697166100OVR</v>
      </c>
      <c r="C930" t="s">
        <v>1617</v>
      </c>
      <c r="D930" t="s">
        <v>491</v>
      </c>
      <c r="E930">
        <v>20411454</v>
      </c>
      <c r="F930" t="s">
        <v>2477</v>
      </c>
      <c r="G930" t="s">
        <v>49</v>
      </c>
      <c r="H930" t="s">
        <v>1238</v>
      </c>
      <c r="I930" s="1">
        <v>44986</v>
      </c>
      <c r="J930" s="1">
        <v>45992</v>
      </c>
      <c r="K930" t="s">
        <v>51</v>
      </c>
      <c r="L930" t="s">
        <v>52</v>
      </c>
      <c r="M930" s="2">
        <v>1</v>
      </c>
      <c r="N930" s="2">
        <v>1</v>
      </c>
      <c r="P930" s="2">
        <v>2</v>
      </c>
      <c r="Q930" t="s">
        <v>1402</v>
      </c>
      <c r="R930" t="s">
        <v>2445</v>
      </c>
    </row>
    <row r="931" spans="1:18" x14ac:dyDescent="0.25">
      <c r="A931" s="4">
        <v>101698190600</v>
      </c>
      <c r="B931" s="4" t="str">
        <f t="shared" si="18"/>
        <v>101698190600OVR</v>
      </c>
      <c r="C931" t="s">
        <v>1618</v>
      </c>
      <c r="D931" t="s">
        <v>491</v>
      </c>
      <c r="E931">
        <v>20411454</v>
      </c>
      <c r="F931" t="s">
        <v>2477</v>
      </c>
      <c r="G931" t="s">
        <v>49</v>
      </c>
      <c r="H931" t="s">
        <v>1238</v>
      </c>
      <c r="I931" s="1">
        <v>44986</v>
      </c>
      <c r="J931" s="1">
        <v>45992</v>
      </c>
      <c r="K931" t="s">
        <v>51</v>
      </c>
      <c r="L931" t="s">
        <v>52</v>
      </c>
      <c r="M931" s="2">
        <v>1</v>
      </c>
      <c r="N931" s="2">
        <v>1</v>
      </c>
      <c r="P931" s="2">
        <v>2</v>
      </c>
      <c r="Q931" t="s">
        <v>1402</v>
      </c>
      <c r="R931" t="s">
        <v>2445</v>
      </c>
    </row>
    <row r="932" spans="1:18" x14ac:dyDescent="0.25">
      <c r="A932" s="4">
        <v>101699610400</v>
      </c>
      <c r="B932" s="4" t="str">
        <f t="shared" si="18"/>
        <v>101699610400OVR</v>
      </c>
      <c r="C932" t="s">
        <v>1619</v>
      </c>
      <c r="D932" t="s">
        <v>491</v>
      </c>
      <c r="E932">
        <v>20411454</v>
      </c>
      <c r="F932" t="s">
        <v>2477</v>
      </c>
      <c r="G932" t="s">
        <v>49</v>
      </c>
      <c r="H932" t="s">
        <v>1238</v>
      </c>
      <c r="I932" s="1">
        <v>44986</v>
      </c>
      <c r="J932" s="1">
        <v>45992</v>
      </c>
      <c r="K932" t="s">
        <v>51</v>
      </c>
      <c r="L932" t="s">
        <v>52</v>
      </c>
      <c r="M932" s="2">
        <v>1</v>
      </c>
      <c r="N932" s="2">
        <v>1</v>
      </c>
      <c r="P932" s="2">
        <v>2</v>
      </c>
      <c r="Q932" t="s">
        <v>1402</v>
      </c>
      <c r="R932" t="s">
        <v>2445</v>
      </c>
    </row>
    <row r="933" spans="1:18" x14ac:dyDescent="0.25">
      <c r="A933" s="4">
        <v>101702068200</v>
      </c>
      <c r="B933" s="4" t="str">
        <f t="shared" si="18"/>
        <v>101702068200OVR</v>
      </c>
      <c r="C933" t="s">
        <v>1620</v>
      </c>
      <c r="D933" t="s">
        <v>491</v>
      </c>
      <c r="E933">
        <v>20411454</v>
      </c>
      <c r="F933" t="s">
        <v>2477</v>
      </c>
      <c r="G933" t="s">
        <v>49</v>
      </c>
      <c r="H933" t="s">
        <v>1238</v>
      </c>
      <c r="I933" s="1">
        <v>44986</v>
      </c>
      <c r="J933" s="1">
        <v>45992</v>
      </c>
      <c r="K933" t="s">
        <v>51</v>
      </c>
      <c r="L933" t="s">
        <v>52</v>
      </c>
      <c r="M933" s="2">
        <v>1</v>
      </c>
      <c r="N933" s="2">
        <v>1</v>
      </c>
      <c r="P933" s="2">
        <v>2</v>
      </c>
      <c r="Q933" t="s">
        <v>1402</v>
      </c>
      <c r="R933" t="s">
        <v>2445</v>
      </c>
    </row>
    <row r="934" spans="1:18" x14ac:dyDescent="0.25">
      <c r="A934" s="4">
        <v>101583947600</v>
      </c>
      <c r="B934" s="4" t="str">
        <f t="shared" si="18"/>
        <v>101583947600OVR</v>
      </c>
      <c r="C934" t="s">
        <v>1586</v>
      </c>
      <c r="D934" t="s">
        <v>491</v>
      </c>
      <c r="E934">
        <v>20411454</v>
      </c>
      <c r="F934" t="s">
        <v>2477</v>
      </c>
      <c r="G934" t="s">
        <v>49</v>
      </c>
      <c r="H934" t="s">
        <v>1238</v>
      </c>
      <c r="I934" s="1">
        <v>44958</v>
      </c>
      <c r="J934" s="1">
        <v>45992</v>
      </c>
      <c r="K934" t="s">
        <v>51</v>
      </c>
      <c r="L934" t="s">
        <v>52</v>
      </c>
      <c r="M934" s="2">
        <v>1</v>
      </c>
      <c r="N934" s="2">
        <v>1</v>
      </c>
      <c r="P934" s="2">
        <v>2</v>
      </c>
      <c r="Q934" t="s">
        <v>1402</v>
      </c>
      <c r="R934" t="s">
        <v>2445</v>
      </c>
    </row>
    <row r="935" spans="1:18" x14ac:dyDescent="0.25">
      <c r="A935" s="4">
        <v>101685445600</v>
      </c>
      <c r="B935" s="4" t="str">
        <f t="shared" si="18"/>
        <v>101685445600OVR</v>
      </c>
      <c r="C935" t="s">
        <v>1606</v>
      </c>
      <c r="D935" t="s">
        <v>491</v>
      </c>
      <c r="E935">
        <v>20411454</v>
      </c>
      <c r="F935" t="s">
        <v>2477</v>
      </c>
      <c r="G935" t="s">
        <v>49</v>
      </c>
      <c r="H935" t="s">
        <v>1238</v>
      </c>
      <c r="I935" s="1">
        <v>44958</v>
      </c>
      <c r="J935" s="1">
        <v>45992</v>
      </c>
      <c r="K935" t="s">
        <v>51</v>
      </c>
      <c r="L935" t="s">
        <v>52</v>
      </c>
      <c r="M935" s="2">
        <v>1</v>
      </c>
      <c r="N935" s="2">
        <v>1</v>
      </c>
      <c r="P935" s="2">
        <v>2</v>
      </c>
      <c r="Q935" t="s">
        <v>1402</v>
      </c>
      <c r="R935" t="s">
        <v>2445</v>
      </c>
    </row>
    <row r="936" spans="1:18" x14ac:dyDescent="0.25">
      <c r="A936" s="4">
        <v>101685455300</v>
      </c>
      <c r="B936" s="4" t="str">
        <f t="shared" si="18"/>
        <v>101685455300OVR</v>
      </c>
      <c r="C936" t="s">
        <v>1608</v>
      </c>
      <c r="D936" t="s">
        <v>491</v>
      </c>
      <c r="E936">
        <v>20411454</v>
      </c>
      <c r="F936" t="s">
        <v>2477</v>
      </c>
      <c r="G936" t="s">
        <v>49</v>
      </c>
      <c r="H936" t="s">
        <v>1238</v>
      </c>
      <c r="I936" s="1">
        <v>44958</v>
      </c>
      <c r="J936" s="1">
        <v>45992</v>
      </c>
      <c r="K936" t="s">
        <v>51</v>
      </c>
      <c r="L936" t="s">
        <v>52</v>
      </c>
      <c r="M936" s="2">
        <v>1</v>
      </c>
      <c r="N936" s="2">
        <v>1</v>
      </c>
      <c r="P936" s="2">
        <v>2</v>
      </c>
      <c r="Q936" t="s">
        <v>1402</v>
      </c>
      <c r="R936" t="s">
        <v>2445</v>
      </c>
    </row>
    <row r="937" spans="1:18" x14ac:dyDescent="0.25">
      <c r="A937" s="4">
        <v>101686775500</v>
      </c>
      <c r="B937" s="4" t="str">
        <f t="shared" si="18"/>
        <v>101686775500OVR</v>
      </c>
      <c r="C937" t="s">
        <v>1609</v>
      </c>
      <c r="D937" t="s">
        <v>491</v>
      </c>
      <c r="E937">
        <v>20411454</v>
      </c>
      <c r="F937" t="s">
        <v>2477</v>
      </c>
      <c r="G937" t="s">
        <v>49</v>
      </c>
      <c r="H937" t="s">
        <v>1238</v>
      </c>
      <c r="I937" s="1">
        <v>44958</v>
      </c>
      <c r="J937" s="1">
        <v>45992</v>
      </c>
      <c r="K937" t="s">
        <v>51</v>
      </c>
      <c r="L937" t="s">
        <v>52</v>
      </c>
      <c r="M937" s="2">
        <v>1</v>
      </c>
      <c r="N937" s="2">
        <v>1</v>
      </c>
      <c r="P937" s="2">
        <v>2</v>
      </c>
      <c r="Q937" t="s">
        <v>1402</v>
      </c>
      <c r="R937" t="s">
        <v>2445</v>
      </c>
    </row>
    <row r="938" spans="1:18" x14ac:dyDescent="0.25">
      <c r="A938" s="4">
        <v>101689246200</v>
      </c>
      <c r="B938" s="4" t="str">
        <f t="shared" si="18"/>
        <v>101689246200OVR</v>
      </c>
      <c r="C938" t="s">
        <v>1610</v>
      </c>
      <c r="D938" t="s">
        <v>491</v>
      </c>
      <c r="E938">
        <v>20411454</v>
      </c>
      <c r="F938" t="s">
        <v>2477</v>
      </c>
      <c r="G938" t="s">
        <v>49</v>
      </c>
      <c r="H938" t="s">
        <v>1238</v>
      </c>
      <c r="I938" s="1">
        <v>44958</v>
      </c>
      <c r="J938" s="1">
        <v>45992</v>
      </c>
      <c r="K938" t="s">
        <v>51</v>
      </c>
      <c r="L938" t="s">
        <v>52</v>
      </c>
      <c r="M938" s="2">
        <v>1</v>
      </c>
      <c r="N938" s="2">
        <v>1</v>
      </c>
      <c r="P938" s="2">
        <v>2</v>
      </c>
      <c r="Q938" t="s">
        <v>1402</v>
      </c>
      <c r="R938" t="s">
        <v>2445</v>
      </c>
    </row>
    <row r="939" spans="1:18" x14ac:dyDescent="0.25">
      <c r="A939" s="4">
        <v>101689670100</v>
      </c>
      <c r="B939" s="4" t="str">
        <f t="shared" si="18"/>
        <v>101689670100OVR</v>
      </c>
      <c r="C939" t="s">
        <v>1611</v>
      </c>
      <c r="D939" t="s">
        <v>491</v>
      </c>
      <c r="E939">
        <v>20411454</v>
      </c>
      <c r="F939" t="s">
        <v>2477</v>
      </c>
      <c r="G939" t="s">
        <v>49</v>
      </c>
      <c r="H939" t="s">
        <v>1238</v>
      </c>
      <c r="I939" s="1">
        <v>44958</v>
      </c>
      <c r="J939" s="1">
        <v>45992</v>
      </c>
      <c r="K939" t="s">
        <v>51</v>
      </c>
      <c r="L939" t="s">
        <v>52</v>
      </c>
      <c r="M939" s="2">
        <v>1</v>
      </c>
      <c r="N939" s="2">
        <v>1</v>
      </c>
      <c r="P939" s="2">
        <v>2</v>
      </c>
      <c r="Q939" t="s">
        <v>1402</v>
      </c>
      <c r="R939" t="s">
        <v>2445</v>
      </c>
    </row>
    <row r="940" spans="1:18" x14ac:dyDescent="0.25">
      <c r="A940" s="4">
        <v>101692296700</v>
      </c>
      <c r="B940" s="4" t="str">
        <f t="shared" si="18"/>
        <v>101692296700OVR</v>
      </c>
      <c r="C940" t="s">
        <v>1612</v>
      </c>
      <c r="D940" t="s">
        <v>491</v>
      </c>
      <c r="E940">
        <v>20411454</v>
      </c>
      <c r="F940" t="s">
        <v>2477</v>
      </c>
      <c r="G940" t="s">
        <v>49</v>
      </c>
      <c r="H940" t="s">
        <v>1238</v>
      </c>
      <c r="I940" s="1">
        <v>44958</v>
      </c>
      <c r="J940" s="1">
        <v>45992</v>
      </c>
      <c r="K940" t="s">
        <v>51</v>
      </c>
      <c r="L940" t="s">
        <v>52</v>
      </c>
      <c r="M940" s="2">
        <v>1</v>
      </c>
      <c r="N940" s="2">
        <v>1</v>
      </c>
      <c r="P940" s="2">
        <v>2</v>
      </c>
      <c r="Q940" t="s">
        <v>1402</v>
      </c>
      <c r="R940" t="s">
        <v>2445</v>
      </c>
    </row>
    <row r="941" spans="1:18" x14ac:dyDescent="0.25">
      <c r="A941" s="4">
        <v>101209504000</v>
      </c>
      <c r="B941" s="4" t="str">
        <f t="shared" si="18"/>
        <v>101209504000OVR</v>
      </c>
      <c r="C941" t="s">
        <v>1463</v>
      </c>
      <c r="D941" t="s">
        <v>491</v>
      </c>
      <c r="E941">
        <v>20411454</v>
      </c>
      <c r="F941" t="s">
        <v>2477</v>
      </c>
      <c r="G941" t="s">
        <v>49</v>
      </c>
      <c r="H941" t="s">
        <v>1238</v>
      </c>
      <c r="I941" s="1">
        <v>44927</v>
      </c>
      <c r="J941" s="1">
        <v>45992</v>
      </c>
      <c r="K941" t="s">
        <v>51</v>
      </c>
      <c r="L941" t="s">
        <v>52</v>
      </c>
      <c r="M941" s="2">
        <v>1</v>
      </c>
      <c r="N941" s="2">
        <v>1</v>
      </c>
      <c r="P941" s="2">
        <v>2</v>
      </c>
      <c r="Q941" t="s">
        <v>1402</v>
      </c>
      <c r="R941" t="s">
        <v>2445</v>
      </c>
    </row>
    <row r="942" spans="1:18" x14ac:dyDescent="0.25">
      <c r="A942" s="4">
        <v>101473158500</v>
      </c>
      <c r="B942" s="4" t="str">
        <f t="shared" si="18"/>
        <v>101473158500OVR</v>
      </c>
      <c r="C942" t="s">
        <v>1503</v>
      </c>
      <c r="D942" t="s">
        <v>491</v>
      </c>
      <c r="E942">
        <v>20411454</v>
      </c>
      <c r="F942" t="s">
        <v>2477</v>
      </c>
      <c r="G942" t="s">
        <v>49</v>
      </c>
      <c r="H942" t="s">
        <v>1238</v>
      </c>
      <c r="I942" s="1">
        <v>44927</v>
      </c>
      <c r="J942" s="1">
        <v>45992</v>
      </c>
      <c r="K942" t="s">
        <v>51</v>
      </c>
      <c r="L942" t="s">
        <v>52</v>
      </c>
      <c r="M942" s="2">
        <v>1</v>
      </c>
      <c r="N942" s="2">
        <v>1</v>
      </c>
      <c r="P942" s="2">
        <v>2</v>
      </c>
      <c r="Q942" t="s">
        <v>1402</v>
      </c>
      <c r="R942" t="s">
        <v>2445</v>
      </c>
    </row>
    <row r="943" spans="1:18" x14ac:dyDescent="0.25">
      <c r="A943" s="4">
        <v>101562440600</v>
      </c>
      <c r="B943" s="4" t="str">
        <f t="shared" si="18"/>
        <v>101562440600OVR</v>
      </c>
      <c r="C943" t="s">
        <v>1572</v>
      </c>
      <c r="D943" t="s">
        <v>491</v>
      </c>
      <c r="E943">
        <v>20411454</v>
      </c>
      <c r="F943" t="s">
        <v>2477</v>
      </c>
      <c r="G943" t="s">
        <v>49</v>
      </c>
      <c r="H943" t="s">
        <v>1238</v>
      </c>
      <c r="I943" s="1">
        <v>44927</v>
      </c>
      <c r="J943" s="1">
        <v>45992</v>
      </c>
      <c r="K943" t="s">
        <v>51</v>
      </c>
      <c r="L943" t="s">
        <v>52</v>
      </c>
      <c r="M943" s="2">
        <v>1</v>
      </c>
      <c r="N943" s="2">
        <v>1</v>
      </c>
      <c r="P943" s="2">
        <v>2</v>
      </c>
      <c r="Q943" t="s">
        <v>1402</v>
      </c>
      <c r="R943" t="s">
        <v>2445</v>
      </c>
    </row>
    <row r="944" spans="1:18" x14ac:dyDescent="0.25">
      <c r="A944" s="4">
        <v>101562671800</v>
      </c>
      <c r="B944" s="4" t="str">
        <f t="shared" si="18"/>
        <v>101562671800OVR</v>
      </c>
      <c r="C944" t="s">
        <v>1574</v>
      </c>
      <c r="D944" t="s">
        <v>491</v>
      </c>
      <c r="E944">
        <v>20411454</v>
      </c>
      <c r="F944" t="s">
        <v>2477</v>
      </c>
      <c r="G944" t="s">
        <v>49</v>
      </c>
      <c r="H944" t="s">
        <v>1238</v>
      </c>
      <c r="I944" s="1">
        <v>44927</v>
      </c>
      <c r="J944" s="1">
        <v>45992</v>
      </c>
      <c r="K944" t="s">
        <v>51</v>
      </c>
      <c r="L944" t="s">
        <v>52</v>
      </c>
      <c r="M944" s="2">
        <v>1</v>
      </c>
      <c r="N944" s="2">
        <v>1</v>
      </c>
      <c r="P944" s="2">
        <v>2</v>
      </c>
      <c r="Q944" t="s">
        <v>1402</v>
      </c>
      <c r="R944" t="s">
        <v>2445</v>
      </c>
    </row>
    <row r="945" spans="1:40" x14ac:dyDescent="0.25">
      <c r="A945" s="4">
        <v>101564021500</v>
      </c>
      <c r="B945" s="4" t="str">
        <f t="shared" si="18"/>
        <v>101564021500OVR</v>
      </c>
      <c r="C945" t="s">
        <v>1575</v>
      </c>
      <c r="D945" t="s">
        <v>491</v>
      </c>
      <c r="E945">
        <v>20411454</v>
      </c>
      <c r="F945" t="s">
        <v>2477</v>
      </c>
      <c r="G945" t="s">
        <v>49</v>
      </c>
      <c r="H945" t="s">
        <v>1238</v>
      </c>
      <c r="I945" s="1">
        <v>44927</v>
      </c>
      <c r="J945" s="1">
        <v>45992</v>
      </c>
      <c r="K945" t="s">
        <v>51</v>
      </c>
      <c r="L945" t="s">
        <v>52</v>
      </c>
      <c r="M945" s="2">
        <v>1</v>
      </c>
      <c r="N945" s="2">
        <v>1</v>
      </c>
      <c r="P945" s="2">
        <v>2</v>
      </c>
      <c r="Q945" t="s">
        <v>1402</v>
      </c>
      <c r="R945" t="s">
        <v>2445</v>
      </c>
    </row>
    <row r="946" spans="1:40" x14ac:dyDescent="0.25">
      <c r="A946" s="4">
        <v>101564541800</v>
      </c>
      <c r="B946" s="4" t="str">
        <f t="shared" si="18"/>
        <v>101564541800OVR</v>
      </c>
      <c r="C946" t="s">
        <v>1576</v>
      </c>
      <c r="D946" t="s">
        <v>491</v>
      </c>
      <c r="E946">
        <v>20411454</v>
      </c>
      <c r="F946" t="s">
        <v>2477</v>
      </c>
      <c r="G946" t="s">
        <v>49</v>
      </c>
      <c r="H946" t="s">
        <v>1238</v>
      </c>
      <c r="I946" s="1">
        <v>44927</v>
      </c>
      <c r="J946" s="1">
        <v>45992</v>
      </c>
      <c r="K946" t="s">
        <v>51</v>
      </c>
      <c r="L946" t="s">
        <v>52</v>
      </c>
      <c r="M946" s="2">
        <v>1</v>
      </c>
      <c r="N946" s="2">
        <v>1</v>
      </c>
      <c r="P946" s="2">
        <v>2</v>
      </c>
      <c r="Q946" t="s">
        <v>1402</v>
      </c>
      <c r="R946" t="s">
        <v>2445</v>
      </c>
    </row>
    <row r="947" spans="1:40" x14ac:dyDescent="0.25">
      <c r="A947" s="4">
        <v>101564908700</v>
      </c>
      <c r="B947" s="4" t="str">
        <f t="shared" si="18"/>
        <v>101564908700OVR</v>
      </c>
      <c r="C947" t="s">
        <v>1577</v>
      </c>
      <c r="D947" t="s">
        <v>491</v>
      </c>
      <c r="E947">
        <v>20411454</v>
      </c>
      <c r="F947" t="s">
        <v>2477</v>
      </c>
      <c r="G947" t="s">
        <v>49</v>
      </c>
      <c r="H947" t="s">
        <v>1238</v>
      </c>
      <c r="I947" s="1">
        <v>44927</v>
      </c>
      <c r="J947" s="1">
        <v>45992</v>
      </c>
      <c r="K947" t="s">
        <v>51</v>
      </c>
      <c r="L947" t="s">
        <v>52</v>
      </c>
      <c r="M947" s="2">
        <v>1</v>
      </c>
      <c r="N947" s="2">
        <v>1</v>
      </c>
      <c r="P947" s="2">
        <v>2</v>
      </c>
      <c r="Q947" t="s">
        <v>1402</v>
      </c>
      <c r="R947" t="s">
        <v>2445</v>
      </c>
    </row>
    <row r="948" spans="1:40" x14ac:dyDescent="0.25">
      <c r="A948" s="4">
        <v>101565188200</v>
      </c>
      <c r="B948" s="4" t="str">
        <f t="shared" ref="B948:B1011" si="19">CONCATENATE(A948,"OVR")</f>
        <v>101565188200OVR</v>
      </c>
      <c r="C948" t="s">
        <v>1578</v>
      </c>
      <c r="D948" t="s">
        <v>491</v>
      </c>
      <c r="E948">
        <v>20411454</v>
      </c>
      <c r="F948" t="s">
        <v>2477</v>
      </c>
      <c r="G948" t="s">
        <v>49</v>
      </c>
      <c r="H948" t="s">
        <v>1238</v>
      </c>
      <c r="I948" s="1">
        <v>44927</v>
      </c>
      <c r="J948" s="1">
        <v>45992</v>
      </c>
      <c r="K948" t="s">
        <v>51</v>
      </c>
      <c r="L948" t="s">
        <v>52</v>
      </c>
      <c r="M948" s="2">
        <v>1</v>
      </c>
      <c r="N948" s="2">
        <v>1</v>
      </c>
      <c r="P948" s="2">
        <v>2</v>
      </c>
      <c r="Q948" t="s">
        <v>1402</v>
      </c>
      <c r="R948" t="s">
        <v>2445</v>
      </c>
    </row>
    <row r="949" spans="1:40" x14ac:dyDescent="0.25">
      <c r="A949" s="4">
        <v>101565291100</v>
      </c>
      <c r="B949" s="4" t="str">
        <f t="shared" si="19"/>
        <v>101565291100OVR</v>
      </c>
      <c r="C949" t="s">
        <v>1579</v>
      </c>
      <c r="D949" t="s">
        <v>491</v>
      </c>
      <c r="E949">
        <v>20411454</v>
      </c>
      <c r="F949" t="s">
        <v>2477</v>
      </c>
      <c r="G949" t="s">
        <v>49</v>
      </c>
      <c r="H949" t="s">
        <v>1238</v>
      </c>
      <c r="I949" s="1">
        <v>44927</v>
      </c>
      <c r="J949" s="1">
        <v>45992</v>
      </c>
      <c r="K949" t="s">
        <v>51</v>
      </c>
      <c r="L949" t="s">
        <v>52</v>
      </c>
      <c r="M949" s="2">
        <v>1</v>
      </c>
      <c r="N949" s="2">
        <v>1</v>
      </c>
      <c r="P949" s="2">
        <v>2</v>
      </c>
      <c r="Q949" t="s">
        <v>1402</v>
      </c>
      <c r="R949" t="s">
        <v>2445</v>
      </c>
    </row>
    <row r="950" spans="1:40" s="6" customFormat="1" x14ac:dyDescent="0.25">
      <c r="A950" s="4">
        <v>101565317500</v>
      </c>
      <c r="B950" s="4" t="str">
        <f t="shared" si="19"/>
        <v>101565317500OVR</v>
      </c>
      <c r="C950" t="s">
        <v>1580</v>
      </c>
      <c r="D950" t="s">
        <v>491</v>
      </c>
      <c r="E950">
        <v>20411454</v>
      </c>
      <c r="F950" t="s">
        <v>2477</v>
      </c>
      <c r="G950" t="s">
        <v>49</v>
      </c>
      <c r="H950" t="s">
        <v>1238</v>
      </c>
      <c r="I950" s="1">
        <v>44927</v>
      </c>
      <c r="J950" s="1">
        <v>45992</v>
      </c>
      <c r="K950" t="s">
        <v>51</v>
      </c>
      <c r="L950" t="s">
        <v>52</v>
      </c>
      <c r="M950" s="2">
        <v>1</v>
      </c>
      <c r="N950" s="2">
        <v>1</v>
      </c>
      <c r="O950"/>
      <c r="P950" s="2">
        <v>2</v>
      </c>
      <c r="Q950" t="s">
        <v>1402</v>
      </c>
      <c r="R950" t="s">
        <v>2445</v>
      </c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</row>
    <row r="951" spans="1:40" s="6" customFormat="1" x14ac:dyDescent="0.25">
      <c r="A951" s="4">
        <v>101565368600</v>
      </c>
      <c r="B951" s="4" t="str">
        <f t="shared" si="19"/>
        <v>101565368600OVR</v>
      </c>
      <c r="C951" t="s">
        <v>1581</v>
      </c>
      <c r="D951" t="s">
        <v>491</v>
      </c>
      <c r="E951">
        <v>20411454</v>
      </c>
      <c r="F951" t="s">
        <v>2477</v>
      </c>
      <c r="G951" t="s">
        <v>49</v>
      </c>
      <c r="H951" t="s">
        <v>1238</v>
      </c>
      <c r="I951" s="1">
        <v>44927</v>
      </c>
      <c r="J951" s="1">
        <v>45992</v>
      </c>
      <c r="K951" t="s">
        <v>51</v>
      </c>
      <c r="L951" t="s">
        <v>52</v>
      </c>
      <c r="M951" s="2">
        <v>1</v>
      </c>
      <c r="N951" s="2">
        <v>1</v>
      </c>
      <c r="O951"/>
      <c r="P951" s="2">
        <v>2</v>
      </c>
      <c r="Q951" t="s">
        <v>1402</v>
      </c>
      <c r="R951" t="s">
        <v>2445</v>
      </c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</row>
    <row r="952" spans="1:40" s="6" customFormat="1" x14ac:dyDescent="0.25">
      <c r="A952" s="4">
        <v>101566325300</v>
      </c>
      <c r="B952" s="4" t="str">
        <f t="shared" si="19"/>
        <v>101566325300OVR</v>
      </c>
      <c r="C952" t="s">
        <v>1583</v>
      </c>
      <c r="D952" t="s">
        <v>491</v>
      </c>
      <c r="E952">
        <v>20411454</v>
      </c>
      <c r="F952" t="s">
        <v>2477</v>
      </c>
      <c r="G952" t="s">
        <v>49</v>
      </c>
      <c r="H952" t="s">
        <v>1238</v>
      </c>
      <c r="I952" s="1">
        <v>44927</v>
      </c>
      <c r="J952" s="1">
        <v>45992</v>
      </c>
      <c r="K952" t="s">
        <v>51</v>
      </c>
      <c r="L952" t="s">
        <v>52</v>
      </c>
      <c r="M952" s="2">
        <v>1</v>
      </c>
      <c r="N952" s="2">
        <v>1</v>
      </c>
      <c r="O952"/>
      <c r="P952" s="2">
        <v>2</v>
      </c>
      <c r="Q952" t="s">
        <v>1402</v>
      </c>
      <c r="R952" t="s">
        <v>2445</v>
      </c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</row>
    <row r="953" spans="1:40" s="6" customFormat="1" x14ac:dyDescent="0.25">
      <c r="A953" s="4">
        <v>101568867100</v>
      </c>
      <c r="B953" s="4" t="str">
        <f t="shared" si="19"/>
        <v>101568867100OVR</v>
      </c>
      <c r="C953" t="s">
        <v>1584</v>
      </c>
      <c r="D953" t="s">
        <v>491</v>
      </c>
      <c r="E953">
        <v>20411454</v>
      </c>
      <c r="F953" t="s">
        <v>2477</v>
      </c>
      <c r="G953" t="s">
        <v>49</v>
      </c>
      <c r="H953" t="s">
        <v>1238</v>
      </c>
      <c r="I953" s="1">
        <v>44927</v>
      </c>
      <c r="J953" s="1">
        <v>45992</v>
      </c>
      <c r="K953" t="s">
        <v>51</v>
      </c>
      <c r="L953" t="s">
        <v>52</v>
      </c>
      <c r="M953" s="2">
        <v>1</v>
      </c>
      <c r="N953" s="2">
        <v>1</v>
      </c>
      <c r="O953"/>
      <c r="P953" s="2">
        <v>2</v>
      </c>
      <c r="Q953" t="s">
        <v>1402</v>
      </c>
      <c r="R953" t="s">
        <v>2445</v>
      </c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</row>
    <row r="954" spans="1:40" s="6" customFormat="1" x14ac:dyDescent="0.25">
      <c r="A954" s="4">
        <v>101581399800</v>
      </c>
      <c r="B954" s="4" t="str">
        <f t="shared" si="19"/>
        <v>101581399800OVR</v>
      </c>
      <c r="C954" t="s">
        <v>1585</v>
      </c>
      <c r="D954" t="s">
        <v>491</v>
      </c>
      <c r="E954">
        <v>20411454</v>
      </c>
      <c r="F954" t="s">
        <v>2477</v>
      </c>
      <c r="G954" t="s">
        <v>49</v>
      </c>
      <c r="H954" t="s">
        <v>1238</v>
      </c>
      <c r="I954" s="1">
        <v>44927</v>
      </c>
      <c r="J954" s="1">
        <v>45992</v>
      </c>
      <c r="K954" t="s">
        <v>51</v>
      </c>
      <c r="L954" t="s">
        <v>52</v>
      </c>
      <c r="M954" s="2">
        <v>1</v>
      </c>
      <c r="N954" s="2">
        <v>1</v>
      </c>
      <c r="O954"/>
      <c r="P954" s="2">
        <v>2</v>
      </c>
      <c r="Q954" t="s">
        <v>1402</v>
      </c>
      <c r="R954" t="s">
        <v>2445</v>
      </c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</row>
    <row r="955" spans="1:40" s="6" customFormat="1" x14ac:dyDescent="0.25">
      <c r="A955" s="4">
        <v>101585746700</v>
      </c>
      <c r="B955" s="4" t="str">
        <f t="shared" si="19"/>
        <v>101585746700OVR</v>
      </c>
      <c r="C955" t="s">
        <v>1587</v>
      </c>
      <c r="D955" t="s">
        <v>491</v>
      </c>
      <c r="E955">
        <v>20411454</v>
      </c>
      <c r="F955" t="s">
        <v>2477</v>
      </c>
      <c r="G955" t="s">
        <v>49</v>
      </c>
      <c r="H955" t="s">
        <v>1238</v>
      </c>
      <c r="I955" s="1">
        <v>44927</v>
      </c>
      <c r="J955" s="1">
        <v>45992</v>
      </c>
      <c r="K955" t="s">
        <v>51</v>
      </c>
      <c r="L955" t="s">
        <v>52</v>
      </c>
      <c r="M955" s="2">
        <v>1</v>
      </c>
      <c r="N955" s="2">
        <v>1</v>
      </c>
      <c r="O955"/>
      <c r="P955" s="2">
        <v>2</v>
      </c>
      <c r="Q955" t="s">
        <v>1402</v>
      </c>
      <c r="R955" t="s">
        <v>2445</v>
      </c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</row>
    <row r="956" spans="1:40" s="6" customFormat="1" x14ac:dyDescent="0.25">
      <c r="A956" s="4">
        <v>101585747400</v>
      </c>
      <c r="B956" s="4" t="str">
        <f t="shared" si="19"/>
        <v>101585747400OVR</v>
      </c>
      <c r="C956" t="s">
        <v>1588</v>
      </c>
      <c r="D956" t="s">
        <v>491</v>
      </c>
      <c r="E956">
        <v>20411454</v>
      </c>
      <c r="F956" t="s">
        <v>2477</v>
      </c>
      <c r="G956" t="s">
        <v>49</v>
      </c>
      <c r="H956" t="s">
        <v>1238</v>
      </c>
      <c r="I956" s="1">
        <v>44927</v>
      </c>
      <c r="J956" s="1">
        <v>45992</v>
      </c>
      <c r="K956" t="s">
        <v>51</v>
      </c>
      <c r="L956" t="s">
        <v>52</v>
      </c>
      <c r="M956" s="2">
        <v>1</v>
      </c>
      <c r="N956" s="2">
        <v>1</v>
      </c>
      <c r="O956"/>
      <c r="P956" s="2">
        <v>2</v>
      </c>
      <c r="Q956" t="s">
        <v>1402</v>
      </c>
      <c r="R956" t="s">
        <v>2445</v>
      </c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</row>
    <row r="957" spans="1:40" s="6" customFormat="1" x14ac:dyDescent="0.25">
      <c r="A957" s="4">
        <v>101585766600</v>
      </c>
      <c r="B957" s="4" t="str">
        <f t="shared" si="19"/>
        <v>101585766600OVR</v>
      </c>
      <c r="C957" t="s">
        <v>1589</v>
      </c>
      <c r="D957" t="s">
        <v>491</v>
      </c>
      <c r="E957">
        <v>20411454</v>
      </c>
      <c r="F957" t="s">
        <v>2477</v>
      </c>
      <c r="G957" t="s">
        <v>49</v>
      </c>
      <c r="H957" t="s">
        <v>1238</v>
      </c>
      <c r="I957" s="1">
        <v>44927</v>
      </c>
      <c r="J957" s="1">
        <v>45992</v>
      </c>
      <c r="K957" t="s">
        <v>51</v>
      </c>
      <c r="L957" t="s">
        <v>52</v>
      </c>
      <c r="M957" s="2">
        <v>1</v>
      </c>
      <c r="N957" s="2">
        <v>1</v>
      </c>
      <c r="O957"/>
      <c r="P957" s="2">
        <v>2</v>
      </c>
      <c r="Q957" t="s">
        <v>1402</v>
      </c>
      <c r="R957" t="s">
        <v>2445</v>
      </c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</row>
    <row r="958" spans="1:40" s="6" customFormat="1" x14ac:dyDescent="0.25">
      <c r="A958" s="4">
        <v>101600159500</v>
      </c>
      <c r="B958" s="4" t="str">
        <f t="shared" si="19"/>
        <v>101600159500OVR</v>
      </c>
      <c r="C958" t="s">
        <v>1590</v>
      </c>
      <c r="D958" t="s">
        <v>491</v>
      </c>
      <c r="E958">
        <v>20411454</v>
      </c>
      <c r="F958" t="s">
        <v>2477</v>
      </c>
      <c r="G958" t="s">
        <v>49</v>
      </c>
      <c r="H958" t="s">
        <v>1238</v>
      </c>
      <c r="I958" s="1">
        <v>44927</v>
      </c>
      <c r="J958" s="1">
        <v>45992</v>
      </c>
      <c r="K958" t="s">
        <v>51</v>
      </c>
      <c r="L958" t="s">
        <v>52</v>
      </c>
      <c r="M958" s="2">
        <v>1</v>
      </c>
      <c r="N958" s="2">
        <v>1</v>
      </c>
      <c r="O958"/>
      <c r="P958" s="2">
        <v>2</v>
      </c>
      <c r="Q958" t="s">
        <v>1402</v>
      </c>
      <c r="R958" t="s">
        <v>2445</v>
      </c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</row>
    <row r="959" spans="1:40" s="6" customFormat="1" x14ac:dyDescent="0.25">
      <c r="A959" s="4">
        <v>101603418900</v>
      </c>
      <c r="B959" s="4" t="str">
        <f t="shared" si="19"/>
        <v>101603418900OVR</v>
      </c>
      <c r="C959" t="s">
        <v>1591</v>
      </c>
      <c r="D959" t="s">
        <v>491</v>
      </c>
      <c r="E959">
        <v>20411454</v>
      </c>
      <c r="F959" t="s">
        <v>2477</v>
      </c>
      <c r="G959" t="s">
        <v>49</v>
      </c>
      <c r="H959" t="s">
        <v>1238</v>
      </c>
      <c r="I959" s="1">
        <v>44927</v>
      </c>
      <c r="J959" s="1">
        <v>45992</v>
      </c>
      <c r="K959" t="s">
        <v>51</v>
      </c>
      <c r="L959" t="s">
        <v>52</v>
      </c>
      <c r="M959" s="2">
        <v>1</v>
      </c>
      <c r="N959" s="2">
        <v>1</v>
      </c>
      <c r="O959"/>
      <c r="P959" s="2">
        <v>2</v>
      </c>
      <c r="Q959" t="s">
        <v>1402</v>
      </c>
      <c r="R959" t="s">
        <v>2445</v>
      </c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</row>
    <row r="960" spans="1:40" s="6" customFormat="1" x14ac:dyDescent="0.25">
      <c r="A960" s="4">
        <v>101616349500</v>
      </c>
      <c r="B960" s="4" t="str">
        <f t="shared" si="19"/>
        <v>101616349500OVR</v>
      </c>
      <c r="C960" t="s">
        <v>1592</v>
      </c>
      <c r="D960" t="s">
        <v>491</v>
      </c>
      <c r="E960">
        <v>20411454</v>
      </c>
      <c r="F960" t="s">
        <v>2477</v>
      </c>
      <c r="G960" t="s">
        <v>49</v>
      </c>
      <c r="H960" t="s">
        <v>1238</v>
      </c>
      <c r="I960" s="1">
        <v>44927</v>
      </c>
      <c r="J960" s="1">
        <v>45992</v>
      </c>
      <c r="K960" t="s">
        <v>51</v>
      </c>
      <c r="L960" t="s">
        <v>52</v>
      </c>
      <c r="M960" s="2">
        <v>1</v>
      </c>
      <c r="N960" s="2">
        <v>1</v>
      </c>
      <c r="O960"/>
      <c r="P960" s="2">
        <v>2</v>
      </c>
      <c r="Q960" t="s">
        <v>1402</v>
      </c>
      <c r="R960" t="s">
        <v>2445</v>
      </c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</row>
    <row r="961" spans="1:40" s="6" customFormat="1" x14ac:dyDescent="0.25">
      <c r="A961" s="4">
        <v>101617531200</v>
      </c>
      <c r="B961" s="4" t="str">
        <f t="shared" si="19"/>
        <v>101617531200OVR</v>
      </c>
      <c r="C961" t="s">
        <v>1593</v>
      </c>
      <c r="D961" t="s">
        <v>491</v>
      </c>
      <c r="E961">
        <v>20411454</v>
      </c>
      <c r="F961" t="s">
        <v>2477</v>
      </c>
      <c r="G961" t="s">
        <v>49</v>
      </c>
      <c r="H961" t="s">
        <v>1238</v>
      </c>
      <c r="I961" s="1">
        <v>44927</v>
      </c>
      <c r="J961" s="1">
        <v>45992</v>
      </c>
      <c r="K961" t="s">
        <v>51</v>
      </c>
      <c r="L961" t="s">
        <v>52</v>
      </c>
      <c r="M961" s="2">
        <v>1</v>
      </c>
      <c r="N961" s="2">
        <v>1</v>
      </c>
      <c r="O961"/>
      <c r="P961" s="2">
        <v>2</v>
      </c>
      <c r="Q961" t="s">
        <v>1402</v>
      </c>
      <c r="R961" t="s">
        <v>2445</v>
      </c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</row>
    <row r="962" spans="1:40" s="6" customFormat="1" x14ac:dyDescent="0.25">
      <c r="A962" s="4">
        <v>101617582800</v>
      </c>
      <c r="B962" s="4" t="str">
        <f t="shared" si="19"/>
        <v>101617582800OVR</v>
      </c>
      <c r="C962" t="s">
        <v>1594</v>
      </c>
      <c r="D962" t="s">
        <v>491</v>
      </c>
      <c r="E962">
        <v>20411454</v>
      </c>
      <c r="F962" t="s">
        <v>2477</v>
      </c>
      <c r="G962" t="s">
        <v>49</v>
      </c>
      <c r="H962" t="s">
        <v>1238</v>
      </c>
      <c r="I962" s="1">
        <v>44927</v>
      </c>
      <c r="J962" s="1">
        <v>45992</v>
      </c>
      <c r="K962" t="s">
        <v>51</v>
      </c>
      <c r="L962" t="s">
        <v>52</v>
      </c>
      <c r="M962" s="2">
        <v>1</v>
      </c>
      <c r="N962" s="2">
        <v>1</v>
      </c>
      <c r="O962"/>
      <c r="P962" s="2">
        <v>2</v>
      </c>
      <c r="Q962" t="s">
        <v>1402</v>
      </c>
      <c r="R962" t="s">
        <v>2445</v>
      </c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</row>
    <row r="963" spans="1:40" s="6" customFormat="1" x14ac:dyDescent="0.25">
      <c r="A963" s="4">
        <v>101619192600</v>
      </c>
      <c r="B963" s="4" t="str">
        <f t="shared" si="19"/>
        <v>101619192600OVR</v>
      </c>
      <c r="C963" t="s">
        <v>1595</v>
      </c>
      <c r="D963" t="s">
        <v>491</v>
      </c>
      <c r="E963">
        <v>20411454</v>
      </c>
      <c r="F963" t="s">
        <v>2477</v>
      </c>
      <c r="G963" t="s">
        <v>49</v>
      </c>
      <c r="H963" t="s">
        <v>1238</v>
      </c>
      <c r="I963" s="1">
        <v>44927</v>
      </c>
      <c r="J963" s="1">
        <v>45992</v>
      </c>
      <c r="K963" t="s">
        <v>51</v>
      </c>
      <c r="L963" t="s">
        <v>52</v>
      </c>
      <c r="M963" s="2">
        <v>1</v>
      </c>
      <c r="N963" s="2">
        <v>1</v>
      </c>
      <c r="O963"/>
      <c r="P963" s="2">
        <v>2</v>
      </c>
      <c r="Q963" t="s">
        <v>1402</v>
      </c>
      <c r="R963" t="s">
        <v>2445</v>
      </c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</row>
    <row r="964" spans="1:40" s="6" customFormat="1" x14ac:dyDescent="0.25">
      <c r="A964" s="4">
        <v>101625894300</v>
      </c>
      <c r="B964" s="4" t="str">
        <f t="shared" si="19"/>
        <v>101625894300OVR</v>
      </c>
      <c r="C964" t="s">
        <v>1596</v>
      </c>
      <c r="D964" t="s">
        <v>491</v>
      </c>
      <c r="E964">
        <v>20411454</v>
      </c>
      <c r="F964" t="s">
        <v>2477</v>
      </c>
      <c r="G964" t="s">
        <v>1262</v>
      </c>
      <c r="H964" t="s">
        <v>1238</v>
      </c>
      <c r="I964" s="1">
        <v>44927</v>
      </c>
      <c r="J964" s="1">
        <v>45992</v>
      </c>
      <c r="K964" t="s">
        <v>51</v>
      </c>
      <c r="L964" t="s">
        <v>52</v>
      </c>
      <c r="M964" s="2">
        <v>1</v>
      </c>
      <c r="N964" s="2">
        <v>1</v>
      </c>
      <c r="O964"/>
      <c r="P964" s="2">
        <v>2</v>
      </c>
      <c r="Q964" t="s">
        <v>1402</v>
      </c>
      <c r="R964" t="s">
        <v>2445</v>
      </c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</row>
    <row r="965" spans="1:40" s="6" customFormat="1" x14ac:dyDescent="0.25">
      <c r="A965" s="4">
        <v>101626129100</v>
      </c>
      <c r="B965" s="4" t="str">
        <f t="shared" si="19"/>
        <v>101626129100OVR</v>
      </c>
      <c r="C965" t="s">
        <v>1598</v>
      </c>
      <c r="D965" t="s">
        <v>491</v>
      </c>
      <c r="E965">
        <v>20411454</v>
      </c>
      <c r="F965" t="s">
        <v>2477</v>
      </c>
      <c r="G965" t="s">
        <v>49</v>
      </c>
      <c r="H965" t="s">
        <v>1238</v>
      </c>
      <c r="I965" s="1">
        <v>44927</v>
      </c>
      <c r="J965" s="1">
        <v>45992</v>
      </c>
      <c r="K965" t="s">
        <v>51</v>
      </c>
      <c r="L965" t="s">
        <v>52</v>
      </c>
      <c r="M965" s="2">
        <v>1</v>
      </c>
      <c r="N965" s="2">
        <v>1</v>
      </c>
      <c r="O965"/>
      <c r="P965" s="2">
        <v>2</v>
      </c>
      <c r="Q965" t="s">
        <v>1402</v>
      </c>
      <c r="R965" t="s">
        <v>2445</v>
      </c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</row>
    <row r="966" spans="1:40" s="6" customFormat="1" x14ac:dyDescent="0.25">
      <c r="A966" s="4">
        <v>101626483300</v>
      </c>
      <c r="B966" s="4" t="str">
        <f t="shared" si="19"/>
        <v>101626483300OVR</v>
      </c>
      <c r="C966" t="s">
        <v>1599</v>
      </c>
      <c r="D966" t="s">
        <v>491</v>
      </c>
      <c r="E966">
        <v>20411454</v>
      </c>
      <c r="F966" t="s">
        <v>2477</v>
      </c>
      <c r="G966" t="s">
        <v>49</v>
      </c>
      <c r="H966" t="s">
        <v>1238</v>
      </c>
      <c r="I966" s="1">
        <v>44927</v>
      </c>
      <c r="J966" s="1">
        <v>45992</v>
      </c>
      <c r="K966" t="s">
        <v>51</v>
      </c>
      <c r="L966" t="s">
        <v>52</v>
      </c>
      <c r="M966" s="2">
        <v>1</v>
      </c>
      <c r="N966" s="2">
        <v>1</v>
      </c>
      <c r="O966"/>
      <c r="P966" s="2">
        <v>2</v>
      </c>
      <c r="Q966" t="s">
        <v>1402</v>
      </c>
      <c r="R966" t="s">
        <v>2445</v>
      </c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</row>
    <row r="967" spans="1:40" s="6" customFormat="1" x14ac:dyDescent="0.25">
      <c r="A967" s="4">
        <v>101626512800</v>
      </c>
      <c r="B967" s="4" t="str">
        <f t="shared" si="19"/>
        <v>101626512800OVR</v>
      </c>
      <c r="C967" t="s">
        <v>1600</v>
      </c>
      <c r="D967" t="s">
        <v>491</v>
      </c>
      <c r="E967">
        <v>20411454</v>
      </c>
      <c r="F967" t="s">
        <v>2477</v>
      </c>
      <c r="G967" t="s">
        <v>49</v>
      </c>
      <c r="H967" t="s">
        <v>1238</v>
      </c>
      <c r="I967" s="1">
        <v>44927</v>
      </c>
      <c r="J967" s="1">
        <v>45992</v>
      </c>
      <c r="K967" t="s">
        <v>51</v>
      </c>
      <c r="L967" t="s">
        <v>52</v>
      </c>
      <c r="M967" s="2">
        <v>1</v>
      </c>
      <c r="N967" s="2">
        <v>1</v>
      </c>
      <c r="O967"/>
      <c r="P967" s="2">
        <v>2</v>
      </c>
      <c r="Q967" t="s">
        <v>1402</v>
      </c>
      <c r="R967" t="s">
        <v>2445</v>
      </c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</row>
    <row r="968" spans="1:40" s="6" customFormat="1" x14ac:dyDescent="0.25">
      <c r="A968" s="4">
        <v>101628755300</v>
      </c>
      <c r="B968" s="4" t="str">
        <f t="shared" si="19"/>
        <v>101628755300OVR</v>
      </c>
      <c r="C968" t="s">
        <v>1601</v>
      </c>
      <c r="D968" t="s">
        <v>491</v>
      </c>
      <c r="E968">
        <v>20411454</v>
      </c>
      <c r="F968" t="s">
        <v>2477</v>
      </c>
      <c r="G968" t="s">
        <v>49</v>
      </c>
      <c r="H968" t="s">
        <v>1238</v>
      </c>
      <c r="I968" s="1">
        <v>44927</v>
      </c>
      <c r="J968" s="1">
        <v>45992</v>
      </c>
      <c r="K968" t="s">
        <v>51</v>
      </c>
      <c r="L968" t="s">
        <v>52</v>
      </c>
      <c r="M968" s="2">
        <v>1</v>
      </c>
      <c r="N968" s="2">
        <v>1</v>
      </c>
      <c r="O968"/>
      <c r="P968" s="2">
        <v>2</v>
      </c>
      <c r="Q968" t="s">
        <v>1402</v>
      </c>
      <c r="R968" t="s">
        <v>2445</v>
      </c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</row>
    <row r="969" spans="1:40" s="6" customFormat="1" x14ac:dyDescent="0.25">
      <c r="A969" s="4">
        <v>101628951400</v>
      </c>
      <c r="B969" s="4" t="str">
        <f t="shared" si="19"/>
        <v>101628951400OVR</v>
      </c>
      <c r="C969" t="s">
        <v>1602</v>
      </c>
      <c r="D969" t="s">
        <v>491</v>
      </c>
      <c r="E969">
        <v>20411454</v>
      </c>
      <c r="F969" t="s">
        <v>2477</v>
      </c>
      <c r="G969" t="s">
        <v>49</v>
      </c>
      <c r="H969" t="s">
        <v>1238</v>
      </c>
      <c r="I969" s="1">
        <v>44927</v>
      </c>
      <c r="J969" s="1">
        <v>45992</v>
      </c>
      <c r="K969" t="s">
        <v>51</v>
      </c>
      <c r="L969" t="s">
        <v>52</v>
      </c>
      <c r="M969" s="2">
        <v>1</v>
      </c>
      <c r="N969" s="2">
        <v>1</v>
      </c>
      <c r="O969"/>
      <c r="P969" s="2">
        <v>2</v>
      </c>
      <c r="Q969" t="s">
        <v>1402</v>
      </c>
      <c r="R969" t="s">
        <v>2445</v>
      </c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</row>
    <row r="970" spans="1:40" s="6" customFormat="1" x14ac:dyDescent="0.25">
      <c r="A970" s="4">
        <v>101645477500</v>
      </c>
      <c r="B970" s="4" t="str">
        <f t="shared" si="19"/>
        <v>101645477500OVR</v>
      </c>
      <c r="C970" t="s">
        <v>1603</v>
      </c>
      <c r="D970" t="s">
        <v>491</v>
      </c>
      <c r="E970">
        <v>20411454</v>
      </c>
      <c r="F970" t="s">
        <v>2477</v>
      </c>
      <c r="G970" t="s">
        <v>49</v>
      </c>
      <c r="H970" t="s">
        <v>1238</v>
      </c>
      <c r="I970" s="1">
        <v>44927</v>
      </c>
      <c r="J970" s="1">
        <v>45992</v>
      </c>
      <c r="K970" t="s">
        <v>51</v>
      </c>
      <c r="L970" t="s">
        <v>52</v>
      </c>
      <c r="M970" s="2">
        <v>1</v>
      </c>
      <c r="N970" s="2">
        <v>1</v>
      </c>
      <c r="O970"/>
      <c r="P970" s="2">
        <v>2</v>
      </c>
      <c r="Q970" t="s">
        <v>1402</v>
      </c>
      <c r="R970" t="s">
        <v>2445</v>
      </c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</row>
    <row r="971" spans="1:40" s="6" customFormat="1" x14ac:dyDescent="0.25">
      <c r="A971" s="4">
        <v>101654020400</v>
      </c>
      <c r="B971" s="4" t="str">
        <f t="shared" si="19"/>
        <v>101654020400OVR</v>
      </c>
      <c r="C971" t="s">
        <v>1605</v>
      </c>
      <c r="D971" t="s">
        <v>491</v>
      </c>
      <c r="E971">
        <v>20411454</v>
      </c>
      <c r="F971" t="s">
        <v>2477</v>
      </c>
      <c r="G971" t="s">
        <v>1262</v>
      </c>
      <c r="H971" t="s">
        <v>1238</v>
      </c>
      <c r="I971" s="1">
        <v>44927</v>
      </c>
      <c r="J971" s="1">
        <v>45992</v>
      </c>
      <c r="K971" t="s">
        <v>51</v>
      </c>
      <c r="L971" t="s">
        <v>52</v>
      </c>
      <c r="M971" s="2">
        <v>1</v>
      </c>
      <c r="N971" s="2">
        <v>1</v>
      </c>
      <c r="O971"/>
      <c r="P971" s="2">
        <v>2</v>
      </c>
      <c r="Q971" t="s">
        <v>1402</v>
      </c>
      <c r="R971" t="s">
        <v>2445</v>
      </c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</row>
    <row r="972" spans="1:40" s="6" customFormat="1" x14ac:dyDescent="0.25">
      <c r="A972" s="4">
        <v>101559233900</v>
      </c>
      <c r="B972" s="4" t="str">
        <f t="shared" si="19"/>
        <v>101559233900OVR</v>
      </c>
      <c r="C972" t="s">
        <v>200</v>
      </c>
      <c r="D972" t="s">
        <v>491</v>
      </c>
      <c r="E972">
        <v>20411454</v>
      </c>
      <c r="F972" t="s">
        <v>2477</v>
      </c>
      <c r="G972" t="s">
        <v>49</v>
      </c>
      <c r="H972" t="s">
        <v>1238</v>
      </c>
      <c r="I972" s="1">
        <v>44896</v>
      </c>
      <c r="J972" s="1">
        <v>45992</v>
      </c>
      <c r="K972" t="s">
        <v>51</v>
      </c>
      <c r="L972" t="s">
        <v>52</v>
      </c>
      <c r="M972" s="2">
        <v>1</v>
      </c>
      <c r="N972" s="2">
        <v>1</v>
      </c>
      <c r="O972"/>
      <c r="P972" s="2">
        <v>2</v>
      </c>
      <c r="Q972" t="s">
        <v>1402</v>
      </c>
      <c r="R972" t="s">
        <v>2445</v>
      </c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</row>
    <row r="973" spans="1:40" s="6" customFormat="1" x14ac:dyDescent="0.25">
      <c r="A973" s="4">
        <v>101554033600</v>
      </c>
      <c r="B973" s="4" t="str">
        <f t="shared" si="19"/>
        <v>101554033600OVR</v>
      </c>
      <c r="C973" t="s">
        <v>1564</v>
      </c>
      <c r="D973" t="s">
        <v>491</v>
      </c>
      <c r="E973">
        <v>20411454</v>
      </c>
      <c r="F973" t="s">
        <v>2477</v>
      </c>
      <c r="G973" t="s">
        <v>49</v>
      </c>
      <c r="H973" t="s">
        <v>1238</v>
      </c>
      <c r="I973" s="1">
        <v>44866</v>
      </c>
      <c r="J973" s="1">
        <v>45992</v>
      </c>
      <c r="K973" t="s">
        <v>51</v>
      </c>
      <c r="L973" t="s">
        <v>52</v>
      </c>
      <c r="M973" s="2">
        <v>1</v>
      </c>
      <c r="N973" s="2">
        <v>1</v>
      </c>
      <c r="O973"/>
      <c r="P973" s="2">
        <v>2</v>
      </c>
      <c r="Q973" t="s">
        <v>1402</v>
      </c>
      <c r="R973" t="s">
        <v>2445</v>
      </c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</row>
    <row r="974" spans="1:40" s="6" customFormat="1" x14ac:dyDescent="0.25">
      <c r="A974" s="4">
        <v>101554327200</v>
      </c>
      <c r="B974" s="4" t="str">
        <f t="shared" si="19"/>
        <v>101554327200OVR</v>
      </c>
      <c r="C974" t="s">
        <v>1565</v>
      </c>
      <c r="D974" t="s">
        <v>491</v>
      </c>
      <c r="E974">
        <v>20411454</v>
      </c>
      <c r="F974" t="s">
        <v>2477</v>
      </c>
      <c r="G974" t="s">
        <v>49</v>
      </c>
      <c r="H974" t="s">
        <v>1238</v>
      </c>
      <c r="I974" s="1">
        <v>44866</v>
      </c>
      <c r="J974" s="1">
        <v>45992</v>
      </c>
      <c r="K974" t="s">
        <v>51</v>
      </c>
      <c r="L974" t="s">
        <v>52</v>
      </c>
      <c r="M974" s="2">
        <v>1</v>
      </c>
      <c r="N974" s="2">
        <v>1</v>
      </c>
      <c r="O974"/>
      <c r="P974" s="2">
        <v>2</v>
      </c>
      <c r="Q974" t="s">
        <v>1402</v>
      </c>
      <c r="R974" t="s">
        <v>2445</v>
      </c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</row>
    <row r="975" spans="1:40" s="6" customFormat="1" x14ac:dyDescent="0.25">
      <c r="A975" s="4">
        <v>101555784700</v>
      </c>
      <c r="B975" s="4" t="str">
        <f t="shared" si="19"/>
        <v>101555784700OVR</v>
      </c>
      <c r="C975" t="s">
        <v>1567</v>
      </c>
      <c r="D975" t="s">
        <v>491</v>
      </c>
      <c r="E975">
        <v>20411454</v>
      </c>
      <c r="F975" t="s">
        <v>2477</v>
      </c>
      <c r="G975" t="s">
        <v>49</v>
      </c>
      <c r="H975" t="s">
        <v>1238</v>
      </c>
      <c r="I975" s="1">
        <v>44866</v>
      </c>
      <c r="J975" s="1">
        <v>45992</v>
      </c>
      <c r="K975" t="s">
        <v>51</v>
      </c>
      <c r="L975" t="s">
        <v>52</v>
      </c>
      <c r="M975" s="2">
        <v>1</v>
      </c>
      <c r="N975" s="2">
        <v>1</v>
      </c>
      <c r="O975"/>
      <c r="P975" s="2">
        <v>2</v>
      </c>
      <c r="Q975" t="s">
        <v>1402</v>
      </c>
      <c r="R975" t="s">
        <v>2445</v>
      </c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</row>
    <row r="976" spans="1:40" s="6" customFormat="1" x14ac:dyDescent="0.25">
      <c r="A976" s="4">
        <v>101550164600</v>
      </c>
      <c r="B976" s="4" t="str">
        <f t="shared" si="19"/>
        <v>101550164600OVR</v>
      </c>
      <c r="C976" t="s">
        <v>1560</v>
      </c>
      <c r="D976" t="s">
        <v>491</v>
      </c>
      <c r="E976">
        <v>20411454</v>
      </c>
      <c r="F976" t="s">
        <v>2477</v>
      </c>
      <c r="G976" t="s">
        <v>49</v>
      </c>
      <c r="H976" t="s">
        <v>1238</v>
      </c>
      <c r="I976" s="1">
        <v>44835</v>
      </c>
      <c r="J976" s="1">
        <v>45992</v>
      </c>
      <c r="K976" t="s">
        <v>51</v>
      </c>
      <c r="L976" t="s">
        <v>52</v>
      </c>
      <c r="M976" s="2">
        <v>1</v>
      </c>
      <c r="N976" s="2">
        <v>1</v>
      </c>
      <c r="O976"/>
      <c r="P976" s="2">
        <v>2</v>
      </c>
      <c r="Q976" t="s">
        <v>1402</v>
      </c>
      <c r="R976" t="s">
        <v>2445</v>
      </c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</row>
    <row r="977" spans="1:40" s="6" customFormat="1" x14ac:dyDescent="0.25">
      <c r="A977" s="4">
        <v>101551336000</v>
      </c>
      <c r="B977" s="4" t="str">
        <f t="shared" si="19"/>
        <v>101551336000OVR</v>
      </c>
      <c r="C977" t="s">
        <v>1563</v>
      </c>
      <c r="D977" t="s">
        <v>491</v>
      </c>
      <c r="E977">
        <v>20411454</v>
      </c>
      <c r="F977" t="s">
        <v>2477</v>
      </c>
      <c r="G977" t="s">
        <v>49</v>
      </c>
      <c r="H977" t="s">
        <v>1238</v>
      </c>
      <c r="I977" s="1">
        <v>44835</v>
      </c>
      <c r="J977" s="1">
        <v>45992</v>
      </c>
      <c r="K977" t="s">
        <v>51</v>
      </c>
      <c r="L977" t="s">
        <v>52</v>
      </c>
      <c r="M977" s="2">
        <v>1</v>
      </c>
      <c r="N977" s="2">
        <v>1</v>
      </c>
      <c r="O977"/>
      <c r="P977" s="2">
        <v>2</v>
      </c>
      <c r="Q977" t="s">
        <v>1402</v>
      </c>
      <c r="R977" t="s">
        <v>2445</v>
      </c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</row>
    <row r="978" spans="1:40" s="6" customFormat="1" x14ac:dyDescent="0.25">
      <c r="A978" s="4">
        <v>101558094400</v>
      </c>
      <c r="B978" s="4" t="str">
        <f t="shared" si="19"/>
        <v>101558094400OVR</v>
      </c>
      <c r="C978" t="s">
        <v>1568</v>
      </c>
      <c r="D978" t="s">
        <v>491</v>
      </c>
      <c r="E978">
        <v>20411454</v>
      </c>
      <c r="F978" t="s">
        <v>2477</v>
      </c>
      <c r="G978" t="s">
        <v>49</v>
      </c>
      <c r="H978" t="s">
        <v>1238</v>
      </c>
      <c r="I978" s="1">
        <v>44835</v>
      </c>
      <c r="J978" s="1">
        <v>45992</v>
      </c>
      <c r="K978" t="s">
        <v>51</v>
      </c>
      <c r="L978" t="s">
        <v>52</v>
      </c>
      <c r="M978" s="2">
        <v>1</v>
      </c>
      <c r="N978" s="2">
        <v>1</v>
      </c>
      <c r="O978"/>
      <c r="P978" s="2">
        <v>2</v>
      </c>
      <c r="Q978" t="s">
        <v>1402</v>
      </c>
      <c r="R978" t="s">
        <v>2445</v>
      </c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</row>
    <row r="979" spans="1:40" s="6" customFormat="1" x14ac:dyDescent="0.25">
      <c r="A979" s="4">
        <v>101558299900</v>
      </c>
      <c r="B979" s="4" t="str">
        <f t="shared" si="19"/>
        <v>101558299900OVR</v>
      </c>
      <c r="C979" t="s">
        <v>1569</v>
      </c>
      <c r="D979" t="s">
        <v>491</v>
      </c>
      <c r="E979">
        <v>20411454</v>
      </c>
      <c r="F979" t="s">
        <v>2477</v>
      </c>
      <c r="G979" t="s">
        <v>49</v>
      </c>
      <c r="H979" t="s">
        <v>1238</v>
      </c>
      <c r="I979" s="1">
        <v>44835</v>
      </c>
      <c r="J979" s="1">
        <v>45992</v>
      </c>
      <c r="K979" t="s">
        <v>51</v>
      </c>
      <c r="L979" t="s">
        <v>52</v>
      </c>
      <c r="M979" s="2">
        <v>1</v>
      </c>
      <c r="N979" s="2">
        <v>1</v>
      </c>
      <c r="O979"/>
      <c r="P979" s="2">
        <v>2</v>
      </c>
      <c r="Q979" t="s">
        <v>1402</v>
      </c>
      <c r="R979" t="s">
        <v>2445</v>
      </c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</row>
    <row r="980" spans="1:40" s="6" customFormat="1" x14ac:dyDescent="0.25">
      <c r="A980" s="4">
        <v>101559848400</v>
      </c>
      <c r="B980" s="4" t="str">
        <f t="shared" si="19"/>
        <v>101559848400OVR</v>
      </c>
      <c r="C980" t="s">
        <v>1570</v>
      </c>
      <c r="D980" t="s">
        <v>491</v>
      </c>
      <c r="E980">
        <v>20411454</v>
      </c>
      <c r="F980" t="s">
        <v>2477</v>
      </c>
      <c r="G980" t="s">
        <v>49</v>
      </c>
      <c r="H980" t="s">
        <v>1238</v>
      </c>
      <c r="I980" s="1">
        <v>44835</v>
      </c>
      <c r="J980" s="1">
        <v>45992</v>
      </c>
      <c r="K980" t="s">
        <v>51</v>
      </c>
      <c r="L980" t="s">
        <v>52</v>
      </c>
      <c r="M980" s="2">
        <v>1</v>
      </c>
      <c r="N980" s="2">
        <v>1</v>
      </c>
      <c r="O980"/>
      <c r="P980" s="2">
        <v>2</v>
      </c>
      <c r="Q980" t="s">
        <v>1402</v>
      </c>
      <c r="R980" t="s">
        <v>2445</v>
      </c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</row>
    <row r="981" spans="1:40" s="6" customFormat="1" x14ac:dyDescent="0.25">
      <c r="A981" s="4">
        <v>101559849800</v>
      </c>
      <c r="B981" s="4" t="str">
        <f t="shared" si="19"/>
        <v>101559849800OVR</v>
      </c>
      <c r="C981" t="s">
        <v>1571</v>
      </c>
      <c r="D981" t="s">
        <v>491</v>
      </c>
      <c r="E981">
        <v>20411454</v>
      </c>
      <c r="F981" t="s">
        <v>2477</v>
      </c>
      <c r="G981" t="s">
        <v>49</v>
      </c>
      <c r="H981" t="s">
        <v>1238</v>
      </c>
      <c r="I981" s="1">
        <v>44835</v>
      </c>
      <c r="J981" s="1">
        <v>45992</v>
      </c>
      <c r="K981" t="s">
        <v>51</v>
      </c>
      <c r="L981" t="s">
        <v>52</v>
      </c>
      <c r="M981" s="2">
        <v>1</v>
      </c>
      <c r="N981" s="2">
        <v>1</v>
      </c>
      <c r="O981"/>
      <c r="P981" s="2">
        <v>2</v>
      </c>
      <c r="Q981" t="s">
        <v>1402</v>
      </c>
      <c r="R981" t="s">
        <v>2445</v>
      </c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</row>
    <row r="982" spans="1:40" s="10" customFormat="1" x14ac:dyDescent="0.25">
      <c r="A982" s="4">
        <v>101545262100</v>
      </c>
      <c r="B982" s="4" t="str">
        <f t="shared" si="19"/>
        <v>101545262100OVR</v>
      </c>
      <c r="C982" t="s">
        <v>1552</v>
      </c>
      <c r="D982" t="s">
        <v>491</v>
      </c>
      <c r="E982">
        <v>20411454</v>
      </c>
      <c r="F982" t="s">
        <v>2477</v>
      </c>
      <c r="G982" t="s">
        <v>49</v>
      </c>
      <c r="H982" t="s">
        <v>1238</v>
      </c>
      <c r="I982" s="1">
        <v>44805</v>
      </c>
      <c r="J982" s="1">
        <v>45992</v>
      </c>
      <c r="K982" t="s">
        <v>51</v>
      </c>
      <c r="L982" t="s">
        <v>52</v>
      </c>
      <c r="M982" s="2">
        <v>1</v>
      </c>
      <c r="N982" s="2">
        <v>1</v>
      </c>
      <c r="O982"/>
      <c r="P982" s="2">
        <v>2</v>
      </c>
      <c r="Q982" t="s">
        <v>1402</v>
      </c>
      <c r="R982" t="s">
        <v>2445</v>
      </c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</row>
    <row r="983" spans="1:40" s="6" customFormat="1" x14ac:dyDescent="0.25">
      <c r="A983" s="4">
        <v>101547081000</v>
      </c>
      <c r="B983" s="4" t="str">
        <f t="shared" si="19"/>
        <v>101547081000OVR</v>
      </c>
      <c r="C983" t="s">
        <v>1555</v>
      </c>
      <c r="D983" t="s">
        <v>491</v>
      </c>
      <c r="E983">
        <v>20411454</v>
      </c>
      <c r="F983" t="s">
        <v>2477</v>
      </c>
      <c r="G983" t="s">
        <v>49</v>
      </c>
      <c r="H983" t="s">
        <v>1238</v>
      </c>
      <c r="I983" s="1">
        <v>44805</v>
      </c>
      <c r="J983" s="1">
        <v>45992</v>
      </c>
      <c r="K983" t="s">
        <v>51</v>
      </c>
      <c r="L983" t="s">
        <v>52</v>
      </c>
      <c r="M983" s="2">
        <v>1</v>
      </c>
      <c r="N983" s="2">
        <v>1</v>
      </c>
      <c r="O983"/>
      <c r="P983" s="2">
        <v>2</v>
      </c>
      <c r="Q983" t="s">
        <v>1402</v>
      </c>
      <c r="R983" t="s">
        <v>2445</v>
      </c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</row>
    <row r="984" spans="1:40" s="6" customFormat="1" x14ac:dyDescent="0.25">
      <c r="A984" s="4">
        <v>101548955100</v>
      </c>
      <c r="B984" s="4" t="str">
        <f t="shared" si="19"/>
        <v>101548955100OVR</v>
      </c>
      <c r="C984" t="s">
        <v>1557</v>
      </c>
      <c r="D984" t="s">
        <v>491</v>
      </c>
      <c r="E984">
        <v>20411454</v>
      </c>
      <c r="F984" t="s">
        <v>2477</v>
      </c>
      <c r="G984" t="s">
        <v>49</v>
      </c>
      <c r="H984" t="s">
        <v>1238</v>
      </c>
      <c r="I984" s="1">
        <v>44805</v>
      </c>
      <c r="J984" s="1">
        <v>45992</v>
      </c>
      <c r="K984" t="s">
        <v>51</v>
      </c>
      <c r="L984" t="s">
        <v>52</v>
      </c>
      <c r="M984" s="2">
        <v>1</v>
      </c>
      <c r="N984" s="2">
        <v>1</v>
      </c>
      <c r="O984"/>
      <c r="P984" s="2">
        <v>2</v>
      </c>
      <c r="Q984" t="s">
        <v>1402</v>
      </c>
      <c r="R984" t="s">
        <v>2445</v>
      </c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</row>
    <row r="985" spans="1:40" s="6" customFormat="1" x14ac:dyDescent="0.25">
      <c r="A985" s="4">
        <v>101549408600</v>
      </c>
      <c r="B985" s="4" t="str">
        <f t="shared" si="19"/>
        <v>101549408600OVR</v>
      </c>
      <c r="C985" t="s">
        <v>1558</v>
      </c>
      <c r="D985" t="s">
        <v>491</v>
      </c>
      <c r="E985">
        <v>20411454</v>
      </c>
      <c r="F985" t="s">
        <v>2477</v>
      </c>
      <c r="G985" t="s">
        <v>49</v>
      </c>
      <c r="H985" t="s">
        <v>1238</v>
      </c>
      <c r="I985" s="1">
        <v>44805</v>
      </c>
      <c r="J985" s="1">
        <v>45992</v>
      </c>
      <c r="K985" t="s">
        <v>51</v>
      </c>
      <c r="L985" t="s">
        <v>52</v>
      </c>
      <c r="M985" s="2">
        <v>1</v>
      </c>
      <c r="N985" s="2">
        <v>1</v>
      </c>
      <c r="O985"/>
      <c r="P985" s="2">
        <v>2</v>
      </c>
      <c r="Q985" t="s">
        <v>1402</v>
      </c>
      <c r="R985" t="s">
        <v>2445</v>
      </c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</row>
    <row r="986" spans="1:40" s="6" customFormat="1" x14ac:dyDescent="0.25">
      <c r="A986" s="4">
        <v>101549506900</v>
      </c>
      <c r="B986" s="4" t="str">
        <f t="shared" si="19"/>
        <v>101549506900OVR</v>
      </c>
      <c r="C986" t="s">
        <v>1559</v>
      </c>
      <c r="D986" t="s">
        <v>491</v>
      </c>
      <c r="E986">
        <v>20411454</v>
      </c>
      <c r="F986" t="s">
        <v>2477</v>
      </c>
      <c r="G986" t="s">
        <v>49</v>
      </c>
      <c r="H986" t="s">
        <v>1238</v>
      </c>
      <c r="I986" s="1">
        <v>44805</v>
      </c>
      <c r="J986" s="1">
        <v>45992</v>
      </c>
      <c r="K986" t="s">
        <v>51</v>
      </c>
      <c r="L986" t="s">
        <v>52</v>
      </c>
      <c r="M986" s="2">
        <v>1</v>
      </c>
      <c r="N986" s="2">
        <v>1</v>
      </c>
      <c r="O986"/>
      <c r="P986" s="2">
        <v>2</v>
      </c>
      <c r="Q986" t="s">
        <v>1402</v>
      </c>
      <c r="R986" t="s">
        <v>2445</v>
      </c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</row>
    <row r="987" spans="1:40" s="6" customFormat="1" x14ac:dyDescent="0.25">
      <c r="A987" s="4">
        <v>101546683100</v>
      </c>
      <c r="B987" s="4" t="str">
        <f t="shared" si="19"/>
        <v>101546683100OVR</v>
      </c>
      <c r="C987" t="s">
        <v>1554</v>
      </c>
      <c r="D987" t="s">
        <v>491</v>
      </c>
      <c r="E987">
        <v>20411454</v>
      </c>
      <c r="F987" t="s">
        <v>2477</v>
      </c>
      <c r="G987" t="s">
        <v>49</v>
      </c>
      <c r="H987" t="s">
        <v>1238</v>
      </c>
      <c r="I987" s="1">
        <v>44774</v>
      </c>
      <c r="J987" s="1">
        <v>45992</v>
      </c>
      <c r="K987" t="s">
        <v>51</v>
      </c>
      <c r="L987" t="s">
        <v>52</v>
      </c>
      <c r="M987" s="2">
        <v>1</v>
      </c>
      <c r="N987" s="2">
        <v>1</v>
      </c>
      <c r="O987"/>
      <c r="P987" s="2">
        <v>2</v>
      </c>
      <c r="Q987" t="s">
        <v>1402</v>
      </c>
      <c r="R987" t="s">
        <v>2445</v>
      </c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</row>
    <row r="988" spans="1:40" s="6" customFormat="1" x14ac:dyDescent="0.25">
      <c r="A988" s="4">
        <v>101550521000</v>
      </c>
      <c r="B988" s="4" t="str">
        <f t="shared" si="19"/>
        <v>101550521000OVR</v>
      </c>
      <c r="C988" t="s">
        <v>1561</v>
      </c>
      <c r="D988" t="s">
        <v>491</v>
      </c>
      <c r="E988">
        <v>20411454</v>
      </c>
      <c r="F988" t="s">
        <v>2477</v>
      </c>
      <c r="G988" t="s">
        <v>49</v>
      </c>
      <c r="H988" t="s">
        <v>1238</v>
      </c>
      <c r="I988" s="1">
        <v>44774</v>
      </c>
      <c r="J988" s="1">
        <v>45992</v>
      </c>
      <c r="K988" t="s">
        <v>51</v>
      </c>
      <c r="L988" t="s">
        <v>52</v>
      </c>
      <c r="M988" s="2">
        <v>1</v>
      </c>
      <c r="N988" s="2">
        <v>1</v>
      </c>
      <c r="O988"/>
      <c r="P988" s="2">
        <v>2</v>
      </c>
      <c r="Q988" t="s">
        <v>1402</v>
      </c>
      <c r="R988" t="s">
        <v>2445</v>
      </c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</row>
    <row r="989" spans="1:40" s="6" customFormat="1" x14ac:dyDescent="0.25">
      <c r="A989" s="4">
        <v>101550554800</v>
      </c>
      <c r="B989" s="4" t="str">
        <f t="shared" si="19"/>
        <v>101550554800OVR</v>
      </c>
      <c r="C989" t="s">
        <v>1562</v>
      </c>
      <c r="D989" t="s">
        <v>491</v>
      </c>
      <c r="E989">
        <v>20411454</v>
      </c>
      <c r="F989" t="s">
        <v>2477</v>
      </c>
      <c r="G989" t="s">
        <v>49</v>
      </c>
      <c r="H989" t="s">
        <v>1238</v>
      </c>
      <c r="I989" s="1">
        <v>44774</v>
      </c>
      <c r="J989" s="1">
        <v>45992</v>
      </c>
      <c r="K989" t="s">
        <v>51</v>
      </c>
      <c r="L989" t="s">
        <v>52</v>
      </c>
      <c r="M989" s="2">
        <v>1</v>
      </c>
      <c r="N989" s="2">
        <v>1</v>
      </c>
      <c r="O989"/>
      <c r="P989" s="2">
        <v>2</v>
      </c>
      <c r="Q989" t="s">
        <v>1402</v>
      </c>
      <c r="R989" t="s">
        <v>2445</v>
      </c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</row>
    <row r="990" spans="1:40" s="6" customFormat="1" x14ac:dyDescent="0.25">
      <c r="A990" s="4">
        <v>101537242400</v>
      </c>
      <c r="B990" s="4" t="str">
        <f t="shared" si="19"/>
        <v>101537242400OVR</v>
      </c>
      <c r="C990" t="s">
        <v>1550</v>
      </c>
      <c r="D990" t="s">
        <v>491</v>
      </c>
      <c r="E990">
        <v>20411454</v>
      </c>
      <c r="F990" t="s">
        <v>2477</v>
      </c>
      <c r="G990" t="s">
        <v>49</v>
      </c>
      <c r="H990" t="s">
        <v>1238</v>
      </c>
      <c r="I990" s="1">
        <v>44743</v>
      </c>
      <c r="J990" s="1">
        <v>45992</v>
      </c>
      <c r="K990" t="s">
        <v>51</v>
      </c>
      <c r="L990" t="s">
        <v>52</v>
      </c>
      <c r="M990" s="2">
        <v>1</v>
      </c>
      <c r="N990" s="2">
        <v>1</v>
      </c>
      <c r="O990"/>
      <c r="P990" s="2">
        <v>2</v>
      </c>
      <c r="Q990" t="s">
        <v>1402</v>
      </c>
      <c r="R990" t="s">
        <v>2445</v>
      </c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</row>
    <row r="991" spans="1:40" s="6" customFormat="1" x14ac:dyDescent="0.25">
      <c r="A991" s="4">
        <v>101545532600</v>
      </c>
      <c r="B991" s="4" t="str">
        <f t="shared" si="19"/>
        <v>101545532600OVR</v>
      </c>
      <c r="C991" t="s">
        <v>1553</v>
      </c>
      <c r="D991" t="s">
        <v>491</v>
      </c>
      <c r="E991">
        <v>20411454</v>
      </c>
      <c r="F991" t="s">
        <v>2477</v>
      </c>
      <c r="G991" t="s">
        <v>49</v>
      </c>
      <c r="H991" t="s">
        <v>1238</v>
      </c>
      <c r="I991" s="1">
        <v>44743</v>
      </c>
      <c r="J991" s="1">
        <v>45992</v>
      </c>
      <c r="K991" t="s">
        <v>51</v>
      </c>
      <c r="L991" t="s">
        <v>52</v>
      </c>
      <c r="M991" s="2">
        <v>1</v>
      </c>
      <c r="N991" s="2">
        <v>1</v>
      </c>
      <c r="O991"/>
      <c r="P991" s="2">
        <v>2</v>
      </c>
      <c r="Q991" t="s">
        <v>1402</v>
      </c>
      <c r="R991" t="s">
        <v>2445</v>
      </c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</row>
    <row r="992" spans="1:40" s="6" customFormat="1" x14ac:dyDescent="0.25">
      <c r="A992" s="4">
        <v>101548751600</v>
      </c>
      <c r="B992" s="4" t="str">
        <f t="shared" si="19"/>
        <v>101548751600OVR</v>
      </c>
      <c r="C992" t="s">
        <v>1556</v>
      </c>
      <c r="D992" t="s">
        <v>491</v>
      </c>
      <c r="E992">
        <v>20411454</v>
      </c>
      <c r="F992" t="s">
        <v>2477</v>
      </c>
      <c r="G992" t="s">
        <v>49</v>
      </c>
      <c r="H992" t="s">
        <v>1238</v>
      </c>
      <c r="I992" s="1">
        <v>44743</v>
      </c>
      <c r="J992" s="1">
        <v>45992</v>
      </c>
      <c r="K992" t="s">
        <v>51</v>
      </c>
      <c r="L992" t="s">
        <v>52</v>
      </c>
      <c r="M992" s="2">
        <v>1</v>
      </c>
      <c r="N992" s="2">
        <v>1</v>
      </c>
      <c r="O992"/>
      <c r="P992" s="2">
        <v>2</v>
      </c>
      <c r="Q992" t="s">
        <v>1402</v>
      </c>
      <c r="R992" t="s">
        <v>2445</v>
      </c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</row>
    <row r="993" spans="1:40" s="6" customFormat="1" x14ac:dyDescent="0.25">
      <c r="A993" s="4">
        <v>101526780400</v>
      </c>
      <c r="B993" s="4" t="str">
        <f t="shared" si="19"/>
        <v>101526780400OVR</v>
      </c>
      <c r="C993" t="s">
        <v>1544</v>
      </c>
      <c r="D993" t="s">
        <v>491</v>
      </c>
      <c r="E993">
        <v>20411454</v>
      </c>
      <c r="F993" t="s">
        <v>2477</v>
      </c>
      <c r="G993" t="s">
        <v>49</v>
      </c>
      <c r="H993" t="s">
        <v>1238</v>
      </c>
      <c r="I993" s="1">
        <v>44682</v>
      </c>
      <c r="J993" s="1">
        <v>45992</v>
      </c>
      <c r="K993" t="s">
        <v>51</v>
      </c>
      <c r="L993" t="s">
        <v>52</v>
      </c>
      <c r="M993" s="2">
        <v>1</v>
      </c>
      <c r="N993" s="2">
        <v>1</v>
      </c>
      <c r="O993"/>
      <c r="P993" s="2">
        <v>2</v>
      </c>
      <c r="Q993" t="s">
        <v>1402</v>
      </c>
      <c r="R993" t="s">
        <v>2445</v>
      </c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</row>
    <row r="994" spans="1:40" s="6" customFormat="1" x14ac:dyDescent="0.25">
      <c r="A994" s="4">
        <v>101531379400</v>
      </c>
      <c r="B994" s="4" t="str">
        <f t="shared" si="19"/>
        <v>101531379400OVR</v>
      </c>
      <c r="C994" t="s">
        <v>1546</v>
      </c>
      <c r="D994" t="s">
        <v>491</v>
      </c>
      <c r="E994">
        <v>20411454</v>
      </c>
      <c r="F994" t="s">
        <v>2477</v>
      </c>
      <c r="G994" t="s">
        <v>49</v>
      </c>
      <c r="H994" t="s">
        <v>1238</v>
      </c>
      <c r="I994" s="1">
        <v>44682</v>
      </c>
      <c r="J994" s="1">
        <v>45992</v>
      </c>
      <c r="K994" t="s">
        <v>51</v>
      </c>
      <c r="L994" t="s">
        <v>52</v>
      </c>
      <c r="M994" s="2">
        <v>1</v>
      </c>
      <c r="N994" s="2">
        <v>1</v>
      </c>
      <c r="O994"/>
      <c r="P994" s="2">
        <v>2</v>
      </c>
      <c r="Q994" t="s">
        <v>1402</v>
      </c>
      <c r="R994" t="s">
        <v>2445</v>
      </c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</row>
    <row r="995" spans="1:40" s="6" customFormat="1" x14ac:dyDescent="0.25">
      <c r="A995" s="4">
        <v>101533325800</v>
      </c>
      <c r="B995" s="4" t="str">
        <f t="shared" si="19"/>
        <v>101533325800OVR</v>
      </c>
      <c r="C995" t="s">
        <v>1547</v>
      </c>
      <c r="D995" t="s">
        <v>491</v>
      </c>
      <c r="E995">
        <v>20411454</v>
      </c>
      <c r="F995" t="s">
        <v>2477</v>
      </c>
      <c r="G995" t="s">
        <v>49</v>
      </c>
      <c r="H995" t="s">
        <v>1238</v>
      </c>
      <c r="I995" s="1">
        <v>44652</v>
      </c>
      <c r="J995" s="1">
        <v>45992</v>
      </c>
      <c r="K995" t="s">
        <v>51</v>
      </c>
      <c r="L995" t="s">
        <v>52</v>
      </c>
      <c r="M995" s="2">
        <v>1</v>
      </c>
      <c r="N995" s="2">
        <v>1</v>
      </c>
      <c r="O995"/>
      <c r="P995" s="2">
        <v>2</v>
      </c>
      <c r="Q995" t="s">
        <v>1402</v>
      </c>
      <c r="R995" t="s">
        <v>2445</v>
      </c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</row>
    <row r="996" spans="1:40" s="6" customFormat="1" x14ac:dyDescent="0.25">
      <c r="A996" s="4">
        <v>101534378900</v>
      </c>
      <c r="B996" s="4" t="str">
        <f t="shared" si="19"/>
        <v>101534378900OVR</v>
      </c>
      <c r="C996" t="s">
        <v>1548</v>
      </c>
      <c r="D996" t="s">
        <v>491</v>
      </c>
      <c r="E996">
        <v>20411454</v>
      </c>
      <c r="F996" t="s">
        <v>2477</v>
      </c>
      <c r="G996" t="s">
        <v>49</v>
      </c>
      <c r="H996" t="s">
        <v>1238</v>
      </c>
      <c r="I996" s="1">
        <v>44652</v>
      </c>
      <c r="J996" s="1">
        <v>45992</v>
      </c>
      <c r="K996" t="s">
        <v>51</v>
      </c>
      <c r="L996" t="s">
        <v>52</v>
      </c>
      <c r="M996" s="2">
        <v>1</v>
      </c>
      <c r="N996" s="2">
        <v>1</v>
      </c>
      <c r="O996"/>
      <c r="P996" s="2">
        <v>2</v>
      </c>
      <c r="Q996" t="s">
        <v>1402</v>
      </c>
      <c r="R996" t="s">
        <v>2445</v>
      </c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</row>
    <row r="997" spans="1:40" s="6" customFormat="1" x14ac:dyDescent="0.25">
      <c r="A997" s="4">
        <v>101535235200</v>
      </c>
      <c r="B997" s="4" t="str">
        <f t="shared" si="19"/>
        <v>101535235200OVR</v>
      </c>
      <c r="C997" t="s">
        <v>1549</v>
      </c>
      <c r="D997" t="s">
        <v>491</v>
      </c>
      <c r="E997">
        <v>20411454</v>
      </c>
      <c r="F997" t="s">
        <v>2477</v>
      </c>
      <c r="G997" t="s">
        <v>49</v>
      </c>
      <c r="H997" t="s">
        <v>1238</v>
      </c>
      <c r="I997" s="1">
        <v>44652</v>
      </c>
      <c r="J997" s="1">
        <v>45992</v>
      </c>
      <c r="K997" t="s">
        <v>51</v>
      </c>
      <c r="L997" t="s">
        <v>52</v>
      </c>
      <c r="M997" s="2">
        <v>1</v>
      </c>
      <c r="N997" s="2">
        <v>1</v>
      </c>
      <c r="O997"/>
      <c r="P997" s="2">
        <v>2</v>
      </c>
      <c r="Q997" t="s">
        <v>1402</v>
      </c>
      <c r="R997" t="s">
        <v>2445</v>
      </c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</row>
    <row r="998" spans="1:40" s="6" customFormat="1" x14ac:dyDescent="0.25">
      <c r="A998" s="4">
        <v>101525528100</v>
      </c>
      <c r="B998" s="4" t="str">
        <f t="shared" si="19"/>
        <v>101525528100OVR</v>
      </c>
      <c r="C998" t="s">
        <v>1543</v>
      </c>
      <c r="D998" t="s">
        <v>491</v>
      </c>
      <c r="E998">
        <v>20411454</v>
      </c>
      <c r="F998" t="s">
        <v>2477</v>
      </c>
      <c r="G998" t="s">
        <v>49</v>
      </c>
      <c r="H998" t="s">
        <v>1238</v>
      </c>
      <c r="I998" s="1">
        <v>44621</v>
      </c>
      <c r="J998" s="1">
        <v>45992</v>
      </c>
      <c r="K998" t="s">
        <v>51</v>
      </c>
      <c r="L998" t="s">
        <v>52</v>
      </c>
      <c r="M998" s="2">
        <v>1</v>
      </c>
      <c r="N998" s="2">
        <v>1</v>
      </c>
      <c r="O998"/>
      <c r="P998" s="2">
        <v>2</v>
      </c>
      <c r="Q998" t="s">
        <v>1402</v>
      </c>
      <c r="R998" t="s">
        <v>2445</v>
      </c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</row>
    <row r="999" spans="1:40" s="6" customFormat="1" x14ac:dyDescent="0.25">
      <c r="A999" s="4">
        <v>101529182400</v>
      </c>
      <c r="B999" s="4" t="str">
        <f t="shared" si="19"/>
        <v>101529182400OVR</v>
      </c>
      <c r="C999" t="s">
        <v>1545</v>
      </c>
      <c r="D999" t="s">
        <v>491</v>
      </c>
      <c r="E999">
        <v>20411454</v>
      </c>
      <c r="F999" t="s">
        <v>2477</v>
      </c>
      <c r="G999" t="s">
        <v>49</v>
      </c>
      <c r="H999" t="s">
        <v>1238</v>
      </c>
      <c r="I999" s="1">
        <v>44621</v>
      </c>
      <c r="J999" s="1">
        <v>45992</v>
      </c>
      <c r="K999" t="s">
        <v>51</v>
      </c>
      <c r="L999" t="s">
        <v>52</v>
      </c>
      <c r="M999" s="2">
        <v>1</v>
      </c>
      <c r="N999" s="2">
        <v>1</v>
      </c>
      <c r="O999"/>
      <c r="P999" s="2">
        <v>2</v>
      </c>
      <c r="Q999" t="s">
        <v>1402</v>
      </c>
      <c r="R999" t="s">
        <v>2445</v>
      </c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</row>
    <row r="1000" spans="1:40" s="6" customFormat="1" x14ac:dyDescent="0.25">
      <c r="A1000" s="4">
        <v>101515257200</v>
      </c>
      <c r="B1000" s="4" t="str">
        <f t="shared" si="19"/>
        <v>101515257200OVR</v>
      </c>
      <c r="C1000" t="s">
        <v>1537</v>
      </c>
      <c r="D1000" t="s">
        <v>491</v>
      </c>
      <c r="E1000">
        <v>20411454</v>
      </c>
      <c r="F1000" t="s">
        <v>2477</v>
      </c>
      <c r="G1000" t="s">
        <v>49</v>
      </c>
      <c r="H1000" t="s">
        <v>1238</v>
      </c>
      <c r="I1000" s="1">
        <v>44593</v>
      </c>
      <c r="J1000" s="1">
        <v>45992</v>
      </c>
      <c r="K1000" t="s">
        <v>51</v>
      </c>
      <c r="L1000" t="s">
        <v>52</v>
      </c>
      <c r="M1000" s="2">
        <v>1</v>
      </c>
      <c r="N1000" s="2">
        <v>1</v>
      </c>
      <c r="O1000"/>
      <c r="P1000" s="2">
        <v>2</v>
      </c>
      <c r="Q1000" t="s">
        <v>1402</v>
      </c>
      <c r="R1000" t="s">
        <v>2445</v>
      </c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</row>
    <row r="1001" spans="1:40" s="6" customFormat="1" x14ac:dyDescent="0.25">
      <c r="A1001" s="4">
        <v>101520044500</v>
      </c>
      <c r="B1001" s="4" t="str">
        <f t="shared" si="19"/>
        <v>101520044500OVR</v>
      </c>
      <c r="C1001" t="s">
        <v>1541</v>
      </c>
      <c r="D1001" t="s">
        <v>491</v>
      </c>
      <c r="E1001">
        <v>20411454</v>
      </c>
      <c r="F1001" t="s">
        <v>2477</v>
      </c>
      <c r="G1001" t="s">
        <v>49</v>
      </c>
      <c r="H1001" t="s">
        <v>1238</v>
      </c>
      <c r="I1001" s="1">
        <v>44593</v>
      </c>
      <c r="J1001" s="1">
        <v>45992</v>
      </c>
      <c r="K1001" t="s">
        <v>51</v>
      </c>
      <c r="L1001" t="s">
        <v>52</v>
      </c>
      <c r="M1001" s="2">
        <v>1</v>
      </c>
      <c r="N1001" s="2">
        <v>1</v>
      </c>
      <c r="O1001"/>
      <c r="P1001" s="2">
        <v>2</v>
      </c>
      <c r="Q1001" t="s">
        <v>1402</v>
      </c>
      <c r="R1001" t="s">
        <v>2445</v>
      </c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</row>
    <row r="1002" spans="1:40" s="6" customFormat="1" x14ac:dyDescent="0.25">
      <c r="A1002" s="4">
        <v>101520916200</v>
      </c>
      <c r="B1002" s="4" t="str">
        <f t="shared" si="19"/>
        <v>101520916200OVR</v>
      </c>
      <c r="C1002" t="s">
        <v>1542</v>
      </c>
      <c r="D1002" t="s">
        <v>491</v>
      </c>
      <c r="E1002">
        <v>20411454</v>
      </c>
      <c r="F1002" t="s">
        <v>2477</v>
      </c>
      <c r="G1002" t="s">
        <v>49</v>
      </c>
      <c r="H1002" t="s">
        <v>1238</v>
      </c>
      <c r="I1002" s="1">
        <v>44593</v>
      </c>
      <c r="J1002" s="1">
        <v>45992</v>
      </c>
      <c r="K1002" t="s">
        <v>51</v>
      </c>
      <c r="L1002" t="s">
        <v>52</v>
      </c>
      <c r="M1002" s="2">
        <v>1</v>
      </c>
      <c r="N1002" s="2">
        <v>1</v>
      </c>
      <c r="O1002"/>
      <c r="P1002" s="2">
        <v>2</v>
      </c>
      <c r="Q1002" t="s">
        <v>1402</v>
      </c>
      <c r="R1002" t="s">
        <v>2445</v>
      </c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</row>
    <row r="1003" spans="1:40" s="10" customFormat="1" x14ac:dyDescent="0.25">
      <c r="A1003" s="4">
        <v>101049150200</v>
      </c>
      <c r="B1003" s="4" t="str">
        <f t="shared" si="19"/>
        <v>101049150200OVR</v>
      </c>
      <c r="C1003" t="s">
        <v>1403</v>
      </c>
      <c r="D1003" t="s">
        <v>491</v>
      </c>
      <c r="E1003">
        <v>20411454</v>
      </c>
      <c r="F1003" t="s">
        <v>2477</v>
      </c>
      <c r="G1003" t="s">
        <v>49</v>
      </c>
      <c r="H1003" t="s">
        <v>1238</v>
      </c>
      <c r="I1003" s="1">
        <v>44562</v>
      </c>
      <c r="J1003" s="1">
        <v>45992</v>
      </c>
      <c r="K1003" t="s">
        <v>51</v>
      </c>
      <c r="L1003" t="s">
        <v>52</v>
      </c>
      <c r="M1003" s="2">
        <v>1</v>
      </c>
      <c r="N1003" s="2">
        <v>1</v>
      </c>
      <c r="O1003"/>
      <c r="P1003" s="2">
        <v>2</v>
      </c>
      <c r="Q1003" t="s">
        <v>1402</v>
      </c>
      <c r="R1003" t="s">
        <v>2445</v>
      </c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</row>
    <row r="1004" spans="1:40" s="6" customFormat="1" x14ac:dyDescent="0.25">
      <c r="A1004" s="4">
        <v>101050888000</v>
      </c>
      <c r="B1004" s="4" t="str">
        <f t="shared" si="19"/>
        <v>101050888000OVR</v>
      </c>
      <c r="C1004" t="s">
        <v>1405</v>
      </c>
      <c r="D1004" t="s">
        <v>491</v>
      </c>
      <c r="E1004">
        <v>20411454</v>
      </c>
      <c r="F1004" t="s">
        <v>2477</v>
      </c>
      <c r="G1004" t="s">
        <v>49</v>
      </c>
      <c r="H1004" t="s">
        <v>1238</v>
      </c>
      <c r="I1004" s="1">
        <v>44562</v>
      </c>
      <c r="J1004" s="1">
        <v>45992</v>
      </c>
      <c r="K1004" t="s">
        <v>51</v>
      </c>
      <c r="L1004" t="s">
        <v>52</v>
      </c>
      <c r="M1004" s="2">
        <v>1</v>
      </c>
      <c r="N1004" s="2">
        <v>1</v>
      </c>
      <c r="O1004"/>
      <c r="P1004" s="2">
        <v>2</v>
      </c>
      <c r="Q1004" t="s">
        <v>1402</v>
      </c>
      <c r="R1004" t="s">
        <v>2445</v>
      </c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</row>
    <row r="1005" spans="1:40" s="6" customFormat="1" x14ac:dyDescent="0.25">
      <c r="A1005" s="4">
        <v>101058087000</v>
      </c>
      <c r="B1005" s="4" t="str">
        <f t="shared" si="19"/>
        <v>101058087000OVR</v>
      </c>
      <c r="C1005" t="s">
        <v>1414</v>
      </c>
      <c r="D1005" t="s">
        <v>491</v>
      </c>
      <c r="E1005">
        <v>20411454</v>
      </c>
      <c r="F1005" t="s">
        <v>2477</v>
      </c>
      <c r="G1005" t="s">
        <v>49</v>
      </c>
      <c r="H1005" t="s">
        <v>1238</v>
      </c>
      <c r="I1005" s="1">
        <v>44562</v>
      </c>
      <c r="J1005" s="1">
        <v>45992</v>
      </c>
      <c r="K1005" t="s">
        <v>51</v>
      </c>
      <c r="L1005" t="s">
        <v>52</v>
      </c>
      <c r="M1005" s="2">
        <v>1</v>
      </c>
      <c r="N1005" s="2">
        <v>1</v>
      </c>
      <c r="O1005"/>
      <c r="P1005" s="2">
        <v>2</v>
      </c>
      <c r="Q1005" t="s">
        <v>1402</v>
      </c>
      <c r="R1005" t="s">
        <v>2445</v>
      </c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</row>
    <row r="1006" spans="1:40" s="6" customFormat="1" x14ac:dyDescent="0.25">
      <c r="A1006" s="4">
        <v>101064228200</v>
      </c>
      <c r="B1006" s="4" t="str">
        <f t="shared" si="19"/>
        <v>101064228200OVR</v>
      </c>
      <c r="C1006" t="s">
        <v>1420</v>
      </c>
      <c r="D1006" t="s">
        <v>491</v>
      </c>
      <c r="E1006">
        <v>20411454</v>
      </c>
      <c r="F1006" t="s">
        <v>2477</v>
      </c>
      <c r="G1006" t="s">
        <v>49</v>
      </c>
      <c r="H1006" t="s">
        <v>1238</v>
      </c>
      <c r="I1006" s="1">
        <v>44562</v>
      </c>
      <c r="J1006" s="1">
        <v>45992</v>
      </c>
      <c r="K1006" t="s">
        <v>51</v>
      </c>
      <c r="L1006" t="s">
        <v>52</v>
      </c>
      <c r="M1006" s="2">
        <v>1</v>
      </c>
      <c r="N1006" s="2">
        <v>1</v>
      </c>
      <c r="O1006"/>
      <c r="P1006" s="2">
        <v>2</v>
      </c>
      <c r="Q1006" t="s">
        <v>1402</v>
      </c>
      <c r="R1006" t="s">
        <v>2445</v>
      </c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</row>
    <row r="1007" spans="1:40" s="6" customFormat="1" x14ac:dyDescent="0.25">
      <c r="A1007" s="4">
        <v>101088372600</v>
      </c>
      <c r="B1007" s="4" t="str">
        <f t="shared" si="19"/>
        <v>101088372600OVR</v>
      </c>
      <c r="C1007" t="s">
        <v>1428</v>
      </c>
      <c r="D1007" t="s">
        <v>491</v>
      </c>
      <c r="E1007">
        <v>20411454</v>
      </c>
      <c r="F1007" t="s">
        <v>2477</v>
      </c>
      <c r="G1007" t="s">
        <v>49</v>
      </c>
      <c r="H1007" t="s">
        <v>1238</v>
      </c>
      <c r="I1007" s="1">
        <v>44562</v>
      </c>
      <c r="J1007" s="1">
        <v>45992</v>
      </c>
      <c r="K1007" t="s">
        <v>51</v>
      </c>
      <c r="L1007" t="s">
        <v>52</v>
      </c>
      <c r="M1007" s="2">
        <v>1</v>
      </c>
      <c r="N1007" s="2">
        <v>1</v>
      </c>
      <c r="O1007"/>
      <c r="P1007" s="2">
        <v>2</v>
      </c>
      <c r="Q1007" t="s">
        <v>1402</v>
      </c>
      <c r="R1007" t="s">
        <v>2445</v>
      </c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</row>
    <row r="1008" spans="1:40" s="6" customFormat="1" x14ac:dyDescent="0.25">
      <c r="A1008" s="4">
        <v>101094290600</v>
      </c>
      <c r="B1008" s="4" t="str">
        <f t="shared" si="19"/>
        <v>101094290600OVR</v>
      </c>
      <c r="C1008" t="s">
        <v>1430</v>
      </c>
      <c r="D1008" t="s">
        <v>491</v>
      </c>
      <c r="E1008">
        <v>20411454</v>
      </c>
      <c r="F1008" t="s">
        <v>2477</v>
      </c>
      <c r="G1008" t="s">
        <v>49</v>
      </c>
      <c r="H1008" t="s">
        <v>1238</v>
      </c>
      <c r="I1008" s="1">
        <v>44562</v>
      </c>
      <c r="J1008" s="1">
        <v>45992</v>
      </c>
      <c r="K1008" t="s">
        <v>51</v>
      </c>
      <c r="L1008" t="s">
        <v>52</v>
      </c>
      <c r="M1008" s="2">
        <v>1</v>
      </c>
      <c r="N1008" s="2">
        <v>1</v>
      </c>
      <c r="O1008"/>
      <c r="P1008" s="2">
        <v>2</v>
      </c>
      <c r="Q1008" t="s">
        <v>1402</v>
      </c>
      <c r="R1008" t="s">
        <v>2445</v>
      </c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</row>
    <row r="1009" spans="1:40" s="6" customFormat="1" x14ac:dyDescent="0.25">
      <c r="A1009" s="4">
        <v>101098603800</v>
      </c>
      <c r="B1009" s="4" t="str">
        <f t="shared" si="19"/>
        <v>101098603800OVR</v>
      </c>
      <c r="C1009" t="s">
        <v>1432</v>
      </c>
      <c r="D1009" t="s">
        <v>491</v>
      </c>
      <c r="E1009">
        <v>20411454</v>
      </c>
      <c r="F1009" t="s">
        <v>2477</v>
      </c>
      <c r="G1009" t="s">
        <v>49</v>
      </c>
      <c r="H1009" t="s">
        <v>1238</v>
      </c>
      <c r="I1009" s="1">
        <v>44562</v>
      </c>
      <c r="J1009" s="1">
        <v>45992</v>
      </c>
      <c r="K1009" t="s">
        <v>51</v>
      </c>
      <c r="L1009" t="s">
        <v>52</v>
      </c>
      <c r="M1009" s="2">
        <v>1</v>
      </c>
      <c r="N1009" s="2">
        <v>1</v>
      </c>
      <c r="O1009"/>
      <c r="P1009" s="2">
        <v>2</v>
      </c>
      <c r="Q1009" t="s">
        <v>1402</v>
      </c>
      <c r="R1009" t="s">
        <v>2445</v>
      </c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</row>
    <row r="1010" spans="1:40" s="6" customFormat="1" x14ac:dyDescent="0.25">
      <c r="A1010" s="4">
        <v>101114920100</v>
      </c>
      <c r="B1010" s="4" t="str">
        <f t="shared" si="19"/>
        <v>101114920100OVR</v>
      </c>
      <c r="C1010" t="s">
        <v>1436</v>
      </c>
      <c r="D1010" t="s">
        <v>491</v>
      </c>
      <c r="E1010">
        <v>20411454</v>
      </c>
      <c r="F1010" t="s">
        <v>2477</v>
      </c>
      <c r="G1010" t="s">
        <v>49</v>
      </c>
      <c r="H1010" t="s">
        <v>1238</v>
      </c>
      <c r="I1010" s="1">
        <v>44562</v>
      </c>
      <c r="J1010" s="1">
        <v>45992</v>
      </c>
      <c r="K1010" t="s">
        <v>51</v>
      </c>
      <c r="L1010" t="s">
        <v>52</v>
      </c>
      <c r="M1010" s="2">
        <v>1</v>
      </c>
      <c r="N1010" s="2">
        <v>1</v>
      </c>
      <c r="O1010"/>
      <c r="P1010" s="2">
        <v>2</v>
      </c>
      <c r="Q1010" t="s">
        <v>1402</v>
      </c>
      <c r="R1010" t="s">
        <v>2445</v>
      </c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</row>
    <row r="1011" spans="1:40" s="6" customFormat="1" x14ac:dyDescent="0.25">
      <c r="A1011" s="4">
        <v>101196246500</v>
      </c>
      <c r="B1011" s="4" t="str">
        <f t="shared" si="19"/>
        <v>101196246500OVR</v>
      </c>
      <c r="C1011" t="s">
        <v>1450</v>
      </c>
      <c r="D1011" t="s">
        <v>491</v>
      </c>
      <c r="E1011">
        <v>20411454</v>
      </c>
      <c r="F1011" t="s">
        <v>2477</v>
      </c>
      <c r="G1011" t="s">
        <v>49</v>
      </c>
      <c r="H1011" t="s">
        <v>1238</v>
      </c>
      <c r="I1011" s="1">
        <v>44562</v>
      </c>
      <c r="J1011" s="1">
        <v>45992</v>
      </c>
      <c r="K1011" t="s">
        <v>51</v>
      </c>
      <c r="L1011" t="s">
        <v>52</v>
      </c>
      <c r="M1011" s="2">
        <v>1</v>
      </c>
      <c r="N1011" s="2">
        <v>1</v>
      </c>
      <c r="O1011"/>
      <c r="P1011" s="2">
        <v>2</v>
      </c>
      <c r="Q1011" t="s">
        <v>1402</v>
      </c>
      <c r="R1011" t="s">
        <v>2445</v>
      </c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</row>
    <row r="1012" spans="1:40" s="6" customFormat="1" x14ac:dyDescent="0.25">
      <c r="A1012" s="4">
        <v>101196250400</v>
      </c>
      <c r="B1012" s="4" t="str">
        <f t="shared" ref="B1012:B1075" si="20">CONCATENATE(A1012,"OVR")</f>
        <v>101196250400OVR</v>
      </c>
      <c r="C1012" t="s">
        <v>1451</v>
      </c>
      <c r="D1012" t="s">
        <v>491</v>
      </c>
      <c r="E1012">
        <v>20411454</v>
      </c>
      <c r="F1012" t="s">
        <v>2477</v>
      </c>
      <c r="G1012" t="s">
        <v>49</v>
      </c>
      <c r="H1012" t="s">
        <v>1238</v>
      </c>
      <c r="I1012" s="1">
        <v>44562</v>
      </c>
      <c r="J1012" s="1">
        <v>45992</v>
      </c>
      <c r="K1012" t="s">
        <v>51</v>
      </c>
      <c r="L1012" t="s">
        <v>52</v>
      </c>
      <c r="M1012" s="2">
        <v>1</v>
      </c>
      <c r="N1012" s="2">
        <v>1</v>
      </c>
      <c r="O1012"/>
      <c r="P1012" s="2">
        <v>2</v>
      </c>
      <c r="Q1012" t="s">
        <v>1402</v>
      </c>
      <c r="R1012" t="s">
        <v>2445</v>
      </c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</row>
    <row r="1013" spans="1:40" s="6" customFormat="1" x14ac:dyDescent="0.25">
      <c r="A1013" s="4">
        <v>101212333500</v>
      </c>
      <c r="B1013" s="4" t="str">
        <f t="shared" si="20"/>
        <v>101212333500OVR</v>
      </c>
      <c r="C1013" t="s">
        <v>1466</v>
      </c>
      <c r="D1013" t="s">
        <v>491</v>
      </c>
      <c r="E1013">
        <v>20411454</v>
      </c>
      <c r="F1013" t="s">
        <v>2477</v>
      </c>
      <c r="G1013" t="s">
        <v>49</v>
      </c>
      <c r="H1013" t="s">
        <v>1238</v>
      </c>
      <c r="I1013" s="1">
        <v>44562</v>
      </c>
      <c r="J1013" s="1">
        <v>45992</v>
      </c>
      <c r="K1013" t="s">
        <v>51</v>
      </c>
      <c r="L1013" t="s">
        <v>52</v>
      </c>
      <c r="M1013" s="2">
        <v>1</v>
      </c>
      <c r="N1013" s="2">
        <v>1</v>
      </c>
      <c r="O1013"/>
      <c r="P1013" s="2">
        <v>2</v>
      </c>
      <c r="Q1013" t="s">
        <v>1402</v>
      </c>
      <c r="R1013" t="s">
        <v>2445</v>
      </c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</row>
    <row r="1014" spans="1:40" s="6" customFormat="1" x14ac:dyDescent="0.25">
      <c r="A1014" s="4">
        <v>101471660500</v>
      </c>
      <c r="B1014" s="4" t="str">
        <f t="shared" si="20"/>
        <v>101471660500OVR</v>
      </c>
      <c r="C1014" t="s">
        <v>1494</v>
      </c>
      <c r="D1014" t="s">
        <v>491</v>
      </c>
      <c r="E1014">
        <v>20411454</v>
      </c>
      <c r="F1014" t="s">
        <v>2477</v>
      </c>
      <c r="G1014" t="s">
        <v>49</v>
      </c>
      <c r="H1014" t="s">
        <v>1238</v>
      </c>
      <c r="I1014" s="1">
        <v>44562</v>
      </c>
      <c r="J1014" s="1">
        <v>45992</v>
      </c>
      <c r="K1014" t="s">
        <v>51</v>
      </c>
      <c r="L1014" t="s">
        <v>52</v>
      </c>
      <c r="M1014" s="2">
        <v>1</v>
      </c>
      <c r="N1014" s="2">
        <v>1</v>
      </c>
      <c r="O1014"/>
      <c r="P1014" s="2">
        <v>2</v>
      </c>
      <c r="Q1014" t="s">
        <v>1402</v>
      </c>
      <c r="R1014" t="s">
        <v>2445</v>
      </c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</row>
    <row r="1015" spans="1:40" s="6" customFormat="1" x14ac:dyDescent="0.25">
      <c r="A1015" s="4">
        <v>101471707600</v>
      </c>
      <c r="B1015" s="4" t="str">
        <f t="shared" si="20"/>
        <v>101471707600OVR</v>
      </c>
      <c r="C1015" t="s">
        <v>1495</v>
      </c>
      <c r="D1015" t="s">
        <v>46</v>
      </c>
      <c r="E1015">
        <v>20411454</v>
      </c>
      <c r="F1015" t="s">
        <v>2477</v>
      </c>
      <c r="G1015" t="s">
        <v>49</v>
      </c>
      <c r="H1015" t="s">
        <v>1238</v>
      </c>
      <c r="I1015" s="1">
        <v>44562</v>
      </c>
      <c r="J1015" s="1">
        <v>45992</v>
      </c>
      <c r="K1015" t="s">
        <v>51</v>
      </c>
      <c r="L1015" t="s">
        <v>52</v>
      </c>
      <c r="M1015" s="2">
        <v>1</v>
      </c>
      <c r="N1015" s="2">
        <v>1</v>
      </c>
      <c r="O1015"/>
      <c r="P1015" s="2">
        <v>2</v>
      </c>
      <c r="Q1015" t="s">
        <v>1402</v>
      </c>
      <c r="R1015" t="s">
        <v>2445</v>
      </c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</row>
    <row r="1016" spans="1:40" s="6" customFormat="1" x14ac:dyDescent="0.25">
      <c r="A1016" s="4">
        <v>101471757300</v>
      </c>
      <c r="B1016" s="4" t="str">
        <f t="shared" si="20"/>
        <v>101471757300OVR</v>
      </c>
      <c r="C1016" t="s">
        <v>1496</v>
      </c>
      <c r="D1016" t="s">
        <v>491</v>
      </c>
      <c r="E1016">
        <v>20411454</v>
      </c>
      <c r="F1016" t="s">
        <v>2477</v>
      </c>
      <c r="G1016" t="s">
        <v>49</v>
      </c>
      <c r="H1016" t="s">
        <v>1238</v>
      </c>
      <c r="I1016" s="1">
        <v>44562</v>
      </c>
      <c r="J1016" s="1">
        <v>45992</v>
      </c>
      <c r="K1016" t="s">
        <v>51</v>
      </c>
      <c r="L1016" t="s">
        <v>52</v>
      </c>
      <c r="M1016" s="2">
        <v>1</v>
      </c>
      <c r="N1016" s="2">
        <v>1</v>
      </c>
      <c r="O1016"/>
      <c r="P1016" s="2">
        <v>2</v>
      </c>
      <c r="Q1016" t="s">
        <v>1402</v>
      </c>
      <c r="R1016" t="s">
        <v>2445</v>
      </c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</row>
    <row r="1017" spans="1:40" s="6" customFormat="1" x14ac:dyDescent="0.25">
      <c r="A1017" s="4">
        <v>101472308200</v>
      </c>
      <c r="B1017" s="4" t="str">
        <f t="shared" si="20"/>
        <v>101472308200OVR</v>
      </c>
      <c r="C1017" t="s">
        <v>1498</v>
      </c>
      <c r="D1017" t="s">
        <v>491</v>
      </c>
      <c r="E1017">
        <v>20411454</v>
      </c>
      <c r="F1017" t="s">
        <v>2477</v>
      </c>
      <c r="G1017" t="s">
        <v>49</v>
      </c>
      <c r="H1017" t="s">
        <v>1238</v>
      </c>
      <c r="I1017" s="1">
        <v>44562</v>
      </c>
      <c r="J1017" s="1">
        <v>45992</v>
      </c>
      <c r="K1017" t="s">
        <v>51</v>
      </c>
      <c r="L1017" t="s">
        <v>52</v>
      </c>
      <c r="M1017" s="2">
        <v>1</v>
      </c>
      <c r="N1017" s="2">
        <v>1</v>
      </c>
      <c r="O1017"/>
      <c r="P1017" s="2">
        <v>2</v>
      </c>
      <c r="Q1017" t="s">
        <v>1402</v>
      </c>
      <c r="R1017" t="s">
        <v>2445</v>
      </c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</row>
    <row r="1018" spans="1:40" s="10" customFormat="1" x14ac:dyDescent="0.25">
      <c r="A1018" s="4">
        <v>101472611200</v>
      </c>
      <c r="B1018" s="4" t="str">
        <f t="shared" si="20"/>
        <v>101472611200OVR</v>
      </c>
      <c r="C1018" t="s">
        <v>1499</v>
      </c>
      <c r="D1018" t="s">
        <v>491</v>
      </c>
      <c r="E1018">
        <v>20411454</v>
      </c>
      <c r="F1018" t="s">
        <v>2477</v>
      </c>
      <c r="G1018" t="s">
        <v>49</v>
      </c>
      <c r="H1018" t="s">
        <v>1238</v>
      </c>
      <c r="I1018" s="1">
        <v>44562</v>
      </c>
      <c r="J1018" s="1">
        <v>45992</v>
      </c>
      <c r="K1018" t="s">
        <v>51</v>
      </c>
      <c r="L1018" t="s">
        <v>52</v>
      </c>
      <c r="M1018" s="2">
        <v>1</v>
      </c>
      <c r="N1018" s="2">
        <v>1</v>
      </c>
      <c r="O1018"/>
      <c r="P1018" s="2">
        <v>2</v>
      </c>
      <c r="Q1018" t="s">
        <v>1402</v>
      </c>
      <c r="R1018" t="s">
        <v>2445</v>
      </c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</row>
    <row r="1019" spans="1:40" s="10" customFormat="1" x14ac:dyDescent="0.25">
      <c r="A1019" s="4">
        <v>101472627800</v>
      </c>
      <c r="B1019" s="4" t="str">
        <f t="shared" si="20"/>
        <v>101472627800OVR</v>
      </c>
      <c r="C1019" t="s">
        <v>1500</v>
      </c>
      <c r="D1019" t="s">
        <v>491</v>
      </c>
      <c r="E1019">
        <v>20411454</v>
      </c>
      <c r="F1019" t="s">
        <v>2477</v>
      </c>
      <c r="G1019" t="s">
        <v>49</v>
      </c>
      <c r="H1019" t="s">
        <v>1238</v>
      </c>
      <c r="I1019" s="1">
        <v>44562</v>
      </c>
      <c r="J1019" s="1">
        <v>45992</v>
      </c>
      <c r="K1019" t="s">
        <v>51</v>
      </c>
      <c r="L1019" t="s">
        <v>52</v>
      </c>
      <c r="M1019" s="2">
        <v>1</v>
      </c>
      <c r="N1019" s="2">
        <v>1</v>
      </c>
      <c r="O1019"/>
      <c r="P1019" s="2">
        <v>2</v>
      </c>
      <c r="Q1019" t="s">
        <v>1402</v>
      </c>
      <c r="R1019" t="s">
        <v>2445</v>
      </c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</row>
    <row r="1020" spans="1:40" x14ac:dyDescent="0.25">
      <c r="A1020" s="4">
        <v>101472724500</v>
      </c>
      <c r="B1020" s="4" t="str">
        <f t="shared" si="20"/>
        <v>101472724500OVR</v>
      </c>
      <c r="C1020" t="s">
        <v>1501</v>
      </c>
      <c r="D1020" t="s">
        <v>491</v>
      </c>
      <c r="E1020">
        <v>20411454</v>
      </c>
      <c r="F1020" t="s">
        <v>2477</v>
      </c>
      <c r="G1020" t="s">
        <v>49</v>
      </c>
      <c r="H1020" t="s">
        <v>1238</v>
      </c>
      <c r="I1020" s="1">
        <v>44562</v>
      </c>
      <c r="J1020" s="1">
        <v>45992</v>
      </c>
      <c r="K1020" t="s">
        <v>51</v>
      </c>
      <c r="L1020" t="s">
        <v>52</v>
      </c>
      <c r="M1020" s="2">
        <v>1</v>
      </c>
      <c r="N1020" s="2">
        <v>1</v>
      </c>
      <c r="P1020" s="2">
        <v>2</v>
      </c>
      <c r="Q1020" t="s">
        <v>1402</v>
      </c>
      <c r="R1020" t="s">
        <v>2445</v>
      </c>
    </row>
    <row r="1021" spans="1:40" x14ac:dyDescent="0.25">
      <c r="A1021" s="4">
        <v>101473096300</v>
      </c>
      <c r="B1021" s="4" t="str">
        <f t="shared" si="20"/>
        <v>101473096300OVR</v>
      </c>
      <c r="C1021" t="s">
        <v>1502</v>
      </c>
      <c r="D1021" t="s">
        <v>491</v>
      </c>
      <c r="E1021">
        <v>20411454</v>
      </c>
      <c r="F1021" t="s">
        <v>2477</v>
      </c>
      <c r="G1021" t="s">
        <v>49</v>
      </c>
      <c r="H1021" t="s">
        <v>1238</v>
      </c>
      <c r="I1021" s="1">
        <v>44562</v>
      </c>
      <c r="J1021" s="1">
        <v>45992</v>
      </c>
      <c r="K1021" t="s">
        <v>51</v>
      </c>
      <c r="L1021" t="s">
        <v>52</v>
      </c>
      <c r="M1021" s="2">
        <v>1</v>
      </c>
      <c r="N1021" s="2">
        <v>1</v>
      </c>
      <c r="P1021" s="2">
        <v>2</v>
      </c>
      <c r="Q1021" t="s">
        <v>1402</v>
      </c>
      <c r="R1021" t="s">
        <v>2445</v>
      </c>
    </row>
    <row r="1022" spans="1:40" x14ac:dyDescent="0.25">
      <c r="A1022" s="4">
        <v>101473461600</v>
      </c>
      <c r="B1022" s="4" t="str">
        <f t="shared" si="20"/>
        <v>101473461600OVR</v>
      </c>
      <c r="C1022" t="s">
        <v>1504</v>
      </c>
      <c r="D1022" t="s">
        <v>491</v>
      </c>
      <c r="E1022">
        <v>20411454</v>
      </c>
      <c r="F1022" t="s">
        <v>2477</v>
      </c>
      <c r="G1022" t="s">
        <v>49</v>
      </c>
      <c r="H1022" t="s">
        <v>1238</v>
      </c>
      <c r="I1022" s="1">
        <v>44562</v>
      </c>
      <c r="J1022" s="1">
        <v>45992</v>
      </c>
      <c r="K1022" t="s">
        <v>51</v>
      </c>
      <c r="L1022" t="s">
        <v>52</v>
      </c>
      <c r="M1022" s="2">
        <v>1</v>
      </c>
      <c r="N1022" s="2">
        <v>1</v>
      </c>
      <c r="P1022" s="2">
        <v>2</v>
      </c>
      <c r="Q1022" t="s">
        <v>1402</v>
      </c>
      <c r="R1022" t="s">
        <v>2445</v>
      </c>
    </row>
    <row r="1023" spans="1:40" x14ac:dyDescent="0.25">
      <c r="A1023" s="4">
        <v>101473506200</v>
      </c>
      <c r="B1023" s="4" t="str">
        <f t="shared" si="20"/>
        <v>101473506200OVR</v>
      </c>
      <c r="C1023" t="s">
        <v>1505</v>
      </c>
      <c r="D1023" t="s">
        <v>491</v>
      </c>
      <c r="E1023">
        <v>20411454</v>
      </c>
      <c r="F1023" t="s">
        <v>2477</v>
      </c>
      <c r="G1023" t="s">
        <v>49</v>
      </c>
      <c r="H1023" t="s">
        <v>1238</v>
      </c>
      <c r="I1023" s="1">
        <v>44562</v>
      </c>
      <c r="J1023" s="1">
        <v>45992</v>
      </c>
      <c r="K1023" t="s">
        <v>51</v>
      </c>
      <c r="L1023" t="s">
        <v>52</v>
      </c>
      <c r="M1023" s="2">
        <v>1</v>
      </c>
      <c r="N1023" s="2">
        <v>1</v>
      </c>
      <c r="P1023" s="2">
        <v>2</v>
      </c>
      <c r="Q1023" t="s">
        <v>1402</v>
      </c>
      <c r="R1023" t="s">
        <v>2445</v>
      </c>
    </row>
    <row r="1024" spans="1:40" x14ac:dyDescent="0.25">
      <c r="A1024" s="4">
        <v>101473890900</v>
      </c>
      <c r="B1024" s="4" t="str">
        <f t="shared" si="20"/>
        <v>101473890900OVR</v>
      </c>
      <c r="C1024" t="s">
        <v>1506</v>
      </c>
      <c r="D1024" t="s">
        <v>491</v>
      </c>
      <c r="E1024">
        <v>20411454</v>
      </c>
      <c r="F1024" t="s">
        <v>2477</v>
      </c>
      <c r="G1024" t="s">
        <v>49</v>
      </c>
      <c r="H1024" t="s">
        <v>1238</v>
      </c>
      <c r="I1024" s="1">
        <v>44562</v>
      </c>
      <c r="J1024" s="1">
        <v>45992</v>
      </c>
      <c r="K1024" t="s">
        <v>51</v>
      </c>
      <c r="L1024" t="s">
        <v>52</v>
      </c>
      <c r="M1024" s="2">
        <v>1</v>
      </c>
      <c r="N1024" s="2">
        <v>1</v>
      </c>
      <c r="P1024" s="2">
        <v>2</v>
      </c>
      <c r="Q1024" t="s">
        <v>1402</v>
      </c>
      <c r="R1024" t="s">
        <v>2445</v>
      </c>
    </row>
    <row r="1025" spans="1:18" x14ac:dyDescent="0.25">
      <c r="A1025" s="4">
        <v>101473907300</v>
      </c>
      <c r="B1025" s="4" t="str">
        <f t="shared" si="20"/>
        <v>101473907300OVR</v>
      </c>
      <c r="C1025" t="s">
        <v>1507</v>
      </c>
      <c r="D1025" t="s">
        <v>491</v>
      </c>
      <c r="E1025">
        <v>20411454</v>
      </c>
      <c r="F1025" t="s">
        <v>2477</v>
      </c>
      <c r="G1025" t="s">
        <v>49</v>
      </c>
      <c r="H1025" t="s">
        <v>1238</v>
      </c>
      <c r="I1025" s="1">
        <v>44562</v>
      </c>
      <c r="J1025" s="1">
        <v>45992</v>
      </c>
      <c r="K1025" t="s">
        <v>51</v>
      </c>
      <c r="L1025" t="s">
        <v>52</v>
      </c>
      <c r="M1025" s="2">
        <v>1</v>
      </c>
      <c r="N1025" s="2">
        <v>1</v>
      </c>
      <c r="P1025" s="2">
        <v>2</v>
      </c>
      <c r="Q1025" t="s">
        <v>1402</v>
      </c>
      <c r="R1025" t="s">
        <v>2445</v>
      </c>
    </row>
    <row r="1026" spans="1:18" x14ac:dyDescent="0.25">
      <c r="A1026" s="4">
        <v>101474570000</v>
      </c>
      <c r="B1026" s="4" t="str">
        <f t="shared" si="20"/>
        <v>101474570000OVR</v>
      </c>
      <c r="C1026" t="s">
        <v>1508</v>
      </c>
      <c r="D1026" t="s">
        <v>491</v>
      </c>
      <c r="E1026">
        <v>20411454</v>
      </c>
      <c r="F1026" t="s">
        <v>2477</v>
      </c>
      <c r="G1026" t="s">
        <v>49</v>
      </c>
      <c r="H1026" t="s">
        <v>1238</v>
      </c>
      <c r="I1026" s="1">
        <v>44562</v>
      </c>
      <c r="J1026" s="1">
        <v>45992</v>
      </c>
      <c r="K1026" t="s">
        <v>51</v>
      </c>
      <c r="L1026" t="s">
        <v>52</v>
      </c>
      <c r="M1026" s="2">
        <v>1</v>
      </c>
      <c r="N1026" s="2">
        <v>1</v>
      </c>
      <c r="P1026" s="2">
        <v>2</v>
      </c>
      <c r="Q1026" t="s">
        <v>1402</v>
      </c>
      <c r="R1026" t="s">
        <v>2445</v>
      </c>
    </row>
    <row r="1027" spans="1:18" x14ac:dyDescent="0.25">
      <c r="A1027" s="4">
        <v>101474765700</v>
      </c>
      <c r="B1027" s="4" t="str">
        <f t="shared" si="20"/>
        <v>101474765700OVR</v>
      </c>
      <c r="C1027" t="s">
        <v>1509</v>
      </c>
      <c r="D1027" t="s">
        <v>491</v>
      </c>
      <c r="E1027">
        <v>20411454</v>
      </c>
      <c r="F1027" t="s">
        <v>2477</v>
      </c>
      <c r="G1027" t="s">
        <v>49</v>
      </c>
      <c r="H1027" t="s">
        <v>1238</v>
      </c>
      <c r="I1027" s="1">
        <v>44562</v>
      </c>
      <c r="J1027" s="1">
        <v>45992</v>
      </c>
      <c r="K1027" t="s">
        <v>51</v>
      </c>
      <c r="L1027" t="s">
        <v>52</v>
      </c>
      <c r="M1027" s="2">
        <v>1</v>
      </c>
      <c r="N1027" s="2">
        <v>1</v>
      </c>
      <c r="P1027" s="2">
        <v>2</v>
      </c>
      <c r="Q1027" t="s">
        <v>1402</v>
      </c>
      <c r="R1027" t="s">
        <v>2445</v>
      </c>
    </row>
    <row r="1028" spans="1:18" x14ac:dyDescent="0.25">
      <c r="A1028" s="4">
        <v>101475440500</v>
      </c>
      <c r="B1028" s="4" t="str">
        <f t="shared" si="20"/>
        <v>101475440500OVR</v>
      </c>
      <c r="C1028" t="s">
        <v>1510</v>
      </c>
      <c r="D1028" t="s">
        <v>491</v>
      </c>
      <c r="E1028">
        <v>20411454</v>
      </c>
      <c r="F1028" t="s">
        <v>2477</v>
      </c>
      <c r="G1028" t="s">
        <v>49</v>
      </c>
      <c r="H1028" t="s">
        <v>1238</v>
      </c>
      <c r="I1028" s="1">
        <v>44562</v>
      </c>
      <c r="J1028" s="1">
        <v>45992</v>
      </c>
      <c r="K1028" t="s">
        <v>51</v>
      </c>
      <c r="L1028" t="s">
        <v>52</v>
      </c>
      <c r="M1028" s="2">
        <v>1</v>
      </c>
      <c r="N1028" s="2">
        <v>1</v>
      </c>
      <c r="P1028" s="2">
        <v>2</v>
      </c>
      <c r="Q1028" t="s">
        <v>1402</v>
      </c>
      <c r="R1028" t="s">
        <v>2445</v>
      </c>
    </row>
    <row r="1029" spans="1:18" x14ac:dyDescent="0.25">
      <c r="A1029" s="4">
        <v>101475742300</v>
      </c>
      <c r="B1029" s="4" t="str">
        <f t="shared" si="20"/>
        <v>101475742300OVR</v>
      </c>
      <c r="C1029" t="s">
        <v>1512</v>
      </c>
      <c r="D1029" t="s">
        <v>491</v>
      </c>
      <c r="E1029">
        <v>20411454</v>
      </c>
      <c r="F1029" t="s">
        <v>2477</v>
      </c>
      <c r="G1029" t="s">
        <v>49</v>
      </c>
      <c r="H1029" t="s">
        <v>1238</v>
      </c>
      <c r="I1029" s="1">
        <v>44562</v>
      </c>
      <c r="J1029" s="1">
        <v>45992</v>
      </c>
      <c r="K1029" t="s">
        <v>51</v>
      </c>
      <c r="L1029" t="s">
        <v>52</v>
      </c>
      <c r="M1029" s="2">
        <v>1</v>
      </c>
      <c r="N1029" s="2">
        <v>1</v>
      </c>
      <c r="P1029" s="2">
        <v>2</v>
      </c>
      <c r="Q1029" t="s">
        <v>1402</v>
      </c>
      <c r="R1029" t="s">
        <v>2445</v>
      </c>
    </row>
    <row r="1030" spans="1:18" x14ac:dyDescent="0.25">
      <c r="A1030" s="4">
        <v>101476298900</v>
      </c>
      <c r="B1030" s="4" t="str">
        <f t="shared" si="20"/>
        <v>101476298900OVR</v>
      </c>
      <c r="C1030" t="s">
        <v>1514</v>
      </c>
      <c r="D1030" t="s">
        <v>491</v>
      </c>
      <c r="E1030">
        <v>20411454</v>
      </c>
      <c r="F1030" t="s">
        <v>2477</v>
      </c>
      <c r="G1030" t="s">
        <v>49</v>
      </c>
      <c r="H1030" t="s">
        <v>1238</v>
      </c>
      <c r="I1030" s="1">
        <v>44562</v>
      </c>
      <c r="J1030" s="1">
        <v>45992</v>
      </c>
      <c r="K1030" t="s">
        <v>51</v>
      </c>
      <c r="L1030" t="s">
        <v>52</v>
      </c>
      <c r="M1030" s="2">
        <v>1</v>
      </c>
      <c r="N1030" s="2">
        <v>1</v>
      </c>
      <c r="P1030" s="2">
        <v>2</v>
      </c>
      <c r="Q1030" t="s">
        <v>1402</v>
      </c>
      <c r="R1030" t="s">
        <v>2445</v>
      </c>
    </row>
    <row r="1031" spans="1:18" x14ac:dyDescent="0.25">
      <c r="A1031" s="4">
        <v>101476390500</v>
      </c>
      <c r="B1031" s="4" t="str">
        <f t="shared" si="20"/>
        <v>101476390500OVR</v>
      </c>
      <c r="C1031" t="s">
        <v>1515</v>
      </c>
      <c r="D1031" t="s">
        <v>491</v>
      </c>
      <c r="E1031">
        <v>20411454</v>
      </c>
      <c r="F1031" t="s">
        <v>2477</v>
      </c>
      <c r="G1031" t="s">
        <v>49</v>
      </c>
      <c r="H1031" t="s">
        <v>1238</v>
      </c>
      <c r="I1031" s="1">
        <v>44562</v>
      </c>
      <c r="J1031" s="1">
        <v>45992</v>
      </c>
      <c r="K1031" t="s">
        <v>51</v>
      </c>
      <c r="L1031" t="s">
        <v>52</v>
      </c>
      <c r="M1031" s="2">
        <v>1</v>
      </c>
      <c r="N1031" s="2">
        <v>1</v>
      </c>
      <c r="P1031" s="2">
        <v>2</v>
      </c>
      <c r="Q1031" t="s">
        <v>1402</v>
      </c>
      <c r="R1031" t="s">
        <v>2445</v>
      </c>
    </row>
    <row r="1032" spans="1:18" x14ac:dyDescent="0.25">
      <c r="A1032" s="4">
        <v>101477828300</v>
      </c>
      <c r="B1032" s="4" t="str">
        <f t="shared" si="20"/>
        <v>101477828300OVR</v>
      </c>
      <c r="C1032" t="s">
        <v>1516</v>
      </c>
      <c r="D1032" t="s">
        <v>491</v>
      </c>
      <c r="E1032">
        <v>20411454</v>
      </c>
      <c r="F1032" t="s">
        <v>2477</v>
      </c>
      <c r="G1032" t="s">
        <v>49</v>
      </c>
      <c r="H1032" t="s">
        <v>1238</v>
      </c>
      <c r="I1032" s="1">
        <v>44562</v>
      </c>
      <c r="J1032" s="1">
        <v>45992</v>
      </c>
      <c r="K1032" t="s">
        <v>51</v>
      </c>
      <c r="L1032" t="s">
        <v>52</v>
      </c>
      <c r="M1032" s="2">
        <v>1</v>
      </c>
      <c r="N1032" s="2">
        <v>1</v>
      </c>
      <c r="P1032" s="2">
        <v>2</v>
      </c>
      <c r="Q1032" t="s">
        <v>1402</v>
      </c>
      <c r="R1032" t="s">
        <v>2445</v>
      </c>
    </row>
    <row r="1033" spans="1:18" x14ac:dyDescent="0.25">
      <c r="A1033" s="4">
        <v>101478649400</v>
      </c>
      <c r="B1033" s="4" t="str">
        <f t="shared" si="20"/>
        <v>101478649400OVR</v>
      </c>
      <c r="C1033" t="s">
        <v>1517</v>
      </c>
      <c r="D1033" t="s">
        <v>491</v>
      </c>
      <c r="E1033">
        <v>20411454</v>
      </c>
      <c r="F1033" t="s">
        <v>2477</v>
      </c>
      <c r="G1033" t="s">
        <v>49</v>
      </c>
      <c r="H1033" t="s">
        <v>1238</v>
      </c>
      <c r="I1033" s="1">
        <v>44562</v>
      </c>
      <c r="J1033" s="1">
        <v>45992</v>
      </c>
      <c r="K1033" t="s">
        <v>51</v>
      </c>
      <c r="L1033" t="s">
        <v>52</v>
      </c>
      <c r="M1033" s="2">
        <v>1</v>
      </c>
      <c r="N1033" s="2">
        <v>1</v>
      </c>
      <c r="P1033" s="2">
        <v>2</v>
      </c>
      <c r="Q1033" t="s">
        <v>1402</v>
      </c>
      <c r="R1033" t="s">
        <v>2445</v>
      </c>
    </row>
    <row r="1034" spans="1:18" x14ac:dyDescent="0.25">
      <c r="A1034" s="4">
        <v>101481629800</v>
      </c>
      <c r="B1034" s="4" t="str">
        <f t="shared" si="20"/>
        <v>101481629800OVR</v>
      </c>
      <c r="C1034" t="s">
        <v>1518</v>
      </c>
      <c r="D1034" t="s">
        <v>491</v>
      </c>
      <c r="E1034">
        <v>20411454</v>
      </c>
      <c r="F1034" t="s">
        <v>2477</v>
      </c>
      <c r="G1034" t="s">
        <v>49</v>
      </c>
      <c r="H1034" t="s">
        <v>1238</v>
      </c>
      <c r="I1034" s="1">
        <v>44562</v>
      </c>
      <c r="J1034" s="1">
        <v>45992</v>
      </c>
      <c r="K1034" t="s">
        <v>51</v>
      </c>
      <c r="L1034" t="s">
        <v>52</v>
      </c>
      <c r="M1034" s="2">
        <v>1</v>
      </c>
      <c r="N1034" s="2">
        <v>1</v>
      </c>
      <c r="P1034" s="2">
        <v>2</v>
      </c>
      <c r="Q1034" t="s">
        <v>1402</v>
      </c>
      <c r="R1034" t="s">
        <v>2445</v>
      </c>
    </row>
    <row r="1035" spans="1:18" x14ac:dyDescent="0.25">
      <c r="A1035" s="4">
        <v>101485016400</v>
      </c>
      <c r="B1035" s="4" t="str">
        <f t="shared" si="20"/>
        <v>101485016400OVR</v>
      </c>
      <c r="C1035" t="s">
        <v>1519</v>
      </c>
      <c r="D1035" t="s">
        <v>491</v>
      </c>
      <c r="E1035">
        <v>20411454</v>
      </c>
      <c r="F1035" t="s">
        <v>2477</v>
      </c>
      <c r="G1035" t="s">
        <v>49</v>
      </c>
      <c r="H1035" t="s">
        <v>1238</v>
      </c>
      <c r="I1035" s="1">
        <v>44562</v>
      </c>
      <c r="J1035" s="1">
        <v>45992</v>
      </c>
      <c r="K1035" t="s">
        <v>51</v>
      </c>
      <c r="L1035" t="s">
        <v>52</v>
      </c>
      <c r="M1035" s="2">
        <v>1</v>
      </c>
      <c r="N1035" s="2">
        <v>1</v>
      </c>
      <c r="P1035" s="2">
        <v>2</v>
      </c>
      <c r="Q1035" t="s">
        <v>1402</v>
      </c>
      <c r="R1035" t="s">
        <v>2445</v>
      </c>
    </row>
    <row r="1036" spans="1:18" x14ac:dyDescent="0.25">
      <c r="A1036" s="4">
        <v>101485181900</v>
      </c>
      <c r="B1036" s="4" t="str">
        <f t="shared" si="20"/>
        <v>101485181900OVR</v>
      </c>
      <c r="C1036" t="s">
        <v>1520</v>
      </c>
      <c r="D1036" t="s">
        <v>491</v>
      </c>
      <c r="E1036">
        <v>20411454</v>
      </c>
      <c r="F1036" t="s">
        <v>2477</v>
      </c>
      <c r="G1036" t="s">
        <v>49</v>
      </c>
      <c r="H1036" t="s">
        <v>1238</v>
      </c>
      <c r="I1036" s="1">
        <v>44562</v>
      </c>
      <c r="J1036" s="1">
        <v>45992</v>
      </c>
      <c r="K1036" t="s">
        <v>51</v>
      </c>
      <c r="L1036" t="s">
        <v>52</v>
      </c>
      <c r="M1036" s="2">
        <v>1</v>
      </c>
      <c r="N1036" s="2">
        <v>1</v>
      </c>
      <c r="P1036" s="2">
        <v>2</v>
      </c>
      <c r="Q1036" t="s">
        <v>1402</v>
      </c>
      <c r="R1036" t="s">
        <v>2445</v>
      </c>
    </row>
    <row r="1037" spans="1:18" x14ac:dyDescent="0.25">
      <c r="A1037" s="4">
        <v>101485351600</v>
      </c>
      <c r="B1037" s="4" t="str">
        <f t="shared" si="20"/>
        <v>101485351600OVR</v>
      </c>
      <c r="C1037" t="s">
        <v>1521</v>
      </c>
      <c r="D1037" t="s">
        <v>491</v>
      </c>
      <c r="E1037">
        <v>20411454</v>
      </c>
      <c r="F1037" t="s">
        <v>2477</v>
      </c>
      <c r="G1037" t="s">
        <v>49</v>
      </c>
      <c r="H1037" t="s">
        <v>1238</v>
      </c>
      <c r="I1037" s="1">
        <v>44562</v>
      </c>
      <c r="J1037" s="1">
        <v>45992</v>
      </c>
      <c r="K1037" t="s">
        <v>51</v>
      </c>
      <c r="L1037" t="s">
        <v>52</v>
      </c>
      <c r="M1037" s="2">
        <v>1</v>
      </c>
      <c r="N1037" s="2">
        <v>1</v>
      </c>
      <c r="P1037" s="2">
        <v>2</v>
      </c>
      <c r="Q1037" t="s">
        <v>1402</v>
      </c>
      <c r="R1037" t="s">
        <v>2445</v>
      </c>
    </row>
    <row r="1038" spans="1:18" x14ac:dyDescent="0.25">
      <c r="A1038" s="4">
        <v>101486796300</v>
      </c>
      <c r="B1038" s="4" t="str">
        <f t="shared" si="20"/>
        <v>101486796300OVR</v>
      </c>
      <c r="C1038" t="s">
        <v>1522</v>
      </c>
      <c r="D1038" t="s">
        <v>491</v>
      </c>
      <c r="E1038">
        <v>20411454</v>
      </c>
      <c r="F1038" t="s">
        <v>2477</v>
      </c>
      <c r="G1038" t="s">
        <v>49</v>
      </c>
      <c r="H1038" t="s">
        <v>1238</v>
      </c>
      <c r="I1038" s="1">
        <v>44562</v>
      </c>
      <c r="J1038" s="1">
        <v>45992</v>
      </c>
      <c r="K1038" t="s">
        <v>51</v>
      </c>
      <c r="L1038" t="s">
        <v>52</v>
      </c>
      <c r="M1038" s="2">
        <v>1</v>
      </c>
      <c r="N1038" s="2">
        <v>1</v>
      </c>
      <c r="P1038" s="2">
        <v>2</v>
      </c>
      <c r="Q1038" t="s">
        <v>1402</v>
      </c>
      <c r="R1038" t="s">
        <v>2445</v>
      </c>
    </row>
    <row r="1039" spans="1:18" x14ac:dyDescent="0.25">
      <c r="A1039" s="4">
        <v>101488727700</v>
      </c>
      <c r="B1039" s="4" t="str">
        <f t="shared" si="20"/>
        <v>101488727700OVR</v>
      </c>
      <c r="C1039" t="s">
        <v>1523</v>
      </c>
      <c r="D1039" t="s">
        <v>491</v>
      </c>
      <c r="E1039">
        <v>20411454</v>
      </c>
      <c r="F1039" t="s">
        <v>2477</v>
      </c>
      <c r="G1039" t="s">
        <v>49</v>
      </c>
      <c r="H1039" t="s">
        <v>1238</v>
      </c>
      <c r="I1039" s="1">
        <v>44562</v>
      </c>
      <c r="J1039" s="1">
        <v>45992</v>
      </c>
      <c r="K1039" t="s">
        <v>51</v>
      </c>
      <c r="L1039" t="s">
        <v>52</v>
      </c>
      <c r="M1039" s="2">
        <v>1</v>
      </c>
      <c r="N1039" s="2">
        <v>1</v>
      </c>
      <c r="P1039" s="2">
        <v>2</v>
      </c>
      <c r="Q1039" t="s">
        <v>1402</v>
      </c>
      <c r="R1039" t="s">
        <v>2445</v>
      </c>
    </row>
    <row r="1040" spans="1:18" x14ac:dyDescent="0.25">
      <c r="A1040" s="4">
        <v>101491248600</v>
      </c>
      <c r="B1040" s="4" t="str">
        <f t="shared" si="20"/>
        <v>101491248600OVR</v>
      </c>
      <c r="C1040" t="s">
        <v>1524</v>
      </c>
      <c r="D1040" t="s">
        <v>491</v>
      </c>
      <c r="E1040">
        <v>20411454</v>
      </c>
      <c r="F1040" t="s">
        <v>2477</v>
      </c>
      <c r="G1040" t="s">
        <v>49</v>
      </c>
      <c r="H1040" t="s">
        <v>1238</v>
      </c>
      <c r="I1040" s="1">
        <v>44562</v>
      </c>
      <c r="J1040" s="1">
        <v>45992</v>
      </c>
      <c r="K1040" t="s">
        <v>51</v>
      </c>
      <c r="L1040" t="s">
        <v>52</v>
      </c>
      <c r="M1040" s="2">
        <v>1</v>
      </c>
      <c r="N1040" s="2">
        <v>1</v>
      </c>
      <c r="P1040" s="2">
        <v>2</v>
      </c>
      <c r="Q1040" t="s">
        <v>1402</v>
      </c>
      <c r="R1040" t="s">
        <v>2445</v>
      </c>
    </row>
    <row r="1041" spans="1:18" x14ac:dyDescent="0.25">
      <c r="A1041" s="4">
        <v>101494501900</v>
      </c>
      <c r="B1041" s="4" t="str">
        <f t="shared" si="20"/>
        <v>101494501900OVR</v>
      </c>
      <c r="C1041" t="s">
        <v>1526</v>
      </c>
      <c r="D1041" t="s">
        <v>491</v>
      </c>
      <c r="E1041">
        <v>20411454</v>
      </c>
      <c r="F1041" t="s">
        <v>2477</v>
      </c>
      <c r="G1041" t="s">
        <v>49</v>
      </c>
      <c r="H1041" t="s">
        <v>1238</v>
      </c>
      <c r="I1041" s="1">
        <v>44562</v>
      </c>
      <c r="J1041" s="1">
        <v>45992</v>
      </c>
      <c r="K1041" t="s">
        <v>51</v>
      </c>
      <c r="L1041" t="s">
        <v>52</v>
      </c>
      <c r="M1041" s="2">
        <v>1</v>
      </c>
      <c r="N1041" s="2">
        <v>1</v>
      </c>
      <c r="P1041" s="2">
        <v>2</v>
      </c>
      <c r="Q1041" t="s">
        <v>1402</v>
      </c>
      <c r="R1041" t="s">
        <v>2445</v>
      </c>
    </row>
    <row r="1042" spans="1:18" x14ac:dyDescent="0.25">
      <c r="A1042" s="4">
        <v>101495427300</v>
      </c>
      <c r="B1042" s="4" t="str">
        <f t="shared" si="20"/>
        <v>101495427300OVR</v>
      </c>
      <c r="C1042" t="s">
        <v>1527</v>
      </c>
      <c r="D1042" t="s">
        <v>491</v>
      </c>
      <c r="E1042">
        <v>20411454</v>
      </c>
      <c r="F1042" t="s">
        <v>2477</v>
      </c>
      <c r="G1042" t="s">
        <v>49</v>
      </c>
      <c r="H1042" t="s">
        <v>1238</v>
      </c>
      <c r="I1042" s="1">
        <v>44562</v>
      </c>
      <c r="J1042" s="1">
        <v>45992</v>
      </c>
      <c r="K1042" t="s">
        <v>51</v>
      </c>
      <c r="L1042" t="s">
        <v>52</v>
      </c>
      <c r="M1042" s="2">
        <v>1</v>
      </c>
      <c r="N1042" s="2">
        <v>1</v>
      </c>
      <c r="P1042" s="2">
        <v>2</v>
      </c>
      <c r="Q1042" t="s">
        <v>1402</v>
      </c>
      <c r="R1042" t="s">
        <v>2445</v>
      </c>
    </row>
    <row r="1043" spans="1:18" x14ac:dyDescent="0.25">
      <c r="A1043" s="4">
        <v>101495460400</v>
      </c>
      <c r="B1043" s="4" t="str">
        <f t="shared" si="20"/>
        <v>101495460400OVR</v>
      </c>
      <c r="C1043" t="s">
        <v>1528</v>
      </c>
      <c r="D1043" t="s">
        <v>491</v>
      </c>
      <c r="E1043">
        <v>20411454</v>
      </c>
      <c r="F1043" t="s">
        <v>2477</v>
      </c>
      <c r="G1043" t="s">
        <v>49</v>
      </c>
      <c r="H1043" t="s">
        <v>1238</v>
      </c>
      <c r="I1043" s="1">
        <v>44562</v>
      </c>
      <c r="J1043" s="1">
        <v>45992</v>
      </c>
      <c r="K1043" t="s">
        <v>51</v>
      </c>
      <c r="L1043" t="s">
        <v>52</v>
      </c>
      <c r="M1043" s="2">
        <v>1</v>
      </c>
      <c r="N1043" s="2">
        <v>1</v>
      </c>
      <c r="P1043" s="2">
        <v>2</v>
      </c>
      <c r="Q1043" t="s">
        <v>1402</v>
      </c>
      <c r="R1043" t="s">
        <v>2445</v>
      </c>
    </row>
    <row r="1044" spans="1:18" x14ac:dyDescent="0.25">
      <c r="A1044" s="4">
        <v>101500561700</v>
      </c>
      <c r="B1044" s="4" t="str">
        <f t="shared" si="20"/>
        <v>101500561700OVR</v>
      </c>
      <c r="C1044" t="s">
        <v>1529</v>
      </c>
      <c r="D1044" t="s">
        <v>491</v>
      </c>
      <c r="E1044">
        <v>20411454</v>
      </c>
      <c r="F1044" t="s">
        <v>2477</v>
      </c>
      <c r="G1044" t="s">
        <v>49</v>
      </c>
      <c r="H1044" t="s">
        <v>1238</v>
      </c>
      <c r="I1044" s="1">
        <v>44562</v>
      </c>
      <c r="J1044" s="1">
        <v>45992</v>
      </c>
      <c r="K1044" t="s">
        <v>51</v>
      </c>
      <c r="L1044" t="s">
        <v>52</v>
      </c>
      <c r="M1044" s="2">
        <v>1</v>
      </c>
      <c r="N1044" s="2">
        <v>1</v>
      </c>
      <c r="P1044" s="2">
        <v>2</v>
      </c>
      <c r="Q1044" t="s">
        <v>1402</v>
      </c>
      <c r="R1044" t="s">
        <v>2445</v>
      </c>
    </row>
    <row r="1045" spans="1:18" x14ac:dyDescent="0.25">
      <c r="A1045" s="4">
        <v>101502394600</v>
      </c>
      <c r="B1045" s="4" t="str">
        <f t="shared" si="20"/>
        <v>101502394600OVR</v>
      </c>
      <c r="C1045" t="s">
        <v>1530</v>
      </c>
      <c r="D1045" t="s">
        <v>491</v>
      </c>
      <c r="E1045">
        <v>20411454</v>
      </c>
      <c r="F1045" t="s">
        <v>2477</v>
      </c>
      <c r="G1045" t="s">
        <v>49</v>
      </c>
      <c r="H1045" t="s">
        <v>1238</v>
      </c>
      <c r="I1045" s="1">
        <v>44562</v>
      </c>
      <c r="J1045" s="1">
        <v>45992</v>
      </c>
      <c r="K1045" t="s">
        <v>51</v>
      </c>
      <c r="L1045" t="s">
        <v>52</v>
      </c>
      <c r="M1045" s="2">
        <v>1</v>
      </c>
      <c r="N1045" s="2">
        <v>1</v>
      </c>
      <c r="P1045" s="2">
        <v>2</v>
      </c>
      <c r="Q1045" t="s">
        <v>1402</v>
      </c>
      <c r="R1045" t="s">
        <v>2445</v>
      </c>
    </row>
    <row r="1046" spans="1:18" x14ac:dyDescent="0.25">
      <c r="A1046" s="4">
        <v>101502443300</v>
      </c>
      <c r="B1046" s="4" t="str">
        <f t="shared" si="20"/>
        <v>101502443300OVR</v>
      </c>
      <c r="C1046" t="s">
        <v>1531</v>
      </c>
      <c r="D1046" t="s">
        <v>491</v>
      </c>
      <c r="E1046">
        <v>20411454</v>
      </c>
      <c r="F1046" t="s">
        <v>2477</v>
      </c>
      <c r="G1046" t="s">
        <v>49</v>
      </c>
      <c r="H1046" t="s">
        <v>1238</v>
      </c>
      <c r="I1046" s="1">
        <v>44562</v>
      </c>
      <c r="J1046" s="1">
        <v>45992</v>
      </c>
      <c r="K1046" t="s">
        <v>51</v>
      </c>
      <c r="L1046" t="s">
        <v>52</v>
      </c>
      <c r="M1046" s="2">
        <v>1</v>
      </c>
      <c r="N1046" s="2">
        <v>1</v>
      </c>
      <c r="P1046" s="2">
        <v>2</v>
      </c>
      <c r="Q1046" t="s">
        <v>1402</v>
      </c>
      <c r="R1046" t="s">
        <v>2445</v>
      </c>
    </row>
    <row r="1047" spans="1:18" x14ac:dyDescent="0.25">
      <c r="A1047" s="4">
        <v>101505160900</v>
      </c>
      <c r="B1047" s="4" t="str">
        <f t="shared" si="20"/>
        <v>101505160900OVR</v>
      </c>
      <c r="C1047" t="s">
        <v>1532</v>
      </c>
      <c r="D1047" t="s">
        <v>491</v>
      </c>
      <c r="E1047">
        <v>20411454</v>
      </c>
      <c r="F1047" t="s">
        <v>2477</v>
      </c>
      <c r="G1047" t="s">
        <v>49</v>
      </c>
      <c r="H1047" t="s">
        <v>1238</v>
      </c>
      <c r="I1047" s="1">
        <v>44562</v>
      </c>
      <c r="J1047" s="1">
        <v>45992</v>
      </c>
      <c r="K1047" t="s">
        <v>51</v>
      </c>
      <c r="L1047" t="s">
        <v>52</v>
      </c>
      <c r="M1047" s="2">
        <v>1</v>
      </c>
      <c r="N1047" s="2">
        <v>1</v>
      </c>
      <c r="P1047" s="2">
        <v>2</v>
      </c>
      <c r="Q1047" t="s">
        <v>1402</v>
      </c>
      <c r="R1047" t="s">
        <v>2445</v>
      </c>
    </row>
    <row r="1048" spans="1:18" x14ac:dyDescent="0.25">
      <c r="A1048" s="4">
        <v>101506807700</v>
      </c>
      <c r="B1048" s="4" t="str">
        <f t="shared" si="20"/>
        <v>101506807700OVR</v>
      </c>
      <c r="C1048" t="s">
        <v>1533</v>
      </c>
      <c r="D1048" t="s">
        <v>491</v>
      </c>
      <c r="E1048">
        <v>20411454</v>
      </c>
      <c r="F1048" t="s">
        <v>2477</v>
      </c>
      <c r="G1048" t="s">
        <v>49</v>
      </c>
      <c r="H1048" t="s">
        <v>1238</v>
      </c>
      <c r="I1048" s="1">
        <v>44562</v>
      </c>
      <c r="J1048" s="1">
        <v>45992</v>
      </c>
      <c r="K1048" t="s">
        <v>51</v>
      </c>
      <c r="L1048" t="s">
        <v>52</v>
      </c>
      <c r="M1048" s="2">
        <v>1</v>
      </c>
      <c r="N1048" s="2">
        <v>1</v>
      </c>
      <c r="P1048" s="2">
        <v>2</v>
      </c>
      <c r="Q1048" t="s">
        <v>1402</v>
      </c>
      <c r="R1048" t="s">
        <v>2445</v>
      </c>
    </row>
    <row r="1049" spans="1:18" x14ac:dyDescent="0.25">
      <c r="A1049" s="4">
        <v>101507907500</v>
      </c>
      <c r="B1049" s="4" t="str">
        <f t="shared" si="20"/>
        <v>101507907500OVR</v>
      </c>
      <c r="C1049" t="s">
        <v>1534</v>
      </c>
      <c r="D1049" t="s">
        <v>491</v>
      </c>
      <c r="E1049">
        <v>20411454</v>
      </c>
      <c r="F1049" t="s">
        <v>2477</v>
      </c>
      <c r="G1049" t="s">
        <v>49</v>
      </c>
      <c r="H1049" t="s">
        <v>1238</v>
      </c>
      <c r="I1049" s="1">
        <v>44562</v>
      </c>
      <c r="J1049" s="1">
        <v>45992</v>
      </c>
      <c r="K1049" t="s">
        <v>51</v>
      </c>
      <c r="L1049" t="s">
        <v>52</v>
      </c>
      <c r="M1049" s="2">
        <v>1</v>
      </c>
      <c r="N1049" s="2">
        <v>1</v>
      </c>
      <c r="P1049" s="2">
        <v>2</v>
      </c>
      <c r="Q1049" t="s">
        <v>1402</v>
      </c>
      <c r="R1049" t="s">
        <v>2445</v>
      </c>
    </row>
    <row r="1050" spans="1:18" x14ac:dyDescent="0.25">
      <c r="A1050" s="4">
        <v>101508102100</v>
      </c>
      <c r="B1050" s="4" t="str">
        <f t="shared" si="20"/>
        <v>101508102100OVR</v>
      </c>
      <c r="C1050" t="s">
        <v>1535</v>
      </c>
      <c r="D1050" t="s">
        <v>491</v>
      </c>
      <c r="E1050">
        <v>20411454</v>
      </c>
      <c r="F1050" t="s">
        <v>2477</v>
      </c>
      <c r="G1050" t="s">
        <v>49</v>
      </c>
      <c r="H1050" t="s">
        <v>1238</v>
      </c>
      <c r="I1050" s="1">
        <v>44562</v>
      </c>
      <c r="J1050" s="1">
        <v>45992</v>
      </c>
      <c r="K1050" t="s">
        <v>51</v>
      </c>
      <c r="L1050" t="s">
        <v>52</v>
      </c>
      <c r="M1050" s="2">
        <v>1</v>
      </c>
      <c r="N1050" s="2">
        <v>1</v>
      </c>
      <c r="P1050" s="2">
        <v>2</v>
      </c>
      <c r="Q1050" t="s">
        <v>1402</v>
      </c>
      <c r="R1050" t="s">
        <v>2445</v>
      </c>
    </row>
    <row r="1051" spans="1:18" x14ac:dyDescent="0.25">
      <c r="A1051" s="4">
        <v>101508874400</v>
      </c>
      <c r="B1051" s="4" t="str">
        <f t="shared" si="20"/>
        <v>101508874400OVR</v>
      </c>
      <c r="C1051" t="s">
        <v>1536</v>
      </c>
      <c r="D1051" t="s">
        <v>491</v>
      </c>
      <c r="E1051">
        <v>20411454</v>
      </c>
      <c r="F1051" t="s">
        <v>2477</v>
      </c>
      <c r="G1051" t="s">
        <v>49</v>
      </c>
      <c r="H1051" t="s">
        <v>1238</v>
      </c>
      <c r="I1051" s="1">
        <v>44562</v>
      </c>
      <c r="J1051" s="1">
        <v>45992</v>
      </c>
      <c r="K1051" t="s">
        <v>51</v>
      </c>
      <c r="L1051" t="s">
        <v>52</v>
      </c>
      <c r="M1051" s="2">
        <v>1</v>
      </c>
      <c r="N1051" s="2">
        <v>1</v>
      </c>
      <c r="P1051" s="2">
        <v>2</v>
      </c>
      <c r="Q1051" t="s">
        <v>1402</v>
      </c>
      <c r="R1051" t="s">
        <v>2445</v>
      </c>
    </row>
    <row r="1052" spans="1:18" x14ac:dyDescent="0.25">
      <c r="A1052" s="4">
        <v>101516771800</v>
      </c>
      <c r="B1052" s="4" t="str">
        <f t="shared" si="20"/>
        <v>101516771800OVR</v>
      </c>
      <c r="C1052" t="s">
        <v>1538</v>
      </c>
      <c r="D1052" t="s">
        <v>491</v>
      </c>
      <c r="E1052">
        <v>20411454</v>
      </c>
      <c r="F1052" t="s">
        <v>2477</v>
      </c>
      <c r="G1052" t="s">
        <v>49</v>
      </c>
      <c r="H1052" t="s">
        <v>1238</v>
      </c>
      <c r="I1052" s="1">
        <v>44562</v>
      </c>
      <c r="J1052" s="1">
        <v>45992</v>
      </c>
      <c r="K1052" t="s">
        <v>51</v>
      </c>
      <c r="L1052" t="s">
        <v>52</v>
      </c>
      <c r="M1052" s="2">
        <v>1</v>
      </c>
      <c r="N1052" s="2">
        <v>1</v>
      </c>
      <c r="P1052" s="2">
        <v>2</v>
      </c>
      <c r="Q1052" t="s">
        <v>1402</v>
      </c>
      <c r="R1052" t="s">
        <v>2445</v>
      </c>
    </row>
    <row r="1053" spans="1:18" x14ac:dyDescent="0.25">
      <c r="A1053" s="4">
        <v>101516783700</v>
      </c>
      <c r="B1053" s="4" t="str">
        <f t="shared" si="20"/>
        <v>101516783700OVR</v>
      </c>
      <c r="C1053" t="s">
        <v>1539</v>
      </c>
      <c r="D1053" t="s">
        <v>491</v>
      </c>
      <c r="E1053">
        <v>20411454</v>
      </c>
      <c r="F1053" t="s">
        <v>2477</v>
      </c>
      <c r="G1053" t="s">
        <v>49</v>
      </c>
      <c r="H1053" t="s">
        <v>1238</v>
      </c>
      <c r="I1053" s="1">
        <v>44562</v>
      </c>
      <c r="J1053" s="1">
        <v>45992</v>
      </c>
      <c r="K1053" t="s">
        <v>51</v>
      </c>
      <c r="L1053" t="s">
        <v>52</v>
      </c>
      <c r="M1053" s="2">
        <v>1</v>
      </c>
      <c r="N1053" s="2">
        <v>1</v>
      </c>
      <c r="P1053" s="2">
        <v>2</v>
      </c>
      <c r="Q1053" t="s">
        <v>1402</v>
      </c>
      <c r="R1053" t="s">
        <v>2445</v>
      </c>
    </row>
    <row r="1054" spans="1:18" x14ac:dyDescent="0.25">
      <c r="A1054" s="4">
        <v>101121447300</v>
      </c>
      <c r="B1054" s="4" t="str">
        <f t="shared" si="20"/>
        <v>101121447300OVR</v>
      </c>
      <c r="C1054" t="s">
        <v>1440</v>
      </c>
      <c r="D1054" t="s">
        <v>491</v>
      </c>
      <c r="E1054">
        <v>20411454</v>
      </c>
      <c r="F1054" t="s">
        <v>2477</v>
      </c>
      <c r="G1054" t="s">
        <v>49</v>
      </c>
      <c r="H1054" t="s">
        <v>964</v>
      </c>
      <c r="I1054" s="1">
        <v>44562</v>
      </c>
      <c r="J1054" s="1">
        <v>45992</v>
      </c>
      <c r="K1054" t="s">
        <v>51</v>
      </c>
      <c r="L1054" t="s">
        <v>52</v>
      </c>
      <c r="M1054" s="2">
        <v>1</v>
      </c>
      <c r="N1054" s="2">
        <v>1</v>
      </c>
      <c r="P1054" s="2">
        <v>1.17</v>
      </c>
      <c r="Q1054" t="s">
        <v>1402</v>
      </c>
      <c r="R1054" t="s">
        <v>2445</v>
      </c>
    </row>
    <row r="1055" spans="1:18" x14ac:dyDescent="0.25">
      <c r="A1055" s="4">
        <v>101471809800</v>
      </c>
      <c r="B1055" s="4" t="str">
        <f t="shared" si="20"/>
        <v>101471809800OVR</v>
      </c>
      <c r="C1055" t="s">
        <v>1497</v>
      </c>
      <c r="D1055" t="s">
        <v>46</v>
      </c>
      <c r="E1055">
        <v>20411454</v>
      </c>
      <c r="F1055" t="s">
        <v>2477</v>
      </c>
      <c r="G1055" t="s">
        <v>49</v>
      </c>
      <c r="H1055" t="s">
        <v>964</v>
      </c>
      <c r="I1055" s="1">
        <v>44562</v>
      </c>
      <c r="J1055" s="1">
        <v>45992</v>
      </c>
      <c r="K1055" t="s">
        <v>51</v>
      </c>
      <c r="L1055" t="s">
        <v>52</v>
      </c>
      <c r="M1055" s="2">
        <v>1</v>
      </c>
      <c r="N1055" s="2">
        <v>1</v>
      </c>
      <c r="P1055" s="2">
        <v>1.17</v>
      </c>
      <c r="Q1055" t="s">
        <v>1402</v>
      </c>
      <c r="R1055" t="s">
        <v>2445</v>
      </c>
    </row>
    <row r="1056" spans="1:18" x14ac:dyDescent="0.25">
      <c r="A1056" s="4">
        <v>101470645900</v>
      </c>
      <c r="B1056" s="4" t="str">
        <f t="shared" si="20"/>
        <v>101470645900OVR</v>
      </c>
      <c r="C1056" t="s">
        <v>1492</v>
      </c>
      <c r="D1056" t="s">
        <v>491</v>
      </c>
      <c r="E1056">
        <v>20411454</v>
      </c>
      <c r="F1056" t="s">
        <v>2477</v>
      </c>
      <c r="G1056" t="s">
        <v>49</v>
      </c>
      <c r="H1056" t="s">
        <v>1238</v>
      </c>
      <c r="I1056" s="1">
        <v>44531</v>
      </c>
      <c r="J1056" s="1">
        <v>45992</v>
      </c>
      <c r="K1056" t="s">
        <v>51</v>
      </c>
      <c r="L1056" t="s">
        <v>52</v>
      </c>
      <c r="M1056" s="2">
        <v>1</v>
      </c>
      <c r="N1056" s="2">
        <v>1</v>
      </c>
      <c r="P1056" s="2">
        <v>2</v>
      </c>
      <c r="Q1056" t="s">
        <v>1402</v>
      </c>
      <c r="R1056" t="s">
        <v>2445</v>
      </c>
    </row>
    <row r="1057" spans="1:18" x14ac:dyDescent="0.25">
      <c r="A1057" s="4">
        <v>101470020600</v>
      </c>
      <c r="B1057" s="4" t="str">
        <f t="shared" si="20"/>
        <v>101470020600OVR</v>
      </c>
      <c r="C1057" t="s">
        <v>1490</v>
      </c>
      <c r="D1057" t="s">
        <v>491</v>
      </c>
      <c r="E1057">
        <v>20411454</v>
      </c>
      <c r="F1057" t="s">
        <v>2477</v>
      </c>
      <c r="G1057" t="s">
        <v>49</v>
      </c>
      <c r="H1057" t="s">
        <v>1238</v>
      </c>
      <c r="I1057" s="1">
        <v>44501</v>
      </c>
      <c r="J1057" s="1">
        <v>45992</v>
      </c>
      <c r="K1057" t="s">
        <v>51</v>
      </c>
      <c r="L1057" t="s">
        <v>52</v>
      </c>
      <c r="M1057" s="2">
        <v>1</v>
      </c>
      <c r="N1057" s="2">
        <v>1</v>
      </c>
      <c r="P1057" s="2">
        <v>2</v>
      </c>
      <c r="Q1057" t="s">
        <v>1402</v>
      </c>
      <c r="R1057" t="s">
        <v>2445</v>
      </c>
    </row>
    <row r="1058" spans="1:18" x14ac:dyDescent="0.25">
      <c r="A1058" s="4">
        <v>101470294200</v>
      </c>
      <c r="B1058" s="4" t="str">
        <f t="shared" si="20"/>
        <v>101470294200OVR</v>
      </c>
      <c r="C1058" t="s">
        <v>1491</v>
      </c>
      <c r="D1058" t="s">
        <v>491</v>
      </c>
      <c r="E1058">
        <v>20411454</v>
      </c>
      <c r="F1058" t="s">
        <v>2477</v>
      </c>
      <c r="G1058" t="s">
        <v>49</v>
      </c>
      <c r="H1058" t="s">
        <v>1238</v>
      </c>
      <c r="I1058" s="1">
        <v>44501</v>
      </c>
      <c r="J1058" s="1">
        <v>45992</v>
      </c>
      <c r="K1058" t="s">
        <v>51</v>
      </c>
      <c r="L1058" t="s">
        <v>52</v>
      </c>
      <c r="M1058" s="2">
        <v>1</v>
      </c>
      <c r="N1058" s="2">
        <v>1</v>
      </c>
      <c r="P1058" s="2">
        <v>2</v>
      </c>
      <c r="Q1058" t="s">
        <v>1402</v>
      </c>
      <c r="R1058" t="s">
        <v>2445</v>
      </c>
    </row>
    <row r="1059" spans="1:18" x14ac:dyDescent="0.25">
      <c r="A1059" s="4">
        <v>101470696800</v>
      </c>
      <c r="B1059" s="4" t="str">
        <f t="shared" si="20"/>
        <v>101470696800OVR</v>
      </c>
      <c r="C1059" t="s">
        <v>1493</v>
      </c>
      <c r="D1059" t="s">
        <v>491</v>
      </c>
      <c r="E1059">
        <v>20411454</v>
      </c>
      <c r="F1059" t="s">
        <v>2477</v>
      </c>
      <c r="G1059" t="s">
        <v>49</v>
      </c>
      <c r="H1059" t="s">
        <v>1238</v>
      </c>
      <c r="I1059" s="1">
        <v>44501</v>
      </c>
      <c r="J1059" s="1">
        <v>45992</v>
      </c>
      <c r="K1059" t="s">
        <v>51</v>
      </c>
      <c r="L1059" t="s">
        <v>52</v>
      </c>
      <c r="M1059" s="2">
        <v>1</v>
      </c>
      <c r="N1059" s="2">
        <v>1</v>
      </c>
      <c r="P1059" s="2">
        <v>2</v>
      </c>
      <c r="Q1059" t="s">
        <v>1402</v>
      </c>
      <c r="R1059" t="s">
        <v>2445</v>
      </c>
    </row>
    <row r="1060" spans="1:18" x14ac:dyDescent="0.25">
      <c r="A1060" s="4">
        <v>101476005600</v>
      </c>
      <c r="B1060" s="4" t="str">
        <f t="shared" si="20"/>
        <v>101476005600OVR</v>
      </c>
      <c r="C1060" t="s">
        <v>1513</v>
      </c>
      <c r="D1060" t="s">
        <v>491</v>
      </c>
      <c r="E1060">
        <v>20411454</v>
      </c>
      <c r="F1060" t="s">
        <v>2477</v>
      </c>
      <c r="G1060" t="s">
        <v>49</v>
      </c>
      <c r="H1060" t="s">
        <v>1238</v>
      </c>
      <c r="I1060" s="1">
        <v>44501</v>
      </c>
      <c r="J1060" s="1">
        <v>45992</v>
      </c>
      <c r="K1060" t="s">
        <v>51</v>
      </c>
      <c r="L1060" t="s">
        <v>52</v>
      </c>
      <c r="M1060" s="2">
        <v>1</v>
      </c>
      <c r="N1060" s="2">
        <v>1</v>
      </c>
      <c r="P1060" s="2">
        <v>2</v>
      </c>
      <c r="Q1060" t="s">
        <v>1402</v>
      </c>
      <c r="R1060" t="s">
        <v>2445</v>
      </c>
    </row>
    <row r="1061" spans="1:18" x14ac:dyDescent="0.25">
      <c r="A1061" s="4">
        <v>101492555200</v>
      </c>
      <c r="B1061" s="4" t="str">
        <f t="shared" si="20"/>
        <v>101492555200OVR</v>
      </c>
      <c r="C1061" t="s">
        <v>1525</v>
      </c>
      <c r="D1061" t="s">
        <v>491</v>
      </c>
      <c r="E1061">
        <v>20411454</v>
      </c>
      <c r="F1061" t="s">
        <v>2477</v>
      </c>
      <c r="G1061" t="s">
        <v>49</v>
      </c>
      <c r="H1061" t="s">
        <v>964</v>
      </c>
      <c r="I1061" s="1">
        <v>44501</v>
      </c>
      <c r="J1061" s="1">
        <v>45992</v>
      </c>
      <c r="K1061" t="s">
        <v>51</v>
      </c>
      <c r="L1061" t="s">
        <v>52</v>
      </c>
      <c r="M1061" s="2">
        <v>1</v>
      </c>
      <c r="N1061" s="2">
        <v>1</v>
      </c>
      <c r="P1061" s="2">
        <v>1.17</v>
      </c>
      <c r="Q1061" t="s">
        <v>1402</v>
      </c>
      <c r="R1061" t="s">
        <v>2445</v>
      </c>
    </row>
    <row r="1062" spans="1:18" x14ac:dyDescent="0.25">
      <c r="A1062" s="4">
        <v>101460290100</v>
      </c>
      <c r="B1062" s="4" t="str">
        <f t="shared" si="20"/>
        <v>101460290100OVR</v>
      </c>
      <c r="C1062" t="s">
        <v>1488</v>
      </c>
      <c r="D1062" t="s">
        <v>491</v>
      </c>
      <c r="E1062">
        <v>20411454</v>
      </c>
      <c r="F1062" t="s">
        <v>2477</v>
      </c>
      <c r="G1062" t="s">
        <v>49</v>
      </c>
      <c r="H1062" t="s">
        <v>1238</v>
      </c>
      <c r="I1062" s="1">
        <v>44378</v>
      </c>
      <c r="J1062" s="1">
        <v>45992</v>
      </c>
      <c r="K1062" t="s">
        <v>51</v>
      </c>
      <c r="L1062" t="s">
        <v>52</v>
      </c>
      <c r="M1062" s="2">
        <v>1</v>
      </c>
      <c r="N1062" s="2">
        <v>1</v>
      </c>
      <c r="P1062" s="2">
        <v>2</v>
      </c>
      <c r="Q1062" t="s">
        <v>1402</v>
      </c>
      <c r="R1062" t="s">
        <v>2445</v>
      </c>
    </row>
    <row r="1063" spans="1:18" x14ac:dyDescent="0.25">
      <c r="A1063" s="4">
        <v>101462077200</v>
      </c>
      <c r="B1063" s="4" t="str">
        <f t="shared" si="20"/>
        <v>101462077200OVR</v>
      </c>
      <c r="C1063" t="s">
        <v>1489</v>
      </c>
      <c r="D1063" t="s">
        <v>491</v>
      </c>
      <c r="E1063">
        <v>20411454</v>
      </c>
      <c r="F1063" t="s">
        <v>2477</v>
      </c>
      <c r="G1063" t="s">
        <v>49</v>
      </c>
      <c r="H1063" t="s">
        <v>1238</v>
      </c>
      <c r="I1063" s="1">
        <v>44378</v>
      </c>
      <c r="J1063" s="1">
        <v>45992</v>
      </c>
      <c r="K1063" t="s">
        <v>51</v>
      </c>
      <c r="L1063" t="s">
        <v>52</v>
      </c>
      <c r="M1063" s="2">
        <v>1</v>
      </c>
      <c r="N1063" s="2">
        <v>1</v>
      </c>
      <c r="P1063" s="2">
        <v>2</v>
      </c>
      <c r="Q1063" t="s">
        <v>1402</v>
      </c>
      <c r="R1063" t="s">
        <v>2445</v>
      </c>
    </row>
    <row r="1064" spans="1:18" x14ac:dyDescent="0.25">
      <c r="A1064" s="4">
        <v>101212543700</v>
      </c>
      <c r="B1064" s="4" t="str">
        <f t="shared" si="20"/>
        <v>101212543700OVR</v>
      </c>
      <c r="C1064" t="s">
        <v>1467</v>
      </c>
      <c r="D1064" t="s">
        <v>491</v>
      </c>
      <c r="E1064">
        <v>20411454</v>
      </c>
      <c r="F1064" t="s">
        <v>2477</v>
      </c>
      <c r="G1064" t="s">
        <v>49</v>
      </c>
      <c r="H1064" t="s">
        <v>1238</v>
      </c>
      <c r="I1064" s="1">
        <v>44317</v>
      </c>
      <c r="J1064" s="1">
        <v>45992</v>
      </c>
      <c r="K1064" t="s">
        <v>51</v>
      </c>
      <c r="L1064" t="s">
        <v>52</v>
      </c>
      <c r="M1064" s="2">
        <v>1</v>
      </c>
      <c r="N1064" s="2">
        <v>1</v>
      </c>
      <c r="P1064" s="2">
        <v>2</v>
      </c>
      <c r="Q1064" t="s">
        <v>1402</v>
      </c>
      <c r="R1064" t="s">
        <v>2445</v>
      </c>
    </row>
    <row r="1065" spans="1:18" x14ac:dyDescent="0.25">
      <c r="A1065" s="4">
        <v>101458682200</v>
      </c>
      <c r="B1065" s="4" t="str">
        <f t="shared" si="20"/>
        <v>101458682200OVR</v>
      </c>
      <c r="C1065" t="s">
        <v>1486</v>
      </c>
      <c r="D1065" t="s">
        <v>491</v>
      </c>
      <c r="E1065">
        <v>20411454</v>
      </c>
      <c r="F1065" t="s">
        <v>2477</v>
      </c>
      <c r="G1065" t="s">
        <v>49</v>
      </c>
      <c r="H1065" t="s">
        <v>1238</v>
      </c>
      <c r="I1065" s="1">
        <v>44317</v>
      </c>
      <c r="J1065" s="1">
        <v>45992</v>
      </c>
      <c r="K1065" t="s">
        <v>51</v>
      </c>
      <c r="L1065" t="s">
        <v>52</v>
      </c>
      <c r="M1065" s="2">
        <v>1</v>
      </c>
      <c r="N1065" s="2">
        <v>1</v>
      </c>
      <c r="P1065" s="2">
        <v>2</v>
      </c>
      <c r="Q1065" t="s">
        <v>1402</v>
      </c>
      <c r="R1065" t="s">
        <v>2445</v>
      </c>
    </row>
    <row r="1066" spans="1:18" x14ac:dyDescent="0.25">
      <c r="A1066" s="4">
        <v>101453389700</v>
      </c>
      <c r="B1066" s="4" t="str">
        <f t="shared" si="20"/>
        <v>101453389700OVR</v>
      </c>
      <c r="C1066" t="s">
        <v>1484</v>
      </c>
      <c r="D1066" t="s">
        <v>491</v>
      </c>
      <c r="E1066">
        <v>20411454</v>
      </c>
      <c r="F1066" t="s">
        <v>2477</v>
      </c>
      <c r="G1066" t="s">
        <v>49</v>
      </c>
      <c r="H1066" t="s">
        <v>1238</v>
      </c>
      <c r="I1066" s="1">
        <v>44287</v>
      </c>
      <c r="J1066" s="1">
        <v>45992</v>
      </c>
      <c r="K1066" t="s">
        <v>51</v>
      </c>
      <c r="L1066" t="s">
        <v>52</v>
      </c>
      <c r="M1066" s="2">
        <v>1</v>
      </c>
      <c r="N1066" s="2">
        <v>1</v>
      </c>
      <c r="P1066" s="2">
        <v>2</v>
      </c>
      <c r="Q1066" t="s">
        <v>1402</v>
      </c>
      <c r="R1066" t="s">
        <v>2445</v>
      </c>
    </row>
    <row r="1067" spans="1:18" x14ac:dyDescent="0.25">
      <c r="A1067" s="4">
        <v>101209265600</v>
      </c>
      <c r="B1067" s="4" t="str">
        <f t="shared" si="20"/>
        <v>101209265600OVR</v>
      </c>
      <c r="C1067" t="s">
        <v>1461</v>
      </c>
      <c r="D1067" t="s">
        <v>491</v>
      </c>
      <c r="E1067">
        <v>20411454</v>
      </c>
      <c r="F1067" t="s">
        <v>2477</v>
      </c>
      <c r="G1067" t="s">
        <v>49</v>
      </c>
      <c r="H1067" t="s">
        <v>1238</v>
      </c>
      <c r="I1067" s="1">
        <v>44256</v>
      </c>
      <c r="J1067" s="1">
        <v>45992</v>
      </c>
      <c r="K1067" t="s">
        <v>51</v>
      </c>
      <c r="L1067" t="s">
        <v>52</v>
      </c>
      <c r="M1067" s="2">
        <v>1</v>
      </c>
      <c r="N1067" s="2">
        <v>1</v>
      </c>
      <c r="P1067" s="2">
        <v>2</v>
      </c>
      <c r="Q1067" t="s">
        <v>1402</v>
      </c>
      <c r="R1067" t="s">
        <v>2445</v>
      </c>
    </row>
    <row r="1068" spans="1:18" x14ac:dyDescent="0.25">
      <c r="A1068" s="4">
        <v>101209273900</v>
      </c>
      <c r="B1068" s="4" t="str">
        <f t="shared" si="20"/>
        <v>101209273900OVR</v>
      </c>
      <c r="C1068" t="s">
        <v>1462</v>
      </c>
      <c r="D1068" t="s">
        <v>491</v>
      </c>
      <c r="E1068">
        <v>20411454</v>
      </c>
      <c r="F1068" t="s">
        <v>2477</v>
      </c>
      <c r="G1068" t="s">
        <v>49</v>
      </c>
      <c r="H1068" t="s">
        <v>1238</v>
      </c>
      <c r="I1068" s="1">
        <v>44256</v>
      </c>
      <c r="J1068" s="1">
        <v>45992</v>
      </c>
      <c r="K1068" t="s">
        <v>51</v>
      </c>
      <c r="L1068" t="s">
        <v>52</v>
      </c>
      <c r="M1068" s="2">
        <v>1</v>
      </c>
      <c r="N1068" s="2">
        <v>1</v>
      </c>
      <c r="P1068" s="2">
        <v>2</v>
      </c>
      <c r="Q1068" t="s">
        <v>1402</v>
      </c>
      <c r="R1068" t="s">
        <v>2445</v>
      </c>
    </row>
    <row r="1069" spans="1:18" x14ac:dyDescent="0.25">
      <c r="A1069" s="4">
        <v>101260351600</v>
      </c>
      <c r="B1069" s="4" t="str">
        <f t="shared" si="20"/>
        <v>101260351600OVR</v>
      </c>
      <c r="C1069" t="s">
        <v>1468</v>
      </c>
      <c r="D1069" t="s">
        <v>46</v>
      </c>
      <c r="E1069">
        <v>20411454</v>
      </c>
      <c r="F1069" t="s">
        <v>2477</v>
      </c>
      <c r="G1069" t="s">
        <v>49</v>
      </c>
      <c r="H1069" t="s">
        <v>1238</v>
      </c>
      <c r="I1069" s="1">
        <v>44256</v>
      </c>
      <c r="J1069" s="1">
        <v>45992</v>
      </c>
      <c r="K1069" t="s">
        <v>51</v>
      </c>
      <c r="L1069" t="s">
        <v>52</v>
      </c>
      <c r="M1069" s="2">
        <v>1</v>
      </c>
      <c r="N1069" s="2">
        <v>1</v>
      </c>
      <c r="P1069" s="2">
        <v>2</v>
      </c>
      <c r="Q1069" t="s">
        <v>1402</v>
      </c>
      <c r="R1069" t="s">
        <v>2445</v>
      </c>
    </row>
    <row r="1070" spans="1:18" x14ac:dyDescent="0.25">
      <c r="A1070" s="4">
        <v>101453387000</v>
      </c>
      <c r="B1070" s="4" t="str">
        <f t="shared" si="20"/>
        <v>101453387000OVR</v>
      </c>
      <c r="C1070" t="s">
        <v>1483</v>
      </c>
      <c r="D1070" t="s">
        <v>491</v>
      </c>
      <c r="E1070">
        <v>20411454</v>
      </c>
      <c r="F1070" t="s">
        <v>2477</v>
      </c>
      <c r="G1070" t="s">
        <v>49</v>
      </c>
      <c r="H1070" t="s">
        <v>1238</v>
      </c>
      <c r="I1070" s="1">
        <v>44256</v>
      </c>
      <c r="J1070" s="1">
        <v>45992</v>
      </c>
      <c r="K1070" t="s">
        <v>51</v>
      </c>
      <c r="L1070" t="s">
        <v>52</v>
      </c>
      <c r="M1070" s="2">
        <v>1</v>
      </c>
      <c r="N1070" s="2">
        <v>1</v>
      </c>
      <c r="P1070" s="2">
        <v>2</v>
      </c>
      <c r="Q1070" t="s">
        <v>1402</v>
      </c>
      <c r="R1070" t="s">
        <v>2445</v>
      </c>
    </row>
    <row r="1071" spans="1:18" x14ac:dyDescent="0.25">
      <c r="A1071" s="4">
        <v>101189072000</v>
      </c>
      <c r="B1071" s="4" t="str">
        <f t="shared" si="20"/>
        <v>101189072000OVR</v>
      </c>
      <c r="C1071" t="s">
        <v>1447</v>
      </c>
      <c r="D1071" t="s">
        <v>491</v>
      </c>
      <c r="E1071">
        <v>20411454</v>
      </c>
      <c r="F1071" t="s">
        <v>2477</v>
      </c>
      <c r="G1071" t="s">
        <v>49</v>
      </c>
      <c r="H1071" t="s">
        <v>1238</v>
      </c>
      <c r="I1071" s="1">
        <v>44197</v>
      </c>
      <c r="J1071" s="1">
        <v>45992</v>
      </c>
      <c r="K1071" t="s">
        <v>51</v>
      </c>
      <c r="L1071" t="s">
        <v>52</v>
      </c>
      <c r="M1071" s="2">
        <v>1</v>
      </c>
      <c r="N1071" s="2">
        <v>1</v>
      </c>
      <c r="P1071" s="2">
        <v>2</v>
      </c>
      <c r="Q1071" t="s">
        <v>1402</v>
      </c>
      <c r="R1071" t="s">
        <v>2445</v>
      </c>
    </row>
    <row r="1072" spans="1:18" x14ac:dyDescent="0.25">
      <c r="A1072" s="4">
        <v>101191675700</v>
      </c>
      <c r="B1072" s="4" t="str">
        <f t="shared" si="20"/>
        <v>101191675700OVR</v>
      </c>
      <c r="C1072" t="s">
        <v>1448</v>
      </c>
      <c r="D1072" t="s">
        <v>491</v>
      </c>
      <c r="E1072">
        <v>20411454</v>
      </c>
      <c r="F1072" t="s">
        <v>2477</v>
      </c>
      <c r="G1072" t="s">
        <v>1262</v>
      </c>
      <c r="H1072" t="s">
        <v>1238</v>
      </c>
      <c r="I1072" s="1">
        <v>44197</v>
      </c>
      <c r="J1072" s="1">
        <v>45992</v>
      </c>
      <c r="K1072" t="s">
        <v>51</v>
      </c>
      <c r="L1072" t="s">
        <v>52</v>
      </c>
      <c r="M1072" s="2">
        <v>1</v>
      </c>
      <c r="N1072" s="2">
        <v>1</v>
      </c>
      <c r="P1072" s="2">
        <v>2</v>
      </c>
      <c r="Q1072" t="s">
        <v>1402</v>
      </c>
      <c r="R1072" t="s">
        <v>2445</v>
      </c>
    </row>
    <row r="1073" spans="1:18" x14ac:dyDescent="0.25">
      <c r="A1073" s="4">
        <v>101193630100</v>
      </c>
      <c r="B1073" s="4" t="str">
        <f t="shared" si="20"/>
        <v>101193630100OVR</v>
      </c>
      <c r="C1073" t="s">
        <v>1449</v>
      </c>
      <c r="D1073" t="s">
        <v>491</v>
      </c>
      <c r="E1073">
        <v>20411454</v>
      </c>
      <c r="F1073" t="s">
        <v>2477</v>
      </c>
      <c r="G1073" t="s">
        <v>49</v>
      </c>
      <c r="H1073" t="s">
        <v>1238</v>
      </c>
      <c r="I1073" s="1">
        <v>44197</v>
      </c>
      <c r="J1073" s="1">
        <v>45992</v>
      </c>
      <c r="K1073" t="s">
        <v>51</v>
      </c>
      <c r="L1073" t="s">
        <v>52</v>
      </c>
      <c r="M1073" s="2">
        <v>1</v>
      </c>
      <c r="N1073" s="2">
        <v>1</v>
      </c>
      <c r="P1073" s="2">
        <v>2</v>
      </c>
      <c r="Q1073" t="s">
        <v>1402</v>
      </c>
      <c r="R1073" t="s">
        <v>2445</v>
      </c>
    </row>
    <row r="1074" spans="1:18" x14ac:dyDescent="0.25">
      <c r="A1074" s="4">
        <v>101200378400</v>
      </c>
      <c r="B1074" s="4" t="str">
        <f t="shared" si="20"/>
        <v>101200378400OVR</v>
      </c>
      <c r="C1074" t="s">
        <v>1452</v>
      </c>
      <c r="D1074" t="s">
        <v>491</v>
      </c>
      <c r="E1074">
        <v>20411454</v>
      </c>
      <c r="F1074" t="s">
        <v>2477</v>
      </c>
      <c r="G1074" t="s">
        <v>49</v>
      </c>
      <c r="H1074" t="s">
        <v>1238</v>
      </c>
      <c r="I1074" s="1">
        <v>44197</v>
      </c>
      <c r="J1074" s="1">
        <v>45992</v>
      </c>
      <c r="K1074" t="s">
        <v>51</v>
      </c>
      <c r="L1074" t="s">
        <v>52</v>
      </c>
      <c r="M1074" s="2">
        <v>1</v>
      </c>
      <c r="N1074" s="2">
        <v>1</v>
      </c>
      <c r="P1074" s="2">
        <v>2</v>
      </c>
      <c r="Q1074" t="s">
        <v>1402</v>
      </c>
      <c r="R1074" t="s">
        <v>2445</v>
      </c>
    </row>
    <row r="1075" spans="1:18" x14ac:dyDescent="0.25">
      <c r="A1075" s="4">
        <v>101201876300</v>
      </c>
      <c r="B1075" s="4" t="str">
        <f t="shared" si="20"/>
        <v>101201876300OVR</v>
      </c>
      <c r="C1075" t="s">
        <v>1453</v>
      </c>
      <c r="D1075" t="s">
        <v>491</v>
      </c>
      <c r="E1075">
        <v>20411454</v>
      </c>
      <c r="F1075" t="s">
        <v>2477</v>
      </c>
      <c r="G1075" t="s">
        <v>49</v>
      </c>
      <c r="H1075" t="s">
        <v>1238</v>
      </c>
      <c r="I1075" s="1">
        <v>44197</v>
      </c>
      <c r="J1075" s="1">
        <v>45992</v>
      </c>
      <c r="K1075" t="s">
        <v>51</v>
      </c>
      <c r="L1075" t="s">
        <v>52</v>
      </c>
      <c r="M1075" s="2">
        <v>1</v>
      </c>
      <c r="N1075" s="2">
        <v>1</v>
      </c>
      <c r="P1075" s="2">
        <v>2</v>
      </c>
      <c r="Q1075" t="s">
        <v>1402</v>
      </c>
      <c r="R1075" t="s">
        <v>2445</v>
      </c>
    </row>
    <row r="1076" spans="1:18" x14ac:dyDescent="0.25">
      <c r="A1076" s="4">
        <v>101201921800</v>
      </c>
      <c r="B1076" s="4" t="str">
        <f t="shared" ref="B1076:B1116" si="21">CONCATENATE(A1076,"OVR")</f>
        <v>101201921800OVR</v>
      </c>
      <c r="C1076" t="s">
        <v>1454</v>
      </c>
      <c r="D1076" t="s">
        <v>491</v>
      </c>
      <c r="E1076">
        <v>20411454</v>
      </c>
      <c r="F1076" t="s">
        <v>2477</v>
      </c>
      <c r="G1076" t="s">
        <v>49</v>
      </c>
      <c r="H1076" t="s">
        <v>1238</v>
      </c>
      <c r="I1076" s="1">
        <v>44197</v>
      </c>
      <c r="J1076" s="1">
        <v>45992</v>
      </c>
      <c r="K1076" t="s">
        <v>51</v>
      </c>
      <c r="L1076" t="s">
        <v>52</v>
      </c>
      <c r="M1076" s="2">
        <v>1</v>
      </c>
      <c r="N1076" s="2">
        <v>1</v>
      </c>
      <c r="P1076" s="2">
        <v>2</v>
      </c>
      <c r="Q1076" t="s">
        <v>1402</v>
      </c>
      <c r="R1076" t="s">
        <v>2445</v>
      </c>
    </row>
    <row r="1077" spans="1:18" x14ac:dyDescent="0.25">
      <c r="A1077" s="4">
        <v>101204412700</v>
      </c>
      <c r="B1077" s="4" t="str">
        <f t="shared" si="21"/>
        <v>101204412700OVR</v>
      </c>
      <c r="C1077" t="s">
        <v>1456</v>
      </c>
      <c r="D1077" t="s">
        <v>491</v>
      </c>
      <c r="E1077">
        <v>20411454</v>
      </c>
      <c r="F1077" t="s">
        <v>2477</v>
      </c>
      <c r="G1077" t="s">
        <v>49</v>
      </c>
      <c r="H1077" t="s">
        <v>1238</v>
      </c>
      <c r="I1077" s="1">
        <v>44197</v>
      </c>
      <c r="J1077" s="1">
        <v>45992</v>
      </c>
      <c r="K1077" t="s">
        <v>51</v>
      </c>
      <c r="L1077" t="s">
        <v>52</v>
      </c>
      <c r="M1077" s="2">
        <v>1</v>
      </c>
      <c r="N1077" s="2">
        <v>1</v>
      </c>
      <c r="P1077" s="2">
        <v>2</v>
      </c>
      <c r="Q1077" t="s">
        <v>1402</v>
      </c>
      <c r="R1077" t="s">
        <v>2445</v>
      </c>
    </row>
    <row r="1078" spans="1:18" x14ac:dyDescent="0.25">
      <c r="A1078" s="4">
        <v>101204473000</v>
      </c>
      <c r="B1078" s="4" t="str">
        <f t="shared" si="21"/>
        <v>101204473000OVR</v>
      </c>
      <c r="C1078" t="s">
        <v>1457</v>
      </c>
      <c r="D1078" t="s">
        <v>491</v>
      </c>
      <c r="E1078">
        <v>20411454</v>
      </c>
      <c r="F1078" t="s">
        <v>2477</v>
      </c>
      <c r="G1078" t="s">
        <v>49</v>
      </c>
      <c r="H1078" t="s">
        <v>1238</v>
      </c>
      <c r="I1078" s="1">
        <v>44197</v>
      </c>
      <c r="J1078" s="1">
        <v>45992</v>
      </c>
      <c r="K1078" t="s">
        <v>51</v>
      </c>
      <c r="L1078" t="s">
        <v>52</v>
      </c>
      <c r="M1078" s="2">
        <v>1</v>
      </c>
      <c r="N1078" s="2">
        <v>1</v>
      </c>
      <c r="P1078" s="2">
        <v>2</v>
      </c>
      <c r="Q1078" t="s">
        <v>1402</v>
      </c>
      <c r="R1078" t="s">
        <v>2445</v>
      </c>
    </row>
    <row r="1079" spans="1:18" x14ac:dyDescent="0.25">
      <c r="A1079" s="4">
        <v>101205114900</v>
      </c>
      <c r="B1079" s="4" t="str">
        <f t="shared" si="21"/>
        <v>101205114900OVR</v>
      </c>
      <c r="C1079" t="s">
        <v>1458</v>
      </c>
      <c r="D1079" t="s">
        <v>491</v>
      </c>
      <c r="E1079">
        <v>20411454</v>
      </c>
      <c r="F1079" t="s">
        <v>2477</v>
      </c>
      <c r="G1079" t="s">
        <v>49</v>
      </c>
      <c r="H1079" t="s">
        <v>1238</v>
      </c>
      <c r="I1079" s="1">
        <v>44197</v>
      </c>
      <c r="J1079" s="1">
        <v>45992</v>
      </c>
      <c r="K1079" t="s">
        <v>51</v>
      </c>
      <c r="L1079" t="s">
        <v>52</v>
      </c>
      <c r="M1079" s="2">
        <v>1</v>
      </c>
      <c r="N1079" s="2">
        <v>1</v>
      </c>
      <c r="P1079" s="2">
        <v>2</v>
      </c>
      <c r="Q1079" t="s">
        <v>1402</v>
      </c>
      <c r="R1079" t="s">
        <v>2445</v>
      </c>
    </row>
    <row r="1080" spans="1:18" x14ac:dyDescent="0.25">
      <c r="A1080" s="4">
        <v>101205241100</v>
      </c>
      <c r="B1080" s="4" t="str">
        <f t="shared" si="21"/>
        <v>101205241100OVR</v>
      </c>
      <c r="C1080" t="s">
        <v>1459</v>
      </c>
      <c r="D1080" t="s">
        <v>491</v>
      </c>
      <c r="E1080">
        <v>20411454</v>
      </c>
      <c r="F1080" t="s">
        <v>2477</v>
      </c>
      <c r="G1080" t="s">
        <v>49</v>
      </c>
      <c r="H1080" t="s">
        <v>1238</v>
      </c>
      <c r="I1080" s="1">
        <v>44197</v>
      </c>
      <c r="J1080" s="1">
        <v>45992</v>
      </c>
      <c r="K1080" t="s">
        <v>51</v>
      </c>
      <c r="L1080" t="s">
        <v>52</v>
      </c>
      <c r="M1080" s="2">
        <v>1</v>
      </c>
      <c r="N1080" s="2">
        <v>1</v>
      </c>
      <c r="P1080" s="2">
        <v>2</v>
      </c>
      <c r="Q1080" t="s">
        <v>1402</v>
      </c>
      <c r="R1080" t="s">
        <v>2445</v>
      </c>
    </row>
    <row r="1081" spans="1:18" x14ac:dyDescent="0.25">
      <c r="A1081" s="4">
        <v>101202905500</v>
      </c>
      <c r="B1081" s="4" t="str">
        <f t="shared" si="21"/>
        <v>101202905500OVR</v>
      </c>
      <c r="C1081" t="s">
        <v>1455</v>
      </c>
      <c r="D1081" t="s">
        <v>491</v>
      </c>
      <c r="E1081">
        <v>20411454</v>
      </c>
      <c r="F1081" t="s">
        <v>2477</v>
      </c>
      <c r="G1081" t="s">
        <v>49</v>
      </c>
      <c r="H1081" t="s">
        <v>1238</v>
      </c>
      <c r="I1081" s="1">
        <v>44166</v>
      </c>
      <c r="J1081" s="1">
        <v>45992</v>
      </c>
      <c r="K1081" t="s">
        <v>51</v>
      </c>
      <c r="L1081" t="s">
        <v>52</v>
      </c>
      <c r="M1081" s="2">
        <v>1</v>
      </c>
      <c r="N1081" s="2">
        <v>1</v>
      </c>
      <c r="P1081" s="2">
        <v>2</v>
      </c>
      <c r="Q1081" t="s">
        <v>1402</v>
      </c>
      <c r="R1081" t="s">
        <v>2445</v>
      </c>
    </row>
    <row r="1082" spans="1:18" x14ac:dyDescent="0.25">
      <c r="A1082" s="4">
        <v>101388566000</v>
      </c>
      <c r="B1082" s="4" t="str">
        <f t="shared" si="21"/>
        <v>101388566000OVR</v>
      </c>
      <c r="C1082" t="s">
        <v>1482</v>
      </c>
      <c r="D1082" t="s">
        <v>46</v>
      </c>
      <c r="E1082">
        <v>20411454</v>
      </c>
      <c r="F1082" t="s">
        <v>2477</v>
      </c>
      <c r="G1082" t="s">
        <v>49</v>
      </c>
      <c r="H1082" t="s">
        <v>1238</v>
      </c>
      <c r="I1082" s="1">
        <v>44136</v>
      </c>
      <c r="J1082" s="1">
        <v>45992</v>
      </c>
      <c r="K1082" t="s">
        <v>51</v>
      </c>
      <c r="L1082" t="s">
        <v>52</v>
      </c>
      <c r="M1082" s="2">
        <v>1</v>
      </c>
      <c r="N1082" s="2">
        <v>1</v>
      </c>
      <c r="P1082" s="2">
        <v>2</v>
      </c>
      <c r="Q1082" t="s">
        <v>1402</v>
      </c>
      <c r="R1082" t="s">
        <v>2445</v>
      </c>
    </row>
    <row r="1083" spans="1:18" x14ac:dyDescent="0.25">
      <c r="A1083" s="4">
        <v>101079484800</v>
      </c>
      <c r="B1083" s="4" t="str">
        <f t="shared" si="21"/>
        <v>101079484800OVR</v>
      </c>
      <c r="C1083" t="s">
        <v>1425</v>
      </c>
      <c r="D1083" t="s">
        <v>491</v>
      </c>
      <c r="E1083">
        <v>20411454</v>
      </c>
      <c r="F1083" t="s">
        <v>2477</v>
      </c>
      <c r="G1083" t="s">
        <v>1262</v>
      </c>
      <c r="H1083" t="s">
        <v>1238</v>
      </c>
      <c r="I1083" s="1">
        <v>44044</v>
      </c>
      <c r="J1083" s="1">
        <v>45992</v>
      </c>
      <c r="K1083" t="s">
        <v>51</v>
      </c>
      <c r="L1083" t="s">
        <v>52</v>
      </c>
      <c r="M1083" s="2">
        <v>1</v>
      </c>
      <c r="N1083" s="2">
        <v>1</v>
      </c>
      <c r="P1083" s="2">
        <v>2</v>
      </c>
      <c r="Q1083" t="s">
        <v>1402</v>
      </c>
      <c r="R1083" t="s">
        <v>2445</v>
      </c>
    </row>
    <row r="1084" spans="1:18" x14ac:dyDescent="0.25">
      <c r="A1084" s="4">
        <v>101185004500</v>
      </c>
      <c r="B1084" s="4" t="str">
        <f t="shared" si="21"/>
        <v>101185004500OVR</v>
      </c>
      <c r="C1084" t="s">
        <v>1446</v>
      </c>
      <c r="D1084" t="s">
        <v>491</v>
      </c>
      <c r="E1084">
        <v>20411454</v>
      </c>
      <c r="F1084" t="s">
        <v>2477</v>
      </c>
      <c r="G1084" t="s">
        <v>49</v>
      </c>
      <c r="H1084" t="s">
        <v>1238</v>
      </c>
      <c r="I1084" s="1">
        <v>44044</v>
      </c>
      <c r="J1084" s="1">
        <v>45992</v>
      </c>
      <c r="K1084" t="s">
        <v>51</v>
      </c>
      <c r="L1084" t="s">
        <v>52</v>
      </c>
      <c r="M1084" s="2">
        <v>1</v>
      </c>
      <c r="N1084" s="2">
        <v>1</v>
      </c>
      <c r="P1084" s="2">
        <v>2</v>
      </c>
      <c r="Q1084" t="s">
        <v>1402</v>
      </c>
      <c r="R1084" t="s">
        <v>2445</v>
      </c>
    </row>
    <row r="1085" spans="1:18" x14ac:dyDescent="0.25">
      <c r="A1085" s="4">
        <v>101049995200</v>
      </c>
      <c r="B1085" s="4" t="str">
        <f t="shared" si="21"/>
        <v>101049995200OVR</v>
      </c>
      <c r="C1085" t="s">
        <v>1404</v>
      </c>
      <c r="D1085" t="s">
        <v>491</v>
      </c>
      <c r="E1085">
        <v>20411454</v>
      </c>
      <c r="F1085" t="s">
        <v>2477</v>
      </c>
      <c r="G1085" t="s">
        <v>49</v>
      </c>
      <c r="H1085" t="s">
        <v>1238</v>
      </c>
      <c r="I1085" s="1">
        <v>43922</v>
      </c>
      <c r="J1085" s="1">
        <v>45992</v>
      </c>
      <c r="K1085" t="s">
        <v>51</v>
      </c>
      <c r="L1085" t="s">
        <v>52</v>
      </c>
      <c r="M1085" s="2">
        <v>1</v>
      </c>
      <c r="N1085" s="2">
        <v>1</v>
      </c>
      <c r="P1085" s="2">
        <v>2</v>
      </c>
      <c r="Q1085" t="s">
        <v>1402</v>
      </c>
      <c r="R1085" t="s">
        <v>2445</v>
      </c>
    </row>
    <row r="1086" spans="1:18" x14ac:dyDescent="0.25">
      <c r="A1086" s="4">
        <v>101078984800</v>
      </c>
      <c r="B1086" s="4" t="str">
        <f t="shared" si="21"/>
        <v>101078984800OVR</v>
      </c>
      <c r="C1086" t="s">
        <v>1424</v>
      </c>
      <c r="D1086" t="s">
        <v>491</v>
      </c>
      <c r="E1086">
        <v>20411454</v>
      </c>
      <c r="F1086" t="s">
        <v>2477</v>
      </c>
      <c r="G1086" t="s">
        <v>49</v>
      </c>
      <c r="H1086" t="s">
        <v>1238</v>
      </c>
      <c r="I1086" s="1">
        <v>43922</v>
      </c>
      <c r="J1086" s="1">
        <v>45992</v>
      </c>
      <c r="K1086" t="s">
        <v>51</v>
      </c>
      <c r="L1086" t="s">
        <v>52</v>
      </c>
      <c r="M1086" s="2">
        <v>1</v>
      </c>
      <c r="N1086" s="2">
        <v>1</v>
      </c>
      <c r="P1086" s="2">
        <v>2</v>
      </c>
      <c r="Q1086" t="s">
        <v>1402</v>
      </c>
      <c r="R1086" t="s">
        <v>2445</v>
      </c>
    </row>
    <row r="1087" spans="1:18" x14ac:dyDescent="0.25">
      <c r="A1087" s="4">
        <v>101180383800</v>
      </c>
      <c r="B1087" s="4" t="str">
        <f t="shared" si="21"/>
        <v>101180383800OVR</v>
      </c>
      <c r="C1087" t="s">
        <v>1444</v>
      </c>
      <c r="D1087" t="s">
        <v>491</v>
      </c>
      <c r="E1087">
        <v>20411454</v>
      </c>
      <c r="F1087" t="s">
        <v>2477</v>
      </c>
      <c r="G1087" t="s">
        <v>49</v>
      </c>
      <c r="H1087" t="s">
        <v>1238</v>
      </c>
      <c r="I1087" s="1">
        <v>43922</v>
      </c>
      <c r="J1087" s="1">
        <v>45992</v>
      </c>
      <c r="K1087" t="s">
        <v>51</v>
      </c>
      <c r="L1087" t="s">
        <v>52</v>
      </c>
      <c r="M1087" s="2">
        <v>1</v>
      </c>
      <c r="N1087" s="2">
        <v>1</v>
      </c>
      <c r="P1087" s="2">
        <v>2</v>
      </c>
      <c r="Q1087" t="s">
        <v>1402</v>
      </c>
      <c r="R1087" t="s">
        <v>2445</v>
      </c>
    </row>
    <row r="1088" spans="1:18" x14ac:dyDescent="0.25">
      <c r="A1088" s="4">
        <v>101066997100</v>
      </c>
      <c r="B1088" s="4" t="str">
        <f t="shared" si="21"/>
        <v>101066997100OVR</v>
      </c>
      <c r="C1088" t="s">
        <v>1421</v>
      </c>
      <c r="D1088" t="s">
        <v>491</v>
      </c>
      <c r="E1088">
        <v>20411454</v>
      </c>
      <c r="F1088" t="s">
        <v>2477</v>
      </c>
      <c r="G1088" t="s">
        <v>49</v>
      </c>
      <c r="H1088" t="s">
        <v>1238</v>
      </c>
      <c r="I1088" s="1">
        <v>43891</v>
      </c>
      <c r="J1088" s="1">
        <v>45992</v>
      </c>
      <c r="K1088" t="s">
        <v>51</v>
      </c>
      <c r="L1088" t="s">
        <v>52</v>
      </c>
      <c r="M1088" s="2">
        <v>1</v>
      </c>
      <c r="N1088" s="2">
        <v>1</v>
      </c>
      <c r="P1088" s="2">
        <v>2</v>
      </c>
      <c r="Q1088" t="s">
        <v>1402</v>
      </c>
      <c r="R1088" t="s">
        <v>2445</v>
      </c>
    </row>
    <row r="1089" spans="1:40" x14ac:dyDescent="0.25">
      <c r="A1089" s="4">
        <v>101053757200</v>
      </c>
      <c r="B1089" s="4" t="str">
        <f t="shared" si="21"/>
        <v>101053757200OVR</v>
      </c>
      <c r="C1089" t="s">
        <v>1409</v>
      </c>
      <c r="D1089" t="s">
        <v>491</v>
      </c>
      <c r="E1089">
        <v>20411454</v>
      </c>
      <c r="F1089" t="s">
        <v>2477</v>
      </c>
      <c r="G1089" t="s">
        <v>49</v>
      </c>
      <c r="H1089" t="s">
        <v>1238</v>
      </c>
      <c r="I1089" s="1">
        <v>43862</v>
      </c>
      <c r="J1089" s="1">
        <v>45992</v>
      </c>
      <c r="K1089" t="s">
        <v>51</v>
      </c>
      <c r="L1089" t="s">
        <v>52</v>
      </c>
      <c r="M1089" s="2">
        <v>1</v>
      </c>
      <c r="N1089" s="2">
        <v>1</v>
      </c>
      <c r="P1089" s="2">
        <v>2</v>
      </c>
      <c r="Q1089" t="s">
        <v>1402</v>
      </c>
      <c r="R1089" t="s">
        <v>2445</v>
      </c>
    </row>
    <row r="1090" spans="1:40" x14ac:dyDescent="0.25">
      <c r="A1090" s="4">
        <v>101137592300</v>
      </c>
      <c r="B1090" s="4" t="str">
        <f t="shared" si="21"/>
        <v>101137592300OVR</v>
      </c>
      <c r="C1090" t="s">
        <v>1442</v>
      </c>
      <c r="D1090" t="s">
        <v>491</v>
      </c>
      <c r="E1090">
        <v>20411454</v>
      </c>
      <c r="F1090" t="s">
        <v>2477</v>
      </c>
      <c r="G1090" t="s">
        <v>49</v>
      </c>
      <c r="H1090" t="s">
        <v>1238</v>
      </c>
      <c r="I1090" s="1">
        <v>43862</v>
      </c>
      <c r="J1090" s="1">
        <v>45992</v>
      </c>
      <c r="K1090" t="s">
        <v>51</v>
      </c>
      <c r="L1090" t="s">
        <v>52</v>
      </c>
      <c r="M1090" s="2">
        <v>1</v>
      </c>
      <c r="N1090" s="2">
        <v>1</v>
      </c>
      <c r="P1090" s="2">
        <v>2</v>
      </c>
      <c r="Q1090" t="s">
        <v>1402</v>
      </c>
      <c r="R1090" t="s">
        <v>2445</v>
      </c>
    </row>
    <row r="1091" spans="1:40" x14ac:dyDescent="0.25">
      <c r="A1091" s="4">
        <v>101063380800</v>
      </c>
      <c r="B1091" s="4" t="str">
        <f t="shared" si="21"/>
        <v>101063380800OVR</v>
      </c>
      <c r="C1091" t="s">
        <v>1419</v>
      </c>
      <c r="D1091" t="s">
        <v>491</v>
      </c>
      <c r="E1091">
        <v>20411454</v>
      </c>
      <c r="F1091" t="s">
        <v>2477</v>
      </c>
      <c r="G1091" t="s">
        <v>49</v>
      </c>
      <c r="H1091" t="s">
        <v>1238</v>
      </c>
      <c r="I1091" s="1">
        <v>43831</v>
      </c>
      <c r="J1091" s="1">
        <v>45992</v>
      </c>
      <c r="K1091" t="s">
        <v>51</v>
      </c>
      <c r="L1091" t="s">
        <v>52</v>
      </c>
      <c r="M1091" s="2">
        <v>1</v>
      </c>
      <c r="N1091" s="2">
        <v>1</v>
      </c>
      <c r="P1091" s="2">
        <v>2</v>
      </c>
      <c r="Q1091" t="s">
        <v>1402</v>
      </c>
      <c r="R1091" t="s">
        <v>2445</v>
      </c>
    </row>
    <row r="1092" spans="1:40" x14ac:dyDescent="0.25">
      <c r="A1092" s="4">
        <v>101108661400</v>
      </c>
      <c r="B1092" s="4" t="str">
        <f t="shared" si="21"/>
        <v>101108661400OVR</v>
      </c>
      <c r="C1092" t="s">
        <v>1433</v>
      </c>
      <c r="D1092" t="s">
        <v>491</v>
      </c>
      <c r="E1092">
        <v>20411454</v>
      </c>
      <c r="F1092" t="s">
        <v>2477</v>
      </c>
      <c r="G1092" t="s">
        <v>49</v>
      </c>
      <c r="H1092" t="s">
        <v>1238</v>
      </c>
      <c r="I1092" s="1">
        <v>43831</v>
      </c>
      <c r="J1092" s="1">
        <v>45992</v>
      </c>
      <c r="K1092" t="s">
        <v>51</v>
      </c>
      <c r="L1092" t="s">
        <v>52</v>
      </c>
      <c r="M1092" s="2">
        <v>1</v>
      </c>
      <c r="N1092" s="2">
        <v>1</v>
      </c>
      <c r="P1092" s="2">
        <v>2</v>
      </c>
      <c r="Q1092" t="s">
        <v>1402</v>
      </c>
      <c r="R1092" t="s">
        <v>2445</v>
      </c>
    </row>
    <row r="1093" spans="1:40" x14ac:dyDescent="0.25">
      <c r="A1093" s="4">
        <v>101109076200</v>
      </c>
      <c r="B1093" s="4" t="str">
        <f t="shared" si="21"/>
        <v>101109076200OVR</v>
      </c>
      <c r="C1093" t="s">
        <v>1434</v>
      </c>
      <c r="D1093" t="s">
        <v>491</v>
      </c>
      <c r="E1093">
        <v>20411454</v>
      </c>
      <c r="F1093" t="s">
        <v>2477</v>
      </c>
      <c r="G1093" t="s">
        <v>49</v>
      </c>
      <c r="H1093" t="s">
        <v>1238</v>
      </c>
      <c r="I1093" s="1">
        <v>43831</v>
      </c>
      <c r="J1093" s="1">
        <v>45992</v>
      </c>
      <c r="K1093" t="s">
        <v>51</v>
      </c>
      <c r="L1093" t="s">
        <v>52</v>
      </c>
      <c r="M1093" s="2">
        <v>1</v>
      </c>
      <c r="N1093" s="2">
        <v>1</v>
      </c>
      <c r="P1093" s="2">
        <v>2</v>
      </c>
      <c r="Q1093" t="s">
        <v>1402</v>
      </c>
      <c r="R1093" t="s">
        <v>2445</v>
      </c>
    </row>
    <row r="1094" spans="1:40" s="6" customFormat="1" x14ac:dyDescent="0.25">
      <c r="A1094" s="4">
        <v>101109815100</v>
      </c>
      <c r="B1094" s="4" t="str">
        <f t="shared" si="21"/>
        <v>101109815100OVR</v>
      </c>
      <c r="C1094" t="s">
        <v>1435</v>
      </c>
      <c r="D1094" t="s">
        <v>491</v>
      </c>
      <c r="E1094">
        <v>20411454</v>
      </c>
      <c r="F1094" t="s">
        <v>2477</v>
      </c>
      <c r="G1094" t="s">
        <v>49</v>
      </c>
      <c r="H1094" t="s">
        <v>1238</v>
      </c>
      <c r="I1094" s="1">
        <v>43831</v>
      </c>
      <c r="J1094" s="1">
        <v>45992</v>
      </c>
      <c r="K1094" t="s">
        <v>51</v>
      </c>
      <c r="L1094" t="s">
        <v>52</v>
      </c>
      <c r="M1094" s="2">
        <v>1</v>
      </c>
      <c r="N1094" s="2">
        <v>1</v>
      </c>
      <c r="O1094"/>
      <c r="P1094" s="2">
        <v>2</v>
      </c>
      <c r="Q1094" t="s">
        <v>1402</v>
      </c>
      <c r="R1094" t="s">
        <v>2445</v>
      </c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</row>
    <row r="1095" spans="1:40" s="6" customFormat="1" x14ac:dyDescent="0.25">
      <c r="A1095" s="4">
        <v>101119229200</v>
      </c>
      <c r="B1095" s="4" t="str">
        <f t="shared" si="21"/>
        <v>101119229200OVR</v>
      </c>
      <c r="C1095" t="s">
        <v>1437</v>
      </c>
      <c r="D1095" t="s">
        <v>491</v>
      </c>
      <c r="E1095">
        <v>20411454</v>
      </c>
      <c r="F1095" t="s">
        <v>2477</v>
      </c>
      <c r="G1095" t="s">
        <v>49</v>
      </c>
      <c r="H1095" t="s">
        <v>1238</v>
      </c>
      <c r="I1095" s="1">
        <v>43831</v>
      </c>
      <c r="J1095" s="1">
        <v>45992</v>
      </c>
      <c r="K1095" t="s">
        <v>51</v>
      </c>
      <c r="L1095" t="s">
        <v>52</v>
      </c>
      <c r="M1095" s="2">
        <v>1</v>
      </c>
      <c r="N1095" s="2">
        <v>1</v>
      </c>
      <c r="O1095"/>
      <c r="P1095" s="2">
        <v>2</v>
      </c>
      <c r="Q1095" t="s">
        <v>1402</v>
      </c>
      <c r="R1095" t="s">
        <v>2445</v>
      </c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</row>
    <row r="1096" spans="1:40" s="6" customFormat="1" x14ac:dyDescent="0.25">
      <c r="A1096" s="4">
        <v>101119817400</v>
      </c>
      <c r="B1096" s="4" t="str">
        <f t="shared" si="21"/>
        <v>101119817400OVR</v>
      </c>
      <c r="C1096" t="s">
        <v>1438</v>
      </c>
      <c r="D1096" t="s">
        <v>491</v>
      </c>
      <c r="E1096">
        <v>20411454</v>
      </c>
      <c r="F1096" t="s">
        <v>2477</v>
      </c>
      <c r="G1096" t="s">
        <v>49</v>
      </c>
      <c r="H1096" t="s">
        <v>1238</v>
      </c>
      <c r="I1096" s="1">
        <v>43831</v>
      </c>
      <c r="J1096" s="1">
        <v>45992</v>
      </c>
      <c r="K1096" t="s">
        <v>51</v>
      </c>
      <c r="L1096" t="s">
        <v>52</v>
      </c>
      <c r="M1096" s="2">
        <v>1</v>
      </c>
      <c r="N1096" s="2">
        <v>1</v>
      </c>
      <c r="O1096"/>
      <c r="P1096" s="2">
        <v>2</v>
      </c>
      <c r="Q1096" t="s">
        <v>1402</v>
      </c>
      <c r="R1096" t="s">
        <v>2445</v>
      </c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</row>
    <row r="1097" spans="1:40" s="6" customFormat="1" x14ac:dyDescent="0.25">
      <c r="A1097" s="4">
        <v>101120868400</v>
      </c>
      <c r="B1097" s="4" t="str">
        <f t="shared" si="21"/>
        <v>101120868400OVR</v>
      </c>
      <c r="C1097" t="s">
        <v>1439</v>
      </c>
      <c r="D1097" t="s">
        <v>491</v>
      </c>
      <c r="E1097">
        <v>20411454</v>
      </c>
      <c r="F1097" t="s">
        <v>2477</v>
      </c>
      <c r="G1097" t="s">
        <v>49</v>
      </c>
      <c r="H1097" t="s">
        <v>1238</v>
      </c>
      <c r="I1097" s="1">
        <v>43831</v>
      </c>
      <c r="J1097" s="1">
        <v>45992</v>
      </c>
      <c r="K1097" t="s">
        <v>51</v>
      </c>
      <c r="L1097" t="s">
        <v>52</v>
      </c>
      <c r="M1097" s="2">
        <v>1</v>
      </c>
      <c r="N1097" s="2">
        <v>1</v>
      </c>
      <c r="O1097"/>
      <c r="P1097" s="2">
        <v>2</v>
      </c>
      <c r="Q1097" t="s">
        <v>1402</v>
      </c>
      <c r="R1097" t="s">
        <v>2445</v>
      </c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</row>
    <row r="1098" spans="1:40" s="6" customFormat="1" x14ac:dyDescent="0.25">
      <c r="A1098" s="4">
        <v>101129469000</v>
      </c>
      <c r="B1098" s="4" t="str">
        <f t="shared" si="21"/>
        <v>101129469000OVR</v>
      </c>
      <c r="C1098" t="s">
        <v>1441</v>
      </c>
      <c r="D1098" t="s">
        <v>491</v>
      </c>
      <c r="E1098">
        <v>20411454</v>
      </c>
      <c r="F1098" t="s">
        <v>2477</v>
      </c>
      <c r="G1098" t="s">
        <v>49</v>
      </c>
      <c r="H1098" t="s">
        <v>1238</v>
      </c>
      <c r="I1098" s="1">
        <v>43831</v>
      </c>
      <c r="J1098" s="1">
        <v>45992</v>
      </c>
      <c r="K1098" t="s">
        <v>51</v>
      </c>
      <c r="L1098" t="s">
        <v>52</v>
      </c>
      <c r="M1098" s="2">
        <v>1</v>
      </c>
      <c r="N1098" s="2">
        <v>1</v>
      </c>
      <c r="O1098"/>
      <c r="P1098" s="2">
        <v>2</v>
      </c>
      <c r="Q1098" t="s">
        <v>1402</v>
      </c>
      <c r="R1098" t="s">
        <v>2445</v>
      </c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</row>
    <row r="1099" spans="1:40" s="6" customFormat="1" x14ac:dyDescent="0.25">
      <c r="A1099" s="4">
        <v>101351768100</v>
      </c>
      <c r="B1099" s="4" t="str">
        <f t="shared" si="21"/>
        <v>101351768100OVR</v>
      </c>
      <c r="C1099" t="s">
        <v>1478</v>
      </c>
      <c r="D1099" t="s">
        <v>46</v>
      </c>
      <c r="E1099">
        <v>20411454</v>
      </c>
      <c r="F1099" t="s">
        <v>2477</v>
      </c>
      <c r="G1099" t="s">
        <v>1262</v>
      </c>
      <c r="H1099" t="s">
        <v>1238</v>
      </c>
      <c r="I1099" s="1">
        <v>43831</v>
      </c>
      <c r="J1099" s="1">
        <v>45992</v>
      </c>
      <c r="K1099" t="s">
        <v>51</v>
      </c>
      <c r="L1099" t="s">
        <v>52</v>
      </c>
      <c r="M1099" s="2">
        <v>1</v>
      </c>
      <c r="N1099" s="2">
        <v>1</v>
      </c>
      <c r="O1099"/>
      <c r="P1099" s="2">
        <v>2</v>
      </c>
      <c r="Q1099" t="s">
        <v>1402</v>
      </c>
      <c r="R1099" t="s">
        <v>2445</v>
      </c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</row>
    <row r="1100" spans="1:40" s="6" customFormat="1" x14ac:dyDescent="0.25">
      <c r="A1100" s="4">
        <v>101316867900</v>
      </c>
      <c r="B1100" s="4" t="str">
        <f t="shared" si="21"/>
        <v>101316867900OVR</v>
      </c>
      <c r="C1100" t="s">
        <v>1474</v>
      </c>
      <c r="D1100" t="s">
        <v>491</v>
      </c>
      <c r="E1100">
        <v>20411454</v>
      </c>
      <c r="F1100" t="s">
        <v>2477</v>
      </c>
      <c r="G1100" t="s">
        <v>49</v>
      </c>
      <c r="H1100" t="s">
        <v>1238</v>
      </c>
      <c r="I1100" s="1">
        <v>43800</v>
      </c>
      <c r="J1100" s="1">
        <v>45992</v>
      </c>
      <c r="K1100" t="s">
        <v>51</v>
      </c>
      <c r="L1100" t="s">
        <v>52</v>
      </c>
      <c r="M1100" s="2">
        <v>1</v>
      </c>
      <c r="N1100" s="2">
        <v>1</v>
      </c>
      <c r="O1100"/>
      <c r="P1100" s="2">
        <v>2</v>
      </c>
      <c r="Q1100" t="s">
        <v>1402</v>
      </c>
      <c r="R1100" t="s">
        <v>2445</v>
      </c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</row>
    <row r="1101" spans="1:40" s="6" customFormat="1" x14ac:dyDescent="0.25">
      <c r="A1101" s="4">
        <v>101054911000</v>
      </c>
      <c r="B1101" s="4" t="str">
        <f t="shared" si="21"/>
        <v>101054911000OVR</v>
      </c>
      <c r="C1101" t="s">
        <v>1410</v>
      </c>
      <c r="D1101" t="s">
        <v>491</v>
      </c>
      <c r="E1101">
        <v>20411454</v>
      </c>
      <c r="F1101" t="s">
        <v>2477</v>
      </c>
      <c r="G1101" t="s">
        <v>49</v>
      </c>
      <c r="H1101" t="s">
        <v>1238</v>
      </c>
      <c r="I1101" s="1">
        <v>43678</v>
      </c>
      <c r="J1101" s="1">
        <v>45992</v>
      </c>
      <c r="K1101" t="s">
        <v>51</v>
      </c>
      <c r="L1101" t="s">
        <v>52</v>
      </c>
      <c r="M1101" s="2">
        <v>1</v>
      </c>
      <c r="N1101" s="2">
        <v>1</v>
      </c>
      <c r="O1101"/>
      <c r="P1101" s="2">
        <v>2</v>
      </c>
      <c r="Q1101" t="s">
        <v>1402</v>
      </c>
      <c r="R1101" t="s">
        <v>2445</v>
      </c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</row>
    <row r="1102" spans="1:40" s="6" customFormat="1" x14ac:dyDescent="0.25">
      <c r="A1102" s="4">
        <v>101060073300</v>
      </c>
      <c r="B1102" s="4" t="str">
        <f t="shared" si="21"/>
        <v>101060073300OVR</v>
      </c>
      <c r="C1102" t="s">
        <v>1416</v>
      </c>
      <c r="D1102" t="s">
        <v>491</v>
      </c>
      <c r="E1102">
        <v>20411454</v>
      </c>
      <c r="F1102" t="s">
        <v>2477</v>
      </c>
      <c r="G1102" t="s">
        <v>49</v>
      </c>
      <c r="H1102" t="s">
        <v>1238</v>
      </c>
      <c r="I1102" s="1">
        <v>43678</v>
      </c>
      <c r="J1102" s="1">
        <v>45992</v>
      </c>
      <c r="K1102" t="s">
        <v>51</v>
      </c>
      <c r="L1102" t="s">
        <v>52</v>
      </c>
      <c r="M1102" s="2">
        <v>1</v>
      </c>
      <c r="N1102" s="2">
        <v>1</v>
      </c>
      <c r="O1102"/>
      <c r="P1102" s="2">
        <v>2</v>
      </c>
      <c r="Q1102" t="s">
        <v>1402</v>
      </c>
      <c r="R1102" t="s">
        <v>2445</v>
      </c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</row>
    <row r="1103" spans="1:40" s="6" customFormat="1" x14ac:dyDescent="0.25">
      <c r="A1103" s="4">
        <v>101077326300</v>
      </c>
      <c r="B1103" s="4" t="str">
        <f t="shared" si="21"/>
        <v>101077326300OVR</v>
      </c>
      <c r="C1103" t="s">
        <v>1423</v>
      </c>
      <c r="D1103" t="s">
        <v>491</v>
      </c>
      <c r="E1103">
        <v>20411454</v>
      </c>
      <c r="F1103" t="s">
        <v>2477</v>
      </c>
      <c r="G1103" t="s">
        <v>49</v>
      </c>
      <c r="H1103" t="s">
        <v>1238</v>
      </c>
      <c r="I1103" s="1">
        <v>43647</v>
      </c>
      <c r="J1103" s="1">
        <v>45992</v>
      </c>
      <c r="K1103" t="s">
        <v>51</v>
      </c>
      <c r="L1103" t="s">
        <v>52</v>
      </c>
      <c r="M1103" s="2">
        <v>1</v>
      </c>
      <c r="N1103" s="2">
        <v>1</v>
      </c>
      <c r="O1103"/>
      <c r="P1103" s="2">
        <v>2</v>
      </c>
      <c r="Q1103" t="s">
        <v>1402</v>
      </c>
      <c r="R1103" t="s">
        <v>2445</v>
      </c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</row>
    <row r="1104" spans="1:40" s="6" customFormat="1" x14ac:dyDescent="0.25">
      <c r="A1104" s="4">
        <v>101048751100</v>
      </c>
      <c r="B1104" s="4" t="str">
        <f t="shared" si="21"/>
        <v>101048751100OVR</v>
      </c>
      <c r="C1104" t="s">
        <v>1401</v>
      </c>
      <c r="D1104" t="s">
        <v>491</v>
      </c>
      <c r="E1104">
        <v>20411454</v>
      </c>
      <c r="F1104" t="s">
        <v>2477</v>
      </c>
      <c r="G1104" t="s">
        <v>49</v>
      </c>
      <c r="H1104" t="s">
        <v>1238</v>
      </c>
      <c r="I1104" s="1">
        <v>43466</v>
      </c>
      <c r="J1104" s="1">
        <v>45992</v>
      </c>
      <c r="K1104" t="s">
        <v>51</v>
      </c>
      <c r="L1104" t="s">
        <v>52</v>
      </c>
      <c r="M1104" s="2">
        <v>1</v>
      </c>
      <c r="N1104" s="2">
        <v>1</v>
      </c>
      <c r="O1104"/>
      <c r="P1104" s="2">
        <v>2</v>
      </c>
      <c r="Q1104" t="s">
        <v>1402</v>
      </c>
      <c r="R1104" t="s">
        <v>2445</v>
      </c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</row>
    <row r="1105" spans="1:40" s="6" customFormat="1" x14ac:dyDescent="0.25">
      <c r="A1105" s="4">
        <v>101055639600</v>
      </c>
      <c r="B1105" s="4" t="str">
        <f t="shared" si="21"/>
        <v>101055639600OVR</v>
      </c>
      <c r="C1105" t="s">
        <v>1411</v>
      </c>
      <c r="D1105" t="s">
        <v>491</v>
      </c>
      <c r="E1105">
        <v>20411454</v>
      </c>
      <c r="F1105" t="s">
        <v>2477</v>
      </c>
      <c r="G1105" t="s">
        <v>49</v>
      </c>
      <c r="H1105" t="s">
        <v>1238</v>
      </c>
      <c r="I1105" s="1">
        <v>43466</v>
      </c>
      <c r="J1105" s="1">
        <v>45992</v>
      </c>
      <c r="K1105" t="s">
        <v>51</v>
      </c>
      <c r="L1105" t="s">
        <v>52</v>
      </c>
      <c r="M1105" s="2">
        <v>1</v>
      </c>
      <c r="N1105" s="2">
        <v>1</v>
      </c>
      <c r="O1105"/>
      <c r="P1105" s="2">
        <v>2</v>
      </c>
      <c r="Q1105" t="s">
        <v>1402</v>
      </c>
      <c r="R1105" t="s">
        <v>2445</v>
      </c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</row>
    <row r="1106" spans="1:40" s="6" customFormat="1" x14ac:dyDescent="0.25">
      <c r="A1106" s="4">
        <v>101057312000</v>
      </c>
      <c r="B1106" s="4" t="str">
        <f t="shared" si="21"/>
        <v>101057312000OVR</v>
      </c>
      <c r="C1106" t="s">
        <v>1412</v>
      </c>
      <c r="D1106" t="s">
        <v>491</v>
      </c>
      <c r="E1106">
        <v>20411454</v>
      </c>
      <c r="F1106" t="s">
        <v>2477</v>
      </c>
      <c r="G1106" t="s">
        <v>49</v>
      </c>
      <c r="H1106" t="s">
        <v>1238</v>
      </c>
      <c r="I1106" s="1">
        <v>43466</v>
      </c>
      <c r="J1106" s="1">
        <v>45992</v>
      </c>
      <c r="K1106" t="s">
        <v>51</v>
      </c>
      <c r="L1106" t="s">
        <v>52</v>
      </c>
      <c r="M1106" s="2">
        <v>1</v>
      </c>
      <c r="N1106" s="2">
        <v>1</v>
      </c>
      <c r="O1106"/>
      <c r="P1106" s="2">
        <v>2</v>
      </c>
      <c r="Q1106" t="s">
        <v>1402</v>
      </c>
      <c r="R1106" t="s">
        <v>2445</v>
      </c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</row>
    <row r="1107" spans="1:40" s="6" customFormat="1" x14ac:dyDescent="0.25">
      <c r="A1107" s="4">
        <v>101057924100</v>
      </c>
      <c r="B1107" s="4" t="str">
        <f t="shared" si="21"/>
        <v>101057924100OVR</v>
      </c>
      <c r="C1107" t="s">
        <v>1413</v>
      </c>
      <c r="D1107" t="s">
        <v>491</v>
      </c>
      <c r="E1107">
        <v>20411454</v>
      </c>
      <c r="F1107" t="s">
        <v>2477</v>
      </c>
      <c r="G1107" t="s">
        <v>49</v>
      </c>
      <c r="H1107" t="s">
        <v>1238</v>
      </c>
      <c r="I1107" s="1">
        <v>43466</v>
      </c>
      <c r="J1107" s="1">
        <v>45992</v>
      </c>
      <c r="K1107" t="s">
        <v>51</v>
      </c>
      <c r="L1107" t="s">
        <v>52</v>
      </c>
      <c r="M1107" s="2">
        <v>1</v>
      </c>
      <c r="N1107" s="2">
        <v>1</v>
      </c>
      <c r="O1107"/>
      <c r="P1107" s="2">
        <v>2</v>
      </c>
      <c r="Q1107" t="s">
        <v>1402</v>
      </c>
      <c r="R1107" t="s">
        <v>2445</v>
      </c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</row>
    <row r="1108" spans="1:40" s="6" customFormat="1" x14ac:dyDescent="0.25">
      <c r="A1108" s="4">
        <v>101058793600</v>
      </c>
      <c r="B1108" s="4" t="str">
        <f t="shared" si="21"/>
        <v>101058793600OVR</v>
      </c>
      <c r="C1108" t="s">
        <v>1415</v>
      </c>
      <c r="D1108" t="s">
        <v>491</v>
      </c>
      <c r="E1108">
        <v>20411454</v>
      </c>
      <c r="F1108" t="s">
        <v>2477</v>
      </c>
      <c r="G1108" t="s">
        <v>49</v>
      </c>
      <c r="H1108" t="s">
        <v>1238</v>
      </c>
      <c r="I1108" s="1">
        <v>43466</v>
      </c>
      <c r="J1108" s="1">
        <v>45992</v>
      </c>
      <c r="K1108" t="s">
        <v>51</v>
      </c>
      <c r="L1108" t="s">
        <v>52</v>
      </c>
      <c r="M1108" s="2">
        <v>1</v>
      </c>
      <c r="N1108" s="2">
        <v>1</v>
      </c>
      <c r="O1108"/>
      <c r="P1108" s="2">
        <v>2</v>
      </c>
      <c r="Q1108" t="s">
        <v>1402</v>
      </c>
      <c r="R1108" t="s">
        <v>2445</v>
      </c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</row>
    <row r="1109" spans="1:40" s="6" customFormat="1" x14ac:dyDescent="0.25">
      <c r="A1109" s="4">
        <v>101060456400</v>
      </c>
      <c r="B1109" s="4" t="str">
        <f t="shared" si="21"/>
        <v>101060456400OVR</v>
      </c>
      <c r="C1109" t="s">
        <v>1417</v>
      </c>
      <c r="D1109" t="s">
        <v>491</v>
      </c>
      <c r="E1109">
        <v>20411454</v>
      </c>
      <c r="F1109" t="s">
        <v>2477</v>
      </c>
      <c r="G1109" t="s">
        <v>49</v>
      </c>
      <c r="H1109" t="s">
        <v>1238</v>
      </c>
      <c r="I1109" s="1">
        <v>43466</v>
      </c>
      <c r="J1109" s="1">
        <v>45992</v>
      </c>
      <c r="K1109" t="s">
        <v>51</v>
      </c>
      <c r="L1109" t="s">
        <v>52</v>
      </c>
      <c r="M1109" s="2">
        <v>1</v>
      </c>
      <c r="N1109" s="2">
        <v>1</v>
      </c>
      <c r="O1109"/>
      <c r="P1109" s="2">
        <v>2</v>
      </c>
      <c r="Q1109" t="s">
        <v>1402</v>
      </c>
      <c r="R1109" t="s">
        <v>2445</v>
      </c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</row>
    <row r="1110" spans="1:40" s="6" customFormat="1" x14ac:dyDescent="0.25">
      <c r="A1110" s="4">
        <v>101280490300</v>
      </c>
      <c r="B1110" s="4" t="str">
        <f t="shared" si="21"/>
        <v>101280490300OVR</v>
      </c>
      <c r="C1110" t="s">
        <v>1469</v>
      </c>
      <c r="D1110" t="s">
        <v>491</v>
      </c>
      <c r="E1110">
        <v>20411454</v>
      </c>
      <c r="F1110" t="s">
        <v>2477</v>
      </c>
      <c r="G1110" t="s">
        <v>49</v>
      </c>
      <c r="H1110" t="s">
        <v>1238</v>
      </c>
      <c r="I1110" s="1">
        <v>43466</v>
      </c>
      <c r="J1110" s="1">
        <v>45992</v>
      </c>
      <c r="K1110" t="s">
        <v>51</v>
      </c>
      <c r="L1110" t="s">
        <v>52</v>
      </c>
      <c r="M1110" s="2">
        <v>1</v>
      </c>
      <c r="N1110" s="2">
        <v>1</v>
      </c>
      <c r="O1110"/>
      <c r="P1110" s="2">
        <v>2</v>
      </c>
      <c r="Q1110" t="s">
        <v>1402</v>
      </c>
      <c r="R1110" t="s">
        <v>2445</v>
      </c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</row>
    <row r="1111" spans="1:40" s="6" customFormat="1" x14ac:dyDescent="0.25">
      <c r="A1111" s="4">
        <v>101337869700</v>
      </c>
      <c r="B1111" s="4" t="str">
        <f t="shared" si="21"/>
        <v>101337869700OVR</v>
      </c>
      <c r="C1111" t="s">
        <v>1475</v>
      </c>
      <c r="D1111" t="s">
        <v>491</v>
      </c>
      <c r="E1111">
        <v>20411454</v>
      </c>
      <c r="F1111" t="s">
        <v>2477</v>
      </c>
      <c r="G1111" t="s">
        <v>49</v>
      </c>
      <c r="H1111" t="s">
        <v>1238</v>
      </c>
      <c r="I1111" s="1">
        <v>43466</v>
      </c>
      <c r="J1111" s="1">
        <v>45992</v>
      </c>
      <c r="K1111" t="s">
        <v>51</v>
      </c>
      <c r="L1111" t="s">
        <v>52</v>
      </c>
      <c r="M1111" s="2">
        <v>1</v>
      </c>
      <c r="N1111" s="2">
        <v>1</v>
      </c>
      <c r="O1111"/>
      <c r="P1111" s="2">
        <v>2</v>
      </c>
      <c r="Q1111" t="s">
        <v>1402</v>
      </c>
      <c r="R1111" t="s">
        <v>2445</v>
      </c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</row>
    <row r="1112" spans="1:40" s="6" customFormat="1" x14ac:dyDescent="0.25">
      <c r="A1112" s="4">
        <v>101070037600</v>
      </c>
      <c r="B1112" s="4" t="str">
        <f t="shared" si="21"/>
        <v>101070037600OVR</v>
      </c>
      <c r="C1112" t="s">
        <v>1422</v>
      </c>
      <c r="D1112" t="s">
        <v>491</v>
      </c>
      <c r="E1112">
        <v>20411454</v>
      </c>
      <c r="F1112" t="s">
        <v>2477</v>
      </c>
      <c r="G1112" t="s">
        <v>49</v>
      </c>
      <c r="H1112" t="s">
        <v>1238</v>
      </c>
      <c r="I1112" s="1">
        <v>41640</v>
      </c>
      <c r="J1112" s="1">
        <v>45992</v>
      </c>
      <c r="K1112" t="s">
        <v>51</v>
      </c>
      <c r="L1112" t="s">
        <v>52</v>
      </c>
      <c r="M1112" s="2">
        <v>1</v>
      </c>
      <c r="N1112" s="2">
        <v>1</v>
      </c>
      <c r="O1112"/>
      <c r="P1112" s="2">
        <v>2</v>
      </c>
      <c r="Q1112" t="s">
        <v>1402</v>
      </c>
      <c r="R1112" t="s">
        <v>2445</v>
      </c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</row>
    <row r="1113" spans="1:40" s="6" customFormat="1" x14ac:dyDescent="0.25">
      <c r="A1113" s="4">
        <v>101052135000</v>
      </c>
      <c r="B1113" s="4" t="str">
        <f t="shared" si="21"/>
        <v>101052135000OVR</v>
      </c>
      <c r="C1113" t="s">
        <v>1408</v>
      </c>
      <c r="D1113" t="s">
        <v>491</v>
      </c>
      <c r="E1113">
        <v>20411454</v>
      </c>
      <c r="F1113" t="s">
        <v>2477</v>
      </c>
      <c r="G1113" t="s">
        <v>49</v>
      </c>
      <c r="H1113" t="s">
        <v>1238</v>
      </c>
      <c r="I1113" s="1">
        <v>40909</v>
      </c>
      <c r="J1113" s="1">
        <v>45992</v>
      </c>
      <c r="K1113" t="s">
        <v>51</v>
      </c>
      <c r="L1113" t="s">
        <v>52</v>
      </c>
      <c r="M1113" s="2">
        <v>1</v>
      </c>
      <c r="N1113" s="2">
        <v>1</v>
      </c>
      <c r="O1113"/>
      <c r="P1113" s="2">
        <v>2</v>
      </c>
      <c r="Q1113" t="s">
        <v>1402</v>
      </c>
      <c r="R1113" t="s">
        <v>2445</v>
      </c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</row>
    <row r="1114" spans="1:40" s="6" customFormat="1" x14ac:dyDescent="0.25">
      <c r="A1114" s="4">
        <v>101081464500</v>
      </c>
      <c r="B1114" s="4" t="str">
        <f t="shared" si="21"/>
        <v>101081464500OVR</v>
      </c>
      <c r="C1114" t="s">
        <v>1426</v>
      </c>
      <c r="D1114" t="s">
        <v>491</v>
      </c>
      <c r="E1114">
        <v>20411454</v>
      </c>
      <c r="F1114" t="s">
        <v>2477</v>
      </c>
      <c r="G1114" t="s">
        <v>49</v>
      </c>
      <c r="H1114" t="s">
        <v>1238</v>
      </c>
      <c r="I1114" s="1">
        <v>40909</v>
      </c>
      <c r="J1114" s="1">
        <v>45992</v>
      </c>
      <c r="K1114" t="s">
        <v>51</v>
      </c>
      <c r="L1114" t="s">
        <v>52</v>
      </c>
      <c r="M1114" s="2">
        <v>1</v>
      </c>
      <c r="N1114" s="2">
        <v>1</v>
      </c>
      <c r="O1114"/>
      <c r="P1114" s="2">
        <v>2</v>
      </c>
      <c r="Q1114" t="s">
        <v>1402</v>
      </c>
      <c r="R1114" t="s">
        <v>2445</v>
      </c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</row>
    <row r="1115" spans="1:40" s="6" customFormat="1" x14ac:dyDescent="0.25">
      <c r="A1115" s="4">
        <v>101083195000</v>
      </c>
      <c r="B1115" s="4" t="str">
        <f t="shared" si="21"/>
        <v>101083195000OVR</v>
      </c>
      <c r="C1115" t="s">
        <v>1427</v>
      </c>
      <c r="D1115" t="s">
        <v>491</v>
      </c>
      <c r="E1115">
        <v>20411454</v>
      </c>
      <c r="F1115" t="s">
        <v>2477</v>
      </c>
      <c r="G1115" t="s">
        <v>49</v>
      </c>
      <c r="H1115" t="s">
        <v>1238</v>
      </c>
      <c r="I1115" s="1">
        <v>40909</v>
      </c>
      <c r="J1115" s="1">
        <v>45992</v>
      </c>
      <c r="K1115" t="s">
        <v>51</v>
      </c>
      <c r="L1115" t="s">
        <v>52</v>
      </c>
      <c r="M1115" s="2">
        <v>1</v>
      </c>
      <c r="N1115" s="2">
        <v>1</v>
      </c>
      <c r="O1115"/>
      <c r="P1115" s="2">
        <v>2</v>
      </c>
      <c r="Q1115" t="s">
        <v>1402</v>
      </c>
      <c r="R1115" t="s">
        <v>2445</v>
      </c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</row>
    <row r="1116" spans="1:40" x14ac:dyDescent="0.25">
      <c r="A1116" s="4">
        <v>101091001900</v>
      </c>
      <c r="B1116" s="4" t="str">
        <f t="shared" si="21"/>
        <v>101091001900OVR</v>
      </c>
      <c r="C1116" t="s">
        <v>1429</v>
      </c>
      <c r="D1116" t="s">
        <v>491</v>
      </c>
      <c r="E1116">
        <v>20411454</v>
      </c>
      <c r="F1116" t="s">
        <v>2477</v>
      </c>
      <c r="G1116" t="s">
        <v>49</v>
      </c>
      <c r="H1116" t="s">
        <v>1238</v>
      </c>
      <c r="I1116" s="1">
        <v>40909</v>
      </c>
      <c r="J1116" s="1">
        <v>45992</v>
      </c>
      <c r="K1116" t="s">
        <v>51</v>
      </c>
      <c r="L1116" t="s">
        <v>52</v>
      </c>
      <c r="M1116" s="2">
        <v>1</v>
      </c>
      <c r="N1116" s="2">
        <v>1</v>
      </c>
      <c r="P1116" s="2">
        <v>2</v>
      </c>
      <c r="Q1116" t="s">
        <v>1402</v>
      </c>
      <c r="R1116" t="s">
        <v>2445</v>
      </c>
    </row>
  </sheetData>
  <sortState xmlns:xlrd2="http://schemas.microsoft.com/office/spreadsheetml/2017/richdata2" ref="A2:AN1116">
    <sortCondition descending="1" ref="R2:R11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B6FB-E87B-4071-AD62-A605300C1919}">
  <dimension ref="A1:O26"/>
  <sheetViews>
    <sheetView tabSelected="1" workbookViewId="0">
      <selection activeCell="N2" sqref="N2:N8"/>
    </sheetView>
  </sheetViews>
  <sheetFormatPr defaultRowHeight="15" x14ac:dyDescent="0.25"/>
  <cols>
    <col min="5" max="5" width="23.7109375" bestFit="1" customWidth="1"/>
    <col min="7" max="7" width="58.28515625" bestFit="1" customWidth="1"/>
  </cols>
  <sheetData>
    <row r="1" spans="1:15" x14ac:dyDescent="0.25">
      <c r="A1" s="4" t="s">
        <v>8</v>
      </c>
      <c r="B1" t="s">
        <v>9</v>
      </c>
      <c r="C1" t="s">
        <v>12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20</v>
      </c>
      <c r="J1" t="s">
        <v>23</v>
      </c>
      <c r="K1" t="s">
        <v>24</v>
      </c>
      <c r="L1" t="s">
        <v>25</v>
      </c>
      <c r="M1" t="s">
        <v>26</v>
      </c>
      <c r="N1" t="s">
        <v>28</v>
      </c>
      <c r="O1" t="s">
        <v>37</v>
      </c>
    </row>
    <row r="2" spans="1:15" s="14" customFormat="1" x14ac:dyDescent="0.25">
      <c r="A2" s="13" t="s">
        <v>2257</v>
      </c>
      <c r="B2" s="14" t="s">
        <v>1180</v>
      </c>
      <c r="C2" s="14" t="s">
        <v>805</v>
      </c>
      <c r="E2" s="14" t="s">
        <v>503</v>
      </c>
      <c r="F2" s="14" t="s">
        <v>49</v>
      </c>
      <c r="G2" s="14" t="s">
        <v>1181</v>
      </c>
      <c r="H2" s="15">
        <v>46023</v>
      </c>
      <c r="I2" s="14" t="s">
        <v>51</v>
      </c>
      <c r="J2" s="14" t="s">
        <v>52</v>
      </c>
      <c r="K2" s="16">
        <v>0</v>
      </c>
      <c r="L2" s="16">
        <v>4.8499999999999996</v>
      </c>
      <c r="M2" s="14">
        <v>9</v>
      </c>
      <c r="N2" s="16">
        <v>43.65</v>
      </c>
    </row>
    <row r="3" spans="1:15" s="14" customFormat="1" x14ac:dyDescent="0.25">
      <c r="A3" s="13" t="s">
        <v>2258</v>
      </c>
      <c r="B3" s="14" t="s">
        <v>1183</v>
      </c>
      <c r="C3" s="14" t="s">
        <v>46</v>
      </c>
      <c r="E3" s="14" t="s">
        <v>354</v>
      </c>
      <c r="F3" s="14" t="s">
        <v>49</v>
      </c>
      <c r="G3" s="14" t="s">
        <v>1184</v>
      </c>
      <c r="H3" s="15">
        <v>46023</v>
      </c>
      <c r="I3" s="14" t="s">
        <v>51</v>
      </c>
      <c r="J3" s="14" t="s">
        <v>52</v>
      </c>
      <c r="K3" s="16">
        <v>0</v>
      </c>
      <c r="L3" s="16">
        <v>31.5</v>
      </c>
      <c r="M3" s="14">
        <v>9</v>
      </c>
      <c r="N3" s="16">
        <v>283.5</v>
      </c>
    </row>
    <row r="4" spans="1:15" s="14" customFormat="1" x14ac:dyDescent="0.25">
      <c r="A4" s="13" t="s">
        <v>2259</v>
      </c>
      <c r="B4" s="14" t="s">
        <v>1186</v>
      </c>
      <c r="C4" s="14" t="s">
        <v>46</v>
      </c>
      <c r="E4" s="14" t="s">
        <v>354</v>
      </c>
      <c r="F4" s="14" t="s">
        <v>49</v>
      </c>
      <c r="G4" s="14" t="s">
        <v>1184</v>
      </c>
      <c r="H4" s="15">
        <v>46023</v>
      </c>
      <c r="I4" s="14" t="s">
        <v>51</v>
      </c>
      <c r="J4" s="14" t="s">
        <v>52</v>
      </c>
      <c r="K4" s="16">
        <v>0</v>
      </c>
      <c r="L4" s="16">
        <v>31.5</v>
      </c>
      <c r="M4" s="14">
        <v>9</v>
      </c>
      <c r="N4" s="16">
        <v>283.5</v>
      </c>
    </row>
    <row r="5" spans="1:15" s="14" customFormat="1" x14ac:dyDescent="0.25">
      <c r="A5" s="13" t="s">
        <v>2261</v>
      </c>
      <c r="B5" s="14" t="s">
        <v>1191</v>
      </c>
      <c r="C5" s="14" t="s">
        <v>217</v>
      </c>
      <c r="E5" s="14" t="s">
        <v>341</v>
      </c>
      <c r="F5" s="14" t="s">
        <v>49</v>
      </c>
      <c r="G5" s="14" t="s">
        <v>1192</v>
      </c>
      <c r="H5" s="15">
        <v>46023</v>
      </c>
      <c r="I5" s="14" t="s">
        <v>51</v>
      </c>
      <c r="J5" s="14" t="s">
        <v>52</v>
      </c>
      <c r="K5" s="16">
        <v>0</v>
      </c>
      <c r="L5" s="16">
        <v>21</v>
      </c>
      <c r="M5" s="14">
        <v>9</v>
      </c>
      <c r="N5" s="16">
        <v>189</v>
      </c>
    </row>
    <row r="6" spans="1:15" s="14" customFormat="1" x14ac:dyDescent="0.25">
      <c r="A6" s="13" t="s">
        <v>2260</v>
      </c>
      <c r="B6" s="14" t="s">
        <v>1188</v>
      </c>
      <c r="C6" s="14" t="s">
        <v>46</v>
      </c>
      <c r="E6" s="14" t="s">
        <v>354</v>
      </c>
      <c r="F6" s="14" t="s">
        <v>49</v>
      </c>
      <c r="G6" s="14" t="s">
        <v>1189</v>
      </c>
      <c r="H6" s="15">
        <v>46054</v>
      </c>
      <c r="I6" s="14" t="s">
        <v>51</v>
      </c>
      <c r="J6" s="14" t="s">
        <v>52</v>
      </c>
      <c r="K6" s="16">
        <v>0</v>
      </c>
      <c r="L6" s="16">
        <v>9.83</v>
      </c>
      <c r="M6" s="14">
        <v>9</v>
      </c>
      <c r="N6" s="16">
        <v>88.47</v>
      </c>
    </row>
    <row r="7" spans="1:15" s="14" customFormat="1" x14ac:dyDescent="0.25">
      <c r="A7" s="13" t="s">
        <v>2255</v>
      </c>
      <c r="B7" s="14" t="s">
        <v>1175</v>
      </c>
      <c r="C7" s="14" t="s">
        <v>491</v>
      </c>
      <c r="E7" s="14" t="s">
        <v>608</v>
      </c>
      <c r="F7" s="14" t="s">
        <v>49</v>
      </c>
      <c r="G7" s="14" t="s">
        <v>1176</v>
      </c>
      <c r="H7" s="15">
        <v>46023</v>
      </c>
      <c r="I7" s="14" t="s">
        <v>51</v>
      </c>
      <c r="J7" s="14" t="s">
        <v>52</v>
      </c>
      <c r="K7" s="16">
        <v>0</v>
      </c>
      <c r="L7" s="16">
        <v>36</v>
      </c>
      <c r="M7" s="14">
        <v>9</v>
      </c>
      <c r="N7" s="16">
        <v>324</v>
      </c>
    </row>
    <row r="8" spans="1:15" s="14" customFormat="1" x14ac:dyDescent="0.25">
      <c r="A8" s="13" t="s">
        <v>2256</v>
      </c>
      <c r="B8" s="14" t="s">
        <v>1178</v>
      </c>
      <c r="C8" s="14" t="s">
        <v>491</v>
      </c>
      <c r="E8" s="14" t="s">
        <v>493</v>
      </c>
      <c r="F8" s="14" t="s">
        <v>49</v>
      </c>
      <c r="G8" s="14" t="s">
        <v>1176</v>
      </c>
      <c r="H8" s="15">
        <v>46023</v>
      </c>
      <c r="I8" s="14" t="s">
        <v>51</v>
      </c>
      <c r="J8" s="14" t="s">
        <v>52</v>
      </c>
      <c r="K8" s="16">
        <v>0</v>
      </c>
      <c r="L8" s="16">
        <v>36</v>
      </c>
      <c r="M8" s="14">
        <v>9</v>
      </c>
      <c r="N8" s="16">
        <v>324</v>
      </c>
    </row>
    <row r="12" spans="1:15" x14ac:dyDescent="0.25">
      <c r="F12">
        <f>38.25+2.7+2.7</f>
        <v>43.650000000000006</v>
      </c>
      <c r="H12">
        <v>1</v>
      </c>
      <c r="I12">
        <v>12</v>
      </c>
      <c r="K12">
        <v>14</v>
      </c>
      <c r="L12">
        <v>210</v>
      </c>
      <c r="M12">
        <f>K12*3</f>
        <v>42</v>
      </c>
      <c r="N12">
        <f>M12+L12</f>
        <v>252</v>
      </c>
      <c r="O12" s="17">
        <f>N12/12</f>
        <v>21</v>
      </c>
    </row>
    <row r="13" spans="1:15" x14ac:dyDescent="0.25">
      <c r="E13">
        <f>224.46+47.25+11.79</f>
        <v>283.50000000000006</v>
      </c>
      <c r="F13">
        <f>224.46+17.01+42.03</f>
        <v>283.5</v>
      </c>
      <c r="H13">
        <v>13</v>
      </c>
      <c r="I13">
        <v>72</v>
      </c>
      <c r="K13">
        <v>14</v>
      </c>
      <c r="L13">
        <v>210</v>
      </c>
      <c r="M13">
        <f>K13*3</f>
        <v>42</v>
      </c>
      <c r="N13">
        <f>M13+L13</f>
        <v>252</v>
      </c>
      <c r="O13" s="17">
        <f>N13/12</f>
        <v>21</v>
      </c>
    </row>
    <row r="14" spans="1:15" x14ac:dyDescent="0.25">
      <c r="E14">
        <f>224.26+47.25+11.79</f>
        <v>283.3</v>
      </c>
      <c r="F14">
        <f>224.46+17.01+42.03</f>
        <v>283.5</v>
      </c>
      <c r="H14">
        <v>73</v>
      </c>
      <c r="I14">
        <v>0</v>
      </c>
      <c r="K14">
        <v>5</v>
      </c>
      <c r="L14">
        <v>75</v>
      </c>
      <c r="M14">
        <f>K14*3</f>
        <v>15</v>
      </c>
      <c r="N14">
        <f>M14+L14</f>
        <v>90</v>
      </c>
      <c r="O14" s="17">
        <f>N14/12</f>
        <v>7.5</v>
      </c>
    </row>
    <row r="15" spans="1:15" x14ac:dyDescent="0.25">
      <c r="F15">
        <f>165.42+11.79+11.79</f>
        <v>188.99999999999997</v>
      </c>
      <c r="K15">
        <v>2</v>
      </c>
      <c r="L15">
        <v>30</v>
      </c>
      <c r="M15">
        <f>K15*3</f>
        <v>6</v>
      </c>
      <c r="N15">
        <f>M15+L15</f>
        <v>36</v>
      </c>
      <c r="O15" s="17">
        <f>N15/12</f>
        <v>3</v>
      </c>
    </row>
    <row r="16" spans="1:15" x14ac:dyDescent="0.25">
      <c r="E16">
        <f>70.11+14.76+3.6</f>
        <v>88.47</v>
      </c>
      <c r="F16">
        <f>70.11+7.47+10.89</f>
        <v>88.47</v>
      </c>
    </row>
    <row r="17" spans="6:13" x14ac:dyDescent="0.25">
      <c r="F17">
        <f>122.58+122.67+17.1+61.65</f>
        <v>324</v>
      </c>
    </row>
    <row r="18" spans="6:13" x14ac:dyDescent="0.25">
      <c r="F18">
        <f>49.05+196.2+17.1+61.65</f>
        <v>324</v>
      </c>
    </row>
    <row r="21" spans="6:13" x14ac:dyDescent="0.25">
      <c r="I21">
        <v>27.25</v>
      </c>
      <c r="J21" s="17">
        <f>I21*20%</f>
        <v>5.45</v>
      </c>
      <c r="L21">
        <v>9.83</v>
      </c>
      <c r="M21">
        <f>L21*12</f>
        <v>117.96000000000001</v>
      </c>
    </row>
    <row r="22" spans="6:13" x14ac:dyDescent="0.25">
      <c r="I22">
        <v>20.28</v>
      </c>
      <c r="J22" s="17">
        <f t="shared" ref="J22:J23" si="0">I22*20%</f>
        <v>4.056</v>
      </c>
      <c r="L22">
        <v>19.66</v>
      </c>
      <c r="M22" s="17">
        <f>L22/12</f>
        <v>1.6383333333333334</v>
      </c>
    </row>
    <row r="23" spans="6:13" x14ac:dyDescent="0.25">
      <c r="I23">
        <v>1.43</v>
      </c>
      <c r="J23" s="17">
        <f t="shared" si="0"/>
        <v>0.28599999999999998</v>
      </c>
    </row>
    <row r="25" spans="6:13" x14ac:dyDescent="0.25">
      <c r="L25">
        <v>1.89</v>
      </c>
    </row>
    <row r="26" spans="6:13" x14ac:dyDescent="0.25">
      <c r="L26">
        <v>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Business Agent Statement - 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Loula Irene Cabel</cp:lastModifiedBy>
  <dcterms:created xsi:type="dcterms:W3CDTF">2025-12-19T07:41:38Z</dcterms:created>
  <dcterms:modified xsi:type="dcterms:W3CDTF">2026-01-30T15:37:57Z</dcterms:modified>
</cp:coreProperties>
</file>