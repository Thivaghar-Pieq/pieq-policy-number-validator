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4-15-25\"/>
    </mc:Choice>
  </mc:AlternateContent>
  <xr:revisionPtr revIDLastSave="0" documentId="13_ncr:1_{D173CAA5-3F7B-4525-953C-0D85CDCE945F}" xr6:coauthVersionLast="47" xr6:coauthVersionMax="47" xr10:uidLastSave="{00000000-0000-0000-0000-000000000000}"/>
  <bookViews>
    <workbookView xWindow="28680" yWindow="-120" windowWidth="29040" windowHeight="16440" activeTab="2" xr2:uid="{C803FCB1-E06A-4F41-A681-BDB18A605FDE}"/>
  </bookViews>
  <sheets>
    <sheet name="New Business Agent Statement - " sheetId="1" r:id="rId1"/>
    <sheet name="Sheet1" sheetId="2" r:id="rId2"/>
    <sheet name="On hold" sheetId="3" r:id="rId3"/>
  </sheets>
  <calcPr calcId="181029"/>
</workbook>
</file>

<file path=xl/calcChain.xml><?xml version="1.0" encoding="utf-8"?>
<calcChain xmlns="http://schemas.openxmlformats.org/spreadsheetml/2006/main">
  <c r="B3" i="3" l="1"/>
  <c r="B2" i="3"/>
  <c r="B76" i="2"/>
  <c r="B26" i="2"/>
  <c r="B537" i="2"/>
  <c r="B536" i="2"/>
  <c r="B62" i="2"/>
  <c r="B61" i="2"/>
  <c r="B75" i="2"/>
  <c r="B25" i="2"/>
  <c r="B535" i="2"/>
  <c r="B60" i="2"/>
  <c r="B2" i="2"/>
  <c r="B24" i="2"/>
  <c r="B29" i="2"/>
  <c r="B50" i="2"/>
  <c r="B38" i="2"/>
  <c r="B43" i="2"/>
  <c r="B42" i="2"/>
  <c r="B552" i="2"/>
  <c r="B68" i="2"/>
  <c r="B67" i="2"/>
  <c r="B48" i="2"/>
  <c r="B47" i="2"/>
  <c r="B554" i="2"/>
  <c r="B553" i="2"/>
  <c r="B65" i="2"/>
  <c r="B80" i="2"/>
  <c r="B79" i="2"/>
  <c r="B41" i="2"/>
  <c r="B40" i="2"/>
  <c r="B71" i="2"/>
  <c r="B45" i="2"/>
  <c r="B545" i="2"/>
  <c r="B544" i="2"/>
  <c r="B57" i="2"/>
  <c r="B77" i="2"/>
  <c r="B540" i="2"/>
  <c r="B82" i="2"/>
  <c r="B73" i="2"/>
  <c r="B39" i="2"/>
  <c r="B54" i="2"/>
  <c r="B52" i="2"/>
  <c r="B78" i="2"/>
  <c r="B44" i="2"/>
  <c r="B543" i="2"/>
  <c r="B58" i="2"/>
  <c r="B74" i="2"/>
  <c r="B30" i="2"/>
  <c r="B32" i="2"/>
  <c r="B49" i="2"/>
  <c r="B551" i="2"/>
  <c r="B66" i="2"/>
  <c r="B46" i="2"/>
  <c r="B547" i="2"/>
  <c r="B56" i="2"/>
  <c r="B81" i="2"/>
  <c r="B72" i="2"/>
  <c r="B53" i="2"/>
  <c r="B542" i="2"/>
  <c r="B37" i="2"/>
  <c r="B31" i="2"/>
  <c r="B63" i="2"/>
  <c r="B546" i="2"/>
  <c r="B70" i="2"/>
  <c r="B69" i="2"/>
  <c r="B534" i="2"/>
  <c r="B365" i="2"/>
  <c r="B287" i="2"/>
  <c r="B249" i="2"/>
  <c r="B229" i="2"/>
  <c r="B143" i="2"/>
  <c r="B531" i="2"/>
  <c r="B522" i="2"/>
  <c r="B442" i="2"/>
  <c r="B427" i="2"/>
  <c r="B426" i="2"/>
  <c r="B406" i="2"/>
  <c r="B405" i="2"/>
  <c r="B345" i="2"/>
  <c r="B327" i="2"/>
  <c r="B248" i="2"/>
  <c r="B235" i="2"/>
  <c r="B219" i="2"/>
  <c r="B90" i="2"/>
  <c r="B530" i="2"/>
  <c r="B529" i="2"/>
  <c r="B499" i="2"/>
  <c r="B467" i="2"/>
  <c r="B456" i="2"/>
  <c r="B455" i="2"/>
  <c r="B425" i="2"/>
  <c r="B387" i="2"/>
  <c r="B374" i="2"/>
  <c r="B306" i="2"/>
  <c r="B298" i="2"/>
  <c r="B288" i="2"/>
  <c r="B277" i="2"/>
  <c r="B270" i="2"/>
  <c r="B238" i="2"/>
  <c r="B237" i="2"/>
  <c r="B218" i="2"/>
  <c r="B216" i="2"/>
  <c r="B215" i="2"/>
  <c r="B204" i="2"/>
  <c r="B150" i="2"/>
  <c r="B145" i="2"/>
  <c r="B132" i="2"/>
  <c r="B116" i="2"/>
  <c r="B5" i="2"/>
  <c r="B23" i="2"/>
  <c r="B549" i="2"/>
  <c r="B550" i="2"/>
  <c r="B59" i="2"/>
  <c r="B33" i="2"/>
  <c r="B34" i="2"/>
  <c r="B36" i="2"/>
  <c r="B64" i="2"/>
  <c r="B548" i="2"/>
  <c r="B35" i="2"/>
  <c r="B538" i="2"/>
  <c r="B4" i="2"/>
  <c r="B51" i="2"/>
  <c r="B55" i="2"/>
  <c r="B6" i="2"/>
  <c r="B7" i="2"/>
  <c r="B8" i="2"/>
  <c r="B9" i="2"/>
  <c r="B10" i="2"/>
  <c r="B11" i="2"/>
  <c r="B12" i="2"/>
  <c r="B13" i="2"/>
  <c r="B541" i="2"/>
  <c r="B14" i="2"/>
  <c r="B27" i="2"/>
  <c r="B15" i="2"/>
  <c r="B16" i="2"/>
  <c r="B17" i="2"/>
  <c r="B18" i="2"/>
  <c r="B19" i="2"/>
  <c r="B20" i="2"/>
  <c r="B539" i="2"/>
  <c r="B21" i="2"/>
  <c r="B22" i="2"/>
  <c r="B28" i="2"/>
  <c r="B3" i="2"/>
  <c r="B533" i="2"/>
  <c r="B99" i="2"/>
  <c r="B119" i="2"/>
  <c r="B135" i="2"/>
  <c r="B136" i="2"/>
  <c r="B146" i="2"/>
  <c r="B159" i="2"/>
  <c r="B173" i="2"/>
  <c r="B182" i="2"/>
  <c r="B201" i="2"/>
  <c r="B245" i="2"/>
  <c r="B311" i="2"/>
  <c r="B323" i="2"/>
  <c r="B358" i="2"/>
  <c r="B383" i="2"/>
  <c r="B414" i="2"/>
  <c r="B416" i="2"/>
  <c r="B417" i="2"/>
  <c r="B434" i="2"/>
  <c r="B438" i="2"/>
  <c r="B453" i="2"/>
  <c r="B451" i="2"/>
  <c r="B452" i="2"/>
  <c r="B459" i="2"/>
  <c r="B462" i="2"/>
  <c r="B465" i="2"/>
  <c r="B466" i="2"/>
  <c r="B468" i="2"/>
  <c r="B475" i="2"/>
  <c r="B480" i="2"/>
  <c r="B481" i="2"/>
  <c r="B482" i="2"/>
  <c r="B483" i="2"/>
  <c r="B484" i="2"/>
  <c r="B485" i="2"/>
  <c r="B488" i="2"/>
  <c r="B489" i="2"/>
  <c r="B490" i="2"/>
  <c r="B492" i="2"/>
  <c r="B494" i="2"/>
  <c r="B496" i="2"/>
  <c r="B497" i="2"/>
  <c r="B503" i="2"/>
  <c r="B506" i="2"/>
  <c r="B508" i="2"/>
  <c r="B509" i="2"/>
  <c r="B511" i="2"/>
  <c r="B512" i="2"/>
  <c r="B514" i="2"/>
  <c r="B515" i="2"/>
  <c r="B516" i="2"/>
  <c r="B520" i="2"/>
  <c r="B527" i="2"/>
  <c r="B362" i="2"/>
  <c r="B364" i="2"/>
  <c r="B370" i="2"/>
  <c r="B371" i="2"/>
  <c r="B372" i="2"/>
  <c r="B375" i="2"/>
  <c r="B376" i="2"/>
  <c r="B377" i="2"/>
  <c r="B382" i="2"/>
  <c r="B384" i="2"/>
  <c r="B385" i="2"/>
  <c r="B388" i="2"/>
  <c r="B392" i="2"/>
  <c r="B395" i="2"/>
  <c r="B396" i="2"/>
  <c r="B397" i="2"/>
  <c r="B398" i="2"/>
  <c r="B399" i="2"/>
  <c r="B403" i="2"/>
  <c r="B408" i="2"/>
  <c r="B412" i="2"/>
  <c r="B418" i="2"/>
  <c r="B420" i="2"/>
  <c r="B421" i="2"/>
  <c r="B428" i="2"/>
  <c r="B431" i="2"/>
  <c r="B432" i="2"/>
  <c r="B435" i="2"/>
  <c r="B436" i="2"/>
  <c r="B437" i="2"/>
  <c r="B443" i="2"/>
  <c r="B446" i="2"/>
  <c r="B447" i="2"/>
  <c r="B305" i="2"/>
  <c r="B307" i="2"/>
  <c r="B310" i="2"/>
  <c r="B314" i="2"/>
  <c r="B316" i="2"/>
  <c r="B320" i="2"/>
  <c r="B321" i="2"/>
  <c r="B322" i="2"/>
  <c r="B325" i="2"/>
  <c r="B326" i="2"/>
  <c r="B328" i="2"/>
  <c r="B329" i="2"/>
  <c r="B332" i="2"/>
  <c r="B334" i="2"/>
  <c r="B337" i="2"/>
  <c r="B338" i="2"/>
  <c r="B340" i="2"/>
  <c r="B343" i="2"/>
  <c r="B346" i="2"/>
  <c r="B347" i="2"/>
  <c r="B348" i="2"/>
  <c r="B350" i="2"/>
  <c r="B351" i="2"/>
  <c r="B352" i="2"/>
  <c r="B353" i="2"/>
  <c r="B355" i="2"/>
  <c r="B357" i="2"/>
  <c r="B359" i="2"/>
  <c r="B193" i="2"/>
  <c r="B194" i="2"/>
  <c r="B196" i="2"/>
  <c r="B199" i="2"/>
  <c r="B203" i="2"/>
  <c r="B205" i="2"/>
  <c r="B206" i="2"/>
  <c r="B212" i="2"/>
  <c r="B214" i="2"/>
  <c r="B220" i="2"/>
  <c r="B223" i="2"/>
  <c r="B227" i="2"/>
  <c r="B228" i="2"/>
  <c r="B236" i="2"/>
  <c r="B240" i="2"/>
  <c r="B242" i="2"/>
  <c r="B243" i="2"/>
  <c r="B252" i="2"/>
  <c r="B255" i="2"/>
  <c r="B259" i="2"/>
  <c r="B260" i="2"/>
  <c r="B263" i="2"/>
  <c r="B264" i="2"/>
  <c r="B265" i="2"/>
  <c r="B266" i="2"/>
  <c r="B273" i="2"/>
  <c r="B279" i="2"/>
  <c r="B282" i="2"/>
  <c r="B284" i="2"/>
  <c r="B285" i="2"/>
  <c r="B290" i="2"/>
  <c r="B294" i="2"/>
  <c r="B299" i="2"/>
  <c r="B300" i="2"/>
  <c r="B302" i="2"/>
  <c r="B303" i="2"/>
  <c r="B140" i="2"/>
  <c r="B142" i="2"/>
  <c r="B147" i="2"/>
  <c r="B148" i="2"/>
  <c r="B149" i="2"/>
  <c r="B152" i="2"/>
  <c r="B153" i="2"/>
  <c r="B154" i="2"/>
  <c r="B155" i="2"/>
  <c r="B160" i="2"/>
  <c r="B162" i="2"/>
  <c r="B166" i="2"/>
  <c r="B168" i="2"/>
  <c r="B169" i="2"/>
  <c r="B170" i="2"/>
  <c r="B171" i="2"/>
  <c r="B174" i="2"/>
  <c r="B177" i="2"/>
  <c r="B178" i="2"/>
  <c r="B179" i="2"/>
  <c r="B180" i="2"/>
  <c r="B183" i="2"/>
  <c r="B190" i="2"/>
  <c r="B191" i="2"/>
  <c r="B192" i="2"/>
  <c r="B429" i="2"/>
  <c r="B292" i="2"/>
  <c r="B473" i="2"/>
  <c r="B507" i="2"/>
  <c r="B200" i="2"/>
  <c r="B391" i="2"/>
  <c r="B83" i="2"/>
  <c r="B86" i="2"/>
  <c r="B87" i="2"/>
  <c r="B88" i="2"/>
  <c r="B92" i="2"/>
  <c r="B95" i="2"/>
  <c r="B96" i="2"/>
  <c r="B98" i="2"/>
  <c r="B100" i="2"/>
  <c r="B107" i="2"/>
  <c r="B113" i="2"/>
  <c r="B114" i="2"/>
  <c r="B115" i="2"/>
  <c r="B118" i="2"/>
  <c r="B120" i="2"/>
  <c r="B121" i="2"/>
  <c r="B125" i="2"/>
  <c r="B127" i="2"/>
  <c r="B129" i="2"/>
  <c r="B130" i="2"/>
  <c r="B139" i="2"/>
  <c r="B342" i="2"/>
  <c r="B349" i="2"/>
  <c r="B363" i="2"/>
  <c r="B366" i="2"/>
  <c r="B389" i="2"/>
  <c r="B394" i="2"/>
  <c r="B404" i="2"/>
  <c r="B407" i="2"/>
  <c r="B440" i="2"/>
  <c r="B450" i="2"/>
  <c r="B460" i="2"/>
  <c r="B471" i="2"/>
  <c r="B474" i="2"/>
  <c r="B491" i="2"/>
  <c r="B495" i="2"/>
  <c r="B498" i="2"/>
  <c r="B510" i="2"/>
  <c r="B517" i="2"/>
  <c r="B526" i="2"/>
  <c r="B105" i="2"/>
  <c r="B123" i="2"/>
  <c r="B532" i="2"/>
  <c r="B369" i="2"/>
  <c r="B109" i="2"/>
  <c r="B110" i="2"/>
  <c r="B117" i="2"/>
  <c r="B128" i="2"/>
  <c r="B133" i="2"/>
  <c r="B138" i="2"/>
  <c r="B161" i="2"/>
  <c r="B165" i="2"/>
  <c r="B175" i="2"/>
  <c r="B184" i="2"/>
  <c r="B188" i="2"/>
  <c r="B198" i="2"/>
  <c r="B208" i="2"/>
  <c r="B217" i="2"/>
  <c r="B221" i="2"/>
  <c r="B233" i="2"/>
  <c r="B234" i="2"/>
  <c r="B253" i="2"/>
  <c r="B256" i="2"/>
  <c r="B261" i="2"/>
  <c r="B268" i="2"/>
  <c r="B269" i="2"/>
  <c r="B276" i="2"/>
  <c r="B293" i="2"/>
  <c r="B295" i="2"/>
  <c r="B301" i="2"/>
  <c r="B309" i="2"/>
  <c r="B493" i="2"/>
  <c r="B500" i="2"/>
  <c r="B501" i="2"/>
  <c r="B502" i="2"/>
  <c r="B504" i="2"/>
  <c r="B505" i="2"/>
  <c r="B513" i="2"/>
  <c r="B518" i="2"/>
  <c r="B519" i="2"/>
  <c r="B521" i="2"/>
  <c r="B523" i="2"/>
  <c r="B524" i="2"/>
  <c r="B525" i="2"/>
  <c r="B528" i="2"/>
  <c r="B185" i="2"/>
  <c r="B386" i="2"/>
  <c r="B84" i="2"/>
  <c r="B85" i="2"/>
  <c r="B424" i="2"/>
  <c r="B430" i="2"/>
  <c r="B433" i="2"/>
  <c r="B439" i="2"/>
  <c r="B441" i="2"/>
  <c r="B444" i="2"/>
  <c r="B445" i="2"/>
  <c r="B448" i="2"/>
  <c r="B449" i="2"/>
  <c r="B454" i="2"/>
  <c r="B457" i="2"/>
  <c r="B458" i="2"/>
  <c r="B461" i="2"/>
  <c r="B463" i="2"/>
  <c r="B464" i="2"/>
  <c r="B469" i="2"/>
  <c r="B470" i="2"/>
  <c r="B472" i="2"/>
  <c r="B476" i="2"/>
  <c r="B477" i="2"/>
  <c r="B478" i="2"/>
  <c r="B479" i="2"/>
  <c r="B486" i="2"/>
  <c r="B487" i="2"/>
  <c r="B373" i="2"/>
  <c r="B378" i="2"/>
  <c r="B379" i="2"/>
  <c r="B380" i="2"/>
  <c r="B381" i="2"/>
  <c r="B390" i="2"/>
  <c r="B393" i="2"/>
  <c r="B400" i="2"/>
  <c r="B401" i="2"/>
  <c r="B402" i="2"/>
  <c r="B409" i="2"/>
  <c r="B410" i="2"/>
  <c r="B411" i="2"/>
  <c r="B413" i="2"/>
  <c r="B415" i="2"/>
  <c r="B419" i="2"/>
  <c r="B422" i="2"/>
  <c r="B423" i="2"/>
  <c r="B318" i="2"/>
  <c r="B319" i="2"/>
  <c r="B324" i="2"/>
  <c r="B330" i="2"/>
  <c r="B331" i="2"/>
  <c r="B333" i="2"/>
  <c r="B335" i="2"/>
  <c r="B336" i="2"/>
  <c r="B339" i="2"/>
  <c r="B341" i="2"/>
  <c r="B344" i="2"/>
  <c r="B354" i="2"/>
  <c r="B356" i="2"/>
  <c r="B360" i="2"/>
  <c r="B361" i="2"/>
  <c r="B367" i="2"/>
  <c r="B368" i="2"/>
  <c r="B247" i="2"/>
  <c r="B250" i="2"/>
  <c r="B251" i="2"/>
  <c r="B254" i="2"/>
  <c r="B257" i="2"/>
  <c r="B258" i="2"/>
  <c r="B262" i="2"/>
  <c r="B267" i="2"/>
  <c r="B271" i="2"/>
  <c r="B272" i="2"/>
  <c r="B274" i="2"/>
  <c r="B275" i="2"/>
  <c r="B278" i="2"/>
  <c r="B280" i="2"/>
  <c r="B281" i="2"/>
  <c r="B283" i="2"/>
  <c r="B286" i="2"/>
  <c r="B289" i="2"/>
  <c r="B291" i="2"/>
  <c r="B296" i="2"/>
  <c r="B297" i="2"/>
  <c r="B304" i="2"/>
  <c r="B308" i="2"/>
  <c r="B312" i="2"/>
  <c r="B313" i="2"/>
  <c r="B315" i="2"/>
  <c r="B317" i="2"/>
  <c r="B195" i="2"/>
  <c r="B197" i="2"/>
  <c r="B202" i="2"/>
  <c r="B207" i="2"/>
  <c r="B209" i="2"/>
  <c r="B210" i="2"/>
  <c r="B211" i="2"/>
  <c r="B213" i="2"/>
  <c r="B222" i="2"/>
  <c r="B224" i="2"/>
  <c r="B225" i="2"/>
  <c r="B226" i="2"/>
  <c r="B230" i="2"/>
  <c r="B231" i="2"/>
  <c r="B232" i="2"/>
  <c r="B239" i="2"/>
  <c r="B241" i="2"/>
  <c r="B244" i="2"/>
  <c r="B246" i="2"/>
  <c r="B91" i="2"/>
  <c r="B93" i="2"/>
  <c r="B94" i="2"/>
  <c r="B97" i="2"/>
  <c r="B101" i="2"/>
  <c r="B102" i="2"/>
  <c r="B103" i="2"/>
  <c r="B104" i="2"/>
  <c r="B106" i="2"/>
  <c r="B108" i="2"/>
  <c r="B111" i="2"/>
  <c r="B112" i="2"/>
  <c r="B122" i="2"/>
  <c r="B124" i="2"/>
  <c r="B126" i="2"/>
  <c r="B131" i="2"/>
  <c r="B134" i="2"/>
  <c r="B137" i="2"/>
  <c r="B141" i="2"/>
  <c r="B144" i="2"/>
  <c r="B151" i="2"/>
  <c r="B156" i="2"/>
  <c r="B157" i="2"/>
  <c r="B158" i="2"/>
  <c r="B163" i="2"/>
  <c r="B164" i="2"/>
  <c r="B167" i="2"/>
  <c r="B172" i="2"/>
  <c r="B176" i="2"/>
  <c r="B181" i="2"/>
  <c r="B186" i="2"/>
  <c r="B187" i="2"/>
  <c r="B189" i="2"/>
  <c r="B89" i="2"/>
</calcChain>
</file>

<file path=xl/sharedStrings.xml><?xml version="1.0" encoding="utf-8"?>
<sst xmlns="http://schemas.openxmlformats.org/spreadsheetml/2006/main" count="11148" uniqueCount="966">
  <si>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</si>
  <si>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</si>
  <si>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</si>
  <si>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</si>
  <si>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</si>
  <si>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</si>
  <si>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</si>
  <si>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</si>
  <si>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</si>
  <si>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</si>
  <si>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</si>
  <si>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</si>
  <si>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</si>
  <si>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</si>
  <si>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</si>
  <si>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</si>
  <si>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</si>
  <si>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</si>
  <si>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</si>
  <si>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</si>
  <si>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</si>
  <si>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</si>
  <si>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</si>
  <si>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</si>
  <si>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</si>
  <si>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</si>
  <si>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</si>
  <si>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</si>
  <si>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</si>
  <si>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</si>
  <si>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</si>
  <si>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</si>
  <si>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</si>
  <si>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</si>
  <si>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</si>
  <si>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</si>
  <si>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</si>
  <si>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</si>
  <si>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</si>
  <si>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</si>
  <si>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</si>
  <si>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JASON HOFFMANN</t>
  </si>
  <si>
    <t>RAJ CHUGH</t>
  </si>
  <si>
    <t>NA</t>
  </si>
  <si>
    <t>SAADIA ABDUL</t>
  </si>
  <si>
    <t>ACTIVE</t>
  </si>
  <si>
    <t>Humana MA 2019+ Level 15- 175/108 Repl 2024</t>
  </si>
  <si>
    <t>Monthly</t>
  </si>
  <si>
    <t>AV</t>
  </si>
  <si>
    <t>LINDA JEFFERS</t>
  </si>
  <si>
    <t>GARY PORTUGAL</t>
  </si>
  <si>
    <t>AUDREY LEWIS</t>
  </si>
  <si>
    <t>CYNTHIA KNORR</t>
  </si>
  <si>
    <t>ANNE MARIE KOZACHECK</t>
  </si>
  <si>
    <t>Humana MA 2019+ Level 15- 175/108</t>
  </si>
  <si>
    <t>CATHERINE HUTMACHER</t>
  </si>
  <si>
    <t>TIMOTHY HODGMAN</t>
  </si>
  <si>
    <t>CYNTHIA DAVIS-JACKSON</t>
  </si>
  <si>
    <t>CAROL FOLEY</t>
  </si>
  <si>
    <t>MARY MCPARTLAN</t>
  </si>
  <si>
    <t>DAVID DREXLER</t>
  </si>
  <si>
    <t>SCOTT AGUGLIA</t>
  </si>
  <si>
    <t>RODNEY VICTOR</t>
  </si>
  <si>
    <t>RICHARD YALE</t>
  </si>
  <si>
    <t>NESTOR RAMORAN</t>
  </si>
  <si>
    <t>RICARDO SANTOS</t>
  </si>
  <si>
    <t>LOURDES RAMORAN</t>
  </si>
  <si>
    <t>KATHY DEJESUS</t>
  </si>
  <si>
    <t>FRANK LISKOVEC</t>
  </si>
  <si>
    <t>AMY REED-HOGREFE</t>
  </si>
  <si>
    <t>BARRY SCHUMANN</t>
  </si>
  <si>
    <t>PAUL HALL</t>
  </si>
  <si>
    <t>CHRISTIAN TAUGNER</t>
  </si>
  <si>
    <t>JUDI DELTORO</t>
  </si>
  <si>
    <t>STACEY PORTUGAL</t>
  </si>
  <si>
    <t>IULIANA ACHIMAS</t>
  </si>
  <si>
    <t>LAURA SEWALL</t>
  </si>
  <si>
    <t>MARY ALAGHEBAND</t>
  </si>
  <si>
    <t>ZELDA WILLIAMS</t>
  </si>
  <si>
    <t>DAVID GREENSPAN</t>
  </si>
  <si>
    <t>ALEJOS MARTINEZ</t>
  </si>
  <si>
    <t>JEFFREY LERNER</t>
  </si>
  <si>
    <t>ROSE FREIMAN</t>
  </si>
  <si>
    <t>JOHN ARNOTT</t>
  </si>
  <si>
    <t>FL</t>
  </si>
  <si>
    <t>UHC PDP Street payable to upline - 2025 Replace</t>
  </si>
  <si>
    <t>7/12 PRORATE</t>
  </si>
  <si>
    <t>UHC PDP Direct 2024 New Initial Prorated</t>
  </si>
  <si>
    <t>KATHY SCHAFER</t>
  </si>
  <si>
    <t>IL</t>
  </si>
  <si>
    <t>MICHAEL DUNAVANT</t>
  </si>
  <si>
    <t>9/12 PRORATE</t>
  </si>
  <si>
    <t>DORINE PRITTS</t>
  </si>
  <si>
    <t>PA</t>
  </si>
  <si>
    <t>TIMOTHY POWERS</t>
  </si>
  <si>
    <t>Aetna MAPD NMO to GMO - 4-1-23+  Replace E-App</t>
  </si>
  <si>
    <t>ADELINA PAMINTUAN</t>
  </si>
  <si>
    <t>STEPHANIE DRAPAC</t>
  </si>
  <si>
    <t>THOMAS CRUM</t>
  </si>
  <si>
    <t>ANTHONY HUNSBERGER</t>
  </si>
  <si>
    <t>VEENA SHAH</t>
  </si>
  <si>
    <t>PATRICIA CRUM</t>
  </si>
  <si>
    <t>MICHAEL ADAMS</t>
  </si>
  <si>
    <t>JEFFREY HORN</t>
  </si>
  <si>
    <t>LAURA DICICCO</t>
  </si>
  <si>
    <t>CAROLYN RANDLE</t>
  </si>
  <si>
    <t>GREGORY HANSFORD</t>
  </si>
  <si>
    <t>BART SECHRIST</t>
  </si>
  <si>
    <t>MICHELLE MCCORKLE</t>
  </si>
  <si>
    <t>Aetna MAPD NMO to GMO - 4-1-23+  Replace Paper</t>
  </si>
  <si>
    <t>10/12 PRORATE</t>
  </si>
  <si>
    <t>YAZHOU FU</t>
  </si>
  <si>
    <t>MD</t>
  </si>
  <si>
    <t>RONALD MAX</t>
  </si>
  <si>
    <t>MARY DELANO</t>
  </si>
  <si>
    <t>JULIE MCNEILL</t>
  </si>
  <si>
    <t>SHARON GRAFE</t>
  </si>
  <si>
    <t>KS</t>
  </si>
  <si>
    <t>GREGORY TEIPEL</t>
  </si>
  <si>
    <t>8/12 PRORATE</t>
  </si>
  <si>
    <t>KEVIN WATSON</t>
  </si>
  <si>
    <t>SANDRA JOHNSEN</t>
  </si>
  <si>
    <t>WI</t>
  </si>
  <si>
    <t>UHC MAPD Street payable to upline- 2025 Replace</t>
  </si>
  <si>
    <t>UHC MA Direct 2024 New Full</t>
  </si>
  <si>
    <t>CAROLINE LAGUIMON</t>
  </si>
  <si>
    <t>LA</t>
  </si>
  <si>
    <t>MARCO AMAYA</t>
  </si>
  <si>
    <t>TX</t>
  </si>
  <si>
    <t>DOLORES DUNBAR</t>
  </si>
  <si>
    <t>UHC MA Direct 2024 New Initial Prorated</t>
  </si>
  <si>
    <t>WAYNE PALLADINO</t>
  </si>
  <si>
    <t>MARTHA COHEN</t>
  </si>
  <si>
    <t>CO</t>
  </si>
  <si>
    <t>JOEL LEE</t>
  </si>
  <si>
    <t>ALLEN COHEN</t>
  </si>
  <si>
    <t>RICARDO SANCHEZ</t>
  </si>
  <si>
    <t>ESTHER HERRERA-LARSEN</t>
  </si>
  <si>
    <t>ANTHONY SCIARRONE</t>
  </si>
  <si>
    <t>DALE WALENGA</t>
  </si>
  <si>
    <t>UHC AARP Med Supp IL Area 1  2025- Plan N</t>
  </si>
  <si>
    <t>SHARON MCGINLEY</t>
  </si>
  <si>
    <t>UHC AARP Med Supp FL Area 1- Plan  B C F G</t>
  </si>
  <si>
    <t>LINDA VANDEWALKER</t>
  </si>
  <si>
    <t>UHC AARP Med Supp IL Area 1- Plan  B C F G</t>
  </si>
  <si>
    <t>NANCY GREENFIELD</t>
  </si>
  <si>
    <t>CB</t>
  </si>
  <si>
    <t>ROBERT DOENITZ</t>
  </si>
  <si>
    <t>CHARGEBACK</t>
  </si>
  <si>
    <t>SANDRA DEAN</t>
  </si>
  <si>
    <t>PRISCILLA HOOVER</t>
  </si>
  <si>
    <t>JENNIE MATHIAS</t>
  </si>
  <si>
    <t>JONATHAN ALOFF</t>
  </si>
  <si>
    <t>DENNIS HOLYN</t>
  </si>
  <si>
    <t>TODORKA STAMOVA</t>
  </si>
  <si>
    <t>TORRES GALINDO</t>
  </si>
  <si>
    <t>JOSE TORRES</t>
  </si>
  <si>
    <t>LE TRIEU-TRINH</t>
  </si>
  <si>
    <t>MARY DERDA</t>
  </si>
  <si>
    <t>PAUL ROBINSON</t>
  </si>
  <si>
    <t>JAMES DRESSER</t>
  </si>
  <si>
    <t>PAMELA DEATON</t>
  </si>
  <si>
    <t>Aetna MAPD NMO to GMO - 4-1-23+  New E-App</t>
  </si>
  <si>
    <t>SHIRLEY WILLIAMS</t>
  </si>
  <si>
    <t>RANDY TAPPER</t>
  </si>
  <si>
    <t>KELLIE RHODES</t>
  </si>
  <si>
    <t>MEREDITH WALTERS</t>
  </si>
  <si>
    <t>UHC MAPD Street payable to upline- 2025 Pro New</t>
  </si>
  <si>
    <t>JIMMIE PERKINS</t>
  </si>
  <si>
    <t>UHC MA Direct 2024 New Prorated</t>
  </si>
  <si>
    <t>WILLIAM WHITE</t>
  </si>
  <si>
    <t>GRACIANO SOTO-ANDRADE</t>
  </si>
  <si>
    <t>HOLLY STANTON</t>
  </si>
  <si>
    <t>THOMAS FLEMING</t>
  </si>
  <si>
    <t>ISABEL SORRENTINO</t>
  </si>
  <si>
    <t>PAULINE SAYLES</t>
  </si>
  <si>
    <t>DAISY GARCIA</t>
  </si>
  <si>
    <t>HEATHER GESKE</t>
  </si>
  <si>
    <t>GARY MONTOYA</t>
  </si>
  <si>
    <t>JANICE COHEN</t>
  </si>
  <si>
    <t>KATHY SIBBLE</t>
  </si>
  <si>
    <t>THOMAS HINKLE</t>
  </si>
  <si>
    <t>TIMOTHY STANGL</t>
  </si>
  <si>
    <t>EDMUNDO NORIEGA-GARCIA</t>
  </si>
  <si>
    <t>MYRNA HECKMAN</t>
  </si>
  <si>
    <t>ERIN BRICKER</t>
  </si>
  <si>
    <t>UHC AARP Med Supp IL Area 2  2025- Plan B C F G Select G</t>
  </si>
  <si>
    <t>ANNETT SCHMIT</t>
  </si>
  <si>
    <t>BERNARDO VALLETTA</t>
  </si>
  <si>
    <t>UHC AARP Med Supp FL Area 4- Plan  B C F G</t>
  </si>
  <si>
    <t>UHC MAPD Street payable to upline - 2025 New</t>
  </si>
  <si>
    <t>DEBORAH INSKIPT</t>
  </si>
  <si>
    <t>SC</t>
  </si>
  <si>
    <t>DAVID SINKAVICH</t>
  </si>
  <si>
    <t>TN</t>
  </si>
  <si>
    <t>WILLIAM SHAW</t>
  </si>
  <si>
    <t>6/12 PRORATE</t>
  </si>
  <si>
    <t>KATHERINE WHITE</t>
  </si>
  <si>
    <t>JACOB YALE</t>
  </si>
  <si>
    <t>HOWARD KAISER</t>
  </si>
  <si>
    <t>JEFF DEWEY</t>
  </si>
  <si>
    <t>MINHTHU PHAM</t>
  </si>
  <si>
    <t>NORMAN VINTON</t>
  </si>
  <si>
    <t>NJ</t>
  </si>
  <si>
    <t>JEANNE BRAMBLEY</t>
  </si>
  <si>
    <t>UHC MAPD Street payable to upline NJ- 2025 Replace</t>
  </si>
  <si>
    <t>Cigna MAPD FMO to GA 1-1-19+ - New</t>
  </si>
  <si>
    <t>TIMOTHY HOWE</t>
  </si>
  <si>
    <t>MARSHA MAIOLI</t>
  </si>
  <si>
    <t>MARGARET SMITH</t>
  </si>
  <si>
    <t>BRENDA VRONOSKI</t>
  </si>
  <si>
    <t>IA</t>
  </si>
  <si>
    <t>TONI WESTBAY</t>
  </si>
  <si>
    <t>ELAINE COOK</t>
  </si>
  <si>
    <t>CRAIG COOK</t>
  </si>
  <si>
    <t>IAN CRIGHTON</t>
  </si>
  <si>
    <t>WILLIAM KRIVANEK</t>
  </si>
  <si>
    <t>DIANNE KRIVANEK</t>
  </si>
  <si>
    <t>ANDREW CHOI</t>
  </si>
  <si>
    <t>MAUREEN RUSNAK</t>
  </si>
  <si>
    <t>STEPHANIE ADAMS</t>
  </si>
  <si>
    <t>GLORIA SZCZEPANSKI</t>
  </si>
  <si>
    <t>JACK DESIK</t>
  </si>
  <si>
    <t>STEVE STAHURSKY</t>
  </si>
  <si>
    <t>JOSEPH TAVORMINA</t>
  </si>
  <si>
    <t>UHC PDP Direct 2024 New Full</t>
  </si>
  <si>
    <t>ANDREA PETRUNGARO</t>
  </si>
  <si>
    <t>ERNEST GABOURY</t>
  </si>
  <si>
    <t>UHC PDP Street payable to upline - 2025 New</t>
  </si>
  <si>
    <t>VEDANAND SINGH</t>
  </si>
  <si>
    <t>TEENA ROSS</t>
  </si>
  <si>
    <t>DONNA FLINN</t>
  </si>
  <si>
    <t>CATHERINE KAPPELER</t>
  </si>
  <si>
    <t>ROBERT OSTENSEN</t>
  </si>
  <si>
    <t>TIM JOHNSON</t>
  </si>
  <si>
    <t>MICHAEL WALSH</t>
  </si>
  <si>
    <t>DEANNA WILTGEN</t>
  </si>
  <si>
    <t>DEMOS BOURLOKAS</t>
  </si>
  <si>
    <t>DAVID JANKURA</t>
  </si>
  <si>
    <t>MARK CARR</t>
  </si>
  <si>
    <t>NICHOLAS HEDERMAN</t>
  </si>
  <si>
    <t>JOSEPH MAROLA</t>
  </si>
  <si>
    <t>VANETTA PINN</t>
  </si>
  <si>
    <t>FRANK JERZ</t>
  </si>
  <si>
    <t>BRIAN STROHMAN</t>
  </si>
  <si>
    <t>PAMELA HARRIS</t>
  </si>
  <si>
    <t>DANIELA BURTON</t>
  </si>
  <si>
    <t>VIDOSAVA MAISLINGER</t>
  </si>
  <si>
    <t>Per MAR 2025 UHC MA Stmt</t>
  </si>
  <si>
    <t>UHC AARP Med Supp PA Area 3 2025- Plan  N internal repl</t>
  </si>
  <si>
    <t>Active</t>
  </si>
  <si>
    <t>JAMES PALMER</t>
  </si>
  <si>
    <t>RN</t>
  </si>
  <si>
    <t>UHC AARP Med Supp IL Area 1- Plan  B C F G internal repl</t>
  </si>
  <si>
    <t>JEAN BRINKMEIER</t>
  </si>
  <si>
    <t>UHC AARP Med Supp PA Area 3 2024- Plan  BC F G internal repl</t>
  </si>
  <si>
    <t>KATHY SHELDON</t>
  </si>
  <si>
    <t>DARLENE BRANDENBURG</t>
  </si>
  <si>
    <t>UHC MAPD Street payable to upline- 2024 Pro New</t>
  </si>
  <si>
    <t>JAMES MAZANEK</t>
  </si>
  <si>
    <t>UHC MAPD Street payable to upline- 2024 Replace</t>
  </si>
  <si>
    <t>CONSTANCE OBRIEN</t>
  </si>
  <si>
    <t>UHC MAPD Street payable to upline - 2024 New</t>
  </si>
  <si>
    <t>GERALD BOND</t>
  </si>
  <si>
    <t>MELINDA VLAHON</t>
  </si>
  <si>
    <t>SD</t>
  </si>
  <si>
    <t>DAVID BOWLING</t>
  </si>
  <si>
    <t>RONALD PLAISTED</t>
  </si>
  <si>
    <t>SHIRLEY ANDERSON</t>
  </si>
  <si>
    <t>JULIE TYLER</t>
  </si>
  <si>
    <t>Per ANTHEM HFG RN 03/20/2025 STMT</t>
  </si>
  <si>
    <t>Anthem MA 2023</t>
  </si>
  <si>
    <t>RICHARD LOWRY</t>
  </si>
  <si>
    <t>JANICE PLAISTED</t>
  </si>
  <si>
    <t>SANDRA LYTLE</t>
  </si>
  <si>
    <t>UHC MAPD Street payable to upline PA/CT- 2024 New</t>
  </si>
  <si>
    <t>KRISTIE BERGER</t>
  </si>
  <si>
    <t>MICHAEL SOLL</t>
  </si>
  <si>
    <t>Anthem MA 2025</t>
  </si>
  <si>
    <t>KEVIN PIERCE</t>
  </si>
  <si>
    <t>STEPHEN PERRENOUD</t>
  </si>
  <si>
    <t>OH</t>
  </si>
  <si>
    <t>THOMAS PROFFITT</t>
  </si>
  <si>
    <t>CATHY LEMON</t>
  </si>
  <si>
    <t>KEITH MOORE</t>
  </si>
  <si>
    <t>LENDAYSHA TAYLOR</t>
  </si>
  <si>
    <t>Aetna NEG Bonus Upload 04-15-2025.xlsx</t>
  </si>
  <si>
    <t>PATRICIA SCHAEFER</t>
  </si>
  <si>
    <t>Per Aetna MAR 2025 Statement</t>
  </si>
  <si>
    <t>KATHERINE MAY</t>
  </si>
  <si>
    <t>TIM PRICE</t>
  </si>
  <si>
    <t>EDWARD SCHAEFER</t>
  </si>
  <si>
    <t>ALISON SPARKS</t>
  </si>
  <si>
    <t>KASSY KREUTZ HEISTER</t>
  </si>
  <si>
    <t>FREDERICK SICILIANO</t>
  </si>
  <si>
    <t>MATTHEW DAUGHERTY</t>
  </si>
  <si>
    <t>MARY WEATHERSTONE</t>
  </si>
  <si>
    <t>GREGORY PETERSON</t>
  </si>
  <si>
    <t>JAMES CROUT</t>
  </si>
  <si>
    <t>ELISE CLANCY</t>
  </si>
  <si>
    <t>BARBARA ZEJER</t>
  </si>
  <si>
    <t>VICKI SKINNER</t>
  </si>
  <si>
    <t>RONALD MESHENBERG</t>
  </si>
  <si>
    <t>JOHN VLAHOS</t>
  </si>
  <si>
    <t>GLORIA MARSHALL</t>
  </si>
  <si>
    <t>JAMES RAUSCH</t>
  </si>
  <si>
    <t>SCOTT DOLGE</t>
  </si>
  <si>
    <t>TERESE PINTA</t>
  </si>
  <si>
    <t>Aetna MAPD NMO to GMO - 4-1-23+  New Paper</t>
  </si>
  <si>
    <t>ELENI VETTAS</t>
  </si>
  <si>
    <t>LINDA SZYJKO</t>
  </si>
  <si>
    <t>STEVEN HOMISON</t>
  </si>
  <si>
    <t>KILEY ORTIZ</t>
  </si>
  <si>
    <t>ADAM RICHTER</t>
  </si>
  <si>
    <t>JUDITH RIDDLEBERGER</t>
  </si>
  <si>
    <t>AL</t>
  </si>
  <si>
    <t>ROGER PHELPS</t>
  </si>
  <si>
    <t>POLLY NEISER</t>
  </si>
  <si>
    <t>MARGARET JEDRZEJCZAK</t>
  </si>
  <si>
    <t>WILFRED FAHRNEY</t>
  </si>
  <si>
    <t>RUSSELL WILLIFORD</t>
  </si>
  <si>
    <t>MARY KWIATKOWSKI</t>
  </si>
  <si>
    <t>NAOMI SHERIDAN SALMAN</t>
  </si>
  <si>
    <t>KY</t>
  </si>
  <si>
    <t>KIMBERLY HUFF</t>
  </si>
  <si>
    <t>JEFFREY RAGAZZINI</t>
  </si>
  <si>
    <t>SANDRA FODSE</t>
  </si>
  <si>
    <t>JIM MCDONALD</t>
  </si>
  <si>
    <t>PEGGY OBRIEN</t>
  </si>
  <si>
    <t>VICTORIA PRIGG</t>
  </si>
  <si>
    <t>CHARLES WOLNI</t>
  </si>
  <si>
    <t>IN</t>
  </si>
  <si>
    <t>JOHN PRINZ</t>
  </si>
  <si>
    <t>THERESA PRINZ</t>
  </si>
  <si>
    <t>ARNOLD ALOFF</t>
  </si>
  <si>
    <t>COLLEEN KUHNS</t>
  </si>
  <si>
    <t>MARIBEL JIMENEZ</t>
  </si>
  <si>
    <t>RAYMOND WHALEN</t>
  </si>
  <si>
    <t>MARTHA BEARDMORE</t>
  </si>
  <si>
    <t>SCOTT WALLACH</t>
  </si>
  <si>
    <t>BRIAN PISOR</t>
  </si>
  <si>
    <t>CYNTHIA KING</t>
  </si>
  <si>
    <t>MICHAEL BULL</t>
  </si>
  <si>
    <t>PETER RICHTER</t>
  </si>
  <si>
    <t>MARK KESSLER</t>
  </si>
  <si>
    <t>CAVRIES PERLIE</t>
  </si>
  <si>
    <t>DEBORAH CHILENSKY</t>
  </si>
  <si>
    <t>THOMAS WELCH</t>
  </si>
  <si>
    <t>MARK WACHOWICZ</t>
  </si>
  <si>
    <t>DEBORAH MIHALKO</t>
  </si>
  <si>
    <t>RACHEL RIEDLER</t>
  </si>
  <si>
    <t>BANK JANI</t>
  </si>
  <si>
    <t>PAUL WITTMER</t>
  </si>
  <si>
    <t>ELIZABETH BRIDGES</t>
  </si>
  <si>
    <t>JOHN ROBERT OSTERKAMP</t>
  </si>
  <si>
    <t>JESUS GUILLEN</t>
  </si>
  <si>
    <t>MARIA GUILLEN</t>
  </si>
  <si>
    <t>MARY HEARN</t>
  </si>
  <si>
    <t>DOLORES BOLDEN</t>
  </si>
  <si>
    <t>DIANA BORJON</t>
  </si>
  <si>
    <t>PETER MALONE</t>
  </si>
  <si>
    <t>DOUGLAS LEIN</t>
  </si>
  <si>
    <t>PAULA ROPPO</t>
  </si>
  <si>
    <t>MICHAEL BIESCHKE</t>
  </si>
  <si>
    <t>ANN GORDON</t>
  </si>
  <si>
    <t>PATRICIA KRAUSE</t>
  </si>
  <si>
    <t>KEITH MACPHAIL</t>
  </si>
  <si>
    <t>JEFFREY KRAUSE</t>
  </si>
  <si>
    <t>LORI BRYNICZKA</t>
  </si>
  <si>
    <t>NC</t>
  </si>
  <si>
    <t>PAUL MYRICK</t>
  </si>
  <si>
    <t>LILLIAN PHELPS</t>
  </si>
  <si>
    <t>SHARON SAMKO</t>
  </si>
  <si>
    <t>WILLIAM SAMKO</t>
  </si>
  <si>
    <t>MARILYN DAVIDSON</t>
  </si>
  <si>
    <t>GA</t>
  </si>
  <si>
    <t>BARRY RHOADES</t>
  </si>
  <si>
    <t>CHRISTOPHER PICCOLI</t>
  </si>
  <si>
    <t>JAMES MCATEE</t>
  </si>
  <si>
    <t>TRACEY BROCKMAN</t>
  </si>
  <si>
    <t>ROXANN ROBINSON</t>
  </si>
  <si>
    <t>WILLIAM DOBLER</t>
  </si>
  <si>
    <t>KATHLEEN MORAN</t>
  </si>
  <si>
    <t>THOMAS SELLERS</t>
  </si>
  <si>
    <t>JAMES BLESSINGTON</t>
  </si>
  <si>
    <t>RICHARD MARSHALL</t>
  </si>
  <si>
    <t>SHARYN MCGALLIS</t>
  </si>
  <si>
    <t>SUSAN HOEPPNER</t>
  </si>
  <si>
    <t>SONYA BOOKER</t>
  </si>
  <si>
    <t>REBECCA MANKO</t>
  </si>
  <si>
    <t>FELIX SCIULLO</t>
  </si>
  <si>
    <t>THERESA CARDIN</t>
  </si>
  <si>
    <t>ADOLFO GALARZA</t>
  </si>
  <si>
    <t>LUANN MARZULLO</t>
  </si>
  <si>
    <t>MO</t>
  </si>
  <si>
    <t>KENNY ASHLOCK</t>
  </si>
  <si>
    <t>CHIANITA HARRELL</t>
  </si>
  <si>
    <t>DONNA ROUSSARIE</t>
  </si>
  <si>
    <t>KATHRYN SAUNIER</t>
  </si>
  <si>
    <t>KENNETH GRUDOWSKI</t>
  </si>
  <si>
    <t>PETER PRIBILA</t>
  </si>
  <si>
    <t>SUSAN BETTENHAUSEN</t>
  </si>
  <si>
    <t>LORI FITZ</t>
  </si>
  <si>
    <t>ANITA ADAMS</t>
  </si>
  <si>
    <t>KATHLEEN PLOCHARSKI</t>
  </si>
  <si>
    <t>TIM ANDERSON</t>
  </si>
  <si>
    <t>CYNTHIA FEESER</t>
  </si>
  <si>
    <t>LOIS STEPHENS</t>
  </si>
  <si>
    <t>NORINE LISCHY</t>
  </si>
  <si>
    <t>DEBRA PROTZMAN</t>
  </si>
  <si>
    <t>LINDA MIHALKA</t>
  </si>
  <si>
    <t>ROY KIMBROUGH</t>
  </si>
  <si>
    <t>PHILIP ANGELINI</t>
  </si>
  <si>
    <t>KAREN HADAWAY</t>
  </si>
  <si>
    <t>BRUCE WICKLINE</t>
  </si>
  <si>
    <t>SHARON LINK</t>
  </si>
  <si>
    <t>GORDON PANEI</t>
  </si>
  <si>
    <t>ELIZABETH RICHTER</t>
  </si>
  <si>
    <t>DAVID WOITASZEK</t>
  </si>
  <si>
    <t>GUADALUPE FONG</t>
  </si>
  <si>
    <t>PAULA ANGELINI</t>
  </si>
  <si>
    <t>BILLY FONG</t>
  </si>
  <si>
    <t>RAYLENE MILLER</t>
  </si>
  <si>
    <t>WILLIAM BROWN</t>
  </si>
  <si>
    <t>MARY RUCH</t>
  </si>
  <si>
    <t>BARBARA STOICA</t>
  </si>
  <si>
    <t>KIRBY PASCUS</t>
  </si>
  <si>
    <t>NE</t>
  </si>
  <si>
    <t>SUSAN LARGEN</t>
  </si>
  <si>
    <t>RENEE RITCHEY</t>
  </si>
  <si>
    <t>CYNDIE SIMMONS</t>
  </si>
  <si>
    <t>JOHN STEINER</t>
  </si>
  <si>
    <t>RUTH MICHLER</t>
  </si>
  <si>
    <t>KAREN KUSH</t>
  </si>
  <si>
    <t>NANCY JOHNSON</t>
  </si>
  <si>
    <t>TERESA YAROSCHAK</t>
  </si>
  <si>
    <t>DANIEL ROTHRAUFF</t>
  </si>
  <si>
    <t>ANTHONY ROMEO</t>
  </si>
  <si>
    <t>BRUCE SHAFFER</t>
  </si>
  <si>
    <t>JEFFREY DISSELHORST</t>
  </si>
  <si>
    <t>JAMES MCDONOUGH</t>
  </si>
  <si>
    <t>LORI NELSON</t>
  </si>
  <si>
    <t>AMY GIAMMATTEI</t>
  </si>
  <si>
    <t>ELIZABETH SYCHAK</t>
  </si>
  <si>
    <t>JOHN HAYS</t>
  </si>
  <si>
    <t>NANCY WILSON</t>
  </si>
  <si>
    <t>LAURIE HURWITZ WHITE</t>
  </si>
  <si>
    <t>BEEBEE KHODABUKUS</t>
  </si>
  <si>
    <t>JOHN BRENCHAK</t>
  </si>
  <si>
    <t>TIMOTHY GORDON</t>
  </si>
  <si>
    <t>THOMAS KUCAN</t>
  </si>
  <si>
    <t>DIANE PAULERO</t>
  </si>
  <si>
    <t>WALLACE ANDERSON</t>
  </si>
  <si>
    <t>CATHY WURMB</t>
  </si>
  <si>
    <t>JAMES MILLER</t>
  </si>
  <si>
    <t>ROBERT BOYLE</t>
  </si>
  <si>
    <t>LESLIE PARK</t>
  </si>
  <si>
    <t>DAVID BOLFING</t>
  </si>
  <si>
    <t>MILLIE PARROTT</t>
  </si>
  <si>
    <t>JACK PARROTT</t>
  </si>
  <si>
    <t>JULIA ROSS</t>
  </si>
  <si>
    <t>MARIAN YUROSKY</t>
  </si>
  <si>
    <t>RONALD DUESENBERRY</t>
  </si>
  <si>
    <t>TERRY NEY</t>
  </si>
  <si>
    <t>FRANK BUCK</t>
  </si>
  <si>
    <t>EVELYN GRIFFITHS</t>
  </si>
  <si>
    <t>NANCY WONG</t>
  </si>
  <si>
    <t>JANET WIKERT</t>
  </si>
  <si>
    <t>HEMA WOODWARD</t>
  </si>
  <si>
    <t>JOYCE GIESLER</t>
  </si>
  <si>
    <t>JOSEPH KOLODZIEJCZYK</t>
  </si>
  <si>
    <t>STEPHEN GREEN</t>
  </si>
  <si>
    <t>RUSSELL HEARN</t>
  </si>
  <si>
    <t>Humana MAR 2025 Statement</t>
  </si>
  <si>
    <t>RALPH RICHMOND</t>
  </si>
  <si>
    <t>JAMES BECKWITH</t>
  </si>
  <si>
    <t>DOLORES DUNCAN</t>
  </si>
  <si>
    <t>JAMES HARBACEK</t>
  </si>
  <si>
    <t>ANTONIO SANCHEZ</t>
  </si>
  <si>
    <t>PAUL BORASH</t>
  </si>
  <si>
    <t>JUAN WILSON</t>
  </si>
  <si>
    <t>LORRAINE HACKMAN</t>
  </si>
  <si>
    <t>MARY LUPOU</t>
  </si>
  <si>
    <t>LINDA HOEKS</t>
  </si>
  <si>
    <t>ANTHONY LEONE</t>
  </si>
  <si>
    <t>MARILYN SCHUMM</t>
  </si>
  <si>
    <t>AUDREY RIDLEN</t>
  </si>
  <si>
    <t>MALGORZATA GONET</t>
  </si>
  <si>
    <t>ADELAIDA SILVA</t>
  </si>
  <si>
    <t>DONNA DRUCKER</t>
  </si>
  <si>
    <t>NICOMEDES SILVA</t>
  </si>
  <si>
    <t>KATHY VANHORN</t>
  </si>
  <si>
    <t>DEBORAH BARCLAY</t>
  </si>
  <si>
    <t>THEROLD RATHGEB</t>
  </si>
  <si>
    <t>EUGENE JACKSON</t>
  </si>
  <si>
    <t>TERRI EATON</t>
  </si>
  <si>
    <t>ROBIN DIEDERICH</t>
  </si>
  <si>
    <t>CHRISTY CHUBICK</t>
  </si>
  <si>
    <t>PATSAMON THANADABOUTH</t>
  </si>
  <si>
    <t>PHOUTHONE PHOMSOPHA</t>
  </si>
  <si>
    <t>SAM PHOMSOPHA</t>
  </si>
  <si>
    <t>JOHN MCGARY</t>
  </si>
  <si>
    <t>MARY PAUL</t>
  </si>
  <si>
    <t>ANNETTE BOWLING</t>
  </si>
  <si>
    <t>GUY MAES</t>
  </si>
  <si>
    <t>RICKY ORLANDO</t>
  </si>
  <si>
    <t>DRAGISA PAVLOVIC</t>
  </si>
  <si>
    <t>DOREEN PUDLOWSKI</t>
  </si>
  <si>
    <t>PATRICIA NOLAND</t>
  </si>
  <si>
    <t>BETTY FIGUEROA</t>
  </si>
  <si>
    <t>DALE KLUGA</t>
  </si>
  <si>
    <t>Humana MAPD Street payable to upline - 2024 New</t>
  </si>
  <si>
    <t>SHERYL MANNERINO</t>
  </si>
  <si>
    <t>JOSEPH MANNERINO</t>
  </si>
  <si>
    <t>HENRY ASEGA</t>
  </si>
  <si>
    <t>JR REIF</t>
  </si>
  <si>
    <t>CARRIE STEPHENS</t>
  </si>
  <si>
    <t>MARCO SANCHEZ</t>
  </si>
  <si>
    <t>JOHN SMITH</t>
  </si>
  <si>
    <t>LISA CAVITT</t>
  </si>
  <si>
    <t>PATRICK OTTO</t>
  </si>
  <si>
    <t>SUSAN MADETE</t>
  </si>
  <si>
    <t>ELLEN SHAKER</t>
  </si>
  <si>
    <t>MARGARET GARRITY</t>
  </si>
  <si>
    <t>SHIRLEY SHELTON</t>
  </si>
  <si>
    <t>MARCELINO CENTENO</t>
  </si>
  <si>
    <t>LORI RODGERS</t>
  </si>
  <si>
    <t>MAURICE ENWIA</t>
  </si>
  <si>
    <t>JEFFREY GILBERT</t>
  </si>
  <si>
    <t>SHAZIA SHAHRUKH</t>
  </si>
  <si>
    <t>MIKE FOLLANSBEE</t>
  </si>
  <si>
    <t>SUZI FRIESE</t>
  </si>
  <si>
    <t>STEVEN WERNER</t>
  </si>
  <si>
    <t>EVELYN GLOVER</t>
  </si>
  <si>
    <t>RUMPIN BUNYAVONG</t>
  </si>
  <si>
    <t>FARZANA AKRAM</t>
  </si>
  <si>
    <t>SALLY FISHER-PLANIC</t>
  </si>
  <si>
    <t>JAMES HILBURN</t>
  </si>
  <si>
    <t>MARY GERAGHTY</t>
  </si>
  <si>
    <t>THOMAS BRISCOE</t>
  </si>
  <si>
    <t>DEBBY SHEDD</t>
  </si>
  <si>
    <t>ALEX YAKULIS</t>
  </si>
  <si>
    <t>JEFFREY PATRICK</t>
  </si>
  <si>
    <t>LESLIE IANNACE</t>
  </si>
  <si>
    <t>JEANA LASSITER</t>
  </si>
  <si>
    <t>MARK VANDERPLUYM</t>
  </si>
  <si>
    <t>TERRY ROSS</t>
  </si>
  <si>
    <t>C CHADDERDON GAITSCH</t>
  </si>
  <si>
    <t>MICHAEL WELCH</t>
  </si>
  <si>
    <t>STEVE ZAFIRIADIS</t>
  </si>
  <si>
    <t>TRACEY BROWN</t>
  </si>
  <si>
    <t>KEITH DONOVAN</t>
  </si>
  <si>
    <t>GAY BAKKER</t>
  </si>
  <si>
    <t>KENNETH WONG</t>
  </si>
  <si>
    <t>JUAN REYNA</t>
  </si>
  <si>
    <t>PAUL ARNOLD</t>
  </si>
  <si>
    <t>PATRICIA LONG</t>
  </si>
  <si>
    <t>RAYMOND HOCK</t>
  </si>
  <si>
    <t>TERESA DRAGONETTI</t>
  </si>
  <si>
    <t>EDWARD RYAN</t>
  </si>
  <si>
    <t>DONNA CHILDS</t>
  </si>
  <si>
    <t>TERRANCE HALLMAN</t>
  </si>
  <si>
    <t>ALEXANDER RANCE</t>
  </si>
  <si>
    <t>PATRICK JOCHUM</t>
  </si>
  <si>
    <t>EDITA VALENZUELA</t>
  </si>
  <si>
    <t>GIL VALENZUELA</t>
  </si>
  <si>
    <t>MARSHA WEBSTER</t>
  </si>
  <si>
    <t>KRISTY DOLPH</t>
  </si>
  <si>
    <t>PERIKLI HAXHI</t>
  </si>
  <si>
    <t>TERRY BRYAN</t>
  </si>
  <si>
    <t>Humana MA 2019+ Level 15- 150/84</t>
  </si>
  <si>
    <t>PATRICIA MCGRAIL</t>
  </si>
  <si>
    <t>CHRISTINE KALIS</t>
  </si>
  <si>
    <t>RICHARD COSARO</t>
  </si>
  <si>
    <t>MITCH WISE</t>
  </si>
  <si>
    <t>FRANK SCARDINA</t>
  </si>
  <si>
    <t>WILLIAM NAIDENOVICH</t>
  </si>
  <si>
    <t>Humana MAPD Street payable to upline- 2024 Replace</t>
  </si>
  <si>
    <t>DOLLY IRIZARRY</t>
  </si>
  <si>
    <t>CHESTER ANTCZAK</t>
  </si>
  <si>
    <t>MARY BOETTCHER</t>
  </si>
  <si>
    <t>DAVID LEWAKOWSKI</t>
  </si>
  <si>
    <t>LAURA MELVIN</t>
  </si>
  <si>
    <t>SCOTT WAXMAN</t>
  </si>
  <si>
    <t>TODD COHEN</t>
  </si>
  <si>
    <t>KATHLEEN OCONNOR</t>
  </si>
  <si>
    <t>MARIAREDEMCION DE GALA</t>
  </si>
  <si>
    <t>MARTIN KELLEY</t>
  </si>
  <si>
    <t>DEBORAH BRODER</t>
  </si>
  <si>
    <t>THERESA CIMARUSTI</t>
  </si>
  <si>
    <t>Humana MAPD Street payable to upline- 2024 Pro New</t>
  </si>
  <si>
    <t>MARIAN PAYNE</t>
  </si>
  <si>
    <t>TONY PAYNE</t>
  </si>
  <si>
    <t>TATYANA FISHMAN</t>
  </si>
  <si>
    <t>SYLVESTER REMELE</t>
  </si>
  <si>
    <t>EFRAIN GARCIA</t>
  </si>
  <si>
    <t>MARY GIOVINCO</t>
  </si>
  <si>
    <t>TIMOTHY HATMAKER</t>
  </si>
  <si>
    <t>MURRAY STERNER</t>
  </si>
  <si>
    <t>ROBERT BENTLEY</t>
  </si>
  <si>
    <t>MARYCLARE BENTLEY</t>
  </si>
  <si>
    <t>EUGENE PAYNE</t>
  </si>
  <si>
    <t>PAULA MARINO</t>
  </si>
  <si>
    <t>EDWARS TONEY</t>
  </si>
  <si>
    <t>CATHERINE LAUDERDALE</t>
  </si>
  <si>
    <t>CLIFTON ICENROAD</t>
  </si>
  <si>
    <t>LONNIE ALTOM</t>
  </si>
  <si>
    <t>RAYMOND HUMPHRIES</t>
  </si>
  <si>
    <t>LARRY BOUBEL</t>
  </si>
  <si>
    <t>FRED BORROWMAN</t>
  </si>
  <si>
    <t>KAREN YOSHIKAWA</t>
  </si>
  <si>
    <t>MOHAMMED SALEEM</t>
  </si>
  <si>
    <t>DEBRA SIMS</t>
  </si>
  <si>
    <t>RUBEN TORRES</t>
  </si>
  <si>
    <t>KHAIRUNNISA MOHIUDDIN</t>
  </si>
  <si>
    <t>MARY HUSTON</t>
  </si>
  <si>
    <t>GERRI WALTHERS</t>
  </si>
  <si>
    <t>DONNIE HAMILTON</t>
  </si>
  <si>
    <t>TOM SERIO</t>
  </si>
  <si>
    <t>CAROL SCHABER</t>
  </si>
  <si>
    <t>043677</t>
  </si>
  <si>
    <t>00001879234K</t>
  </si>
  <si>
    <t>00003962303K</t>
  </si>
  <si>
    <t>00017232908K</t>
  </si>
  <si>
    <t>00018875597K</t>
  </si>
  <si>
    <t>00018979147K</t>
  </si>
  <si>
    <t>00019797045K</t>
  </si>
  <si>
    <t>00019960682K</t>
  </si>
  <si>
    <t>00020407890K</t>
  </si>
  <si>
    <t>00022958376K</t>
  </si>
  <si>
    <t>00022965116K</t>
  </si>
  <si>
    <t>00022969890K</t>
  </si>
  <si>
    <t>00023222045K</t>
  </si>
  <si>
    <t>00023222148K</t>
  </si>
  <si>
    <t>00023222214K</t>
  </si>
  <si>
    <t>00023224608K</t>
  </si>
  <si>
    <t>00023224834K</t>
  </si>
  <si>
    <t>00023224844K</t>
  </si>
  <si>
    <t>00023231591K</t>
  </si>
  <si>
    <t>00023232654K</t>
  </si>
  <si>
    <t>00023234567K</t>
  </si>
  <si>
    <t>00023235653K</t>
  </si>
  <si>
    <t>00023239312K</t>
  </si>
  <si>
    <t>00023239414K</t>
  </si>
  <si>
    <t>023065041PDP</t>
  </si>
  <si>
    <t>023065041PDPOV</t>
  </si>
  <si>
    <t>023065880PDP</t>
  </si>
  <si>
    <t>023065880PDPOV</t>
  </si>
  <si>
    <t>922650134OV</t>
  </si>
  <si>
    <t>926202494OV</t>
  </si>
  <si>
    <t>968607439OV</t>
  </si>
  <si>
    <t>986050443OV</t>
  </si>
  <si>
    <t>990606128OV</t>
  </si>
  <si>
    <t>992665744OV</t>
  </si>
  <si>
    <t>992802492OV</t>
  </si>
  <si>
    <t>A04250357</t>
  </si>
  <si>
    <t>A04251058</t>
  </si>
  <si>
    <t>A04252848</t>
  </si>
  <si>
    <t>A04253078</t>
  </si>
  <si>
    <t>00000121388FPC</t>
  </si>
  <si>
    <t>00001879234KPC</t>
  </si>
  <si>
    <t>00003943983KPC</t>
  </si>
  <si>
    <t>00016858919KPC</t>
  </si>
  <si>
    <t>00019509572KPC</t>
  </si>
  <si>
    <t>00019625979KPC</t>
  </si>
  <si>
    <t>00019797045KPC</t>
  </si>
  <si>
    <t>00022377740KPC</t>
  </si>
  <si>
    <t>00022958376KPC</t>
  </si>
  <si>
    <t>00022965116KPC</t>
  </si>
  <si>
    <t>00022969890KPC</t>
  </si>
  <si>
    <t>00023063791KPC</t>
  </si>
  <si>
    <t>00023140342KPC</t>
  </si>
  <si>
    <t>00023187920KCB</t>
  </si>
  <si>
    <t>102070609400CB</t>
  </si>
  <si>
    <t>102098672900PC</t>
  </si>
  <si>
    <t>901684397CB</t>
  </si>
  <si>
    <t>901684397OVCB</t>
  </si>
  <si>
    <t>968607439CB</t>
  </si>
  <si>
    <t>986050443CB</t>
  </si>
  <si>
    <t>A04248221CB</t>
  </si>
  <si>
    <t>00010438260K</t>
  </si>
  <si>
    <t>00014119498K</t>
  </si>
  <si>
    <t>00019870511K</t>
  </si>
  <si>
    <t>00023187920K</t>
  </si>
  <si>
    <t>00023241263K</t>
  </si>
  <si>
    <t>00023242232K</t>
  </si>
  <si>
    <t>00023243657K</t>
  </si>
  <si>
    <t>00023243949K</t>
  </si>
  <si>
    <t>00023244763K</t>
  </si>
  <si>
    <t>00023245997K</t>
  </si>
  <si>
    <t>00023247398K</t>
  </si>
  <si>
    <t>00023247495K</t>
  </si>
  <si>
    <t>00023247603K</t>
  </si>
  <si>
    <t>00023250215K</t>
  </si>
  <si>
    <t>00023250929K</t>
  </si>
  <si>
    <t>00023251126K</t>
  </si>
  <si>
    <t>00023257494K</t>
  </si>
  <si>
    <t>00023257863K</t>
  </si>
  <si>
    <t>00023259320K</t>
  </si>
  <si>
    <t>00023259955K</t>
  </si>
  <si>
    <t>023056622OV</t>
  </si>
  <si>
    <t>023058170OV</t>
  </si>
  <si>
    <t>023066923OV</t>
  </si>
  <si>
    <t>54X4U5H81</t>
  </si>
  <si>
    <t>905577824OV</t>
  </si>
  <si>
    <t>916875754OV</t>
  </si>
  <si>
    <t>925174142OV</t>
  </si>
  <si>
    <t>937824582OV</t>
  </si>
  <si>
    <t>938957904OV</t>
  </si>
  <si>
    <t>940026103OV</t>
  </si>
  <si>
    <t>944761723OV</t>
  </si>
  <si>
    <t>953075319OV</t>
  </si>
  <si>
    <t>957220266OV</t>
  </si>
  <si>
    <t>957421267OV</t>
  </si>
  <si>
    <t>986931736OV</t>
  </si>
  <si>
    <t>992296804OV</t>
  </si>
  <si>
    <t>A04252351</t>
  </si>
  <si>
    <t>A04256315</t>
  </si>
  <si>
    <t>A04257101</t>
  </si>
  <si>
    <t>00022113555KPC</t>
  </si>
  <si>
    <t>00022700969KCB</t>
  </si>
  <si>
    <t>00022982390KPC</t>
  </si>
  <si>
    <t>023056622OVCB</t>
  </si>
  <si>
    <t>023058170OVCB</t>
  </si>
  <si>
    <t>023065041PDPCB</t>
  </si>
  <si>
    <t>023065880PDPCB</t>
  </si>
  <si>
    <t>101540239900CB</t>
  </si>
  <si>
    <t>132661650CB</t>
  </si>
  <si>
    <t>922650134CB</t>
  </si>
  <si>
    <t>924420238CB</t>
  </si>
  <si>
    <t>925390858CB</t>
  </si>
  <si>
    <t>944761723OVPC</t>
  </si>
  <si>
    <t>944761723PC</t>
  </si>
  <si>
    <t>957421267CB</t>
  </si>
  <si>
    <t>957421267OVCB</t>
  </si>
  <si>
    <t>959406713CB</t>
  </si>
  <si>
    <t>968761209OVPC</t>
  </si>
  <si>
    <t>968761209PC</t>
  </si>
  <si>
    <t>971633104CB</t>
  </si>
  <si>
    <t>986931736CB</t>
  </si>
  <si>
    <t>986931736OVCB</t>
  </si>
  <si>
    <t>992296804OVPC</t>
  </si>
  <si>
    <t>992296804PC</t>
  </si>
  <si>
    <t>992802492CB</t>
  </si>
  <si>
    <t>992802492OVCB</t>
  </si>
  <si>
    <t>A04251058CB</t>
  </si>
  <si>
    <t>00000076874F</t>
  </si>
  <si>
    <t>00001672119K</t>
  </si>
  <si>
    <t>00010066661K</t>
  </si>
  <si>
    <t>00011182221K</t>
  </si>
  <si>
    <t>00011519472K</t>
  </si>
  <si>
    <t>00013131759K</t>
  </si>
  <si>
    <t>00017505325K</t>
  </si>
  <si>
    <t>00017632868K</t>
  </si>
  <si>
    <t>00018671925K</t>
  </si>
  <si>
    <t>00020054580K</t>
  </si>
  <si>
    <t>00020054580KOV</t>
  </si>
  <si>
    <t>00020195670K</t>
  </si>
  <si>
    <t>00021641743K</t>
  </si>
  <si>
    <t>00021686716K</t>
  </si>
  <si>
    <t>00021695147K</t>
  </si>
  <si>
    <t>00021754102K</t>
  </si>
  <si>
    <t>00021762005K</t>
  </si>
  <si>
    <t>00021776882K</t>
  </si>
  <si>
    <t>00021778915K</t>
  </si>
  <si>
    <t>00021783471K</t>
  </si>
  <si>
    <t>00021784141K</t>
  </si>
  <si>
    <t>00021792778K</t>
  </si>
  <si>
    <t>00021801538K</t>
  </si>
  <si>
    <t>00021812164K</t>
  </si>
  <si>
    <t>00021812164KOV</t>
  </si>
  <si>
    <t>00021818605K</t>
  </si>
  <si>
    <t>00021819613K</t>
  </si>
  <si>
    <t>00021819613KOV</t>
  </si>
  <si>
    <t>00021836561K</t>
  </si>
  <si>
    <t>00021836561KOV</t>
  </si>
  <si>
    <t>00021836597K</t>
  </si>
  <si>
    <t>00021836597KOV</t>
  </si>
  <si>
    <t>00021852153K</t>
  </si>
  <si>
    <t>00021852153KOV</t>
  </si>
  <si>
    <t>00021853327K</t>
  </si>
  <si>
    <t>00021853327KOV</t>
  </si>
  <si>
    <t>00021853815K</t>
  </si>
  <si>
    <t>00021853815KOV</t>
  </si>
  <si>
    <t>00021859258K</t>
  </si>
  <si>
    <t>00021859258KOV</t>
  </si>
  <si>
    <t>00021865984K</t>
  </si>
  <si>
    <t>00021865984KOV</t>
  </si>
  <si>
    <t>00021876313K</t>
  </si>
  <si>
    <t>00021876763K</t>
  </si>
  <si>
    <t>00021878864K</t>
  </si>
  <si>
    <t>00021881964K</t>
  </si>
  <si>
    <t>00021882434K</t>
  </si>
  <si>
    <t>00021882434KOV</t>
  </si>
  <si>
    <t>00021883797K</t>
  </si>
  <si>
    <t>00021883866K</t>
  </si>
  <si>
    <t>00021884516K</t>
  </si>
  <si>
    <t>00021884516KOV</t>
  </si>
  <si>
    <t>00021892187K</t>
  </si>
  <si>
    <t>00021895596K</t>
  </si>
  <si>
    <t>00021895977K</t>
  </si>
  <si>
    <t>00021895977KOV</t>
  </si>
  <si>
    <t>00021906634K</t>
  </si>
  <si>
    <t>00021908647K</t>
  </si>
  <si>
    <t>00021915889K</t>
  </si>
  <si>
    <t>00021917176K</t>
  </si>
  <si>
    <t>00021917176KOV</t>
  </si>
  <si>
    <t>00021918216K</t>
  </si>
  <si>
    <t>00021920479K</t>
  </si>
  <si>
    <t>00021920643K</t>
  </si>
  <si>
    <t>00021921861K</t>
  </si>
  <si>
    <t>00021926659K</t>
  </si>
  <si>
    <t>00021937596K</t>
  </si>
  <si>
    <t>00021938736K</t>
  </si>
  <si>
    <t>00021938762K</t>
  </si>
  <si>
    <t>00021942365K</t>
  </si>
  <si>
    <t>00021948322K</t>
  </si>
  <si>
    <t>00021951591K</t>
  </si>
  <si>
    <t>00021961080K</t>
  </si>
  <si>
    <t>00021973839K</t>
  </si>
  <si>
    <t>00021973839KOV</t>
  </si>
  <si>
    <t>00021996169K</t>
  </si>
  <si>
    <t>00021999707K</t>
  </si>
  <si>
    <t>00022004915K</t>
  </si>
  <si>
    <t>00022004915KOV</t>
  </si>
  <si>
    <t>00022011876K</t>
  </si>
  <si>
    <t>00022014220K</t>
  </si>
  <si>
    <t>00022021720K</t>
  </si>
  <si>
    <t>00022021737K</t>
  </si>
  <si>
    <t>00022023339K</t>
  </si>
  <si>
    <t>00022025150K</t>
  </si>
  <si>
    <t>00022025150KOV</t>
  </si>
  <si>
    <t>00022026537K</t>
  </si>
  <si>
    <t>00022031158K</t>
  </si>
  <si>
    <t>00022031158KOV</t>
  </si>
  <si>
    <t>00022032935K</t>
  </si>
  <si>
    <t>00022032935KOV</t>
  </si>
  <si>
    <t>00022033067K</t>
  </si>
  <si>
    <t>00022033172K</t>
  </si>
  <si>
    <t>00022035242K</t>
  </si>
  <si>
    <t>00022035242KOV</t>
  </si>
  <si>
    <t>00022040894K</t>
  </si>
  <si>
    <t>00022040894KOV</t>
  </si>
  <si>
    <t>00022049020K</t>
  </si>
  <si>
    <t>00022052067K</t>
  </si>
  <si>
    <t>00022052067KOV</t>
  </si>
  <si>
    <t>00022063091K</t>
  </si>
  <si>
    <t>00022063543K</t>
  </si>
  <si>
    <t>00022063861K</t>
  </si>
  <si>
    <t>00022070044K</t>
  </si>
  <si>
    <t>00022074715K</t>
  </si>
  <si>
    <t>00022077041K</t>
  </si>
  <si>
    <t>00022077130K</t>
  </si>
  <si>
    <t>00022077277K</t>
  </si>
  <si>
    <t>00022078841K</t>
  </si>
  <si>
    <t>00022082807K</t>
  </si>
  <si>
    <t>00022083688K</t>
  </si>
  <si>
    <t>00022084599K</t>
  </si>
  <si>
    <t>00022085271K</t>
  </si>
  <si>
    <t>00022085971K</t>
  </si>
  <si>
    <t>00022087983K</t>
  </si>
  <si>
    <t>00022088151K</t>
  </si>
  <si>
    <t>00022092926K</t>
  </si>
  <si>
    <t>00022094137K</t>
  </si>
  <si>
    <t>00022094729K</t>
  </si>
  <si>
    <t>00022094729KOV</t>
  </si>
  <si>
    <t>00022094985K</t>
  </si>
  <si>
    <t>00022094985KOV</t>
  </si>
  <si>
    <t>00022094990K</t>
  </si>
  <si>
    <t>00022095955K</t>
  </si>
  <si>
    <t>00022095955KOV</t>
  </si>
  <si>
    <t>00022096948K</t>
  </si>
  <si>
    <t>00022096948KOV</t>
  </si>
  <si>
    <t>00022097947K</t>
  </si>
  <si>
    <t>00022097947KOV</t>
  </si>
  <si>
    <t>00022105983K</t>
  </si>
  <si>
    <t>00022106692K</t>
  </si>
  <si>
    <t>00022106958K</t>
  </si>
  <si>
    <t>00022107554K</t>
  </si>
  <si>
    <t>00022112017K</t>
  </si>
  <si>
    <t>00022121084K</t>
  </si>
  <si>
    <t>00022137026K</t>
  </si>
  <si>
    <t>00022148995K</t>
  </si>
  <si>
    <t>00022193283K</t>
  </si>
  <si>
    <t>00022198910K</t>
  </si>
  <si>
    <t>00022203514K</t>
  </si>
  <si>
    <t>00022217599K</t>
  </si>
  <si>
    <t>00022235665K</t>
  </si>
  <si>
    <t>00022241122K</t>
  </si>
  <si>
    <t>00022253745K</t>
  </si>
  <si>
    <t>00022256745K</t>
  </si>
  <si>
    <t>00022351069K</t>
  </si>
  <si>
    <t>00022366455K</t>
  </si>
  <si>
    <t>00022386017K</t>
  </si>
  <si>
    <t>00022406995K</t>
  </si>
  <si>
    <t>00022413863K</t>
  </si>
  <si>
    <t>00022462923K</t>
  </si>
  <si>
    <t>00022466880K</t>
  </si>
  <si>
    <t>00022498051K</t>
  </si>
  <si>
    <t>00022524693K</t>
  </si>
  <si>
    <t>00022571242K</t>
  </si>
  <si>
    <t>00022602838K</t>
  </si>
  <si>
    <t>00022627896K</t>
  </si>
  <si>
    <t>00022643625K</t>
  </si>
  <si>
    <t>00022646876K</t>
  </si>
  <si>
    <t>00022659909K</t>
  </si>
  <si>
    <t>00022671607K</t>
  </si>
  <si>
    <t>00022674415K</t>
  </si>
  <si>
    <t>00022688863K</t>
  </si>
  <si>
    <t>00022698535K</t>
  </si>
  <si>
    <t>00022763707K</t>
  </si>
  <si>
    <t>102109694200A</t>
  </si>
  <si>
    <t>102123717600A</t>
  </si>
  <si>
    <t>130273314OV</t>
  </si>
  <si>
    <t>130524428OV</t>
  </si>
  <si>
    <t>130625781OV</t>
  </si>
  <si>
    <t>283W17578</t>
  </si>
  <si>
    <t>357W15237</t>
  </si>
  <si>
    <t>829W21544</t>
  </si>
  <si>
    <t>906051412OV</t>
  </si>
  <si>
    <t>909023469OV</t>
  </si>
  <si>
    <t>948W21216</t>
  </si>
  <si>
    <t>961601451OV</t>
  </si>
  <si>
    <t>967561705OV</t>
  </si>
  <si>
    <t>970181792OV</t>
  </si>
  <si>
    <t>981141937OV</t>
  </si>
  <si>
    <t>992088421OV</t>
  </si>
  <si>
    <t>992248315OV</t>
  </si>
  <si>
    <t>992426853OV</t>
  </si>
  <si>
    <t>993708991OV</t>
  </si>
  <si>
    <t>A03722685</t>
  </si>
  <si>
    <t>A03755145</t>
  </si>
  <si>
    <t>A03777817</t>
  </si>
  <si>
    <t>Aetna MAPD OVR 2025</t>
  </si>
  <si>
    <t>Anthem MAPD 2025 OVR</t>
  </si>
  <si>
    <t>Cigna MAPD 2025 Ovr</t>
  </si>
  <si>
    <t>Humana MAPD OVR 2025</t>
  </si>
  <si>
    <t>[%/$=306][prorate=1/12]</t>
  </si>
  <si>
    <t>Humana MAPD NATIONAL 2024!</t>
  </si>
  <si>
    <t>UHC AARP MS FL Area 1- Plan B C F G</t>
  </si>
  <si>
    <t>UHC AARP MS FL Area 4- Plan B C F G</t>
  </si>
  <si>
    <t>UHC AARP MS PA Area 3- Plan N</t>
  </si>
  <si>
    <t>UHC AARP MS IL Area 1 - Plan B C F G</t>
  </si>
  <si>
    <t>UHC AARP MS IL Area 1- Plan B C F G(90%)</t>
  </si>
  <si>
    <t>UHC AARP MS OR - Plan N</t>
  </si>
  <si>
    <t>UHC Plan N (PA Area 3)</t>
  </si>
  <si>
    <t>UHC MAPD Ovr 2025</t>
  </si>
  <si>
    <t>UHC MAPD Nat 2024!</t>
  </si>
  <si>
    <t>UHC 2025</t>
  </si>
  <si>
    <t>[%/$=626]</t>
  </si>
  <si>
    <t>[%/$=626][prorate=9/12]</t>
  </si>
  <si>
    <t>UHC MAPD 2025*</t>
  </si>
  <si>
    <t>[%/$=313][prorate=9/12]</t>
  </si>
  <si>
    <t>[%/$=313][prorate=7/12]</t>
  </si>
  <si>
    <t>[%/$=313][prorate=8/12]</t>
  </si>
  <si>
    <t>[%/$=313][prorate=12/12]</t>
  </si>
  <si>
    <t>[%/$=313][prorate=6/12]</t>
  </si>
  <si>
    <t>UHC 2025 CA, NJ*</t>
  </si>
  <si>
    <t>[%/$=390][prorate=8/12]</t>
  </si>
  <si>
    <t>UHC MAPD CT, PA, DC 2024!</t>
  </si>
  <si>
    <t>[%/$=345][prorate=1/12]</t>
  </si>
  <si>
    <t>UHC PDP 2025!</t>
  </si>
  <si>
    <t>Main Line Benefits</t>
  </si>
  <si>
    <t>17528908N</t>
  </si>
  <si>
    <t>18828278SUB2</t>
  </si>
  <si>
    <t>UHC AARP MS PA Area 3 2024- Plan BC F G(90%)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</si>
</sst>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name val="Roboto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quotePrefix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1" fontId="0" fillId="34" borderId="0" xfId="0" applyNumberFormat="1" applyFill="1" applyAlignment="1">
      <alignment horizontal="left"/>
    </xf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10" fontId="0" fillId="34" borderId="0" xfId="0" applyNumberFormat="1" applyFill="1"/>
    <xf numFmtId="1" fontId="19" fillId="0" borderId="0" xfId="0" applyNumberFormat="1" applyFont="1" applyAlignment="1">
      <alignment horizontal="left"/>
    </xf>
    <xf numFmtId="0" fontId="19" fillId="0" borderId="0" xfId="0" applyFont="1"/>
    <xf numFmtId="14" fontId="19" fillId="0" borderId="0" xfId="0" applyNumberFormat="1" applyFont="1"/>
    <xf numFmtId="8" fontId="19" fillId="0" borderId="0" xfId="0" applyNumberFormat="1" applyFont="1"/>
    <xf numFmtId="10" fontId="19" fillId="0" borderId="0" xfId="0" applyNumberFormat="1" applyFont="1"/>
    <xf numFmtId="0" fontId="20" fillId="0" borderId="0" xfId="0" applyFont="1"/>
    <xf numFmtId="0" fontId="19" fillId="0" borderId="0" xfId="0" applyFont="1" applyAlignment="1">
      <alignment horizontal="right"/>
    </xf>
    <xf numFmtId="1" fontId="19" fillId="33" borderId="0" xfId="0" applyNumberFormat="1" applyFont="1" applyFill="1" applyAlignment="1">
      <alignment horizontal="left"/>
    </xf>
    <xf numFmtId="0" fontId="19" fillId="33" borderId="0" xfId="0" applyFont="1" applyFill="1"/>
    <xf numFmtId="14" fontId="19" fillId="33" borderId="0" xfId="0" applyNumberFormat="1" applyFont="1" applyFill="1"/>
    <xf numFmtId="8" fontId="19" fillId="33" borderId="0" xfId="0" applyNumberFormat="1" applyFont="1" applyFill="1"/>
    <xf numFmtId="10" fontId="19" fillId="33" borderId="0" xfId="0" applyNumberFormat="1" applyFont="1" applyFill="1"/>
    <xf numFmtId="0" fontId="2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F95C-0577-4934-895B-0680B2896D71}">
  <dimension ref="A1:AL563"/>
  <sheetViews>
    <sheetView topLeftCell="R433" workbookViewId="0">
      <selection activeCell="J440" sqref="J440"/>
    </sheetView>
  </sheetViews>
  <sheetFormatPr defaultRowHeight="15" x14ac:dyDescent="0.25"/>
  <cols>
    <col min="1" max="1" width="10.140625" bestFit="1" customWidth="1"/>
    <col min="2" max="2" width="16" bestFit="1" customWidth="1"/>
    <col min="3" max="3" width="14.28515625" bestFit="1" customWidth="1"/>
    <col min="4" max="4" width="11.5703125" bestFit="1" customWidth="1"/>
    <col min="5" max="5" width="28.85546875" bestFit="1" customWidth="1"/>
    <col min="6" max="6" width="8.140625" bestFit="1" customWidth="1"/>
    <col min="7" max="7" width="6.140625" bestFit="1" customWidth="1"/>
    <col min="8" max="8" width="17.7109375" bestFit="1" customWidth="1"/>
    <col min="9" max="9" width="16.28515625" style="5" bestFit="1" customWidth="1"/>
    <col min="10" max="10" width="26.42578125" bestFit="1" customWidth="1"/>
    <col min="11" max="11" width="8.140625" bestFit="1" customWidth="1"/>
    <col min="12" max="12" width="4.140625" bestFit="1" customWidth="1"/>
    <col min="13" max="13" width="5.28515625" bestFit="1" customWidth="1"/>
    <col min="14" max="14" width="8.5703125" bestFit="1" customWidth="1"/>
    <col min="15" max="15" width="15" bestFit="1" customWidth="1"/>
    <col min="16" max="16" width="26.42578125" bestFit="1" customWidth="1"/>
    <col min="17" max="17" width="12.5703125" bestFit="1" customWidth="1"/>
    <col min="18" max="18" width="55.85546875" bestFit="1" customWidth="1"/>
    <col min="19" max="19" width="10.140625" bestFit="1" customWidth="1"/>
    <col min="20" max="20" width="12.28515625" bestFit="1" customWidth="1"/>
    <col min="21" max="21" width="14" bestFit="1" customWidth="1"/>
    <col min="22" max="22" width="12" bestFit="1" customWidth="1"/>
    <col min="23" max="23" width="16.140625" bestFit="1" customWidth="1"/>
    <col min="24" max="24" width="9" bestFit="1" customWidth="1"/>
    <col min="25" max="25" width="17.85546875" bestFit="1" customWidth="1"/>
    <col min="26" max="26" width="16.140625" bestFit="1" customWidth="1"/>
    <col min="27" max="27" width="16.7109375" bestFit="1" customWidth="1"/>
    <col min="28" max="28" width="16.5703125" bestFit="1" customWidth="1"/>
    <col min="29" max="29" width="18" bestFit="1" customWidth="1"/>
    <col min="30" max="30" width="11.5703125" bestFit="1" customWidth="1"/>
    <col min="31" max="31" width="14.7109375" bestFit="1" customWidth="1"/>
    <col min="32" max="32" width="9.5703125" bestFit="1" customWidth="1"/>
    <col min="33" max="33" width="12.7109375" bestFit="1" customWidth="1"/>
    <col min="34" max="34" width="19" bestFit="1" customWidth="1"/>
    <col min="35" max="35" width="18" bestFit="1" customWidth="1"/>
    <col min="36" max="36" width="11.42578125" bestFit="1" customWidth="1"/>
    <col min="37" max="37" width="14" bestFit="1" customWidth="1"/>
    <col min="38" max="38" width="37.57031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5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45763</v>
      </c>
      <c r="B2" s="1">
        <v>45762</v>
      </c>
      <c r="C2" t="s">
        <v>252</v>
      </c>
      <c r="D2" t="s">
        <v>39</v>
      </c>
      <c r="E2" t="s">
        <v>40</v>
      </c>
      <c r="F2">
        <v>43677</v>
      </c>
      <c r="H2" t="s">
        <v>41</v>
      </c>
      <c r="I2" s="5">
        <v>102104604100</v>
      </c>
      <c r="J2" t="s">
        <v>292</v>
      </c>
      <c r="M2" t="s">
        <v>133</v>
      </c>
      <c r="O2">
        <v>43713</v>
      </c>
      <c r="P2" t="s">
        <v>134</v>
      </c>
      <c r="Q2" t="s">
        <v>45</v>
      </c>
      <c r="R2" t="s">
        <v>162</v>
      </c>
      <c r="S2" s="1">
        <v>45627</v>
      </c>
      <c r="T2" s="1">
        <v>45792</v>
      </c>
      <c r="U2" t="s">
        <v>47</v>
      </c>
      <c r="V2">
        <v>1</v>
      </c>
      <c r="W2" s="1">
        <v>45757</v>
      </c>
      <c r="X2" t="s">
        <v>48</v>
      </c>
      <c r="Y2" s="2">
        <v>1</v>
      </c>
      <c r="Z2" s="2">
        <v>1</v>
      </c>
      <c r="AB2" s="3">
        <v>1</v>
      </c>
      <c r="AC2" s="2">
        <v>2</v>
      </c>
      <c r="AG2" s="2">
        <v>0</v>
      </c>
      <c r="AH2" s="2">
        <v>2</v>
      </c>
      <c r="AI2" s="2">
        <v>0</v>
      </c>
      <c r="AK2">
        <v>5344011</v>
      </c>
      <c r="AL2" t="s">
        <v>288</v>
      </c>
    </row>
    <row r="3" spans="1:38" x14ac:dyDescent="0.25">
      <c r="A3" s="1">
        <v>45763</v>
      </c>
      <c r="B3" s="1">
        <v>45762</v>
      </c>
      <c r="C3" t="s">
        <v>252</v>
      </c>
      <c r="D3" t="s">
        <v>39</v>
      </c>
      <c r="E3" t="s">
        <v>40</v>
      </c>
      <c r="F3">
        <v>43677</v>
      </c>
      <c r="H3" t="s">
        <v>41</v>
      </c>
      <c r="I3" s="5">
        <v>102017011100</v>
      </c>
      <c r="J3" t="s">
        <v>442</v>
      </c>
      <c r="M3" t="s">
        <v>93</v>
      </c>
      <c r="O3">
        <v>43611</v>
      </c>
      <c r="P3" t="s">
        <v>94</v>
      </c>
      <c r="Q3" t="s">
        <v>45</v>
      </c>
      <c r="R3" t="s">
        <v>162</v>
      </c>
      <c r="S3" s="1">
        <v>45474</v>
      </c>
      <c r="T3" s="1">
        <v>45792</v>
      </c>
      <c r="U3" t="s">
        <v>47</v>
      </c>
      <c r="V3">
        <v>1</v>
      </c>
      <c r="W3" s="1">
        <v>45757</v>
      </c>
      <c r="X3" t="s">
        <v>48</v>
      </c>
      <c r="Y3" s="2">
        <v>1</v>
      </c>
      <c r="Z3" s="2">
        <v>1</v>
      </c>
      <c r="AB3" s="3">
        <v>1</v>
      </c>
      <c r="AC3" s="2">
        <v>2</v>
      </c>
      <c r="AG3" s="2">
        <v>0</v>
      </c>
      <c r="AH3" s="2">
        <v>2</v>
      </c>
      <c r="AI3" s="2">
        <v>0</v>
      </c>
      <c r="AK3">
        <v>5343120</v>
      </c>
      <c r="AL3" t="s">
        <v>288</v>
      </c>
    </row>
    <row r="4" spans="1:38" x14ac:dyDescent="0.25">
      <c r="A4" s="1">
        <v>45763</v>
      </c>
      <c r="B4" s="1">
        <v>45762</v>
      </c>
      <c r="C4" t="s">
        <v>252</v>
      </c>
      <c r="D4" t="s">
        <v>39</v>
      </c>
      <c r="E4" t="s">
        <v>40</v>
      </c>
      <c r="F4">
        <v>43677</v>
      </c>
      <c r="H4" t="s">
        <v>41</v>
      </c>
      <c r="I4" s="5">
        <v>102037178300</v>
      </c>
      <c r="J4" t="s">
        <v>403</v>
      </c>
      <c r="M4" t="s">
        <v>93</v>
      </c>
      <c r="O4">
        <v>43679</v>
      </c>
      <c r="P4" t="s">
        <v>191</v>
      </c>
      <c r="Q4" t="s">
        <v>45</v>
      </c>
      <c r="R4" t="s">
        <v>162</v>
      </c>
      <c r="S4" s="1">
        <v>45505</v>
      </c>
      <c r="T4" s="1">
        <v>45792</v>
      </c>
      <c r="U4" t="s">
        <v>47</v>
      </c>
      <c r="V4">
        <v>1</v>
      </c>
      <c r="W4" s="1">
        <v>45757</v>
      </c>
      <c r="X4" t="s">
        <v>48</v>
      </c>
      <c r="Y4" s="2">
        <v>1</v>
      </c>
      <c r="Z4" s="2">
        <v>1</v>
      </c>
      <c r="AB4" s="3">
        <v>1</v>
      </c>
      <c r="AC4" s="2">
        <v>2</v>
      </c>
      <c r="AG4" s="2">
        <v>0</v>
      </c>
      <c r="AH4" s="2">
        <v>2</v>
      </c>
      <c r="AI4" s="2">
        <v>0</v>
      </c>
      <c r="AK4">
        <v>5343445</v>
      </c>
      <c r="AL4" t="s">
        <v>288</v>
      </c>
    </row>
    <row r="5" spans="1:38" x14ac:dyDescent="0.25">
      <c r="A5" s="1">
        <v>45763</v>
      </c>
      <c r="B5" s="1">
        <v>45762</v>
      </c>
      <c r="C5" t="s">
        <v>252</v>
      </c>
      <c r="D5" t="s">
        <v>39</v>
      </c>
      <c r="E5" t="s">
        <v>40</v>
      </c>
      <c r="F5">
        <v>43677</v>
      </c>
      <c r="H5" t="s">
        <v>41</v>
      </c>
      <c r="I5" s="5">
        <v>102051937300</v>
      </c>
      <c r="J5" t="s">
        <v>364</v>
      </c>
      <c r="M5" t="s">
        <v>128</v>
      </c>
      <c r="O5">
        <v>45605</v>
      </c>
      <c r="P5" t="s">
        <v>50</v>
      </c>
      <c r="Q5" t="s">
        <v>45</v>
      </c>
      <c r="R5" t="s">
        <v>162</v>
      </c>
      <c r="S5" s="1">
        <v>45536</v>
      </c>
      <c r="T5" s="1">
        <v>45792</v>
      </c>
      <c r="U5" t="s">
        <v>47</v>
      </c>
      <c r="V5">
        <v>1</v>
      </c>
      <c r="W5" s="1">
        <v>45757</v>
      </c>
      <c r="X5" t="s">
        <v>48</v>
      </c>
      <c r="Y5" s="2">
        <v>1</v>
      </c>
      <c r="Z5" s="2">
        <v>1</v>
      </c>
      <c r="AB5" s="3">
        <v>1</v>
      </c>
      <c r="AC5" s="2">
        <v>2</v>
      </c>
      <c r="AG5" s="2">
        <v>0</v>
      </c>
      <c r="AH5" s="2">
        <v>2</v>
      </c>
      <c r="AI5" s="2">
        <v>0</v>
      </c>
      <c r="AK5">
        <v>5343673</v>
      </c>
      <c r="AL5" t="s">
        <v>288</v>
      </c>
    </row>
    <row r="6" spans="1:38" x14ac:dyDescent="0.25">
      <c r="A6" s="1">
        <v>45763</v>
      </c>
      <c r="B6" s="1">
        <v>45762</v>
      </c>
      <c r="C6" t="s">
        <v>252</v>
      </c>
      <c r="D6" t="s">
        <v>39</v>
      </c>
      <c r="E6" t="s">
        <v>40</v>
      </c>
      <c r="F6">
        <v>43677</v>
      </c>
      <c r="H6" t="s">
        <v>41</v>
      </c>
      <c r="I6" s="5">
        <v>102021599000</v>
      </c>
      <c r="J6" t="s">
        <v>437</v>
      </c>
      <c r="M6" t="s">
        <v>93</v>
      </c>
      <c r="O6">
        <v>43679</v>
      </c>
      <c r="P6" t="s">
        <v>191</v>
      </c>
      <c r="Q6" t="s">
        <v>45</v>
      </c>
      <c r="R6" t="s">
        <v>162</v>
      </c>
      <c r="S6" s="1">
        <v>45505</v>
      </c>
      <c r="T6" s="1">
        <v>45792</v>
      </c>
      <c r="U6" t="s">
        <v>47</v>
      </c>
      <c r="V6">
        <v>1</v>
      </c>
      <c r="W6" s="1">
        <v>45757</v>
      </c>
      <c r="X6" t="s">
        <v>48</v>
      </c>
      <c r="Y6" s="2">
        <v>1</v>
      </c>
      <c r="Z6" s="2">
        <v>1</v>
      </c>
      <c r="AB6" s="3">
        <v>1</v>
      </c>
      <c r="AC6" s="2">
        <v>2</v>
      </c>
      <c r="AG6" s="2">
        <v>0</v>
      </c>
      <c r="AH6" s="2">
        <v>2</v>
      </c>
      <c r="AI6" s="2">
        <v>0</v>
      </c>
      <c r="AK6">
        <v>5343187</v>
      </c>
      <c r="AL6" t="s">
        <v>288</v>
      </c>
    </row>
    <row r="7" spans="1:38" x14ac:dyDescent="0.25">
      <c r="A7" s="1">
        <v>45763</v>
      </c>
      <c r="B7" s="1">
        <v>45762</v>
      </c>
      <c r="C7" t="s">
        <v>252</v>
      </c>
      <c r="D7" t="s">
        <v>39</v>
      </c>
      <c r="E7" t="s">
        <v>40</v>
      </c>
      <c r="F7">
        <v>43677</v>
      </c>
      <c r="H7" t="s">
        <v>41</v>
      </c>
      <c r="I7" s="5">
        <v>102058131300</v>
      </c>
      <c r="J7" t="s">
        <v>351</v>
      </c>
      <c r="M7" t="s">
        <v>93</v>
      </c>
      <c r="O7">
        <v>43679</v>
      </c>
      <c r="P7" t="s">
        <v>191</v>
      </c>
      <c r="Q7" t="s">
        <v>45</v>
      </c>
      <c r="R7" t="s">
        <v>162</v>
      </c>
      <c r="S7" s="1">
        <v>45566</v>
      </c>
      <c r="T7" s="1">
        <v>45792</v>
      </c>
      <c r="U7" t="s">
        <v>47</v>
      </c>
      <c r="V7">
        <v>1</v>
      </c>
      <c r="W7" s="1">
        <v>45757</v>
      </c>
      <c r="X7" t="s">
        <v>48</v>
      </c>
      <c r="Y7" s="2">
        <v>1</v>
      </c>
      <c r="Z7" s="2">
        <v>1</v>
      </c>
      <c r="AB7" s="3">
        <v>1</v>
      </c>
      <c r="AC7" s="2">
        <v>2</v>
      </c>
      <c r="AG7" s="2">
        <v>0</v>
      </c>
      <c r="AH7" s="2">
        <v>2</v>
      </c>
      <c r="AI7" s="2">
        <v>0</v>
      </c>
      <c r="AK7">
        <v>5343785</v>
      </c>
      <c r="AL7" t="s">
        <v>288</v>
      </c>
    </row>
    <row r="8" spans="1:38" x14ac:dyDescent="0.25">
      <c r="A8" s="1">
        <v>45763</v>
      </c>
      <c r="B8" s="1">
        <v>45762</v>
      </c>
      <c r="C8" t="s">
        <v>252</v>
      </c>
      <c r="D8" t="s">
        <v>39</v>
      </c>
      <c r="E8" t="s">
        <v>40</v>
      </c>
      <c r="F8">
        <v>43677</v>
      </c>
      <c r="H8" t="s">
        <v>41</v>
      </c>
      <c r="I8" s="5">
        <v>102028483000</v>
      </c>
      <c r="J8" t="s">
        <v>425</v>
      </c>
      <c r="M8" t="s">
        <v>93</v>
      </c>
      <c r="O8">
        <v>43679</v>
      </c>
      <c r="P8" t="s">
        <v>191</v>
      </c>
      <c r="Q8" t="s">
        <v>45</v>
      </c>
      <c r="R8" t="s">
        <v>162</v>
      </c>
      <c r="S8" s="1">
        <v>45505</v>
      </c>
      <c r="T8" s="1">
        <v>45792</v>
      </c>
      <c r="U8" t="s">
        <v>47</v>
      </c>
      <c r="V8">
        <v>1</v>
      </c>
      <c r="W8" s="1">
        <v>45757</v>
      </c>
      <c r="X8" t="s">
        <v>48</v>
      </c>
      <c r="Y8" s="2">
        <v>1</v>
      </c>
      <c r="Z8" s="2">
        <v>1</v>
      </c>
      <c r="AB8" s="3">
        <v>1</v>
      </c>
      <c r="AC8" s="2">
        <v>2</v>
      </c>
      <c r="AG8" s="2">
        <v>0</v>
      </c>
      <c r="AH8" s="2">
        <v>2</v>
      </c>
      <c r="AI8" s="2">
        <v>0</v>
      </c>
      <c r="AK8">
        <v>5343288</v>
      </c>
      <c r="AL8" t="s">
        <v>288</v>
      </c>
    </row>
    <row r="9" spans="1:38" x14ac:dyDescent="0.25">
      <c r="A9" s="1">
        <v>45763</v>
      </c>
      <c r="B9" s="1">
        <v>45762</v>
      </c>
      <c r="C9" t="s">
        <v>252</v>
      </c>
      <c r="D9" t="s">
        <v>39</v>
      </c>
      <c r="E9" t="s">
        <v>40</v>
      </c>
      <c r="F9">
        <v>43677</v>
      </c>
      <c r="H9" t="s">
        <v>41</v>
      </c>
      <c r="I9" s="5">
        <v>102086309300</v>
      </c>
      <c r="J9" t="s">
        <v>300</v>
      </c>
      <c r="M9" t="s">
        <v>89</v>
      </c>
      <c r="O9">
        <v>43618</v>
      </c>
      <c r="P9" t="s">
        <v>44</v>
      </c>
      <c r="Q9" t="s">
        <v>45</v>
      </c>
      <c r="R9" t="s">
        <v>162</v>
      </c>
      <c r="S9" s="1">
        <v>45627</v>
      </c>
      <c r="T9" s="1">
        <v>45792</v>
      </c>
      <c r="U9" t="s">
        <v>47</v>
      </c>
      <c r="V9">
        <v>1</v>
      </c>
      <c r="W9" s="1">
        <v>45757</v>
      </c>
      <c r="X9" t="s">
        <v>48</v>
      </c>
      <c r="Y9" s="2">
        <v>1</v>
      </c>
      <c r="Z9" s="2">
        <v>1</v>
      </c>
      <c r="AB9" s="3">
        <v>1</v>
      </c>
      <c r="AC9" s="2">
        <v>2</v>
      </c>
      <c r="AG9" s="2">
        <v>0</v>
      </c>
      <c r="AH9" s="2">
        <v>2</v>
      </c>
      <c r="AI9" s="2">
        <v>0</v>
      </c>
      <c r="AK9">
        <v>5343973</v>
      </c>
      <c r="AL9" t="s">
        <v>288</v>
      </c>
    </row>
    <row r="10" spans="1:38" x14ac:dyDescent="0.25">
      <c r="A10" s="1">
        <v>45763</v>
      </c>
      <c r="B10" s="1">
        <v>45762</v>
      </c>
      <c r="C10" t="s">
        <v>252</v>
      </c>
      <c r="D10" t="s">
        <v>39</v>
      </c>
      <c r="E10" t="s">
        <v>40</v>
      </c>
      <c r="F10">
        <v>43677</v>
      </c>
      <c r="H10" t="s">
        <v>41</v>
      </c>
      <c r="I10" s="5">
        <v>102049702100</v>
      </c>
      <c r="J10" t="s">
        <v>376</v>
      </c>
      <c r="M10" t="s">
        <v>375</v>
      </c>
      <c r="O10">
        <v>43682</v>
      </c>
      <c r="P10" t="s">
        <v>118</v>
      </c>
      <c r="Q10" t="s">
        <v>45</v>
      </c>
      <c r="R10" t="s">
        <v>162</v>
      </c>
      <c r="S10" s="1">
        <v>45536</v>
      </c>
      <c r="T10" s="1">
        <v>45792</v>
      </c>
      <c r="U10" t="s">
        <v>47</v>
      </c>
      <c r="V10">
        <v>1</v>
      </c>
      <c r="W10" s="1">
        <v>45757</v>
      </c>
      <c r="X10" t="s">
        <v>48</v>
      </c>
      <c r="Y10" s="2">
        <v>1</v>
      </c>
      <c r="Z10" s="2">
        <v>1</v>
      </c>
      <c r="AB10" s="3">
        <v>1</v>
      </c>
      <c r="AC10" s="2">
        <v>2</v>
      </c>
      <c r="AG10" s="2">
        <v>0</v>
      </c>
      <c r="AH10" s="2">
        <v>2</v>
      </c>
      <c r="AI10" s="2">
        <v>0</v>
      </c>
      <c r="AK10">
        <v>5343622</v>
      </c>
      <c r="AL10" t="s">
        <v>288</v>
      </c>
    </row>
    <row r="11" spans="1:38" x14ac:dyDescent="0.25">
      <c r="A11" s="1">
        <v>45763</v>
      </c>
      <c r="B11" s="1">
        <v>45762</v>
      </c>
      <c r="C11" t="s">
        <v>252</v>
      </c>
      <c r="D11" t="s">
        <v>39</v>
      </c>
      <c r="E11" t="s">
        <v>40</v>
      </c>
      <c r="F11">
        <v>43677</v>
      </c>
      <c r="H11" t="s">
        <v>41</v>
      </c>
      <c r="I11" s="5">
        <v>102014897000</v>
      </c>
      <c r="J11" t="s">
        <v>447</v>
      </c>
      <c r="M11" t="s">
        <v>93</v>
      </c>
      <c r="O11">
        <v>43689</v>
      </c>
      <c r="P11" t="s">
        <v>53</v>
      </c>
      <c r="Q11" t="s">
        <v>45</v>
      </c>
      <c r="R11" t="s">
        <v>162</v>
      </c>
      <c r="S11" s="1">
        <v>45474</v>
      </c>
      <c r="T11" s="1">
        <v>45792</v>
      </c>
      <c r="U11" t="s">
        <v>47</v>
      </c>
      <c r="V11">
        <v>1</v>
      </c>
      <c r="W11" s="1">
        <v>45757</v>
      </c>
      <c r="X11" t="s">
        <v>48</v>
      </c>
      <c r="Y11" s="2">
        <v>1</v>
      </c>
      <c r="Z11" s="2">
        <v>1</v>
      </c>
      <c r="AB11" s="3">
        <v>1</v>
      </c>
      <c r="AC11" s="2">
        <v>2</v>
      </c>
      <c r="AG11" s="2">
        <v>0</v>
      </c>
      <c r="AH11" s="2">
        <v>2</v>
      </c>
      <c r="AI11" s="2">
        <v>0</v>
      </c>
      <c r="AK11">
        <v>5343095</v>
      </c>
      <c r="AL11" t="s">
        <v>288</v>
      </c>
    </row>
    <row r="12" spans="1:38" x14ac:dyDescent="0.25">
      <c r="A12" s="1">
        <v>45763</v>
      </c>
      <c r="B12" s="1">
        <v>45762</v>
      </c>
      <c r="C12" t="s">
        <v>252</v>
      </c>
      <c r="D12" t="s">
        <v>39</v>
      </c>
      <c r="E12" t="s">
        <v>40</v>
      </c>
      <c r="F12">
        <v>43677</v>
      </c>
      <c r="H12" t="s">
        <v>41</v>
      </c>
      <c r="I12" s="5">
        <v>102030760700</v>
      </c>
      <c r="J12" t="s">
        <v>421</v>
      </c>
      <c r="M12" t="s">
        <v>89</v>
      </c>
      <c r="O12">
        <v>45613</v>
      </c>
      <c r="P12" t="s">
        <v>65</v>
      </c>
      <c r="Q12" t="s">
        <v>45</v>
      </c>
      <c r="R12" t="s">
        <v>162</v>
      </c>
      <c r="S12" s="1">
        <v>45505</v>
      </c>
      <c r="T12" s="1">
        <v>45792</v>
      </c>
      <c r="U12" t="s">
        <v>47</v>
      </c>
      <c r="V12">
        <v>1</v>
      </c>
      <c r="W12" s="1">
        <v>45757</v>
      </c>
      <c r="X12" t="s">
        <v>48</v>
      </c>
      <c r="Y12" s="2">
        <v>1</v>
      </c>
      <c r="Z12" s="2">
        <v>1</v>
      </c>
      <c r="AB12" s="3">
        <v>1</v>
      </c>
      <c r="AC12" s="2">
        <v>2</v>
      </c>
      <c r="AG12" s="2">
        <v>0</v>
      </c>
      <c r="AH12" s="2">
        <v>2</v>
      </c>
      <c r="AI12" s="2">
        <v>0</v>
      </c>
      <c r="AK12">
        <v>5343315</v>
      </c>
      <c r="AL12" t="s">
        <v>288</v>
      </c>
    </row>
    <row r="13" spans="1:38" x14ac:dyDescent="0.25">
      <c r="A13" s="1">
        <v>45763</v>
      </c>
      <c r="B13" s="1">
        <v>45762</v>
      </c>
      <c r="C13" t="s">
        <v>252</v>
      </c>
      <c r="D13" t="s">
        <v>39</v>
      </c>
      <c r="E13" t="s">
        <v>40</v>
      </c>
      <c r="F13">
        <v>43677</v>
      </c>
      <c r="H13" t="s">
        <v>41</v>
      </c>
      <c r="I13" s="5">
        <v>102021150000</v>
      </c>
      <c r="J13" t="s">
        <v>438</v>
      </c>
      <c r="M13" t="s">
        <v>93</v>
      </c>
      <c r="O13">
        <v>43611</v>
      </c>
      <c r="P13" t="s">
        <v>94</v>
      </c>
      <c r="Q13" t="s">
        <v>45</v>
      </c>
      <c r="R13" t="s">
        <v>162</v>
      </c>
      <c r="S13" s="1">
        <v>45536</v>
      </c>
      <c r="T13" s="1">
        <v>45792</v>
      </c>
      <c r="U13" t="s">
        <v>47</v>
      </c>
      <c r="V13">
        <v>1</v>
      </c>
      <c r="W13" s="1">
        <v>45757</v>
      </c>
      <c r="X13" t="s">
        <v>48</v>
      </c>
      <c r="Y13" s="2">
        <v>1</v>
      </c>
      <c r="Z13" s="2">
        <v>1</v>
      </c>
      <c r="AB13" s="3">
        <v>1</v>
      </c>
      <c r="AC13" s="2">
        <v>2</v>
      </c>
      <c r="AG13" s="2">
        <v>0</v>
      </c>
      <c r="AH13" s="2">
        <v>2</v>
      </c>
      <c r="AI13" s="2">
        <v>0</v>
      </c>
      <c r="AK13">
        <v>5343183</v>
      </c>
      <c r="AL13" t="s">
        <v>288</v>
      </c>
    </row>
    <row r="14" spans="1:38" x14ac:dyDescent="0.25">
      <c r="A14" s="1">
        <v>45763</v>
      </c>
      <c r="B14" s="1">
        <v>45762</v>
      </c>
      <c r="C14" t="s">
        <v>252</v>
      </c>
      <c r="D14" t="s">
        <v>39</v>
      </c>
      <c r="E14" t="s">
        <v>40</v>
      </c>
      <c r="F14">
        <v>43677</v>
      </c>
      <c r="H14" t="s">
        <v>41</v>
      </c>
      <c r="I14" s="5">
        <v>102035247000</v>
      </c>
      <c r="J14" t="s">
        <v>414</v>
      </c>
      <c r="M14" t="s">
        <v>93</v>
      </c>
      <c r="O14">
        <v>43611</v>
      </c>
      <c r="P14" t="s">
        <v>94</v>
      </c>
      <c r="Q14" t="s">
        <v>45</v>
      </c>
      <c r="R14" t="s">
        <v>162</v>
      </c>
      <c r="S14" s="1">
        <v>45536</v>
      </c>
      <c r="T14" s="1">
        <v>45792</v>
      </c>
      <c r="U14" t="s">
        <v>47</v>
      </c>
      <c r="V14">
        <v>1</v>
      </c>
      <c r="W14" s="1">
        <v>45757</v>
      </c>
      <c r="X14" t="s">
        <v>48</v>
      </c>
      <c r="Y14" s="2">
        <v>1</v>
      </c>
      <c r="Z14" s="2">
        <v>1</v>
      </c>
      <c r="AB14" s="3">
        <v>1</v>
      </c>
      <c r="AC14" s="2">
        <v>2</v>
      </c>
      <c r="AG14" s="2">
        <v>0</v>
      </c>
      <c r="AH14" s="2">
        <v>2</v>
      </c>
      <c r="AI14" s="2">
        <v>0</v>
      </c>
      <c r="AK14">
        <v>5343393</v>
      </c>
      <c r="AL14" t="s">
        <v>288</v>
      </c>
    </row>
    <row r="15" spans="1:38" x14ac:dyDescent="0.25">
      <c r="A15" s="1">
        <v>45763</v>
      </c>
      <c r="B15" s="1">
        <v>45762</v>
      </c>
      <c r="C15" t="s">
        <v>252</v>
      </c>
      <c r="D15" t="s">
        <v>39</v>
      </c>
      <c r="E15" t="s">
        <v>40</v>
      </c>
      <c r="F15">
        <v>43677</v>
      </c>
      <c r="H15" t="s">
        <v>41</v>
      </c>
      <c r="I15" s="5">
        <v>102010075000</v>
      </c>
      <c r="J15" t="s">
        <v>453</v>
      </c>
      <c r="M15" t="s">
        <v>93</v>
      </c>
      <c r="O15">
        <v>43611</v>
      </c>
      <c r="P15" t="s">
        <v>94</v>
      </c>
      <c r="Q15" t="s">
        <v>45</v>
      </c>
      <c r="R15" t="s">
        <v>162</v>
      </c>
      <c r="S15" s="1">
        <v>45474</v>
      </c>
      <c r="T15" s="1">
        <v>45792</v>
      </c>
      <c r="U15" t="s">
        <v>47</v>
      </c>
      <c r="V15">
        <v>1</v>
      </c>
      <c r="W15" s="1">
        <v>45757</v>
      </c>
      <c r="X15" t="s">
        <v>48</v>
      </c>
      <c r="Y15" s="2">
        <v>1</v>
      </c>
      <c r="Z15" s="2">
        <v>1</v>
      </c>
      <c r="AB15" s="3">
        <v>1</v>
      </c>
      <c r="AC15" s="2">
        <v>2</v>
      </c>
      <c r="AG15" s="2">
        <v>0</v>
      </c>
      <c r="AH15" s="2">
        <v>2</v>
      </c>
      <c r="AI15" s="2">
        <v>0</v>
      </c>
      <c r="AK15">
        <v>5343043</v>
      </c>
      <c r="AL15" t="s">
        <v>288</v>
      </c>
    </row>
    <row r="16" spans="1:38" x14ac:dyDescent="0.25">
      <c r="A16" s="1">
        <v>45763</v>
      </c>
      <c r="B16" s="1">
        <v>45762</v>
      </c>
      <c r="C16" t="s">
        <v>252</v>
      </c>
      <c r="D16" t="s">
        <v>39</v>
      </c>
      <c r="E16" t="s">
        <v>40</v>
      </c>
      <c r="F16">
        <v>43677</v>
      </c>
      <c r="H16" t="s">
        <v>41</v>
      </c>
      <c r="I16" s="5">
        <v>102064231900</v>
      </c>
      <c r="J16" t="s">
        <v>330</v>
      </c>
      <c r="M16" t="s">
        <v>93</v>
      </c>
      <c r="O16">
        <v>43691</v>
      </c>
      <c r="P16" t="s">
        <v>108</v>
      </c>
      <c r="Q16" t="s">
        <v>45</v>
      </c>
      <c r="R16" t="s">
        <v>162</v>
      </c>
      <c r="S16" s="1">
        <v>45566</v>
      </c>
      <c r="T16" s="1">
        <v>45792</v>
      </c>
      <c r="U16" t="s">
        <v>47</v>
      </c>
      <c r="V16">
        <v>1</v>
      </c>
      <c r="W16" s="1">
        <v>45757</v>
      </c>
      <c r="X16" t="s">
        <v>48</v>
      </c>
      <c r="Y16" s="2">
        <v>1</v>
      </c>
      <c r="Z16" s="2">
        <v>1</v>
      </c>
      <c r="AB16" s="3">
        <v>1</v>
      </c>
      <c r="AC16" s="2">
        <v>2</v>
      </c>
      <c r="AG16" s="2">
        <v>0</v>
      </c>
      <c r="AH16" s="2">
        <v>2</v>
      </c>
      <c r="AI16" s="2">
        <v>0</v>
      </c>
      <c r="AK16">
        <v>5343872</v>
      </c>
      <c r="AL16" t="s">
        <v>288</v>
      </c>
    </row>
    <row r="17" spans="1:38" x14ac:dyDescent="0.25">
      <c r="A17" s="1">
        <v>45763</v>
      </c>
      <c r="B17" s="1">
        <v>45762</v>
      </c>
      <c r="C17" t="s">
        <v>252</v>
      </c>
      <c r="D17" t="s">
        <v>39</v>
      </c>
      <c r="E17" t="s">
        <v>40</v>
      </c>
      <c r="F17">
        <v>43677</v>
      </c>
      <c r="H17" t="s">
        <v>41</v>
      </c>
      <c r="I17" s="5">
        <v>102040827300</v>
      </c>
      <c r="J17" t="s">
        <v>396</v>
      </c>
      <c r="M17" t="s">
        <v>89</v>
      </c>
      <c r="O17">
        <v>43705</v>
      </c>
      <c r="P17" t="s">
        <v>90</v>
      </c>
      <c r="Q17" t="s">
        <v>45</v>
      </c>
      <c r="R17" t="s">
        <v>162</v>
      </c>
      <c r="S17" s="1">
        <v>45566</v>
      </c>
      <c r="T17" s="1">
        <v>45792</v>
      </c>
      <c r="U17" t="s">
        <v>47</v>
      </c>
      <c r="V17">
        <v>1</v>
      </c>
      <c r="W17" s="1">
        <v>45757</v>
      </c>
      <c r="X17" t="s">
        <v>48</v>
      </c>
      <c r="Y17" s="2">
        <v>1</v>
      </c>
      <c r="Z17" s="2">
        <v>1</v>
      </c>
      <c r="AB17" s="3">
        <v>1</v>
      </c>
      <c r="AC17" s="2">
        <v>2</v>
      </c>
      <c r="AG17" s="2">
        <v>0</v>
      </c>
      <c r="AH17" s="2">
        <v>2</v>
      </c>
      <c r="AI17" s="2">
        <v>0</v>
      </c>
      <c r="AK17">
        <v>5343502</v>
      </c>
      <c r="AL17" t="s">
        <v>288</v>
      </c>
    </row>
    <row r="18" spans="1:38" x14ac:dyDescent="0.25">
      <c r="A18" s="1">
        <v>45763</v>
      </c>
      <c r="B18" s="1">
        <v>45762</v>
      </c>
      <c r="C18" t="s">
        <v>252</v>
      </c>
      <c r="D18" t="s">
        <v>39</v>
      </c>
      <c r="E18" t="s">
        <v>40</v>
      </c>
      <c r="F18">
        <v>43677</v>
      </c>
      <c r="H18" t="s">
        <v>41</v>
      </c>
      <c r="I18" s="5">
        <v>102063468900</v>
      </c>
      <c r="J18" t="s">
        <v>335</v>
      </c>
      <c r="M18" t="s">
        <v>89</v>
      </c>
      <c r="O18">
        <v>43701</v>
      </c>
      <c r="P18" t="s">
        <v>334</v>
      </c>
      <c r="Q18" t="s">
        <v>45</v>
      </c>
      <c r="R18" t="s">
        <v>162</v>
      </c>
      <c r="S18" s="1">
        <v>45566</v>
      </c>
      <c r="T18" s="1">
        <v>45792</v>
      </c>
      <c r="U18" t="s">
        <v>47</v>
      </c>
      <c r="V18">
        <v>1</v>
      </c>
      <c r="W18" s="1">
        <v>45757</v>
      </c>
      <c r="X18" t="s">
        <v>48</v>
      </c>
      <c r="Y18" s="2">
        <v>1</v>
      </c>
      <c r="Z18" s="2">
        <v>1</v>
      </c>
      <c r="AB18" s="3">
        <v>1</v>
      </c>
      <c r="AC18" s="2">
        <v>2</v>
      </c>
      <c r="AG18" s="2">
        <v>0</v>
      </c>
      <c r="AH18" s="2">
        <v>2</v>
      </c>
      <c r="AI18" s="2">
        <v>0</v>
      </c>
      <c r="AK18">
        <v>5343862</v>
      </c>
      <c r="AL18" t="s">
        <v>288</v>
      </c>
    </row>
    <row r="19" spans="1:38" x14ac:dyDescent="0.25">
      <c r="A19" s="1">
        <v>45763</v>
      </c>
      <c r="B19" s="1">
        <v>45762</v>
      </c>
      <c r="C19" t="s">
        <v>252</v>
      </c>
      <c r="D19" t="s">
        <v>39</v>
      </c>
      <c r="E19" t="s">
        <v>40</v>
      </c>
      <c r="F19">
        <v>43677</v>
      </c>
      <c r="H19" t="s">
        <v>41</v>
      </c>
      <c r="I19" s="5">
        <v>102025517700</v>
      </c>
      <c r="J19" t="s">
        <v>430</v>
      </c>
      <c r="M19" t="s">
        <v>43</v>
      </c>
      <c r="O19">
        <v>45604</v>
      </c>
      <c r="P19" t="s">
        <v>103</v>
      </c>
      <c r="Q19" t="s">
        <v>45</v>
      </c>
      <c r="R19" t="s">
        <v>162</v>
      </c>
      <c r="S19" s="1">
        <v>45474</v>
      </c>
      <c r="T19" s="1">
        <v>45792</v>
      </c>
      <c r="U19" t="s">
        <v>47</v>
      </c>
      <c r="V19">
        <v>1</v>
      </c>
      <c r="W19" s="1">
        <v>45757</v>
      </c>
      <c r="X19" t="s">
        <v>48</v>
      </c>
      <c r="Y19" s="2">
        <v>1</v>
      </c>
      <c r="Z19" s="2">
        <v>1</v>
      </c>
      <c r="AB19" s="3">
        <v>1</v>
      </c>
      <c r="AC19" s="2">
        <v>2</v>
      </c>
      <c r="AG19" s="2">
        <v>0</v>
      </c>
      <c r="AH19" s="2">
        <v>2</v>
      </c>
      <c r="AI19" s="2">
        <v>0</v>
      </c>
      <c r="AK19">
        <v>5343247</v>
      </c>
      <c r="AL19" t="s">
        <v>288</v>
      </c>
    </row>
    <row r="20" spans="1:38" x14ac:dyDescent="0.25">
      <c r="A20" s="1">
        <v>45763</v>
      </c>
      <c r="B20" s="1">
        <v>45762</v>
      </c>
      <c r="C20" t="s">
        <v>252</v>
      </c>
      <c r="D20" t="s">
        <v>39</v>
      </c>
      <c r="E20" t="s">
        <v>40</v>
      </c>
      <c r="F20">
        <v>43677</v>
      </c>
      <c r="H20" t="s">
        <v>41</v>
      </c>
      <c r="I20" s="5">
        <v>102036471300</v>
      </c>
      <c r="J20" t="s">
        <v>406</v>
      </c>
      <c r="M20" t="s">
        <v>93</v>
      </c>
      <c r="O20">
        <v>43679</v>
      </c>
      <c r="P20" t="s">
        <v>191</v>
      </c>
      <c r="Q20" t="s">
        <v>45</v>
      </c>
      <c r="R20" t="s">
        <v>162</v>
      </c>
      <c r="S20" s="1">
        <v>45505</v>
      </c>
      <c r="T20" s="1">
        <v>45792</v>
      </c>
      <c r="U20" t="s">
        <v>47</v>
      </c>
      <c r="V20">
        <v>1</v>
      </c>
      <c r="W20" s="1">
        <v>45757</v>
      </c>
      <c r="X20" t="s">
        <v>48</v>
      </c>
      <c r="Y20" s="2">
        <v>1</v>
      </c>
      <c r="Z20" s="2">
        <v>1</v>
      </c>
      <c r="AB20" s="3">
        <v>1</v>
      </c>
      <c r="AC20" s="2">
        <v>2</v>
      </c>
      <c r="AG20" s="2">
        <v>0</v>
      </c>
      <c r="AH20" s="2">
        <v>2</v>
      </c>
      <c r="AI20" s="2">
        <v>0</v>
      </c>
      <c r="AK20">
        <v>5343423</v>
      </c>
      <c r="AL20" t="s">
        <v>288</v>
      </c>
    </row>
    <row r="21" spans="1:38" x14ac:dyDescent="0.25">
      <c r="A21" s="1">
        <v>45763</v>
      </c>
      <c r="B21" s="1">
        <v>45762</v>
      </c>
      <c r="C21" t="s">
        <v>252</v>
      </c>
      <c r="D21" t="s">
        <v>39</v>
      </c>
      <c r="E21" t="s">
        <v>40</v>
      </c>
      <c r="F21">
        <v>43677</v>
      </c>
      <c r="H21" t="s">
        <v>41</v>
      </c>
      <c r="I21" s="5">
        <v>102021703600</v>
      </c>
      <c r="J21" t="s">
        <v>436</v>
      </c>
      <c r="M21" t="s">
        <v>93</v>
      </c>
      <c r="O21">
        <v>43611</v>
      </c>
      <c r="P21" t="s">
        <v>94</v>
      </c>
      <c r="Q21" t="s">
        <v>45</v>
      </c>
      <c r="R21" t="s">
        <v>162</v>
      </c>
      <c r="S21" s="1">
        <v>45536</v>
      </c>
      <c r="T21" s="1">
        <v>45792</v>
      </c>
      <c r="U21" t="s">
        <v>47</v>
      </c>
      <c r="V21">
        <v>1</v>
      </c>
      <c r="W21" s="1">
        <v>45757</v>
      </c>
      <c r="X21" t="s">
        <v>48</v>
      </c>
      <c r="Y21" s="2">
        <v>1</v>
      </c>
      <c r="Z21" s="2">
        <v>1</v>
      </c>
      <c r="AB21" s="3">
        <v>1</v>
      </c>
      <c r="AC21" s="2">
        <v>2</v>
      </c>
      <c r="AG21" s="2">
        <v>0</v>
      </c>
      <c r="AH21" s="2">
        <v>2</v>
      </c>
      <c r="AI21" s="2">
        <v>0</v>
      </c>
      <c r="AK21">
        <v>5343190</v>
      </c>
      <c r="AL21" t="s">
        <v>288</v>
      </c>
    </row>
    <row r="22" spans="1:38" x14ac:dyDescent="0.25">
      <c r="A22" s="1">
        <v>45763</v>
      </c>
      <c r="B22" s="1">
        <v>45762</v>
      </c>
      <c r="C22" t="s">
        <v>252</v>
      </c>
      <c r="D22" t="s">
        <v>39</v>
      </c>
      <c r="E22" t="s">
        <v>40</v>
      </c>
      <c r="F22">
        <v>43677</v>
      </c>
      <c r="H22" t="s">
        <v>41</v>
      </c>
      <c r="I22" s="5">
        <v>102007511900</v>
      </c>
      <c r="J22" t="s">
        <v>457</v>
      </c>
      <c r="M22" t="s">
        <v>394</v>
      </c>
      <c r="O22">
        <v>43682</v>
      </c>
      <c r="P22" t="s">
        <v>118</v>
      </c>
      <c r="Q22" t="s">
        <v>45</v>
      </c>
      <c r="R22" t="s">
        <v>162</v>
      </c>
      <c r="S22" s="1">
        <v>45505</v>
      </c>
      <c r="T22" s="1">
        <v>45792</v>
      </c>
      <c r="U22" t="s">
        <v>47</v>
      </c>
      <c r="V22">
        <v>1</v>
      </c>
      <c r="W22" s="1">
        <v>45757</v>
      </c>
      <c r="X22" t="s">
        <v>48</v>
      </c>
      <c r="Y22" s="2">
        <v>1</v>
      </c>
      <c r="Z22" s="2">
        <v>1</v>
      </c>
      <c r="AB22" s="3">
        <v>1</v>
      </c>
      <c r="AC22" s="2">
        <v>2</v>
      </c>
      <c r="AG22" s="2">
        <v>0</v>
      </c>
      <c r="AH22" s="2">
        <v>2</v>
      </c>
      <c r="AI22" s="2">
        <v>0</v>
      </c>
      <c r="AK22">
        <v>5343016</v>
      </c>
      <c r="AL22" t="s">
        <v>288</v>
      </c>
    </row>
    <row r="23" spans="1:38" x14ac:dyDescent="0.25">
      <c r="A23" s="1">
        <v>45763</v>
      </c>
      <c r="B23" s="1">
        <v>45762</v>
      </c>
      <c r="C23" t="s">
        <v>252</v>
      </c>
      <c r="D23" t="s">
        <v>39</v>
      </c>
      <c r="E23" t="s">
        <v>40</v>
      </c>
      <c r="F23">
        <v>43677</v>
      </c>
      <c r="H23" t="s">
        <v>41</v>
      </c>
      <c r="I23" s="5">
        <v>102031351800</v>
      </c>
      <c r="J23" t="s">
        <v>418</v>
      </c>
      <c r="M23" t="s">
        <v>93</v>
      </c>
      <c r="O23">
        <v>43679</v>
      </c>
      <c r="P23" t="s">
        <v>191</v>
      </c>
      <c r="Q23" t="s">
        <v>45</v>
      </c>
      <c r="R23" t="s">
        <v>162</v>
      </c>
      <c r="S23" s="1">
        <v>45505</v>
      </c>
      <c r="T23" s="1">
        <v>45792</v>
      </c>
      <c r="U23" t="s">
        <v>47</v>
      </c>
      <c r="V23">
        <v>1</v>
      </c>
      <c r="W23" s="1">
        <v>45757</v>
      </c>
      <c r="X23" t="s">
        <v>48</v>
      </c>
      <c r="Y23" s="2">
        <v>1</v>
      </c>
      <c r="Z23" s="2">
        <v>1</v>
      </c>
      <c r="AB23" s="3">
        <v>1</v>
      </c>
      <c r="AC23" s="2">
        <v>2</v>
      </c>
      <c r="AG23" s="2">
        <v>0</v>
      </c>
      <c r="AH23" s="2">
        <v>2</v>
      </c>
      <c r="AI23" s="2">
        <v>0</v>
      </c>
      <c r="AK23">
        <v>5343329</v>
      </c>
      <c r="AL23" t="s">
        <v>288</v>
      </c>
    </row>
    <row r="24" spans="1:38" x14ac:dyDescent="0.25">
      <c r="A24" s="1">
        <v>45763</v>
      </c>
      <c r="B24" s="1">
        <v>45762</v>
      </c>
      <c r="C24" t="s">
        <v>252</v>
      </c>
      <c r="D24" t="s">
        <v>39</v>
      </c>
      <c r="E24" t="s">
        <v>40</v>
      </c>
      <c r="F24">
        <v>43677</v>
      </c>
      <c r="H24" t="s">
        <v>41</v>
      </c>
      <c r="I24" s="5">
        <v>102059218000</v>
      </c>
      <c r="J24" t="s">
        <v>346</v>
      </c>
      <c r="M24" t="s">
        <v>93</v>
      </c>
      <c r="O24">
        <v>43679</v>
      </c>
      <c r="P24" t="s">
        <v>191</v>
      </c>
      <c r="Q24" t="s">
        <v>45</v>
      </c>
      <c r="R24" t="s">
        <v>162</v>
      </c>
      <c r="S24" s="1">
        <v>45566</v>
      </c>
      <c r="T24" s="1">
        <v>45792</v>
      </c>
      <c r="U24" t="s">
        <v>47</v>
      </c>
      <c r="V24">
        <v>1</v>
      </c>
      <c r="W24" s="1">
        <v>45757</v>
      </c>
      <c r="X24" t="s">
        <v>48</v>
      </c>
      <c r="Y24" s="2">
        <v>1</v>
      </c>
      <c r="Z24" s="2">
        <v>1</v>
      </c>
      <c r="AB24" s="3">
        <v>1</v>
      </c>
      <c r="AC24" s="2">
        <v>2</v>
      </c>
      <c r="AG24" s="2">
        <v>0</v>
      </c>
      <c r="AH24" s="2">
        <v>2</v>
      </c>
      <c r="AI24" s="2">
        <v>0</v>
      </c>
      <c r="AK24">
        <v>5343803</v>
      </c>
      <c r="AL24" t="s">
        <v>288</v>
      </c>
    </row>
    <row r="25" spans="1:38" x14ac:dyDescent="0.25">
      <c r="A25" s="1">
        <v>45763</v>
      </c>
      <c r="B25" s="1">
        <v>45762</v>
      </c>
      <c r="C25" t="s">
        <v>252</v>
      </c>
      <c r="D25" t="s">
        <v>39</v>
      </c>
      <c r="E25" t="s">
        <v>40</v>
      </c>
      <c r="F25">
        <v>43677</v>
      </c>
      <c r="H25" t="s">
        <v>41</v>
      </c>
      <c r="I25" s="5">
        <v>102058162400</v>
      </c>
      <c r="J25" t="s">
        <v>349</v>
      </c>
      <c r="M25" t="s">
        <v>93</v>
      </c>
      <c r="O25">
        <v>43679</v>
      </c>
      <c r="P25" t="s">
        <v>191</v>
      </c>
      <c r="Q25" t="s">
        <v>45</v>
      </c>
      <c r="R25" t="s">
        <v>162</v>
      </c>
      <c r="S25" s="1">
        <v>45566</v>
      </c>
      <c r="T25" s="1">
        <v>45792</v>
      </c>
      <c r="U25" t="s">
        <v>47</v>
      </c>
      <c r="V25">
        <v>1</v>
      </c>
      <c r="W25" s="1">
        <v>45757</v>
      </c>
      <c r="X25" t="s">
        <v>48</v>
      </c>
      <c r="Y25" s="2">
        <v>1</v>
      </c>
      <c r="Z25" s="2">
        <v>1</v>
      </c>
      <c r="AB25" s="3">
        <v>1</v>
      </c>
      <c r="AC25" s="2">
        <v>2</v>
      </c>
      <c r="AG25" s="2">
        <v>0</v>
      </c>
      <c r="AH25" s="2">
        <v>2</v>
      </c>
      <c r="AI25" s="2">
        <v>0</v>
      </c>
      <c r="AK25">
        <v>5343789</v>
      </c>
      <c r="AL25" t="s">
        <v>288</v>
      </c>
    </row>
    <row r="26" spans="1:38" x14ac:dyDescent="0.25">
      <c r="A26" s="1">
        <v>45763</v>
      </c>
      <c r="B26" s="1">
        <v>45762</v>
      </c>
      <c r="C26" t="s">
        <v>252</v>
      </c>
      <c r="D26" t="s">
        <v>39</v>
      </c>
      <c r="E26" t="s">
        <v>40</v>
      </c>
      <c r="F26">
        <v>43677</v>
      </c>
      <c r="H26" t="s">
        <v>41</v>
      </c>
      <c r="I26" s="5">
        <v>102035916500</v>
      </c>
      <c r="J26" t="s">
        <v>409</v>
      </c>
      <c r="M26" t="s">
        <v>93</v>
      </c>
      <c r="O26">
        <v>43611</v>
      </c>
      <c r="P26" t="s">
        <v>94</v>
      </c>
      <c r="Q26" t="s">
        <v>45</v>
      </c>
      <c r="R26" t="s">
        <v>162</v>
      </c>
      <c r="S26" s="1">
        <v>45505</v>
      </c>
      <c r="T26" s="1">
        <v>45792</v>
      </c>
      <c r="U26" t="s">
        <v>47</v>
      </c>
      <c r="V26">
        <v>1</v>
      </c>
      <c r="W26" s="1">
        <v>45757</v>
      </c>
      <c r="X26" t="s">
        <v>48</v>
      </c>
      <c r="Y26" s="2">
        <v>1</v>
      </c>
      <c r="Z26" s="2">
        <v>1</v>
      </c>
      <c r="AB26" s="3">
        <v>1</v>
      </c>
      <c r="AC26" s="2">
        <v>2</v>
      </c>
      <c r="AG26" s="2">
        <v>0</v>
      </c>
      <c r="AH26" s="2">
        <v>2</v>
      </c>
      <c r="AI26" s="2">
        <v>0</v>
      </c>
      <c r="AK26">
        <v>5343415</v>
      </c>
      <c r="AL26" t="s">
        <v>288</v>
      </c>
    </row>
    <row r="27" spans="1:38" x14ac:dyDescent="0.25">
      <c r="A27" s="1">
        <v>45763</v>
      </c>
      <c r="B27" s="1">
        <v>45762</v>
      </c>
      <c r="C27" t="s">
        <v>252</v>
      </c>
      <c r="D27" t="s">
        <v>39</v>
      </c>
      <c r="E27" t="s">
        <v>40</v>
      </c>
      <c r="F27">
        <v>43677</v>
      </c>
      <c r="H27" t="s">
        <v>41</v>
      </c>
      <c r="I27" s="5">
        <v>102053814300</v>
      </c>
      <c r="J27" t="s">
        <v>359</v>
      </c>
      <c r="M27" t="s">
        <v>89</v>
      </c>
      <c r="O27">
        <v>45612</v>
      </c>
      <c r="P27" t="s">
        <v>99</v>
      </c>
      <c r="Q27" t="s">
        <v>45</v>
      </c>
      <c r="R27" t="s">
        <v>162</v>
      </c>
      <c r="S27" s="1">
        <v>45536</v>
      </c>
      <c r="T27" s="1">
        <v>45792</v>
      </c>
      <c r="U27" t="s">
        <v>47</v>
      </c>
      <c r="V27">
        <v>1</v>
      </c>
      <c r="W27" s="1">
        <v>45757</v>
      </c>
      <c r="X27" t="s">
        <v>48</v>
      </c>
      <c r="Y27" s="2">
        <v>1</v>
      </c>
      <c r="Z27" s="2">
        <v>1</v>
      </c>
      <c r="AB27" s="3">
        <v>1</v>
      </c>
      <c r="AC27" s="2">
        <v>2</v>
      </c>
      <c r="AG27" s="2">
        <v>0</v>
      </c>
      <c r="AH27" s="2">
        <v>2</v>
      </c>
      <c r="AI27" s="2">
        <v>0</v>
      </c>
      <c r="AK27">
        <v>5343707</v>
      </c>
      <c r="AL27" t="s">
        <v>288</v>
      </c>
    </row>
    <row r="28" spans="1:38" x14ac:dyDescent="0.25">
      <c r="A28" s="1">
        <v>45763</v>
      </c>
      <c r="B28" s="1">
        <v>45762</v>
      </c>
      <c r="C28" t="s">
        <v>252</v>
      </c>
      <c r="D28" t="s">
        <v>39</v>
      </c>
      <c r="E28" t="s">
        <v>40</v>
      </c>
      <c r="F28">
        <v>43677</v>
      </c>
      <c r="H28" t="s">
        <v>41</v>
      </c>
      <c r="I28" s="5">
        <v>102012417600</v>
      </c>
      <c r="J28" t="s">
        <v>451</v>
      </c>
      <c r="M28" t="s">
        <v>112</v>
      </c>
      <c r="O28">
        <v>43690</v>
      </c>
      <c r="P28" t="s">
        <v>450</v>
      </c>
      <c r="Q28" t="s">
        <v>45</v>
      </c>
      <c r="R28" t="s">
        <v>162</v>
      </c>
      <c r="S28" s="1">
        <v>45444</v>
      </c>
      <c r="T28" s="1">
        <v>45792</v>
      </c>
      <c r="U28" t="s">
        <v>47</v>
      </c>
      <c r="V28">
        <v>1</v>
      </c>
      <c r="W28" s="1">
        <v>45757</v>
      </c>
      <c r="X28" t="s">
        <v>48</v>
      </c>
      <c r="Y28" s="2">
        <v>1</v>
      </c>
      <c r="Z28" s="2">
        <v>1</v>
      </c>
      <c r="AB28" s="3">
        <v>1</v>
      </c>
      <c r="AC28" s="2">
        <v>2</v>
      </c>
      <c r="AG28" s="2">
        <v>0</v>
      </c>
      <c r="AH28" s="2">
        <v>2</v>
      </c>
      <c r="AI28" s="2">
        <v>0</v>
      </c>
      <c r="AK28">
        <v>5343075</v>
      </c>
      <c r="AL28" t="s">
        <v>288</v>
      </c>
    </row>
    <row r="29" spans="1:38" x14ac:dyDescent="0.25">
      <c r="A29" s="1">
        <v>45763</v>
      </c>
      <c r="B29" s="1">
        <v>45762</v>
      </c>
      <c r="C29" t="s">
        <v>252</v>
      </c>
      <c r="D29" t="s">
        <v>39</v>
      </c>
      <c r="E29" t="s">
        <v>40</v>
      </c>
      <c r="F29">
        <v>43677</v>
      </c>
      <c r="H29" t="s">
        <v>41</v>
      </c>
      <c r="I29" s="5">
        <v>102054994500</v>
      </c>
      <c r="J29" t="s">
        <v>358</v>
      </c>
      <c r="M29" t="s">
        <v>315</v>
      </c>
      <c r="O29">
        <v>43682</v>
      </c>
      <c r="P29" t="s">
        <v>118</v>
      </c>
      <c r="Q29" t="s">
        <v>45</v>
      </c>
      <c r="R29" t="s">
        <v>162</v>
      </c>
      <c r="S29" s="1">
        <v>45566</v>
      </c>
      <c r="T29" s="1">
        <v>45792</v>
      </c>
      <c r="U29" t="s">
        <v>47</v>
      </c>
      <c r="V29">
        <v>1</v>
      </c>
      <c r="W29" s="1">
        <v>45757</v>
      </c>
      <c r="X29" t="s">
        <v>48</v>
      </c>
      <c r="Y29" s="2">
        <v>1</v>
      </c>
      <c r="Z29" s="2">
        <v>1</v>
      </c>
      <c r="AB29" s="3">
        <v>1</v>
      </c>
      <c r="AC29" s="2">
        <v>2</v>
      </c>
      <c r="AG29" s="2">
        <v>0</v>
      </c>
      <c r="AH29" s="2">
        <v>2</v>
      </c>
      <c r="AI29" s="2">
        <v>0</v>
      </c>
      <c r="AK29">
        <v>5343732</v>
      </c>
      <c r="AL29" t="s">
        <v>288</v>
      </c>
    </row>
    <row r="30" spans="1:38" x14ac:dyDescent="0.25">
      <c r="A30" s="1">
        <v>45763</v>
      </c>
      <c r="B30" s="1">
        <v>45762</v>
      </c>
      <c r="C30" t="s">
        <v>252</v>
      </c>
      <c r="D30" t="s">
        <v>39</v>
      </c>
      <c r="E30" t="s">
        <v>40</v>
      </c>
      <c r="F30">
        <v>43677</v>
      </c>
      <c r="H30" t="s">
        <v>41</v>
      </c>
      <c r="I30" s="5">
        <v>102040124800</v>
      </c>
      <c r="J30" t="s">
        <v>397</v>
      </c>
      <c r="M30" t="s">
        <v>128</v>
      </c>
      <c r="O30">
        <v>43969</v>
      </c>
      <c r="P30" t="s">
        <v>74</v>
      </c>
      <c r="Q30" t="s">
        <v>45</v>
      </c>
      <c r="R30" t="s">
        <v>162</v>
      </c>
      <c r="S30" s="1">
        <v>45536</v>
      </c>
      <c r="T30" s="1">
        <v>45792</v>
      </c>
      <c r="U30" t="s">
        <v>47</v>
      </c>
      <c r="V30">
        <v>1</v>
      </c>
      <c r="W30" s="1">
        <v>45757</v>
      </c>
      <c r="X30" t="s">
        <v>48</v>
      </c>
      <c r="Y30" s="2">
        <v>1</v>
      </c>
      <c r="Z30" s="2">
        <v>1</v>
      </c>
      <c r="AB30" s="3">
        <v>1</v>
      </c>
      <c r="AC30" s="2">
        <v>2</v>
      </c>
      <c r="AG30" s="2">
        <v>0</v>
      </c>
      <c r="AH30" s="2">
        <v>2</v>
      </c>
      <c r="AI30" s="2">
        <v>0</v>
      </c>
      <c r="AK30">
        <v>5343494</v>
      </c>
      <c r="AL30" t="s">
        <v>288</v>
      </c>
    </row>
    <row r="31" spans="1:38" x14ac:dyDescent="0.25">
      <c r="A31" s="1">
        <v>45763</v>
      </c>
      <c r="B31" s="1">
        <v>45762</v>
      </c>
      <c r="C31" t="s">
        <v>252</v>
      </c>
      <c r="D31" t="s">
        <v>39</v>
      </c>
      <c r="E31" t="s">
        <v>40</v>
      </c>
      <c r="F31">
        <v>43677</v>
      </c>
      <c r="H31" t="s">
        <v>41</v>
      </c>
      <c r="I31" s="5">
        <v>102053217100</v>
      </c>
      <c r="J31" t="s">
        <v>361</v>
      </c>
      <c r="M31" t="s">
        <v>89</v>
      </c>
      <c r="O31">
        <v>45612</v>
      </c>
      <c r="P31" t="s">
        <v>99</v>
      </c>
      <c r="Q31" t="s">
        <v>45</v>
      </c>
      <c r="R31" t="s">
        <v>162</v>
      </c>
      <c r="S31" s="1">
        <v>45536</v>
      </c>
      <c r="T31" s="1">
        <v>45792</v>
      </c>
      <c r="U31" t="s">
        <v>47</v>
      </c>
      <c r="V31">
        <v>1</v>
      </c>
      <c r="W31" s="1">
        <v>45757</v>
      </c>
      <c r="X31" t="s">
        <v>48</v>
      </c>
      <c r="Y31" s="2">
        <v>1</v>
      </c>
      <c r="Z31" s="2">
        <v>1</v>
      </c>
      <c r="AB31" s="3">
        <v>1</v>
      </c>
      <c r="AC31" s="2">
        <v>2</v>
      </c>
      <c r="AG31" s="2">
        <v>0</v>
      </c>
      <c r="AH31" s="2">
        <v>2</v>
      </c>
      <c r="AI31" s="2">
        <v>0</v>
      </c>
      <c r="AK31">
        <v>5343698</v>
      </c>
      <c r="AL31" t="s">
        <v>288</v>
      </c>
    </row>
    <row r="32" spans="1:38" x14ac:dyDescent="0.25">
      <c r="A32" s="1">
        <v>45763</v>
      </c>
      <c r="B32" s="1">
        <v>45762</v>
      </c>
      <c r="C32" t="s">
        <v>252</v>
      </c>
      <c r="D32" t="s">
        <v>39</v>
      </c>
      <c r="E32" t="s">
        <v>40</v>
      </c>
      <c r="F32">
        <v>43677</v>
      </c>
      <c r="H32" t="s">
        <v>41</v>
      </c>
      <c r="I32" s="5">
        <v>102105540600</v>
      </c>
      <c r="J32" t="s">
        <v>291</v>
      </c>
      <c r="M32" t="s">
        <v>89</v>
      </c>
      <c r="O32">
        <v>45612</v>
      </c>
      <c r="P32" t="s">
        <v>99</v>
      </c>
      <c r="Q32" t="s">
        <v>45</v>
      </c>
      <c r="R32" t="s">
        <v>162</v>
      </c>
      <c r="S32" s="1">
        <v>45627</v>
      </c>
      <c r="T32" s="1">
        <v>45792</v>
      </c>
      <c r="U32" t="s">
        <v>47</v>
      </c>
      <c r="V32">
        <v>1</v>
      </c>
      <c r="W32" s="1">
        <v>45757</v>
      </c>
      <c r="X32" t="s">
        <v>48</v>
      </c>
      <c r="Y32" s="2">
        <v>1</v>
      </c>
      <c r="Z32" s="2">
        <v>1</v>
      </c>
      <c r="AB32" s="3">
        <v>1</v>
      </c>
      <c r="AC32" s="2">
        <v>2</v>
      </c>
      <c r="AG32" s="2">
        <v>0</v>
      </c>
      <c r="AH32" s="2">
        <v>2</v>
      </c>
      <c r="AI32" s="2">
        <v>0</v>
      </c>
      <c r="AK32">
        <v>5344013</v>
      </c>
      <c r="AL32" t="s">
        <v>288</v>
      </c>
    </row>
    <row r="33" spans="1:38" x14ac:dyDescent="0.25">
      <c r="A33" s="1">
        <v>45763</v>
      </c>
      <c r="B33" s="1">
        <v>45762</v>
      </c>
      <c r="C33" t="s">
        <v>252</v>
      </c>
      <c r="D33" t="s">
        <v>39</v>
      </c>
      <c r="E33" t="s">
        <v>40</v>
      </c>
      <c r="F33">
        <v>43677</v>
      </c>
      <c r="H33" t="s">
        <v>41</v>
      </c>
      <c r="I33" s="5">
        <v>102088844600</v>
      </c>
      <c r="J33" t="s">
        <v>299</v>
      </c>
      <c r="M33" t="s">
        <v>89</v>
      </c>
      <c r="O33">
        <v>45612</v>
      </c>
      <c r="P33" t="s">
        <v>99</v>
      </c>
      <c r="Q33" t="s">
        <v>45</v>
      </c>
      <c r="R33" t="s">
        <v>162</v>
      </c>
      <c r="S33" s="1">
        <v>45627</v>
      </c>
      <c r="T33" s="1">
        <v>45792</v>
      </c>
      <c r="U33" t="s">
        <v>47</v>
      </c>
      <c r="V33">
        <v>1</v>
      </c>
      <c r="W33" s="1">
        <v>45757</v>
      </c>
      <c r="X33" t="s">
        <v>48</v>
      </c>
      <c r="Y33" s="2">
        <v>1</v>
      </c>
      <c r="Z33" s="2">
        <v>1</v>
      </c>
      <c r="AB33" s="3">
        <v>1</v>
      </c>
      <c r="AC33" s="2">
        <v>2</v>
      </c>
      <c r="AG33" s="2">
        <v>0</v>
      </c>
      <c r="AH33" s="2">
        <v>2</v>
      </c>
      <c r="AI33" s="2">
        <v>0</v>
      </c>
      <c r="AK33">
        <v>5343979</v>
      </c>
      <c r="AL33" t="s">
        <v>288</v>
      </c>
    </row>
    <row r="34" spans="1:38" x14ac:dyDescent="0.25">
      <c r="A34" s="1">
        <v>45763</v>
      </c>
      <c r="B34" s="1">
        <v>45762</v>
      </c>
      <c r="C34" t="s">
        <v>252</v>
      </c>
      <c r="D34" t="s">
        <v>39</v>
      </c>
      <c r="E34" t="s">
        <v>40</v>
      </c>
      <c r="F34">
        <v>43677</v>
      </c>
      <c r="H34" t="s">
        <v>41</v>
      </c>
      <c r="I34" s="5">
        <v>102056819400</v>
      </c>
      <c r="J34" t="s">
        <v>353</v>
      </c>
      <c r="M34" t="s">
        <v>84</v>
      </c>
      <c r="O34">
        <v>43682</v>
      </c>
      <c r="P34" t="s">
        <v>118</v>
      </c>
      <c r="Q34" t="s">
        <v>45</v>
      </c>
      <c r="R34" t="s">
        <v>162</v>
      </c>
      <c r="S34" s="1">
        <v>45566</v>
      </c>
      <c r="T34" s="1">
        <v>45792</v>
      </c>
      <c r="U34" t="s">
        <v>47</v>
      </c>
      <c r="V34">
        <v>1</v>
      </c>
      <c r="W34" s="1">
        <v>45757</v>
      </c>
      <c r="X34" t="s">
        <v>48</v>
      </c>
      <c r="Y34" s="2">
        <v>1</v>
      </c>
      <c r="Z34" s="2">
        <v>1</v>
      </c>
      <c r="AB34" s="3">
        <v>1</v>
      </c>
      <c r="AC34" s="2">
        <v>2</v>
      </c>
      <c r="AG34" s="2">
        <v>0</v>
      </c>
      <c r="AH34" s="2">
        <v>2</v>
      </c>
      <c r="AI34" s="2">
        <v>0</v>
      </c>
      <c r="AK34">
        <v>5343764</v>
      </c>
      <c r="AL34" t="s">
        <v>288</v>
      </c>
    </row>
    <row r="35" spans="1:38" x14ac:dyDescent="0.25">
      <c r="A35" s="1">
        <v>45763</v>
      </c>
      <c r="B35" s="1">
        <v>45762</v>
      </c>
      <c r="C35" t="s">
        <v>252</v>
      </c>
      <c r="D35" t="s">
        <v>39</v>
      </c>
      <c r="E35" t="s">
        <v>40</v>
      </c>
      <c r="F35">
        <v>43677</v>
      </c>
      <c r="H35" t="s">
        <v>41</v>
      </c>
      <c r="I35" s="5">
        <v>102017011000</v>
      </c>
      <c r="J35" t="s">
        <v>443</v>
      </c>
      <c r="M35" t="s">
        <v>93</v>
      </c>
      <c r="O35">
        <v>43611</v>
      </c>
      <c r="P35" t="s">
        <v>94</v>
      </c>
      <c r="Q35" t="s">
        <v>250</v>
      </c>
      <c r="R35" t="s">
        <v>162</v>
      </c>
      <c r="S35" s="1">
        <v>45658</v>
      </c>
      <c r="T35" s="1">
        <v>45792</v>
      </c>
      <c r="U35" t="s">
        <v>47</v>
      </c>
      <c r="V35">
        <v>1</v>
      </c>
      <c r="W35" s="1">
        <v>45757</v>
      </c>
      <c r="X35" t="s">
        <v>48</v>
      </c>
      <c r="Y35" s="2">
        <v>1</v>
      </c>
      <c r="Z35" s="2">
        <v>1</v>
      </c>
      <c r="AB35" s="3">
        <v>1</v>
      </c>
      <c r="AC35" s="2">
        <v>2</v>
      </c>
      <c r="AG35" s="2">
        <v>0</v>
      </c>
      <c r="AH35" s="2">
        <v>2</v>
      </c>
      <c r="AI35" s="2">
        <v>0</v>
      </c>
      <c r="AK35">
        <v>5343119</v>
      </c>
      <c r="AL35" t="s">
        <v>288</v>
      </c>
    </row>
    <row r="36" spans="1:38" x14ac:dyDescent="0.25">
      <c r="A36" s="1">
        <v>45763</v>
      </c>
      <c r="B36" s="1">
        <v>45762</v>
      </c>
      <c r="C36" t="s">
        <v>252</v>
      </c>
      <c r="D36" t="s">
        <v>39</v>
      </c>
      <c r="E36" t="s">
        <v>40</v>
      </c>
      <c r="F36">
        <v>43677</v>
      </c>
      <c r="H36" t="s">
        <v>41</v>
      </c>
      <c r="I36" s="5">
        <v>101351768100</v>
      </c>
      <c r="J36" t="s">
        <v>465</v>
      </c>
      <c r="M36" t="s">
        <v>89</v>
      </c>
      <c r="O36">
        <v>45613</v>
      </c>
      <c r="P36" t="s">
        <v>65</v>
      </c>
      <c r="Q36" t="s">
        <v>250</v>
      </c>
      <c r="R36" t="s">
        <v>162</v>
      </c>
      <c r="S36" s="1">
        <v>43831</v>
      </c>
      <c r="T36" s="1">
        <v>45792</v>
      </c>
      <c r="U36" t="s">
        <v>47</v>
      </c>
      <c r="V36">
        <v>1</v>
      </c>
      <c r="W36" s="1">
        <v>45757</v>
      </c>
      <c r="X36" t="s">
        <v>48</v>
      </c>
      <c r="Y36" s="2">
        <v>1</v>
      </c>
      <c r="Z36" s="2">
        <v>1</v>
      </c>
      <c r="AB36" s="3">
        <v>1</v>
      </c>
      <c r="AC36" s="2">
        <v>2</v>
      </c>
      <c r="AG36" s="2">
        <v>0</v>
      </c>
      <c r="AH36" s="2">
        <v>2</v>
      </c>
      <c r="AI36" s="2">
        <v>0</v>
      </c>
      <c r="AK36">
        <v>5338482</v>
      </c>
      <c r="AL36" t="s">
        <v>288</v>
      </c>
    </row>
    <row r="37" spans="1:38" x14ac:dyDescent="0.25">
      <c r="A37" s="1">
        <v>45763</v>
      </c>
      <c r="B37" s="1">
        <v>45762</v>
      </c>
      <c r="C37" t="s">
        <v>252</v>
      </c>
      <c r="D37" t="s">
        <v>39</v>
      </c>
      <c r="E37" t="s">
        <v>40</v>
      </c>
      <c r="F37">
        <v>43677</v>
      </c>
      <c r="H37" t="s">
        <v>41</v>
      </c>
      <c r="I37" s="5">
        <v>102043872000</v>
      </c>
      <c r="J37" t="s">
        <v>390</v>
      </c>
      <c r="M37" t="s">
        <v>93</v>
      </c>
      <c r="O37">
        <v>43611</v>
      </c>
      <c r="P37" t="s">
        <v>94</v>
      </c>
      <c r="Q37" t="s">
        <v>45</v>
      </c>
      <c r="R37" t="s">
        <v>162</v>
      </c>
      <c r="S37" s="1">
        <v>45536</v>
      </c>
      <c r="T37" s="1">
        <v>45792</v>
      </c>
      <c r="U37" t="s">
        <v>47</v>
      </c>
      <c r="V37">
        <v>1</v>
      </c>
      <c r="W37" s="1">
        <v>45757</v>
      </c>
      <c r="X37" t="s">
        <v>48</v>
      </c>
      <c r="Y37" s="2">
        <v>1</v>
      </c>
      <c r="Z37" s="2">
        <v>1</v>
      </c>
      <c r="AB37" s="3">
        <v>1</v>
      </c>
      <c r="AC37" s="2">
        <v>2</v>
      </c>
      <c r="AG37" s="2">
        <v>0</v>
      </c>
      <c r="AH37" s="2">
        <v>2</v>
      </c>
      <c r="AI37" s="2">
        <v>0</v>
      </c>
      <c r="AK37">
        <v>5343531</v>
      </c>
      <c r="AL37" t="s">
        <v>288</v>
      </c>
    </row>
    <row r="38" spans="1:38" x14ac:dyDescent="0.25">
      <c r="A38" s="1">
        <v>45763</v>
      </c>
      <c r="B38" s="1">
        <v>45762</v>
      </c>
      <c r="C38" t="s">
        <v>252</v>
      </c>
      <c r="D38" t="s">
        <v>39</v>
      </c>
      <c r="E38" t="s">
        <v>40</v>
      </c>
      <c r="F38">
        <v>43677</v>
      </c>
      <c r="H38" t="s">
        <v>41</v>
      </c>
      <c r="I38" s="5">
        <v>102098890500</v>
      </c>
      <c r="J38" t="s">
        <v>294</v>
      </c>
      <c r="M38" t="s">
        <v>93</v>
      </c>
      <c r="O38">
        <v>43611</v>
      </c>
      <c r="P38" t="s">
        <v>94</v>
      </c>
      <c r="Q38" t="s">
        <v>45</v>
      </c>
      <c r="R38" t="s">
        <v>162</v>
      </c>
      <c r="S38" s="1">
        <v>45627</v>
      </c>
      <c r="T38" s="1">
        <v>45792</v>
      </c>
      <c r="U38" t="s">
        <v>47</v>
      </c>
      <c r="V38">
        <v>1</v>
      </c>
      <c r="W38" s="1">
        <v>45757</v>
      </c>
      <c r="X38" t="s">
        <v>48</v>
      </c>
      <c r="Y38" s="2">
        <v>1</v>
      </c>
      <c r="Z38" s="2">
        <v>1</v>
      </c>
      <c r="AB38" s="3">
        <v>1</v>
      </c>
      <c r="AC38" s="2">
        <v>2</v>
      </c>
      <c r="AG38" s="2">
        <v>0</v>
      </c>
      <c r="AH38" s="2">
        <v>2</v>
      </c>
      <c r="AI38" s="2">
        <v>0</v>
      </c>
      <c r="AK38">
        <v>5344002</v>
      </c>
      <c r="AL38" t="s">
        <v>288</v>
      </c>
    </row>
    <row r="39" spans="1:38" x14ac:dyDescent="0.25">
      <c r="A39" s="1">
        <v>45763</v>
      </c>
      <c r="B39" s="1">
        <v>45762</v>
      </c>
      <c r="C39" t="s">
        <v>252</v>
      </c>
      <c r="D39" t="s">
        <v>39</v>
      </c>
      <c r="E39" t="s">
        <v>40</v>
      </c>
      <c r="F39">
        <v>43677</v>
      </c>
      <c r="H39" t="s">
        <v>41</v>
      </c>
      <c r="I39" s="5">
        <v>102081559700</v>
      </c>
      <c r="J39" t="s">
        <v>304</v>
      </c>
      <c r="M39" t="s">
        <v>93</v>
      </c>
      <c r="O39">
        <v>43611</v>
      </c>
      <c r="P39" t="s">
        <v>94</v>
      </c>
      <c r="Q39" t="s">
        <v>45</v>
      </c>
      <c r="R39" t="s">
        <v>162</v>
      </c>
      <c r="S39" s="1">
        <v>45627</v>
      </c>
      <c r="T39" s="1">
        <v>45792</v>
      </c>
      <c r="U39" t="s">
        <v>47</v>
      </c>
      <c r="V39">
        <v>1</v>
      </c>
      <c r="W39" s="1">
        <v>45757</v>
      </c>
      <c r="X39" t="s">
        <v>48</v>
      </c>
      <c r="Y39" s="2">
        <v>1</v>
      </c>
      <c r="Z39" s="2">
        <v>1</v>
      </c>
      <c r="AB39" s="3">
        <v>1</v>
      </c>
      <c r="AC39" s="2">
        <v>2</v>
      </c>
      <c r="AG39" s="2">
        <v>0</v>
      </c>
      <c r="AH39" s="2">
        <v>2</v>
      </c>
      <c r="AI39" s="2">
        <v>0</v>
      </c>
      <c r="AK39">
        <v>5343960</v>
      </c>
      <c r="AL39" t="s">
        <v>288</v>
      </c>
    </row>
    <row r="40" spans="1:38" x14ac:dyDescent="0.25">
      <c r="A40" s="1">
        <v>45763</v>
      </c>
      <c r="B40" s="1">
        <v>45762</v>
      </c>
      <c r="C40" t="s">
        <v>252</v>
      </c>
      <c r="D40" t="s">
        <v>39</v>
      </c>
      <c r="E40" t="s">
        <v>40</v>
      </c>
      <c r="F40">
        <v>43677</v>
      </c>
      <c r="H40" t="s">
        <v>41</v>
      </c>
      <c r="I40" s="5">
        <v>102033862400</v>
      </c>
      <c r="J40" t="s">
        <v>416</v>
      </c>
      <c r="M40" t="s">
        <v>93</v>
      </c>
      <c r="O40">
        <v>43611</v>
      </c>
      <c r="P40" t="s">
        <v>94</v>
      </c>
      <c r="Q40" t="s">
        <v>45</v>
      </c>
      <c r="R40" t="s">
        <v>162</v>
      </c>
      <c r="S40" s="1">
        <v>45505</v>
      </c>
      <c r="T40" s="1">
        <v>45792</v>
      </c>
      <c r="U40" t="s">
        <v>47</v>
      </c>
      <c r="V40">
        <v>1</v>
      </c>
      <c r="W40" s="1">
        <v>45757</v>
      </c>
      <c r="X40" t="s">
        <v>48</v>
      </c>
      <c r="Y40" s="2">
        <v>1</v>
      </c>
      <c r="Z40" s="2">
        <v>1</v>
      </c>
      <c r="AB40" s="3">
        <v>1</v>
      </c>
      <c r="AC40" s="2">
        <v>2</v>
      </c>
      <c r="AG40" s="2">
        <v>0</v>
      </c>
      <c r="AH40" s="2">
        <v>2</v>
      </c>
      <c r="AI40" s="2">
        <v>0</v>
      </c>
      <c r="AK40">
        <v>5343369</v>
      </c>
      <c r="AL40" t="s">
        <v>288</v>
      </c>
    </row>
    <row r="41" spans="1:38" x14ac:dyDescent="0.25">
      <c r="A41" s="1">
        <v>45763</v>
      </c>
      <c r="B41" s="1">
        <v>45762</v>
      </c>
      <c r="C41" t="s">
        <v>252</v>
      </c>
      <c r="D41" t="s">
        <v>39</v>
      </c>
      <c r="E41" t="s">
        <v>40</v>
      </c>
      <c r="F41">
        <v>43677</v>
      </c>
      <c r="H41" t="s">
        <v>41</v>
      </c>
      <c r="I41" s="5">
        <v>102095689100</v>
      </c>
      <c r="J41" t="s">
        <v>297</v>
      </c>
      <c r="M41" t="s">
        <v>122</v>
      </c>
      <c r="O41">
        <v>45632</v>
      </c>
      <c r="P41" t="s">
        <v>70</v>
      </c>
      <c r="Q41" t="s">
        <v>45</v>
      </c>
      <c r="R41" t="s">
        <v>162</v>
      </c>
      <c r="S41" s="1">
        <v>45627</v>
      </c>
      <c r="T41" s="1">
        <v>45792</v>
      </c>
      <c r="U41" t="s">
        <v>47</v>
      </c>
      <c r="V41">
        <v>1</v>
      </c>
      <c r="W41" s="1">
        <v>45757</v>
      </c>
      <c r="X41" t="s">
        <v>48</v>
      </c>
      <c r="Y41" s="2">
        <v>1</v>
      </c>
      <c r="Z41" s="2">
        <v>1</v>
      </c>
      <c r="AB41" s="3">
        <v>1</v>
      </c>
      <c r="AC41" s="2">
        <v>2</v>
      </c>
      <c r="AG41" s="2">
        <v>0</v>
      </c>
      <c r="AH41" s="2">
        <v>2</v>
      </c>
      <c r="AI41" s="2">
        <v>0</v>
      </c>
      <c r="AK41">
        <v>5343995</v>
      </c>
      <c r="AL41" t="s">
        <v>288</v>
      </c>
    </row>
    <row r="42" spans="1:38" x14ac:dyDescent="0.25">
      <c r="A42" s="1">
        <v>45763</v>
      </c>
      <c r="B42" s="1">
        <v>45762</v>
      </c>
      <c r="C42" t="s">
        <v>252</v>
      </c>
      <c r="D42" t="s">
        <v>39</v>
      </c>
      <c r="E42" t="s">
        <v>40</v>
      </c>
      <c r="F42">
        <v>43677</v>
      </c>
      <c r="H42" t="s">
        <v>41</v>
      </c>
      <c r="I42" s="5">
        <v>102030825500</v>
      </c>
      <c r="J42" t="s">
        <v>419</v>
      </c>
      <c r="M42" t="s">
        <v>89</v>
      </c>
      <c r="O42">
        <v>45613</v>
      </c>
      <c r="P42" t="s">
        <v>65</v>
      </c>
      <c r="Q42" t="s">
        <v>45</v>
      </c>
      <c r="R42" t="s">
        <v>162</v>
      </c>
      <c r="S42" s="1">
        <v>45505</v>
      </c>
      <c r="T42" s="1">
        <v>45792</v>
      </c>
      <c r="U42" t="s">
        <v>47</v>
      </c>
      <c r="V42">
        <v>1</v>
      </c>
      <c r="W42" s="1">
        <v>45757</v>
      </c>
      <c r="X42" t="s">
        <v>48</v>
      </c>
      <c r="Y42" s="2">
        <v>1</v>
      </c>
      <c r="Z42" s="2">
        <v>1</v>
      </c>
      <c r="AB42" s="3">
        <v>1</v>
      </c>
      <c r="AC42" s="2">
        <v>2</v>
      </c>
      <c r="AG42" s="2">
        <v>0</v>
      </c>
      <c r="AH42" s="2">
        <v>2</v>
      </c>
      <c r="AI42" s="2">
        <v>0</v>
      </c>
      <c r="AK42">
        <v>5343320</v>
      </c>
      <c r="AL42" t="s">
        <v>288</v>
      </c>
    </row>
    <row r="43" spans="1:38" x14ac:dyDescent="0.25">
      <c r="A43" s="1">
        <v>45763</v>
      </c>
      <c r="B43" s="1">
        <v>45762</v>
      </c>
      <c r="C43" t="s">
        <v>252</v>
      </c>
      <c r="D43" t="s">
        <v>39</v>
      </c>
      <c r="E43" t="s">
        <v>40</v>
      </c>
      <c r="F43">
        <v>43677</v>
      </c>
      <c r="H43" t="s">
        <v>41</v>
      </c>
      <c r="I43" s="5">
        <v>101098603800</v>
      </c>
      <c r="J43" t="s">
        <v>468</v>
      </c>
      <c r="M43" t="s">
        <v>93</v>
      </c>
      <c r="O43">
        <v>43679</v>
      </c>
      <c r="P43" t="s">
        <v>191</v>
      </c>
      <c r="Q43" t="s">
        <v>45</v>
      </c>
      <c r="R43" t="s">
        <v>162</v>
      </c>
      <c r="S43" s="1">
        <v>44562</v>
      </c>
      <c r="T43" s="1">
        <v>45792</v>
      </c>
      <c r="U43" t="s">
        <v>47</v>
      </c>
      <c r="V43">
        <v>1</v>
      </c>
      <c r="W43" s="1">
        <v>45757</v>
      </c>
      <c r="X43" t="s">
        <v>48</v>
      </c>
      <c r="Y43" s="2">
        <v>1</v>
      </c>
      <c r="Z43" s="2">
        <v>1</v>
      </c>
      <c r="AB43" s="3">
        <v>1</v>
      </c>
      <c r="AC43" s="2">
        <v>2</v>
      </c>
      <c r="AG43" s="2">
        <v>0</v>
      </c>
      <c r="AH43" s="2">
        <v>2</v>
      </c>
      <c r="AI43" s="2">
        <v>0</v>
      </c>
      <c r="AK43">
        <v>5337598</v>
      </c>
      <c r="AL43" t="s">
        <v>288</v>
      </c>
    </row>
    <row r="44" spans="1:38" x14ac:dyDescent="0.25">
      <c r="A44" s="1">
        <v>45763</v>
      </c>
      <c r="B44" s="1">
        <v>45762</v>
      </c>
      <c r="C44" t="s">
        <v>252</v>
      </c>
      <c r="D44" t="s">
        <v>39</v>
      </c>
      <c r="E44" t="s">
        <v>40</v>
      </c>
      <c r="F44">
        <v>43677</v>
      </c>
      <c r="H44" t="s">
        <v>41</v>
      </c>
      <c r="I44" s="5">
        <v>102006468500</v>
      </c>
      <c r="J44" t="s">
        <v>459</v>
      </c>
      <c r="M44" t="s">
        <v>369</v>
      </c>
      <c r="O44">
        <v>43682</v>
      </c>
      <c r="P44" t="s">
        <v>118</v>
      </c>
      <c r="Q44" t="s">
        <v>45</v>
      </c>
      <c r="R44" t="s">
        <v>162</v>
      </c>
      <c r="S44" s="1">
        <v>45444</v>
      </c>
      <c r="T44" s="1">
        <v>45792</v>
      </c>
      <c r="U44" t="s">
        <v>47</v>
      </c>
      <c r="V44">
        <v>1</v>
      </c>
      <c r="W44" s="1">
        <v>45757</v>
      </c>
      <c r="X44" t="s">
        <v>48</v>
      </c>
      <c r="Y44" s="2">
        <v>1</v>
      </c>
      <c r="Z44" s="2">
        <v>1</v>
      </c>
      <c r="AB44" s="3">
        <v>1</v>
      </c>
      <c r="AC44" s="2">
        <v>2</v>
      </c>
      <c r="AG44" s="2">
        <v>0</v>
      </c>
      <c r="AH44" s="2">
        <v>2</v>
      </c>
      <c r="AI44" s="2">
        <v>0</v>
      </c>
      <c r="AK44">
        <v>5343006</v>
      </c>
      <c r="AL44" t="s">
        <v>288</v>
      </c>
    </row>
    <row r="45" spans="1:38" x14ac:dyDescent="0.25">
      <c r="A45" s="1">
        <v>45763</v>
      </c>
      <c r="B45" s="1">
        <v>45762</v>
      </c>
      <c r="C45" t="s">
        <v>252</v>
      </c>
      <c r="D45" t="s">
        <v>39</v>
      </c>
      <c r="E45" t="s">
        <v>40</v>
      </c>
      <c r="F45">
        <v>43677</v>
      </c>
      <c r="H45" t="s">
        <v>41</v>
      </c>
      <c r="I45" s="5">
        <v>102046673700</v>
      </c>
      <c r="J45" t="s">
        <v>384</v>
      </c>
      <c r="M45" t="s">
        <v>93</v>
      </c>
      <c r="O45">
        <v>43677</v>
      </c>
      <c r="P45" t="s">
        <v>41</v>
      </c>
      <c r="Q45" t="s">
        <v>45</v>
      </c>
      <c r="R45" t="s">
        <v>162</v>
      </c>
      <c r="S45" s="1">
        <v>45536</v>
      </c>
      <c r="T45" s="1">
        <v>45792</v>
      </c>
      <c r="U45" t="s">
        <v>47</v>
      </c>
      <c r="V45">
        <v>1</v>
      </c>
      <c r="W45" s="1">
        <v>45757</v>
      </c>
      <c r="X45" t="s">
        <v>48</v>
      </c>
      <c r="Y45" s="2">
        <v>1</v>
      </c>
      <c r="Z45" s="2">
        <v>1</v>
      </c>
      <c r="AB45" s="3">
        <v>1</v>
      </c>
      <c r="AC45" s="2">
        <v>2</v>
      </c>
      <c r="AG45" s="2">
        <v>0</v>
      </c>
      <c r="AH45" s="2">
        <v>2</v>
      </c>
      <c r="AI45" s="2">
        <v>0</v>
      </c>
      <c r="AK45">
        <v>5343571</v>
      </c>
      <c r="AL45" t="s">
        <v>288</v>
      </c>
    </row>
    <row r="46" spans="1:38" x14ac:dyDescent="0.25">
      <c r="A46" s="1">
        <v>45763</v>
      </c>
      <c r="B46" s="1">
        <v>45762</v>
      </c>
      <c r="C46" t="s">
        <v>252</v>
      </c>
      <c r="D46" t="s">
        <v>39</v>
      </c>
      <c r="E46" t="s">
        <v>40</v>
      </c>
      <c r="F46">
        <v>43677</v>
      </c>
      <c r="H46" t="s">
        <v>41</v>
      </c>
      <c r="I46" s="5">
        <v>102092114400</v>
      </c>
      <c r="J46" t="s">
        <v>298</v>
      </c>
      <c r="M46" t="s">
        <v>89</v>
      </c>
      <c r="O46">
        <v>45612</v>
      </c>
      <c r="P46" t="s">
        <v>99</v>
      </c>
      <c r="Q46" t="s">
        <v>45</v>
      </c>
      <c r="R46" t="s">
        <v>162</v>
      </c>
      <c r="S46" s="1">
        <v>45627</v>
      </c>
      <c r="T46" s="1">
        <v>45792</v>
      </c>
      <c r="U46" t="s">
        <v>47</v>
      </c>
      <c r="V46">
        <v>1</v>
      </c>
      <c r="W46" s="1">
        <v>45757</v>
      </c>
      <c r="X46" t="s">
        <v>48</v>
      </c>
      <c r="Y46" s="2">
        <v>1</v>
      </c>
      <c r="Z46" s="2">
        <v>1</v>
      </c>
      <c r="AB46" s="3">
        <v>1</v>
      </c>
      <c r="AC46" s="2">
        <v>2</v>
      </c>
      <c r="AG46" s="2">
        <v>0</v>
      </c>
      <c r="AH46" s="2">
        <v>2</v>
      </c>
      <c r="AI46" s="2">
        <v>0</v>
      </c>
      <c r="AK46">
        <v>5343988</v>
      </c>
      <c r="AL46" t="s">
        <v>288</v>
      </c>
    </row>
    <row r="47" spans="1:38" x14ac:dyDescent="0.25">
      <c r="A47" s="1">
        <v>45756</v>
      </c>
      <c r="B47" s="1">
        <v>45756</v>
      </c>
      <c r="C47" t="s">
        <v>146</v>
      </c>
      <c r="D47" t="s">
        <v>39</v>
      </c>
      <c r="E47" t="s">
        <v>40</v>
      </c>
      <c r="F47">
        <v>43677</v>
      </c>
      <c r="H47" t="s">
        <v>41</v>
      </c>
      <c r="I47" s="5" t="s">
        <v>673</v>
      </c>
      <c r="J47" t="s">
        <v>160</v>
      </c>
      <c r="M47" t="s">
        <v>89</v>
      </c>
      <c r="O47">
        <v>45607</v>
      </c>
      <c r="P47" t="s">
        <v>161</v>
      </c>
      <c r="Q47" t="s">
        <v>148</v>
      </c>
      <c r="R47" t="s">
        <v>162</v>
      </c>
      <c r="S47" s="1">
        <v>45658</v>
      </c>
      <c r="U47" t="s">
        <v>47</v>
      </c>
      <c r="X47" t="s">
        <v>48</v>
      </c>
      <c r="Y47" s="2">
        <v>0</v>
      </c>
      <c r="Z47">
        <v>-50</v>
      </c>
      <c r="AA47">
        <v>1</v>
      </c>
      <c r="AB47" s="3">
        <v>1</v>
      </c>
      <c r="AC47">
        <v>-50</v>
      </c>
      <c r="AD47" s="3">
        <v>0</v>
      </c>
      <c r="AE47" s="2">
        <v>0</v>
      </c>
      <c r="AF47" s="2">
        <v>50</v>
      </c>
      <c r="AG47" s="2"/>
      <c r="AJ47" s="2"/>
    </row>
    <row r="48" spans="1:38" x14ac:dyDescent="0.25">
      <c r="A48" s="1">
        <v>45763</v>
      </c>
      <c r="B48" s="1">
        <v>45762</v>
      </c>
      <c r="C48" t="s">
        <v>252</v>
      </c>
      <c r="D48" t="s">
        <v>39</v>
      </c>
      <c r="E48" t="s">
        <v>40</v>
      </c>
      <c r="F48">
        <v>43677</v>
      </c>
      <c r="H48" t="s">
        <v>41</v>
      </c>
      <c r="I48" s="5">
        <v>102049634300</v>
      </c>
      <c r="J48" t="s">
        <v>378</v>
      </c>
      <c r="M48" t="s">
        <v>93</v>
      </c>
      <c r="O48">
        <v>43611</v>
      </c>
      <c r="P48" t="s">
        <v>94</v>
      </c>
      <c r="Q48" t="s">
        <v>45</v>
      </c>
      <c r="R48" t="s">
        <v>162</v>
      </c>
      <c r="S48" s="1">
        <v>45597</v>
      </c>
      <c r="T48" s="1">
        <v>45792</v>
      </c>
      <c r="U48" t="s">
        <v>47</v>
      </c>
      <c r="V48">
        <v>1</v>
      </c>
      <c r="W48" s="1">
        <v>45757</v>
      </c>
      <c r="X48" t="s">
        <v>48</v>
      </c>
      <c r="Y48" s="2">
        <v>1</v>
      </c>
      <c r="Z48" s="2">
        <v>1</v>
      </c>
      <c r="AB48" s="3">
        <v>1</v>
      </c>
      <c r="AC48" s="2">
        <v>2</v>
      </c>
      <c r="AG48" s="2">
        <v>0</v>
      </c>
      <c r="AH48" s="2">
        <v>2</v>
      </c>
      <c r="AI48" s="2">
        <v>0</v>
      </c>
      <c r="AK48">
        <v>5343620</v>
      </c>
      <c r="AL48" t="s">
        <v>288</v>
      </c>
    </row>
    <row r="49" spans="1:38" x14ac:dyDescent="0.25">
      <c r="A49" s="1">
        <v>45763</v>
      </c>
      <c r="B49" s="1">
        <v>45762</v>
      </c>
      <c r="C49" t="s">
        <v>252</v>
      </c>
      <c r="D49" t="s">
        <v>39</v>
      </c>
      <c r="E49" t="s">
        <v>40</v>
      </c>
      <c r="F49">
        <v>43677</v>
      </c>
      <c r="H49" t="s">
        <v>41</v>
      </c>
      <c r="I49" s="5">
        <v>102018981300</v>
      </c>
      <c r="J49" t="s">
        <v>440</v>
      </c>
      <c r="M49" t="s">
        <v>93</v>
      </c>
      <c r="O49">
        <v>43611</v>
      </c>
      <c r="P49" t="s">
        <v>94</v>
      </c>
      <c r="Q49" t="s">
        <v>45</v>
      </c>
      <c r="R49" t="s">
        <v>162</v>
      </c>
      <c r="S49" s="1">
        <v>45505</v>
      </c>
      <c r="T49" s="1">
        <v>45792</v>
      </c>
      <c r="U49" t="s">
        <v>47</v>
      </c>
      <c r="V49">
        <v>1</v>
      </c>
      <c r="W49" s="1">
        <v>45757</v>
      </c>
      <c r="X49" t="s">
        <v>48</v>
      </c>
      <c r="Y49" s="2">
        <v>1</v>
      </c>
      <c r="Z49" s="2">
        <v>1</v>
      </c>
      <c r="AB49" s="3">
        <v>1</v>
      </c>
      <c r="AC49" s="2">
        <v>2</v>
      </c>
      <c r="AG49" s="2">
        <v>0</v>
      </c>
      <c r="AH49" s="2">
        <v>2</v>
      </c>
      <c r="AI49" s="2">
        <v>0</v>
      </c>
      <c r="AK49">
        <v>5343147</v>
      </c>
      <c r="AL49" t="s">
        <v>288</v>
      </c>
    </row>
    <row r="50" spans="1:38" x14ac:dyDescent="0.25">
      <c r="A50" s="1">
        <v>45763</v>
      </c>
      <c r="B50" s="1">
        <v>45762</v>
      </c>
      <c r="C50" t="s">
        <v>252</v>
      </c>
      <c r="D50" t="s">
        <v>39</v>
      </c>
      <c r="E50" t="s">
        <v>40</v>
      </c>
      <c r="F50">
        <v>43677</v>
      </c>
      <c r="H50" t="s">
        <v>41</v>
      </c>
      <c r="I50" s="5">
        <v>102009546700</v>
      </c>
      <c r="J50" t="s">
        <v>454</v>
      </c>
      <c r="M50" t="s">
        <v>93</v>
      </c>
      <c r="O50">
        <v>43611</v>
      </c>
      <c r="P50" t="s">
        <v>94</v>
      </c>
      <c r="Q50" t="s">
        <v>45</v>
      </c>
      <c r="R50" t="s">
        <v>162</v>
      </c>
      <c r="S50" s="1">
        <v>45444</v>
      </c>
      <c r="T50" s="1">
        <v>45792</v>
      </c>
      <c r="U50" t="s">
        <v>47</v>
      </c>
      <c r="V50">
        <v>1</v>
      </c>
      <c r="W50" s="1">
        <v>45757</v>
      </c>
      <c r="X50" t="s">
        <v>48</v>
      </c>
      <c r="Y50" s="2">
        <v>1</v>
      </c>
      <c r="Z50" s="2">
        <v>1</v>
      </c>
      <c r="AB50" s="3">
        <v>1</v>
      </c>
      <c r="AC50" s="2">
        <v>2</v>
      </c>
      <c r="AG50" s="2">
        <v>0</v>
      </c>
      <c r="AH50" s="2">
        <v>2</v>
      </c>
      <c r="AI50" s="2">
        <v>0</v>
      </c>
      <c r="AK50">
        <v>5343038</v>
      </c>
      <c r="AL50" t="s">
        <v>288</v>
      </c>
    </row>
    <row r="51" spans="1:38" x14ac:dyDescent="0.25">
      <c r="A51" s="1">
        <v>45763</v>
      </c>
      <c r="B51" s="1">
        <v>45762</v>
      </c>
      <c r="C51" t="s">
        <v>252</v>
      </c>
      <c r="D51" t="s">
        <v>39</v>
      </c>
      <c r="E51" t="s">
        <v>40</v>
      </c>
      <c r="F51">
        <v>43677</v>
      </c>
      <c r="H51" t="s">
        <v>41</v>
      </c>
      <c r="I51" s="5">
        <v>102020865700</v>
      </c>
      <c r="J51" t="s">
        <v>439</v>
      </c>
      <c r="M51" t="s">
        <v>93</v>
      </c>
      <c r="O51">
        <v>43679</v>
      </c>
      <c r="P51" t="s">
        <v>191</v>
      </c>
      <c r="Q51" t="s">
        <v>45</v>
      </c>
      <c r="R51" t="s">
        <v>162</v>
      </c>
      <c r="S51" s="1">
        <v>45474</v>
      </c>
      <c r="T51" s="1">
        <v>45792</v>
      </c>
      <c r="U51" t="s">
        <v>47</v>
      </c>
      <c r="V51">
        <v>1</v>
      </c>
      <c r="W51" s="1">
        <v>45757</v>
      </c>
      <c r="X51" t="s">
        <v>48</v>
      </c>
      <c r="Y51" s="2">
        <v>1</v>
      </c>
      <c r="Z51" s="2">
        <v>1</v>
      </c>
      <c r="AB51" s="3">
        <v>1</v>
      </c>
      <c r="AC51" s="2">
        <v>2</v>
      </c>
      <c r="AG51" s="2">
        <v>0</v>
      </c>
      <c r="AH51" s="2">
        <v>2</v>
      </c>
      <c r="AI51" s="2">
        <v>0</v>
      </c>
      <c r="AK51">
        <v>5343179</v>
      </c>
      <c r="AL51" t="s">
        <v>288</v>
      </c>
    </row>
    <row r="52" spans="1:38" x14ac:dyDescent="0.25">
      <c r="A52" s="1">
        <v>45763</v>
      </c>
      <c r="B52" s="1">
        <v>45762</v>
      </c>
      <c r="C52" t="s">
        <v>252</v>
      </c>
      <c r="D52" t="s">
        <v>39</v>
      </c>
      <c r="E52" t="s">
        <v>40</v>
      </c>
      <c r="F52">
        <v>43677</v>
      </c>
      <c r="H52" t="s">
        <v>41</v>
      </c>
      <c r="I52" s="5">
        <v>102051406100</v>
      </c>
      <c r="J52" t="s">
        <v>367</v>
      </c>
      <c r="M52" t="s">
        <v>93</v>
      </c>
      <c r="O52">
        <v>43691</v>
      </c>
      <c r="P52" t="s">
        <v>108</v>
      </c>
      <c r="Q52" t="s">
        <v>45</v>
      </c>
      <c r="R52" t="s">
        <v>162</v>
      </c>
      <c r="S52" s="1">
        <v>45536</v>
      </c>
      <c r="T52" s="1">
        <v>45792</v>
      </c>
      <c r="U52" t="s">
        <v>47</v>
      </c>
      <c r="V52">
        <v>1</v>
      </c>
      <c r="W52" s="1">
        <v>45757</v>
      </c>
      <c r="X52" t="s">
        <v>48</v>
      </c>
      <c r="Y52" s="2">
        <v>1</v>
      </c>
      <c r="Z52" s="2">
        <v>1</v>
      </c>
      <c r="AB52" s="3">
        <v>1</v>
      </c>
      <c r="AC52" s="2">
        <v>2</v>
      </c>
      <c r="AG52" s="2">
        <v>0</v>
      </c>
      <c r="AH52" s="2">
        <v>2</v>
      </c>
      <c r="AI52" s="2">
        <v>0</v>
      </c>
      <c r="AK52">
        <v>5343661</v>
      </c>
      <c r="AL52" t="s">
        <v>288</v>
      </c>
    </row>
    <row r="53" spans="1:38" x14ac:dyDescent="0.25">
      <c r="A53" s="1">
        <v>45763</v>
      </c>
      <c r="B53" s="1">
        <v>45762</v>
      </c>
      <c r="C53" t="s">
        <v>252</v>
      </c>
      <c r="D53" t="s">
        <v>39</v>
      </c>
      <c r="E53" t="s">
        <v>40</v>
      </c>
      <c r="F53">
        <v>43677</v>
      </c>
      <c r="H53" t="s">
        <v>41</v>
      </c>
      <c r="I53" s="5">
        <v>102065624200</v>
      </c>
      <c r="J53" t="s">
        <v>325</v>
      </c>
      <c r="M53" t="s">
        <v>93</v>
      </c>
      <c r="O53">
        <v>43679</v>
      </c>
      <c r="P53" t="s">
        <v>191</v>
      </c>
      <c r="Q53" t="s">
        <v>45</v>
      </c>
      <c r="R53" t="s">
        <v>162</v>
      </c>
      <c r="S53" s="1">
        <v>45597</v>
      </c>
      <c r="T53" s="1">
        <v>45792</v>
      </c>
      <c r="U53" t="s">
        <v>47</v>
      </c>
      <c r="V53">
        <v>1</v>
      </c>
      <c r="W53" s="1">
        <v>45757</v>
      </c>
      <c r="X53" t="s">
        <v>48</v>
      </c>
      <c r="Y53" s="2">
        <v>1</v>
      </c>
      <c r="Z53" s="2">
        <v>1</v>
      </c>
      <c r="AB53" s="3">
        <v>1</v>
      </c>
      <c r="AC53" s="2">
        <v>2</v>
      </c>
      <c r="AG53" s="2">
        <v>0</v>
      </c>
      <c r="AH53" s="2">
        <v>2</v>
      </c>
      <c r="AI53" s="2">
        <v>0</v>
      </c>
      <c r="AK53">
        <v>5343894</v>
      </c>
      <c r="AL53" t="s">
        <v>288</v>
      </c>
    </row>
    <row r="54" spans="1:38" x14ac:dyDescent="0.25">
      <c r="A54" s="1">
        <v>45763</v>
      </c>
      <c r="B54" s="1">
        <v>45762</v>
      </c>
      <c r="C54" t="s">
        <v>252</v>
      </c>
      <c r="D54" t="s">
        <v>39</v>
      </c>
      <c r="E54" t="s">
        <v>40</v>
      </c>
      <c r="F54">
        <v>43677</v>
      </c>
      <c r="H54" t="s">
        <v>41</v>
      </c>
      <c r="I54" s="5">
        <v>102055396200</v>
      </c>
      <c r="J54" t="s">
        <v>355</v>
      </c>
      <c r="M54" t="s">
        <v>89</v>
      </c>
      <c r="O54">
        <v>45709</v>
      </c>
      <c r="P54" t="s">
        <v>137</v>
      </c>
      <c r="Q54" t="s">
        <v>45</v>
      </c>
      <c r="R54" t="s">
        <v>162</v>
      </c>
      <c r="S54" s="1">
        <v>45566</v>
      </c>
      <c r="T54" s="1">
        <v>45792</v>
      </c>
      <c r="U54" t="s">
        <v>47</v>
      </c>
      <c r="V54">
        <v>1</v>
      </c>
      <c r="W54" s="1">
        <v>45757</v>
      </c>
      <c r="X54" t="s">
        <v>48</v>
      </c>
      <c r="Y54" s="2">
        <v>1</v>
      </c>
      <c r="Z54" s="2">
        <v>1</v>
      </c>
      <c r="AB54" s="3">
        <v>1</v>
      </c>
      <c r="AC54" s="2">
        <v>2</v>
      </c>
      <c r="AG54" s="2">
        <v>0</v>
      </c>
      <c r="AH54" s="2">
        <v>2</v>
      </c>
      <c r="AI54" s="2">
        <v>0</v>
      </c>
      <c r="AK54">
        <v>5343737</v>
      </c>
      <c r="AL54" t="s">
        <v>288</v>
      </c>
    </row>
    <row r="55" spans="1:38" x14ac:dyDescent="0.25">
      <c r="A55" s="1">
        <v>45763</v>
      </c>
      <c r="B55" s="1">
        <v>45762</v>
      </c>
      <c r="C55" t="s">
        <v>252</v>
      </c>
      <c r="D55" t="s">
        <v>39</v>
      </c>
      <c r="E55" t="s">
        <v>40</v>
      </c>
      <c r="F55">
        <v>43677</v>
      </c>
      <c r="H55" t="s">
        <v>41</v>
      </c>
      <c r="I55" s="5">
        <v>102064852300</v>
      </c>
      <c r="J55" t="s">
        <v>327</v>
      </c>
      <c r="M55" t="s">
        <v>89</v>
      </c>
      <c r="O55">
        <v>43682</v>
      </c>
      <c r="P55" t="s">
        <v>118</v>
      </c>
      <c r="Q55" t="s">
        <v>45</v>
      </c>
      <c r="R55" t="s">
        <v>162</v>
      </c>
      <c r="S55" s="1">
        <v>45566</v>
      </c>
      <c r="T55" s="1">
        <v>45792</v>
      </c>
      <c r="U55" t="s">
        <v>47</v>
      </c>
      <c r="V55">
        <v>1</v>
      </c>
      <c r="W55" s="1">
        <v>45757</v>
      </c>
      <c r="X55" t="s">
        <v>48</v>
      </c>
      <c r="Y55" s="2">
        <v>1</v>
      </c>
      <c r="Z55" s="2">
        <v>1</v>
      </c>
      <c r="AB55" s="3">
        <v>1</v>
      </c>
      <c r="AC55" s="2">
        <v>2</v>
      </c>
      <c r="AG55" s="2">
        <v>0</v>
      </c>
      <c r="AH55" s="2">
        <v>2</v>
      </c>
      <c r="AI55" s="2">
        <v>0</v>
      </c>
      <c r="AK55">
        <v>5343884</v>
      </c>
      <c r="AL55" t="s">
        <v>288</v>
      </c>
    </row>
    <row r="56" spans="1:38" x14ac:dyDescent="0.25">
      <c r="A56" s="1">
        <v>45763</v>
      </c>
      <c r="B56" s="1">
        <v>45762</v>
      </c>
      <c r="C56" t="s">
        <v>252</v>
      </c>
      <c r="D56" t="s">
        <v>39</v>
      </c>
      <c r="E56" t="s">
        <v>40</v>
      </c>
      <c r="F56">
        <v>43677</v>
      </c>
      <c r="H56" t="s">
        <v>41</v>
      </c>
      <c r="I56" s="5">
        <v>102014399100</v>
      </c>
      <c r="J56" t="s">
        <v>448</v>
      </c>
      <c r="M56" t="s">
        <v>93</v>
      </c>
      <c r="O56">
        <v>43691</v>
      </c>
      <c r="P56" t="s">
        <v>108</v>
      </c>
      <c r="Q56" t="s">
        <v>45</v>
      </c>
      <c r="R56" t="s">
        <v>162</v>
      </c>
      <c r="S56" s="1">
        <v>45505</v>
      </c>
      <c r="T56" s="1">
        <v>45792</v>
      </c>
      <c r="U56" t="s">
        <v>47</v>
      </c>
      <c r="V56">
        <v>1</v>
      </c>
      <c r="W56" s="1">
        <v>45757</v>
      </c>
      <c r="X56" t="s">
        <v>48</v>
      </c>
      <c r="Y56" s="2">
        <v>1</v>
      </c>
      <c r="Z56" s="2">
        <v>1</v>
      </c>
      <c r="AB56" s="3">
        <v>1</v>
      </c>
      <c r="AC56" s="2">
        <v>2</v>
      </c>
      <c r="AG56" s="2">
        <v>0</v>
      </c>
      <c r="AH56" s="2">
        <v>2</v>
      </c>
      <c r="AI56" s="2">
        <v>0</v>
      </c>
      <c r="AK56">
        <v>5343091</v>
      </c>
      <c r="AL56" t="s">
        <v>288</v>
      </c>
    </row>
    <row r="57" spans="1:38" x14ac:dyDescent="0.25">
      <c r="A57" s="1">
        <v>45763</v>
      </c>
      <c r="B57" s="1">
        <v>45762</v>
      </c>
      <c r="C57" t="s">
        <v>252</v>
      </c>
      <c r="D57" t="s">
        <v>39</v>
      </c>
      <c r="E57" t="s">
        <v>40</v>
      </c>
      <c r="F57">
        <v>43677</v>
      </c>
      <c r="H57" t="s">
        <v>41</v>
      </c>
      <c r="I57" s="5">
        <v>102017009100</v>
      </c>
      <c r="J57" t="s">
        <v>444</v>
      </c>
      <c r="M57" t="s">
        <v>93</v>
      </c>
      <c r="O57">
        <v>43611</v>
      </c>
      <c r="P57" t="s">
        <v>94</v>
      </c>
      <c r="Q57" t="s">
        <v>45</v>
      </c>
      <c r="R57" t="s">
        <v>162</v>
      </c>
      <c r="S57" s="1">
        <v>45474</v>
      </c>
      <c r="T57" s="1">
        <v>45792</v>
      </c>
      <c r="U57" t="s">
        <v>47</v>
      </c>
      <c r="V57">
        <v>1</v>
      </c>
      <c r="W57" s="1">
        <v>45757</v>
      </c>
      <c r="X57" t="s">
        <v>48</v>
      </c>
      <c r="Y57" s="2">
        <v>1</v>
      </c>
      <c r="Z57" s="2">
        <v>1</v>
      </c>
      <c r="AB57" s="3">
        <v>1</v>
      </c>
      <c r="AC57" s="2">
        <v>2</v>
      </c>
      <c r="AG57" s="2">
        <v>0</v>
      </c>
      <c r="AH57" s="2">
        <v>2</v>
      </c>
      <c r="AI57" s="2">
        <v>0</v>
      </c>
      <c r="AK57">
        <v>5343118</v>
      </c>
      <c r="AL57" t="s">
        <v>288</v>
      </c>
    </row>
    <row r="58" spans="1:38" x14ac:dyDescent="0.25">
      <c r="A58" s="1">
        <v>45763</v>
      </c>
      <c r="B58" s="1">
        <v>45762</v>
      </c>
      <c r="C58" t="s">
        <v>252</v>
      </c>
      <c r="D58" t="s">
        <v>39</v>
      </c>
      <c r="E58" t="s">
        <v>40</v>
      </c>
      <c r="F58">
        <v>43677</v>
      </c>
      <c r="H58" t="s">
        <v>41</v>
      </c>
      <c r="I58" s="5">
        <v>102055440700</v>
      </c>
      <c r="J58" t="s">
        <v>354</v>
      </c>
      <c r="M58" t="s">
        <v>265</v>
      </c>
      <c r="O58">
        <v>43682</v>
      </c>
      <c r="P58" t="s">
        <v>118</v>
      </c>
      <c r="Q58" t="s">
        <v>45</v>
      </c>
      <c r="R58" t="s">
        <v>162</v>
      </c>
      <c r="S58" s="1">
        <v>45597</v>
      </c>
      <c r="T58" s="1">
        <v>45792</v>
      </c>
      <c r="U58" t="s">
        <v>47</v>
      </c>
      <c r="V58">
        <v>1</v>
      </c>
      <c r="W58" s="1">
        <v>45757</v>
      </c>
      <c r="X58" t="s">
        <v>48</v>
      </c>
      <c r="Y58" s="2">
        <v>1</v>
      </c>
      <c r="Z58" s="2">
        <v>1</v>
      </c>
      <c r="AB58" s="3">
        <v>1</v>
      </c>
      <c r="AC58" s="2">
        <v>2</v>
      </c>
      <c r="AG58" s="2">
        <v>0</v>
      </c>
      <c r="AH58" s="2">
        <v>2</v>
      </c>
      <c r="AI58" s="2">
        <v>0</v>
      </c>
      <c r="AK58">
        <v>5343742</v>
      </c>
      <c r="AL58" t="s">
        <v>288</v>
      </c>
    </row>
    <row r="59" spans="1:38" x14ac:dyDescent="0.25">
      <c r="A59" s="1">
        <v>45763</v>
      </c>
      <c r="B59" s="1">
        <v>45762</v>
      </c>
      <c r="C59" t="s">
        <v>252</v>
      </c>
      <c r="D59" t="s">
        <v>39</v>
      </c>
      <c r="E59" t="s">
        <v>40</v>
      </c>
      <c r="F59">
        <v>43677</v>
      </c>
      <c r="H59" t="s">
        <v>41</v>
      </c>
      <c r="I59" s="5">
        <v>102082370200</v>
      </c>
      <c r="J59" t="s">
        <v>303</v>
      </c>
      <c r="M59" t="s">
        <v>89</v>
      </c>
      <c r="O59">
        <v>43682</v>
      </c>
      <c r="P59" t="s">
        <v>118</v>
      </c>
      <c r="Q59" t="s">
        <v>45</v>
      </c>
      <c r="R59" t="s">
        <v>162</v>
      </c>
      <c r="S59" s="1">
        <v>45597</v>
      </c>
      <c r="T59" s="1">
        <v>45792</v>
      </c>
      <c r="U59" t="s">
        <v>47</v>
      </c>
      <c r="V59">
        <v>1</v>
      </c>
      <c r="W59" s="1">
        <v>45757</v>
      </c>
      <c r="X59" t="s">
        <v>48</v>
      </c>
      <c r="Y59" s="2">
        <v>1</v>
      </c>
      <c r="Z59" s="2">
        <v>1</v>
      </c>
      <c r="AB59" s="3">
        <v>1</v>
      </c>
      <c r="AC59" s="2">
        <v>2</v>
      </c>
      <c r="AG59" s="2">
        <v>0</v>
      </c>
      <c r="AH59" s="2">
        <v>2</v>
      </c>
      <c r="AI59" s="2">
        <v>0</v>
      </c>
      <c r="AK59">
        <v>5343962</v>
      </c>
      <c r="AL59" t="s">
        <v>288</v>
      </c>
    </row>
    <row r="60" spans="1:38" x14ac:dyDescent="0.25">
      <c r="A60" s="1">
        <v>45763</v>
      </c>
      <c r="B60" s="1">
        <v>45762</v>
      </c>
      <c r="C60" t="s">
        <v>252</v>
      </c>
      <c r="D60" t="s">
        <v>39</v>
      </c>
      <c r="E60" t="s">
        <v>40</v>
      </c>
      <c r="F60">
        <v>43677</v>
      </c>
      <c r="H60" t="s">
        <v>41</v>
      </c>
      <c r="I60" s="5">
        <v>101079484800</v>
      </c>
      <c r="J60" t="s">
        <v>470</v>
      </c>
      <c r="M60" t="s">
        <v>93</v>
      </c>
      <c r="O60">
        <v>43679</v>
      </c>
      <c r="P60" t="s">
        <v>191</v>
      </c>
      <c r="Q60" t="s">
        <v>250</v>
      </c>
      <c r="R60" t="s">
        <v>162</v>
      </c>
      <c r="S60" s="1">
        <v>44044</v>
      </c>
      <c r="T60" s="1">
        <v>45792</v>
      </c>
      <c r="U60" t="s">
        <v>47</v>
      </c>
      <c r="V60">
        <v>1</v>
      </c>
      <c r="W60" s="1">
        <v>45757</v>
      </c>
      <c r="X60" t="s">
        <v>48</v>
      </c>
      <c r="Y60" s="2">
        <v>1</v>
      </c>
      <c r="Z60" s="2">
        <v>1</v>
      </c>
      <c r="AB60" s="3">
        <v>1</v>
      </c>
      <c r="AC60" s="2">
        <v>2</v>
      </c>
      <c r="AG60" s="2">
        <v>0</v>
      </c>
      <c r="AH60" s="2">
        <v>2</v>
      </c>
      <c r="AI60" s="2">
        <v>0</v>
      </c>
      <c r="AK60">
        <v>5337309</v>
      </c>
      <c r="AL60" t="s">
        <v>288</v>
      </c>
    </row>
    <row r="61" spans="1:38" x14ac:dyDescent="0.25">
      <c r="A61" s="1">
        <v>45763</v>
      </c>
      <c r="B61" s="1">
        <v>45762</v>
      </c>
      <c r="C61" t="s">
        <v>252</v>
      </c>
      <c r="D61" t="s">
        <v>39</v>
      </c>
      <c r="E61" t="s">
        <v>40</v>
      </c>
      <c r="F61">
        <v>43677</v>
      </c>
      <c r="H61" t="s">
        <v>41</v>
      </c>
      <c r="I61" s="5">
        <v>101097095200</v>
      </c>
      <c r="J61" t="s">
        <v>469</v>
      </c>
      <c r="M61" t="s">
        <v>93</v>
      </c>
      <c r="O61">
        <v>43611</v>
      </c>
      <c r="P61" t="s">
        <v>94</v>
      </c>
      <c r="Q61" t="s">
        <v>45</v>
      </c>
      <c r="R61" t="s">
        <v>162</v>
      </c>
      <c r="S61" s="1">
        <v>45658</v>
      </c>
      <c r="T61" s="1">
        <v>45792</v>
      </c>
      <c r="U61" t="s">
        <v>47</v>
      </c>
      <c r="V61">
        <v>1</v>
      </c>
      <c r="W61" s="1">
        <v>45757</v>
      </c>
      <c r="X61" t="s">
        <v>48</v>
      </c>
      <c r="Y61" s="2">
        <v>1</v>
      </c>
      <c r="Z61" s="2">
        <v>1</v>
      </c>
      <c r="AB61" s="3">
        <v>1</v>
      </c>
      <c r="AC61" s="2">
        <v>2</v>
      </c>
      <c r="AG61" s="2">
        <v>0</v>
      </c>
      <c r="AH61" s="2">
        <v>2</v>
      </c>
      <c r="AI61" s="2">
        <v>0</v>
      </c>
      <c r="AK61">
        <v>5337575</v>
      </c>
      <c r="AL61" t="s">
        <v>288</v>
      </c>
    </row>
    <row r="62" spans="1:38" x14ac:dyDescent="0.25">
      <c r="A62" s="1">
        <v>45763</v>
      </c>
      <c r="B62" s="1">
        <v>45762</v>
      </c>
      <c r="C62" t="s">
        <v>252</v>
      </c>
      <c r="D62" t="s">
        <v>39</v>
      </c>
      <c r="E62" t="s">
        <v>40</v>
      </c>
      <c r="F62">
        <v>43677</v>
      </c>
      <c r="H62" t="s">
        <v>41</v>
      </c>
      <c r="I62" s="5">
        <v>102069393600</v>
      </c>
      <c r="J62" t="s">
        <v>314</v>
      </c>
      <c r="M62" t="s">
        <v>84</v>
      </c>
      <c r="O62">
        <v>43692</v>
      </c>
      <c r="P62" t="s">
        <v>313</v>
      </c>
      <c r="Q62" t="s">
        <v>45</v>
      </c>
      <c r="R62" t="s">
        <v>162</v>
      </c>
      <c r="S62" s="1">
        <v>45627</v>
      </c>
      <c r="T62" s="1">
        <v>45792</v>
      </c>
      <c r="U62" t="s">
        <v>47</v>
      </c>
      <c r="V62">
        <v>1</v>
      </c>
      <c r="W62" s="1">
        <v>45757</v>
      </c>
      <c r="X62" t="s">
        <v>48</v>
      </c>
      <c r="Y62" s="2">
        <v>1</v>
      </c>
      <c r="Z62" s="2">
        <v>1</v>
      </c>
      <c r="AB62" s="3">
        <v>1</v>
      </c>
      <c r="AC62" s="2">
        <v>2</v>
      </c>
      <c r="AG62" s="2">
        <v>0</v>
      </c>
      <c r="AH62" s="2">
        <v>2</v>
      </c>
      <c r="AI62" s="2">
        <v>0</v>
      </c>
      <c r="AK62">
        <v>5343919</v>
      </c>
      <c r="AL62" t="s">
        <v>288</v>
      </c>
    </row>
    <row r="63" spans="1:38" x14ac:dyDescent="0.25">
      <c r="A63" s="1">
        <v>45763</v>
      </c>
      <c r="B63" s="1">
        <v>45762</v>
      </c>
      <c r="C63" t="s">
        <v>252</v>
      </c>
      <c r="D63" t="s">
        <v>39</v>
      </c>
      <c r="E63" t="s">
        <v>40</v>
      </c>
      <c r="F63">
        <v>43677</v>
      </c>
      <c r="H63" t="s">
        <v>41</v>
      </c>
      <c r="I63" s="5">
        <v>102035273900</v>
      </c>
      <c r="J63" t="s">
        <v>413</v>
      </c>
      <c r="M63" t="s">
        <v>89</v>
      </c>
      <c r="O63">
        <v>43682</v>
      </c>
      <c r="P63" t="s">
        <v>118</v>
      </c>
      <c r="Q63" t="s">
        <v>45</v>
      </c>
      <c r="R63" t="s">
        <v>162</v>
      </c>
      <c r="S63" s="1">
        <v>45566</v>
      </c>
      <c r="T63" s="1">
        <v>45792</v>
      </c>
      <c r="U63" t="s">
        <v>47</v>
      </c>
      <c r="V63">
        <v>1</v>
      </c>
      <c r="W63" s="1">
        <v>45757</v>
      </c>
      <c r="X63" t="s">
        <v>48</v>
      </c>
      <c r="Y63" s="2">
        <v>1</v>
      </c>
      <c r="Z63" s="2">
        <v>1</v>
      </c>
      <c r="AB63" s="3">
        <v>1</v>
      </c>
      <c r="AC63" s="2">
        <v>2</v>
      </c>
      <c r="AG63" s="2">
        <v>0</v>
      </c>
      <c r="AH63" s="2">
        <v>2</v>
      </c>
      <c r="AI63" s="2">
        <v>0</v>
      </c>
      <c r="AK63">
        <v>5343397</v>
      </c>
      <c r="AL63" t="s">
        <v>288</v>
      </c>
    </row>
    <row r="64" spans="1:38" x14ac:dyDescent="0.25">
      <c r="A64" s="1">
        <v>45763</v>
      </c>
      <c r="B64" s="1">
        <v>45762</v>
      </c>
      <c r="C64" t="s">
        <v>252</v>
      </c>
      <c r="D64" t="s">
        <v>39</v>
      </c>
      <c r="E64" t="s">
        <v>40</v>
      </c>
      <c r="F64">
        <v>43677</v>
      </c>
      <c r="H64" t="s">
        <v>41</v>
      </c>
      <c r="I64" s="5">
        <v>102022904500</v>
      </c>
      <c r="J64" t="s">
        <v>433</v>
      </c>
      <c r="M64" t="s">
        <v>93</v>
      </c>
      <c r="O64">
        <v>43611</v>
      </c>
      <c r="P64" t="s">
        <v>94</v>
      </c>
      <c r="Q64" t="s">
        <v>45</v>
      </c>
      <c r="R64" t="s">
        <v>162</v>
      </c>
      <c r="S64" s="1">
        <v>45505</v>
      </c>
      <c r="T64" s="1">
        <v>45792</v>
      </c>
      <c r="U64" t="s">
        <v>47</v>
      </c>
      <c r="V64">
        <v>1</v>
      </c>
      <c r="W64" s="1">
        <v>45757</v>
      </c>
      <c r="X64" t="s">
        <v>48</v>
      </c>
      <c r="Y64" s="2">
        <v>1</v>
      </c>
      <c r="Z64" s="2">
        <v>1</v>
      </c>
      <c r="AB64" s="3">
        <v>1</v>
      </c>
      <c r="AC64" s="2">
        <v>2</v>
      </c>
      <c r="AG64" s="2">
        <v>0</v>
      </c>
      <c r="AH64" s="2">
        <v>2</v>
      </c>
      <c r="AI64" s="2">
        <v>0</v>
      </c>
      <c r="AK64">
        <v>5343205</v>
      </c>
      <c r="AL64" t="s">
        <v>288</v>
      </c>
    </row>
    <row r="65" spans="1:38" x14ac:dyDescent="0.25">
      <c r="A65" s="1">
        <v>45763</v>
      </c>
      <c r="B65" s="1">
        <v>45762</v>
      </c>
      <c r="C65" t="s">
        <v>252</v>
      </c>
      <c r="D65" t="s">
        <v>39</v>
      </c>
      <c r="E65" t="s">
        <v>40</v>
      </c>
      <c r="F65">
        <v>43677</v>
      </c>
      <c r="H65" t="s">
        <v>41</v>
      </c>
      <c r="I65" s="5">
        <v>102099156000</v>
      </c>
      <c r="J65" t="s">
        <v>293</v>
      </c>
      <c r="M65" t="s">
        <v>93</v>
      </c>
      <c r="O65">
        <v>43679</v>
      </c>
      <c r="P65" t="s">
        <v>191</v>
      </c>
      <c r="Q65" t="s">
        <v>45</v>
      </c>
      <c r="R65" t="s">
        <v>162</v>
      </c>
      <c r="S65" s="1">
        <v>45627</v>
      </c>
      <c r="T65" s="1">
        <v>45792</v>
      </c>
      <c r="U65" t="s">
        <v>47</v>
      </c>
      <c r="V65">
        <v>1</v>
      </c>
      <c r="W65" s="1">
        <v>45757</v>
      </c>
      <c r="X65" t="s">
        <v>48</v>
      </c>
      <c r="Y65" s="2">
        <v>1</v>
      </c>
      <c r="Z65" s="2">
        <v>1</v>
      </c>
      <c r="AB65" s="3">
        <v>1</v>
      </c>
      <c r="AC65" s="2">
        <v>2</v>
      </c>
      <c r="AG65" s="2">
        <v>0</v>
      </c>
      <c r="AH65" s="2">
        <v>2</v>
      </c>
      <c r="AI65" s="2">
        <v>0</v>
      </c>
      <c r="AK65">
        <v>5344003</v>
      </c>
      <c r="AL65" t="s">
        <v>288</v>
      </c>
    </row>
    <row r="66" spans="1:38" x14ac:dyDescent="0.25">
      <c r="A66" s="1">
        <v>45763</v>
      </c>
      <c r="B66" s="1">
        <v>45762</v>
      </c>
      <c r="C66" t="s">
        <v>252</v>
      </c>
      <c r="D66" t="s">
        <v>39</v>
      </c>
      <c r="E66" t="s">
        <v>40</v>
      </c>
      <c r="F66">
        <v>43677</v>
      </c>
      <c r="H66" t="s">
        <v>41</v>
      </c>
      <c r="I66" s="5">
        <v>102109694200</v>
      </c>
      <c r="J66" t="s">
        <v>289</v>
      </c>
      <c r="M66" t="s">
        <v>89</v>
      </c>
      <c r="O66">
        <v>45605</v>
      </c>
      <c r="P66" t="s">
        <v>50</v>
      </c>
      <c r="Q66" t="s">
        <v>45</v>
      </c>
      <c r="R66" t="s">
        <v>162</v>
      </c>
      <c r="S66" s="1">
        <v>45627</v>
      </c>
      <c r="T66" s="1">
        <v>45792</v>
      </c>
      <c r="U66" t="s">
        <v>47</v>
      </c>
      <c r="V66">
        <v>1</v>
      </c>
      <c r="W66" s="1">
        <v>45757</v>
      </c>
      <c r="X66" t="s">
        <v>48</v>
      </c>
      <c r="Y66" s="2">
        <v>1</v>
      </c>
      <c r="Z66" s="2">
        <v>1</v>
      </c>
      <c r="AB66" s="3">
        <v>1</v>
      </c>
      <c r="AC66" s="2">
        <v>2</v>
      </c>
      <c r="AG66" s="2">
        <v>0</v>
      </c>
      <c r="AH66" s="2">
        <v>2</v>
      </c>
      <c r="AI66" s="2">
        <v>0</v>
      </c>
      <c r="AK66">
        <v>5344018</v>
      </c>
      <c r="AL66" t="s">
        <v>288</v>
      </c>
    </row>
    <row r="67" spans="1:38" x14ac:dyDescent="0.25">
      <c r="A67" s="1">
        <v>45763</v>
      </c>
      <c r="B67" s="1">
        <v>45762</v>
      </c>
      <c r="C67" t="s">
        <v>252</v>
      </c>
      <c r="D67" t="s">
        <v>39</v>
      </c>
      <c r="E67" t="s">
        <v>40</v>
      </c>
      <c r="F67">
        <v>43677</v>
      </c>
      <c r="H67" t="s">
        <v>41</v>
      </c>
      <c r="I67" s="5">
        <v>102048695700</v>
      </c>
      <c r="J67" t="s">
        <v>382</v>
      </c>
      <c r="M67" t="s">
        <v>93</v>
      </c>
      <c r="O67">
        <v>43611</v>
      </c>
      <c r="P67" t="s">
        <v>94</v>
      </c>
      <c r="Q67" t="s">
        <v>45</v>
      </c>
      <c r="R67" t="s">
        <v>162</v>
      </c>
      <c r="S67" s="1">
        <v>45536</v>
      </c>
      <c r="T67" s="1">
        <v>45792</v>
      </c>
      <c r="U67" t="s">
        <v>47</v>
      </c>
      <c r="V67">
        <v>1</v>
      </c>
      <c r="W67" s="1">
        <v>45757</v>
      </c>
      <c r="X67" t="s">
        <v>48</v>
      </c>
      <c r="Y67" s="2">
        <v>1</v>
      </c>
      <c r="Z67" s="2">
        <v>1</v>
      </c>
      <c r="AB67" s="3">
        <v>1</v>
      </c>
      <c r="AC67" s="2">
        <v>2</v>
      </c>
      <c r="AG67" s="2">
        <v>0</v>
      </c>
      <c r="AH67" s="2">
        <v>2</v>
      </c>
      <c r="AI67" s="2">
        <v>0</v>
      </c>
      <c r="AK67">
        <v>5343601</v>
      </c>
      <c r="AL67" t="s">
        <v>288</v>
      </c>
    </row>
    <row r="68" spans="1:38" x14ac:dyDescent="0.25">
      <c r="A68" s="1">
        <v>45763</v>
      </c>
      <c r="B68" s="1">
        <v>45762</v>
      </c>
      <c r="C68" t="s">
        <v>252</v>
      </c>
      <c r="D68" t="s">
        <v>39</v>
      </c>
      <c r="E68" t="s">
        <v>40</v>
      </c>
      <c r="F68">
        <v>43677</v>
      </c>
      <c r="H68" t="s">
        <v>41</v>
      </c>
      <c r="I68" s="5">
        <v>102037067200</v>
      </c>
      <c r="J68" t="s">
        <v>404</v>
      </c>
      <c r="M68" t="s">
        <v>89</v>
      </c>
      <c r="O68">
        <v>45613</v>
      </c>
      <c r="P68" t="s">
        <v>65</v>
      </c>
      <c r="Q68" t="s">
        <v>45</v>
      </c>
      <c r="R68" t="s">
        <v>162</v>
      </c>
      <c r="S68" s="1">
        <v>45566</v>
      </c>
      <c r="T68" s="1">
        <v>45792</v>
      </c>
      <c r="U68" t="s">
        <v>47</v>
      </c>
      <c r="V68">
        <v>1</v>
      </c>
      <c r="W68" s="1">
        <v>45757</v>
      </c>
      <c r="X68" t="s">
        <v>48</v>
      </c>
      <c r="Y68" s="2">
        <v>1</v>
      </c>
      <c r="Z68" s="2">
        <v>1</v>
      </c>
      <c r="AB68" s="3">
        <v>1</v>
      </c>
      <c r="AC68" s="2">
        <v>2</v>
      </c>
      <c r="AG68" s="2">
        <v>0</v>
      </c>
      <c r="AH68" s="2">
        <v>2</v>
      </c>
      <c r="AI68" s="2">
        <v>0</v>
      </c>
      <c r="AK68">
        <v>5343441</v>
      </c>
      <c r="AL68" t="s">
        <v>288</v>
      </c>
    </row>
    <row r="69" spans="1:38" x14ac:dyDescent="0.25">
      <c r="A69" s="1">
        <v>45763</v>
      </c>
      <c r="B69" s="1">
        <v>45762</v>
      </c>
      <c r="C69" t="s">
        <v>252</v>
      </c>
      <c r="D69" t="s">
        <v>39</v>
      </c>
      <c r="E69" t="s">
        <v>40</v>
      </c>
      <c r="F69">
        <v>43677</v>
      </c>
      <c r="H69" t="s">
        <v>41</v>
      </c>
      <c r="I69" s="5">
        <v>102038784900</v>
      </c>
      <c r="J69" t="s">
        <v>398</v>
      </c>
      <c r="M69" t="s">
        <v>93</v>
      </c>
      <c r="O69">
        <v>43679</v>
      </c>
      <c r="P69" t="s">
        <v>191</v>
      </c>
      <c r="Q69" t="s">
        <v>45</v>
      </c>
      <c r="R69" t="s">
        <v>162</v>
      </c>
      <c r="S69" s="1">
        <v>45566</v>
      </c>
      <c r="T69" s="1">
        <v>45792</v>
      </c>
      <c r="U69" t="s">
        <v>47</v>
      </c>
      <c r="V69">
        <v>1</v>
      </c>
      <c r="W69" s="1">
        <v>45757</v>
      </c>
      <c r="X69" t="s">
        <v>48</v>
      </c>
      <c r="Y69" s="2">
        <v>1</v>
      </c>
      <c r="Z69" s="2">
        <v>1</v>
      </c>
      <c r="AB69" s="3">
        <v>1</v>
      </c>
      <c r="AC69" s="2">
        <v>2</v>
      </c>
      <c r="AG69" s="2">
        <v>0</v>
      </c>
      <c r="AH69" s="2">
        <v>2</v>
      </c>
      <c r="AI69" s="2">
        <v>0</v>
      </c>
      <c r="AK69">
        <v>5343480</v>
      </c>
      <c r="AL69" t="s">
        <v>288</v>
      </c>
    </row>
    <row r="70" spans="1:38" x14ac:dyDescent="0.25">
      <c r="A70" s="1">
        <v>45763</v>
      </c>
      <c r="B70" s="1">
        <v>45763</v>
      </c>
      <c r="C70" t="s">
        <v>146</v>
      </c>
      <c r="D70" t="s">
        <v>39</v>
      </c>
      <c r="E70" t="s">
        <v>40</v>
      </c>
      <c r="F70">
        <v>43677</v>
      </c>
      <c r="H70" t="s">
        <v>41</v>
      </c>
      <c r="I70" s="5" t="s">
        <v>726</v>
      </c>
      <c r="J70" t="s">
        <v>180</v>
      </c>
      <c r="M70" t="s">
        <v>93</v>
      </c>
      <c r="O70">
        <v>43611</v>
      </c>
      <c r="P70" t="s">
        <v>94</v>
      </c>
      <c r="Q70" t="s">
        <v>148</v>
      </c>
      <c r="R70" t="s">
        <v>162</v>
      </c>
      <c r="S70" s="1">
        <v>45658</v>
      </c>
      <c r="U70" t="s">
        <v>47</v>
      </c>
      <c r="X70" t="s">
        <v>48</v>
      </c>
      <c r="Y70" s="2">
        <v>0</v>
      </c>
      <c r="Z70">
        <v>-50</v>
      </c>
      <c r="AA70">
        <v>1</v>
      </c>
      <c r="AB70" s="3">
        <v>1</v>
      </c>
      <c r="AC70">
        <v>-50</v>
      </c>
      <c r="AD70" s="3">
        <v>0</v>
      </c>
      <c r="AE70" s="2">
        <v>0</v>
      </c>
      <c r="AF70" s="2">
        <v>50</v>
      </c>
      <c r="AG70" s="2"/>
      <c r="AJ70" s="2"/>
    </row>
    <row r="71" spans="1:38" x14ac:dyDescent="0.25">
      <c r="A71" s="1">
        <v>45763</v>
      </c>
      <c r="B71" s="1">
        <v>45762</v>
      </c>
      <c r="C71" t="s">
        <v>252</v>
      </c>
      <c r="D71" t="s">
        <v>39</v>
      </c>
      <c r="E71" t="s">
        <v>40</v>
      </c>
      <c r="F71">
        <v>43677</v>
      </c>
      <c r="H71" t="s">
        <v>41</v>
      </c>
      <c r="I71" s="5">
        <v>102051423100</v>
      </c>
      <c r="J71" t="s">
        <v>366</v>
      </c>
      <c r="M71" t="s">
        <v>133</v>
      </c>
      <c r="O71">
        <v>43713</v>
      </c>
      <c r="P71" t="s">
        <v>134</v>
      </c>
      <c r="Q71" t="s">
        <v>45</v>
      </c>
      <c r="R71" t="s">
        <v>162</v>
      </c>
      <c r="S71" s="1">
        <v>45536</v>
      </c>
      <c r="T71" s="1">
        <v>45792</v>
      </c>
      <c r="U71" t="s">
        <v>47</v>
      </c>
      <c r="V71">
        <v>1</v>
      </c>
      <c r="W71" s="1">
        <v>45757</v>
      </c>
      <c r="X71" t="s">
        <v>48</v>
      </c>
      <c r="Y71" s="2">
        <v>1</v>
      </c>
      <c r="Z71" s="2">
        <v>1</v>
      </c>
      <c r="AB71" s="3">
        <v>1</v>
      </c>
      <c r="AC71" s="2">
        <v>2</v>
      </c>
      <c r="AG71" s="2">
        <v>0</v>
      </c>
      <c r="AH71" s="2">
        <v>2</v>
      </c>
      <c r="AI71" s="2">
        <v>0</v>
      </c>
      <c r="AK71">
        <v>5343662</v>
      </c>
      <c r="AL71" t="s">
        <v>288</v>
      </c>
    </row>
    <row r="72" spans="1:38" x14ac:dyDescent="0.25">
      <c r="A72" s="1">
        <v>45763</v>
      </c>
      <c r="B72" s="1">
        <v>45762</v>
      </c>
      <c r="C72" t="s">
        <v>252</v>
      </c>
      <c r="D72" t="s">
        <v>39</v>
      </c>
      <c r="E72" t="s">
        <v>40</v>
      </c>
      <c r="F72">
        <v>43677</v>
      </c>
      <c r="H72" t="s">
        <v>41</v>
      </c>
      <c r="I72" s="5">
        <v>102038194700</v>
      </c>
      <c r="J72" t="s">
        <v>399</v>
      </c>
      <c r="M72" t="s">
        <v>281</v>
      </c>
      <c r="O72">
        <v>43682</v>
      </c>
      <c r="P72" t="s">
        <v>118</v>
      </c>
      <c r="Q72" t="s">
        <v>45</v>
      </c>
      <c r="R72" t="s">
        <v>162</v>
      </c>
      <c r="S72" s="1">
        <v>45505</v>
      </c>
      <c r="T72" s="1">
        <v>45792</v>
      </c>
      <c r="U72" t="s">
        <v>47</v>
      </c>
      <c r="V72">
        <v>1</v>
      </c>
      <c r="W72" s="1">
        <v>45757</v>
      </c>
      <c r="X72" t="s">
        <v>48</v>
      </c>
      <c r="Y72" s="2">
        <v>1</v>
      </c>
      <c r="Z72" s="2">
        <v>1</v>
      </c>
      <c r="AB72" s="3">
        <v>1</v>
      </c>
      <c r="AC72" s="2">
        <v>2</v>
      </c>
      <c r="AG72" s="2">
        <v>0</v>
      </c>
      <c r="AH72" s="2">
        <v>2</v>
      </c>
      <c r="AI72" s="2">
        <v>0</v>
      </c>
      <c r="AK72">
        <v>5343472</v>
      </c>
      <c r="AL72" t="s">
        <v>288</v>
      </c>
    </row>
    <row r="73" spans="1:38" x14ac:dyDescent="0.25">
      <c r="A73" s="1">
        <v>45763</v>
      </c>
      <c r="B73" s="1">
        <v>45762</v>
      </c>
      <c r="C73" t="s">
        <v>252</v>
      </c>
      <c r="D73" t="s">
        <v>39</v>
      </c>
      <c r="E73" t="s">
        <v>40</v>
      </c>
      <c r="F73">
        <v>43677</v>
      </c>
      <c r="H73" t="s">
        <v>41</v>
      </c>
      <c r="I73" s="5">
        <v>102041647300</v>
      </c>
      <c r="J73" t="s">
        <v>395</v>
      </c>
      <c r="M73" t="s">
        <v>394</v>
      </c>
      <c r="O73">
        <v>43682</v>
      </c>
      <c r="P73" t="s">
        <v>118</v>
      </c>
      <c r="Q73" t="s">
        <v>45</v>
      </c>
      <c r="R73" t="s">
        <v>162</v>
      </c>
      <c r="S73" s="1">
        <v>45505</v>
      </c>
      <c r="T73" s="1">
        <v>45792</v>
      </c>
      <c r="U73" t="s">
        <v>47</v>
      </c>
      <c r="V73">
        <v>1</v>
      </c>
      <c r="W73" s="1">
        <v>45757</v>
      </c>
      <c r="X73" t="s">
        <v>48</v>
      </c>
      <c r="Y73" s="2">
        <v>1</v>
      </c>
      <c r="Z73" s="2">
        <v>1</v>
      </c>
      <c r="AB73" s="3">
        <v>1</v>
      </c>
      <c r="AC73" s="2">
        <v>2</v>
      </c>
      <c r="AG73" s="2">
        <v>0</v>
      </c>
      <c r="AH73" s="2">
        <v>2</v>
      </c>
      <c r="AI73" s="2">
        <v>0</v>
      </c>
      <c r="AK73">
        <v>5343506</v>
      </c>
      <c r="AL73" t="s">
        <v>288</v>
      </c>
    </row>
    <row r="74" spans="1:38" x14ac:dyDescent="0.25">
      <c r="A74" s="1">
        <v>45763</v>
      </c>
      <c r="B74" s="1">
        <v>45762</v>
      </c>
      <c r="C74" t="s">
        <v>252</v>
      </c>
      <c r="D74" t="s">
        <v>39</v>
      </c>
      <c r="E74" t="s">
        <v>40</v>
      </c>
      <c r="F74">
        <v>43677</v>
      </c>
      <c r="H74" t="s">
        <v>41</v>
      </c>
      <c r="I74" s="5">
        <v>102065679900</v>
      </c>
      <c r="J74" t="s">
        <v>324</v>
      </c>
      <c r="M74" t="s">
        <v>323</v>
      </c>
      <c r="O74">
        <v>43682</v>
      </c>
      <c r="P74" t="s">
        <v>118</v>
      </c>
      <c r="Q74" t="s">
        <v>250</v>
      </c>
      <c r="R74" t="s">
        <v>162</v>
      </c>
      <c r="S74" s="1">
        <v>45658</v>
      </c>
      <c r="T74" s="1">
        <v>45792</v>
      </c>
      <c r="U74" t="s">
        <v>47</v>
      </c>
      <c r="V74">
        <v>1</v>
      </c>
      <c r="W74" s="1">
        <v>45757</v>
      </c>
      <c r="X74" t="s">
        <v>48</v>
      </c>
      <c r="Y74" s="2">
        <v>1</v>
      </c>
      <c r="Z74" s="2">
        <v>1</v>
      </c>
      <c r="AB74" s="3">
        <v>1</v>
      </c>
      <c r="AC74" s="2">
        <v>2</v>
      </c>
      <c r="AG74" s="2">
        <v>0</v>
      </c>
      <c r="AH74" s="2">
        <v>2</v>
      </c>
      <c r="AI74" s="2">
        <v>0</v>
      </c>
      <c r="AK74">
        <v>5343895</v>
      </c>
      <c r="AL74" t="s">
        <v>288</v>
      </c>
    </row>
    <row r="75" spans="1:38" x14ac:dyDescent="0.25">
      <c r="A75" s="1">
        <v>45763</v>
      </c>
      <c r="B75" s="1">
        <v>45762</v>
      </c>
      <c r="C75" t="s">
        <v>252</v>
      </c>
      <c r="D75" t="s">
        <v>39</v>
      </c>
      <c r="E75" t="s">
        <v>40</v>
      </c>
      <c r="F75">
        <v>43677</v>
      </c>
      <c r="H75" t="s">
        <v>41</v>
      </c>
      <c r="I75" s="5">
        <v>102027923000</v>
      </c>
      <c r="J75" t="s">
        <v>426</v>
      </c>
      <c r="M75" t="s">
        <v>89</v>
      </c>
      <c r="O75">
        <v>45604</v>
      </c>
      <c r="P75" t="s">
        <v>103</v>
      </c>
      <c r="Q75" t="s">
        <v>45</v>
      </c>
      <c r="R75" t="s">
        <v>162</v>
      </c>
      <c r="S75" s="1">
        <v>45474</v>
      </c>
      <c r="T75" s="1">
        <v>45792</v>
      </c>
      <c r="U75" t="s">
        <v>47</v>
      </c>
      <c r="V75">
        <v>1</v>
      </c>
      <c r="W75" s="1">
        <v>45757</v>
      </c>
      <c r="X75" t="s">
        <v>48</v>
      </c>
      <c r="Y75" s="2">
        <v>1</v>
      </c>
      <c r="Z75" s="2">
        <v>1</v>
      </c>
      <c r="AB75" s="3">
        <v>1</v>
      </c>
      <c r="AC75" s="2">
        <v>2</v>
      </c>
      <c r="AG75" s="2">
        <v>0</v>
      </c>
      <c r="AH75" s="2">
        <v>2</v>
      </c>
      <c r="AI75" s="2">
        <v>0</v>
      </c>
      <c r="AK75">
        <v>5343275</v>
      </c>
      <c r="AL75" t="s">
        <v>288</v>
      </c>
    </row>
    <row r="76" spans="1:38" x14ac:dyDescent="0.25">
      <c r="A76" s="1">
        <v>45763</v>
      </c>
      <c r="B76" s="1">
        <v>45762</v>
      </c>
      <c r="C76" t="s">
        <v>252</v>
      </c>
      <c r="D76" t="s">
        <v>39</v>
      </c>
      <c r="E76" t="s">
        <v>40</v>
      </c>
      <c r="F76">
        <v>43677</v>
      </c>
      <c r="H76" t="s">
        <v>41</v>
      </c>
      <c r="I76" s="5">
        <v>102015648800</v>
      </c>
      <c r="J76" t="s">
        <v>446</v>
      </c>
      <c r="M76" t="s">
        <v>93</v>
      </c>
      <c r="O76">
        <v>43689</v>
      </c>
      <c r="P76" t="s">
        <v>53</v>
      </c>
      <c r="Q76" t="s">
        <v>45</v>
      </c>
      <c r="R76" t="s">
        <v>162</v>
      </c>
      <c r="S76" s="1">
        <v>45474</v>
      </c>
      <c r="T76" s="1">
        <v>45792</v>
      </c>
      <c r="U76" t="s">
        <v>47</v>
      </c>
      <c r="V76">
        <v>1</v>
      </c>
      <c r="W76" s="1">
        <v>45757</v>
      </c>
      <c r="X76" t="s">
        <v>48</v>
      </c>
      <c r="Y76" s="2">
        <v>1</v>
      </c>
      <c r="Z76" s="2">
        <v>1</v>
      </c>
      <c r="AB76" s="3">
        <v>1</v>
      </c>
      <c r="AC76" s="2">
        <v>2</v>
      </c>
      <c r="AG76" s="2">
        <v>0</v>
      </c>
      <c r="AH76" s="2">
        <v>2</v>
      </c>
      <c r="AI76" s="2">
        <v>0</v>
      </c>
      <c r="AK76">
        <v>5343105</v>
      </c>
      <c r="AL76" t="s">
        <v>288</v>
      </c>
    </row>
    <row r="77" spans="1:38" x14ac:dyDescent="0.25">
      <c r="A77" s="1">
        <v>45763</v>
      </c>
      <c r="B77" s="1">
        <v>45762</v>
      </c>
      <c r="C77" t="s">
        <v>252</v>
      </c>
      <c r="D77" t="s">
        <v>39</v>
      </c>
      <c r="E77" t="s">
        <v>40</v>
      </c>
      <c r="F77">
        <v>43677</v>
      </c>
      <c r="H77" t="s">
        <v>41</v>
      </c>
      <c r="I77" s="5">
        <v>102008188300</v>
      </c>
      <c r="J77" t="s">
        <v>456</v>
      </c>
      <c r="M77" t="s">
        <v>281</v>
      </c>
      <c r="O77">
        <v>43682</v>
      </c>
      <c r="P77" t="s">
        <v>118</v>
      </c>
      <c r="Q77" t="s">
        <v>45</v>
      </c>
      <c r="R77" t="s">
        <v>162</v>
      </c>
      <c r="S77" s="1">
        <v>45444</v>
      </c>
      <c r="T77" s="1">
        <v>45792</v>
      </c>
      <c r="U77" t="s">
        <v>47</v>
      </c>
      <c r="V77">
        <v>1</v>
      </c>
      <c r="W77" s="1">
        <v>45757</v>
      </c>
      <c r="X77" t="s">
        <v>48</v>
      </c>
      <c r="Y77" s="2">
        <v>1</v>
      </c>
      <c r="Z77" s="2">
        <v>1</v>
      </c>
      <c r="AB77" s="3">
        <v>1</v>
      </c>
      <c r="AC77" s="2">
        <v>2</v>
      </c>
      <c r="AG77" s="2">
        <v>0</v>
      </c>
      <c r="AH77" s="2">
        <v>2</v>
      </c>
      <c r="AI77" s="2">
        <v>0</v>
      </c>
      <c r="AK77">
        <v>5343023</v>
      </c>
      <c r="AL77" t="s">
        <v>288</v>
      </c>
    </row>
    <row r="78" spans="1:38" x14ac:dyDescent="0.25">
      <c r="A78" s="1">
        <v>45763</v>
      </c>
      <c r="B78" s="1">
        <v>45762</v>
      </c>
      <c r="C78" t="s">
        <v>252</v>
      </c>
      <c r="D78" t="s">
        <v>39</v>
      </c>
      <c r="E78" t="s">
        <v>40</v>
      </c>
      <c r="F78">
        <v>43677</v>
      </c>
      <c r="H78" t="s">
        <v>41</v>
      </c>
      <c r="I78" s="5">
        <v>102035849400</v>
      </c>
      <c r="J78" t="s">
        <v>410</v>
      </c>
      <c r="M78" t="s">
        <v>89</v>
      </c>
      <c r="O78">
        <v>43682</v>
      </c>
      <c r="P78" t="s">
        <v>118</v>
      </c>
      <c r="Q78" t="s">
        <v>45</v>
      </c>
      <c r="R78" t="s">
        <v>162</v>
      </c>
      <c r="S78" s="1">
        <v>45505</v>
      </c>
      <c r="T78" s="1">
        <v>45792</v>
      </c>
      <c r="U78" t="s">
        <v>47</v>
      </c>
      <c r="V78">
        <v>1</v>
      </c>
      <c r="W78" s="1">
        <v>45757</v>
      </c>
      <c r="X78" t="s">
        <v>48</v>
      </c>
      <c r="Y78" s="2">
        <v>1</v>
      </c>
      <c r="Z78" s="2">
        <v>1</v>
      </c>
      <c r="AB78" s="3">
        <v>1</v>
      </c>
      <c r="AC78" s="2">
        <v>2</v>
      </c>
      <c r="AG78" s="2">
        <v>0</v>
      </c>
      <c r="AH78" s="2">
        <v>2</v>
      </c>
      <c r="AI78" s="2">
        <v>0</v>
      </c>
      <c r="AK78">
        <v>5343411</v>
      </c>
      <c r="AL78" t="s">
        <v>288</v>
      </c>
    </row>
    <row r="79" spans="1:38" x14ac:dyDescent="0.25">
      <c r="A79" s="1">
        <v>45763</v>
      </c>
      <c r="B79" s="1">
        <v>45762</v>
      </c>
      <c r="C79" t="s">
        <v>252</v>
      </c>
      <c r="D79" t="s">
        <v>39</v>
      </c>
      <c r="E79" t="s">
        <v>40</v>
      </c>
      <c r="F79">
        <v>43677</v>
      </c>
      <c r="H79" t="s">
        <v>41</v>
      </c>
      <c r="I79" s="5">
        <v>102072923100</v>
      </c>
      <c r="J79" t="s">
        <v>310</v>
      </c>
      <c r="M79" t="s">
        <v>93</v>
      </c>
      <c r="O79">
        <v>43679</v>
      </c>
      <c r="P79" t="s">
        <v>191</v>
      </c>
      <c r="Q79" t="s">
        <v>45</v>
      </c>
      <c r="R79" t="s">
        <v>162</v>
      </c>
      <c r="S79" s="1">
        <v>45627</v>
      </c>
      <c r="T79" s="1">
        <v>45792</v>
      </c>
      <c r="U79" t="s">
        <v>47</v>
      </c>
      <c r="V79">
        <v>1</v>
      </c>
      <c r="W79" s="1">
        <v>45757</v>
      </c>
      <c r="X79" t="s">
        <v>48</v>
      </c>
      <c r="Y79" s="2">
        <v>1</v>
      </c>
      <c r="Z79" s="2">
        <v>1</v>
      </c>
      <c r="AB79" s="3">
        <v>1</v>
      </c>
      <c r="AC79" s="2">
        <v>2</v>
      </c>
      <c r="AG79" s="2">
        <v>0</v>
      </c>
      <c r="AH79" s="2">
        <v>2</v>
      </c>
      <c r="AI79" s="2">
        <v>0</v>
      </c>
      <c r="AK79">
        <v>5343938</v>
      </c>
      <c r="AL79" t="s">
        <v>288</v>
      </c>
    </row>
    <row r="80" spans="1:38" x14ac:dyDescent="0.25">
      <c r="A80" s="1">
        <v>45763</v>
      </c>
      <c r="B80" s="1">
        <v>45762</v>
      </c>
      <c r="C80" t="s">
        <v>252</v>
      </c>
      <c r="D80" t="s">
        <v>39</v>
      </c>
      <c r="E80" t="s">
        <v>40</v>
      </c>
      <c r="F80">
        <v>43677</v>
      </c>
      <c r="H80" t="s">
        <v>41</v>
      </c>
      <c r="I80" s="5">
        <v>102036450000</v>
      </c>
      <c r="J80" t="s">
        <v>407</v>
      </c>
      <c r="M80" t="s">
        <v>93</v>
      </c>
      <c r="O80">
        <v>43689</v>
      </c>
      <c r="P80" t="s">
        <v>53</v>
      </c>
      <c r="Q80" t="s">
        <v>45</v>
      </c>
      <c r="R80" t="s">
        <v>162</v>
      </c>
      <c r="S80" s="1">
        <v>45505</v>
      </c>
      <c r="T80" s="1">
        <v>45792</v>
      </c>
      <c r="U80" t="s">
        <v>47</v>
      </c>
      <c r="V80">
        <v>1</v>
      </c>
      <c r="W80" s="1">
        <v>45757</v>
      </c>
      <c r="X80" t="s">
        <v>48</v>
      </c>
      <c r="Y80" s="2">
        <v>1</v>
      </c>
      <c r="Z80" s="2">
        <v>1</v>
      </c>
      <c r="AB80" s="3">
        <v>1</v>
      </c>
      <c r="AC80" s="2">
        <v>2</v>
      </c>
      <c r="AG80" s="2">
        <v>0</v>
      </c>
      <c r="AH80" s="2">
        <v>2</v>
      </c>
      <c r="AI80" s="2">
        <v>0</v>
      </c>
      <c r="AK80">
        <v>5343421</v>
      </c>
      <c r="AL80" t="s">
        <v>288</v>
      </c>
    </row>
    <row r="81" spans="1:38" x14ac:dyDescent="0.25">
      <c r="A81" s="1">
        <v>45763</v>
      </c>
      <c r="B81" s="1">
        <v>45762</v>
      </c>
      <c r="C81" t="s">
        <v>252</v>
      </c>
      <c r="D81" t="s">
        <v>39</v>
      </c>
      <c r="E81" t="s">
        <v>40</v>
      </c>
      <c r="F81">
        <v>43677</v>
      </c>
      <c r="H81" t="s">
        <v>41</v>
      </c>
      <c r="I81" s="5">
        <v>102050715300</v>
      </c>
      <c r="J81" t="s">
        <v>368</v>
      </c>
      <c r="M81" t="s">
        <v>89</v>
      </c>
      <c r="O81">
        <v>43714</v>
      </c>
      <c r="P81" t="s">
        <v>244</v>
      </c>
      <c r="Q81" t="s">
        <v>45</v>
      </c>
      <c r="R81" t="s">
        <v>162</v>
      </c>
      <c r="S81" s="1">
        <v>45566</v>
      </c>
      <c r="T81" s="1">
        <v>45792</v>
      </c>
      <c r="U81" t="s">
        <v>47</v>
      </c>
      <c r="V81">
        <v>1</v>
      </c>
      <c r="W81" s="1">
        <v>45757</v>
      </c>
      <c r="X81" t="s">
        <v>48</v>
      </c>
      <c r="Y81" s="2">
        <v>1</v>
      </c>
      <c r="Z81" s="2">
        <v>1</v>
      </c>
      <c r="AB81" s="3">
        <v>1</v>
      </c>
      <c r="AC81" s="2">
        <v>2</v>
      </c>
      <c r="AG81" s="2">
        <v>0</v>
      </c>
      <c r="AH81" s="2">
        <v>2</v>
      </c>
      <c r="AI81" s="2">
        <v>0</v>
      </c>
      <c r="AK81">
        <v>5343647</v>
      </c>
      <c r="AL81" t="s">
        <v>288</v>
      </c>
    </row>
    <row r="82" spans="1:38" x14ac:dyDescent="0.25">
      <c r="A82" s="1">
        <v>45763</v>
      </c>
      <c r="B82" s="1">
        <v>45762</v>
      </c>
      <c r="C82" t="s">
        <v>252</v>
      </c>
      <c r="D82" t="s">
        <v>39</v>
      </c>
      <c r="E82" t="s">
        <v>40</v>
      </c>
      <c r="F82">
        <v>43677</v>
      </c>
      <c r="H82" t="s">
        <v>41</v>
      </c>
      <c r="I82" s="5">
        <v>102037208500</v>
      </c>
      <c r="J82" t="s">
        <v>402</v>
      </c>
      <c r="M82" t="s">
        <v>281</v>
      </c>
      <c r="O82">
        <v>43682</v>
      </c>
      <c r="P82" t="s">
        <v>118</v>
      </c>
      <c r="Q82" t="s">
        <v>45</v>
      </c>
      <c r="R82" t="s">
        <v>162</v>
      </c>
      <c r="S82" s="1">
        <v>45566</v>
      </c>
      <c r="T82" s="1">
        <v>45792</v>
      </c>
      <c r="U82" t="s">
        <v>47</v>
      </c>
      <c r="V82">
        <v>1</v>
      </c>
      <c r="W82" s="1">
        <v>45757</v>
      </c>
      <c r="X82" t="s">
        <v>48</v>
      </c>
      <c r="Y82" s="2">
        <v>1</v>
      </c>
      <c r="Z82" s="2">
        <v>1</v>
      </c>
      <c r="AB82" s="3">
        <v>1</v>
      </c>
      <c r="AC82" s="2">
        <v>2</v>
      </c>
      <c r="AG82" s="2">
        <v>0</v>
      </c>
      <c r="AH82" s="2">
        <v>2</v>
      </c>
      <c r="AI82" s="2">
        <v>0</v>
      </c>
      <c r="AK82">
        <v>5343447</v>
      </c>
      <c r="AL82" t="s">
        <v>288</v>
      </c>
    </row>
    <row r="83" spans="1:38" x14ac:dyDescent="0.25">
      <c r="A83" s="1">
        <v>45763</v>
      </c>
      <c r="B83" s="1">
        <v>45762</v>
      </c>
      <c r="C83" t="s">
        <v>252</v>
      </c>
      <c r="D83" t="s">
        <v>39</v>
      </c>
      <c r="E83" t="s">
        <v>40</v>
      </c>
      <c r="F83">
        <v>43677</v>
      </c>
      <c r="H83" t="s">
        <v>41</v>
      </c>
      <c r="I83" s="5">
        <v>102017118900</v>
      </c>
      <c r="J83" t="s">
        <v>441</v>
      </c>
      <c r="M83" t="s">
        <v>89</v>
      </c>
      <c r="O83">
        <v>43682</v>
      </c>
      <c r="P83" t="s">
        <v>118</v>
      </c>
      <c r="Q83" t="s">
        <v>45</v>
      </c>
      <c r="R83" t="s">
        <v>162</v>
      </c>
      <c r="S83" s="1">
        <v>45474</v>
      </c>
      <c r="T83" s="1">
        <v>45792</v>
      </c>
      <c r="U83" t="s">
        <v>47</v>
      </c>
      <c r="V83">
        <v>1</v>
      </c>
      <c r="W83" s="1">
        <v>45757</v>
      </c>
      <c r="X83" t="s">
        <v>48</v>
      </c>
      <c r="Y83" s="2">
        <v>1</v>
      </c>
      <c r="Z83" s="2">
        <v>1</v>
      </c>
      <c r="AB83" s="3">
        <v>1</v>
      </c>
      <c r="AC83" s="2">
        <v>2</v>
      </c>
      <c r="AG83" s="2">
        <v>0</v>
      </c>
      <c r="AH83" s="2">
        <v>2</v>
      </c>
      <c r="AI83" s="2">
        <v>0</v>
      </c>
      <c r="AK83">
        <v>5343126</v>
      </c>
      <c r="AL83" t="s">
        <v>288</v>
      </c>
    </row>
    <row r="84" spans="1:38" x14ac:dyDescent="0.25">
      <c r="A84" s="1">
        <v>45763</v>
      </c>
      <c r="B84" s="1">
        <v>45762</v>
      </c>
      <c r="C84" t="s">
        <v>252</v>
      </c>
      <c r="D84" t="s">
        <v>39</v>
      </c>
      <c r="E84" t="s">
        <v>40</v>
      </c>
      <c r="F84">
        <v>43677</v>
      </c>
      <c r="H84" t="s">
        <v>41</v>
      </c>
      <c r="I84" s="5">
        <v>102042487000</v>
      </c>
      <c r="J84" t="s">
        <v>393</v>
      </c>
      <c r="M84" t="s">
        <v>93</v>
      </c>
      <c r="O84">
        <v>43611</v>
      </c>
      <c r="P84" t="s">
        <v>94</v>
      </c>
      <c r="Q84" t="s">
        <v>45</v>
      </c>
      <c r="R84" t="s">
        <v>162</v>
      </c>
      <c r="S84" s="1">
        <v>45536</v>
      </c>
      <c r="T84" s="1">
        <v>45792</v>
      </c>
      <c r="U84" t="s">
        <v>47</v>
      </c>
      <c r="V84">
        <v>1</v>
      </c>
      <c r="W84" s="1">
        <v>45757</v>
      </c>
      <c r="X84" t="s">
        <v>48</v>
      </c>
      <c r="Y84" s="2">
        <v>1</v>
      </c>
      <c r="Z84" s="2">
        <v>1</v>
      </c>
      <c r="AB84" s="3">
        <v>1</v>
      </c>
      <c r="AC84" s="2">
        <v>2</v>
      </c>
      <c r="AG84" s="2">
        <v>0</v>
      </c>
      <c r="AH84" s="2">
        <v>2</v>
      </c>
      <c r="AI84" s="2">
        <v>0</v>
      </c>
      <c r="AK84">
        <v>5343516</v>
      </c>
      <c r="AL84" t="s">
        <v>288</v>
      </c>
    </row>
    <row r="85" spans="1:38" x14ac:dyDescent="0.25">
      <c r="A85" s="1">
        <v>45763</v>
      </c>
      <c r="B85" s="1">
        <v>45762</v>
      </c>
      <c r="C85" t="s">
        <v>252</v>
      </c>
      <c r="D85" t="s">
        <v>39</v>
      </c>
      <c r="E85" t="s">
        <v>40</v>
      </c>
      <c r="F85">
        <v>43677</v>
      </c>
      <c r="H85" t="s">
        <v>41</v>
      </c>
      <c r="I85" s="5">
        <v>102068196700</v>
      </c>
      <c r="J85" t="s">
        <v>318</v>
      </c>
      <c r="M85" t="s">
        <v>89</v>
      </c>
      <c r="O85">
        <v>45605</v>
      </c>
      <c r="P85" t="s">
        <v>50</v>
      </c>
      <c r="Q85" t="s">
        <v>45</v>
      </c>
      <c r="R85" t="s">
        <v>162</v>
      </c>
      <c r="S85" s="1">
        <v>45597</v>
      </c>
      <c r="T85" s="1">
        <v>45792</v>
      </c>
      <c r="U85" t="s">
        <v>47</v>
      </c>
      <c r="V85">
        <v>1</v>
      </c>
      <c r="W85" s="1">
        <v>45757</v>
      </c>
      <c r="X85" t="s">
        <v>48</v>
      </c>
      <c r="Y85" s="2">
        <v>1</v>
      </c>
      <c r="Z85" s="2">
        <v>1</v>
      </c>
      <c r="AB85" s="3">
        <v>1</v>
      </c>
      <c r="AC85" s="2">
        <v>2</v>
      </c>
      <c r="AG85" s="2">
        <v>0</v>
      </c>
      <c r="AH85" s="2">
        <v>2</v>
      </c>
      <c r="AI85" s="2">
        <v>0</v>
      </c>
      <c r="AK85">
        <v>5343915</v>
      </c>
      <c r="AL85" t="s">
        <v>288</v>
      </c>
    </row>
    <row r="86" spans="1:38" x14ac:dyDescent="0.25">
      <c r="A86" s="1">
        <v>45763</v>
      </c>
      <c r="B86" s="1">
        <v>45762</v>
      </c>
      <c r="C86" t="s">
        <v>252</v>
      </c>
      <c r="D86" t="s">
        <v>39</v>
      </c>
      <c r="E86" t="s">
        <v>40</v>
      </c>
      <c r="F86">
        <v>43677</v>
      </c>
      <c r="H86" t="s">
        <v>41</v>
      </c>
      <c r="I86" s="5">
        <v>102055388900</v>
      </c>
      <c r="J86" t="s">
        <v>356</v>
      </c>
      <c r="M86" t="s">
        <v>89</v>
      </c>
      <c r="O86">
        <v>45709</v>
      </c>
      <c r="P86" t="s">
        <v>137</v>
      </c>
      <c r="Q86" t="s">
        <v>45</v>
      </c>
      <c r="R86" t="s">
        <v>162</v>
      </c>
      <c r="S86" s="1">
        <v>45566</v>
      </c>
      <c r="T86" s="1">
        <v>45792</v>
      </c>
      <c r="U86" t="s">
        <v>47</v>
      </c>
      <c r="V86">
        <v>1</v>
      </c>
      <c r="W86" s="1">
        <v>45757</v>
      </c>
      <c r="X86" t="s">
        <v>48</v>
      </c>
      <c r="Y86" s="2">
        <v>1</v>
      </c>
      <c r="Z86" s="2">
        <v>1</v>
      </c>
      <c r="AB86" s="3">
        <v>1</v>
      </c>
      <c r="AC86" s="2">
        <v>2</v>
      </c>
      <c r="AG86" s="2">
        <v>0</v>
      </c>
      <c r="AH86" s="2">
        <v>2</v>
      </c>
      <c r="AI86" s="2">
        <v>0</v>
      </c>
      <c r="AK86">
        <v>5343736</v>
      </c>
      <c r="AL86" t="s">
        <v>288</v>
      </c>
    </row>
    <row r="87" spans="1:38" x14ac:dyDescent="0.25">
      <c r="A87" s="1">
        <v>45763</v>
      </c>
      <c r="B87" s="1">
        <v>45762</v>
      </c>
      <c r="C87" t="s">
        <v>252</v>
      </c>
      <c r="D87" t="s">
        <v>39</v>
      </c>
      <c r="E87" t="s">
        <v>40</v>
      </c>
      <c r="F87">
        <v>43677</v>
      </c>
      <c r="H87" t="s">
        <v>41</v>
      </c>
      <c r="I87" s="5">
        <v>101953198300</v>
      </c>
      <c r="J87" t="s">
        <v>461</v>
      </c>
      <c r="M87" t="s">
        <v>93</v>
      </c>
      <c r="O87">
        <v>43679</v>
      </c>
      <c r="P87" t="s">
        <v>191</v>
      </c>
      <c r="Q87" t="s">
        <v>45</v>
      </c>
      <c r="R87" t="s">
        <v>162</v>
      </c>
      <c r="S87" s="1">
        <v>45627</v>
      </c>
      <c r="T87" s="1">
        <v>45792</v>
      </c>
      <c r="U87" t="s">
        <v>47</v>
      </c>
      <c r="V87">
        <v>1</v>
      </c>
      <c r="W87" s="1">
        <v>45757</v>
      </c>
      <c r="X87" t="s">
        <v>48</v>
      </c>
      <c r="Y87" s="2">
        <v>1</v>
      </c>
      <c r="Z87" s="2">
        <v>1</v>
      </c>
      <c r="AB87" s="3">
        <v>1</v>
      </c>
      <c r="AC87" s="2">
        <v>2</v>
      </c>
      <c r="AG87" s="2">
        <v>0</v>
      </c>
      <c r="AH87" s="2">
        <v>2</v>
      </c>
      <c r="AI87" s="2">
        <v>0</v>
      </c>
      <c r="AK87">
        <v>5342426</v>
      </c>
      <c r="AL87" t="s">
        <v>288</v>
      </c>
    </row>
    <row r="88" spans="1:38" x14ac:dyDescent="0.25">
      <c r="A88" s="1">
        <v>45763</v>
      </c>
      <c r="B88" s="1">
        <v>45762</v>
      </c>
      <c r="C88" t="s">
        <v>252</v>
      </c>
      <c r="D88" t="s">
        <v>39</v>
      </c>
      <c r="E88" t="s">
        <v>40</v>
      </c>
      <c r="F88">
        <v>43677</v>
      </c>
      <c r="H88" t="s">
        <v>41</v>
      </c>
      <c r="I88" s="5">
        <v>102062449500</v>
      </c>
      <c r="J88" t="s">
        <v>336</v>
      </c>
      <c r="M88" t="s">
        <v>89</v>
      </c>
      <c r="O88">
        <v>45605</v>
      </c>
      <c r="P88" t="s">
        <v>50</v>
      </c>
      <c r="Q88" t="s">
        <v>45</v>
      </c>
      <c r="R88" t="s">
        <v>162</v>
      </c>
      <c r="S88" s="1">
        <v>45627</v>
      </c>
      <c r="T88" s="1">
        <v>45792</v>
      </c>
      <c r="U88" t="s">
        <v>47</v>
      </c>
      <c r="V88">
        <v>1</v>
      </c>
      <c r="W88" s="1">
        <v>45757</v>
      </c>
      <c r="X88" t="s">
        <v>48</v>
      </c>
      <c r="Y88" s="2">
        <v>1</v>
      </c>
      <c r="Z88" s="2">
        <v>1</v>
      </c>
      <c r="AB88" s="3">
        <v>1</v>
      </c>
      <c r="AC88" s="2">
        <v>2</v>
      </c>
      <c r="AG88" s="2">
        <v>0</v>
      </c>
      <c r="AH88" s="2">
        <v>2</v>
      </c>
      <c r="AI88" s="2">
        <v>0</v>
      </c>
      <c r="AK88">
        <v>5343854</v>
      </c>
      <c r="AL88" t="s">
        <v>288</v>
      </c>
    </row>
    <row r="89" spans="1:38" x14ac:dyDescent="0.25">
      <c r="A89" s="1">
        <v>45763</v>
      </c>
      <c r="B89" s="1">
        <v>45762</v>
      </c>
      <c r="C89" t="s">
        <v>252</v>
      </c>
      <c r="D89" t="s">
        <v>39</v>
      </c>
      <c r="E89" t="s">
        <v>40</v>
      </c>
      <c r="F89">
        <v>43677</v>
      </c>
      <c r="H89" t="s">
        <v>41</v>
      </c>
      <c r="I89" s="5">
        <v>102049732200</v>
      </c>
      <c r="J89" t="s">
        <v>374</v>
      </c>
      <c r="M89" t="s">
        <v>89</v>
      </c>
      <c r="O89">
        <v>45604</v>
      </c>
      <c r="P89" t="s">
        <v>103</v>
      </c>
      <c r="Q89" t="s">
        <v>45</v>
      </c>
      <c r="R89" t="s">
        <v>162</v>
      </c>
      <c r="S89" s="1">
        <v>45597</v>
      </c>
      <c r="T89" s="1">
        <v>45792</v>
      </c>
      <c r="U89" t="s">
        <v>47</v>
      </c>
      <c r="V89">
        <v>1</v>
      </c>
      <c r="W89" s="1">
        <v>45757</v>
      </c>
      <c r="X89" t="s">
        <v>48</v>
      </c>
      <c r="Y89" s="2">
        <v>1</v>
      </c>
      <c r="Z89" s="2">
        <v>1</v>
      </c>
      <c r="AB89" s="3">
        <v>1</v>
      </c>
      <c r="AC89" s="2">
        <v>2</v>
      </c>
      <c r="AG89" s="2">
        <v>0</v>
      </c>
      <c r="AH89" s="2">
        <v>2</v>
      </c>
      <c r="AI89" s="2">
        <v>0</v>
      </c>
      <c r="AK89">
        <v>5343625</v>
      </c>
      <c r="AL89" t="s">
        <v>288</v>
      </c>
    </row>
    <row r="90" spans="1:38" x14ac:dyDescent="0.25">
      <c r="A90" s="1">
        <v>45763</v>
      </c>
      <c r="B90" s="1">
        <v>45762</v>
      </c>
      <c r="C90" t="s">
        <v>252</v>
      </c>
      <c r="D90" t="s">
        <v>39</v>
      </c>
      <c r="E90" t="s">
        <v>40</v>
      </c>
      <c r="F90">
        <v>43677</v>
      </c>
      <c r="H90" t="s">
        <v>41</v>
      </c>
      <c r="I90" s="5">
        <v>102059559800</v>
      </c>
      <c r="J90" t="s">
        <v>344</v>
      </c>
      <c r="M90" t="s">
        <v>93</v>
      </c>
      <c r="O90">
        <v>43585</v>
      </c>
      <c r="P90" t="s">
        <v>343</v>
      </c>
      <c r="Q90" t="s">
        <v>45</v>
      </c>
      <c r="R90" t="s">
        <v>162</v>
      </c>
      <c r="S90" s="1">
        <v>45566</v>
      </c>
      <c r="T90" s="1">
        <v>45792</v>
      </c>
      <c r="U90" t="s">
        <v>47</v>
      </c>
      <c r="V90">
        <v>1</v>
      </c>
      <c r="W90" s="1">
        <v>45757</v>
      </c>
      <c r="X90" t="s">
        <v>48</v>
      </c>
      <c r="Y90" s="2">
        <v>1</v>
      </c>
      <c r="Z90" s="2">
        <v>1</v>
      </c>
      <c r="AB90" s="3">
        <v>1</v>
      </c>
      <c r="AC90" s="2">
        <v>2</v>
      </c>
      <c r="AG90" s="2">
        <v>0</v>
      </c>
      <c r="AH90" s="2">
        <v>2</v>
      </c>
      <c r="AI90" s="2">
        <v>0</v>
      </c>
      <c r="AK90">
        <v>5343805</v>
      </c>
      <c r="AL90" t="s">
        <v>288</v>
      </c>
    </row>
    <row r="91" spans="1:38" x14ac:dyDescent="0.25">
      <c r="A91" s="1">
        <v>45763</v>
      </c>
      <c r="B91" s="1">
        <v>45762</v>
      </c>
      <c r="C91" t="s">
        <v>252</v>
      </c>
      <c r="D91" t="s">
        <v>39</v>
      </c>
      <c r="E91" t="s">
        <v>40</v>
      </c>
      <c r="F91">
        <v>43677</v>
      </c>
      <c r="H91" t="s">
        <v>41</v>
      </c>
      <c r="I91" s="5">
        <v>102058656500</v>
      </c>
      <c r="J91" t="s">
        <v>348</v>
      </c>
      <c r="M91" t="s">
        <v>89</v>
      </c>
      <c r="O91">
        <v>45612</v>
      </c>
      <c r="P91" t="s">
        <v>99</v>
      </c>
      <c r="Q91" t="s">
        <v>45</v>
      </c>
      <c r="R91" t="s">
        <v>162</v>
      </c>
      <c r="S91" s="1">
        <v>45597</v>
      </c>
      <c r="T91" s="1">
        <v>45792</v>
      </c>
      <c r="U91" t="s">
        <v>47</v>
      </c>
      <c r="V91">
        <v>1</v>
      </c>
      <c r="W91" s="1">
        <v>45757</v>
      </c>
      <c r="X91" t="s">
        <v>48</v>
      </c>
      <c r="Y91" s="2">
        <v>1</v>
      </c>
      <c r="Z91" s="2">
        <v>1</v>
      </c>
      <c r="AB91" s="3">
        <v>1</v>
      </c>
      <c r="AC91" s="2">
        <v>2</v>
      </c>
      <c r="AG91" s="2">
        <v>0</v>
      </c>
      <c r="AH91" s="2">
        <v>2</v>
      </c>
      <c r="AI91" s="2">
        <v>0</v>
      </c>
      <c r="AK91">
        <v>5343794</v>
      </c>
      <c r="AL91" t="s">
        <v>288</v>
      </c>
    </row>
    <row r="92" spans="1:38" x14ac:dyDescent="0.25">
      <c r="A92" s="1">
        <v>45763</v>
      </c>
      <c r="B92" s="1">
        <v>45762</v>
      </c>
      <c r="C92" t="s">
        <v>252</v>
      </c>
      <c r="D92" t="s">
        <v>39</v>
      </c>
      <c r="E92" t="s">
        <v>40</v>
      </c>
      <c r="F92">
        <v>43677</v>
      </c>
      <c r="H92" t="s">
        <v>41</v>
      </c>
      <c r="I92" s="5">
        <v>102061588300</v>
      </c>
      <c r="J92" t="s">
        <v>338</v>
      </c>
      <c r="M92" t="s">
        <v>93</v>
      </c>
      <c r="O92">
        <v>43686</v>
      </c>
      <c r="P92" t="s">
        <v>61</v>
      </c>
      <c r="Q92" t="s">
        <v>45</v>
      </c>
      <c r="R92" t="s">
        <v>162</v>
      </c>
      <c r="S92" s="1">
        <v>45566</v>
      </c>
      <c r="T92" s="1">
        <v>45792</v>
      </c>
      <c r="U92" t="s">
        <v>47</v>
      </c>
      <c r="V92">
        <v>1</v>
      </c>
      <c r="W92" s="1">
        <v>45757</v>
      </c>
      <c r="X92" t="s">
        <v>48</v>
      </c>
      <c r="Y92" s="2">
        <v>1</v>
      </c>
      <c r="Z92" s="2">
        <v>1</v>
      </c>
      <c r="AB92" s="3">
        <v>1</v>
      </c>
      <c r="AC92" s="2">
        <v>2</v>
      </c>
      <c r="AG92" s="2">
        <v>0</v>
      </c>
      <c r="AH92" s="2">
        <v>2</v>
      </c>
      <c r="AI92" s="2">
        <v>0</v>
      </c>
      <c r="AK92">
        <v>5343838</v>
      </c>
      <c r="AL92" t="s">
        <v>288</v>
      </c>
    </row>
    <row r="93" spans="1:38" x14ac:dyDescent="0.25">
      <c r="A93" s="1">
        <v>45763</v>
      </c>
      <c r="B93" s="1">
        <v>45762</v>
      </c>
      <c r="C93" t="s">
        <v>252</v>
      </c>
      <c r="D93" t="s">
        <v>39</v>
      </c>
      <c r="E93" t="s">
        <v>40</v>
      </c>
      <c r="F93">
        <v>43677</v>
      </c>
      <c r="H93" t="s">
        <v>41</v>
      </c>
      <c r="I93" s="5">
        <v>102054999900</v>
      </c>
      <c r="J93" t="s">
        <v>357</v>
      </c>
      <c r="M93" t="s">
        <v>93</v>
      </c>
      <c r="O93">
        <v>43611</v>
      </c>
      <c r="P93" t="s">
        <v>94</v>
      </c>
      <c r="Q93" t="s">
        <v>45</v>
      </c>
      <c r="R93" t="s">
        <v>162</v>
      </c>
      <c r="S93" s="1">
        <v>45566</v>
      </c>
      <c r="T93" s="1">
        <v>45792</v>
      </c>
      <c r="U93" t="s">
        <v>47</v>
      </c>
      <c r="V93">
        <v>1</v>
      </c>
      <c r="W93" s="1">
        <v>45757</v>
      </c>
      <c r="X93" t="s">
        <v>48</v>
      </c>
      <c r="Y93" s="2">
        <v>1</v>
      </c>
      <c r="Z93" s="2">
        <v>1</v>
      </c>
      <c r="AB93" s="3">
        <v>1</v>
      </c>
      <c r="AC93" s="2">
        <v>2</v>
      </c>
      <c r="AG93" s="2">
        <v>0</v>
      </c>
      <c r="AH93" s="2">
        <v>2</v>
      </c>
      <c r="AI93" s="2">
        <v>0</v>
      </c>
      <c r="AK93">
        <v>5343733</v>
      </c>
      <c r="AL93" t="s">
        <v>288</v>
      </c>
    </row>
    <row r="94" spans="1:38" x14ac:dyDescent="0.25">
      <c r="A94" s="1">
        <v>45763</v>
      </c>
      <c r="B94" s="1">
        <v>45762</v>
      </c>
      <c r="C94" t="s">
        <v>252</v>
      </c>
      <c r="D94" t="s">
        <v>39</v>
      </c>
      <c r="E94" t="s">
        <v>40</v>
      </c>
      <c r="F94">
        <v>43677</v>
      </c>
      <c r="H94" t="s">
        <v>41</v>
      </c>
      <c r="I94" s="5">
        <v>102066652900</v>
      </c>
      <c r="J94" t="s">
        <v>321</v>
      </c>
      <c r="M94" t="s">
        <v>93</v>
      </c>
      <c r="O94">
        <v>43679</v>
      </c>
      <c r="P94" t="s">
        <v>191</v>
      </c>
      <c r="Q94" t="s">
        <v>45</v>
      </c>
      <c r="R94" t="s">
        <v>162</v>
      </c>
      <c r="S94" s="1">
        <v>45627</v>
      </c>
      <c r="T94" s="1">
        <v>45792</v>
      </c>
      <c r="U94" t="s">
        <v>47</v>
      </c>
      <c r="V94">
        <v>1</v>
      </c>
      <c r="W94" s="1">
        <v>45757</v>
      </c>
      <c r="X94" t="s">
        <v>48</v>
      </c>
      <c r="Y94" s="2">
        <v>1</v>
      </c>
      <c r="Z94" s="2">
        <v>1</v>
      </c>
      <c r="AB94" s="3">
        <v>1</v>
      </c>
      <c r="AC94" s="2">
        <v>2</v>
      </c>
      <c r="AG94" s="2">
        <v>0</v>
      </c>
      <c r="AH94" s="2">
        <v>2</v>
      </c>
      <c r="AI94" s="2">
        <v>0</v>
      </c>
      <c r="AK94">
        <v>5343904</v>
      </c>
      <c r="AL94" t="s">
        <v>288</v>
      </c>
    </row>
    <row r="95" spans="1:38" x14ac:dyDescent="0.25">
      <c r="A95" s="1">
        <v>45763</v>
      </c>
      <c r="B95" s="1">
        <v>45762</v>
      </c>
      <c r="C95" t="s">
        <v>252</v>
      </c>
      <c r="D95" t="s">
        <v>39</v>
      </c>
      <c r="E95" t="s">
        <v>40</v>
      </c>
      <c r="F95">
        <v>43677</v>
      </c>
      <c r="H95" t="s">
        <v>41</v>
      </c>
      <c r="I95" s="5">
        <v>102029053100</v>
      </c>
      <c r="J95" t="s">
        <v>424</v>
      </c>
      <c r="M95" t="s">
        <v>93</v>
      </c>
      <c r="O95">
        <v>43682</v>
      </c>
      <c r="P95" t="s">
        <v>118</v>
      </c>
      <c r="Q95" t="s">
        <v>45</v>
      </c>
      <c r="R95" t="s">
        <v>162</v>
      </c>
      <c r="S95" s="1">
        <v>45566</v>
      </c>
      <c r="T95" s="1">
        <v>45792</v>
      </c>
      <c r="U95" t="s">
        <v>47</v>
      </c>
      <c r="V95">
        <v>1</v>
      </c>
      <c r="W95" s="1">
        <v>45757</v>
      </c>
      <c r="X95" t="s">
        <v>48</v>
      </c>
      <c r="Y95" s="2">
        <v>1</v>
      </c>
      <c r="Z95" s="2">
        <v>1</v>
      </c>
      <c r="AB95" s="3">
        <v>1</v>
      </c>
      <c r="AC95" s="2">
        <v>2</v>
      </c>
      <c r="AG95" s="2">
        <v>0</v>
      </c>
      <c r="AH95" s="2">
        <v>2</v>
      </c>
      <c r="AI95" s="2">
        <v>0</v>
      </c>
      <c r="AK95">
        <v>5343294</v>
      </c>
      <c r="AL95" t="s">
        <v>288</v>
      </c>
    </row>
    <row r="96" spans="1:38" x14ac:dyDescent="0.25">
      <c r="A96" s="1">
        <v>45763</v>
      </c>
      <c r="B96" s="1">
        <v>45762</v>
      </c>
      <c r="C96" t="s">
        <v>252</v>
      </c>
      <c r="D96" t="s">
        <v>39</v>
      </c>
      <c r="E96" t="s">
        <v>40</v>
      </c>
      <c r="F96">
        <v>43677</v>
      </c>
      <c r="H96" t="s">
        <v>41</v>
      </c>
      <c r="I96" s="5">
        <v>102097467700</v>
      </c>
      <c r="J96" t="s">
        <v>296</v>
      </c>
      <c r="M96" t="s">
        <v>128</v>
      </c>
      <c r="O96">
        <v>43678</v>
      </c>
      <c r="P96" t="s">
        <v>295</v>
      </c>
      <c r="Q96" t="s">
        <v>45</v>
      </c>
      <c r="R96" t="s">
        <v>162</v>
      </c>
      <c r="S96" s="1">
        <v>45627</v>
      </c>
      <c r="T96" s="1">
        <v>45792</v>
      </c>
      <c r="U96" t="s">
        <v>47</v>
      </c>
      <c r="V96">
        <v>1</v>
      </c>
      <c r="W96" s="1">
        <v>45757</v>
      </c>
      <c r="X96" t="s">
        <v>48</v>
      </c>
      <c r="Y96" s="2">
        <v>1</v>
      </c>
      <c r="Z96" s="2">
        <v>1</v>
      </c>
      <c r="AB96" s="3">
        <v>1</v>
      </c>
      <c r="AC96" s="2">
        <v>2</v>
      </c>
      <c r="AG96" s="2">
        <v>0</v>
      </c>
      <c r="AH96" s="2">
        <v>2</v>
      </c>
      <c r="AI96" s="2">
        <v>0</v>
      </c>
      <c r="AK96">
        <v>5344000</v>
      </c>
      <c r="AL96" t="s">
        <v>288</v>
      </c>
    </row>
    <row r="97" spans="1:38" x14ac:dyDescent="0.25">
      <c r="A97" s="1">
        <v>45763</v>
      </c>
      <c r="B97" s="1">
        <v>45762</v>
      </c>
      <c r="C97" t="s">
        <v>252</v>
      </c>
      <c r="D97" t="s">
        <v>39</v>
      </c>
      <c r="E97" t="s">
        <v>40</v>
      </c>
      <c r="F97">
        <v>43677</v>
      </c>
      <c r="H97" t="s">
        <v>41</v>
      </c>
      <c r="I97" s="5">
        <v>102052502800</v>
      </c>
      <c r="J97" t="s">
        <v>363</v>
      </c>
      <c r="M97" t="s">
        <v>89</v>
      </c>
      <c r="O97">
        <v>45709</v>
      </c>
      <c r="P97" t="s">
        <v>137</v>
      </c>
      <c r="Q97" t="s">
        <v>45</v>
      </c>
      <c r="R97" t="s">
        <v>162</v>
      </c>
      <c r="S97" s="1">
        <v>45536</v>
      </c>
      <c r="T97" s="1">
        <v>45792</v>
      </c>
      <c r="U97" t="s">
        <v>47</v>
      </c>
      <c r="V97">
        <v>1</v>
      </c>
      <c r="W97" s="1">
        <v>45757</v>
      </c>
      <c r="X97" t="s">
        <v>48</v>
      </c>
      <c r="Y97" s="2">
        <v>1</v>
      </c>
      <c r="Z97" s="2">
        <v>1</v>
      </c>
      <c r="AB97" s="3">
        <v>1</v>
      </c>
      <c r="AC97" s="2">
        <v>2</v>
      </c>
      <c r="AG97" s="2">
        <v>0</v>
      </c>
      <c r="AH97" s="2">
        <v>2</v>
      </c>
      <c r="AI97" s="2">
        <v>0</v>
      </c>
      <c r="AK97">
        <v>5343685</v>
      </c>
      <c r="AL97" t="s">
        <v>288</v>
      </c>
    </row>
    <row r="98" spans="1:38" x14ac:dyDescent="0.25">
      <c r="A98" s="1">
        <v>45763</v>
      </c>
      <c r="B98" s="1">
        <v>45762</v>
      </c>
      <c r="C98" t="s">
        <v>252</v>
      </c>
      <c r="D98" t="s">
        <v>39</v>
      </c>
      <c r="E98" t="s">
        <v>40</v>
      </c>
      <c r="F98">
        <v>43677</v>
      </c>
      <c r="H98" t="s">
        <v>41</v>
      </c>
      <c r="I98" s="5">
        <v>102059560100</v>
      </c>
      <c r="J98" t="s">
        <v>342</v>
      </c>
      <c r="M98" t="s">
        <v>117</v>
      </c>
      <c r="O98">
        <v>43682</v>
      </c>
      <c r="P98" t="s">
        <v>118</v>
      </c>
      <c r="Q98" t="s">
        <v>45</v>
      </c>
      <c r="R98" t="s">
        <v>162</v>
      </c>
      <c r="S98" s="1">
        <v>45566</v>
      </c>
      <c r="T98" s="1">
        <v>45792</v>
      </c>
      <c r="U98" t="s">
        <v>47</v>
      </c>
      <c r="V98">
        <v>1</v>
      </c>
      <c r="W98" s="1">
        <v>45757</v>
      </c>
      <c r="X98" t="s">
        <v>48</v>
      </c>
      <c r="Y98" s="2">
        <v>1</v>
      </c>
      <c r="Z98" s="2">
        <v>1</v>
      </c>
      <c r="AB98" s="3">
        <v>1</v>
      </c>
      <c r="AC98" s="2">
        <v>2</v>
      </c>
      <c r="AG98" s="2">
        <v>0</v>
      </c>
      <c r="AH98" s="2">
        <v>2</v>
      </c>
      <c r="AI98" s="2">
        <v>0</v>
      </c>
      <c r="AK98">
        <v>5343806</v>
      </c>
      <c r="AL98" t="s">
        <v>288</v>
      </c>
    </row>
    <row r="99" spans="1:38" x14ac:dyDescent="0.25">
      <c r="A99" s="1">
        <v>45763</v>
      </c>
      <c r="B99" s="1">
        <v>45762</v>
      </c>
      <c r="C99" t="s">
        <v>252</v>
      </c>
      <c r="D99" t="s">
        <v>39</v>
      </c>
      <c r="E99" t="s">
        <v>40</v>
      </c>
      <c r="F99">
        <v>43677</v>
      </c>
      <c r="H99" t="s">
        <v>41</v>
      </c>
      <c r="I99" s="5">
        <v>102006527900</v>
      </c>
      <c r="J99" t="s">
        <v>458</v>
      </c>
      <c r="M99" t="s">
        <v>369</v>
      </c>
      <c r="O99">
        <v>43682</v>
      </c>
      <c r="P99" t="s">
        <v>118</v>
      </c>
      <c r="Q99" t="s">
        <v>45</v>
      </c>
      <c r="R99" t="s">
        <v>162</v>
      </c>
      <c r="S99" s="1">
        <v>45444</v>
      </c>
      <c r="T99" s="1">
        <v>45792</v>
      </c>
      <c r="U99" t="s">
        <v>47</v>
      </c>
      <c r="V99">
        <v>1</v>
      </c>
      <c r="W99" s="1">
        <v>45757</v>
      </c>
      <c r="X99" t="s">
        <v>48</v>
      </c>
      <c r="Y99" s="2">
        <v>1</v>
      </c>
      <c r="Z99" s="2">
        <v>1</v>
      </c>
      <c r="AB99" s="3">
        <v>1</v>
      </c>
      <c r="AC99" s="2">
        <v>2</v>
      </c>
      <c r="AG99" s="2">
        <v>0</v>
      </c>
      <c r="AH99" s="2">
        <v>2</v>
      </c>
      <c r="AI99" s="2">
        <v>0</v>
      </c>
      <c r="AK99">
        <v>5343011</v>
      </c>
      <c r="AL99" t="s">
        <v>288</v>
      </c>
    </row>
    <row r="100" spans="1:38" x14ac:dyDescent="0.25">
      <c r="A100" s="1">
        <v>45763</v>
      </c>
      <c r="B100" s="1">
        <v>45762</v>
      </c>
      <c r="C100" t="s">
        <v>252</v>
      </c>
      <c r="D100" t="s">
        <v>39</v>
      </c>
      <c r="E100" t="s">
        <v>40</v>
      </c>
      <c r="F100">
        <v>43677</v>
      </c>
      <c r="H100" t="s">
        <v>41</v>
      </c>
      <c r="I100" s="5">
        <v>102022261800</v>
      </c>
      <c r="J100" t="s">
        <v>434</v>
      </c>
      <c r="M100" t="s">
        <v>93</v>
      </c>
      <c r="O100">
        <v>43691</v>
      </c>
      <c r="P100" t="s">
        <v>108</v>
      </c>
      <c r="Q100" t="s">
        <v>45</v>
      </c>
      <c r="R100" t="s">
        <v>162</v>
      </c>
      <c r="S100" s="1">
        <v>45474</v>
      </c>
      <c r="T100" s="1">
        <v>45792</v>
      </c>
      <c r="U100" t="s">
        <v>47</v>
      </c>
      <c r="V100">
        <v>1</v>
      </c>
      <c r="W100" s="1">
        <v>45757</v>
      </c>
      <c r="X100" t="s">
        <v>48</v>
      </c>
      <c r="Y100" s="2">
        <v>1</v>
      </c>
      <c r="Z100" s="2">
        <v>1</v>
      </c>
      <c r="AB100" s="3">
        <v>1</v>
      </c>
      <c r="AC100" s="2">
        <v>2</v>
      </c>
      <c r="AG100" s="2">
        <v>0</v>
      </c>
      <c r="AH100" s="2">
        <v>2</v>
      </c>
      <c r="AI100" s="2">
        <v>0</v>
      </c>
      <c r="AK100">
        <v>5343197</v>
      </c>
      <c r="AL100" t="s">
        <v>288</v>
      </c>
    </row>
    <row r="101" spans="1:38" x14ac:dyDescent="0.25">
      <c r="A101" s="1">
        <v>45763</v>
      </c>
      <c r="B101" s="1">
        <v>45762</v>
      </c>
      <c r="C101" t="s">
        <v>252</v>
      </c>
      <c r="D101" t="s">
        <v>39</v>
      </c>
      <c r="E101" t="s">
        <v>40</v>
      </c>
      <c r="F101">
        <v>43677</v>
      </c>
      <c r="H101" t="s">
        <v>41</v>
      </c>
      <c r="I101" s="5">
        <v>102015762800</v>
      </c>
      <c r="J101" t="s">
        <v>445</v>
      </c>
      <c r="M101" t="s">
        <v>93</v>
      </c>
      <c r="O101">
        <v>43611</v>
      </c>
      <c r="P101" t="s">
        <v>94</v>
      </c>
      <c r="Q101" t="s">
        <v>45</v>
      </c>
      <c r="R101" t="s">
        <v>162</v>
      </c>
      <c r="S101" s="1">
        <v>45474</v>
      </c>
      <c r="T101" s="1">
        <v>45792</v>
      </c>
      <c r="U101" t="s">
        <v>47</v>
      </c>
      <c r="V101">
        <v>1</v>
      </c>
      <c r="W101" s="1">
        <v>45757</v>
      </c>
      <c r="X101" t="s">
        <v>48</v>
      </c>
      <c r="Y101" s="2">
        <v>1</v>
      </c>
      <c r="Z101" s="2">
        <v>1</v>
      </c>
      <c r="AB101" s="3">
        <v>1</v>
      </c>
      <c r="AC101" s="2">
        <v>2</v>
      </c>
      <c r="AG101" s="2">
        <v>0</v>
      </c>
      <c r="AH101" s="2">
        <v>2</v>
      </c>
      <c r="AI101" s="2">
        <v>0</v>
      </c>
      <c r="AK101">
        <v>5343110</v>
      </c>
      <c r="AL101" t="s">
        <v>288</v>
      </c>
    </row>
    <row r="102" spans="1:38" x14ac:dyDescent="0.25">
      <c r="A102" s="1">
        <v>45763</v>
      </c>
      <c r="B102" s="1">
        <v>45762</v>
      </c>
      <c r="C102" t="s">
        <v>252</v>
      </c>
      <c r="D102" t="s">
        <v>39</v>
      </c>
      <c r="E102" t="s">
        <v>40</v>
      </c>
      <c r="F102">
        <v>43677</v>
      </c>
      <c r="H102" t="s">
        <v>41</v>
      </c>
      <c r="I102" s="5">
        <v>101338772600</v>
      </c>
      <c r="J102" t="s">
        <v>466</v>
      </c>
      <c r="M102" t="s">
        <v>43</v>
      </c>
      <c r="O102">
        <v>45612</v>
      </c>
      <c r="P102" t="s">
        <v>99</v>
      </c>
      <c r="Q102" t="s">
        <v>45</v>
      </c>
      <c r="R102" t="s">
        <v>162</v>
      </c>
      <c r="S102" s="1">
        <v>45536</v>
      </c>
      <c r="T102" s="1">
        <v>45792</v>
      </c>
      <c r="U102" t="s">
        <v>47</v>
      </c>
      <c r="V102">
        <v>1</v>
      </c>
      <c r="W102" s="1">
        <v>45757</v>
      </c>
      <c r="X102" t="s">
        <v>48</v>
      </c>
      <c r="Y102" s="2">
        <v>1</v>
      </c>
      <c r="Z102" s="2">
        <v>1</v>
      </c>
      <c r="AB102" s="3">
        <v>1</v>
      </c>
      <c r="AC102" s="2">
        <v>2</v>
      </c>
      <c r="AG102" s="2">
        <v>0</v>
      </c>
      <c r="AH102" s="2">
        <v>2</v>
      </c>
      <c r="AI102" s="2">
        <v>0</v>
      </c>
      <c r="AK102">
        <v>5338458</v>
      </c>
      <c r="AL102" t="s">
        <v>288</v>
      </c>
    </row>
    <row r="103" spans="1:38" x14ac:dyDescent="0.25">
      <c r="A103" s="1">
        <v>45763</v>
      </c>
      <c r="B103" s="1">
        <v>45762</v>
      </c>
      <c r="C103" t="s">
        <v>252</v>
      </c>
      <c r="D103" t="s">
        <v>39</v>
      </c>
      <c r="E103" t="s">
        <v>40</v>
      </c>
      <c r="F103">
        <v>43677</v>
      </c>
      <c r="H103" t="s">
        <v>41</v>
      </c>
      <c r="I103" s="5">
        <v>102066402500</v>
      </c>
      <c r="J103" t="s">
        <v>322</v>
      </c>
      <c r="M103" t="s">
        <v>89</v>
      </c>
      <c r="O103">
        <v>43969</v>
      </c>
      <c r="P103" t="s">
        <v>74</v>
      </c>
      <c r="Q103" t="s">
        <v>45</v>
      </c>
      <c r="R103" t="s">
        <v>162</v>
      </c>
      <c r="S103" s="1">
        <v>45597</v>
      </c>
      <c r="T103" s="1">
        <v>45792</v>
      </c>
      <c r="U103" t="s">
        <v>47</v>
      </c>
      <c r="V103">
        <v>1</v>
      </c>
      <c r="W103" s="1">
        <v>45757</v>
      </c>
      <c r="X103" t="s">
        <v>48</v>
      </c>
      <c r="Y103" s="2">
        <v>1</v>
      </c>
      <c r="Z103" s="2">
        <v>1</v>
      </c>
      <c r="AB103" s="3">
        <v>1</v>
      </c>
      <c r="AC103" s="2">
        <v>2</v>
      </c>
      <c r="AG103" s="2">
        <v>0</v>
      </c>
      <c r="AH103" s="2">
        <v>2</v>
      </c>
      <c r="AI103" s="2">
        <v>0</v>
      </c>
      <c r="AK103">
        <v>5343900</v>
      </c>
      <c r="AL103" t="s">
        <v>288</v>
      </c>
    </row>
    <row r="104" spans="1:38" x14ac:dyDescent="0.25">
      <c r="A104" s="1">
        <v>45763</v>
      </c>
      <c r="B104" s="1">
        <v>45762</v>
      </c>
      <c r="C104" t="s">
        <v>252</v>
      </c>
      <c r="D104" t="s">
        <v>39</v>
      </c>
      <c r="E104" t="s">
        <v>40</v>
      </c>
      <c r="F104">
        <v>43677</v>
      </c>
      <c r="H104" t="s">
        <v>41</v>
      </c>
      <c r="I104" s="5">
        <v>102051462300</v>
      </c>
      <c r="J104" t="s">
        <v>365</v>
      </c>
      <c r="M104" t="s">
        <v>93</v>
      </c>
      <c r="O104">
        <v>43691</v>
      </c>
      <c r="P104" t="s">
        <v>108</v>
      </c>
      <c r="Q104" t="s">
        <v>45</v>
      </c>
      <c r="R104" t="s">
        <v>162</v>
      </c>
      <c r="S104" s="1">
        <v>45536</v>
      </c>
      <c r="T104" s="1">
        <v>45792</v>
      </c>
      <c r="U104" t="s">
        <v>47</v>
      </c>
      <c r="V104">
        <v>1</v>
      </c>
      <c r="W104" s="1">
        <v>45757</v>
      </c>
      <c r="X104" t="s">
        <v>48</v>
      </c>
      <c r="Y104" s="2">
        <v>1</v>
      </c>
      <c r="Z104" s="2">
        <v>1</v>
      </c>
      <c r="AB104" s="3">
        <v>1</v>
      </c>
      <c r="AC104" s="2">
        <v>2</v>
      </c>
      <c r="AG104" s="2">
        <v>0</v>
      </c>
      <c r="AH104" s="2">
        <v>2</v>
      </c>
      <c r="AI104" s="2">
        <v>0</v>
      </c>
      <c r="AK104">
        <v>5343665</v>
      </c>
      <c r="AL104" t="s">
        <v>288</v>
      </c>
    </row>
    <row r="105" spans="1:38" x14ac:dyDescent="0.25">
      <c r="A105" s="1">
        <v>45763</v>
      </c>
      <c r="B105" s="1">
        <v>45762</v>
      </c>
      <c r="C105" t="s">
        <v>252</v>
      </c>
      <c r="D105" t="s">
        <v>39</v>
      </c>
      <c r="E105" t="s">
        <v>40</v>
      </c>
      <c r="F105">
        <v>43677</v>
      </c>
      <c r="H105" t="s">
        <v>41</v>
      </c>
      <c r="I105" s="5">
        <v>102123717600</v>
      </c>
      <c r="J105" t="s">
        <v>287</v>
      </c>
      <c r="M105" t="s">
        <v>89</v>
      </c>
      <c r="O105">
        <v>45612</v>
      </c>
      <c r="P105" t="s">
        <v>99</v>
      </c>
      <c r="Q105" t="s">
        <v>45</v>
      </c>
      <c r="R105" t="s">
        <v>162</v>
      </c>
      <c r="S105" s="1">
        <v>45627</v>
      </c>
      <c r="T105" s="1">
        <v>45792</v>
      </c>
      <c r="U105" t="s">
        <v>47</v>
      </c>
      <c r="V105">
        <v>1</v>
      </c>
      <c r="W105" s="1">
        <v>45757</v>
      </c>
      <c r="X105" t="s">
        <v>48</v>
      </c>
      <c r="Y105" s="2">
        <v>1</v>
      </c>
      <c r="Z105" s="2">
        <v>1</v>
      </c>
      <c r="AB105" s="3">
        <v>1</v>
      </c>
      <c r="AC105" s="2">
        <v>2</v>
      </c>
      <c r="AG105" s="2">
        <v>0</v>
      </c>
      <c r="AH105" s="2">
        <v>2</v>
      </c>
      <c r="AI105" s="2">
        <v>0</v>
      </c>
      <c r="AK105">
        <v>5344022</v>
      </c>
      <c r="AL105" t="s">
        <v>288</v>
      </c>
    </row>
    <row r="106" spans="1:38" x14ac:dyDescent="0.25">
      <c r="A106" s="1">
        <v>45763</v>
      </c>
      <c r="B106" s="1">
        <v>45762</v>
      </c>
      <c r="C106" t="s">
        <v>252</v>
      </c>
      <c r="D106" t="s">
        <v>39</v>
      </c>
      <c r="E106" t="s">
        <v>40</v>
      </c>
      <c r="F106">
        <v>43677</v>
      </c>
      <c r="H106" t="s">
        <v>41</v>
      </c>
      <c r="I106" s="5">
        <v>102050179700</v>
      </c>
      <c r="J106" t="s">
        <v>370</v>
      </c>
      <c r="M106" t="s">
        <v>369</v>
      </c>
      <c r="O106">
        <v>43682</v>
      </c>
      <c r="P106" t="s">
        <v>118</v>
      </c>
      <c r="Q106" t="s">
        <v>45</v>
      </c>
      <c r="R106" t="s">
        <v>162</v>
      </c>
      <c r="S106" s="1">
        <v>45536</v>
      </c>
      <c r="T106" s="1">
        <v>45792</v>
      </c>
      <c r="U106" t="s">
        <v>47</v>
      </c>
      <c r="V106">
        <v>1</v>
      </c>
      <c r="W106" s="1">
        <v>45757</v>
      </c>
      <c r="X106" t="s">
        <v>48</v>
      </c>
      <c r="Y106" s="2">
        <v>1</v>
      </c>
      <c r="Z106" s="2">
        <v>1</v>
      </c>
      <c r="AB106" s="3">
        <v>1</v>
      </c>
      <c r="AC106" s="2">
        <v>2</v>
      </c>
      <c r="AG106" s="2">
        <v>0</v>
      </c>
      <c r="AH106" s="2">
        <v>2</v>
      </c>
      <c r="AI106" s="2">
        <v>0</v>
      </c>
      <c r="AK106">
        <v>5343632</v>
      </c>
      <c r="AL106" t="s">
        <v>288</v>
      </c>
    </row>
    <row r="107" spans="1:38" x14ac:dyDescent="0.25">
      <c r="A107" s="1">
        <v>45763</v>
      </c>
      <c r="B107" s="1">
        <v>45762</v>
      </c>
      <c r="C107" t="s">
        <v>252</v>
      </c>
      <c r="D107" t="s">
        <v>39</v>
      </c>
      <c r="E107" t="s">
        <v>40</v>
      </c>
      <c r="F107">
        <v>43677</v>
      </c>
      <c r="H107" t="s">
        <v>41</v>
      </c>
      <c r="I107" s="5">
        <v>102056835200</v>
      </c>
      <c r="J107" t="s">
        <v>352</v>
      </c>
      <c r="M107" t="s">
        <v>93</v>
      </c>
      <c r="O107">
        <v>43611</v>
      </c>
      <c r="P107" t="s">
        <v>94</v>
      </c>
      <c r="Q107" t="s">
        <v>45</v>
      </c>
      <c r="R107" t="s">
        <v>162</v>
      </c>
      <c r="S107" s="1">
        <v>45566</v>
      </c>
      <c r="T107" s="1">
        <v>45792</v>
      </c>
      <c r="U107" t="s">
        <v>47</v>
      </c>
      <c r="V107">
        <v>1</v>
      </c>
      <c r="W107" s="1">
        <v>45757</v>
      </c>
      <c r="X107" t="s">
        <v>48</v>
      </c>
      <c r="Y107" s="2">
        <v>1</v>
      </c>
      <c r="Z107" s="2">
        <v>1</v>
      </c>
      <c r="AB107" s="3">
        <v>1</v>
      </c>
      <c r="AC107" s="2">
        <v>2</v>
      </c>
      <c r="AG107" s="2">
        <v>0</v>
      </c>
      <c r="AH107" s="2">
        <v>2</v>
      </c>
      <c r="AI107" s="2">
        <v>0</v>
      </c>
      <c r="AK107">
        <v>5343766</v>
      </c>
      <c r="AL107" t="s">
        <v>288</v>
      </c>
    </row>
    <row r="108" spans="1:38" x14ac:dyDescent="0.25">
      <c r="A108" s="1">
        <v>45763</v>
      </c>
      <c r="B108" s="1">
        <v>45762</v>
      </c>
      <c r="C108" t="s">
        <v>252</v>
      </c>
      <c r="D108" t="s">
        <v>39</v>
      </c>
      <c r="E108" t="s">
        <v>40</v>
      </c>
      <c r="F108">
        <v>43677</v>
      </c>
      <c r="H108" t="s">
        <v>41</v>
      </c>
      <c r="I108" s="5">
        <v>102030823900</v>
      </c>
      <c r="J108" t="s">
        <v>420</v>
      </c>
      <c r="M108" t="s">
        <v>89</v>
      </c>
      <c r="O108">
        <v>43969</v>
      </c>
      <c r="P108" t="s">
        <v>74</v>
      </c>
      <c r="Q108" t="s">
        <v>45</v>
      </c>
      <c r="R108" t="s">
        <v>162</v>
      </c>
      <c r="S108" s="1">
        <v>45505</v>
      </c>
      <c r="T108" s="1">
        <v>45792</v>
      </c>
      <c r="U108" t="s">
        <v>47</v>
      </c>
      <c r="V108">
        <v>1</v>
      </c>
      <c r="W108" s="1">
        <v>45757</v>
      </c>
      <c r="X108" t="s">
        <v>48</v>
      </c>
      <c r="Y108" s="2">
        <v>1</v>
      </c>
      <c r="Z108" s="2">
        <v>1</v>
      </c>
      <c r="AB108" s="3">
        <v>1</v>
      </c>
      <c r="AC108" s="2">
        <v>2</v>
      </c>
      <c r="AG108" s="2">
        <v>0</v>
      </c>
      <c r="AH108" s="2">
        <v>2</v>
      </c>
      <c r="AI108" s="2">
        <v>0</v>
      </c>
      <c r="AK108">
        <v>5343319</v>
      </c>
      <c r="AL108" t="s">
        <v>288</v>
      </c>
    </row>
    <row r="109" spans="1:38" x14ac:dyDescent="0.25">
      <c r="A109" s="1">
        <v>45763</v>
      </c>
      <c r="B109" s="1">
        <v>45762</v>
      </c>
      <c r="C109" t="s">
        <v>252</v>
      </c>
      <c r="D109" t="s">
        <v>39</v>
      </c>
      <c r="E109" t="s">
        <v>40</v>
      </c>
      <c r="F109">
        <v>43677</v>
      </c>
      <c r="H109" t="s">
        <v>41</v>
      </c>
      <c r="I109" s="5">
        <v>102053241100</v>
      </c>
      <c r="J109" t="s">
        <v>360</v>
      </c>
      <c r="M109" t="s">
        <v>89</v>
      </c>
      <c r="O109">
        <v>45612</v>
      </c>
      <c r="P109" t="s">
        <v>99</v>
      </c>
      <c r="Q109" t="s">
        <v>45</v>
      </c>
      <c r="R109" t="s">
        <v>162</v>
      </c>
      <c r="S109" s="1">
        <v>45536</v>
      </c>
      <c r="T109" s="1">
        <v>45792</v>
      </c>
      <c r="U109" t="s">
        <v>47</v>
      </c>
      <c r="V109">
        <v>1</v>
      </c>
      <c r="W109" s="1">
        <v>45757</v>
      </c>
      <c r="X109" t="s">
        <v>48</v>
      </c>
      <c r="Y109" s="2">
        <v>1</v>
      </c>
      <c r="Z109" s="2">
        <v>1</v>
      </c>
      <c r="AB109" s="3">
        <v>1</v>
      </c>
      <c r="AC109" s="2">
        <v>2</v>
      </c>
      <c r="AG109" s="2">
        <v>0</v>
      </c>
      <c r="AH109" s="2">
        <v>2</v>
      </c>
      <c r="AI109" s="2">
        <v>0</v>
      </c>
      <c r="AK109">
        <v>5343700</v>
      </c>
      <c r="AL109" t="s">
        <v>288</v>
      </c>
    </row>
    <row r="110" spans="1:38" x14ac:dyDescent="0.25">
      <c r="A110" s="1">
        <v>45763</v>
      </c>
      <c r="B110" s="1">
        <v>45762</v>
      </c>
      <c r="C110" t="s">
        <v>252</v>
      </c>
      <c r="D110" t="s">
        <v>39</v>
      </c>
      <c r="E110" t="s">
        <v>40</v>
      </c>
      <c r="F110">
        <v>43677</v>
      </c>
      <c r="H110" t="s">
        <v>41</v>
      </c>
      <c r="I110" s="5">
        <v>102037642800</v>
      </c>
      <c r="J110" t="s">
        <v>400</v>
      </c>
      <c r="M110" t="s">
        <v>93</v>
      </c>
      <c r="O110">
        <v>43679</v>
      </c>
      <c r="P110" t="s">
        <v>191</v>
      </c>
      <c r="Q110" t="s">
        <v>45</v>
      </c>
      <c r="R110" t="s">
        <v>162</v>
      </c>
      <c r="S110" s="1">
        <v>45505</v>
      </c>
      <c r="T110" s="1">
        <v>45792</v>
      </c>
      <c r="U110" t="s">
        <v>47</v>
      </c>
      <c r="V110">
        <v>1</v>
      </c>
      <c r="W110" s="1">
        <v>45757</v>
      </c>
      <c r="X110" t="s">
        <v>48</v>
      </c>
      <c r="Y110" s="2">
        <v>1</v>
      </c>
      <c r="Z110" s="2">
        <v>1</v>
      </c>
      <c r="AB110" s="3">
        <v>1</v>
      </c>
      <c r="AC110" s="2">
        <v>2</v>
      </c>
      <c r="AG110" s="2">
        <v>0</v>
      </c>
      <c r="AH110" s="2">
        <v>2</v>
      </c>
      <c r="AI110" s="2">
        <v>0</v>
      </c>
      <c r="AK110">
        <v>5343451</v>
      </c>
      <c r="AL110" t="s">
        <v>288</v>
      </c>
    </row>
    <row r="111" spans="1:38" x14ac:dyDescent="0.25">
      <c r="A111" s="1">
        <v>45763</v>
      </c>
      <c r="B111" s="1">
        <v>45762</v>
      </c>
      <c r="C111" t="s">
        <v>252</v>
      </c>
      <c r="D111" t="s">
        <v>39</v>
      </c>
      <c r="E111" t="s">
        <v>40</v>
      </c>
      <c r="F111">
        <v>43677</v>
      </c>
      <c r="H111" t="s">
        <v>41</v>
      </c>
      <c r="I111" s="5">
        <v>102035359600</v>
      </c>
      <c r="J111" t="s">
        <v>412</v>
      </c>
      <c r="M111" t="s">
        <v>89</v>
      </c>
      <c r="O111">
        <v>43969</v>
      </c>
      <c r="P111" t="s">
        <v>74</v>
      </c>
      <c r="Q111" t="s">
        <v>45</v>
      </c>
      <c r="R111" t="s">
        <v>162</v>
      </c>
      <c r="S111" s="1">
        <v>45505</v>
      </c>
      <c r="T111" s="1">
        <v>45792</v>
      </c>
      <c r="U111" t="s">
        <v>47</v>
      </c>
      <c r="V111">
        <v>1</v>
      </c>
      <c r="W111" s="1">
        <v>45757</v>
      </c>
      <c r="X111" t="s">
        <v>48</v>
      </c>
      <c r="Y111" s="2">
        <v>1</v>
      </c>
      <c r="Z111" s="2">
        <v>1</v>
      </c>
      <c r="AB111" s="3">
        <v>1</v>
      </c>
      <c r="AC111" s="2">
        <v>2</v>
      </c>
      <c r="AG111" s="2">
        <v>0</v>
      </c>
      <c r="AH111" s="2">
        <v>2</v>
      </c>
      <c r="AI111" s="2">
        <v>0</v>
      </c>
      <c r="AK111">
        <v>5343401</v>
      </c>
      <c r="AL111" t="s">
        <v>288</v>
      </c>
    </row>
    <row r="112" spans="1:38" x14ac:dyDescent="0.25">
      <c r="A112" s="1">
        <v>45763</v>
      </c>
      <c r="B112" s="1">
        <v>45762</v>
      </c>
      <c r="C112" t="s">
        <v>252</v>
      </c>
      <c r="D112" t="s">
        <v>39</v>
      </c>
      <c r="E112" t="s">
        <v>40</v>
      </c>
      <c r="F112">
        <v>43677</v>
      </c>
      <c r="H112" t="s">
        <v>41</v>
      </c>
      <c r="I112" s="5">
        <v>102069037500</v>
      </c>
      <c r="J112" t="s">
        <v>317</v>
      </c>
      <c r="M112" t="s">
        <v>93</v>
      </c>
      <c r="O112">
        <v>43679</v>
      </c>
      <c r="P112" t="s">
        <v>191</v>
      </c>
      <c r="Q112" t="s">
        <v>45</v>
      </c>
      <c r="R112" t="s">
        <v>162</v>
      </c>
      <c r="S112" s="1">
        <v>45627</v>
      </c>
      <c r="T112" s="1">
        <v>45792</v>
      </c>
      <c r="U112" t="s">
        <v>47</v>
      </c>
      <c r="V112">
        <v>1</v>
      </c>
      <c r="W112" s="1">
        <v>45757</v>
      </c>
      <c r="X112" t="s">
        <v>48</v>
      </c>
      <c r="Y112" s="2">
        <v>1</v>
      </c>
      <c r="Z112" s="2">
        <v>1</v>
      </c>
      <c r="AB112" s="3">
        <v>1</v>
      </c>
      <c r="AC112" s="2">
        <v>2</v>
      </c>
      <c r="AG112" s="2">
        <v>0</v>
      </c>
      <c r="AH112" s="2">
        <v>2</v>
      </c>
      <c r="AI112" s="2">
        <v>0</v>
      </c>
      <c r="AK112">
        <v>5343917</v>
      </c>
      <c r="AL112" t="s">
        <v>288</v>
      </c>
    </row>
    <row r="113" spans="1:38" x14ac:dyDescent="0.25">
      <c r="A113" s="1">
        <v>45763</v>
      </c>
      <c r="B113" s="1">
        <v>45762</v>
      </c>
      <c r="C113" t="s">
        <v>252</v>
      </c>
      <c r="D113" t="s">
        <v>39</v>
      </c>
      <c r="E113" t="s">
        <v>40</v>
      </c>
      <c r="F113">
        <v>43677</v>
      </c>
      <c r="H113" t="s">
        <v>41</v>
      </c>
      <c r="I113" s="5">
        <v>102058154400</v>
      </c>
      <c r="J113" t="s">
        <v>350</v>
      </c>
      <c r="M113" t="s">
        <v>89</v>
      </c>
      <c r="O113">
        <v>43637</v>
      </c>
      <c r="P113" t="s">
        <v>72</v>
      </c>
      <c r="Q113" t="s">
        <v>45</v>
      </c>
      <c r="R113" t="s">
        <v>162</v>
      </c>
      <c r="S113" s="1">
        <v>45597</v>
      </c>
      <c r="T113" s="1">
        <v>45792</v>
      </c>
      <c r="U113" t="s">
        <v>47</v>
      </c>
      <c r="V113">
        <v>1</v>
      </c>
      <c r="W113" s="1">
        <v>45757</v>
      </c>
      <c r="X113" t="s">
        <v>48</v>
      </c>
      <c r="Y113" s="2">
        <v>1</v>
      </c>
      <c r="Z113" s="2">
        <v>1</v>
      </c>
      <c r="AB113" s="3">
        <v>1</v>
      </c>
      <c r="AC113" s="2">
        <v>2</v>
      </c>
      <c r="AG113" s="2">
        <v>0</v>
      </c>
      <c r="AH113" s="2">
        <v>2</v>
      </c>
      <c r="AI113" s="2">
        <v>0</v>
      </c>
      <c r="AK113">
        <v>5343788</v>
      </c>
      <c r="AL113" t="s">
        <v>288</v>
      </c>
    </row>
    <row r="114" spans="1:38" x14ac:dyDescent="0.25">
      <c r="A114" s="1">
        <v>45763</v>
      </c>
      <c r="B114" s="1">
        <v>45762</v>
      </c>
      <c r="C114" t="s">
        <v>252</v>
      </c>
      <c r="D114" t="s">
        <v>39</v>
      </c>
      <c r="E114" t="s">
        <v>40</v>
      </c>
      <c r="F114">
        <v>43677</v>
      </c>
      <c r="H114" t="s">
        <v>41</v>
      </c>
      <c r="I114" s="5">
        <v>102030348000</v>
      </c>
      <c r="J114" t="s">
        <v>422</v>
      </c>
      <c r="M114" t="s">
        <v>93</v>
      </c>
      <c r="O114">
        <v>43611</v>
      </c>
      <c r="P114" t="s">
        <v>94</v>
      </c>
      <c r="Q114" t="s">
        <v>45</v>
      </c>
      <c r="R114" t="s">
        <v>162</v>
      </c>
      <c r="S114" s="1">
        <v>45505</v>
      </c>
      <c r="T114" s="1">
        <v>45792</v>
      </c>
      <c r="U114" t="s">
        <v>47</v>
      </c>
      <c r="V114">
        <v>1</v>
      </c>
      <c r="W114" s="1">
        <v>45757</v>
      </c>
      <c r="X114" t="s">
        <v>48</v>
      </c>
      <c r="Y114" s="2">
        <v>1</v>
      </c>
      <c r="Z114" s="2">
        <v>1</v>
      </c>
      <c r="AB114" s="3">
        <v>1</v>
      </c>
      <c r="AC114" s="2">
        <v>2</v>
      </c>
      <c r="AG114" s="2">
        <v>0</v>
      </c>
      <c r="AH114" s="2">
        <v>2</v>
      </c>
      <c r="AI114" s="2">
        <v>0</v>
      </c>
      <c r="AK114">
        <v>5343311</v>
      </c>
      <c r="AL114" t="s">
        <v>288</v>
      </c>
    </row>
    <row r="115" spans="1:38" x14ac:dyDescent="0.25">
      <c r="A115" s="1">
        <v>45763</v>
      </c>
      <c r="B115" s="1">
        <v>45762</v>
      </c>
      <c r="C115" t="s">
        <v>252</v>
      </c>
      <c r="D115" t="s">
        <v>39</v>
      </c>
      <c r="E115" t="s">
        <v>40</v>
      </c>
      <c r="F115">
        <v>43677</v>
      </c>
      <c r="H115" t="s">
        <v>41</v>
      </c>
      <c r="I115" s="5">
        <v>102061850500</v>
      </c>
      <c r="J115" t="s">
        <v>337</v>
      </c>
      <c r="M115" t="s">
        <v>89</v>
      </c>
      <c r="O115">
        <v>43637</v>
      </c>
      <c r="P115" t="s">
        <v>72</v>
      </c>
      <c r="Q115" t="s">
        <v>45</v>
      </c>
      <c r="R115" t="s">
        <v>162</v>
      </c>
      <c r="S115" s="1">
        <v>45566</v>
      </c>
      <c r="T115" s="1">
        <v>45792</v>
      </c>
      <c r="U115" t="s">
        <v>47</v>
      </c>
      <c r="V115">
        <v>1</v>
      </c>
      <c r="W115" s="1">
        <v>45757</v>
      </c>
      <c r="X115" t="s">
        <v>48</v>
      </c>
      <c r="Y115" s="2">
        <v>1</v>
      </c>
      <c r="Z115" s="2">
        <v>1</v>
      </c>
      <c r="AB115" s="3">
        <v>1</v>
      </c>
      <c r="AC115" s="2">
        <v>2</v>
      </c>
      <c r="AG115" s="2">
        <v>0</v>
      </c>
      <c r="AH115" s="2">
        <v>2</v>
      </c>
      <c r="AI115" s="2">
        <v>0</v>
      </c>
      <c r="AK115">
        <v>5343842</v>
      </c>
      <c r="AL115" t="s">
        <v>288</v>
      </c>
    </row>
    <row r="116" spans="1:38" x14ac:dyDescent="0.25">
      <c r="A116" s="1">
        <v>45763</v>
      </c>
      <c r="B116" s="1">
        <v>45762</v>
      </c>
      <c r="C116" t="s">
        <v>252</v>
      </c>
      <c r="D116" t="s">
        <v>39</v>
      </c>
      <c r="E116" t="s">
        <v>40</v>
      </c>
      <c r="F116">
        <v>43677</v>
      </c>
      <c r="H116" t="s">
        <v>41</v>
      </c>
      <c r="I116" s="5">
        <v>102044679100</v>
      </c>
      <c r="J116" t="s">
        <v>389</v>
      </c>
      <c r="M116" t="s">
        <v>93</v>
      </c>
      <c r="O116">
        <v>43691</v>
      </c>
      <c r="P116" t="s">
        <v>108</v>
      </c>
      <c r="Q116" t="s">
        <v>45</v>
      </c>
      <c r="R116" t="s">
        <v>162</v>
      </c>
      <c r="S116" s="1">
        <v>45566</v>
      </c>
      <c r="T116" s="1">
        <v>45792</v>
      </c>
      <c r="U116" t="s">
        <v>47</v>
      </c>
      <c r="V116">
        <v>1</v>
      </c>
      <c r="W116" s="1">
        <v>45757</v>
      </c>
      <c r="X116" t="s">
        <v>48</v>
      </c>
      <c r="Y116" s="2">
        <v>1</v>
      </c>
      <c r="Z116" s="2">
        <v>1</v>
      </c>
      <c r="AB116" s="3">
        <v>1</v>
      </c>
      <c r="AC116" s="2">
        <v>2</v>
      </c>
      <c r="AG116" s="2">
        <v>0</v>
      </c>
      <c r="AH116" s="2">
        <v>2</v>
      </c>
      <c r="AI116" s="2">
        <v>0</v>
      </c>
      <c r="AK116">
        <v>5343543</v>
      </c>
      <c r="AL116" t="s">
        <v>288</v>
      </c>
    </row>
    <row r="117" spans="1:38" x14ac:dyDescent="0.25">
      <c r="A117" s="1">
        <v>45763</v>
      </c>
      <c r="B117" s="1">
        <v>45762</v>
      </c>
      <c r="C117" t="s">
        <v>252</v>
      </c>
      <c r="D117" t="s">
        <v>39</v>
      </c>
      <c r="E117" t="s">
        <v>40</v>
      </c>
      <c r="F117">
        <v>43677</v>
      </c>
      <c r="H117" t="s">
        <v>41</v>
      </c>
      <c r="I117" s="5">
        <v>102025592500</v>
      </c>
      <c r="J117" t="s">
        <v>429</v>
      </c>
      <c r="M117" t="s">
        <v>128</v>
      </c>
      <c r="O117">
        <v>43682</v>
      </c>
      <c r="P117" t="s">
        <v>118</v>
      </c>
      <c r="Q117" t="s">
        <v>45</v>
      </c>
      <c r="R117" t="s">
        <v>162</v>
      </c>
      <c r="S117" s="1">
        <v>45505</v>
      </c>
      <c r="T117" s="1">
        <v>45792</v>
      </c>
      <c r="U117" t="s">
        <v>47</v>
      </c>
      <c r="V117">
        <v>1</v>
      </c>
      <c r="W117" s="1">
        <v>45757</v>
      </c>
      <c r="X117" t="s">
        <v>48</v>
      </c>
      <c r="Y117" s="2">
        <v>1</v>
      </c>
      <c r="Z117" s="2">
        <v>1</v>
      </c>
      <c r="AB117" s="3">
        <v>1</v>
      </c>
      <c r="AC117" s="2">
        <v>2</v>
      </c>
      <c r="AG117" s="2">
        <v>0</v>
      </c>
      <c r="AH117" s="2">
        <v>2</v>
      </c>
      <c r="AI117" s="2">
        <v>0</v>
      </c>
      <c r="AK117">
        <v>5343250</v>
      </c>
      <c r="AL117" t="s">
        <v>288</v>
      </c>
    </row>
    <row r="118" spans="1:38" x14ac:dyDescent="0.25">
      <c r="A118" s="1">
        <v>45763</v>
      </c>
      <c r="B118" s="1">
        <v>45762</v>
      </c>
      <c r="C118" t="s">
        <v>252</v>
      </c>
      <c r="D118" t="s">
        <v>39</v>
      </c>
      <c r="E118" t="s">
        <v>40</v>
      </c>
      <c r="F118">
        <v>43677</v>
      </c>
      <c r="H118" t="s">
        <v>41</v>
      </c>
      <c r="I118" s="5">
        <v>102046287500</v>
      </c>
      <c r="J118" t="s">
        <v>385</v>
      </c>
      <c r="M118" t="s">
        <v>93</v>
      </c>
      <c r="O118">
        <v>43611</v>
      </c>
      <c r="P118" t="s">
        <v>94</v>
      </c>
      <c r="Q118" t="s">
        <v>45</v>
      </c>
      <c r="R118" t="s">
        <v>162</v>
      </c>
      <c r="S118" s="1">
        <v>45536</v>
      </c>
      <c r="T118" s="1">
        <v>45792</v>
      </c>
      <c r="U118" t="s">
        <v>47</v>
      </c>
      <c r="V118">
        <v>1</v>
      </c>
      <c r="W118" s="1">
        <v>45757</v>
      </c>
      <c r="X118" t="s">
        <v>48</v>
      </c>
      <c r="Y118" s="2">
        <v>1</v>
      </c>
      <c r="Z118" s="2">
        <v>1</v>
      </c>
      <c r="AB118" s="3">
        <v>1</v>
      </c>
      <c r="AC118" s="2">
        <v>2</v>
      </c>
      <c r="AG118" s="2">
        <v>0</v>
      </c>
      <c r="AH118" s="2">
        <v>2</v>
      </c>
      <c r="AI118" s="2">
        <v>0</v>
      </c>
      <c r="AK118">
        <v>5343562</v>
      </c>
      <c r="AL118" t="s">
        <v>288</v>
      </c>
    </row>
    <row r="119" spans="1:38" x14ac:dyDescent="0.25">
      <c r="A119" s="1">
        <v>45763</v>
      </c>
      <c r="B119" s="1">
        <v>45762</v>
      </c>
      <c r="C119" t="s">
        <v>252</v>
      </c>
      <c r="D119" t="s">
        <v>39</v>
      </c>
      <c r="E119" t="s">
        <v>40</v>
      </c>
      <c r="F119">
        <v>43677</v>
      </c>
      <c r="H119" t="s">
        <v>41</v>
      </c>
      <c r="I119" s="5">
        <v>102009524100</v>
      </c>
      <c r="J119" t="s">
        <v>455</v>
      </c>
      <c r="M119" t="s">
        <v>93</v>
      </c>
      <c r="O119">
        <v>43611</v>
      </c>
      <c r="P119" t="s">
        <v>94</v>
      </c>
      <c r="Q119" t="s">
        <v>45</v>
      </c>
      <c r="R119" t="s">
        <v>162</v>
      </c>
      <c r="S119" s="1">
        <v>45444</v>
      </c>
      <c r="T119" s="1">
        <v>45792</v>
      </c>
      <c r="U119" t="s">
        <v>47</v>
      </c>
      <c r="V119">
        <v>1</v>
      </c>
      <c r="W119" s="1">
        <v>45757</v>
      </c>
      <c r="X119" t="s">
        <v>48</v>
      </c>
      <c r="Y119" s="2">
        <v>1</v>
      </c>
      <c r="Z119" s="2">
        <v>1</v>
      </c>
      <c r="AB119" s="3">
        <v>1</v>
      </c>
      <c r="AC119" s="2">
        <v>2</v>
      </c>
      <c r="AG119" s="2">
        <v>0</v>
      </c>
      <c r="AH119" s="2">
        <v>2</v>
      </c>
      <c r="AI119" s="2">
        <v>0</v>
      </c>
      <c r="AK119">
        <v>5343037</v>
      </c>
      <c r="AL119" t="s">
        <v>288</v>
      </c>
    </row>
    <row r="120" spans="1:38" x14ac:dyDescent="0.25">
      <c r="A120" s="1">
        <v>45763</v>
      </c>
      <c r="B120" s="1">
        <v>45762</v>
      </c>
      <c r="C120" t="s">
        <v>252</v>
      </c>
      <c r="D120" t="s">
        <v>39</v>
      </c>
      <c r="E120" t="s">
        <v>40</v>
      </c>
      <c r="F120">
        <v>43677</v>
      </c>
      <c r="H120" t="s">
        <v>41</v>
      </c>
      <c r="I120" s="5">
        <v>102069330900</v>
      </c>
      <c r="J120" t="s">
        <v>316</v>
      </c>
      <c r="M120" t="s">
        <v>315</v>
      </c>
      <c r="O120">
        <v>43682</v>
      </c>
      <c r="P120" t="s">
        <v>118</v>
      </c>
      <c r="Q120" t="s">
        <v>45</v>
      </c>
      <c r="R120" t="s">
        <v>162</v>
      </c>
      <c r="S120" s="1">
        <v>45597</v>
      </c>
      <c r="T120" s="1">
        <v>45792</v>
      </c>
      <c r="U120" t="s">
        <v>47</v>
      </c>
      <c r="V120">
        <v>1</v>
      </c>
      <c r="W120" s="1">
        <v>45757</v>
      </c>
      <c r="X120" t="s">
        <v>48</v>
      </c>
      <c r="Y120" s="2">
        <v>1</v>
      </c>
      <c r="Z120" s="2">
        <v>1</v>
      </c>
      <c r="AB120" s="3">
        <v>1</v>
      </c>
      <c r="AC120" s="2">
        <v>2</v>
      </c>
      <c r="AG120" s="2">
        <v>0</v>
      </c>
      <c r="AH120" s="2">
        <v>2</v>
      </c>
      <c r="AI120" s="2">
        <v>0</v>
      </c>
      <c r="AK120">
        <v>5343918</v>
      </c>
      <c r="AL120" t="s">
        <v>288</v>
      </c>
    </row>
    <row r="121" spans="1:38" x14ac:dyDescent="0.25">
      <c r="A121" s="1">
        <v>45763</v>
      </c>
      <c r="B121" s="1">
        <v>45762</v>
      </c>
      <c r="C121" t="s">
        <v>252</v>
      </c>
      <c r="D121" t="s">
        <v>39</v>
      </c>
      <c r="E121" t="s">
        <v>40</v>
      </c>
      <c r="F121">
        <v>43677</v>
      </c>
      <c r="H121" t="s">
        <v>41</v>
      </c>
      <c r="I121" s="5">
        <v>102084927600</v>
      </c>
      <c r="J121" t="s">
        <v>302</v>
      </c>
      <c r="M121" t="s">
        <v>89</v>
      </c>
      <c r="O121">
        <v>45621</v>
      </c>
      <c r="P121" t="s">
        <v>177</v>
      </c>
      <c r="Q121" t="s">
        <v>45</v>
      </c>
      <c r="R121" t="s">
        <v>162</v>
      </c>
      <c r="S121" s="1">
        <v>45627</v>
      </c>
      <c r="T121" s="1">
        <v>45792</v>
      </c>
      <c r="U121" t="s">
        <v>47</v>
      </c>
      <c r="V121">
        <v>1</v>
      </c>
      <c r="W121" s="1">
        <v>45757</v>
      </c>
      <c r="X121" t="s">
        <v>48</v>
      </c>
      <c r="Y121" s="2">
        <v>1</v>
      </c>
      <c r="Z121" s="2">
        <v>1</v>
      </c>
      <c r="AB121" s="3">
        <v>1</v>
      </c>
      <c r="AC121" s="2">
        <v>2</v>
      </c>
      <c r="AG121" s="2">
        <v>0</v>
      </c>
      <c r="AH121" s="2">
        <v>2</v>
      </c>
      <c r="AI121" s="2">
        <v>0</v>
      </c>
      <c r="AK121">
        <v>5343965</v>
      </c>
      <c r="AL121" t="s">
        <v>288</v>
      </c>
    </row>
    <row r="122" spans="1:38" x14ac:dyDescent="0.25">
      <c r="A122" s="1">
        <v>45763</v>
      </c>
      <c r="B122" s="1">
        <v>45762</v>
      </c>
      <c r="C122" t="s">
        <v>252</v>
      </c>
      <c r="D122" t="s">
        <v>39</v>
      </c>
      <c r="E122" t="s">
        <v>40</v>
      </c>
      <c r="F122">
        <v>43677</v>
      </c>
      <c r="H122" t="s">
        <v>41</v>
      </c>
      <c r="I122" s="5">
        <v>102049245100</v>
      </c>
      <c r="J122" t="s">
        <v>380</v>
      </c>
      <c r="M122" t="s">
        <v>265</v>
      </c>
      <c r="O122">
        <v>43682</v>
      </c>
      <c r="P122" t="s">
        <v>118</v>
      </c>
      <c r="Q122" t="s">
        <v>45</v>
      </c>
      <c r="R122" t="s">
        <v>162</v>
      </c>
      <c r="S122" s="1">
        <v>45597</v>
      </c>
      <c r="T122" s="1">
        <v>45792</v>
      </c>
      <c r="U122" t="s">
        <v>47</v>
      </c>
      <c r="V122">
        <v>1</v>
      </c>
      <c r="W122" s="1">
        <v>45757</v>
      </c>
      <c r="X122" t="s">
        <v>48</v>
      </c>
      <c r="Y122" s="2">
        <v>1</v>
      </c>
      <c r="Z122" s="2">
        <v>1</v>
      </c>
      <c r="AB122" s="3">
        <v>1</v>
      </c>
      <c r="AC122" s="2">
        <v>2</v>
      </c>
      <c r="AG122" s="2">
        <v>0</v>
      </c>
      <c r="AH122" s="2">
        <v>2</v>
      </c>
      <c r="AI122" s="2">
        <v>0</v>
      </c>
      <c r="AK122">
        <v>5343613</v>
      </c>
      <c r="AL122" t="s">
        <v>288</v>
      </c>
    </row>
    <row r="123" spans="1:38" x14ac:dyDescent="0.25">
      <c r="A123" s="1">
        <v>45763</v>
      </c>
      <c r="B123" s="1">
        <v>45762</v>
      </c>
      <c r="C123" t="s">
        <v>252</v>
      </c>
      <c r="D123" t="s">
        <v>39</v>
      </c>
      <c r="E123" t="s">
        <v>40</v>
      </c>
      <c r="F123">
        <v>43677</v>
      </c>
      <c r="H123" t="s">
        <v>41</v>
      </c>
      <c r="I123" s="5">
        <v>102035806200</v>
      </c>
      <c r="J123" t="s">
        <v>411</v>
      </c>
      <c r="M123" t="s">
        <v>315</v>
      </c>
      <c r="O123">
        <v>43678</v>
      </c>
      <c r="P123" t="s">
        <v>295</v>
      </c>
      <c r="Q123" t="s">
        <v>45</v>
      </c>
      <c r="R123" t="s">
        <v>162</v>
      </c>
      <c r="S123" s="1">
        <v>45566</v>
      </c>
      <c r="T123" s="1">
        <v>45792</v>
      </c>
      <c r="U123" t="s">
        <v>47</v>
      </c>
      <c r="V123">
        <v>1</v>
      </c>
      <c r="W123" s="1">
        <v>45757</v>
      </c>
      <c r="X123" t="s">
        <v>48</v>
      </c>
      <c r="Y123" s="2">
        <v>1</v>
      </c>
      <c r="Z123" s="2">
        <v>1</v>
      </c>
      <c r="AB123" s="3">
        <v>1</v>
      </c>
      <c r="AC123" s="2">
        <v>2</v>
      </c>
      <c r="AG123" s="2">
        <v>0</v>
      </c>
      <c r="AH123" s="2">
        <v>2</v>
      </c>
      <c r="AI123" s="2">
        <v>0</v>
      </c>
      <c r="AK123">
        <v>5343410</v>
      </c>
      <c r="AL123" t="s">
        <v>288</v>
      </c>
    </row>
    <row r="124" spans="1:38" x14ac:dyDescent="0.25">
      <c r="A124" s="1">
        <v>45763</v>
      </c>
      <c r="B124" s="1">
        <v>45762</v>
      </c>
      <c r="C124" t="s">
        <v>252</v>
      </c>
      <c r="D124" t="s">
        <v>39</v>
      </c>
      <c r="E124" t="s">
        <v>40</v>
      </c>
      <c r="F124">
        <v>43677</v>
      </c>
      <c r="H124" t="s">
        <v>41</v>
      </c>
      <c r="I124" s="5">
        <v>101060073300</v>
      </c>
      <c r="J124" t="s">
        <v>472</v>
      </c>
      <c r="M124" t="s">
        <v>93</v>
      </c>
      <c r="O124">
        <v>43611</v>
      </c>
      <c r="P124" t="s">
        <v>94</v>
      </c>
      <c r="Q124" t="s">
        <v>45</v>
      </c>
      <c r="R124" t="s">
        <v>162</v>
      </c>
      <c r="S124" s="1">
        <v>43678</v>
      </c>
      <c r="T124" s="1">
        <v>45792</v>
      </c>
      <c r="U124" t="s">
        <v>47</v>
      </c>
      <c r="V124">
        <v>1</v>
      </c>
      <c r="W124" s="1">
        <v>45757</v>
      </c>
      <c r="X124" t="s">
        <v>48</v>
      </c>
      <c r="Y124" s="2">
        <v>1</v>
      </c>
      <c r="Z124" s="2">
        <v>1</v>
      </c>
      <c r="AB124" s="3">
        <v>1</v>
      </c>
      <c r="AC124" s="2">
        <v>2</v>
      </c>
      <c r="AG124" s="2">
        <v>0</v>
      </c>
      <c r="AH124" s="2">
        <v>2</v>
      </c>
      <c r="AI124" s="2">
        <v>0</v>
      </c>
      <c r="AK124">
        <v>5337037</v>
      </c>
      <c r="AL124" t="s">
        <v>288</v>
      </c>
    </row>
    <row r="125" spans="1:38" x14ac:dyDescent="0.25">
      <c r="A125" s="1">
        <v>45763</v>
      </c>
      <c r="B125" s="1">
        <v>45762</v>
      </c>
      <c r="C125" t="s">
        <v>252</v>
      </c>
      <c r="D125" t="s">
        <v>39</v>
      </c>
      <c r="E125" t="s">
        <v>40</v>
      </c>
      <c r="F125">
        <v>43677</v>
      </c>
      <c r="H125" t="s">
        <v>41</v>
      </c>
      <c r="I125" s="5">
        <v>102066699300</v>
      </c>
      <c r="J125" t="s">
        <v>320</v>
      </c>
      <c r="O125">
        <v>43682</v>
      </c>
      <c r="P125" t="s">
        <v>118</v>
      </c>
      <c r="Q125" t="s">
        <v>45</v>
      </c>
      <c r="R125" t="s">
        <v>162</v>
      </c>
      <c r="S125" s="1">
        <v>45597</v>
      </c>
      <c r="T125" s="1">
        <v>45792</v>
      </c>
      <c r="U125" t="s">
        <v>47</v>
      </c>
      <c r="V125">
        <v>1</v>
      </c>
      <c r="W125" s="1">
        <v>45757</v>
      </c>
      <c r="X125" t="s">
        <v>48</v>
      </c>
      <c r="Y125" s="2">
        <v>1</v>
      </c>
      <c r="Z125" s="2">
        <v>1</v>
      </c>
      <c r="AB125" s="3">
        <v>1</v>
      </c>
      <c r="AC125" s="2">
        <v>2</v>
      </c>
      <c r="AG125" s="2">
        <v>0</v>
      </c>
      <c r="AH125" s="2">
        <v>2</v>
      </c>
      <c r="AI125" s="2">
        <v>0</v>
      </c>
      <c r="AK125">
        <v>5343906</v>
      </c>
      <c r="AL125" t="s">
        <v>288</v>
      </c>
    </row>
    <row r="126" spans="1:38" x14ac:dyDescent="0.25">
      <c r="A126" s="1">
        <v>45763</v>
      </c>
      <c r="B126" s="1">
        <v>45762</v>
      </c>
      <c r="C126" t="s">
        <v>252</v>
      </c>
      <c r="D126" t="s">
        <v>39</v>
      </c>
      <c r="E126" t="s">
        <v>40</v>
      </c>
      <c r="F126">
        <v>43677</v>
      </c>
      <c r="H126" t="s">
        <v>41</v>
      </c>
      <c r="I126" s="5">
        <v>102065623700</v>
      </c>
      <c r="J126" t="s">
        <v>326</v>
      </c>
      <c r="M126" t="s">
        <v>93</v>
      </c>
      <c r="O126">
        <v>43679</v>
      </c>
      <c r="P126" t="s">
        <v>191</v>
      </c>
      <c r="Q126" t="s">
        <v>45</v>
      </c>
      <c r="R126" t="s">
        <v>162</v>
      </c>
      <c r="S126" s="1">
        <v>45597</v>
      </c>
      <c r="T126" s="1">
        <v>45792</v>
      </c>
      <c r="U126" t="s">
        <v>47</v>
      </c>
      <c r="V126">
        <v>1</v>
      </c>
      <c r="W126" s="1">
        <v>45757</v>
      </c>
      <c r="X126" t="s">
        <v>48</v>
      </c>
      <c r="Y126" s="2">
        <v>1</v>
      </c>
      <c r="Z126" s="2">
        <v>1</v>
      </c>
      <c r="AB126" s="3">
        <v>1</v>
      </c>
      <c r="AC126" s="2">
        <v>2</v>
      </c>
      <c r="AG126" s="2">
        <v>0</v>
      </c>
      <c r="AH126" s="2">
        <v>2</v>
      </c>
      <c r="AI126" s="2">
        <v>0</v>
      </c>
      <c r="AK126">
        <v>5343893</v>
      </c>
      <c r="AL126" t="s">
        <v>288</v>
      </c>
    </row>
    <row r="127" spans="1:38" x14ac:dyDescent="0.25">
      <c r="A127" s="1">
        <v>45763</v>
      </c>
      <c r="B127" s="1">
        <v>45762</v>
      </c>
      <c r="C127" t="s">
        <v>252</v>
      </c>
      <c r="D127" t="s">
        <v>39</v>
      </c>
      <c r="E127" t="s">
        <v>40</v>
      </c>
      <c r="F127">
        <v>43677</v>
      </c>
      <c r="H127" t="s">
        <v>41</v>
      </c>
      <c r="I127" s="5">
        <v>102079442100</v>
      </c>
      <c r="J127" t="s">
        <v>306</v>
      </c>
      <c r="M127" t="s">
        <v>265</v>
      </c>
      <c r="O127">
        <v>43682</v>
      </c>
      <c r="P127" t="s">
        <v>118</v>
      </c>
      <c r="Q127" t="s">
        <v>45</v>
      </c>
      <c r="R127" t="s">
        <v>162</v>
      </c>
      <c r="S127" s="1">
        <v>45597</v>
      </c>
      <c r="T127" s="1">
        <v>45792</v>
      </c>
      <c r="U127" t="s">
        <v>47</v>
      </c>
      <c r="V127">
        <v>1</v>
      </c>
      <c r="W127" s="1">
        <v>45757</v>
      </c>
      <c r="X127" t="s">
        <v>48</v>
      </c>
      <c r="Y127" s="2">
        <v>1</v>
      </c>
      <c r="Z127" s="2">
        <v>1</v>
      </c>
      <c r="AB127" s="3">
        <v>1</v>
      </c>
      <c r="AC127" s="2">
        <v>2</v>
      </c>
      <c r="AG127" s="2">
        <v>0</v>
      </c>
      <c r="AH127" s="2">
        <v>2</v>
      </c>
      <c r="AI127" s="2">
        <v>0</v>
      </c>
      <c r="AK127">
        <v>5343953</v>
      </c>
      <c r="AL127" t="s">
        <v>288</v>
      </c>
    </row>
    <row r="128" spans="1:38" x14ac:dyDescent="0.25">
      <c r="A128" s="1">
        <v>45763</v>
      </c>
      <c r="B128" s="1">
        <v>45762</v>
      </c>
      <c r="C128" t="s">
        <v>252</v>
      </c>
      <c r="D128" t="s">
        <v>39</v>
      </c>
      <c r="E128" t="s">
        <v>40</v>
      </c>
      <c r="F128">
        <v>43677</v>
      </c>
      <c r="H128" t="s">
        <v>41</v>
      </c>
      <c r="I128" s="5">
        <v>102061556500</v>
      </c>
      <c r="J128" t="s">
        <v>339</v>
      </c>
      <c r="M128" t="s">
        <v>89</v>
      </c>
      <c r="O128">
        <v>43629</v>
      </c>
      <c r="P128" t="s">
        <v>159</v>
      </c>
      <c r="Q128" t="s">
        <v>45</v>
      </c>
      <c r="R128" t="s">
        <v>162</v>
      </c>
      <c r="S128" s="1">
        <v>45566</v>
      </c>
      <c r="T128" s="1">
        <v>45792</v>
      </c>
      <c r="U128" t="s">
        <v>47</v>
      </c>
      <c r="V128">
        <v>1</v>
      </c>
      <c r="W128" s="1">
        <v>45757</v>
      </c>
      <c r="X128" t="s">
        <v>48</v>
      </c>
      <c r="Y128" s="2">
        <v>1</v>
      </c>
      <c r="Z128" s="2">
        <v>1</v>
      </c>
      <c r="AB128" s="3">
        <v>1</v>
      </c>
      <c r="AC128" s="2">
        <v>2</v>
      </c>
      <c r="AG128" s="2">
        <v>0</v>
      </c>
      <c r="AH128" s="2">
        <v>2</v>
      </c>
      <c r="AI128" s="2">
        <v>0</v>
      </c>
      <c r="AK128">
        <v>5343836</v>
      </c>
      <c r="AL128" t="s">
        <v>288</v>
      </c>
    </row>
    <row r="129" spans="1:38" x14ac:dyDescent="0.25">
      <c r="A129" s="1">
        <v>45763</v>
      </c>
      <c r="B129" s="1">
        <v>45762</v>
      </c>
      <c r="C129" t="s">
        <v>252</v>
      </c>
      <c r="D129" t="s">
        <v>39</v>
      </c>
      <c r="E129" t="s">
        <v>40</v>
      </c>
      <c r="F129">
        <v>43677</v>
      </c>
      <c r="H129" t="s">
        <v>41</v>
      </c>
      <c r="I129" s="5">
        <v>102034658300</v>
      </c>
      <c r="J129" t="s">
        <v>415</v>
      </c>
      <c r="M129" t="s">
        <v>93</v>
      </c>
      <c r="O129">
        <v>43679</v>
      </c>
      <c r="P129" t="s">
        <v>191</v>
      </c>
      <c r="Q129" t="s">
        <v>45</v>
      </c>
      <c r="R129" t="s">
        <v>162</v>
      </c>
      <c r="S129" s="1">
        <v>45536</v>
      </c>
      <c r="T129" s="1">
        <v>45792</v>
      </c>
      <c r="U129" t="s">
        <v>47</v>
      </c>
      <c r="V129">
        <v>1</v>
      </c>
      <c r="W129" s="1">
        <v>45757</v>
      </c>
      <c r="X129" t="s">
        <v>48</v>
      </c>
      <c r="Y129" s="2">
        <v>1</v>
      </c>
      <c r="Z129" s="2">
        <v>1</v>
      </c>
      <c r="AB129" s="3">
        <v>1</v>
      </c>
      <c r="AC129" s="2">
        <v>2</v>
      </c>
      <c r="AG129" s="2">
        <v>0</v>
      </c>
      <c r="AH129" s="2">
        <v>2</v>
      </c>
      <c r="AI129" s="2">
        <v>0</v>
      </c>
      <c r="AK129">
        <v>5343385</v>
      </c>
      <c r="AL129" t="s">
        <v>288</v>
      </c>
    </row>
    <row r="130" spans="1:38" x14ac:dyDescent="0.25">
      <c r="A130" s="1">
        <v>45763</v>
      </c>
      <c r="B130" s="1">
        <v>45762</v>
      </c>
      <c r="C130" t="s">
        <v>252</v>
      </c>
      <c r="D130" t="s">
        <v>39</v>
      </c>
      <c r="E130" t="s">
        <v>40</v>
      </c>
      <c r="F130">
        <v>43677</v>
      </c>
      <c r="H130" t="s">
        <v>41</v>
      </c>
      <c r="I130" s="5">
        <v>102050057700</v>
      </c>
      <c r="J130" t="s">
        <v>372</v>
      </c>
      <c r="M130" t="s">
        <v>93</v>
      </c>
      <c r="O130">
        <v>43691</v>
      </c>
      <c r="P130" t="s">
        <v>108</v>
      </c>
      <c r="Q130" t="s">
        <v>45</v>
      </c>
      <c r="R130" t="s">
        <v>162</v>
      </c>
      <c r="S130" s="1">
        <v>45566</v>
      </c>
      <c r="T130" s="1">
        <v>45792</v>
      </c>
      <c r="U130" t="s">
        <v>47</v>
      </c>
      <c r="V130">
        <v>1</v>
      </c>
      <c r="W130" s="1">
        <v>45757</v>
      </c>
      <c r="X130" t="s">
        <v>48</v>
      </c>
      <c r="Y130" s="2">
        <v>1</v>
      </c>
      <c r="Z130" s="2">
        <v>1</v>
      </c>
      <c r="AB130" s="3">
        <v>1</v>
      </c>
      <c r="AC130" s="2">
        <v>2</v>
      </c>
      <c r="AG130" s="2">
        <v>0</v>
      </c>
      <c r="AH130" s="2">
        <v>2</v>
      </c>
      <c r="AI130" s="2">
        <v>0</v>
      </c>
      <c r="AK130">
        <v>5343629</v>
      </c>
      <c r="AL130" t="s">
        <v>288</v>
      </c>
    </row>
    <row r="131" spans="1:38" x14ac:dyDescent="0.25">
      <c r="A131" s="1">
        <v>45763</v>
      </c>
      <c r="B131" s="1">
        <v>45762</v>
      </c>
      <c r="C131" t="s">
        <v>252</v>
      </c>
      <c r="D131" t="s">
        <v>39</v>
      </c>
      <c r="E131" t="s">
        <v>40</v>
      </c>
      <c r="F131">
        <v>43677</v>
      </c>
      <c r="H131" t="s">
        <v>41</v>
      </c>
      <c r="I131" s="5">
        <v>102046259200</v>
      </c>
      <c r="J131" t="s">
        <v>386</v>
      </c>
      <c r="M131" t="s">
        <v>93</v>
      </c>
      <c r="O131">
        <v>43611</v>
      </c>
      <c r="P131" t="s">
        <v>94</v>
      </c>
      <c r="Q131" t="s">
        <v>45</v>
      </c>
      <c r="R131" t="s">
        <v>162</v>
      </c>
      <c r="S131" s="1">
        <v>45597</v>
      </c>
      <c r="T131" s="1">
        <v>45792</v>
      </c>
      <c r="U131" t="s">
        <v>47</v>
      </c>
      <c r="V131">
        <v>1</v>
      </c>
      <c r="W131" s="1">
        <v>45757</v>
      </c>
      <c r="X131" t="s">
        <v>48</v>
      </c>
      <c r="Y131" s="2">
        <v>1</v>
      </c>
      <c r="Z131" s="2">
        <v>1</v>
      </c>
      <c r="AB131" s="3">
        <v>1</v>
      </c>
      <c r="AC131" s="2">
        <v>2</v>
      </c>
      <c r="AG131" s="2">
        <v>0</v>
      </c>
      <c r="AH131" s="2">
        <v>2</v>
      </c>
      <c r="AI131" s="2">
        <v>0</v>
      </c>
      <c r="AK131">
        <v>5343560</v>
      </c>
      <c r="AL131" t="s">
        <v>288</v>
      </c>
    </row>
    <row r="132" spans="1:38" x14ac:dyDescent="0.25">
      <c r="A132" s="1">
        <v>45756</v>
      </c>
      <c r="B132" s="1">
        <v>45756</v>
      </c>
      <c r="C132" t="s">
        <v>146</v>
      </c>
      <c r="D132" t="s">
        <v>39</v>
      </c>
      <c r="E132" t="s">
        <v>40</v>
      </c>
      <c r="F132">
        <v>43677</v>
      </c>
      <c r="H132" t="s">
        <v>41</v>
      </c>
      <c r="I132" s="5" t="s">
        <v>674</v>
      </c>
      <c r="J132" t="s">
        <v>163</v>
      </c>
      <c r="M132" t="s">
        <v>89</v>
      </c>
      <c r="O132">
        <v>43740</v>
      </c>
      <c r="P132" t="s">
        <v>164</v>
      </c>
      <c r="Q132" t="s">
        <v>148</v>
      </c>
      <c r="R132" t="s">
        <v>162</v>
      </c>
      <c r="S132" s="1">
        <v>45658</v>
      </c>
      <c r="U132" t="s">
        <v>47</v>
      </c>
      <c r="X132" t="s">
        <v>48</v>
      </c>
      <c r="Y132" s="2">
        <v>0</v>
      </c>
      <c r="Z132">
        <v>-41.66</v>
      </c>
      <c r="AA132">
        <v>1</v>
      </c>
      <c r="AB132" s="3">
        <v>1</v>
      </c>
      <c r="AC132">
        <v>-41.66</v>
      </c>
      <c r="AD132" s="3">
        <v>0</v>
      </c>
      <c r="AE132" s="2">
        <v>0</v>
      </c>
      <c r="AF132" s="2">
        <v>50</v>
      </c>
      <c r="AG132" s="2"/>
      <c r="AJ132" s="2"/>
    </row>
    <row r="133" spans="1:38" x14ac:dyDescent="0.25">
      <c r="A133" s="1">
        <v>45763</v>
      </c>
      <c r="B133" s="1">
        <v>45762</v>
      </c>
      <c r="C133" t="s">
        <v>252</v>
      </c>
      <c r="D133" t="s">
        <v>39</v>
      </c>
      <c r="E133" t="s">
        <v>40</v>
      </c>
      <c r="F133">
        <v>43677</v>
      </c>
      <c r="H133" t="s">
        <v>41</v>
      </c>
      <c r="I133" s="5">
        <v>102044729900</v>
      </c>
      <c r="J133" t="s">
        <v>388</v>
      </c>
      <c r="M133" t="s">
        <v>89</v>
      </c>
      <c r="O133">
        <v>45605</v>
      </c>
      <c r="P133" t="s">
        <v>50</v>
      </c>
      <c r="Q133" t="s">
        <v>45</v>
      </c>
      <c r="R133" t="s">
        <v>162</v>
      </c>
      <c r="S133" s="1">
        <v>45566</v>
      </c>
      <c r="T133" s="1">
        <v>45792</v>
      </c>
      <c r="U133" t="s">
        <v>47</v>
      </c>
      <c r="V133">
        <v>1</v>
      </c>
      <c r="W133" s="1">
        <v>45757</v>
      </c>
      <c r="X133" t="s">
        <v>48</v>
      </c>
      <c r="Y133" s="2">
        <v>1</v>
      </c>
      <c r="Z133" s="2">
        <v>1</v>
      </c>
      <c r="AB133" s="3">
        <v>1</v>
      </c>
      <c r="AC133" s="2">
        <v>2</v>
      </c>
      <c r="AG133" s="2">
        <v>0</v>
      </c>
      <c r="AH133" s="2">
        <v>2</v>
      </c>
      <c r="AI133" s="2">
        <v>0</v>
      </c>
      <c r="AK133">
        <v>5343545</v>
      </c>
      <c r="AL133" t="s">
        <v>288</v>
      </c>
    </row>
    <row r="134" spans="1:38" x14ac:dyDescent="0.25">
      <c r="A134" s="1">
        <v>45763</v>
      </c>
      <c r="B134" s="1">
        <v>45762</v>
      </c>
      <c r="C134" t="s">
        <v>252</v>
      </c>
      <c r="D134" t="s">
        <v>39</v>
      </c>
      <c r="E134" t="s">
        <v>40</v>
      </c>
      <c r="F134">
        <v>43677</v>
      </c>
      <c r="H134" t="s">
        <v>41</v>
      </c>
      <c r="I134" s="5">
        <v>101063039500</v>
      </c>
      <c r="J134" t="s">
        <v>471</v>
      </c>
      <c r="M134" t="s">
        <v>93</v>
      </c>
      <c r="O134">
        <v>43611</v>
      </c>
      <c r="P134" t="s">
        <v>94</v>
      </c>
      <c r="Q134" t="s">
        <v>45</v>
      </c>
      <c r="R134" t="s">
        <v>162</v>
      </c>
      <c r="S134" s="1">
        <v>45658</v>
      </c>
      <c r="T134" s="1">
        <v>45792</v>
      </c>
      <c r="U134" t="s">
        <v>47</v>
      </c>
      <c r="V134">
        <v>1</v>
      </c>
      <c r="W134" s="1">
        <v>45757</v>
      </c>
      <c r="X134" t="s">
        <v>48</v>
      </c>
      <c r="Y134" s="2">
        <v>1</v>
      </c>
      <c r="Z134" s="2">
        <v>1</v>
      </c>
      <c r="AB134" s="3">
        <v>1</v>
      </c>
      <c r="AC134" s="2">
        <v>2</v>
      </c>
      <c r="AG134" s="2">
        <v>0</v>
      </c>
      <c r="AH134" s="2">
        <v>2</v>
      </c>
      <c r="AI134" s="2">
        <v>0</v>
      </c>
      <c r="AK134">
        <v>5337070</v>
      </c>
      <c r="AL134" t="s">
        <v>288</v>
      </c>
    </row>
    <row r="135" spans="1:38" x14ac:dyDescent="0.25">
      <c r="A135" s="1">
        <v>45763</v>
      </c>
      <c r="B135" s="1">
        <v>45762</v>
      </c>
      <c r="C135" t="s">
        <v>252</v>
      </c>
      <c r="D135" t="s">
        <v>39</v>
      </c>
      <c r="E135" t="s">
        <v>40</v>
      </c>
      <c r="F135">
        <v>43677</v>
      </c>
      <c r="H135" t="s">
        <v>41</v>
      </c>
      <c r="I135" s="5">
        <v>102071177500</v>
      </c>
      <c r="J135" t="s">
        <v>311</v>
      </c>
      <c r="M135" t="s">
        <v>93</v>
      </c>
      <c r="O135">
        <v>43611</v>
      </c>
      <c r="P135" t="s">
        <v>94</v>
      </c>
      <c r="Q135" t="s">
        <v>45</v>
      </c>
      <c r="R135" t="s">
        <v>162</v>
      </c>
      <c r="S135" s="1">
        <v>45597</v>
      </c>
      <c r="T135" s="1">
        <v>45792</v>
      </c>
      <c r="U135" t="s">
        <v>47</v>
      </c>
      <c r="V135">
        <v>1</v>
      </c>
      <c r="W135" s="1">
        <v>45757</v>
      </c>
      <c r="X135" t="s">
        <v>48</v>
      </c>
      <c r="Y135" s="2">
        <v>1</v>
      </c>
      <c r="Z135" s="2">
        <v>1</v>
      </c>
      <c r="AB135" s="3">
        <v>1</v>
      </c>
      <c r="AC135" s="2">
        <v>2</v>
      </c>
      <c r="AG135" s="2">
        <v>0</v>
      </c>
      <c r="AH135" s="2">
        <v>2</v>
      </c>
      <c r="AI135" s="2">
        <v>0</v>
      </c>
      <c r="AK135">
        <v>5343928</v>
      </c>
      <c r="AL135" t="s">
        <v>288</v>
      </c>
    </row>
    <row r="136" spans="1:38" x14ac:dyDescent="0.25">
      <c r="A136" s="1">
        <v>45763</v>
      </c>
      <c r="B136" s="1">
        <v>45762</v>
      </c>
      <c r="C136" t="s">
        <v>252</v>
      </c>
      <c r="D136" t="s">
        <v>39</v>
      </c>
      <c r="E136" t="s">
        <v>40</v>
      </c>
      <c r="F136">
        <v>43677</v>
      </c>
      <c r="H136" t="s">
        <v>41</v>
      </c>
      <c r="I136" s="5">
        <v>102037260600</v>
      </c>
      <c r="J136" t="s">
        <v>401</v>
      </c>
      <c r="M136" t="s">
        <v>89</v>
      </c>
      <c r="O136">
        <v>43682</v>
      </c>
      <c r="P136" t="s">
        <v>118</v>
      </c>
      <c r="Q136" t="s">
        <v>45</v>
      </c>
      <c r="R136" t="s">
        <v>162</v>
      </c>
      <c r="S136" s="1">
        <v>45505</v>
      </c>
      <c r="T136" s="1">
        <v>45792</v>
      </c>
      <c r="U136" t="s">
        <v>47</v>
      </c>
      <c r="V136">
        <v>1</v>
      </c>
      <c r="W136" s="1">
        <v>45757</v>
      </c>
      <c r="X136" t="s">
        <v>48</v>
      </c>
      <c r="Y136" s="2">
        <v>1</v>
      </c>
      <c r="Z136" s="2">
        <v>1</v>
      </c>
      <c r="AB136" s="3">
        <v>1</v>
      </c>
      <c r="AC136" s="2">
        <v>2</v>
      </c>
      <c r="AG136" s="2">
        <v>0</v>
      </c>
      <c r="AH136" s="2">
        <v>2</v>
      </c>
      <c r="AI136" s="2">
        <v>0</v>
      </c>
      <c r="AK136">
        <v>5343450</v>
      </c>
      <c r="AL136" t="s">
        <v>288</v>
      </c>
    </row>
    <row r="137" spans="1:38" x14ac:dyDescent="0.25">
      <c r="A137" s="1">
        <v>45763</v>
      </c>
      <c r="B137" s="1">
        <v>45762</v>
      </c>
      <c r="C137" t="s">
        <v>252</v>
      </c>
      <c r="D137" t="s">
        <v>39</v>
      </c>
      <c r="E137" t="s">
        <v>40</v>
      </c>
      <c r="F137">
        <v>43677</v>
      </c>
      <c r="H137" t="s">
        <v>41</v>
      </c>
      <c r="I137" s="5">
        <v>102044738100</v>
      </c>
      <c r="J137" t="s">
        <v>387</v>
      </c>
      <c r="M137" t="s">
        <v>194</v>
      </c>
      <c r="O137">
        <v>43682</v>
      </c>
      <c r="P137" t="s">
        <v>118</v>
      </c>
      <c r="Q137" t="s">
        <v>45</v>
      </c>
      <c r="R137" t="s">
        <v>162</v>
      </c>
      <c r="S137" s="1">
        <v>45536</v>
      </c>
      <c r="T137" s="1">
        <v>45792</v>
      </c>
      <c r="U137" t="s">
        <v>47</v>
      </c>
      <c r="V137">
        <v>1</v>
      </c>
      <c r="W137" s="1">
        <v>45757</v>
      </c>
      <c r="X137" t="s">
        <v>48</v>
      </c>
      <c r="Y137" s="2">
        <v>1</v>
      </c>
      <c r="Z137" s="2">
        <v>1</v>
      </c>
      <c r="AB137" s="3">
        <v>1</v>
      </c>
      <c r="AC137" s="2">
        <v>2</v>
      </c>
      <c r="AG137" s="2">
        <v>0</v>
      </c>
      <c r="AH137" s="2">
        <v>2</v>
      </c>
      <c r="AI137" s="2">
        <v>0</v>
      </c>
      <c r="AK137">
        <v>5343546</v>
      </c>
      <c r="AL137" t="s">
        <v>288</v>
      </c>
    </row>
    <row r="138" spans="1:38" x14ac:dyDescent="0.25">
      <c r="A138" s="1">
        <v>45763</v>
      </c>
      <c r="B138" s="1">
        <v>45762</v>
      </c>
      <c r="C138" t="s">
        <v>252</v>
      </c>
      <c r="D138" t="s">
        <v>39</v>
      </c>
      <c r="E138" t="s">
        <v>40</v>
      </c>
      <c r="F138">
        <v>43677</v>
      </c>
      <c r="H138" t="s">
        <v>41</v>
      </c>
      <c r="I138" s="5">
        <v>102026454000</v>
      </c>
      <c r="J138" t="s">
        <v>428</v>
      </c>
      <c r="M138" t="s">
        <v>427</v>
      </c>
      <c r="O138">
        <v>43682</v>
      </c>
      <c r="P138" t="s">
        <v>118</v>
      </c>
      <c r="Q138" t="s">
        <v>45</v>
      </c>
      <c r="R138" t="s">
        <v>162</v>
      </c>
      <c r="S138" s="1">
        <v>45474</v>
      </c>
      <c r="T138" s="1">
        <v>45792</v>
      </c>
      <c r="U138" t="s">
        <v>47</v>
      </c>
      <c r="V138">
        <v>1</v>
      </c>
      <c r="W138" s="1">
        <v>45757</v>
      </c>
      <c r="X138" t="s">
        <v>48</v>
      </c>
      <c r="Y138" s="2">
        <v>1</v>
      </c>
      <c r="Z138" s="2">
        <v>1</v>
      </c>
      <c r="AB138" s="3">
        <v>1</v>
      </c>
      <c r="AC138" s="2">
        <v>2</v>
      </c>
      <c r="AG138" s="2">
        <v>0</v>
      </c>
      <c r="AH138" s="2">
        <v>2</v>
      </c>
      <c r="AI138" s="2">
        <v>0</v>
      </c>
      <c r="AK138">
        <v>5343267</v>
      </c>
      <c r="AL138" t="s">
        <v>288</v>
      </c>
    </row>
    <row r="139" spans="1:38" x14ac:dyDescent="0.25">
      <c r="A139" s="1">
        <v>45763</v>
      </c>
      <c r="B139" s="1">
        <v>45762</v>
      </c>
      <c r="C139" t="s">
        <v>252</v>
      </c>
      <c r="D139" t="s">
        <v>39</v>
      </c>
      <c r="E139" t="s">
        <v>40</v>
      </c>
      <c r="F139">
        <v>43677</v>
      </c>
      <c r="H139" t="s">
        <v>41</v>
      </c>
      <c r="I139" s="5">
        <v>102022258700</v>
      </c>
      <c r="J139" t="s">
        <v>435</v>
      </c>
      <c r="M139" t="s">
        <v>93</v>
      </c>
      <c r="O139">
        <v>43611</v>
      </c>
      <c r="P139" t="s">
        <v>94</v>
      </c>
      <c r="Q139" t="s">
        <v>45</v>
      </c>
      <c r="R139" t="s">
        <v>162</v>
      </c>
      <c r="S139" s="1">
        <v>45474</v>
      </c>
      <c r="T139" s="1">
        <v>45792</v>
      </c>
      <c r="U139" t="s">
        <v>47</v>
      </c>
      <c r="V139">
        <v>1</v>
      </c>
      <c r="W139" s="1">
        <v>45757</v>
      </c>
      <c r="X139" t="s">
        <v>48</v>
      </c>
      <c r="Y139" s="2">
        <v>1</v>
      </c>
      <c r="Z139" s="2">
        <v>1</v>
      </c>
      <c r="AB139" s="3">
        <v>1</v>
      </c>
      <c r="AC139" s="2">
        <v>2</v>
      </c>
      <c r="AG139" s="2">
        <v>0</v>
      </c>
      <c r="AH139" s="2">
        <v>2</v>
      </c>
      <c r="AI139" s="2">
        <v>0</v>
      </c>
      <c r="AK139">
        <v>5343196</v>
      </c>
      <c r="AL139" t="s">
        <v>288</v>
      </c>
    </row>
    <row r="140" spans="1:38" x14ac:dyDescent="0.25">
      <c r="A140" s="1">
        <v>45763</v>
      </c>
      <c r="B140" s="1">
        <v>45762</v>
      </c>
      <c r="C140" t="s">
        <v>252</v>
      </c>
      <c r="D140" t="s">
        <v>39</v>
      </c>
      <c r="E140" t="s">
        <v>40</v>
      </c>
      <c r="F140">
        <v>43677</v>
      </c>
      <c r="H140" t="s">
        <v>41</v>
      </c>
      <c r="I140" s="5">
        <v>102078192100</v>
      </c>
      <c r="J140" t="s">
        <v>307</v>
      </c>
      <c r="M140" t="s">
        <v>122</v>
      </c>
      <c r="O140">
        <v>43644</v>
      </c>
      <c r="P140" t="s">
        <v>56</v>
      </c>
      <c r="Q140" t="s">
        <v>45</v>
      </c>
      <c r="R140" t="s">
        <v>162</v>
      </c>
      <c r="S140" s="1">
        <v>45597</v>
      </c>
      <c r="T140" s="1">
        <v>45792</v>
      </c>
      <c r="U140" t="s">
        <v>47</v>
      </c>
      <c r="V140">
        <v>1</v>
      </c>
      <c r="W140" s="1">
        <v>45757</v>
      </c>
      <c r="X140" t="s">
        <v>48</v>
      </c>
      <c r="Y140" s="2">
        <v>1</v>
      </c>
      <c r="Z140" s="2">
        <v>1</v>
      </c>
      <c r="AB140" s="3">
        <v>1</v>
      </c>
      <c r="AC140" s="2">
        <v>2</v>
      </c>
      <c r="AG140" s="2">
        <v>0</v>
      </c>
      <c r="AH140" s="2">
        <v>2</v>
      </c>
      <c r="AI140" s="2">
        <v>0</v>
      </c>
      <c r="AK140">
        <v>5343950</v>
      </c>
      <c r="AL140" t="s">
        <v>288</v>
      </c>
    </row>
    <row r="141" spans="1:38" x14ac:dyDescent="0.25">
      <c r="A141" s="1">
        <v>45763</v>
      </c>
      <c r="B141" s="1">
        <v>45762</v>
      </c>
      <c r="C141" t="s">
        <v>252</v>
      </c>
      <c r="D141" t="s">
        <v>39</v>
      </c>
      <c r="E141" t="s">
        <v>40</v>
      </c>
      <c r="F141">
        <v>43677</v>
      </c>
      <c r="H141" t="s">
        <v>41</v>
      </c>
      <c r="I141" s="5">
        <v>102043771500</v>
      </c>
      <c r="J141" t="s">
        <v>391</v>
      </c>
      <c r="M141" t="s">
        <v>89</v>
      </c>
      <c r="O141">
        <v>45604</v>
      </c>
      <c r="P141" t="s">
        <v>103</v>
      </c>
      <c r="Q141" t="s">
        <v>45</v>
      </c>
      <c r="R141" t="s">
        <v>162</v>
      </c>
      <c r="S141" s="1">
        <v>45566</v>
      </c>
      <c r="T141" s="1">
        <v>45792</v>
      </c>
      <c r="U141" t="s">
        <v>47</v>
      </c>
      <c r="V141">
        <v>1</v>
      </c>
      <c r="W141" s="1">
        <v>45757</v>
      </c>
      <c r="X141" t="s">
        <v>48</v>
      </c>
      <c r="Y141" s="2">
        <v>1</v>
      </c>
      <c r="Z141" s="2">
        <v>1</v>
      </c>
      <c r="AB141" s="3">
        <v>1</v>
      </c>
      <c r="AC141" s="2">
        <v>2</v>
      </c>
      <c r="AG141" s="2">
        <v>0</v>
      </c>
      <c r="AH141" s="2">
        <v>2</v>
      </c>
      <c r="AI141" s="2">
        <v>0</v>
      </c>
      <c r="AK141">
        <v>5343526</v>
      </c>
      <c r="AL141" t="s">
        <v>288</v>
      </c>
    </row>
    <row r="142" spans="1:38" x14ac:dyDescent="0.25">
      <c r="A142" s="1">
        <v>45763</v>
      </c>
      <c r="B142" s="1">
        <v>45762</v>
      </c>
      <c r="C142" t="s">
        <v>252</v>
      </c>
      <c r="D142" t="s">
        <v>39</v>
      </c>
      <c r="E142" t="s">
        <v>40</v>
      </c>
      <c r="F142">
        <v>43677</v>
      </c>
      <c r="H142" t="s">
        <v>41</v>
      </c>
      <c r="I142" s="5">
        <v>102048671500</v>
      </c>
      <c r="J142" t="s">
        <v>383</v>
      </c>
      <c r="M142" t="s">
        <v>93</v>
      </c>
      <c r="O142">
        <v>43611</v>
      </c>
      <c r="P142" t="s">
        <v>94</v>
      </c>
      <c r="Q142" t="s">
        <v>45</v>
      </c>
      <c r="R142" t="s">
        <v>162</v>
      </c>
      <c r="S142" s="1">
        <v>45566</v>
      </c>
      <c r="T142" s="1">
        <v>45792</v>
      </c>
      <c r="U142" t="s">
        <v>47</v>
      </c>
      <c r="V142">
        <v>1</v>
      </c>
      <c r="W142" s="1">
        <v>45757</v>
      </c>
      <c r="X142" t="s">
        <v>48</v>
      </c>
      <c r="Y142" s="2">
        <v>1</v>
      </c>
      <c r="Z142" s="2">
        <v>1</v>
      </c>
      <c r="AB142" s="3">
        <v>1</v>
      </c>
      <c r="AC142" s="2">
        <v>2</v>
      </c>
      <c r="AG142" s="2">
        <v>0</v>
      </c>
      <c r="AH142" s="2">
        <v>2</v>
      </c>
      <c r="AI142" s="2">
        <v>0</v>
      </c>
      <c r="AK142">
        <v>5343599</v>
      </c>
      <c r="AL142" t="s">
        <v>288</v>
      </c>
    </row>
    <row r="143" spans="1:38" x14ac:dyDescent="0.25">
      <c r="A143" s="1">
        <v>45763</v>
      </c>
      <c r="B143" s="1">
        <v>45762</v>
      </c>
      <c r="C143" t="s">
        <v>252</v>
      </c>
      <c r="D143" t="s">
        <v>39</v>
      </c>
      <c r="E143" t="s">
        <v>40</v>
      </c>
      <c r="F143">
        <v>43677</v>
      </c>
      <c r="H143" t="s">
        <v>41</v>
      </c>
      <c r="I143" s="5">
        <v>102059200300</v>
      </c>
      <c r="J143" t="s">
        <v>347</v>
      </c>
      <c r="M143" t="s">
        <v>89</v>
      </c>
      <c r="O143">
        <v>43637</v>
      </c>
      <c r="P143" t="s">
        <v>72</v>
      </c>
      <c r="Q143" t="s">
        <v>45</v>
      </c>
      <c r="R143" t="s">
        <v>162</v>
      </c>
      <c r="S143" s="1">
        <v>45566</v>
      </c>
      <c r="T143" s="1">
        <v>45792</v>
      </c>
      <c r="U143" t="s">
        <v>47</v>
      </c>
      <c r="V143">
        <v>1</v>
      </c>
      <c r="W143" s="1">
        <v>45757</v>
      </c>
      <c r="X143" t="s">
        <v>48</v>
      </c>
      <c r="Y143" s="2">
        <v>1</v>
      </c>
      <c r="Z143" s="2">
        <v>1</v>
      </c>
      <c r="AB143" s="3">
        <v>1</v>
      </c>
      <c r="AC143" s="2">
        <v>2</v>
      </c>
      <c r="AG143" s="2">
        <v>0</v>
      </c>
      <c r="AH143" s="2">
        <v>2</v>
      </c>
      <c r="AI143" s="2">
        <v>0</v>
      </c>
      <c r="AK143">
        <v>5343802</v>
      </c>
      <c r="AL143" t="s">
        <v>288</v>
      </c>
    </row>
    <row r="144" spans="1:38" x14ac:dyDescent="0.25">
      <c r="A144" s="1">
        <v>45763</v>
      </c>
      <c r="B144" s="1">
        <v>45762</v>
      </c>
      <c r="C144" t="s">
        <v>252</v>
      </c>
      <c r="D144" t="s">
        <v>39</v>
      </c>
      <c r="E144" t="s">
        <v>40</v>
      </c>
      <c r="F144">
        <v>43677</v>
      </c>
      <c r="H144" t="s">
        <v>41</v>
      </c>
      <c r="I144" s="5">
        <v>102036698800</v>
      </c>
      <c r="J144" t="s">
        <v>405</v>
      </c>
      <c r="M144" t="s">
        <v>84</v>
      </c>
      <c r="O144">
        <v>43678</v>
      </c>
      <c r="P144" t="s">
        <v>295</v>
      </c>
      <c r="Q144" t="s">
        <v>45</v>
      </c>
      <c r="R144" t="s">
        <v>162</v>
      </c>
      <c r="S144" s="1">
        <v>45536</v>
      </c>
      <c r="T144" s="1">
        <v>45792</v>
      </c>
      <c r="U144" t="s">
        <v>47</v>
      </c>
      <c r="V144">
        <v>1</v>
      </c>
      <c r="W144" s="1">
        <v>45757</v>
      </c>
      <c r="X144" t="s">
        <v>48</v>
      </c>
      <c r="Y144" s="2">
        <v>1</v>
      </c>
      <c r="Z144" s="2">
        <v>1</v>
      </c>
      <c r="AB144" s="3">
        <v>1</v>
      </c>
      <c r="AC144" s="2">
        <v>2</v>
      </c>
      <c r="AG144" s="2">
        <v>0</v>
      </c>
      <c r="AH144" s="2">
        <v>2</v>
      </c>
      <c r="AI144" s="2">
        <v>0</v>
      </c>
      <c r="AK144">
        <v>5343426</v>
      </c>
      <c r="AL144" t="s">
        <v>288</v>
      </c>
    </row>
    <row r="145" spans="1:38" x14ac:dyDescent="0.25">
      <c r="A145" s="1">
        <v>45763</v>
      </c>
      <c r="B145" s="1">
        <v>45762</v>
      </c>
      <c r="C145" t="s">
        <v>252</v>
      </c>
      <c r="D145" t="s">
        <v>39</v>
      </c>
      <c r="E145" t="s">
        <v>40</v>
      </c>
      <c r="F145">
        <v>43677</v>
      </c>
      <c r="H145" t="s">
        <v>41</v>
      </c>
      <c r="I145" s="5">
        <v>102105930700</v>
      </c>
      <c r="J145" t="s">
        <v>290</v>
      </c>
      <c r="M145" t="s">
        <v>89</v>
      </c>
      <c r="O145">
        <v>45604</v>
      </c>
      <c r="P145" t="s">
        <v>103</v>
      </c>
      <c r="Q145" t="s">
        <v>45</v>
      </c>
      <c r="R145" t="s">
        <v>162</v>
      </c>
      <c r="S145" s="1">
        <v>45627</v>
      </c>
      <c r="T145" s="1">
        <v>45792</v>
      </c>
      <c r="U145" t="s">
        <v>47</v>
      </c>
      <c r="V145">
        <v>1</v>
      </c>
      <c r="W145" s="1">
        <v>45757</v>
      </c>
      <c r="X145" t="s">
        <v>48</v>
      </c>
      <c r="Y145" s="2">
        <v>1</v>
      </c>
      <c r="Z145" s="2">
        <v>1</v>
      </c>
      <c r="AB145" s="3">
        <v>1</v>
      </c>
      <c r="AC145" s="2">
        <v>2</v>
      </c>
      <c r="AG145" s="2">
        <v>0</v>
      </c>
      <c r="AH145" s="2">
        <v>2</v>
      </c>
      <c r="AI145" s="2">
        <v>0</v>
      </c>
      <c r="AK145">
        <v>5344014</v>
      </c>
      <c r="AL145" t="s">
        <v>288</v>
      </c>
    </row>
    <row r="146" spans="1:38" x14ac:dyDescent="0.25">
      <c r="A146" s="1">
        <v>45763</v>
      </c>
      <c r="B146" s="1">
        <v>45762</v>
      </c>
      <c r="C146" t="s">
        <v>252</v>
      </c>
      <c r="D146" t="s">
        <v>39</v>
      </c>
      <c r="E146" t="s">
        <v>40</v>
      </c>
      <c r="F146">
        <v>43677</v>
      </c>
      <c r="H146" t="s">
        <v>41</v>
      </c>
      <c r="I146" s="5">
        <v>102013256200</v>
      </c>
      <c r="J146" t="s">
        <v>449</v>
      </c>
      <c r="M146" t="s">
        <v>93</v>
      </c>
      <c r="O146">
        <v>43611</v>
      </c>
      <c r="P146" t="s">
        <v>94</v>
      </c>
      <c r="Q146" t="s">
        <v>45</v>
      </c>
      <c r="R146" t="s">
        <v>162</v>
      </c>
      <c r="S146" s="1">
        <v>45505</v>
      </c>
      <c r="T146" s="1">
        <v>45792</v>
      </c>
      <c r="U146" t="s">
        <v>47</v>
      </c>
      <c r="V146">
        <v>1</v>
      </c>
      <c r="W146" s="1">
        <v>45757</v>
      </c>
      <c r="X146" t="s">
        <v>48</v>
      </c>
      <c r="Y146" s="2">
        <v>1</v>
      </c>
      <c r="Z146" s="2">
        <v>1</v>
      </c>
      <c r="AB146" s="3">
        <v>1</v>
      </c>
      <c r="AC146" s="2">
        <v>2</v>
      </c>
      <c r="AG146" s="2">
        <v>0</v>
      </c>
      <c r="AH146" s="2">
        <v>2</v>
      </c>
      <c r="AI146" s="2">
        <v>0</v>
      </c>
      <c r="AK146">
        <v>5343080</v>
      </c>
      <c r="AL146" t="s">
        <v>288</v>
      </c>
    </row>
    <row r="147" spans="1:38" x14ac:dyDescent="0.25">
      <c r="A147" s="1">
        <v>45763</v>
      </c>
      <c r="B147" s="1">
        <v>45762</v>
      </c>
      <c r="C147" t="s">
        <v>252</v>
      </c>
      <c r="D147" t="s">
        <v>39</v>
      </c>
      <c r="E147" t="s">
        <v>40</v>
      </c>
      <c r="F147">
        <v>43677</v>
      </c>
      <c r="H147" t="s">
        <v>41</v>
      </c>
      <c r="I147" s="5">
        <v>102049267000</v>
      </c>
      <c r="J147" t="s">
        <v>379</v>
      </c>
      <c r="M147" t="s">
        <v>93</v>
      </c>
      <c r="O147">
        <v>43611</v>
      </c>
      <c r="P147" t="s">
        <v>94</v>
      </c>
      <c r="Q147" t="s">
        <v>45</v>
      </c>
      <c r="R147" t="s">
        <v>162</v>
      </c>
      <c r="S147" s="1">
        <v>45536</v>
      </c>
      <c r="T147" s="1">
        <v>45792</v>
      </c>
      <c r="U147" t="s">
        <v>47</v>
      </c>
      <c r="V147">
        <v>1</v>
      </c>
      <c r="W147" s="1">
        <v>45757</v>
      </c>
      <c r="X147" t="s">
        <v>48</v>
      </c>
      <c r="Y147" s="2">
        <v>1</v>
      </c>
      <c r="Z147" s="2">
        <v>1</v>
      </c>
      <c r="AB147" s="3">
        <v>1</v>
      </c>
      <c r="AC147" s="2">
        <v>2</v>
      </c>
      <c r="AG147" s="2">
        <v>0</v>
      </c>
      <c r="AH147" s="2">
        <v>2</v>
      </c>
      <c r="AI147" s="2">
        <v>0</v>
      </c>
      <c r="AK147">
        <v>5343615</v>
      </c>
      <c r="AL147" t="s">
        <v>288</v>
      </c>
    </row>
    <row r="148" spans="1:38" x14ac:dyDescent="0.25">
      <c r="A148" s="1">
        <v>45763</v>
      </c>
      <c r="B148" s="1">
        <v>45762</v>
      </c>
      <c r="C148" t="s">
        <v>252</v>
      </c>
      <c r="D148" t="s">
        <v>39</v>
      </c>
      <c r="E148" t="s">
        <v>40</v>
      </c>
      <c r="F148">
        <v>43677</v>
      </c>
      <c r="H148" t="s">
        <v>41</v>
      </c>
      <c r="I148" s="5">
        <v>102085672600</v>
      </c>
      <c r="J148" t="s">
        <v>301</v>
      </c>
      <c r="M148" t="s">
        <v>122</v>
      </c>
      <c r="O148">
        <v>43644</v>
      </c>
      <c r="P148" t="s">
        <v>56</v>
      </c>
      <c r="Q148" t="s">
        <v>45</v>
      </c>
      <c r="R148" t="s">
        <v>162</v>
      </c>
      <c r="S148" s="1">
        <v>45627</v>
      </c>
      <c r="T148" s="1">
        <v>45792</v>
      </c>
      <c r="U148" t="s">
        <v>47</v>
      </c>
      <c r="V148">
        <v>1</v>
      </c>
      <c r="W148" s="1">
        <v>45757</v>
      </c>
      <c r="X148" t="s">
        <v>48</v>
      </c>
      <c r="Y148" s="2">
        <v>1</v>
      </c>
      <c r="Z148" s="2">
        <v>1</v>
      </c>
      <c r="AB148" s="3">
        <v>1</v>
      </c>
      <c r="AC148" s="2">
        <v>2</v>
      </c>
      <c r="AG148" s="2">
        <v>0</v>
      </c>
      <c r="AH148" s="2">
        <v>2</v>
      </c>
      <c r="AI148" s="2">
        <v>0</v>
      </c>
      <c r="AK148">
        <v>5343969</v>
      </c>
      <c r="AL148" t="s">
        <v>288</v>
      </c>
    </row>
    <row r="149" spans="1:38" x14ac:dyDescent="0.25">
      <c r="A149" s="1">
        <v>45763</v>
      </c>
      <c r="B149" s="1">
        <v>45762</v>
      </c>
      <c r="C149" t="s">
        <v>252</v>
      </c>
      <c r="D149" t="s">
        <v>39</v>
      </c>
      <c r="E149" t="s">
        <v>40</v>
      </c>
      <c r="F149">
        <v>43677</v>
      </c>
      <c r="H149" t="s">
        <v>41</v>
      </c>
      <c r="I149" s="5">
        <v>102064758600</v>
      </c>
      <c r="J149" t="s">
        <v>329</v>
      </c>
      <c r="M149" t="s">
        <v>93</v>
      </c>
      <c r="O149">
        <v>43679</v>
      </c>
      <c r="P149" t="s">
        <v>191</v>
      </c>
      <c r="Q149" t="s">
        <v>45</v>
      </c>
      <c r="R149" t="s">
        <v>162</v>
      </c>
      <c r="S149" s="1">
        <v>45566</v>
      </c>
      <c r="T149" s="1">
        <v>45792</v>
      </c>
      <c r="U149" t="s">
        <v>47</v>
      </c>
      <c r="V149">
        <v>1</v>
      </c>
      <c r="W149" s="1">
        <v>45757</v>
      </c>
      <c r="X149" t="s">
        <v>48</v>
      </c>
      <c r="Y149" s="2">
        <v>1</v>
      </c>
      <c r="Z149" s="2">
        <v>1</v>
      </c>
      <c r="AB149" s="3">
        <v>1</v>
      </c>
      <c r="AC149" s="2">
        <v>2</v>
      </c>
      <c r="AG149" s="2">
        <v>0</v>
      </c>
      <c r="AH149" s="2">
        <v>2</v>
      </c>
      <c r="AI149" s="2">
        <v>0</v>
      </c>
      <c r="AK149">
        <v>5343874</v>
      </c>
      <c r="AL149" t="s">
        <v>288</v>
      </c>
    </row>
    <row r="150" spans="1:38" x14ac:dyDescent="0.25">
      <c r="A150" s="1">
        <v>45763</v>
      </c>
      <c r="B150" s="1">
        <v>45762</v>
      </c>
      <c r="C150" t="s">
        <v>252</v>
      </c>
      <c r="D150" t="s">
        <v>39</v>
      </c>
      <c r="E150" t="s">
        <v>40</v>
      </c>
      <c r="F150">
        <v>43677</v>
      </c>
      <c r="H150" t="s">
        <v>41</v>
      </c>
      <c r="I150" s="5">
        <v>102012252800</v>
      </c>
      <c r="J150" t="s">
        <v>452</v>
      </c>
      <c r="M150" t="s">
        <v>331</v>
      </c>
      <c r="O150">
        <v>43682</v>
      </c>
      <c r="P150" t="s">
        <v>118</v>
      </c>
      <c r="Q150" t="s">
        <v>45</v>
      </c>
      <c r="R150" t="s">
        <v>162</v>
      </c>
      <c r="S150" s="1">
        <v>45505</v>
      </c>
      <c r="T150" s="1">
        <v>45792</v>
      </c>
      <c r="U150" t="s">
        <v>47</v>
      </c>
      <c r="V150">
        <v>1</v>
      </c>
      <c r="W150" s="1">
        <v>45757</v>
      </c>
      <c r="X150" t="s">
        <v>48</v>
      </c>
      <c r="Y150" s="2">
        <v>1</v>
      </c>
      <c r="Z150" s="2">
        <v>1</v>
      </c>
      <c r="AB150" s="3">
        <v>1</v>
      </c>
      <c r="AC150" s="2">
        <v>2</v>
      </c>
      <c r="AG150" s="2">
        <v>0</v>
      </c>
      <c r="AH150" s="2">
        <v>2</v>
      </c>
      <c r="AI150" s="2">
        <v>0</v>
      </c>
      <c r="AK150">
        <v>5343070</v>
      </c>
      <c r="AL150" t="s">
        <v>288</v>
      </c>
    </row>
    <row r="151" spans="1:38" x14ac:dyDescent="0.25">
      <c r="A151" s="1">
        <v>45763</v>
      </c>
      <c r="B151" s="1">
        <v>45762</v>
      </c>
      <c r="C151" t="s">
        <v>252</v>
      </c>
      <c r="D151" t="s">
        <v>39</v>
      </c>
      <c r="E151" t="s">
        <v>40</v>
      </c>
      <c r="F151">
        <v>43677</v>
      </c>
      <c r="H151" t="s">
        <v>41</v>
      </c>
      <c r="I151" s="5">
        <v>102068178600</v>
      </c>
      <c r="J151" t="s">
        <v>319</v>
      </c>
      <c r="M151" t="s">
        <v>93</v>
      </c>
      <c r="O151">
        <v>43611</v>
      </c>
      <c r="P151" t="s">
        <v>94</v>
      </c>
      <c r="Q151" t="s">
        <v>45</v>
      </c>
      <c r="R151" t="s">
        <v>162</v>
      </c>
      <c r="S151" s="1">
        <v>45597</v>
      </c>
      <c r="T151" s="1">
        <v>45792</v>
      </c>
      <c r="U151" t="s">
        <v>47</v>
      </c>
      <c r="V151">
        <v>1</v>
      </c>
      <c r="W151" s="1">
        <v>45757</v>
      </c>
      <c r="X151" t="s">
        <v>48</v>
      </c>
      <c r="Y151" s="2">
        <v>1</v>
      </c>
      <c r="Z151" s="2">
        <v>1</v>
      </c>
      <c r="AB151" s="3">
        <v>1</v>
      </c>
      <c r="AC151" s="2">
        <v>2</v>
      </c>
      <c r="AG151" s="2">
        <v>0</v>
      </c>
      <c r="AH151" s="2">
        <v>2</v>
      </c>
      <c r="AI151" s="2">
        <v>0</v>
      </c>
      <c r="AK151">
        <v>5343914</v>
      </c>
      <c r="AL151" t="s">
        <v>288</v>
      </c>
    </row>
    <row r="152" spans="1:38" x14ac:dyDescent="0.25">
      <c r="A152" s="1">
        <v>45763</v>
      </c>
      <c r="B152" s="1">
        <v>45762</v>
      </c>
      <c r="C152" t="s">
        <v>252</v>
      </c>
      <c r="D152" t="s">
        <v>39</v>
      </c>
      <c r="E152" t="s">
        <v>40</v>
      </c>
      <c r="F152">
        <v>43677</v>
      </c>
      <c r="H152" t="s">
        <v>41</v>
      </c>
      <c r="I152" s="5">
        <v>102029646800</v>
      </c>
      <c r="J152" t="s">
        <v>423</v>
      </c>
      <c r="M152" t="s">
        <v>89</v>
      </c>
      <c r="O152">
        <v>45604</v>
      </c>
      <c r="P152" t="s">
        <v>103</v>
      </c>
      <c r="Q152" t="s">
        <v>45</v>
      </c>
      <c r="R152" t="s">
        <v>162</v>
      </c>
      <c r="S152" s="1">
        <v>45566</v>
      </c>
      <c r="T152" s="1">
        <v>45792</v>
      </c>
      <c r="U152" t="s">
        <v>47</v>
      </c>
      <c r="V152">
        <v>1</v>
      </c>
      <c r="W152" s="1">
        <v>45757</v>
      </c>
      <c r="X152" t="s">
        <v>48</v>
      </c>
      <c r="Y152" s="2">
        <v>1</v>
      </c>
      <c r="Z152" s="2">
        <v>1</v>
      </c>
      <c r="AB152" s="3">
        <v>1</v>
      </c>
      <c r="AC152" s="2">
        <v>2</v>
      </c>
      <c r="AG152" s="2">
        <v>0</v>
      </c>
      <c r="AH152" s="2">
        <v>2</v>
      </c>
      <c r="AI152" s="2">
        <v>0</v>
      </c>
      <c r="AK152">
        <v>5343305</v>
      </c>
      <c r="AL152" t="s">
        <v>288</v>
      </c>
    </row>
    <row r="153" spans="1:38" x14ac:dyDescent="0.25">
      <c r="A153" s="1">
        <v>45763</v>
      </c>
      <c r="B153" s="1">
        <v>45762</v>
      </c>
      <c r="C153" t="s">
        <v>252</v>
      </c>
      <c r="D153" t="s">
        <v>39</v>
      </c>
      <c r="E153" t="s">
        <v>40</v>
      </c>
      <c r="F153">
        <v>43677</v>
      </c>
      <c r="H153" t="s">
        <v>41</v>
      </c>
      <c r="I153" s="5">
        <v>102049165000</v>
      </c>
      <c r="J153" t="s">
        <v>381</v>
      </c>
      <c r="M153" t="s">
        <v>89</v>
      </c>
      <c r="O153">
        <v>45604</v>
      </c>
      <c r="P153" t="s">
        <v>103</v>
      </c>
      <c r="Q153" t="s">
        <v>45</v>
      </c>
      <c r="R153" t="s">
        <v>162</v>
      </c>
      <c r="S153" s="1">
        <v>45566</v>
      </c>
      <c r="T153" s="1">
        <v>45792</v>
      </c>
      <c r="U153" t="s">
        <v>47</v>
      </c>
      <c r="V153">
        <v>1</v>
      </c>
      <c r="W153" s="1">
        <v>45757</v>
      </c>
      <c r="X153" t="s">
        <v>48</v>
      </c>
      <c r="Y153" s="2">
        <v>1</v>
      </c>
      <c r="Z153" s="2">
        <v>1</v>
      </c>
      <c r="AB153" s="3">
        <v>1</v>
      </c>
      <c r="AC153" s="2">
        <v>2</v>
      </c>
      <c r="AG153" s="2">
        <v>0</v>
      </c>
      <c r="AH153" s="2">
        <v>2</v>
      </c>
      <c r="AI153" s="2">
        <v>0</v>
      </c>
      <c r="AK153">
        <v>5343610</v>
      </c>
      <c r="AL153" t="s">
        <v>288</v>
      </c>
    </row>
    <row r="154" spans="1:38" x14ac:dyDescent="0.25">
      <c r="A154" s="1">
        <v>45763</v>
      </c>
      <c r="B154" s="1">
        <v>45762</v>
      </c>
      <c r="C154" t="s">
        <v>252</v>
      </c>
      <c r="D154" t="s">
        <v>39</v>
      </c>
      <c r="E154" t="s">
        <v>40</v>
      </c>
      <c r="F154">
        <v>43677</v>
      </c>
      <c r="H154" t="s">
        <v>41</v>
      </c>
      <c r="I154" s="5">
        <v>102050057000</v>
      </c>
      <c r="J154" t="s">
        <v>373</v>
      </c>
      <c r="M154" t="s">
        <v>93</v>
      </c>
      <c r="O154">
        <v>43691</v>
      </c>
      <c r="P154" t="s">
        <v>108</v>
      </c>
      <c r="Q154" t="s">
        <v>45</v>
      </c>
      <c r="R154" t="s">
        <v>162</v>
      </c>
      <c r="S154" s="1">
        <v>45566</v>
      </c>
      <c r="T154" s="1">
        <v>45792</v>
      </c>
      <c r="U154" t="s">
        <v>47</v>
      </c>
      <c r="V154">
        <v>1</v>
      </c>
      <c r="W154" s="1">
        <v>45757</v>
      </c>
      <c r="X154" t="s">
        <v>48</v>
      </c>
      <c r="Y154" s="2">
        <v>1</v>
      </c>
      <c r="Z154" s="2">
        <v>1</v>
      </c>
      <c r="AB154" s="3">
        <v>1</v>
      </c>
      <c r="AC154" s="2">
        <v>2</v>
      </c>
      <c r="AG154" s="2">
        <v>0</v>
      </c>
      <c r="AH154" s="2">
        <v>2</v>
      </c>
      <c r="AI154" s="2">
        <v>0</v>
      </c>
      <c r="AK154">
        <v>5343628</v>
      </c>
      <c r="AL154" t="s">
        <v>288</v>
      </c>
    </row>
    <row r="155" spans="1:38" x14ac:dyDescent="0.25">
      <c r="A155" s="1">
        <v>45763</v>
      </c>
      <c r="B155" s="1">
        <v>45762</v>
      </c>
      <c r="C155" t="s">
        <v>252</v>
      </c>
      <c r="D155" t="s">
        <v>39</v>
      </c>
      <c r="E155" t="s">
        <v>40</v>
      </c>
      <c r="F155">
        <v>43677</v>
      </c>
      <c r="H155" t="s">
        <v>41</v>
      </c>
      <c r="I155" s="5">
        <v>102074570600</v>
      </c>
      <c r="J155" t="s">
        <v>309</v>
      </c>
      <c r="M155" t="s">
        <v>112</v>
      </c>
      <c r="O155">
        <v>45717</v>
      </c>
      <c r="P155" t="s">
        <v>113</v>
      </c>
      <c r="Q155" t="s">
        <v>45</v>
      </c>
      <c r="R155" t="s">
        <v>308</v>
      </c>
      <c r="S155" s="1">
        <v>45597</v>
      </c>
      <c r="T155" s="1">
        <v>45792</v>
      </c>
      <c r="U155" t="s">
        <v>47</v>
      </c>
      <c r="V155">
        <v>1</v>
      </c>
      <c r="W155" s="1">
        <v>45757</v>
      </c>
      <c r="X155" t="s">
        <v>48</v>
      </c>
      <c r="Y155" s="2">
        <v>1</v>
      </c>
      <c r="Z155" s="2">
        <v>1</v>
      </c>
      <c r="AB155" s="3">
        <v>1</v>
      </c>
      <c r="AC155" s="2">
        <v>2</v>
      </c>
      <c r="AG155" s="2">
        <v>0</v>
      </c>
      <c r="AH155" s="2">
        <v>2</v>
      </c>
      <c r="AI155" s="2">
        <v>0</v>
      </c>
      <c r="AK155">
        <v>5343939</v>
      </c>
      <c r="AL155" t="s">
        <v>288</v>
      </c>
    </row>
    <row r="156" spans="1:38" x14ac:dyDescent="0.25">
      <c r="A156" s="1">
        <v>45763</v>
      </c>
      <c r="B156" s="1">
        <v>45762</v>
      </c>
      <c r="C156" t="s">
        <v>252</v>
      </c>
      <c r="D156" t="s">
        <v>39</v>
      </c>
      <c r="E156" t="s">
        <v>40</v>
      </c>
      <c r="F156">
        <v>43677</v>
      </c>
      <c r="H156" t="s">
        <v>41</v>
      </c>
      <c r="I156" s="5">
        <v>102035997700</v>
      </c>
      <c r="J156" t="s">
        <v>408</v>
      </c>
      <c r="M156" t="s">
        <v>93</v>
      </c>
      <c r="O156">
        <v>43679</v>
      </c>
      <c r="P156" t="s">
        <v>191</v>
      </c>
      <c r="Q156" t="s">
        <v>45</v>
      </c>
      <c r="R156" t="s">
        <v>308</v>
      </c>
      <c r="S156" s="1">
        <v>45474</v>
      </c>
      <c r="T156" s="1">
        <v>45792</v>
      </c>
      <c r="U156" t="s">
        <v>47</v>
      </c>
      <c r="V156">
        <v>1</v>
      </c>
      <c r="W156" s="1">
        <v>45757</v>
      </c>
      <c r="X156" t="s">
        <v>48</v>
      </c>
      <c r="Y156" s="2">
        <v>1</v>
      </c>
      <c r="Z156" s="2">
        <v>1</v>
      </c>
      <c r="AB156" s="3">
        <v>1</v>
      </c>
      <c r="AC156" s="2">
        <v>2</v>
      </c>
      <c r="AG156" s="2">
        <v>0</v>
      </c>
      <c r="AH156" s="2">
        <v>2</v>
      </c>
      <c r="AI156" s="2">
        <v>0</v>
      </c>
      <c r="AK156">
        <v>5343418</v>
      </c>
      <c r="AL156" t="s">
        <v>288</v>
      </c>
    </row>
    <row r="157" spans="1:38" x14ac:dyDescent="0.25">
      <c r="A157" s="1">
        <v>45756</v>
      </c>
      <c r="B157" s="1">
        <v>45756</v>
      </c>
      <c r="C157" t="s">
        <v>38</v>
      </c>
      <c r="D157" t="s">
        <v>39</v>
      </c>
      <c r="E157" t="s">
        <v>40</v>
      </c>
      <c r="F157">
        <v>43677</v>
      </c>
      <c r="H157" t="s">
        <v>41</v>
      </c>
      <c r="I157" s="5">
        <v>101246918100</v>
      </c>
      <c r="J157" t="s">
        <v>96</v>
      </c>
      <c r="M157" t="s">
        <v>89</v>
      </c>
      <c r="O157">
        <v>45618</v>
      </c>
      <c r="P157" t="s">
        <v>97</v>
      </c>
      <c r="Q157" t="s">
        <v>45</v>
      </c>
      <c r="R157" t="s">
        <v>95</v>
      </c>
      <c r="S157" s="1">
        <v>45748</v>
      </c>
      <c r="U157" t="s">
        <v>47</v>
      </c>
      <c r="X157" t="s">
        <v>48</v>
      </c>
      <c r="Y157" s="2">
        <v>0</v>
      </c>
      <c r="Z157" s="2">
        <v>37.5</v>
      </c>
      <c r="AA157">
        <v>1</v>
      </c>
      <c r="AB157" s="3">
        <v>1</v>
      </c>
      <c r="AC157" s="2">
        <v>37.5</v>
      </c>
      <c r="AD157" s="3">
        <v>0</v>
      </c>
      <c r="AE157" s="2">
        <v>0</v>
      </c>
      <c r="AF157" s="2">
        <v>37.5</v>
      </c>
      <c r="AK157">
        <v>5291253</v>
      </c>
      <c r="AL157" t="s">
        <v>91</v>
      </c>
    </row>
    <row r="158" spans="1:38" x14ac:dyDescent="0.25">
      <c r="A158" s="1">
        <v>45763</v>
      </c>
      <c r="B158" s="1">
        <v>45762</v>
      </c>
      <c r="C158" t="s">
        <v>252</v>
      </c>
      <c r="D158" t="s">
        <v>39</v>
      </c>
      <c r="E158" t="s">
        <v>40</v>
      </c>
      <c r="F158">
        <v>43677</v>
      </c>
      <c r="H158" t="s">
        <v>41</v>
      </c>
      <c r="I158" s="5">
        <v>102042978300</v>
      </c>
      <c r="J158" t="s">
        <v>392</v>
      </c>
      <c r="M158" t="s">
        <v>89</v>
      </c>
      <c r="O158">
        <v>43589</v>
      </c>
      <c r="P158" t="s">
        <v>156</v>
      </c>
      <c r="Q158" t="s">
        <v>45</v>
      </c>
      <c r="R158" t="s">
        <v>95</v>
      </c>
      <c r="S158" s="1">
        <v>45536</v>
      </c>
      <c r="T158" s="1">
        <v>45792</v>
      </c>
      <c r="U158" t="s">
        <v>47</v>
      </c>
      <c r="V158">
        <v>1</v>
      </c>
      <c r="W158" s="1">
        <v>45757</v>
      </c>
      <c r="X158" t="s">
        <v>48</v>
      </c>
      <c r="Y158" s="2">
        <v>1</v>
      </c>
      <c r="Z158" s="2">
        <v>1</v>
      </c>
      <c r="AB158" s="3">
        <v>1</v>
      </c>
      <c r="AC158" s="2">
        <v>2</v>
      </c>
      <c r="AG158" s="2">
        <v>0</v>
      </c>
      <c r="AH158" s="2">
        <v>2</v>
      </c>
      <c r="AI158" s="2">
        <v>0</v>
      </c>
      <c r="AK158">
        <v>5343524</v>
      </c>
      <c r="AL158" t="s">
        <v>288</v>
      </c>
    </row>
    <row r="159" spans="1:38" x14ac:dyDescent="0.25">
      <c r="A159" s="1">
        <v>45763</v>
      </c>
      <c r="B159" s="1">
        <v>45763</v>
      </c>
      <c r="C159" t="s">
        <v>38</v>
      </c>
      <c r="D159" t="s">
        <v>39</v>
      </c>
      <c r="E159" t="s">
        <v>40</v>
      </c>
      <c r="F159">
        <v>43677</v>
      </c>
      <c r="H159" t="s">
        <v>41</v>
      </c>
      <c r="I159" s="5">
        <v>102161969300</v>
      </c>
      <c r="J159" t="s">
        <v>210</v>
      </c>
      <c r="M159" t="s">
        <v>93</v>
      </c>
      <c r="O159">
        <v>43786</v>
      </c>
      <c r="P159" t="s">
        <v>209</v>
      </c>
      <c r="Q159" t="s">
        <v>45</v>
      </c>
      <c r="R159" t="s">
        <v>95</v>
      </c>
      <c r="S159" s="1">
        <v>45809</v>
      </c>
      <c r="U159" t="s">
        <v>47</v>
      </c>
      <c r="X159" t="s">
        <v>48</v>
      </c>
      <c r="Y159" s="2">
        <v>0</v>
      </c>
      <c r="Z159" s="2">
        <v>29.17</v>
      </c>
      <c r="AA159">
        <v>1</v>
      </c>
      <c r="AB159" s="3">
        <v>1</v>
      </c>
      <c r="AC159" s="2">
        <v>29.17</v>
      </c>
      <c r="AD159" s="3">
        <v>0</v>
      </c>
      <c r="AE159" s="2">
        <v>0</v>
      </c>
      <c r="AF159" s="2">
        <v>29.17</v>
      </c>
      <c r="AK159">
        <v>5374105</v>
      </c>
      <c r="AL159" t="s">
        <v>86</v>
      </c>
    </row>
    <row r="160" spans="1:38" x14ac:dyDescent="0.25">
      <c r="A160" s="1">
        <v>45763</v>
      </c>
      <c r="B160" s="1">
        <v>45762</v>
      </c>
      <c r="C160" t="s">
        <v>252</v>
      </c>
      <c r="D160" t="s">
        <v>39</v>
      </c>
      <c r="E160" t="s">
        <v>40</v>
      </c>
      <c r="F160">
        <v>43677</v>
      </c>
      <c r="H160" t="s">
        <v>41</v>
      </c>
      <c r="I160" s="5">
        <v>102059621800</v>
      </c>
      <c r="J160" t="s">
        <v>340</v>
      </c>
      <c r="M160" t="s">
        <v>93</v>
      </c>
      <c r="O160">
        <v>43611</v>
      </c>
      <c r="P160" t="s">
        <v>94</v>
      </c>
      <c r="Q160" t="s">
        <v>45</v>
      </c>
      <c r="R160" t="s">
        <v>95</v>
      </c>
      <c r="S160" s="1">
        <v>45566</v>
      </c>
      <c r="T160" s="1">
        <v>45792</v>
      </c>
      <c r="U160" t="s">
        <v>47</v>
      </c>
      <c r="V160">
        <v>1</v>
      </c>
      <c r="W160" s="1">
        <v>45757</v>
      </c>
      <c r="X160" t="s">
        <v>48</v>
      </c>
      <c r="Y160" s="2">
        <v>1</v>
      </c>
      <c r="Z160" s="2">
        <v>1</v>
      </c>
      <c r="AB160" s="3">
        <v>1</v>
      </c>
      <c r="AC160" s="2">
        <v>2</v>
      </c>
      <c r="AG160" s="2">
        <v>0</v>
      </c>
      <c r="AH160" s="2">
        <v>2</v>
      </c>
      <c r="AI160" s="2">
        <v>0</v>
      </c>
      <c r="AK160">
        <v>5343810</v>
      </c>
      <c r="AL160" t="s">
        <v>288</v>
      </c>
    </row>
    <row r="161" spans="1:38" x14ac:dyDescent="0.25">
      <c r="A161" s="1">
        <v>45756</v>
      </c>
      <c r="B161" s="1">
        <v>45756</v>
      </c>
      <c r="C161" t="s">
        <v>38</v>
      </c>
      <c r="D161" t="s">
        <v>39</v>
      </c>
      <c r="E161" t="s">
        <v>40</v>
      </c>
      <c r="F161">
        <v>43677</v>
      </c>
      <c r="H161" t="s">
        <v>41</v>
      </c>
      <c r="I161" s="5">
        <v>102038220200</v>
      </c>
      <c r="J161" t="s">
        <v>105</v>
      </c>
      <c r="M161" t="s">
        <v>89</v>
      </c>
      <c r="O161">
        <v>45712</v>
      </c>
      <c r="P161" t="s">
        <v>106</v>
      </c>
      <c r="Q161" t="s">
        <v>45</v>
      </c>
      <c r="R161" t="s">
        <v>95</v>
      </c>
      <c r="S161" s="1">
        <v>45748</v>
      </c>
      <c r="U161" t="s">
        <v>47</v>
      </c>
      <c r="X161" t="s">
        <v>48</v>
      </c>
      <c r="Y161" s="2">
        <v>0</v>
      </c>
      <c r="Z161" s="2">
        <v>37.5</v>
      </c>
      <c r="AA161">
        <v>1</v>
      </c>
      <c r="AB161" s="3">
        <v>1</v>
      </c>
      <c r="AC161" s="2">
        <v>37.5</v>
      </c>
      <c r="AD161" s="3">
        <v>0</v>
      </c>
      <c r="AE161" s="2">
        <v>0</v>
      </c>
      <c r="AF161" s="2">
        <v>37.5</v>
      </c>
      <c r="AK161">
        <v>5291274</v>
      </c>
      <c r="AL161" t="s">
        <v>91</v>
      </c>
    </row>
    <row r="162" spans="1:38" x14ac:dyDescent="0.25">
      <c r="A162" s="1">
        <v>45763</v>
      </c>
      <c r="B162" s="1">
        <v>45762</v>
      </c>
      <c r="C162" t="s">
        <v>252</v>
      </c>
      <c r="D162" t="s">
        <v>39</v>
      </c>
      <c r="E162" t="s">
        <v>40</v>
      </c>
      <c r="F162">
        <v>43677</v>
      </c>
      <c r="H162" t="s">
        <v>41</v>
      </c>
      <c r="I162" s="5">
        <v>102049657500</v>
      </c>
      <c r="J162" t="s">
        <v>377</v>
      </c>
      <c r="M162" t="s">
        <v>89</v>
      </c>
      <c r="O162">
        <v>43969</v>
      </c>
      <c r="P162" t="s">
        <v>74</v>
      </c>
      <c r="Q162" t="s">
        <v>45</v>
      </c>
      <c r="R162" t="s">
        <v>95</v>
      </c>
      <c r="S162" s="1">
        <v>45536</v>
      </c>
      <c r="T162" s="1">
        <v>45792</v>
      </c>
      <c r="U162" t="s">
        <v>47</v>
      </c>
      <c r="V162">
        <v>1</v>
      </c>
      <c r="W162" s="1">
        <v>45757</v>
      </c>
      <c r="X162" t="s">
        <v>48</v>
      </c>
      <c r="Y162" s="2">
        <v>1</v>
      </c>
      <c r="Z162" s="2">
        <v>1</v>
      </c>
      <c r="AB162" s="3">
        <v>1</v>
      </c>
      <c r="AC162" s="2">
        <v>2</v>
      </c>
      <c r="AG162" s="2">
        <v>0</v>
      </c>
      <c r="AH162" s="2">
        <v>2</v>
      </c>
      <c r="AI162" s="2">
        <v>0</v>
      </c>
      <c r="AK162">
        <v>5343621</v>
      </c>
      <c r="AL162" t="s">
        <v>288</v>
      </c>
    </row>
    <row r="163" spans="1:38" x14ac:dyDescent="0.25">
      <c r="A163" s="1">
        <v>45763</v>
      </c>
      <c r="B163" s="1">
        <v>45763</v>
      </c>
      <c r="C163" t="s">
        <v>38</v>
      </c>
      <c r="D163" t="s">
        <v>39</v>
      </c>
      <c r="E163" t="s">
        <v>40</v>
      </c>
      <c r="F163">
        <v>43677</v>
      </c>
      <c r="H163" t="s">
        <v>41</v>
      </c>
      <c r="I163" s="5">
        <v>102161581100</v>
      </c>
      <c r="J163" t="s">
        <v>214</v>
      </c>
      <c r="M163" t="s">
        <v>89</v>
      </c>
      <c r="O163">
        <v>45611</v>
      </c>
      <c r="P163" t="s">
        <v>68</v>
      </c>
      <c r="Q163" t="s">
        <v>45</v>
      </c>
      <c r="R163" t="s">
        <v>95</v>
      </c>
      <c r="S163" s="1">
        <v>45748</v>
      </c>
      <c r="U163" t="s">
        <v>47</v>
      </c>
      <c r="X163" t="s">
        <v>48</v>
      </c>
      <c r="Y163" s="2">
        <v>0</v>
      </c>
      <c r="Z163" s="2">
        <v>37.5</v>
      </c>
      <c r="AA163">
        <v>1</v>
      </c>
      <c r="AB163" s="3">
        <v>1</v>
      </c>
      <c r="AC163" s="2">
        <v>37.5</v>
      </c>
      <c r="AD163" s="3">
        <v>0</v>
      </c>
      <c r="AE163" s="2">
        <v>0</v>
      </c>
      <c r="AF163" s="2">
        <v>37.5</v>
      </c>
      <c r="AK163">
        <v>5374090</v>
      </c>
      <c r="AL163" t="s">
        <v>91</v>
      </c>
    </row>
    <row r="164" spans="1:38" x14ac:dyDescent="0.25">
      <c r="A164" s="1">
        <v>45763</v>
      </c>
      <c r="B164" s="1">
        <v>45762</v>
      </c>
      <c r="C164" t="s">
        <v>252</v>
      </c>
      <c r="D164" t="s">
        <v>39</v>
      </c>
      <c r="E164" t="s">
        <v>40</v>
      </c>
      <c r="F164">
        <v>43677</v>
      </c>
      <c r="H164" t="s">
        <v>41</v>
      </c>
      <c r="I164" s="5">
        <v>102059613800</v>
      </c>
      <c r="J164" t="s">
        <v>341</v>
      </c>
      <c r="M164" t="s">
        <v>93</v>
      </c>
      <c r="O164">
        <v>43611</v>
      </c>
      <c r="P164" t="s">
        <v>94</v>
      </c>
      <c r="Q164" t="s">
        <v>45</v>
      </c>
      <c r="R164" t="s">
        <v>95</v>
      </c>
      <c r="S164" s="1">
        <v>45566</v>
      </c>
      <c r="T164" s="1">
        <v>45792</v>
      </c>
      <c r="U164" t="s">
        <v>47</v>
      </c>
      <c r="V164">
        <v>1</v>
      </c>
      <c r="W164" s="1">
        <v>45757</v>
      </c>
      <c r="X164" t="s">
        <v>48</v>
      </c>
      <c r="Y164" s="2">
        <v>1</v>
      </c>
      <c r="Z164" s="2">
        <v>1</v>
      </c>
      <c r="AB164" s="3">
        <v>1</v>
      </c>
      <c r="AC164" s="2">
        <v>2</v>
      </c>
      <c r="AG164" s="2">
        <v>0</v>
      </c>
      <c r="AH164" s="2">
        <v>2</v>
      </c>
      <c r="AI164" s="2">
        <v>0</v>
      </c>
      <c r="AK164">
        <v>5343809</v>
      </c>
      <c r="AL164" t="s">
        <v>288</v>
      </c>
    </row>
    <row r="165" spans="1:38" x14ac:dyDescent="0.25">
      <c r="A165" s="1">
        <v>45763</v>
      </c>
      <c r="B165" s="1">
        <v>45763</v>
      </c>
      <c r="C165" t="s">
        <v>38</v>
      </c>
      <c r="D165" t="s">
        <v>39</v>
      </c>
      <c r="E165" t="s">
        <v>40</v>
      </c>
      <c r="F165">
        <v>43677</v>
      </c>
      <c r="H165" t="s">
        <v>41</v>
      </c>
      <c r="I165" s="5">
        <v>101249635300</v>
      </c>
      <c r="J165" t="s">
        <v>153</v>
      </c>
      <c r="M165" t="s">
        <v>43</v>
      </c>
      <c r="O165">
        <v>43736</v>
      </c>
      <c r="P165" t="s">
        <v>153</v>
      </c>
      <c r="Q165" t="s">
        <v>45</v>
      </c>
      <c r="R165" t="s">
        <v>95</v>
      </c>
      <c r="S165" s="1">
        <v>45748</v>
      </c>
      <c r="U165" t="s">
        <v>47</v>
      </c>
      <c r="X165" t="s">
        <v>48</v>
      </c>
      <c r="Y165" s="2">
        <v>0</v>
      </c>
      <c r="Z165" s="2">
        <v>37.5</v>
      </c>
      <c r="AA165">
        <v>1</v>
      </c>
      <c r="AB165" s="3">
        <v>1</v>
      </c>
      <c r="AC165" s="2">
        <v>37.5</v>
      </c>
      <c r="AD165" s="3">
        <v>0</v>
      </c>
      <c r="AE165" s="2">
        <v>0</v>
      </c>
      <c r="AF165" s="2">
        <v>37.5</v>
      </c>
      <c r="AK165">
        <v>5374025</v>
      </c>
      <c r="AL165" t="s">
        <v>91</v>
      </c>
    </row>
    <row r="166" spans="1:38" x14ac:dyDescent="0.25">
      <c r="A166" s="1">
        <v>45763</v>
      </c>
      <c r="B166" s="1">
        <v>45763</v>
      </c>
      <c r="C166" t="s">
        <v>38</v>
      </c>
      <c r="D166" t="s">
        <v>39</v>
      </c>
      <c r="E166" t="s">
        <v>40</v>
      </c>
      <c r="F166">
        <v>43677</v>
      </c>
      <c r="H166" t="s">
        <v>41</v>
      </c>
      <c r="I166" s="5">
        <v>102161176900</v>
      </c>
      <c r="J166" t="s">
        <v>217</v>
      </c>
      <c r="M166" t="s">
        <v>93</v>
      </c>
      <c r="O166">
        <v>43611</v>
      </c>
      <c r="P166" t="s">
        <v>94</v>
      </c>
      <c r="Q166" t="s">
        <v>45</v>
      </c>
      <c r="R166" t="s">
        <v>95</v>
      </c>
      <c r="S166" s="1">
        <v>45748</v>
      </c>
      <c r="U166" t="s">
        <v>47</v>
      </c>
      <c r="X166" t="s">
        <v>48</v>
      </c>
      <c r="Y166" s="2">
        <v>0</v>
      </c>
      <c r="Z166" s="2">
        <v>37.5</v>
      </c>
      <c r="AA166">
        <v>1</v>
      </c>
      <c r="AB166" s="3">
        <v>1</v>
      </c>
      <c r="AC166" s="2">
        <v>37.5</v>
      </c>
      <c r="AD166" s="3">
        <v>0</v>
      </c>
      <c r="AE166" s="2">
        <v>0</v>
      </c>
      <c r="AF166" s="2">
        <v>37.5</v>
      </c>
      <c r="AK166">
        <v>5374076</v>
      </c>
      <c r="AL166" t="s">
        <v>91</v>
      </c>
    </row>
    <row r="167" spans="1:38" x14ac:dyDescent="0.25">
      <c r="A167" s="1">
        <v>45756</v>
      </c>
      <c r="B167" s="1">
        <v>45756</v>
      </c>
      <c r="C167" t="s">
        <v>38</v>
      </c>
      <c r="D167" t="s">
        <v>39</v>
      </c>
      <c r="E167" t="s">
        <v>40</v>
      </c>
      <c r="F167">
        <v>43677</v>
      </c>
      <c r="H167" t="s">
        <v>41</v>
      </c>
      <c r="I167" s="5">
        <v>101123136100</v>
      </c>
      <c r="J167" t="s">
        <v>92</v>
      </c>
      <c r="M167" t="s">
        <v>93</v>
      </c>
      <c r="O167">
        <v>43611</v>
      </c>
      <c r="P167" t="s">
        <v>94</v>
      </c>
      <c r="Q167" t="s">
        <v>45</v>
      </c>
      <c r="R167" t="s">
        <v>95</v>
      </c>
      <c r="S167" s="1">
        <v>45748</v>
      </c>
      <c r="U167" t="s">
        <v>47</v>
      </c>
      <c r="X167" t="s">
        <v>48</v>
      </c>
      <c r="Y167" s="2">
        <v>0</v>
      </c>
      <c r="Z167" s="2">
        <v>37.5</v>
      </c>
      <c r="AA167">
        <v>1</v>
      </c>
      <c r="AB167" s="3">
        <v>1</v>
      </c>
      <c r="AC167" s="2">
        <v>37.5</v>
      </c>
      <c r="AD167" s="3">
        <v>0</v>
      </c>
      <c r="AE167" s="2">
        <v>0</v>
      </c>
      <c r="AF167" s="2">
        <v>37.5</v>
      </c>
      <c r="AK167">
        <v>5291251</v>
      </c>
      <c r="AL167" t="s">
        <v>91</v>
      </c>
    </row>
    <row r="168" spans="1:38" x14ac:dyDescent="0.25">
      <c r="A168" s="1">
        <v>45763</v>
      </c>
      <c r="B168" s="1">
        <v>45763</v>
      </c>
      <c r="C168" t="s">
        <v>38</v>
      </c>
      <c r="D168" t="s">
        <v>39</v>
      </c>
      <c r="E168" t="s">
        <v>40</v>
      </c>
      <c r="F168">
        <v>43677</v>
      </c>
      <c r="H168" t="s">
        <v>41</v>
      </c>
      <c r="I168" s="5">
        <v>102161621900</v>
      </c>
      <c r="J168" t="s">
        <v>213</v>
      </c>
      <c r="M168" t="s">
        <v>89</v>
      </c>
      <c r="O168">
        <v>45611</v>
      </c>
      <c r="P168" t="s">
        <v>68</v>
      </c>
      <c r="Q168" t="s">
        <v>45</v>
      </c>
      <c r="R168" t="s">
        <v>95</v>
      </c>
      <c r="S168" s="1">
        <v>45748</v>
      </c>
      <c r="U168" t="s">
        <v>47</v>
      </c>
      <c r="X168" t="s">
        <v>48</v>
      </c>
      <c r="Y168" s="2">
        <v>0</v>
      </c>
      <c r="Z168" s="2">
        <v>37.5</v>
      </c>
      <c r="AA168">
        <v>1</v>
      </c>
      <c r="AB168" s="3">
        <v>1</v>
      </c>
      <c r="AC168" s="2">
        <v>37.5</v>
      </c>
      <c r="AD168" s="3">
        <v>0</v>
      </c>
      <c r="AE168" s="2">
        <v>0</v>
      </c>
      <c r="AF168" s="2">
        <v>37.5</v>
      </c>
      <c r="AK168">
        <v>5374095</v>
      </c>
      <c r="AL168" t="s">
        <v>91</v>
      </c>
    </row>
    <row r="169" spans="1:38" x14ac:dyDescent="0.25">
      <c r="A169" s="1">
        <v>45763</v>
      </c>
      <c r="B169" s="1">
        <v>45762</v>
      </c>
      <c r="C169" t="s">
        <v>252</v>
      </c>
      <c r="D169" t="s">
        <v>39</v>
      </c>
      <c r="E169" t="s">
        <v>40</v>
      </c>
      <c r="F169">
        <v>43677</v>
      </c>
      <c r="H169" t="s">
        <v>41</v>
      </c>
      <c r="I169" s="5">
        <v>102033829400</v>
      </c>
      <c r="J169" t="s">
        <v>417</v>
      </c>
      <c r="M169" t="s">
        <v>84</v>
      </c>
      <c r="O169">
        <v>43585</v>
      </c>
      <c r="P169" t="s">
        <v>343</v>
      </c>
      <c r="Q169" t="s">
        <v>45</v>
      </c>
      <c r="R169" t="s">
        <v>95</v>
      </c>
      <c r="S169" s="1">
        <v>45505</v>
      </c>
      <c r="T169" s="1">
        <v>45792</v>
      </c>
      <c r="U169" t="s">
        <v>47</v>
      </c>
      <c r="V169">
        <v>1</v>
      </c>
      <c r="W169" s="1">
        <v>45757</v>
      </c>
      <c r="X169" t="s">
        <v>48</v>
      </c>
      <c r="Y169" s="2">
        <v>1</v>
      </c>
      <c r="Z169" s="2">
        <v>1</v>
      </c>
      <c r="AB169" s="3">
        <v>1</v>
      </c>
      <c r="AC169" s="2">
        <v>2</v>
      </c>
      <c r="AG169" s="2">
        <v>0</v>
      </c>
      <c r="AH169" s="2">
        <v>2</v>
      </c>
      <c r="AI169" s="2">
        <v>0</v>
      </c>
      <c r="AK169">
        <v>5343367</v>
      </c>
      <c r="AL169" t="s">
        <v>288</v>
      </c>
    </row>
    <row r="170" spans="1:38" x14ac:dyDescent="0.25">
      <c r="A170" s="1">
        <v>45763</v>
      </c>
      <c r="B170" s="1">
        <v>45762</v>
      </c>
      <c r="C170" t="s">
        <v>252</v>
      </c>
      <c r="D170" t="s">
        <v>39</v>
      </c>
      <c r="E170" t="s">
        <v>40</v>
      </c>
      <c r="F170">
        <v>43677</v>
      </c>
      <c r="H170" t="s">
        <v>41</v>
      </c>
      <c r="I170" s="5">
        <v>101458074100</v>
      </c>
      <c r="J170" t="s">
        <v>464</v>
      </c>
      <c r="M170" t="s">
        <v>84</v>
      </c>
      <c r="O170">
        <v>43679</v>
      </c>
      <c r="P170" t="s">
        <v>191</v>
      </c>
      <c r="Q170" t="s">
        <v>45</v>
      </c>
      <c r="R170" t="s">
        <v>95</v>
      </c>
      <c r="S170" s="1">
        <v>45597</v>
      </c>
      <c r="T170" s="1">
        <v>45792</v>
      </c>
      <c r="U170" t="s">
        <v>47</v>
      </c>
      <c r="V170">
        <v>1</v>
      </c>
      <c r="W170" s="1">
        <v>45757</v>
      </c>
      <c r="X170" t="s">
        <v>48</v>
      </c>
      <c r="Y170" s="2">
        <v>1</v>
      </c>
      <c r="Z170" s="2">
        <v>1</v>
      </c>
      <c r="AB170" s="3">
        <v>1</v>
      </c>
      <c r="AC170" s="2">
        <v>2</v>
      </c>
      <c r="AG170" s="2">
        <v>0</v>
      </c>
      <c r="AH170" s="2">
        <v>2</v>
      </c>
      <c r="AI170" s="2">
        <v>0</v>
      </c>
      <c r="AK170">
        <v>5338620</v>
      </c>
      <c r="AL170" t="s">
        <v>288</v>
      </c>
    </row>
    <row r="171" spans="1:38" x14ac:dyDescent="0.25">
      <c r="A171" s="1">
        <v>45763</v>
      </c>
      <c r="B171" s="1">
        <v>45763</v>
      </c>
      <c r="C171" t="s">
        <v>38</v>
      </c>
      <c r="D171" t="s">
        <v>39</v>
      </c>
      <c r="E171" t="s">
        <v>40</v>
      </c>
      <c r="F171">
        <v>43677</v>
      </c>
      <c r="H171" t="s">
        <v>41</v>
      </c>
      <c r="I171" s="5">
        <v>102160426700</v>
      </c>
      <c r="J171" t="s">
        <v>221</v>
      </c>
      <c r="M171" t="s">
        <v>89</v>
      </c>
      <c r="O171">
        <v>45632</v>
      </c>
      <c r="P171" t="s">
        <v>70</v>
      </c>
      <c r="Q171" t="s">
        <v>45</v>
      </c>
      <c r="R171" t="s">
        <v>95</v>
      </c>
      <c r="S171" s="1">
        <v>45748</v>
      </c>
      <c r="U171" t="s">
        <v>47</v>
      </c>
      <c r="X171" t="s">
        <v>48</v>
      </c>
      <c r="Y171" s="2">
        <v>0</v>
      </c>
      <c r="Z171" s="2">
        <v>37.5</v>
      </c>
      <c r="AA171">
        <v>1</v>
      </c>
      <c r="AB171" s="3">
        <v>1</v>
      </c>
      <c r="AC171" s="2">
        <v>37.5</v>
      </c>
      <c r="AD171" s="3">
        <v>0</v>
      </c>
      <c r="AE171" s="2">
        <v>0</v>
      </c>
      <c r="AF171" s="2">
        <v>37.5</v>
      </c>
      <c r="AK171">
        <v>5374056</v>
      </c>
      <c r="AL171" t="s">
        <v>91</v>
      </c>
    </row>
    <row r="172" spans="1:38" x14ac:dyDescent="0.25">
      <c r="A172" s="1">
        <v>45763</v>
      </c>
      <c r="B172" s="1">
        <v>45763</v>
      </c>
      <c r="C172" t="s">
        <v>38</v>
      </c>
      <c r="D172" t="s">
        <v>39</v>
      </c>
      <c r="E172" t="s">
        <v>40</v>
      </c>
      <c r="F172">
        <v>43677</v>
      </c>
      <c r="H172" t="s">
        <v>41</v>
      </c>
      <c r="I172" s="5">
        <v>102161520300</v>
      </c>
      <c r="J172" t="s">
        <v>215</v>
      </c>
      <c r="M172" t="s">
        <v>93</v>
      </c>
      <c r="O172">
        <v>43679</v>
      </c>
      <c r="P172" t="s">
        <v>191</v>
      </c>
      <c r="Q172" t="s">
        <v>45</v>
      </c>
      <c r="R172" t="s">
        <v>95</v>
      </c>
      <c r="S172" s="1">
        <v>45748</v>
      </c>
      <c r="U172" t="s">
        <v>47</v>
      </c>
      <c r="X172" t="s">
        <v>48</v>
      </c>
      <c r="Y172" s="2">
        <v>0</v>
      </c>
      <c r="Z172" s="2">
        <v>37.5</v>
      </c>
      <c r="AA172">
        <v>1</v>
      </c>
      <c r="AB172" s="3">
        <v>1</v>
      </c>
      <c r="AC172" s="2">
        <v>37.5</v>
      </c>
      <c r="AD172" s="3">
        <v>0</v>
      </c>
      <c r="AE172" s="2">
        <v>0</v>
      </c>
      <c r="AF172" s="2">
        <v>37.5</v>
      </c>
      <c r="AK172">
        <v>5374085</v>
      </c>
      <c r="AL172" t="s">
        <v>91</v>
      </c>
    </row>
    <row r="173" spans="1:38" x14ac:dyDescent="0.25">
      <c r="A173" s="1">
        <v>45763</v>
      </c>
      <c r="B173" s="1">
        <v>45763</v>
      </c>
      <c r="C173" t="s">
        <v>38</v>
      </c>
      <c r="D173" t="s">
        <v>39</v>
      </c>
      <c r="E173" t="s">
        <v>40</v>
      </c>
      <c r="F173">
        <v>43677</v>
      </c>
      <c r="H173" t="s">
        <v>41</v>
      </c>
      <c r="I173" s="5">
        <v>102160410700</v>
      </c>
      <c r="J173" t="s">
        <v>222</v>
      </c>
      <c r="M173" t="s">
        <v>89</v>
      </c>
      <c r="O173">
        <v>45604</v>
      </c>
      <c r="P173" t="s">
        <v>103</v>
      </c>
      <c r="Q173" t="s">
        <v>45</v>
      </c>
      <c r="R173" t="s">
        <v>95</v>
      </c>
      <c r="S173" s="1">
        <v>45748</v>
      </c>
      <c r="U173" t="s">
        <v>47</v>
      </c>
      <c r="X173" t="s">
        <v>48</v>
      </c>
      <c r="Y173" s="2">
        <v>0</v>
      </c>
      <c r="Z173" s="2">
        <v>37.5</v>
      </c>
      <c r="AA173">
        <v>1</v>
      </c>
      <c r="AB173" s="3">
        <v>1</v>
      </c>
      <c r="AC173" s="2">
        <v>37.5</v>
      </c>
      <c r="AD173" s="3">
        <v>0</v>
      </c>
      <c r="AE173" s="2">
        <v>0</v>
      </c>
      <c r="AF173" s="2">
        <v>37.5</v>
      </c>
      <c r="AK173">
        <v>5374054</v>
      </c>
      <c r="AL173" t="s">
        <v>91</v>
      </c>
    </row>
    <row r="174" spans="1:38" x14ac:dyDescent="0.25">
      <c r="A174" s="1">
        <v>45763</v>
      </c>
      <c r="B174" s="1">
        <v>45762</v>
      </c>
      <c r="C174" t="s">
        <v>252</v>
      </c>
      <c r="D174" t="s">
        <v>39</v>
      </c>
      <c r="E174" t="s">
        <v>40</v>
      </c>
      <c r="F174">
        <v>43677</v>
      </c>
      <c r="H174" t="s">
        <v>41</v>
      </c>
      <c r="I174" s="5">
        <v>102079872100</v>
      </c>
      <c r="J174" t="s">
        <v>305</v>
      </c>
      <c r="M174" t="s">
        <v>93</v>
      </c>
      <c r="O174">
        <v>43611</v>
      </c>
      <c r="P174" t="s">
        <v>94</v>
      </c>
      <c r="Q174" t="s">
        <v>45</v>
      </c>
      <c r="R174" t="s">
        <v>95</v>
      </c>
      <c r="S174" s="1">
        <v>45597</v>
      </c>
      <c r="T174" s="1">
        <v>45792</v>
      </c>
      <c r="U174" t="s">
        <v>47</v>
      </c>
      <c r="V174">
        <v>1</v>
      </c>
      <c r="W174" s="1">
        <v>45757</v>
      </c>
      <c r="X174" t="s">
        <v>48</v>
      </c>
      <c r="Y174" s="2">
        <v>1</v>
      </c>
      <c r="Z174" s="2">
        <v>1</v>
      </c>
      <c r="AB174" s="3">
        <v>1</v>
      </c>
      <c r="AC174" s="2">
        <v>2</v>
      </c>
      <c r="AG174" s="2">
        <v>0</v>
      </c>
      <c r="AH174" s="2">
        <v>2</v>
      </c>
      <c r="AI174" s="2">
        <v>0</v>
      </c>
      <c r="AK174">
        <v>5343954</v>
      </c>
      <c r="AL174" t="s">
        <v>288</v>
      </c>
    </row>
    <row r="175" spans="1:38" x14ac:dyDescent="0.25">
      <c r="A175" s="1">
        <v>45763</v>
      </c>
      <c r="B175" s="1">
        <v>45762</v>
      </c>
      <c r="C175" t="s">
        <v>252</v>
      </c>
      <c r="D175" t="s">
        <v>39</v>
      </c>
      <c r="E175" t="s">
        <v>40</v>
      </c>
      <c r="F175">
        <v>43677</v>
      </c>
      <c r="H175" t="s">
        <v>41</v>
      </c>
      <c r="I175" s="5">
        <v>101301145800</v>
      </c>
      <c r="J175" t="s">
        <v>467</v>
      </c>
      <c r="M175" t="s">
        <v>93</v>
      </c>
      <c r="O175">
        <v>43679</v>
      </c>
      <c r="P175" t="s">
        <v>191</v>
      </c>
      <c r="Q175" t="s">
        <v>45</v>
      </c>
      <c r="R175" t="s">
        <v>95</v>
      </c>
      <c r="S175" s="1">
        <v>45566</v>
      </c>
      <c r="T175" s="1">
        <v>45792</v>
      </c>
      <c r="U175" t="s">
        <v>47</v>
      </c>
      <c r="V175">
        <v>1</v>
      </c>
      <c r="W175" s="1">
        <v>45757</v>
      </c>
      <c r="X175" t="s">
        <v>48</v>
      </c>
      <c r="Y175" s="2">
        <v>1</v>
      </c>
      <c r="Z175" s="2">
        <v>1</v>
      </c>
      <c r="AB175" s="3">
        <v>1</v>
      </c>
      <c r="AC175" s="2">
        <v>2</v>
      </c>
      <c r="AG175" s="2">
        <v>0</v>
      </c>
      <c r="AH175" s="2">
        <v>2</v>
      </c>
      <c r="AI175" s="2">
        <v>0</v>
      </c>
      <c r="AK175">
        <v>5338369</v>
      </c>
      <c r="AL175" t="s">
        <v>288</v>
      </c>
    </row>
    <row r="176" spans="1:38" x14ac:dyDescent="0.25">
      <c r="A176" s="1">
        <v>45763</v>
      </c>
      <c r="B176" s="1">
        <v>45762</v>
      </c>
      <c r="C176" t="s">
        <v>252</v>
      </c>
      <c r="D176" t="s">
        <v>39</v>
      </c>
      <c r="E176" t="s">
        <v>40</v>
      </c>
      <c r="F176">
        <v>43677</v>
      </c>
      <c r="H176" t="s">
        <v>41</v>
      </c>
      <c r="I176" s="5">
        <v>102063811100</v>
      </c>
      <c r="J176" t="s">
        <v>332</v>
      </c>
      <c r="M176" t="s">
        <v>331</v>
      </c>
      <c r="O176">
        <v>45632</v>
      </c>
      <c r="P176" t="s">
        <v>70</v>
      </c>
      <c r="Q176" t="s">
        <v>45</v>
      </c>
      <c r="R176" t="s">
        <v>95</v>
      </c>
      <c r="S176" s="1">
        <v>45566</v>
      </c>
      <c r="T176" s="1">
        <v>45792</v>
      </c>
      <c r="U176" t="s">
        <v>47</v>
      </c>
      <c r="V176">
        <v>1</v>
      </c>
      <c r="W176" s="1">
        <v>45757</v>
      </c>
      <c r="X176" t="s">
        <v>48</v>
      </c>
      <c r="Y176" s="2">
        <v>1</v>
      </c>
      <c r="Z176" s="2">
        <v>1</v>
      </c>
      <c r="AB176" s="3">
        <v>1</v>
      </c>
      <c r="AC176" s="2">
        <v>2</v>
      </c>
      <c r="AG176" s="2">
        <v>0</v>
      </c>
      <c r="AH176" s="2">
        <v>2</v>
      </c>
      <c r="AI176" s="2">
        <v>0</v>
      </c>
      <c r="AK176">
        <v>5343864</v>
      </c>
      <c r="AL176" t="s">
        <v>288</v>
      </c>
    </row>
    <row r="177" spans="1:38" x14ac:dyDescent="0.25">
      <c r="A177" s="1">
        <v>45763</v>
      </c>
      <c r="B177" s="1">
        <v>45762</v>
      </c>
      <c r="C177" t="s">
        <v>252</v>
      </c>
      <c r="D177" t="s">
        <v>39</v>
      </c>
      <c r="E177" t="s">
        <v>40</v>
      </c>
      <c r="F177">
        <v>43677</v>
      </c>
      <c r="H177" t="s">
        <v>41</v>
      </c>
      <c r="I177" s="5">
        <v>102023366700</v>
      </c>
      <c r="J177" t="s">
        <v>431</v>
      </c>
      <c r="M177" t="s">
        <v>93</v>
      </c>
      <c r="O177">
        <v>43611</v>
      </c>
      <c r="P177" t="s">
        <v>94</v>
      </c>
      <c r="Q177" t="s">
        <v>45</v>
      </c>
      <c r="R177" t="s">
        <v>95</v>
      </c>
      <c r="S177" s="1">
        <v>45505</v>
      </c>
      <c r="T177" s="1">
        <v>45792</v>
      </c>
      <c r="U177" t="s">
        <v>47</v>
      </c>
      <c r="V177">
        <v>1</v>
      </c>
      <c r="W177" s="1">
        <v>45757</v>
      </c>
      <c r="X177" t="s">
        <v>48</v>
      </c>
      <c r="Y177" s="2">
        <v>1</v>
      </c>
      <c r="Z177" s="2">
        <v>1</v>
      </c>
      <c r="AB177" s="3">
        <v>1</v>
      </c>
      <c r="AC177" s="2">
        <v>2</v>
      </c>
      <c r="AG177" s="2">
        <v>0</v>
      </c>
      <c r="AH177" s="2">
        <v>2</v>
      </c>
      <c r="AI177" s="2">
        <v>0</v>
      </c>
      <c r="AK177">
        <v>5343208</v>
      </c>
      <c r="AL177" t="s">
        <v>288</v>
      </c>
    </row>
    <row r="178" spans="1:38" x14ac:dyDescent="0.25">
      <c r="A178" s="1">
        <v>45763</v>
      </c>
      <c r="B178" s="1">
        <v>45763</v>
      </c>
      <c r="C178" t="s">
        <v>38</v>
      </c>
      <c r="D178" t="s">
        <v>39</v>
      </c>
      <c r="E178" t="s">
        <v>40</v>
      </c>
      <c r="F178">
        <v>43677</v>
      </c>
      <c r="H178" t="s">
        <v>41</v>
      </c>
      <c r="I178" s="5">
        <v>101302951000</v>
      </c>
      <c r="J178" t="s">
        <v>224</v>
      </c>
      <c r="M178" t="s">
        <v>93</v>
      </c>
      <c r="O178">
        <v>43677</v>
      </c>
      <c r="P178" t="s">
        <v>41</v>
      </c>
      <c r="Q178" t="s">
        <v>45</v>
      </c>
      <c r="R178" t="s">
        <v>95</v>
      </c>
      <c r="S178" s="1">
        <v>45748</v>
      </c>
      <c r="U178" t="s">
        <v>47</v>
      </c>
      <c r="X178" t="s">
        <v>48</v>
      </c>
      <c r="Y178" s="2">
        <v>0</v>
      </c>
      <c r="Z178" s="2">
        <v>37.5</v>
      </c>
      <c r="AA178">
        <v>1</v>
      </c>
      <c r="AB178" s="3">
        <v>1</v>
      </c>
      <c r="AC178" s="2">
        <v>37.5</v>
      </c>
      <c r="AD178" s="3">
        <v>0</v>
      </c>
      <c r="AE178" s="2">
        <v>0</v>
      </c>
      <c r="AF178" s="2">
        <v>37.5</v>
      </c>
      <c r="AK178">
        <v>5374027</v>
      </c>
      <c r="AL178" t="s">
        <v>91</v>
      </c>
    </row>
    <row r="179" spans="1:38" x14ac:dyDescent="0.25">
      <c r="A179" s="1">
        <v>45763</v>
      </c>
      <c r="B179" s="1">
        <v>45762</v>
      </c>
      <c r="C179" t="s">
        <v>252</v>
      </c>
      <c r="D179" t="s">
        <v>39</v>
      </c>
      <c r="E179" t="s">
        <v>40</v>
      </c>
      <c r="F179">
        <v>43677</v>
      </c>
      <c r="H179" t="s">
        <v>41</v>
      </c>
      <c r="I179" s="5">
        <v>101987999900</v>
      </c>
      <c r="J179" t="s">
        <v>460</v>
      </c>
      <c r="M179" t="s">
        <v>369</v>
      </c>
      <c r="O179">
        <v>43677</v>
      </c>
      <c r="P179" t="s">
        <v>41</v>
      </c>
      <c r="Q179" t="s">
        <v>45</v>
      </c>
      <c r="R179" t="s">
        <v>95</v>
      </c>
      <c r="S179" s="1">
        <v>45536</v>
      </c>
      <c r="T179" s="1">
        <v>45792</v>
      </c>
      <c r="U179" t="s">
        <v>47</v>
      </c>
      <c r="V179">
        <v>1</v>
      </c>
      <c r="W179" s="1">
        <v>45757</v>
      </c>
      <c r="X179" t="s">
        <v>48</v>
      </c>
      <c r="Y179" s="2">
        <v>1</v>
      </c>
      <c r="Z179" s="2">
        <v>1</v>
      </c>
      <c r="AB179" s="3">
        <v>1</v>
      </c>
      <c r="AC179" s="2">
        <v>2</v>
      </c>
      <c r="AG179" s="2">
        <v>0</v>
      </c>
      <c r="AH179" s="2">
        <v>2</v>
      </c>
      <c r="AI179" s="2">
        <v>0</v>
      </c>
      <c r="AK179">
        <v>5342834</v>
      </c>
      <c r="AL179" t="s">
        <v>288</v>
      </c>
    </row>
    <row r="180" spans="1:38" x14ac:dyDescent="0.25">
      <c r="A180" s="1">
        <v>45756</v>
      </c>
      <c r="B180" s="1">
        <v>45756</v>
      </c>
      <c r="C180" t="s">
        <v>38</v>
      </c>
      <c r="D180" t="s">
        <v>39</v>
      </c>
      <c r="E180" t="s">
        <v>40</v>
      </c>
      <c r="F180">
        <v>43677</v>
      </c>
      <c r="H180" t="s">
        <v>41</v>
      </c>
      <c r="I180" s="5">
        <v>102160093600</v>
      </c>
      <c r="J180" t="s">
        <v>115</v>
      </c>
      <c r="M180" t="s">
        <v>89</v>
      </c>
      <c r="O180">
        <v>45612</v>
      </c>
      <c r="P180" t="s">
        <v>99</v>
      </c>
      <c r="Q180" t="s">
        <v>45</v>
      </c>
      <c r="R180" t="s">
        <v>95</v>
      </c>
      <c r="S180" s="1">
        <v>45748</v>
      </c>
      <c r="U180" t="s">
        <v>47</v>
      </c>
      <c r="X180" t="s">
        <v>48</v>
      </c>
      <c r="Y180" s="2">
        <v>0</v>
      </c>
      <c r="Z180" s="2">
        <v>37.5</v>
      </c>
      <c r="AA180">
        <v>1</v>
      </c>
      <c r="AB180" s="3">
        <v>1</v>
      </c>
      <c r="AC180" s="2">
        <v>37.5</v>
      </c>
      <c r="AD180" s="3">
        <v>0</v>
      </c>
      <c r="AE180" s="2">
        <v>0</v>
      </c>
      <c r="AF180" s="2">
        <v>37.5</v>
      </c>
      <c r="AK180">
        <v>5291332</v>
      </c>
      <c r="AL180" t="s">
        <v>91</v>
      </c>
    </row>
    <row r="181" spans="1:38" x14ac:dyDescent="0.25">
      <c r="A181" s="1">
        <v>45763</v>
      </c>
      <c r="B181" s="1">
        <v>45762</v>
      </c>
      <c r="C181" t="s">
        <v>252</v>
      </c>
      <c r="D181" t="s">
        <v>39</v>
      </c>
      <c r="E181" t="s">
        <v>40</v>
      </c>
      <c r="F181">
        <v>43677</v>
      </c>
      <c r="H181" t="s">
        <v>41</v>
      </c>
      <c r="I181" s="5" t="s">
        <v>911</v>
      </c>
      <c r="J181" t="s">
        <v>289</v>
      </c>
      <c r="M181" t="s">
        <v>89</v>
      </c>
      <c r="O181">
        <v>45605</v>
      </c>
      <c r="P181" t="s">
        <v>50</v>
      </c>
      <c r="Q181" t="s">
        <v>250</v>
      </c>
      <c r="R181" t="s">
        <v>95</v>
      </c>
      <c r="S181" s="1">
        <v>45627</v>
      </c>
      <c r="U181" t="s">
        <v>47</v>
      </c>
      <c r="X181" t="s">
        <v>48</v>
      </c>
      <c r="Y181" s="2">
        <v>0</v>
      </c>
      <c r="Z181" s="2">
        <v>0</v>
      </c>
      <c r="AB181" s="3">
        <v>1</v>
      </c>
      <c r="AC181" s="2">
        <v>-4.17</v>
      </c>
      <c r="AG181" s="2">
        <v>0</v>
      </c>
      <c r="AH181" s="2">
        <v>-4.17</v>
      </c>
      <c r="AI181" s="2">
        <v>0</v>
      </c>
      <c r="AK181">
        <v>0</v>
      </c>
      <c r="AL181" t="s">
        <v>286</v>
      </c>
    </row>
    <row r="182" spans="1:38" x14ac:dyDescent="0.25">
      <c r="A182" s="1">
        <v>45756</v>
      </c>
      <c r="B182" s="1">
        <v>45756</v>
      </c>
      <c r="C182" t="s">
        <v>38</v>
      </c>
      <c r="D182" t="s">
        <v>39</v>
      </c>
      <c r="E182" t="s">
        <v>40</v>
      </c>
      <c r="F182">
        <v>43677</v>
      </c>
      <c r="H182" t="s">
        <v>41</v>
      </c>
      <c r="I182" s="5">
        <v>102160129600</v>
      </c>
      <c r="J182" t="s">
        <v>120</v>
      </c>
      <c r="M182" t="s">
        <v>89</v>
      </c>
      <c r="O182">
        <v>45632</v>
      </c>
      <c r="P182" t="s">
        <v>70</v>
      </c>
      <c r="Q182" t="s">
        <v>45</v>
      </c>
      <c r="R182" t="s">
        <v>95</v>
      </c>
      <c r="S182" s="1">
        <v>45748</v>
      </c>
      <c r="U182" t="s">
        <v>47</v>
      </c>
      <c r="X182" t="s">
        <v>48</v>
      </c>
      <c r="Y182" s="2">
        <v>0</v>
      </c>
      <c r="Z182" s="2">
        <v>37.5</v>
      </c>
      <c r="AA182">
        <v>1</v>
      </c>
      <c r="AB182" s="3">
        <v>1</v>
      </c>
      <c r="AC182" s="2">
        <v>37.5</v>
      </c>
      <c r="AD182" s="3">
        <v>0</v>
      </c>
      <c r="AE182" s="2">
        <v>0</v>
      </c>
      <c r="AF182" s="2">
        <v>37.5</v>
      </c>
      <c r="AK182">
        <v>5291335</v>
      </c>
      <c r="AL182" t="s">
        <v>91</v>
      </c>
    </row>
    <row r="183" spans="1:38" x14ac:dyDescent="0.25">
      <c r="A183" s="1">
        <v>45763</v>
      </c>
      <c r="B183" s="1">
        <v>45762</v>
      </c>
      <c r="C183" t="s">
        <v>252</v>
      </c>
      <c r="D183" t="s">
        <v>39</v>
      </c>
      <c r="E183" t="s">
        <v>40</v>
      </c>
      <c r="F183">
        <v>43677</v>
      </c>
      <c r="H183" t="s">
        <v>41</v>
      </c>
      <c r="I183" s="5">
        <v>102070306300</v>
      </c>
      <c r="J183" t="s">
        <v>312</v>
      </c>
      <c r="M183" t="s">
        <v>133</v>
      </c>
      <c r="O183">
        <v>43618</v>
      </c>
      <c r="P183" t="s">
        <v>44</v>
      </c>
      <c r="Q183" t="s">
        <v>45</v>
      </c>
      <c r="R183" t="s">
        <v>95</v>
      </c>
      <c r="S183" s="1">
        <v>45597</v>
      </c>
      <c r="T183" s="1">
        <v>45792</v>
      </c>
      <c r="U183" t="s">
        <v>47</v>
      </c>
      <c r="V183">
        <v>1</v>
      </c>
      <c r="W183" s="1">
        <v>45757</v>
      </c>
      <c r="X183" t="s">
        <v>48</v>
      </c>
      <c r="Y183" s="2">
        <v>1</v>
      </c>
      <c r="Z183" s="2">
        <v>1</v>
      </c>
      <c r="AB183" s="3">
        <v>1</v>
      </c>
      <c r="AC183" s="2">
        <v>2</v>
      </c>
      <c r="AG183" s="2">
        <v>0</v>
      </c>
      <c r="AH183" s="2">
        <v>2</v>
      </c>
      <c r="AI183" s="2">
        <v>0</v>
      </c>
      <c r="AK183">
        <v>5343923</v>
      </c>
      <c r="AL183" t="s">
        <v>288</v>
      </c>
    </row>
    <row r="184" spans="1:38" x14ac:dyDescent="0.25">
      <c r="A184" s="1">
        <v>45756</v>
      </c>
      <c r="B184" s="1">
        <v>45756</v>
      </c>
      <c r="C184" t="s">
        <v>38</v>
      </c>
      <c r="D184" t="s">
        <v>39</v>
      </c>
      <c r="E184" t="s">
        <v>40</v>
      </c>
      <c r="F184">
        <v>43677</v>
      </c>
      <c r="H184" t="s">
        <v>41</v>
      </c>
      <c r="I184" s="5">
        <v>101853428500</v>
      </c>
      <c r="J184" t="s">
        <v>104</v>
      </c>
      <c r="M184" t="s">
        <v>43</v>
      </c>
      <c r="O184">
        <v>43618</v>
      </c>
      <c r="P184" t="s">
        <v>44</v>
      </c>
      <c r="Q184" t="s">
        <v>45</v>
      </c>
      <c r="R184" t="s">
        <v>95</v>
      </c>
      <c r="S184" s="1">
        <v>45748</v>
      </c>
      <c r="U184" t="s">
        <v>47</v>
      </c>
      <c r="X184" t="s">
        <v>48</v>
      </c>
      <c r="Y184" s="2">
        <v>0</v>
      </c>
      <c r="Z184" s="2">
        <v>37.5</v>
      </c>
      <c r="AA184">
        <v>1</v>
      </c>
      <c r="AB184" s="3">
        <v>1</v>
      </c>
      <c r="AC184" s="2">
        <v>37.5</v>
      </c>
      <c r="AD184" s="3">
        <v>0</v>
      </c>
      <c r="AE184" s="2">
        <v>0</v>
      </c>
      <c r="AF184" s="2">
        <v>37.5</v>
      </c>
      <c r="AK184">
        <v>5291267</v>
      </c>
      <c r="AL184" t="s">
        <v>91</v>
      </c>
    </row>
    <row r="185" spans="1:38" x14ac:dyDescent="0.25">
      <c r="A185" s="1">
        <v>45763</v>
      </c>
      <c r="B185" s="1">
        <v>45762</v>
      </c>
      <c r="C185" t="s">
        <v>252</v>
      </c>
      <c r="D185" t="s">
        <v>39</v>
      </c>
      <c r="E185" t="s">
        <v>40</v>
      </c>
      <c r="F185">
        <v>43677</v>
      </c>
      <c r="H185" t="s">
        <v>41</v>
      </c>
      <c r="I185" s="5">
        <v>102050160600</v>
      </c>
      <c r="J185" t="s">
        <v>371</v>
      </c>
      <c r="M185" t="s">
        <v>315</v>
      </c>
      <c r="O185">
        <v>43682</v>
      </c>
      <c r="P185" t="s">
        <v>118</v>
      </c>
      <c r="Q185" t="s">
        <v>45</v>
      </c>
      <c r="R185" t="s">
        <v>95</v>
      </c>
      <c r="S185" s="1">
        <v>45536</v>
      </c>
      <c r="T185" s="1">
        <v>45792</v>
      </c>
      <c r="U185" t="s">
        <v>47</v>
      </c>
      <c r="V185">
        <v>1</v>
      </c>
      <c r="W185" s="1">
        <v>45757</v>
      </c>
      <c r="X185" t="s">
        <v>48</v>
      </c>
      <c r="Y185" s="2">
        <v>1</v>
      </c>
      <c r="Z185" s="2">
        <v>1</v>
      </c>
      <c r="AB185" s="3">
        <v>1</v>
      </c>
      <c r="AC185" s="2">
        <v>2</v>
      </c>
      <c r="AG185" s="2">
        <v>0</v>
      </c>
      <c r="AH185" s="2">
        <v>2</v>
      </c>
      <c r="AI185" s="2">
        <v>0</v>
      </c>
      <c r="AK185">
        <v>5343631</v>
      </c>
      <c r="AL185" t="s">
        <v>288</v>
      </c>
    </row>
    <row r="186" spans="1:38" x14ac:dyDescent="0.25">
      <c r="A186" s="1">
        <v>45763</v>
      </c>
      <c r="B186" s="1">
        <v>45763</v>
      </c>
      <c r="C186" t="s">
        <v>38</v>
      </c>
      <c r="D186" t="s">
        <v>39</v>
      </c>
      <c r="E186" t="s">
        <v>40</v>
      </c>
      <c r="F186">
        <v>43677</v>
      </c>
      <c r="H186" t="s">
        <v>41</v>
      </c>
      <c r="I186" s="5">
        <v>102162023700</v>
      </c>
      <c r="J186" t="s">
        <v>208</v>
      </c>
      <c r="M186" t="s">
        <v>93</v>
      </c>
      <c r="O186">
        <v>43679</v>
      </c>
      <c r="P186" t="s">
        <v>191</v>
      </c>
      <c r="Q186" t="s">
        <v>45</v>
      </c>
      <c r="R186" t="s">
        <v>95</v>
      </c>
      <c r="S186" s="1">
        <v>45809</v>
      </c>
      <c r="U186" t="s">
        <v>47</v>
      </c>
      <c r="X186" t="s">
        <v>48</v>
      </c>
      <c r="Y186" s="2">
        <v>0</v>
      </c>
      <c r="Z186" s="2">
        <v>29.17</v>
      </c>
      <c r="AA186">
        <v>1</v>
      </c>
      <c r="AB186" s="3">
        <v>1</v>
      </c>
      <c r="AC186" s="2">
        <v>29.17</v>
      </c>
      <c r="AD186" s="3">
        <v>0</v>
      </c>
      <c r="AE186" s="2">
        <v>0</v>
      </c>
      <c r="AF186" s="2">
        <v>29.17</v>
      </c>
      <c r="AK186">
        <v>5374111</v>
      </c>
      <c r="AL186" t="s">
        <v>86</v>
      </c>
    </row>
    <row r="187" spans="1:38" x14ac:dyDescent="0.25">
      <c r="A187" s="1">
        <v>45756</v>
      </c>
      <c r="B187" s="1">
        <v>45756</v>
      </c>
      <c r="C187" t="s">
        <v>38</v>
      </c>
      <c r="D187" t="s">
        <v>39</v>
      </c>
      <c r="E187" t="s">
        <v>40</v>
      </c>
      <c r="F187">
        <v>43677</v>
      </c>
      <c r="H187" t="s">
        <v>41</v>
      </c>
      <c r="I187" s="5">
        <v>102159072900</v>
      </c>
      <c r="J187" t="s">
        <v>114</v>
      </c>
      <c r="M187" t="s">
        <v>89</v>
      </c>
      <c r="O187">
        <v>45605</v>
      </c>
      <c r="P187" t="s">
        <v>50</v>
      </c>
      <c r="Q187" t="s">
        <v>45</v>
      </c>
      <c r="R187" t="s">
        <v>95</v>
      </c>
      <c r="S187" s="1">
        <v>45748</v>
      </c>
      <c r="U187" t="s">
        <v>47</v>
      </c>
      <c r="X187" t="s">
        <v>48</v>
      </c>
      <c r="Y187" s="2">
        <v>0</v>
      </c>
      <c r="Z187" s="2">
        <v>37.5</v>
      </c>
      <c r="AA187">
        <v>1</v>
      </c>
      <c r="AB187" s="3">
        <v>1</v>
      </c>
      <c r="AC187" s="2">
        <v>37.5</v>
      </c>
      <c r="AD187" s="3">
        <v>0</v>
      </c>
      <c r="AE187" s="2">
        <v>0</v>
      </c>
      <c r="AF187" s="2">
        <v>37.5</v>
      </c>
      <c r="AK187">
        <v>5291300</v>
      </c>
      <c r="AL187" t="s">
        <v>91</v>
      </c>
    </row>
    <row r="188" spans="1:38" x14ac:dyDescent="0.25">
      <c r="A188" s="1">
        <v>45763</v>
      </c>
      <c r="B188" s="1">
        <v>45763</v>
      </c>
      <c r="C188" t="s">
        <v>38</v>
      </c>
      <c r="D188" t="s">
        <v>39</v>
      </c>
      <c r="E188" t="s">
        <v>40</v>
      </c>
      <c r="F188">
        <v>43677</v>
      </c>
      <c r="H188" t="s">
        <v>41</v>
      </c>
      <c r="I188" s="5">
        <v>102160975500</v>
      </c>
      <c r="J188" t="s">
        <v>219</v>
      </c>
      <c r="M188" t="s">
        <v>89</v>
      </c>
      <c r="O188">
        <v>45603</v>
      </c>
      <c r="P188" t="s">
        <v>218</v>
      </c>
      <c r="Q188" t="s">
        <v>45</v>
      </c>
      <c r="R188" t="s">
        <v>95</v>
      </c>
      <c r="S188" s="1">
        <v>45748</v>
      </c>
      <c r="U188" t="s">
        <v>47</v>
      </c>
      <c r="X188" t="s">
        <v>48</v>
      </c>
      <c r="Y188" s="2">
        <v>0</v>
      </c>
      <c r="Z188" s="2">
        <v>37.5</v>
      </c>
      <c r="AA188">
        <v>1</v>
      </c>
      <c r="AB188" s="3">
        <v>1</v>
      </c>
      <c r="AC188" s="2">
        <v>37.5</v>
      </c>
      <c r="AD188" s="3">
        <v>0</v>
      </c>
      <c r="AE188" s="2">
        <v>0</v>
      </c>
      <c r="AF188" s="2">
        <v>37.5</v>
      </c>
      <c r="AK188">
        <v>5374068</v>
      </c>
      <c r="AL188" t="s">
        <v>91</v>
      </c>
    </row>
    <row r="189" spans="1:38" x14ac:dyDescent="0.25">
      <c r="A189" s="1">
        <v>45756</v>
      </c>
      <c r="B189" s="1">
        <v>45756</v>
      </c>
      <c r="C189" t="s">
        <v>38</v>
      </c>
      <c r="D189" t="s">
        <v>39</v>
      </c>
      <c r="E189" t="s">
        <v>40</v>
      </c>
      <c r="F189">
        <v>43677</v>
      </c>
      <c r="H189" t="s">
        <v>41</v>
      </c>
      <c r="I189" s="5">
        <v>101557848700</v>
      </c>
      <c r="J189" t="s">
        <v>102</v>
      </c>
      <c r="M189" t="s">
        <v>89</v>
      </c>
      <c r="O189">
        <v>45604</v>
      </c>
      <c r="P189" t="s">
        <v>103</v>
      </c>
      <c r="Q189" t="s">
        <v>45</v>
      </c>
      <c r="R189" t="s">
        <v>95</v>
      </c>
      <c r="S189" s="1">
        <v>45748</v>
      </c>
      <c r="U189" t="s">
        <v>47</v>
      </c>
      <c r="X189" t="s">
        <v>48</v>
      </c>
      <c r="Y189" s="2">
        <v>0</v>
      </c>
      <c r="Z189" s="2">
        <v>37.5</v>
      </c>
      <c r="AA189">
        <v>1</v>
      </c>
      <c r="AB189" s="3">
        <v>1</v>
      </c>
      <c r="AC189" s="2">
        <v>37.5</v>
      </c>
      <c r="AD189" s="3">
        <v>0</v>
      </c>
      <c r="AE189" s="2">
        <v>0</v>
      </c>
      <c r="AF189" s="2">
        <v>37.5</v>
      </c>
      <c r="AK189">
        <v>5291261</v>
      </c>
      <c r="AL189" t="s">
        <v>91</v>
      </c>
    </row>
    <row r="190" spans="1:38" x14ac:dyDescent="0.25">
      <c r="A190" s="1">
        <v>45756</v>
      </c>
      <c r="B190" s="1">
        <v>45756</v>
      </c>
      <c r="C190" t="s">
        <v>38</v>
      </c>
      <c r="D190" t="s">
        <v>39</v>
      </c>
      <c r="E190" t="s">
        <v>40</v>
      </c>
      <c r="F190">
        <v>43677</v>
      </c>
      <c r="H190" t="s">
        <v>41</v>
      </c>
      <c r="I190" s="5">
        <v>101373587000</v>
      </c>
      <c r="J190" t="s">
        <v>101</v>
      </c>
      <c r="M190" t="s">
        <v>89</v>
      </c>
      <c r="O190">
        <v>45612</v>
      </c>
      <c r="P190" t="s">
        <v>99</v>
      </c>
      <c r="Q190" t="s">
        <v>45</v>
      </c>
      <c r="R190" t="s">
        <v>95</v>
      </c>
      <c r="S190" s="1">
        <v>45748</v>
      </c>
      <c r="U190" t="s">
        <v>47</v>
      </c>
      <c r="X190" t="s">
        <v>48</v>
      </c>
      <c r="Y190" s="2">
        <v>0</v>
      </c>
      <c r="Z190" s="2">
        <v>37.5</v>
      </c>
      <c r="AA190">
        <v>1</v>
      </c>
      <c r="AB190" s="3">
        <v>1</v>
      </c>
      <c r="AC190" s="2">
        <v>37.5</v>
      </c>
      <c r="AD190" s="3">
        <v>0</v>
      </c>
      <c r="AE190" s="2">
        <v>0</v>
      </c>
      <c r="AF190" s="2">
        <v>37.5</v>
      </c>
      <c r="AK190">
        <v>5291256</v>
      </c>
      <c r="AL190" t="s">
        <v>91</v>
      </c>
    </row>
    <row r="191" spans="1:38" x14ac:dyDescent="0.25">
      <c r="A191" s="1">
        <v>45763</v>
      </c>
      <c r="B191" s="1">
        <v>45762</v>
      </c>
      <c r="C191" t="s">
        <v>252</v>
      </c>
      <c r="D191" t="s">
        <v>39</v>
      </c>
      <c r="E191" t="s">
        <v>40</v>
      </c>
      <c r="F191">
        <v>43677</v>
      </c>
      <c r="H191" t="s">
        <v>41</v>
      </c>
      <c r="I191" s="5" t="s">
        <v>912</v>
      </c>
      <c r="J191" t="s">
        <v>287</v>
      </c>
      <c r="M191" t="s">
        <v>89</v>
      </c>
      <c r="O191">
        <v>45612</v>
      </c>
      <c r="P191" t="s">
        <v>99</v>
      </c>
      <c r="Q191" t="s">
        <v>250</v>
      </c>
      <c r="R191" t="s">
        <v>95</v>
      </c>
      <c r="S191" s="1">
        <v>45627</v>
      </c>
      <c r="U191" t="s">
        <v>47</v>
      </c>
      <c r="X191" t="s">
        <v>48</v>
      </c>
      <c r="Y191" s="2">
        <v>0</v>
      </c>
      <c r="Z191" s="2">
        <v>0</v>
      </c>
      <c r="AB191" s="3">
        <v>1</v>
      </c>
      <c r="AC191" s="2">
        <v>-4.17</v>
      </c>
      <c r="AG191" s="2">
        <v>0</v>
      </c>
      <c r="AH191" s="2">
        <v>-4.17</v>
      </c>
      <c r="AI191" s="2">
        <v>0</v>
      </c>
      <c r="AK191">
        <v>0</v>
      </c>
      <c r="AL191" t="s">
        <v>286</v>
      </c>
    </row>
    <row r="192" spans="1:38" x14ac:dyDescent="0.25">
      <c r="A192" s="1">
        <v>45763</v>
      </c>
      <c r="B192" s="1">
        <v>45762</v>
      </c>
      <c r="C192" t="s">
        <v>252</v>
      </c>
      <c r="D192" t="s">
        <v>39</v>
      </c>
      <c r="E192" t="s">
        <v>40</v>
      </c>
      <c r="F192">
        <v>43677</v>
      </c>
      <c r="H192" t="s">
        <v>41</v>
      </c>
      <c r="I192" s="5">
        <v>102053113700</v>
      </c>
      <c r="J192" t="s">
        <v>362</v>
      </c>
      <c r="M192" t="s">
        <v>89</v>
      </c>
      <c r="O192">
        <v>43618</v>
      </c>
      <c r="P192" t="s">
        <v>44</v>
      </c>
      <c r="Q192" t="s">
        <v>45</v>
      </c>
      <c r="R192" t="s">
        <v>95</v>
      </c>
      <c r="S192" s="1">
        <v>45536</v>
      </c>
      <c r="T192" s="1">
        <v>45792</v>
      </c>
      <c r="U192" t="s">
        <v>47</v>
      </c>
      <c r="V192">
        <v>1</v>
      </c>
      <c r="W192" s="1">
        <v>45757</v>
      </c>
      <c r="X192" t="s">
        <v>48</v>
      </c>
      <c r="Y192" s="2">
        <v>1</v>
      </c>
      <c r="Z192" s="2">
        <v>1</v>
      </c>
      <c r="AB192" s="3">
        <v>1</v>
      </c>
      <c r="AC192" s="2">
        <v>2</v>
      </c>
      <c r="AG192" s="2">
        <v>0</v>
      </c>
      <c r="AH192" s="2">
        <v>2</v>
      </c>
      <c r="AI192" s="2">
        <v>0</v>
      </c>
      <c r="AK192">
        <v>5343692</v>
      </c>
      <c r="AL192" t="s">
        <v>288</v>
      </c>
    </row>
    <row r="193" spans="1:38" x14ac:dyDescent="0.25">
      <c r="A193" s="1">
        <v>45763</v>
      </c>
      <c r="B193" s="1">
        <v>45762</v>
      </c>
      <c r="C193" t="s">
        <v>252</v>
      </c>
      <c r="D193" t="s">
        <v>39</v>
      </c>
      <c r="E193" t="s">
        <v>40</v>
      </c>
      <c r="F193">
        <v>43677</v>
      </c>
      <c r="H193" t="s">
        <v>41</v>
      </c>
      <c r="I193" s="5">
        <v>102064780500</v>
      </c>
      <c r="J193" t="s">
        <v>328</v>
      </c>
      <c r="M193" t="s">
        <v>89</v>
      </c>
      <c r="O193">
        <v>45605</v>
      </c>
      <c r="P193" t="s">
        <v>50</v>
      </c>
      <c r="Q193" t="s">
        <v>45</v>
      </c>
      <c r="R193" t="s">
        <v>95</v>
      </c>
      <c r="S193" s="1">
        <v>45566</v>
      </c>
      <c r="T193" s="1">
        <v>45792</v>
      </c>
      <c r="U193" t="s">
        <v>47</v>
      </c>
      <c r="V193">
        <v>1</v>
      </c>
      <c r="W193" s="1">
        <v>45757</v>
      </c>
      <c r="X193" t="s">
        <v>48</v>
      </c>
      <c r="Y193" s="2">
        <v>1</v>
      </c>
      <c r="Z193" s="2">
        <v>1</v>
      </c>
      <c r="AB193" s="3">
        <v>1</v>
      </c>
      <c r="AC193" s="2">
        <v>2</v>
      </c>
      <c r="AG193" s="2">
        <v>0</v>
      </c>
      <c r="AH193" s="2">
        <v>2</v>
      </c>
      <c r="AI193" s="2">
        <v>0</v>
      </c>
      <c r="AK193">
        <v>5343876</v>
      </c>
      <c r="AL193" t="s">
        <v>288</v>
      </c>
    </row>
    <row r="194" spans="1:38" x14ac:dyDescent="0.25">
      <c r="A194" s="1">
        <v>45763</v>
      </c>
      <c r="B194" s="1">
        <v>45762</v>
      </c>
      <c r="C194" t="s">
        <v>252</v>
      </c>
      <c r="D194" t="s">
        <v>39</v>
      </c>
      <c r="E194" t="s">
        <v>40</v>
      </c>
      <c r="F194">
        <v>43677</v>
      </c>
      <c r="H194" t="s">
        <v>41</v>
      </c>
      <c r="I194" s="5">
        <v>101872588800</v>
      </c>
      <c r="J194" t="s">
        <v>462</v>
      </c>
      <c r="M194" t="s">
        <v>93</v>
      </c>
      <c r="O194">
        <v>43611</v>
      </c>
      <c r="P194" t="s">
        <v>94</v>
      </c>
      <c r="Q194" t="s">
        <v>45</v>
      </c>
      <c r="R194" t="s">
        <v>95</v>
      </c>
      <c r="S194" s="1">
        <v>45474</v>
      </c>
      <c r="T194" s="1">
        <v>45792</v>
      </c>
      <c r="U194" t="s">
        <v>47</v>
      </c>
      <c r="V194">
        <v>1</v>
      </c>
      <c r="W194" s="1">
        <v>45757</v>
      </c>
      <c r="X194" t="s">
        <v>48</v>
      </c>
      <c r="Y194" s="2">
        <v>1</v>
      </c>
      <c r="Z194" s="2">
        <v>1</v>
      </c>
      <c r="AB194" s="3">
        <v>1</v>
      </c>
      <c r="AC194" s="2">
        <v>2</v>
      </c>
      <c r="AG194" s="2">
        <v>0</v>
      </c>
      <c r="AH194" s="2">
        <v>2</v>
      </c>
      <c r="AI194" s="2">
        <v>0</v>
      </c>
      <c r="AK194">
        <v>5341695</v>
      </c>
      <c r="AL194" t="s">
        <v>288</v>
      </c>
    </row>
    <row r="195" spans="1:38" x14ac:dyDescent="0.25">
      <c r="A195" s="1">
        <v>45763</v>
      </c>
      <c r="B195" s="1">
        <v>45762</v>
      </c>
      <c r="C195" t="s">
        <v>252</v>
      </c>
      <c r="D195" t="s">
        <v>39</v>
      </c>
      <c r="E195" t="s">
        <v>40</v>
      </c>
      <c r="F195">
        <v>43677</v>
      </c>
      <c r="H195" t="s">
        <v>41</v>
      </c>
      <c r="I195" s="5">
        <v>102022919300</v>
      </c>
      <c r="J195" t="s">
        <v>432</v>
      </c>
      <c r="M195" t="s">
        <v>93</v>
      </c>
      <c r="O195">
        <v>43679</v>
      </c>
      <c r="P195" t="s">
        <v>191</v>
      </c>
      <c r="Q195" t="s">
        <v>45</v>
      </c>
      <c r="R195" t="s">
        <v>95</v>
      </c>
      <c r="S195" s="1">
        <v>45474</v>
      </c>
      <c r="T195" s="1">
        <v>45792</v>
      </c>
      <c r="U195" t="s">
        <v>47</v>
      </c>
      <c r="V195">
        <v>1</v>
      </c>
      <c r="W195" s="1">
        <v>45757</v>
      </c>
      <c r="X195" t="s">
        <v>48</v>
      </c>
      <c r="Y195" s="2">
        <v>1</v>
      </c>
      <c r="Z195" s="2">
        <v>1</v>
      </c>
      <c r="AB195" s="3">
        <v>1</v>
      </c>
      <c r="AC195" s="2">
        <v>2</v>
      </c>
      <c r="AG195" s="2">
        <v>0</v>
      </c>
      <c r="AH195" s="2">
        <v>2</v>
      </c>
      <c r="AI195" s="2">
        <v>0</v>
      </c>
      <c r="AK195">
        <v>5343206</v>
      </c>
      <c r="AL195" t="s">
        <v>288</v>
      </c>
    </row>
    <row r="196" spans="1:38" x14ac:dyDescent="0.25">
      <c r="A196" s="1">
        <v>45756</v>
      </c>
      <c r="B196" s="1">
        <v>45756</v>
      </c>
      <c r="C196" t="s">
        <v>38</v>
      </c>
      <c r="D196" t="s">
        <v>39</v>
      </c>
      <c r="E196" t="s">
        <v>40</v>
      </c>
      <c r="F196">
        <v>43677</v>
      </c>
      <c r="H196" t="s">
        <v>41</v>
      </c>
      <c r="I196" s="5">
        <v>102160124800</v>
      </c>
      <c r="J196" t="s">
        <v>116</v>
      </c>
      <c r="M196" t="s">
        <v>117</v>
      </c>
      <c r="O196">
        <v>43682</v>
      </c>
      <c r="P196" t="s">
        <v>118</v>
      </c>
      <c r="Q196" t="s">
        <v>45</v>
      </c>
      <c r="R196" t="s">
        <v>95</v>
      </c>
      <c r="S196" s="1">
        <v>45778</v>
      </c>
      <c r="U196" t="s">
        <v>47</v>
      </c>
      <c r="X196" t="s">
        <v>48</v>
      </c>
      <c r="Y196" s="2">
        <v>0</v>
      </c>
      <c r="Z196" s="2">
        <v>33.33</v>
      </c>
      <c r="AA196">
        <v>1</v>
      </c>
      <c r="AB196" s="3">
        <v>1</v>
      </c>
      <c r="AC196" s="2">
        <v>33.33</v>
      </c>
      <c r="AD196" s="3">
        <v>0</v>
      </c>
      <c r="AE196" s="2">
        <v>0</v>
      </c>
      <c r="AF196" s="2">
        <v>33.33</v>
      </c>
      <c r="AK196">
        <v>5291333</v>
      </c>
      <c r="AL196" t="s">
        <v>119</v>
      </c>
    </row>
    <row r="197" spans="1:38" x14ac:dyDescent="0.25">
      <c r="A197" s="1">
        <v>45763</v>
      </c>
      <c r="B197" s="1">
        <v>45763</v>
      </c>
      <c r="C197" t="s">
        <v>38</v>
      </c>
      <c r="D197" t="s">
        <v>39</v>
      </c>
      <c r="E197" t="s">
        <v>40</v>
      </c>
      <c r="F197">
        <v>43677</v>
      </c>
      <c r="H197" t="s">
        <v>41</v>
      </c>
      <c r="I197" s="5">
        <v>102160449600</v>
      </c>
      <c r="J197" t="s">
        <v>220</v>
      </c>
      <c r="M197" t="s">
        <v>89</v>
      </c>
      <c r="O197">
        <v>43682</v>
      </c>
      <c r="P197" t="s">
        <v>118</v>
      </c>
      <c r="Q197" t="s">
        <v>45</v>
      </c>
      <c r="R197" t="s">
        <v>95</v>
      </c>
      <c r="S197" s="1">
        <v>45748</v>
      </c>
      <c r="U197" t="s">
        <v>47</v>
      </c>
      <c r="X197" t="s">
        <v>48</v>
      </c>
      <c r="Y197" s="2">
        <v>0</v>
      </c>
      <c r="Z197" s="2">
        <v>37.5</v>
      </c>
      <c r="AA197">
        <v>1</v>
      </c>
      <c r="AB197" s="3">
        <v>1</v>
      </c>
      <c r="AC197" s="2">
        <v>37.5</v>
      </c>
      <c r="AD197" s="3">
        <v>0</v>
      </c>
      <c r="AE197" s="2">
        <v>0</v>
      </c>
      <c r="AF197" s="2">
        <v>37.5</v>
      </c>
      <c r="AK197">
        <v>5374058</v>
      </c>
      <c r="AL197" t="s">
        <v>91</v>
      </c>
    </row>
    <row r="198" spans="1:38" x14ac:dyDescent="0.25">
      <c r="A198" s="1">
        <v>45763</v>
      </c>
      <c r="B198" s="1">
        <v>45763</v>
      </c>
      <c r="C198" t="s">
        <v>38</v>
      </c>
      <c r="D198" t="s">
        <v>39</v>
      </c>
      <c r="E198" t="s">
        <v>40</v>
      </c>
      <c r="F198">
        <v>43677</v>
      </c>
      <c r="H198" t="s">
        <v>41</v>
      </c>
      <c r="I198" s="5">
        <v>101780531400</v>
      </c>
      <c r="J198" t="s">
        <v>223</v>
      </c>
      <c r="M198" t="s">
        <v>84</v>
      </c>
      <c r="O198">
        <v>43682</v>
      </c>
      <c r="P198" t="s">
        <v>118</v>
      </c>
      <c r="Q198" t="s">
        <v>45</v>
      </c>
      <c r="R198" t="s">
        <v>95</v>
      </c>
      <c r="S198" s="1">
        <v>45748</v>
      </c>
      <c r="U198" t="s">
        <v>47</v>
      </c>
      <c r="X198" t="s">
        <v>48</v>
      </c>
      <c r="Y198" s="2">
        <v>0</v>
      </c>
      <c r="Z198" s="2">
        <v>37.5</v>
      </c>
      <c r="AA198">
        <v>1</v>
      </c>
      <c r="AB198" s="3">
        <v>1</v>
      </c>
      <c r="AC198" s="2">
        <v>37.5</v>
      </c>
      <c r="AD198" s="3">
        <v>0</v>
      </c>
      <c r="AE198" s="2">
        <v>0</v>
      </c>
      <c r="AF198" s="2">
        <v>37.5</v>
      </c>
      <c r="AK198">
        <v>5374034</v>
      </c>
      <c r="AL198" t="s">
        <v>91</v>
      </c>
    </row>
    <row r="199" spans="1:38" x14ac:dyDescent="0.25">
      <c r="A199" s="1">
        <v>45763</v>
      </c>
      <c r="B199" s="1">
        <v>45762</v>
      </c>
      <c r="C199" t="s">
        <v>252</v>
      </c>
      <c r="D199" t="s">
        <v>39</v>
      </c>
      <c r="E199" t="s">
        <v>40</v>
      </c>
      <c r="F199">
        <v>43677</v>
      </c>
      <c r="H199" t="s">
        <v>41</v>
      </c>
      <c r="I199" s="5">
        <v>101545020000</v>
      </c>
      <c r="J199" t="s">
        <v>463</v>
      </c>
      <c r="M199" t="s">
        <v>281</v>
      </c>
      <c r="O199">
        <v>43682</v>
      </c>
      <c r="P199" t="s">
        <v>118</v>
      </c>
      <c r="Q199" t="s">
        <v>45</v>
      </c>
      <c r="R199" t="s">
        <v>95</v>
      </c>
      <c r="S199" s="1">
        <v>45536</v>
      </c>
      <c r="T199" s="1">
        <v>45792</v>
      </c>
      <c r="U199" t="s">
        <v>47</v>
      </c>
      <c r="V199">
        <v>1</v>
      </c>
      <c r="W199" s="1">
        <v>45757</v>
      </c>
      <c r="X199" t="s">
        <v>48</v>
      </c>
      <c r="Y199" s="2">
        <v>1</v>
      </c>
      <c r="Z199" s="2">
        <v>1</v>
      </c>
      <c r="AB199" s="3">
        <v>1</v>
      </c>
      <c r="AC199" s="2">
        <v>2</v>
      </c>
      <c r="AG199" s="2">
        <v>0</v>
      </c>
      <c r="AH199" s="2">
        <v>2</v>
      </c>
      <c r="AI199" s="2">
        <v>0</v>
      </c>
      <c r="AK199">
        <v>5339323</v>
      </c>
      <c r="AL199" t="s">
        <v>288</v>
      </c>
    </row>
    <row r="200" spans="1:38" x14ac:dyDescent="0.25">
      <c r="A200" s="1">
        <v>45763</v>
      </c>
      <c r="B200" s="1">
        <v>45762</v>
      </c>
      <c r="C200" t="s">
        <v>252</v>
      </c>
      <c r="D200" t="s">
        <v>39</v>
      </c>
      <c r="E200" t="s">
        <v>40</v>
      </c>
      <c r="F200">
        <v>43677</v>
      </c>
      <c r="H200" t="s">
        <v>41</v>
      </c>
      <c r="I200" s="5">
        <v>102063802200</v>
      </c>
      <c r="J200" t="s">
        <v>333</v>
      </c>
      <c r="M200" t="s">
        <v>331</v>
      </c>
      <c r="O200">
        <v>45632</v>
      </c>
      <c r="P200" t="s">
        <v>70</v>
      </c>
      <c r="Q200" t="s">
        <v>45</v>
      </c>
      <c r="R200" t="s">
        <v>95</v>
      </c>
      <c r="S200" s="1">
        <v>45566</v>
      </c>
      <c r="T200" s="1">
        <v>45792</v>
      </c>
      <c r="U200" t="s">
        <v>47</v>
      </c>
      <c r="V200">
        <v>1</v>
      </c>
      <c r="W200" s="1">
        <v>45757</v>
      </c>
      <c r="X200" t="s">
        <v>48</v>
      </c>
      <c r="Y200" s="2">
        <v>1</v>
      </c>
      <c r="Z200" s="2">
        <v>1</v>
      </c>
      <c r="AB200" s="3">
        <v>1</v>
      </c>
      <c r="AC200" s="2">
        <v>2</v>
      </c>
      <c r="AG200" s="2">
        <v>0</v>
      </c>
      <c r="AH200" s="2">
        <v>2</v>
      </c>
      <c r="AI200" s="2">
        <v>0</v>
      </c>
      <c r="AK200">
        <v>5343863</v>
      </c>
      <c r="AL200" t="s">
        <v>288</v>
      </c>
    </row>
    <row r="201" spans="1:38" x14ac:dyDescent="0.25">
      <c r="A201" s="1">
        <v>45756</v>
      </c>
      <c r="B201" s="1">
        <v>45756</v>
      </c>
      <c r="C201" t="s">
        <v>38</v>
      </c>
      <c r="D201" t="s">
        <v>39</v>
      </c>
      <c r="E201" t="s">
        <v>40</v>
      </c>
      <c r="F201">
        <v>43677</v>
      </c>
      <c r="H201" t="s">
        <v>41</v>
      </c>
      <c r="I201" s="5">
        <v>101268593500</v>
      </c>
      <c r="J201" t="s">
        <v>98</v>
      </c>
      <c r="M201" t="s">
        <v>89</v>
      </c>
      <c r="O201">
        <v>45612</v>
      </c>
      <c r="P201" t="s">
        <v>99</v>
      </c>
      <c r="Q201" t="s">
        <v>45</v>
      </c>
      <c r="R201" t="s">
        <v>95</v>
      </c>
      <c r="S201" s="1">
        <v>45748</v>
      </c>
      <c r="U201" t="s">
        <v>47</v>
      </c>
      <c r="X201" t="s">
        <v>48</v>
      </c>
      <c r="Y201" s="2">
        <v>0</v>
      </c>
      <c r="Z201" s="2">
        <v>37.5</v>
      </c>
      <c r="AA201">
        <v>1</v>
      </c>
      <c r="AB201" s="3">
        <v>1</v>
      </c>
      <c r="AC201" s="2">
        <v>37.5</v>
      </c>
      <c r="AD201" s="3">
        <v>0</v>
      </c>
      <c r="AE201" s="2">
        <v>0</v>
      </c>
      <c r="AF201" s="2">
        <v>37.5</v>
      </c>
      <c r="AK201">
        <v>5291254</v>
      </c>
      <c r="AL201" t="s">
        <v>91</v>
      </c>
    </row>
    <row r="202" spans="1:38" x14ac:dyDescent="0.25">
      <c r="A202" s="1">
        <v>45763</v>
      </c>
      <c r="B202" s="1">
        <v>45763</v>
      </c>
      <c r="C202" t="s">
        <v>38</v>
      </c>
      <c r="D202" t="s">
        <v>39</v>
      </c>
      <c r="E202" t="s">
        <v>40</v>
      </c>
      <c r="F202">
        <v>43677</v>
      </c>
      <c r="H202" t="s">
        <v>41</v>
      </c>
      <c r="I202" s="5">
        <v>102161745100</v>
      </c>
      <c r="J202" t="s">
        <v>212</v>
      </c>
      <c r="M202" t="s">
        <v>211</v>
      </c>
      <c r="O202">
        <v>43740</v>
      </c>
      <c r="P202" t="s">
        <v>164</v>
      </c>
      <c r="Q202" t="s">
        <v>45</v>
      </c>
      <c r="R202" t="s">
        <v>95</v>
      </c>
      <c r="S202" s="1">
        <v>45748</v>
      </c>
      <c r="U202" t="s">
        <v>47</v>
      </c>
      <c r="X202" t="s">
        <v>48</v>
      </c>
      <c r="Y202" s="2">
        <v>0</v>
      </c>
      <c r="Z202" s="2">
        <v>37.5</v>
      </c>
      <c r="AA202">
        <v>1</v>
      </c>
      <c r="AB202" s="3">
        <v>1</v>
      </c>
      <c r="AC202" s="2">
        <v>37.5</v>
      </c>
      <c r="AD202" s="3">
        <v>0</v>
      </c>
      <c r="AE202" s="2">
        <v>0</v>
      </c>
      <c r="AF202" s="2">
        <v>37.5</v>
      </c>
      <c r="AK202">
        <v>5374099</v>
      </c>
      <c r="AL202" t="s">
        <v>91</v>
      </c>
    </row>
    <row r="203" spans="1:38" x14ac:dyDescent="0.25">
      <c r="A203" s="1">
        <v>45756</v>
      </c>
      <c r="B203" s="1">
        <v>45756</v>
      </c>
      <c r="C203" t="s">
        <v>38</v>
      </c>
      <c r="D203" t="s">
        <v>39</v>
      </c>
      <c r="E203" t="s">
        <v>40</v>
      </c>
      <c r="F203">
        <v>43677</v>
      </c>
      <c r="H203" t="s">
        <v>41</v>
      </c>
      <c r="I203" s="5">
        <v>101308501300</v>
      </c>
      <c r="J203" t="s">
        <v>100</v>
      </c>
      <c r="M203" t="s">
        <v>43</v>
      </c>
      <c r="O203">
        <v>43618</v>
      </c>
      <c r="P203" t="s">
        <v>44</v>
      </c>
      <c r="Q203" t="s">
        <v>45</v>
      </c>
      <c r="R203" t="s">
        <v>95</v>
      </c>
      <c r="S203" s="1">
        <v>45748</v>
      </c>
      <c r="U203" t="s">
        <v>47</v>
      </c>
      <c r="X203" t="s">
        <v>48</v>
      </c>
      <c r="Y203" s="2">
        <v>0</v>
      </c>
      <c r="Z203" s="2">
        <v>37.5</v>
      </c>
      <c r="AA203">
        <v>1</v>
      </c>
      <c r="AB203" s="3">
        <v>1</v>
      </c>
      <c r="AC203" s="2">
        <v>37.5</v>
      </c>
      <c r="AD203" s="3">
        <v>0</v>
      </c>
      <c r="AE203" s="2">
        <v>0</v>
      </c>
      <c r="AF203" s="2">
        <v>37.5</v>
      </c>
      <c r="AK203">
        <v>5291255</v>
      </c>
      <c r="AL203" t="s">
        <v>91</v>
      </c>
    </row>
    <row r="204" spans="1:38" x14ac:dyDescent="0.25">
      <c r="A204" s="1">
        <v>45763</v>
      </c>
      <c r="B204" s="1">
        <v>45763</v>
      </c>
      <c r="C204" t="s">
        <v>38</v>
      </c>
      <c r="D204" t="s">
        <v>39</v>
      </c>
      <c r="E204" t="s">
        <v>40</v>
      </c>
      <c r="F204">
        <v>43677</v>
      </c>
      <c r="H204" t="s">
        <v>41</v>
      </c>
      <c r="I204" s="5">
        <v>102161201900</v>
      </c>
      <c r="J204" t="s">
        <v>216</v>
      </c>
      <c r="M204" t="s">
        <v>93</v>
      </c>
      <c r="O204">
        <v>43611</v>
      </c>
      <c r="P204" t="s">
        <v>94</v>
      </c>
      <c r="Q204" t="s">
        <v>45</v>
      </c>
      <c r="R204" t="s">
        <v>95</v>
      </c>
      <c r="S204" s="1">
        <v>45748</v>
      </c>
      <c r="U204" t="s">
        <v>47</v>
      </c>
      <c r="X204" t="s">
        <v>48</v>
      </c>
      <c r="Y204" s="2">
        <v>0</v>
      </c>
      <c r="Z204" s="2">
        <v>37.5</v>
      </c>
      <c r="AA204">
        <v>1</v>
      </c>
      <c r="AB204" s="3">
        <v>1</v>
      </c>
      <c r="AC204" s="2">
        <v>37.5</v>
      </c>
      <c r="AD204" s="3">
        <v>0</v>
      </c>
      <c r="AE204" s="2">
        <v>0</v>
      </c>
      <c r="AF204" s="2">
        <v>37.5</v>
      </c>
      <c r="AK204">
        <v>5374077</v>
      </c>
      <c r="AL204" t="s">
        <v>91</v>
      </c>
    </row>
    <row r="205" spans="1:38" x14ac:dyDescent="0.25">
      <c r="A205" s="1">
        <v>45756</v>
      </c>
      <c r="B205" s="1">
        <v>45756</v>
      </c>
      <c r="C205" t="s">
        <v>38</v>
      </c>
      <c r="D205" t="s">
        <v>39</v>
      </c>
      <c r="E205" t="s">
        <v>40</v>
      </c>
      <c r="F205">
        <v>43677</v>
      </c>
      <c r="H205" t="s">
        <v>41</v>
      </c>
      <c r="I205" s="5">
        <v>102158685300</v>
      </c>
      <c r="J205" t="s">
        <v>107</v>
      </c>
      <c r="M205" t="s">
        <v>93</v>
      </c>
      <c r="O205">
        <v>43691</v>
      </c>
      <c r="P205" t="s">
        <v>108</v>
      </c>
      <c r="Q205" t="s">
        <v>45</v>
      </c>
      <c r="R205" t="s">
        <v>109</v>
      </c>
      <c r="S205" s="1">
        <v>45717</v>
      </c>
      <c r="U205" t="s">
        <v>47</v>
      </c>
      <c r="X205" t="s">
        <v>48</v>
      </c>
      <c r="Y205" s="2">
        <v>0</v>
      </c>
      <c r="Z205" s="2">
        <v>33.33</v>
      </c>
      <c r="AA205">
        <v>1</v>
      </c>
      <c r="AB205" s="3">
        <v>1</v>
      </c>
      <c r="AC205" s="2">
        <v>33.33</v>
      </c>
      <c r="AD205" s="3">
        <v>0</v>
      </c>
      <c r="AE205" s="2">
        <v>0</v>
      </c>
      <c r="AF205" s="2">
        <v>33.33</v>
      </c>
      <c r="AK205">
        <v>5291286</v>
      </c>
      <c r="AL205" t="s">
        <v>110</v>
      </c>
    </row>
    <row r="206" spans="1:38" x14ac:dyDescent="0.25">
      <c r="A206" s="1">
        <v>45763</v>
      </c>
      <c r="B206" s="1">
        <v>45762</v>
      </c>
      <c r="C206" t="s">
        <v>252</v>
      </c>
      <c r="D206" t="s">
        <v>39</v>
      </c>
      <c r="E206" t="s">
        <v>40</v>
      </c>
      <c r="F206">
        <v>43677</v>
      </c>
      <c r="H206" t="s">
        <v>41</v>
      </c>
      <c r="I206" s="5">
        <v>102059512100</v>
      </c>
      <c r="J206" t="s">
        <v>345</v>
      </c>
      <c r="M206" t="s">
        <v>112</v>
      </c>
      <c r="O206">
        <v>45627</v>
      </c>
      <c r="P206" t="s">
        <v>283</v>
      </c>
      <c r="Q206" t="s">
        <v>45</v>
      </c>
      <c r="R206" t="s">
        <v>109</v>
      </c>
      <c r="S206" s="1">
        <v>45597</v>
      </c>
      <c r="T206" s="1">
        <v>45792</v>
      </c>
      <c r="U206" t="s">
        <v>47</v>
      </c>
      <c r="V206">
        <v>1</v>
      </c>
      <c r="W206" s="1">
        <v>45757</v>
      </c>
      <c r="X206" t="s">
        <v>48</v>
      </c>
      <c r="Y206" s="2">
        <v>1</v>
      </c>
      <c r="Z206" s="2">
        <v>1</v>
      </c>
      <c r="AB206" s="3">
        <v>1</v>
      </c>
      <c r="AC206" s="2">
        <v>2</v>
      </c>
      <c r="AG206" s="2">
        <v>0</v>
      </c>
      <c r="AH206" s="2">
        <v>2</v>
      </c>
      <c r="AI206" s="2">
        <v>0</v>
      </c>
      <c r="AK206">
        <v>5343804</v>
      </c>
      <c r="AL206" t="s">
        <v>288</v>
      </c>
    </row>
    <row r="207" spans="1:38" x14ac:dyDescent="0.25">
      <c r="A207" s="1">
        <v>45756</v>
      </c>
      <c r="B207" s="1">
        <v>45756</v>
      </c>
      <c r="C207" t="s">
        <v>38</v>
      </c>
      <c r="D207" t="s">
        <v>39</v>
      </c>
      <c r="E207" t="s">
        <v>40</v>
      </c>
      <c r="F207">
        <v>43677</v>
      </c>
      <c r="H207" t="s">
        <v>41</v>
      </c>
      <c r="I207" s="5">
        <v>102158867100</v>
      </c>
      <c r="J207" t="s">
        <v>111</v>
      </c>
      <c r="M207" t="s">
        <v>112</v>
      </c>
      <c r="O207">
        <v>45717</v>
      </c>
      <c r="P207" t="s">
        <v>113</v>
      </c>
      <c r="Q207" t="s">
        <v>45</v>
      </c>
      <c r="R207" t="s">
        <v>109</v>
      </c>
      <c r="S207" s="1">
        <v>45748</v>
      </c>
      <c r="U207" t="s">
        <v>47</v>
      </c>
      <c r="X207" t="s">
        <v>48</v>
      </c>
      <c r="Y207" s="2">
        <v>0</v>
      </c>
      <c r="Z207" s="2">
        <v>30</v>
      </c>
      <c r="AA207">
        <v>1</v>
      </c>
      <c r="AB207" s="3">
        <v>1</v>
      </c>
      <c r="AC207" s="2">
        <v>30</v>
      </c>
      <c r="AD207" s="3">
        <v>0</v>
      </c>
      <c r="AE207" s="2">
        <v>0</v>
      </c>
      <c r="AF207" s="2">
        <v>30</v>
      </c>
      <c r="AK207">
        <v>5291294</v>
      </c>
      <c r="AL207" t="s">
        <v>91</v>
      </c>
    </row>
    <row r="208" spans="1:38" x14ac:dyDescent="0.25">
      <c r="A208" s="1">
        <v>45763</v>
      </c>
      <c r="B208" s="1">
        <v>45762</v>
      </c>
      <c r="C208" t="s">
        <v>252</v>
      </c>
      <c r="D208" t="s">
        <v>39</v>
      </c>
      <c r="E208" t="s">
        <v>40</v>
      </c>
      <c r="F208">
        <v>43677</v>
      </c>
      <c r="H208" t="s">
        <v>41</v>
      </c>
      <c r="I208" s="5" t="s">
        <v>918</v>
      </c>
      <c r="J208" t="s">
        <v>277</v>
      </c>
      <c r="O208">
        <v>43969</v>
      </c>
      <c r="P208" t="s">
        <v>74</v>
      </c>
      <c r="Q208" t="s">
        <v>45</v>
      </c>
      <c r="R208" t="s">
        <v>271</v>
      </c>
      <c r="S208" s="1">
        <v>45597</v>
      </c>
      <c r="T208" s="1">
        <v>47939</v>
      </c>
      <c r="U208" t="s">
        <v>47</v>
      </c>
      <c r="V208">
        <v>1</v>
      </c>
      <c r="W208" s="1">
        <v>45757</v>
      </c>
      <c r="X208" t="s">
        <v>48</v>
      </c>
      <c r="Y208" s="2">
        <v>1</v>
      </c>
      <c r="Z208" s="2">
        <v>1</v>
      </c>
      <c r="AB208" s="3">
        <v>1</v>
      </c>
      <c r="AC208" s="2">
        <v>7</v>
      </c>
      <c r="AG208" s="2">
        <v>0</v>
      </c>
      <c r="AH208" s="2">
        <v>7</v>
      </c>
      <c r="AI208" s="2">
        <v>0</v>
      </c>
      <c r="AK208">
        <v>5293850</v>
      </c>
      <c r="AL208" t="s">
        <v>270</v>
      </c>
    </row>
    <row r="209" spans="1:38" x14ac:dyDescent="0.25">
      <c r="A209" s="1">
        <v>45763</v>
      </c>
      <c r="B209" s="1">
        <v>45762</v>
      </c>
      <c r="C209" t="s">
        <v>252</v>
      </c>
      <c r="D209" t="s">
        <v>39</v>
      </c>
      <c r="E209" t="s">
        <v>40</v>
      </c>
      <c r="F209">
        <v>43677</v>
      </c>
      <c r="H209" t="s">
        <v>41</v>
      </c>
      <c r="I209" s="5" t="s">
        <v>921</v>
      </c>
      <c r="J209" t="s">
        <v>272</v>
      </c>
      <c r="O209">
        <v>45605</v>
      </c>
      <c r="P209" t="s">
        <v>50</v>
      </c>
      <c r="Q209" t="s">
        <v>45</v>
      </c>
      <c r="R209" t="s">
        <v>271</v>
      </c>
      <c r="S209" s="1">
        <v>45536</v>
      </c>
      <c r="T209" s="1">
        <v>47818</v>
      </c>
      <c r="U209" t="s">
        <v>47</v>
      </c>
      <c r="V209">
        <v>1</v>
      </c>
      <c r="W209" s="1">
        <v>45757</v>
      </c>
      <c r="X209" t="s">
        <v>48</v>
      </c>
      <c r="Y209" s="2">
        <v>1</v>
      </c>
      <c r="Z209" s="2">
        <v>1</v>
      </c>
      <c r="AB209" s="3">
        <v>1</v>
      </c>
      <c r="AC209" s="2">
        <v>7</v>
      </c>
      <c r="AG209" s="2">
        <v>0</v>
      </c>
      <c r="AH209" s="2">
        <v>7</v>
      </c>
      <c r="AI209" s="2">
        <v>0</v>
      </c>
      <c r="AK209">
        <v>5294067</v>
      </c>
      <c r="AL209" t="s">
        <v>270</v>
      </c>
    </row>
    <row r="210" spans="1:38" x14ac:dyDescent="0.25">
      <c r="A210" s="1">
        <v>45763</v>
      </c>
      <c r="B210" s="1">
        <v>45762</v>
      </c>
      <c r="C210" t="s">
        <v>252</v>
      </c>
      <c r="D210" t="s">
        <v>39</v>
      </c>
      <c r="E210" t="s">
        <v>40</v>
      </c>
      <c r="F210">
        <v>43677</v>
      </c>
      <c r="H210" t="s">
        <v>41</v>
      </c>
      <c r="I210" s="5" t="s">
        <v>917</v>
      </c>
      <c r="J210" t="s">
        <v>279</v>
      </c>
      <c r="M210" t="s">
        <v>43</v>
      </c>
      <c r="O210">
        <v>45613</v>
      </c>
      <c r="P210" t="s">
        <v>65</v>
      </c>
      <c r="Q210" t="s">
        <v>45</v>
      </c>
      <c r="R210" t="s">
        <v>278</v>
      </c>
      <c r="S210" s="1">
        <v>45658</v>
      </c>
      <c r="T210" s="1">
        <v>47939</v>
      </c>
      <c r="U210" t="s">
        <v>47</v>
      </c>
      <c r="V210">
        <v>1</v>
      </c>
      <c r="W210" s="1">
        <v>45757</v>
      </c>
      <c r="X210" t="s">
        <v>48</v>
      </c>
      <c r="Y210" s="2">
        <v>1</v>
      </c>
      <c r="Z210" s="2">
        <v>1</v>
      </c>
      <c r="AB210" s="3">
        <v>1</v>
      </c>
      <c r="AC210" s="2">
        <v>7</v>
      </c>
      <c r="AG210" s="2">
        <v>0</v>
      </c>
      <c r="AH210" s="2">
        <v>7</v>
      </c>
      <c r="AI210" s="2">
        <v>0</v>
      </c>
      <c r="AK210">
        <v>5293095</v>
      </c>
      <c r="AL210" t="s">
        <v>270</v>
      </c>
    </row>
    <row r="211" spans="1:38" x14ac:dyDescent="0.25">
      <c r="A211" s="1">
        <v>45763</v>
      </c>
      <c r="B211" s="1">
        <v>45762</v>
      </c>
      <c r="C211" t="s">
        <v>252</v>
      </c>
      <c r="D211" t="s">
        <v>39</v>
      </c>
      <c r="E211" t="s">
        <v>40</v>
      </c>
      <c r="F211">
        <v>43677</v>
      </c>
      <c r="H211" t="s">
        <v>41</v>
      </c>
      <c r="I211" s="5" t="s">
        <v>916</v>
      </c>
      <c r="J211" t="s">
        <v>280</v>
      </c>
      <c r="M211" t="s">
        <v>43</v>
      </c>
      <c r="O211">
        <v>45605</v>
      </c>
      <c r="P211" t="s">
        <v>50</v>
      </c>
      <c r="Q211" t="s">
        <v>45</v>
      </c>
      <c r="R211" t="s">
        <v>278</v>
      </c>
      <c r="S211" s="1">
        <v>45658</v>
      </c>
      <c r="T211" s="1">
        <v>47939</v>
      </c>
      <c r="U211" t="s">
        <v>47</v>
      </c>
      <c r="V211">
        <v>1</v>
      </c>
      <c r="W211" s="1">
        <v>45757</v>
      </c>
      <c r="X211" t="s">
        <v>48</v>
      </c>
      <c r="Y211" s="2">
        <v>1</v>
      </c>
      <c r="Z211" s="2">
        <v>1</v>
      </c>
      <c r="AB211" s="3">
        <v>1</v>
      </c>
      <c r="AC211" s="2">
        <v>7</v>
      </c>
      <c r="AG211" s="2">
        <v>0</v>
      </c>
      <c r="AH211" s="2">
        <v>7</v>
      </c>
      <c r="AI211" s="2">
        <v>0</v>
      </c>
      <c r="AK211">
        <v>5292970</v>
      </c>
      <c r="AL211" t="s">
        <v>270</v>
      </c>
    </row>
    <row r="212" spans="1:38" x14ac:dyDescent="0.25">
      <c r="A212" s="1">
        <v>45763</v>
      </c>
      <c r="B212" s="1">
        <v>45763</v>
      </c>
      <c r="C212" t="s">
        <v>38</v>
      </c>
      <c r="D212" t="s">
        <v>39</v>
      </c>
      <c r="E212" t="s">
        <v>40</v>
      </c>
      <c r="F212">
        <v>43677</v>
      </c>
      <c r="H212" t="s">
        <v>41</v>
      </c>
      <c r="I212" s="5" t="s">
        <v>703</v>
      </c>
      <c r="J212" t="s">
        <v>207</v>
      </c>
      <c r="M212" t="s">
        <v>133</v>
      </c>
      <c r="O212">
        <v>43713</v>
      </c>
      <c r="P212" t="s">
        <v>134</v>
      </c>
      <c r="Q212" t="s">
        <v>45</v>
      </c>
      <c r="R212" t="s">
        <v>206</v>
      </c>
      <c r="S212" s="1">
        <v>45748</v>
      </c>
      <c r="U212" t="s">
        <v>47</v>
      </c>
      <c r="X212" t="s">
        <v>48</v>
      </c>
      <c r="Y212" s="2">
        <v>0</v>
      </c>
      <c r="Z212" s="2">
        <v>100</v>
      </c>
      <c r="AA212">
        <v>1</v>
      </c>
      <c r="AB212" s="3">
        <v>1</v>
      </c>
      <c r="AC212" s="2">
        <v>100</v>
      </c>
      <c r="AD212" s="3">
        <v>0</v>
      </c>
      <c r="AE212" s="2">
        <v>0</v>
      </c>
      <c r="AF212" s="2">
        <v>100</v>
      </c>
      <c r="AK212">
        <v>5374138</v>
      </c>
    </row>
    <row r="213" spans="1:38" x14ac:dyDescent="0.25">
      <c r="A213" s="1">
        <v>45763</v>
      </c>
      <c r="B213" s="1">
        <v>45762</v>
      </c>
      <c r="C213" t="s">
        <v>252</v>
      </c>
      <c r="D213" t="s">
        <v>39</v>
      </c>
      <c r="E213" t="s">
        <v>40</v>
      </c>
      <c r="F213">
        <v>43677</v>
      </c>
      <c r="H213" t="s">
        <v>41</v>
      </c>
      <c r="I213" s="5" t="s">
        <v>798</v>
      </c>
      <c r="J213" t="s">
        <v>575</v>
      </c>
      <c r="M213" t="s">
        <v>43</v>
      </c>
      <c r="O213">
        <v>45618</v>
      </c>
      <c r="P213" t="s">
        <v>97</v>
      </c>
      <c r="Q213" t="s">
        <v>45</v>
      </c>
      <c r="R213" t="s">
        <v>570</v>
      </c>
      <c r="S213" s="1">
        <v>45474</v>
      </c>
      <c r="T213" s="1">
        <v>45792</v>
      </c>
      <c r="U213" t="s">
        <v>47</v>
      </c>
      <c r="V213">
        <v>1</v>
      </c>
      <c r="W213" s="1">
        <v>45757</v>
      </c>
      <c r="X213" t="s">
        <v>48</v>
      </c>
      <c r="Y213" s="2">
        <v>1</v>
      </c>
      <c r="Z213" s="2">
        <v>1</v>
      </c>
      <c r="AB213" s="3">
        <v>1</v>
      </c>
      <c r="AC213" s="2">
        <v>7</v>
      </c>
      <c r="AG213" s="2">
        <v>0</v>
      </c>
      <c r="AH213" s="2">
        <v>7</v>
      </c>
      <c r="AI213" s="2">
        <v>0</v>
      </c>
      <c r="AK213">
        <v>5370395</v>
      </c>
      <c r="AL213" t="s">
        <v>473</v>
      </c>
    </row>
    <row r="214" spans="1:38" x14ac:dyDescent="0.25">
      <c r="A214" s="1">
        <v>45763</v>
      </c>
      <c r="B214" s="1">
        <v>45762</v>
      </c>
      <c r="C214" t="s">
        <v>252</v>
      </c>
      <c r="D214" t="s">
        <v>39</v>
      </c>
      <c r="E214" t="s">
        <v>40</v>
      </c>
      <c r="F214">
        <v>43677</v>
      </c>
      <c r="H214" t="s">
        <v>41</v>
      </c>
      <c r="I214" s="5" t="s">
        <v>803</v>
      </c>
      <c r="J214" t="s">
        <v>571</v>
      </c>
      <c r="M214" t="s">
        <v>43</v>
      </c>
      <c r="O214">
        <v>45618</v>
      </c>
      <c r="P214" t="s">
        <v>97</v>
      </c>
      <c r="Q214" t="s">
        <v>45</v>
      </c>
      <c r="R214" t="s">
        <v>570</v>
      </c>
      <c r="S214" s="1">
        <v>45505</v>
      </c>
      <c r="T214" s="1">
        <v>45792</v>
      </c>
      <c r="U214" t="s">
        <v>47</v>
      </c>
      <c r="V214">
        <v>1</v>
      </c>
      <c r="W214" s="1">
        <v>45757</v>
      </c>
      <c r="X214" t="s">
        <v>48</v>
      </c>
      <c r="Y214" s="2">
        <v>1</v>
      </c>
      <c r="Z214" s="2">
        <v>1</v>
      </c>
      <c r="AB214" s="3">
        <v>1</v>
      </c>
      <c r="AC214" s="2">
        <v>7</v>
      </c>
      <c r="AG214" s="2">
        <v>0</v>
      </c>
      <c r="AH214" s="2">
        <v>7</v>
      </c>
      <c r="AI214" s="2">
        <v>0</v>
      </c>
      <c r="AK214">
        <v>5370454</v>
      </c>
      <c r="AL214" t="s">
        <v>473</v>
      </c>
    </row>
    <row r="215" spans="1:38" x14ac:dyDescent="0.25">
      <c r="A215" s="1">
        <v>45763</v>
      </c>
      <c r="B215" s="1">
        <v>45762</v>
      </c>
      <c r="C215" t="s">
        <v>252</v>
      </c>
      <c r="D215" t="s">
        <v>39</v>
      </c>
      <c r="E215" t="s">
        <v>40</v>
      </c>
      <c r="F215">
        <v>43677</v>
      </c>
      <c r="H215" t="s">
        <v>41</v>
      </c>
      <c r="I215" s="5" t="s">
        <v>896</v>
      </c>
      <c r="J215" t="s">
        <v>488</v>
      </c>
      <c r="M215" t="s">
        <v>43</v>
      </c>
      <c r="O215">
        <v>45613</v>
      </c>
      <c r="P215" t="s">
        <v>65</v>
      </c>
      <c r="Q215" t="s">
        <v>45</v>
      </c>
      <c r="R215" t="s">
        <v>54</v>
      </c>
      <c r="S215" s="1">
        <v>45627</v>
      </c>
      <c r="T215" s="1">
        <v>45792</v>
      </c>
      <c r="U215" t="s">
        <v>47</v>
      </c>
      <c r="V215">
        <v>1</v>
      </c>
      <c r="W215" s="1">
        <v>45757</v>
      </c>
      <c r="X215" t="s">
        <v>48</v>
      </c>
      <c r="Y215" s="2">
        <v>1</v>
      </c>
      <c r="Z215" s="2">
        <v>1</v>
      </c>
      <c r="AB215" s="3">
        <v>1</v>
      </c>
      <c r="AC215" s="2">
        <v>9</v>
      </c>
      <c r="AG215" s="2">
        <v>0</v>
      </c>
      <c r="AH215" s="2">
        <v>9</v>
      </c>
      <c r="AI215" s="2">
        <v>0</v>
      </c>
      <c r="AK215">
        <v>5371323</v>
      </c>
      <c r="AL215" t="s">
        <v>473</v>
      </c>
    </row>
    <row r="216" spans="1:38" x14ac:dyDescent="0.25">
      <c r="A216" s="1">
        <v>45756</v>
      </c>
      <c r="B216" s="1">
        <v>45756</v>
      </c>
      <c r="C216" t="s">
        <v>38</v>
      </c>
      <c r="D216" t="s">
        <v>39</v>
      </c>
      <c r="E216" t="s">
        <v>40</v>
      </c>
      <c r="F216">
        <v>43677</v>
      </c>
      <c r="H216" t="s">
        <v>41</v>
      </c>
      <c r="I216" s="5" t="s">
        <v>641</v>
      </c>
      <c r="J216" t="s">
        <v>80</v>
      </c>
      <c r="M216" t="s">
        <v>43</v>
      </c>
      <c r="O216">
        <v>45605</v>
      </c>
      <c r="P216" t="s">
        <v>50</v>
      </c>
      <c r="Q216" t="s">
        <v>45</v>
      </c>
      <c r="R216" t="s">
        <v>54</v>
      </c>
      <c r="S216" s="1">
        <v>45748</v>
      </c>
      <c r="U216" t="s">
        <v>47</v>
      </c>
      <c r="X216" t="s">
        <v>48</v>
      </c>
      <c r="Y216" s="2">
        <v>0</v>
      </c>
      <c r="Z216" s="2">
        <v>175</v>
      </c>
      <c r="AA216">
        <v>1</v>
      </c>
      <c r="AB216" s="3">
        <v>1</v>
      </c>
      <c r="AC216" s="2">
        <v>175</v>
      </c>
      <c r="AD216" s="3">
        <v>0</v>
      </c>
      <c r="AE216" s="2">
        <v>0</v>
      </c>
      <c r="AF216" s="2">
        <v>175</v>
      </c>
      <c r="AK216">
        <v>5291563</v>
      </c>
    </row>
    <row r="217" spans="1:38" x14ac:dyDescent="0.25">
      <c r="A217" s="1">
        <v>45763</v>
      </c>
      <c r="B217" s="1">
        <v>45762</v>
      </c>
      <c r="C217" t="s">
        <v>252</v>
      </c>
      <c r="D217" t="s">
        <v>39</v>
      </c>
      <c r="E217" t="s">
        <v>40</v>
      </c>
      <c r="F217">
        <v>43677</v>
      </c>
      <c r="H217" t="s">
        <v>41</v>
      </c>
      <c r="I217" s="5" t="s">
        <v>837</v>
      </c>
      <c r="J217" t="s">
        <v>541</v>
      </c>
      <c r="M217" t="s">
        <v>43</v>
      </c>
      <c r="O217">
        <v>43682</v>
      </c>
      <c r="P217" t="s">
        <v>118</v>
      </c>
      <c r="Q217" t="s">
        <v>250</v>
      </c>
      <c r="R217" t="s">
        <v>54</v>
      </c>
      <c r="S217" s="1">
        <v>45566</v>
      </c>
      <c r="T217" s="1">
        <v>45792</v>
      </c>
      <c r="U217" t="s">
        <v>47</v>
      </c>
      <c r="V217">
        <v>1</v>
      </c>
      <c r="W217" s="1">
        <v>45757</v>
      </c>
      <c r="X217" t="s">
        <v>48</v>
      </c>
      <c r="Y217" s="2">
        <v>1</v>
      </c>
      <c r="Z217" s="2">
        <v>1</v>
      </c>
      <c r="AB217" s="3">
        <v>1</v>
      </c>
      <c r="AC217" s="2">
        <v>9</v>
      </c>
      <c r="AG217" s="2">
        <v>0</v>
      </c>
      <c r="AH217" s="2">
        <v>9</v>
      </c>
      <c r="AI217" s="2">
        <v>0</v>
      </c>
      <c r="AK217">
        <v>5370866</v>
      </c>
      <c r="AL217" t="s">
        <v>473</v>
      </c>
    </row>
    <row r="218" spans="1:38" x14ac:dyDescent="0.25">
      <c r="A218" s="1">
        <v>45763</v>
      </c>
      <c r="B218" s="1">
        <v>45762</v>
      </c>
      <c r="C218" t="s">
        <v>252</v>
      </c>
      <c r="D218" t="s">
        <v>39</v>
      </c>
      <c r="E218" t="s">
        <v>40</v>
      </c>
      <c r="F218">
        <v>43677</v>
      </c>
      <c r="H218" t="s">
        <v>41</v>
      </c>
      <c r="I218" s="5" t="s">
        <v>812</v>
      </c>
      <c r="J218" t="s">
        <v>562</v>
      </c>
      <c r="M218" t="s">
        <v>43</v>
      </c>
      <c r="O218">
        <v>45618</v>
      </c>
      <c r="P218" t="s">
        <v>97</v>
      </c>
      <c r="Q218" t="s">
        <v>45</v>
      </c>
      <c r="R218" t="s">
        <v>54</v>
      </c>
      <c r="S218" s="1">
        <v>45505</v>
      </c>
      <c r="T218" s="1">
        <v>45792</v>
      </c>
      <c r="U218" t="s">
        <v>47</v>
      </c>
      <c r="V218">
        <v>1</v>
      </c>
      <c r="W218" s="1">
        <v>45757</v>
      </c>
      <c r="X218" t="s">
        <v>48</v>
      </c>
      <c r="Y218" s="2">
        <v>1</v>
      </c>
      <c r="Z218" s="2">
        <v>1</v>
      </c>
      <c r="AB218" s="3">
        <v>1</v>
      </c>
      <c r="AC218" s="2">
        <v>9</v>
      </c>
      <c r="AG218" s="2">
        <v>0</v>
      </c>
      <c r="AH218" s="2">
        <v>9</v>
      </c>
      <c r="AI218" s="2">
        <v>0</v>
      </c>
      <c r="AK218">
        <v>5370558</v>
      </c>
      <c r="AL218" t="s">
        <v>473</v>
      </c>
    </row>
    <row r="219" spans="1:38" x14ac:dyDescent="0.25">
      <c r="A219" s="1">
        <v>45756</v>
      </c>
      <c r="B219" s="1">
        <v>45756</v>
      </c>
      <c r="C219" t="s">
        <v>38</v>
      </c>
      <c r="D219" t="s">
        <v>39</v>
      </c>
      <c r="E219" t="s">
        <v>40</v>
      </c>
      <c r="F219">
        <v>43677</v>
      </c>
      <c r="H219" t="s">
        <v>41</v>
      </c>
      <c r="I219" s="5" t="s">
        <v>633</v>
      </c>
      <c r="J219" t="s">
        <v>69</v>
      </c>
      <c r="M219" t="s">
        <v>43</v>
      </c>
      <c r="O219">
        <v>45632</v>
      </c>
      <c r="P219" t="s">
        <v>70</v>
      </c>
      <c r="Q219" t="s">
        <v>45</v>
      </c>
      <c r="R219" t="s">
        <v>54</v>
      </c>
      <c r="S219" s="1">
        <v>45748</v>
      </c>
      <c r="U219" t="s">
        <v>47</v>
      </c>
      <c r="X219" t="s">
        <v>48</v>
      </c>
      <c r="Y219" s="2">
        <v>0</v>
      </c>
      <c r="Z219" s="2">
        <v>175</v>
      </c>
      <c r="AA219">
        <v>1</v>
      </c>
      <c r="AB219" s="3">
        <v>1</v>
      </c>
      <c r="AC219" s="2">
        <v>175</v>
      </c>
      <c r="AD219" s="3">
        <v>0</v>
      </c>
      <c r="AE219" s="2">
        <v>0</v>
      </c>
      <c r="AF219" s="2">
        <v>175</v>
      </c>
      <c r="AK219">
        <v>5291514</v>
      </c>
    </row>
    <row r="220" spans="1:38" x14ac:dyDescent="0.25">
      <c r="A220" s="1">
        <v>45763</v>
      </c>
      <c r="B220" s="1">
        <v>45762</v>
      </c>
      <c r="C220" t="s">
        <v>252</v>
      </c>
      <c r="D220" t="s">
        <v>39</v>
      </c>
      <c r="E220" t="s">
        <v>40</v>
      </c>
      <c r="F220">
        <v>43677</v>
      </c>
      <c r="H220" t="s">
        <v>41</v>
      </c>
      <c r="I220" s="5" t="s">
        <v>881</v>
      </c>
      <c r="J220" t="s">
        <v>503</v>
      </c>
      <c r="M220" t="s">
        <v>43</v>
      </c>
      <c r="O220">
        <v>45638</v>
      </c>
      <c r="P220" t="s">
        <v>63</v>
      </c>
      <c r="Q220" t="s">
        <v>45</v>
      </c>
      <c r="R220" t="s">
        <v>54</v>
      </c>
      <c r="S220" s="1">
        <v>45597</v>
      </c>
      <c r="T220" s="1">
        <v>45792</v>
      </c>
      <c r="U220" t="s">
        <v>47</v>
      </c>
      <c r="V220">
        <v>1</v>
      </c>
      <c r="W220" s="1">
        <v>45757</v>
      </c>
      <c r="X220" t="s">
        <v>48</v>
      </c>
      <c r="Y220" s="2">
        <v>1</v>
      </c>
      <c r="Z220" s="2">
        <v>1</v>
      </c>
      <c r="AB220" s="3">
        <v>1</v>
      </c>
      <c r="AC220" s="2">
        <v>9</v>
      </c>
      <c r="AG220" s="2">
        <v>0</v>
      </c>
      <c r="AH220" s="2">
        <v>9</v>
      </c>
      <c r="AI220" s="2">
        <v>0</v>
      </c>
      <c r="AK220">
        <v>5371156</v>
      </c>
      <c r="AL220" t="s">
        <v>473</v>
      </c>
    </row>
    <row r="221" spans="1:38" x14ac:dyDescent="0.25">
      <c r="A221" s="1">
        <v>45763</v>
      </c>
      <c r="B221" s="1">
        <v>45762</v>
      </c>
      <c r="C221" t="s">
        <v>252</v>
      </c>
      <c r="D221" t="s">
        <v>39</v>
      </c>
      <c r="E221" t="s">
        <v>40</v>
      </c>
      <c r="F221">
        <v>43677</v>
      </c>
      <c r="H221" t="s">
        <v>41</v>
      </c>
      <c r="I221" s="5" t="s">
        <v>900</v>
      </c>
      <c r="J221" t="s">
        <v>484</v>
      </c>
      <c r="M221" t="s">
        <v>43</v>
      </c>
      <c r="O221">
        <v>45612</v>
      </c>
      <c r="P221" t="s">
        <v>99</v>
      </c>
      <c r="Q221" t="s">
        <v>45</v>
      </c>
      <c r="R221" t="s">
        <v>54</v>
      </c>
      <c r="S221" s="1">
        <v>45627</v>
      </c>
      <c r="T221" s="1">
        <v>45792</v>
      </c>
      <c r="U221" t="s">
        <v>47</v>
      </c>
      <c r="V221">
        <v>1</v>
      </c>
      <c r="W221" s="1">
        <v>45757</v>
      </c>
      <c r="X221" t="s">
        <v>48</v>
      </c>
      <c r="Y221" s="2">
        <v>1</v>
      </c>
      <c r="Z221" s="2">
        <v>1</v>
      </c>
      <c r="AB221" s="3">
        <v>1</v>
      </c>
      <c r="AC221" s="2">
        <v>9</v>
      </c>
      <c r="AG221" s="2">
        <v>0</v>
      </c>
      <c r="AH221" s="2">
        <v>9</v>
      </c>
      <c r="AI221" s="2">
        <v>0</v>
      </c>
      <c r="AK221">
        <v>5371359</v>
      </c>
      <c r="AL221" t="s">
        <v>473</v>
      </c>
    </row>
    <row r="222" spans="1:38" x14ac:dyDescent="0.25">
      <c r="A222" s="1">
        <v>45763</v>
      </c>
      <c r="B222" s="1">
        <v>45762</v>
      </c>
      <c r="C222" t="s">
        <v>252</v>
      </c>
      <c r="D222" t="s">
        <v>39</v>
      </c>
      <c r="E222" t="s">
        <v>40</v>
      </c>
      <c r="F222">
        <v>43677</v>
      </c>
      <c r="H222" t="s">
        <v>41</v>
      </c>
      <c r="I222" s="5" t="s">
        <v>906</v>
      </c>
      <c r="J222" t="s">
        <v>478</v>
      </c>
      <c r="M222" t="s">
        <v>43</v>
      </c>
      <c r="O222">
        <v>45709</v>
      </c>
      <c r="P222" t="s">
        <v>137</v>
      </c>
      <c r="Q222" t="s">
        <v>45</v>
      </c>
      <c r="R222" t="s">
        <v>54</v>
      </c>
      <c r="S222" s="1">
        <v>45627</v>
      </c>
      <c r="T222" s="1">
        <v>45792</v>
      </c>
      <c r="U222" t="s">
        <v>47</v>
      </c>
      <c r="V222">
        <v>1</v>
      </c>
      <c r="W222" s="1">
        <v>45757</v>
      </c>
      <c r="X222" t="s">
        <v>48</v>
      </c>
      <c r="Y222" s="2">
        <v>1</v>
      </c>
      <c r="Z222" s="2">
        <v>1</v>
      </c>
      <c r="AB222" s="3">
        <v>1</v>
      </c>
      <c r="AC222" s="2">
        <v>9</v>
      </c>
      <c r="AG222" s="2">
        <v>0</v>
      </c>
      <c r="AH222" s="2">
        <v>9</v>
      </c>
      <c r="AI222" s="2">
        <v>0</v>
      </c>
      <c r="AK222">
        <v>5371406</v>
      </c>
      <c r="AL222" t="s">
        <v>473</v>
      </c>
    </row>
    <row r="223" spans="1:38" x14ac:dyDescent="0.25">
      <c r="A223" s="1">
        <v>45763</v>
      </c>
      <c r="B223" s="1">
        <v>45762</v>
      </c>
      <c r="C223" t="s">
        <v>252</v>
      </c>
      <c r="D223" t="s">
        <v>39</v>
      </c>
      <c r="E223" t="s">
        <v>40</v>
      </c>
      <c r="F223">
        <v>43677</v>
      </c>
      <c r="H223" t="s">
        <v>41</v>
      </c>
      <c r="I223" s="5" t="s">
        <v>898</v>
      </c>
      <c r="J223" t="s">
        <v>486</v>
      </c>
      <c r="M223" t="s">
        <v>43</v>
      </c>
      <c r="O223">
        <v>45612</v>
      </c>
      <c r="P223" t="s">
        <v>99</v>
      </c>
      <c r="Q223" t="s">
        <v>45</v>
      </c>
      <c r="R223" t="s">
        <v>54</v>
      </c>
      <c r="S223" s="1">
        <v>45627</v>
      </c>
      <c r="T223" s="1">
        <v>45792</v>
      </c>
      <c r="U223" t="s">
        <v>47</v>
      </c>
      <c r="V223">
        <v>1</v>
      </c>
      <c r="W223" s="1">
        <v>45757</v>
      </c>
      <c r="X223" t="s">
        <v>48</v>
      </c>
      <c r="Y223" s="2">
        <v>1</v>
      </c>
      <c r="Z223" s="2">
        <v>1</v>
      </c>
      <c r="AB223" s="3">
        <v>1</v>
      </c>
      <c r="AC223" s="2">
        <v>9</v>
      </c>
      <c r="AG223" s="2">
        <v>0</v>
      </c>
      <c r="AH223" s="2">
        <v>9</v>
      </c>
      <c r="AI223" s="2">
        <v>0</v>
      </c>
      <c r="AK223">
        <v>5371335</v>
      </c>
      <c r="AL223" t="s">
        <v>473</v>
      </c>
    </row>
    <row r="224" spans="1:38" x14ac:dyDescent="0.25">
      <c r="A224" s="1">
        <v>45763</v>
      </c>
      <c r="B224" s="1">
        <v>45762</v>
      </c>
      <c r="C224" t="s">
        <v>252</v>
      </c>
      <c r="D224" t="s">
        <v>39</v>
      </c>
      <c r="E224" t="s">
        <v>40</v>
      </c>
      <c r="F224">
        <v>43677</v>
      </c>
      <c r="H224" t="s">
        <v>41</v>
      </c>
      <c r="I224" s="5" t="s">
        <v>875</v>
      </c>
      <c r="J224" t="s">
        <v>509</v>
      </c>
      <c r="M224" t="s">
        <v>43</v>
      </c>
      <c r="O224">
        <v>43682</v>
      </c>
      <c r="P224" t="s">
        <v>118</v>
      </c>
      <c r="Q224" t="s">
        <v>45</v>
      </c>
      <c r="R224" t="s">
        <v>54</v>
      </c>
      <c r="S224" s="1">
        <v>45627</v>
      </c>
      <c r="T224" s="1">
        <v>45792</v>
      </c>
      <c r="U224" t="s">
        <v>47</v>
      </c>
      <c r="V224">
        <v>1</v>
      </c>
      <c r="W224" s="1">
        <v>45757</v>
      </c>
      <c r="X224" t="s">
        <v>48</v>
      </c>
      <c r="Y224" s="2">
        <v>1</v>
      </c>
      <c r="Z224" s="2">
        <v>1</v>
      </c>
      <c r="AB224" s="3">
        <v>1</v>
      </c>
      <c r="AC224" s="2">
        <v>9</v>
      </c>
      <c r="AG224" s="2">
        <v>0</v>
      </c>
      <c r="AH224" s="2">
        <v>9</v>
      </c>
      <c r="AI224" s="2">
        <v>0</v>
      </c>
      <c r="AK224">
        <v>5371116</v>
      </c>
      <c r="AL224" t="s">
        <v>473</v>
      </c>
    </row>
    <row r="225" spans="1:38" x14ac:dyDescent="0.25">
      <c r="A225" s="1">
        <v>45763</v>
      </c>
      <c r="B225" s="1">
        <v>45762</v>
      </c>
      <c r="C225" t="s">
        <v>252</v>
      </c>
      <c r="D225" t="s">
        <v>39</v>
      </c>
      <c r="E225" t="s">
        <v>40</v>
      </c>
      <c r="F225">
        <v>43677</v>
      </c>
      <c r="H225" t="s">
        <v>41</v>
      </c>
      <c r="I225" s="5" t="s">
        <v>828</v>
      </c>
      <c r="J225" t="s">
        <v>547</v>
      </c>
      <c r="M225" t="s">
        <v>43</v>
      </c>
      <c r="O225">
        <v>45612</v>
      </c>
      <c r="P225" t="s">
        <v>99</v>
      </c>
      <c r="Q225" t="s">
        <v>250</v>
      </c>
      <c r="R225" t="s">
        <v>54</v>
      </c>
      <c r="S225" s="1">
        <v>45566</v>
      </c>
      <c r="T225" s="1">
        <v>45792</v>
      </c>
      <c r="U225" t="s">
        <v>47</v>
      </c>
      <c r="V225">
        <v>1</v>
      </c>
      <c r="W225" s="1">
        <v>45757</v>
      </c>
      <c r="X225" t="s">
        <v>48</v>
      </c>
      <c r="Y225" s="2">
        <v>1</v>
      </c>
      <c r="Z225" s="2">
        <v>1</v>
      </c>
      <c r="AB225" s="3">
        <v>1</v>
      </c>
      <c r="AC225" s="2">
        <v>9</v>
      </c>
      <c r="AG225" s="2">
        <v>0</v>
      </c>
      <c r="AH225" s="2">
        <v>9</v>
      </c>
      <c r="AI225" s="2">
        <v>0</v>
      </c>
      <c r="AK225">
        <v>5370807</v>
      </c>
      <c r="AL225" t="s">
        <v>473</v>
      </c>
    </row>
    <row r="226" spans="1:38" x14ac:dyDescent="0.25">
      <c r="A226" s="1">
        <v>45763</v>
      </c>
      <c r="B226" s="1">
        <v>45762</v>
      </c>
      <c r="C226" t="s">
        <v>252</v>
      </c>
      <c r="D226" t="s">
        <v>39</v>
      </c>
      <c r="E226" t="s">
        <v>40</v>
      </c>
      <c r="F226">
        <v>43677</v>
      </c>
      <c r="H226" t="s">
        <v>41</v>
      </c>
      <c r="I226" s="5" t="s">
        <v>746</v>
      </c>
      <c r="J226" t="s">
        <v>619</v>
      </c>
      <c r="M226" t="s">
        <v>43</v>
      </c>
      <c r="O226">
        <v>47621</v>
      </c>
      <c r="P226" t="s">
        <v>618</v>
      </c>
      <c r="Q226" t="s">
        <v>45</v>
      </c>
      <c r="R226" t="s">
        <v>54</v>
      </c>
      <c r="S226" s="1">
        <v>45597</v>
      </c>
      <c r="T226" s="1">
        <v>45792</v>
      </c>
      <c r="U226" t="s">
        <v>47</v>
      </c>
      <c r="V226">
        <v>1</v>
      </c>
      <c r="W226" s="1">
        <v>45757</v>
      </c>
      <c r="X226" t="s">
        <v>48</v>
      </c>
      <c r="Y226" s="2">
        <v>1</v>
      </c>
      <c r="Z226" s="2">
        <v>1</v>
      </c>
      <c r="AB226" s="3">
        <v>1</v>
      </c>
      <c r="AC226" s="2">
        <v>9</v>
      </c>
      <c r="AG226" s="2">
        <v>0</v>
      </c>
      <c r="AH226" s="2">
        <v>9</v>
      </c>
      <c r="AI226" s="2">
        <v>0</v>
      </c>
      <c r="AK226">
        <v>5352553</v>
      </c>
      <c r="AL226" t="s">
        <v>473</v>
      </c>
    </row>
    <row r="227" spans="1:38" x14ac:dyDescent="0.25">
      <c r="A227" s="1">
        <v>45763</v>
      </c>
      <c r="B227" s="1">
        <v>45762</v>
      </c>
      <c r="C227" t="s">
        <v>252</v>
      </c>
      <c r="D227" t="s">
        <v>39</v>
      </c>
      <c r="E227" t="s">
        <v>40</v>
      </c>
      <c r="F227">
        <v>43677</v>
      </c>
      <c r="H227" t="s">
        <v>41</v>
      </c>
      <c r="I227" s="5" t="s">
        <v>889</v>
      </c>
      <c r="J227" t="s">
        <v>125</v>
      </c>
      <c r="M227" t="s">
        <v>43</v>
      </c>
      <c r="O227">
        <v>45605</v>
      </c>
      <c r="P227" t="s">
        <v>50</v>
      </c>
      <c r="Q227" t="s">
        <v>45</v>
      </c>
      <c r="R227" t="s">
        <v>54</v>
      </c>
      <c r="S227" s="1">
        <v>45597</v>
      </c>
      <c r="T227" s="1">
        <v>45792</v>
      </c>
      <c r="U227" t="s">
        <v>47</v>
      </c>
      <c r="V227">
        <v>1</v>
      </c>
      <c r="W227" s="1">
        <v>45757</v>
      </c>
      <c r="X227" t="s">
        <v>48</v>
      </c>
      <c r="Y227" s="2">
        <v>1</v>
      </c>
      <c r="Z227" s="2">
        <v>1</v>
      </c>
      <c r="AB227" s="3">
        <v>1</v>
      </c>
      <c r="AC227" s="2">
        <v>9</v>
      </c>
      <c r="AG227" s="2">
        <v>0</v>
      </c>
      <c r="AH227" s="2">
        <v>9</v>
      </c>
      <c r="AI227" s="2">
        <v>0</v>
      </c>
      <c r="AK227">
        <v>5371238</v>
      </c>
      <c r="AL227" t="s">
        <v>473</v>
      </c>
    </row>
    <row r="228" spans="1:38" x14ac:dyDescent="0.25">
      <c r="A228" s="1">
        <v>45763</v>
      </c>
      <c r="B228" s="1">
        <v>45762</v>
      </c>
      <c r="C228" t="s">
        <v>252</v>
      </c>
      <c r="D228" t="s">
        <v>39</v>
      </c>
      <c r="E228" t="s">
        <v>40</v>
      </c>
      <c r="F228">
        <v>43677</v>
      </c>
      <c r="H228" t="s">
        <v>41</v>
      </c>
      <c r="I228" s="5" t="s">
        <v>865</v>
      </c>
      <c r="J228" t="s">
        <v>516</v>
      </c>
      <c r="M228" t="s">
        <v>43</v>
      </c>
      <c r="O228">
        <v>45603</v>
      </c>
      <c r="P228" t="s">
        <v>218</v>
      </c>
      <c r="Q228" t="s">
        <v>45</v>
      </c>
      <c r="R228" t="s">
        <v>54</v>
      </c>
      <c r="S228" s="1">
        <v>45597</v>
      </c>
      <c r="T228" s="1">
        <v>45792</v>
      </c>
      <c r="U228" t="s">
        <v>47</v>
      </c>
      <c r="V228">
        <v>1</v>
      </c>
      <c r="W228" s="1">
        <v>45757</v>
      </c>
      <c r="X228" t="s">
        <v>48</v>
      </c>
      <c r="Y228" s="2">
        <v>1</v>
      </c>
      <c r="Z228" s="2">
        <v>1</v>
      </c>
      <c r="AB228" s="3">
        <v>1</v>
      </c>
      <c r="AC228" s="2">
        <v>9</v>
      </c>
      <c r="AG228" s="2">
        <v>0</v>
      </c>
      <c r="AH228" s="2">
        <v>9</v>
      </c>
      <c r="AI228" s="2">
        <v>0</v>
      </c>
      <c r="AK228">
        <v>5371069</v>
      </c>
      <c r="AL228" t="s">
        <v>473</v>
      </c>
    </row>
    <row r="229" spans="1:38" x14ac:dyDescent="0.25">
      <c r="A229" s="1">
        <v>45763</v>
      </c>
      <c r="B229" s="1">
        <v>45763</v>
      </c>
      <c r="C229" t="s">
        <v>38</v>
      </c>
      <c r="D229" t="s">
        <v>39</v>
      </c>
      <c r="E229" t="s">
        <v>40</v>
      </c>
      <c r="F229">
        <v>43677</v>
      </c>
      <c r="H229" t="s">
        <v>41</v>
      </c>
      <c r="I229" s="5" t="s">
        <v>695</v>
      </c>
      <c r="J229" t="s">
        <v>232</v>
      </c>
      <c r="M229" t="s">
        <v>43</v>
      </c>
      <c r="O229">
        <v>45612</v>
      </c>
      <c r="P229" t="s">
        <v>99</v>
      </c>
      <c r="Q229" t="s">
        <v>45</v>
      </c>
      <c r="R229" t="s">
        <v>54</v>
      </c>
      <c r="S229" s="1">
        <v>45839</v>
      </c>
      <c r="U229" t="s">
        <v>47</v>
      </c>
      <c r="X229" t="s">
        <v>48</v>
      </c>
      <c r="Y229" s="2">
        <v>0</v>
      </c>
      <c r="Z229" s="2">
        <v>175</v>
      </c>
      <c r="AA229">
        <v>1</v>
      </c>
      <c r="AB229" s="3">
        <v>1</v>
      </c>
      <c r="AC229" s="2">
        <v>175</v>
      </c>
      <c r="AD229" s="3">
        <v>0</v>
      </c>
      <c r="AE229" s="2">
        <v>0</v>
      </c>
      <c r="AF229" s="2">
        <v>175</v>
      </c>
      <c r="AK229">
        <v>5374510</v>
      </c>
    </row>
    <row r="230" spans="1:38" x14ac:dyDescent="0.25">
      <c r="A230" s="1">
        <v>45763</v>
      </c>
      <c r="B230" s="1">
        <v>45762</v>
      </c>
      <c r="C230" t="s">
        <v>252</v>
      </c>
      <c r="D230" t="s">
        <v>39</v>
      </c>
      <c r="E230" t="s">
        <v>40</v>
      </c>
      <c r="F230">
        <v>43677</v>
      </c>
      <c r="H230" t="s">
        <v>41</v>
      </c>
      <c r="I230" s="5" t="s">
        <v>761</v>
      </c>
      <c r="J230" t="s">
        <v>604</v>
      </c>
      <c r="M230" t="s">
        <v>43</v>
      </c>
      <c r="O230">
        <v>43682</v>
      </c>
      <c r="P230" t="s">
        <v>118</v>
      </c>
      <c r="Q230" t="s">
        <v>250</v>
      </c>
      <c r="R230" t="s">
        <v>54</v>
      </c>
      <c r="S230" s="1">
        <v>45474</v>
      </c>
      <c r="T230" s="1">
        <v>45792</v>
      </c>
      <c r="U230" t="s">
        <v>47</v>
      </c>
      <c r="V230">
        <v>1</v>
      </c>
      <c r="W230" s="1">
        <v>45757</v>
      </c>
      <c r="X230" t="s">
        <v>48</v>
      </c>
      <c r="Y230" s="2">
        <v>1</v>
      </c>
      <c r="Z230" s="2">
        <v>1</v>
      </c>
      <c r="AB230" s="3">
        <v>1</v>
      </c>
      <c r="AC230" s="2">
        <v>9</v>
      </c>
      <c r="AG230" s="2">
        <v>0</v>
      </c>
      <c r="AH230" s="2">
        <v>9</v>
      </c>
      <c r="AI230" s="2">
        <v>0</v>
      </c>
      <c r="AK230">
        <v>5369890</v>
      </c>
      <c r="AL230" t="s">
        <v>473</v>
      </c>
    </row>
    <row r="231" spans="1:38" x14ac:dyDescent="0.25">
      <c r="A231" s="1">
        <v>45763</v>
      </c>
      <c r="B231" s="1">
        <v>45762</v>
      </c>
      <c r="C231" t="s">
        <v>252</v>
      </c>
      <c r="D231" t="s">
        <v>39</v>
      </c>
      <c r="E231" t="s">
        <v>40</v>
      </c>
      <c r="F231">
        <v>43677</v>
      </c>
      <c r="H231" t="s">
        <v>41</v>
      </c>
      <c r="I231" s="5" t="s">
        <v>794</v>
      </c>
      <c r="J231" t="s">
        <v>579</v>
      </c>
      <c r="M231" t="s">
        <v>43</v>
      </c>
      <c r="O231">
        <v>45613</v>
      </c>
      <c r="P231" t="s">
        <v>65</v>
      </c>
      <c r="Q231" t="s">
        <v>250</v>
      </c>
      <c r="R231" t="s">
        <v>54</v>
      </c>
      <c r="S231" s="1">
        <v>45474</v>
      </c>
      <c r="T231" s="1">
        <v>45792</v>
      </c>
      <c r="U231" t="s">
        <v>47</v>
      </c>
      <c r="V231">
        <v>1</v>
      </c>
      <c r="W231" s="1">
        <v>45757</v>
      </c>
      <c r="X231" t="s">
        <v>48</v>
      </c>
      <c r="Y231" s="2">
        <v>1</v>
      </c>
      <c r="Z231" s="2">
        <v>1</v>
      </c>
      <c r="AB231" s="3">
        <v>1</v>
      </c>
      <c r="AC231" s="2">
        <v>9</v>
      </c>
      <c r="AG231" s="2">
        <v>0</v>
      </c>
      <c r="AH231" s="2">
        <v>9</v>
      </c>
      <c r="AI231" s="2">
        <v>0</v>
      </c>
      <c r="AK231">
        <v>5370353</v>
      </c>
      <c r="AL231" t="s">
        <v>473</v>
      </c>
    </row>
    <row r="232" spans="1:38" x14ac:dyDescent="0.25">
      <c r="A232" s="1">
        <v>45763</v>
      </c>
      <c r="B232" s="1">
        <v>45762</v>
      </c>
      <c r="C232" t="s">
        <v>252</v>
      </c>
      <c r="D232" t="s">
        <v>39</v>
      </c>
      <c r="E232" t="s">
        <v>40</v>
      </c>
      <c r="F232">
        <v>43677</v>
      </c>
      <c r="H232" t="s">
        <v>41</v>
      </c>
      <c r="I232" s="5" t="s">
        <v>802</v>
      </c>
      <c r="J232" t="s">
        <v>572</v>
      </c>
      <c r="M232" t="s">
        <v>43</v>
      </c>
      <c r="O232">
        <v>45605</v>
      </c>
      <c r="P232" t="s">
        <v>50</v>
      </c>
      <c r="Q232" t="s">
        <v>250</v>
      </c>
      <c r="R232" t="s">
        <v>54</v>
      </c>
      <c r="S232" s="1">
        <v>45536</v>
      </c>
      <c r="T232" s="1">
        <v>45792</v>
      </c>
      <c r="U232" t="s">
        <v>47</v>
      </c>
      <c r="V232">
        <v>1</v>
      </c>
      <c r="W232" s="1">
        <v>45757</v>
      </c>
      <c r="X232" t="s">
        <v>48</v>
      </c>
      <c r="Y232" s="2">
        <v>1</v>
      </c>
      <c r="Z232" s="2">
        <v>1</v>
      </c>
      <c r="AB232" s="3">
        <v>1</v>
      </c>
      <c r="AC232" s="2">
        <v>9</v>
      </c>
      <c r="AG232" s="2">
        <v>0</v>
      </c>
      <c r="AH232" s="2">
        <v>9</v>
      </c>
      <c r="AI232" s="2">
        <v>0</v>
      </c>
      <c r="AK232">
        <v>5370445</v>
      </c>
      <c r="AL232" t="s">
        <v>473</v>
      </c>
    </row>
    <row r="233" spans="1:38" x14ac:dyDescent="0.25">
      <c r="A233" s="1">
        <v>45763</v>
      </c>
      <c r="B233" s="1">
        <v>45762</v>
      </c>
      <c r="C233" t="s">
        <v>252</v>
      </c>
      <c r="D233" t="s">
        <v>39</v>
      </c>
      <c r="E233" t="s">
        <v>40</v>
      </c>
      <c r="F233">
        <v>43677</v>
      </c>
      <c r="H233" t="s">
        <v>41</v>
      </c>
      <c r="I233" s="5" t="s">
        <v>886</v>
      </c>
      <c r="J233" t="s">
        <v>497</v>
      </c>
      <c r="M233" t="s">
        <v>43</v>
      </c>
      <c r="O233">
        <v>43705</v>
      </c>
      <c r="P233" t="s">
        <v>90</v>
      </c>
      <c r="Q233" t="s">
        <v>45</v>
      </c>
      <c r="R233" t="s">
        <v>54</v>
      </c>
      <c r="S233" s="1">
        <v>45566</v>
      </c>
      <c r="T233" s="1">
        <v>45792</v>
      </c>
      <c r="U233" t="s">
        <v>47</v>
      </c>
      <c r="V233">
        <v>1</v>
      </c>
      <c r="W233" s="1">
        <v>45757</v>
      </c>
      <c r="X233" t="s">
        <v>48</v>
      </c>
      <c r="Y233" s="2">
        <v>1</v>
      </c>
      <c r="Z233" s="2">
        <v>1</v>
      </c>
      <c r="AB233" s="3">
        <v>1</v>
      </c>
      <c r="AC233" s="2">
        <v>9</v>
      </c>
      <c r="AG233" s="2">
        <v>0</v>
      </c>
      <c r="AH233" s="2">
        <v>9</v>
      </c>
      <c r="AI233" s="2">
        <v>0</v>
      </c>
      <c r="AK233">
        <v>5371214</v>
      </c>
      <c r="AL233" t="s">
        <v>473</v>
      </c>
    </row>
    <row r="234" spans="1:38" x14ac:dyDescent="0.25">
      <c r="A234" s="1">
        <v>45763</v>
      </c>
      <c r="B234" s="1">
        <v>45762</v>
      </c>
      <c r="C234" t="s">
        <v>252</v>
      </c>
      <c r="D234" t="s">
        <v>39</v>
      </c>
      <c r="E234" t="s">
        <v>40</v>
      </c>
      <c r="F234">
        <v>43677</v>
      </c>
      <c r="H234" t="s">
        <v>41</v>
      </c>
      <c r="I234" s="5" t="s">
        <v>760</v>
      </c>
      <c r="J234" t="s">
        <v>605</v>
      </c>
      <c r="M234" t="s">
        <v>43</v>
      </c>
      <c r="O234">
        <v>45601</v>
      </c>
      <c r="P234" t="s">
        <v>58</v>
      </c>
      <c r="Q234" t="s">
        <v>250</v>
      </c>
      <c r="R234" t="s">
        <v>54</v>
      </c>
      <c r="S234" s="1">
        <v>45474</v>
      </c>
      <c r="T234" s="1">
        <v>45792</v>
      </c>
      <c r="U234" t="s">
        <v>47</v>
      </c>
      <c r="V234">
        <v>1</v>
      </c>
      <c r="W234" s="1">
        <v>45757</v>
      </c>
      <c r="X234" t="s">
        <v>48</v>
      </c>
      <c r="Y234" s="2">
        <v>1</v>
      </c>
      <c r="Z234" s="2">
        <v>1</v>
      </c>
      <c r="AB234" s="3">
        <v>1</v>
      </c>
      <c r="AC234" s="2">
        <v>9</v>
      </c>
      <c r="AG234" s="2">
        <v>0</v>
      </c>
      <c r="AH234" s="2">
        <v>9</v>
      </c>
      <c r="AI234" s="2">
        <v>0</v>
      </c>
      <c r="AK234">
        <v>5369657</v>
      </c>
      <c r="AL234" t="s">
        <v>473</v>
      </c>
    </row>
    <row r="235" spans="1:38" x14ac:dyDescent="0.25">
      <c r="A235" s="1">
        <v>45756</v>
      </c>
      <c r="B235" s="1">
        <v>45756</v>
      </c>
      <c r="C235" t="s">
        <v>38</v>
      </c>
      <c r="D235" t="s">
        <v>39</v>
      </c>
      <c r="E235" t="s">
        <v>40</v>
      </c>
      <c r="F235">
        <v>43677</v>
      </c>
      <c r="H235" t="s">
        <v>41</v>
      </c>
      <c r="I235" s="5" t="s">
        <v>624</v>
      </c>
      <c r="J235" t="s">
        <v>52</v>
      </c>
      <c r="M235" t="s">
        <v>43</v>
      </c>
      <c r="O235">
        <v>43689</v>
      </c>
      <c r="P235" t="s">
        <v>53</v>
      </c>
      <c r="Q235" t="s">
        <v>45</v>
      </c>
      <c r="R235" t="s">
        <v>54</v>
      </c>
      <c r="S235" s="1">
        <v>45748</v>
      </c>
      <c r="U235" t="s">
        <v>47</v>
      </c>
      <c r="X235" t="s">
        <v>48</v>
      </c>
      <c r="Y235" s="2">
        <v>0</v>
      </c>
      <c r="Z235" s="2">
        <v>175</v>
      </c>
      <c r="AA235">
        <v>1</v>
      </c>
      <c r="AB235" s="3">
        <v>1</v>
      </c>
      <c r="AC235" s="2">
        <v>175</v>
      </c>
      <c r="AD235" s="3">
        <v>0</v>
      </c>
      <c r="AE235" s="2">
        <v>0</v>
      </c>
      <c r="AF235" s="2">
        <v>175</v>
      </c>
      <c r="AK235">
        <v>5291460</v>
      </c>
    </row>
    <row r="236" spans="1:38" x14ac:dyDescent="0.25">
      <c r="A236" s="1">
        <v>45763</v>
      </c>
      <c r="B236" s="1">
        <v>45762</v>
      </c>
      <c r="C236" t="s">
        <v>252</v>
      </c>
      <c r="D236" t="s">
        <v>39</v>
      </c>
      <c r="E236" t="s">
        <v>40</v>
      </c>
      <c r="F236">
        <v>43677</v>
      </c>
      <c r="H236" t="s">
        <v>41</v>
      </c>
      <c r="I236" s="5" t="s">
        <v>874</v>
      </c>
      <c r="J236" t="s">
        <v>510</v>
      </c>
      <c r="M236" t="s">
        <v>43</v>
      </c>
      <c r="O236">
        <v>45603</v>
      </c>
      <c r="P236" t="s">
        <v>218</v>
      </c>
      <c r="Q236" t="s">
        <v>45</v>
      </c>
      <c r="R236" t="s">
        <v>54</v>
      </c>
      <c r="S236" s="1">
        <v>45597</v>
      </c>
      <c r="T236" s="1">
        <v>45792</v>
      </c>
      <c r="U236" t="s">
        <v>47</v>
      </c>
      <c r="V236">
        <v>1</v>
      </c>
      <c r="W236" s="1">
        <v>45757</v>
      </c>
      <c r="X236" t="s">
        <v>48</v>
      </c>
      <c r="Y236" s="2">
        <v>1</v>
      </c>
      <c r="Z236" s="2">
        <v>1</v>
      </c>
      <c r="AB236" s="3">
        <v>1</v>
      </c>
      <c r="AC236" s="2">
        <v>9</v>
      </c>
      <c r="AG236" s="2">
        <v>0</v>
      </c>
      <c r="AH236" s="2">
        <v>9</v>
      </c>
      <c r="AI236" s="2">
        <v>0</v>
      </c>
      <c r="AK236">
        <v>5371079</v>
      </c>
      <c r="AL236" t="s">
        <v>473</v>
      </c>
    </row>
    <row r="237" spans="1:38" x14ac:dyDescent="0.25">
      <c r="A237" s="1">
        <v>45763</v>
      </c>
      <c r="B237" s="1">
        <v>45763</v>
      </c>
      <c r="C237" t="s">
        <v>38</v>
      </c>
      <c r="D237" t="s">
        <v>39</v>
      </c>
      <c r="E237" t="s">
        <v>40</v>
      </c>
      <c r="F237">
        <v>43677</v>
      </c>
      <c r="H237" t="s">
        <v>41</v>
      </c>
      <c r="I237" s="5" t="s">
        <v>681</v>
      </c>
      <c r="J237" t="s">
        <v>246</v>
      </c>
      <c r="M237" t="s">
        <v>43</v>
      </c>
      <c r="O237">
        <v>45611</v>
      </c>
      <c r="P237" t="s">
        <v>68</v>
      </c>
      <c r="Q237" t="s">
        <v>45</v>
      </c>
      <c r="R237" t="s">
        <v>54</v>
      </c>
      <c r="S237" s="1">
        <v>45778</v>
      </c>
      <c r="U237" t="s">
        <v>47</v>
      </c>
      <c r="X237" t="s">
        <v>48</v>
      </c>
      <c r="Y237" s="2">
        <v>0</v>
      </c>
      <c r="Z237" s="2">
        <v>175</v>
      </c>
      <c r="AA237">
        <v>1</v>
      </c>
      <c r="AB237" s="3">
        <v>1</v>
      </c>
      <c r="AC237" s="2">
        <v>175</v>
      </c>
      <c r="AD237" s="3">
        <v>0</v>
      </c>
      <c r="AE237" s="2">
        <v>0</v>
      </c>
      <c r="AF237" s="2">
        <v>175</v>
      </c>
      <c r="AK237">
        <v>5374409</v>
      </c>
    </row>
    <row r="238" spans="1:38" x14ac:dyDescent="0.25">
      <c r="A238" s="1">
        <v>45756</v>
      </c>
      <c r="B238" s="1">
        <v>45756</v>
      </c>
      <c r="C238" t="s">
        <v>38</v>
      </c>
      <c r="D238" t="s">
        <v>39</v>
      </c>
      <c r="E238" t="s">
        <v>40</v>
      </c>
      <c r="F238">
        <v>43677</v>
      </c>
      <c r="H238" t="s">
        <v>41</v>
      </c>
      <c r="I238" s="5" t="s">
        <v>640</v>
      </c>
      <c r="J238" t="s">
        <v>79</v>
      </c>
      <c r="M238" t="s">
        <v>43</v>
      </c>
      <c r="O238">
        <v>45638</v>
      </c>
      <c r="P238" t="s">
        <v>63</v>
      </c>
      <c r="Q238" t="s">
        <v>45</v>
      </c>
      <c r="R238" t="s">
        <v>54</v>
      </c>
      <c r="S238" s="1">
        <v>45748</v>
      </c>
      <c r="U238" t="s">
        <v>47</v>
      </c>
      <c r="X238" t="s">
        <v>48</v>
      </c>
      <c r="Y238" s="2">
        <v>0</v>
      </c>
      <c r="Z238" s="2">
        <v>175</v>
      </c>
      <c r="AA238">
        <v>1</v>
      </c>
      <c r="AB238" s="3">
        <v>1</v>
      </c>
      <c r="AC238" s="2">
        <v>175</v>
      </c>
      <c r="AD238" s="3">
        <v>0</v>
      </c>
      <c r="AE238" s="2">
        <v>0</v>
      </c>
      <c r="AF238" s="2">
        <v>175</v>
      </c>
      <c r="AK238">
        <v>5291561</v>
      </c>
    </row>
    <row r="239" spans="1:38" x14ac:dyDescent="0.25">
      <c r="A239" s="1">
        <v>45763</v>
      </c>
      <c r="B239" s="1">
        <v>45763</v>
      </c>
      <c r="C239" t="s">
        <v>38</v>
      </c>
      <c r="D239" t="s">
        <v>39</v>
      </c>
      <c r="E239" t="s">
        <v>40</v>
      </c>
      <c r="F239">
        <v>43677</v>
      </c>
      <c r="H239" t="s">
        <v>41</v>
      </c>
      <c r="I239" s="5" t="s">
        <v>689</v>
      </c>
      <c r="J239" t="s">
        <v>238</v>
      </c>
      <c r="M239" t="s">
        <v>43</v>
      </c>
      <c r="O239">
        <v>45638</v>
      </c>
      <c r="P239" t="s">
        <v>63</v>
      </c>
      <c r="Q239" t="s">
        <v>45</v>
      </c>
      <c r="R239" t="s">
        <v>54</v>
      </c>
      <c r="S239" s="1">
        <v>45748</v>
      </c>
      <c r="U239" t="s">
        <v>47</v>
      </c>
      <c r="X239" t="s">
        <v>48</v>
      </c>
      <c r="Y239" s="2">
        <v>0</v>
      </c>
      <c r="Z239" s="2">
        <v>175</v>
      </c>
      <c r="AA239">
        <v>1</v>
      </c>
      <c r="AB239" s="3">
        <v>1</v>
      </c>
      <c r="AC239" s="2">
        <v>175</v>
      </c>
      <c r="AD239" s="3">
        <v>0</v>
      </c>
      <c r="AE239" s="2">
        <v>0</v>
      </c>
      <c r="AF239" s="2">
        <v>175</v>
      </c>
      <c r="AK239">
        <v>5374491</v>
      </c>
    </row>
    <row r="240" spans="1:38" x14ac:dyDescent="0.25">
      <c r="A240" s="1">
        <v>45763</v>
      </c>
      <c r="B240" s="1">
        <v>45762</v>
      </c>
      <c r="C240" t="s">
        <v>252</v>
      </c>
      <c r="D240" t="s">
        <v>39</v>
      </c>
      <c r="E240" t="s">
        <v>40</v>
      </c>
      <c r="F240">
        <v>43677</v>
      </c>
      <c r="H240" t="s">
        <v>41</v>
      </c>
      <c r="I240" s="5" t="s">
        <v>791</v>
      </c>
      <c r="J240" t="s">
        <v>581</v>
      </c>
      <c r="M240" t="s">
        <v>43</v>
      </c>
      <c r="O240">
        <v>45622</v>
      </c>
      <c r="P240" t="s">
        <v>198</v>
      </c>
      <c r="Q240" t="s">
        <v>250</v>
      </c>
      <c r="R240" t="s">
        <v>54</v>
      </c>
      <c r="S240" s="1">
        <v>45505</v>
      </c>
      <c r="T240" s="1">
        <v>45792</v>
      </c>
      <c r="U240" t="s">
        <v>47</v>
      </c>
      <c r="V240">
        <v>1</v>
      </c>
      <c r="W240" s="1">
        <v>45757</v>
      </c>
      <c r="X240" t="s">
        <v>48</v>
      </c>
      <c r="Y240" s="2">
        <v>1</v>
      </c>
      <c r="Z240" s="2">
        <v>1</v>
      </c>
      <c r="AB240" s="3">
        <v>1</v>
      </c>
      <c r="AC240" s="2">
        <v>9</v>
      </c>
      <c r="AG240" s="2">
        <v>0</v>
      </c>
      <c r="AH240" s="2">
        <v>9</v>
      </c>
      <c r="AI240" s="2">
        <v>0</v>
      </c>
      <c r="AK240">
        <v>5370344</v>
      </c>
      <c r="AL240" t="s">
        <v>473</v>
      </c>
    </row>
    <row r="241" spans="1:38" x14ac:dyDescent="0.25">
      <c r="A241" s="1">
        <v>45763</v>
      </c>
      <c r="B241" s="1">
        <v>45763</v>
      </c>
      <c r="C241" t="s">
        <v>38</v>
      </c>
      <c r="D241" t="s">
        <v>39</v>
      </c>
      <c r="E241" t="s">
        <v>40</v>
      </c>
      <c r="F241">
        <v>43677</v>
      </c>
      <c r="H241" t="s">
        <v>41</v>
      </c>
      <c r="I241" s="5" t="s">
        <v>691</v>
      </c>
      <c r="J241" t="s">
        <v>236</v>
      </c>
      <c r="M241" t="s">
        <v>43</v>
      </c>
      <c r="O241">
        <v>45612</v>
      </c>
      <c r="P241" t="s">
        <v>99</v>
      </c>
      <c r="Q241" t="s">
        <v>45</v>
      </c>
      <c r="R241" t="s">
        <v>54</v>
      </c>
      <c r="S241" s="1">
        <v>45748</v>
      </c>
      <c r="U241" t="s">
        <v>47</v>
      </c>
      <c r="X241" t="s">
        <v>48</v>
      </c>
      <c r="Y241" s="2">
        <v>0</v>
      </c>
      <c r="Z241" s="2">
        <v>175</v>
      </c>
      <c r="AA241">
        <v>1</v>
      </c>
      <c r="AB241" s="3">
        <v>1</v>
      </c>
      <c r="AC241" s="2">
        <v>175</v>
      </c>
      <c r="AD241" s="3">
        <v>0</v>
      </c>
      <c r="AE241" s="2">
        <v>0</v>
      </c>
      <c r="AF241" s="2">
        <v>175</v>
      </c>
      <c r="AK241">
        <v>5374498</v>
      </c>
    </row>
    <row r="242" spans="1:38" x14ac:dyDescent="0.25">
      <c r="A242" s="1">
        <v>45763</v>
      </c>
      <c r="B242" s="1">
        <v>45762</v>
      </c>
      <c r="C242" t="s">
        <v>252</v>
      </c>
      <c r="D242" t="s">
        <v>39</v>
      </c>
      <c r="E242" t="s">
        <v>40</v>
      </c>
      <c r="F242">
        <v>43677</v>
      </c>
      <c r="H242" t="s">
        <v>41</v>
      </c>
      <c r="I242" s="5" t="s">
        <v>838</v>
      </c>
      <c r="J242" t="s">
        <v>540</v>
      </c>
      <c r="M242" t="s">
        <v>43</v>
      </c>
      <c r="O242">
        <v>45621</v>
      </c>
      <c r="P242" t="s">
        <v>177</v>
      </c>
      <c r="Q242" t="s">
        <v>250</v>
      </c>
      <c r="R242" t="s">
        <v>54</v>
      </c>
      <c r="S242" s="1">
        <v>45566</v>
      </c>
      <c r="T242" s="1">
        <v>45792</v>
      </c>
      <c r="U242" t="s">
        <v>47</v>
      </c>
      <c r="V242">
        <v>1</v>
      </c>
      <c r="W242" s="1">
        <v>45757</v>
      </c>
      <c r="X242" t="s">
        <v>48</v>
      </c>
      <c r="Y242" s="2">
        <v>1</v>
      </c>
      <c r="Z242" s="2">
        <v>1</v>
      </c>
      <c r="AB242" s="3">
        <v>1</v>
      </c>
      <c r="AC242" s="2">
        <v>9</v>
      </c>
      <c r="AG242" s="2">
        <v>0</v>
      </c>
      <c r="AH242" s="2">
        <v>9</v>
      </c>
      <c r="AI242" s="2">
        <v>0</v>
      </c>
      <c r="AK242">
        <v>5370867</v>
      </c>
      <c r="AL242" t="s">
        <v>473</v>
      </c>
    </row>
    <row r="243" spans="1:38" x14ac:dyDescent="0.25">
      <c r="A243" s="1">
        <v>45763</v>
      </c>
      <c r="B243" s="1">
        <v>45762</v>
      </c>
      <c r="C243" t="s">
        <v>252</v>
      </c>
      <c r="D243" t="s">
        <v>39</v>
      </c>
      <c r="E243" t="s">
        <v>40</v>
      </c>
      <c r="F243">
        <v>43677</v>
      </c>
      <c r="H243" t="s">
        <v>41</v>
      </c>
      <c r="I243" s="5" t="s">
        <v>892</v>
      </c>
      <c r="J243" t="s">
        <v>492</v>
      </c>
      <c r="M243" t="s">
        <v>43</v>
      </c>
      <c r="O243">
        <v>43611</v>
      </c>
      <c r="P243" t="s">
        <v>94</v>
      </c>
      <c r="Q243" t="s">
        <v>45</v>
      </c>
      <c r="R243" t="s">
        <v>54</v>
      </c>
      <c r="S243" s="1">
        <v>45597</v>
      </c>
      <c r="T243" s="1">
        <v>45792</v>
      </c>
      <c r="U243" t="s">
        <v>47</v>
      </c>
      <c r="V243">
        <v>1</v>
      </c>
      <c r="W243" s="1">
        <v>45757</v>
      </c>
      <c r="X243" t="s">
        <v>48</v>
      </c>
      <c r="Y243" s="2">
        <v>1</v>
      </c>
      <c r="Z243" s="2">
        <v>1</v>
      </c>
      <c r="AB243" s="3">
        <v>1</v>
      </c>
      <c r="AC243" s="2">
        <v>4</v>
      </c>
      <c r="AG243" s="2">
        <v>0</v>
      </c>
      <c r="AH243" s="2">
        <v>4</v>
      </c>
      <c r="AI243" s="2">
        <v>0</v>
      </c>
      <c r="AK243">
        <v>5371272</v>
      </c>
      <c r="AL243" t="s">
        <v>473</v>
      </c>
    </row>
    <row r="244" spans="1:38" x14ac:dyDescent="0.25">
      <c r="A244" s="1">
        <v>45763</v>
      </c>
      <c r="B244" s="1">
        <v>45762</v>
      </c>
      <c r="C244" t="s">
        <v>252</v>
      </c>
      <c r="D244" t="s">
        <v>39</v>
      </c>
      <c r="E244" t="s">
        <v>40</v>
      </c>
      <c r="F244">
        <v>43677</v>
      </c>
      <c r="H244" t="s">
        <v>41</v>
      </c>
      <c r="I244" s="5" t="s">
        <v>781</v>
      </c>
      <c r="J244" t="s">
        <v>588</v>
      </c>
      <c r="M244" t="s">
        <v>43</v>
      </c>
      <c r="O244">
        <v>45611</v>
      </c>
      <c r="P244" t="s">
        <v>68</v>
      </c>
      <c r="Q244" t="s">
        <v>45</v>
      </c>
      <c r="R244" t="s">
        <v>54</v>
      </c>
      <c r="S244" s="1">
        <v>45474</v>
      </c>
      <c r="T244" s="1">
        <v>45792</v>
      </c>
      <c r="U244" t="s">
        <v>47</v>
      </c>
      <c r="V244">
        <v>1</v>
      </c>
      <c r="W244" s="1">
        <v>45757</v>
      </c>
      <c r="X244" t="s">
        <v>48</v>
      </c>
      <c r="Y244" s="2">
        <v>1</v>
      </c>
      <c r="Z244" s="2">
        <v>1</v>
      </c>
      <c r="AB244" s="3">
        <v>1</v>
      </c>
      <c r="AC244" s="2">
        <v>9</v>
      </c>
      <c r="AG244" s="2">
        <v>0</v>
      </c>
      <c r="AH244" s="2">
        <v>9</v>
      </c>
      <c r="AI244" s="2">
        <v>0</v>
      </c>
      <c r="AK244">
        <v>5370225</v>
      </c>
      <c r="AL244" t="s">
        <v>473</v>
      </c>
    </row>
    <row r="245" spans="1:38" x14ac:dyDescent="0.25">
      <c r="A245" s="1">
        <v>45763</v>
      </c>
      <c r="B245" s="1">
        <v>45763</v>
      </c>
      <c r="C245" t="s">
        <v>38</v>
      </c>
      <c r="D245" t="s">
        <v>39</v>
      </c>
      <c r="E245" t="s">
        <v>40</v>
      </c>
      <c r="F245">
        <v>43677</v>
      </c>
      <c r="H245" t="s">
        <v>41</v>
      </c>
      <c r="I245" s="5" t="s">
        <v>690</v>
      </c>
      <c r="J245" t="s">
        <v>237</v>
      </c>
      <c r="M245" t="s">
        <v>43</v>
      </c>
      <c r="O245">
        <v>45622</v>
      </c>
      <c r="P245" t="s">
        <v>198</v>
      </c>
      <c r="Q245" t="s">
        <v>45</v>
      </c>
      <c r="R245" t="s">
        <v>54</v>
      </c>
      <c r="S245" s="1">
        <v>45748</v>
      </c>
      <c r="U245" t="s">
        <v>47</v>
      </c>
      <c r="X245" t="s">
        <v>48</v>
      </c>
      <c r="Y245" s="2">
        <v>0</v>
      </c>
      <c r="Z245" s="2">
        <v>175</v>
      </c>
      <c r="AA245">
        <v>1</v>
      </c>
      <c r="AB245" s="3">
        <v>1</v>
      </c>
      <c r="AC245" s="2">
        <v>175</v>
      </c>
      <c r="AD245" s="3">
        <v>0</v>
      </c>
      <c r="AE245" s="2">
        <v>0</v>
      </c>
      <c r="AF245" s="2">
        <v>175</v>
      </c>
      <c r="AK245">
        <v>5374497</v>
      </c>
    </row>
    <row r="246" spans="1:38" x14ac:dyDescent="0.25">
      <c r="A246" s="1">
        <v>45756</v>
      </c>
      <c r="B246" s="1">
        <v>45756</v>
      </c>
      <c r="C246" t="s">
        <v>146</v>
      </c>
      <c r="D246" t="s">
        <v>39</v>
      </c>
      <c r="E246" t="s">
        <v>40</v>
      </c>
      <c r="F246">
        <v>43677</v>
      </c>
      <c r="H246" t="s">
        <v>41</v>
      </c>
      <c r="I246" s="5" t="s">
        <v>664</v>
      </c>
      <c r="J246" t="s">
        <v>153</v>
      </c>
      <c r="M246" t="s">
        <v>43</v>
      </c>
      <c r="O246">
        <v>43736</v>
      </c>
      <c r="P246" t="s">
        <v>153</v>
      </c>
      <c r="Q246" t="s">
        <v>148</v>
      </c>
      <c r="R246" t="s">
        <v>54</v>
      </c>
      <c r="S246" s="1">
        <v>45658</v>
      </c>
      <c r="U246" t="s">
        <v>47</v>
      </c>
      <c r="X246" t="s">
        <v>48</v>
      </c>
      <c r="Y246" s="2">
        <v>0</v>
      </c>
      <c r="Z246">
        <v>-131.25</v>
      </c>
      <c r="AA246">
        <v>1</v>
      </c>
      <c r="AB246" s="3">
        <v>1</v>
      </c>
      <c r="AC246">
        <v>-131.25</v>
      </c>
      <c r="AD246" s="3">
        <v>0</v>
      </c>
      <c r="AE246" s="2">
        <v>0</v>
      </c>
      <c r="AF246" s="2">
        <v>175</v>
      </c>
      <c r="AG246" s="2"/>
      <c r="AJ246" s="2"/>
    </row>
    <row r="247" spans="1:38" x14ac:dyDescent="0.25">
      <c r="A247" s="1">
        <v>45763</v>
      </c>
      <c r="B247" s="1">
        <v>45762</v>
      </c>
      <c r="C247" t="s">
        <v>252</v>
      </c>
      <c r="D247" t="s">
        <v>39</v>
      </c>
      <c r="E247" t="s">
        <v>40</v>
      </c>
      <c r="F247">
        <v>43677</v>
      </c>
      <c r="H247" t="s">
        <v>41</v>
      </c>
      <c r="I247" s="5" t="s">
        <v>795</v>
      </c>
      <c r="J247" t="s">
        <v>578</v>
      </c>
      <c r="M247" t="s">
        <v>43</v>
      </c>
      <c r="O247">
        <v>43682</v>
      </c>
      <c r="P247" t="s">
        <v>118</v>
      </c>
      <c r="Q247" t="s">
        <v>250</v>
      </c>
      <c r="R247" t="s">
        <v>54</v>
      </c>
      <c r="S247" s="1">
        <v>45444</v>
      </c>
      <c r="T247" s="1">
        <v>45792</v>
      </c>
      <c r="U247" t="s">
        <v>47</v>
      </c>
      <c r="V247">
        <v>1</v>
      </c>
      <c r="W247" s="1">
        <v>45757</v>
      </c>
      <c r="X247" t="s">
        <v>48</v>
      </c>
      <c r="Y247" s="2">
        <v>1</v>
      </c>
      <c r="Z247" s="2">
        <v>1</v>
      </c>
      <c r="AB247" s="3">
        <v>1</v>
      </c>
      <c r="AC247" s="2">
        <v>9</v>
      </c>
      <c r="AG247" s="2">
        <v>0</v>
      </c>
      <c r="AH247" s="2">
        <v>9</v>
      </c>
      <c r="AI247" s="2">
        <v>0</v>
      </c>
      <c r="AK247">
        <v>5370355</v>
      </c>
      <c r="AL247" t="s">
        <v>473</v>
      </c>
    </row>
    <row r="248" spans="1:38" x14ac:dyDescent="0.25">
      <c r="A248" s="1">
        <v>45763</v>
      </c>
      <c r="B248" s="1">
        <v>45762</v>
      </c>
      <c r="C248" t="s">
        <v>252</v>
      </c>
      <c r="D248" t="s">
        <v>39</v>
      </c>
      <c r="E248" t="s">
        <v>40</v>
      </c>
      <c r="F248">
        <v>43677</v>
      </c>
      <c r="H248" t="s">
        <v>41</v>
      </c>
      <c r="I248" s="5" t="s">
        <v>908</v>
      </c>
      <c r="J248" t="s">
        <v>476</v>
      </c>
      <c r="M248" t="s">
        <v>43</v>
      </c>
      <c r="O248">
        <v>45638</v>
      </c>
      <c r="P248" t="s">
        <v>63</v>
      </c>
      <c r="Q248" t="s">
        <v>250</v>
      </c>
      <c r="R248" t="s">
        <v>54</v>
      </c>
      <c r="S248" s="1">
        <v>45627</v>
      </c>
      <c r="T248" s="1">
        <v>45792</v>
      </c>
      <c r="U248" t="s">
        <v>47</v>
      </c>
      <c r="V248">
        <v>1</v>
      </c>
      <c r="W248" s="1">
        <v>45757</v>
      </c>
      <c r="X248" t="s">
        <v>48</v>
      </c>
      <c r="Y248" s="2">
        <v>1</v>
      </c>
      <c r="Z248" s="2">
        <v>1</v>
      </c>
      <c r="AB248" s="3">
        <v>1</v>
      </c>
      <c r="AC248" s="2">
        <v>9</v>
      </c>
      <c r="AG248" s="2">
        <v>0</v>
      </c>
      <c r="AH248" s="2">
        <v>9</v>
      </c>
      <c r="AI248" s="2">
        <v>0</v>
      </c>
      <c r="AK248">
        <v>5371416</v>
      </c>
      <c r="AL248" t="s">
        <v>473</v>
      </c>
    </row>
    <row r="249" spans="1:38" x14ac:dyDescent="0.25">
      <c r="A249" s="1">
        <v>45763</v>
      </c>
      <c r="B249" s="1">
        <v>45762</v>
      </c>
      <c r="C249" t="s">
        <v>252</v>
      </c>
      <c r="D249" t="s">
        <v>39</v>
      </c>
      <c r="E249" t="s">
        <v>40</v>
      </c>
      <c r="F249">
        <v>43677</v>
      </c>
      <c r="H249" t="s">
        <v>41</v>
      </c>
      <c r="I249" s="5" t="s">
        <v>814</v>
      </c>
      <c r="J249" t="s">
        <v>560</v>
      </c>
      <c r="M249" t="s">
        <v>43</v>
      </c>
      <c r="O249">
        <v>45612</v>
      </c>
      <c r="P249" t="s">
        <v>99</v>
      </c>
      <c r="Q249" t="s">
        <v>45</v>
      </c>
      <c r="R249" t="s">
        <v>54</v>
      </c>
      <c r="S249" s="1">
        <v>45536</v>
      </c>
      <c r="T249" s="1">
        <v>45792</v>
      </c>
      <c r="U249" t="s">
        <v>47</v>
      </c>
      <c r="V249">
        <v>1</v>
      </c>
      <c r="W249" s="1">
        <v>45757</v>
      </c>
      <c r="X249" t="s">
        <v>48</v>
      </c>
      <c r="Y249" s="2">
        <v>1</v>
      </c>
      <c r="Z249" s="2">
        <v>1</v>
      </c>
      <c r="AB249" s="3">
        <v>1</v>
      </c>
      <c r="AC249" s="2">
        <v>9</v>
      </c>
      <c r="AG249" s="2">
        <v>0</v>
      </c>
      <c r="AH249" s="2">
        <v>9</v>
      </c>
      <c r="AI249" s="2">
        <v>0</v>
      </c>
      <c r="AK249">
        <v>5370563</v>
      </c>
      <c r="AL249" t="s">
        <v>473</v>
      </c>
    </row>
    <row r="250" spans="1:38" x14ac:dyDescent="0.25">
      <c r="A250" s="1">
        <v>45763</v>
      </c>
      <c r="B250" s="1">
        <v>45762</v>
      </c>
      <c r="C250" t="s">
        <v>252</v>
      </c>
      <c r="D250" t="s">
        <v>39</v>
      </c>
      <c r="E250" t="s">
        <v>40</v>
      </c>
      <c r="F250">
        <v>43677</v>
      </c>
      <c r="H250" t="s">
        <v>41</v>
      </c>
      <c r="I250" s="5" t="s">
        <v>895</v>
      </c>
      <c r="J250" t="s">
        <v>489</v>
      </c>
      <c r="M250" t="s">
        <v>43</v>
      </c>
      <c r="O250">
        <v>45604</v>
      </c>
      <c r="P250" t="s">
        <v>103</v>
      </c>
      <c r="Q250" t="s">
        <v>45</v>
      </c>
      <c r="R250" t="s">
        <v>54</v>
      </c>
      <c r="S250" s="1">
        <v>45627</v>
      </c>
      <c r="T250" s="1">
        <v>45792</v>
      </c>
      <c r="U250" t="s">
        <v>47</v>
      </c>
      <c r="V250">
        <v>1</v>
      </c>
      <c r="W250" s="1">
        <v>45757</v>
      </c>
      <c r="X250" t="s">
        <v>48</v>
      </c>
      <c r="Y250" s="2">
        <v>1</v>
      </c>
      <c r="Z250" s="2">
        <v>1</v>
      </c>
      <c r="AB250" s="3">
        <v>1</v>
      </c>
      <c r="AC250" s="2">
        <v>9</v>
      </c>
      <c r="AG250" s="2">
        <v>0</v>
      </c>
      <c r="AH250" s="2">
        <v>9</v>
      </c>
      <c r="AI250" s="2">
        <v>0</v>
      </c>
      <c r="AK250">
        <v>5371298</v>
      </c>
      <c r="AL250" t="s">
        <v>473</v>
      </c>
    </row>
    <row r="251" spans="1:38" x14ac:dyDescent="0.25">
      <c r="A251" s="1">
        <v>45763</v>
      </c>
      <c r="B251" s="1">
        <v>45763</v>
      </c>
      <c r="C251" t="s">
        <v>38</v>
      </c>
      <c r="D251" t="s">
        <v>39</v>
      </c>
      <c r="E251" t="s">
        <v>40</v>
      </c>
      <c r="F251">
        <v>43677</v>
      </c>
      <c r="H251" t="s">
        <v>41</v>
      </c>
      <c r="I251" s="5" t="s">
        <v>696</v>
      </c>
      <c r="J251" t="s">
        <v>231</v>
      </c>
      <c r="M251" t="s">
        <v>43</v>
      </c>
      <c r="O251">
        <v>45638</v>
      </c>
      <c r="P251" t="s">
        <v>63</v>
      </c>
      <c r="Q251" t="s">
        <v>45</v>
      </c>
      <c r="R251" t="s">
        <v>54</v>
      </c>
      <c r="S251" s="1">
        <v>45809</v>
      </c>
      <c r="U251" t="s">
        <v>47</v>
      </c>
      <c r="X251" t="s">
        <v>48</v>
      </c>
      <c r="Y251" s="2">
        <v>0</v>
      </c>
      <c r="Z251" s="2">
        <v>175</v>
      </c>
      <c r="AA251">
        <v>1</v>
      </c>
      <c r="AB251" s="3">
        <v>1</v>
      </c>
      <c r="AC251" s="2">
        <v>175</v>
      </c>
      <c r="AD251" s="3">
        <v>0</v>
      </c>
      <c r="AE251" s="2">
        <v>0</v>
      </c>
      <c r="AF251" s="2">
        <v>175</v>
      </c>
      <c r="AK251">
        <v>5374524</v>
      </c>
    </row>
    <row r="252" spans="1:38" x14ac:dyDescent="0.25">
      <c r="A252" s="1">
        <v>45763</v>
      </c>
      <c r="B252" s="1">
        <v>45762</v>
      </c>
      <c r="C252" t="s">
        <v>252</v>
      </c>
      <c r="D252" t="s">
        <v>39</v>
      </c>
      <c r="E252" t="s">
        <v>40</v>
      </c>
      <c r="F252">
        <v>43677</v>
      </c>
      <c r="H252" t="s">
        <v>41</v>
      </c>
      <c r="I252" s="5" t="s">
        <v>877</v>
      </c>
      <c r="J252" t="s">
        <v>507</v>
      </c>
      <c r="M252" t="s">
        <v>43</v>
      </c>
      <c r="O252">
        <v>45618</v>
      </c>
      <c r="P252" t="s">
        <v>97</v>
      </c>
      <c r="Q252" t="s">
        <v>45</v>
      </c>
      <c r="R252" t="s">
        <v>54</v>
      </c>
      <c r="S252" s="1">
        <v>45627</v>
      </c>
      <c r="T252" s="1">
        <v>45792</v>
      </c>
      <c r="U252" t="s">
        <v>47</v>
      </c>
      <c r="V252">
        <v>1</v>
      </c>
      <c r="W252" s="1">
        <v>45757</v>
      </c>
      <c r="X252" t="s">
        <v>48</v>
      </c>
      <c r="Y252" s="2">
        <v>1</v>
      </c>
      <c r="Z252" s="2">
        <v>1</v>
      </c>
      <c r="AB252" s="3">
        <v>1</v>
      </c>
      <c r="AC252" s="2">
        <v>9</v>
      </c>
      <c r="AG252" s="2">
        <v>0</v>
      </c>
      <c r="AH252" s="2">
        <v>9</v>
      </c>
      <c r="AI252" s="2">
        <v>0</v>
      </c>
      <c r="AK252">
        <v>5371124</v>
      </c>
      <c r="AL252" t="s">
        <v>473</v>
      </c>
    </row>
    <row r="253" spans="1:38" x14ac:dyDescent="0.25">
      <c r="A253" s="1">
        <v>45763</v>
      </c>
      <c r="B253" s="1">
        <v>45762</v>
      </c>
      <c r="C253" t="s">
        <v>252</v>
      </c>
      <c r="D253" t="s">
        <v>39</v>
      </c>
      <c r="E253" t="s">
        <v>40</v>
      </c>
      <c r="F253">
        <v>43677</v>
      </c>
      <c r="H253" t="s">
        <v>41</v>
      </c>
      <c r="I253" s="5" t="s">
        <v>878</v>
      </c>
      <c r="J253" t="s">
        <v>506</v>
      </c>
      <c r="M253" t="s">
        <v>43</v>
      </c>
      <c r="O253">
        <v>45611</v>
      </c>
      <c r="P253" t="s">
        <v>68</v>
      </c>
      <c r="Q253" t="s">
        <v>45</v>
      </c>
      <c r="R253" t="s">
        <v>54</v>
      </c>
      <c r="S253" s="1">
        <v>45566</v>
      </c>
      <c r="T253" s="1">
        <v>45792</v>
      </c>
      <c r="U253" t="s">
        <v>47</v>
      </c>
      <c r="V253">
        <v>1</v>
      </c>
      <c r="W253" s="1">
        <v>45757</v>
      </c>
      <c r="X253" t="s">
        <v>48</v>
      </c>
      <c r="Y253" s="2">
        <v>1</v>
      </c>
      <c r="Z253" s="2">
        <v>1</v>
      </c>
      <c r="AB253" s="3">
        <v>1</v>
      </c>
      <c r="AC253" s="2">
        <v>9</v>
      </c>
      <c r="AG253" s="2">
        <v>0</v>
      </c>
      <c r="AH253" s="2">
        <v>9</v>
      </c>
      <c r="AI253" s="2">
        <v>0</v>
      </c>
      <c r="AK253">
        <v>5371130</v>
      </c>
      <c r="AL253" t="s">
        <v>473</v>
      </c>
    </row>
    <row r="254" spans="1:38" x14ac:dyDescent="0.25">
      <c r="A254" s="1">
        <v>45763</v>
      </c>
      <c r="B254" s="1">
        <v>45762</v>
      </c>
      <c r="C254" t="s">
        <v>252</v>
      </c>
      <c r="D254" t="s">
        <v>39</v>
      </c>
      <c r="E254" t="s">
        <v>40</v>
      </c>
      <c r="F254">
        <v>43677</v>
      </c>
      <c r="H254" t="s">
        <v>41</v>
      </c>
      <c r="I254" s="5" t="s">
        <v>810</v>
      </c>
      <c r="J254" t="s">
        <v>564</v>
      </c>
      <c r="M254" t="s">
        <v>43</v>
      </c>
      <c r="O254">
        <v>45605</v>
      </c>
      <c r="P254" t="s">
        <v>50</v>
      </c>
      <c r="Q254" t="s">
        <v>250</v>
      </c>
      <c r="R254" t="s">
        <v>54</v>
      </c>
      <c r="S254" s="1">
        <v>45505</v>
      </c>
      <c r="T254" s="1">
        <v>45792</v>
      </c>
      <c r="U254" t="s">
        <v>47</v>
      </c>
      <c r="V254">
        <v>1</v>
      </c>
      <c r="W254" s="1">
        <v>45757</v>
      </c>
      <c r="X254" t="s">
        <v>48</v>
      </c>
      <c r="Y254" s="2">
        <v>1</v>
      </c>
      <c r="Z254" s="2">
        <v>1</v>
      </c>
      <c r="AB254" s="3">
        <v>1</v>
      </c>
      <c r="AC254" s="2">
        <v>9</v>
      </c>
      <c r="AG254" s="2">
        <v>0</v>
      </c>
      <c r="AH254" s="2">
        <v>9</v>
      </c>
      <c r="AI254" s="2">
        <v>0</v>
      </c>
      <c r="AK254">
        <v>5370505</v>
      </c>
      <c r="AL254" t="s">
        <v>473</v>
      </c>
    </row>
    <row r="255" spans="1:38" x14ac:dyDescent="0.25">
      <c r="A255" s="1">
        <v>45763</v>
      </c>
      <c r="B255" s="1">
        <v>45763</v>
      </c>
      <c r="C255" t="s">
        <v>146</v>
      </c>
      <c r="D255" t="s">
        <v>39</v>
      </c>
      <c r="E255" t="s">
        <v>40</v>
      </c>
      <c r="F255">
        <v>43677</v>
      </c>
      <c r="H255" t="s">
        <v>41</v>
      </c>
      <c r="I255" s="5" t="s">
        <v>721</v>
      </c>
      <c r="J255" t="s">
        <v>183</v>
      </c>
      <c r="M255" t="s">
        <v>43</v>
      </c>
      <c r="O255">
        <v>45638</v>
      </c>
      <c r="P255" t="s">
        <v>63</v>
      </c>
      <c r="Q255" t="s">
        <v>148</v>
      </c>
      <c r="R255" t="s">
        <v>54</v>
      </c>
      <c r="S255" s="1">
        <v>45689</v>
      </c>
      <c r="U255" t="s">
        <v>47</v>
      </c>
      <c r="X255" t="s">
        <v>48</v>
      </c>
      <c r="Y255" s="2">
        <v>0</v>
      </c>
      <c r="Z255">
        <v>-131.25</v>
      </c>
      <c r="AA255">
        <v>1</v>
      </c>
      <c r="AB255" s="3">
        <v>1</v>
      </c>
      <c r="AC255">
        <v>-131.25</v>
      </c>
      <c r="AD255" s="3">
        <v>0</v>
      </c>
      <c r="AE255" s="2">
        <v>0</v>
      </c>
      <c r="AF255" s="2">
        <v>175</v>
      </c>
      <c r="AG255" s="2"/>
      <c r="AJ255" s="2"/>
    </row>
    <row r="256" spans="1:38" x14ac:dyDescent="0.25">
      <c r="A256" s="1">
        <v>45763</v>
      </c>
      <c r="B256" s="1">
        <v>45762</v>
      </c>
      <c r="C256" t="s">
        <v>252</v>
      </c>
      <c r="D256" t="s">
        <v>39</v>
      </c>
      <c r="E256" t="s">
        <v>40</v>
      </c>
      <c r="F256">
        <v>43677</v>
      </c>
      <c r="H256" t="s">
        <v>41</v>
      </c>
      <c r="I256" s="5" t="s">
        <v>815</v>
      </c>
      <c r="J256" t="s">
        <v>559</v>
      </c>
      <c r="M256" t="s">
        <v>43</v>
      </c>
      <c r="O256">
        <v>45639</v>
      </c>
      <c r="P256" t="s">
        <v>532</v>
      </c>
      <c r="Q256" t="s">
        <v>250</v>
      </c>
      <c r="R256" t="s">
        <v>54</v>
      </c>
      <c r="S256" s="1">
        <v>45505</v>
      </c>
      <c r="T256" s="1">
        <v>45792</v>
      </c>
      <c r="U256" t="s">
        <v>47</v>
      </c>
      <c r="V256">
        <v>1</v>
      </c>
      <c r="W256" s="1">
        <v>45757</v>
      </c>
      <c r="X256" t="s">
        <v>48</v>
      </c>
      <c r="Y256" s="2">
        <v>1</v>
      </c>
      <c r="Z256" s="2">
        <v>1</v>
      </c>
      <c r="AB256" s="3">
        <v>1</v>
      </c>
      <c r="AC256" s="2">
        <v>9</v>
      </c>
      <c r="AG256" s="2">
        <v>0</v>
      </c>
      <c r="AH256" s="2">
        <v>9</v>
      </c>
      <c r="AI256" s="2">
        <v>0</v>
      </c>
      <c r="AK256">
        <v>5370578</v>
      </c>
      <c r="AL256" t="s">
        <v>473</v>
      </c>
    </row>
    <row r="257" spans="1:38" x14ac:dyDescent="0.25">
      <c r="A257" s="1">
        <v>45763</v>
      </c>
      <c r="B257" s="1">
        <v>45762</v>
      </c>
      <c r="C257" t="s">
        <v>252</v>
      </c>
      <c r="D257" t="s">
        <v>39</v>
      </c>
      <c r="E257" t="s">
        <v>40</v>
      </c>
      <c r="F257">
        <v>43677</v>
      </c>
      <c r="H257" t="s">
        <v>41</v>
      </c>
      <c r="I257" s="5" t="s">
        <v>770</v>
      </c>
      <c r="J257" t="s">
        <v>595</v>
      </c>
      <c r="M257" t="s">
        <v>43</v>
      </c>
      <c r="O257">
        <v>45605</v>
      </c>
      <c r="P257" t="s">
        <v>50</v>
      </c>
      <c r="Q257" t="s">
        <v>45</v>
      </c>
      <c r="R257" t="s">
        <v>54</v>
      </c>
      <c r="S257" s="1">
        <v>45444</v>
      </c>
      <c r="T257" s="1">
        <v>45792</v>
      </c>
      <c r="U257" t="s">
        <v>47</v>
      </c>
      <c r="V257">
        <v>1</v>
      </c>
      <c r="W257" s="1">
        <v>45757</v>
      </c>
      <c r="X257" t="s">
        <v>48</v>
      </c>
      <c r="Y257" s="2">
        <v>1</v>
      </c>
      <c r="Z257" s="2">
        <v>1</v>
      </c>
      <c r="AB257" s="3">
        <v>1</v>
      </c>
      <c r="AC257" s="2">
        <v>9</v>
      </c>
      <c r="AG257" s="2">
        <v>0</v>
      </c>
      <c r="AH257" s="2">
        <v>9</v>
      </c>
      <c r="AI257" s="2">
        <v>0</v>
      </c>
      <c r="AK257">
        <v>5370085</v>
      </c>
      <c r="AL257" t="s">
        <v>473</v>
      </c>
    </row>
    <row r="258" spans="1:38" x14ac:dyDescent="0.25">
      <c r="A258" s="1">
        <v>45763</v>
      </c>
      <c r="B258" s="1">
        <v>45762</v>
      </c>
      <c r="C258" t="s">
        <v>252</v>
      </c>
      <c r="D258" t="s">
        <v>39</v>
      </c>
      <c r="E258" t="s">
        <v>40</v>
      </c>
      <c r="F258">
        <v>43677</v>
      </c>
      <c r="H258" t="s">
        <v>41</v>
      </c>
      <c r="I258" s="5" t="s">
        <v>858</v>
      </c>
      <c r="J258" t="s">
        <v>522</v>
      </c>
      <c r="M258" t="s">
        <v>43</v>
      </c>
      <c r="O258">
        <v>45638</v>
      </c>
      <c r="P258" t="s">
        <v>63</v>
      </c>
      <c r="Q258" t="s">
        <v>45</v>
      </c>
      <c r="R258" t="s">
        <v>54</v>
      </c>
      <c r="S258" s="1">
        <v>45597</v>
      </c>
      <c r="T258" s="1">
        <v>45792</v>
      </c>
      <c r="U258" t="s">
        <v>47</v>
      </c>
      <c r="V258">
        <v>1</v>
      </c>
      <c r="W258" s="1">
        <v>45757</v>
      </c>
      <c r="X258" t="s">
        <v>48</v>
      </c>
      <c r="Y258" s="2">
        <v>1</v>
      </c>
      <c r="Z258" s="2">
        <v>1</v>
      </c>
      <c r="AB258" s="3">
        <v>1</v>
      </c>
      <c r="AC258" s="2">
        <v>9</v>
      </c>
      <c r="AG258" s="2">
        <v>0</v>
      </c>
      <c r="AH258" s="2">
        <v>9</v>
      </c>
      <c r="AI258" s="2">
        <v>0</v>
      </c>
      <c r="AK258">
        <v>5371042</v>
      </c>
      <c r="AL258" t="s">
        <v>473</v>
      </c>
    </row>
    <row r="259" spans="1:38" x14ac:dyDescent="0.25">
      <c r="A259" s="1">
        <v>45763</v>
      </c>
      <c r="B259" s="1">
        <v>45763</v>
      </c>
      <c r="C259" t="s">
        <v>146</v>
      </c>
      <c r="D259" t="s">
        <v>39</v>
      </c>
      <c r="E259" t="s">
        <v>40</v>
      </c>
      <c r="F259">
        <v>43677</v>
      </c>
      <c r="H259" t="s">
        <v>41</v>
      </c>
      <c r="I259" s="5" t="s">
        <v>719</v>
      </c>
      <c r="J259" t="s">
        <v>185</v>
      </c>
      <c r="M259" t="s">
        <v>43</v>
      </c>
      <c r="O259">
        <v>43705</v>
      </c>
      <c r="P259" t="s">
        <v>90</v>
      </c>
      <c r="Q259" t="s">
        <v>148</v>
      </c>
      <c r="R259" t="s">
        <v>54</v>
      </c>
      <c r="S259" s="1">
        <v>45658</v>
      </c>
      <c r="U259" t="s">
        <v>47</v>
      </c>
      <c r="X259" t="s">
        <v>48</v>
      </c>
      <c r="Y259" s="2">
        <v>0</v>
      </c>
      <c r="Z259">
        <v>-145.25</v>
      </c>
      <c r="AA259">
        <v>1</v>
      </c>
      <c r="AB259" s="3">
        <v>1</v>
      </c>
      <c r="AC259">
        <v>-145.25</v>
      </c>
      <c r="AD259" s="3">
        <v>0</v>
      </c>
      <c r="AE259" s="2">
        <v>0</v>
      </c>
      <c r="AF259" s="2">
        <v>175</v>
      </c>
      <c r="AG259" s="2"/>
      <c r="AJ259" s="2"/>
    </row>
    <row r="260" spans="1:38" x14ac:dyDescent="0.25">
      <c r="A260" s="1">
        <v>45763</v>
      </c>
      <c r="B260" s="1">
        <v>45762</v>
      </c>
      <c r="C260" t="s">
        <v>252</v>
      </c>
      <c r="D260" t="s">
        <v>39</v>
      </c>
      <c r="E260" t="s">
        <v>40</v>
      </c>
      <c r="F260">
        <v>43677</v>
      </c>
      <c r="H260" t="s">
        <v>41</v>
      </c>
      <c r="I260" s="5" t="s">
        <v>890</v>
      </c>
      <c r="J260" t="s">
        <v>494</v>
      </c>
      <c r="M260" t="s">
        <v>43</v>
      </c>
      <c r="O260">
        <v>43969</v>
      </c>
      <c r="P260" t="s">
        <v>74</v>
      </c>
      <c r="Q260" t="s">
        <v>45</v>
      </c>
      <c r="R260" t="s">
        <v>54</v>
      </c>
      <c r="S260" s="1">
        <v>45597</v>
      </c>
      <c r="T260" s="1">
        <v>45792</v>
      </c>
      <c r="U260" t="s">
        <v>47</v>
      </c>
      <c r="V260">
        <v>1</v>
      </c>
      <c r="W260" s="1">
        <v>45757</v>
      </c>
      <c r="X260" t="s">
        <v>48</v>
      </c>
      <c r="Y260" s="2">
        <v>1</v>
      </c>
      <c r="Z260" s="2">
        <v>1</v>
      </c>
      <c r="AB260" s="3">
        <v>1</v>
      </c>
      <c r="AC260" s="2">
        <v>9</v>
      </c>
      <c r="AG260" s="2">
        <v>0</v>
      </c>
      <c r="AH260" s="2">
        <v>9</v>
      </c>
      <c r="AI260" s="2">
        <v>0</v>
      </c>
      <c r="AK260">
        <v>5371242</v>
      </c>
      <c r="AL260" t="s">
        <v>473</v>
      </c>
    </row>
    <row r="261" spans="1:38" x14ac:dyDescent="0.25">
      <c r="A261" s="1">
        <v>45763</v>
      </c>
      <c r="B261" s="1">
        <v>45762</v>
      </c>
      <c r="C261" t="s">
        <v>252</v>
      </c>
      <c r="D261" t="s">
        <v>39</v>
      </c>
      <c r="E261" t="s">
        <v>40</v>
      </c>
      <c r="F261">
        <v>43677</v>
      </c>
      <c r="H261" t="s">
        <v>41</v>
      </c>
      <c r="I261" s="5" t="s">
        <v>764</v>
      </c>
      <c r="J261" t="s">
        <v>601</v>
      </c>
      <c r="M261" t="s">
        <v>43</v>
      </c>
      <c r="O261">
        <v>43682</v>
      </c>
      <c r="P261" t="s">
        <v>118</v>
      </c>
      <c r="Q261" t="s">
        <v>250</v>
      </c>
      <c r="R261" t="s">
        <v>54</v>
      </c>
      <c r="S261" s="1">
        <v>45444</v>
      </c>
      <c r="T261" s="1">
        <v>45792</v>
      </c>
      <c r="U261" t="s">
        <v>47</v>
      </c>
      <c r="V261">
        <v>1</v>
      </c>
      <c r="W261" s="1">
        <v>45757</v>
      </c>
      <c r="X261" t="s">
        <v>48</v>
      </c>
      <c r="Y261" s="2">
        <v>1</v>
      </c>
      <c r="Z261" s="2">
        <v>1</v>
      </c>
      <c r="AB261" s="3">
        <v>1</v>
      </c>
      <c r="AC261" s="2">
        <v>9</v>
      </c>
      <c r="AG261" s="2">
        <v>0</v>
      </c>
      <c r="AH261" s="2">
        <v>9</v>
      </c>
      <c r="AI261" s="2">
        <v>0</v>
      </c>
      <c r="AK261">
        <v>5369971</v>
      </c>
      <c r="AL261" t="s">
        <v>473</v>
      </c>
    </row>
    <row r="262" spans="1:38" x14ac:dyDescent="0.25">
      <c r="A262" s="1">
        <v>45763</v>
      </c>
      <c r="B262" s="1">
        <v>45762</v>
      </c>
      <c r="C262" t="s">
        <v>252</v>
      </c>
      <c r="D262" t="s">
        <v>39</v>
      </c>
      <c r="E262" t="s">
        <v>40</v>
      </c>
      <c r="F262">
        <v>43677</v>
      </c>
      <c r="H262" t="s">
        <v>41</v>
      </c>
      <c r="I262" s="5" t="s">
        <v>848</v>
      </c>
      <c r="J262" t="s">
        <v>533</v>
      </c>
      <c r="M262" t="s">
        <v>43</v>
      </c>
      <c r="O262">
        <v>45639</v>
      </c>
      <c r="P262" t="s">
        <v>532</v>
      </c>
      <c r="Q262" t="s">
        <v>45</v>
      </c>
      <c r="R262" t="s">
        <v>54</v>
      </c>
      <c r="S262" s="1">
        <v>45566</v>
      </c>
      <c r="T262" s="1">
        <v>45792</v>
      </c>
      <c r="U262" t="s">
        <v>47</v>
      </c>
      <c r="V262">
        <v>-1</v>
      </c>
      <c r="W262" s="1">
        <v>45757</v>
      </c>
      <c r="X262" t="s">
        <v>48</v>
      </c>
      <c r="Y262" s="2">
        <v>-1</v>
      </c>
      <c r="Z262" s="2">
        <v>-1</v>
      </c>
      <c r="AB262" s="3">
        <v>1</v>
      </c>
      <c r="AC262" s="2">
        <v>-9</v>
      </c>
      <c r="AG262" s="2">
        <v>0</v>
      </c>
      <c r="AH262" s="2">
        <v>-9</v>
      </c>
      <c r="AI262" s="2">
        <v>0</v>
      </c>
      <c r="AK262">
        <v>5370960</v>
      </c>
      <c r="AL262" t="s">
        <v>473</v>
      </c>
    </row>
    <row r="263" spans="1:38" x14ac:dyDescent="0.25">
      <c r="A263" s="1">
        <v>45763</v>
      </c>
      <c r="B263" s="1">
        <v>45762</v>
      </c>
      <c r="C263" t="s">
        <v>252</v>
      </c>
      <c r="D263" t="s">
        <v>39</v>
      </c>
      <c r="E263" t="s">
        <v>40</v>
      </c>
      <c r="F263">
        <v>43677</v>
      </c>
      <c r="H263" t="s">
        <v>41</v>
      </c>
      <c r="I263" s="5" t="s">
        <v>846</v>
      </c>
      <c r="J263" t="s">
        <v>535</v>
      </c>
      <c r="M263" t="s">
        <v>43</v>
      </c>
      <c r="O263">
        <v>43618</v>
      </c>
      <c r="P263" t="s">
        <v>44</v>
      </c>
      <c r="Q263" t="s">
        <v>45</v>
      </c>
      <c r="R263" t="s">
        <v>54</v>
      </c>
      <c r="S263" s="1">
        <v>45566</v>
      </c>
      <c r="T263" s="1">
        <v>45792</v>
      </c>
      <c r="U263" t="s">
        <v>47</v>
      </c>
      <c r="V263">
        <v>1</v>
      </c>
      <c r="W263" s="1">
        <v>45757</v>
      </c>
      <c r="X263" t="s">
        <v>48</v>
      </c>
      <c r="Y263" s="2">
        <v>1</v>
      </c>
      <c r="Z263" s="2">
        <v>1</v>
      </c>
      <c r="AB263" s="3">
        <v>1</v>
      </c>
      <c r="AC263" s="2">
        <v>9</v>
      </c>
      <c r="AG263" s="2">
        <v>0</v>
      </c>
      <c r="AH263" s="2">
        <v>9</v>
      </c>
      <c r="AI263" s="2">
        <v>0</v>
      </c>
      <c r="AK263">
        <v>5370956</v>
      </c>
      <c r="AL263" t="s">
        <v>473</v>
      </c>
    </row>
    <row r="264" spans="1:38" x14ac:dyDescent="0.25">
      <c r="A264" s="1">
        <v>45763</v>
      </c>
      <c r="B264" s="1">
        <v>45763</v>
      </c>
      <c r="C264" t="s">
        <v>38</v>
      </c>
      <c r="D264" t="s">
        <v>39</v>
      </c>
      <c r="E264" t="s">
        <v>40</v>
      </c>
      <c r="F264">
        <v>43677</v>
      </c>
      <c r="H264" t="s">
        <v>41</v>
      </c>
      <c r="I264" s="5" t="s">
        <v>684</v>
      </c>
      <c r="J264" t="s">
        <v>243</v>
      </c>
      <c r="M264" t="s">
        <v>43</v>
      </c>
      <c r="O264">
        <v>45611</v>
      </c>
      <c r="P264" t="s">
        <v>68</v>
      </c>
      <c r="Q264" t="s">
        <v>45</v>
      </c>
      <c r="R264" t="s">
        <v>54</v>
      </c>
      <c r="S264" s="1">
        <v>45748</v>
      </c>
      <c r="U264" t="s">
        <v>47</v>
      </c>
      <c r="X264" t="s">
        <v>48</v>
      </c>
      <c r="Y264" s="2">
        <v>0</v>
      </c>
      <c r="Z264" s="2">
        <v>175</v>
      </c>
      <c r="AA264">
        <v>1</v>
      </c>
      <c r="AB264" s="3">
        <v>1</v>
      </c>
      <c r="AC264" s="2">
        <v>175</v>
      </c>
      <c r="AD264" s="3">
        <v>0</v>
      </c>
      <c r="AE264" s="2">
        <v>0</v>
      </c>
      <c r="AF264" s="2">
        <v>175</v>
      </c>
      <c r="AK264">
        <v>5374475</v>
      </c>
    </row>
    <row r="265" spans="1:38" x14ac:dyDescent="0.25">
      <c r="A265" s="1">
        <v>45763</v>
      </c>
      <c r="B265" s="1">
        <v>45762</v>
      </c>
      <c r="C265" t="s">
        <v>252</v>
      </c>
      <c r="D265" t="s">
        <v>39</v>
      </c>
      <c r="E265" t="s">
        <v>40</v>
      </c>
      <c r="F265">
        <v>43677</v>
      </c>
      <c r="H265" t="s">
        <v>41</v>
      </c>
      <c r="I265" s="5" t="s">
        <v>822</v>
      </c>
      <c r="J265" t="s">
        <v>552</v>
      </c>
      <c r="M265" t="s">
        <v>43</v>
      </c>
      <c r="O265">
        <v>43682</v>
      </c>
      <c r="P265" t="s">
        <v>118</v>
      </c>
      <c r="Q265" t="s">
        <v>250</v>
      </c>
      <c r="R265" t="s">
        <v>54</v>
      </c>
      <c r="S265" s="1">
        <v>45597</v>
      </c>
      <c r="T265" s="1">
        <v>45792</v>
      </c>
      <c r="U265" t="s">
        <v>47</v>
      </c>
      <c r="V265">
        <v>1</v>
      </c>
      <c r="W265" s="1">
        <v>45757</v>
      </c>
      <c r="X265" t="s">
        <v>48</v>
      </c>
      <c r="Y265" s="2">
        <v>1</v>
      </c>
      <c r="Z265" s="2">
        <v>1</v>
      </c>
      <c r="AB265" s="3">
        <v>1</v>
      </c>
      <c r="AC265" s="2">
        <v>9</v>
      </c>
      <c r="AG265" s="2">
        <v>0</v>
      </c>
      <c r="AH265" s="2">
        <v>9</v>
      </c>
      <c r="AI265" s="2">
        <v>0</v>
      </c>
      <c r="AK265">
        <v>5370737</v>
      </c>
      <c r="AL265" t="s">
        <v>473</v>
      </c>
    </row>
    <row r="266" spans="1:38" x14ac:dyDescent="0.25">
      <c r="A266" s="1">
        <v>45763</v>
      </c>
      <c r="B266" s="1">
        <v>45762</v>
      </c>
      <c r="C266" t="s">
        <v>252</v>
      </c>
      <c r="D266" t="s">
        <v>39</v>
      </c>
      <c r="E266" t="s">
        <v>40</v>
      </c>
      <c r="F266">
        <v>43677</v>
      </c>
      <c r="H266" t="s">
        <v>41</v>
      </c>
      <c r="I266" s="5" t="s">
        <v>748</v>
      </c>
      <c r="J266" t="s">
        <v>616</v>
      </c>
      <c r="M266" t="s">
        <v>43</v>
      </c>
      <c r="O266">
        <v>45612</v>
      </c>
      <c r="P266" t="s">
        <v>99</v>
      </c>
      <c r="Q266" t="s">
        <v>250</v>
      </c>
      <c r="R266" t="s">
        <v>54</v>
      </c>
      <c r="S266" s="1">
        <v>45505</v>
      </c>
      <c r="T266" s="1">
        <v>45792</v>
      </c>
      <c r="U266" t="s">
        <v>47</v>
      </c>
      <c r="V266">
        <v>1</v>
      </c>
      <c r="W266" s="1">
        <v>45757</v>
      </c>
      <c r="X266" t="s">
        <v>48</v>
      </c>
      <c r="Y266" s="2">
        <v>1</v>
      </c>
      <c r="Z266" s="2">
        <v>1</v>
      </c>
      <c r="AB266" s="3">
        <v>1</v>
      </c>
      <c r="AC266" s="2">
        <v>9</v>
      </c>
      <c r="AG266" s="2">
        <v>0</v>
      </c>
      <c r="AH266" s="2">
        <v>9</v>
      </c>
      <c r="AI266" s="2">
        <v>0</v>
      </c>
      <c r="AK266">
        <v>5356655</v>
      </c>
      <c r="AL266" t="s">
        <v>473</v>
      </c>
    </row>
    <row r="267" spans="1:38" x14ac:dyDescent="0.25">
      <c r="A267" s="1">
        <v>45763</v>
      </c>
      <c r="B267" s="1">
        <v>45762</v>
      </c>
      <c r="C267" t="s">
        <v>252</v>
      </c>
      <c r="D267" t="s">
        <v>39</v>
      </c>
      <c r="E267" t="s">
        <v>40</v>
      </c>
      <c r="F267">
        <v>43677</v>
      </c>
      <c r="H267" t="s">
        <v>41</v>
      </c>
      <c r="I267" s="5" t="s">
        <v>809</v>
      </c>
      <c r="J267" t="s">
        <v>565</v>
      </c>
      <c r="M267" t="s">
        <v>43</v>
      </c>
      <c r="O267">
        <v>45605</v>
      </c>
      <c r="P267" t="s">
        <v>50</v>
      </c>
      <c r="Q267" t="s">
        <v>250</v>
      </c>
      <c r="R267" t="s">
        <v>54</v>
      </c>
      <c r="S267" s="1">
        <v>45505</v>
      </c>
      <c r="T267" s="1">
        <v>45792</v>
      </c>
      <c r="U267" t="s">
        <v>47</v>
      </c>
      <c r="V267">
        <v>1</v>
      </c>
      <c r="W267" s="1">
        <v>45757</v>
      </c>
      <c r="X267" t="s">
        <v>48</v>
      </c>
      <c r="Y267" s="2">
        <v>1</v>
      </c>
      <c r="Z267" s="2">
        <v>1</v>
      </c>
      <c r="AB267" s="3">
        <v>1</v>
      </c>
      <c r="AC267" s="2">
        <v>9</v>
      </c>
      <c r="AG267" s="2">
        <v>0</v>
      </c>
      <c r="AH267" s="2">
        <v>9</v>
      </c>
      <c r="AI267" s="2">
        <v>0</v>
      </c>
      <c r="AK267">
        <v>5370503</v>
      </c>
      <c r="AL267" t="s">
        <v>473</v>
      </c>
    </row>
    <row r="268" spans="1:38" x14ac:dyDescent="0.25">
      <c r="A268" s="1">
        <v>45763</v>
      </c>
      <c r="B268" s="1">
        <v>45762</v>
      </c>
      <c r="C268" t="s">
        <v>252</v>
      </c>
      <c r="D268" t="s">
        <v>39</v>
      </c>
      <c r="E268" t="s">
        <v>40</v>
      </c>
      <c r="F268">
        <v>43677</v>
      </c>
      <c r="H268" t="s">
        <v>41</v>
      </c>
      <c r="I268" s="5" t="s">
        <v>880</v>
      </c>
      <c r="J268" t="s">
        <v>504</v>
      </c>
      <c r="M268" t="s">
        <v>43</v>
      </c>
      <c r="O268">
        <v>45603</v>
      </c>
      <c r="P268" t="s">
        <v>218</v>
      </c>
      <c r="Q268" t="s">
        <v>45</v>
      </c>
      <c r="R268" t="s">
        <v>54</v>
      </c>
      <c r="S268" s="1">
        <v>45597</v>
      </c>
      <c r="T268" s="1">
        <v>45792</v>
      </c>
      <c r="U268" t="s">
        <v>47</v>
      </c>
      <c r="V268">
        <v>1</v>
      </c>
      <c r="W268" s="1">
        <v>45757</v>
      </c>
      <c r="X268" t="s">
        <v>48</v>
      </c>
      <c r="Y268" s="2">
        <v>1</v>
      </c>
      <c r="Z268" s="2">
        <v>1</v>
      </c>
      <c r="AB268" s="3">
        <v>1</v>
      </c>
      <c r="AC268" s="2">
        <v>9</v>
      </c>
      <c r="AG268" s="2">
        <v>0</v>
      </c>
      <c r="AH268" s="2">
        <v>9</v>
      </c>
      <c r="AI268" s="2">
        <v>0</v>
      </c>
      <c r="AK268">
        <v>5371153</v>
      </c>
      <c r="AL268" t="s">
        <v>473</v>
      </c>
    </row>
    <row r="269" spans="1:38" x14ac:dyDescent="0.25">
      <c r="A269" s="1">
        <v>45763</v>
      </c>
      <c r="B269" s="1">
        <v>45762</v>
      </c>
      <c r="C269" t="s">
        <v>252</v>
      </c>
      <c r="D269" t="s">
        <v>39</v>
      </c>
      <c r="E269" t="s">
        <v>40</v>
      </c>
      <c r="F269">
        <v>43677</v>
      </c>
      <c r="H269" t="s">
        <v>41</v>
      </c>
      <c r="I269" s="5" t="s">
        <v>868</v>
      </c>
      <c r="J269" t="s">
        <v>514</v>
      </c>
      <c r="M269" t="s">
        <v>43</v>
      </c>
      <c r="O269">
        <v>45613</v>
      </c>
      <c r="P269" t="s">
        <v>65</v>
      </c>
      <c r="Q269" t="s">
        <v>45</v>
      </c>
      <c r="R269" t="s">
        <v>54</v>
      </c>
      <c r="S269" s="1">
        <v>45566</v>
      </c>
      <c r="T269" s="1">
        <v>45792</v>
      </c>
      <c r="U269" t="s">
        <v>47</v>
      </c>
      <c r="V269">
        <v>1</v>
      </c>
      <c r="W269" s="1">
        <v>45757</v>
      </c>
      <c r="X269" t="s">
        <v>48</v>
      </c>
      <c r="Y269" s="2">
        <v>1</v>
      </c>
      <c r="Z269" s="2">
        <v>1</v>
      </c>
      <c r="AB269" s="3">
        <v>1</v>
      </c>
      <c r="AC269" s="2">
        <v>9</v>
      </c>
      <c r="AG269" s="2">
        <v>0</v>
      </c>
      <c r="AH269" s="2">
        <v>9</v>
      </c>
      <c r="AI269" s="2">
        <v>0</v>
      </c>
      <c r="AK269">
        <v>5371073</v>
      </c>
      <c r="AL269" t="s">
        <v>473</v>
      </c>
    </row>
    <row r="270" spans="1:38" x14ac:dyDescent="0.25">
      <c r="A270" s="1">
        <v>45756</v>
      </c>
      <c r="B270" s="1">
        <v>45756</v>
      </c>
      <c r="C270" t="s">
        <v>38</v>
      </c>
      <c r="D270" t="s">
        <v>39</v>
      </c>
      <c r="E270" t="s">
        <v>40</v>
      </c>
      <c r="F270">
        <v>43677</v>
      </c>
      <c r="H270" t="s">
        <v>41</v>
      </c>
      <c r="I270" s="5" t="s">
        <v>636</v>
      </c>
      <c r="J270" t="s">
        <v>75</v>
      </c>
      <c r="M270" t="s">
        <v>43</v>
      </c>
      <c r="O270">
        <v>45638</v>
      </c>
      <c r="P270" t="s">
        <v>63</v>
      </c>
      <c r="Q270" t="s">
        <v>45</v>
      </c>
      <c r="R270" t="s">
        <v>54</v>
      </c>
      <c r="S270" s="1">
        <v>45748</v>
      </c>
      <c r="U270" t="s">
        <v>47</v>
      </c>
      <c r="X270" t="s">
        <v>48</v>
      </c>
      <c r="Y270" s="2">
        <v>0</v>
      </c>
      <c r="Z270" s="2">
        <v>175</v>
      </c>
      <c r="AA270">
        <v>1</v>
      </c>
      <c r="AB270" s="3">
        <v>1</v>
      </c>
      <c r="AC270" s="2">
        <v>175</v>
      </c>
      <c r="AD270" s="3">
        <v>0</v>
      </c>
      <c r="AE270" s="2">
        <v>0</v>
      </c>
      <c r="AF270" s="2">
        <v>175</v>
      </c>
      <c r="AK270">
        <v>5291530</v>
      </c>
    </row>
    <row r="271" spans="1:38" x14ac:dyDescent="0.25">
      <c r="A271" s="1">
        <v>45763</v>
      </c>
      <c r="B271" s="1">
        <v>45762</v>
      </c>
      <c r="C271" t="s">
        <v>252</v>
      </c>
      <c r="D271" t="s">
        <v>39</v>
      </c>
      <c r="E271" t="s">
        <v>40</v>
      </c>
      <c r="F271">
        <v>43677</v>
      </c>
      <c r="H271" t="s">
        <v>41</v>
      </c>
      <c r="I271" s="5" t="s">
        <v>909</v>
      </c>
      <c r="J271" t="s">
        <v>475</v>
      </c>
      <c r="M271" t="s">
        <v>43</v>
      </c>
      <c r="O271">
        <v>45632</v>
      </c>
      <c r="P271" t="s">
        <v>70</v>
      </c>
      <c r="Q271" t="s">
        <v>45</v>
      </c>
      <c r="R271" t="s">
        <v>54</v>
      </c>
      <c r="S271" s="1">
        <v>45627</v>
      </c>
      <c r="T271" s="1">
        <v>45792</v>
      </c>
      <c r="U271" t="s">
        <v>47</v>
      </c>
      <c r="V271">
        <v>1</v>
      </c>
      <c r="W271" s="1">
        <v>45757</v>
      </c>
      <c r="X271" t="s">
        <v>48</v>
      </c>
      <c r="Y271" s="2">
        <v>1</v>
      </c>
      <c r="Z271" s="2">
        <v>1</v>
      </c>
      <c r="AB271" s="3">
        <v>1</v>
      </c>
      <c r="AC271" s="2">
        <v>9</v>
      </c>
      <c r="AG271" s="2">
        <v>0</v>
      </c>
      <c r="AH271" s="2">
        <v>9</v>
      </c>
      <c r="AI271" s="2">
        <v>0</v>
      </c>
      <c r="AK271">
        <v>5371421</v>
      </c>
      <c r="AL271" t="s">
        <v>473</v>
      </c>
    </row>
    <row r="272" spans="1:38" x14ac:dyDescent="0.25">
      <c r="A272" s="1">
        <v>45763</v>
      </c>
      <c r="B272" s="1">
        <v>45762</v>
      </c>
      <c r="C272" t="s">
        <v>252</v>
      </c>
      <c r="D272" t="s">
        <v>39</v>
      </c>
      <c r="E272" t="s">
        <v>40</v>
      </c>
      <c r="F272">
        <v>43677</v>
      </c>
      <c r="H272" t="s">
        <v>41</v>
      </c>
      <c r="I272" s="5" t="s">
        <v>907</v>
      </c>
      <c r="J272" t="s">
        <v>477</v>
      </c>
      <c r="M272" t="s">
        <v>43</v>
      </c>
      <c r="O272">
        <v>45632</v>
      </c>
      <c r="P272" t="s">
        <v>70</v>
      </c>
      <c r="Q272" t="s">
        <v>45</v>
      </c>
      <c r="R272" t="s">
        <v>54</v>
      </c>
      <c r="S272" s="1">
        <v>45627</v>
      </c>
      <c r="T272" s="1">
        <v>45792</v>
      </c>
      <c r="U272" t="s">
        <v>47</v>
      </c>
      <c r="V272">
        <v>1</v>
      </c>
      <c r="W272" s="1">
        <v>45757</v>
      </c>
      <c r="X272" t="s">
        <v>48</v>
      </c>
      <c r="Y272" s="2">
        <v>1</v>
      </c>
      <c r="Z272" s="2">
        <v>1</v>
      </c>
      <c r="AB272" s="3">
        <v>1</v>
      </c>
      <c r="AC272" s="2">
        <v>9</v>
      </c>
      <c r="AG272" s="2">
        <v>0</v>
      </c>
      <c r="AH272" s="2">
        <v>9</v>
      </c>
      <c r="AI272" s="2">
        <v>0</v>
      </c>
      <c r="AK272">
        <v>5371407</v>
      </c>
      <c r="AL272" t="s">
        <v>473</v>
      </c>
    </row>
    <row r="273" spans="1:38" x14ac:dyDescent="0.25">
      <c r="A273" s="1">
        <v>45763</v>
      </c>
      <c r="B273" s="1">
        <v>45762</v>
      </c>
      <c r="C273" t="s">
        <v>252</v>
      </c>
      <c r="D273" t="s">
        <v>39</v>
      </c>
      <c r="E273" t="s">
        <v>40</v>
      </c>
      <c r="F273">
        <v>43677</v>
      </c>
      <c r="H273" t="s">
        <v>41</v>
      </c>
      <c r="I273" s="5" t="s">
        <v>843</v>
      </c>
      <c r="J273" t="s">
        <v>537</v>
      </c>
      <c r="M273" t="s">
        <v>43</v>
      </c>
      <c r="O273">
        <v>43682</v>
      </c>
      <c r="P273" t="s">
        <v>118</v>
      </c>
      <c r="Q273" t="s">
        <v>45</v>
      </c>
      <c r="R273" t="s">
        <v>54</v>
      </c>
      <c r="S273" s="1">
        <v>45627</v>
      </c>
      <c r="T273" s="1">
        <v>45792</v>
      </c>
      <c r="U273" t="s">
        <v>47</v>
      </c>
      <c r="V273">
        <v>1</v>
      </c>
      <c r="W273" s="1">
        <v>45757</v>
      </c>
      <c r="X273" t="s">
        <v>48</v>
      </c>
      <c r="Y273" s="2">
        <v>1</v>
      </c>
      <c r="Z273" s="2">
        <v>1</v>
      </c>
      <c r="AB273" s="3">
        <v>1</v>
      </c>
      <c r="AC273" s="2">
        <v>9</v>
      </c>
      <c r="AG273" s="2">
        <v>0</v>
      </c>
      <c r="AH273" s="2">
        <v>9</v>
      </c>
      <c r="AI273" s="2">
        <v>0</v>
      </c>
      <c r="AK273">
        <v>5370914</v>
      </c>
      <c r="AL273" t="s">
        <v>473</v>
      </c>
    </row>
    <row r="274" spans="1:38" x14ac:dyDescent="0.25">
      <c r="A274" s="1">
        <v>45763</v>
      </c>
      <c r="B274" s="1">
        <v>45762</v>
      </c>
      <c r="C274" t="s">
        <v>252</v>
      </c>
      <c r="D274" t="s">
        <v>39</v>
      </c>
      <c r="E274" t="s">
        <v>40</v>
      </c>
      <c r="F274">
        <v>43677</v>
      </c>
      <c r="H274" t="s">
        <v>41</v>
      </c>
      <c r="I274" s="5" t="s">
        <v>832</v>
      </c>
      <c r="J274" t="s">
        <v>544</v>
      </c>
      <c r="M274" t="s">
        <v>43</v>
      </c>
      <c r="O274">
        <v>45605</v>
      </c>
      <c r="P274" t="s">
        <v>50</v>
      </c>
      <c r="Q274" t="s">
        <v>250</v>
      </c>
      <c r="R274" t="s">
        <v>54</v>
      </c>
      <c r="S274" s="1">
        <v>45536</v>
      </c>
      <c r="T274" s="1">
        <v>45792</v>
      </c>
      <c r="U274" t="s">
        <v>47</v>
      </c>
      <c r="V274">
        <v>1</v>
      </c>
      <c r="W274" s="1">
        <v>45757</v>
      </c>
      <c r="X274" t="s">
        <v>48</v>
      </c>
      <c r="Y274" s="2">
        <v>1</v>
      </c>
      <c r="Z274" s="2">
        <v>1</v>
      </c>
      <c r="AB274" s="3">
        <v>1</v>
      </c>
      <c r="AC274" s="2">
        <v>9</v>
      </c>
      <c r="AG274" s="2">
        <v>0</v>
      </c>
      <c r="AH274" s="2">
        <v>9</v>
      </c>
      <c r="AI274" s="2">
        <v>0</v>
      </c>
      <c r="AK274">
        <v>5370839</v>
      </c>
      <c r="AL274" t="s">
        <v>473</v>
      </c>
    </row>
    <row r="275" spans="1:38" x14ac:dyDescent="0.25">
      <c r="A275" s="1">
        <v>45763</v>
      </c>
      <c r="B275" s="1">
        <v>45762</v>
      </c>
      <c r="C275" t="s">
        <v>252</v>
      </c>
      <c r="D275" t="s">
        <v>39</v>
      </c>
      <c r="E275" t="s">
        <v>40</v>
      </c>
      <c r="F275">
        <v>43677</v>
      </c>
      <c r="H275" t="s">
        <v>41</v>
      </c>
      <c r="I275" s="5" t="s">
        <v>852</v>
      </c>
      <c r="J275" t="s">
        <v>528</v>
      </c>
      <c r="M275" t="s">
        <v>43</v>
      </c>
      <c r="O275">
        <v>43682</v>
      </c>
      <c r="P275" t="s">
        <v>118</v>
      </c>
      <c r="Q275" t="s">
        <v>45</v>
      </c>
      <c r="R275" t="s">
        <v>54</v>
      </c>
      <c r="S275" s="1">
        <v>45597</v>
      </c>
      <c r="T275" s="1">
        <v>45792</v>
      </c>
      <c r="U275" t="s">
        <v>47</v>
      </c>
      <c r="V275">
        <v>1</v>
      </c>
      <c r="W275" s="1">
        <v>45757</v>
      </c>
      <c r="X275" t="s">
        <v>48</v>
      </c>
      <c r="Y275" s="2">
        <v>1</v>
      </c>
      <c r="Z275" s="2">
        <v>1</v>
      </c>
      <c r="AB275" s="3">
        <v>1</v>
      </c>
      <c r="AC275" s="2">
        <v>9</v>
      </c>
      <c r="AG275" s="2">
        <v>0</v>
      </c>
      <c r="AH275" s="2">
        <v>9</v>
      </c>
      <c r="AI275" s="2">
        <v>0</v>
      </c>
      <c r="AK275">
        <v>5371009</v>
      </c>
      <c r="AL275" t="s">
        <v>473</v>
      </c>
    </row>
    <row r="276" spans="1:38" x14ac:dyDescent="0.25">
      <c r="A276" s="1">
        <v>45756</v>
      </c>
      <c r="B276" s="1">
        <v>45756</v>
      </c>
      <c r="C276" t="s">
        <v>38</v>
      </c>
      <c r="D276" t="s">
        <v>39</v>
      </c>
      <c r="E276" t="s">
        <v>40</v>
      </c>
      <c r="F276">
        <v>43677</v>
      </c>
      <c r="H276" t="s">
        <v>41</v>
      </c>
      <c r="I276" s="5" t="s">
        <v>642</v>
      </c>
      <c r="J276" t="s">
        <v>81</v>
      </c>
      <c r="M276" t="s">
        <v>43</v>
      </c>
      <c r="O276">
        <v>45638</v>
      </c>
      <c r="P276" t="s">
        <v>63</v>
      </c>
      <c r="Q276" t="s">
        <v>45</v>
      </c>
      <c r="R276" t="s">
        <v>54</v>
      </c>
      <c r="S276" s="1">
        <v>45748</v>
      </c>
      <c r="U276" t="s">
        <v>47</v>
      </c>
      <c r="X276" t="s">
        <v>48</v>
      </c>
      <c r="Y276" s="2">
        <v>0</v>
      </c>
      <c r="Z276" s="2">
        <v>175</v>
      </c>
      <c r="AA276">
        <v>1</v>
      </c>
      <c r="AB276" s="3">
        <v>1</v>
      </c>
      <c r="AC276" s="2">
        <v>175</v>
      </c>
      <c r="AD276" s="3">
        <v>0</v>
      </c>
      <c r="AE276" s="2">
        <v>0</v>
      </c>
      <c r="AF276" s="2">
        <v>175</v>
      </c>
      <c r="AK276">
        <v>5291581</v>
      </c>
    </row>
    <row r="277" spans="1:38" x14ac:dyDescent="0.25">
      <c r="A277" s="1">
        <v>45763</v>
      </c>
      <c r="B277" s="1">
        <v>45762</v>
      </c>
      <c r="C277" t="s">
        <v>252</v>
      </c>
      <c r="D277" t="s">
        <v>39</v>
      </c>
      <c r="E277" t="s">
        <v>40</v>
      </c>
      <c r="F277">
        <v>43677</v>
      </c>
      <c r="H277" t="s">
        <v>41</v>
      </c>
      <c r="I277" s="5" t="s">
        <v>836</v>
      </c>
      <c r="J277" t="s">
        <v>542</v>
      </c>
      <c r="M277" t="s">
        <v>43</v>
      </c>
      <c r="O277">
        <v>45603</v>
      </c>
      <c r="P277" t="s">
        <v>218</v>
      </c>
      <c r="Q277" t="s">
        <v>45</v>
      </c>
      <c r="R277" t="s">
        <v>54</v>
      </c>
      <c r="S277" s="1">
        <v>45566</v>
      </c>
      <c r="T277" s="1">
        <v>45792</v>
      </c>
      <c r="U277" t="s">
        <v>47</v>
      </c>
      <c r="V277">
        <v>1</v>
      </c>
      <c r="W277" s="1">
        <v>45757</v>
      </c>
      <c r="X277" t="s">
        <v>48</v>
      </c>
      <c r="Y277" s="2">
        <v>1</v>
      </c>
      <c r="Z277" s="2">
        <v>1</v>
      </c>
      <c r="AB277" s="3">
        <v>1</v>
      </c>
      <c r="AC277" s="2">
        <v>9</v>
      </c>
      <c r="AG277" s="2">
        <v>0</v>
      </c>
      <c r="AH277" s="2">
        <v>9</v>
      </c>
      <c r="AI277" s="2">
        <v>0</v>
      </c>
      <c r="AK277">
        <v>5370863</v>
      </c>
      <c r="AL277" t="s">
        <v>473</v>
      </c>
    </row>
    <row r="278" spans="1:38" x14ac:dyDescent="0.25">
      <c r="A278" s="1">
        <v>45763</v>
      </c>
      <c r="B278" s="1">
        <v>45762</v>
      </c>
      <c r="C278" t="s">
        <v>252</v>
      </c>
      <c r="D278" t="s">
        <v>39</v>
      </c>
      <c r="E278" t="s">
        <v>40</v>
      </c>
      <c r="F278">
        <v>43677</v>
      </c>
      <c r="H278" t="s">
        <v>41</v>
      </c>
      <c r="I278" s="5" t="s">
        <v>883</v>
      </c>
      <c r="J278" t="s">
        <v>501</v>
      </c>
      <c r="M278" t="s">
        <v>43</v>
      </c>
      <c r="O278">
        <v>45603</v>
      </c>
      <c r="P278" t="s">
        <v>218</v>
      </c>
      <c r="Q278" t="s">
        <v>45</v>
      </c>
      <c r="R278" t="s">
        <v>54</v>
      </c>
      <c r="S278" s="1">
        <v>45627</v>
      </c>
      <c r="T278" s="1">
        <v>45792</v>
      </c>
      <c r="U278" t="s">
        <v>47</v>
      </c>
      <c r="V278">
        <v>1</v>
      </c>
      <c r="W278" s="1">
        <v>45757</v>
      </c>
      <c r="X278" t="s">
        <v>48</v>
      </c>
      <c r="Y278" s="2">
        <v>1</v>
      </c>
      <c r="Z278" s="2">
        <v>1</v>
      </c>
      <c r="AB278" s="3">
        <v>1</v>
      </c>
      <c r="AC278" s="2">
        <v>9</v>
      </c>
      <c r="AG278" s="2">
        <v>0</v>
      </c>
      <c r="AH278" s="2">
        <v>9</v>
      </c>
      <c r="AI278" s="2">
        <v>0</v>
      </c>
      <c r="AK278">
        <v>5371195</v>
      </c>
      <c r="AL278" t="s">
        <v>473</v>
      </c>
    </row>
    <row r="279" spans="1:38" x14ac:dyDescent="0.25">
      <c r="A279" s="1">
        <v>45763</v>
      </c>
      <c r="B279" s="1">
        <v>45762</v>
      </c>
      <c r="C279" t="s">
        <v>252</v>
      </c>
      <c r="D279" t="s">
        <v>39</v>
      </c>
      <c r="E279" t="s">
        <v>40</v>
      </c>
      <c r="F279">
        <v>43677</v>
      </c>
      <c r="H279" t="s">
        <v>41</v>
      </c>
      <c r="I279" s="5" t="s">
        <v>862</v>
      </c>
      <c r="J279" t="s">
        <v>518</v>
      </c>
      <c r="M279" t="s">
        <v>43</v>
      </c>
      <c r="O279">
        <v>45613</v>
      </c>
      <c r="P279" t="s">
        <v>65</v>
      </c>
      <c r="Q279" t="s">
        <v>45</v>
      </c>
      <c r="R279" t="s">
        <v>54</v>
      </c>
      <c r="S279" s="1">
        <v>45566</v>
      </c>
      <c r="T279" s="1">
        <v>45792</v>
      </c>
      <c r="U279" t="s">
        <v>47</v>
      </c>
      <c r="V279">
        <v>1</v>
      </c>
      <c r="W279" s="1">
        <v>45757</v>
      </c>
      <c r="X279" t="s">
        <v>48</v>
      </c>
      <c r="Y279" s="2">
        <v>1</v>
      </c>
      <c r="Z279" s="2">
        <v>1</v>
      </c>
      <c r="AB279" s="3">
        <v>1</v>
      </c>
      <c r="AC279" s="2">
        <v>9</v>
      </c>
      <c r="AG279" s="2">
        <v>0</v>
      </c>
      <c r="AH279" s="2">
        <v>9</v>
      </c>
      <c r="AI279" s="2">
        <v>0</v>
      </c>
      <c r="AK279">
        <v>5371064</v>
      </c>
      <c r="AL279" t="s">
        <v>473</v>
      </c>
    </row>
    <row r="280" spans="1:38" x14ac:dyDescent="0.25">
      <c r="A280" s="1">
        <v>45763</v>
      </c>
      <c r="B280" s="1">
        <v>45762</v>
      </c>
      <c r="C280" t="s">
        <v>252</v>
      </c>
      <c r="D280" t="s">
        <v>39</v>
      </c>
      <c r="E280" t="s">
        <v>40</v>
      </c>
      <c r="F280">
        <v>43677</v>
      </c>
      <c r="H280" t="s">
        <v>41</v>
      </c>
      <c r="I280" s="5" t="s">
        <v>870</v>
      </c>
      <c r="J280" t="s">
        <v>513</v>
      </c>
      <c r="M280" t="s">
        <v>43</v>
      </c>
      <c r="O280">
        <v>45603</v>
      </c>
      <c r="P280" t="s">
        <v>218</v>
      </c>
      <c r="Q280" t="s">
        <v>45</v>
      </c>
      <c r="R280" t="s">
        <v>54</v>
      </c>
      <c r="S280" s="1">
        <v>45597</v>
      </c>
      <c r="T280" s="1">
        <v>45792</v>
      </c>
      <c r="U280" t="s">
        <v>47</v>
      </c>
      <c r="V280">
        <v>1</v>
      </c>
      <c r="W280" s="1">
        <v>45757</v>
      </c>
      <c r="X280" t="s">
        <v>48</v>
      </c>
      <c r="Y280" s="2">
        <v>1</v>
      </c>
      <c r="Z280" s="2">
        <v>1</v>
      </c>
      <c r="AB280" s="3">
        <v>1</v>
      </c>
      <c r="AC280" s="2">
        <v>9</v>
      </c>
      <c r="AG280" s="2">
        <v>0</v>
      </c>
      <c r="AH280" s="2">
        <v>9</v>
      </c>
      <c r="AI280" s="2">
        <v>0</v>
      </c>
      <c r="AK280">
        <v>5371075</v>
      </c>
      <c r="AL280" t="s">
        <v>473</v>
      </c>
    </row>
    <row r="281" spans="1:38" x14ac:dyDescent="0.25">
      <c r="A281" s="1">
        <v>45763</v>
      </c>
      <c r="B281" s="1">
        <v>45763</v>
      </c>
      <c r="C281" t="s">
        <v>38</v>
      </c>
      <c r="D281" t="s">
        <v>39</v>
      </c>
      <c r="E281" t="s">
        <v>40</v>
      </c>
      <c r="F281">
        <v>43677</v>
      </c>
      <c r="H281" t="s">
        <v>41</v>
      </c>
      <c r="I281" s="5" t="s">
        <v>686</v>
      </c>
      <c r="J281" t="s">
        <v>241</v>
      </c>
      <c r="M281" t="s">
        <v>43</v>
      </c>
      <c r="O281">
        <v>45611</v>
      </c>
      <c r="P281" t="s">
        <v>68</v>
      </c>
      <c r="Q281" t="s">
        <v>45</v>
      </c>
      <c r="R281" t="s">
        <v>54</v>
      </c>
      <c r="S281" s="1">
        <v>45778</v>
      </c>
      <c r="U281" t="s">
        <v>47</v>
      </c>
      <c r="X281" t="s">
        <v>48</v>
      </c>
      <c r="Y281" s="2">
        <v>0</v>
      </c>
      <c r="Z281" s="2">
        <v>175</v>
      </c>
      <c r="AA281">
        <v>1</v>
      </c>
      <c r="AB281" s="3">
        <v>1</v>
      </c>
      <c r="AC281" s="2">
        <v>175</v>
      </c>
      <c r="AD281" s="3">
        <v>0</v>
      </c>
      <c r="AE281" s="2">
        <v>0</v>
      </c>
      <c r="AF281" s="2">
        <v>175</v>
      </c>
      <c r="AK281">
        <v>5374485</v>
      </c>
    </row>
    <row r="282" spans="1:38" x14ac:dyDescent="0.25">
      <c r="A282" s="1">
        <v>45763</v>
      </c>
      <c r="B282" s="1">
        <v>45762</v>
      </c>
      <c r="C282" t="s">
        <v>252</v>
      </c>
      <c r="D282" t="s">
        <v>39</v>
      </c>
      <c r="E282" t="s">
        <v>40</v>
      </c>
      <c r="F282">
        <v>43677</v>
      </c>
      <c r="H282" t="s">
        <v>41</v>
      </c>
      <c r="I282" s="5" t="s">
        <v>867</v>
      </c>
      <c r="J282" t="s">
        <v>515</v>
      </c>
      <c r="M282" t="s">
        <v>43</v>
      </c>
      <c r="O282">
        <v>45603</v>
      </c>
      <c r="P282" t="s">
        <v>218</v>
      </c>
      <c r="Q282" t="s">
        <v>45</v>
      </c>
      <c r="R282" t="s">
        <v>54</v>
      </c>
      <c r="S282" s="1">
        <v>45597</v>
      </c>
      <c r="T282" s="1">
        <v>45792</v>
      </c>
      <c r="U282" t="s">
        <v>47</v>
      </c>
      <c r="V282">
        <v>1</v>
      </c>
      <c r="W282" s="1">
        <v>45757</v>
      </c>
      <c r="X282" t="s">
        <v>48</v>
      </c>
      <c r="Y282" s="2">
        <v>1</v>
      </c>
      <c r="Z282" s="2">
        <v>1</v>
      </c>
      <c r="AB282" s="3">
        <v>1</v>
      </c>
      <c r="AC282" s="2">
        <v>9</v>
      </c>
      <c r="AG282" s="2">
        <v>0</v>
      </c>
      <c r="AH282" s="2">
        <v>9</v>
      </c>
      <c r="AI282" s="2">
        <v>0</v>
      </c>
      <c r="AK282">
        <v>5371071</v>
      </c>
      <c r="AL282" t="s">
        <v>473</v>
      </c>
    </row>
    <row r="283" spans="1:38" x14ac:dyDescent="0.25">
      <c r="A283" s="1">
        <v>45763</v>
      </c>
      <c r="B283" s="1">
        <v>45762</v>
      </c>
      <c r="C283" t="s">
        <v>252</v>
      </c>
      <c r="D283" t="s">
        <v>39</v>
      </c>
      <c r="E283" t="s">
        <v>40</v>
      </c>
      <c r="F283">
        <v>43677</v>
      </c>
      <c r="H283" t="s">
        <v>41</v>
      </c>
      <c r="I283" s="5" t="s">
        <v>820</v>
      </c>
      <c r="J283" t="s">
        <v>554</v>
      </c>
      <c r="M283" t="s">
        <v>43</v>
      </c>
      <c r="O283">
        <v>45603</v>
      </c>
      <c r="P283" t="s">
        <v>218</v>
      </c>
      <c r="Q283" t="s">
        <v>45</v>
      </c>
      <c r="R283" t="s">
        <v>54</v>
      </c>
      <c r="S283" s="1">
        <v>45536</v>
      </c>
      <c r="T283" s="1">
        <v>45792</v>
      </c>
      <c r="U283" t="s">
        <v>47</v>
      </c>
      <c r="V283">
        <v>1</v>
      </c>
      <c r="W283" s="1">
        <v>45757</v>
      </c>
      <c r="X283" t="s">
        <v>48</v>
      </c>
      <c r="Y283" s="2">
        <v>1</v>
      </c>
      <c r="Z283" s="2">
        <v>1</v>
      </c>
      <c r="AB283" s="3">
        <v>1</v>
      </c>
      <c r="AC283" s="2">
        <v>9</v>
      </c>
      <c r="AG283" s="2">
        <v>0</v>
      </c>
      <c r="AH283" s="2">
        <v>9</v>
      </c>
      <c r="AI283" s="2">
        <v>0</v>
      </c>
      <c r="AK283">
        <v>5370656</v>
      </c>
      <c r="AL283" t="s">
        <v>473</v>
      </c>
    </row>
    <row r="284" spans="1:38" x14ac:dyDescent="0.25">
      <c r="A284" s="1">
        <v>45763</v>
      </c>
      <c r="B284" s="1">
        <v>45762</v>
      </c>
      <c r="C284" t="s">
        <v>252</v>
      </c>
      <c r="D284" t="s">
        <v>39</v>
      </c>
      <c r="E284" t="s">
        <v>40</v>
      </c>
      <c r="F284">
        <v>43677</v>
      </c>
      <c r="H284" t="s">
        <v>41</v>
      </c>
      <c r="I284" s="5" t="s">
        <v>904</v>
      </c>
      <c r="J284" t="s">
        <v>480</v>
      </c>
      <c r="M284" t="s">
        <v>43</v>
      </c>
      <c r="O284">
        <v>45605</v>
      </c>
      <c r="P284" t="s">
        <v>50</v>
      </c>
      <c r="Q284" t="s">
        <v>45</v>
      </c>
      <c r="R284" t="s">
        <v>54</v>
      </c>
      <c r="S284" s="1">
        <v>45627</v>
      </c>
      <c r="T284" s="1">
        <v>45792</v>
      </c>
      <c r="U284" t="s">
        <v>47</v>
      </c>
      <c r="V284">
        <v>1</v>
      </c>
      <c r="W284" s="1">
        <v>45757</v>
      </c>
      <c r="X284" t="s">
        <v>48</v>
      </c>
      <c r="Y284" s="2">
        <v>1</v>
      </c>
      <c r="Z284" s="2">
        <v>1</v>
      </c>
      <c r="AB284" s="3">
        <v>1</v>
      </c>
      <c r="AC284" s="2">
        <v>9</v>
      </c>
      <c r="AG284" s="2">
        <v>0</v>
      </c>
      <c r="AH284" s="2">
        <v>9</v>
      </c>
      <c r="AI284" s="2">
        <v>0</v>
      </c>
      <c r="AK284">
        <v>5371397</v>
      </c>
      <c r="AL284" t="s">
        <v>473</v>
      </c>
    </row>
    <row r="285" spans="1:38" x14ac:dyDescent="0.25">
      <c r="A285" s="1">
        <v>45756</v>
      </c>
      <c r="B285" s="1">
        <v>45756</v>
      </c>
      <c r="C285" t="s">
        <v>38</v>
      </c>
      <c r="D285" t="s">
        <v>39</v>
      </c>
      <c r="E285" t="s">
        <v>40</v>
      </c>
      <c r="F285">
        <v>43677</v>
      </c>
      <c r="H285" t="s">
        <v>41</v>
      </c>
      <c r="I285" s="5" t="s">
        <v>635</v>
      </c>
      <c r="J285" t="s">
        <v>73</v>
      </c>
      <c r="M285" t="s">
        <v>43</v>
      </c>
      <c r="O285">
        <v>43969</v>
      </c>
      <c r="P285" t="s">
        <v>74</v>
      </c>
      <c r="Q285" t="s">
        <v>45</v>
      </c>
      <c r="R285" t="s">
        <v>54</v>
      </c>
      <c r="S285" s="1">
        <v>45809</v>
      </c>
      <c r="U285" t="s">
        <v>47</v>
      </c>
      <c r="X285" t="s">
        <v>48</v>
      </c>
      <c r="Y285" s="2">
        <v>0</v>
      </c>
      <c r="Z285" s="2">
        <v>175</v>
      </c>
      <c r="AA285">
        <v>1</v>
      </c>
      <c r="AB285" s="3">
        <v>1</v>
      </c>
      <c r="AC285" s="2">
        <v>175</v>
      </c>
      <c r="AD285" s="3">
        <v>0</v>
      </c>
      <c r="AE285" s="2">
        <v>0</v>
      </c>
      <c r="AF285" s="2">
        <v>175</v>
      </c>
      <c r="AK285">
        <v>5291528</v>
      </c>
    </row>
    <row r="286" spans="1:38" x14ac:dyDescent="0.25">
      <c r="A286" s="1">
        <v>45763</v>
      </c>
      <c r="B286" s="1">
        <v>45762</v>
      </c>
      <c r="C286" t="s">
        <v>252</v>
      </c>
      <c r="D286" t="s">
        <v>39</v>
      </c>
      <c r="E286" t="s">
        <v>40</v>
      </c>
      <c r="F286">
        <v>43677</v>
      </c>
      <c r="H286" t="s">
        <v>41</v>
      </c>
      <c r="I286" s="5" t="s">
        <v>754</v>
      </c>
      <c r="J286" t="s">
        <v>610</v>
      </c>
      <c r="M286" t="s">
        <v>43</v>
      </c>
      <c r="O286">
        <v>43637</v>
      </c>
      <c r="P286" t="s">
        <v>72</v>
      </c>
      <c r="Q286" t="s">
        <v>45</v>
      </c>
      <c r="R286" t="s">
        <v>54</v>
      </c>
      <c r="S286" s="1">
        <v>45597</v>
      </c>
      <c r="T286" s="1">
        <v>45792</v>
      </c>
      <c r="U286" t="s">
        <v>47</v>
      </c>
      <c r="V286">
        <v>1</v>
      </c>
      <c r="W286" s="1">
        <v>45757</v>
      </c>
      <c r="X286" t="s">
        <v>48</v>
      </c>
      <c r="Y286" s="2">
        <v>1</v>
      </c>
      <c r="Z286" s="2">
        <v>1</v>
      </c>
      <c r="AB286" s="3">
        <v>1</v>
      </c>
      <c r="AC286" s="2">
        <v>9</v>
      </c>
      <c r="AG286" s="2">
        <v>0</v>
      </c>
      <c r="AH286" s="2">
        <v>9</v>
      </c>
      <c r="AI286" s="2">
        <v>0</v>
      </c>
      <c r="AK286">
        <v>5363909</v>
      </c>
      <c r="AL286" t="s">
        <v>473</v>
      </c>
    </row>
    <row r="287" spans="1:38" x14ac:dyDescent="0.25">
      <c r="A287" s="1">
        <v>45763</v>
      </c>
      <c r="B287" s="1">
        <v>45762</v>
      </c>
      <c r="C287" t="s">
        <v>252</v>
      </c>
      <c r="D287" t="s">
        <v>39</v>
      </c>
      <c r="E287" t="s">
        <v>40</v>
      </c>
      <c r="F287">
        <v>43677</v>
      </c>
      <c r="H287" t="s">
        <v>41</v>
      </c>
      <c r="I287" s="5" t="s">
        <v>787</v>
      </c>
      <c r="J287" t="s">
        <v>585</v>
      </c>
      <c r="O287">
        <v>45603</v>
      </c>
      <c r="P287" t="s">
        <v>218</v>
      </c>
      <c r="Q287" t="s">
        <v>250</v>
      </c>
      <c r="R287" t="s">
        <v>54</v>
      </c>
      <c r="S287" s="1">
        <v>45474</v>
      </c>
      <c r="T287" s="1">
        <v>45792</v>
      </c>
      <c r="U287" t="s">
        <v>47</v>
      </c>
      <c r="V287">
        <v>1</v>
      </c>
      <c r="W287" s="1">
        <v>45757</v>
      </c>
      <c r="X287" t="s">
        <v>48</v>
      </c>
      <c r="Y287" s="2">
        <v>1</v>
      </c>
      <c r="Z287" s="2">
        <v>1</v>
      </c>
      <c r="AB287" s="3">
        <v>1</v>
      </c>
      <c r="AC287" s="2">
        <v>9</v>
      </c>
      <c r="AG287" s="2">
        <v>0</v>
      </c>
      <c r="AH287" s="2">
        <v>9</v>
      </c>
      <c r="AI287" s="2">
        <v>0</v>
      </c>
      <c r="AK287">
        <v>5370270</v>
      </c>
      <c r="AL287" t="s">
        <v>473</v>
      </c>
    </row>
    <row r="288" spans="1:38" x14ac:dyDescent="0.25">
      <c r="A288" s="1">
        <v>45756</v>
      </c>
      <c r="B288" s="1">
        <v>45756</v>
      </c>
      <c r="C288" t="s">
        <v>38</v>
      </c>
      <c r="D288" t="s">
        <v>39</v>
      </c>
      <c r="E288" t="s">
        <v>40</v>
      </c>
      <c r="F288">
        <v>43677</v>
      </c>
      <c r="H288" t="s">
        <v>41</v>
      </c>
      <c r="I288" s="5" t="s">
        <v>632</v>
      </c>
      <c r="J288" t="s">
        <v>67</v>
      </c>
      <c r="M288" t="s">
        <v>43</v>
      </c>
      <c r="O288">
        <v>45611</v>
      </c>
      <c r="P288" t="s">
        <v>68</v>
      </c>
      <c r="Q288" t="s">
        <v>45</v>
      </c>
      <c r="R288" t="s">
        <v>54</v>
      </c>
      <c r="S288" s="1">
        <v>45748</v>
      </c>
      <c r="U288" t="s">
        <v>47</v>
      </c>
      <c r="X288" t="s">
        <v>48</v>
      </c>
      <c r="Y288" s="2">
        <v>0</v>
      </c>
      <c r="Z288" s="2">
        <v>175</v>
      </c>
      <c r="AA288">
        <v>1</v>
      </c>
      <c r="AB288" s="3">
        <v>1</v>
      </c>
      <c r="AC288" s="2">
        <v>175</v>
      </c>
      <c r="AD288" s="3">
        <v>0</v>
      </c>
      <c r="AE288" s="2">
        <v>0</v>
      </c>
      <c r="AF288" s="2">
        <v>175</v>
      </c>
      <c r="AK288">
        <v>5291513</v>
      </c>
    </row>
    <row r="289" spans="1:38" x14ac:dyDescent="0.25">
      <c r="A289" s="1">
        <v>45763</v>
      </c>
      <c r="B289" s="1">
        <v>45762</v>
      </c>
      <c r="C289" t="s">
        <v>252</v>
      </c>
      <c r="D289" t="s">
        <v>39</v>
      </c>
      <c r="E289" t="s">
        <v>40</v>
      </c>
      <c r="F289">
        <v>43677</v>
      </c>
      <c r="H289" t="s">
        <v>41</v>
      </c>
      <c r="I289" s="5" t="s">
        <v>893</v>
      </c>
      <c r="J289" t="s">
        <v>491</v>
      </c>
      <c r="M289" t="s">
        <v>43</v>
      </c>
      <c r="O289">
        <v>43618</v>
      </c>
      <c r="P289" t="s">
        <v>44</v>
      </c>
      <c r="Q289" t="s">
        <v>45</v>
      </c>
      <c r="R289" t="s">
        <v>54</v>
      </c>
      <c r="S289" s="1">
        <v>45597</v>
      </c>
      <c r="T289" s="1">
        <v>45792</v>
      </c>
      <c r="U289" t="s">
        <v>47</v>
      </c>
      <c r="V289">
        <v>1</v>
      </c>
      <c r="W289" s="1">
        <v>45757</v>
      </c>
      <c r="X289" t="s">
        <v>48</v>
      </c>
      <c r="Y289" s="2">
        <v>1</v>
      </c>
      <c r="Z289" s="2">
        <v>1</v>
      </c>
      <c r="AB289" s="3">
        <v>1</v>
      </c>
      <c r="AC289" s="2">
        <v>9</v>
      </c>
      <c r="AG289" s="2">
        <v>0</v>
      </c>
      <c r="AH289" s="2">
        <v>9</v>
      </c>
      <c r="AI289" s="2">
        <v>0</v>
      </c>
      <c r="AK289">
        <v>5371283</v>
      </c>
      <c r="AL289" t="s">
        <v>473</v>
      </c>
    </row>
    <row r="290" spans="1:38" x14ac:dyDescent="0.25">
      <c r="A290" s="1">
        <v>45763</v>
      </c>
      <c r="B290" s="1">
        <v>45762</v>
      </c>
      <c r="C290" t="s">
        <v>252</v>
      </c>
      <c r="D290" t="s">
        <v>39</v>
      </c>
      <c r="E290" t="s">
        <v>40</v>
      </c>
      <c r="F290">
        <v>43677</v>
      </c>
      <c r="H290" t="s">
        <v>41</v>
      </c>
      <c r="I290" s="5" t="s">
        <v>824</v>
      </c>
      <c r="J290" t="s">
        <v>551</v>
      </c>
      <c r="M290" t="s">
        <v>43</v>
      </c>
      <c r="O290">
        <v>45603</v>
      </c>
      <c r="P290" t="s">
        <v>218</v>
      </c>
      <c r="Q290" t="s">
        <v>45</v>
      </c>
      <c r="R290" t="s">
        <v>54</v>
      </c>
      <c r="S290" s="1">
        <v>45536</v>
      </c>
      <c r="T290" s="1">
        <v>45792</v>
      </c>
      <c r="U290" t="s">
        <v>47</v>
      </c>
      <c r="V290">
        <v>1</v>
      </c>
      <c r="W290" s="1">
        <v>45757</v>
      </c>
      <c r="X290" t="s">
        <v>48</v>
      </c>
      <c r="Y290" s="2">
        <v>1</v>
      </c>
      <c r="Z290" s="2">
        <v>1</v>
      </c>
      <c r="AB290" s="3">
        <v>1</v>
      </c>
      <c r="AC290" s="2">
        <v>9</v>
      </c>
      <c r="AG290" s="2">
        <v>0</v>
      </c>
      <c r="AH290" s="2">
        <v>9</v>
      </c>
      <c r="AI290" s="2">
        <v>0</v>
      </c>
      <c r="AK290">
        <v>5370754</v>
      </c>
      <c r="AL290" t="s">
        <v>473</v>
      </c>
    </row>
    <row r="291" spans="1:38" x14ac:dyDescent="0.25">
      <c r="A291" s="1">
        <v>45763</v>
      </c>
      <c r="B291" s="1">
        <v>45762</v>
      </c>
      <c r="C291" t="s">
        <v>252</v>
      </c>
      <c r="D291" t="s">
        <v>39</v>
      </c>
      <c r="E291" t="s">
        <v>40</v>
      </c>
      <c r="F291">
        <v>43677</v>
      </c>
      <c r="H291" t="s">
        <v>41</v>
      </c>
      <c r="I291" s="5" t="s">
        <v>821</v>
      </c>
      <c r="J291" t="s">
        <v>553</v>
      </c>
      <c r="M291" t="s">
        <v>43</v>
      </c>
      <c r="O291">
        <v>45612</v>
      </c>
      <c r="P291" t="s">
        <v>99</v>
      </c>
      <c r="Q291" t="s">
        <v>250</v>
      </c>
      <c r="R291" t="s">
        <v>54</v>
      </c>
      <c r="S291" s="1">
        <v>45536</v>
      </c>
      <c r="T291" s="1">
        <v>45792</v>
      </c>
      <c r="U291" t="s">
        <v>47</v>
      </c>
      <c r="V291">
        <v>1</v>
      </c>
      <c r="W291" s="1">
        <v>45757</v>
      </c>
      <c r="X291" t="s">
        <v>48</v>
      </c>
      <c r="Y291" s="2">
        <v>1</v>
      </c>
      <c r="Z291" s="2">
        <v>1</v>
      </c>
      <c r="AB291" s="3">
        <v>1</v>
      </c>
      <c r="AC291" s="2">
        <v>9</v>
      </c>
      <c r="AG291" s="2">
        <v>0</v>
      </c>
      <c r="AH291" s="2">
        <v>9</v>
      </c>
      <c r="AI291" s="2">
        <v>0</v>
      </c>
      <c r="AK291">
        <v>5370727</v>
      </c>
      <c r="AL291" t="s">
        <v>473</v>
      </c>
    </row>
    <row r="292" spans="1:38" x14ac:dyDescent="0.25">
      <c r="A292" s="1">
        <v>45763</v>
      </c>
      <c r="B292" s="1">
        <v>45762</v>
      </c>
      <c r="C292" t="s">
        <v>252</v>
      </c>
      <c r="D292" t="s">
        <v>39</v>
      </c>
      <c r="E292" t="s">
        <v>40</v>
      </c>
      <c r="F292">
        <v>43677</v>
      </c>
      <c r="H292" t="s">
        <v>41</v>
      </c>
      <c r="I292" s="5" t="s">
        <v>750</v>
      </c>
      <c r="J292" t="s">
        <v>614</v>
      </c>
      <c r="M292" t="s">
        <v>43</v>
      </c>
      <c r="O292">
        <v>43618</v>
      </c>
      <c r="P292" t="s">
        <v>44</v>
      </c>
      <c r="Q292" t="s">
        <v>45</v>
      </c>
      <c r="R292" t="s">
        <v>54</v>
      </c>
      <c r="S292" s="1">
        <v>45597</v>
      </c>
      <c r="T292" s="1">
        <v>45792</v>
      </c>
      <c r="U292" t="s">
        <v>47</v>
      </c>
      <c r="V292">
        <v>1</v>
      </c>
      <c r="W292" s="1">
        <v>45757</v>
      </c>
      <c r="X292" t="s">
        <v>48</v>
      </c>
      <c r="Y292" s="2">
        <v>1</v>
      </c>
      <c r="Z292" s="2">
        <v>1</v>
      </c>
      <c r="AB292" s="3">
        <v>1</v>
      </c>
      <c r="AC292" s="2">
        <v>9</v>
      </c>
      <c r="AG292" s="2">
        <v>0</v>
      </c>
      <c r="AH292" s="2">
        <v>9</v>
      </c>
      <c r="AI292" s="2">
        <v>0</v>
      </c>
      <c r="AK292">
        <v>5357210</v>
      </c>
      <c r="AL292" t="s">
        <v>473</v>
      </c>
    </row>
    <row r="293" spans="1:38" x14ac:dyDescent="0.25">
      <c r="A293" s="1">
        <v>45763</v>
      </c>
      <c r="B293" s="1">
        <v>45762</v>
      </c>
      <c r="C293" t="s">
        <v>252</v>
      </c>
      <c r="D293" t="s">
        <v>39</v>
      </c>
      <c r="E293" t="s">
        <v>40</v>
      </c>
      <c r="F293">
        <v>43677</v>
      </c>
      <c r="H293" t="s">
        <v>41</v>
      </c>
      <c r="I293" s="5" t="s">
        <v>807</v>
      </c>
      <c r="J293" t="s">
        <v>567</v>
      </c>
      <c r="M293" t="s">
        <v>43</v>
      </c>
      <c r="O293">
        <v>45612</v>
      </c>
      <c r="P293" t="s">
        <v>99</v>
      </c>
      <c r="Q293" t="s">
        <v>250</v>
      </c>
      <c r="R293" t="s">
        <v>54</v>
      </c>
      <c r="S293" s="1">
        <v>45505</v>
      </c>
      <c r="T293" s="1">
        <v>45792</v>
      </c>
      <c r="U293" t="s">
        <v>47</v>
      </c>
      <c r="V293">
        <v>1</v>
      </c>
      <c r="W293" s="1">
        <v>45757</v>
      </c>
      <c r="X293" t="s">
        <v>48</v>
      </c>
      <c r="Y293" s="2">
        <v>1</v>
      </c>
      <c r="Z293" s="2">
        <v>1</v>
      </c>
      <c r="AB293" s="3">
        <v>1</v>
      </c>
      <c r="AC293" s="2">
        <v>9</v>
      </c>
      <c r="AG293" s="2">
        <v>0</v>
      </c>
      <c r="AH293" s="2">
        <v>9</v>
      </c>
      <c r="AI293" s="2">
        <v>0</v>
      </c>
      <c r="AK293">
        <v>5370490</v>
      </c>
      <c r="AL293" t="s">
        <v>473</v>
      </c>
    </row>
    <row r="294" spans="1:38" x14ac:dyDescent="0.25">
      <c r="A294" s="1">
        <v>45763</v>
      </c>
      <c r="B294" s="1">
        <v>45762</v>
      </c>
      <c r="C294" t="s">
        <v>252</v>
      </c>
      <c r="D294" t="s">
        <v>39</v>
      </c>
      <c r="E294" t="s">
        <v>40</v>
      </c>
      <c r="F294">
        <v>43677</v>
      </c>
      <c r="H294" t="s">
        <v>41</v>
      </c>
      <c r="I294" s="5" t="s">
        <v>757</v>
      </c>
      <c r="J294" t="s">
        <v>608</v>
      </c>
      <c r="M294" t="s">
        <v>43</v>
      </c>
      <c r="O294">
        <v>45638</v>
      </c>
      <c r="P294" t="s">
        <v>63</v>
      </c>
      <c r="Q294" t="s">
        <v>45</v>
      </c>
      <c r="R294" t="s">
        <v>54</v>
      </c>
      <c r="S294" s="1">
        <v>45566</v>
      </c>
      <c r="T294" s="1">
        <v>45792</v>
      </c>
      <c r="U294" t="s">
        <v>47</v>
      </c>
      <c r="V294">
        <v>1</v>
      </c>
      <c r="W294" s="1">
        <v>45757</v>
      </c>
      <c r="X294" t="s">
        <v>48</v>
      </c>
      <c r="Y294" s="2">
        <v>1</v>
      </c>
      <c r="Z294" s="2">
        <v>1</v>
      </c>
      <c r="AB294" s="3">
        <v>1</v>
      </c>
      <c r="AC294" s="2">
        <v>9</v>
      </c>
      <c r="AG294" s="2">
        <v>0</v>
      </c>
      <c r="AH294" s="2">
        <v>9</v>
      </c>
      <c r="AI294" s="2">
        <v>0</v>
      </c>
      <c r="AK294">
        <v>5366420</v>
      </c>
      <c r="AL294" t="s">
        <v>473</v>
      </c>
    </row>
    <row r="295" spans="1:38" x14ac:dyDescent="0.25">
      <c r="A295" s="1">
        <v>45763</v>
      </c>
      <c r="B295" s="1">
        <v>45762</v>
      </c>
      <c r="C295" t="s">
        <v>252</v>
      </c>
      <c r="D295" t="s">
        <v>39</v>
      </c>
      <c r="E295" t="s">
        <v>40</v>
      </c>
      <c r="F295">
        <v>43677</v>
      </c>
      <c r="H295" t="s">
        <v>41</v>
      </c>
      <c r="I295" s="5" t="s">
        <v>790</v>
      </c>
      <c r="J295" t="s">
        <v>582</v>
      </c>
      <c r="M295" t="s">
        <v>43</v>
      </c>
      <c r="O295">
        <v>45605</v>
      </c>
      <c r="P295" t="s">
        <v>50</v>
      </c>
      <c r="Q295" t="s">
        <v>250</v>
      </c>
      <c r="R295" t="s">
        <v>54</v>
      </c>
      <c r="S295" s="1">
        <v>45474</v>
      </c>
      <c r="T295" s="1">
        <v>45792</v>
      </c>
      <c r="U295" t="s">
        <v>47</v>
      </c>
      <c r="V295">
        <v>1</v>
      </c>
      <c r="W295" s="1">
        <v>45757</v>
      </c>
      <c r="X295" t="s">
        <v>48</v>
      </c>
      <c r="Y295" s="2">
        <v>1</v>
      </c>
      <c r="Z295" s="2">
        <v>1</v>
      </c>
      <c r="AB295" s="3">
        <v>1</v>
      </c>
      <c r="AC295" s="2">
        <v>9</v>
      </c>
      <c r="AG295" s="2">
        <v>0</v>
      </c>
      <c r="AH295" s="2">
        <v>9</v>
      </c>
      <c r="AI295" s="2">
        <v>0</v>
      </c>
      <c r="AK295">
        <v>5370331</v>
      </c>
      <c r="AL295" t="s">
        <v>473</v>
      </c>
    </row>
    <row r="296" spans="1:38" x14ac:dyDescent="0.25">
      <c r="A296" s="1">
        <v>45756</v>
      </c>
      <c r="B296" s="1">
        <v>45756</v>
      </c>
      <c r="C296" t="s">
        <v>38</v>
      </c>
      <c r="D296" t="s">
        <v>39</v>
      </c>
      <c r="E296" t="s">
        <v>40</v>
      </c>
      <c r="F296">
        <v>43677</v>
      </c>
      <c r="H296" t="s">
        <v>41</v>
      </c>
      <c r="I296" s="5" t="s">
        <v>637</v>
      </c>
      <c r="J296" t="s">
        <v>76</v>
      </c>
      <c r="M296" t="s">
        <v>43</v>
      </c>
      <c r="O296">
        <v>45638</v>
      </c>
      <c r="P296" t="s">
        <v>63</v>
      </c>
      <c r="Q296" t="s">
        <v>45</v>
      </c>
      <c r="R296" t="s">
        <v>54</v>
      </c>
      <c r="S296" s="1">
        <v>45748</v>
      </c>
      <c r="U296" t="s">
        <v>47</v>
      </c>
      <c r="X296" t="s">
        <v>48</v>
      </c>
      <c r="Y296" s="2">
        <v>0</v>
      </c>
      <c r="Z296" s="2">
        <v>175</v>
      </c>
      <c r="AA296">
        <v>1</v>
      </c>
      <c r="AB296" s="3">
        <v>1</v>
      </c>
      <c r="AC296" s="2">
        <v>175</v>
      </c>
      <c r="AD296" s="3">
        <v>0</v>
      </c>
      <c r="AE296" s="2">
        <v>0</v>
      </c>
      <c r="AF296" s="2">
        <v>175</v>
      </c>
      <c r="AK296">
        <v>5291531</v>
      </c>
    </row>
    <row r="297" spans="1:38" x14ac:dyDescent="0.25">
      <c r="A297" s="1">
        <v>45756</v>
      </c>
      <c r="B297" s="1">
        <v>45756</v>
      </c>
      <c r="C297" t="s">
        <v>146</v>
      </c>
      <c r="D297" t="s">
        <v>39</v>
      </c>
      <c r="E297" t="s">
        <v>40</v>
      </c>
      <c r="F297">
        <v>43677</v>
      </c>
      <c r="H297" t="s">
        <v>41</v>
      </c>
      <c r="I297" s="5" t="s">
        <v>671</v>
      </c>
      <c r="J297" t="s">
        <v>157</v>
      </c>
      <c r="M297" t="s">
        <v>43</v>
      </c>
      <c r="O297">
        <v>45605</v>
      </c>
      <c r="P297" t="s">
        <v>50</v>
      </c>
      <c r="Q297" t="s">
        <v>148</v>
      </c>
      <c r="R297" t="s">
        <v>54</v>
      </c>
      <c r="S297" s="1">
        <v>45717</v>
      </c>
      <c r="U297" t="s">
        <v>47</v>
      </c>
      <c r="X297" t="s">
        <v>48</v>
      </c>
      <c r="Y297" s="2">
        <v>0</v>
      </c>
      <c r="Z297">
        <v>-131.25</v>
      </c>
      <c r="AA297">
        <v>1</v>
      </c>
      <c r="AB297" s="3">
        <v>1</v>
      </c>
      <c r="AC297">
        <v>-131.25</v>
      </c>
      <c r="AD297" s="3">
        <v>0</v>
      </c>
      <c r="AE297" s="2">
        <v>0</v>
      </c>
      <c r="AF297" s="2">
        <v>175</v>
      </c>
      <c r="AG297" s="2"/>
      <c r="AJ297" s="2"/>
    </row>
    <row r="298" spans="1:38" x14ac:dyDescent="0.25">
      <c r="A298" s="1">
        <v>45763</v>
      </c>
      <c r="B298" s="1">
        <v>45762</v>
      </c>
      <c r="C298" t="s">
        <v>252</v>
      </c>
      <c r="D298" t="s">
        <v>39</v>
      </c>
      <c r="E298" t="s">
        <v>40</v>
      </c>
      <c r="F298">
        <v>43677</v>
      </c>
      <c r="H298" t="s">
        <v>41</v>
      </c>
      <c r="I298" s="5" t="s">
        <v>834</v>
      </c>
      <c r="J298" t="s">
        <v>543</v>
      </c>
      <c r="M298" t="s">
        <v>43</v>
      </c>
      <c r="O298">
        <v>45603</v>
      </c>
      <c r="P298" t="s">
        <v>218</v>
      </c>
      <c r="Q298" t="s">
        <v>45</v>
      </c>
      <c r="R298" t="s">
        <v>54</v>
      </c>
      <c r="S298" s="1">
        <v>45566</v>
      </c>
      <c r="T298" s="1">
        <v>45792</v>
      </c>
      <c r="U298" t="s">
        <v>47</v>
      </c>
      <c r="V298">
        <v>1</v>
      </c>
      <c r="W298" s="1">
        <v>45757</v>
      </c>
      <c r="X298" t="s">
        <v>48</v>
      </c>
      <c r="Y298" s="2">
        <v>1</v>
      </c>
      <c r="Z298" s="2">
        <v>1</v>
      </c>
      <c r="AB298" s="3">
        <v>1</v>
      </c>
      <c r="AC298" s="2">
        <v>9</v>
      </c>
      <c r="AG298" s="2">
        <v>0</v>
      </c>
      <c r="AH298" s="2">
        <v>9</v>
      </c>
      <c r="AI298" s="2">
        <v>0</v>
      </c>
      <c r="AK298">
        <v>5370854</v>
      </c>
      <c r="AL298" t="s">
        <v>473</v>
      </c>
    </row>
    <row r="299" spans="1:38" x14ac:dyDescent="0.25">
      <c r="A299" s="1">
        <v>45763</v>
      </c>
      <c r="B299" s="1">
        <v>45762</v>
      </c>
      <c r="C299" t="s">
        <v>252</v>
      </c>
      <c r="D299" t="s">
        <v>39</v>
      </c>
      <c r="E299" t="s">
        <v>40</v>
      </c>
      <c r="F299">
        <v>43677</v>
      </c>
      <c r="H299" t="s">
        <v>41</v>
      </c>
      <c r="I299" s="5" t="s">
        <v>901</v>
      </c>
      <c r="J299" t="s">
        <v>483</v>
      </c>
      <c r="M299" t="s">
        <v>43</v>
      </c>
      <c r="O299">
        <v>43682</v>
      </c>
      <c r="P299" t="s">
        <v>118</v>
      </c>
      <c r="Q299" t="s">
        <v>45</v>
      </c>
      <c r="R299" t="s">
        <v>54</v>
      </c>
      <c r="S299" s="1">
        <v>45627</v>
      </c>
      <c r="T299" s="1">
        <v>45792</v>
      </c>
      <c r="U299" t="s">
        <v>47</v>
      </c>
      <c r="V299">
        <v>1</v>
      </c>
      <c r="W299" s="1">
        <v>45757</v>
      </c>
      <c r="X299" t="s">
        <v>48</v>
      </c>
      <c r="Y299" s="2">
        <v>1</v>
      </c>
      <c r="Z299" s="2">
        <v>1</v>
      </c>
      <c r="AB299" s="3">
        <v>1</v>
      </c>
      <c r="AC299" s="2">
        <v>9</v>
      </c>
      <c r="AG299" s="2">
        <v>0</v>
      </c>
      <c r="AH299" s="2">
        <v>9</v>
      </c>
      <c r="AI299" s="2">
        <v>0</v>
      </c>
      <c r="AK299">
        <v>5371379</v>
      </c>
      <c r="AL299" t="s">
        <v>473</v>
      </c>
    </row>
    <row r="300" spans="1:38" x14ac:dyDescent="0.25">
      <c r="A300" s="1">
        <v>45763</v>
      </c>
      <c r="B300" s="1">
        <v>45762</v>
      </c>
      <c r="C300" t="s">
        <v>252</v>
      </c>
      <c r="D300" t="s">
        <v>39</v>
      </c>
      <c r="E300" t="s">
        <v>40</v>
      </c>
      <c r="F300">
        <v>43677</v>
      </c>
      <c r="H300" t="s">
        <v>41</v>
      </c>
      <c r="I300" s="5" t="s">
        <v>861</v>
      </c>
      <c r="J300" t="s">
        <v>519</v>
      </c>
      <c r="M300" t="s">
        <v>43</v>
      </c>
      <c r="O300">
        <v>45612</v>
      </c>
      <c r="P300" t="s">
        <v>99</v>
      </c>
      <c r="Q300" t="s">
        <v>45</v>
      </c>
      <c r="R300" t="s">
        <v>54</v>
      </c>
      <c r="S300" s="1">
        <v>45566</v>
      </c>
      <c r="T300" s="1">
        <v>45792</v>
      </c>
      <c r="U300" t="s">
        <v>47</v>
      </c>
      <c r="V300">
        <v>1</v>
      </c>
      <c r="W300" s="1">
        <v>45757</v>
      </c>
      <c r="X300" t="s">
        <v>48</v>
      </c>
      <c r="Y300" s="2">
        <v>1</v>
      </c>
      <c r="Z300" s="2">
        <v>1</v>
      </c>
      <c r="AB300" s="3">
        <v>1</v>
      </c>
      <c r="AC300" s="2">
        <v>9</v>
      </c>
      <c r="AG300" s="2">
        <v>0</v>
      </c>
      <c r="AH300" s="2">
        <v>9</v>
      </c>
      <c r="AI300" s="2">
        <v>0</v>
      </c>
      <c r="AK300">
        <v>5371049</v>
      </c>
      <c r="AL300" t="s">
        <v>473</v>
      </c>
    </row>
    <row r="301" spans="1:38" x14ac:dyDescent="0.25">
      <c r="A301" s="1">
        <v>45763</v>
      </c>
      <c r="B301" s="1">
        <v>45762</v>
      </c>
      <c r="C301" t="s">
        <v>252</v>
      </c>
      <c r="D301" t="s">
        <v>39</v>
      </c>
      <c r="E301" t="s">
        <v>40</v>
      </c>
      <c r="F301">
        <v>43677</v>
      </c>
      <c r="H301" t="s">
        <v>41</v>
      </c>
      <c r="I301" s="5" t="s">
        <v>759</v>
      </c>
      <c r="J301" t="s">
        <v>606</v>
      </c>
      <c r="M301" t="s">
        <v>43</v>
      </c>
      <c r="O301">
        <v>43682</v>
      </c>
      <c r="P301" t="s">
        <v>118</v>
      </c>
      <c r="Q301" t="s">
        <v>250</v>
      </c>
      <c r="R301" t="s">
        <v>54</v>
      </c>
      <c r="S301" s="1">
        <v>45444</v>
      </c>
      <c r="T301" s="1">
        <v>45792</v>
      </c>
      <c r="U301" t="s">
        <v>47</v>
      </c>
      <c r="V301">
        <v>1</v>
      </c>
      <c r="W301" s="1">
        <v>45757</v>
      </c>
      <c r="X301" t="s">
        <v>48</v>
      </c>
      <c r="Y301" s="2">
        <v>1</v>
      </c>
      <c r="Z301" s="2">
        <v>1</v>
      </c>
      <c r="AB301" s="3">
        <v>1</v>
      </c>
      <c r="AC301" s="2">
        <v>9</v>
      </c>
      <c r="AG301" s="2">
        <v>0</v>
      </c>
      <c r="AH301" s="2">
        <v>9</v>
      </c>
      <c r="AI301" s="2">
        <v>0</v>
      </c>
      <c r="AK301">
        <v>5369625</v>
      </c>
      <c r="AL301" t="s">
        <v>473</v>
      </c>
    </row>
    <row r="302" spans="1:38" x14ac:dyDescent="0.25">
      <c r="A302" s="1">
        <v>45763</v>
      </c>
      <c r="B302" s="1">
        <v>45762</v>
      </c>
      <c r="C302" t="s">
        <v>252</v>
      </c>
      <c r="D302" t="s">
        <v>39</v>
      </c>
      <c r="E302" t="s">
        <v>40</v>
      </c>
      <c r="F302">
        <v>43677</v>
      </c>
      <c r="H302" t="s">
        <v>41</v>
      </c>
      <c r="I302" s="5" t="s">
        <v>854</v>
      </c>
      <c r="J302" t="s">
        <v>526</v>
      </c>
      <c r="M302" t="s">
        <v>43</v>
      </c>
      <c r="O302">
        <v>43682</v>
      </c>
      <c r="P302" t="s">
        <v>118</v>
      </c>
      <c r="Q302" t="s">
        <v>45</v>
      </c>
      <c r="R302" t="s">
        <v>54</v>
      </c>
      <c r="S302" s="1">
        <v>45627</v>
      </c>
      <c r="T302" s="1">
        <v>45792</v>
      </c>
      <c r="U302" t="s">
        <v>47</v>
      </c>
      <c r="V302">
        <v>1</v>
      </c>
      <c r="W302" s="1">
        <v>45757</v>
      </c>
      <c r="X302" t="s">
        <v>48</v>
      </c>
      <c r="Y302" s="2">
        <v>1</v>
      </c>
      <c r="Z302" s="2">
        <v>1</v>
      </c>
      <c r="AB302" s="3">
        <v>1</v>
      </c>
      <c r="AC302" s="2">
        <v>9</v>
      </c>
      <c r="AG302" s="2">
        <v>0</v>
      </c>
      <c r="AH302" s="2">
        <v>9</v>
      </c>
      <c r="AI302" s="2">
        <v>0</v>
      </c>
      <c r="AK302">
        <v>5371017</v>
      </c>
      <c r="AL302" t="s">
        <v>473</v>
      </c>
    </row>
    <row r="303" spans="1:38" x14ac:dyDescent="0.25">
      <c r="A303" s="1">
        <v>45763</v>
      </c>
      <c r="B303" s="1">
        <v>45762</v>
      </c>
      <c r="C303" t="s">
        <v>252</v>
      </c>
      <c r="D303" t="s">
        <v>39</v>
      </c>
      <c r="E303" t="s">
        <v>40</v>
      </c>
      <c r="F303">
        <v>43677</v>
      </c>
      <c r="H303" t="s">
        <v>41</v>
      </c>
      <c r="I303" s="5" t="s">
        <v>903</v>
      </c>
      <c r="J303" t="s">
        <v>481</v>
      </c>
      <c r="M303" t="s">
        <v>43</v>
      </c>
      <c r="O303">
        <v>45618</v>
      </c>
      <c r="P303" t="s">
        <v>97</v>
      </c>
      <c r="Q303" t="s">
        <v>45</v>
      </c>
      <c r="R303" t="s">
        <v>54</v>
      </c>
      <c r="S303" s="1">
        <v>45627</v>
      </c>
      <c r="T303" s="1">
        <v>45792</v>
      </c>
      <c r="U303" t="s">
        <v>47</v>
      </c>
      <c r="V303">
        <v>1</v>
      </c>
      <c r="W303" s="1">
        <v>45757</v>
      </c>
      <c r="X303" t="s">
        <v>48</v>
      </c>
      <c r="Y303" s="2">
        <v>1</v>
      </c>
      <c r="Z303" s="2">
        <v>1</v>
      </c>
      <c r="AB303" s="3">
        <v>1</v>
      </c>
      <c r="AC303" s="2">
        <v>9</v>
      </c>
      <c r="AG303" s="2">
        <v>0</v>
      </c>
      <c r="AH303" s="2">
        <v>9</v>
      </c>
      <c r="AI303" s="2">
        <v>0</v>
      </c>
      <c r="AK303">
        <v>5371396</v>
      </c>
      <c r="AL303" t="s">
        <v>473</v>
      </c>
    </row>
    <row r="304" spans="1:38" x14ac:dyDescent="0.25">
      <c r="A304" s="1">
        <v>45756</v>
      </c>
      <c r="B304" s="1">
        <v>45756</v>
      </c>
      <c r="C304" t="s">
        <v>146</v>
      </c>
      <c r="D304" t="s">
        <v>39</v>
      </c>
      <c r="E304" t="s">
        <v>40</v>
      </c>
      <c r="F304">
        <v>43677</v>
      </c>
      <c r="H304" t="s">
        <v>41</v>
      </c>
      <c r="I304" s="5" t="s">
        <v>669</v>
      </c>
      <c r="J304" t="s">
        <v>66</v>
      </c>
      <c r="M304" t="s">
        <v>43</v>
      </c>
      <c r="O304">
        <v>45613</v>
      </c>
      <c r="P304" t="s">
        <v>65</v>
      </c>
      <c r="Q304" t="s">
        <v>148</v>
      </c>
      <c r="R304" t="s">
        <v>54</v>
      </c>
      <c r="S304" s="1">
        <v>45658</v>
      </c>
      <c r="U304" t="s">
        <v>47</v>
      </c>
      <c r="X304" t="s">
        <v>48</v>
      </c>
      <c r="Y304" s="2">
        <v>0</v>
      </c>
      <c r="Z304">
        <v>-131.25</v>
      </c>
      <c r="AA304">
        <v>1</v>
      </c>
      <c r="AB304" s="3">
        <v>1</v>
      </c>
      <c r="AC304">
        <v>-131.25</v>
      </c>
      <c r="AD304" s="3">
        <v>0</v>
      </c>
      <c r="AE304" s="2">
        <v>0</v>
      </c>
      <c r="AF304" s="2">
        <v>175</v>
      </c>
      <c r="AG304" s="2"/>
      <c r="AJ304" s="2"/>
    </row>
    <row r="305" spans="1:38" x14ac:dyDescent="0.25">
      <c r="A305" s="1">
        <v>45763</v>
      </c>
      <c r="B305" s="1">
        <v>45762</v>
      </c>
      <c r="C305" t="s">
        <v>252</v>
      </c>
      <c r="D305" t="s">
        <v>39</v>
      </c>
      <c r="E305" t="s">
        <v>40</v>
      </c>
      <c r="F305">
        <v>43677</v>
      </c>
      <c r="H305" t="s">
        <v>41</v>
      </c>
      <c r="I305" s="5" t="s">
        <v>897</v>
      </c>
      <c r="J305" t="s">
        <v>487</v>
      </c>
      <c r="M305" t="s">
        <v>43</v>
      </c>
      <c r="O305">
        <v>45638</v>
      </c>
      <c r="P305" t="s">
        <v>63</v>
      </c>
      <c r="Q305" t="s">
        <v>45</v>
      </c>
      <c r="R305" t="s">
        <v>54</v>
      </c>
      <c r="S305" s="1">
        <v>45627</v>
      </c>
      <c r="T305" s="1">
        <v>45792</v>
      </c>
      <c r="U305" t="s">
        <v>47</v>
      </c>
      <c r="V305">
        <v>1</v>
      </c>
      <c r="W305" s="1">
        <v>45757</v>
      </c>
      <c r="X305" t="s">
        <v>48</v>
      </c>
      <c r="Y305" s="2">
        <v>1</v>
      </c>
      <c r="Z305" s="2">
        <v>1</v>
      </c>
      <c r="AB305" s="3">
        <v>1</v>
      </c>
      <c r="AC305" s="2">
        <v>9</v>
      </c>
      <c r="AG305" s="2">
        <v>0</v>
      </c>
      <c r="AH305" s="2">
        <v>9</v>
      </c>
      <c r="AI305" s="2">
        <v>0</v>
      </c>
      <c r="AK305">
        <v>5371327</v>
      </c>
      <c r="AL305" t="s">
        <v>473</v>
      </c>
    </row>
    <row r="306" spans="1:38" x14ac:dyDescent="0.25">
      <c r="A306" s="1">
        <v>45763</v>
      </c>
      <c r="B306" s="1">
        <v>45762</v>
      </c>
      <c r="C306" t="s">
        <v>252</v>
      </c>
      <c r="D306" t="s">
        <v>39</v>
      </c>
      <c r="E306" t="s">
        <v>40</v>
      </c>
      <c r="F306">
        <v>43677</v>
      </c>
      <c r="H306" t="s">
        <v>41</v>
      </c>
      <c r="I306" s="5" t="s">
        <v>855</v>
      </c>
      <c r="J306" t="s">
        <v>525</v>
      </c>
      <c r="M306" t="s">
        <v>43</v>
      </c>
      <c r="O306">
        <v>45618</v>
      </c>
      <c r="P306" t="s">
        <v>97</v>
      </c>
      <c r="Q306" t="s">
        <v>45</v>
      </c>
      <c r="R306" t="s">
        <v>54</v>
      </c>
      <c r="S306" s="1">
        <v>45566</v>
      </c>
      <c r="T306" s="1">
        <v>45792</v>
      </c>
      <c r="U306" t="s">
        <v>47</v>
      </c>
      <c r="V306">
        <v>1</v>
      </c>
      <c r="W306" s="1">
        <v>45757</v>
      </c>
      <c r="X306" t="s">
        <v>48</v>
      </c>
      <c r="Y306" s="2">
        <v>1</v>
      </c>
      <c r="Z306" s="2">
        <v>1</v>
      </c>
      <c r="AB306" s="3">
        <v>1</v>
      </c>
      <c r="AC306" s="2">
        <v>9</v>
      </c>
      <c r="AG306" s="2">
        <v>0</v>
      </c>
      <c r="AH306" s="2">
        <v>9</v>
      </c>
      <c r="AI306" s="2">
        <v>0</v>
      </c>
      <c r="AK306">
        <v>5371029</v>
      </c>
      <c r="AL306" t="s">
        <v>473</v>
      </c>
    </row>
    <row r="307" spans="1:38" x14ac:dyDescent="0.25">
      <c r="A307" s="1">
        <v>45763</v>
      </c>
      <c r="B307" s="1">
        <v>45762</v>
      </c>
      <c r="C307" t="s">
        <v>252</v>
      </c>
      <c r="D307" t="s">
        <v>39</v>
      </c>
      <c r="E307" t="s">
        <v>40</v>
      </c>
      <c r="F307">
        <v>43677</v>
      </c>
      <c r="H307" t="s">
        <v>41</v>
      </c>
      <c r="I307" s="5" t="s">
        <v>863</v>
      </c>
      <c r="J307" t="s">
        <v>517</v>
      </c>
      <c r="M307" t="s">
        <v>43</v>
      </c>
      <c r="O307">
        <v>43682</v>
      </c>
      <c r="P307" t="s">
        <v>118</v>
      </c>
      <c r="Q307" t="s">
        <v>45</v>
      </c>
      <c r="R307" t="s">
        <v>54</v>
      </c>
      <c r="S307" s="1">
        <v>45597</v>
      </c>
      <c r="T307" s="1">
        <v>45792</v>
      </c>
      <c r="U307" t="s">
        <v>47</v>
      </c>
      <c r="V307">
        <v>1</v>
      </c>
      <c r="W307" s="1">
        <v>45757</v>
      </c>
      <c r="X307" t="s">
        <v>48</v>
      </c>
      <c r="Y307" s="2">
        <v>1</v>
      </c>
      <c r="Z307" s="2">
        <v>1</v>
      </c>
      <c r="AB307" s="3">
        <v>1</v>
      </c>
      <c r="AC307" s="2">
        <v>9</v>
      </c>
      <c r="AG307" s="2">
        <v>0</v>
      </c>
      <c r="AH307" s="2">
        <v>9</v>
      </c>
      <c r="AI307" s="2">
        <v>0</v>
      </c>
      <c r="AK307">
        <v>5371067</v>
      </c>
      <c r="AL307" t="s">
        <v>473</v>
      </c>
    </row>
    <row r="308" spans="1:38" x14ac:dyDescent="0.25">
      <c r="A308" s="1">
        <v>45763</v>
      </c>
      <c r="B308" s="1">
        <v>45762</v>
      </c>
      <c r="C308" t="s">
        <v>252</v>
      </c>
      <c r="D308" t="s">
        <v>39</v>
      </c>
      <c r="E308" t="s">
        <v>40</v>
      </c>
      <c r="F308">
        <v>43677</v>
      </c>
      <c r="H308" t="s">
        <v>41</v>
      </c>
      <c r="I308" s="5" t="s">
        <v>857</v>
      </c>
      <c r="J308" t="s">
        <v>523</v>
      </c>
      <c r="M308" t="s">
        <v>43</v>
      </c>
      <c r="O308">
        <v>45622</v>
      </c>
      <c r="P308" t="s">
        <v>198</v>
      </c>
      <c r="Q308" t="s">
        <v>45</v>
      </c>
      <c r="R308" t="s">
        <v>54</v>
      </c>
      <c r="S308" s="1">
        <v>45566</v>
      </c>
      <c r="T308" s="1">
        <v>45792</v>
      </c>
      <c r="U308" t="s">
        <v>47</v>
      </c>
      <c r="V308">
        <v>1</v>
      </c>
      <c r="W308" s="1">
        <v>45757</v>
      </c>
      <c r="X308" t="s">
        <v>48</v>
      </c>
      <c r="Y308" s="2">
        <v>1</v>
      </c>
      <c r="Z308" s="2">
        <v>1</v>
      </c>
      <c r="AB308" s="3">
        <v>1</v>
      </c>
      <c r="AC308" s="2">
        <v>9</v>
      </c>
      <c r="AG308" s="2">
        <v>0</v>
      </c>
      <c r="AH308" s="2">
        <v>9</v>
      </c>
      <c r="AI308" s="2">
        <v>0</v>
      </c>
      <c r="AK308">
        <v>5371037</v>
      </c>
      <c r="AL308" t="s">
        <v>473</v>
      </c>
    </row>
    <row r="309" spans="1:38" x14ac:dyDescent="0.25">
      <c r="A309" s="1">
        <v>45763</v>
      </c>
      <c r="B309" s="1">
        <v>45762</v>
      </c>
      <c r="C309" t="s">
        <v>252</v>
      </c>
      <c r="D309" t="s">
        <v>39</v>
      </c>
      <c r="E309" t="s">
        <v>40</v>
      </c>
      <c r="F309">
        <v>43677</v>
      </c>
      <c r="H309" t="s">
        <v>41</v>
      </c>
      <c r="I309" s="5" t="s">
        <v>777</v>
      </c>
      <c r="J309" t="s">
        <v>591</v>
      </c>
      <c r="M309" t="s">
        <v>43</v>
      </c>
      <c r="O309">
        <v>45603</v>
      </c>
      <c r="P309" t="s">
        <v>218</v>
      </c>
      <c r="Q309" t="s">
        <v>45</v>
      </c>
      <c r="R309" t="s">
        <v>54</v>
      </c>
      <c r="S309" s="1">
        <v>45474</v>
      </c>
      <c r="T309" s="1">
        <v>45792</v>
      </c>
      <c r="U309" t="s">
        <v>47</v>
      </c>
      <c r="V309">
        <v>1</v>
      </c>
      <c r="W309" s="1">
        <v>45757</v>
      </c>
      <c r="X309" t="s">
        <v>48</v>
      </c>
      <c r="Y309" s="2">
        <v>1</v>
      </c>
      <c r="Z309" s="2">
        <v>1</v>
      </c>
      <c r="AB309" s="3">
        <v>1</v>
      </c>
      <c r="AC309" s="2">
        <v>9</v>
      </c>
      <c r="AG309" s="2">
        <v>0</v>
      </c>
      <c r="AH309" s="2">
        <v>9</v>
      </c>
      <c r="AI309" s="2">
        <v>0</v>
      </c>
      <c r="AK309">
        <v>5370167</v>
      </c>
      <c r="AL309" t="s">
        <v>473</v>
      </c>
    </row>
    <row r="310" spans="1:38" x14ac:dyDescent="0.25">
      <c r="A310" s="1">
        <v>45763</v>
      </c>
      <c r="B310" s="1">
        <v>45762</v>
      </c>
      <c r="C310" t="s">
        <v>252</v>
      </c>
      <c r="D310" t="s">
        <v>39</v>
      </c>
      <c r="E310" t="s">
        <v>40</v>
      </c>
      <c r="F310">
        <v>43677</v>
      </c>
      <c r="H310" t="s">
        <v>41</v>
      </c>
      <c r="I310" s="5" t="s">
        <v>785</v>
      </c>
      <c r="J310" t="s">
        <v>586</v>
      </c>
      <c r="M310" t="s">
        <v>43</v>
      </c>
      <c r="O310">
        <v>45613</v>
      </c>
      <c r="P310" t="s">
        <v>65</v>
      </c>
      <c r="Q310" t="s">
        <v>45</v>
      </c>
      <c r="R310" t="s">
        <v>54</v>
      </c>
      <c r="S310" s="1">
        <v>45474</v>
      </c>
      <c r="T310" s="1">
        <v>45792</v>
      </c>
      <c r="U310" t="s">
        <v>47</v>
      </c>
      <c r="V310">
        <v>1</v>
      </c>
      <c r="W310" s="1">
        <v>45757</v>
      </c>
      <c r="X310" t="s">
        <v>48</v>
      </c>
      <c r="Y310" s="2">
        <v>1</v>
      </c>
      <c r="Z310" s="2">
        <v>1</v>
      </c>
      <c r="AB310" s="3">
        <v>1</v>
      </c>
      <c r="AC310" s="2">
        <v>9</v>
      </c>
      <c r="AG310" s="2">
        <v>0</v>
      </c>
      <c r="AH310" s="2">
        <v>9</v>
      </c>
      <c r="AI310" s="2">
        <v>0</v>
      </c>
      <c r="AK310">
        <v>5370241</v>
      </c>
      <c r="AL310" t="s">
        <v>473</v>
      </c>
    </row>
    <row r="311" spans="1:38" x14ac:dyDescent="0.25">
      <c r="A311" s="1">
        <v>45763</v>
      </c>
      <c r="B311" s="1">
        <v>45762</v>
      </c>
      <c r="C311" t="s">
        <v>252</v>
      </c>
      <c r="D311" t="s">
        <v>39</v>
      </c>
      <c r="E311" t="s">
        <v>40</v>
      </c>
      <c r="F311">
        <v>43677</v>
      </c>
      <c r="H311" t="s">
        <v>41</v>
      </c>
      <c r="I311" s="5" t="s">
        <v>899</v>
      </c>
      <c r="J311" t="s">
        <v>485</v>
      </c>
      <c r="M311" t="s">
        <v>43</v>
      </c>
      <c r="O311">
        <v>43705</v>
      </c>
      <c r="P311" t="s">
        <v>90</v>
      </c>
      <c r="Q311" t="s">
        <v>45</v>
      </c>
      <c r="R311" t="s">
        <v>54</v>
      </c>
      <c r="S311" s="1">
        <v>45627</v>
      </c>
      <c r="T311" s="1">
        <v>45792</v>
      </c>
      <c r="U311" t="s">
        <v>47</v>
      </c>
      <c r="V311">
        <v>1</v>
      </c>
      <c r="W311" s="1">
        <v>45757</v>
      </c>
      <c r="X311" t="s">
        <v>48</v>
      </c>
      <c r="Y311" s="2">
        <v>1</v>
      </c>
      <c r="Z311" s="2">
        <v>1</v>
      </c>
      <c r="AB311" s="3">
        <v>1</v>
      </c>
      <c r="AC311" s="2">
        <v>9</v>
      </c>
      <c r="AG311" s="2">
        <v>0</v>
      </c>
      <c r="AH311" s="2">
        <v>9</v>
      </c>
      <c r="AI311" s="2">
        <v>0</v>
      </c>
      <c r="AK311">
        <v>5371340</v>
      </c>
      <c r="AL311" t="s">
        <v>473</v>
      </c>
    </row>
    <row r="312" spans="1:38" x14ac:dyDescent="0.25">
      <c r="A312" s="1">
        <v>45763</v>
      </c>
      <c r="B312" s="1">
        <v>45763</v>
      </c>
      <c r="C312" t="s">
        <v>38</v>
      </c>
      <c r="D312" t="s">
        <v>39</v>
      </c>
      <c r="E312" t="s">
        <v>40</v>
      </c>
      <c r="F312">
        <v>43677</v>
      </c>
      <c r="H312" t="s">
        <v>41</v>
      </c>
      <c r="I312" s="5" t="s">
        <v>688</v>
      </c>
      <c r="J312" t="s">
        <v>239</v>
      </c>
      <c r="M312" t="s">
        <v>43</v>
      </c>
      <c r="O312">
        <v>45605</v>
      </c>
      <c r="P312" t="s">
        <v>50</v>
      </c>
      <c r="Q312" t="s">
        <v>45</v>
      </c>
      <c r="R312" t="s">
        <v>54</v>
      </c>
      <c r="S312" s="1">
        <v>45839</v>
      </c>
      <c r="U312" t="s">
        <v>47</v>
      </c>
      <c r="X312" t="s">
        <v>48</v>
      </c>
      <c r="Y312" s="2">
        <v>0</v>
      </c>
      <c r="Z312" s="2">
        <v>175</v>
      </c>
      <c r="AA312">
        <v>1</v>
      </c>
      <c r="AB312" s="3">
        <v>1</v>
      </c>
      <c r="AC312" s="2">
        <v>175</v>
      </c>
      <c r="AD312" s="3">
        <v>0</v>
      </c>
      <c r="AE312" s="2">
        <v>0</v>
      </c>
      <c r="AF312" s="2">
        <v>175</v>
      </c>
      <c r="AK312">
        <v>5374489</v>
      </c>
    </row>
    <row r="313" spans="1:38" x14ac:dyDescent="0.25">
      <c r="A313" s="1">
        <v>45763</v>
      </c>
      <c r="B313" s="1">
        <v>45762</v>
      </c>
      <c r="C313" t="s">
        <v>252</v>
      </c>
      <c r="D313" t="s">
        <v>39</v>
      </c>
      <c r="E313" t="s">
        <v>40</v>
      </c>
      <c r="F313">
        <v>43677</v>
      </c>
      <c r="H313" t="s">
        <v>41</v>
      </c>
      <c r="I313" s="5" t="s">
        <v>831</v>
      </c>
      <c r="J313" t="s">
        <v>545</v>
      </c>
      <c r="M313" t="s">
        <v>43</v>
      </c>
      <c r="O313">
        <v>45603</v>
      </c>
      <c r="P313" t="s">
        <v>218</v>
      </c>
      <c r="Q313" t="s">
        <v>45</v>
      </c>
      <c r="R313" t="s">
        <v>54</v>
      </c>
      <c r="S313" s="1">
        <v>45566</v>
      </c>
      <c r="T313" s="1">
        <v>45792</v>
      </c>
      <c r="U313" t="s">
        <v>47</v>
      </c>
      <c r="V313">
        <v>1</v>
      </c>
      <c r="W313" s="1">
        <v>45757</v>
      </c>
      <c r="X313" t="s">
        <v>48</v>
      </c>
      <c r="Y313" s="2">
        <v>1</v>
      </c>
      <c r="Z313" s="2">
        <v>1</v>
      </c>
      <c r="AB313" s="3">
        <v>1</v>
      </c>
      <c r="AC313" s="2">
        <v>9</v>
      </c>
      <c r="AG313" s="2">
        <v>0</v>
      </c>
      <c r="AH313" s="2">
        <v>9</v>
      </c>
      <c r="AI313" s="2">
        <v>0</v>
      </c>
      <c r="AK313">
        <v>5370825</v>
      </c>
      <c r="AL313" t="s">
        <v>473</v>
      </c>
    </row>
    <row r="314" spans="1:38" x14ac:dyDescent="0.25">
      <c r="A314" s="1">
        <v>45763</v>
      </c>
      <c r="B314" s="1">
        <v>45762</v>
      </c>
      <c r="C314" t="s">
        <v>252</v>
      </c>
      <c r="D314" t="s">
        <v>39</v>
      </c>
      <c r="E314" t="s">
        <v>40</v>
      </c>
      <c r="F314">
        <v>43677</v>
      </c>
      <c r="H314" t="s">
        <v>41</v>
      </c>
      <c r="I314" s="5" t="s">
        <v>808</v>
      </c>
      <c r="J314" t="s">
        <v>566</v>
      </c>
      <c r="M314" t="s">
        <v>43</v>
      </c>
      <c r="O314">
        <v>43637</v>
      </c>
      <c r="P314" t="s">
        <v>72</v>
      </c>
      <c r="Q314" t="s">
        <v>250</v>
      </c>
      <c r="R314" t="s">
        <v>54</v>
      </c>
      <c r="S314" s="1">
        <v>45505</v>
      </c>
      <c r="T314" s="1">
        <v>45792</v>
      </c>
      <c r="U314" t="s">
        <v>47</v>
      </c>
      <c r="V314">
        <v>1</v>
      </c>
      <c r="W314" s="1">
        <v>45757</v>
      </c>
      <c r="X314" t="s">
        <v>48</v>
      </c>
      <c r="Y314" s="2">
        <v>1</v>
      </c>
      <c r="Z314" s="2">
        <v>1</v>
      </c>
      <c r="AB314" s="3">
        <v>1</v>
      </c>
      <c r="AC314" s="2">
        <v>9</v>
      </c>
      <c r="AG314" s="2">
        <v>0</v>
      </c>
      <c r="AH314" s="2">
        <v>9</v>
      </c>
      <c r="AI314" s="2">
        <v>0</v>
      </c>
      <c r="AK314">
        <v>5370499</v>
      </c>
      <c r="AL314" t="s">
        <v>473</v>
      </c>
    </row>
    <row r="315" spans="1:38" x14ac:dyDescent="0.25">
      <c r="A315" s="1">
        <v>45763</v>
      </c>
      <c r="B315" s="1">
        <v>45762</v>
      </c>
      <c r="C315" t="s">
        <v>252</v>
      </c>
      <c r="D315" t="s">
        <v>39</v>
      </c>
      <c r="E315" t="s">
        <v>40</v>
      </c>
      <c r="F315">
        <v>43677</v>
      </c>
      <c r="H315" t="s">
        <v>41</v>
      </c>
      <c r="I315" s="5" t="s">
        <v>783</v>
      </c>
      <c r="J315" t="s">
        <v>587</v>
      </c>
      <c r="M315" t="s">
        <v>43</v>
      </c>
      <c r="O315">
        <v>45612</v>
      </c>
      <c r="P315" t="s">
        <v>99</v>
      </c>
      <c r="Q315" t="s">
        <v>45</v>
      </c>
      <c r="R315" t="s">
        <v>54</v>
      </c>
      <c r="S315" s="1">
        <v>45474</v>
      </c>
      <c r="T315" s="1">
        <v>45792</v>
      </c>
      <c r="U315" t="s">
        <v>47</v>
      </c>
      <c r="V315">
        <v>1</v>
      </c>
      <c r="W315" s="1">
        <v>45757</v>
      </c>
      <c r="X315" t="s">
        <v>48</v>
      </c>
      <c r="Y315" s="2">
        <v>1</v>
      </c>
      <c r="Z315" s="2">
        <v>1</v>
      </c>
      <c r="AB315" s="3">
        <v>1</v>
      </c>
      <c r="AC315" s="2">
        <v>9</v>
      </c>
      <c r="AG315" s="2">
        <v>0</v>
      </c>
      <c r="AH315" s="2">
        <v>9</v>
      </c>
      <c r="AI315" s="2">
        <v>0</v>
      </c>
      <c r="AK315">
        <v>5370228</v>
      </c>
      <c r="AL315" t="s">
        <v>473</v>
      </c>
    </row>
    <row r="316" spans="1:38" x14ac:dyDescent="0.25">
      <c r="A316" s="1">
        <v>45756</v>
      </c>
      <c r="B316" s="1">
        <v>45756</v>
      </c>
      <c r="C316" t="s">
        <v>38</v>
      </c>
      <c r="D316" t="s">
        <v>39</v>
      </c>
      <c r="E316" t="s">
        <v>40</v>
      </c>
      <c r="F316">
        <v>43677</v>
      </c>
      <c r="H316" t="s">
        <v>41</v>
      </c>
      <c r="I316" s="5" t="s">
        <v>638</v>
      </c>
      <c r="J316" t="s">
        <v>77</v>
      </c>
      <c r="M316" t="s">
        <v>43</v>
      </c>
      <c r="O316">
        <v>45611</v>
      </c>
      <c r="P316" t="s">
        <v>68</v>
      </c>
      <c r="Q316" t="s">
        <v>45</v>
      </c>
      <c r="R316" t="s">
        <v>54</v>
      </c>
      <c r="S316" s="1">
        <v>45748</v>
      </c>
      <c r="U316" t="s">
        <v>47</v>
      </c>
      <c r="X316" t="s">
        <v>48</v>
      </c>
      <c r="Y316" s="2">
        <v>0</v>
      </c>
      <c r="Z316" s="2">
        <v>175</v>
      </c>
      <c r="AA316">
        <v>1</v>
      </c>
      <c r="AB316" s="3">
        <v>1</v>
      </c>
      <c r="AC316" s="2">
        <v>175</v>
      </c>
      <c r="AD316" s="3">
        <v>0</v>
      </c>
      <c r="AE316" s="2">
        <v>0</v>
      </c>
      <c r="AF316" s="2">
        <v>175</v>
      </c>
      <c r="AK316">
        <v>5291549</v>
      </c>
    </row>
    <row r="317" spans="1:38" x14ac:dyDescent="0.25">
      <c r="A317" s="1">
        <v>45763</v>
      </c>
      <c r="B317" s="1">
        <v>45762</v>
      </c>
      <c r="C317" t="s">
        <v>252</v>
      </c>
      <c r="D317" t="s">
        <v>39</v>
      </c>
      <c r="E317" t="s">
        <v>40</v>
      </c>
      <c r="F317">
        <v>43677</v>
      </c>
      <c r="H317" t="s">
        <v>41</v>
      </c>
      <c r="I317" s="5" t="s">
        <v>793</v>
      </c>
      <c r="J317" t="s">
        <v>580</v>
      </c>
      <c r="M317" t="s">
        <v>43</v>
      </c>
      <c r="O317">
        <v>45603</v>
      </c>
      <c r="P317" t="s">
        <v>218</v>
      </c>
      <c r="Q317" t="s">
        <v>45</v>
      </c>
      <c r="R317" t="s">
        <v>54</v>
      </c>
      <c r="S317" s="1">
        <v>45474</v>
      </c>
      <c r="T317" s="1">
        <v>45792</v>
      </c>
      <c r="U317" t="s">
        <v>47</v>
      </c>
      <c r="V317">
        <v>1</v>
      </c>
      <c r="W317" s="1">
        <v>45757</v>
      </c>
      <c r="X317" t="s">
        <v>48</v>
      </c>
      <c r="Y317" s="2">
        <v>1</v>
      </c>
      <c r="Z317" s="2">
        <v>1</v>
      </c>
      <c r="AB317" s="3">
        <v>1</v>
      </c>
      <c r="AC317" s="2">
        <v>9</v>
      </c>
      <c r="AG317" s="2">
        <v>0</v>
      </c>
      <c r="AH317" s="2">
        <v>9</v>
      </c>
      <c r="AI317" s="2">
        <v>0</v>
      </c>
      <c r="AK317">
        <v>5370345</v>
      </c>
      <c r="AL317" t="s">
        <v>473</v>
      </c>
    </row>
    <row r="318" spans="1:38" x14ac:dyDescent="0.25">
      <c r="A318" s="1">
        <v>45756</v>
      </c>
      <c r="B318" s="1">
        <v>45756</v>
      </c>
      <c r="C318" t="s">
        <v>146</v>
      </c>
      <c r="D318" t="s">
        <v>39</v>
      </c>
      <c r="E318" t="s">
        <v>40</v>
      </c>
      <c r="F318">
        <v>43677</v>
      </c>
      <c r="H318" t="s">
        <v>41</v>
      </c>
      <c r="I318" s="5" t="s">
        <v>672</v>
      </c>
      <c r="J318" t="s">
        <v>158</v>
      </c>
      <c r="M318" t="s">
        <v>43</v>
      </c>
      <c r="O318">
        <v>43629</v>
      </c>
      <c r="P318" t="s">
        <v>159</v>
      </c>
      <c r="Q318" t="s">
        <v>148</v>
      </c>
      <c r="R318" t="s">
        <v>54</v>
      </c>
      <c r="S318" s="1">
        <v>45748</v>
      </c>
      <c r="U318" t="s">
        <v>47</v>
      </c>
      <c r="X318" t="s">
        <v>48</v>
      </c>
      <c r="Y318" s="2">
        <v>0</v>
      </c>
      <c r="Z318">
        <v>-175</v>
      </c>
      <c r="AA318">
        <v>1</v>
      </c>
      <c r="AB318" s="3">
        <v>1</v>
      </c>
      <c r="AC318">
        <v>-175</v>
      </c>
      <c r="AD318" s="3">
        <v>0</v>
      </c>
      <c r="AE318" s="2">
        <v>0</v>
      </c>
      <c r="AF318" s="2">
        <v>175</v>
      </c>
      <c r="AG318" s="2"/>
      <c r="AJ318" s="2"/>
    </row>
    <row r="319" spans="1:38" x14ac:dyDescent="0.25">
      <c r="A319" s="1">
        <v>45763</v>
      </c>
      <c r="B319" s="1">
        <v>45763</v>
      </c>
      <c r="C319" t="s">
        <v>38</v>
      </c>
      <c r="D319" t="s">
        <v>39</v>
      </c>
      <c r="E319" t="s">
        <v>40</v>
      </c>
      <c r="F319">
        <v>43677</v>
      </c>
      <c r="H319" t="s">
        <v>41</v>
      </c>
      <c r="I319" s="5" t="s">
        <v>683</v>
      </c>
      <c r="J319" t="s">
        <v>158</v>
      </c>
      <c r="M319" t="s">
        <v>43</v>
      </c>
      <c r="O319">
        <v>43629</v>
      </c>
      <c r="P319" t="s">
        <v>159</v>
      </c>
      <c r="Q319" t="s">
        <v>45</v>
      </c>
      <c r="R319" t="s">
        <v>54</v>
      </c>
      <c r="S319" s="1">
        <v>45778</v>
      </c>
      <c r="U319" t="s">
        <v>47</v>
      </c>
      <c r="X319" t="s">
        <v>48</v>
      </c>
      <c r="Y319" s="2">
        <v>0</v>
      </c>
      <c r="Z319" s="2">
        <v>175</v>
      </c>
      <c r="AA319">
        <v>1</v>
      </c>
      <c r="AB319" s="3">
        <v>1</v>
      </c>
      <c r="AC319" s="2">
        <v>175</v>
      </c>
      <c r="AD319" s="3">
        <v>0</v>
      </c>
      <c r="AE319" s="2">
        <v>0</v>
      </c>
      <c r="AF319" s="2">
        <v>175</v>
      </c>
      <c r="AK319">
        <v>5374462</v>
      </c>
    </row>
    <row r="320" spans="1:38" x14ac:dyDescent="0.25">
      <c r="A320" s="1">
        <v>45763</v>
      </c>
      <c r="B320" s="1">
        <v>45762</v>
      </c>
      <c r="C320" t="s">
        <v>252</v>
      </c>
      <c r="D320" t="s">
        <v>39</v>
      </c>
      <c r="E320" t="s">
        <v>40</v>
      </c>
      <c r="F320">
        <v>43677</v>
      </c>
      <c r="H320" t="s">
        <v>41</v>
      </c>
      <c r="I320" s="5" t="s">
        <v>842</v>
      </c>
      <c r="J320" t="s">
        <v>538</v>
      </c>
      <c r="M320" t="s">
        <v>43</v>
      </c>
      <c r="O320">
        <v>45603</v>
      </c>
      <c r="P320" t="s">
        <v>218</v>
      </c>
      <c r="Q320" t="s">
        <v>45</v>
      </c>
      <c r="R320" t="s">
        <v>54</v>
      </c>
      <c r="S320" s="1">
        <v>45566</v>
      </c>
      <c r="T320" s="1">
        <v>45792</v>
      </c>
      <c r="U320" t="s">
        <v>47</v>
      </c>
      <c r="V320">
        <v>1</v>
      </c>
      <c r="W320" s="1">
        <v>45757</v>
      </c>
      <c r="X320" t="s">
        <v>48</v>
      </c>
      <c r="Y320" s="2">
        <v>1</v>
      </c>
      <c r="Z320" s="2">
        <v>1</v>
      </c>
      <c r="AB320" s="3">
        <v>1</v>
      </c>
      <c r="AC320" s="2">
        <v>9</v>
      </c>
      <c r="AG320" s="2">
        <v>0</v>
      </c>
      <c r="AH320" s="2">
        <v>9</v>
      </c>
      <c r="AI320" s="2">
        <v>0</v>
      </c>
      <c r="AK320">
        <v>5370885</v>
      </c>
      <c r="AL320" t="s">
        <v>473</v>
      </c>
    </row>
    <row r="321" spans="1:38" x14ac:dyDescent="0.25">
      <c r="A321" s="1">
        <v>45763</v>
      </c>
      <c r="B321" s="1">
        <v>45762</v>
      </c>
      <c r="C321" t="s">
        <v>252</v>
      </c>
      <c r="D321" t="s">
        <v>39</v>
      </c>
      <c r="E321" t="s">
        <v>40</v>
      </c>
      <c r="F321">
        <v>43677</v>
      </c>
      <c r="H321" t="s">
        <v>41</v>
      </c>
      <c r="I321" s="5" t="s">
        <v>768</v>
      </c>
      <c r="J321" t="s">
        <v>596</v>
      </c>
      <c r="M321" t="s">
        <v>43</v>
      </c>
      <c r="O321">
        <v>43677</v>
      </c>
      <c r="P321" t="s">
        <v>41</v>
      </c>
      <c r="Q321" t="s">
        <v>250</v>
      </c>
      <c r="R321" t="s">
        <v>54</v>
      </c>
      <c r="S321" s="1">
        <v>45444</v>
      </c>
      <c r="T321" s="1">
        <v>45792</v>
      </c>
      <c r="U321" t="s">
        <v>47</v>
      </c>
      <c r="V321">
        <v>1</v>
      </c>
      <c r="W321" s="1">
        <v>45757</v>
      </c>
      <c r="X321" t="s">
        <v>48</v>
      </c>
      <c r="Y321" s="2">
        <v>1</v>
      </c>
      <c r="Z321" s="2">
        <v>1</v>
      </c>
      <c r="AB321" s="3">
        <v>1</v>
      </c>
      <c r="AC321" s="2">
        <v>9</v>
      </c>
      <c r="AG321" s="2">
        <v>0</v>
      </c>
      <c r="AH321" s="2">
        <v>9</v>
      </c>
      <c r="AI321" s="2">
        <v>0</v>
      </c>
      <c r="AK321">
        <v>5370064</v>
      </c>
      <c r="AL321" t="s">
        <v>473</v>
      </c>
    </row>
    <row r="322" spans="1:38" x14ac:dyDescent="0.25">
      <c r="A322" s="1">
        <v>45763</v>
      </c>
      <c r="B322" s="1">
        <v>45762</v>
      </c>
      <c r="C322" t="s">
        <v>252</v>
      </c>
      <c r="D322" t="s">
        <v>39</v>
      </c>
      <c r="E322" t="s">
        <v>40</v>
      </c>
      <c r="F322">
        <v>43677</v>
      </c>
      <c r="H322" t="s">
        <v>41</v>
      </c>
      <c r="I322" s="5" t="s">
        <v>749</v>
      </c>
      <c r="J322" t="s">
        <v>615</v>
      </c>
      <c r="M322" t="s">
        <v>43</v>
      </c>
      <c r="O322">
        <v>45638</v>
      </c>
      <c r="P322" t="s">
        <v>63</v>
      </c>
      <c r="Q322" t="s">
        <v>250</v>
      </c>
      <c r="R322" t="s">
        <v>54</v>
      </c>
      <c r="S322" s="1">
        <v>45566</v>
      </c>
      <c r="T322" s="1">
        <v>45792</v>
      </c>
      <c r="U322" t="s">
        <v>47</v>
      </c>
      <c r="V322">
        <v>1</v>
      </c>
      <c r="W322" s="1">
        <v>45757</v>
      </c>
      <c r="X322" t="s">
        <v>48</v>
      </c>
      <c r="Y322" s="2">
        <v>1</v>
      </c>
      <c r="Z322" s="2">
        <v>1</v>
      </c>
      <c r="AB322" s="3">
        <v>1</v>
      </c>
      <c r="AC322" s="2">
        <v>9</v>
      </c>
      <c r="AG322" s="2">
        <v>0</v>
      </c>
      <c r="AH322" s="2">
        <v>9</v>
      </c>
      <c r="AI322" s="2">
        <v>0</v>
      </c>
      <c r="AK322">
        <v>5357066</v>
      </c>
      <c r="AL322" t="s">
        <v>473</v>
      </c>
    </row>
    <row r="323" spans="1:38" x14ac:dyDescent="0.25">
      <c r="A323" s="1">
        <v>45763</v>
      </c>
      <c r="B323" s="1">
        <v>45762</v>
      </c>
      <c r="C323" t="s">
        <v>252</v>
      </c>
      <c r="D323" t="s">
        <v>39</v>
      </c>
      <c r="E323" t="s">
        <v>40</v>
      </c>
      <c r="F323">
        <v>43677</v>
      </c>
      <c r="H323" t="s">
        <v>41</v>
      </c>
      <c r="I323" s="5" t="s">
        <v>902</v>
      </c>
      <c r="J323" t="s">
        <v>482</v>
      </c>
      <c r="M323" t="s">
        <v>43</v>
      </c>
      <c r="O323">
        <v>43618</v>
      </c>
      <c r="P323" t="s">
        <v>44</v>
      </c>
      <c r="Q323" t="s">
        <v>45</v>
      </c>
      <c r="R323" t="s">
        <v>54</v>
      </c>
      <c r="S323" s="1">
        <v>45627</v>
      </c>
      <c r="T323" s="1">
        <v>45792</v>
      </c>
      <c r="U323" t="s">
        <v>47</v>
      </c>
      <c r="V323">
        <v>1</v>
      </c>
      <c r="W323" s="1">
        <v>45757</v>
      </c>
      <c r="X323" t="s">
        <v>48</v>
      </c>
      <c r="Y323" s="2">
        <v>1</v>
      </c>
      <c r="Z323" s="2">
        <v>1</v>
      </c>
      <c r="AB323" s="3">
        <v>1</v>
      </c>
      <c r="AC323" s="2">
        <v>9</v>
      </c>
      <c r="AG323" s="2">
        <v>0</v>
      </c>
      <c r="AH323" s="2">
        <v>9</v>
      </c>
      <c r="AI323" s="2">
        <v>0</v>
      </c>
      <c r="AK323">
        <v>5371389</v>
      </c>
      <c r="AL323" t="s">
        <v>473</v>
      </c>
    </row>
    <row r="324" spans="1:38" x14ac:dyDescent="0.25">
      <c r="A324" s="1">
        <v>45763</v>
      </c>
      <c r="B324" s="1">
        <v>45762</v>
      </c>
      <c r="C324" t="s">
        <v>252</v>
      </c>
      <c r="D324" t="s">
        <v>39</v>
      </c>
      <c r="E324" t="s">
        <v>40</v>
      </c>
      <c r="F324">
        <v>43677</v>
      </c>
      <c r="H324" t="s">
        <v>41</v>
      </c>
      <c r="I324" s="5" t="s">
        <v>882</v>
      </c>
      <c r="J324" t="s">
        <v>502</v>
      </c>
      <c r="M324" t="s">
        <v>43</v>
      </c>
      <c r="O324">
        <v>45613</v>
      </c>
      <c r="P324" t="s">
        <v>65</v>
      </c>
      <c r="Q324" t="s">
        <v>45</v>
      </c>
      <c r="R324" t="s">
        <v>54</v>
      </c>
      <c r="S324" s="1">
        <v>45597</v>
      </c>
      <c r="T324" s="1">
        <v>45792</v>
      </c>
      <c r="U324" t="s">
        <v>47</v>
      </c>
      <c r="V324">
        <v>1</v>
      </c>
      <c r="W324" s="1">
        <v>45757</v>
      </c>
      <c r="X324" t="s">
        <v>48</v>
      </c>
      <c r="Y324" s="2">
        <v>1</v>
      </c>
      <c r="Z324" s="2">
        <v>1</v>
      </c>
      <c r="AB324" s="3">
        <v>1</v>
      </c>
      <c r="AC324" s="2">
        <v>9</v>
      </c>
      <c r="AG324" s="2">
        <v>0</v>
      </c>
      <c r="AH324" s="2">
        <v>9</v>
      </c>
      <c r="AI324" s="2">
        <v>0</v>
      </c>
      <c r="AK324">
        <v>5371159</v>
      </c>
      <c r="AL324" t="s">
        <v>473</v>
      </c>
    </row>
    <row r="325" spans="1:38" x14ac:dyDescent="0.25">
      <c r="A325" s="1">
        <v>45763</v>
      </c>
      <c r="B325" s="1">
        <v>45762</v>
      </c>
      <c r="C325" t="s">
        <v>252</v>
      </c>
      <c r="D325" t="s">
        <v>39</v>
      </c>
      <c r="E325" t="s">
        <v>40</v>
      </c>
      <c r="F325">
        <v>43677</v>
      </c>
      <c r="H325" t="s">
        <v>41</v>
      </c>
      <c r="I325" s="5" t="s">
        <v>765</v>
      </c>
      <c r="J325" t="s">
        <v>600</v>
      </c>
      <c r="M325" t="s">
        <v>43</v>
      </c>
      <c r="O325">
        <v>45609</v>
      </c>
      <c r="P325" t="s">
        <v>598</v>
      </c>
      <c r="Q325" t="s">
        <v>250</v>
      </c>
      <c r="R325" t="s">
        <v>54</v>
      </c>
      <c r="S325" s="1">
        <v>45474</v>
      </c>
      <c r="T325" s="1">
        <v>45792</v>
      </c>
      <c r="U325" t="s">
        <v>47</v>
      </c>
      <c r="V325">
        <v>1</v>
      </c>
      <c r="W325" s="1">
        <v>45757</v>
      </c>
      <c r="X325" t="s">
        <v>48</v>
      </c>
      <c r="Y325" s="2">
        <v>1</v>
      </c>
      <c r="Z325" s="2">
        <v>1</v>
      </c>
      <c r="AB325" s="3">
        <v>1</v>
      </c>
      <c r="AC325" s="2">
        <v>9</v>
      </c>
      <c r="AG325" s="2">
        <v>0</v>
      </c>
      <c r="AH325" s="2">
        <v>9</v>
      </c>
      <c r="AI325" s="2">
        <v>0</v>
      </c>
      <c r="AK325">
        <v>5369993</v>
      </c>
      <c r="AL325" t="s">
        <v>473</v>
      </c>
    </row>
    <row r="326" spans="1:38" x14ac:dyDescent="0.25">
      <c r="A326" s="1">
        <v>45763</v>
      </c>
      <c r="B326" s="1">
        <v>45762</v>
      </c>
      <c r="C326" t="s">
        <v>252</v>
      </c>
      <c r="D326" t="s">
        <v>39</v>
      </c>
      <c r="E326" t="s">
        <v>40</v>
      </c>
      <c r="F326">
        <v>43677</v>
      </c>
      <c r="H326" t="s">
        <v>41</v>
      </c>
      <c r="I326" s="5" t="s">
        <v>853</v>
      </c>
      <c r="J326" t="s">
        <v>527</v>
      </c>
      <c r="M326" t="s">
        <v>43</v>
      </c>
      <c r="O326">
        <v>45611</v>
      </c>
      <c r="P326" t="s">
        <v>68</v>
      </c>
      <c r="Q326" t="s">
        <v>45</v>
      </c>
      <c r="R326" t="s">
        <v>54</v>
      </c>
      <c r="S326" s="1">
        <v>45566</v>
      </c>
      <c r="T326" s="1">
        <v>45792</v>
      </c>
      <c r="U326" t="s">
        <v>47</v>
      </c>
      <c r="V326">
        <v>1</v>
      </c>
      <c r="W326" s="1">
        <v>45757</v>
      </c>
      <c r="X326" t="s">
        <v>48</v>
      </c>
      <c r="Y326" s="2">
        <v>1</v>
      </c>
      <c r="Z326" s="2">
        <v>1</v>
      </c>
      <c r="AB326" s="3">
        <v>1</v>
      </c>
      <c r="AC326" s="2">
        <v>9</v>
      </c>
      <c r="AG326" s="2">
        <v>0</v>
      </c>
      <c r="AH326" s="2">
        <v>9</v>
      </c>
      <c r="AI326" s="2">
        <v>0</v>
      </c>
      <c r="AK326">
        <v>5371010</v>
      </c>
      <c r="AL326" t="s">
        <v>473</v>
      </c>
    </row>
    <row r="327" spans="1:38" x14ac:dyDescent="0.25">
      <c r="A327" s="1">
        <v>45763</v>
      </c>
      <c r="B327" s="1">
        <v>45763</v>
      </c>
      <c r="C327" t="s">
        <v>38</v>
      </c>
      <c r="D327" t="s">
        <v>39</v>
      </c>
      <c r="E327" t="s">
        <v>40</v>
      </c>
      <c r="F327">
        <v>43677</v>
      </c>
      <c r="H327" t="s">
        <v>41</v>
      </c>
      <c r="I327" s="5" t="s">
        <v>692</v>
      </c>
      <c r="J327" t="s">
        <v>235</v>
      </c>
      <c r="M327" t="s">
        <v>43</v>
      </c>
      <c r="O327">
        <v>45607</v>
      </c>
      <c r="P327" t="s">
        <v>161</v>
      </c>
      <c r="Q327" t="s">
        <v>45</v>
      </c>
      <c r="R327" t="s">
        <v>54</v>
      </c>
      <c r="S327" s="1">
        <v>45748</v>
      </c>
      <c r="U327" t="s">
        <v>47</v>
      </c>
      <c r="X327" t="s">
        <v>48</v>
      </c>
      <c r="Y327" s="2">
        <v>0</v>
      </c>
      <c r="Z327" s="2">
        <v>175</v>
      </c>
      <c r="AA327">
        <v>1</v>
      </c>
      <c r="AB327" s="3">
        <v>1</v>
      </c>
      <c r="AC327" s="2">
        <v>175</v>
      </c>
      <c r="AD327" s="3">
        <v>0</v>
      </c>
      <c r="AE327" s="2">
        <v>0</v>
      </c>
      <c r="AF327" s="2">
        <v>175</v>
      </c>
      <c r="AK327">
        <v>5374500</v>
      </c>
    </row>
    <row r="328" spans="1:38" x14ac:dyDescent="0.25">
      <c r="A328" s="1">
        <v>45763</v>
      </c>
      <c r="B328" s="1">
        <v>45762</v>
      </c>
      <c r="C328" t="s">
        <v>252</v>
      </c>
      <c r="D328" t="s">
        <v>39</v>
      </c>
      <c r="E328" t="s">
        <v>40</v>
      </c>
      <c r="F328">
        <v>43677</v>
      </c>
      <c r="H328" t="s">
        <v>41</v>
      </c>
      <c r="I328" s="5" t="s">
        <v>827</v>
      </c>
      <c r="J328" t="s">
        <v>548</v>
      </c>
      <c r="M328" t="s">
        <v>43</v>
      </c>
      <c r="O328">
        <v>45621</v>
      </c>
      <c r="P328" t="s">
        <v>177</v>
      </c>
      <c r="Q328" t="s">
        <v>250</v>
      </c>
      <c r="R328" t="s">
        <v>54</v>
      </c>
      <c r="S328" s="1">
        <v>45536</v>
      </c>
      <c r="T328" s="1">
        <v>45792</v>
      </c>
      <c r="U328" t="s">
        <v>47</v>
      </c>
      <c r="V328">
        <v>1</v>
      </c>
      <c r="W328" s="1">
        <v>45757</v>
      </c>
      <c r="X328" t="s">
        <v>48</v>
      </c>
      <c r="Y328" s="2">
        <v>1</v>
      </c>
      <c r="Z328" s="2">
        <v>1</v>
      </c>
      <c r="AB328" s="3">
        <v>1</v>
      </c>
      <c r="AC328" s="2">
        <v>9</v>
      </c>
      <c r="AG328" s="2">
        <v>0</v>
      </c>
      <c r="AH328" s="2">
        <v>9</v>
      </c>
      <c r="AI328" s="2">
        <v>0</v>
      </c>
      <c r="AK328">
        <v>5370806</v>
      </c>
      <c r="AL328" t="s">
        <v>473</v>
      </c>
    </row>
    <row r="329" spans="1:38" x14ac:dyDescent="0.25">
      <c r="A329" s="1">
        <v>45763</v>
      </c>
      <c r="B329" s="1">
        <v>45762</v>
      </c>
      <c r="C329" t="s">
        <v>252</v>
      </c>
      <c r="D329" t="s">
        <v>39</v>
      </c>
      <c r="E329" t="s">
        <v>40</v>
      </c>
      <c r="F329">
        <v>43677</v>
      </c>
      <c r="H329" t="s">
        <v>41</v>
      </c>
      <c r="I329" s="5" t="s">
        <v>850</v>
      </c>
      <c r="J329" t="s">
        <v>530</v>
      </c>
      <c r="M329" t="s">
        <v>43</v>
      </c>
      <c r="O329">
        <v>43682</v>
      </c>
      <c r="P329" t="s">
        <v>118</v>
      </c>
      <c r="Q329" t="s">
        <v>45</v>
      </c>
      <c r="R329" t="s">
        <v>54</v>
      </c>
      <c r="S329" s="1">
        <v>45627</v>
      </c>
      <c r="T329" s="1">
        <v>45792</v>
      </c>
      <c r="U329" t="s">
        <v>47</v>
      </c>
      <c r="V329">
        <v>1</v>
      </c>
      <c r="W329" s="1">
        <v>45757</v>
      </c>
      <c r="X329" t="s">
        <v>48</v>
      </c>
      <c r="Y329" s="2">
        <v>1</v>
      </c>
      <c r="Z329" s="2">
        <v>1</v>
      </c>
      <c r="AB329" s="3">
        <v>1</v>
      </c>
      <c r="AC329" s="2">
        <v>9</v>
      </c>
      <c r="AG329" s="2">
        <v>0</v>
      </c>
      <c r="AH329" s="2">
        <v>9</v>
      </c>
      <c r="AI329" s="2">
        <v>0</v>
      </c>
      <c r="AK329">
        <v>5371000</v>
      </c>
      <c r="AL329" t="s">
        <v>473</v>
      </c>
    </row>
    <row r="330" spans="1:38" x14ac:dyDescent="0.25">
      <c r="A330" s="1">
        <v>45763</v>
      </c>
      <c r="B330" s="1">
        <v>45762</v>
      </c>
      <c r="C330" t="s">
        <v>252</v>
      </c>
      <c r="D330" t="s">
        <v>39</v>
      </c>
      <c r="E330" t="s">
        <v>40</v>
      </c>
      <c r="F330">
        <v>43677</v>
      </c>
      <c r="H330" t="s">
        <v>41</v>
      </c>
      <c r="I330" s="5" t="s">
        <v>799</v>
      </c>
      <c r="J330" t="s">
        <v>574</v>
      </c>
      <c r="M330" t="s">
        <v>43</v>
      </c>
      <c r="O330">
        <v>45605</v>
      </c>
      <c r="P330" t="s">
        <v>50</v>
      </c>
      <c r="Q330" t="s">
        <v>250</v>
      </c>
      <c r="R330" t="s">
        <v>54</v>
      </c>
      <c r="S330" s="1">
        <v>45474</v>
      </c>
      <c r="T330" s="1">
        <v>45792</v>
      </c>
      <c r="U330" t="s">
        <v>47</v>
      </c>
      <c r="V330">
        <v>1</v>
      </c>
      <c r="W330" s="1">
        <v>45757</v>
      </c>
      <c r="X330" t="s">
        <v>48</v>
      </c>
      <c r="Y330" s="2">
        <v>1</v>
      </c>
      <c r="Z330" s="2">
        <v>1</v>
      </c>
      <c r="AB330" s="3">
        <v>1</v>
      </c>
      <c r="AC330" s="2">
        <v>9</v>
      </c>
      <c r="AG330" s="2">
        <v>0</v>
      </c>
      <c r="AH330" s="2">
        <v>9</v>
      </c>
      <c r="AI330" s="2">
        <v>0</v>
      </c>
      <c r="AK330">
        <v>5370416</v>
      </c>
      <c r="AL330" t="s">
        <v>473</v>
      </c>
    </row>
    <row r="331" spans="1:38" x14ac:dyDescent="0.25">
      <c r="A331" s="1">
        <v>45763</v>
      </c>
      <c r="B331" s="1">
        <v>45762</v>
      </c>
      <c r="C331" t="s">
        <v>252</v>
      </c>
      <c r="D331" t="s">
        <v>39</v>
      </c>
      <c r="E331" t="s">
        <v>40</v>
      </c>
      <c r="F331">
        <v>43677</v>
      </c>
      <c r="H331" t="s">
        <v>41</v>
      </c>
      <c r="I331" s="5" t="s">
        <v>753</v>
      </c>
      <c r="J331" t="s">
        <v>611</v>
      </c>
      <c r="M331" t="s">
        <v>43</v>
      </c>
      <c r="O331">
        <v>43618</v>
      </c>
      <c r="P331" t="s">
        <v>44</v>
      </c>
      <c r="Q331" t="s">
        <v>45</v>
      </c>
      <c r="R331" t="s">
        <v>54</v>
      </c>
      <c r="S331" s="1">
        <v>45627</v>
      </c>
      <c r="T331" s="1">
        <v>45792</v>
      </c>
      <c r="U331" t="s">
        <v>47</v>
      </c>
      <c r="V331">
        <v>1</v>
      </c>
      <c r="W331" s="1">
        <v>45757</v>
      </c>
      <c r="X331" t="s">
        <v>48</v>
      </c>
      <c r="Y331" s="2">
        <v>1</v>
      </c>
      <c r="Z331" s="2">
        <v>1</v>
      </c>
      <c r="AB331" s="3">
        <v>1</v>
      </c>
      <c r="AC331" s="2">
        <v>9</v>
      </c>
      <c r="AG331" s="2">
        <v>0</v>
      </c>
      <c r="AH331" s="2">
        <v>9</v>
      </c>
      <c r="AI331" s="2">
        <v>0</v>
      </c>
      <c r="AK331">
        <v>5362844</v>
      </c>
      <c r="AL331" t="s">
        <v>473</v>
      </c>
    </row>
    <row r="332" spans="1:38" x14ac:dyDescent="0.25">
      <c r="A332" s="1">
        <v>45763</v>
      </c>
      <c r="B332" s="1">
        <v>45763</v>
      </c>
      <c r="C332" t="s">
        <v>146</v>
      </c>
      <c r="D332" t="s">
        <v>39</v>
      </c>
      <c r="E332" t="s">
        <v>40</v>
      </c>
      <c r="F332">
        <v>43677</v>
      </c>
      <c r="H332" t="s">
        <v>41</v>
      </c>
      <c r="I332" s="5" t="s">
        <v>720</v>
      </c>
      <c r="J332" t="s">
        <v>184</v>
      </c>
      <c r="M332" t="s">
        <v>43</v>
      </c>
      <c r="O332">
        <v>45605</v>
      </c>
      <c r="P332" t="s">
        <v>50</v>
      </c>
      <c r="Q332" t="s">
        <v>148</v>
      </c>
      <c r="R332" t="s">
        <v>54</v>
      </c>
      <c r="S332" s="1">
        <v>45658</v>
      </c>
      <c r="U332" t="s">
        <v>47</v>
      </c>
      <c r="X332" t="s">
        <v>48</v>
      </c>
      <c r="Y332" s="2">
        <v>0</v>
      </c>
      <c r="Z332">
        <v>-175</v>
      </c>
      <c r="AA332">
        <v>1</v>
      </c>
      <c r="AB332" s="3">
        <v>1</v>
      </c>
      <c r="AC332">
        <v>-175</v>
      </c>
      <c r="AD332" s="3">
        <v>0</v>
      </c>
      <c r="AE332" s="2">
        <v>0</v>
      </c>
      <c r="AF332" s="2">
        <v>175</v>
      </c>
      <c r="AG332" s="2"/>
      <c r="AJ332" s="2"/>
    </row>
    <row r="333" spans="1:38" x14ac:dyDescent="0.25">
      <c r="A333" s="1">
        <v>45756</v>
      </c>
      <c r="B333" s="1">
        <v>45756</v>
      </c>
      <c r="C333" t="s">
        <v>146</v>
      </c>
      <c r="D333" t="s">
        <v>39</v>
      </c>
      <c r="E333" t="s">
        <v>40</v>
      </c>
      <c r="F333">
        <v>43677</v>
      </c>
      <c r="H333" t="s">
        <v>41</v>
      </c>
      <c r="I333" s="5" t="s">
        <v>668</v>
      </c>
      <c r="J333" t="s">
        <v>64</v>
      </c>
      <c r="M333" t="s">
        <v>43</v>
      </c>
      <c r="O333">
        <v>45613</v>
      </c>
      <c r="P333" t="s">
        <v>65</v>
      </c>
      <c r="Q333" t="s">
        <v>148</v>
      </c>
      <c r="R333" t="s">
        <v>54</v>
      </c>
      <c r="S333" s="1">
        <v>45658</v>
      </c>
      <c r="U333" t="s">
        <v>47</v>
      </c>
      <c r="X333" t="s">
        <v>48</v>
      </c>
      <c r="Y333" s="2">
        <v>0</v>
      </c>
      <c r="Z333">
        <v>-131.25</v>
      </c>
      <c r="AA333">
        <v>1</v>
      </c>
      <c r="AB333" s="3">
        <v>1</v>
      </c>
      <c r="AC333">
        <v>-131.25</v>
      </c>
      <c r="AD333" s="3">
        <v>0</v>
      </c>
      <c r="AE333" s="2">
        <v>0</v>
      </c>
      <c r="AF333" s="2">
        <v>175</v>
      </c>
      <c r="AG333" s="2"/>
      <c r="AJ333" s="2"/>
    </row>
    <row r="334" spans="1:38" x14ac:dyDescent="0.25">
      <c r="A334" s="1">
        <v>45763</v>
      </c>
      <c r="B334" s="1">
        <v>45763</v>
      </c>
      <c r="C334" t="s">
        <v>38</v>
      </c>
      <c r="D334" t="s">
        <v>39</v>
      </c>
      <c r="E334" t="s">
        <v>40</v>
      </c>
      <c r="F334">
        <v>43677</v>
      </c>
      <c r="H334" t="s">
        <v>41</v>
      </c>
      <c r="I334" s="5" t="s">
        <v>687</v>
      </c>
      <c r="J334" t="s">
        <v>240</v>
      </c>
      <c r="M334" t="s">
        <v>43</v>
      </c>
      <c r="O334">
        <v>45612</v>
      </c>
      <c r="P334" t="s">
        <v>99</v>
      </c>
      <c r="Q334" t="s">
        <v>45</v>
      </c>
      <c r="R334" t="s">
        <v>54</v>
      </c>
      <c r="S334" s="1">
        <v>45748</v>
      </c>
      <c r="U334" t="s">
        <v>47</v>
      </c>
      <c r="X334" t="s">
        <v>48</v>
      </c>
      <c r="Y334" s="2">
        <v>0</v>
      </c>
      <c r="Z334" s="2">
        <v>175</v>
      </c>
      <c r="AA334">
        <v>1</v>
      </c>
      <c r="AB334" s="3">
        <v>1</v>
      </c>
      <c r="AC334" s="2">
        <v>175</v>
      </c>
      <c r="AD334" s="3">
        <v>0</v>
      </c>
      <c r="AE334" s="2">
        <v>0</v>
      </c>
      <c r="AF334" s="2">
        <v>175</v>
      </c>
      <c r="AK334">
        <v>5374488</v>
      </c>
    </row>
    <row r="335" spans="1:38" x14ac:dyDescent="0.25">
      <c r="A335" s="1">
        <v>45763</v>
      </c>
      <c r="B335" s="1">
        <v>45762</v>
      </c>
      <c r="C335" t="s">
        <v>252</v>
      </c>
      <c r="D335" t="s">
        <v>39</v>
      </c>
      <c r="E335" t="s">
        <v>40</v>
      </c>
      <c r="F335">
        <v>43677</v>
      </c>
      <c r="H335" t="s">
        <v>41</v>
      </c>
      <c r="I335" s="5" t="s">
        <v>894</v>
      </c>
      <c r="J335" t="s">
        <v>490</v>
      </c>
      <c r="M335" t="s">
        <v>43</v>
      </c>
      <c r="O335">
        <v>45613</v>
      </c>
      <c r="P335" t="s">
        <v>65</v>
      </c>
      <c r="Q335" t="s">
        <v>45</v>
      </c>
      <c r="R335" t="s">
        <v>54</v>
      </c>
      <c r="S335" s="1">
        <v>45627</v>
      </c>
      <c r="T335" s="1">
        <v>45792</v>
      </c>
      <c r="U335" t="s">
        <v>47</v>
      </c>
      <c r="V335">
        <v>1</v>
      </c>
      <c r="W335" s="1">
        <v>45757</v>
      </c>
      <c r="X335" t="s">
        <v>48</v>
      </c>
      <c r="Y335" s="2">
        <v>1</v>
      </c>
      <c r="Z335" s="2">
        <v>1</v>
      </c>
      <c r="AB335" s="3">
        <v>1</v>
      </c>
      <c r="AC335" s="2">
        <v>9</v>
      </c>
      <c r="AG335" s="2">
        <v>0</v>
      </c>
      <c r="AH335" s="2">
        <v>9</v>
      </c>
      <c r="AI335" s="2">
        <v>0</v>
      </c>
      <c r="AK335">
        <v>5371295</v>
      </c>
      <c r="AL335" t="s">
        <v>473</v>
      </c>
    </row>
    <row r="336" spans="1:38" x14ac:dyDescent="0.25">
      <c r="A336" s="1">
        <v>45763</v>
      </c>
      <c r="B336" s="1">
        <v>45763</v>
      </c>
      <c r="C336" t="s">
        <v>38</v>
      </c>
      <c r="D336" t="s">
        <v>39</v>
      </c>
      <c r="E336" t="s">
        <v>40</v>
      </c>
      <c r="F336">
        <v>43677</v>
      </c>
      <c r="H336" t="s">
        <v>41</v>
      </c>
      <c r="I336" s="5" t="s">
        <v>682</v>
      </c>
      <c r="J336" t="s">
        <v>245</v>
      </c>
      <c r="M336" t="s">
        <v>89</v>
      </c>
      <c r="O336">
        <v>43714</v>
      </c>
      <c r="P336" t="s">
        <v>244</v>
      </c>
      <c r="Q336" t="s">
        <v>45</v>
      </c>
      <c r="R336" t="s">
        <v>54</v>
      </c>
      <c r="S336" s="1">
        <v>45748</v>
      </c>
      <c r="U336" t="s">
        <v>47</v>
      </c>
      <c r="X336" t="s">
        <v>48</v>
      </c>
      <c r="Y336" s="2">
        <v>0</v>
      </c>
      <c r="Z336" s="2">
        <v>175</v>
      </c>
      <c r="AA336">
        <v>1</v>
      </c>
      <c r="AB336" s="3">
        <v>1</v>
      </c>
      <c r="AC336" s="2">
        <v>175</v>
      </c>
      <c r="AD336" s="3">
        <v>0</v>
      </c>
      <c r="AE336" s="2">
        <v>0</v>
      </c>
      <c r="AF336" s="2">
        <v>175</v>
      </c>
      <c r="AK336">
        <v>5374434</v>
      </c>
    </row>
    <row r="337" spans="1:38" x14ac:dyDescent="0.25">
      <c r="A337" s="1">
        <v>45763</v>
      </c>
      <c r="B337" s="1">
        <v>45762</v>
      </c>
      <c r="C337" t="s">
        <v>252</v>
      </c>
      <c r="D337" t="s">
        <v>39</v>
      </c>
      <c r="E337" t="s">
        <v>40</v>
      </c>
      <c r="F337">
        <v>43677</v>
      </c>
      <c r="H337" t="s">
        <v>41</v>
      </c>
      <c r="I337" s="5" t="s">
        <v>876</v>
      </c>
      <c r="J337" t="s">
        <v>508</v>
      </c>
      <c r="M337" t="s">
        <v>43</v>
      </c>
      <c r="O337">
        <v>43682</v>
      </c>
      <c r="P337" t="s">
        <v>118</v>
      </c>
      <c r="Q337" t="s">
        <v>45</v>
      </c>
      <c r="R337" t="s">
        <v>54</v>
      </c>
      <c r="S337" s="1">
        <v>45597</v>
      </c>
      <c r="T337" s="1">
        <v>45792</v>
      </c>
      <c r="U337" t="s">
        <v>47</v>
      </c>
      <c r="V337">
        <v>-1</v>
      </c>
      <c r="W337" s="1">
        <v>45757</v>
      </c>
      <c r="X337" t="s">
        <v>48</v>
      </c>
      <c r="Y337" s="2">
        <v>-1</v>
      </c>
      <c r="Z337" s="2">
        <v>-1</v>
      </c>
      <c r="AB337" s="3">
        <v>1</v>
      </c>
      <c r="AC337" s="2">
        <v>-9</v>
      </c>
      <c r="AG337" s="2">
        <v>0</v>
      </c>
      <c r="AH337" s="2">
        <v>-9</v>
      </c>
      <c r="AI337" s="2">
        <v>0</v>
      </c>
      <c r="AK337">
        <v>5371121</v>
      </c>
      <c r="AL337" t="s">
        <v>473</v>
      </c>
    </row>
    <row r="338" spans="1:38" x14ac:dyDescent="0.25">
      <c r="A338" s="1">
        <v>45763</v>
      </c>
      <c r="B338" s="1">
        <v>45762</v>
      </c>
      <c r="C338" t="s">
        <v>252</v>
      </c>
      <c r="D338" t="s">
        <v>39</v>
      </c>
      <c r="E338" t="s">
        <v>40</v>
      </c>
      <c r="F338">
        <v>43677</v>
      </c>
      <c r="H338" t="s">
        <v>41</v>
      </c>
      <c r="I338" s="5" t="s">
        <v>811</v>
      </c>
      <c r="J338" t="s">
        <v>563</v>
      </c>
      <c r="M338" t="s">
        <v>43</v>
      </c>
      <c r="O338">
        <v>45612</v>
      </c>
      <c r="P338" t="s">
        <v>99</v>
      </c>
      <c r="Q338" t="s">
        <v>250</v>
      </c>
      <c r="R338" t="s">
        <v>54</v>
      </c>
      <c r="S338" s="1">
        <v>45505</v>
      </c>
      <c r="T338" s="1">
        <v>45792</v>
      </c>
      <c r="U338" t="s">
        <v>47</v>
      </c>
      <c r="V338">
        <v>1</v>
      </c>
      <c r="W338" s="1">
        <v>45757</v>
      </c>
      <c r="X338" t="s">
        <v>48</v>
      </c>
      <c r="Y338" s="2">
        <v>1</v>
      </c>
      <c r="Z338" s="2">
        <v>1</v>
      </c>
      <c r="AB338" s="3">
        <v>1</v>
      </c>
      <c r="AC338" s="2">
        <v>9</v>
      </c>
      <c r="AG338" s="2">
        <v>0</v>
      </c>
      <c r="AH338" s="2">
        <v>9</v>
      </c>
      <c r="AI338" s="2">
        <v>0</v>
      </c>
      <c r="AK338">
        <v>5370525</v>
      </c>
      <c r="AL338" t="s">
        <v>473</v>
      </c>
    </row>
    <row r="339" spans="1:38" x14ac:dyDescent="0.25">
      <c r="A339" s="1">
        <v>45763</v>
      </c>
      <c r="B339" s="1">
        <v>45762</v>
      </c>
      <c r="C339" t="s">
        <v>252</v>
      </c>
      <c r="D339" t="s">
        <v>39</v>
      </c>
      <c r="E339" t="s">
        <v>40</v>
      </c>
      <c r="F339">
        <v>43677</v>
      </c>
      <c r="H339" t="s">
        <v>41</v>
      </c>
      <c r="I339" s="5" t="s">
        <v>860</v>
      </c>
      <c r="J339" t="s">
        <v>520</v>
      </c>
      <c r="M339" t="s">
        <v>43</v>
      </c>
      <c r="O339">
        <v>45612</v>
      </c>
      <c r="P339" t="s">
        <v>99</v>
      </c>
      <c r="Q339" t="s">
        <v>45</v>
      </c>
      <c r="R339" t="s">
        <v>54</v>
      </c>
      <c r="S339" s="1">
        <v>45566</v>
      </c>
      <c r="T339" s="1">
        <v>45792</v>
      </c>
      <c r="U339" t="s">
        <v>47</v>
      </c>
      <c r="V339">
        <v>1</v>
      </c>
      <c r="W339" s="1">
        <v>45757</v>
      </c>
      <c r="X339" t="s">
        <v>48</v>
      </c>
      <c r="Y339" s="2">
        <v>1</v>
      </c>
      <c r="Z339" s="2">
        <v>1</v>
      </c>
      <c r="AB339" s="3">
        <v>1</v>
      </c>
      <c r="AC339" s="2">
        <v>9</v>
      </c>
      <c r="AG339" s="2">
        <v>0</v>
      </c>
      <c r="AH339" s="2">
        <v>9</v>
      </c>
      <c r="AI339" s="2">
        <v>0</v>
      </c>
      <c r="AK339">
        <v>5371048</v>
      </c>
      <c r="AL339" t="s">
        <v>473</v>
      </c>
    </row>
    <row r="340" spans="1:38" x14ac:dyDescent="0.25">
      <c r="A340" s="1">
        <v>45763</v>
      </c>
      <c r="B340" s="1">
        <v>45762</v>
      </c>
      <c r="C340" t="s">
        <v>252</v>
      </c>
      <c r="D340" t="s">
        <v>39</v>
      </c>
      <c r="E340" t="s">
        <v>40</v>
      </c>
      <c r="F340">
        <v>43677</v>
      </c>
      <c r="H340" t="s">
        <v>41</v>
      </c>
      <c r="I340" s="5" t="s">
        <v>818</v>
      </c>
      <c r="J340" t="s">
        <v>555</v>
      </c>
      <c r="M340" t="s">
        <v>43</v>
      </c>
      <c r="O340">
        <v>45622</v>
      </c>
      <c r="P340" t="s">
        <v>198</v>
      </c>
      <c r="Q340" t="s">
        <v>250</v>
      </c>
      <c r="R340" t="s">
        <v>54</v>
      </c>
      <c r="S340" s="1">
        <v>45505</v>
      </c>
      <c r="T340" s="1">
        <v>45792</v>
      </c>
      <c r="U340" t="s">
        <v>47</v>
      </c>
      <c r="V340">
        <v>1</v>
      </c>
      <c r="W340" s="1">
        <v>45757</v>
      </c>
      <c r="X340" t="s">
        <v>48</v>
      </c>
      <c r="Y340" s="2">
        <v>1</v>
      </c>
      <c r="Z340" s="2">
        <v>1</v>
      </c>
      <c r="AB340" s="3">
        <v>1</v>
      </c>
      <c r="AC340" s="2">
        <v>9</v>
      </c>
      <c r="AG340" s="2">
        <v>0</v>
      </c>
      <c r="AH340" s="2">
        <v>9</v>
      </c>
      <c r="AI340" s="2">
        <v>0</v>
      </c>
      <c r="AK340">
        <v>5370644</v>
      </c>
      <c r="AL340" t="s">
        <v>473</v>
      </c>
    </row>
    <row r="341" spans="1:38" x14ac:dyDescent="0.25">
      <c r="A341" s="1">
        <v>45763</v>
      </c>
      <c r="B341" s="1">
        <v>45762</v>
      </c>
      <c r="C341" t="s">
        <v>252</v>
      </c>
      <c r="D341" t="s">
        <v>39</v>
      </c>
      <c r="E341" t="s">
        <v>40</v>
      </c>
      <c r="F341">
        <v>43677</v>
      </c>
      <c r="H341" t="s">
        <v>41</v>
      </c>
      <c r="I341" s="5" t="s">
        <v>905</v>
      </c>
      <c r="J341" t="s">
        <v>479</v>
      </c>
      <c r="M341" t="s">
        <v>43</v>
      </c>
      <c r="O341">
        <v>45613</v>
      </c>
      <c r="P341" t="s">
        <v>65</v>
      </c>
      <c r="Q341" t="s">
        <v>45</v>
      </c>
      <c r="R341" t="s">
        <v>54</v>
      </c>
      <c r="S341" s="1">
        <v>45627</v>
      </c>
      <c r="T341" s="1">
        <v>45792</v>
      </c>
      <c r="U341" t="s">
        <v>47</v>
      </c>
      <c r="V341">
        <v>1</v>
      </c>
      <c r="W341" s="1">
        <v>45757</v>
      </c>
      <c r="X341" t="s">
        <v>48</v>
      </c>
      <c r="Y341" s="2">
        <v>1</v>
      </c>
      <c r="Z341" s="2">
        <v>1</v>
      </c>
      <c r="AB341" s="3">
        <v>1</v>
      </c>
      <c r="AC341" s="2">
        <v>9</v>
      </c>
      <c r="AG341" s="2">
        <v>0</v>
      </c>
      <c r="AH341" s="2">
        <v>9</v>
      </c>
      <c r="AI341" s="2">
        <v>0</v>
      </c>
      <c r="AK341">
        <v>5371401</v>
      </c>
      <c r="AL341" t="s">
        <v>473</v>
      </c>
    </row>
    <row r="342" spans="1:38" x14ac:dyDescent="0.25">
      <c r="A342" s="1">
        <v>45756</v>
      </c>
      <c r="B342" s="1">
        <v>45756</v>
      </c>
      <c r="C342" t="s">
        <v>38</v>
      </c>
      <c r="D342" t="s">
        <v>39</v>
      </c>
      <c r="E342" t="s">
        <v>40</v>
      </c>
      <c r="F342">
        <v>43677</v>
      </c>
      <c r="H342" t="s">
        <v>41</v>
      </c>
      <c r="I342" s="5" t="s">
        <v>634</v>
      </c>
      <c r="J342" t="s">
        <v>71</v>
      </c>
      <c r="M342" t="s">
        <v>43</v>
      </c>
      <c r="O342">
        <v>43637</v>
      </c>
      <c r="P342" t="s">
        <v>72</v>
      </c>
      <c r="Q342" t="s">
        <v>45</v>
      </c>
      <c r="R342" t="s">
        <v>54</v>
      </c>
      <c r="S342" s="1">
        <v>45748</v>
      </c>
      <c r="U342" t="s">
        <v>47</v>
      </c>
      <c r="X342" t="s">
        <v>48</v>
      </c>
      <c r="Y342" s="2">
        <v>0</v>
      </c>
      <c r="Z342" s="2">
        <v>175</v>
      </c>
      <c r="AA342">
        <v>1</v>
      </c>
      <c r="AB342" s="3">
        <v>1</v>
      </c>
      <c r="AC342" s="2">
        <v>175</v>
      </c>
      <c r="AD342" s="3">
        <v>0</v>
      </c>
      <c r="AE342" s="2">
        <v>0</v>
      </c>
      <c r="AF342" s="2">
        <v>175</v>
      </c>
      <c r="AK342">
        <v>5291515</v>
      </c>
    </row>
    <row r="343" spans="1:38" x14ac:dyDescent="0.25">
      <c r="A343" s="1">
        <v>45763</v>
      </c>
      <c r="B343" s="1">
        <v>45762</v>
      </c>
      <c r="C343" t="s">
        <v>252</v>
      </c>
      <c r="D343" t="s">
        <v>39</v>
      </c>
      <c r="E343" t="s">
        <v>40</v>
      </c>
      <c r="F343">
        <v>43677</v>
      </c>
      <c r="H343" t="s">
        <v>41</v>
      </c>
      <c r="I343" s="5" t="s">
        <v>763</v>
      </c>
      <c r="J343" t="s">
        <v>602</v>
      </c>
      <c r="M343" t="s">
        <v>43</v>
      </c>
      <c r="O343">
        <v>45601</v>
      </c>
      <c r="P343" t="s">
        <v>58</v>
      </c>
      <c r="Q343" t="s">
        <v>250</v>
      </c>
      <c r="R343" t="s">
        <v>54</v>
      </c>
      <c r="S343" s="1">
        <v>45505</v>
      </c>
      <c r="T343" s="1">
        <v>45792</v>
      </c>
      <c r="U343" t="s">
        <v>47</v>
      </c>
      <c r="V343">
        <v>1</v>
      </c>
      <c r="W343" s="1">
        <v>45757</v>
      </c>
      <c r="X343" t="s">
        <v>48</v>
      </c>
      <c r="Y343" s="2">
        <v>1</v>
      </c>
      <c r="Z343" s="2">
        <v>1</v>
      </c>
      <c r="AB343" s="3">
        <v>1</v>
      </c>
      <c r="AC343" s="2">
        <v>9</v>
      </c>
      <c r="AG343" s="2">
        <v>0</v>
      </c>
      <c r="AH343" s="2">
        <v>9</v>
      </c>
      <c r="AI343" s="2">
        <v>0</v>
      </c>
      <c r="AK343">
        <v>5369968</v>
      </c>
      <c r="AL343" t="s">
        <v>473</v>
      </c>
    </row>
    <row r="344" spans="1:38" x14ac:dyDescent="0.25">
      <c r="A344" s="1">
        <v>45763</v>
      </c>
      <c r="B344" s="1">
        <v>45762</v>
      </c>
      <c r="C344" t="s">
        <v>252</v>
      </c>
      <c r="D344" t="s">
        <v>39</v>
      </c>
      <c r="E344" t="s">
        <v>40</v>
      </c>
      <c r="F344">
        <v>43677</v>
      </c>
      <c r="H344" t="s">
        <v>41</v>
      </c>
      <c r="I344" s="5" t="s">
        <v>806</v>
      </c>
      <c r="J344" t="s">
        <v>568</v>
      </c>
      <c r="M344" t="s">
        <v>43</v>
      </c>
      <c r="O344">
        <v>45603</v>
      </c>
      <c r="P344" t="s">
        <v>218</v>
      </c>
      <c r="Q344" t="s">
        <v>45</v>
      </c>
      <c r="R344" t="s">
        <v>54</v>
      </c>
      <c r="S344" s="1">
        <v>45505</v>
      </c>
      <c r="T344" s="1">
        <v>45792</v>
      </c>
      <c r="U344" t="s">
        <v>47</v>
      </c>
      <c r="V344">
        <v>1</v>
      </c>
      <c r="W344" s="1">
        <v>45757</v>
      </c>
      <c r="X344" t="s">
        <v>48</v>
      </c>
      <c r="Y344" s="2">
        <v>1</v>
      </c>
      <c r="Z344" s="2">
        <v>1</v>
      </c>
      <c r="AB344" s="3">
        <v>1</v>
      </c>
      <c r="AC344" s="2">
        <v>9</v>
      </c>
      <c r="AG344" s="2">
        <v>0</v>
      </c>
      <c r="AH344" s="2">
        <v>9</v>
      </c>
      <c r="AI344" s="2">
        <v>0</v>
      </c>
      <c r="AK344">
        <v>5370486</v>
      </c>
      <c r="AL344" t="s">
        <v>473</v>
      </c>
    </row>
    <row r="345" spans="1:38" x14ac:dyDescent="0.25">
      <c r="A345" s="1">
        <v>45763</v>
      </c>
      <c r="B345" s="1">
        <v>45762</v>
      </c>
      <c r="C345" t="s">
        <v>252</v>
      </c>
      <c r="D345" t="s">
        <v>39</v>
      </c>
      <c r="E345" t="s">
        <v>40</v>
      </c>
      <c r="F345">
        <v>43677</v>
      </c>
      <c r="H345" t="s">
        <v>41</v>
      </c>
      <c r="I345" s="5" t="s">
        <v>885</v>
      </c>
      <c r="J345" t="s">
        <v>499</v>
      </c>
      <c r="M345" t="s">
        <v>43</v>
      </c>
      <c r="O345">
        <v>43625</v>
      </c>
      <c r="P345" t="s">
        <v>498</v>
      </c>
      <c r="Q345" t="s">
        <v>45</v>
      </c>
      <c r="R345" t="s">
        <v>54</v>
      </c>
      <c r="S345" s="1">
        <v>45597</v>
      </c>
      <c r="T345" s="1">
        <v>45792</v>
      </c>
      <c r="U345" t="s">
        <v>47</v>
      </c>
      <c r="V345">
        <v>1</v>
      </c>
      <c r="W345" s="1">
        <v>45757</v>
      </c>
      <c r="X345" t="s">
        <v>48</v>
      </c>
      <c r="Y345" s="2">
        <v>1</v>
      </c>
      <c r="Z345" s="2">
        <v>1</v>
      </c>
      <c r="AB345" s="3">
        <v>1</v>
      </c>
      <c r="AC345" s="2">
        <v>9</v>
      </c>
      <c r="AG345" s="2">
        <v>0</v>
      </c>
      <c r="AH345" s="2">
        <v>9</v>
      </c>
      <c r="AI345" s="2">
        <v>0</v>
      </c>
      <c r="AK345">
        <v>5371206</v>
      </c>
      <c r="AL345" t="s">
        <v>473</v>
      </c>
    </row>
    <row r="346" spans="1:38" x14ac:dyDescent="0.25">
      <c r="A346" s="1">
        <v>45763</v>
      </c>
      <c r="B346" s="1">
        <v>45762</v>
      </c>
      <c r="C346" t="s">
        <v>252</v>
      </c>
      <c r="D346" t="s">
        <v>39</v>
      </c>
      <c r="E346" t="s">
        <v>40</v>
      </c>
      <c r="F346">
        <v>43677</v>
      </c>
      <c r="H346" t="s">
        <v>41</v>
      </c>
      <c r="I346" s="5" t="s">
        <v>910</v>
      </c>
      <c r="J346" t="s">
        <v>474</v>
      </c>
      <c r="M346" t="s">
        <v>43</v>
      </c>
      <c r="O346">
        <v>41686</v>
      </c>
      <c r="P346" t="s">
        <v>139</v>
      </c>
      <c r="Q346" t="s">
        <v>45</v>
      </c>
      <c r="R346" t="s">
        <v>54</v>
      </c>
      <c r="S346" s="1">
        <v>45627</v>
      </c>
      <c r="T346" s="1">
        <v>45792</v>
      </c>
      <c r="U346" t="s">
        <v>47</v>
      </c>
      <c r="V346">
        <v>1</v>
      </c>
      <c r="W346" s="1">
        <v>45757</v>
      </c>
      <c r="X346" t="s">
        <v>48</v>
      </c>
      <c r="Y346" s="2">
        <v>1</v>
      </c>
      <c r="Z346" s="2">
        <v>1</v>
      </c>
      <c r="AB346" s="3">
        <v>1</v>
      </c>
      <c r="AC346" s="2">
        <v>9</v>
      </c>
      <c r="AG346" s="2">
        <v>0</v>
      </c>
      <c r="AH346" s="2">
        <v>9</v>
      </c>
      <c r="AI346" s="2">
        <v>0</v>
      </c>
      <c r="AK346">
        <v>5371422</v>
      </c>
      <c r="AL346" t="s">
        <v>473</v>
      </c>
    </row>
    <row r="347" spans="1:38" x14ac:dyDescent="0.25">
      <c r="A347" s="1">
        <v>45763</v>
      </c>
      <c r="B347" s="1">
        <v>45762</v>
      </c>
      <c r="C347" t="s">
        <v>252</v>
      </c>
      <c r="D347" t="s">
        <v>39</v>
      </c>
      <c r="E347" t="s">
        <v>40</v>
      </c>
      <c r="F347">
        <v>43677</v>
      </c>
      <c r="H347" t="s">
        <v>41</v>
      </c>
      <c r="I347" s="5" t="s">
        <v>817</v>
      </c>
      <c r="J347" t="s">
        <v>557</v>
      </c>
      <c r="M347" t="s">
        <v>43</v>
      </c>
      <c r="O347">
        <v>45634</v>
      </c>
      <c r="P347" t="s">
        <v>556</v>
      </c>
      <c r="Q347" t="s">
        <v>250</v>
      </c>
      <c r="R347" t="s">
        <v>54</v>
      </c>
      <c r="S347" s="1">
        <v>45536</v>
      </c>
      <c r="T347" s="1">
        <v>45792</v>
      </c>
      <c r="U347" t="s">
        <v>47</v>
      </c>
      <c r="V347">
        <v>1</v>
      </c>
      <c r="W347" s="1">
        <v>45757</v>
      </c>
      <c r="X347" t="s">
        <v>48</v>
      </c>
      <c r="Y347" s="2">
        <v>1</v>
      </c>
      <c r="Z347" s="2">
        <v>1</v>
      </c>
      <c r="AB347" s="3">
        <v>1</v>
      </c>
      <c r="AC347" s="2">
        <v>9</v>
      </c>
      <c r="AG347" s="2">
        <v>0</v>
      </c>
      <c r="AH347" s="2">
        <v>9</v>
      </c>
      <c r="AI347" s="2">
        <v>0</v>
      </c>
      <c r="AK347">
        <v>5370609</v>
      </c>
      <c r="AL347" t="s">
        <v>473</v>
      </c>
    </row>
    <row r="348" spans="1:38" x14ac:dyDescent="0.25">
      <c r="A348" s="1">
        <v>45763</v>
      </c>
      <c r="B348" s="1">
        <v>45762</v>
      </c>
      <c r="C348" t="s">
        <v>252</v>
      </c>
      <c r="D348" t="s">
        <v>39</v>
      </c>
      <c r="E348" t="s">
        <v>40</v>
      </c>
      <c r="F348">
        <v>43677</v>
      </c>
      <c r="H348" t="s">
        <v>41</v>
      </c>
      <c r="I348" s="5" t="s">
        <v>758</v>
      </c>
      <c r="J348" t="s">
        <v>607</v>
      </c>
      <c r="M348" t="s">
        <v>43</v>
      </c>
      <c r="O348">
        <v>43682</v>
      </c>
      <c r="P348" t="s">
        <v>118</v>
      </c>
      <c r="Q348" t="s">
        <v>250</v>
      </c>
      <c r="R348" t="s">
        <v>54</v>
      </c>
      <c r="S348" s="1">
        <v>45444</v>
      </c>
      <c r="T348" s="1">
        <v>45792</v>
      </c>
      <c r="U348" t="s">
        <v>47</v>
      </c>
      <c r="V348">
        <v>1</v>
      </c>
      <c r="W348" s="1">
        <v>45757</v>
      </c>
      <c r="X348" t="s">
        <v>48</v>
      </c>
      <c r="Y348" s="2">
        <v>1</v>
      </c>
      <c r="Z348" s="2">
        <v>1</v>
      </c>
      <c r="AB348" s="3">
        <v>1</v>
      </c>
      <c r="AC348" s="2">
        <v>9</v>
      </c>
      <c r="AG348" s="2">
        <v>0</v>
      </c>
      <c r="AH348" s="2">
        <v>9</v>
      </c>
      <c r="AI348" s="2">
        <v>0</v>
      </c>
      <c r="AK348">
        <v>5369505</v>
      </c>
      <c r="AL348" t="s">
        <v>473</v>
      </c>
    </row>
    <row r="349" spans="1:38" x14ac:dyDescent="0.25">
      <c r="A349" s="1">
        <v>45763</v>
      </c>
      <c r="B349" s="1">
        <v>45762</v>
      </c>
      <c r="C349" t="s">
        <v>252</v>
      </c>
      <c r="D349" t="s">
        <v>39</v>
      </c>
      <c r="E349" t="s">
        <v>40</v>
      </c>
      <c r="F349">
        <v>43677</v>
      </c>
      <c r="H349" t="s">
        <v>41</v>
      </c>
      <c r="I349" s="5" t="s">
        <v>801</v>
      </c>
      <c r="J349" t="s">
        <v>573</v>
      </c>
      <c r="M349" t="s">
        <v>43</v>
      </c>
      <c r="O349">
        <v>45603</v>
      </c>
      <c r="P349" t="s">
        <v>218</v>
      </c>
      <c r="Q349" t="s">
        <v>45</v>
      </c>
      <c r="R349" t="s">
        <v>54</v>
      </c>
      <c r="S349" s="1">
        <v>45505</v>
      </c>
      <c r="T349" s="1">
        <v>45792</v>
      </c>
      <c r="U349" t="s">
        <v>47</v>
      </c>
      <c r="V349">
        <v>1</v>
      </c>
      <c r="W349" s="1">
        <v>45757</v>
      </c>
      <c r="X349" t="s">
        <v>48</v>
      </c>
      <c r="Y349" s="2">
        <v>1</v>
      </c>
      <c r="Z349" s="2">
        <v>1</v>
      </c>
      <c r="AB349" s="3">
        <v>1</v>
      </c>
      <c r="AC349" s="2">
        <v>9</v>
      </c>
      <c r="AG349" s="2">
        <v>0</v>
      </c>
      <c r="AH349" s="2">
        <v>9</v>
      </c>
      <c r="AI349" s="2">
        <v>0</v>
      </c>
      <c r="AK349">
        <v>5370418</v>
      </c>
      <c r="AL349" t="s">
        <v>473</v>
      </c>
    </row>
    <row r="350" spans="1:38" x14ac:dyDescent="0.25">
      <c r="A350" s="1">
        <v>45763</v>
      </c>
      <c r="B350" s="1">
        <v>45762</v>
      </c>
      <c r="C350" t="s">
        <v>252</v>
      </c>
      <c r="D350" t="s">
        <v>39</v>
      </c>
      <c r="E350" t="s">
        <v>40</v>
      </c>
      <c r="F350">
        <v>43677</v>
      </c>
      <c r="H350" t="s">
        <v>41</v>
      </c>
      <c r="I350" s="5" t="s">
        <v>879</v>
      </c>
      <c r="J350" t="s">
        <v>505</v>
      </c>
      <c r="M350" t="s">
        <v>43</v>
      </c>
      <c r="O350">
        <v>45601</v>
      </c>
      <c r="P350" t="s">
        <v>58</v>
      </c>
      <c r="Q350" t="s">
        <v>45</v>
      </c>
      <c r="R350" t="s">
        <v>54</v>
      </c>
      <c r="S350" s="1">
        <v>45597</v>
      </c>
      <c r="T350" s="1">
        <v>45792</v>
      </c>
      <c r="U350" t="s">
        <v>47</v>
      </c>
      <c r="V350">
        <v>1</v>
      </c>
      <c r="W350" s="1">
        <v>45757</v>
      </c>
      <c r="X350" t="s">
        <v>48</v>
      </c>
      <c r="Y350" s="2">
        <v>1</v>
      </c>
      <c r="Z350" s="2">
        <v>1</v>
      </c>
      <c r="AB350" s="3">
        <v>1</v>
      </c>
      <c r="AC350" s="2">
        <v>9</v>
      </c>
      <c r="AG350" s="2">
        <v>0</v>
      </c>
      <c r="AH350" s="2">
        <v>9</v>
      </c>
      <c r="AI350" s="2">
        <v>0</v>
      </c>
      <c r="AK350">
        <v>5371147</v>
      </c>
      <c r="AL350" t="s">
        <v>473</v>
      </c>
    </row>
    <row r="351" spans="1:38" x14ac:dyDescent="0.25">
      <c r="A351" s="1">
        <v>45763</v>
      </c>
      <c r="B351" s="1">
        <v>45762</v>
      </c>
      <c r="C351" t="s">
        <v>252</v>
      </c>
      <c r="D351" t="s">
        <v>39</v>
      </c>
      <c r="E351" t="s">
        <v>40</v>
      </c>
      <c r="F351">
        <v>43677</v>
      </c>
      <c r="H351" t="s">
        <v>41</v>
      </c>
      <c r="I351" s="5" t="s">
        <v>766</v>
      </c>
      <c r="J351" t="s">
        <v>599</v>
      </c>
      <c r="M351" t="s">
        <v>43</v>
      </c>
      <c r="O351">
        <v>45609</v>
      </c>
      <c r="P351" t="s">
        <v>598</v>
      </c>
      <c r="Q351" t="s">
        <v>250</v>
      </c>
      <c r="R351" t="s">
        <v>54</v>
      </c>
      <c r="S351" s="1">
        <v>45444</v>
      </c>
      <c r="T351" s="1">
        <v>45792</v>
      </c>
      <c r="U351" t="s">
        <v>47</v>
      </c>
      <c r="V351">
        <v>1</v>
      </c>
      <c r="W351" s="1">
        <v>45757</v>
      </c>
      <c r="X351" t="s">
        <v>48</v>
      </c>
      <c r="Y351" s="2">
        <v>1</v>
      </c>
      <c r="Z351" s="2">
        <v>1</v>
      </c>
      <c r="AB351" s="3">
        <v>1</v>
      </c>
      <c r="AC351" s="2">
        <v>9</v>
      </c>
      <c r="AG351" s="2">
        <v>0</v>
      </c>
      <c r="AH351" s="2">
        <v>9</v>
      </c>
      <c r="AI351" s="2">
        <v>0</v>
      </c>
      <c r="AK351">
        <v>5369999</v>
      </c>
      <c r="AL351" t="s">
        <v>473</v>
      </c>
    </row>
    <row r="352" spans="1:38" x14ac:dyDescent="0.25">
      <c r="A352" s="1">
        <v>45763</v>
      </c>
      <c r="B352" s="1">
        <v>45763</v>
      </c>
      <c r="C352" t="s">
        <v>38</v>
      </c>
      <c r="D352" t="s">
        <v>39</v>
      </c>
      <c r="E352" t="s">
        <v>40</v>
      </c>
      <c r="F352">
        <v>43677</v>
      </c>
      <c r="H352" t="s">
        <v>41</v>
      </c>
      <c r="I352" s="5" t="s">
        <v>694</v>
      </c>
      <c r="J352" t="s">
        <v>233</v>
      </c>
      <c r="M352" t="s">
        <v>43</v>
      </c>
      <c r="O352">
        <v>45605</v>
      </c>
      <c r="P352" t="s">
        <v>50</v>
      </c>
      <c r="Q352" t="s">
        <v>45</v>
      </c>
      <c r="R352" t="s">
        <v>54</v>
      </c>
      <c r="S352" s="1">
        <v>45778</v>
      </c>
      <c r="U352" t="s">
        <v>47</v>
      </c>
      <c r="X352" t="s">
        <v>48</v>
      </c>
      <c r="Y352" s="2">
        <v>0</v>
      </c>
      <c r="Z352" s="2">
        <v>175</v>
      </c>
      <c r="AA352">
        <v>1</v>
      </c>
      <c r="AB352" s="3">
        <v>1</v>
      </c>
      <c r="AC352" s="2">
        <v>175</v>
      </c>
      <c r="AD352" s="3">
        <v>0</v>
      </c>
      <c r="AE352" s="2">
        <v>0</v>
      </c>
      <c r="AF352" s="2">
        <v>175</v>
      </c>
      <c r="AK352">
        <v>5374508</v>
      </c>
    </row>
    <row r="353" spans="1:38" x14ac:dyDescent="0.25">
      <c r="A353" s="1">
        <v>45763</v>
      </c>
      <c r="B353" s="1">
        <v>45762</v>
      </c>
      <c r="C353" t="s">
        <v>252</v>
      </c>
      <c r="D353" t="s">
        <v>39</v>
      </c>
      <c r="E353" t="s">
        <v>40</v>
      </c>
      <c r="F353">
        <v>43677</v>
      </c>
      <c r="H353" t="s">
        <v>41</v>
      </c>
      <c r="I353" s="5" t="s">
        <v>887</v>
      </c>
      <c r="J353" t="s">
        <v>496</v>
      </c>
      <c r="M353" t="s">
        <v>43</v>
      </c>
      <c r="O353">
        <v>41686</v>
      </c>
      <c r="P353" t="s">
        <v>139</v>
      </c>
      <c r="Q353" t="s">
        <v>45</v>
      </c>
      <c r="R353" t="s">
        <v>54</v>
      </c>
      <c r="S353" s="1">
        <v>45627</v>
      </c>
      <c r="T353" s="1">
        <v>45792</v>
      </c>
      <c r="U353" t="s">
        <v>47</v>
      </c>
      <c r="V353">
        <v>1</v>
      </c>
      <c r="W353" s="1">
        <v>45757</v>
      </c>
      <c r="X353" t="s">
        <v>48</v>
      </c>
      <c r="Y353" s="2">
        <v>1</v>
      </c>
      <c r="Z353" s="2">
        <v>1</v>
      </c>
      <c r="AB353" s="3">
        <v>1</v>
      </c>
      <c r="AC353" s="2">
        <v>9</v>
      </c>
      <c r="AG353" s="2">
        <v>0</v>
      </c>
      <c r="AH353" s="2">
        <v>9</v>
      </c>
      <c r="AI353" s="2">
        <v>0</v>
      </c>
      <c r="AK353">
        <v>5371227</v>
      </c>
      <c r="AL353" t="s">
        <v>473</v>
      </c>
    </row>
    <row r="354" spans="1:38" x14ac:dyDescent="0.25">
      <c r="A354" s="1">
        <v>45756</v>
      </c>
      <c r="B354" s="1">
        <v>45756</v>
      </c>
      <c r="C354" t="s">
        <v>146</v>
      </c>
      <c r="D354" t="s">
        <v>39</v>
      </c>
      <c r="E354" t="s">
        <v>40</v>
      </c>
      <c r="F354">
        <v>43677</v>
      </c>
      <c r="H354" t="s">
        <v>41</v>
      </c>
      <c r="I354" s="5" t="s">
        <v>667</v>
      </c>
      <c r="J354" t="s">
        <v>62</v>
      </c>
      <c r="M354" t="s">
        <v>43</v>
      </c>
      <c r="O354">
        <v>45638</v>
      </c>
      <c r="P354" t="s">
        <v>63</v>
      </c>
      <c r="Q354" t="s">
        <v>148</v>
      </c>
      <c r="R354" t="s">
        <v>54</v>
      </c>
      <c r="S354" s="1">
        <v>45658</v>
      </c>
      <c r="U354" t="s">
        <v>47</v>
      </c>
      <c r="X354" t="s">
        <v>48</v>
      </c>
      <c r="Y354" s="2">
        <v>0</v>
      </c>
      <c r="Z354">
        <v>-131.25</v>
      </c>
      <c r="AA354">
        <v>1</v>
      </c>
      <c r="AB354" s="3">
        <v>1</v>
      </c>
      <c r="AC354">
        <v>-131.25</v>
      </c>
      <c r="AD354" s="3">
        <v>0</v>
      </c>
      <c r="AE354" s="2">
        <v>0</v>
      </c>
      <c r="AF354" s="2">
        <v>175</v>
      </c>
      <c r="AG354" s="2"/>
      <c r="AJ354" s="2"/>
    </row>
    <row r="355" spans="1:38" x14ac:dyDescent="0.25">
      <c r="A355" s="1">
        <v>45756</v>
      </c>
      <c r="B355" s="1">
        <v>45756</v>
      </c>
      <c r="C355" t="s">
        <v>38</v>
      </c>
      <c r="D355" t="s">
        <v>39</v>
      </c>
      <c r="E355" t="s">
        <v>40</v>
      </c>
      <c r="F355">
        <v>43677</v>
      </c>
      <c r="H355" t="s">
        <v>41</v>
      </c>
      <c r="I355" s="5" t="s">
        <v>643</v>
      </c>
      <c r="J355" t="s">
        <v>82</v>
      </c>
      <c r="M355" t="s">
        <v>43</v>
      </c>
      <c r="O355">
        <v>45632</v>
      </c>
      <c r="P355" t="s">
        <v>70</v>
      </c>
      <c r="Q355" t="s">
        <v>45</v>
      </c>
      <c r="R355" t="s">
        <v>54</v>
      </c>
      <c r="S355" s="1">
        <v>45748</v>
      </c>
      <c r="U355" t="s">
        <v>47</v>
      </c>
      <c r="X355" t="s">
        <v>48</v>
      </c>
      <c r="Y355" s="2">
        <v>0</v>
      </c>
      <c r="Z355" s="2">
        <v>175</v>
      </c>
      <c r="AA355">
        <v>1</v>
      </c>
      <c r="AB355" s="3">
        <v>1</v>
      </c>
      <c r="AC355" s="2">
        <v>175</v>
      </c>
      <c r="AD355" s="3">
        <v>0</v>
      </c>
      <c r="AE355" s="2">
        <v>0</v>
      </c>
      <c r="AF355" s="2">
        <v>175</v>
      </c>
      <c r="AK355">
        <v>5291582</v>
      </c>
    </row>
    <row r="356" spans="1:38" x14ac:dyDescent="0.25">
      <c r="A356" s="1">
        <v>45763</v>
      </c>
      <c r="B356" s="1">
        <v>45762</v>
      </c>
      <c r="C356" t="s">
        <v>252</v>
      </c>
      <c r="D356" t="s">
        <v>39</v>
      </c>
      <c r="E356" t="s">
        <v>40</v>
      </c>
      <c r="F356">
        <v>43677</v>
      </c>
      <c r="H356" t="s">
        <v>41</v>
      </c>
      <c r="I356" s="5" t="s">
        <v>751</v>
      </c>
      <c r="J356" t="s">
        <v>613</v>
      </c>
      <c r="M356" t="s">
        <v>43</v>
      </c>
      <c r="O356">
        <v>45709</v>
      </c>
      <c r="P356" t="s">
        <v>137</v>
      </c>
      <c r="Q356" t="s">
        <v>250</v>
      </c>
      <c r="R356" t="s">
        <v>54</v>
      </c>
      <c r="S356" s="1">
        <v>45505</v>
      </c>
      <c r="T356" s="1">
        <v>45792</v>
      </c>
      <c r="U356" t="s">
        <v>47</v>
      </c>
      <c r="V356">
        <v>1</v>
      </c>
      <c r="W356" s="1">
        <v>45757</v>
      </c>
      <c r="X356" t="s">
        <v>48</v>
      </c>
      <c r="Y356" s="2">
        <v>1</v>
      </c>
      <c r="Z356" s="2">
        <v>1</v>
      </c>
      <c r="AB356" s="3">
        <v>1</v>
      </c>
      <c r="AC356" s="2">
        <v>9</v>
      </c>
      <c r="AG356" s="2">
        <v>0</v>
      </c>
      <c r="AH356" s="2">
        <v>9</v>
      </c>
      <c r="AI356" s="2">
        <v>0</v>
      </c>
      <c r="AK356">
        <v>5358168</v>
      </c>
      <c r="AL356" t="s">
        <v>473</v>
      </c>
    </row>
    <row r="357" spans="1:38" x14ac:dyDescent="0.25">
      <c r="A357" s="1">
        <v>45763</v>
      </c>
      <c r="B357" s="1">
        <v>45762</v>
      </c>
      <c r="C357" t="s">
        <v>252</v>
      </c>
      <c r="D357" t="s">
        <v>39</v>
      </c>
      <c r="E357" t="s">
        <v>40</v>
      </c>
      <c r="F357">
        <v>43677</v>
      </c>
      <c r="H357" t="s">
        <v>41</v>
      </c>
      <c r="I357" s="5" t="s">
        <v>847</v>
      </c>
      <c r="J357" t="s">
        <v>534</v>
      </c>
      <c r="M357" t="s">
        <v>43</v>
      </c>
      <c r="O357">
        <v>43625</v>
      </c>
      <c r="P357" t="s">
        <v>498</v>
      </c>
      <c r="Q357" t="s">
        <v>45</v>
      </c>
      <c r="R357" t="s">
        <v>54</v>
      </c>
      <c r="S357" s="1">
        <v>45566</v>
      </c>
      <c r="T357" s="1">
        <v>45792</v>
      </c>
      <c r="U357" t="s">
        <v>47</v>
      </c>
      <c r="V357">
        <v>1</v>
      </c>
      <c r="W357" s="1">
        <v>45757</v>
      </c>
      <c r="X357" t="s">
        <v>48</v>
      </c>
      <c r="Y357" s="2">
        <v>1</v>
      </c>
      <c r="Z357" s="2">
        <v>1</v>
      </c>
      <c r="AB357" s="3">
        <v>1</v>
      </c>
      <c r="AC357" s="2">
        <v>9</v>
      </c>
      <c r="AG357" s="2">
        <v>0</v>
      </c>
      <c r="AH357" s="2">
        <v>9</v>
      </c>
      <c r="AI357" s="2">
        <v>0</v>
      </c>
      <c r="AK357">
        <v>5370959</v>
      </c>
      <c r="AL357" t="s">
        <v>473</v>
      </c>
    </row>
    <row r="358" spans="1:38" x14ac:dyDescent="0.25">
      <c r="A358" s="1">
        <v>45763</v>
      </c>
      <c r="B358" s="1">
        <v>45762</v>
      </c>
      <c r="C358" t="s">
        <v>252</v>
      </c>
      <c r="D358" t="s">
        <v>39</v>
      </c>
      <c r="E358" t="s">
        <v>40</v>
      </c>
      <c r="F358">
        <v>43677</v>
      </c>
      <c r="H358" t="s">
        <v>41</v>
      </c>
      <c r="I358" s="5" t="s">
        <v>845</v>
      </c>
      <c r="J358" t="s">
        <v>536</v>
      </c>
      <c r="M358" t="s">
        <v>43</v>
      </c>
      <c r="O358">
        <v>45603</v>
      </c>
      <c r="P358" t="s">
        <v>218</v>
      </c>
      <c r="Q358" t="s">
        <v>45</v>
      </c>
      <c r="R358" t="s">
        <v>54</v>
      </c>
      <c r="S358" s="1">
        <v>45566</v>
      </c>
      <c r="T358" s="1">
        <v>45792</v>
      </c>
      <c r="U358" t="s">
        <v>47</v>
      </c>
      <c r="V358">
        <v>1</v>
      </c>
      <c r="W358" s="1">
        <v>45757</v>
      </c>
      <c r="X358" t="s">
        <v>48</v>
      </c>
      <c r="Y358" s="2">
        <v>1</v>
      </c>
      <c r="Z358" s="2">
        <v>1</v>
      </c>
      <c r="AB358" s="3">
        <v>1</v>
      </c>
      <c r="AC358" s="2">
        <v>9</v>
      </c>
      <c r="AG358" s="2">
        <v>0</v>
      </c>
      <c r="AH358" s="2">
        <v>9</v>
      </c>
      <c r="AI358" s="2">
        <v>0</v>
      </c>
      <c r="AK358">
        <v>5370924</v>
      </c>
      <c r="AL358" t="s">
        <v>473</v>
      </c>
    </row>
    <row r="359" spans="1:38" x14ac:dyDescent="0.25">
      <c r="A359" s="1">
        <v>45763</v>
      </c>
      <c r="B359" s="1">
        <v>45762</v>
      </c>
      <c r="C359" t="s">
        <v>252</v>
      </c>
      <c r="D359" t="s">
        <v>39</v>
      </c>
      <c r="E359" t="s">
        <v>40</v>
      </c>
      <c r="F359">
        <v>43677</v>
      </c>
      <c r="H359" t="s">
        <v>41</v>
      </c>
      <c r="I359" s="5" t="s">
        <v>884</v>
      </c>
      <c r="J359" t="s">
        <v>500</v>
      </c>
      <c r="M359" t="s">
        <v>43</v>
      </c>
      <c r="O359">
        <v>43625</v>
      </c>
      <c r="P359" t="s">
        <v>498</v>
      </c>
      <c r="Q359" t="s">
        <v>45</v>
      </c>
      <c r="R359" t="s">
        <v>54</v>
      </c>
      <c r="S359" s="1">
        <v>45597</v>
      </c>
      <c r="T359" s="1">
        <v>45792</v>
      </c>
      <c r="U359" t="s">
        <v>47</v>
      </c>
      <c r="V359">
        <v>1</v>
      </c>
      <c r="W359" s="1">
        <v>45757</v>
      </c>
      <c r="X359" t="s">
        <v>48</v>
      </c>
      <c r="Y359" s="2">
        <v>1</v>
      </c>
      <c r="Z359" s="2">
        <v>1</v>
      </c>
      <c r="AB359" s="3">
        <v>1</v>
      </c>
      <c r="AC359" s="2">
        <v>9</v>
      </c>
      <c r="AG359" s="2">
        <v>0</v>
      </c>
      <c r="AH359" s="2">
        <v>9</v>
      </c>
      <c r="AI359" s="2">
        <v>0</v>
      </c>
      <c r="AK359">
        <v>5371200</v>
      </c>
      <c r="AL359" t="s">
        <v>473</v>
      </c>
    </row>
    <row r="360" spans="1:38" x14ac:dyDescent="0.25">
      <c r="A360" s="1">
        <v>45763</v>
      </c>
      <c r="B360" s="1">
        <v>45762</v>
      </c>
      <c r="C360" t="s">
        <v>252</v>
      </c>
      <c r="D360" t="s">
        <v>39</v>
      </c>
      <c r="E360" t="s">
        <v>40</v>
      </c>
      <c r="F360">
        <v>43677</v>
      </c>
      <c r="H360" t="s">
        <v>41</v>
      </c>
      <c r="I360" s="5" t="s">
        <v>789</v>
      </c>
      <c r="J360" t="s">
        <v>583</v>
      </c>
      <c r="M360" t="s">
        <v>43</v>
      </c>
      <c r="O360">
        <v>45605</v>
      </c>
      <c r="P360" t="s">
        <v>50</v>
      </c>
      <c r="Q360" t="s">
        <v>250</v>
      </c>
      <c r="R360" t="s">
        <v>54</v>
      </c>
      <c r="S360" s="1">
        <v>45505</v>
      </c>
      <c r="T360" s="1">
        <v>45792</v>
      </c>
      <c r="U360" t="s">
        <v>47</v>
      </c>
      <c r="V360">
        <v>1</v>
      </c>
      <c r="W360" s="1">
        <v>45757</v>
      </c>
      <c r="X360" t="s">
        <v>48</v>
      </c>
      <c r="Y360" s="2">
        <v>1</v>
      </c>
      <c r="Z360" s="2">
        <v>1</v>
      </c>
      <c r="AB360" s="3">
        <v>1</v>
      </c>
      <c r="AC360" s="2">
        <v>9</v>
      </c>
      <c r="AG360" s="2">
        <v>0</v>
      </c>
      <c r="AH360" s="2">
        <v>9</v>
      </c>
      <c r="AI360" s="2">
        <v>0</v>
      </c>
      <c r="AK360">
        <v>5370324</v>
      </c>
      <c r="AL360" t="s">
        <v>473</v>
      </c>
    </row>
    <row r="361" spans="1:38" x14ac:dyDescent="0.25">
      <c r="A361" s="1">
        <v>45763</v>
      </c>
      <c r="B361" s="1">
        <v>45763</v>
      </c>
      <c r="C361" t="s">
        <v>38</v>
      </c>
      <c r="D361" t="s">
        <v>39</v>
      </c>
      <c r="E361" t="s">
        <v>40</v>
      </c>
      <c r="F361">
        <v>43677</v>
      </c>
      <c r="H361" t="s">
        <v>41</v>
      </c>
      <c r="I361" s="5" t="s">
        <v>698</v>
      </c>
      <c r="J361" t="s">
        <v>141</v>
      </c>
      <c r="M361" t="s">
        <v>43</v>
      </c>
      <c r="O361">
        <v>43969</v>
      </c>
      <c r="P361" t="s">
        <v>74</v>
      </c>
      <c r="Q361" t="s">
        <v>45</v>
      </c>
      <c r="R361" t="s">
        <v>54</v>
      </c>
      <c r="S361" s="1">
        <v>45778</v>
      </c>
      <c r="U361" t="s">
        <v>47</v>
      </c>
      <c r="X361" t="s">
        <v>48</v>
      </c>
      <c r="Y361" s="2">
        <v>0</v>
      </c>
      <c r="Z361" s="2">
        <v>175</v>
      </c>
      <c r="AA361">
        <v>1</v>
      </c>
      <c r="AB361" s="3">
        <v>1</v>
      </c>
      <c r="AC361" s="2">
        <v>175</v>
      </c>
      <c r="AD361" s="3">
        <v>0</v>
      </c>
      <c r="AE361" s="2">
        <v>0</v>
      </c>
      <c r="AF361" s="2">
        <v>175</v>
      </c>
      <c r="AK361">
        <v>5374536</v>
      </c>
    </row>
    <row r="362" spans="1:38" x14ac:dyDescent="0.25">
      <c r="A362" s="1">
        <v>45763</v>
      </c>
      <c r="B362" s="1">
        <v>45762</v>
      </c>
      <c r="C362" t="s">
        <v>252</v>
      </c>
      <c r="D362" t="s">
        <v>39</v>
      </c>
      <c r="E362" t="s">
        <v>40</v>
      </c>
      <c r="F362">
        <v>43677</v>
      </c>
      <c r="H362" t="s">
        <v>41</v>
      </c>
      <c r="I362" s="5" t="s">
        <v>851</v>
      </c>
      <c r="J362" t="s">
        <v>529</v>
      </c>
      <c r="M362" t="s">
        <v>43</v>
      </c>
      <c r="O362">
        <v>45613</v>
      </c>
      <c r="P362" t="s">
        <v>65</v>
      </c>
      <c r="Q362" t="s">
        <v>45</v>
      </c>
      <c r="R362" t="s">
        <v>54</v>
      </c>
      <c r="S362" s="1">
        <v>45566</v>
      </c>
      <c r="T362" s="1">
        <v>45792</v>
      </c>
      <c r="U362" t="s">
        <v>47</v>
      </c>
      <c r="V362">
        <v>1</v>
      </c>
      <c r="W362" s="1">
        <v>45757</v>
      </c>
      <c r="X362" t="s">
        <v>48</v>
      </c>
      <c r="Y362" s="2">
        <v>1</v>
      </c>
      <c r="Z362" s="2">
        <v>1</v>
      </c>
      <c r="AB362" s="3">
        <v>1</v>
      </c>
      <c r="AC362" s="2">
        <v>9</v>
      </c>
      <c r="AG362" s="2">
        <v>0</v>
      </c>
      <c r="AH362" s="2">
        <v>9</v>
      </c>
      <c r="AI362" s="2">
        <v>0</v>
      </c>
      <c r="AK362">
        <v>5371008</v>
      </c>
      <c r="AL362" t="s">
        <v>473</v>
      </c>
    </row>
    <row r="363" spans="1:38" x14ac:dyDescent="0.25">
      <c r="A363" s="1">
        <v>45763</v>
      </c>
      <c r="B363" s="1">
        <v>45762</v>
      </c>
      <c r="C363" t="s">
        <v>252</v>
      </c>
      <c r="D363" t="s">
        <v>39</v>
      </c>
      <c r="E363" t="s">
        <v>40</v>
      </c>
      <c r="F363">
        <v>43677</v>
      </c>
      <c r="H363" t="s">
        <v>41</v>
      </c>
      <c r="I363" s="5" t="s">
        <v>872</v>
      </c>
      <c r="J363" t="s">
        <v>512</v>
      </c>
      <c r="M363" t="s">
        <v>43</v>
      </c>
      <c r="O363">
        <v>45603</v>
      </c>
      <c r="P363" t="s">
        <v>218</v>
      </c>
      <c r="Q363" t="s">
        <v>45</v>
      </c>
      <c r="R363" t="s">
        <v>54</v>
      </c>
      <c r="S363" s="1">
        <v>45597</v>
      </c>
      <c r="T363" s="1">
        <v>45792</v>
      </c>
      <c r="U363" t="s">
        <v>47</v>
      </c>
      <c r="V363">
        <v>1</v>
      </c>
      <c r="W363" s="1">
        <v>45757</v>
      </c>
      <c r="X363" t="s">
        <v>48</v>
      </c>
      <c r="Y363" s="2">
        <v>1</v>
      </c>
      <c r="Z363" s="2">
        <v>1</v>
      </c>
      <c r="AB363" s="3">
        <v>1</v>
      </c>
      <c r="AC363" s="2">
        <v>9</v>
      </c>
      <c r="AG363" s="2">
        <v>0</v>
      </c>
      <c r="AH363" s="2">
        <v>9</v>
      </c>
      <c r="AI363" s="2">
        <v>0</v>
      </c>
      <c r="AK363">
        <v>5371077</v>
      </c>
      <c r="AL363" t="s">
        <v>473</v>
      </c>
    </row>
    <row r="364" spans="1:38" x14ac:dyDescent="0.25">
      <c r="A364" s="1">
        <v>45763</v>
      </c>
      <c r="B364" s="1">
        <v>45762</v>
      </c>
      <c r="C364" t="s">
        <v>252</v>
      </c>
      <c r="D364" t="s">
        <v>39</v>
      </c>
      <c r="E364" t="s">
        <v>40</v>
      </c>
      <c r="F364">
        <v>43677</v>
      </c>
      <c r="H364" t="s">
        <v>41</v>
      </c>
      <c r="I364" s="5" t="s">
        <v>856</v>
      </c>
      <c r="J364" t="s">
        <v>524</v>
      </c>
      <c r="M364" t="s">
        <v>43</v>
      </c>
      <c r="O364">
        <v>41686</v>
      </c>
      <c r="P364" t="s">
        <v>139</v>
      </c>
      <c r="Q364" t="s">
        <v>45</v>
      </c>
      <c r="R364" t="s">
        <v>54</v>
      </c>
      <c r="S364" s="1">
        <v>45566</v>
      </c>
      <c r="T364" s="1">
        <v>45792</v>
      </c>
      <c r="U364" t="s">
        <v>47</v>
      </c>
      <c r="V364">
        <v>1</v>
      </c>
      <c r="W364" s="1">
        <v>45757</v>
      </c>
      <c r="X364" t="s">
        <v>48</v>
      </c>
      <c r="Y364" s="2">
        <v>1</v>
      </c>
      <c r="Z364" s="2">
        <v>1</v>
      </c>
      <c r="AB364" s="3">
        <v>1</v>
      </c>
      <c r="AC364" s="2">
        <v>9</v>
      </c>
      <c r="AG364" s="2">
        <v>0</v>
      </c>
      <c r="AH364" s="2">
        <v>9</v>
      </c>
      <c r="AI364" s="2">
        <v>0</v>
      </c>
      <c r="AK364">
        <v>5371032</v>
      </c>
      <c r="AL364" t="s">
        <v>473</v>
      </c>
    </row>
    <row r="365" spans="1:38" x14ac:dyDescent="0.25">
      <c r="A365" s="1">
        <v>45763</v>
      </c>
      <c r="B365" s="1">
        <v>45762</v>
      </c>
      <c r="C365" t="s">
        <v>252</v>
      </c>
      <c r="D365" t="s">
        <v>39</v>
      </c>
      <c r="E365" t="s">
        <v>40</v>
      </c>
      <c r="F365">
        <v>43677</v>
      </c>
      <c r="H365" t="s">
        <v>41</v>
      </c>
      <c r="I365" s="5" t="s">
        <v>826</v>
      </c>
      <c r="J365" t="s">
        <v>549</v>
      </c>
      <c r="M365" t="s">
        <v>43</v>
      </c>
      <c r="O365">
        <v>45605</v>
      </c>
      <c r="P365" t="s">
        <v>50</v>
      </c>
      <c r="Q365" t="s">
        <v>250</v>
      </c>
      <c r="R365" t="s">
        <v>54</v>
      </c>
      <c r="S365" s="1">
        <v>45536</v>
      </c>
      <c r="T365" s="1">
        <v>45792</v>
      </c>
      <c r="U365" t="s">
        <v>47</v>
      </c>
      <c r="V365">
        <v>1</v>
      </c>
      <c r="W365" s="1">
        <v>45757</v>
      </c>
      <c r="X365" t="s">
        <v>48</v>
      </c>
      <c r="Y365" s="2">
        <v>1</v>
      </c>
      <c r="Z365" s="2">
        <v>1</v>
      </c>
      <c r="AB365" s="3">
        <v>1</v>
      </c>
      <c r="AC365" s="2">
        <v>9</v>
      </c>
      <c r="AG365" s="2">
        <v>0</v>
      </c>
      <c r="AH365" s="2">
        <v>9</v>
      </c>
      <c r="AI365" s="2">
        <v>0</v>
      </c>
      <c r="AK365">
        <v>5370788</v>
      </c>
      <c r="AL365" t="s">
        <v>473</v>
      </c>
    </row>
    <row r="366" spans="1:38" x14ac:dyDescent="0.25">
      <c r="A366" s="1">
        <v>45763</v>
      </c>
      <c r="B366" s="1">
        <v>45762</v>
      </c>
      <c r="C366" t="s">
        <v>252</v>
      </c>
      <c r="D366" t="s">
        <v>39</v>
      </c>
      <c r="E366" t="s">
        <v>40</v>
      </c>
      <c r="F366">
        <v>43677</v>
      </c>
      <c r="H366" t="s">
        <v>41</v>
      </c>
      <c r="I366" s="5" t="s">
        <v>859</v>
      </c>
      <c r="J366" t="s">
        <v>521</v>
      </c>
      <c r="M366" t="s">
        <v>43</v>
      </c>
      <c r="O366">
        <v>45613</v>
      </c>
      <c r="P366" t="s">
        <v>65</v>
      </c>
      <c r="Q366" t="s">
        <v>45</v>
      </c>
      <c r="R366" t="s">
        <v>54</v>
      </c>
      <c r="S366" s="1">
        <v>45566</v>
      </c>
      <c r="T366" s="1">
        <v>45792</v>
      </c>
      <c r="U366" t="s">
        <v>47</v>
      </c>
      <c r="V366">
        <v>1</v>
      </c>
      <c r="W366" s="1">
        <v>45757</v>
      </c>
      <c r="X366" t="s">
        <v>48</v>
      </c>
      <c r="Y366" s="2">
        <v>1</v>
      </c>
      <c r="Z366" s="2">
        <v>1</v>
      </c>
      <c r="AB366" s="3">
        <v>1</v>
      </c>
      <c r="AC366" s="2">
        <v>9</v>
      </c>
      <c r="AG366" s="2">
        <v>0</v>
      </c>
      <c r="AH366" s="2">
        <v>9</v>
      </c>
      <c r="AI366" s="2">
        <v>0</v>
      </c>
      <c r="AK366">
        <v>5371045</v>
      </c>
      <c r="AL366" t="s">
        <v>473</v>
      </c>
    </row>
    <row r="367" spans="1:38" x14ac:dyDescent="0.25">
      <c r="A367" s="1">
        <v>45763</v>
      </c>
      <c r="B367" s="1">
        <v>45762</v>
      </c>
      <c r="C367" t="s">
        <v>252</v>
      </c>
      <c r="D367" t="s">
        <v>39</v>
      </c>
      <c r="E367" t="s">
        <v>40</v>
      </c>
      <c r="F367">
        <v>43677</v>
      </c>
      <c r="H367" t="s">
        <v>41</v>
      </c>
      <c r="I367" s="5" t="s">
        <v>849</v>
      </c>
      <c r="J367" t="s">
        <v>531</v>
      </c>
      <c r="M367" t="s">
        <v>43</v>
      </c>
      <c r="O367">
        <v>43682</v>
      </c>
      <c r="P367" t="s">
        <v>118</v>
      </c>
      <c r="Q367" t="s">
        <v>45</v>
      </c>
      <c r="R367" t="s">
        <v>54</v>
      </c>
      <c r="S367" s="1">
        <v>45597</v>
      </c>
      <c r="T367" s="1">
        <v>45792</v>
      </c>
      <c r="U367" t="s">
        <v>47</v>
      </c>
      <c r="V367">
        <v>1</v>
      </c>
      <c r="W367" s="1">
        <v>45757</v>
      </c>
      <c r="X367" t="s">
        <v>48</v>
      </c>
      <c r="Y367" s="2">
        <v>1</v>
      </c>
      <c r="Z367" s="2">
        <v>1</v>
      </c>
      <c r="AB367" s="3">
        <v>1</v>
      </c>
      <c r="AC367" s="2">
        <v>9</v>
      </c>
      <c r="AG367" s="2">
        <v>0</v>
      </c>
      <c r="AH367" s="2">
        <v>9</v>
      </c>
      <c r="AI367" s="2">
        <v>0</v>
      </c>
      <c r="AK367">
        <v>5370981</v>
      </c>
      <c r="AL367" t="s">
        <v>473</v>
      </c>
    </row>
    <row r="368" spans="1:38" x14ac:dyDescent="0.25">
      <c r="A368" s="1">
        <v>45763</v>
      </c>
      <c r="B368" s="1">
        <v>45762</v>
      </c>
      <c r="C368" t="s">
        <v>252</v>
      </c>
      <c r="D368" t="s">
        <v>39</v>
      </c>
      <c r="E368" t="s">
        <v>40</v>
      </c>
      <c r="F368">
        <v>43677</v>
      </c>
      <c r="H368" t="s">
        <v>41</v>
      </c>
      <c r="I368" s="5" t="s">
        <v>771</v>
      </c>
      <c r="J368" t="s">
        <v>594</v>
      </c>
      <c r="M368" t="s">
        <v>43</v>
      </c>
      <c r="O368">
        <v>43679</v>
      </c>
      <c r="P368" t="s">
        <v>191</v>
      </c>
      <c r="Q368" t="s">
        <v>250</v>
      </c>
      <c r="R368" t="s">
        <v>54</v>
      </c>
      <c r="S368" s="1">
        <v>45444</v>
      </c>
      <c r="T368" s="1">
        <v>45792</v>
      </c>
      <c r="U368" t="s">
        <v>47</v>
      </c>
      <c r="V368">
        <v>1</v>
      </c>
      <c r="W368" s="1">
        <v>45757</v>
      </c>
      <c r="X368" t="s">
        <v>48</v>
      </c>
      <c r="Y368" s="2">
        <v>1</v>
      </c>
      <c r="Z368" s="2">
        <v>1</v>
      </c>
      <c r="AB368" s="3">
        <v>1</v>
      </c>
      <c r="AC368" s="2">
        <v>9</v>
      </c>
      <c r="AG368" s="2">
        <v>0</v>
      </c>
      <c r="AH368" s="2">
        <v>9</v>
      </c>
      <c r="AI368" s="2">
        <v>0</v>
      </c>
      <c r="AK368">
        <v>5370103</v>
      </c>
      <c r="AL368" t="s">
        <v>473</v>
      </c>
    </row>
    <row r="369" spans="1:38" x14ac:dyDescent="0.25">
      <c r="A369" s="1">
        <v>45763</v>
      </c>
      <c r="B369" s="1">
        <v>45762</v>
      </c>
      <c r="C369" t="s">
        <v>252</v>
      </c>
      <c r="D369" t="s">
        <v>39</v>
      </c>
      <c r="E369" t="s">
        <v>40</v>
      </c>
      <c r="F369">
        <v>43677</v>
      </c>
      <c r="H369" t="s">
        <v>41</v>
      </c>
      <c r="I369" s="5" t="s">
        <v>773</v>
      </c>
      <c r="J369" t="s">
        <v>593</v>
      </c>
      <c r="M369" t="s">
        <v>43</v>
      </c>
      <c r="O369">
        <v>45607</v>
      </c>
      <c r="P369" t="s">
        <v>161</v>
      </c>
      <c r="Q369" t="s">
        <v>45</v>
      </c>
      <c r="R369" t="s">
        <v>54</v>
      </c>
      <c r="S369" s="1">
        <v>45444</v>
      </c>
      <c r="T369" s="1">
        <v>45792</v>
      </c>
      <c r="U369" t="s">
        <v>47</v>
      </c>
      <c r="V369">
        <v>1</v>
      </c>
      <c r="W369" s="1">
        <v>45757</v>
      </c>
      <c r="X369" t="s">
        <v>48</v>
      </c>
      <c r="Y369" s="2">
        <v>1</v>
      </c>
      <c r="Z369" s="2">
        <v>1</v>
      </c>
      <c r="AB369" s="3">
        <v>1</v>
      </c>
      <c r="AC369" s="2">
        <v>9</v>
      </c>
      <c r="AG369" s="2">
        <v>0</v>
      </c>
      <c r="AH369" s="2">
        <v>9</v>
      </c>
      <c r="AI369" s="2">
        <v>0</v>
      </c>
      <c r="AK369">
        <v>5370111</v>
      </c>
      <c r="AL369" t="s">
        <v>473</v>
      </c>
    </row>
    <row r="370" spans="1:38" x14ac:dyDescent="0.25">
      <c r="A370" s="1">
        <v>45763</v>
      </c>
      <c r="B370" s="1">
        <v>45763</v>
      </c>
      <c r="C370" t="s">
        <v>38</v>
      </c>
      <c r="D370" t="s">
        <v>39</v>
      </c>
      <c r="E370" t="s">
        <v>40</v>
      </c>
      <c r="F370">
        <v>43677</v>
      </c>
      <c r="H370" t="s">
        <v>41</v>
      </c>
      <c r="I370" s="5" t="s">
        <v>697</v>
      </c>
      <c r="J370" t="s">
        <v>230</v>
      </c>
      <c r="M370" t="s">
        <v>43</v>
      </c>
      <c r="O370">
        <v>45601</v>
      </c>
      <c r="P370" t="s">
        <v>58</v>
      </c>
      <c r="Q370" t="s">
        <v>45</v>
      </c>
      <c r="R370" t="s">
        <v>54</v>
      </c>
      <c r="S370" s="1">
        <v>45778</v>
      </c>
      <c r="U370" t="s">
        <v>47</v>
      </c>
      <c r="X370" t="s">
        <v>48</v>
      </c>
      <c r="Y370" s="2">
        <v>0</v>
      </c>
      <c r="Z370" s="2">
        <v>175</v>
      </c>
      <c r="AA370">
        <v>1</v>
      </c>
      <c r="AB370" s="3">
        <v>1</v>
      </c>
      <c r="AC370" s="2">
        <v>175</v>
      </c>
      <c r="AD370" s="3">
        <v>0</v>
      </c>
      <c r="AE370" s="2">
        <v>0</v>
      </c>
      <c r="AF370" s="2">
        <v>175</v>
      </c>
      <c r="AK370">
        <v>5374528</v>
      </c>
    </row>
    <row r="371" spans="1:38" x14ac:dyDescent="0.25">
      <c r="A371" s="1">
        <v>45763</v>
      </c>
      <c r="B371" s="1">
        <v>45762</v>
      </c>
      <c r="C371" t="s">
        <v>252</v>
      </c>
      <c r="D371" t="s">
        <v>39</v>
      </c>
      <c r="E371" t="s">
        <v>40</v>
      </c>
      <c r="F371">
        <v>43677</v>
      </c>
      <c r="H371" t="s">
        <v>41</v>
      </c>
      <c r="I371" s="5" t="s">
        <v>816</v>
      </c>
      <c r="J371" t="s">
        <v>558</v>
      </c>
      <c r="M371" t="s">
        <v>43</v>
      </c>
      <c r="O371">
        <v>43969</v>
      </c>
      <c r="P371" t="s">
        <v>74</v>
      </c>
      <c r="Q371" t="s">
        <v>45</v>
      </c>
      <c r="R371" t="s">
        <v>54</v>
      </c>
      <c r="S371" s="1">
        <v>45566</v>
      </c>
      <c r="T371" s="1">
        <v>45792</v>
      </c>
      <c r="U371" t="s">
        <v>47</v>
      </c>
      <c r="V371">
        <v>1</v>
      </c>
      <c r="W371" s="1">
        <v>45757</v>
      </c>
      <c r="X371" t="s">
        <v>48</v>
      </c>
      <c r="Y371" s="2">
        <v>1</v>
      </c>
      <c r="Z371" s="2">
        <v>1</v>
      </c>
      <c r="AB371" s="3">
        <v>1</v>
      </c>
      <c r="AC371" s="2">
        <v>9</v>
      </c>
      <c r="AG371" s="2">
        <v>0</v>
      </c>
      <c r="AH371" s="2">
        <v>9</v>
      </c>
      <c r="AI371" s="2">
        <v>0</v>
      </c>
      <c r="AK371">
        <v>5370596</v>
      </c>
      <c r="AL371" t="s">
        <v>473</v>
      </c>
    </row>
    <row r="372" spans="1:38" x14ac:dyDescent="0.25">
      <c r="A372" s="1">
        <v>45763</v>
      </c>
      <c r="B372" s="1">
        <v>45762</v>
      </c>
      <c r="C372" t="s">
        <v>252</v>
      </c>
      <c r="D372" t="s">
        <v>39</v>
      </c>
      <c r="E372" t="s">
        <v>40</v>
      </c>
      <c r="F372">
        <v>43677</v>
      </c>
      <c r="H372" t="s">
        <v>41</v>
      </c>
      <c r="I372" s="5" t="s">
        <v>813</v>
      </c>
      <c r="J372" t="s">
        <v>561</v>
      </c>
      <c r="M372" t="s">
        <v>43</v>
      </c>
      <c r="O372">
        <v>45638</v>
      </c>
      <c r="P372" t="s">
        <v>63</v>
      </c>
      <c r="Q372" t="s">
        <v>250</v>
      </c>
      <c r="R372" t="s">
        <v>54</v>
      </c>
      <c r="S372" s="1">
        <v>45505</v>
      </c>
      <c r="T372" s="1">
        <v>45792</v>
      </c>
      <c r="U372" t="s">
        <v>47</v>
      </c>
      <c r="V372">
        <v>1</v>
      </c>
      <c r="W372" s="1">
        <v>45757</v>
      </c>
      <c r="X372" t="s">
        <v>48</v>
      </c>
      <c r="Y372" s="2">
        <v>1</v>
      </c>
      <c r="Z372" s="2">
        <v>1</v>
      </c>
      <c r="AB372" s="3">
        <v>1</v>
      </c>
      <c r="AC372" s="2">
        <v>9</v>
      </c>
      <c r="AG372" s="2">
        <v>0</v>
      </c>
      <c r="AH372" s="2">
        <v>9</v>
      </c>
      <c r="AI372" s="2">
        <v>0</v>
      </c>
      <c r="AK372">
        <v>5370562</v>
      </c>
      <c r="AL372" t="s">
        <v>473</v>
      </c>
    </row>
    <row r="373" spans="1:38" x14ac:dyDescent="0.25">
      <c r="A373" s="1">
        <v>45763</v>
      </c>
      <c r="B373" s="1">
        <v>45762</v>
      </c>
      <c r="C373" t="s">
        <v>252</v>
      </c>
      <c r="D373" t="s">
        <v>39</v>
      </c>
      <c r="E373" t="s">
        <v>40</v>
      </c>
      <c r="F373">
        <v>43677</v>
      </c>
      <c r="H373" t="s">
        <v>41</v>
      </c>
      <c r="I373" s="5" t="s">
        <v>888</v>
      </c>
      <c r="J373" t="s">
        <v>495</v>
      </c>
      <c r="M373" t="s">
        <v>43</v>
      </c>
      <c r="O373">
        <v>45622</v>
      </c>
      <c r="P373" t="s">
        <v>198</v>
      </c>
      <c r="Q373" t="s">
        <v>45</v>
      </c>
      <c r="R373" t="s">
        <v>54</v>
      </c>
      <c r="S373" s="1">
        <v>45597</v>
      </c>
      <c r="T373" s="1">
        <v>45792</v>
      </c>
      <c r="U373" t="s">
        <v>47</v>
      </c>
      <c r="V373">
        <v>1</v>
      </c>
      <c r="W373" s="1">
        <v>45757</v>
      </c>
      <c r="X373" t="s">
        <v>48</v>
      </c>
      <c r="Y373" s="2">
        <v>1</v>
      </c>
      <c r="Z373" s="2">
        <v>1</v>
      </c>
      <c r="AB373" s="3">
        <v>1</v>
      </c>
      <c r="AC373" s="2">
        <v>9</v>
      </c>
      <c r="AG373" s="2">
        <v>0</v>
      </c>
      <c r="AH373" s="2">
        <v>9</v>
      </c>
      <c r="AI373" s="2">
        <v>0</v>
      </c>
      <c r="AK373">
        <v>5371230</v>
      </c>
      <c r="AL373" t="s">
        <v>473</v>
      </c>
    </row>
    <row r="374" spans="1:38" x14ac:dyDescent="0.25">
      <c r="A374" s="1">
        <v>45763</v>
      </c>
      <c r="B374" s="1">
        <v>45762</v>
      </c>
      <c r="C374" t="s">
        <v>252</v>
      </c>
      <c r="D374" t="s">
        <v>39</v>
      </c>
      <c r="E374" t="s">
        <v>40</v>
      </c>
      <c r="F374">
        <v>43677</v>
      </c>
      <c r="H374" t="s">
        <v>41</v>
      </c>
      <c r="I374" s="5" t="s">
        <v>804</v>
      </c>
      <c r="J374" t="s">
        <v>569</v>
      </c>
      <c r="M374" t="s">
        <v>43</v>
      </c>
      <c r="O374">
        <v>45612</v>
      </c>
      <c r="P374" t="s">
        <v>99</v>
      </c>
      <c r="Q374" t="s">
        <v>250</v>
      </c>
      <c r="R374" t="s">
        <v>54</v>
      </c>
      <c r="S374" s="1">
        <v>45536</v>
      </c>
      <c r="T374" s="1">
        <v>45792</v>
      </c>
      <c r="U374" t="s">
        <v>47</v>
      </c>
      <c r="V374">
        <v>1</v>
      </c>
      <c r="W374" s="1">
        <v>45757</v>
      </c>
      <c r="X374" t="s">
        <v>48</v>
      </c>
      <c r="Y374" s="2">
        <v>1</v>
      </c>
      <c r="Z374" s="2">
        <v>1</v>
      </c>
      <c r="AB374" s="3">
        <v>1</v>
      </c>
      <c r="AC374" s="2">
        <v>9</v>
      </c>
      <c r="AG374" s="2">
        <v>0</v>
      </c>
      <c r="AH374" s="2">
        <v>9</v>
      </c>
      <c r="AI374" s="2">
        <v>0</v>
      </c>
      <c r="AK374">
        <v>5370479</v>
      </c>
      <c r="AL374" t="s">
        <v>473</v>
      </c>
    </row>
    <row r="375" spans="1:38" x14ac:dyDescent="0.25">
      <c r="A375" s="1">
        <v>45763</v>
      </c>
      <c r="B375" s="1">
        <v>45762</v>
      </c>
      <c r="C375" t="s">
        <v>252</v>
      </c>
      <c r="D375" t="s">
        <v>39</v>
      </c>
      <c r="E375" t="s">
        <v>40</v>
      </c>
      <c r="F375">
        <v>43677</v>
      </c>
      <c r="H375" t="s">
        <v>41</v>
      </c>
      <c r="I375" s="5" t="s">
        <v>829</v>
      </c>
      <c r="J375" t="s">
        <v>546</v>
      </c>
      <c r="M375" t="s">
        <v>43</v>
      </c>
      <c r="O375">
        <v>45612</v>
      </c>
      <c r="P375" t="s">
        <v>99</v>
      </c>
      <c r="Q375" t="s">
        <v>250</v>
      </c>
      <c r="R375" t="s">
        <v>54</v>
      </c>
      <c r="S375" s="1">
        <v>45536</v>
      </c>
      <c r="T375" s="1">
        <v>45792</v>
      </c>
      <c r="U375" t="s">
        <v>47</v>
      </c>
      <c r="V375">
        <v>1</v>
      </c>
      <c r="W375" s="1">
        <v>45757</v>
      </c>
      <c r="X375" t="s">
        <v>48</v>
      </c>
      <c r="Y375" s="2">
        <v>1</v>
      </c>
      <c r="Z375" s="2">
        <v>1</v>
      </c>
      <c r="AB375" s="3">
        <v>1</v>
      </c>
      <c r="AC375" s="2">
        <v>9</v>
      </c>
      <c r="AG375" s="2">
        <v>0</v>
      </c>
      <c r="AH375" s="2">
        <v>9</v>
      </c>
      <c r="AI375" s="2">
        <v>0</v>
      </c>
      <c r="AK375">
        <v>5370813</v>
      </c>
      <c r="AL375" t="s">
        <v>473</v>
      </c>
    </row>
    <row r="376" spans="1:38" x14ac:dyDescent="0.25">
      <c r="A376" s="1">
        <v>45763</v>
      </c>
      <c r="B376" s="1">
        <v>45762</v>
      </c>
      <c r="C376" t="s">
        <v>252</v>
      </c>
      <c r="D376" t="s">
        <v>39</v>
      </c>
      <c r="E376" t="s">
        <v>40</v>
      </c>
      <c r="F376">
        <v>43677</v>
      </c>
      <c r="H376" t="s">
        <v>41</v>
      </c>
      <c r="I376" s="5" t="s">
        <v>779</v>
      </c>
      <c r="J376" t="s">
        <v>589</v>
      </c>
      <c r="M376" t="s">
        <v>43</v>
      </c>
      <c r="O376">
        <v>45612</v>
      </c>
      <c r="P376" t="s">
        <v>99</v>
      </c>
      <c r="Q376" t="s">
        <v>45</v>
      </c>
      <c r="R376" t="s">
        <v>54</v>
      </c>
      <c r="S376" s="1">
        <v>45474</v>
      </c>
      <c r="T376" s="1">
        <v>45792</v>
      </c>
      <c r="U376" t="s">
        <v>47</v>
      </c>
      <c r="V376">
        <v>1</v>
      </c>
      <c r="W376" s="1">
        <v>45757</v>
      </c>
      <c r="X376" t="s">
        <v>48</v>
      </c>
      <c r="Y376" s="2">
        <v>1</v>
      </c>
      <c r="Z376" s="2">
        <v>1</v>
      </c>
      <c r="AB376" s="3">
        <v>1</v>
      </c>
      <c r="AC376" s="2">
        <v>9</v>
      </c>
      <c r="AG376" s="2">
        <v>0</v>
      </c>
      <c r="AH376" s="2">
        <v>9</v>
      </c>
      <c r="AI376" s="2">
        <v>0</v>
      </c>
      <c r="AK376">
        <v>5370221</v>
      </c>
      <c r="AL376" t="s">
        <v>473</v>
      </c>
    </row>
    <row r="377" spans="1:38" x14ac:dyDescent="0.25">
      <c r="A377" s="1">
        <v>45763</v>
      </c>
      <c r="B377" s="1">
        <v>45762</v>
      </c>
      <c r="C377" t="s">
        <v>252</v>
      </c>
      <c r="D377" t="s">
        <v>39</v>
      </c>
      <c r="E377" t="s">
        <v>40</v>
      </c>
      <c r="F377">
        <v>43677</v>
      </c>
      <c r="H377" t="s">
        <v>41</v>
      </c>
      <c r="I377" s="5" t="s">
        <v>891</v>
      </c>
      <c r="J377" t="s">
        <v>493</v>
      </c>
      <c r="M377" t="s">
        <v>43</v>
      </c>
      <c r="O377">
        <v>43682</v>
      </c>
      <c r="P377" t="s">
        <v>118</v>
      </c>
      <c r="Q377" t="s">
        <v>45</v>
      </c>
      <c r="R377" t="s">
        <v>54</v>
      </c>
      <c r="S377" s="1">
        <v>45597</v>
      </c>
      <c r="T377" s="1">
        <v>45792</v>
      </c>
      <c r="U377" t="s">
        <v>47</v>
      </c>
      <c r="V377">
        <v>1</v>
      </c>
      <c r="W377" s="1">
        <v>45757</v>
      </c>
      <c r="X377" t="s">
        <v>48</v>
      </c>
      <c r="Y377" s="2">
        <v>1</v>
      </c>
      <c r="Z377" s="2">
        <v>1</v>
      </c>
      <c r="AB377" s="3">
        <v>1</v>
      </c>
      <c r="AC377" s="2">
        <v>9</v>
      </c>
      <c r="AG377" s="2">
        <v>0</v>
      </c>
      <c r="AH377" s="2">
        <v>9</v>
      </c>
      <c r="AI377" s="2">
        <v>0</v>
      </c>
      <c r="AK377">
        <v>5371259</v>
      </c>
      <c r="AL377" t="s">
        <v>473</v>
      </c>
    </row>
    <row r="378" spans="1:38" x14ac:dyDescent="0.25">
      <c r="A378" s="1">
        <v>45763</v>
      </c>
      <c r="B378" s="1">
        <v>45762</v>
      </c>
      <c r="C378" t="s">
        <v>252</v>
      </c>
      <c r="D378" t="s">
        <v>39</v>
      </c>
      <c r="E378" t="s">
        <v>40</v>
      </c>
      <c r="F378">
        <v>43677</v>
      </c>
      <c r="H378" t="s">
        <v>41</v>
      </c>
      <c r="I378" s="5" t="s">
        <v>840</v>
      </c>
      <c r="J378" t="s">
        <v>539</v>
      </c>
      <c r="M378" t="s">
        <v>43</v>
      </c>
      <c r="O378">
        <v>45603</v>
      </c>
      <c r="P378" t="s">
        <v>218</v>
      </c>
      <c r="Q378" t="s">
        <v>45</v>
      </c>
      <c r="R378" t="s">
        <v>54</v>
      </c>
      <c r="S378" s="1">
        <v>45566</v>
      </c>
      <c r="T378" s="1">
        <v>45792</v>
      </c>
      <c r="U378" t="s">
        <v>47</v>
      </c>
      <c r="V378">
        <v>1</v>
      </c>
      <c r="W378" s="1">
        <v>45757</v>
      </c>
      <c r="X378" t="s">
        <v>48</v>
      </c>
      <c r="Y378" s="2">
        <v>1</v>
      </c>
      <c r="Z378" s="2">
        <v>1</v>
      </c>
      <c r="AB378" s="3">
        <v>1</v>
      </c>
      <c r="AC378" s="2">
        <v>9</v>
      </c>
      <c r="AG378" s="2">
        <v>0</v>
      </c>
      <c r="AH378" s="2">
        <v>9</v>
      </c>
      <c r="AI378" s="2">
        <v>0</v>
      </c>
      <c r="AK378">
        <v>5370873</v>
      </c>
      <c r="AL378" t="s">
        <v>473</v>
      </c>
    </row>
    <row r="379" spans="1:38" x14ac:dyDescent="0.25">
      <c r="A379" s="1">
        <v>45763</v>
      </c>
      <c r="B379" s="1">
        <v>45763</v>
      </c>
      <c r="C379" t="s">
        <v>38</v>
      </c>
      <c r="D379" t="s">
        <v>39</v>
      </c>
      <c r="E379" t="s">
        <v>40</v>
      </c>
      <c r="F379">
        <v>43677</v>
      </c>
      <c r="H379" t="s">
        <v>41</v>
      </c>
      <c r="I379" s="5" t="s">
        <v>693</v>
      </c>
      <c r="J379" t="s">
        <v>234</v>
      </c>
      <c r="M379" t="s">
        <v>43</v>
      </c>
      <c r="O379">
        <v>45612</v>
      </c>
      <c r="P379" t="s">
        <v>99</v>
      </c>
      <c r="Q379" t="s">
        <v>45</v>
      </c>
      <c r="R379" t="s">
        <v>54</v>
      </c>
      <c r="S379" s="1">
        <v>45778</v>
      </c>
      <c r="U379" t="s">
        <v>47</v>
      </c>
      <c r="X379" t="s">
        <v>48</v>
      </c>
      <c r="Y379" s="2">
        <v>0</v>
      </c>
      <c r="Z379" s="2">
        <v>175</v>
      </c>
      <c r="AA379">
        <v>1</v>
      </c>
      <c r="AB379" s="3">
        <v>1</v>
      </c>
      <c r="AC379" s="2">
        <v>175</v>
      </c>
      <c r="AD379" s="3">
        <v>0</v>
      </c>
      <c r="AE379" s="2">
        <v>0</v>
      </c>
      <c r="AF379" s="2">
        <v>175</v>
      </c>
      <c r="AK379">
        <v>5374506</v>
      </c>
    </row>
    <row r="380" spans="1:38" x14ac:dyDescent="0.25">
      <c r="A380" s="1">
        <v>45763</v>
      </c>
      <c r="B380" s="1">
        <v>45762</v>
      </c>
      <c r="C380" t="s">
        <v>252</v>
      </c>
      <c r="D380" t="s">
        <v>39</v>
      </c>
      <c r="E380" t="s">
        <v>40</v>
      </c>
      <c r="F380">
        <v>43677</v>
      </c>
      <c r="H380" t="s">
        <v>41</v>
      </c>
      <c r="I380" s="5" t="s">
        <v>767</v>
      </c>
      <c r="J380" t="s">
        <v>597</v>
      </c>
      <c r="M380" t="s">
        <v>43</v>
      </c>
      <c r="O380">
        <v>43682</v>
      </c>
      <c r="P380" t="s">
        <v>118</v>
      </c>
      <c r="Q380" t="s">
        <v>250</v>
      </c>
      <c r="R380" t="s">
        <v>54</v>
      </c>
      <c r="S380" s="1">
        <v>45505</v>
      </c>
      <c r="T380" s="1">
        <v>45792</v>
      </c>
      <c r="U380" t="s">
        <v>47</v>
      </c>
      <c r="V380">
        <v>1</v>
      </c>
      <c r="W380" s="1">
        <v>45757</v>
      </c>
      <c r="X380" t="s">
        <v>48</v>
      </c>
      <c r="Y380" s="2">
        <v>1</v>
      </c>
      <c r="Z380" s="2">
        <v>1</v>
      </c>
      <c r="AB380" s="3">
        <v>1</v>
      </c>
      <c r="AC380" s="2">
        <v>9</v>
      </c>
      <c r="AG380" s="2">
        <v>0</v>
      </c>
      <c r="AH380" s="2">
        <v>9</v>
      </c>
      <c r="AI380" s="2">
        <v>0</v>
      </c>
      <c r="AK380">
        <v>5370032</v>
      </c>
      <c r="AL380" t="s">
        <v>473</v>
      </c>
    </row>
    <row r="381" spans="1:38" x14ac:dyDescent="0.25">
      <c r="A381" s="1">
        <v>45763</v>
      </c>
      <c r="B381" s="1">
        <v>45762</v>
      </c>
      <c r="C381" t="s">
        <v>252</v>
      </c>
      <c r="D381" t="s">
        <v>39</v>
      </c>
      <c r="E381" t="s">
        <v>40</v>
      </c>
      <c r="F381">
        <v>43677</v>
      </c>
      <c r="H381" t="s">
        <v>41</v>
      </c>
      <c r="I381" s="5" t="s">
        <v>788</v>
      </c>
      <c r="J381" t="s">
        <v>584</v>
      </c>
      <c r="M381" t="s">
        <v>43</v>
      </c>
      <c r="O381">
        <v>45612</v>
      </c>
      <c r="P381" t="s">
        <v>99</v>
      </c>
      <c r="Q381" t="s">
        <v>250</v>
      </c>
      <c r="R381" t="s">
        <v>54</v>
      </c>
      <c r="S381" s="1">
        <v>45474</v>
      </c>
      <c r="T381" s="1">
        <v>45792</v>
      </c>
      <c r="U381" t="s">
        <v>47</v>
      </c>
      <c r="V381">
        <v>1</v>
      </c>
      <c r="W381" s="1">
        <v>45757</v>
      </c>
      <c r="X381" t="s">
        <v>48</v>
      </c>
      <c r="Y381" s="2">
        <v>1</v>
      </c>
      <c r="Z381" s="2">
        <v>1</v>
      </c>
      <c r="AB381" s="3">
        <v>1</v>
      </c>
      <c r="AC381" s="2">
        <v>9</v>
      </c>
      <c r="AG381" s="2">
        <v>0</v>
      </c>
      <c r="AH381" s="2">
        <v>9</v>
      </c>
      <c r="AI381" s="2">
        <v>0</v>
      </c>
      <c r="AK381">
        <v>5370320</v>
      </c>
      <c r="AL381" t="s">
        <v>473</v>
      </c>
    </row>
    <row r="382" spans="1:38" x14ac:dyDescent="0.25">
      <c r="A382" s="1">
        <v>45756</v>
      </c>
      <c r="B382" s="1">
        <v>45756</v>
      </c>
      <c r="C382" t="s">
        <v>146</v>
      </c>
      <c r="D382" t="s">
        <v>39</v>
      </c>
      <c r="E382" t="s">
        <v>40</v>
      </c>
      <c r="F382">
        <v>43677</v>
      </c>
      <c r="H382" t="s">
        <v>41</v>
      </c>
      <c r="I382" s="5" t="s">
        <v>666</v>
      </c>
      <c r="J382" t="s">
        <v>154</v>
      </c>
      <c r="M382" t="s">
        <v>43</v>
      </c>
      <c r="O382">
        <v>45613</v>
      </c>
      <c r="P382" t="s">
        <v>65</v>
      </c>
      <c r="Q382" t="s">
        <v>148</v>
      </c>
      <c r="R382" t="s">
        <v>54</v>
      </c>
      <c r="S382" s="1">
        <v>45658</v>
      </c>
      <c r="U382" t="s">
        <v>47</v>
      </c>
      <c r="X382" t="s">
        <v>48</v>
      </c>
      <c r="Y382" s="2">
        <v>0</v>
      </c>
      <c r="Z382">
        <v>-131.25</v>
      </c>
      <c r="AA382">
        <v>1</v>
      </c>
      <c r="AB382" s="3">
        <v>1</v>
      </c>
      <c r="AC382">
        <v>-131.25</v>
      </c>
      <c r="AD382" s="3">
        <v>0</v>
      </c>
      <c r="AE382" s="2">
        <v>0</v>
      </c>
      <c r="AF382" s="2">
        <v>175</v>
      </c>
      <c r="AG382" s="2"/>
      <c r="AJ382" s="2"/>
    </row>
    <row r="383" spans="1:38" x14ac:dyDescent="0.25">
      <c r="A383" s="1">
        <v>45763</v>
      </c>
      <c r="B383" s="1">
        <v>45762</v>
      </c>
      <c r="C383" t="s">
        <v>252</v>
      </c>
      <c r="D383" t="s">
        <v>39</v>
      </c>
      <c r="E383" t="s">
        <v>40</v>
      </c>
      <c r="F383">
        <v>43677</v>
      </c>
      <c r="H383" t="s">
        <v>41</v>
      </c>
      <c r="I383" s="5" t="s">
        <v>775</v>
      </c>
      <c r="J383" t="s">
        <v>592</v>
      </c>
      <c r="M383" t="s">
        <v>43</v>
      </c>
      <c r="O383">
        <v>45603</v>
      </c>
      <c r="P383" t="s">
        <v>218</v>
      </c>
      <c r="Q383" t="s">
        <v>45</v>
      </c>
      <c r="R383" t="s">
        <v>54</v>
      </c>
      <c r="S383" s="1">
        <v>45474</v>
      </c>
      <c r="T383" s="1">
        <v>45792</v>
      </c>
      <c r="U383" t="s">
        <v>47</v>
      </c>
      <c r="V383">
        <v>1</v>
      </c>
      <c r="W383" s="1">
        <v>45757</v>
      </c>
      <c r="X383" t="s">
        <v>48</v>
      </c>
      <c r="Y383" s="2">
        <v>1</v>
      </c>
      <c r="Z383" s="2">
        <v>1</v>
      </c>
      <c r="AB383" s="3">
        <v>1</v>
      </c>
      <c r="AC383" s="2">
        <v>9</v>
      </c>
      <c r="AG383" s="2">
        <v>0</v>
      </c>
      <c r="AH383" s="2">
        <v>9</v>
      </c>
      <c r="AI383" s="2">
        <v>0</v>
      </c>
      <c r="AK383">
        <v>5370165</v>
      </c>
      <c r="AL383" t="s">
        <v>473</v>
      </c>
    </row>
    <row r="384" spans="1:38" x14ac:dyDescent="0.25">
      <c r="A384" s="1">
        <v>45756</v>
      </c>
      <c r="B384" s="1">
        <v>45756</v>
      </c>
      <c r="C384" t="s">
        <v>146</v>
      </c>
      <c r="D384" t="s">
        <v>39</v>
      </c>
      <c r="E384" t="s">
        <v>40</v>
      </c>
      <c r="F384">
        <v>43677</v>
      </c>
      <c r="H384" t="s">
        <v>41</v>
      </c>
      <c r="I384" s="5" t="s">
        <v>670</v>
      </c>
      <c r="J384" t="s">
        <v>155</v>
      </c>
      <c r="M384" t="s">
        <v>43</v>
      </c>
      <c r="O384">
        <v>43589</v>
      </c>
      <c r="P384" t="s">
        <v>156</v>
      </c>
      <c r="Q384" t="s">
        <v>148</v>
      </c>
      <c r="R384" t="s">
        <v>54</v>
      </c>
      <c r="S384" s="1">
        <v>45689</v>
      </c>
      <c r="U384" t="s">
        <v>47</v>
      </c>
      <c r="X384" t="s">
        <v>48</v>
      </c>
      <c r="Y384" s="2">
        <v>0</v>
      </c>
      <c r="Z384">
        <v>-145.25</v>
      </c>
      <c r="AA384">
        <v>1</v>
      </c>
      <c r="AB384" s="3">
        <v>1</v>
      </c>
      <c r="AC384">
        <v>-145.25</v>
      </c>
      <c r="AD384" s="3">
        <v>0</v>
      </c>
      <c r="AE384" s="2">
        <v>0</v>
      </c>
      <c r="AF384" s="2">
        <v>175</v>
      </c>
      <c r="AG384" s="2"/>
      <c r="AJ384" s="2"/>
    </row>
    <row r="385" spans="1:38" x14ac:dyDescent="0.25">
      <c r="A385" s="1">
        <v>45763</v>
      </c>
      <c r="B385" s="1">
        <v>45762</v>
      </c>
      <c r="C385" t="s">
        <v>252</v>
      </c>
      <c r="D385" t="s">
        <v>39</v>
      </c>
      <c r="E385" t="s">
        <v>40</v>
      </c>
      <c r="F385">
        <v>43677</v>
      </c>
      <c r="H385" t="s">
        <v>41</v>
      </c>
      <c r="I385" s="5" t="s">
        <v>825</v>
      </c>
      <c r="J385" t="s">
        <v>550</v>
      </c>
      <c r="M385" t="s">
        <v>43</v>
      </c>
      <c r="O385">
        <v>45717</v>
      </c>
      <c r="P385" t="s">
        <v>113</v>
      </c>
      <c r="Q385" t="s">
        <v>250</v>
      </c>
      <c r="R385" t="s">
        <v>54</v>
      </c>
      <c r="S385" s="1">
        <v>45536</v>
      </c>
      <c r="T385" s="1">
        <v>45792</v>
      </c>
      <c r="U385" t="s">
        <v>47</v>
      </c>
      <c r="V385">
        <v>1</v>
      </c>
      <c r="W385" s="1">
        <v>45757</v>
      </c>
      <c r="X385" t="s">
        <v>48</v>
      </c>
      <c r="Y385" s="2">
        <v>1</v>
      </c>
      <c r="Z385" s="2">
        <v>1</v>
      </c>
      <c r="AB385" s="3">
        <v>1</v>
      </c>
      <c r="AC385" s="2">
        <v>9</v>
      </c>
      <c r="AG385" s="2">
        <v>0</v>
      </c>
      <c r="AH385" s="2">
        <v>9</v>
      </c>
      <c r="AI385" s="2">
        <v>0</v>
      </c>
      <c r="AK385">
        <v>5370781</v>
      </c>
      <c r="AL385" t="s">
        <v>473</v>
      </c>
    </row>
    <row r="386" spans="1:38" x14ac:dyDescent="0.25">
      <c r="A386" s="1">
        <v>45763</v>
      </c>
      <c r="B386" s="1">
        <v>45763</v>
      </c>
      <c r="C386" t="s">
        <v>38</v>
      </c>
      <c r="D386" t="s">
        <v>39</v>
      </c>
      <c r="E386" t="s">
        <v>40</v>
      </c>
      <c r="F386">
        <v>43677</v>
      </c>
      <c r="H386" t="s">
        <v>41</v>
      </c>
      <c r="I386" s="5" t="s">
        <v>685</v>
      </c>
      <c r="J386" t="s">
        <v>242</v>
      </c>
      <c r="M386" t="s">
        <v>43</v>
      </c>
      <c r="O386">
        <v>45612</v>
      </c>
      <c r="P386" t="s">
        <v>99</v>
      </c>
      <c r="Q386" t="s">
        <v>45</v>
      </c>
      <c r="R386" t="s">
        <v>54</v>
      </c>
      <c r="S386" s="1">
        <v>45748</v>
      </c>
      <c r="U386" t="s">
        <v>47</v>
      </c>
      <c r="X386" t="s">
        <v>48</v>
      </c>
      <c r="Y386" s="2">
        <v>0</v>
      </c>
      <c r="Z386" s="2">
        <v>175</v>
      </c>
      <c r="AA386">
        <v>1</v>
      </c>
      <c r="AB386" s="3">
        <v>1</v>
      </c>
      <c r="AC386" s="2">
        <v>175</v>
      </c>
      <c r="AD386" s="3">
        <v>0</v>
      </c>
      <c r="AE386" s="2">
        <v>0</v>
      </c>
      <c r="AF386" s="2">
        <v>175</v>
      </c>
      <c r="AK386">
        <v>5374479</v>
      </c>
    </row>
    <row r="387" spans="1:38" x14ac:dyDescent="0.25">
      <c r="A387" s="1">
        <v>45763</v>
      </c>
      <c r="B387" s="1">
        <v>45763</v>
      </c>
      <c r="C387" t="s">
        <v>38</v>
      </c>
      <c r="D387" t="s">
        <v>39</v>
      </c>
      <c r="E387" t="s">
        <v>40</v>
      </c>
      <c r="F387">
        <v>43677</v>
      </c>
      <c r="H387" t="s">
        <v>41</v>
      </c>
      <c r="I387" s="5" t="s">
        <v>699</v>
      </c>
      <c r="J387" t="s">
        <v>229</v>
      </c>
      <c r="M387" t="s">
        <v>43</v>
      </c>
      <c r="O387">
        <v>43969</v>
      </c>
      <c r="P387" t="s">
        <v>74</v>
      </c>
      <c r="Q387" t="s">
        <v>45</v>
      </c>
      <c r="R387" t="s">
        <v>54</v>
      </c>
      <c r="S387" s="1">
        <v>45778</v>
      </c>
      <c r="U387" t="s">
        <v>47</v>
      </c>
      <c r="X387" t="s">
        <v>48</v>
      </c>
      <c r="Y387" s="2">
        <v>0</v>
      </c>
      <c r="Z387" s="2">
        <v>175</v>
      </c>
      <c r="AA387">
        <v>1</v>
      </c>
      <c r="AB387" s="3">
        <v>1</v>
      </c>
      <c r="AC387" s="2">
        <v>175</v>
      </c>
      <c r="AD387" s="3">
        <v>0</v>
      </c>
      <c r="AE387" s="2">
        <v>0</v>
      </c>
      <c r="AF387" s="2">
        <v>175</v>
      </c>
      <c r="AK387">
        <v>5374540</v>
      </c>
    </row>
    <row r="388" spans="1:38" x14ac:dyDescent="0.25">
      <c r="A388" s="1">
        <v>45763</v>
      </c>
      <c r="B388" s="1">
        <v>45763</v>
      </c>
      <c r="C388" t="s">
        <v>38</v>
      </c>
      <c r="D388" t="s">
        <v>39</v>
      </c>
      <c r="E388" t="s">
        <v>40</v>
      </c>
      <c r="F388">
        <v>43677</v>
      </c>
      <c r="H388" t="s">
        <v>41</v>
      </c>
      <c r="I388" s="5" t="s">
        <v>680</v>
      </c>
      <c r="J388" t="s">
        <v>247</v>
      </c>
      <c r="M388" t="s">
        <v>43</v>
      </c>
      <c r="O388">
        <v>45638</v>
      </c>
      <c r="P388" t="s">
        <v>63</v>
      </c>
      <c r="Q388" t="s">
        <v>45</v>
      </c>
      <c r="R388" t="s">
        <v>54</v>
      </c>
      <c r="S388" s="1">
        <v>45658</v>
      </c>
      <c r="U388" t="s">
        <v>47</v>
      </c>
      <c r="X388" t="s">
        <v>48</v>
      </c>
      <c r="Y388" s="2">
        <v>0</v>
      </c>
      <c r="Z388" s="2">
        <v>175</v>
      </c>
      <c r="AA388">
        <v>1</v>
      </c>
      <c r="AB388" s="3">
        <v>1</v>
      </c>
      <c r="AC388" s="2">
        <v>175</v>
      </c>
      <c r="AD388" s="3">
        <v>0</v>
      </c>
      <c r="AE388" s="2">
        <v>0</v>
      </c>
      <c r="AF388" s="2">
        <v>175</v>
      </c>
      <c r="AK388">
        <v>5374393</v>
      </c>
    </row>
    <row r="389" spans="1:38" x14ac:dyDescent="0.25">
      <c r="A389" s="1">
        <v>45763</v>
      </c>
      <c r="B389" s="1">
        <v>45762</v>
      </c>
      <c r="C389" t="s">
        <v>252</v>
      </c>
      <c r="D389" t="s">
        <v>39</v>
      </c>
      <c r="E389" t="s">
        <v>40</v>
      </c>
      <c r="F389">
        <v>43677</v>
      </c>
      <c r="H389" t="s">
        <v>41</v>
      </c>
      <c r="I389" s="5" t="s">
        <v>797</v>
      </c>
      <c r="J389" t="s">
        <v>576</v>
      </c>
      <c r="M389" t="s">
        <v>43</v>
      </c>
      <c r="O389">
        <v>45603</v>
      </c>
      <c r="P389" t="s">
        <v>218</v>
      </c>
      <c r="Q389" t="s">
        <v>45</v>
      </c>
      <c r="R389" t="s">
        <v>54</v>
      </c>
      <c r="S389" s="1">
        <v>45474</v>
      </c>
      <c r="T389" s="1">
        <v>45792</v>
      </c>
      <c r="U389" t="s">
        <v>47</v>
      </c>
      <c r="V389">
        <v>1</v>
      </c>
      <c r="W389" s="1">
        <v>45757</v>
      </c>
      <c r="X389" t="s">
        <v>48</v>
      </c>
      <c r="Y389" s="2">
        <v>1</v>
      </c>
      <c r="Z389" s="2">
        <v>1</v>
      </c>
      <c r="AB389" s="3">
        <v>1</v>
      </c>
      <c r="AC389" s="2">
        <v>9</v>
      </c>
      <c r="AG389" s="2">
        <v>0</v>
      </c>
      <c r="AH389" s="2">
        <v>9</v>
      </c>
      <c r="AI389" s="2">
        <v>0</v>
      </c>
      <c r="AK389">
        <v>5370360</v>
      </c>
      <c r="AL389" t="s">
        <v>473</v>
      </c>
    </row>
    <row r="390" spans="1:38" x14ac:dyDescent="0.25">
      <c r="A390" s="1">
        <v>45756</v>
      </c>
      <c r="B390" s="1">
        <v>45756</v>
      </c>
      <c r="C390" t="s">
        <v>38</v>
      </c>
      <c r="D390" t="s">
        <v>39</v>
      </c>
      <c r="E390" t="s">
        <v>40</v>
      </c>
      <c r="F390">
        <v>43677</v>
      </c>
      <c r="H390" t="s">
        <v>41</v>
      </c>
      <c r="I390" s="5" t="s">
        <v>639</v>
      </c>
      <c r="J390" t="s">
        <v>78</v>
      </c>
      <c r="M390" t="s">
        <v>43</v>
      </c>
      <c r="O390">
        <v>45632</v>
      </c>
      <c r="P390" t="s">
        <v>70</v>
      </c>
      <c r="Q390" t="s">
        <v>45</v>
      </c>
      <c r="R390" t="s">
        <v>54</v>
      </c>
      <c r="S390" s="1">
        <v>45748</v>
      </c>
      <c r="U390" t="s">
        <v>47</v>
      </c>
      <c r="X390" t="s">
        <v>48</v>
      </c>
      <c r="Y390" s="2">
        <v>0</v>
      </c>
      <c r="Z390" s="2">
        <v>175</v>
      </c>
      <c r="AA390">
        <v>1</v>
      </c>
      <c r="AB390" s="3">
        <v>1</v>
      </c>
      <c r="AC390" s="2">
        <v>175</v>
      </c>
      <c r="AD390" s="3">
        <v>0</v>
      </c>
      <c r="AE390" s="2">
        <v>0</v>
      </c>
      <c r="AF390" s="2">
        <v>175</v>
      </c>
      <c r="AK390">
        <v>5291553</v>
      </c>
    </row>
    <row r="391" spans="1:38" x14ac:dyDescent="0.25">
      <c r="A391" s="1">
        <v>45756</v>
      </c>
      <c r="B391" s="1">
        <v>45756</v>
      </c>
      <c r="C391" t="s">
        <v>38</v>
      </c>
      <c r="D391" t="s">
        <v>39</v>
      </c>
      <c r="E391" t="s">
        <v>40</v>
      </c>
      <c r="F391">
        <v>43677</v>
      </c>
      <c r="H391" t="s">
        <v>41</v>
      </c>
      <c r="I391" s="5" t="s">
        <v>623</v>
      </c>
      <c r="J391" t="s">
        <v>51</v>
      </c>
      <c r="M391" t="s">
        <v>43</v>
      </c>
      <c r="O391">
        <v>45605</v>
      </c>
      <c r="P391" t="s">
        <v>50</v>
      </c>
      <c r="Q391" t="s">
        <v>45</v>
      </c>
      <c r="R391" t="s">
        <v>46</v>
      </c>
      <c r="S391" s="1">
        <v>45748</v>
      </c>
      <c r="U391" t="s">
        <v>47</v>
      </c>
      <c r="X391" t="s">
        <v>48</v>
      </c>
      <c r="Y391" s="2">
        <v>0</v>
      </c>
      <c r="Z391" s="2">
        <v>108</v>
      </c>
      <c r="AA391">
        <v>1</v>
      </c>
      <c r="AB391" s="3">
        <v>1</v>
      </c>
      <c r="AC391" s="2">
        <v>108</v>
      </c>
      <c r="AD391" s="3">
        <v>0</v>
      </c>
      <c r="AE391" s="2">
        <v>0</v>
      </c>
      <c r="AF391" s="2">
        <v>108</v>
      </c>
      <c r="AK391">
        <v>5291448</v>
      </c>
    </row>
    <row r="392" spans="1:38" x14ac:dyDescent="0.25">
      <c r="A392" s="1">
        <v>45756</v>
      </c>
      <c r="B392" s="1">
        <v>45756</v>
      </c>
      <c r="C392" t="s">
        <v>38</v>
      </c>
      <c r="D392" t="s">
        <v>39</v>
      </c>
      <c r="E392" t="s">
        <v>40</v>
      </c>
      <c r="F392">
        <v>43677</v>
      </c>
      <c r="H392" t="s">
        <v>41</v>
      </c>
      <c r="I392" s="5" t="s">
        <v>625</v>
      </c>
      <c r="J392" t="s">
        <v>55</v>
      </c>
      <c r="M392" t="s">
        <v>43</v>
      </c>
      <c r="O392">
        <v>43644</v>
      </c>
      <c r="P392" t="s">
        <v>56</v>
      </c>
      <c r="Q392" t="s">
        <v>45</v>
      </c>
      <c r="R392" t="s">
        <v>46</v>
      </c>
      <c r="S392" s="1">
        <v>45748</v>
      </c>
      <c r="U392" t="s">
        <v>47</v>
      </c>
      <c r="X392" t="s">
        <v>48</v>
      </c>
      <c r="Y392" s="2">
        <v>0</v>
      </c>
      <c r="Z392" s="2">
        <v>108</v>
      </c>
      <c r="AA392">
        <v>1</v>
      </c>
      <c r="AB392" s="3">
        <v>1</v>
      </c>
      <c r="AC392" s="2">
        <v>108</v>
      </c>
      <c r="AD392" s="3">
        <v>0</v>
      </c>
      <c r="AE392" s="2">
        <v>0</v>
      </c>
      <c r="AF392" s="2">
        <v>108</v>
      </c>
      <c r="AK392">
        <v>5291461</v>
      </c>
    </row>
    <row r="393" spans="1:38" x14ac:dyDescent="0.25">
      <c r="A393" s="1">
        <v>45756</v>
      </c>
      <c r="B393" s="1">
        <v>45756</v>
      </c>
      <c r="C393" t="s">
        <v>146</v>
      </c>
      <c r="D393" t="s">
        <v>39</v>
      </c>
      <c r="E393" t="s">
        <v>40</v>
      </c>
      <c r="F393">
        <v>43677</v>
      </c>
      <c r="H393" t="s">
        <v>41</v>
      </c>
      <c r="I393" s="5" t="s">
        <v>665</v>
      </c>
      <c r="J393" t="s">
        <v>57</v>
      </c>
      <c r="M393" t="s">
        <v>43</v>
      </c>
      <c r="O393">
        <v>45601</v>
      </c>
      <c r="P393" t="s">
        <v>58</v>
      </c>
      <c r="Q393" t="s">
        <v>148</v>
      </c>
      <c r="R393" t="s">
        <v>46</v>
      </c>
      <c r="S393" s="1">
        <v>45658</v>
      </c>
      <c r="U393" t="s">
        <v>47</v>
      </c>
      <c r="X393" t="s">
        <v>48</v>
      </c>
      <c r="Y393" s="2">
        <v>0</v>
      </c>
      <c r="Z393">
        <v>-81</v>
      </c>
      <c r="AA393">
        <v>1</v>
      </c>
      <c r="AB393" s="3">
        <v>1</v>
      </c>
      <c r="AC393">
        <v>-81</v>
      </c>
      <c r="AD393" s="3">
        <v>0</v>
      </c>
      <c r="AE393" s="2">
        <v>0</v>
      </c>
      <c r="AF393" s="2">
        <v>108</v>
      </c>
      <c r="AG393" s="2"/>
      <c r="AJ393" s="2"/>
    </row>
    <row r="394" spans="1:38" x14ac:dyDescent="0.25">
      <c r="A394" s="1">
        <v>45756</v>
      </c>
      <c r="B394" s="1">
        <v>45756</v>
      </c>
      <c r="C394" t="s">
        <v>38</v>
      </c>
      <c r="D394" t="s">
        <v>39</v>
      </c>
      <c r="E394" t="s">
        <v>40</v>
      </c>
      <c r="F394">
        <v>43677</v>
      </c>
      <c r="H394" t="s">
        <v>41</v>
      </c>
      <c r="I394" s="5" t="s">
        <v>626</v>
      </c>
      <c r="J394" t="s">
        <v>57</v>
      </c>
      <c r="M394" t="s">
        <v>43</v>
      </c>
      <c r="O394">
        <v>45601</v>
      </c>
      <c r="P394" t="s">
        <v>58</v>
      </c>
      <c r="Q394" t="s">
        <v>45</v>
      </c>
      <c r="R394" t="s">
        <v>46</v>
      </c>
      <c r="S394" s="1">
        <v>45748</v>
      </c>
      <c r="U394" t="s">
        <v>47</v>
      </c>
      <c r="X394" t="s">
        <v>48</v>
      </c>
      <c r="Y394" s="2">
        <v>0</v>
      </c>
      <c r="Z394" s="2">
        <v>108</v>
      </c>
      <c r="AA394">
        <v>1</v>
      </c>
      <c r="AB394" s="3">
        <v>1</v>
      </c>
      <c r="AC394" s="2">
        <v>108</v>
      </c>
      <c r="AD394" s="3">
        <v>0</v>
      </c>
      <c r="AE394" s="2">
        <v>0</v>
      </c>
      <c r="AF394" s="2">
        <v>108</v>
      </c>
      <c r="AK394">
        <v>5291467</v>
      </c>
    </row>
    <row r="395" spans="1:38" x14ac:dyDescent="0.25">
      <c r="A395" s="1">
        <v>45756</v>
      </c>
      <c r="B395" s="1">
        <v>45756</v>
      </c>
      <c r="C395" t="s">
        <v>38</v>
      </c>
      <c r="D395" t="s">
        <v>39</v>
      </c>
      <c r="E395" t="s">
        <v>40</v>
      </c>
      <c r="F395">
        <v>43677</v>
      </c>
      <c r="H395" t="s">
        <v>41</v>
      </c>
      <c r="I395" s="5" t="s">
        <v>628</v>
      </c>
      <c r="J395" t="s">
        <v>60</v>
      </c>
      <c r="M395" t="s">
        <v>43</v>
      </c>
      <c r="O395">
        <v>43686</v>
      </c>
      <c r="P395" t="s">
        <v>61</v>
      </c>
      <c r="Q395" t="s">
        <v>45</v>
      </c>
      <c r="R395" t="s">
        <v>46</v>
      </c>
      <c r="S395" s="1">
        <v>45748</v>
      </c>
      <c r="U395" t="s">
        <v>47</v>
      </c>
      <c r="X395" t="s">
        <v>48</v>
      </c>
      <c r="Y395" s="2">
        <v>0</v>
      </c>
      <c r="Z395" s="2">
        <v>108</v>
      </c>
      <c r="AA395">
        <v>1</v>
      </c>
      <c r="AB395" s="3">
        <v>1</v>
      </c>
      <c r="AC395" s="2">
        <v>108</v>
      </c>
      <c r="AD395" s="3">
        <v>0</v>
      </c>
      <c r="AE395" s="2">
        <v>0</v>
      </c>
      <c r="AF395" s="2">
        <v>108</v>
      </c>
      <c r="AK395">
        <v>5291481</v>
      </c>
    </row>
    <row r="396" spans="1:38" x14ac:dyDescent="0.25">
      <c r="A396" s="1">
        <v>45763</v>
      </c>
      <c r="B396" s="1">
        <v>45762</v>
      </c>
      <c r="C396" t="s">
        <v>252</v>
      </c>
      <c r="D396" t="s">
        <v>39</v>
      </c>
      <c r="E396" t="s">
        <v>40</v>
      </c>
      <c r="F396">
        <v>43677</v>
      </c>
      <c r="H396" t="s">
        <v>41</v>
      </c>
      <c r="I396" s="5" t="s">
        <v>752</v>
      </c>
      <c r="J396" t="s">
        <v>612</v>
      </c>
      <c r="M396" t="s">
        <v>43</v>
      </c>
      <c r="O396">
        <v>45632</v>
      </c>
      <c r="P396" t="s">
        <v>70</v>
      </c>
      <c r="Q396" t="s">
        <v>250</v>
      </c>
      <c r="R396" t="s">
        <v>46</v>
      </c>
      <c r="S396" s="1">
        <v>45474</v>
      </c>
      <c r="T396" s="1">
        <v>45792</v>
      </c>
      <c r="U396" t="s">
        <v>47</v>
      </c>
      <c r="V396">
        <v>1</v>
      </c>
      <c r="W396" s="1">
        <v>45757</v>
      </c>
      <c r="X396" t="s">
        <v>48</v>
      </c>
      <c r="Y396" s="2">
        <v>1</v>
      </c>
      <c r="Z396" s="2">
        <v>1</v>
      </c>
      <c r="AB396" s="3">
        <v>1</v>
      </c>
      <c r="AC396" s="2">
        <v>9</v>
      </c>
      <c r="AG396" s="2">
        <v>0</v>
      </c>
      <c r="AH396" s="2">
        <v>9</v>
      </c>
      <c r="AI396" s="2">
        <v>0</v>
      </c>
      <c r="AK396">
        <v>5362711</v>
      </c>
      <c r="AL396" t="s">
        <v>473</v>
      </c>
    </row>
    <row r="397" spans="1:38" x14ac:dyDescent="0.25">
      <c r="A397" s="1">
        <v>45763</v>
      </c>
      <c r="B397" s="1">
        <v>45762</v>
      </c>
      <c r="C397" t="s">
        <v>252</v>
      </c>
      <c r="D397" t="s">
        <v>39</v>
      </c>
      <c r="E397" t="s">
        <v>40</v>
      </c>
      <c r="F397">
        <v>43677</v>
      </c>
      <c r="H397" t="s">
        <v>41</v>
      </c>
      <c r="I397" s="5" t="s">
        <v>747</v>
      </c>
      <c r="J397" t="s">
        <v>617</v>
      </c>
      <c r="M397" t="s">
        <v>43</v>
      </c>
      <c r="O397">
        <v>45709</v>
      </c>
      <c r="P397" t="s">
        <v>137</v>
      </c>
      <c r="Q397" t="s">
        <v>250</v>
      </c>
      <c r="R397" t="s">
        <v>46</v>
      </c>
      <c r="S397" s="1">
        <v>45536</v>
      </c>
      <c r="T397" s="1">
        <v>45792</v>
      </c>
      <c r="U397" t="s">
        <v>47</v>
      </c>
      <c r="V397">
        <v>1</v>
      </c>
      <c r="W397" s="1">
        <v>45757</v>
      </c>
      <c r="X397" t="s">
        <v>48</v>
      </c>
      <c r="Y397" s="2">
        <v>1</v>
      </c>
      <c r="Z397" s="2">
        <v>1</v>
      </c>
      <c r="AB397" s="3">
        <v>1</v>
      </c>
      <c r="AC397" s="2">
        <v>9</v>
      </c>
      <c r="AG397" s="2">
        <v>0</v>
      </c>
      <c r="AH397" s="2">
        <v>9</v>
      </c>
      <c r="AI397" s="2">
        <v>0</v>
      </c>
      <c r="AK397">
        <v>5353869</v>
      </c>
      <c r="AL397" t="s">
        <v>473</v>
      </c>
    </row>
    <row r="398" spans="1:38" x14ac:dyDescent="0.25">
      <c r="A398" s="1">
        <v>45763</v>
      </c>
      <c r="B398" s="1">
        <v>45762</v>
      </c>
      <c r="C398" t="s">
        <v>252</v>
      </c>
      <c r="D398" t="s">
        <v>39</v>
      </c>
      <c r="E398" t="s">
        <v>40</v>
      </c>
      <c r="F398">
        <v>43677</v>
      </c>
      <c r="H398" t="s">
        <v>41</v>
      </c>
      <c r="I398" s="5" t="s">
        <v>762</v>
      </c>
      <c r="J398" t="s">
        <v>603</v>
      </c>
      <c r="M398" t="s">
        <v>43</v>
      </c>
      <c r="O398">
        <v>45712</v>
      </c>
      <c r="P398" t="s">
        <v>106</v>
      </c>
      <c r="Q398" t="s">
        <v>45</v>
      </c>
      <c r="R398" t="s">
        <v>46</v>
      </c>
      <c r="S398" s="1">
        <v>45566</v>
      </c>
      <c r="T398" s="1">
        <v>45792</v>
      </c>
      <c r="U398" t="s">
        <v>47</v>
      </c>
      <c r="V398">
        <v>1</v>
      </c>
      <c r="W398" s="1">
        <v>45757</v>
      </c>
      <c r="X398" t="s">
        <v>48</v>
      </c>
      <c r="Y398" s="2">
        <v>1</v>
      </c>
      <c r="Z398" s="2">
        <v>1</v>
      </c>
      <c r="AB398" s="3">
        <v>1</v>
      </c>
      <c r="AC398" s="2">
        <v>9</v>
      </c>
      <c r="AG398" s="2">
        <v>0</v>
      </c>
      <c r="AH398" s="2">
        <v>9</v>
      </c>
      <c r="AI398" s="2">
        <v>0</v>
      </c>
      <c r="AK398">
        <v>5369922</v>
      </c>
      <c r="AL398" t="s">
        <v>473</v>
      </c>
    </row>
    <row r="399" spans="1:38" x14ac:dyDescent="0.25">
      <c r="A399" s="1">
        <v>45763</v>
      </c>
      <c r="B399" s="1">
        <v>45762</v>
      </c>
      <c r="C399" t="s">
        <v>252</v>
      </c>
      <c r="D399" t="s">
        <v>39</v>
      </c>
      <c r="E399" t="s">
        <v>40</v>
      </c>
      <c r="F399">
        <v>43677</v>
      </c>
      <c r="H399" t="s">
        <v>41</v>
      </c>
      <c r="I399" s="5" t="s">
        <v>756</v>
      </c>
      <c r="J399" t="s">
        <v>609</v>
      </c>
      <c r="M399" t="s">
        <v>43</v>
      </c>
      <c r="O399">
        <v>45603</v>
      </c>
      <c r="P399" t="s">
        <v>218</v>
      </c>
      <c r="Q399" t="s">
        <v>45</v>
      </c>
      <c r="R399" t="s">
        <v>46</v>
      </c>
      <c r="S399" s="1">
        <v>45505</v>
      </c>
      <c r="T399" s="1">
        <v>45792</v>
      </c>
      <c r="U399" t="s">
        <v>47</v>
      </c>
      <c r="V399">
        <v>1</v>
      </c>
      <c r="W399" s="1">
        <v>45757</v>
      </c>
      <c r="X399" t="s">
        <v>48</v>
      </c>
      <c r="Y399" s="2">
        <v>1</v>
      </c>
      <c r="Z399" s="2">
        <v>1</v>
      </c>
      <c r="AB399" s="3">
        <v>1</v>
      </c>
      <c r="AC399" s="2">
        <v>9</v>
      </c>
      <c r="AG399" s="2">
        <v>0</v>
      </c>
      <c r="AH399" s="2">
        <v>9</v>
      </c>
      <c r="AI399" s="2">
        <v>0</v>
      </c>
      <c r="AK399">
        <v>5366131</v>
      </c>
      <c r="AL399" t="s">
        <v>473</v>
      </c>
    </row>
    <row r="400" spans="1:38" x14ac:dyDescent="0.25">
      <c r="A400" s="1">
        <v>45756</v>
      </c>
      <c r="B400" s="1">
        <v>45756</v>
      </c>
      <c r="C400" t="s">
        <v>146</v>
      </c>
      <c r="D400" t="s">
        <v>39</v>
      </c>
      <c r="E400" t="s">
        <v>40</v>
      </c>
      <c r="F400">
        <v>43677</v>
      </c>
      <c r="H400" t="s">
        <v>41</v>
      </c>
      <c r="I400" s="5" t="s">
        <v>663</v>
      </c>
      <c r="J400" t="s">
        <v>151</v>
      </c>
      <c r="M400" t="s">
        <v>43</v>
      </c>
      <c r="O400">
        <v>45642</v>
      </c>
      <c r="P400" t="s">
        <v>152</v>
      </c>
      <c r="Q400" t="s">
        <v>148</v>
      </c>
      <c r="R400" t="s">
        <v>46</v>
      </c>
      <c r="S400" s="1">
        <v>45658</v>
      </c>
      <c r="U400" t="s">
        <v>47</v>
      </c>
      <c r="X400" t="s">
        <v>48</v>
      </c>
      <c r="Y400" s="2">
        <v>0</v>
      </c>
      <c r="Z400">
        <v>-81</v>
      </c>
      <c r="AA400">
        <v>1</v>
      </c>
      <c r="AB400" s="3">
        <v>1</v>
      </c>
      <c r="AC400">
        <v>-81</v>
      </c>
      <c r="AD400" s="3">
        <v>0</v>
      </c>
      <c r="AE400" s="2">
        <v>0</v>
      </c>
      <c r="AF400" s="2">
        <v>108</v>
      </c>
      <c r="AG400" s="2"/>
      <c r="AJ400" s="2"/>
    </row>
    <row r="401" spans="1:38" x14ac:dyDescent="0.25">
      <c r="A401" s="1">
        <v>45756</v>
      </c>
      <c r="B401" s="1">
        <v>45756</v>
      </c>
      <c r="C401" t="s">
        <v>38</v>
      </c>
      <c r="D401" t="s">
        <v>39</v>
      </c>
      <c r="E401" t="s">
        <v>40</v>
      </c>
      <c r="F401">
        <v>43677</v>
      </c>
      <c r="H401" t="s">
        <v>41</v>
      </c>
      <c r="I401" s="5" t="s">
        <v>622</v>
      </c>
      <c r="J401" t="s">
        <v>49</v>
      </c>
      <c r="M401" t="s">
        <v>43</v>
      </c>
      <c r="O401">
        <v>45605</v>
      </c>
      <c r="P401" t="s">
        <v>50</v>
      </c>
      <c r="Q401" t="s">
        <v>45</v>
      </c>
      <c r="R401" t="s">
        <v>46</v>
      </c>
      <c r="S401" s="1">
        <v>45748</v>
      </c>
      <c r="U401" t="s">
        <v>47</v>
      </c>
      <c r="X401" t="s">
        <v>48</v>
      </c>
      <c r="Y401" s="2">
        <v>0</v>
      </c>
      <c r="Z401" s="2">
        <v>108</v>
      </c>
      <c r="AA401">
        <v>1</v>
      </c>
      <c r="AB401" s="3">
        <v>1</v>
      </c>
      <c r="AC401" s="2">
        <v>108</v>
      </c>
      <c r="AD401" s="3">
        <v>0</v>
      </c>
      <c r="AE401" s="2">
        <v>0</v>
      </c>
      <c r="AF401" s="2">
        <v>108</v>
      </c>
      <c r="AK401">
        <v>5291406</v>
      </c>
    </row>
    <row r="402" spans="1:38" x14ac:dyDescent="0.25">
      <c r="A402" s="1">
        <v>45756</v>
      </c>
      <c r="B402" s="1">
        <v>45756</v>
      </c>
      <c r="C402" t="s">
        <v>38</v>
      </c>
      <c r="D402" t="s">
        <v>39</v>
      </c>
      <c r="E402" t="s">
        <v>40</v>
      </c>
      <c r="F402">
        <v>43677</v>
      </c>
      <c r="H402" t="s">
        <v>41</v>
      </c>
      <c r="I402" s="5" t="s">
        <v>631</v>
      </c>
      <c r="J402" t="s">
        <v>66</v>
      </c>
      <c r="M402" t="s">
        <v>43</v>
      </c>
      <c r="O402">
        <v>45613</v>
      </c>
      <c r="P402" t="s">
        <v>65</v>
      </c>
      <c r="Q402" t="s">
        <v>45</v>
      </c>
      <c r="R402" t="s">
        <v>46</v>
      </c>
      <c r="S402" s="1">
        <v>45748</v>
      </c>
      <c r="U402" t="s">
        <v>47</v>
      </c>
      <c r="X402" t="s">
        <v>48</v>
      </c>
      <c r="Y402" s="2">
        <v>0</v>
      </c>
      <c r="Z402" s="2">
        <v>108</v>
      </c>
      <c r="AA402">
        <v>1</v>
      </c>
      <c r="AB402" s="3">
        <v>1</v>
      </c>
      <c r="AC402" s="2">
        <v>108</v>
      </c>
      <c r="AD402" s="3">
        <v>0</v>
      </c>
      <c r="AE402" s="2">
        <v>0</v>
      </c>
      <c r="AF402" s="2">
        <v>108</v>
      </c>
      <c r="AK402">
        <v>5291492</v>
      </c>
    </row>
    <row r="403" spans="1:38" x14ac:dyDescent="0.25">
      <c r="A403" s="1">
        <v>45756</v>
      </c>
      <c r="B403" s="1">
        <v>45756</v>
      </c>
      <c r="C403" t="s">
        <v>38</v>
      </c>
      <c r="D403" t="s">
        <v>39</v>
      </c>
      <c r="E403" t="s">
        <v>40</v>
      </c>
      <c r="F403">
        <v>43677</v>
      </c>
      <c r="H403" t="s">
        <v>41</v>
      </c>
      <c r="I403" s="5" t="s">
        <v>627</v>
      </c>
      <c r="J403" t="s">
        <v>59</v>
      </c>
      <c r="M403" t="s">
        <v>43</v>
      </c>
      <c r="O403">
        <v>45605</v>
      </c>
      <c r="P403" t="s">
        <v>50</v>
      </c>
      <c r="Q403" t="s">
        <v>45</v>
      </c>
      <c r="R403" t="s">
        <v>46</v>
      </c>
      <c r="S403" s="1">
        <v>45748</v>
      </c>
      <c r="U403" t="s">
        <v>47</v>
      </c>
      <c r="X403" t="s">
        <v>48</v>
      </c>
      <c r="Y403" s="2">
        <v>0</v>
      </c>
      <c r="Z403" s="2">
        <v>108</v>
      </c>
      <c r="AA403">
        <v>1</v>
      </c>
      <c r="AB403" s="3">
        <v>1</v>
      </c>
      <c r="AC403" s="2">
        <v>108</v>
      </c>
      <c r="AD403" s="3">
        <v>0</v>
      </c>
      <c r="AE403" s="2">
        <v>0</v>
      </c>
      <c r="AF403" s="2">
        <v>108</v>
      </c>
      <c r="AK403">
        <v>5291470</v>
      </c>
    </row>
    <row r="404" spans="1:38" x14ac:dyDescent="0.25">
      <c r="A404" s="1">
        <v>45756</v>
      </c>
      <c r="B404" s="1">
        <v>45756</v>
      </c>
      <c r="C404" t="s">
        <v>38</v>
      </c>
      <c r="D404" t="s">
        <v>39</v>
      </c>
      <c r="E404" t="s">
        <v>40</v>
      </c>
      <c r="F404">
        <v>43677</v>
      </c>
      <c r="H404" t="s">
        <v>41</v>
      </c>
      <c r="I404" s="5" t="s">
        <v>630</v>
      </c>
      <c r="J404" t="s">
        <v>64</v>
      </c>
      <c r="M404" t="s">
        <v>43</v>
      </c>
      <c r="O404">
        <v>45613</v>
      </c>
      <c r="P404" t="s">
        <v>65</v>
      </c>
      <c r="Q404" t="s">
        <v>45</v>
      </c>
      <c r="R404" t="s">
        <v>46</v>
      </c>
      <c r="S404" s="1">
        <v>45748</v>
      </c>
      <c r="U404" t="s">
        <v>47</v>
      </c>
      <c r="X404" t="s">
        <v>48</v>
      </c>
      <c r="Y404" s="2">
        <v>0</v>
      </c>
      <c r="Z404" s="2">
        <v>108</v>
      </c>
      <c r="AA404">
        <v>1</v>
      </c>
      <c r="AB404" s="3">
        <v>1</v>
      </c>
      <c r="AC404" s="2">
        <v>108</v>
      </c>
      <c r="AD404" s="3">
        <v>0</v>
      </c>
      <c r="AE404" s="2">
        <v>0</v>
      </c>
      <c r="AF404" s="2">
        <v>108</v>
      </c>
      <c r="AK404">
        <v>5291491</v>
      </c>
    </row>
    <row r="405" spans="1:38" x14ac:dyDescent="0.25">
      <c r="A405" s="1">
        <v>45756</v>
      </c>
      <c r="B405" s="1">
        <v>45756</v>
      </c>
      <c r="C405" t="s">
        <v>146</v>
      </c>
      <c r="D405" t="s">
        <v>39</v>
      </c>
      <c r="E405" t="s">
        <v>40</v>
      </c>
      <c r="F405">
        <v>43677</v>
      </c>
      <c r="H405" t="s">
        <v>41</v>
      </c>
      <c r="I405" s="5" t="s">
        <v>662</v>
      </c>
      <c r="J405" t="s">
        <v>150</v>
      </c>
      <c r="M405" t="s">
        <v>43</v>
      </c>
      <c r="O405">
        <v>45712</v>
      </c>
      <c r="P405" t="s">
        <v>106</v>
      </c>
      <c r="Q405" t="s">
        <v>148</v>
      </c>
      <c r="R405" t="s">
        <v>46</v>
      </c>
      <c r="S405" s="1">
        <v>45717</v>
      </c>
      <c r="U405" t="s">
        <v>47</v>
      </c>
      <c r="X405" t="s">
        <v>48</v>
      </c>
      <c r="Y405" s="2">
        <v>0</v>
      </c>
      <c r="Z405">
        <v>-99.36</v>
      </c>
      <c r="AA405">
        <v>1</v>
      </c>
      <c r="AB405" s="3">
        <v>1</v>
      </c>
      <c r="AC405">
        <v>-99.36</v>
      </c>
      <c r="AD405" s="3">
        <v>0</v>
      </c>
      <c r="AE405" s="2">
        <v>0</v>
      </c>
      <c r="AF405" s="2">
        <v>108</v>
      </c>
      <c r="AG405" s="2"/>
      <c r="AJ405" s="2"/>
    </row>
    <row r="406" spans="1:38" x14ac:dyDescent="0.25">
      <c r="A406" s="1">
        <v>45756</v>
      </c>
      <c r="B406" s="1">
        <v>45756</v>
      </c>
      <c r="C406" t="s">
        <v>146</v>
      </c>
      <c r="D406" t="s">
        <v>39</v>
      </c>
      <c r="E406" t="s">
        <v>40</v>
      </c>
      <c r="F406">
        <v>43677</v>
      </c>
      <c r="H406" t="s">
        <v>41</v>
      </c>
      <c r="I406" s="5" t="s">
        <v>660</v>
      </c>
      <c r="J406" t="s">
        <v>42</v>
      </c>
      <c r="M406" t="s">
        <v>43</v>
      </c>
      <c r="O406">
        <v>43618</v>
      </c>
      <c r="P406" t="s">
        <v>44</v>
      </c>
      <c r="Q406" t="s">
        <v>148</v>
      </c>
      <c r="R406" t="s">
        <v>46</v>
      </c>
      <c r="S406" s="1">
        <v>45658</v>
      </c>
      <c r="U406" t="s">
        <v>47</v>
      </c>
      <c r="X406" t="s">
        <v>48</v>
      </c>
      <c r="Y406" s="2">
        <v>0</v>
      </c>
      <c r="Z406">
        <v>-81</v>
      </c>
      <c r="AA406">
        <v>1</v>
      </c>
      <c r="AB406" s="3">
        <v>1</v>
      </c>
      <c r="AC406">
        <v>-81</v>
      </c>
      <c r="AD406" s="3">
        <v>0</v>
      </c>
      <c r="AE406" s="2">
        <v>0</v>
      </c>
      <c r="AF406" s="2">
        <v>108</v>
      </c>
      <c r="AG406" s="2"/>
      <c r="AJ406" s="2"/>
    </row>
    <row r="407" spans="1:38" x14ac:dyDescent="0.25">
      <c r="A407" s="1">
        <v>45756</v>
      </c>
      <c r="B407" s="1">
        <v>45756</v>
      </c>
      <c r="C407" t="s">
        <v>38</v>
      </c>
      <c r="D407" t="s">
        <v>39</v>
      </c>
      <c r="E407" t="s">
        <v>40</v>
      </c>
      <c r="F407">
        <v>43677</v>
      </c>
      <c r="H407" t="s">
        <v>41</v>
      </c>
      <c r="I407" s="5" t="s">
        <v>621</v>
      </c>
      <c r="J407" t="s">
        <v>42</v>
      </c>
      <c r="M407" t="s">
        <v>43</v>
      </c>
      <c r="O407">
        <v>43618</v>
      </c>
      <c r="P407" t="s">
        <v>44</v>
      </c>
      <c r="Q407" t="s">
        <v>45</v>
      </c>
      <c r="R407" t="s">
        <v>46</v>
      </c>
      <c r="S407" s="1">
        <v>45748</v>
      </c>
      <c r="U407" t="s">
        <v>47</v>
      </c>
      <c r="X407" t="s">
        <v>48</v>
      </c>
      <c r="Y407" s="2">
        <v>0</v>
      </c>
      <c r="Z407" s="2">
        <v>108</v>
      </c>
      <c r="AA407">
        <v>1</v>
      </c>
      <c r="AB407" s="3">
        <v>1</v>
      </c>
      <c r="AC407" s="2">
        <v>108</v>
      </c>
      <c r="AD407" s="3">
        <v>0</v>
      </c>
      <c r="AE407" s="2">
        <v>0</v>
      </c>
      <c r="AF407" s="2">
        <v>108</v>
      </c>
      <c r="AK407">
        <v>5291400</v>
      </c>
    </row>
    <row r="408" spans="1:38" x14ac:dyDescent="0.25">
      <c r="A408" s="1">
        <v>45756</v>
      </c>
      <c r="B408" s="1">
        <v>45756</v>
      </c>
      <c r="C408" t="s">
        <v>146</v>
      </c>
      <c r="D408" t="s">
        <v>39</v>
      </c>
      <c r="E408" t="s">
        <v>40</v>
      </c>
      <c r="F408">
        <v>43677</v>
      </c>
      <c r="H408" t="s">
        <v>41</v>
      </c>
      <c r="I408" s="5" t="s">
        <v>659</v>
      </c>
      <c r="J408" t="s">
        <v>147</v>
      </c>
      <c r="M408" t="s">
        <v>43</v>
      </c>
      <c r="O408">
        <v>43705</v>
      </c>
      <c r="P408" t="s">
        <v>90</v>
      </c>
      <c r="Q408" t="s">
        <v>148</v>
      </c>
      <c r="R408" t="s">
        <v>46</v>
      </c>
      <c r="S408" s="1">
        <v>45658</v>
      </c>
      <c r="U408" t="s">
        <v>47</v>
      </c>
      <c r="X408" t="s">
        <v>48</v>
      </c>
      <c r="Y408" s="2">
        <v>0</v>
      </c>
      <c r="Z408">
        <v>-81</v>
      </c>
      <c r="AA408">
        <v>1</v>
      </c>
      <c r="AB408" s="3">
        <v>1</v>
      </c>
      <c r="AC408">
        <v>-81</v>
      </c>
      <c r="AD408" s="3">
        <v>0</v>
      </c>
      <c r="AE408" s="2">
        <v>0</v>
      </c>
      <c r="AF408" s="2">
        <v>108</v>
      </c>
      <c r="AG408" s="2"/>
      <c r="AJ408" s="2"/>
    </row>
    <row r="409" spans="1:38" x14ac:dyDescent="0.25">
      <c r="A409" s="1">
        <v>45756</v>
      </c>
      <c r="B409" s="1">
        <v>45756</v>
      </c>
      <c r="C409" t="s">
        <v>38</v>
      </c>
      <c r="D409" t="s">
        <v>39</v>
      </c>
      <c r="E409" t="s">
        <v>40</v>
      </c>
      <c r="F409">
        <v>43677</v>
      </c>
      <c r="H409" t="s">
        <v>41</v>
      </c>
      <c r="I409" s="5" t="s">
        <v>629</v>
      </c>
      <c r="J409" t="s">
        <v>62</v>
      </c>
      <c r="M409" t="s">
        <v>43</v>
      </c>
      <c r="O409">
        <v>45638</v>
      </c>
      <c r="P409" t="s">
        <v>63</v>
      </c>
      <c r="Q409" t="s">
        <v>45</v>
      </c>
      <c r="R409" t="s">
        <v>46</v>
      </c>
      <c r="S409" s="1">
        <v>45748</v>
      </c>
      <c r="U409" t="s">
        <v>47</v>
      </c>
      <c r="X409" t="s">
        <v>48</v>
      </c>
      <c r="Y409" s="2">
        <v>0</v>
      </c>
      <c r="Z409" s="2">
        <v>108</v>
      </c>
      <c r="AA409">
        <v>1</v>
      </c>
      <c r="AB409" s="3">
        <v>1</v>
      </c>
      <c r="AC409" s="2">
        <v>108</v>
      </c>
      <c r="AD409" s="3">
        <v>0</v>
      </c>
      <c r="AE409" s="2">
        <v>0</v>
      </c>
      <c r="AF409" s="2">
        <v>108</v>
      </c>
      <c r="AK409">
        <v>5291490</v>
      </c>
    </row>
    <row r="410" spans="1:38" x14ac:dyDescent="0.25">
      <c r="A410" s="1">
        <v>45756</v>
      </c>
      <c r="B410" s="1">
        <v>45756</v>
      </c>
      <c r="C410" t="s">
        <v>146</v>
      </c>
      <c r="D410" t="s">
        <v>39</v>
      </c>
      <c r="E410" t="s">
        <v>40</v>
      </c>
      <c r="F410">
        <v>43677</v>
      </c>
      <c r="H410" t="s">
        <v>41</v>
      </c>
      <c r="I410" s="5" t="s">
        <v>661</v>
      </c>
      <c r="J410" t="s">
        <v>149</v>
      </c>
      <c r="M410" t="s">
        <v>43</v>
      </c>
      <c r="O410">
        <v>45618</v>
      </c>
      <c r="P410" t="s">
        <v>97</v>
      </c>
      <c r="Q410" t="s">
        <v>148</v>
      </c>
      <c r="R410" t="s">
        <v>46</v>
      </c>
      <c r="S410" s="1">
        <v>45658</v>
      </c>
      <c r="U410" t="s">
        <v>47</v>
      </c>
      <c r="X410" t="s">
        <v>48</v>
      </c>
      <c r="Y410" s="2">
        <v>0</v>
      </c>
      <c r="Z410">
        <v>-81</v>
      </c>
      <c r="AA410">
        <v>1</v>
      </c>
      <c r="AB410" s="3">
        <v>1</v>
      </c>
      <c r="AC410">
        <v>-81</v>
      </c>
      <c r="AD410" s="3">
        <v>0</v>
      </c>
      <c r="AE410" s="2">
        <v>0</v>
      </c>
      <c r="AF410" s="2">
        <v>108</v>
      </c>
      <c r="AG410" s="2"/>
      <c r="AJ410" s="2"/>
    </row>
    <row r="411" spans="1:38" x14ac:dyDescent="0.25">
      <c r="A411" s="1">
        <v>45763</v>
      </c>
      <c r="B411" s="1">
        <v>45762</v>
      </c>
      <c r="C411" t="s">
        <v>252</v>
      </c>
      <c r="D411" t="s">
        <v>39</v>
      </c>
      <c r="E411" t="s">
        <v>40</v>
      </c>
      <c r="F411">
        <v>43677</v>
      </c>
      <c r="H411" t="s">
        <v>41</v>
      </c>
      <c r="I411" s="5" t="s">
        <v>864</v>
      </c>
      <c r="J411" t="s">
        <v>516</v>
      </c>
      <c r="M411" t="s">
        <v>43</v>
      </c>
      <c r="O411">
        <v>45603</v>
      </c>
      <c r="P411" t="s">
        <v>218</v>
      </c>
      <c r="Q411" t="s">
        <v>45</v>
      </c>
      <c r="R411" t="s">
        <v>511</v>
      </c>
      <c r="S411" s="1">
        <v>45597</v>
      </c>
      <c r="T411" s="1">
        <v>45792</v>
      </c>
      <c r="U411" t="s">
        <v>47</v>
      </c>
      <c r="V411">
        <v>1</v>
      </c>
      <c r="W411" s="1">
        <v>45757</v>
      </c>
      <c r="X411" t="s">
        <v>48</v>
      </c>
      <c r="Y411" s="2">
        <v>1</v>
      </c>
      <c r="Z411" s="2">
        <v>1</v>
      </c>
      <c r="AB411" s="3">
        <v>1</v>
      </c>
      <c r="AC411" s="2">
        <v>25.5</v>
      </c>
      <c r="AG411" s="2">
        <v>0</v>
      </c>
      <c r="AH411" s="2">
        <v>25.5</v>
      </c>
      <c r="AI411" s="2">
        <v>0</v>
      </c>
      <c r="AK411">
        <v>5371070</v>
      </c>
      <c r="AL411" t="s">
        <v>473</v>
      </c>
    </row>
    <row r="412" spans="1:38" x14ac:dyDescent="0.25">
      <c r="A412" s="1">
        <v>45763</v>
      </c>
      <c r="B412" s="1">
        <v>45762</v>
      </c>
      <c r="C412" t="s">
        <v>252</v>
      </c>
      <c r="D412" t="s">
        <v>39</v>
      </c>
      <c r="E412" t="s">
        <v>40</v>
      </c>
      <c r="F412">
        <v>43677</v>
      </c>
      <c r="H412" t="s">
        <v>41</v>
      </c>
      <c r="I412" s="5" t="s">
        <v>873</v>
      </c>
      <c r="J412" t="s">
        <v>510</v>
      </c>
      <c r="M412" t="s">
        <v>43</v>
      </c>
      <c r="O412">
        <v>45603</v>
      </c>
      <c r="P412" t="s">
        <v>218</v>
      </c>
      <c r="Q412" t="s">
        <v>45</v>
      </c>
      <c r="R412" t="s">
        <v>511</v>
      </c>
      <c r="S412" s="1">
        <v>45597</v>
      </c>
      <c r="T412" s="1">
        <v>45792</v>
      </c>
      <c r="U412" t="s">
        <v>47</v>
      </c>
      <c r="V412">
        <v>1</v>
      </c>
      <c r="W412" s="1">
        <v>45757</v>
      </c>
      <c r="X412" t="s">
        <v>48</v>
      </c>
      <c r="Y412" s="2">
        <v>1</v>
      </c>
      <c r="Z412" s="2">
        <v>1</v>
      </c>
      <c r="AB412" s="3">
        <v>1</v>
      </c>
      <c r="AC412" s="2">
        <v>25.5</v>
      </c>
      <c r="AG412" s="2">
        <v>0</v>
      </c>
      <c r="AH412" s="2">
        <v>25.5</v>
      </c>
      <c r="AI412" s="2">
        <v>0</v>
      </c>
      <c r="AK412">
        <v>5371080</v>
      </c>
      <c r="AL412" t="s">
        <v>473</v>
      </c>
    </row>
    <row r="413" spans="1:38" x14ac:dyDescent="0.25">
      <c r="A413" s="1">
        <v>45763</v>
      </c>
      <c r="B413" s="1">
        <v>45762</v>
      </c>
      <c r="C413" t="s">
        <v>252</v>
      </c>
      <c r="D413" t="s">
        <v>39</v>
      </c>
      <c r="E413" t="s">
        <v>40</v>
      </c>
      <c r="F413">
        <v>43677</v>
      </c>
      <c r="H413" t="s">
        <v>41</v>
      </c>
      <c r="I413" s="5" t="s">
        <v>780</v>
      </c>
      <c r="J413" t="s">
        <v>588</v>
      </c>
      <c r="M413" t="s">
        <v>43</v>
      </c>
      <c r="O413">
        <v>45611</v>
      </c>
      <c r="P413" t="s">
        <v>68</v>
      </c>
      <c r="Q413" t="s">
        <v>45</v>
      </c>
      <c r="R413" t="s">
        <v>511</v>
      </c>
      <c r="S413" s="1">
        <v>45474</v>
      </c>
      <c r="T413" s="1">
        <v>45792</v>
      </c>
      <c r="U413" t="s">
        <v>47</v>
      </c>
      <c r="V413">
        <v>1</v>
      </c>
      <c r="W413" s="1">
        <v>45757</v>
      </c>
      <c r="X413" t="s">
        <v>48</v>
      </c>
      <c r="Y413" s="2">
        <v>1</v>
      </c>
      <c r="Z413" s="2">
        <v>1</v>
      </c>
      <c r="AB413" s="3">
        <v>1</v>
      </c>
      <c r="AC413" s="2">
        <v>25.5</v>
      </c>
      <c r="AG413" s="2">
        <v>0</v>
      </c>
      <c r="AH413" s="2">
        <v>25.5</v>
      </c>
      <c r="AI413" s="2">
        <v>0</v>
      </c>
      <c r="AK413">
        <v>5370226</v>
      </c>
      <c r="AL413" t="s">
        <v>473</v>
      </c>
    </row>
    <row r="414" spans="1:38" x14ac:dyDescent="0.25">
      <c r="A414" s="1">
        <v>45763</v>
      </c>
      <c r="B414" s="1">
        <v>45762</v>
      </c>
      <c r="C414" t="s">
        <v>252</v>
      </c>
      <c r="D414" t="s">
        <v>39</v>
      </c>
      <c r="E414" t="s">
        <v>40</v>
      </c>
      <c r="F414">
        <v>43677</v>
      </c>
      <c r="H414" t="s">
        <v>41</v>
      </c>
      <c r="I414" s="5" t="s">
        <v>769</v>
      </c>
      <c r="J414" t="s">
        <v>595</v>
      </c>
      <c r="M414" t="s">
        <v>43</v>
      </c>
      <c r="O414">
        <v>45605</v>
      </c>
      <c r="P414" t="s">
        <v>50</v>
      </c>
      <c r="Q414" t="s">
        <v>45</v>
      </c>
      <c r="R414" t="s">
        <v>511</v>
      </c>
      <c r="S414" s="1">
        <v>45444</v>
      </c>
      <c r="T414" s="1">
        <v>45792</v>
      </c>
      <c r="U414" t="s">
        <v>47</v>
      </c>
      <c r="V414">
        <v>1</v>
      </c>
      <c r="W414" s="1">
        <v>45757</v>
      </c>
      <c r="X414" t="s">
        <v>48</v>
      </c>
      <c r="Y414" s="2">
        <v>1</v>
      </c>
      <c r="Z414" s="2">
        <v>1</v>
      </c>
      <c r="AB414" s="3">
        <v>1</v>
      </c>
      <c r="AC414" s="2">
        <v>25.5</v>
      </c>
      <c r="AG414" s="2">
        <v>0</v>
      </c>
      <c r="AH414" s="2">
        <v>25.5</v>
      </c>
      <c r="AI414" s="2">
        <v>0</v>
      </c>
      <c r="AK414">
        <v>5370086</v>
      </c>
      <c r="AL414" t="s">
        <v>473</v>
      </c>
    </row>
    <row r="415" spans="1:38" x14ac:dyDescent="0.25">
      <c r="A415" s="1">
        <v>45763</v>
      </c>
      <c r="B415" s="1">
        <v>45762</v>
      </c>
      <c r="C415" t="s">
        <v>252</v>
      </c>
      <c r="D415" t="s">
        <v>39</v>
      </c>
      <c r="E415" t="s">
        <v>40</v>
      </c>
      <c r="F415">
        <v>43677</v>
      </c>
      <c r="H415" t="s">
        <v>41</v>
      </c>
      <c r="I415" s="5" t="s">
        <v>835</v>
      </c>
      <c r="J415" t="s">
        <v>542</v>
      </c>
      <c r="M415" t="s">
        <v>43</v>
      </c>
      <c r="O415">
        <v>45603</v>
      </c>
      <c r="P415" t="s">
        <v>218</v>
      </c>
      <c r="Q415" t="s">
        <v>250</v>
      </c>
      <c r="R415" t="s">
        <v>511</v>
      </c>
      <c r="S415" s="1">
        <v>45566</v>
      </c>
      <c r="T415" s="1">
        <v>45792</v>
      </c>
      <c r="U415" t="s">
        <v>47</v>
      </c>
      <c r="V415">
        <v>1</v>
      </c>
      <c r="W415" s="1">
        <v>45757</v>
      </c>
      <c r="X415" t="s">
        <v>48</v>
      </c>
      <c r="Y415" s="2">
        <v>1</v>
      </c>
      <c r="Z415" s="2">
        <v>1</v>
      </c>
      <c r="AB415" s="3">
        <v>1</v>
      </c>
      <c r="AC415" s="2">
        <v>25.5</v>
      </c>
      <c r="AG415" s="2">
        <v>0</v>
      </c>
      <c r="AH415" s="2">
        <v>25.5</v>
      </c>
      <c r="AI415" s="2">
        <v>0</v>
      </c>
      <c r="AK415">
        <v>5370864</v>
      </c>
      <c r="AL415" t="s">
        <v>473</v>
      </c>
    </row>
    <row r="416" spans="1:38" x14ac:dyDescent="0.25">
      <c r="A416" s="1">
        <v>45763</v>
      </c>
      <c r="B416" s="1">
        <v>45762</v>
      </c>
      <c r="C416" t="s">
        <v>252</v>
      </c>
      <c r="D416" t="s">
        <v>39</v>
      </c>
      <c r="E416" t="s">
        <v>40</v>
      </c>
      <c r="F416">
        <v>43677</v>
      </c>
      <c r="H416" t="s">
        <v>41</v>
      </c>
      <c r="I416" s="5" t="s">
        <v>869</v>
      </c>
      <c r="J416" t="s">
        <v>513</v>
      </c>
      <c r="M416" t="s">
        <v>43</v>
      </c>
      <c r="O416">
        <v>45603</v>
      </c>
      <c r="P416" t="s">
        <v>218</v>
      </c>
      <c r="Q416" t="s">
        <v>45</v>
      </c>
      <c r="R416" t="s">
        <v>511</v>
      </c>
      <c r="S416" s="1">
        <v>45597</v>
      </c>
      <c r="T416" s="1">
        <v>45792</v>
      </c>
      <c r="U416" t="s">
        <v>47</v>
      </c>
      <c r="V416">
        <v>1</v>
      </c>
      <c r="W416" s="1">
        <v>45757</v>
      </c>
      <c r="X416" t="s">
        <v>48</v>
      </c>
      <c r="Y416" s="2">
        <v>1</v>
      </c>
      <c r="Z416" s="2">
        <v>1</v>
      </c>
      <c r="AB416" s="3">
        <v>1</v>
      </c>
      <c r="AC416" s="2">
        <v>25.5</v>
      </c>
      <c r="AG416" s="2">
        <v>0</v>
      </c>
      <c r="AH416" s="2">
        <v>25.5</v>
      </c>
      <c r="AI416" s="2">
        <v>0</v>
      </c>
      <c r="AK416">
        <v>5371076</v>
      </c>
      <c r="AL416" t="s">
        <v>473</v>
      </c>
    </row>
    <row r="417" spans="1:38" x14ac:dyDescent="0.25">
      <c r="A417" s="1">
        <v>45763</v>
      </c>
      <c r="B417" s="1">
        <v>45762</v>
      </c>
      <c r="C417" t="s">
        <v>252</v>
      </c>
      <c r="D417" t="s">
        <v>39</v>
      </c>
      <c r="E417" t="s">
        <v>40</v>
      </c>
      <c r="F417">
        <v>43677</v>
      </c>
      <c r="H417" t="s">
        <v>41</v>
      </c>
      <c r="I417" s="5" t="s">
        <v>866</v>
      </c>
      <c r="J417" t="s">
        <v>515</v>
      </c>
      <c r="M417" t="s">
        <v>43</v>
      </c>
      <c r="O417">
        <v>45603</v>
      </c>
      <c r="P417" t="s">
        <v>218</v>
      </c>
      <c r="Q417" t="s">
        <v>45</v>
      </c>
      <c r="R417" t="s">
        <v>511</v>
      </c>
      <c r="S417" s="1">
        <v>45597</v>
      </c>
      <c r="T417" s="1">
        <v>45792</v>
      </c>
      <c r="U417" t="s">
        <v>47</v>
      </c>
      <c r="V417">
        <v>1</v>
      </c>
      <c r="W417" s="1">
        <v>45757</v>
      </c>
      <c r="X417" t="s">
        <v>48</v>
      </c>
      <c r="Y417" s="2">
        <v>1</v>
      </c>
      <c r="Z417" s="2">
        <v>1</v>
      </c>
      <c r="AB417" s="3">
        <v>1</v>
      </c>
      <c r="AC417" s="2">
        <v>25.5</v>
      </c>
      <c r="AG417" s="2">
        <v>0</v>
      </c>
      <c r="AH417" s="2">
        <v>25.5</v>
      </c>
      <c r="AI417" s="2">
        <v>0</v>
      </c>
      <c r="AK417">
        <v>5371072</v>
      </c>
      <c r="AL417" t="s">
        <v>473</v>
      </c>
    </row>
    <row r="418" spans="1:38" x14ac:dyDescent="0.25">
      <c r="A418" s="1">
        <v>45763</v>
      </c>
      <c r="B418" s="1">
        <v>45762</v>
      </c>
      <c r="C418" t="s">
        <v>252</v>
      </c>
      <c r="D418" t="s">
        <v>39</v>
      </c>
      <c r="E418" t="s">
        <v>40</v>
      </c>
      <c r="F418">
        <v>43677</v>
      </c>
      <c r="H418" t="s">
        <v>41</v>
      </c>
      <c r="I418" s="5" t="s">
        <v>819</v>
      </c>
      <c r="J418" t="s">
        <v>554</v>
      </c>
      <c r="M418" t="s">
        <v>43</v>
      </c>
      <c r="O418">
        <v>45603</v>
      </c>
      <c r="P418" t="s">
        <v>218</v>
      </c>
      <c r="Q418" t="s">
        <v>45</v>
      </c>
      <c r="R418" t="s">
        <v>511</v>
      </c>
      <c r="S418" s="1">
        <v>45536</v>
      </c>
      <c r="T418" s="1">
        <v>45792</v>
      </c>
      <c r="U418" t="s">
        <v>47</v>
      </c>
      <c r="V418">
        <v>1</v>
      </c>
      <c r="W418" s="1">
        <v>45757</v>
      </c>
      <c r="X418" t="s">
        <v>48</v>
      </c>
      <c r="Y418" s="2">
        <v>1</v>
      </c>
      <c r="Z418" s="2">
        <v>1</v>
      </c>
      <c r="AB418" s="3">
        <v>1</v>
      </c>
      <c r="AC418" s="2">
        <v>25.5</v>
      </c>
      <c r="AG418" s="2">
        <v>0</v>
      </c>
      <c r="AH418" s="2">
        <v>25.5</v>
      </c>
      <c r="AI418" s="2">
        <v>0</v>
      </c>
      <c r="AK418">
        <v>5370657</v>
      </c>
      <c r="AL418" t="s">
        <v>473</v>
      </c>
    </row>
    <row r="419" spans="1:38" x14ac:dyDescent="0.25">
      <c r="A419" s="1">
        <v>45763</v>
      </c>
      <c r="B419" s="1">
        <v>45762</v>
      </c>
      <c r="C419" t="s">
        <v>252</v>
      </c>
      <c r="D419" t="s">
        <v>39</v>
      </c>
      <c r="E419" t="s">
        <v>40</v>
      </c>
      <c r="F419">
        <v>43677</v>
      </c>
      <c r="H419" t="s">
        <v>41</v>
      </c>
      <c r="I419" s="5" t="s">
        <v>786</v>
      </c>
      <c r="J419" t="s">
        <v>585</v>
      </c>
      <c r="O419">
        <v>45603</v>
      </c>
      <c r="P419" t="s">
        <v>218</v>
      </c>
      <c r="Q419" t="s">
        <v>45</v>
      </c>
      <c r="R419" t="s">
        <v>511</v>
      </c>
      <c r="S419" s="1">
        <v>45474</v>
      </c>
      <c r="T419" s="1">
        <v>45792</v>
      </c>
      <c r="U419" t="s">
        <v>47</v>
      </c>
      <c r="V419">
        <v>1</v>
      </c>
      <c r="W419" s="1">
        <v>45757</v>
      </c>
      <c r="X419" t="s">
        <v>48</v>
      </c>
      <c r="Y419" s="2">
        <v>1</v>
      </c>
      <c r="Z419" s="2">
        <v>1</v>
      </c>
      <c r="AB419" s="3">
        <v>1</v>
      </c>
      <c r="AC419" s="2">
        <v>25.5</v>
      </c>
      <c r="AG419" s="2">
        <v>0</v>
      </c>
      <c r="AH419" s="2">
        <v>25.5</v>
      </c>
      <c r="AI419" s="2">
        <v>0</v>
      </c>
      <c r="AK419">
        <v>5370271</v>
      </c>
      <c r="AL419" t="s">
        <v>473</v>
      </c>
    </row>
    <row r="420" spans="1:38" x14ac:dyDescent="0.25">
      <c r="A420" s="1">
        <v>45763</v>
      </c>
      <c r="B420" s="1">
        <v>45762</v>
      </c>
      <c r="C420" t="s">
        <v>252</v>
      </c>
      <c r="D420" t="s">
        <v>39</v>
      </c>
      <c r="E420" t="s">
        <v>40</v>
      </c>
      <c r="F420">
        <v>43677</v>
      </c>
      <c r="H420" t="s">
        <v>41</v>
      </c>
      <c r="I420" s="5" t="s">
        <v>823</v>
      </c>
      <c r="J420" t="s">
        <v>551</v>
      </c>
      <c r="M420" t="s">
        <v>43</v>
      </c>
      <c r="O420">
        <v>45603</v>
      </c>
      <c r="P420" t="s">
        <v>218</v>
      </c>
      <c r="Q420" t="s">
        <v>45</v>
      </c>
      <c r="R420" t="s">
        <v>511</v>
      </c>
      <c r="S420" s="1">
        <v>45536</v>
      </c>
      <c r="T420" s="1">
        <v>45792</v>
      </c>
      <c r="U420" t="s">
        <v>47</v>
      </c>
      <c r="V420">
        <v>1</v>
      </c>
      <c r="W420" s="1">
        <v>45757</v>
      </c>
      <c r="X420" t="s">
        <v>48</v>
      </c>
      <c r="Y420" s="2">
        <v>1</v>
      </c>
      <c r="Z420" s="2">
        <v>1</v>
      </c>
      <c r="AB420" s="3">
        <v>1</v>
      </c>
      <c r="AC420" s="2">
        <v>25.5</v>
      </c>
      <c r="AG420" s="2">
        <v>0</v>
      </c>
      <c r="AH420" s="2">
        <v>25.5</v>
      </c>
      <c r="AI420" s="2">
        <v>0</v>
      </c>
      <c r="AK420">
        <v>5370755</v>
      </c>
      <c r="AL420" t="s">
        <v>473</v>
      </c>
    </row>
    <row r="421" spans="1:38" x14ac:dyDescent="0.25">
      <c r="A421" s="1">
        <v>45763</v>
      </c>
      <c r="B421" s="1">
        <v>45762</v>
      </c>
      <c r="C421" t="s">
        <v>252</v>
      </c>
      <c r="D421" t="s">
        <v>39</v>
      </c>
      <c r="E421" t="s">
        <v>40</v>
      </c>
      <c r="F421">
        <v>43677</v>
      </c>
      <c r="H421" t="s">
        <v>41</v>
      </c>
      <c r="I421" s="5" t="s">
        <v>833</v>
      </c>
      <c r="J421" t="s">
        <v>543</v>
      </c>
      <c r="M421" t="s">
        <v>43</v>
      </c>
      <c r="O421">
        <v>45603</v>
      </c>
      <c r="P421" t="s">
        <v>218</v>
      </c>
      <c r="Q421" t="s">
        <v>250</v>
      </c>
      <c r="R421" t="s">
        <v>511</v>
      </c>
      <c r="S421" s="1">
        <v>45566</v>
      </c>
      <c r="T421" s="1">
        <v>45792</v>
      </c>
      <c r="U421" t="s">
        <v>47</v>
      </c>
      <c r="V421">
        <v>1</v>
      </c>
      <c r="W421" s="1">
        <v>45757</v>
      </c>
      <c r="X421" t="s">
        <v>48</v>
      </c>
      <c r="Y421" s="2">
        <v>1</v>
      </c>
      <c r="Z421" s="2">
        <v>1</v>
      </c>
      <c r="AB421" s="3">
        <v>1</v>
      </c>
      <c r="AC421" s="2">
        <v>25.5</v>
      </c>
      <c r="AG421" s="2">
        <v>0</v>
      </c>
      <c r="AH421" s="2">
        <v>25.5</v>
      </c>
      <c r="AI421" s="2">
        <v>0</v>
      </c>
      <c r="AK421">
        <v>5370855</v>
      </c>
      <c r="AL421" t="s">
        <v>473</v>
      </c>
    </row>
    <row r="422" spans="1:38" x14ac:dyDescent="0.25">
      <c r="A422" s="1">
        <v>45763</v>
      </c>
      <c r="B422" s="1">
        <v>45762</v>
      </c>
      <c r="C422" t="s">
        <v>252</v>
      </c>
      <c r="D422" t="s">
        <v>39</v>
      </c>
      <c r="E422" t="s">
        <v>40</v>
      </c>
      <c r="F422">
        <v>43677</v>
      </c>
      <c r="H422" t="s">
        <v>41</v>
      </c>
      <c r="I422" s="5" t="s">
        <v>776</v>
      </c>
      <c r="J422" t="s">
        <v>591</v>
      </c>
      <c r="M422" t="s">
        <v>43</v>
      </c>
      <c r="O422">
        <v>45603</v>
      </c>
      <c r="P422" t="s">
        <v>218</v>
      </c>
      <c r="Q422" t="s">
        <v>45</v>
      </c>
      <c r="R422" t="s">
        <v>511</v>
      </c>
      <c r="S422" s="1">
        <v>45474</v>
      </c>
      <c r="T422" s="1">
        <v>45792</v>
      </c>
      <c r="U422" t="s">
        <v>47</v>
      </c>
      <c r="V422">
        <v>1</v>
      </c>
      <c r="W422" s="1">
        <v>45757</v>
      </c>
      <c r="X422" t="s">
        <v>48</v>
      </c>
      <c r="Y422" s="2">
        <v>1</v>
      </c>
      <c r="Z422" s="2">
        <v>1</v>
      </c>
      <c r="AB422" s="3">
        <v>1</v>
      </c>
      <c r="AC422" s="2">
        <v>25.5</v>
      </c>
      <c r="AG422" s="2">
        <v>0</v>
      </c>
      <c r="AH422" s="2">
        <v>25.5</v>
      </c>
      <c r="AI422" s="2">
        <v>0</v>
      </c>
      <c r="AK422">
        <v>5370168</v>
      </c>
      <c r="AL422" t="s">
        <v>473</v>
      </c>
    </row>
    <row r="423" spans="1:38" x14ac:dyDescent="0.25">
      <c r="A423" s="1">
        <v>45763</v>
      </c>
      <c r="B423" s="1">
        <v>45762</v>
      </c>
      <c r="C423" t="s">
        <v>252</v>
      </c>
      <c r="D423" t="s">
        <v>39</v>
      </c>
      <c r="E423" t="s">
        <v>40</v>
      </c>
      <c r="F423">
        <v>43677</v>
      </c>
      <c r="H423" t="s">
        <v>41</v>
      </c>
      <c r="I423" s="5" t="s">
        <v>784</v>
      </c>
      <c r="J423" t="s">
        <v>586</v>
      </c>
      <c r="M423" t="s">
        <v>43</v>
      </c>
      <c r="O423">
        <v>45613</v>
      </c>
      <c r="P423" t="s">
        <v>65</v>
      </c>
      <c r="Q423" t="s">
        <v>45</v>
      </c>
      <c r="R423" t="s">
        <v>511</v>
      </c>
      <c r="S423" s="1">
        <v>45474</v>
      </c>
      <c r="T423" s="1">
        <v>45792</v>
      </c>
      <c r="U423" t="s">
        <v>47</v>
      </c>
      <c r="V423">
        <v>1</v>
      </c>
      <c r="W423" s="1">
        <v>45757</v>
      </c>
      <c r="X423" t="s">
        <v>48</v>
      </c>
      <c r="Y423" s="2">
        <v>1</v>
      </c>
      <c r="Z423" s="2">
        <v>1</v>
      </c>
      <c r="AB423" s="3">
        <v>1</v>
      </c>
      <c r="AC423" s="2">
        <v>25.5</v>
      </c>
      <c r="AG423" s="2">
        <v>0</v>
      </c>
      <c r="AH423" s="2">
        <v>25.5</v>
      </c>
      <c r="AI423" s="2">
        <v>0</v>
      </c>
      <c r="AK423">
        <v>5370242</v>
      </c>
      <c r="AL423" t="s">
        <v>473</v>
      </c>
    </row>
    <row r="424" spans="1:38" x14ac:dyDescent="0.25">
      <c r="A424" s="1">
        <v>45763</v>
      </c>
      <c r="B424" s="1">
        <v>45762</v>
      </c>
      <c r="C424" t="s">
        <v>252</v>
      </c>
      <c r="D424" t="s">
        <v>39</v>
      </c>
      <c r="E424" t="s">
        <v>40</v>
      </c>
      <c r="F424">
        <v>43677</v>
      </c>
      <c r="H424" t="s">
        <v>41</v>
      </c>
      <c r="I424" s="5" t="s">
        <v>830</v>
      </c>
      <c r="J424" t="s">
        <v>545</v>
      </c>
      <c r="M424" t="s">
        <v>43</v>
      </c>
      <c r="O424">
        <v>45603</v>
      </c>
      <c r="P424" t="s">
        <v>218</v>
      </c>
      <c r="Q424" t="s">
        <v>250</v>
      </c>
      <c r="R424" t="s">
        <v>511</v>
      </c>
      <c r="S424" s="1">
        <v>45566</v>
      </c>
      <c r="T424" s="1">
        <v>45792</v>
      </c>
      <c r="U424" t="s">
        <v>47</v>
      </c>
      <c r="V424">
        <v>1</v>
      </c>
      <c r="W424" s="1">
        <v>45757</v>
      </c>
      <c r="X424" t="s">
        <v>48</v>
      </c>
      <c r="Y424" s="2">
        <v>1</v>
      </c>
      <c r="Z424" s="2">
        <v>1</v>
      </c>
      <c r="AB424" s="3">
        <v>1</v>
      </c>
      <c r="AC424" s="2">
        <v>25.5</v>
      </c>
      <c r="AG424" s="2">
        <v>0</v>
      </c>
      <c r="AH424" s="2">
        <v>25.5</v>
      </c>
      <c r="AI424" s="2">
        <v>0</v>
      </c>
      <c r="AK424">
        <v>5370826</v>
      </c>
      <c r="AL424" t="s">
        <v>473</v>
      </c>
    </row>
    <row r="425" spans="1:38" x14ac:dyDescent="0.25">
      <c r="A425" s="1">
        <v>45763</v>
      </c>
      <c r="B425" s="1">
        <v>45762</v>
      </c>
      <c r="C425" t="s">
        <v>252</v>
      </c>
      <c r="D425" t="s">
        <v>39</v>
      </c>
      <c r="E425" t="s">
        <v>40</v>
      </c>
      <c r="F425">
        <v>43677</v>
      </c>
      <c r="H425" t="s">
        <v>41</v>
      </c>
      <c r="I425" s="5" t="s">
        <v>782</v>
      </c>
      <c r="J425" t="s">
        <v>587</v>
      </c>
      <c r="M425" t="s">
        <v>43</v>
      </c>
      <c r="O425">
        <v>45612</v>
      </c>
      <c r="P425" t="s">
        <v>99</v>
      </c>
      <c r="Q425" t="s">
        <v>45</v>
      </c>
      <c r="R425" t="s">
        <v>511</v>
      </c>
      <c r="S425" s="1">
        <v>45474</v>
      </c>
      <c r="T425" s="1">
        <v>45792</v>
      </c>
      <c r="U425" t="s">
        <v>47</v>
      </c>
      <c r="V425">
        <v>1</v>
      </c>
      <c r="W425" s="1">
        <v>45757</v>
      </c>
      <c r="X425" t="s">
        <v>48</v>
      </c>
      <c r="Y425" s="2">
        <v>1</v>
      </c>
      <c r="Z425" s="2">
        <v>1</v>
      </c>
      <c r="AB425" s="3">
        <v>1</v>
      </c>
      <c r="AC425" s="2">
        <v>25.5</v>
      </c>
      <c r="AG425" s="2">
        <v>0</v>
      </c>
      <c r="AH425" s="2">
        <v>25.5</v>
      </c>
      <c r="AI425" s="2">
        <v>0</v>
      </c>
      <c r="AK425">
        <v>5370229</v>
      </c>
      <c r="AL425" t="s">
        <v>473</v>
      </c>
    </row>
    <row r="426" spans="1:38" x14ac:dyDescent="0.25">
      <c r="A426" s="1">
        <v>45763</v>
      </c>
      <c r="B426" s="1">
        <v>45762</v>
      </c>
      <c r="C426" t="s">
        <v>252</v>
      </c>
      <c r="D426" t="s">
        <v>39</v>
      </c>
      <c r="E426" t="s">
        <v>40</v>
      </c>
      <c r="F426">
        <v>43677</v>
      </c>
      <c r="H426" t="s">
        <v>41</v>
      </c>
      <c r="I426" s="5" t="s">
        <v>792</v>
      </c>
      <c r="J426" t="s">
        <v>580</v>
      </c>
      <c r="M426" t="s">
        <v>43</v>
      </c>
      <c r="O426">
        <v>45603</v>
      </c>
      <c r="P426" t="s">
        <v>218</v>
      </c>
      <c r="Q426" t="s">
        <v>45</v>
      </c>
      <c r="R426" t="s">
        <v>511</v>
      </c>
      <c r="S426" s="1">
        <v>45474</v>
      </c>
      <c r="T426" s="1">
        <v>45792</v>
      </c>
      <c r="U426" t="s">
        <v>47</v>
      </c>
      <c r="V426">
        <v>1</v>
      </c>
      <c r="W426" s="1">
        <v>45757</v>
      </c>
      <c r="X426" t="s">
        <v>48</v>
      </c>
      <c r="Y426" s="2">
        <v>1</v>
      </c>
      <c r="Z426" s="2">
        <v>1</v>
      </c>
      <c r="AB426" s="3">
        <v>1</v>
      </c>
      <c r="AC426" s="2">
        <v>25.5</v>
      </c>
      <c r="AG426" s="2">
        <v>0</v>
      </c>
      <c r="AH426" s="2">
        <v>25.5</v>
      </c>
      <c r="AI426" s="2">
        <v>0</v>
      </c>
      <c r="AK426">
        <v>5370346</v>
      </c>
      <c r="AL426" t="s">
        <v>473</v>
      </c>
    </row>
    <row r="427" spans="1:38" x14ac:dyDescent="0.25">
      <c r="A427" s="1">
        <v>45763</v>
      </c>
      <c r="B427" s="1">
        <v>45762</v>
      </c>
      <c r="C427" t="s">
        <v>252</v>
      </c>
      <c r="D427" t="s">
        <v>39</v>
      </c>
      <c r="E427" t="s">
        <v>40</v>
      </c>
      <c r="F427">
        <v>43677</v>
      </c>
      <c r="H427" t="s">
        <v>41</v>
      </c>
      <c r="I427" s="5" t="s">
        <v>841</v>
      </c>
      <c r="J427" t="s">
        <v>538</v>
      </c>
      <c r="M427" t="s">
        <v>43</v>
      </c>
      <c r="O427">
        <v>45603</v>
      </c>
      <c r="P427" t="s">
        <v>218</v>
      </c>
      <c r="Q427" t="s">
        <v>250</v>
      </c>
      <c r="R427" t="s">
        <v>511</v>
      </c>
      <c r="S427" s="1">
        <v>45566</v>
      </c>
      <c r="T427" s="1">
        <v>45792</v>
      </c>
      <c r="U427" t="s">
        <v>47</v>
      </c>
      <c r="V427">
        <v>1</v>
      </c>
      <c r="W427" s="1">
        <v>45757</v>
      </c>
      <c r="X427" t="s">
        <v>48</v>
      </c>
      <c r="Y427" s="2">
        <v>1</v>
      </c>
      <c r="Z427" s="2">
        <v>1</v>
      </c>
      <c r="AB427" s="3">
        <v>1</v>
      </c>
      <c r="AC427" s="2">
        <v>25.5</v>
      </c>
      <c r="AG427" s="2">
        <v>0</v>
      </c>
      <c r="AH427" s="2">
        <v>25.5</v>
      </c>
      <c r="AI427" s="2">
        <v>0</v>
      </c>
      <c r="AK427">
        <v>5370886</v>
      </c>
      <c r="AL427" t="s">
        <v>473</v>
      </c>
    </row>
    <row r="428" spans="1:38" x14ac:dyDescent="0.25">
      <c r="A428" s="1">
        <v>45763</v>
      </c>
      <c r="B428" s="1">
        <v>45762</v>
      </c>
      <c r="C428" t="s">
        <v>252</v>
      </c>
      <c r="D428" t="s">
        <v>39</v>
      </c>
      <c r="E428" t="s">
        <v>40</v>
      </c>
      <c r="F428">
        <v>43677</v>
      </c>
      <c r="H428" t="s">
        <v>41</v>
      </c>
      <c r="I428" s="5" t="s">
        <v>805</v>
      </c>
      <c r="J428" t="s">
        <v>568</v>
      </c>
      <c r="M428" t="s">
        <v>43</v>
      </c>
      <c r="O428">
        <v>45603</v>
      </c>
      <c r="P428" t="s">
        <v>218</v>
      </c>
      <c r="Q428" t="s">
        <v>45</v>
      </c>
      <c r="R428" t="s">
        <v>511</v>
      </c>
      <c r="S428" s="1">
        <v>45505</v>
      </c>
      <c r="T428" s="1">
        <v>45792</v>
      </c>
      <c r="U428" t="s">
        <v>47</v>
      </c>
      <c r="V428">
        <v>1</v>
      </c>
      <c r="W428" s="1">
        <v>45757</v>
      </c>
      <c r="X428" t="s">
        <v>48</v>
      </c>
      <c r="Y428" s="2">
        <v>1</v>
      </c>
      <c r="Z428" s="2">
        <v>1</v>
      </c>
      <c r="AB428" s="3">
        <v>1</v>
      </c>
      <c r="AC428" s="2">
        <v>25.5</v>
      </c>
      <c r="AG428" s="2">
        <v>0</v>
      </c>
      <c r="AH428" s="2">
        <v>25.5</v>
      </c>
      <c r="AI428" s="2">
        <v>0</v>
      </c>
      <c r="AK428">
        <v>5370487</v>
      </c>
      <c r="AL428" t="s">
        <v>473</v>
      </c>
    </row>
    <row r="429" spans="1:38" x14ac:dyDescent="0.25">
      <c r="A429" s="1">
        <v>45763</v>
      </c>
      <c r="B429" s="1">
        <v>45762</v>
      </c>
      <c r="C429" t="s">
        <v>252</v>
      </c>
      <c r="D429" t="s">
        <v>39</v>
      </c>
      <c r="E429" t="s">
        <v>40</v>
      </c>
      <c r="F429">
        <v>43677</v>
      </c>
      <c r="H429" t="s">
        <v>41</v>
      </c>
      <c r="I429" s="5" t="s">
        <v>800</v>
      </c>
      <c r="J429" t="s">
        <v>573</v>
      </c>
      <c r="M429" t="s">
        <v>43</v>
      </c>
      <c r="O429">
        <v>45603</v>
      </c>
      <c r="P429" t="s">
        <v>218</v>
      </c>
      <c r="Q429" t="s">
        <v>45</v>
      </c>
      <c r="R429" t="s">
        <v>511</v>
      </c>
      <c r="S429" s="1">
        <v>45505</v>
      </c>
      <c r="T429" s="1">
        <v>45792</v>
      </c>
      <c r="U429" t="s">
        <v>47</v>
      </c>
      <c r="V429">
        <v>1</v>
      </c>
      <c r="W429" s="1">
        <v>45757</v>
      </c>
      <c r="X429" t="s">
        <v>48</v>
      </c>
      <c r="Y429" s="2">
        <v>1</v>
      </c>
      <c r="Z429" s="2">
        <v>1</v>
      </c>
      <c r="AB429" s="3">
        <v>1</v>
      </c>
      <c r="AC429" s="2">
        <v>25.5</v>
      </c>
      <c r="AG429" s="2">
        <v>0</v>
      </c>
      <c r="AH429" s="2">
        <v>25.5</v>
      </c>
      <c r="AI429" s="2">
        <v>0</v>
      </c>
      <c r="AK429">
        <v>5370419</v>
      </c>
      <c r="AL429" t="s">
        <v>473</v>
      </c>
    </row>
    <row r="430" spans="1:38" x14ac:dyDescent="0.25">
      <c r="A430" s="1">
        <v>45763</v>
      </c>
      <c r="B430" s="1">
        <v>45762</v>
      </c>
      <c r="C430" t="s">
        <v>252</v>
      </c>
      <c r="D430" t="s">
        <v>39</v>
      </c>
      <c r="E430" t="s">
        <v>40</v>
      </c>
      <c r="F430">
        <v>43677</v>
      </c>
      <c r="H430" t="s">
        <v>41</v>
      </c>
      <c r="I430" s="5" t="s">
        <v>844</v>
      </c>
      <c r="J430" t="s">
        <v>536</v>
      </c>
      <c r="M430" t="s">
        <v>43</v>
      </c>
      <c r="O430">
        <v>45603</v>
      </c>
      <c r="P430" t="s">
        <v>218</v>
      </c>
      <c r="Q430" t="s">
        <v>250</v>
      </c>
      <c r="R430" t="s">
        <v>511</v>
      </c>
      <c r="S430" s="1">
        <v>45566</v>
      </c>
      <c r="T430" s="1">
        <v>45792</v>
      </c>
      <c r="U430" t="s">
        <v>47</v>
      </c>
      <c r="V430">
        <v>1</v>
      </c>
      <c r="W430" s="1">
        <v>45757</v>
      </c>
      <c r="X430" t="s">
        <v>48</v>
      </c>
      <c r="Y430" s="2">
        <v>1</v>
      </c>
      <c r="Z430" s="2">
        <v>1</v>
      </c>
      <c r="AB430" s="3">
        <v>1</v>
      </c>
      <c r="AC430" s="2">
        <v>25.5</v>
      </c>
      <c r="AG430" s="2">
        <v>0</v>
      </c>
      <c r="AH430" s="2">
        <v>25.5</v>
      </c>
      <c r="AI430" s="2">
        <v>0</v>
      </c>
      <c r="AK430">
        <v>5370925</v>
      </c>
      <c r="AL430" t="s">
        <v>473</v>
      </c>
    </row>
    <row r="431" spans="1:38" x14ac:dyDescent="0.25">
      <c r="A431" s="1">
        <v>45763</v>
      </c>
      <c r="B431" s="1">
        <v>45762</v>
      </c>
      <c r="C431" t="s">
        <v>252</v>
      </c>
      <c r="D431" t="s">
        <v>39</v>
      </c>
      <c r="E431" t="s">
        <v>40</v>
      </c>
      <c r="F431">
        <v>43677</v>
      </c>
      <c r="H431" t="s">
        <v>41</v>
      </c>
      <c r="I431" s="5" t="s">
        <v>871</v>
      </c>
      <c r="J431" t="s">
        <v>512</v>
      </c>
      <c r="M431" t="s">
        <v>43</v>
      </c>
      <c r="O431">
        <v>45603</v>
      </c>
      <c r="P431" t="s">
        <v>218</v>
      </c>
      <c r="Q431" t="s">
        <v>45</v>
      </c>
      <c r="R431" t="s">
        <v>511</v>
      </c>
      <c r="S431" s="1">
        <v>45597</v>
      </c>
      <c r="T431" s="1">
        <v>45792</v>
      </c>
      <c r="U431" t="s">
        <v>47</v>
      </c>
      <c r="V431">
        <v>1</v>
      </c>
      <c r="W431" s="1">
        <v>45757</v>
      </c>
      <c r="X431" t="s">
        <v>48</v>
      </c>
      <c r="Y431" s="2">
        <v>1</v>
      </c>
      <c r="Z431" s="2">
        <v>1</v>
      </c>
      <c r="AB431" s="3">
        <v>1</v>
      </c>
      <c r="AC431" s="2">
        <v>25.5</v>
      </c>
      <c r="AG431" s="2">
        <v>0</v>
      </c>
      <c r="AH431" s="2">
        <v>25.5</v>
      </c>
      <c r="AI431" s="2">
        <v>0</v>
      </c>
      <c r="AK431">
        <v>5371078</v>
      </c>
      <c r="AL431" t="s">
        <v>473</v>
      </c>
    </row>
    <row r="432" spans="1:38" x14ac:dyDescent="0.25">
      <c r="A432" s="1">
        <v>45763</v>
      </c>
      <c r="B432" s="1">
        <v>45762</v>
      </c>
      <c r="C432" t="s">
        <v>252</v>
      </c>
      <c r="D432" t="s">
        <v>39</v>
      </c>
      <c r="E432" t="s">
        <v>40</v>
      </c>
      <c r="F432">
        <v>43677</v>
      </c>
      <c r="H432" t="s">
        <v>41</v>
      </c>
      <c r="I432" s="5" t="s">
        <v>772</v>
      </c>
      <c r="J432" t="s">
        <v>593</v>
      </c>
      <c r="M432" t="s">
        <v>43</v>
      </c>
      <c r="O432">
        <v>45607</v>
      </c>
      <c r="P432" t="s">
        <v>161</v>
      </c>
      <c r="Q432" t="s">
        <v>45</v>
      </c>
      <c r="R432" t="s">
        <v>511</v>
      </c>
      <c r="S432" s="1">
        <v>45444</v>
      </c>
      <c r="T432" s="1">
        <v>45792</v>
      </c>
      <c r="U432" t="s">
        <v>47</v>
      </c>
      <c r="V432">
        <v>1</v>
      </c>
      <c r="W432" s="1">
        <v>45757</v>
      </c>
      <c r="X432" t="s">
        <v>48</v>
      </c>
      <c r="Y432" s="2">
        <v>1</v>
      </c>
      <c r="Z432" s="2">
        <v>1</v>
      </c>
      <c r="AB432" s="3">
        <v>1</v>
      </c>
      <c r="AC432" s="2">
        <v>25.5</v>
      </c>
      <c r="AG432" s="2">
        <v>0</v>
      </c>
      <c r="AH432" s="2">
        <v>25.5</v>
      </c>
      <c r="AI432" s="2">
        <v>0</v>
      </c>
      <c r="AK432">
        <v>5370112</v>
      </c>
      <c r="AL432" t="s">
        <v>473</v>
      </c>
    </row>
    <row r="433" spans="1:38" x14ac:dyDescent="0.25">
      <c r="A433" s="1">
        <v>45763</v>
      </c>
      <c r="B433" s="1">
        <v>45762</v>
      </c>
      <c r="C433" t="s">
        <v>252</v>
      </c>
      <c r="D433" t="s">
        <v>39</v>
      </c>
      <c r="E433" t="s">
        <v>40</v>
      </c>
      <c r="F433">
        <v>43677</v>
      </c>
      <c r="H433" t="s">
        <v>41</v>
      </c>
      <c r="I433" s="5" t="s">
        <v>839</v>
      </c>
      <c r="J433" t="s">
        <v>539</v>
      </c>
      <c r="M433" t="s">
        <v>43</v>
      </c>
      <c r="O433">
        <v>45603</v>
      </c>
      <c r="P433" t="s">
        <v>218</v>
      </c>
      <c r="Q433" t="s">
        <v>250</v>
      </c>
      <c r="R433" t="s">
        <v>511</v>
      </c>
      <c r="S433" s="1">
        <v>45566</v>
      </c>
      <c r="T433" s="1">
        <v>45792</v>
      </c>
      <c r="U433" t="s">
        <v>47</v>
      </c>
      <c r="V433">
        <v>1</v>
      </c>
      <c r="W433" s="1">
        <v>45757</v>
      </c>
      <c r="X433" t="s">
        <v>48</v>
      </c>
      <c r="Y433" s="2">
        <v>1</v>
      </c>
      <c r="Z433" s="2">
        <v>1</v>
      </c>
      <c r="AB433" s="3">
        <v>1</v>
      </c>
      <c r="AC433" s="2">
        <v>25.5</v>
      </c>
      <c r="AG433" s="2">
        <v>0</v>
      </c>
      <c r="AH433" s="2">
        <v>25.5</v>
      </c>
      <c r="AI433" s="2">
        <v>0</v>
      </c>
      <c r="AK433">
        <v>5370874</v>
      </c>
      <c r="AL433" t="s">
        <v>473</v>
      </c>
    </row>
    <row r="434" spans="1:38" x14ac:dyDescent="0.25">
      <c r="A434" s="1">
        <v>45763</v>
      </c>
      <c r="B434" s="1">
        <v>45762</v>
      </c>
      <c r="C434" t="s">
        <v>252</v>
      </c>
      <c r="D434" t="s">
        <v>39</v>
      </c>
      <c r="E434" t="s">
        <v>40</v>
      </c>
      <c r="F434">
        <v>43677</v>
      </c>
      <c r="H434" t="s">
        <v>41</v>
      </c>
      <c r="I434" s="5" t="s">
        <v>774</v>
      </c>
      <c r="J434" t="s">
        <v>592</v>
      </c>
      <c r="M434" t="s">
        <v>43</v>
      </c>
      <c r="O434">
        <v>45603</v>
      </c>
      <c r="P434" t="s">
        <v>218</v>
      </c>
      <c r="Q434" t="s">
        <v>45</v>
      </c>
      <c r="R434" t="s">
        <v>511</v>
      </c>
      <c r="S434" s="1">
        <v>45474</v>
      </c>
      <c r="T434" s="1">
        <v>45792</v>
      </c>
      <c r="U434" t="s">
        <v>47</v>
      </c>
      <c r="V434">
        <v>1</v>
      </c>
      <c r="W434" s="1">
        <v>45757</v>
      </c>
      <c r="X434" t="s">
        <v>48</v>
      </c>
      <c r="Y434" s="2">
        <v>1</v>
      </c>
      <c r="Z434" s="2">
        <v>1</v>
      </c>
      <c r="AB434" s="3">
        <v>1</v>
      </c>
      <c r="AC434" s="2">
        <v>25.5</v>
      </c>
      <c r="AG434" s="2">
        <v>0</v>
      </c>
      <c r="AH434" s="2">
        <v>25.5</v>
      </c>
      <c r="AI434" s="2">
        <v>0</v>
      </c>
      <c r="AK434">
        <v>5370166</v>
      </c>
      <c r="AL434" t="s">
        <v>473</v>
      </c>
    </row>
    <row r="435" spans="1:38" x14ac:dyDescent="0.25">
      <c r="A435" s="1">
        <v>45763</v>
      </c>
      <c r="B435" s="1">
        <v>45762</v>
      </c>
      <c r="C435" t="s">
        <v>252</v>
      </c>
      <c r="D435" t="s">
        <v>39</v>
      </c>
      <c r="E435" t="s">
        <v>40</v>
      </c>
      <c r="F435">
        <v>43677</v>
      </c>
      <c r="H435" t="s">
        <v>41</v>
      </c>
      <c r="I435" s="5" t="s">
        <v>778</v>
      </c>
      <c r="J435" t="s">
        <v>589</v>
      </c>
      <c r="M435" t="s">
        <v>43</v>
      </c>
      <c r="O435">
        <v>45612</v>
      </c>
      <c r="P435" t="s">
        <v>99</v>
      </c>
      <c r="Q435" t="s">
        <v>45</v>
      </c>
      <c r="R435" t="s">
        <v>590</v>
      </c>
      <c r="S435" s="1">
        <v>45474</v>
      </c>
      <c r="T435" s="1">
        <v>45792</v>
      </c>
      <c r="U435" t="s">
        <v>47</v>
      </c>
      <c r="V435">
        <v>1</v>
      </c>
      <c r="W435" s="1">
        <v>45757</v>
      </c>
      <c r="X435" t="s">
        <v>48</v>
      </c>
      <c r="Y435" s="2">
        <v>1</v>
      </c>
      <c r="Z435" s="2">
        <v>1</v>
      </c>
      <c r="AB435" s="3">
        <v>1</v>
      </c>
      <c r="AC435" s="2">
        <v>25.5</v>
      </c>
      <c r="AG435" s="2">
        <v>0</v>
      </c>
      <c r="AH435" s="2">
        <v>25.5</v>
      </c>
      <c r="AI435" s="2">
        <v>0</v>
      </c>
      <c r="AK435">
        <v>5370222</v>
      </c>
      <c r="AL435" t="s">
        <v>473</v>
      </c>
    </row>
    <row r="436" spans="1:38" x14ac:dyDescent="0.25">
      <c r="A436" s="1">
        <v>45763</v>
      </c>
      <c r="B436" s="1">
        <v>45762</v>
      </c>
      <c r="C436" t="s">
        <v>252</v>
      </c>
      <c r="D436" t="s">
        <v>39</v>
      </c>
      <c r="E436" t="s">
        <v>40</v>
      </c>
      <c r="F436">
        <v>43677</v>
      </c>
      <c r="H436" t="s">
        <v>41</v>
      </c>
      <c r="I436" s="5" t="s">
        <v>755</v>
      </c>
      <c r="J436" t="s">
        <v>609</v>
      </c>
      <c r="M436" t="s">
        <v>43</v>
      </c>
      <c r="O436">
        <v>45603</v>
      </c>
      <c r="P436" t="s">
        <v>218</v>
      </c>
      <c r="Q436" t="s">
        <v>45</v>
      </c>
      <c r="R436" t="s">
        <v>577</v>
      </c>
      <c r="S436" s="1">
        <v>45505</v>
      </c>
      <c r="T436" s="1">
        <v>45792</v>
      </c>
      <c r="U436" t="s">
        <v>47</v>
      </c>
      <c r="V436">
        <v>1</v>
      </c>
      <c r="W436" s="1">
        <v>45757</v>
      </c>
      <c r="X436" t="s">
        <v>48</v>
      </c>
      <c r="Y436" s="2">
        <v>1</v>
      </c>
      <c r="Z436" s="2">
        <v>1</v>
      </c>
      <c r="AB436" s="3">
        <v>1</v>
      </c>
      <c r="AC436" s="2">
        <v>25.5</v>
      </c>
      <c r="AG436" s="2">
        <v>0</v>
      </c>
      <c r="AH436" s="2">
        <v>25.5</v>
      </c>
      <c r="AI436" s="2">
        <v>0</v>
      </c>
      <c r="AK436">
        <v>5366132</v>
      </c>
      <c r="AL436" t="s">
        <v>473</v>
      </c>
    </row>
    <row r="437" spans="1:38" x14ac:dyDescent="0.25">
      <c r="A437" s="1">
        <v>45763</v>
      </c>
      <c r="B437" s="1">
        <v>45762</v>
      </c>
      <c r="C437" t="s">
        <v>252</v>
      </c>
      <c r="D437" t="s">
        <v>39</v>
      </c>
      <c r="E437" t="s">
        <v>40</v>
      </c>
      <c r="F437">
        <v>43677</v>
      </c>
      <c r="H437" t="s">
        <v>41</v>
      </c>
      <c r="I437" s="5" t="s">
        <v>796</v>
      </c>
      <c r="J437" t="s">
        <v>576</v>
      </c>
      <c r="M437" t="s">
        <v>43</v>
      </c>
      <c r="O437">
        <v>45603</v>
      </c>
      <c r="P437" t="s">
        <v>218</v>
      </c>
      <c r="Q437" t="s">
        <v>45</v>
      </c>
      <c r="R437" t="s">
        <v>577</v>
      </c>
      <c r="S437" s="1">
        <v>45474</v>
      </c>
      <c r="T437" s="1">
        <v>45792</v>
      </c>
      <c r="U437" t="s">
        <v>47</v>
      </c>
      <c r="V437">
        <v>1</v>
      </c>
      <c r="W437" s="1">
        <v>45757</v>
      </c>
      <c r="X437" t="s">
        <v>48</v>
      </c>
      <c r="Y437" s="2">
        <v>1</v>
      </c>
      <c r="Z437" s="2">
        <v>1</v>
      </c>
      <c r="AB437" s="3">
        <v>1</v>
      </c>
      <c r="AC437" s="2">
        <v>25.5</v>
      </c>
      <c r="AG437" s="2">
        <v>0</v>
      </c>
      <c r="AH437" s="2">
        <v>25.5</v>
      </c>
      <c r="AI437" s="2">
        <v>0</v>
      </c>
      <c r="AK437">
        <v>5370361</v>
      </c>
      <c r="AL437" t="s">
        <v>473</v>
      </c>
    </row>
    <row r="438" spans="1:38" x14ac:dyDescent="0.25">
      <c r="A438" s="1">
        <v>45763</v>
      </c>
      <c r="B438" s="1">
        <v>45763</v>
      </c>
      <c r="C438" t="s">
        <v>146</v>
      </c>
      <c r="D438" t="s">
        <v>39</v>
      </c>
      <c r="E438" t="s">
        <v>40</v>
      </c>
      <c r="F438">
        <v>43677</v>
      </c>
      <c r="H438" t="s">
        <v>41</v>
      </c>
      <c r="I438" s="5" t="s">
        <v>745</v>
      </c>
      <c r="J438" t="s">
        <v>141</v>
      </c>
      <c r="M438" t="s">
        <v>84</v>
      </c>
      <c r="O438">
        <v>43969</v>
      </c>
      <c r="P438" t="s">
        <v>74</v>
      </c>
      <c r="Q438" t="s">
        <v>148</v>
      </c>
      <c r="R438" t="s">
        <v>142</v>
      </c>
      <c r="S438" s="1">
        <v>45778</v>
      </c>
      <c r="U438" t="s">
        <v>47</v>
      </c>
      <c r="X438" t="s">
        <v>48</v>
      </c>
      <c r="Y438" s="2">
        <v>0</v>
      </c>
      <c r="Z438">
        <v>-523.71</v>
      </c>
      <c r="AA438">
        <v>1</v>
      </c>
      <c r="AB438" s="3">
        <v>1</v>
      </c>
      <c r="AC438">
        <v>-523.71</v>
      </c>
      <c r="AD438" s="3">
        <v>0</v>
      </c>
      <c r="AE438" s="2">
        <v>0</v>
      </c>
      <c r="AF438" s="2">
        <v>523.71</v>
      </c>
      <c r="AG438" s="2"/>
      <c r="AJ438" s="2"/>
    </row>
    <row r="439" spans="1:38" x14ac:dyDescent="0.25">
      <c r="A439" s="1">
        <v>45756</v>
      </c>
      <c r="B439" s="1">
        <v>45756</v>
      </c>
      <c r="C439" t="s">
        <v>38</v>
      </c>
      <c r="D439" t="s">
        <v>39</v>
      </c>
      <c r="E439" t="s">
        <v>40</v>
      </c>
      <c r="F439">
        <v>43677</v>
      </c>
      <c r="H439" t="s">
        <v>41</v>
      </c>
      <c r="I439" s="5" t="s">
        <v>656</v>
      </c>
      <c r="J439" t="s">
        <v>141</v>
      </c>
      <c r="M439" t="s">
        <v>84</v>
      </c>
      <c r="O439">
        <v>43969</v>
      </c>
      <c r="P439" t="s">
        <v>74</v>
      </c>
      <c r="Q439" t="s">
        <v>45</v>
      </c>
      <c r="R439" t="s">
        <v>142</v>
      </c>
      <c r="S439" s="1">
        <v>45778</v>
      </c>
      <c r="U439" t="s">
        <v>47</v>
      </c>
      <c r="X439" t="s">
        <v>48</v>
      </c>
      <c r="Y439" s="2">
        <v>0</v>
      </c>
      <c r="Z439" s="2">
        <v>58.19</v>
      </c>
      <c r="AA439">
        <v>9</v>
      </c>
      <c r="AB439" s="3">
        <v>1</v>
      </c>
      <c r="AC439" s="2">
        <v>523.71</v>
      </c>
      <c r="AD439" s="3">
        <v>0</v>
      </c>
      <c r="AE439" s="2">
        <v>0</v>
      </c>
      <c r="AF439" s="2">
        <v>523.71</v>
      </c>
      <c r="AK439">
        <v>5291586</v>
      </c>
    </row>
    <row r="440" spans="1:38" x14ac:dyDescent="0.25">
      <c r="A440" s="1">
        <v>45763</v>
      </c>
      <c r="B440" s="1">
        <v>45763</v>
      </c>
      <c r="C440" t="s">
        <v>38</v>
      </c>
      <c r="D440" t="s">
        <v>39</v>
      </c>
      <c r="E440" t="s">
        <v>40</v>
      </c>
      <c r="F440">
        <v>43677</v>
      </c>
      <c r="H440" t="s">
        <v>41</v>
      </c>
      <c r="I440" s="5" t="s">
        <v>716</v>
      </c>
      <c r="J440" t="s">
        <v>83</v>
      </c>
      <c r="M440" t="s">
        <v>84</v>
      </c>
      <c r="O440">
        <v>45605</v>
      </c>
      <c r="P440" t="s">
        <v>50</v>
      </c>
      <c r="Q440" t="s">
        <v>45</v>
      </c>
      <c r="R440" t="s">
        <v>189</v>
      </c>
      <c r="S440" s="1">
        <v>45809</v>
      </c>
      <c r="U440" t="s">
        <v>47</v>
      </c>
      <c r="X440" t="s">
        <v>48</v>
      </c>
      <c r="Y440" s="2">
        <v>0</v>
      </c>
      <c r="Z440" s="2">
        <v>44.31</v>
      </c>
      <c r="AA440">
        <v>9</v>
      </c>
      <c r="AB440" s="3">
        <v>1</v>
      </c>
      <c r="AC440" s="2">
        <v>398.79</v>
      </c>
      <c r="AD440" s="3">
        <v>0</v>
      </c>
      <c r="AE440" s="2">
        <v>0</v>
      </c>
      <c r="AF440" s="2">
        <v>398.79</v>
      </c>
      <c r="AK440">
        <v>5374550</v>
      </c>
    </row>
    <row r="441" spans="1:38" x14ac:dyDescent="0.25">
      <c r="A441" s="1">
        <v>45756</v>
      </c>
      <c r="B441" s="1">
        <v>45756</v>
      </c>
      <c r="C441" t="s">
        <v>38</v>
      </c>
      <c r="D441" t="s">
        <v>39</v>
      </c>
      <c r="E441" t="s">
        <v>40</v>
      </c>
      <c r="F441">
        <v>43677</v>
      </c>
      <c r="H441" t="s">
        <v>41</v>
      </c>
      <c r="I441" s="5" t="s">
        <v>655</v>
      </c>
      <c r="J441" t="s">
        <v>138</v>
      </c>
      <c r="M441" t="s">
        <v>89</v>
      </c>
      <c r="O441">
        <v>41686</v>
      </c>
      <c r="P441" t="s">
        <v>139</v>
      </c>
      <c r="Q441" t="s">
        <v>45</v>
      </c>
      <c r="R441" t="s">
        <v>140</v>
      </c>
      <c r="S441" s="1">
        <v>45748</v>
      </c>
      <c r="U441" t="s">
        <v>47</v>
      </c>
      <c r="X441" t="s">
        <v>48</v>
      </c>
      <c r="Y441" s="2">
        <v>0</v>
      </c>
      <c r="Z441" s="2">
        <v>25.02</v>
      </c>
      <c r="AA441">
        <v>9</v>
      </c>
      <c r="AB441" s="3">
        <v>1</v>
      </c>
      <c r="AC441" s="2">
        <v>225.18</v>
      </c>
      <c r="AD441" s="3">
        <v>0</v>
      </c>
      <c r="AE441" s="2">
        <v>0</v>
      </c>
      <c r="AF441" s="2">
        <v>225.18</v>
      </c>
      <c r="AK441">
        <v>5291585</v>
      </c>
    </row>
    <row r="442" spans="1:38" x14ac:dyDescent="0.25">
      <c r="A442" s="1">
        <v>45763</v>
      </c>
      <c r="B442" s="1">
        <v>45763</v>
      </c>
      <c r="C442" t="s">
        <v>38</v>
      </c>
      <c r="D442" t="s">
        <v>39</v>
      </c>
      <c r="E442" t="s">
        <v>40</v>
      </c>
      <c r="F442">
        <v>43677</v>
      </c>
      <c r="H442" t="s">
        <v>41</v>
      </c>
      <c r="I442" s="5" t="s">
        <v>717</v>
      </c>
      <c r="J442" t="s">
        <v>188</v>
      </c>
      <c r="M442" t="s">
        <v>89</v>
      </c>
      <c r="O442">
        <v>41686</v>
      </c>
      <c r="P442" t="s">
        <v>139</v>
      </c>
      <c r="Q442" t="s">
        <v>45</v>
      </c>
      <c r="R442" t="s">
        <v>144</v>
      </c>
      <c r="S442" s="1">
        <v>45748</v>
      </c>
      <c r="U442" t="s">
        <v>47</v>
      </c>
      <c r="X442" t="s">
        <v>48</v>
      </c>
      <c r="Y442" s="2">
        <v>0</v>
      </c>
      <c r="Z442" s="2">
        <v>31.98</v>
      </c>
      <c r="AA442">
        <v>9</v>
      </c>
      <c r="AB442" s="3">
        <v>1</v>
      </c>
      <c r="AC442" s="2">
        <v>287.82</v>
      </c>
      <c r="AD442" s="3">
        <v>0</v>
      </c>
      <c r="AE442" s="2">
        <v>0</v>
      </c>
      <c r="AF442" s="2">
        <v>287.82</v>
      </c>
      <c r="AK442">
        <v>5374548</v>
      </c>
    </row>
    <row r="443" spans="1:38" x14ac:dyDescent="0.25">
      <c r="A443" s="1">
        <v>45756</v>
      </c>
      <c r="B443" s="1">
        <v>45756</v>
      </c>
      <c r="C443" t="s">
        <v>38</v>
      </c>
      <c r="D443" t="s">
        <v>39</v>
      </c>
      <c r="E443" t="s">
        <v>40</v>
      </c>
      <c r="F443">
        <v>43677</v>
      </c>
      <c r="H443" t="s">
        <v>41</v>
      </c>
      <c r="I443" s="5" t="s">
        <v>657</v>
      </c>
      <c r="J443" t="s">
        <v>143</v>
      </c>
      <c r="M443" t="s">
        <v>89</v>
      </c>
      <c r="O443">
        <v>41686</v>
      </c>
      <c r="P443" t="s">
        <v>139</v>
      </c>
      <c r="Q443" t="s">
        <v>45</v>
      </c>
      <c r="R443" t="s">
        <v>144</v>
      </c>
      <c r="S443" s="1">
        <v>45809</v>
      </c>
      <c r="U443" t="s">
        <v>47</v>
      </c>
      <c r="X443" t="s">
        <v>48</v>
      </c>
      <c r="Y443" s="2">
        <v>0</v>
      </c>
      <c r="Z443" s="2">
        <v>31.98</v>
      </c>
      <c r="AA443">
        <v>9</v>
      </c>
      <c r="AB443" s="3">
        <v>1</v>
      </c>
      <c r="AC443" s="2">
        <v>287.82</v>
      </c>
      <c r="AD443" s="3">
        <v>0</v>
      </c>
      <c r="AE443" s="2">
        <v>0</v>
      </c>
      <c r="AF443" s="2">
        <v>287.82</v>
      </c>
      <c r="AK443">
        <v>5291587</v>
      </c>
    </row>
    <row r="444" spans="1:38" x14ac:dyDescent="0.25">
      <c r="A444" s="1">
        <v>45756</v>
      </c>
      <c r="B444" s="1">
        <v>45756</v>
      </c>
      <c r="C444" t="s">
        <v>146</v>
      </c>
      <c r="D444" t="s">
        <v>39</v>
      </c>
      <c r="E444" t="s">
        <v>40</v>
      </c>
      <c r="F444">
        <v>43677</v>
      </c>
      <c r="H444" t="s">
        <v>41</v>
      </c>
      <c r="I444" s="5" t="s">
        <v>679</v>
      </c>
      <c r="J444" t="s">
        <v>166</v>
      </c>
      <c r="M444" t="s">
        <v>89</v>
      </c>
      <c r="O444">
        <v>45605</v>
      </c>
      <c r="P444" t="s">
        <v>50</v>
      </c>
      <c r="Q444" t="s">
        <v>148</v>
      </c>
      <c r="R444" t="s">
        <v>144</v>
      </c>
      <c r="S444" s="1">
        <v>45748</v>
      </c>
      <c r="U444" t="s">
        <v>47</v>
      </c>
      <c r="X444" t="s">
        <v>48</v>
      </c>
      <c r="Y444" s="2">
        <v>0</v>
      </c>
      <c r="Z444">
        <v>-287.82</v>
      </c>
      <c r="AA444">
        <v>1</v>
      </c>
      <c r="AB444" s="3">
        <v>1</v>
      </c>
      <c r="AC444">
        <v>-287.82</v>
      </c>
      <c r="AD444" s="3">
        <v>0</v>
      </c>
      <c r="AE444" s="2">
        <v>0</v>
      </c>
      <c r="AF444" s="2">
        <v>287.82</v>
      </c>
      <c r="AG444" s="2"/>
      <c r="AJ444" s="2"/>
    </row>
    <row r="445" spans="1:38" x14ac:dyDescent="0.25">
      <c r="A445" s="1">
        <v>45756</v>
      </c>
      <c r="B445" s="1">
        <v>45756</v>
      </c>
      <c r="C445" t="s">
        <v>38</v>
      </c>
      <c r="D445" t="s">
        <v>39</v>
      </c>
      <c r="E445" t="s">
        <v>40</v>
      </c>
      <c r="F445">
        <v>43677</v>
      </c>
      <c r="H445" t="s">
        <v>41</v>
      </c>
      <c r="I445" s="5" t="s">
        <v>658</v>
      </c>
      <c r="J445" t="s">
        <v>145</v>
      </c>
      <c r="M445" t="s">
        <v>89</v>
      </c>
      <c r="O445">
        <v>43969</v>
      </c>
      <c r="P445" t="s">
        <v>74</v>
      </c>
      <c r="Q445" t="s">
        <v>45</v>
      </c>
      <c r="R445" t="s">
        <v>144</v>
      </c>
      <c r="S445" s="1">
        <v>45748</v>
      </c>
      <c r="U445" t="s">
        <v>47</v>
      </c>
      <c r="X445" t="s">
        <v>48</v>
      </c>
      <c r="Y445" s="2">
        <v>0</v>
      </c>
      <c r="Z445" s="2">
        <v>31.98</v>
      </c>
      <c r="AA445">
        <v>9</v>
      </c>
      <c r="AB445" s="3">
        <v>1</v>
      </c>
      <c r="AC445" s="2">
        <v>287.82</v>
      </c>
      <c r="AD445" s="3">
        <v>0</v>
      </c>
      <c r="AE445" s="2">
        <v>0</v>
      </c>
      <c r="AF445" s="2">
        <v>287.82</v>
      </c>
      <c r="AK445">
        <v>5291588</v>
      </c>
    </row>
    <row r="446" spans="1:38" x14ac:dyDescent="0.25">
      <c r="A446" s="1">
        <v>45763</v>
      </c>
      <c r="B446" s="1">
        <v>45762</v>
      </c>
      <c r="C446" t="s">
        <v>252</v>
      </c>
      <c r="D446" t="s">
        <v>39</v>
      </c>
      <c r="E446" t="s">
        <v>40</v>
      </c>
      <c r="F446">
        <v>43677</v>
      </c>
      <c r="H446" t="s">
        <v>41</v>
      </c>
      <c r="I446" s="5" t="s">
        <v>931</v>
      </c>
      <c r="J446" t="s">
        <v>254</v>
      </c>
      <c r="M446" t="s">
        <v>89</v>
      </c>
      <c r="O446">
        <v>41686</v>
      </c>
      <c r="P446" t="s">
        <v>139</v>
      </c>
      <c r="Q446" t="s">
        <v>45</v>
      </c>
      <c r="R446" t="s">
        <v>253</v>
      </c>
      <c r="S446" s="1">
        <v>45627</v>
      </c>
      <c r="T446" s="1">
        <v>45792</v>
      </c>
      <c r="U446" t="s">
        <v>47</v>
      </c>
      <c r="V446">
        <v>1</v>
      </c>
      <c r="W446" s="1">
        <v>45757</v>
      </c>
      <c r="X446" t="s">
        <v>48</v>
      </c>
      <c r="Y446" s="2">
        <v>1</v>
      </c>
      <c r="Z446" s="2">
        <v>1</v>
      </c>
      <c r="AB446" s="3">
        <v>1</v>
      </c>
      <c r="AC446" s="2">
        <v>28.78</v>
      </c>
      <c r="AG446" s="2">
        <v>0</v>
      </c>
      <c r="AH446" s="2">
        <v>28.78</v>
      </c>
      <c r="AI446" s="2">
        <v>0</v>
      </c>
      <c r="AK446">
        <v>5351913</v>
      </c>
      <c r="AL446" t="s">
        <v>248</v>
      </c>
    </row>
    <row r="447" spans="1:38" x14ac:dyDescent="0.25">
      <c r="A447" s="1">
        <v>45763</v>
      </c>
      <c r="B447" s="1">
        <v>45763</v>
      </c>
      <c r="C447" t="s">
        <v>38</v>
      </c>
      <c r="D447" t="s">
        <v>39</v>
      </c>
      <c r="E447" t="s">
        <v>40</v>
      </c>
      <c r="F447">
        <v>43677</v>
      </c>
      <c r="H447" t="s">
        <v>41</v>
      </c>
      <c r="I447" s="5" t="s">
        <v>718</v>
      </c>
      <c r="J447" t="s">
        <v>187</v>
      </c>
      <c r="M447" t="s">
        <v>89</v>
      </c>
      <c r="O447">
        <v>45607</v>
      </c>
      <c r="P447" t="s">
        <v>161</v>
      </c>
      <c r="Q447" t="s">
        <v>45</v>
      </c>
      <c r="R447" t="s">
        <v>186</v>
      </c>
      <c r="S447" s="1">
        <v>45778</v>
      </c>
      <c r="U447" t="s">
        <v>47</v>
      </c>
      <c r="X447" t="s">
        <v>48</v>
      </c>
      <c r="Y447" s="2">
        <v>0</v>
      </c>
      <c r="Z447" s="2">
        <v>30</v>
      </c>
      <c r="AA447">
        <v>9</v>
      </c>
      <c r="AB447" s="3">
        <v>1</v>
      </c>
      <c r="AC447" s="2">
        <v>270</v>
      </c>
      <c r="AD447" s="3">
        <v>0</v>
      </c>
      <c r="AE447" s="2">
        <v>0</v>
      </c>
      <c r="AF447" s="2">
        <v>270</v>
      </c>
      <c r="AK447">
        <v>5374549</v>
      </c>
    </row>
    <row r="448" spans="1:38" s="7" customFormat="1" x14ac:dyDescent="0.25">
      <c r="A448" s="8">
        <v>45763</v>
      </c>
      <c r="B448" s="8">
        <v>45762</v>
      </c>
      <c r="C448" s="7" t="s">
        <v>252</v>
      </c>
      <c r="D448" s="7" t="s">
        <v>39</v>
      </c>
      <c r="E448" s="7" t="s">
        <v>40</v>
      </c>
      <c r="F448" s="7">
        <v>43677</v>
      </c>
      <c r="H448" s="7" t="s">
        <v>41</v>
      </c>
      <c r="I448" s="6" t="s">
        <v>930</v>
      </c>
      <c r="J448" s="7" t="s">
        <v>256</v>
      </c>
      <c r="M448" s="7" t="s">
        <v>93</v>
      </c>
      <c r="O448" s="7">
        <v>43689</v>
      </c>
      <c r="P448" s="7" t="s">
        <v>53</v>
      </c>
      <c r="Q448" s="7" t="s">
        <v>45</v>
      </c>
      <c r="R448" s="7" t="s">
        <v>255</v>
      </c>
      <c r="S448" s="8">
        <v>45689</v>
      </c>
      <c r="T448" s="8">
        <v>45792</v>
      </c>
      <c r="U448" s="7" t="s">
        <v>47</v>
      </c>
      <c r="V448" s="7">
        <v>1</v>
      </c>
      <c r="W448" s="8">
        <v>45757</v>
      </c>
      <c r="X448" s="7" t="s">
        <v>48</v>
      </c>
      <c r="Y448" s="9">
        <v>1</v>
      </c>
      <c r="Z448" s="9">
        <v>1</v>
      </c>
      <c r="AB448" s="10">
        <v>1</v>
      </c>
      <c r="AC448" s="9">
        <v>24.73</v>
      </c>
      <c r="AG448" s="9">
        <v>0</v>
      </c>
      <c r="AH448" s="9">
        <v>24.73</v>
      </c>
      <c r="AI448" s="9">
        <v>0</v>
      </c>
      <c r="AK448" s="7">
        <v>5351912</v>
      </c>
      <c r="AL448" s="7" t="s">
        <v>248</v>
      </c>
    </row>
    <row r="449" spans="1:38" s="7" customFormat="1" x14ac:dyDescent="0.25">
      <c r="A449" s="8">
        <v>45763</v>
      </c>
      <c r="B449" s="8">
        <v>45762</v>
      </c>
      <c r="C449" s="7" t="s">
        <v>252</v>
      </c>
      <c r="D449" s="7" t="s">
        <v>39</v>
      </c>
      <c r="E449" s="7" t="s">
        <v>40</v>
      </c>
      <c r="F449" s="7">
        <v>43677</v>
      </c>
      <c r="H449" s="7" t="s">
        <v>41</v>
      </c>
      <c r="I449" s="6" t="s">
        <v>932</v>
      </c>
      <c r="J449" s="7" t="s">
        <v>251</v>
      </c>
      <c r="M449" s="7" t="s">
        <v>93</v>
      </c>
      <c r="O449" s="7">
        <v>45601</v>
      </c>
      <c r="P449" s="7" t="s">
        <v>58</v>
      </c>
      <c r="Q449" s="7" t="s">
        <v>250</v>
      </c>
      <c r="R449" s="7" t="s">
        <v>249</v>
      </c>
      <c r="S449" s="8">
        <v>45597</v>
      </c>
      <c r="T449" s="8">
        <v>45792</v>
      </c>
      <c r="U449" s="7" t="s">
        <v>47</v>
      </c>
      <c r="V449" s="7">
        <v>1</v>
      </c>
      <c r="W449" s="8">
        <v>45757</v>
      </c>
      <c r="X449" s="7" t="s">
        <v>48</v>
      </c>
      <c r="Y449" s="9">
        <v>1</v>
      </c>
      <c r="Z449" s="9">
        <v>1</v>
      </c>
      <c r="AB449" s="10">
        <v>1</v>
      </c>
      <c r="AC449" s="9">
        <v>22.52</v>
      </c>
      <c r="AG449" s="9">
        <v>0</v>
      </c>
      <c r="AH449" s="9">
        <v>22.52</v>
      </c>
      <c r="AI449" s="9">
        <v>0</v>
      </c>
      <c r="AK449" s="7">
        <v>5351914</v>
      </c>
      <c r="AL449" s="7" t="s">
        <v>248</v>
      </c>
    </row>
    <row r="450" spans="1:38" x14ac:dyDescent="0.25">
      <c r="A450" s="1">
        <v>45756</v>
      </c>
      <c r="B450" s="1">
        <v>45756</v>
      </c>
      <c r="C450" t="s">
        <v>38</v>
      </c>
      <c r="D450" t="s">
        <v>39</v>
      </c>
      <c r="E450" t="s">
        <v>40</v>
      </c>
      <c r="F450">
        <v>43677</v>
      </c>
      <c r="H450" t="s">
        <v>41</v>
      </c>
      <c r="I450" s="5" t="s">
        <v>649</v>
      </c>
      <c r="J450" t="s">
        <v>125</v>
      </c>
      <c r="M450" t="s">
        <v>126</v>
      </c>
      <c r="O450">
        <v>45605</v>
      </c>
      <c r="P450" t="s">
        <v>50</v>
      </c>
      <c r="Q450" t="s">
        <v>45</v>
      </c>
      <c r="R450" t="s">
        <v>124</v>
      </c>
      <c r="S450" s="1">
        <v>45748</v>
      </c>
      <c r="U450" t="s">
        <v>47</v>
      </c>
      <c r="X450" t="s">
        <v>48</v>
      </c>
      <c r="Y450" s="2">
        <v>0</v>
      </c>
      <c r="Z450" s="2">
        <v>175</v>
      </c>
      <c r="AA450">
        <v>1</v>
      </c>
      <c r="AB450" s="3">
        <v>1</v>
      </c>
      <c r="AC450" s="2">
        <v>175</v>
      </c>
      <c r="AD450" s="3">
        <v>0</v>
      </c>
      <c r="AE450" s="2">
        <v>0</v>
      </c>
      <c r="AF450" s="2">
        <v>175</v>
      </c>
      <c r="AK450">
        <v>5291856</v>
      </c>
    </row>
    <row r="451" spans="1:38" x14ac:dyDescent="0.25">
      <c r="A451" s="1">
        <v>45763</v>
      </c>
      <c r="B451" s="1">
        <v>45762</v>
      </c>
      <c r="C451" t="s">
        <v>252</v>
      </c>
      <c r="D451" t="s">
        <v>39</v>
      </c>
      <c r="E451" t="s">
        <v>40</v>
      </c>
      <c r="F451">
        <v>43677</v>
      </c>
      <c r="H451" t="s">
        <v>41</v>
      </c>
      <c r="I451" s="5" t="s">
        <v>927</v>
      </c>
      <c r="J451" t="s">
        <v>261</v>
      </c>
      <c r="M451" t="s">
        <v>89</v>
      </c>
      <c r="O451">
        <v>43705</v>
      </c>
      <c r="P451" t="s">
        <v>90</v>
      </c>
      <c r="Q451" t="s">
        <v>45</v>
      </c>
      <c r="R451" t="s">
        <v>124</v>
      </c>
      <c r="S451" s="1">
        <v>45536</v>
      </c>
      <c r="T451" s="1">
        <v>45792</v>
      </c>
      <c r="U451" t="s">
        <v>47</v>
      </c>
      <c r="V451">
        <v>1</v>
      </c>
      <c r="W451" s="1">
        <v>45757</v>
      </c>
      <c r="X451" t="s">
        <v>48</v>
      </c>
      <c r="Y451" s="2">
        <v>1</v>
      </c>
      <c r="Z451" s="2">
        <v>1</v>
      </c>
      <c r="AB451" s="3">
        <v>1</v>
      </c>
      <c r="AC451" s="2">
        <v>6</v>
      </c>
      <c r="AG451" s="2">
        <v>0</v>
      </c>
      <c r="AH451" s="2">
        <v>6</v>
      </c>
      <c r="AI451" s="2">
        <v>0</v>
      </c>
      <c r="AK451">
        <v>5350755</v>
      </c>
      <c r="AL451" t="s">
        <v>248</v>
      </c>
    </row>
    <row r="452" spans="1:38" x14ac:dyDescent="0.25">
      <c r="A452" s="1">
        <v>45763</v>
      </c>
      <c r="B452" s="1">
        <v>45762</v>
      </c>
      <c r="C452" t="s">
        <v>252</v>
      </c>
      <c r="D452" t="s">
        <v>39</v>
      </c>
      <c r="E452" t="s">
        <v>40</v>
      </c>
      <c r="F452">
        <v>43677</v>
      </c>
      <c r="H452" t="s">
        <v>41</v>
      </c>
      <c r="I452" s="5" t="s">
        <v>924</v>
      </c>
      <c r="J452" t="s">
        <v>266</v>
      </c>
      <c r="M452" t="s">
        <v>265</v>
      </c>
      <c r="O452">
        <v>43682</v>
      </c>
      <c r="P452" t="s">
        <v>118</v>
      </c>
      <c r="Q452" t="s">
        <v>250</v>
      </c>
      <c r="R452" t="s">
        <v>124</v>
      </c>
      <c r="S452" s="1">
        <v>45597</v>
      </c>
      <c r="T452" s="1">
        <v>45792</v>
      </c>
      <c r="U452" t="s">
        <v>47</v>
      </c>
      <c r="V452">
        <v>1</v>
      </c>
      <c r="W452" s="1">
        <v>45757</v>
      </c>
      <c r="X452" t="s">
        <v>48</v>
      </c>
      <c r="Y452" s="2">
        <v>1</v>
      </c>
      <c r="Z452" s="2">
        <v>1</v>
      </c>
      <c r="AB452" s="3">
        <v>1</v>
      </c>
      <c r="AC452" s="2">
        <v>6</v>
      </c>
      <c r="AG452" s="2">
        <v>0</v>
      </c>
      <c r="AH452" s="2">
        <v>6</v>
      </c>
      <c r="AI452" s="2">
        <v>0</v>
      </c>
      <c r="AK452">
        <v>5348260</v>
      </c>
      <c r="AL452" t="s">
        <v>248</v>
      </c>
    </row>
    <row r="453" spans="1:38" x14ac:dyDescent="0.25">
      <c r="A453" s="1">
        <v>45763</v>
      </c>
      <c r="B453" s="1">
        <v>45763</v>
      </c>
      <c r="C453" t="s">
        <v>38</v>
      </c>
      <c r="D453" t="s">
        <v>39</v>
      </c>
      <c r="E453" t="s">
        <v>40</v>
      </c>
      <c r="F453">
        <v>43677</v>
      </c>
      <c r="H453" t="s">
        <v>41</v>
      </c>
      <c r="I453" s="5" t="s">
        <v>712</v>
      </c>
      <c r="J453" t="s">
        <v>193</v>
      </c>
      <c r="M453" t="s">
        <v>192</v>
      </c>
      <c r="O453">
        <v>43679</v>
      </c>
      <c r="P453" t="s">
        <v>191</v>
      </c>
      <c r="Q453" t="s">
        <v>45</v>
      </c>
      <c r="R453" t="s">
        <v>124</v>
      </c>
      <c r="S453" s="1">
        <v>45778</v>
      </c>
      <c r="U453" t="s">
        <v>47</v>
      </c>
      <c r="X453" t="s">
        <v>48</v>
      </c>
      <c r="Y453" s="2">
        <v>0</v>
      </c>
      <c r="Z453" s="2">
        <v>175</v>
      </c>
      <c r="AA453">
        <v>1</v>
      </c>
      <c r="AB453" s="3">
        <v>1</v>
      </c>
      <c r="AC453" s="2">
        <v>175</v>
      </c>
      <c r="AD453" s="3">
        <v>0</v>
      </c>
      <c r="AE453" s="2">
        <v>0</v>
      </c>
      <c r="AF453" s="2">
        <v>175</v>
      </c>
      <c r="AK453">
        <v>5377626</v>
      </c>
    </row>
    <row r="454" spans="1:38" x14ac:dyDescent="0.25">
      <c r="A454" s="1">
        <v>45763</v>
      </c>
      <c r="B454" s="1">
        <v>45762</v>
      </c>
      <c r="C454" t="s">
        <v>252</v>
      </c>
      <c r="D454" t="s">
        <v>39</v>
      </c>
      <c r="E454" t="s">
        <v>40</v>
      </c>
      <c r="F454">
        <v>43677</v>
      </c>
      <c r="H454" t="s">
        <v>41</v>
      </c>
      <c r="I454" s="5" t="s">
        <v>926</v>
      </c>
      <c r="J454" t="s">
        <v>263</v>
      </c>
      <c r="M454" t="s">
        <v>128</v>
      </c>
      <c r="O454">
        <v>43682</v>
      </c>
      <c r="P454" t="s">
        <v>118</v>
      </c>
      <c r="Q454" t="s">
        <v>45</v>
      </c>
      <c r="R454" t="s">
        <v>124</v>
      </c>
      <c r="S454" s="1">
        <v>45597</v>
      </c>
      <c r="T454" s="1">
        <v>45792</v>
      </c>
      <c r="U454" t="s">
        <v>47</v>
      </c>
      <c r="V454">
        <v>1</v>
      </c>
      <c r="W454" s="1">
        <v>45757</v>
      </c>
      <c r="X454" t="s">
        <v>48</v>
      </c>
      <c r="Y454" s="2">
        <v>1</v>
      </c>
      <c r="Z454" s="2">
        <v>1</v>
      </c>
      <c r="AB454" s="3">
        <v>1</v>
      </c>
      <c r="AC454" s="2">
        <v>6</v>
      </c>
      <c r="AG454" s="2">
        <v>0</v>
      </c>
      <c r="AH454" s="2">
        <v>6</v>
      </c>
      <c r="AI454" s="2">
        <v>0</v>
      </c>
      <c r="AK454">
        <v>5350721</v>
      </c>
      <c r="AL454" t="s">
        <v>248</v>
      </c>
    </row>
    <row r="455" spans="1:38" x14ac:dyDescent="0.25">
      <c r="A455" s="1">
        <v>45763</v>
      </c>
      <c r="B455" s="1">
        <v>45763</v>
      </c>
      <c r="C455" t="s">
        <v>146</v>
      </c>
      <c r="D455" t="s">
        <v>39</v>
      </c>
      <c r="E455" t="s">
        <v>40</v>
      </c>
      <c r="F455">
        <v>43677</v>
      </c>
      <c r="H455" t="s">
        <v>41</v>
      </c>
      <c r="I455" s="5" t="s">
        <v>736</v>
      </c>
      <c r="J455" t="s">
        <v>172</v>
      </c>
      <c r="M455" t="s">
        <v>128</v>
      </c>
      <c r="O455">
        <v>45613</v>
      </c>
      <c r="P455" t="s">
        <v>65</v>
      </c>
      <c r="Q455" t="s">
        <v>148</v>
      </c>
      <c r="R455" t="s">
        <v>124</v>
      </c>
      <c r="S455" s="1">
        <v>45658</v>
      </c>
      <c r="U455" t="s">
        <v>47</v>
      </c>
      <c r="X455" t="s">
        <v>48</v>
      </c>
      <c r="Y455" s="2">
        <v>0</v>
      </c>
      <c r="Z455">
        <v>-116.67</v>
      </c>
      <c r="AA455">
        <v>1</v>
      </c>
      <c r="AB455" s="3">
        <v>1</v>
      </c>
      <c r="AC455">
        <v>-116.67</v>
      </c>
      <c r="AD455" s="3">
        <v>0</v>
      </c>
      <c r="AE455" s="2">
        <v>0</v>
      </c>
      <c r="AF455" s="2">
        <v>175</v>
      </c>
      <c r="AG455" s="2"/>
      <c r="AJ455" s="2"/>
    </row>
    <row r="456" spans="1:38" x14ac:dyDescent="0.25">
      <c r="A456" s="1">
        <v>45763</v>
      </c>
      <c r="B456" s="1">
        <v>45763</v>
      </c>
      <c r="C456" t="s">
        <v>38</v>
      </c>
      <c r="D456" t="s">
        <v>39</v>
      </c>
      <c r="E456" t="s">
        <v>40</v>
      </c>
      <c r="F456">
        <v>43677</v>
      </c>
      <c r="H456" t="s">
        <v>41</v>
      </c>
      <c r="I456" s="5" t="s">
        <v>708</v>
      </c>
      <c r="J456" t="s">
        <v>199</v>
      </c>
      <c r="M456" t="s">
        <v>89</v>
      </c>
      <c r="O456">
        <v>45622</v>
      </c>
      <c r="P456" t="s">
        <v>198</v>
      </c>
      <c r="Q456" t="s">
        <v>45</v>
      </c>
      <c r="R456" t="s">
        <v>124</v>
      </c>
      <c r="S456" s="1">
        <v>45778</v>
      </c>
      <c r="U456" t="s">
        <v>47</v>
      </c>
      <c r="X456" t="s">
        <v>48</v>
      </c>
      <c r="Y456" s="2">
        <v>0</v>
      </c>
      <c r="Z456" s="2">
        <v>175</v>
      </c>
      <c r="AA456">
        <v>1</v>
      </c>
      <c r="AB456" s="3">
        <v>1</v>
      </c>
      <c r="AC456" s="2">
        <v>175</v>
      </c>
      <c r="AD456" s="3">
        <v>0</v>
      </c>
      <c r="AE456" s="2">
        <v>0</v>
      </c>
      <c r="AF456" s="2">
        <v>175</v>
      </c>
      <c r="AK456">
        <v>5377624</v>
      </c>
    </row>
    <row r="457" spans="1:38" x14ac:dyDescent="0.25">
      <c r="A457" s="1">
        <v>45763</v>
      </c>
      <c r="B457" s="1">
        <v>45763</v>
      </c>
      <c r="C457" t="s">
        <v>38</v>
      </c>
      <c r="D457" t="s">
        <v>39</v>
      </c>
      <c r="E457" t="s">
        <v>40</v>
      </c>
      <c r="F457">
        <v>43677</v>
      </c>
      <c r="H457" t="s">
        <v>41</v>
      </c>
      <c r="I457" s="5" t="s">
        <v>713</v>
      </c>
      <c r="J457" t="s">
        <v>174</v>
      </c>
      <c r="M457" t="s">
        <v>89</v>
      </c>
      <c r="O457">
        <v>45605</v>
      </c>
      <c r="P457" t="s">
        <v>50</v>
      </c>
      <c r="Q457" t="s">
        <v>45</v>
      </c>
      <c r="R457" t="s">
        <v>124</v>
      </c>
      <c r="S457" s="1">
        <v>45748</v>
      </c>
      <c r="U457" t="s">
        <v>47</v>
      </c>
      <c r="X457" t="s">
        <v>48</v>
      </c>
      <c r="Y457" s="2">
        <v>0</v>
      </c>
      <c r="Z457" s="2">
        <v>175</v>
      </c>
      <c r="AA457">
        <v>1</v>
      </c>
      <c r="AB457" s="3">
        <v>1</v>
      </c>
      <c r="AC457" s="2">
        <v>175</v>
      </c>
      <c r="AD457" s="3">
        <v>0</v>
      </c>
      <c r="AE457" s="2">
        <v>0</v>
      </c>
      <c r="AF457" s="2">
        <v>175</v>
      </c>
      <c r="AK457">
        <v>5377612</v>
      </c>
    </row>
    <row r="458" spans="1:38" x14ac:dyDescent="0.25">
      <c r="A458" s="1">
        <v>45763</v>
      </c>
      <c r="B458" s="1">
        <v>45763</v>
      </c>
      <c r="C458" t="s">
        <v>38</v>
      </c>
      <c r="D458" t="s">
        <v>39</v>
      </c>
      <c r="E458" t="s">
        <v>40</v>
      </c>
      <c r="F458">
        <v>43677</v>
      </c>
      <c r="H458" t="s">
        <v>41</v>
      </c>
      <c r="I458" s="5" t="s">
        <v>704</v>
      </c>
      <c r="J458" t="s">
        <v>204</v>
      </c>
      <c r="M458" t="s">
        <v>203</v>
      </c>
      <c r="O458">
        <v>45601</v>
      </c>
      <c r="P458" t="s">
        <v>58</v>
      </c>
      <c r="Q458" t="s">
        <v>45</v>
      </c>
      <c r="R458" t="s">
        <v>124</v>
      </c>
      <c r="S458" s="1">
        <v>45778</v>
      </c>
      <c r="U458" t="s">
        <v>47</v>
      </c>
      <c r="X458" t="s">
        <v>48</v>
      </c>
      <c r="Y458" s="2">
        <v>0</v>
      </c>
      <c r="Z458" s="2">
        <v>175</v>
      </c>
      <c r="AA458">
        <v>1</v>
      </c>
      <c r="AB458" s="3">
        <v>1</v>
      </c>
      <c r="AC458" s="2">
        <v>175</v>
      </c>
      <c r="AD458" s="3">
        <v>0</v>
      </c>
      <c r="AE458" s="2">
        <v>0</v>
      </c>
      <c r="AF458" s="2">
        <v>175</v>
      </c>
      <c r="AK458">
        <v>5377633</v>
      </c>
    </row>
    <row r="459" spans="1:38" x14ac:dyDescent="0.25">
      <c r="A459" s="1">
        <v>45763</v>
      </c>
      <c r="B459" s="1">
        <v>45763</v>
      </c>
      <c r="C459" t="s">
        <v>38</v>
      </c>
      <c r="D459" t="s">
        <v>39</v>
      </c>
      <c r="E459" t="s">
        <v>40</v>
      </c>
      <c r="F459">
        <v>43677</v>
      </c>
      <c r="H459" t="s">
        <v>41</v>
      </c>
      <c r="I459" s="5" t="s">
        <v>707</v>
      </c>
      <c r="J459" t="s">
        <v>200</v>
      </c>
      <c r="M459" t="s">
        <v>122</v>
      </c>
      <c r="O459">
        <v>43969</v>
      </c>
      <c r="P459" t="s">
        <v>74</v>
      </c>
      <c r="Q459" t="s">
        <v>45</v>
      </c>
      <c r="R459" t="s">
        <v>124</v>
      </c>
      <c r="S459" s="1">
        <v>45809</v>
      </c>
      <c r="U459" t="s">
        <v>47</v>
      </c>
      <c r="X459" t="s">
        <v>48</v>
      </c>
      <c r="Y459" s="2">
        <v>0</v>
      </c>
      <c r="Z459" s="2">
        <v>175</v>
      </c>
      <c r="AA459">
        <v>1</v>
      </c>
      <c r="AB459" s="3">
        <v>1</v>
      </c>
      <c r="AC459" s="2">
        <v>175</v>
      </c>
      <c r="AD459" s="3">
        <v>0</v>
      </c>
      <c r="AE459" s="2">
        <v>0</v>
      </c>
      <c r="AF459" s="2">
        <v>175</v>
      </c>
      <c r="AK459">
        <v>5377614</v>
      </c>
    </row>
    <row r="460" spans="1:38" x14ac:dyDescent="0.25">
      <c r="A460" s="1">
        <v>45763</v>
      </c>
      <c r="B460" s="1">
        <v>45762</v>
      </c>
      <c r="C460" t="s">
        <v>252</v>
      </c>
      <c r="D460" t="s">
        <v>39</v>
      </c>
      <c r="E460" t="s">
        <v>40</v>
      </c>
      <c r="F460">
        <v>43677</v>
      </c>
      <c r="H460" t="s">
        <v>41</v>
      </c>
      <c r="I460" s="5" t="s">
        <v>922</v>
      </c>
      <c r="J460" t="s">
        <v>269</v>
      </c>
      <c r="M460" t="s">
        <v>128</v>
      </c>
      <c r="O460">
        <v>43969</v>
      </c>
      <c r="P460" t="s">
        <v>74</v>
      </c>
      <c r="Q460" t="s">
        <v>45</v>
      </c>
      <c r="R460" t="s">
        <v>124</v>
      </c>
      <c r="S460" s="1">
        <v>45597</v>
      </c>
      <c r="T460" s="1">
        <v>45792</v>
      </c>
      <c r="U460" t="s">
        <v>47</v>
      </c>
      <c r="V460">
        <v>1</v>
      </c>
      <c r="W460" s="1">
        <v>45757</v>
      </c>
      <c r="X460" t="s">
        <v>48</v>
      </c>
      <c r="Y460" s="2">
        <v>1</v>
      </c>
      <c r="Z460" s="2">
        <v>1</v>
      </c>
      <c r="AB460" s="3">
        <v>1</v>
      </c>
      <c r="AC460" s="2">
        <v>6</v>
      </c>
      <c r="AG460" s="2">
        <v>0</v>
      </c>
      <c r="AH460" s="2">
        <v>6</v>
      </c>
      <c r="AI460" s="2">
        <v>0</v>
      </c>
      <c r="AK460">
        <v>5348000</v>
      </c>
      <c r="AL460" t="s">
        <v>248</v>
      </c>
    </row>
    <row r="461" spans="1:38" x14ac:dyDescent="0.25">
      <c r="A461" s="1">
        <v>45763</v>
      </c>
      <c r="B461" s="1">
        <v>45763</v>
      </c>
      <c r="C461" t="s">
        <v>38</v>
      </c>
      <c r="D461" t="s">
        <v>39</v>
      </c>
      <c r="E461" t="s">
        <v>40</v>
      </c>
      <c r="F461">
        <v>43677</v>
      </c>
      <c r="H461" t="s">
        <v>41</v>
      </c>
      <c r="I461" s="5" t="s">
        <v>709</v>
      </c>
      <c r="J461" t="s">
        <v>197</v>
      </c>
      <c r="M461" t="s">
        <v>84</v>
      </c>
      <c r="O461">
        <v>43969</v>
      </c>
      <c r="P461" t="s">
        <v>74</v>
      </c>
      <c r="Q461" t="s">
        <v>45</v>
      </c>
      <c r="R461" t="s">
        <v>124</v>
      </c>
      <c r="S461" s="1">
        <v>45809</v>
      </c>
      <c r="U461" t="s">
        <v>47</v>
      </c>
      <c r="X461" t="s">
        <v>48</v>
      </c>
      <c r="Y461" s="2">
        <v>0</v>
      </c>
      <c r="Z461" s="2">
        <v>175</v>
      </c>
      <c r="AA461">
        <v>1</v>
      </c>
      <c r="AB461" s="3">
        <v>1</v>
      </c>
      <c r="AC461" s="2">
        <v>175</v>
      </c>
      <c r="AD461" s="3">
        <v>0</v>
      </c>
      <c r="AE461" s="2">
        <v>0</v>
      </c>
      <c r="AF461" s="2">
        <v>175</v>
      </c>
      <c r="AK461">
        <v>5377642</v>
      </c>
    </row>
    <row r="462" spans="1:38" x14ac:dyDescent="0.25">
      <c r="A462" s="1">
        <v>45756</v>
      </c>
      <c r="B462" s="1">
        <v>45756</v>
      </c>
      <c r="C462" t="s">
        <v>146</v>
      </c>
      <c r="D462" t="s">
        <v>39</v>
      </c>
      <c r="E462" t="s">
        <v>40</v>
      </c>
      <c r="F462">
        <v>43677</v>
      </c>
      <c r="H462" t="s">
        <v>41</v>
      </c>
      <c r="I462" s="5" t="s">
        <v>676</v>
      </c>
      <c r="J462" t="s">
        <v>165</v>
      </c>
      <c r="M462" t="s">
        <v>128</v>
      </c>
      <c r="O462">
        <v>43682</v>
      </c>
      <c r="P462" t="s">
        <v>118</v>
      </c>
      <c r="Q462" t="s">
        <v>148</v>
      </c>
      <c r="R462" t="s">
        <v>124</v>
      </c>
      <c r="S462" s="1">
        <v>45658</v>
      </c>
      <c r="U462" t="s">
        <v>47</v>
      </c>
      <c r="X462" t="s">
        <v>48</v>
      </c>
      <c r="Y462" s="2">
        <v>0</v>
      </c>
      <c r="Z462">
        <v>-175</v>
      </c>
      <c r="AA462">
        <v>1</v>
      </c>
      <c r="AB462" s="3">
        <v>1</v>
      </c>
      <c r="AC462">
        <v>-175</v>
      </c>
      <c r="AD462" s="3">
        <v>0</v>
      </c>
      <c r="AE462" s="2">
        <v>0</v>
      </c>
      <c r="AF462" s="2">
        <v>175</v>
      </c>
      <c r="AG462" s="2"/>
      <c r="AJ462" s="2"/>
    </row>
    <row r="463" spans="1:38" x14ac:dyDescent="0.25">
      <c r="A463" s="1">
        <v>45763</v>
      </c>
      <c r="B463" s="1">
        <v>45762</v>
      </c>
      <c r="C463" t="s">
        <v>252</v>
      </c>
      <c r="D463" t="s">
        <v>39</v>
      </c>
      <c r="E463" t="s">
        <v>40</v>
      </c>
      <c r="F463">
        <v>43677</v>
      </c>
      <c r="H463" t="s">
        <v>41</v>
      </c>
      <c r="I463" s="5" t="s">
        <v>919</v>
      </c>
      <c r="J463" t="s">
        <v>276</v>
      </c>
      <c r="M463" t="s">
        <v>89</v>
      </c>
      <c r="O463">
        <v>45605</v>
      </c>
      <c r="P463" t="s">
        <v>50</v>
      </c>
      <c r="Q463" t="s">
        <v>45</v>
      </c>
      <c r="R463" t="s">
        <v>124</v>
      </c>
      <c r="S463" s="1">
        <v>45566</v>
      </c>
      <c r="T463" s="1">
        <v>45792</v>
      </c>
      <c r="U463" t="s">
        <v>47</v>
      </c>
      <c r="V463">
        <v>1</v>
      </c>
      <c r="W463" s="1">
        <v>45757</v>
      </c>
      <c r="X463" t="s">
        <v>48</v>
      </c>
      <c r="Y463" s="2">
        <v>1</v>
      </c>
      <c r="Z463" s="2">
        <v>1</v>
      </c>
      <c r="AB463" s="3">
        <v>1</v>
      </c>
      <c r="AC463" s="2">
        <v>6</v>
      </c>
      <c r="AG463" s="2">
        <v>0</v>
      </c>
      <c r="AH463" s="2">
        <v>6</v>
      </c>
      <c r="AI463" s="2">
        <v>0</v>
      </c>
      <c r="AK463">
        <v>5346319</v>
      </c>
      <c r="AL463" t="s">
        <v>248</v>
      </c>
    </row>
    <row r="464" spans="1:38" x14ac:dyDescent="0.25">
      <c r="A464" s="1">
        <v>45763</v>
      </c>
      <c r="B464" s="1">
        <v>45762</v>
      </c>
      <c r="C464" t="s">
        <v>252</v>
      </c>
      <c r="D464" t="s">
        <v>39</v>
      </c>
      <c r="E464" t="s">
        <v>40</v>
      </c>
      <c r="F464">
        <v>43677</v>
      </c>
      <c r="H464" t="s">
        <v>41</v>
      </c>
      <c r="I464" s="5" t="s">
        <v>913</v>
      </c>
      <c r="J464" t="s">
        <v>285</v>
      </c>
      <c r="M464" t="s">
        <v>112</v>
      </c>
      <c r="O464">
        <v>45627</v>
      </c>
      <c r="P464" t="s">
        <v>283</v>
      </c>
      <c r="Q464" t="s">
        <v>45</v>
      </c>
      <c r="R464" t="s">
        <v>124</v>
      </c>
      <c r="S464" s="1">
        <v>45474</v>
      </c>
      <c r="T464" s="1">
        <v>45792</v>
      </c>
      <c r="U464" t="s">
        <v>47</v>
      </c>
      <c r="V464">
        <v>1</v>
      </c>
      <c r="W464" s="1">
        <v>45757</v>
      </c>
      <c r="X464" t="s">
        <v>48</v>
      </c>
      <c r="Y464" s="2">
        <v>1</v>
      </c>
      <c r="Z464" s="2">
        <v>1</v>
      </c>
      <c r="AB464" s="3">
        <v>1</v>
      </c>
      <c r="AC464" s="2">
        <v>6</v>
      </c>
      <c r="AG464" s="2">
        <v>0</v>
      </c>
      <c r="AH464" s="2">
        <v>6</v>
      </c>
      <c r="AI464" s="2">
        <v>0</v>
      </c>
      <c r="AK464">
        <v>5345958</v>
      </c>
      <c r="AL464" t="s">
        <v>248</v>
      </c>
    </row>
    <row r="465" spans="1:38" x14ac:dyDescent="0.25">
      <c r="A465" s="1">
        <v>45763</v>
      </c>
      <c r="B465" s="1">
        <v>45763</v>
      </c>
      <c r="C465" t="s">
        <v>38</v>
      </c>
      <c r="D465" t="s">
        <v>39</v>
      </c>
      <c r="E465" t="s">
        <v>40</v>
      </c>
      <c r="F465">
        <v>43677</v>
      </c>
      <c r="H465" t="s">
        <v>41</v>
      </c>
      <c r="I465" s="5" t="s">
        <v>706</v>
      </c>
      <c r="J465" t="s">
        <v>201</v>
      </c>
      <c r="M465" t="s">
        <v>133</v>
      </c>
      <c r="O465">
        <v>43713</v>
      </c>
      <c r="P465" t="s">
        <v>134</v>
      </c>
      <c r="Q465" t="s">
        <v>45</v>
      </c>
      <c r="R465" t="s">
        <v>124</v>
      </c>
      <c r="S465" s="1">
        <v>45748</v>
      </c>
      <c r="U465" t="s">
        <v>47</v>
      </c>
      <c r="X465" t="s">
        <v>48</v>
      </c>
      <c r="Y465" s="2">
        <v>0</v>
      </c>
      <c r="Z465" s="2">
        <v>175</v>
      </c>
      <c r="AA465">
        <v>1</v>
      </c>
      <c r="AB465" s="3">
        <v>1</v>
      </c>
      <c r="AC465" s="2">
        <v>175</v>
      </c>
      <c r="AD465" s="3">
        <v>0</v>
      </c>
      <c r="AE465" s="2">
        <v>0</v>
      </c>
      <c r="AF465" s="2">
        <v>175</v>
      </c>
      <c r="AK465">
        <v>5377630</v>
      </c>
    </row>
    <row r="466" spans="1:38" x14ac:dyDescent="0.25">
      <c r="A466" s="1">
        <v>45763</v>
      </c>
      <c r="B466" s="1">
        <v>45763</v>
      </c>
      <c r="C466" t="s">
        <v>38</v>
      </c>
      <c r="D466" t="s">
        <v>39</v>
      </c>
      <c r="E466" t="s">
        <v>40</v>
      </c>
      <c r="F466">
        <v>43677</v>
      </c>
      <c r="H466" t="s">
        <v>41</v>
      </c>
      <c r="I466" s="5" t="s">
        <v>705</v>
      </c>
      <c r="J466" t="s">
        <v>202</v>
      </c>
      <c r="M466" t="s">
        <v>89</v>
      </c>
      <c r="O466">
        <v>45605</v>
      </c>
      <c r="P466" t="s">
        <v>50</v>
      </c>
      <c r="Q466" t="s">
        <v>45</v>
      </c>
      <c r="R466" t="s">
        <v>124</v>
      </c>
      <c r="S466" s="1">
        <v>45778</v>
      </c>
      <c r="U466" t="s">
        <v>47</v>
      </c>
      <c r="X466" t="s">
        <v>48</v>
      </c>
      <c r="Y466" s="2">
        <v>0</v>
      </c>
      <c r="Z466" s="2">
        <v>175</v>
      </c>
      <c r="AA466">
        <v>1</v>
      </c>
      <c r="AB466" s="3">
        <v>1</v>
      </c>
      <c r="AC466" s="2">
        <v>175</v>
      </c>
      <c r="AD466" s="3">
        <v>0</v>
      </c>
      <c r="AE466" s="2">
        <v>0</v>
      </c>
      <c r="AF466" s="2">
        <v>175</v>
      </c>
      <c r="AK466">
        <v>5377620</v>
      </c>
    </row>
    <row r="467" spans="1:38" x14ac:dyDescent="0.25">
      <c r="A467" s="1">
        <v>45763</v>
      </c>
      <c r="B467" s="1">
        <v>45763</v>
      </c>
      <c r="C467" t="s">
        <v>38</v>
      </c>
      <c r="D467" t="s">
        <v>39</v>
      </c>
      <c r="E467" t="s">
        <v>40</v>
      </c>
      <c r="F467">
        <v>43677</v>
      </c>
      <c r="H467" t="s">
        <v>41</v>
      </c>
      <c r="I467" s="5" t="s">
        <v>654</v>
      </c>
      <c r="J467" t="s">
        <v>136</v>
      </c>
      <c r="M467" t="s">
        <v>89</v>
      </c>
      <c r="O467">
        <v>45709</v>
      </c>
      <c r="P467" t="s">
        <v>137</v>
      </c>
      <c r="Q467" t="s">
        <v>45</v>
      </c>
      <c r="R467" t="s">
        <v>124</v>
      </c>
      <c r="S467" s="1">
        <v>45748</v>
      </c>
      <c r="U467" t="s">
        <v>47</v>
      </c>
      <c r="X467" t="s">
        <v>48</v>
      </c>
      <c r="Y467" s="2">
        <v>0</v>
      </c>
      <c r="Z467" s="2">
        <v>175</v>
      </c>
      <c r="AA467">
        <v>1</v>
      </c>
      <c r="AB467" s="3">
        <v>1</v>
      </c>
      <c r="AC467" s="2">
        <v>175</v>
      </c>
      <c r="AD467" s="3">
        <v>0</v>
      </c>
      <c r="AE467" s="2">
        <v>0</v>
      </c>
      <c r="AF467" s="2">
        <v>175</v>
      </c>
      <c r="AK467">
        <v>5377622</v>
      </c>
    </row>
    <row r="468" spans="1:38" x14ac:dyDescent="0.25">
      <c r="A468" s="1">
        <v>45756</v>
      </c>
      <c r="B468" s="1">
        <v>45756</v>
      </c>
      <c r="C468" t="s">
        <v>38</v>
      </c>
      <c r="D468" t="s">
        <v>39</v>
      </c>
      <c r="E468" t="s">
        <v>40</v>
      </c>
      <c r="F468">
        <v>43677</v>
      </c>
      <c r="H468" t="s">
        <v>41</v>
      </c>
      <c r="I468" s="5" t="s">
        <v>648</v>
      </c>
      <c r="J468" t="s">
        <v>121</v>
      </c>
      <c r="M468" t="s">
        <v>122</v>
      </c>
      <c r="O468">
        <v>45605</v>
      </c>
      <c r="P468" t="s">
        <v>50</v>
      </c>
      <c r="Q468" t="s">
        <v>45</v>
      </c>
      <c r="R468" t="s">
        <v>124</v>
      </c>
      <c r="S468" s="1">
        <v>45809</v>
      </c>
      <c r="U468" t="s">
        <v>47</v>
      </c>
      <c r="X468" t="s">
        <v>48</v>
      </c>
      <c r="Y468" s="2">
        <v>0</v>
      </c>
      <c r="Z468" s="2">
        <v>175</v>
      </c>
      <c r="AA468">
        <v>1</v>
      </c>
      <c r="AB468" s="3">
        <v>1</v>
      </c>
      <c r="AC468" s="2">
        <v>175</v>
      </c>
      <c r="AD468" s="3">
        <v>0</v>
      </c>
      <c r="AE468" s="2">
        <v>0</v>
      </c>
      <c r="AF468" s="2">
        <v>175</v>
      </c>
      <c r="AK468">
        <v>5291850</v>
      </c>
    </row>
    <row r="469" spans="1:38" x14ac:dyDescent="0.25">
      <c r="A469" s="1">
        <v>45763</v>
      </c>
      <c r="B469" s="1">
        <v>45762</v>
      </c>
      <c r="C469" t="s">
        <v>252</v>
      </c>
      <c r="D469" t="s">
        <v>39</v>
      </c>
      <c r="E469" t="s">
        <v>40</v>
      </c>
      <c r="F469">
        <v>43677</v>
      </c>
      <c r="H469" t="s">
        <v>41</v>
      </c>
      <c r="I469" s="5" t="s">
        <v>920</v>
      </c>
      <c r="J469" t="s">
        <v>274</v>
      </c>
      <c r="M469" t="s">
        <v>93</v>
      </c>
      <c r="O469">
        <v>43689</v>
      </c>
      <c r="P469" t="s">
        <v>53</v>
      </c>
      <c r="Q469" t="s">
        <v>250</v>
      </c>
      <c r="R469" t="s">
        <v>124</v>
      </c>
      <c r="S469" s="1">
        <v>45627</v>
      </c>
      <c r="T469" s="1">
        <v>45792</v>
      </c>
      <c r="U469" t="s">
        <v>47</v>
      </c>
      <c r="V469">
        <v>1</v>
      </c>
      <c r="W469" s="1">
        <v>45757</v>
      </c>
      <c r="X469" t="s">
        <v>48</v>
      </c>
      <c r="Y469" s="2">
        <v>1</v>
      </c>
      <c r="Z469" s="2">
        <v>1</v>
      </c>
      <c r="AB469" s="3">
        <v>1</v>
      </c>
      <c r="AC469" s="2">
        <v>6</v>
      </c>
      <c r="AG469" s="2">
        <v>0</v>
      </c>
      <c r="AH469" s="2">
        <v>6</v>
      </c>
      <c r="AI469" s="2">
        <v>0</v>
      </c>
      <c r="AK469">
        <v>5346392</v>
      </c>
      <c r="AL469" t="s">
        <v>248</v>
      </c>
    </row>
    <row r="470" spans="1:38" x14ac:dyDescent="0.25">
      <c r="A470" s="1">
        <v>45763</v>
      </c>
      <c r="B470" s="1">
        <v>45762</v>
      </c>
      <c r="C470" t="s">
        <v>252</v>
      </c>
      <c r="D470" t="s">
        <v>39</v>
      </c>
      <c r="E470" t="s">
        <v>40</v>
      </c>
      <c r="F470">
        <v>43677</v>
      </c>
      <c r="H470" t="s">
        <v>41</v>
      </c>
      <c r="I470" s="5" t="s">
        <v>923</v>
      </c>
      <c r="J470" t="s">
        <v>268</v>
      </c>
      <c r="M470" t="s">
        <v>89</v>
      </c>
      <c r="O470">
        <v>41686</v>
      </c>
      <c r="P470" t="s">
        <v>139</v>
      </c>
      <c r="Q470" t="s">
        <v>250</v>
      </c>
      <c r="R470" t="s">
        <v>124</v>
      </c>
      <c r="S470" s="1">
        <v>45597</v>
      </c>
      <c r="T470" s="1">
        <v>45792</v>
      </c>
      <c r="U470" t="s">
        <v>47</v>
      </c>
      <c r="V470">
        <v>1</v>
      </c>
      <c r="W470" s="1">
        <v>45757</v>
      </c>
      <c r="X470" t="s">
        <v>48</v>
      </c>
      <c r="Y470" s="2">
        <v>1</v>
      </c>
      <c r="Z470" s="2">
        <v>1</v>
      </c>
      <c r="AB470" s="3">
        <v>1</v>
      </c>
      <c r="AC470" s="2">
        <v>6</v>
      </c>
      <c r="AG470" s="2">
        <v>0</v>
      </c>
      <c r="AH470" s="2">
        <v>6</v>
      </c>
      <c r="AI470" s="2">
        <v>0</v>
      </c>
      <c r="AK470">
        <v>5348187</v>
      </c>
      <c r="AL470" t="s">
        <v>248</v>
      </c>
    </row>
    <row r="471" spans="1:38" x14ac:dyDescent="0.25">
      <c r="A471" s="1">
        <v>45763</v>
      </c>
      <c r="B471" s="1">
        <v>45762</v>
      </c>
      <c r="C471" t="s">
        <v>252</v>
      </c>
      <c r="D471" t="s">
        <v>39</v>
      </c>
      <c r="E471" t="s">
        <v>40</v>
      </c>
      <c r="F471">
        <v>43677</v>
      </c>
      <c r="H471" t="s">
        <v>41</v>
      </c>
      <c r="I471" s="5" t="s">
        <v>915</v>
      </c>
      <c r="J471" t="s">
        <v>282</v>
      </c>
      <c r="M471" t="s">
        <v>281</v>
      </c>
      <c r="O471">
        <v>45613</v>
      </c>
      <c r="P471" t="s">
        <v>65</v>
      </c>
      <c r="Q471" t="s">
        <v>45</v>
      </c>
      <c r="R471" t="s">
        <v>124</v>
      </c>
      <c r="S471" s="1">
        <v>45536</v>
      </c>
      <c r="T471" s="1">
        <v>45792</v>
      </c>
      <c r="U471" t="s">
        <v>47</v>
      </c>
      <c r="V471">
        <v>1</v>
      </c>
      <c r="W471" s="1">
        <v>45757</v>
      </c>
      <c r="X471" t="s">
        <v>48</v>
      </c>
      <c r="Y471" s="2">
        <v>1</v>
      </c>
      <c r="Z471" s="2">
        <v>1</v>
      </c>
      <c r="AB471" s="3">
        <v>1</v>
      </c>
      <c r="AC471" s="2">
        <v>6</v>
      </c>
      <c r="AG471" s="2">
        <v>0</v>
      </c>
      <c r="AH471" s="2">
        <v>6</v>
      </c>
      <c r="AI471" s="2">
        <v>0</v>
      </c>
      <c r="AK471">
        <v>5345997</v>
      </c>
      <c r="AL471" t="s">
        <v>248</v>
      </c>
    </row>
    <row r="472" spans="1:38" x14ac:dyDescent="0.25">
      <c r="A472" s="1">
        <v>45763</v>
      </c>
      <c r="B472" s="1">
        <v>45763</v>
      </c>
      <c r="C472" t="s">
        <v>38</v>
      </c>
      <c r="D472" t="s">
        <v>39</v>
      </c>
      <c r="E472" t="s">
        <v>40</v>
      </c>
      <c r="F472">
        <v>43677</v>
      </c>
      <c r="H472" t="s">
        <v>41</v>
      </c>
      <c r="I472" s="5" t="s">
        <v>711</v>
      </c>
      <c r="J472" t="s">
        <v>195</v>
      </c>
      <c r="M472" t="s">
        <v>194</v>
      </c>
      <c r="O472">
        <v>41686</v>
      </c>
      <c r="P472" t="s">
        <v>139</v>
      </c>
      <c r="Q472" t="s">
        <v>45</v>
      </c>
      <c r="R472" t="s">
        <v>124</v>
      </c>
      <c r="S472" s="1">
        <v>45839</v>
      </c>
      <c r="U472" t="s">
        <v>47</v>
      </c>
      <c r="X472" t="s">
        <v>48</v>
      </c>
      <c r="Y472" s="2">
        <v>0</v>
      </c>
      <c r="Z472" s="2">
        <v>175</v>
      </c>
      <c r="AA472">
        <v>1</v>
      </c>
      <c r="AB472" s="3">
        <v>1</v>
      </c>
      <c r="AC472" s="2">
        <v>175</v>
      </c>
      <c r="AD472" s="3">
        <v>0</v>
      </c>
      <c r="AE472" s="2">
        <v>0</v>
      </c>
      <c r="AF472" s="2">
        <v>175</v>
      </c>
      <c r="AK472">
        <v>5377610</v>
      </c>
    </row>
    <row r="473" spans="1:38" x14ac:dyDescent="0.25">
      <c r="A473" s="1">
        <v>45763</v>
      </c>
      <c r="B473" s="1">
        <v>45763</v>
      </c>
      <c r="C473" t="s">
        <v>38</v>
      </c>
      <c r="D473" t="s">
        <v>39</v>
      </c>
      <c r="E473" t="s">
        <v>40</v>
      </c>
      <c r="F473">
        <v>43677</v>
      </c>
      <c r="H473" t="s">
        <v>41</v>
      </c>
      <c r="I473" s="5" t="s">
        <v>714</v>
      </c>
      <c r="J473" t="s">
        <v>170</v>
      </c>
      <c r="M473" t="s">
        <v>89</v>
      </c>
      <c r="O473">
        <v>45709</v>
      </c>
      <c r="P473" t="s">
        <v>137</v>
      </c>
      <c r="Q473" t="s">
        <v>45</v>
      </c>
      <c r="R473" t="s">
        <v>124</v>
      </c>
      <c r="S473" s="1">
        <v>45748</v>
      </c>
      <c r="U473" t="s">
        <v>47</v>
      </c>
      <c r="X473" t="s">
        <v>48</v>
      </c>
      <c r="Y473" s="2">
        <v>0</v>
      </c>
      <c r="Z473" s="2">
        <v>175</v>
      </c>
      <c r="AA473">
        <v>1</v>
      </c>
      <c r="AB473" s="3">
        <v>1</v>
      </c>
      <c r="AC473" s="2">
        <v>175</v>
      </c>
      <c r="AD473" s="3">
        <v>0</v>
      </c>
      <c r="AE473" s="2">
        <v>0</v>
      </c>
      <c r="AF473" s="2">
        <v>175</v>
      </c>
      <c r="AK473">
        <v>5377618</v>
      </c>
    </row>
    <row r="474" spans="1:38" x14ac:dyDescent="0.25">
      <c r="A474" s="1">
        <v>45756</v>
      </c>
      <c r="B474" s="1">
        <v>45756</v>
      </c>
      <c r="C474" t="s">
        <v>38</v>
      </c>
      <c r="D474" t="s">
        <v>39</v>
      </c>
      <c r="E474" t="s">
        <v>40</v>
      </c>
      <c r="F474">
        <v>43677</v>
      </c>
      <c r="H474" t="s">
        <v>41</v>
      </c>
      <c r="I474" s="5" t="s">
        <v>653</v>
      </c>
      <c r="J474" t="s">
        <v>135</v>
      </c>
      <c r="M474" t="s">
        <v>133</v>
      </c>
      <c r="O474">
        <v>43713</v>
      </c>
      <c r="P474" t="s">
        <v>134</v>
      </c>
      <c r="Q474" t="s">
        <v>45</v>
      </c>
      <c r="R474" t="s">
        <v>130</v>
      </c>
      <c r="S474" s="1">
        <v>45748</v>
      </c>
      <c r="U474" t="s">
        <v>47</v>
      </c>
      <c r="X474" t="s">
        <v>48</v>
      </c>
      <c r="Y474" s="2">
        <v>0</v>
      </c>
      <c r="Z474" s="2">
        <v>54</v>
      </c>
      <c r="AA474">
        <v>1</v>
      </c>
      <c r="AB474" s="3">
        <v>1</v>
      </c>
      <c r="AC474" s="2">
        <v>54</v>
      </c>
      <c r="AD474" s="3">
        <v>0</v>
      </c>
      <c r="AE474" s="2">
        <v>0</v>
      </c>
      <c r="AF474" s="2">
        <v>54</v>
      </c>
      <c r="AK474">
        <v>5291846</v>
      </c>
      <c r="AL474" t="s">
        <v>91</v>
      </c>
    </row>
    <row r="475" spans="1:38" x14ac:dyDescent="0.25">
      <c r="A475" s="1">
        <v>45763</v>
      </c>
      <c r="B475" s="1">
        <v>45763</v>
      </c>
      <c r="C475" t="s">
        <v>146</v>
      </c>
      <c r="D475" t="s">
        <v>39</v>
      </c>
      <c r="E475" t="s">
        <v>40</v>
      </c>
      <c r="F475" s="4" t="s">
        <v>620</v>
      </c>
      <c r="H475" t="s">
        <v>41</v>
      </c>
      <c r="I475" s="5" t="s">
        <v>734</v>
      </c>
      <c r="J475" t="s">
        <v>174</v>
      </c>
      <c r="M475" t="s">
        <v>89</v>
      </c>
      <c r="O475">
        <v>45605</v>
      </c>
      <c r="P475" t="s">
        <v>50</v>
      </c>
      <c r="Q475" t="s">
        <v>148</v>
      </c>
      <c r="R475" t="s">
        <v>130</v>
      </c>
      <c r="S475" s="1">
        <v>45748</v>
      </c>
      <c r="U475" t="s">
        <v>47</v>
      </c>
      <c r="X475" t="s">
        <v>48</v>
      </c>
      <c r="Y475" s="2">
        <v>0</v>
      </c>
      <c r="Z475">
        <v>-54</v>
      </c>
      <c r="AA475">
        <v>1</v>
      </c>
      <c r="AB475" s="3">
        <v>1</v>
      </c>
      <c r="AC475">
        <v>-54</v>
      </c>
      <c r="AD475" s="3">
        <v>0</v>
      </c>
      <c r="AE475" s="2">
        <v>0</v>
      </c>
      <c r="AF475" s="2">
        <v>54</v>
      </c>
      <c r="AG475" s="2"/>
      <c r="AJ475" s="2"/>
    </row>
    <row r="476" spans="1:38" x14ac:dyDescent="0.25">
      <c r="A476" s="1">
        <v>45763</v>
      </c>
      <c r="B476" s="1">
        <v>45762</v>
      </c>
      <c r="C476" t="s">
        <v>252</v>
      </c>
      <c r="D476" t="s">
        <v>39</v>
      </c>
      <c r="E476" t="s">
        <v>40</v>
      </c>
      <c r="F476">
        <v>43677</v>
      </c>
      <c r="H476" t="s">
        <v>41</v>
      </c>
      <c r="I476" s="5">
        <v>920223192</v>
      </c>
      <c r="J476" t="s">
        <v>273</v>
      </c>
      <c r="M476" t="s">
        <v>93</v>
      </c>
      <c r="O476">
        <v>43611</v>
      </c>
      <c r="P476" t="s">
        <v>94</v>
      </c>
      <c r="Q476" t="s">
        <v>45</v>
      </c>
      <c r="R476" t="s">
        <v>130</v>
      </c>
      <c r="S476" s="1">
        <v>45627</v>
      </c>
      <c r="T476" s="1">
        <v>45792</v>
      </c>
      <c r="U476" t="s">
        <v>47</v>
      </c>
      <c r="V476">
        <v>1</v>
      </c>
      <c r="W476" s="1">
        <v>45757</v>
      </c>
      <c r="X476" t="s">
        <v>48</v>
      </c>
      <c r="Y476" s="2">
        <v>1</v>
      </c>
      <c r="Z476" s="2">
        <v>1</v>
      </c>
      <c r="AB476" s="3">
        <v>1</v>
      </c>
      <c r="AC476" s="2">
        <v>6</v>
      </c>
      <c r="AG476" s="2">
        <v>0</v>
      </c>
      <c r="AH476" s="2">
        <v>6</v>
      </c>
      <c r="AI476" s="2">
        <v>0</v>
      </c>
      <c r="AK476">
        <v>5346767</v>
      </c>
      <c r="AL476" t="s">
        <v>248</v>
      </c>
    </row>
    <row r="477" spans="1:38" x14ac:dyDescent="0.25">
      <c r="A477" s="1">
        <v>45763</v>
      </c>
      <c r="B477" s="1">
        <v>45763</v>
      </c>
      <c r="C477" t="s">
        <v>38</v>
      </c>
      <c r="D477" t="s">
        <v>39</v>
      </c>
      <c r="E477" t="s">
        <v>40</v>
      </c>
      <c r="F477">
        <v>43677</v>
      </c>
      <c r="H477" t="s">
        <v>41</v>
      </c>
      <c r="I477" s="5" t="s">
        <v>715</v>
      </c>
      <c r="J477" t="s">
        <v>168</v>
      </c>
      <c r="M477" t="s">
        <v>89</v>
      </c>
      <c r="O477">
        <v>45709</v>
      </c>
      <c r="P477" t="s">
        <v>137</v>
      </c>
      <c r="Q477" t="s">
        <v>45</v>
      </c>
      <c r="R477" t="s">
        <v>130</v>
      </c>
      <c r="S477" s="1">
        <v>45748</v>
      </c>
      <c r="U477" t="s">
        <v>47</v>
      </c>
      <c r="X477" t="s">
        <v>48</v>
      </c>
      <c r="Y477" s="2">
        <v>0</v>
      </c>
      <c r="Z477" s="2">
        <v>54</v>
      </c>
      <c r="AA477">
        <v>1</v>
      </c>
      <c r="AB477" s="3">
        <v>1</v>
      </c>
      <c r="AC477" s="2">
        <v>54</v>
      </c>
      <c r="AD477" s="3">
        <v>0</v>
      </c>
      <c r="AE477" s="2">
        <v>0</v>
      </c>
      <c r="AF477" s="2">
        <v>54</v>
      </c>
      <c r="AK477">
        <v>5377649</v>
      </c>
      <c r="AL477" t="s">
        <v>91</v>
      </c>
    </row>
    <row r="478" spans="1:38" x14ac:dyDescent="0.25">
      <c r="A478" s="1">
        <v>45756</v>
      </c>
      <c r="B478" s="1">
        <v>45756</v>
      </c>
      <c r="C478" t="s">
        <v>38</v>
      </c>
      <c r="D478" t="s">
        <v>39</v>
      </c>
      <c r="E478" t="s">
        <v>40</v>
      </c>
      <c r="F478">
        <v>43677</v>
      </c>
      <c r="H478" t="s">
        <v>41</v>
      </c>
      <c r="I478" s="5" t="s">
        <v>650</v>
      </c>
      <c r="J478" t="s">
        <v>127</v>
      </c>
      <c r="M478" t="s">
        <v>128</v>
      </c>
      <c r="O478">
        <v>43623</v>
      </c>
      <c r="P478" t="s">
        <v>129</v>
      </c>
      <c r="Q478" t="s">
        <v>45</v>
      </c>
      <c r="R478" t="s">
        <v>130</v>
      </c>
      <c r="S478" s="1">
        <v>45748</v>
      </c>
      <c r="U478" t="s">
        <v>47</v>
      </c>
      <c r="X478" t="s">
        <v>48</v>
      </c>
      <c r="Y478" s="2">
        <v>0</v>
      </c>
      <c r="Z478" s="2">
        <v>54</v>
      </c>
      <c r="AA478">
        <v>1</v>
      </c>
      <c r="AB478" s="3">
        <v>1</v>
      </c>
      <c r="AC478" s="2">
        <v>54</v>
      </c>
      <c r="AD478" s="3">
        <v>0</v>
      </c>
      <c r="AE478" s="2">
        <v>0</v>
      </c>
      <c r="AF478" s="2">
        <v>54</v>
      </c>
      <c r="AK478">
        <v>5291869</v>
      </c>
      <c r="AL478" t="s">
        <v>91</v>
      </c>
    </row>
    <row r="479" spans="1:38" x14ac:dyDescent="0.25">
      <c r="A479" s="1">
        <v>45756</v>
      </c>
      <c r="B479" s="1">
        <v>45756</v>
      </c>
      <c r="C479" t="s">
        <v>38</v>
      </c>
      <c r="D479" t="s">
        <v>39</v>
      </c>
      <c r="E479" t="s">
        <v>40</v>
      </c>
      <c r="F479">
        <v>43677</v>
      </c>
      <c r="H479" t="s">
        <v>41</v>
      </c>
      <c r="I479" s="5" t="s">
        <v>652</v>
      </c>
      <c r="J479" t="s">
        <v>132</v>
      </c>
      <c r="M479" t="s">
        <v>133</v>
      </c>
      <c r="O479">
        <v>43713</v>
      </c>
      <c r="P479" t="s">
        <v>134</v>
      </c>
      <c r="Q479" t="s">
        <v>45</v>
      </c>
      <c r="R479" t="s">
        <v>130</v>
      </c>
      <c r="S479" s="1">
        <v>45748</v>
      </c>
      <c r="U479" t="s">
        <v>47</v>
      </c>
      <c r="X479" t="s">
        <v>48</v>
      </c>
      <c r="Y479" s="2">
        <v>0</v>
      </c>
      <c r="Z479" s="2">
        <v>54</v>
      </c>
      <c r="AA479">
        <v>1</v>
      </c>
      <c r="AB479" s="3">
        <v>1</v>
      </c>
      <c r="AC479" s="2">
        <v>54</v>
      </c>
      <c r="AD479" s="3">
        <v>0</v>
      </c>
      <c r="AE479" s="2">
        <v>0</v>
      </c>
      <c r="AF479" s="2">
        <v>54</v>
      </c>
      <c r="AK479">
        <v>5291844</v>
      </c>
      <c r="AL479" t="s">
        <v>91</v>
      </c>
    </row>
    <row r="480" spans="1:38" x14ac:dyDescent="0.25">
      <c r="A480" s="1">
        <v>45763</v>
      </c>
      <c r="B480" s="1">
        <v>45763</v>
      </c>
      <c r="C480" t="s">
        <v>146</v>
      </c>
      <c r="D480" t="s">
        <v>39</v>
      </c>
      <c r="E480" t="s">
        <v>40</v>
      </c>
      <c r="F480">
        <v>43677</v>
      </c>
      <c r="H480" t="s">
        <v>41</v>
      </c>
      <c r="I480" s="5" t="s">
        <v>731</v>
      </c>
      <c r="J480" t="s">
        <v>175</v>
      </c>
      <c r="M480" t="s">
        <v>122</v>
      </c>
      <c r="O480">
        <v>43644</v>
      </c>
      <c r="P480" t="s">
        <v>56</v>
      </c>
      <c r="Q480" t="s">
        <v>148</v>
      </c>
      <c r="R480" t="s">
        <v>130</v>
      </c>
      <c r="S480" s="1">
        <v>45658</v>
      </c>
      <c r="U480" t="s">
        <v>47</v>
      </c>
      <c r="X480" t="s">
        <v>48</v>
      </c>
      <c r="Y480" s="2">
        <v>0</v>
      </c>
      <c r="Z480">
        <v>-48</v>
      </c>
      <c r="AA480">
        <v>1</v>
      </c>
      <c r="AB480" s="3">
        <v>1</v>
      </c>
      <c r="AC480">
        <v>-48</v>
      </c>
      <c r="AD480" s="3">
        <v>0</v>
      </c>
      <c r="AE480" s="2">
        <v>0</v>
      </c>
      <c r="AF480" s="2">
        <v>72</v>
      </c>
      <c r="AG480" s="2"/>
      <c r="AJ480" s="2"/>
    </row>
    <row r="481" spans="1:38" x14ac:dyDescent="0.25">
      <c r="A481" s="1">
        <v>45763</v>
      </c>
      <c r="B481" s="1">
        <v>45763</v>
      </c>
      <c r="C481" t="s">
        <v>38</v>
      </c>
      <c r="D481" t="s">
        <v>39</v>
      </c>
      <c r="E481" t="s">
        <v>40</v>
      </c>
      <c r="F481">
        <v>43677</v>
      </c>
      <c r="H481" t="s">
        <v>41</v>
      </c>
      <c r="I481" s="5" t="s">
        <v>710</v>
      </c>
      <c r="J481" t="s">
        <v>175</v>
      </c>
      <c r="M481" t="s">
        <v>122</v>
      </c>
      <c r="O481">
        <v>43644</v>
      </c>
      <c r="P481" t="s">
        <v>56</v>
      </c>
      <c r="Q481" t="s">
        <v>45</v>
      </c>
      <c r="R481" t="s">
        <v>130</v>
      </c>
      <c r="S481" s="1">
        <v>45778</v>
      </c>
      <c r="U481" t="s">
        <v>47</v>
      </c>
      <c r="X481" t="s">
        <v>48</v>
      </c>
      <c r="Y481" s="2">
        <v>0</v>
      </c>
      <c r="Z481" s="2">
        <v>48</v>
      </c>
      <c r="AA481">
        <v>1</v>
      </c>
      <c r="AB481" s="3">
        <v>1</v>
      </c>
      <c r="AC481" s="2">
        <v>48</v>
      </c>
      <c r="AD481" s="3">
        <v>0</v>
      </c>
      <c r="AE481" s="2">
        <v>0</v>
      </c>
      <c r="AF481" s="2">
        <v>48</v>
      </c>
      <c r="AK481">
        <v>5377646</v>
      </c>
      <c r="AL481" t="s">
        <v>119</v>
      </c>
    </row>
    <row r="482" spans="1:38" x14ac:dyDescent="0.25">
      <c r="A482" s="1">
        <v>45763</v>
      </c>
      <c r="B482" s="1">
        <v>45763</v>
      </c>
      <c r="C482" t="s">
        <v>146</v>
      </c>
      <c r="D482" t="s">
        <v>39</v>
      </c>
      <c r="E482" t="s">
        <v>40</v>
      </c>
      <c r="F482">
        <v>43677</v>
      </c>
      <c r="H482" t="s">
        <v>41</v>
      </c>
      <c r="I482" s="5" t="s">
        <v>744</v>
      </c>
      <c r="J482" t="s">
        <v>136</v>
      </c>
      <c r="M482" t="s">
        <v>89</v>
      </c>
      <c r="O482">
        <v>45709</v>
      </c>
      <c r="P482" t="s">
        <v>137</v>
      </c>
      <c r="Q482" t="s">
        <v>148</v>
      </c>
      <c r="R482" t="s">
        <v>130</v>
      </c>
      <c r="S482" s="1">
        <v>45748</v>
      </c>
      <c r="U482" t="s">
        <v>47</v>
      </c>
      <c r="X482" t="s">
        <v>48</v>
      </c>
      <c r="Y482" s="2">
        <v>0</v>
      </c>
      <c r="Z482">
        <v>-54</v>
      </c>
      <c r="AA482">
        <v>1</v>
      </c>
      <c r="AB482" s="3">
        <v>1</v>
      </c>
      <c r="AC482">
        <v>-54</v>
      </c>
      <c r="AD482" s="3">
        <v>0</v>
      </c>
      <c r="AE482" s="2">
        <v>0</v>
      </c>
      <c r="AF482" s="2">
        <v>54</v>
      </c>
      <c r="AG482" s="2"/>
      <c r="AJ482" s="2"/>
    </row>
    <row r="483" spans="1:38" x14ac:dyDescent="0.25">
      <c r="A483" s="1">
        <v>45756</v>
      </c>
      <c r="B483" s="1">
        <v>45756</v>
      </c>
      <c r="C483" t="s">
        <v>38</v>
      </c>
      <c r="D483" t="s">
        <v>39</v>
      </c>
      <c r="E483" t="s">
        <v>40</v>
      </c>
      <c r="F483">
        <v>43677</v>
      </c>
      <c r="H483" t="s">
        <v>41</v>
      </c>
      <c r="I483" s="5" t="s">
        <v>654</v>
      </c>
      <c r="J483" t="s">
        <v>136</v>
      </c>
      <c r="M483" t="s">
        <v>89</v>
      </c>
      <c r="O483">
        <v>45709</v>
      </c>
      <c r="P483" t="s">
        <v>137</v>
      </c>
      <c r="Q483" t="s">
        <v>45</v>
      </c>
      <c r="R483" t="s">
        <v>130</v>
      </c>
      <c r="S483" s="1">
        <v>45748</v>
      </c>
      <c r="U483" t="s">
        <v>47</v>
      </c>
      <c r="X483" t="s">
        <v>48</v>
      </c>
      <c r="Y483" s="2">
        <v>0</v>
      </c>
      <c r="Z483" s="2">
        <v>54</v>
      </c>
      <c r="AA483">
        <v>1</v>
      </c>
      <c r="AB483" s="3">
        <v>1</v>
      </c>
      <c r="AC483" s="2">
        <v>54</v>
      </c>
      <c r="AD483" s="3">
        <v>0</v>
      </c>
      <c r="AE483" s="2">
        <v>0</v>
      </c>
      <c r="AF483" s="2">
        <v>54</v>
      </c>
      <c r="AK483">
        <v>5291848</v>
      </c>
      <c r="AL483" t="s">
        <v>91</v>
      </c>
    </row>
    <row r="484" spans="1:38" x14ac:dyDescent="0.25">
      <c r="A484" s="1">
        <v>45763</v>
      </c>
      <c r="B484" s="1">
        <v>45762</v>
      </c>
      <c r="C484" t="s">
        <v>252</v>
      </c>
      <c r="D484" t="s">
        <v>39</v>
      </c>
      <c r="E484" t="s">
        <v>40</v>
      </c>
      <c r="F484">
        <v>43677</v>
      </c>
      <c r="H484" t="s">
        <v>41</v>
      </c>
      <c r="I484" s="5">
        <v>967950774</v>
      </c>
      <c r="J484" t="s">
        <v>267</v>
      </c>
      <c r="M484" t="s">
        <v>93</v>
      </c>
      <c r="O484">
        <v>43611</v>
      </c>
      <c r="P484" t="s">
        <v>94</v>
      </c>
      <c r="Q484" t="s">
        <v>45</v>
      </c>
      <c r="R484" t="s">
        <v>130</v>
      </c>
      <c r="S484" s="1">
        <v>45627</v>
      </c>
      <c r="T484" s="1">
        <v>45792</v>
      </c>
      <c r="U484" t="s">
        <v>47</v>
      </c>
      <c r="V484">
        <v>1</v>
      </c>
      <c r="W484" s="1">
        <v>45757</v>
      </c>
      <c r="X484" t="s">
        <v>48</v>
      </c>
      <c r="Y484" s="2">
        <v>1</v>
      </c>
      <c r="Z484" s="2">
        <v>1</v>
      </c>
      <c r="AB484" s="3">
        <v>1</v>
      </c>
      <c r="AC484" s="2">
        <v>6</v>
      </c>
      <c r="AG484" s="2">
        <v>0</v>
      </c>
      <c r="AH484" s="2">
        <v>6</v>
      </c>
      <c r="AI484" s="2">
        <v>0</v>
      </c>
      <c r="AK484">
        <v>5348198</v>
      </c>
      <c r="AL484" t="s">
        <v>248</v>
      </c>
    </row>
    <row r="485" spans="1:38" x14ac:dyDescent="0.25">
      <c r="A485" s="1">
        <v>45756</v>
      </c>
      <c r="B485" s="1">
        <v>45756</v>
      </c>
      <c r="C485" t="s">
        <v>38</v>
      </c>
      <c r="D485" t="s">
        <v>39</v>
      </c>
      <c r="E485" t="s">
        <v>40</v>
      </c>
      <c r="F485">
        <v>43677</v>
      </c>
      <c r="H485" t="s">
        <v>41</v>
      </c>
      <c r="I485" s="5" t="s">
        <v>651</v>
      </c>
      <c r="J485" t="s">
        <v>131</v>
      </c>
      <c r="M485" t="s">
        <v>128</v>
      </c>
      <c r="O485">
        <v>43623</v>
      </c>
      <c r="P485" t="s">
        <v>129</v>
      </c>
      <c r="Q485" t="s">
        <v>45</v>
      </c>
      <c r="R485" t="s">
        <v>130</v>
      </c>
      <c r="S485" s="1">
        <v>45748</v>
      </c>
      <c r="U485" t="s">
        <v>47</v>
      </c>
      <c r="X485" t="s">
        <v>48</v>
      </c>
      <c r="Y485" s="2">
        <v>0</v>
      </c>
      <c r="Z485" s="2">
        <v>54</v>
      </c>
      <c r="AA485">
        <v>1</v>
      </c>
      <c r="AB485" s="3">
        <v>1</v>
      </c>
      <c r="AC485" s="2">
        <v>54</v>
      </c>
      <c r="AD485" s="3">
        <v>0</v>
      </c>
      <c r="AE485" s="2">
        <v>0</v>
      </c>
      <c r="AF485" s="2">
        <v>54</v>
      </c>
      <c r="AK485">
        <v>5291871</v>
      </c>
      <c r="AL485" t="s">
        <v>91</v>
      </c>
    </row>
    <row r="486" spans="1:38" x14ac:dyDescent="0.25">
      <c r="A486" s="1">
        <v>45763</v>
      </c>
      <c r="B486" s="1">
        <v>45763</v>
      </c>
      <c r="C486" t="s">
        <v>146</v>
      </c>
      <c r="D486" t="s">
        <v>39</v>
      </c>
      <c r="E486" t="s">
        <v>40</v>
      </c>
      <c r="F486">
        <v>43677</v>
      </c>
      <c r="H486" t="s">
        <v>41</v>
      </c>
      <c r="I486" s="5" t="s">
        <v>740</v>
      </c>
      <c r="J486" t="s">
        <v>170</v>
      </c>
      <c r="M486" t="s">
        <v>89</v>
      </c>
      <c r="O486">
        <v>45709</v>
      </c>
      <c r="P486" t="s">
        <v>137</v>
      </c>
      <c r="Q486" t="s">
        <v>148</v>
      </c>
      <c r="R486" t="s">
        <v>130</v>
      </c>
      <c r="S486" s="1">
        <v>45748</v>
      </c>
      <c r="U486" t="s">
        <v>47</v>
      </c>
      <c r="X486" t="s">
        <v>48</v>
      </c>
      <c r="Y486" s="2">
        <v>0</v>
      </c>
      <c r="Z486">
        <v>-54</v>
      </c>
      <c r="AA486">
        <v>1</v>
      </c>
      <c r="AB486" s="3">
        <v>1</v>
      </c>
      <c r="AC486">
        <v>-54</v>
      </c>
      <c r="AD486" s="3">
        <v>0</v>
      </c>
      <c r="AE486" s="2">
        <v>0</v>
      </c>
      <c r="AF486" s="2">
        <v>54</v>
      </c>
      <c r="AG486" s="2"/>
      <c r="AJ486" s="2"/>
    </row>
    <row r="487" spans="1:38" x14ac:dyDescent="0.25">
      <c r="A487" s="1">
        <v>45763</v>
      </c>
      <c r="B487" s="1">
        <v>45762</v>
      </c>
      <c r="C487" t="s">
        <v>252</v>
      </c>
      <c r="D487" t="s">
        <v>39</v>
      </c>
      <c r="E487" t="s">
        <v>40</v>
      </c>
      <c r="F487">
        <v>43677</v>
      </c>
      <c r="H487" t="s">
        <v>41</v>
      </c>
      <c r="I487" s="5" t="s">
        <v>929</v>
      </c>
      <c r="J487" t="s">
        <v>257</v>
      </c>
      <c r="M487" t="s">
        <v>122</v>
      </c>
      <c r="O487">
        <v>43637</v>
      </c>
      <c r="P487" t="s">
        <v>72</v>
      </c>
      <c r="Q487" t="s">
        <v>45</v>
      </c>
      <c r="R487" t="s">
        <v>169</v>
      </c>
      <c r="S487" s="1">
        <v>45566</v>
      </c>
      <c r="T487" s="1">
        <v>45792</v>
      </c>
      <c r="U487" t="s">
        <v>47</v>
      </c>
      <c r="V487">
        <v>1</v>
      </c>
      <c r="W487" s="1">
        <v>45757</v>
      </c>
      <c r="X487" t="s">
        <v>48</v>
      </c>
      <c r="Y487" s="2">
        <v>1</v>
      </c>
      <c r="Z487" s="2">
        <v>1</v>
      </c>
      <c r="AB487" s="3">
        <v>1</v>
      </c>
      <c r="AC487" s="2">
        <v>6</v>
      </c>
      <c r="AG487" s="2">
        <v>0</v>
      </c>
      <c r="AH487" s="2">
        <v>6</v>
      </c>
      <c r="AI487" s="2">
        <v>0</v>
      </c>
      <c r="AK487">
        <v>5351124</v>
      </c>
      <c r="AL487" t="s">
        <v>248</v>
      </c>
    </row>
    <row r="488" spans="1:38" x14ac:dyDescent="0.25">
      <c r="A488" s="1">
        <v>45763</v>
      </c>
      <c r="B488" s="1">
        <v>45762</v>
      </c>
      <c r="C488" t="s">
        <v>252</v>
      </c>
      <c r="D488" t="s">
        <v>39</v>
      </c>
      <c r="E488" t="s">
        <v>40</v>
      </c>
      <c r="F488">
        <v>43677</v>
      </c>
      <c r="H488" t="s">
        <v>41</v>
      </c>
      <c r="I488" s="5" t="s">
        <v>928</v>
      </c>
      <c r="J488" t="s">
        <v>259</v>
      </c>
      <c r="M488" t="s">
        <v>89</v>
      </c>
      <c r="O488">
        <v>45605</v>
      </c>
      <c r="P488" t="s">
        <v>50</v>
      </c>
      <c r="Q488" t="s">
        <v>45</v>
      </c>
      <c r="R488" t="s">
        <v>169</v>
      </c>
      <c r="S488" s="1">
        <v>45566</v>
      </c>
      <c r="T488" s="1">
        <v>45792</v>
      </c>
      <c r="U488" t="s">
        <v>47</v>
      </c>
      <c r="V488">
        <v>1</v>
      </c>
      <c r="W488" s="1">
        <v>45757</v>
      </c>
      <c r="X488" t="s">
        <v>48</v>
      </c>
      <c r="Y488" s="2">
        <v>1</v>
      </c>
      <c r="Z488" s="2">
        <v>1</v>
      </c>
      <c r="AB488" s="3">
        <v>1</v>
      </c>
      <c r="AC488" s="2">
        <v>6</v>
      </c>
      <c r="AG488" s="2">
        <v>0</v>
      </c>
      <c r="AH488" s="2">
        <v>6</v>
      </c>
      <c r="AI488" s="2">
        <v>0</v>
      </c>
      <c r="AK488">
        <v>5350809</v>
      </c>
      <c r="AL488" t="s">
        <v>248</v>
      </c>
    </row>
    <row r="489" spans="1:38" x14ac:dyDescent="0.25">
      <c r="A489" s="1">
        <v>45763</v>
      </c>
      <c r="B489" s="1">
        <v>45763</v>
      </c>
      <c r="C489" t="s">
        <v>146</v>
      </c>
      <c r="D489" t="s">
        <v>39</v>
      </c>
      <c r="E489" t="s">
        <v>40</v>
      </c>
      <c r="F489">
        <v>43677</v>
      </c>
      <c r="H489" t="s">
        <v>41</v>
      </c>
      <c r="I489" s="5" t="s">
        <v>741</v>
      </c>
      <c r="J489" t="s">
        <v>168</v>
      </c>
      <c r="M489" t="s">
        <v>89</v>
      </c>
      <c r="O489">
        <v>45709</v>
      </c>
      <c r="P489" t="s">
        <v>137</v>
      </c>
      <c r="Q489" t="s">
        <v>148</v>
      </c>
      <c r="R489" t="s">
        <v>169</v>
      </c>
      <c r="S489" s="1">
        <v>45717</v>
      </c>
      <c r="U489" t="s">
        <v>47</v>
      </c>
      <c r="X489" t="s">
        <v>48</v>
      </c>
      <c r="Y489" s="2">
        <v>0</v>
      </c>
      <c r="Z489">
        <v>-131.25</v>
      </c>
      <c r="AA489">
        <v>1</v>
      </c>
      <c r="AB489" s="3">
        <v>1</v>
      </c>
      <c r="AC489">
        <v>-131.25</v>
      </c>
      <c r="AD489" s="3">
        <v>0</v>
      </c>
      <c r="AE489" s="2">
        <v>0</v>
      </c>
      <c r="AF489" s="2">
        <v>145.83000000000001</v>
      </c>
      <c r="AG489" s="2"/>
      <c r="AJ489" s="2"/>
    </row>
    <row r="490" spans="1:38" x14ac:dyDescent="0.25">
      <c r="A490" s="1">
        <v>45763</v>
      </c>
      <c r="B490" s="1">
        <v>45762</v>
      </c>
      <c r="C490" t="s">
        <v>252</v>
      </c>
      <c r="D490" t="s">
        <v>39</v>
      </c>
      <c r="E490" t="s">
        <v>40</v>
      </c>
      <c r="F490">
        <v>43677</v>
      </c>
      <c r="H490" t="s">
        <v>41</v>
      </c>
      <c r="I490" s="5" t="s">
        <v>914</v>
      </c>
      <c r="J490" t="s">
        <v>284</v>
      </c>
      <c r="M490" t="s">
        <v>112</v>
      </c>
      <c r="O490">
        <v>45627</v>
      </c>
      <c r="P490" t="s">
        <v>283</v>
      </c>
      <c r="Q490" t="s">
        <v>45</v>
      </c>
      <c r="R490" t="s">
        <v>169</v>
      </c>
      <c r="S490" s="1">
        <v>45505</v>
      </c>
      <c r="T490" s="1">
        <v>45792</v>
      </c>
      <c r="U490" t="s">
        <v>47</v>
      </c>
      <c r="V490">
        <v>1</v>
      </c>
      <c r="W490" s="1">
        <v>45757</v>
      </c>
      <c r="X490" t="s">
        <v>48</v>
      </c>
      <c r="Y490" s="2">
        <v>1</v>
      </c>
      <c r="Z490" s="2">
        <v>1</v>
      </c>
      <c r="AB490" s="3">
        <v>1</v>
      </c>
      <c r="AC490" s="2">
        <v>6</v>
      </c>
      <c r="AG490" s="2">
        <v>0</v>
      </c>
      <c r="AH490" s="2">
        <v>6</v>
      </c>
      <c r="AI490" s="2">
        <v>0</v>
      </c>
      <c r="AK490">
        <v>5345976</v>
      </c>
      <c r="AL490" t="s">
        <v>248</v>
      </c>
    </row>
    <row r="491" spans="1:38" x14ac:dyDescent="0.25">
      <c r="A491" s="1">
        <v>45763</v>
      </c>
      <c r="B491" s="1">
        <v>45762</v>
      </c>
      <c r="C491" t="s">
        <v>252</v>
      </c>
      <c r="D491" t="s">
        <v>39</v>
      </c>
      <c r="E491" t="s">
        <v>40</v>
      </c>
      <c r="F491">
        <v>43677</v>
      </c>
      <c r="H491" t="s">
        <v>41</v>
      </c>
      <c r="I491" s="5" t="s">
        <v>925</v>
      </c>
      <c r="J491" t="s">
        <v>264</v>
      </c>
      <c r="M491" t="s">
        <v>133</v>
      </c>
      <c r="O491">
        <v>45621</v>
      </c>
      <c r="P491" t="s">
        <v>177</v>
      </c>
      <c r="Q491" t="s">
        <v>45</v>
      </c>
      <c r="R491" t="s">
        <v>169</v>
      </c>
      <c r="S491" s="1">
        <v>45597</v>
      </c>
      <c r="T491" s="1">
        <v>45792</v>
      </c>
      <c r="U491" t="s">
        <v>47</v>
      </c>
      <c r="V491">
        <v>1</v>
      </c>
      <c r="W491" s="1">
        <v>45757</v>
      </c>
      <c r="X491" t="s">
        <v>48</v>
      </c>
      <c r="Y491" s="2">
        <v>1</v>
      </c>
      <c r="Z491" s="2">
        <v>1</v>
      </c>
      <c r="AB491" s="3">
        <v>1</v>
      </c>
      <c r="AC491" s="2">
        <v>6</v>
      </c>
      <c r="AG491" s="2">
        <v>0</v>
      </c>
      <c r="AH491" s="2">
        <v>6</v>
      </c>
      <c r="AI491" s="2">
        <v>0</v>
      </c>
      <c r="AK491">
        <v>5348759</v>
      </c>
      <c r="AL491" t="s">
        <v>248</v>
      </c>
    </row>
    <row r="492" spans="1:38" x14ac:dyDescent="0.25">
      <c r="A492" s="1">
        <v>45763</v>
      </c>
      <c r="B492" s="1">
        <v>45762</v>
      </c>
      <c r="C492" t="s">
        <v>252</v>
      </c>
      <c r="D492" t="s">
        <v>39</v>
      </c>
      <c r="E492" t="s">
        <v>40</v>
      </c>
      <c r="F492">
        <v>43677</v>
      </c>
      <c r="H492" t="s">
        <v>41</v>
      </c>
      <c r="I492" s="5">
        <v>992248315</v>
      </c>
      <c r="J492" t="s">
        <v>261</v>
      </c>
      <c r="M492" t="s">
        <v>89</v>
      </c>
      <c r="O492">
        <v>43705</v>
      </c>
      <c r="P492" t="s">
        <v>90</v>
      </c>
      <c r="Q492" t="s">
        <v>45</v>
      </c>
      <c r="R492" t="s">
        <v>262</v>
      </c>
      <c r="S492" s="1">
        <v>45536</v>
      </c>
      <c r="T492" s="1">
        <v>45792</v>
      </c>
      <c r="U492" t="s">
        <v>47</v>
      </c>
      <c r="V492">
        <v>1</v>
      </c>
      <c r="W492" s="1">
        <v>45757</v>
      </c>
      <c r="X492" t="s">
        <v>48</v>
      </c>
      <c r="Y492" s="2">
        <v>1</v>
      </c>
      <c r="Z492" s="2">
        <v>1</v>
      </c>
      <c r="AB492" s="3">
        <v>1</v>
      </c>
      <c r="AC492" s="2">
        <v>25.5</v>
      </c>
      <c r="AG492" s="2">
        <v>0</v>
      </c>
      <c r="AH492" s="2">
        <v>25.5</v>
      </c>
      <c r="AI492" s="2">
        <v>0</v>
      </c>
      <c r="AK492">
        <v>5350756</v>
      </c>
      <c r="AL492" t="s">
        <v>248</v>
      </c>
    </row>
    <row r="493" spans="1:38" x14ac:dyDescent="0.25">
      <c r="A493" s="1">
        <v>45763</v>
      </c>
      <c r="B493" s="1">
        <v>45762</v>
      </c>
      <c r="C493" t="s">
        <v>252</v>
      </c>
      <c r="D493" t="s">
        <v>39</v>
      </c>
      <c r="E493" t="s">
        <v>40</v>
      </c>
      <c r="F493">
        <v>43677</v>
      </c>
      <c r="H493" t="s">
        <v>41</v>
      </c>
      <c r="I493" s="5">
        <v>970181792</v>
      </c>
      <c r="J493" t="s">
        <v>266</v>
      </c>
      <c r="M493" t="s">
        <v>265</v>
      </c>
      <c r="O493">
        <v>43682</v>
      </c>
      <c r="P493" t="s">
        <v>118</v>
      </c>
      <c r="Q493" t="s">
        <v>250</v>
      </c>
      <c r="R493" t="s">
        <v>262</v>
      </c>
      <c r="S493" s="1">
        <v>45597</v>
      </c>
      <c r="T493" s="1">
        <v>45792</v>
      </c>
      <c r="U493" t="s">
        <v>47</v>
      </c>
      <c r="V493">
        <v>1</v>
      </c>
      <c r="W493" s="1">
        <v>45757</v>
      </c>
      <c r="X493" t="s">
        <v>48</v>
      </c>
      <c r="Y493" s="2">
        <v>1</v>
      </c>
      <c r="Z493" s="2">
        <v>1</v>
      </c>
      <c r="AB493" s="3">
        <v>1</v>
      </c>
      <c r="AC493" s="2">
        <v>25.5</v>
      </c>
      <c r="AG493" s="2">
        <v>0</v>
      </c>
      <c r="AH493" s="2">
        <v>25.5</v>
      </c>
      <c r="AI493" s="2">
        <v>0</v>
      </c>
      <c r="AK493">
        <v>5348261</v>
      </c>
      <c r="AL493" t="s">
        <v>248</v>
      </c>
    </row>
    <row r="494" spans="1:38" x14ac:dyDescent="0.25">
      <c r="A494" s="1">
        <v>45763</v>
      </c>
      <c r="B494" s="1">
        <v>45762</v>
      </c>
      <c r="C494" t="s">
        <v>252</v>
      </c>
      <c r="D494" t="s">
        <v>39</v>
      </c>
      <c r="E494" t="s">
        <v>40</v>
      </c>
      <c r="F494">
        <v>43677</v>
      </c>
      <c r="H494" t="s">
        <v>41</v>
      </c>
      <c r="I494" s="5">
        <v>992088421</v>
      </c>
      <c r="J494" t="s">
        <v>263</v>
      </c>
      <c r="M494" t="s">
        <v>128</v>
      </c>
      <c r="O494">
        <v>43682</v>
      </c>
      <c r="P494" t="s">
        <v>118</v>
      </c>
      <c r="Q494" t="s">
        <v>45</v>
      </c>
      <c r="R494" t="s">
        <v>262</v>
      </c>
      <c r="S494" s="1">
        <v>45597</v>
      </c>
      <c r="T494" s="1">
        <v>45792</v>
      </c>
      <c r="U494" t="s">
        <v>47</v>
      </c>
      <c r="V494">
        <v>1</v>
      </c>
      <c r="W494" s="1">
        <v>45757</v>
      </c>
      <c r="X494" t="s">
        <v>48</v>
      </c>
      <c r="Y494" s="2">
        <v>1</v>
      </c>
      <c r="Z494" s="2">
        <v>1</v>
      </c>
      <c r="AB494" s="3">
        <v>1</v>
      </c>
      <c r="AC494" s="2">
        <v>25.5</v>
      </c>
      <c r="AG494" s="2">
        <v>0</v>
      </c>
      <c r="AH494" s="2">
        <v>25.5</v>
      </c>
      <c r="AI494" s="2">
        <v>0</v>
      </c>
      <c r="AK494">
        <v>5350722</v>
      </c>
      <c r="AL494" t="s">
        <v>248</v>
      </c>
    </row>
    <row r="495" spans="1:38" x14ac:dyDescent="0.25">
      <c r="A495" s="1">
        <v>45763</v>
      </c>
      <c r="B495" s="1">
        <v>45762</v>
      </c>
      <c r="C495" t="s">
        <v>252</v>
      </c>
      <c r="D495" t="s">
        <v>39</v>
      </c>
      <c r="E495" t="s">
        <v>40</v>
      </c>
      <c r="F495">
        <v>43677</v>
      </c>
      <c r="H495" t="s">
        <v>41</v>
      </c>
      <c r="I495" s="5">
        <v>961601451</v>
      </c>
      <c r="J495" t="s">
        <v>269</v>
      </c>
      <c r="M495" t="s">
        <v>128</v>
      </c>
      <c r="O495">
        <v>43969</v>
      </c>
      <c r="P495" t="s">
        <v>74</v>
      </c>
      <c r="Q495" t="s">
        <v>250</v>
      </c>
      <c r="R495" t="s">
        <v>262</v>
      </c>
      <c r="S495" s="1">
        <v>45597</v>
      </c>
      <c r="T495" s="1">
        <v>45792</v>
      </c>
      <c r="U495" t="s">
        <v>47</v>
      </c>
      <c r="V495">
        <v>1</v>
      </c>
      <c r="W495" s="1">
        <v>45757</v>
      </c>
      <c r="X495" t="s">
        <v>48</v>
      </c>
      <c r="Y495" s="2">
        <v>1</v>
      </c>
      <c r="Z495" s="2">
        <v>1</v>
      </c>
      <c r="AB495" s="3">
        <v>1</v>
      </c>
      <c r="AC495" s="2">
        <v>25.5</v>
      </c>
      <c r="AG495" s="2">
        <v>0</v>
      </c>
      <c r="AH495" s="2">
        <v>25.5</v>
      </c>
      <c r="AI495" s="2">
        <v>0</v>
      </c>
      <c r="AK495">
        <v>5348001</v>
      </c>
      <c r="AL495" t="s">
        <v>248</v>
      </c>
    </row>
    <row r="496" spans="1:38" x14ac:dyDescent="0.25">
      <c r="A496" s="1">
        <v>45763</v>
      </c>
      <c r="B496" s="1">
        <v>45762</v>
      </c>
      <c r="C496" t="s">
        <v>252</v>
      </c>
      <c r="D496" t="s">
        <v>39</v>
      </c>
      <c r="E496" t="s">
        <v>40</v>
      </c>
      <c r="F496">
        <v>43677</v>
      </c>
      <c r="H496" t="s">
        <v>41</v>
      </c>
      <c r="I496" s="5">
        <v>906051412</v>
      </c>
      <c r="J496" t="s">
        <v>276</v>
      </c>
      <c r="M496" t="s">
        <v>89</v>
      </c>
      <c r="O496">
        <v>45605</v>
      </c>
      <c r="P496" t="s">
        <v>50</v>
      </c>
      <c r="Q496" t="s">
        <v>45</v>
      </c>
      <c r="R496" t="s">
        <v>262</v>
      </c>
      <c r="S496" s="1">
        <v>45566</v>
      </c>
      <c r="T496" s="1">
        <v>45792</v>
      </c>
      <c r="U496" t="s">
        <v>47</v>
      </c>
      <c r="V496">
        <v>1</v>
      </c>
      <c r="W496" s="1">
        <v>45757</v>
      </c>
      <c r="X496" t="s">
        <v>48</v>
      </c>
      <c r="Y496" s="2">
        <v>1</v>
      </c>
      <c r="Z496" s="2">
        <v>1</v>
      </c>
      <c r="AB496" s="3">
        <v>1</v>
      </c>
      <c r="AC496" s="2">
        <v>25.5</v>
      </c>
      <c r="AG496" s="2">
        <v>0</v>
      </c>
      <c r="AH496" s="2">
        <v>25.5</v>
      </c>
      <c r="AI496" s="2">
        <v>0</v>
      </c>
      <c r="AK496">
        <v>5346320</v>
      </c>
      <c r="AL496" t="s">
        <v>248</v>
      </c>
    </row>
    <row r="497" spans="1:38" x14ac:dyDescent="0.25">
      <c r="A497" s="1">
        <v>45763</v>
      </c>
      <c r="B497" s="1">
        <v>45762</v>
      </c>
      <c r="C497" t="s">
        <v>252</v>
      </c>
      <c r="D497" t="s">
        <v>39</v>
      </c>
      <c r="E497" t="s">
        <v>40</v>
      </c>
      <c r="F497">
        <v>43677</v>
      </c>
      <c r="H497" t="s">
        <v>41</v>
      </c>
      <c r="I497" s="5">
        <v>130273314</v>
      </c>
      <c r="J497" t="s">
        <v>285</v>
      </c>
      <c r="M497" t="s">
        <v>112</v>
      </c>
      <c r="O497">
        <v>45627</v>
      </c>
      <c r="P497" t="s">
        <v>283</v>
      </c>
      <c r="Q497" t="s">
        <v>45</v>
      </c>
      <c r="R497" t="s">
        <v>262</v>
      </c>
      <c r="S497" s="1">
        <v>45474</v>
      </c>
      <c r="T497" s="1">
        <v>45792</v>
      </c>
      <c r="U497" t="s">
        <v>47</v>
      </c>
      <c r="V497">
        <v>1</v>
      </c>
      <c r="W497" s="1">
        <v>45757</v>
      </c>
      <c r="X497" t="s">
        <v>48</v>
      </c>
      <c r="Y497" s="2">
        <v>1</v>
      </c>
      <c r="Z497" s="2">
        <v>1</v>
      </c>
      <c r="AB497" s="3">
        <v>1</v>
      </c>
      <c r="AC497" s="2">
        <v>25.5</v>
      </c>
      <c r="AG497" s="2">
        <v>0</v>
      </c>
      <c r="AH497" s="2">
        <v>25.5</v>
      </c>
      <c r="AI497" s="2">
        <v>0</v>
      </c>
      <c r="AK497">
        <v>5345959</v>
      </c>
      <c r="AL497" t="s">
        <v>248</v>
      </c>
    </row>
    <row r="498" spans="1:38" x14ac:dyDescent="0.25">
      <c r="A498" s="1">
        <v>45763</v>
      </c>
      <c r="B498" s="1">
        <v>45762</v>
      </c>
      <c r="C498" t="s">
        <v>252</v>
      </c>
      <c r="D498" t="s">
        <v>39</v>
      </c>
      <c r="E498" t="s">
        <v>40</v>
      </c>
      <c r="F498">
        <v>43677</v>
      </c>
      <c r="H498" t="s">
        <v>41</v>
      </c>
      <c r="I498" s="5">
        <v>967561705</v>
      </c>
      <c r="J498" t="s">
        <v>268</v>
      </c>
      <c r="M498" t="s">
        <v>89</v>
      </c>
      <c r="O498">
        <v>41686</v>
      </c>
      <c r="P498" t="s">
        <v>139</v>
      </c>
      <c r="Q498" t="s">
        <v>45</v>
      </c>
      <c r="R498" t="s">
        <v>262</v>
      </c>
      <c r="S498" s="1">
        <v>45597</v>
      </c>
      <c r="T498" s="1">
        <v>45792</v>
      </c>
      <c r="U498" t="s">
        <v>47</v>
      </c>
      <c r="V498">
        <v>1</v>
      </c>
      <c r="W498" s="1">
        <v>45757</v>
      </c>
      <c r="X498" t="s">
        <v>48</v>
      </c>
      <c r="Y498" s="2">
        <v>1</v>
      </c>
      <c r="Z498" s="2">
        <v>1</v>
      </c>
      <c r="AB498" s="3">
        <v>1</v>
      </c>
      <c r="AC498" s="2">
        <v>25.5</v>
      </c>
      <c r="AG498" s="2">
        <v>0</v>
      </c>
      <c r="AH498" s="2">
        <v>25.5</v>
      </c>
      <c r="AI498" s="2">
        <v>0</v>
      </c>
      <c r="AK498">
        <v>5348188</v>
      </c>
      <c r="AL498" t="s">
        <v>248</v>
      </c>
    </row>
    <row r="499" spans="1:38" x14ac:dyDescent="0.25">
      <c r="A499" s="1">
        <v>45763</v>
      </c>
      <c r="B499" s="1">
        <v>45762</v>
      </c>
      <c r="C499" t="s">
        <v>252</v>
      </c>
      <c r="D499" t="s">
        <v>39</v>
      </c>
      <c r="E499" t="s">
        <v>40</v>
      </c>
      <c r="F499">
        <v>43677</v>
      </c>
      <c r="H499" t="s">
        <v>41</v>
      </c>
      <c r="I499" s="5">
        <v>130625781</v>
      </c>
      <c r="J499" t="s">
        <v>282</v>
      </c>
      <c r="M499" t="s">
        <v>281</v>
      </c>
      <c r="O499">
        <v>45613</v>
      </c>
      <c r="P499" t="s">
        <v>65</v>
      </c>
      <c r="Q499" t="s">
        <v>45</v>
      </c>
      <c r="R499" t="s">
        <v>262</v>
      </c>
      <c r="S499" s="1">
        <v>45536</v>
      </c>
      <c r="T499" s="1">
        <v>45792</v>
      </c>
      <c r="U499" t="s">
        <v>47</v>
      </c>
      <c r="V499">
        <v>1</v>
      </c>
      <c r="W499" s="1">
        <v>45757</v>
      </c>
      <c r="X499" t="s">
        <v>48</v>
      </c>
      <c r="Y499" s="2">
        <v>1</v>
      </c>
      <c r="Z499" s="2">
        <v>1</v>
      </c>
      <c r="AB499" s="3">
        <v>1</v>
      </c>
      <c r="AC499" s="2">
        <v>25.5</v>
      </c>
      <c r="AG499" s="2">
        <v>0</v>
      </c>
      <c r="AH499" s="2">
        <v>25.5</v>
      </c>
      <c r="AI499" s="2">
        <v>0</v>
      </c>
      <c r="AK499">
        <v>5345998</v>
      </c>
      <c r="AL499" t="s">
        <v>248</v>
      </c>
    </row>
    <row r="500" spans="1:38" x14ac:dyDescent="0.25">
      <c r="A500" s="1">
        <v>45763</v>
      </c>
      <c r="B500" s="1">
        <v>45763</v>
      </c>
      <c r="C500" t="s">
        <v>38</v>
      </c>
      <c r="D500" t="s">
        <v>39</v>
      </c>
      <c r="E500" t="s">
        <v>40</v>
      </c>
      <c r="F500">
        <v>43677</v>
      </c>
      <c r="H500" t="s">
        <v>41</v>
      </c>
      <c r="I500" s="5">
        <v>925390858</v>
      </c>
      <c r="J500" t="s">
        <v>176</v>
      </c>
      <c r="M500" t="s">
        <v>89</v>
      </c>
      <c r="O500">
        <v>45605</v>
      </c>
      <c r="P500" t="s">
        <v>50</v>
      </c>
      <c r="Q500" t="s">
        <v>45</v>
      </c>
      <c r="R500" t="s">
        <v>190</v>
      </c>
      <c r="S500" s="1">
        <v>45809</v>
      </c>
      <c r="U500" t="s">
        <v>47</v>
      </c>
      <c r="X500" t="s">
        <v>48</v>
      </c>
      <c r="Y500" s="2">
        <v>0</v>
      </c>
      <c r="Z500" s="2">
        <v>626</v>
      </c>
      <c r="AA500">
        <v>1</v>
      </c>
      <c r="AB500" s="3">
        <v>1</v>
      </c>
      <c r="AC500" s="2">
        <v>626</v>
      </c>
      <c r="AD500" s="3">
        <v>0</v>
      </c>
      <c r="AE500" s="2">
        <v>0</v>
      </c>
      <c r="AF500" s="2">
        <v>626</v>
      </c>
      <c r="AK500">
        <v>5377597</v>
      </c>
    </row>
    <row r="501" spans="1:38" x14ac:dyDescent="0.25">
      <c r="A501" s="1">
        <v>45763</v>
      </c>
      <c r="B501" s="1">
        <v>45763</v>
      </c>
      <c r="C501" t="s">
        <v>38</v>
      </c>
      <c r="D501" t="s">
        <v>39</v>
      </c>
      <c r="E501" t="s">
        <v>40</v>
      </c>
      <c r="F501">
        <v>43677</v>
      </c>
      <c r="H501" t="s">
        <v>41</v>
      </c>
      <c r="I501" s="5">
        <v>924420238</v>
      </c>
      <c r="J501" t="s">
        <v>178</v>
      </c>
      <c r="M501" t="s">
        <v>133</v>
      </c>
      <c r="O501">
        <v>45621</v>
      </c>
      <c r="P501" t="s">
        <v>177</v>
      </c>
      <c r="Q501" t="s">
        <v>45</v>
      </c>
      <c r="R501" t="s">
        <v>190</v>
      </c>
      <c r="S501" s="1">
        <v>45748</v>
      </c>
      <c r="U501" t="s">
        <v>47</v>
      </c>
      <c r="X501" t="s">
        <v>48</v>
      </c>
      <c r="Y501" s="2">
        <v>0</v>
      </c>
      <c r="Z501" s="2">
        <v>626</v>
      </c>
      <c r="AA501">
        <v>1</v>
      </c>
      <c r="AB501" s="3">
        <v>1</v>
      </c>
      <c r="AC501" s="2">
        <v>626</v>
      </c>
      <c r="AD501" s="3">
        <v>0</v>
      </c>
      <c r="AE501" s="2">
        <v>0</v>
      </c>
      <c r="AF501" s="2">
        <v>626</v>
      </c>
      <c r="AK501">
        <v>5377576</v>
      </c>
    </row>
    <row r="502" spans="1:38" x14ac:dyDescent="0.25">
      <c r="A502" s="1">
        <v>45763</v>
      </c>
      <c r="B502" s="1">
        <v>45763</v>
      </c>
      <c r="C502" t="s">
        <v>38</v>
      </c>
      <c r="D502" t="s">
        <v>39</v>
      </c>
      <c r="E502" t="s">
        <v>40</v>
      </c>
      <c r="F502">
        <v>43677</v>
      </c>
      <c r="H502" t="s">
        <v>41</v>
      </c>
      <c r="I502" s="5">
        <v>971633104</v>
      </c>
      <c r="J502" t="s">
        <v>171</v>
      </c>
      <c r="M502" t="s">
        <v>89</v>
      </c>
      <c r="O502">
        <v>43589</v>
      </c>
      <c r="P502" t="s">
        <v>156</v>
      </c>
      <c r="Q502" t="s">
        <v>45</v>
      </c>
      <c r="R502" t="s">
        <v>190</v>
      </c>
      <c r="S502" s="1">
        <v>45748</v>
      </c>
      <c r="U502" t="s">
        <v>47</v>
      </c>
      <c r="X502" t="s">
        <v>48</v>
      </c>
      <c r="Y502" s="2">
        <v>0</v>
      </c>
      <c r="Z502" s="2">
        <v>626</v>
      </c>
      <c r="AA502">
        <v>1</v>
      </c>
      <c r="AB502" s="3">
        <v>1</v>
      </c>
      <c r="AC502" s="2">
        <v>626</v>
      </c>
      <c r="AD502" s="3">
        <v>0</v>
      </c>
      <c r="AE502" s="2">
        <v>0</v>
      </c>
      <c r="AF502" s="2">
        <v>626</v>
      </c>
      <c r="AK502">
        <v>5377589</v>
      </c>
    </row>
    <row r="503" spans="1:38" x14ac:dyDescent="0.25">
      <c r="A503" s="1">
        <v>45763</v>
      </c>
      <c r="B503" s="1">
        <v>45763</v>
      </c>
      <c r="C503" t="s">
        <v>38</v>
      </c>
      <c r="D503" t="s">
        <v>39</v>
      </c>
      <c r="E503" t="s">
        <v>40</v>
      </c>
      <c r="F503">
        <v>43677</v>
      </c>
      <c r="H503" t="s">
        <v>41</v>
      </c>
      <c r="I503" s="5">
        <v>957421267</v>
      </c>
      <c r="J503" t="s">
        <v>174</v>
      </c>
      <c r="M503" t="s">
        <v>89</v>
      </c>
      <c r="O503">
        <v>45605</v>
      </c>
      <c r="P503" t="s">
        <v>50</v>
      </c>
      <c r="Q503" t="s">
        <v>45</v>
      </c>
      <c r="R503" t="s">
        <v>190</v>
      </c>
      <c r="S503" s="1">
        <v>45748</v>
      </c>
      <c r="U503" t="s">
        <v>47</v>
      </c>
      <c r="X503" t="s">
        <v>48</v>
      </c>
      <c r="Y503" s="2">
        <v>0</v>
      </c>
      <c r="Z503" s="2">
        <v>626</v>
      </c>
      <c r="AA503">
        <v>1</v>
      </c>
      <c r="AB503" s="3">
        <v>1</v>
      </c>
      <c r="AC503" s="2">
        <v>626</v>
      </c>
      <c r="AD503" s="3">
        <v>0</v>
      </c>
      <c r="AE503" s="2">
        <v>0</v>
      </c>
      <c r="AF503" s="2">
        <v>626</v>
      </c>
      <c r="AK503">
        <v>5377607</v>
      </c>
    </row>
    <row r="504" spans="1:38" x14ac:dyDescent="0.25">
      <c r="A504" s="1">
        <v>45763</v>
      </c>
      <c r="B504" s="1">
        <v>45763</v>
      </c>
      <c r="C504" t="s">
        <v>38</v>
      </c>
      <c r="D504" t="s">
        <v>39</v>
      </c>
      <c r="E504" t="s">
        <v>40</v>
      </c>
      <c r="F504">
        <v>43677</v>
      </c>
      <c r="H504" t="s">
        <v>41</v>
      </c>
      <c r="I504" s="5">
        <v>940026103</v>
      </c>
      <c r="J504" t="s">
        <v>197</v>
      </c>
      <c r="M504" t="s">
        <v>84</v>
      </c>
      <c r="O504">
        <v>43969</v>
      </c>
      <c r="P504" t="s">
        <v>74</v>
      </c>
      <c r="Q504" t="s">
        <v>45</v>
      </c>
      <c r="R504" t="s">
        <v>190</v>
      </c>
      <c r="S504" s="1">
        <v>45809</v>
      </c>
      <c r="U504" t="s">
        <v>47</v>
      </c>
      <c r="X504" t="s">
        <v>48</v>
      </c>
      <c r="Y504" s="2">
        <v>0</v>
      </c>
      <c r="Z504" s="2">
        <v>626</v>
      </c>
      <c r="AA504">
        <v>1</v>
      </c>
      <c r="AB504" s="3">
        <v>1</v>
      </c>
      <c r="AC504" s="2">
        <v>626</v>
      </c>
      <c r="AD504" s="3">
        <v>0</v>
      </c>
      <c r="AE504" s="2">
        <v>0</v>
      </c>
      <c r="AF504" s="2">
        <v>626</v>
      </c>
      <c r="AK504">
        <v>5377643</v>
      </c>
    </row>
    <row r="505" spans="1:38" x14ac:dyDescent="0.25">
      <c r="A505" s="1">
        <v>45763</v>
      </c>
      <c r="B505" s="1">
        <v>45763</v>
      </c>
      <c r="C505" t="s">
        <v>38</v>
      </c>
      <c r="D505" t="s">
        <v>39</v>
      </c>
      <c r="E505" t="s">
        <v>40</v>
      </c>
      <c r="F505">
        <v>43677</v>
      </c>
      <c r="H505" t="s">
        <v>41</v>
      </c>
      <c r="I505" s="5">
        <v>992802492</v>
      </c>
      <c r="J505" t="s">
        <v>136</v>
      </c>
      <c r="M505" t="s">
        <v>89</v>
      </c>
      <c r="O505">
        <v>45709</v>
      </c>
      <c r="P505" t="s">
        <v>137</v>
      </c>
      <c r="Q505" t="s">
        <v>45</v>
      </c>
      <c r="R505" t="s">
        <v>190</v>
      </c>
      <c r="S505" s="1">
        <v>45748</v>
      </c>
      <c r="U505" t="s">
        <v>47</v>
      </c>
      <c r="X505" t="s">
        <v>48</v>
      </c>
      <c r="Y505" s="2">
        <v>0</v>
      </c>
      <c r="Z505" s="2">
        <v>626</v>
      </c>
      <c r="AA505">
        <v>1</v>
      </c>
      <c r="AB505" s="3">
        <v>1</v>
      </c>
      <c r="AC505" s="2">
        <v>626</v>
      </c>
      <c r="AD505" s="3">
        <v>0</v>
      </c>
      <c r="AE505" s="2">
        <v>0</v>
      </c>
      <c r="AF505" s="2">
        <v>626</v>
      </c>
      <c r="AK505">
        <v>5377619</v>
      </c>
    </row>
    <row r="506" spans="1:38" x14ac:dyDescent="0.25">
      <c r="A506" s="1">
        <v>45763</v>
      </c>
      <c r="B506" s="1">
        <v>45763</v>
      </c>
      <c r="C506" t="s">
        <v>38</v>
      </c>
      <c r="D506" t="s">
        <v>39</v>
      </c>
      <c r="E506" t="s">
        <v>40</v>
      </c>
      <c r="F506">
        <v>43677</v>
      </c>
      <c r="H506" t="s">
        <v>41</v>
      </c>
      <c r="I506" s="5">
        <v>922650134</v>
      </c>
      <c r="J506" t="s">
        <v>121</v>
      </c>
      <c r="M506" t="s">
        <v>122</v>
      </c>
      <c r="O506">
        <v>45605</v>
      </c>
      <c r="P506" t="s">
        <v>50</v>
      </c>
      <c r="Q506" t="s">
        <v>45</v>
      </c>
      <c r="R506" t="s">
        <v>190</v>
      </c>
      <c r="S506" s="1">
        <v>45809</v>
      </c>
      <c r="U506" t="s">
        <v>47</v>
      </c>
      <c r="X506" t="s">
        <v>48</v>
      </c>
      <c r="Y506" s="2">
        <v>0</v>
      </c>
      <c r="Z506" s="2">
        <v>626</v>
      </c>
      <c r="AA506">
        <v>1</v>
      </c>
      <c r="AB506" s="3">
        <v>1</v>
      </c>
      <c r="AC506" s="2">
        <v>626</v>
      </c>
      <c r="AD506" s="3">
        <v>0</v>
      </c>
      <c r="AE506" s="2">
        <v>0</v>
      </c>
      <c r="AF506" s="2">
        <v>626</v>
      </c>
      <c r="AK506">
        <v>5377596</v>
      </c>
    </row>
    <row r="507" spans="1:38" x14ac:dyDescent="0.25">
      <c r="A507" s="1">
        <v>45763</v>
      </c>
      <c r="B507" s="1">
        <v>45763</v>
      </c>
      <c r="C507" t="s">
        <v>38</v>
      </c>
      <c r="D507" t="s">
        <v>39</v>
      </c>
      <c r="E507" t="s">
        <v>40</v>
      </c>
      <c r="F507">
        <v>43677</v>
      </c>
      <c r="H507" t="s">
        <v>41</v>
      </c>
      <c r="I507" s="5">
        <v>959406713</v>
      </c>
      <c r="J507" t="s">
        <v>173</v>
      </c>
      <c r="M507" t="s">
        <v>84</v>
      </c>
      <c r="O507">
        <v>43969</v>
      </c>
      <c r="P507" t="s">
        <v>74</v>
      </c>
      <c r="Q507" t="s">
        <v>45</v>
      </c>
      <c r="R507" t="s">
        <v>190</v>
      </c>
      <c r="S507" s="1">
        <v>45778</v>
      </c>
      <c r="U507" t="s">
        <v>47</v>
      </c>
      <c r="X507" t="s">
        <v>48</v>
      </c>
      <c r="Y507" s="2">
        <v>0</v>
      </c>
      <c r="Z507" s="2">
        <v>626</v>
      </c>
      <c r="AA507">
        <v>1</v>
      </c>
      <c r="AB507" s="3">
        <v>1</v>
      </c>
      <c r="AC507" s="2">
        <v>626</v>
      </c>
      <c r="AD507" s="3">
        <v>0</v>
      </c>
      <c r="AE507" s="2">
        <v>0</v>
      </c>
      <c r="AF507" s="2">
        <v>626</v>
      </c>
      <c r="AK507">
        <v>5377593</v>
      </c>
    </row>
    <row r="508" spans="1:38" x14ac:dyDescent="0.25">
      <c r="A508" s="1">
        <v>45763</v>
      </c>
      <c r="B508" s="1">
        <v>45763</v>
      </c>
      <c r="C508" t="s">
        <v>38</v>
      </c>
      <c r="D508" t="s">
        <v>39</v>
      </c>
      <c r="E508" t="s">
        <v>40</v>
      </c>
      <c r="F508">
        <v>43677</v>
      </c>
      <c r="H508" t="s">
        <v>41</v>
      </c>
      <c r="I508" s="5">
        <v>986931736</v>
      </c>
      <c r="J508" t="s">
        <v>170</v>
      </c>
      <c r="M508" t="s">
        <v>89</v>
      </c>
      <c r="O508">
        <v>45709</v>
      </c>
      <c r="P508" t="s">
        <v>137</v>
      </c>
      <c r="Q508" t="s">
        <v>45</v>
      </c>
      <c r="R508" t="s">
        <v>190</v>
      </c>
      <c r="S508" s="1">
        <v>45748</v>
      </c>
      <c r="U508" t="s">
        <v>47</v>
      </c>
      <c r="X508" t="s">
        <v>48</v>
      </c>
      <c r="Y508" s="2">
        <v>0</v>
      </c>
      <c r="Z508" s="2">
        <v>626</v>
      </c>
      <c r="AA508">
        <v>1</v>
      </c>
      <c r="AB508" s="3">
        <v>1</v>
      </c>
      <c r="AC508" s="2">
        <v>626</v>
      </c>
      <c r="AD508" s="3">
        <v>0</v>
      </c>
      <c r="AE508" s="2">
        <v>0</v>
      </c>
      <c r="AF508" s="2">
        <v>626</v>
      </c>
      <c r="AK508">
        <v>5377613</v>
      </c>
    </row>
    <row r="509" spans="1:38" x14ac:dyDescent="0.25">
      <c r="A509" s="1">
        <v>45763</v>
      </c>
      <c r="B509" s="1">
        <v>45762</v>
      </c>
      <c r="C509" t="s">
        <v>252</v>
      </c>
      <c r="D509" t="s">
        <v>39</v>
      </c>
      <c r="E509" t="s">
        <v>40</v>
      </c>
      <c r="F509">
        <v>43677</v>
      </c>
      <c r="H509" t="s">
        <v>41</v>
      </c>
      <c r="I509" s="5">
        <v>993708991</v>
      </c>
      <c r="J509" t="s">
        <v>257</v>
      </c>
      <c r="M509" t="s">
        <v>122</v>
      </c>
      <c r="O509">
        <v>43637</v>
      </c>
      <c r="P509" t="s">
        <v>72</v>
      </c>
      <c r="Q509" t="s">
        <v>45</v>
      </c>
      <c r="R509" t="s">
        <v>258</v>
      </c>
      <c r="S509" s="1">
        <v>45566</v>
      </c>
      <c r="T509" s="1">
        <v>45792</v>
      </c>
      <c r="U509" t="s">
        <v>47</v>
      </c>
      <c r="V509">
        <v>1</v>
      </c>
      <c r="W509" s="1">
        <v>45757</v>
      </c>
      <c r="X509" t="s">
        <v>48</v>
      </c>
      <c r="Y509" s="2">
        <v>1</v>
      </c>
      <c r="Z509" s="2">
        <v>1</v>
      </c>
      <c r="AB509" s="3">
        <v>1</v>
      </c>
      <c r="AC509" s="2">
        <v>25.5</v>
      </c>
      <c r="AG509" s="2">
        <v>0</v>
      </c>
      <c r="AH509" s="2">
        <v>25.5</v>
      </c>
      <c r="AI509" s="2">
        <v>0</v>
      </c>
      <c r="AK509">
        <v>5351125</v>
      </c>
      <c r="AL509" t="s">
        <v>248</v>
      </c>
    </row>
    <row r="510" spans="1:38" x14ac:dyDescent="0.25">
      <c r="A510" s="1">
        <v>45763</v>
      </c>
      <c r="B510" s="1">
        <v>45762</v>
      </c>
      <c r="C510" t="s">
        <v>252</v>
      </c>
      <c r="D510" t="s">
        <v>39</v>
      </c>
      <c r="E510" t="s">
        <v>40</v>
      </c>
      <c r="F510">
        <v>43677</v>
      </c>
      <c r="H510" t="s">
        <v>41</v>
      </c>
      <c r="I510" s="5">
        <v>130524428</v>
      </c>
      <c r="J510" t="s">
        <v>284</v>
      </c>
      <c r="M510" t="s">
        <v>112</v>
      </c>
      <c r="O510">
        <v>45627</v>
      </c>
      <c r="P510" t="s">
        <v>283</v>
      </c>
      <c r="Q510" t="s">
        <v>45</v>
      </c>
      <c r="R510" t="s">
        <v>258</v>
      </c>
      <c r="S510" s="1">
        <v>45505</v>
      </c>
      <c r="T510" s="1">
        <v>45792</v>
      </c>
      <c r="U510" t="s">
        <v>47</v>
      </c>
      <c r="V510">
        <v>1</v>
      </c>
      <c r="W510" s="1">
        <v>45757</v>
      </c>
      <c r="X510" t="s">
        <v>48</v>
      </c>
      <c r="Y510" s="2">
        <v>1</v>
      </c>
      <c r="Z510" s="2">
        <v>1</v>
      </c>
      <c r="AB510" s="3">
        <v>1</v>
      </c>
      <c r="AC510" s="2">
        <v>25.5</v>
      </c>
      <c r="AG510" s="2">
        <v>0</v>
      </c>
      <c r="AH510" s="2">
        <v>25.5</v>
      </c>
      <c r="AI510" s="2">
        <v>0</v>
      </c>
      <c r="AK510">
        <v>5345977</v>
      </c>
      <c r="AL510" t="s">
        <v>248</v>
      </c>
    </row>
    <row r="511" spans="1:38" x14ac:dyDescent="0.25">
      <c r="A511" s="1">
        <v>45763</v>
      </c>
      <c r="B511" s="1">
        <v>45762</v>
      </c>
      <c r="C511" t="s">
        <v>252</v>
      </c>
      <c r="D511" t="s">
        <v>39</v>
      </c>
      <c r="E511" t="s">
        <v>40</v>
      </c>
      <c r="F511">
        <v>43677</v>
      </c>
      <c r="H511" t="s">
        <v>41</v>
      </c>
      <c r="I511" s="5">
        <v>981141937</v>
      </c>
      <c r="J511" t="s">
        <v>264</v>
      </c>
      <c r="M511" t="s">
        <v>133</v>
      </c>
      <c r="O511">
        <v>45621</v>
      </c>
      <c r="P511" t="s">
        <v>177</v>
      </c>
      <c r="Q511" t="s">
        <v>45</v>
      </c>
      <c r="R511" t="s">
        <v>258</v>
      </c>
      <c r="S511" s="1">
        <v>45597</v>
      </c>
      <c r="T511" s="1">
        <v>45792</v>
      </c>
      <c r="U511" t="s">
        <v>47</v>
      </c>
      <c r="V511">
        <v>1</v>
      </c>
      <c r="W511" s="1">
        <v>45757</v>
      </c>
      <c r="X511" t="s">
        <v>48</v>
      </c>
      <c r="Y511" s="2">
        <v>1</v>
      </c>
      <c r="Z511" s="2">
        <v>1</v>
      </c>
      <c r="AB511" s="3">
        <v>1</v>
      </c>
      <c r="AC511" s="2">
        <v>25.5</v>
      </c>
      <c r="AG511" s="2">
        <v>0</v>
      </c>
      <c r="AH511" s="2">
        <v>25.5</v>
      </c>
      <c r="AI511" s="2">
        <v>0</v>
      </c>
      <c r="AK511">
        <v>5348760</v>
      </c>
      <c r="AL511" t="s">
        <v>248</v>
      </c>
    </row>
    <row r="512" spans="1:38" x14ac:dyDescent="0.25">
      <c r="A512" s="1">
        <v>45763</v>
      </c>
      <c r="B512" s="1">
        <v>45762</v>
      </c>
      <c r="C512" t="s">
        <v>252</v>
      </c>
      <c r="D512" t="s">
        <v>39</v>
      </c>
      <c r="E512" t="s">
        <v>40</v>
      </c>
      <c r="F512">
        <v>43677</v>
      </c>
      <c r="H512" t="s">
        <v>41</v>
      </c>
      <c r="I512" s="5">
        <v>992426853</v>
      </c>
      <c r="J512" t="s">
        <v>259</v>
      </c>
      <c r="M512" t="s">
        <v>89</v>
      </c>
      <c r="O512">
        <v>45605</v>
      </c>
      <c r="P512" t="s">
        <v>50</v>
      </c>
      <c r="Q512" t="s">
        <v>45</v>
      </c>
      <c r="R512" t="s">
        <v>260</v>
      </c>
      <c r="S512" s="1">
        <v>45566</v>
      </c>
      <c r="T512" s="1">
        <v>45792</v>
      </c>
      <c r="U512" t="s">
        <v>47</v>
      </c>
      <c r="V512">
        <v>1</v>
      </c>
      <c r="W512" s="1">
        <v>45757</v>
      </c>
      <c r="X512" t="s">
        <v>48</v>
      </c>
      <c r="Y512" s="2">
        <v>1</v>
      </c>
      <c r="Z512" s="2">
        <v>1</v>
      </c>
      <c r="AB512" s="3">
        <v>1</v>
      </c>
      <c r="AC512" s="2">
        <v>25.5</v>
      </c>
      <c r="AG512" s="2">
        <v>0</v>
      </c>
      <c r="AH512" s="2">
        <v>25.5</v>
      </c>
      <c r="AI512" s="2">
        <v>0</v>
      </c>
      <c r="AK512">
        <v>5350810</v>
      </c>
      <c r="AL512" t="s">
        <v>248</v>
      </c>
    </row>
    <row r="513" spans="1:38" x14ac:dyDescent="0.25">
      <c r="A513" s="1">
        <v>45763</v>
      </c>
      <c r="B513" s="1">
        <v>45763</v>
      </c>
      <c r="C513" t="s">
        <v>38</v>
      </c>
      <c r="D513" t="s">
        <v>39</v>
      </c>
      <c r="E513" t="s">
        <v>40</v>
      </c>
      <c r="F513">
        <v>43677</v>
      </c>
      <c r="H513" t="s">
        <v>41</v>
      </c>
      <c r="I513" s="5">
        <v>132661650</v>
      </c>
      <c r="J513" t="s">
        <v>179</v>
      </c>
      <c r="M513" t="s">
        <v>112</v>
      </c>
      <c r="O513">
        <v>45717</v>
      </c>
      <c r="P513" t="s">
        <v>113</v>
      </c>
      <c r="Q513" t="s">
        <v>45</v>
      </c>
      <c r="R513" t="s">
        <v>167</v>
      </c>
      <c r="S513" s="1">
        <v>45748</v>
      </c>
      <c r="U513" t="s">
        <v>47</v>
      </c>
      <c r="X513" t="s">
        <v>48</v>
      </c>
      <c r="Y513" s="2">
        <v>0</v>
      </c>
      <c r="Z513" s="2">
        <v>469.5</v>
      </c>
      <c r="AA513">
        <v>1</v>
      </c>
      <c r="AB513" s="3">
        <v>1</v>
      </c>
      <c r="AC513" s="2">
        <v>469.5</v>
      </c>
      <c r="AD513" s="3">
        <v>0</v>
      </c>
      <c r="AE513" s="2">
        <v>0</v>
      </c>
      <c r="AF513" s="2">
        <v>469.5</v>
      </c>
      <c r="AK513">
        <v>5377556</v>
      </c>
      <c r="AL513" t="s">
        <v>91</v>
      </c>
    </row>
    <row r="514" spans="1:38" x14ac:dyDescent="0.25">
      <c r="A514" s="1">
        <v>45763</v>
      </c>
      <c r="B514" s="1">
        <v>45763</v>
      </c>
      <c r="C514" t="s">
        <v>146</v>
      </c>
      <c r="D514" t="s">
        <v>39</v>
      </c>
      <c r="E514" t="s">
        <v>40</v>
      </c>
      <c r="F514">
        <v>43677</v>
      </c>
      <c r="H514" t="s">
        <v>41</v>
      </c>
      <c r="I514" s="5" t="s">
        <v>742</v>
      </c>
      <c r="J514" t="s">
        <v>168</v>
      </c>
      <c r="M514" t="s">
        <v>89</v>
      </c>
      <c r="O514">
        <v>45709</v>
      </c>
      <c r="P514" t="s">
        <v>137</v>
      </c>
      <c r="Q514" t="s">
        <v>148</v>
      </c>
      <c r="R514" t="s">
        <v>167</v>
      </c>
      <c r="S514" s="1">
        <v>45717</v>
      </c>
      <c r="U514" t="s">
        <v>47</v>
      </c>
      <c r="X514" t="s">
        <v>48</v>
      </c>
      <c r="Y514" s="2">
        <v>0</v>
      </c>
      <c r="Z514">
        <v>-469.5</v>
      </c>
      <c r="AA514">
        <v>1</v>
      </c>
      <c r="AB514" s="3">
        <v>1</v>
      </c>
      <c r="AC514">
        <v>-469.5</v>
      </c>
      <c r="AD514" s="3">
        <v>0</v>
      </c>
      <c r="AE514" s="2">
        <v>0</v>
      </c>
      <c r="AF514" s="2">
        <v>521.66999999999996</v>
      </c>
      <c r="AG514" s="2"/>
      <c r="AJ514" s="2"/>
    </row>
    <row r="515" spans="1:38" x14ac:dyDescent="0.25">
      <c r="A515" s="1">
        <v>45756</v>
      </c>
      <c r="B515" s="1">
        <v>45756</v>
      </c>
      <c r="C515" t="s">
        <v>38</v>
      </c>
      <c r="D515" t="s">
        <v>39</v>
      </c>
      <c r="E515" t="s">
        <v>40</v>
      </c>
      <c r="F515">
        <v>43677</v>
      </c>
      <c r="H515" t="s">
        <v>41</v>
      </c>
      <c r="I515" s="5">
        <v>992665744</v>
      </c>
      <c r="J515" t="s">
        <v>135</v>
      </c>
      <c r="M515" t="s">
        <v>133</v>
      </c>
      <c r="O515">
        <v>43713</v>
      </c>
      <c r="P515" t="s">
        <v>134</v>
      </c>
      <c r="Q515" t="s">
        <v>45</v>
      </c>
      <c r="R515" t="s">
        <v>123</v>
      </c>
      <c r="S515" s="1">
        <v>45748</v>
      </c>
      <c r="U515" t="s">
        <v>47</v>
      </c>
      <c r="X515" t="s">
        <v>48</v>
      </c>
      <c r="Y515" s="2">
        <v>0</v>
      </c>
      <c r="Z515" s="2">
        <v>234.75</v>
      </c>
      <c r="AA515">
        <v>1</v>
      </c>
      <c r="AB515" s="3">
        <v>1</v>
      </c>
      <c r="AC515" s="2">
        <v>234.75</v>
      </c>
      <c r="AD515" s="3">
        <v>0</v>
      </c>
      <c r="AE515" s="2">
        <v>0</v>
      </c>
      <c r="AF515" s="2">
        <v>234.75</v>
      </c>
      <c r="AK515">
        <v>5291845</v>
      </c>
      <c r="AL515" t="s">
        <v>91</v>
      </c>
    </row>
    <row r="516" spans="1:38" x14ac:dyDescent="0.25">
      <c r="A516" s="1">
        <v>45756</v>
      </c>
      <c r="B516" s="1">
        <v>45756</v>
      </c>
      <c r="C516" t="s">
        <v>38</v>
      </c>
      <c r="D516" t="s">
        <v>39</v>
      </c>
      <c r="E516" t="s">
        <v>40</v>
      </c>
      <c r="F516">
        <v>43677</v>
      </c>
      <c r="H516" t="s">
        <v>41</v>
      </c>
      <c r="I516" s="5">
        <v>926202494</v>
      </c>
      <c r="J516" t="s">
        <v>125</v>
      </c>
      <c r="M516" t="s">
        <v>126</v>
      </c>
      <c r="O516">
        <v>45605</v>
      </c>
      <c r="P516" t="s">
        <v>50</v>
      </c>
      <c r="Q516" t="s">
        <v>45</v>
      </c>
      <c r="R516" t="s">
        <v>123</v>
      </c>
      <c r="S516" s="1">
        <v>45748</v>
      </c>
      <c r="U516" t="s">
        <v>47</v>
      </c>
      <c r="X516" t="s">
        <v>48</v>
      </c>
      <c r="Y516" s="2">
        <v>0</v>
      </c>
      <c r="Z516" s="2">
        <v>234.75</v>
      </c>
      <c r="AA516">
        <v>1</v>
      </c>
      <c r="AB516" s="3">
        <v>1</v>
      </c>
      <c r="AC516" s="2">
        <v>234.75</v>
      </c>
      <c r="AD516" s="3">
        <v>0</v>
      </c>
      <c r="AE516" s="2">
        <v>0</v>
      </c>
      <c r="AF516" s="2">
        <v>234.75</v>
      </c>
      <c r="AK516">
        <v>5291855</v>
      </c>
      <c r="AL516" t="s">
        <v>91</v>
      </c>
    </row>
    <row r="517" spans="1:38" x14ac:dyDescent="0.25">
      <c r="A517" s="1">
        <v>45763</v>
      </c>
      <c r="B517" s="1">
        <v>45763</v>
      </c>
      <c r="C517" t="s">
        <v>146</v>
      </c>
      <c r="D517" t="s">
        <v>39</v>
      </c>
      <c r="E517" t="s">
        <v>40</v>
      </c>
      <c r="F517">
        <v>43677</v>
      </c>
      <c r="H517" t="s">
        <v>41</v>
      </c>
      <c r="I517" s="5" t="s">
        <v>730</v>
      </c>
      <c r="J517" t="s">
        <v>176</v>
      </c>
      <c r="M517" t="s">
        <v>89</v>
      </c>
      <c r="O517">
        <v>45605</v>
      </c>
      <c r="P517" t="s">
        <v>50</v>
      </c>
      <c r="Q517" t="s">
        <v>148</v>
      </c>
      <c r="R517" t="s">
        <v>123</v>
      </c>
      <c r="S517" s="1">
        <v>45809</v>
      </c>
      <c r="U517" t="s">
        <v>47</v>
      </c>
      <c r="X517" t="s">
        <v>48</v>
      </c>
      <c r="Y517" s="2">
        <v>0</v>
      </c>
      <c r="Z517">
        <v>-182.58</v>
      </c>
      <c r="AA517">
        <v>1</v>
      </c>
      <c r="AB517" s="3">
        <v>1</v>
      </c>
      <c r="AC517">
        <v>-182.58</v>
      </c>
      <c r="AD517" s="3">
        <v>0</v>
      </c>
      <c r="AE517" s="2">
        <v>0</v>
      </c>
      <c r="AF517" s="2">
        <v>182.58</v>
      </c>
      <c r="AG517" s="2"/>
      <c r="AJ517" s="2"/>
    </row>
    <row r="518" spans="1:38" x14ac:dyDescent="0.25">
      <c r="A518" s="1">
        <v>45763</v>
      </c>
      <c r="B518" s="1">
        <v>45763</v>
      </c>
      <c r="C518" t="s">
        <v>38</v>
      </c>
      <c r="D518" t="s">
        <v>39</v>
      </c>
      <c r="E518" t="s">
        <v>40</v>
      </c>
      <c r="F518">
        <v>43677</v>
      </c>
      <c r="H518" t="s">
        <v>41</v>
      </c>
      <c r="I518" s="5">
        <v>957220266</v>
      </c>
      <c r="J518" t="s">
        <v>193</v>
      </c>
      <c r="M518" t="s">
        <v>192</v>
      </c>
      <c r="O518">
        <v>43679</v>
      </c>
      <c r="P518" t="s">
        <v>191</v>
      </c>
      <c r="Q518" t="s">
        <v>45</v>
      </c>
      <c r="R518" t="s">
        <v>123</v>
      </c>
      <c r="S518" s="1">
        <v>45778</v>
      </c>
      <c r="U518" t="s">
        <v>47</v>
      </c>
      <c r="X518" t="s">
        <v>48</v>
      </c>
      <c r="Y518" s="2">
        <v>0</v>
      </c>
      <c r="Z518" s="2">
        <v>208.67</v>
      </c>
      <c r="AA518">
        <v>1</v>
      </c>
      <c r="AB518" s="3">
        <v>1</v>
      </c>
      <c r="AC518" s="2">
        <v>208.67</v>
      </c>
      <c r="AD518" s="3">
        <v>0</v>
      </c>
      <c r="AE518" s="2">
        <v>0</v>
      </c>
      <c r="AF518" s="2">
        <v>208.67</v>
      </c>
      <c r="AK518">
        <v>5377625</v>
      </c>
      <c r="AL518" t="s">
        <v>119</v>
      </c>
    </row>
    <row r="519" spans="1:38" x14ac:dyDescent="0.25">
      <c r="A519" s="1">
        <v>45763</v>
      </c>
      <c r="B519" s="1">
        <v>45763</v>
      </c>
      <c r="C519" t="s">
        <v>146</v>
      </c>
      <c r="D519" t="s">
        <v>39</v>
      </c>
      <c r="E519" t="s">
        <v>40</v>
      </c>
      <c r="F519">
        <v>43677</v>
      </c>
      <c r="H519" t="s">
        <v>41</v>
      </c>
      <c r="I519" s="5" t="s">
        <v>729</v>
      </c>
      <c r="J519" t="s">
        <v>178</v>
      </c>
      <c r="M519" t="s">
        <v>133</v>
      </c>
      <c r="O519">
        <v>45621</v>
      </c>
      <c r="P519" t="s">
        <v>177</v>
      </c>
      <c r="Q519" t="s">
        <v>148</v>
      </c>
      <c r="R519" t="s">
        <v>123</v>
      </c>
      <c r="S519" s="1">
        <v>45748</v>
      </c>
      <c r="U519" t="s">
        <v>47</v>
      </c>
      <c r="X519" t="s">
        <v>48</v>
      </c>
      <c r="Y519" s="2">
        <v>0</v>
      </c>
      <c r="Z519">
        <v>-234.75</v>
      </c>
      <c r="AA519">
        <v>1</v>
      </c>
      <c r="AB519" s="3">
        <v>1</v>
      </c>
      <c r="AC519">
        <v>-234.75</v>
      </c>
      <c r="AD519" s="3">
        <v>0</v>
      </c>
      <c r="AE519" s="2">
        <v>0</v>
      </c>
      <c r="AF519" s="2">
        <v>234.75</v>
      </c>
      <c r="AG519" s="2"/>
      <c r="AJ519" s="2"/>
    </row>
    <row r="520" spans="1:38" x14ac:dyDescent="0.25">
      <c r="A520" s="1">
        <v>45763</v>
      </c>
      <c r="B520" s="1">
        <v>45763</v>
      </c>
      <c r="C520" t="s">
        <v>146</v>
      </c>
      <c r="D520" t="s">
        <v>39</v>
      </c>
      <c r="E520" t="s">
        <v>40</v>
      </c>
      <c r="F520">
        <v>43677</v>
      </c>
      <c r="H520" t="s">
        <v>41</v>
      </c>
      <c r="I520" s="5" t="s">
        <v>738</v>
      </c>
      <c r="J520" t="s">
        <v>171</v>
      </c>
      <c r="M520" t="s">
        <v>89</v>
      </c>
      <c r="O520">
        <v>43589</v>
      </c>
      <c r="P520" t="s">
        <v>156</v>
      </c>
      <c r="Q520" t="s">
        <v>148</v>
      </c>
      <c r="R520" t="s">
        <v>123</v>
      </c>
      <c r="S520" s="1">
        <v>45748</v>
      </c>
      <c r="U520" t="s">
        <v>47</v>
      </c>
      <c r="X520" t="s">
        <v>48</v>
      </c>
      <c r="Y520" s="2">
        <v>0</v>
      </c>
      <c r="Z520">
        <v>-234.75</v>
      </c>
      <c r="AA520">
        <v>1</v>
      </c>
      <c r="AB520" s="3">
        <v>1</v>
      </c>
      <c r="AC520">
        <v>-234.75</v>
      </c>
      <c r="AD520" s="3">
        <v>0</v>
      </c>
      <c r="AE520" s="2">
        <v>0</v>
      </c>
      <c r="AF520" s="2">
        <v>234.75</v>
      </c>
      <c r="AG520" s="2"/>
      <c r="AJ520" s="2"/>
    </row>
    <row r="521" spans="1:38" x14ac:dyDescent="0.25">
      <c r="A521" s="1">
        <v>45763</v>
      </c>
      <c r="B521" s="1">
        <v>45763</v>
      </c>
      <c r="C521" t="s">
        <v>146</v>
      </c>
      <c r="D521" t="s">
        <v>39</v>
      </c>
      <c r="E521" t="s">
        <v>40</v>
      </c>
      <c r="F521">
        <v>43677</v>
      </c>
      <c r="H521" t="s">
        <v>41</v>
      </c>
      <c r="I521" s="5" t="s">
        <v>737</v>
      </c>
      <c r="J521" t="s">
        <v>172</v>
      </c>
      <c r="M521" t="s">
        <v>128</v>
      </c>
      <c r="O521">
        <v>45613</v>
      </c>
      <c r="P521" t="s">
        <v>65</v>
      </c>
      <c r="Q521" t="s">
        <v>148</v>
      </c>
      <c r="R521" t="s">
        <v>123</v>
      </c>
      <c r="S521" s="1">
        <v>45658</v>
      </c>
      <c r="U521" t="s">
        <v>47</v>
      </c>
      <c r="X521" t="s">
        <v>48</v>
      </c>
      <c r="Y521" s="2">
        <v>0</v>
      </c>
      <c r="Z521">
        <v>-208.66</v>
      </c>
      <c r="AA521">
        <v>1</v>
      </c>
      <c r="AB521" s="3">
        <v>1</v>
      </c>
      <c r="AC521">
        <v>-208.66</v>
      </c>
      <c r="AD521" s="3">
        <v>0</v>
      </c>
      <c r="AE521" s="2">
        <v>0</v>
      </c>
      <c r="AF521" s="2">
        <v>313</v>
      </c>
      <c r="AG521" s="2"/>
      <c r="AJ521" s="2"/>
    </row>
    <row r="522" spans="1:38" x14ac:dyDescent="0.25">
      <c r="A522" s="1">
        <v>45763</v>
      </c>
      <c r="B522" s="1">
        <v>45763</v>
      </c>
      <c r="C522" t="s">
        <v>38</v>
      </c>
      <c r="D522" t="s">
        <v>39</v>
      </c>
      <c r="E522" t="s">
        <v>40</v>
      </c>
      <c r="F522">
        <v>43677</v>
      </c>
      <c r="H522" t="s">
        <v>41</v>
      </c>
      <c r="I522" s="5">
        <v>938957904</v>
      </c>
      <c r="J522" t="s">
        <v>199</v>
      </c>
      <c r="M522" t="s">
        <v>89</v>
      </c>
      <c r="O522">
        <v>45622</v>
      </c>
      <c r="P522" t="s">
        <v>198</v>
      </c>
      <c r="Q522" t="s">
        <v>45</v>
      </c>
      <c r="R522" t="s">
        <v>123</v>
      </c>
      <c r="S522" s="1">
        <v>45778</v>
      </c>
      <c r="U522" t="s">
        <v>47</v>
      </c>
      <c r="X522" t="s">
        <v>48</v>
      </c>
      <c r="Y522" s="2">
        <v>0</v>
      </c>
      <c r="Z522" s="2">
        <v>208.67</v>
      </c>
      <c r="AA522">
        <v>1</v>
      </c>
      <c r="AB522" s="3">
        <v>1</v>
      </c>
      <c r="AC522" s="2">
        <v>208.67</v>
      </c>
      <c r="AD522" s="3">
        <v>0</v>
      </c>
      <c r="AE522" s="2">
        <v>0</v>
      </c>
      <c r="AF522" s="2">
        <v>208.67</v>
      </c>
      <c r="AK522">
        <v>5377621</v>
      </c>
      <c r="AL522" t="s">
        <v>119</v>
      </c>
    </row>
    <row r="523" spans="1:38" x14ac:dyDescent="0.25">
      <c r="A523" s="1">
        <v>45763</v>
      </c>
      <c r="B523" s="1">
        <v>45763</v>
      </c>
      <c r="C523" t="s">
        <v>146</v>
      </c>
      <c r="D523" t="s">
        <v>39</v>
      </c>
      <c r="E523" t="s">
        <v>40</v>
      </c>
      <c r="F523">
        <v>43677</v>
      </c>
      <c r="H523" t="s">
        <v>41</v>
      </c>
      <c r="I523" s="5" t="s">
        <v>733</v>
      </c>
      <c r="J523" t="s">
        <v>174</v>
      </c>
      <c r="M523" t="s">
        <v>89</v>
      </c>
      <c r="O523">
        <v>45605</v>
      </c>
      <c r="P523" t="s">
        <v>50</v>
      </c>
      <c r="Q523" t="s">
        <v>148</v>
      </c>
      <c r="R523" t="s">
        <v>123</v>
      </c>
      <c r="S523" s="1">
        <v>45748</v>
      </c>
      <c r="U523" t="s">
        <v>47</v>
      </c>
      <c r="X523" t="s">
        <v>48</v>
      </c>
      <c r="Y523" s="2">
        <v>0</v>
      </c>
      <c r="Z523">
        <v>-234.75</v>
      </c>
      <c r="AA523">
        <v>1</v>
      </c>
      <c r="AB523" s="3">
        <v>1</v>
      </c>
      <c r="AC523">
        <v>-234.75</v>
      </c>
      <c r="AD523" s="3">
        <v>0</v>
      </c>
      <c r="AE523" s="2">
        <v>0</v>
      </c>
      <c r="AF523" s="2">
        <v>234.75</v>
      </c>
      <c r="AG523" s="2"/>
      <c r="AJ523" s="2"/>
    </row>
    <row r="524" spans="1:38" x14ac:dyDescent="0.25">
      <c r="A524" s="1">
        <v>45763</v>
      </c>
      <c r="B524" s="1">
        <v>45763</v>
      </c>
      <c r="C524" t="s">
        <v>146</v>
      </c>
      <c r="D524" t="s">
        <v>39</v>
      </c>
      <c r="E524" t="s">
        <v>40</v>
      </c>
      <c r="F524">
        <v>43677</v>
      </c>
      <c r="H524" t="s">
        <v>41</v>
      </c>
      <c r="I524" s="5" t="s">
        <v>727</v>
      </c>
      <c r="J524" t="s">
        <v>179</v>
      </c>
      <c r="M524" t="s">
        <v>112</v>
      </c>
      <c r="O524">
        <v>45717</v>
      </c>
      <c r="P524" t="s">
        <v>113</v>
      </c>
      <c r="Q524" t="s">
        <v>148</v>
      </c>
      <c r="R524" t="s">
        <v>123</v>
      </c>
      <c r="S524" s="1">
        <v>45748</v>
      </c>
      <c r="U524" t="s">
        <v>47</v>
      </c>
      <c r="X524" t="s">
        <v>48</v>
      </c>
      <c r="Y524" s="2">
        <v>0</v>
      </c>
      <c r="Z524">
        <v>-234.75</v>
      </c>
      <c r="AA524">
        <v>1</v>
      </c>
      <c r="AB524" s="3">
        <v>1</v>
      </c>
      <c r="AC524">
        <v>-234.75</v>
      </c>
      <c r="AD524" s="3">
        <v>0</v>
      </c>
      <c r="AE524" s="2">
        <v>0</v>
      </c>
      <c r="AF524" s="2">
        <v>234.75</v>
      </c>
      <c r="AG524" s="2"/>
      <c r="AJ524" s="2"/>
    </row>
    <row r="525" spans="1:38" x14ac:dyDescent="0.25">
      <c r="A525" s="1">
        <v>45763</v>
      </c>
      <c r="B525" s="1">
        <v>45763</v>
      </c>
      <c r="C525" t="s">
        <v>38</v>
      </c>
      <c r="D525" t="s">
        <v>39</v>
      </c>
      <c r="E525" t="s">
        <v>40</v>
      </c>
      <c r="F525">
        <v>43677</v>
      </c>
      <c r="H525" t="s">
        <v>41</v>
      </c>
      <c r="I525" s="5">
        <v>937824582</v>
      </c>
      <c r="J525" t="s">
        <v>200</v>
      </c>
      <c r="M525" t="s">
        <v>122</v>
      </c>
      <c r="O525">
        <v>43969</v>
      </c>
      <c r="P525" t="s">
        <v>74</v>
      </c>
      <c r="Q525" t="s">
        <v>45</v>
      </c>
      <c r="R525" t="s">
        <v>123</v>
      </c>
      <c r="S525" s="1">
        <v>45809</v>
      </c>
      <c r="U525" t="s">
        <v>47</v>
      </c>
      <c r="X525" t="s">
        <v>48</v>
      </c>
      <c r="Y525" s="2">
        <v>0</v>
      </c>
      <c r="Z525" s="2">
        <v>182.58</v>
      </c>
      <c r="AA525">
        <v>1</v>
      </c>
      <c r="AB525" s="3">
        <v>1</v>
      </c>
      <c r="AC525" s="2">
        <v>182.58</v>
      </c>
      <c r="AD525" s="3">
        <v>0</v>
      </c>
      <c r="AE525" s="2">
        <v>0</v>
      </c>
      <c r="AF525" s="2">
        <v>182.58</v>
      </c>
      <c r="AK525">
        <v>5377611</v>
      </c>
      <c r="AL525" t="s">
        <v>86</v>
      </c>
    </row>
    <row r="526" spans="1:38" x14ac:dyDescent="0.25">
      <c r="A526" s="1">
        <v>45763</v>
      </c>
      <c r="B526" s="1">
        <v>45763</v>
      </c>
      <c r="C526" t="s">
        <v>38</v>
      </c>
      <c r="D526" t="s">
        <v>39</v>
      </c>
      <c r="E526" t="s">
        <v>40</v>
      </c>
      <c r="F526">
        <v>43677</v>
      </c>
      <c r="H526" t="s">
        <v>41</v>
      </c>
      <c r="I526" s="5">
        <v>992296804</v>
      </c>
      <c r="J526" t="s">
        <v>168</v>
      </c>
      <c r="M526" t="s">
        <v>89</v>
      </c>
      <c r="O526">
        <v>45709</v>
      </c>
      <c r="P526" t="s">
        <v>137</v>
      </c>
      <c r="Q526" t="s">
        <v>45</v>
      </c>
      <c r="R526" t="s">
        <v>123</v>
      </c>
      <c r="S526" s="1">
        <v>45748</v>
      </c>
      <c r="U526" t="s">
        <v>47</v>
      </c>
      <c r="X526" t="s">
        <v>48</v>
      </c>
      <c r="Y526" s="2">
        <v>0</v>
      </c>
      <c r="Z526" s="2">
        <v>234.75</v>
      </c>
      <c r="AA526">
        <v>1</v>
      </c>
      <c r="AB526" s="3">
        <v>1</v>
      </c>
      <c r="AC526" s="2">
        <v>234.75</v>
      </c>
      <c r="AD526" s="3">
        <v>0</v>
      </c>
      <c r="AE526" s="2">
        <v>0</v>
      </c>
      <c r="AF526" s="2">
        <v>234.75</v>
      </c>
      <c r="AK526">
        <v>5377648</v>
      </c>
      <c r="AL526" t="s">
        <v>91</v>
      </c>
    </row>
    <row r="527" spans="1:38" x14ac:dyDescent="0.25">
      <c r="A527" s="1">
        <v>45756</v>
      </c>
      <c r="B527" s="1">
        <v>45756</v>
      </c>
      <c r="C527" t="s">
        <v>146</v>
      </c>
      <c r="D527" t="s">
        <v>39</v>
      </c>
      <c r="E527" t="s">
        <v>40</v>
      </c>
      <c r="F527">
        <v>43677</v>
      </c>
      <c r="H527" t="s">
        <v>41</v>
      </c>
      <c r="I527" s="5" t="s">
        <v>675</v>
      </c>
      <c r="J527" t="s">
        <v>165</v>
      </c>
      <c r="M527" t="s">
        <v>128</v>
      </c>
      <c r="O527">
        <v>43682</v>
      </c>
      <c r="P527" t="s">
        <v>118</v>
      </c>
      <c r="Q527" t="s">
        <v>148</v>
      </c>
      <c r="R527" t="s">
        <v>123</v>
      </c>
      <c r="S527" s="1">
        <v>45658</v>
      </c>
      <c r="U527" t="s">
        <v>47</v>
      </c>
      <c r="X527" t="s">
        <v>48</v>
      </c>
      <c r="Y527" s="2">
        <v>0</v>
      </c>
      <c r="Z527">
        <v>-313</v>
      </c>
      <c r="AA527">
        <v>1</v>
      </c>
      <c r="AB527" s="3">
        <v>1</v>
      </c>
      <c r="AC527">
        <v>-313</v>
      </c>
      <c r="AD527" s="3">
        <v>0</v>
      </c>
      <c r="AE527" s="2">
        <v>0</v>
      </c>
      <c r="AF527" s="2">
        <v>313</v>
      </c>
      <c r="AG527" s="2"/>
      <c r="AJ527" s="2"/>
    </row>
    <row r="528" spans="1:38" x14ac:dyDescent="0.25">
      <c r="A528" s="1">
        <v>45756</v>
      </c>
      <c r="B528" s="1">
        <v>45756</v>
      </c>
      <c r="C528" t="s">
        <v>146</v>
      </c>
      <c r="D528" t="s">
        <v>39</v>
      </c>
      <c r="E528" t="s">
        <v>40</v>
      </c>
      <c r="F528">
        <v>43677</v>
      </c>
      <c r="H528" t="s">
        <v>41</v>
      </c>
      <c r="I528" s="5" t="s">
        <v>677</v>
      </c>
      <c r="J528" t="s">
        <v>127</v>
      </c>
      <c r="M528" t="s">
        <v>128</v>
      </c>
      <c r="O528">
        <v>43623</v>
      </c>
      <c r="P528" t="s">
        <v>129</v>
      </c>
      <c r="Q528" t="s">
        <v>148</v>
      </c>
      <c r="R528" t="s">
        <v>123</v>
      </c>
      <c r="S528" s="1">
        <v>45658</v>
      </c>
      <c r="U528" t="s">
        <v>47</v>
      </c>
      <c r="X528" t="s">
        <v>48</v>
      </c>
      <c r="Y528" s="2">
        <v>0</v>
      </c>
      <c r="Z528">
        <v>-313</v>
      </c>
      <c r="AA528">
        <v>1</v>
      </c>
      <c r="AB528" s="3">
        <v>1</v>
      </c>
      <c r="AC528">
        <v>-313</v>
      </c>
      <c r="AD528" s="3">
        <v>0</v>
      </c>
      <c r="AE528" s="2">
        <v>0</v>
      </c>
      <c r="AF528" s="2">
        <v>313</v>
      </c>
      <c r="AG528" s="2"/>
      <c r="AJ528" s="2"/>
    </row>
    <row r="529" spans="1:38" x14ac:dyDescent="0.25">
      <c r="A529" s="1">
        <v>45756</v>
      </c>
      <c r="B529" s="1">
        <v>45756</v>
      </c>
      <c r="C529" t="s">
        <v>38</v>
      </c>
      <c r="D529" t="s">
        <v>39</v>
      </c>
      <c r="E529" t="s">
        <v>40</v>
      </c>
      <c r="F529">
        <v>43677</v>
      </c>
      <c r="H529" t="s">
        <v>41</v>
      </c>
      <c r="I529" s="5">
        <v>968607439</v>
      </c>
      <c r="J529" t="s">
        <v>127</v>
      </c>
      <c r="M529" t="s">
        <v>128</v>
      </c>
      <c r="O529">
        <v>43623</v>
      </c>
      <c r="P529" t="s">
        <v>129</v>
      </c>
      <c r="Q529" t="s">
        <v>45</v>
      </c>
      <c r="R529" t="s">
        <v>123</v>
      </c>
      <c r="S529" s="1">
        <v>45748</v>
      </c>
      <c r="U529" t="s">
        <v>47</v>
      </c>
      <c r="X529" t="s">
        <v>48</v>
      </c>
      <c r="Y529" s="2">
        <v>0</v>
      </c>
      <c r="Z529" s="2">
        <v>234.75</v>
      </c>
      <c r="AA529">
        <v>1</v>
      </c>
      <c r="AB529" s="3">
        <v>1</v>
      </c>
      <c r="AC529" s="2">
        <v>234.75</v>
      </c>
      <c r="AD529" s="3">
        <v>0</v>
      </c>
      <c r="AE529" s="2">
        <v>0</v>
      </c>
      <c r="AF529" s="2">
        <v>234.75</v>
      </c>
      <c r="AK529">
        <v>5291868</v>
      </c>
      <c r="AL529" t="s">
        <v>91</v>
      </c>
    </row>
    <row r="530" spans="1:38" x14ac:dyDescent="0.25">
      <c r="A530" s="1">
        <v>45756</v>
      </c>
      <c r="B530" s="1">
        <v>45756</v>
      </c>
      <c r="C530" t="s">
        <v>38</v>
      </c>
      <c r="D530" t="s">
        <v>39</v>
      </c>
      <c r="E530" t="s">
        <v>40</v>
      </c>
      <c r="F530">
        <v>43677</v>
      </c>
      <c r="H530" t="s">
        <v>41</v>
      </c>
      <c r="I530" s="5">
        <v>990606128</v>
      </c>
      <c r="J530" t="s">
        <v>132</v>
      </c>
      <c r="M530" t="s">
        <v>133</v>
      </c>
      <c r="O530">
        <v>43713</v>
      </c>
      <c r="P530" t="s">
        <v>134</v>
      </c>
      <c r="Q530" t="s">
        <v>45</v>
      </c>
      <c r="R530" t="s">
        <v>123</v>
      </c>
      <c r="S530" s="1">
        <v>45748</v>
      </c>
      <c r="U530" t="s">
        <v>47</v>
      </c>
      <c r="X530" t="s">
        <v>48</v>
      </c>
      <c r="Y530" s="2">
        <v>0</v>
      </c>
      <c r="Z530" s="2">
        <v>234.75</v>
      </c>
      <c r="AA530">
        <v>1</v>
      </c>
      <c r="AB530" s="3">
        <v>1</v>
      </c>
      <c r="AC530" s="2">
        <v>234.75</v>
      </c>
      <c r="AD530" s="3">
        <v>0</v>
      </c>
      <c r="AE530" s="2">
        <v>0</v>
      </c>
      <c r="AF530" s="2">
        <v>234.75</v>
      </c>
      <c r="AK530">
        <v>5291843</v>
      </c>
      <c r="AL530" t="s">
        <v>91</v>
      </c>
    </row>
    <row r="531" spans="1:38" x14ac:dyDescent="0.25">
      <c r="A531" s="1">
        <v>45763</v>
      </c>
      <c r="B531" s="1">
        <v>45763</v>
      </c>
      <c r="C531" t="s">
        <v>38</v>
      </c>
      <c r="D531" t="s">
        <v>39</v>
      </c>
      <c r="E531" t="s">
        <v>40</v>
      </c>
      <c r="F531">
        <v>43677</v>
      </c>
      <c r="H531" t="s">
        <v>41</v>
      </c>
      <c r="I531" s="5">
        <v>925174142</v>
      </c>
      <c r="J531" t="s">
        <v>201</v>
      </c>
      <c r="M531" t="s">
        <v>133</v>
      </c>
      <c r="O531">
        <v>43713</v>
      </c>
      <c r="P531" t="s">
        <v>134</v>
      </c>
      <c r="Q531" t="s">
        <v>45</v>
      </c>
      <c r="R531" t="s">
        <v>123</v>
      </c>
      <c r="S531" s="1">
        <v>45748</v>
      </c>
      <c r="U531" t="s">
        <v>47</v>
      </c>
      <c r="X531" t="s">
        <v>48</v>
      </c>
      <c r="Y531" s="2">
        <v>0</v>
      </c>
      <c r="Z531" s="2">
        <v>234.75</v>
      </c>
      <c r="AA531">
        <v>1</v>
      </c>
      <c r="AB531" s="3">
        <v>1</v>
      </c>
      <c r="AC531" s="2">
        <v>234.75</v>
      </c>
      <c r="AD531" s="3">
        <v>0</v>
      </c>
      <c r="AE531" s="2">
        <v>0</v>
      </c>
      <c r="AF531" s="2">
        <v>234.75</v>
      </c>
      <c r="AK531">
        <v>5377629</v>
      </c>
      <c r="AL531" t="s">
        <v>91</v>
      </c>
    </row>
    <row r="532" spans="1:38" x14ac:dyDescent="0.25">
      <c r="A532" s="1">
        <v>45763</v>
      </c>
      <c r="B532" s="1">
        <v>45763</v>
      </c>
      <c r="C532" t="s">
        <v>38</v>
      </c>
      <c r="D532" t="s">
        <v>39</v>
      </c>
      <c r="E532" t="s">
        <v>40</v>
      </c>
      <c r="F532">
        <v>43677</v>
      </c>
      <c r="H532" t="s">
        <v>41</v>
      </c>
      <c r="I532" s="5">
        <v>916875754</v>
      </c>
      <c r="J532" t="s">
        <v>202</v>
      </c>
      <c r="M532" t="s">
        <v>89</v>
      </c>
      <c r="O532">
        <v>45605</v>
      </c>
      <c r="P532" t="s">
        <v>50</v>
      </c>
      <c r="Q532" t="s">
        <v>45</v>
      </c>
      <c r="R532" t="s">
        <v>123</v>
      </c>
      <c r="S532" s="1">
        <v>45778</v>
      </c>
      <c r="U532" t="s">
        <v>47</v>
      </c>
      <c r="X532" t="s">
        <v>48</v>
      </c>
      <c r="Y532" s="2">
        <v>0</v>
      </c>
      <c r="Z532" s="2">
        <v>208.67</v>
      </c>
      <c r="AA532">
        <v>1</v>
      </c>
      <c r="AB532" s="3">
        <v>1</v>
      </c>
      <c r="AC532" s="2">
        <v>208.67</v>
      </c>
      <c r="AD532" s="3">
        <v>0</v>
      </c>
      <c r="AE532" s="2">
        <v>0</v>
      </c>
      <c r="AF532" s="2">
        <v>208.67</v>
      </c>
      <c r="AK532">
        <v>5377617</v>
      </c>
      <c r="AL532" t="s">
        <v>119</v>
      </c>
    </row>
    <row r="533" spans="1:38" x14ac:dyDescent="0.25">
      <c r="A533" s="1">
        <v>45763</v>
      </c>
      <c r="B533" s="1">
        <v>45763</v>
      </c>
      <c r="C533" t="s">
        <v>146</v>
      </c>
      <c r="D533" t="s">
        <v>39</v>
      </c>
      <c r="E533" t="s">
        <v>40</v>
      </c>
      <c r="F533">
        <v>43677</v>
      </c>
      <c r="H533" t="s">
        <v>41</v>
      </c>
      <c r="I533" s="5" t="s">
        <v>732</v>
      </c>
      <c r="J533" t="s">
        <v>175</v>
      </c>
      <c r="M533" t="s">
        <v>122</v>
      </c>
      <c r="O533">
        <v>43644</v>
      </c>
      <c r="P533" t="s">
        <v>56</v>
      </c>
      <c r="Q533" t="s">
        <v>148</v>
      </c>
      <c r="R533" t="s">
        <v>123</v>
      </c>
      <c r="S533" s="1">
        <v>45658</v>
      </c>
      <c r="U533" t="s">
        <v>47</v>
      </c>
      <c r="X533" t="s">
        <v>48</v>
      </c>
      <c r="Y533" s="2">
        <v>0</v>
      </c>
      <c r="Z533">
        <v>-208.66</v>
      </c>
      <c r="AA533">
        <v>1</v>
      </c>
      <c r="AB533" s="3">
        <v>1</v>
      </c>
      <c r="AC533">
        <v>-208.66</v>
      </c>
      <c r="AD533" s="3">
        <v>0</v>
      </c>
      <c r="AE533" s="2">
        <v>0</v>
      </c>
      <c r="AF533" s="2">
        <v>313</v>
      </c>
      <c r="AG533" s="2"/>
      <c r="AJ533" s="2"/>
    </row>
    <row r="534" spans="1:38" x14ac:dyDescent="0.25">
      <c r="A534" s="1">
        <v>45763</v>
      </c>
      <c r="B534" s="1">
        <v>45763</v>
      </c>
      <c r="C534" t="s">
        <v>38</v>
      </c>
      <c r="D534" t="s">
        <v>39</v>
      </c>
      <c r="E534" t="s">
        <v>40</v>
      </c>
      <c r="F534">
        <v>43677</v>
      </c>
      <c r="H534" t="s">
        <v>41</v>
      </c>
      <c r="I534" s="5">
        <v>944761723</v>
      </c>
      <c r="J534" t="s">
        <v>175</v>
      </c>
      <c r="M534" t="s">
        <v>122</v>
      </c>
      <c r="O534">
        <v>43644</v>
      </c>
      <c r="P534" t="s">
        <v>56</v>
      </c>
      <c r="Q534" t="s">
        <v>45</v>
      </c>
      <c r="R534" t="s">
        <v>123</v>
      </c>
      <c r="S534" s="1">
        <v>45778</v>
      </c>
      <c r="U534" t="s">
        <v>47</v>
      </c>
      <c r="X534" t="s">
        <v>48</v>
      </c>
      <c r="Y534" s="2">
        <v>0</v>
      </c>
      <c r="Z534" s="2">
        <v>208.67</v>
      </c>
      <c r="AA534">
        <v>1</v>
      </c>
      <c r="AB534" s="3">
        <v>1</v>
      </c>
      <c r="AC534" s="2">
        <v>208.67</v>
      </c>
      <c r="AD534" s="3">
        <v>0</v>
      </c>
      <c r="AE534" s="2">
        <v>0</v>
      </c>
      <c r="AF534" s="2">
        <v>208.67</v>
      </c>
      <c r="AK534">
        <v>5377645</v>
      </c>
      <c r="AL534" t="s">
        <v>119</v>
      </c>
    </row>
    <row r="535" spans="1:38" x14ac:dyDescent="0.25">
      <c r="A535" s="1">
        <v>45763</v>
      </c>
      <c r="B535" s="1">
        <v>45763</v>
      </c>
      <c r="C535" t="s">
        <v>146</v>
      </c>
      <c r="D535" t="s">
        <v>39</v>
      </c>
      <c r="E535" t="s">
        <v>40</v>
      </c>
      <c r="F535">
        <v>43677</v>
      </c>
      <c r="H535" t="s">
        <v>41</v>
      </c>
      <c r="I535" s="5" t="s">
        <v>743</v>
      </c>
      <c r="J535" t="s">
        <v>136</v>
      </c>
      <c r="M535" t="s">
        <v>89</v>
      </c>
      <c r="O535">
        <v>45709</v>
      </c>
      <c r="P535" t="s">
        <v>137</v>
      </c>
      <c r="Q535" t="s">
        <v>148</v>
      </c>
      <c r="R535" t="s">
        <v>123</v>
      </c>
      <c r="S535" s="1">
        <v>45748</v>
      </c>
      <c r="U535" t="s">
        <v>47</v>
      </c>
      <c r="X535" t="s">
        <v>48</v>
      </c>
      <c r="Y535" s="2">
        <v>0</v>
      </c>
      <c r="Z535">
        <v>-234.75</v>
      </c>
      <c r="AA535">
        <v>1</v>
      </c>
      <c r="AB535" s="3">
        <v>1</v>
      </c>
      <c r="AC535">
        <v>-234.75</v>
      </c>
      <c r="AD535" s="3">
        <v>0</v>
      </c>
      <c r="AE535" s="2">
        <v>0</v>
      </c>
      <c r="AF535" s="2">
        <v>234.75</v>
      </c>
      <c r="AG535" s="2"/>
      <c r="AJ535" s="2"/>
    </row>
    <row r="536" spans="1:38" x14ac:dyDescent="0.25">
      <c r="A536" s="1">
        <v>45756</v>
      </c>
      <c r="B536" s="1">
        <v>45756</v>
      </c>
      <c r="C536" t="s">
        <v>38</v>
      </c>
      <c r="D536" t="s">
        <v>39</v>
      </c>
      <c r="E536" t="s">
        <v>40</v>
      </c>
      <c r="F536">
        <v>43677</v>
      </c>
      <c r="H536" t="s">
        <v>41</v>
      </c>
      <c r="I536" s="5">
        <v>992802492</v>
      </c>
      <c r="J536" t="s">
        <v>136</v>
      </c>
      <c r="M536" t="s">
        <v>89</v>
      </c>
      <c r="O536">
        <v>45709</v>
      </c>
      <c r="P536" t="s">
        <v>137</v>
      </c>
      <c r="Q536" t="s">
        <v>45</v>
      </c>
      <c r="R536" t="s">
        <v>123</v>
      </c>
      <c r="S536" s="1">
        <v>45748</v>
      </c>
      <c r="U536" t="s">
        <v>47</v>
      </c>
      <c r="X536" t="s">
        <v>48</v>
      </c>
      <c r="Y536" s="2">
        <v>0</v>
      </c>
      <c r="Z536" s="2">
        <v>234.75</v>
      </c>
      <c r="AA536">
        <v>1</v>
      </c>
      <c r="AB536" s="3">
        <v>1</v>
      </c>
      <c r="AC536" s="2">
        <v>234.75</v>
      </c>
      <c r="AD536" s="3">
        <v>0</v>
      </c>
      <c r="AE536" s="2">
        <v>0</v>
      </c>
      <c r="AF536" s="2">
        <v>234.75</v>
      </c>
      <c r="AK536">
        <v>5291847</v>
      </c>
      <c r="AL536" t="s">
        <v>91</v>
      </c>
    </row>
    <row r="537" spans="1:38" x14ac:dyDescent="0.25">
      <c r="A537" s="1">
        <v>45763</v>
      </c>
      <c r="B537" s="1">
        <v>45763</v>
      </c>
      <c r="C537" t="s">
        <v>146</v>
      </c>
      <c r="D537" t="s">
        <v>39</v>
      </c>
      <c r="E537" t="s">
        <v>40</v>
      </c>
      <c r="F537">
        <v>43677</v>
      </c>
      <c r="H537" t="s">
        <v>41</v>
      </c>
      <c r="I537" s="5" t="s">
        <v>728</v>
      </c>
      <c r="J537" t="s">
        <v>121</v>
      </c>
      <c r="M537" t="s">
        <v>122</v>
      </c>
      <c r="O537">
        <v>45605</v>
      </c>
      <c r="P537" t="s">
        <v>50</v>
      </c>
      <c r="Q537" t="s">
        <v>148</v>
      </c>
      <c r="R537" t="s">
        <v>123</v>
      </c>
      <c r="S537" s="1">
        <v>45809</v>
      </c>
      <c r="U537" t="s">
        <v>47</v>
      </c>
      <c r="X537" t="s">
        <v>48</v>
      </c>
      <c r="Y537" s="2">
        <v>0</v>
      </c>
      <c r="Z537">
        <v>-182.58</v>
      </c>
      <c r="AA537">
        <v>1</v>
      </c>
      <c r="AB537" s="3">
        <v>1</v>
      </c>
      <c r="AC537">
        <v>-182.58</v>
      </c>
      <c r="AD537" s="3">
        <v>0</v>
      </c>
      <c r="AE537" s="2">
        <v>0</v>
      </c>
      <c r="AF537" s="2">
        <v>182.58</v>
      </c>
      <c r="AG537" s="2"/>
      <c r="AJ537" s="2"/>
    </row>
    <row r="538" spans="1:38" x14ac:dyDescent="0.25">
      <c r="A538" s="1">
        <v>45756</v>
      </c>
      <c r="B538" s="1">
        <v>45756</v>
      </c>
      <c r="C538" t="s">
        <v>38</v>
      </c>
      <c r="D538" t="s">
        <v>39</v>
      </c>
      <c r="E538" t="s">
        <v>40</v>
      </c>
      <c r="F538">
        <v>43677</v>
      </c>
      <c r="H538" t="s">
        <v>41</v>
      </c>
      <c r="I538" s="5">
        <v>922650134</v>
      </c>
      <c r="J538" t="s">
        <v>121</v>
      </c>
      <c r="M538" t="s">
        <v>122</v>
      </c>
      <c r="O538">
        <v>45605</v>
      </c>
      <c r="P538" t="s">
        <v>50</v>
      </c>
      <c r="Q538" t="s">
        <v>45</v>
      </c>
      <c r="R538" t="s">
        <v>123</v>
      </c>
      <c r="S538" s="1">
        <v>45809</v>
      </c>
      <c r="U538" t="s">
        <v>47</v>
      </c>
      <c r="X538" t="s">
        <v>48</v>
      </c>
      <c r="Y538" s="2">
        <v>0</v>
      </c>
      <c r="Z538" s="2">
        <v>182.58</v>
      </c>
      <c r="AA538">
        <v>1</v>
      </c>
      <c r="AB538" s="3">
        <v>1</v>
      </c>
      <c r="AC538" s="2">
        <v>182.58</v>
      </c>
      <c r="AD538" s="3">
        <v>0</v>
      </c>
      <c r="AE538" s="2">
        <v>0</v>
      </c>
      <c r="AF538" s="2">
        <v>182.58</v>
      </c>
      <c r="AK538">
        <v>5291849</v>
      </c>
      <c r="AL538" t="s">
        <v>86</v>
      </c>
    </row>
    <row r="539" spans="1:38" x14ac:dyDescent="0.25">
      <c r="A539" s="1">
        <v>45763</v>
      </c>
      <c r="B539" s="1">
        <v>45763</v>
      </c>
      <c r="C539" t="s">
        <v>146</v>
      </c>
      <c r="D539" t="s">
        <v>39</v>
      </c>
      <c r="E539" t="s">
        <v>40</v>
      </c>
      <c r="F539">
        <v>43677</v>
      </c>
      <c r="H539" t="s">
        <v>41</v>
      </c>
      <c r="I539" s="5" t="s">
        <v>735</v>
      </c>
      <c r="J539" t="s">
        <v>173</v>
      </c>
      <c r="M539" t="s">
        <v>84</v>
      </c>
      <c r="O539">
        <v>43969</v>
      </c>
      <c r="P539" t="s">
        <v>74</v>
      </c>
      <c r="Q539" t="s">
        <v>148</v>
      </c>
      <c r="R539" t="s">
        <v>123</v>
      </c>
      <c r="S539" s="1">
        <v>45778</v>
      </c>
      <c r="U539" t="s">
        <v>47</v>
      </c>
      <c r="X539" t="s">
        <v>48</v>
      </c>
      <c r="Y539" s="2">
        <v>0</v>
      </c>
      <c r="Z539">
        <v>-208.67</v>
      </c>
      <c r="AA539">
        <v>1</v>
      </c>
      <c r="AB539" s="3">
        <v>1</v>
      </c>
      <c r="AC539">
        <v>-208.67</v>
      </c>
      <c r="AD539" s="3">
        <v>0</v>
      </c>
      <c r="AE539" s="2">
        <v>0</v>
      </c>
      <c r="AF539" s="2">
        <v>208.67</v>
      </c>
      <c r="AG539" s="2"/>
      <c r="AJ539" s="2"/>
    </row>
    <row r="540" spans="1:38" x14ac:dyDescent="0.25">
      <c r="A540" s="1">
        <v>45756</v>
      </c>
      <c r="B540" s="1">
        <v>45756</v>
      </c>
      <c r="C540" t="s">
        <v>146</v>
      </c>
      <c r="D540" t="s">
        <v>39</v>
      </c>
      <c r="E540" t="s">
        <v>40</v>
      </c>
      <c r="F540">
        <v>43677</v>
      </c>
      <c r="H540" t="s">
        <v>41</v>
      </c>
      <c r="I540" s="5" t="s">
        <v>678</v>
      </c>
      <c r="J540" t="s">
        <v>131</v>
      </c>
      <c r="M540" t="s">
        <v>128</v>
      </c>
      <c r="O540">
        <v>43623</v>
      </c>
      <c r="P540" t="s">
        <v>129</v>
      </c>
      <c r="Q540" t="s">
        <v>148</v>
      </c>
      <c r="R540" t="s">
        <v>123</v>
      </c>
      <c r="S540" s="1">
        <v>45658</v>
      </c>
      <c r="U540" t="s">
        <v>47</v>
      </c>
      <c r="X540" t="s">
        <v>48</v>
      </c>
      <c r="Y540" s="2">
        <v>0</v>
      </c>
      <c r="Z540">
        <v>-313</v>
      </c>
      <c r="AA540">
        <v>1</v>
      </c>
      <c r="AB540" s="3">
        <v>1</v>
      </c>
      <c r="AC540">
        <v>-313</v>
      </c>
      <c r="AD540" s="3">
        <v>0</v>
      </c>
      <c r="AE540" s="2">
        <v>0</v>
      </c>
      <c r="AF540" s="2">
        <v>313</v>
      </c>
      <c r="AG540" s="2"/>
      <c r="AJ540" s="2"/>
    </row>
    <row r="541" spans="1:38" x14ac:dyDescent="0.25">
      <c r="A541" s="1">
        <v>45756</v>
      </c>
      <c r="B541" s="1">
        <v>45756</v>
      </c>
      <c r="C541" t="s">
        <v>38</v>
      </c>
      <c r="D541" t="s">
        <v>39</v>
      </c>
      <c r="E541" t="s">
        <v>40</v>
      </c>
      <c r="F541">
        <v>43677</v>
      </c>
      <c r="H541" t="s">
        <v>41</v>
      </c>
      <c r="I541" s="5">
        <v>986050443</v>
      </c>
      <c r="J541" t="s">
        <v>131</v>
      </c>
      <c r="M541" t="s">
        <v>128</v>
      </c>
      <c r="O541">
        <v>43623</v>
      </c>
      <c r="P541" t="s">
        <v>129</v>
      </c>
      <c r="Q541" t="s">
        <v>45</v>
      </c>
      <c r="R541" t="s">
        <v>123</v>
      </c>
      <c r="S541" s="1">
        <v>45748</v>
      </c>
      <c r="U541" t="s">
        <v>47</v>
      </c>
      <c r="X541" t="s">
        <v>48</v>
      </c>
      <c r="Y541" s="2">
        <v>0</v>
      </c>
      <c r="Z541" s="2">
        <v>234.75</v>
      </c>
      <c r="AA541">
        <v>1</v>
      </c>
      <c r="AB541" s="3">
        <v>1</v>
      </c>
      <c r="AC541" s="2">
        <v>234.75</v>
      </c>
      <c r="AD541" s="3">
        <v>0</v>
      </c>
      <c r="AE541" s="2">
        <v>0</v>
      </c>
      <c r="AF541" s="2">
        <v>234.75</v>
      </c>
      <c r="AK541">
        <v>5291870</v>
      </c>
      <c r="AL541" t="s">
        <v>91</v>
      </c>
    </row>
    <row r="542" spans="1:38" x14ac:dyDescent="0.25">
      <c r="A542" s="1">
        <v>45763</v>
      </c>
      <c r="B542" s="1">
        <v>45763</v>
      </c>
      <c r="C542" t="s">
        <v>38</v>
      </c>
      <c r="D542" t="s">
        <v>39</v>
      </c>
      <c r="E542" t="s">
        <v>40</v>
      </c>
      <c r="F542">
        <v>43677</v>
      </c>
      <c r="H542" t="s">
        <v>41</v>
      </c>
      <c r="I542" s="5">
        <v>953075319</v>
      </c>
      <c r="J542" t="s">
        <v>195</v>
      </c>
      <c r="M542" t="s">
        <v>194</v>
      </c>
      <c r="O542">
        <v>41686</v>
      </c>
      <c r="P542" t="s">
        <v>139</v>
      </c>
      <c r="Q542" t="s">
        <v>45</v>
      </c>
      <c r="R542" t="s">
        <v>123</v>
      </c>
      <c r="S542" s="1">
        <v>45839</v>
      </c>
      <c r="U542" t="s">
        <v>47</v>
      </c>
      <c r="X542" t="s">
        <v>48</v>
      </c>
      <c r="Y542" s="2">
        <v>0</v>
      </c>
      <c r="Z542" s="2">
        <v>156.5</v>
      </c>
      <c r="AA542">
        <v>1</v>
      </c>
      <c r="AB542" s="3">
        <v>1</v>
      </c>
      <c r="AC542" s="2">
        <v>156.5</v>
      </c>
      <c r="AD542" s="3">
        <v>0</v>
      </c>
      <c r="AE542" s="2">
        <v>0</v>
      </c>
      <c r="AF542" s="2">
        <v>156.5</v>
      </c>
      <c r="AK542">
        <v>5377609</v>
      </c>
      <c r="AL542" t="s">
        <v>196</v>
      </c>
    </row>
    <row r="543" spans="1:38" x14ac:dyDescent="0.25">
      <c r="A543" s="1">
        <v>45763</v>
      </c>
      <c r="B543" s="1">
        <v>45763</v>
      </c>
      <c r="C543" t="s">
        <v>146</v>
      </c>
      <c r="D543" t="s">
        <v>39</v>
      </c>
      <c r="E543" t="s">
        <v>40</v>
      </c>
      <c r="F543">
        <v>43677</v>
      </c>
      <c r="H543" t="s">
        <v>41</v>
      </c>
      <c r="I543" s="5" t="s">
        <v>739</v>
      </c>
      <c r="J543" t="s">
        <v>170</v>
      </c>
      <c r="M543" t="s">
        <v>89</v>
      </c>
      <c r="O543">
        <v>45709</v>
      </c>
      <c r="P543" t="s">
        <v>137</v>
      </c>
      <c r="Q543" t="s">
        <v>148</v>
      </c>
      <c r="R543" t="s">
        <v>123</v>
      </c>
      <c r="S543" s="1">
        <v>45748</v>
      </c>
      <c r="U543" t="s">
        <v>47</v>
      </c>
      <c r="X543" t="s">
        <v>48</v>
      </c>
      <c r="Y543" s="2">
        <v>0</v>
      </c>
      <c r="Z543">
        <v>-234.75</v>
      </c>
      <c r="AA543">
        <v>1</v>
      </c>
      <c r="AB543" s="3">
        <v>1</v>
      </c>
      <c r="AC543">
        <v>-234.75</v>
      </c>
      <c r="AD543" s="3">
        <v>0</v>
      </c>
      <c r="AE543" s="2">
        <v>0</v>
      </c>
      <c r="AF543" s="2">
        <v>234.75</v>
      </c>
      <c r="AG543" s="2"/>
      <c r="AJ543" s="2"/>
    </row>
    <row r="544" spans="1:38" x14ac:dyDescent="0.25">
      <c r="A544" s="1">
        <v>45763</v>
      </c>
      <c r="B544" s="1">
        <v>45763</v>
      </c>
      <c r="C544" t="s">
        <v>38</v>
      </c>
      <c r="D544" t="s">
        <v>39</v>
      </c>
      <c r="E544" t="s">
        <v>40</v>
      </c>
      <c r="F544">
        <v>43677</v>
      </c>
      <c r="H544" t="s">
        <v>41</v>
      </c>
      <c r="I544" s="5">
        <v>905577824</v>
      </c>
      <c r="J544" t="s">
        <v>204</v>
      </c>
      <c r="M544" t="s">
        <v>203</v>
      </c>
      <c r="O544">
        <v>45601</v>
      </c>
      <c r="P544" t="s">
        <v>58</v>
      </c>
      <c r="Q544" t="s">
        <v>45</v>
      </c>
      <c r="R544" t="s">
        <v>205</v>
      </c>
      <c r="S544" s="1">
        <v>45778</v>
      </c>
      <c r="U544" t="s">
        <v>47</v>
      </c>
      <c r="X544" t="s">
        <v>48</v>
      </c>
      <c r="Y544" s="2">
        <v>0</v>
      </c>
      <c r="Z544" s="2">
        <v>260</v>
      </c>
      <c r="AA544">
        <v>1</v>
      </c>
      <c r="AB544" s="3">
        <v>1</v>
      </c>
      <c r="AC544" s="2">
        <v>260</v>
      </c>
      <c r="AD544" s="3">
        <v>0</v>
      </c>
      <c r="AE544" s="2">
        <v>0</v>
      </c>
      <c r="AF544" s="2">
        <v>260</v>
      </c>
      <c r="AK544">
        <v>5377631</v>
      </c>
      <c r="AL544" t="s">
        <v>119</v>
      </c>
    </row>
    <row r="545" spans="1:38" x14ac:dyDescent="0.25">
      <c r="A545" s="1">
        <v>45763</v>
      </c>
      <c r="B545" s="1">
        <v>45762</v>
      </c>
      <c r="C545" t="s">
        <v>252</v>
      </c>
      <c r="D545" t="s">
        <v>39</v>
      </c>
      <c r="E545" t="s">
        <v>40</v>
      </c>
      <c r="F545">
        <v>43677</v>
      </c>
      <c r="H545" t="s">
        <v>41</v>
      </c>
      <c r="I545" s="5">
        <v>909023469</v>
      </c>
      <c r="J545" t="s">
        <v>274</v>
      </c>
      <c r="M545" t="s">
        <v>93</v>
      </c>
      <c r="O545">
        <v>43689</v>
      </c>
      <c r="P545" t="s">
        <v>53</v>
      </c>
      <c r="Q545" t="s">
        <v>250</v>
      </c>
      <c r="R545" t="s">
        <v>275</v>
      </c>
      <c r="S545" s="1">
        <v>45627</v>
      </c>
      <c r="T545" s="1">
        <v>45792</v>
      </c>
      <c r="U545" t="s">
        <v>47</v>
      </c>
      <c r="V545">
        <v>1</v>
      </c>
      <c r="W545" s="1">
        <v>45757</v>
      </c>
      <c r="X545" t="s">
        <v>48</v>
      </c>
      <c r="Y545" s="2">
        <v>1</v>
      </c>
      <c r="Z545" s="2">
        <v>1</v>
      </c>
      <c r="AB545" s="3">
        <v>1</v>
      </c>
      <c r="AC545" s="2">
        <v>28.75</v>
      </c>
      <c r="AG545" s="2">
        <v>0</v>
      </c>
      <c r="AH545" s="2">
        <v>28.75</v>
      </c>
      <c r="AI545" s="2">
        <v>0</v>
      </c>
      <c r="AK545">
        <v>5346393</v>
      </c>
      <c r="AL545" t="s">
        <v>248</v>
      </c>
    </row>
    <row r="546" spans="1:38" x14ac:dyDescent="0.25">
      <c r="A546" s="1">
        <v>45763</v>
      </c>
      <c r="B546" s="1">
        <v>45763</v>
      </c>
      <c r="C546" t="s">
        <v>38</v>
      </c>
      <c r="D546" t="s">
        <v>39</v>
      </c>
      <c r="E546" t="s">
        <v>40</v>
      </c>
      <c r="F546">
        <v>43677</v>
      </c>
      <c r="H546" t="s">
        <v>41</v>
      </c>
      <c r="I546" s="5" t="s">
        <v>702</v>
      </c>
      <c r="J546" t="s">
        <v>227</v>
      </c>
      <c r="M546" t="s">
        <v>84</v>
      </c>
      <c r="O546">
        <v>43739</v>
      </c>
      <c r="P546" t="s">
        <v>226</v>
      </c>
      <c r="Q546" t="s">
        <v>45</v>
      </c>
      <c r="R546" t="s">
        <v>225</v>
      </c>
      <c r="S546" s="1">
        <v>45809</v>
      </c>
      <c r="U546" t="s">
        <v>47</v>
      </c>
      <c r="X546" t="s">
        <v>48</v>
      </c>
      <c r="Y546" s="2">
        <v>0</v>
      </c>
      <c r="Z546" s="2">
        <v>0</v>
      </c>
      <c r="AA546">
        <v>1</v>
      </c>
      <c r="AB546" s="3">
        <v>0</v>
      </c>
      <c r="AC546" s="2">
        <v>0</v>
      </c>
      <c r="AD546" s="3">
        <v>0</v>
      </c>
      <c r="AE546" s="2">
        <v>0</v>
      </c>
      <c r="AF546" s="2">
        <v>0</v>
      </c>
      <c r="AK546">
        <v>5377635</v>
      </c>
    </row>
    <row r="547" spans="1:38" x14ac:dyDescent="0.25">
      <c r="A547" s="1">
        <v>45763</v>
      </c>
      <c r="B547" s="1">
        <v>45763</v>
      </c>
      <c r="C547" t="s">
        <v>38</v>
      </c>
      <c r="D547" t="s">
        <v>39</v>
      </c>
      <c r="E547" t="s">
        <v>40</v>
      </c>
      <c r="F547">
        <v>43677</v>
      </c>
      <c r="H547" t="s">
        <v>41</v>
      </c>
      <c r="I547" s="5" t="s">
        <v>645</v>
      </c>
      <c r="J547" t="s">
        <v>83</v>
      </c>
      <c r="M547" t="s">
        <v>84</v>
      </c>
      <c r="O547">
        <v>45605</v>
      </c>
      <c r="P547" t="s">
        <v>50</v>
      </c>
      <c r="Q547" t="s">
        <v>45</v>
      </c>
      <c r="R547" t="s">
        <v>225</v>
      </c>
      <c r="S547" s="1">
        <v>45809</v>
      </c>
      <c r="U547" t="s">
        <v>47</v>
      </c>
      <c r="X547" t="s">
        <v>48</v>
      </c>
      <c r="Y547" s="2">
        <v>0</v>
      </c>
      <c r="Z547" s="2">
        <v>0</v>
      </c>
      <c r="AA547">
        <v>1</v>
      </c>
      <c r="AB547" s="3">
        <v>0</v>
      </c>
      <c r="AC547" s="2">
        <v>0</v>
      </c>
      <c r="AD547" s="3">
        <v>0</v>
      </c>
      <c r="AE547" s="2">
        <v>0</v>
      </c>
      <c r="AF547" s="2">
        <v>0</v>
      </c>
      <c r="AK547">
        <v>5377514</v>
      </c>
    </row>
    <row r="548" spans="1:38" x14ac:dyDescent="0.25">
      <c r="A548" s="1">
        <v>45763</v>
      </c>
      <c r="B548" s="1">
        <v>45763</v>
      </c>
      <c r="C548" t="s">
        <v>38</v>
      </c>
      <c r="D548" t="s">
        <v>39</v>
      </c>
      <c r="E548" t="s">
        <v>40</v>
      </c>
      <c r="F548">
        <v>43677</v>
      </c>
      <c r="H548" t="s">
        <v>41</v>
      </c>
      <c r="I548" s="5" t="s">
        <v>646</v>
      </c>
      <c r="J548" t="s">
        <v>88</v>
      </c>
      <c r="M548" t="s">
        <v>89</v>
      </c>
      <c r="O548">
        <v>43705</v>
      </c>
      <c r="P548" t="s">
        <v>90</v>
      </c>
      <c r="Q548" t="s">
        <v>45</v>
      </c>
      <c r="R548" t="s">
        <v>225</v>
      </c>
      <c r="S548" s="1">
        <v>45748</v>
      </c>
      <c r="U548" t="s">
        <v>47</v>
      </c>
      <c r="X548" t="s">
        <v>48</v>
      </c>
      <c r="Y548" s="2">
        <v>0</v>
      </c>
      <c r="Z548" s="2">
        <v>0</v>
      </c>
      <c r="AA548">
        <v>1</v>
      </c>
      <c r="AB548" s="3">
        <v>0</v>
      </c>
      <c r="AC548" s="2">
        <v>0</v>
      </c>
      <c r="AD548" s="3">
        <v>0</v>
      </c>
      <c r="AE548" s="2">
        <v>0</v>
      </c>
      <c r="AF548" s="2">
        <v>0</v>
      </c>
      <c r="AK548">
        <v>5377465</v>
      </c>
    </row>
    <row r="549" spans="1:38" x14ac:dyDescent="0.25">
      <c r="A549" s="1">
        <v>45763</v>
      </c>
      <c r="B549" s="1">
        <v>45763</v>
      </c>
      <c r="C549" t="s">
        <v>38</v>
      </c>
      <c r="D549" t="s">
        <v>39</v>
      </c>
      <c r="E549" t="s">
        <v>40</v>
      </c>
      <c r="F549">
        <v>43677</v>
      </c>
      <c r="H549" t="s">
        <v>41</v>
      </c>
      <c r="I549" s="5">
        <v>23058170</v>
      </c>
      <c r="J549" t="s">
        <v>181</v>
      </c>
      <c r="M549" t="s">
        <v>93</v>
      </c>
      <c r="O549">
        <v>43689</v>
      </c>
      <c r="P549" t="s">
        <v>53</v>
      </c>
      <c r="Q549" t="s">
        <v>45</v>
      </c>
      <c r="R549" t="s">
        <v>225</v>
      </c>
      <c r="S549" s="1">
        <v>45748</v>
      </c>
      <c r="U549" t="s">
        <v>47</v>
      </c>
      <c r="X549" t="s">
        <v>48</v>
      </c>
      <c r="Y549" s="2">
        <v>0</v>
      </c>
      <c r="Z549" s="2">
        <v>0</v>
      </c>
      <c r="AA549">
        <v>1</v>
      </c>
      <c r="AB549" s="3">
        <v>0</v>
      </c>
      <c r="AC549" s="2">
        <v>0</v>
      </c>
      <c r="AD549" s="3">
        <v>0</v>
      </c>
      <c r="AE549" s="2">
        <v>0</v>
      </c>
      <c r="AF549" s="2">
        <v>0</v>
      </c>
      <c r="AK549">
        <v>5377460</v>
      </c>
    </row>
    <row r="550" spans="1:38" x14ac:dyDescent="0.25">
      <c r="A550" s="1">
        <v>45763</v>
      </c>
      <c r="B550" s="1">
        <v>45763</v>
      </c>
      <c r="C550" t="s">
        <v>38</v>
      </c>
      <c r="D550" t="s">
        <v>39</v>
      </c>
      <c r="E550" t="s">
        <v>40</v>
      </c>
      <c r="F550">
        <v>43677</v>
      </c>
      <c r="H550" t="s">
        <v>41</v>
      </c>
      <c r="I550" s="5">
        <v>23056622</v>
      </c>
      <c r="J550" t="s">
        <v>182</v>
      </c>
      <c r="M550" t="s">
        <v>133</v>
      </c>
      <c r="O550">
        <v>45621</v>
      </c>
      <c r="P550" t="s">
        <v>177</v>
      </c>
      <c r="Q550" t="s">
        <v>45</v>
      </c>
      <c r="R550" t="s">
        <v>225</v>
      </c>
      <c r="S550" s="1">
        <v>45748</v>
      </c>
      <c r="U550" t="s">
        <v>47</v>
      </c>
      <c r="X550" t="s">
        <v>48</v>
      </c>
      <c r="Y550" s="2">
        <v>0</v>
      </c>
      <c r="Z550" s="2">
        <v>0</v>
      </c>
      <c r="AA550">
        <v>1</v>
      </c>
      <c r="AB550" s="3">
        <v>0</v>
      </c>
      <c r="AC550" s="2">
        <v>0</v>
      </c>
      <c r="AD550" s="3">
        <v>0</v>
      </c>
      <c r="AE550" s="2">
        <v>0</v>
      </c>
      <c r="AF550" s="2">
        <v>0</v>
      </c>
      <c r="AK550">
        <v>5377457</v>
      </c>
    </row>
    <row r="551" spans="1:38" x14ac:dyDescent="0.25">
      <c r="A551" s="1">
        <v>45756</v>
      </c>
      <c r="B551" s="1">
        <v>45756</v>
      </c>
      <c r="C551" t="s">
        <v>38</v>
      </c>
      <c r="D551" t="s">
        <v>39</v>
      </c>
      <c r="E551" t="s">
        <v>40</v>
      </c>
      <c r="F551">
        <v>43677</v>
      </c>
      <c r="H551" t="s">
        <v>41</v>
      </c>
      <c r="I551" s="5" t="s">
        <v>645</v>
      </c>
      <c r="J551" t="s">
        <v>83</v>
      </c>
      <c r="M551" t="s">
        <v>84</v>
      </c>
      <c r="O551">
        <v>45605</v>
      </c>
      <c r="P551" t="s">
        <v>50</v>
      </c>
      <c r="Q551" t="s">
        <v>45</v>
      </c>
      <c r="R551" t="s">
        <v>87</v>
      </c>
      <c r="S551" s="1">
        <v>45809</v>
      </c>
      <c r="U551" t="s">
        <v>47</v>
      </c>
      <c r="X551" t="s">
        <v>48</v>
      </c>
      <c r="Y551" s="2">
        <v>0</v>
      </c>
      <c r="Z551" s="2">
        <v>0</v>
      </c>
      <c r="AA551">
        <v>1</v>
      </c>
      <c r="AB551" s="3">
        <v>0</v>
      </c>
      <c r="AC551" s="2">
        <v>0</v>
      </c>
      <c r="AD551" s="3">
        <v>0</v>
      </c>
      <c r="AE551" s="2">
        <v>0</v>
      </c>
      <c r="AF551" s="2">
        <v>0</v>
      </c>
      <c r="AK551">
        <v>5291693</v>
      </c>
      <c r="AL551" t="s">
        <v>86</v>
      </c>
    </row>
    <row r="552" spans="1:38" x14ac:dyDescent="0.25">
      <c r="A552" s="1">
        <v>45756</v>
      </c>
      <c r="B552" s="1">
        <v>45756</v>
      </c>
      <c r="C552" t="s">
        <v>38</v>
      </c>
      <c r="D552" t="s">
        <v>39</v>
      </c>
      <c r="E552" t="s">
        <v>40</v>
      </c>
      <c r="F552">
        <v>43677</v>
      </c>
      <c r="H552" t="s">
        <v>41</v>
      </c>
      <c r="I552" s="5" t="s">
        <v>647</v>
      </c>
      <c r="J552" t="s">
        <v>88</v>
      </c>
      <c r="M552" t="s">
        <v>89</v>
      </c>
      <c r="O552">
        <v>43705</v>
      </c>
      <c r="P552" t="s">
        <v>90</v>
      </c>
      <c r="Q552" t="s">
        <v>45</v>
      </c>
      <c r="R552" t="s">
        <v>87</v>
      </c>
      <c r="S552" s="1">
        <v>45748</v>
      </c>
      <c r="U552" t="s">
        <v>47</v>
      </c>
      <c r="X552" t="s">
        <v>48</v>
      </c>
      <c r="Y552" s="2">
        <v>0</v>
      </c>
      <c r="Z552" s="2">
        <v>0</v>
      </c>
      <c r="AA552">
        <v>1</v>
      </c>
      <c r="AB552" s="3">
        <v>0</v>
      </c>
      <c r="AC552" s="2">
        <v>0</v>
      </c>
      <c r="AD552" s="3">
        <v>0</v>
      </c>
      <c r="AE552" s="2">
        <v>0</v>
      </c>
      <c r="AF552" s="2">
        <v>0</v>
      </c>
      <c r="AK552">
        <v>5291721</v>
      </c>
      <c r="AL552" t="s">
        <v>91</v>
      </c>
    </row>
    <row r="553" spans="1:38" x14ac:dyDescent="0.25">
      <c r="A553" s="1">
        <v>45763</v>
      </c>
      <c r="B553" s="1">
        <v>45763</v>
      </c>
      <c r="C553" t="s">
        <v>38</v>
      </c>
      <c r="D553" t="s">
        <v>39</v>
      </c>
      <c r="E553" t="s">
        <v>40</v>
      </c>
      <c r="F553">
        <v>43677</v>
      </c>
      <c r="H553" t="s">
        <v>41</v>
      </c>
      <c r="I553" s="5">
        <v>23066923</v>
      </c>
      <c r="J553" t="s">
        <v>227</v>
      </c>
      <c r="M553" t="s">
        <v>84</v>
      </c>
      <c r="O553">
        <v>43739</v>
      </c>
      <c r="P553" t="s">
        <v>226</v>
      </c>
      <c r="Q553" t="s">
        <v>45</v>
      </c>
      <c r="R553" t="s">
        <v>228</v>
      </c>
      <c r="S553" s="1">
        <v>45809</v>
      </c>
      <c r="U553" t="s">
        <v>47</v>
      </c>
      <c r="X553" t="s">
        <v>48</v>
      </c>
      <c r="Y553" s="2">
        <v>0</v>
      </c>
      <c r="Z553" s="2">
        <v>109</v>
      </c>
      <c r="AA553">
        <v>1</v>
      </c>
      <c r="AB553" s="3">
        <v>1</v>
      </c>
      <c r="AC553" s="2">
        <v>109</v>
      </c>
      <c r="AD553" s="3">
        <v>0</v>
      </c>
      <c r="AE553" s="2">
        <v>0</v>
      </c>
      <c r="AF553" s="2">
        <v>109</v>
      </c>
      <c r="AK553">
        <v>5377636</v>
      </c>
    </row>
    <row r="554" spans="1:38" x14ac:dyDescent="0.25">
      <c r="A554" s="1">
        <v>45763</v>
      </c>
      <c r="B554" s="1">
        <v>45763</v>
      </c>
      <c r="C554" t="s">
        <v>38</v>
      </c>
      <c r="D554" t="s">
        <v>39</v>
      </c>
      <c r="E554" t="s">
        <v>40</v>
      </c>
      <c r="F554">
        <v>43677</v>
      </c>
      <c r="H554" t="s">
        <v>41</v>
      </c>
      <c r="I554" s="5" t="s">
        <v>644</v>
      </c>
      <c r="J554" t="s">
        <v>83</v>
      </c>
      <c r="M554" t="s">
        <v>84</v>
      </c>
      <c r="O554">
        <v>45605</v>
      </c>
      <c r="P554" t="s">
        <v>50</v>
      </c>
      <c r="Q554" t="s">
        <v>45</v>
      </c>
      <c r="R554" t="s">
        <v>228</v>
      </c>
      <c r="S554" s="1">
        <v>45809</v>
      </c>
      <c r="U554" t="s">
        <v>47</v>
      </c>
      <c r="X554" t="s">
        <v>48</v>
      </c>
      <c r="Y554" s="2">
        <v>0</v>
      </c>
      <c r="Z554" s="2">
        <v>109</v>
      </c>
      <c r="AA554">
        <v>1</v>
      </c>
      <c r="AB554" s="3">
        <v>1</v>
      </c>
      <c r="AC554" s="2">
        <v>109</v>
      </c>
      <c r="AD554" s="3">
        <v>0</v>
      </c>
      <c r="AE554" s="2">
        <v>0</v>
      </c>
      <c r="AF554" s="2">
        <v>109</v>
      </c>
      <c r="AK554">
        <v>5377504</v>
      </c>
    </row>
    <row r="555" spans="1:38" x14ac:dyDescent="0.25">
      <c r="A555" s="1">
        <v>45763</v>
      </c>
      <c r="B555" s="1">
        <v>45763</v>
      </c>
      <c r="C555" t="s">
        <v>38</v>
      </c>
      <c r="D555" t="s">
        <v>39</v>
      </c>
      <c r="E555" t="s">
        <v>40</v>
      </c>
      <c r="F555">
        <v>43677</v>
      </c>
      <c r="H555" t="s">
        <v>41</v>
      </c>
      <c r="I555" s="5" t="s">
        <v>647</v>
      </c>
      <c r="J555" t="s">
        <v>88</v>
      </c>
      <c r="M555" t="s">
        <v>89</v>
      </c>
      <c r="O555">
        <v>43705</v>
      </c>
      <c r="P555" t="s">
        <v>90</v>
      </c>
      <c r="Q555" t="s">
        <v>45</v>
      </c>
      <c r="R555" t="s">
        <v>228</v>
      </c>
      <c r="S555" s="1">
        <v>45748</v>
      </c>
      <c r="U555" t="s">
        <v>47</v>
      </c>
      <c r="X555" t="s">
        <v>48</v>
      </c>
      <c r="Y555" s="2">
        <v>0</v>
      </c>
      <c r="Z555" s="2">
        <v>109</v>
      </c>
      <c r="AA555">
        <v>1</v>
      </c>
      <c r="AB555" s="3">
        <v>1</v>
      </c>
      <c r="AC555" s="2">
        <v>109</v>
      </c>
      <c r="AD555" s="3">
        <v>0</v>
      </c>
      <c r="AE555" s="2">
        <v>0</v>
      </c>
      <c r="AF555" s="2">
        <v>109</v>
      </c>
      <c r="AK555">
        <v>5377461</v>
      </c>
    </row>
    <row r="556" spans="1:38" x14ac:dyDescent="0.25">
      <c r="A556" s="1">
        <v>45763</v>
      </c>
      <c r="B556" s="1">
        <v>45763</v>
      </c>
      <c r="C556" t="s">
        <v>38</v>
      </c>
      <c r="D556" t="s">
        <v>39</v>
      </c>
      <c r="E556" t="s">
        <v>40</v>
      </c>
      <c r="F556">
        <v>43677</v>
      </c>
      <c r="H556" t="s">
        <v>41</v>
      </c>
      <c r="I556" s="5" t="s">
        <v>701</v>
      </c>
      <c r="J556" t="s">
        <v>181</v>
      </c>
      <c r="M556" t="s">
        <v>93</v>
      </c>
      <c r="O556">
        <v>43689</v>
      </c>
      <c r="P556" t="s">
        <v>53</v>
      </c>
      <c r="Q556" t="s">
        <v>45</v>
      </c>
      <c r="R556" t="s">
        <v>228</v>
      </c>
      <c r="S556" s="1">
        <v>45748</v>
      </c>
      <c r="U556" t="s">
        <v>47</v>
      </c>
      <c r="X556" t="s">
        <v>48</v>
      </c>
      <c r="Y556" s="2">
        <v>0</v>
      </c>
      <c r="Z556" s="2">
        <v>109</v>
      </c>
      <c r="AA556">
        <v>1</v>
      </c>
      <c r="AB556" s="3">
        <v>1</v>
      </c>
      <c r="AC556" s="2">
        <v>109</v>
      </c>
      <c r="AD556" s="3">
        <v>0</v>
      </c>
      <c r="AE556" s="2">
        <v>0</v>
      </c>
      <c r="AF556" s="2">
        <v>109</v>
      </c>
      <c r="AK556">
        <v>5377458</v>
      </c>
    </row>
    <row r="557" spans="1:38" x14ac:dyDescent="0.25">
      <c r="A557" s="1">
        <v>45763</v>
      </c>
      <c r="B557" s="1">
        <v>45763</v>
      </c>
      <c r="C557" t="s">
        <v>38</v>
      </c>
      <c r="D557" t="s">
        <v>39</v>
      </c>
      <c r="E557" t="s">
        <v>40</v>
      </c>
      <c r="F557">
        <v>43677</v>
      </c>
      <c r="H557" t="s">
        <v>41</v>
      </c>
      <c r="I557" s="5" t="s">
        <v>700</v>
      </c>
      <c r="J557" t="s">
        <v>182</v>
      </c>
      <c r="M557" t="s">
        <v>133</v>
      </c>
      <c r="O557">
        <v>45621</v>
      </c>
      <c r="P557" t="s">
        <v>177</v>
      </c>
      <c r="Q557" t="s">
        <v>45</v>
      </c>
      <c r="R557" t="s">
        <v>228</v>
      </c>
      <c r="S557" s="1">
        <v>45748</v>
      </c>
      <c r="U557" t="s">
        <v>47</v>
      </c>
      <c r="X557" t="s">
        <v>48</v>
      </c>
      <c r="Y557" s="2">
        <v>0</v>
      </c>
      <c r="Z557" s="2">
        <v>109</v>
      </c>
      <c r="AA557">
        <v>1</v>
      </c>
      <c r="AB557" s="3">
        <v>1</v>
      </c>
      <c r="AC557" s="2">
        <v>109</v>
      </c>
      <c r="AD557" s="3">
        <v>0</v>
      </c>
      <c r="AE557" s="2">
        <v>0</v>
      </c>
      <c r="AF557" s="2">
        <v>109</v>
      </c>
      <c r="AK557">
        <v>5377450</v>
      </c>
    </row>
    <row r="558" spans="1:38" x14ac:dyDescent="0.25">
      <c r="A558" s="1">
        <v>45763</v>
      </c>
      <c r="B558" s="1">
        <v>45763</v>
      </c>
      <c r="C558" t="s">
        <v>146</v>
      </c>
      <c r="D558" t="s">
        <v>39</v>
      </c>
      <c r="E558" t="s">
        <v>40</v>
      </c>
      <c r="F558">
        <v>43677</v>
      </c>
      <c r="H558" t="s">
        <v>41</v>
      </c>
      <c r="I558" s="5" t="s">
        <v>724</v>
      </c>
      <c r="J558" t="s">
        <v>83</v>
      </c>
      <c r="M558" t="s">
        <v>84</v>
      </c>
      <c r="O558">
        <v>45605</v>
      </c>
      <c r="P558" t="s">
        <v>50</v>
      </c>
      <c r="Q558" t="s">
        <v>148</v>
      </c>
      <c r="R558" t="s">
        <v>85</v>
      </c>
      <c r="S558" s="1">
        <v>45809</v>
      </c>
      <c r="U558" t="s">
        <v>47</v>
      </c>
      <c r="X558" t="s">
        <v>48</v>
      </c>
      <c r="Y558" s="2">
        <v>0</v>
      </c>
      <c r="Z558">
        <v>-32.08</v>
      </c>
      <c r="AA558">
        <v>1</v>
      </c>
      <c r="AB558" s="3">
        <v>1</v>
      </c>
      <c r="AC558">
        <v>-32.08</v>
      </c>
      <c r="AD558" s="3">
        <v>0</v>
      </c>
      <c r="AE558" s="2">
        <v>0</v>
      </c>
      <c r="AF558" s="2">
        <v>32.08</v>
      </c>
      <c r="AG558" s="2"/>
      <c r="AJ558" s="2"/>
    </row>
    <row r="559" spans="1:38" x14ac:dyDescent="0.25">
      <c r="A559" s="1">
        <v>45756</v>
      </c>
      <c r="B559" s="1">
        <v>45756</v>
      </c>
      <c r="C559" t="s">
        <v>38</v>
      </c>
      <c r="D559" t="s">
        <v>39</v>
      </c>
      <c r="E559" t="s">
        <v>40</v>
      </c>
      <c r="F559">
        <v>43677</v>
      </c>
      <c r="H559" t="s">
        <v>41</v>
      </c>
      <c r="I559" s="5" t="s">
        <v>644</v>
      </c>
      <c r="J559" t="s">
        <v>83</v>
      </c>
      <c r="M559" t="s">
        <v>84</v>
      </c>
      <c r="O559">
        <v>45605</v>
      </c>
      <c r="P559" t="s">
        <v>50</v>
      </c>
      <c r="Q559" t="s">
        <v>45</v>
      </c>
      <c r="R559" t="s">
        <v>85</v>
      </c>
      <c r="S559" s="1">
        <v>45809</v>
      </c>
      <c r="U559" t="s">
        <v>47</v>
      </c>
      <c r="X559" t="s">
        <v>48</v>
      </c>
      <c r="Y559" s="2">
        <v>0</v>
      </c>
      <c r="Z559" s="2">
        <v>32.08</v>
      </c>
      <c r="AA559">
        <v>1</v>
      </c>
      <c r="AB559" s="3">
        <v>1</v>
      </c>
      <c r="AC559" s="2">
        <v>32.08</v>
      </c>
      <c r="AD559" s="3">
        <v>0</v>
      </c>
      <c r="AE559" s="2">
        <v>0</v>
      </c>
      <c r="AF559" s="2">
        <v>32.08</v>
      </c>
      <c r="AK559">
        <v>5291692</v>
      </c>
      <c r="AL559" t="s">
        <v>86</v>
      </c>
    </row>
    <row r="560" spans="1:38" x14ac:dyDescent="0.25">
      <c r="A560" s="1">
        <v>45763</v>
      </c>
      <c r="B560" s="1">
        <v>45763</v>
      </c>
      <c r="C560" t="s">
        <v>146</v>
      </c>
      <c r="D560" t="s">
        <v>39</v>
      </c>
      <c r="E560" t="s">
        <v>40</v>
      </c>
      <c r="F560">
        <v>43677</v>
      </c>
      <c r="H560" t="s">
        <v>41</v>
      </c>
      <c r="I560" s="5" t="s">
        <v>725</v>
      </c>
      <c r="J560" t="s">
        <v>88</v>
      </c>
      <c r="M560" t="s">
        <v>89</v>
      </c>
      <c r="O560">
        <v>43705</v>
      </c>
      <c r="P560" t="s">
        <v>90</v>
      </c>
      <c r="Q560" t="s">
        <v>148</v>
      </c>
      <c r="R560" t="s">
        <v>85</v>
      </c>
      <c r="S560" s="1">
        <v>45748</v>
      </c>
      <c r="U560" t="s">
        <v>47</v>
      </c>
      <c r="X560" t="s">
        <v>48</v>
      </c>
      <c r="Y560" s="2">
        <v>0</v>
      </c>
      <c r="Z560">
        <v>-41.25</v>
      </c>
      <c r="AA560">
        <v>1</v>
      </c>
      <c r="AB560" s="3">
        <v>1</v>
      </c>
      <c r="AC560">
        <v>-41.25</v>
      </c>
      <c r="AD560" s="3">
        <v>0</v>
      </c>
      <c r="AE560" s="2">
        <v>0</v>
      </c>
      <c r="AF560" s="2">
        <v>41.25</v>
      </c>
      <c r="AG560" s="2"/>
      <c r="AJ560" s="2"/>
    </row>
    <row r="561" spans="1:38" x14ac:dyDescent="0.25">
      <c r="A561" s="1">
        <v>45756</v>
      </c>
      <c r="B561" s="1">
        <v>45756</v>
      </c>
      <c r="C561" t="s">
        <v>38</v>
      </c>
      <c r="D561" t="s">
        <v>39</v>
      </c>
      <c r="E561" t="s">
        <v>40</v>
      </c>
      <c r="F561">
        <v>43677</v>
      </c>
      <c r="H561" t="s">
        <v>41</v>
      </c>
      <c r="I561" s="5" t="s">
        <v>646</v>
      </c>
      <c r="J561" t="s">
        <v>88</v>
      </c>
      <c r="M561" t="s">
        <v>89</v>
      </c>
      <c r="O561">
        <v>43705</v>
      </c>
      <c r="P561" t="s">
        <v>90</v>
      </c>
      <c r="Q561" t="s">
        <v>45</v>
      </c>
      <c r="R561" t="s">
        <v>85</v>
      </c>
      <c r="S561" s="1">
        <v>45748</v>
      </c>
      <c r="U561" t="s">
        <v>47</v>
      </c>
      <c r="X561" t="s">
        <v>48</v>
      </c>
      <c r="Y561" s="2">
        <v>0</v>
      </c>
      <c r="Z561" s="2">
        <v>41.25</v>
      </c>
      <c r="AA561">
        <v>1</v>
      </c>
      <c r="AB561" s="3">
        <v>1</v>
      </c>
      <c r="AC561" s="2">
        <v>41.25</v>
      </c>
      <c r="AD561" s="3">
        <v>0</v>
      </c>
      <c r="AE561" s="2">
        <v>0</v>
      </c>
      <c r="AF561" s="2">
        <v>41.25</v>
      </c>
      <c r="AK561">
        <v>5291720</v>
      </c>
      <c r="AL561" t="s">
        <v>91</v>
      </c>
    </row>
    <row r="562" spans="1:38" x14ac:dyDescent="0.25">
      <c r="A562" s="1">
        <v>45763</v>
      </c>
      <c r="B562" s="1">
        <v>45763</v>
      </c>
      <c r="C562" t="s">
        <v>146</v>
      </c>
      <c r="D562" t="s">
        <v>39</v>
      </c>
      <c r="E562" t="s">
        <v>40</v>
      </c>
      <c r="F562">
        <v>43677</v>
      </c>
      <c r="H562" t="s">
        <v>41</v>
      </c>
      <c r="I562" s="5" t="s">
        <v>723</v>
      </c>
      <c r="J562" t="s">
        <v>181</v>
      </c>
      <c r="M562" t="s">
        <v>93</v>
      </c>
      <c r="O562">
        <v>43689</v>
      </c>
      <c r="P562" t="s">
        <v>53</v>
      </c>
      <c r="Q562" t="s">
        <v>148</v>
      </c>
      <c r="R562" t="s">
        <v>85</v>
      </c>
      <c r="S562" s="1">
        <v>45748</v>
      </c>
      <c r="U562" t="s">
        <v>47</v>
      </c>
      <c r="X562" t="s">
        <v>48</v>
      </c>
      <c r="Y562" s="2">
        <v>0</v>
      </c>
      <c r="Z562">
        <v>-41.25</v>
      </c>
      <c r="AA562">
        <v>1</v>
      </c>
      <c r="AB562" s="3">
        <v>1</v>
      </c>
      <c r="AC562">
        <v>-41.25</v>
      </c>
      <c r="AD562" s="3">
        <v>0</v>
      </c>
      <c r="AE562" s="2">
        <v>0</v>
      </c>
      <c r="AF562" s="2">
        <v>41.25</v>
      </c>
      <c r="AG562" s="2"/>
      <c r="AJ562" s="2"/>
    </row>
    <row r="563" spans="1:38" x14ac:dyDescent="0.25">
      <c r="A563" s="1">
        <v>45763</v>
      </c>
      <c r="B563" s="1">
        <v>45763</v>
      </c>
      <c r="C563" t="s">
        <v>146</v>
      </c>
      <c r="D563" t="s">
        <v>39</v>
      </c>
      <c r="E563" t="s">
        <v>40</v>
      </c>
      <c r="F563">
        <v>43677</v>
      </c>
      <c r="H563" t="s">
        <v>41</v>
      </c>
      <c r="I563" s="5" t="s">
        <v>722</v>
      </c>
      <c r="J563" t="s">
        <v>182</v>
      </c>
      <c r="M563" t="s">
        <v>133</v>
      </c>
      <c r="O563">
        <v>45621</v>
      </c>
      <c r="P563" t="s">
        <v>177</v>
      </c>
      <c r="Q563" t="s">
        <v>148</v>
      </c>
      <c r="R563" t="s">
        <v>85</v>
      </c>
      <c r="S563" s="1">
        <v>45748</v>
      </c>
      <c r="U563" t="s">
        <v>47</v>
      </c>
      <c r="X563" t="s">
        <v>48</v>
      </c>
      <c r="Y563" s="2">
        <v>0</v>
      </c>
      <c r="Z563">
        <v>-41.25</v>
      </c>
      <c r="AA563">
        <v>1</v>
      </c>
      <c r="AB563" s="3">
        <v>1</v>
      </c>
      <c r="AC563">
        <v>-41.25</v>
      </c>
      <c r="AD563" s="3">
        <v>0</v>
      </c>
      <c r="AE563" s="2">
        <v>0</v>
      </c>
      <c r="AF563" s="2">
        <v>41.25</v>
      </c>
      <c r="AG563" s="2"/>
      <c r="AJ563" s="2"/>
    </row>
  </sheetData>
  <sortState xmlns:xlrd2="http://schemas.microsoft.com/office/spreadsheetml/2017/richdata2" ref="A2:AL566">
    <sortCondition ref="R2:R566"/>
    <sortCondition ref="J2:J56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1ED2-AA13-4FF2-8E43-BB7128C8E720}">
  <dimension ref="A1:T554"/>
  <sheetViews>
    <sheetView topLeftCell="A10" workbookViewId="0">
      <selection activeCell="B24" sqref="B24"/>
    </sheetView>
  </sheetViews>
  <sheetFormatPr defaultColWidth="8.85546875" defaultRowHeight="15" x14ac:dyDescent="0.25"/>
  <cols>
    <col min="1" max="2" width="16" style="16" customWidth="1"/>
    <col min="3" max="3" width="20.28515625" style="17" customWidth="1"/>
    <col min="4" max="4" width="5.28515625" style="17" bestFit="1" customWidth="1"/>
    <col min="5" max="5" width="14.5703125" style="17" bestFit="1" customWidth="1"/>
    <col min="6" max="6" width="16.28515625" style="17" customWidth="1"/>
    <col min="7" max="7" width="10.28515625" style="17" customWidth="1"/>
    <col min="8" max="8" width="47.140625" style="17" customWidth="1"/>
    <col min="9" max="9" width="10.140625" style="17" bestFit="1" customWidth="1"/>
    <col min="10" max="10" width="12.28515625" style="17" bestFit="1" customWidth="1"/>
    <col min="11" max="11" width="5.85546875" style="17" customWidth="1"/>
    <col min="12" max="12" width="9" style="17" customWidth="1"/>
    <col min="13" max="13" width="10" style="17" customWidth="1"/>
    <col min="14" max="14" width="9.42578125" style="17" customWidth="1"/>
    <col min="15" max="15" width="8.140625" style="17" customWidth="1"/>
    <col min="16" max="16" width="12.7109375" style="17" customWidth="1"/>
    <col min="17" max="17" width="37.5703125" style="17" bestFit="1" customWidth="1"/>
    <col min="18" max="18" width="36.7109375" style="17" bestFit="1" customWidth="1"/>
    <col min="19" max="16384" width="8.85546875" style="17"/>
  </cols>
  <sheetData>
    <row r="1" spans="1:20" x14ac:dyDescent="0.25">
      <c r="A1" s="16" t="s">
        <v>8</v>
      </c>
      <c r="C1" s="17" t="s">
        <v>9</v>
      </c>
      <c r="D1" s="17" t="s">
        <v>12</v>
      </c>
      <c r="E1" s="17" t="s">
        <v>14</v>
      </c>
      <c r="F1" s="17" t="s">
        <v>15</v>
      </c>
      <c r="G1" s="17" t="s">
        <v>16</v>
      </c>
      <c r="H1" s="17" t="s">
        <v>17</v>
      </c>
      <c r="I1" s="17" t="s">
        <v>18</v>
      </c>
      <c r="J1" s="17" t="s">
        <v>19</v>
      </c>
      <c r="K1" s="17" t="s">
        <v>21</v>
      </c>
      <c r="L1" s="17" t="s">
        <v>24</v>
      </c>
      <c r="M1" s="17" t="s">
        <v>25</v>
      </c>
      <c r="N1" s="17" t="s">
        <v>26</v>
      </c>
      <c r="O1" s="17" t="s">
        <v>27</v>
      </c>
      <c r="P1" s="17" t="s">
        <v>28</v>
      </c>
      <c r="Q1" s="17" t="s">
        <v>37</v>
      </c>
    </row>
    <row r="2" spans="1:20" x14ac:dyDescent="0.25">
      <c r="A2" s="16">
        <v>23066923</v>
      </c>
      <c r="B2" s="16" t="str">
        <f t="shared" ref="B2:B43" si="0">CONCATENATE(A2,1)</f>
        <v>230669231</v>
      </c>
      <c r="C2" s="17" t="s">
        <v>227</v>
      </c>
      <c r="D2" s="17" t="s">
        <v>84</v>
      </c>
      <c r="E2" s="17">
        <v>16912722</v>
      </c>
      <c r="F2" s="17" t="s">
        <v>226</v>
      </c>
      <c r="G2" s="17" t="s">
        <v>45</v>
      </c>
      <c r="H2" s="17" t="s">
        <v>228</v>
      </c>
      <c r="I2" s="18">
        <v>45809</v>
      </c>
      <c r="L2" s="19">
        <v>0</v>
      </c>
      <c r="M2" s="19">
        <v>109</v>
      </c>
      <c r="N2" s="17">
        <v>1</v>
      </c>
      <c r="O2" s="20">
        <v>1</v>
      </c>
      <c r="P2" s="17">
        <v>109</v>
      </c>
      <c r="R2" s="17" t="s">
        <v>961</v>
      </c>
    </row>
    <row r="3" spans="1:20" x14ac:dyDescent="0.25">
      <c r="A3" s="16" t="s">
        <v>864</v>
      </c>
      <c r="B3" s="16" t="str">
        <f t="shared" si="0"/>
        <v>00022094729K1</v>
      </c>
      <c r="C3" s="17" t="s">
        <v>516</v>
      </c>
      <c r="D3" s="17" t="s">
        <v>43</v>
      </c>
      <c r="E3" s="17">
        <v>7470776</v>
      </c>
      <c r="F3" s="17" t="s">
        <v>218</v>
      </c>
      <c r="G3" s="17" t="s">
        <v>45</v>
      </c>
      <c r="H3" s="17" t="s">
        <v>511</v>
      </c>
      <c r="I3" s="18">
        <v>45597</v>
      </c>
      <c r="J3" s="18">
        <v>45792</v>
      </c>
      <c r="K3" s="17">
        <v>1</v>
      </c>
      <c r="L3" s="19">
        <v>1</v>
      </c>
      <c r="M3" s="19">
        <v>1</v>
      </c>
      <c r="O3" s="20">
        <v>1</v>
      </c>
      <c r="P3" s="17">
        <v>25.5</v>
      </c>
      <c r="Q3" s="17" t="s">
        <v>473</v>
      </c>
      <c r="R3" s="17" t="s">
        <v>938</v>
      </c>
      <c r="T3" s="17" t="s">
        <v>937</v>
      </c>
    </row>
    <row r="4" spans="1:20" x14ac:dyDescent="0.25">
      <c r="A4" s="16" t="s">
        <v>873</v>
      </c>
      <c r="B4" s="16" t="str">
        <f t="shared" si="0"/>
        <v>00022097947K1</v>
      </c>
      <c r="C4" s="17" t="s">
        <v>510</v>
      </c>
      <c r="D4" s="17" t="s">
        <v>43</v>
      </c>
      <c r="E4" s="17">
        <v>7470776</v>
      </c>
      <c r="F4" s="17" t="s">
        <v>218</v>
      </c>
      <c r="G4" s="17" t="s">
        <v>45</v>
      </c>
      <c r="H4" s="17" t="s">
        <v>511</v>
      </c>
      <c r="I4" s="18">
        <v>45597</v>
      </c>
      <c r="J4" s="18">
        <v>45792</v>
      </c>
      <c r="K4" s="17">
        <v>1</v>
      </c>
      <c r="L4" s="19">
        <v>1</v>
      </c>
      <c r="M4" s="19">
        <v>1</v>
      </c>
      <c r="O4" s="20">
        <v>1</v>
      </c>
      <c r="P4" s="17">
        <v>25.5</v>
      </c>
      <c r="Q4" s="17" t="s">
        <v>473</v>
      </c>
      <c r="R4" s="17" t="s">
        <v>938</v>
      </c>
      <c r="T4" s="17" t="s">
        <v>937</v>
      </c>
    </row>
    <row r="5" spans="1:20" x14ac:dyDescent="0.25">
      <c r="A5" s="16" t="s">
        <v>755</v>
      </c>
      <c r="B5" s="16" t="str">
        <f t="shared" si="0"/>
        <v>00020054580K1</v>
      </c>
      <c r="C5" s="17" t="s">
        <v>609</v>
      </c>
      <c r="D5" s="17" t="s">
        <v>43</v>
      </c>
      <c r="E5" s="17">
        <v>7470776</v>
      </c>
      <c r="F5" s="17" t="s">
        <v>218</v>
      </c>
      <c r="G5" s="17" t="s">
        <v>45</v>
      </c>
      <c r="H5" s="17" t="s">
        <v>577</v>
      </c>
      <c r="I5" s="18">
        <v>45505</v>
      </c>
      <c r="J5" s="18">
        <v>45792</v>
      </c>
      <c r="K5" s="17">
        <v>1</v>
      </c>
      <c r="L5" s="19">
        <v>1</v>
      </c>
      <c r="M5" s="19">
        <v>1</v>
      </c>
      <c r="O5" s="20">
        <v>1</v>
      </c>
      <c r="P5" s="17">
        <v>25.5</v>
      </c>
      <c r="Q5" s="17" t="s">
        <v>473</v>
      </c>
      <c r="R5" s="17" t="s">
        <v>938</v>
      </c>
      <c r="T5" s="17" t="s">
        <v>937</v>
      </c>
    </row>
    <row r="6" spans="1:20" x14ac:dyDescent="0.25">
      <c r="A6" s="16" t="s">
        <v>835</v>
      </c>
      <c r="B6" s="16" t="str">
        <f t="shared" si="0"/>
        <v>00022032935K1</v>
      </c>
      <c r="C6" s="17" t="s">
        <v>542</v>
      </c>
      <c r="D6" s="17" t="s">
        <v>43</v>
      </c>
      <c r="E6" s="17">
        <v>7470776</v>
      </c>
      <c r="F6" s="17" t="s">
        <v>218</v>
      </c>
      <c r="G6" s="17" t="s">
        <v>250</v>
      </c>
      <c r="H6" s="17" t="s">
        <v>511</v>
      </c>
      <c r="I6" s="18">
        <v>45566</v>
      </c>
      <c r="J6" s="18">
        <v>45792</v>
      </c>
      <c r="K6" s="17">
        <v>1</v>
      </c>
      <c r="L6" s="19">
        <v>1</v>
      </c>
      <c r="M6" s="19">
        <v>1</v>
      </c>
      <c r="O6" s="20">
        <v>1</v>
      </c>
      <c r="P6" s="17">
        <v>25.5</v>
      </c>
      <c r="Q6" s="17" t="s">
        <v>473</v>
      </c>
      <c r="R6" s="17" t="s">
        <v>938</v>
      </c>
      <c r="T6" s="17" t="s">
        <v>937</v>
      </c>
    </row>
    <row r="7" spans="1:20" x14ac:dyDescent="0.25">
      <c r="A7" s="16" t="s">
        <v>869</v>
      </c>
      <c r="B7" s="16" t="str">
        <f t="shared" si="0"/>
        <v>00022095955K1</v>
      </c>
      <c r="C7" s="17" t="s">
        <v>513</v>
      </c>
      <c r="D7" s="17" t="s">
        <v>43</v>
      </c>
      <c r="E7" s="17">
        <v>7470776</v>
      </c>
      <c r="F7" s="17" t="s">
        <v>218</v>
      </c>
      <c r="G7" s="17" t="s">
        <v>45</v>
      </c>
      <c r="H7" s="17" t="s">
        <v>511</v>
      </c>
      <c r="I7" s="18">
        <v>45597</v>
      </c>
      <c r="J7" s="18">
        <v>45792</v>
      </c>
      <c r="K7" s="17">
        <v>1</v>
      </c>
      <c r="L7" s="19">
        <v>1</v>
      </c>
      <c r="M7" s="19">
        <v>1</v>
      </c>
      <c r="O7" s="20">
        <v>1</v>
      </c>
      <c r="P7" s="17">
        <v>25.5</v>
      </c>
      <c r="Q7" s="17" t="s">
        <v>473</v>
      </c>
      <c r="R7" s="17" t="s">
        <v>938</v>
      </c>
      <c r="T7" s="17" t="s">
        <v>937</v>
      </c>
    </row>
    <row r="8" spans="1:20" x14ac:dyDescent="0.25">
      <c r="A8" s="16" t="s">
        <v>866</v>
      </c>
      <c r="B8" s="16" t="str">
        <f t="shared" si="0"/>
        <v>00022094985K1</v>
      </c>
      <c r="C8" s="17" t="s">
        <v>515</v>
      </c>
      <c r="D8" s="17" t="s">
        <v>43</v>
      </c>
      <c r="E8" s="17">
        <v>7470776</v>
      </c>
      <c r="F8" s="17" t="s">
        <v>218</v>
      </c>
      <c r="G8" s="17" t="s">
        <v>45</v>
      </c>
      <c r="H8" s="17" t="s">
        <v>511</v>
      </c>
      <c r="I8" s="18">
        <v>45597</v>
      </c>
      <c r="J8" s="18">
        <v>45792</v>
      </c>
      <c r="K8" s="17">
        <v>1</v>
      </c>
      <c r="L8" s="19">
        <v>1</v>
      </c>
      <c r="M8" s="19">
        <v>1</v>
      </c>
      <c r="O8" s="20">
        <v>1</v>
      </c>
      <c r="P8" s="17">
        <v>25.5</v>
      </c>
      <c r="Q8" s="17" t="s">
        <v>473</v>
      </c>
      <c r="R8" s="17" t="s">
        <v>938</v>
      </c>
      <c r="T8" s="17" t="s">
        <v>937</v>
      </c>
    </row>
    <row r="9" spans="1:20" x14ac:dyDescent="0.25">
      <c r="A9" s="16" t="s">
        <v>819</v>
      </c>
      <c r="B9" s="16" t="str">
        <f t="shared" si="0"/>
        <v>00021973839K1</v>
      </c>
      <c r="C9" s="17" t="s">
        <v>554</v>
      </c>
      <c r="D9" s="17" t="s">
        <v>43</v>
      </c>
      <c r="E9" s="17">
        <v>7470776</v>
      </c>
      <c r="F9" s="17" t="s">
        <v>218</v>
      </c>
      <c r="G9" s="17" t="s">
        <v>45</v>
      </c>
      <c r="H9" s="17" t="s">
        <v>511</v>
      </c>
      <c r="I9" s="18">
        <v>45536</v>
      </c>
      <c r="J9" s="18">
        <v>45792</v>
      </c>
      <c r="K9" s="17">
        <v>1</v>
      </c>
      <c r="L9" s="19">
        <v>1</v>
      </c>
      <c r="M9" s="19">
        <v>1</v>
      </c>
      <c r="O9" s="20">
        <v>1</v>
      </c>
      <c r="P9" s="17">
        <v>25.5</v>
      </c>
      <c r="Q9" s="17" t="s">
        <v>473</v>
      </c>
      <c r="R9" s="17" t="s">
        <v>938</v>
      </c>
      <c r="T9" s="17" t="s">
        <v>937</v>
      </c>
    </row>
    <row r="10" spans="1:20" x14ac:dyDescent="0.25">
      <c r="A10" s="16" t="s">
        <v>786</v>
      </c>
      <c r="B10" s="16" t="str">
        <f t="shared" si="0"/>
        <v>00021865984K1</v>
      </c>
      <c r="C10" s="17" t="s">
        <v>585</v>
      </c>
      <c r="E10" s="17">
        <v>7470776</v>
      </c>
      <c r="F10" s="17" t="s">
        <v>218</v>
      </c>
      <c r="G10" s="17" t="s">
        <v>45</v>
      </c>
      <c r="H10" s="17" t="s">
        <v>511</v>
      </c>
      <c r="I10" s="18">
        <v>45474</v>
      </c>
      <c r="J10" s="18">
        <v>45792</v>
      </c>
      <c r="K10" s="17">
        <v>1</v>
      </c>
      <c r="L10" s="19">
        <v>1</v>
      </c>
      <c r="M10" s="19">
        <v>1</v>
      </c>
      <c r="O10" s="20">
        <v>1</v>
      </c>
      <c r="P10" s="17">
        <v>25.5</v>
      </c>
      <c r="Q10" s="17" t="s">
        <v>473</v>
      </c>
      <c r="R10" s="17" t="s">
        <v>938</v>
      </c>
      <c r="T10" s="17" t="s">
        <v>937</v>
      </c>
    </row>
    <row r="11" spans="1:20" x14ac:dyDescent="0.25">
      <c r="A11" s="16" t="s">
        <v>823</v>
      </c>
      <c r="B11" s="16" t="str">
        <f t="shared" si="0"/>
        <v>00022004915K1</v>
      </c>
      <c r="C11" s="17" t="s">
        <v>551</v>
      </c>
      <c r="D11" s="17" t="s">
        <v>43</v>
      </c>
      <c r="E11" s="17">
        <v>7470776</v>
      </c>
      <c r="F11" s="17" t="s">
        <v>218</v>
      </c>
      <c r="G11" s="17" t="s">
        <v>45</v>
      </c>
      <c r="H11" s="17" t="s">
        <v>511</v>
      </c>
      <c r="I11" s="18">
        <v>45536</v>
      </c>
      <c r="J11" s="18">
        <v>45792</v>
      </c>
      <c r="K11" s="17">
        <v>1</v>
      </c>
      <c r="L11" s="19">
        <v>1</v>
      </c>
      <c r="M11" s="19">
        <v>1</v>
      </c>
      <c r="O11" s="20">
        <v>1</v>
      </c>
      <c r="P11" s="17">
        <v>25.5</v>
      </c>
      <c r="Q11" s="17" t="s">
        <v>473</v>
      </c>
      <c r="R11" s="17" t="s">
        <v>938</v>
      </c>
      <c r="T11" s="17" t="s">
        <v>937</v>
      </c>
    </row>
    <row r="12" spans="1:20" x14ac:dyDescent="0.25">
      <c r="A12" s="16" t="s">
        <v>833</v>
      </c>
      <c r="B12" s="16" t="str">
        <f t="shared" si="0"/>
        <v>00022031158K1</v>
      </c>
      <c r="C12" s="17" t="s">
        <v>543</v>
      </c>
      <c r="D12" s="17" t="s">
        <v>43</v>
      </c>
      <c r="E12" s="17">
        <v>7470776</v>
      </c>
      <c r="F12" s="17" t="s">
        <v>218</v>
      </c>
      <c r="G12" s="17" t="s">
        <v>250</v>
      </c>
      <c r="H12" s="17" t="s">
        <v>511</v>
      </c>
      <c r="I12" s="18">
        <v>45566</v>
      </c>
      <c r="J12" s="18">
        <v>45792</v>
      </c>
      <c r="K12" s="17">
        <v>1</v>
      </c>
      <c r="L12" s="19">
        <v>1</v>
      </c>
      <c r="M12" s="19">
        <v>1</v>
      </c>
      <c r="O12" s="20">
        <v>1</v>
      </c>
      <c r="P12" s="17">
        <v>25.5</v>
      </c>
      <c r="Q12" s="17" t="s">
        <v>473</v>
      </c>
      <c r="R12" s="17" t="s">
        <v>938</v>
      </c>
      <c r="T12" s="17" t="s">
        <v>937</v>
      </c>
    </row>
    <row r="13" spans="1:20" x14ac:dyDescent="0.25">
      <c r="A13" s="16" t="s">
        <v>776</v>
      </c>
      <c r="B13" s="16" t="str">
        <f t="shared" si="0"/>
        <v>00021836597K1</v>
      </c>
      <c r="C13" s="17" t="s">
        <v>591</v>
      </c>
      <c r="D13" s="17" t="s">
        <v>43</v>
      </c>
      <c r="E13" s="17">
        <v>7470776</v>
      </c>
      <c r="F13" s="17" t="s">
        <v>218</v>
      </c>
      <c r="G13" s="17" t="s">
        <v>45</v>
      </c>
      <c r="H13" s="17" t="s">
        <v>511</v>
      </c>
      <c r="I13" s="18">
        <v>45474</v>
      </c>
      <c r="J13" s="18">
        <v>45792</v>
      </c>
      <c r="K13" s="17">
        <v>1</v>
      </c>
      <c r="L13" s="19">
        <v>1</v>
      </c>
      <c r="M13" s="19">
        <v>1</v>
      </c>
      <c r="O13" s="20">
        <v>1</v>
      </c>
      <c r="P13" s="17">
        <v>25.5</v>
      </c>
      <c r="Q13" s="17" t="s">
        <v>473</v>
      </c>
      <c r="R13" s="17" t="s">
        <v>938</v>
      </c>
      <c r="T13" s="17" t="s">
        <v>937</v>
      </c>
    </row>
    <row r="14" spans="1:20" x14ac:dyDescent="0.25">
      <c r="A14" s="16" t="s">
        <v>830</v>
      </c>
      <c r="B14" s="16" t="str">
        <f t="shared" si="0"/>
        <v>00022025150K1</v>
      </c>
      <c r="C14" s="17" t="s">
        <v>545</v>
      </c>
      <c r="D14" s="17" t="s">
        <v>43</v>
      </c>
      <c r="E14" s="17">
        <v>7470776</v>
      </c>
      <c r="F14" s="17" t="s">
        <v>218</v>
      </c>
      <c r="G14" s="17" t="s">
        <v>250</v>
      </c>
      <c r="H14" s="17" t="s">
        <v>511</v>
      </c>
      <c r="I14" s="18">
        <v>45566</v>
      </c>
      <c r="J14" s="18">
        <v>45792</v>
      </c>
      <c r="K14" s="17">
        <v>1</v>
      </c>
      <c r="L14" s="19">
        <v>1</v>
      </c>
      <c r="M14" s="19">
        <v>1</v>
      </c>
      <c r="O14" s="20">
        <v>1</v>
      </c>
      <c r="P14" s="17">
        <v>25.5</v>
      </c>
      <c r="Q14" s="17" t="s">
        <v>473</v>
      </c>
      <c r="R14" s="17" t="s">
        <v>938</v>
      </c>
      <c r="T14" s="17" t="s">
        <v>937</v>
      </c>
    </row>
    <row r="15" spans="1:20" x14ac:dyDescent="0.25">
      <c r="A15" s="16" t="s">
        <v>792</v>
      </c>
      <c r="B15" s="16" t="str">
        <f t="shared" si="0"/>
        <v>00021882434K1</v>
      </c>
      <c r="C15" s="17" t="s">
        <v>580</v>
      </c>
      <c r="D15" s="17" t="s">
        <v>43</v>
      </c>
      <c r="E15" s="17">
        <v>7470776</v>
      </c>
      <c r="F15" s="17" t="s">
        <v>218</v>
      </c>
      <c r="G15" s="17" t="s">
        <v>45</v>
      </c>
      <c r="H15" s="17" t="s">
        <v>511</v>
      </c>
      <c r="I15" s="18">
        <v>45474</v>
      </c>
      <c r="J15" s="18">
        <v>45792</v>
      </c>
      <c r="K15" s="17">
        <v>1</v>
      </c>
      <c r="L15" s="19">
        <v>1</v>
      </c>
      <c r="M15" s="19">
        <v>1</v>
      </c>
      <c r="O15" s="20">
        <v>1</v>
      </c>
      <c r="P15" s="17">
        <v>25.5</v>
      </c>
      <c r="Q15" s="17" t="s">
        <v>473</v>
      </c>
      <c r="R15" s="17" t="s">
        <v>938</v>
      </c>
      <c r="T15" s="17" t="s">
        <v>937</v>
      </c>
    </row>
    <row r="16" spans="1:20" x14ac:dyDescent="0.25">
      <c r="A16" s="16" t="s">
        <v>841</v>
      </c>
      <c r="B16" s="16" t="str">
        <f t="shared" si="0"/>
        <v>00022040894K1</v>
      </c>
      <c r="C16" s="17" t="s">
        <v>538</v>
      </c>
      <c r="D16" s="17" t="s">
        <v>43</v>
      </c>
      <c r="E16" s="17">
        <v>7470776</v>
      </c>
      <c r="F16" s="17" t="s">
        <v>218</v>
      </c>
      <c r="G16" s="17" t="s">
        <v>250</v>
      </c>
      <c r="H16" s="17" t="s">
        <v>511</v>
      </c>
      <c r="I16" s="18">
        <v>45566</v>
      </c>
      <c r="J16" s="18">
        <v>45792</v>
      </c>
      <c r="K16" s="17">
        <v>1</v>
      </c>
      <c r="L16" s="19">
        <v>1</v>
      </c>
      <c r="M16" s="19">
        <v>1</v>
      </c>
      <c r="O16" s="20">
        <v>1</v>
      </c>
      <c r="P16" s="17">
        <v>25.5</v>
      </c>
      <c r="Q16" s="17" t="s">
        <v>473</v>
      </c>
      <c r="R16" s="17" t="s">
        <v>938</v>
      </c>
      <c r="T16" s="17" t="s">
        <v>937</v>
      </c>
    </row>
    <row r="17" spans="1:20" x14ac:dyDescent="0.25">
      <c r="A17" s="16" t="s">
        <v>805</v>
      </c>
      <c r="B17" s="16" t="str">
        <f t="shared" si="0"/>
        <v>00021917176K1</v>
      </c>
      <c r="C17" s="17" t="s">
        <v>568</v>
      </c>
      <c r="D17" s="17" t="s">
        <v>43</v>
      </c>
      <c r="E17" s="17">
        <v>7470776</v>
      </c>
      <c r="F17" s="17" t="s">
        <v>218</v>
      </c>
      <c r="G17" s="17" t="s">
        <v>45</v>
      </c>
      <c r="H17" s="17" t="s">
        <v>511</v>
      </c>
      <c r="I17" s="18">
        <v>45505</v>
      </c>
      <c r="J17" s="18">
        <v>45792</v>
      </c>
      <c r="K17" s="17">
        <v>1</v>
      </c>
      <c r="L17" s="19">
        <v>1</v>
      </c>
      <c r="M17" s="19">
        <v>1</v>
      </c>
      <c r="O17" s="20">
        <v>1</v>
      </c>
      <c r="P17" s="17">
        <v>25.5</v>
      </c>
      <c r="Q17" s="17" t="s">
        <v>473</v>
      </c>
      <c r="R17" s="17" t="s">
        <v>938</v>
      </c>
      <c r="T17" s="17" t="s">
        <v>937</v>
      </c>
    </row>
    <row r="18" spans="1:20" x14ac:dyDescent="0.25">
      <c r="A18" s="16" t="s">
        <v>800</v>
      </c>
      <c r="B18" s="16" t="str">
        <f t="shared" si="0"/>
        <v>00021895977K1</v>
      </c>
      <c r="C18" s="17" t="s">
        <v>573</v>
      </c>
      <c r="D18" s="17" t="s">
        <v>43</v>
      </c>
      <c r="E18" s="17">
        <v>7470776</v>
      </c>
      <c r="F18" s="17" t="s">
        <v>218</v>
      </c>
      <c r="G18" s="17" t="s">
        <v>45</v>
      </c>
      <c r="H18" s="17" t="s">
        <v>511</v>
      </c>
      <c r="I18" s="18">
        <v>45505</v>
      </c>
      <c r="J18" s="18">
        <v>45792</v>
      </c>
      <c r="K18" s="17">
        <v>1</v>
      </c>
      <c r="L18" s="19">
        <v>1</v>
      </c>
      <c r="M18" s="19">
        <v>1</v>
      </c>
      <c r="O18" s="20">
        <v>1</v>
      </c>
      <c r="P18" s="17">
        <v>25.5</v>
      </c>
      <c r="Q18" s="17" t="s">
        <v>473</v>
      </c>
      <c r="R18" s="17" t="s">
        <v>938</v>
      </c>
      <c r="T18" s="17" t="s">
        <v>937</v>
      </c>
    </row>
    <row r="19" spans="1:20" x14ac:dyDescent="0.25">
      <c r="A19" s="16" t="s">
        <v>844</v>
      </c>
      <c r="B19" s="16" t="str">
        <f t="shared" si="0"/>
        <v>00022052067K1</v>
      </c>
      <c r="C19" s="17" t="s">
        <v>536</v>
      </c>
      <c r="D19" s="17" t="s">
        <v>43</v>
      </c>
      <c r="E19" s="17">
        <v>7470776</v>
      </c>
      <c r="F19" s="17" t="s">
        <v>218</v>
      </c>
      <c r="G19" s="17" t="s">
        <v>250</v>
      </c>
      <c r="H19" s="17" t="s">
        <v>511</v>
      </c>
      <c r="I19" s="18">
        <v>45566</v>
      </c>
      <c r="J19" s="18">
        <v>45792</v>
      </c>
      <c r="K19" s="17">
        <v>1</v>
      </c>
      <c r="L19" s="19">
        <v>1</v>
      </c>
      <c r="M19" s="19">
        <v>1</v>
      </c>
      <c r="O19" s="20">
        <v>1</v>
      </c>
      <c r="P19" s="17">
        <v>25.5</v>
      </c>
      <c r="Q19" s="17" t="s">
        <v>473</v>
      </c>
      <c r="R19" s="17" t="s">
        <v>938</v>
      </c>
      <c r="T19" s="17" t="s">
        <v>937</v>
      </c>
    </row>
    <row r="20" spans="1:20" x14ac:dyDescent="0.25">
      <c r="A20" s="16" t="s">
        <v>871</v>
      </c>
      <c r="B20" s="16" t="str">
        <f t="shared" si="0"/>
        <v>00022096948K1</v>
      </c>
      <c r="C20" s="17" t="s">
        <v>512</v>
      </c>
      <c r="D20" s="17" t="s">
        <v>43</v>
      </c>
      <c r="E20" s="17">
        <v>7470776</v>
      </c>
      <c r="F20" s="17" t="s">
        <v>218</v>
      </c>
      <c r="G20" s="17" t="s">
        <v>45</v>
      </c>
      <c r="H20" s="17" t="s">
        <v>511</v>
      </c>
      <c r="I20" s="18">
        <v>45597</v>
      </c>
      <c r="J20" s="18">
        <v>45792</v>
      </c>
      <c r="K20" s="17">
        <v>1</v>
      </c>
      <c r="L20" s="19">
        <v>1</v>
      </c>
      <c r="M20" s="19">
        <v>1</v>
      </c>
      <c r="O20" s="20">
        <v>1</v>
      </c>
      <c r="P20" s="17">
        <v>25.5</v>
      </c>
      <c r="Q20" s="17" t="s">
        <v>473</v>
      </c>
      <c r="R20" s="17" t="s">
        <v>938</v>
      </c>
      <c r="T20" s="17" t="s">
        <v>937</v>
      </c>
    </row>
    <row r="21" spans="1:20" x14ac:dyDescent="0.25">
      <c r="A21" s="16" t="s">
        <v>839</v>
      </c>
      <c r="B21" s="16" t="str">
        <f t="shared" si="0"/>
        <v>00022035242K1</v>
      </c>
      <c r="C21" s="17" t="s">
        <v>539</v>
      </c>
      <c r="D21" s="17" t="s">
        <v>43</v>
      </c>
      <c r="E21" s="17">
        <v>7470776</v>
      </c>
      <c r="F21" s="17" t="s">
        <v>218</v>
      </c>
      <c r="G21" s="17" t="s">
        <v>250</v>
      </c>
      <c r="H21" s="17" t="s">
        <v>511</v>
      </c>
      <c r="I21" s="18">
        <v>45566</v>
      </c>
      <c r="J21" s="18">
        <v>45792</v>
      </c>
      <c r="K21" s="17">
        <v>1</v>
      </c>
      <c r="L21" s="19">
        <v>1</v>
      </c>
      <c r="M21" s="19">
        <v>1</v>
      </c>
      <c r="O21" s="20">
        <v>1</v>
      </c>
      <c r="P21" s="17">
        <v>25.5</v>
      </c>
      <c r="Q21" s="17" t="s">
        <v>473</v>
      </c>
      <c r="R21" s="17" t="s">
        <v>938</v>
      </c>
      <c r="T21" s="17" t="s">
        <v>937</v>
      </c>
    </row>
    <row r="22" spans="1:20" x14ac:dyDescent="0.25">
      <c r="A22" s="16" t="s">
        <v>774</v>
      </c>
      <c r="B22" s="16" t="str">
        <f t="shared" si="0"/>
        <v>00021836561K1</v>
      </c>
      <c r="C22" s="17" t="s">
        <v>592</v>
      </c>
      <c r="D22" s="17" t="s">
        <v>43</v>
      </c>
      <c r="E22" s="17">
        <v>7470776</v>
      </c>
      <c r="F22" s="17" t="s">
        <v>218</v>
      </c>
      <c r="G22" s="17" t="s">
        <v>45</v>
      </c>
      <c r="H22" s="17" t="s">
        <v>511</v>
      </c>
      <c r="I22" s="18">
        <v>45474</v>
      </c>
      <c r="J22" s="18">
        <v>45792</v>
      </c>
      <c r="K22" s="17">
        <v>1</v>
      </c>
      <c r="L22" s="19">
        <v>1</v>
      </c>
      <c r="M22" s="19">
        <v>1</v>
      </c>
      <c r="O22" s="20">
        <v>1</v>
      </c>
      <c r="P22" s="17">
        <v>25.5</v>
      </c>
      <c r="Q22" s="17" t="s">
        <v>473</v>
      </c>
      <c r="R22" s="17" t="s">
        <v>938</v>
      </c>
      <c r="T22" s="17" t="s">
        <v>937</v>
      </c>
    </row>
    <row r="23" spans="1:20" x14ac:dyDescent="0.25">
      <c r="A23" s="16" t="s">
        <v>796</v>
      </c>
      <c r="B23" s="16" t="str">
        <f t="shared" si="0"/>
        <v>00021884516K1</v>
      </c>
      <c r="C23" s="17" t="s">
        <v>576</v>
      </c>
      <c r="D23" s="17" t="s">
        <v>43</v>
      </c>
      <c r="E23" s="17">
        <v>7470776</v>
      </c>
      <c r="F23" s="17" t="s">
        <v>218</v>
      </c>
      <c r="G23" s="17" t="s">
        <v>45</v>
      </c>
      <c r="H23" s="17" t="s">
        <v>577</v>
      </c>
      <c r="I23" s="18">
        <v>45474</v>
      </c>
      <c r="J23" s="18">
        <v>45792</v>
      </c>
      <c r="K23" s="17">
        <v>1</v>
      </c>
      <c r="L23" s="19">
        <v>1</v>
      </c>
      <c r="M23" s="19">
        <v>1</v>
      </c>
      <c r="O23" s="20">
        <v>1</v>
      </c>
      <c r="P23" s="17">
        <v>25.5</v>
      </c>
      <c r="Q23" s="17" t="s">
        <v>473</v>
      </c>
      <c r="R23" s="17" t="s">
        <v>938</v>
      </c>
      <c r="T23" s="17" t="s">
        <v>937</v>
      </c>
    </row>
    <row r="24" spans="1:20" s="24" customFormat="1" x14ac:dyDescent="0.25">
      <c r="A24" s="23">
        <v>909023469</v>
      </c>
      <c r="B24" s="23" t="str">
        <f t="shared" si="0"/>
        <v>9090234691</v>
      </c>
      <c r="C24" s="24" t="s">
        <v>274</v>
      </c>
      <c r="D24" s="24" t="s">
        <v>93</v>
      </c>
      <c r="E24" s="24">
        <v>19278370</v>
      </c>
      <c r="F24" s="24" t="s">
        <v>53</v>
      </c>
      <c r="G24" s="24" t="s">
        <v>250</v>
      </c>
      <c r="H24" s="24" t="s">
        <v>275</v>
      </c>
      <c r="I24" s="25">
        <v>45627</v>
      </c>
      <c r="J24" s="25">
        <v>45792</v>
      </c>
      <c r="K24" s="24">
        <v>1</v>
      </c>
      <c r="L24" s="26">
        <v>1</v>
      </c>
      <c r="M24" s="26">
        <v>1</v>
      </c>
      <c r="O24" s="27">
        <v>1</v>
      </c>
      <c r="P24" s="24">
        <v>28.75</v>
      </c>
      <c r="Q24" s="24" t="s">
        <v>248</v>
      </c>
      <c r="R24" s="24" t="s">
        <v>959</v>
      </c>
      <c r="T24" s="28" t="s">
        <v>960</v>
      </c>
    </row>
    <row r="25" spans="1:20" s="24" customFormat="1" x14ac:dyDescent="0.25">
      <c r="A25" s="23" t="s">
        <v>701</v>
      </c>
      <c r="B25" s="23" t="str">
        <f t="shared" si="0"/>
        <v>023058170OV1</v>
      </c>
      <c r="C25" s="24" t="s">
        <v>181</v>
      </c>
      <c r="D25" s="24" t="s">
        <v>93</v>
      </c>
      <c r="E25" s="24">
        <v>19278370</v>
      </c>
      <c r="F25" s="24" t="s">
        <v>53</v>
      </c>
      <c r="G25" s="24" t="s">
        <v>45</v>
      </c>
      <c r="H25" s="24" t="s">
        <v>228</v>
      </c>
      <c r="I25" s="25">
        <v>45748</v>
      </c>
      <c r="L25" s="26">
        <v>0</v>
      </c>
      <c r="M25" s="26">
        <v>109</v>
      </c>
      <c r="N25" s="24">
        <v>1</v>
      </c>
      <c r="O25" s="27">
        <v>1</v>
      </c>
      <c r="P25" s="24">
        <v>109</v>
      </c>
      <c r="R25" s="24" t="s">
        <v>961</v>
      </c>
    </row>
    <row r="26" spans="1:20" s="24" customFormat="1" x14ac:dyDescent="0.25">
      <c r="A26" s="23" t="s">
        <v>723</v>
      </c>
      <c r="B26" s="23" t="str">
        <f t="shared" si="0"/>
        <v>023058170OVCB1</v>
      </c>
      <c r="C26" s="24" t="s">
        <v>181</v>
      </c>
      <c r="D26" s="24" t="s">
        <v>93</v>
      </c>
      <c r="E26" s="24">
        <v>19278370</v>
      </c>
      <c r="F26" s="24" t="s">
        <v>53</v>
      </c>
      <c r="G26" s="24" t="s">
        <v>148</v>
      </c>
      <c r="H26" s="24" t="s">
        <v>85</v>
      </c>
      <c r="I26" s="25">
        <v>45748</v>
      </c>
      <c r="L26" s="26">
        <v>0</v>
      </c>
      <c r="M26" s="24">
        <v>-41.25</v>
      </c>
      <c r="N26" s="24">
        <v>1</v>
      </c>
      <c r="O26" s="27">
        <v>1</v>
      </c>
      <c r="P26" s="24">
        <v>-41.25</v>
      </c>
      <c r="R26" s="24" t="s">
        <v>961</v>
      </c>
    </row>
    <row r="27" spans="1:20" x14ac:dyDescent="0.25">
      <c r="A27" s="16" t="s">
        <v>782</v>
      </c>
      <c r="B27" s="16" t="str">
        <f t="shared" si="0"/>
        <v>00021853815K1</v>
      </c>
      <c r="C27" s="17" t="s">
        <v>587</v>
      </c>
      <c r="D27" s="17" t="s">
        <v>43</v>
      </c>
      <c r="E27" s="17">
        <v>7146581</v>
      </c>
      <c r="F27" s="17" t="s">
        <v>99</v>
      </c>
      <c r="G27" s="17" t="s">
        <v>45</v>
      </c>
      <c r="H27" s="17" t="s">
        <v>511</v>
      </c>
      <c r="I27" s="18">
        <v>45474</v>
      </c>
      <c r="J27" s="18">
        <v>45792</v>
      </c>
      <c r="K27" s="17">
        <v>1</v>
      </c>
      <c r="L27" s="19">
        <v>1</v>
      </c>
      <c r="M27" s="19">
        <v>1</v>
      </c>
      <c r="O27" s="20">
        <v>1</v>
      </c>
      <c r="P27" s="17">
        <v>25.5</v>
      </c>
      <c r="Q27" s="17" t="s">
        <v>473</v>
      </c>
      <c r="R27" s="17" t="s">
        <v>938</v>
      </c>
      <c r="T27" s="17" t="s">
        <v>937</v>
      </c>
    </row>
    <row r="28" spans="1:20" x14ac:dyDescent="0.25">
      <c r="A28" s="16" t="s">
        <v>778</v>
      </c>
      <c r="B28" s="16" t="str">
        <f t="shared" si="0"/>
        <v>00021852153K1</v>
      </c>
      <c r="C28" s="17" t="s">
        <v>589</v>
      </c>
      <c r="D28" s="17" t="s">
        <v>43</v>
      </c>
      <c r="E28" s="17">
        <v>7146581</v>
      </c>
      <c r="F28" s="17" t="s">
        <v>99</v>
      </c>
      <c r="G28" s="17" t="s">
        <v>45</v>
      </c>
      <c r="H28" s="17" t="s">
        <v>590</v>
      </c>
      <c r="I28" s="18">
        <v>45474</v>
      </c>
      <c r="J28" s="18">
        <v>45792</v>
      </c>
      <c r="K28" s="17">
        <v>1</v>
      </c>
      <c r="L28" s="19">
        <v>1</v>
      </c>
      <c r="M28" s="19">
        <v>1</v>
      </c>
      <c r="O28" s="20">
        <v>1</v>
      </c>
      <c r="P28" s="17">
        <v>25.5</v>
      </c>
      <c r="Q28" s="17" t="s">
        <v>473</v>
      </c>
      <c r="R28" s="17" t="s">
        <v>938</v>
      </c>
      <c r="T28" s="17" t="s">
        <v>937</v>
      </c>
    </row>
    <row r="29" spans="1:20" x14ac:dyDescent="0.25">
      <c r="A29" s="16">
        <v>905577824</v>
      </c>
      <c r="B29" s="16" t="str">
        <f t="shared" si="0"/>
        <v>9055778241</v>
      </c>
      <c r="C29" s="17" t="s">
        <v>204</v>
      </c>
      <c r="D29" s="17" t="s">
        <v>203</v>
      </c>
      <c r="E29" s="17">
        <v>17425766</v>
      </c>
      <c r="F29" s="17" t="s">
        <v>58</v>
      </c>
      <c r="G29" s="17" t="s">
        <v>45</v>
      </c>
      <c r="H29" s="17" t="s">
        <v>205</v>
      </c>
      <c r="I29" s="18">
        <v>45778</v>
      </c>
      <c r="L29" s="19">
        <v>0</v>
      </c>
      <c r="M29" s="19">
        <v>260</v>
      </c>
      <c r="N29" s="17">
        <v>1</v>
      </c>
      <c r="O29" s="20">
        <v>1</v>
      </c>
      <c r="P29" s="17">
        <v>260</v>
      </c>
      <c r="Q29" s="17" t="s">
        <v>119</v>
      </c>
      <c r="R29" s="17" t="s">
        <v>957</v>
      </c>
      <c r="T29" s="21" t="s">
        <v>958</v>
      </c>
    </row>
    <row r="30" spans="1:20" x14ac:dyDescent="0.25">
      <c r="A30" s="16">
        <v>130524428</v>
      </c>
      <c r="B30" s="16" t="str">
        <f t="shared" si="0"/>
        <v>1305244281</v>
      </c>
      <c r="C30" s="17" t="s">
        <v>284</v>
      </c>
      <c r="D30" s="17" t="s">
        <v>112</v>
      </c>
      <c r="E30" s="17">
        <v>17195620</v>
      </c>
      <c r="F30" s="17" t="s">
        <v>283</v>
      </c>
      <c r="G30" s="17" t="s">
        <v>45</v>
      </c>
      <c r="H30" s="17" t="s">
        <v>258</v>
      </c>
      <c r="I30" s="18">
        <v>45505</v>
      </c>
      <c r="J30" s="18">
        <v>45792</v>
      </c>
      <c r="K30" s="17">
        <v>1</v>
      </c>
      <c r="L30" s="19">
        <v>1</v>
      </c>
      <c r="M30" s="19">
        <v>1</v>
      </c>
      <c r="O30" s="20">
        <v>1</v>
      </c>
      <c r="P30" s="17">
        <v>25.5</v>
      </c>
      <c r="Q30" s="17" t="s">
        <v>248</v>
      </c>
      <c r="R30" s="17" t="s">
        <v>947</v>
      </c>
      <c r="T30" s="21" t="s">
        <v>937</v>
      </c>
    </row>
    <row r="31" spans="1:20" x14ac:dyDescent="0.25">
      <c r="A31" s="16">
        <v>130273314</v>
      </c>
      <c r="B31" s="16" t="str">
        <f t="shared" si="0"/>
        <v>1302733141</v>
      </c>
      <c r="C31" s="17" t="s">
        <v>285</v>
      </c>
      <c r="D31" s="17" t="s">
        <v>112</v>
      </c>
      <c r="E31" s="17">
        <v>17195620</v>
      </c>
      <c r="F31" s="17" t="s">
        <v>283</v>
      </c>
      <c r="G31" s="17" t="s">
        <v>45</v>
      </c>
      <c r="H31" s="17" t="s">
        <v>262</v>
      </c>
      <c r="I31" s="18">
        <v>45474</v>
      </c>
      <c r="J31" s="18">
        <v>45792</v>
      </c>
      <c r="K31" s="17">
        <v>1</v>
      </c>
      <c r="L31" s="19">
        <v>1</v>
      </c>
      <c r="M31" s="19">
        <v>1</v>
      </c>
      <c r="O31" s="20">
        <v>1</v>
      </c>
      <c r="P31" s="17">
        <v>25.5</v>
      </c>
      <c r="Q31" s="17" t="s">
        <v>248</v>
      </c>
      <c r="R31" s="17" t="s">
        <v>947</v>
      </c>
      <c r="T31" s="21" t="s">
        <v>937</v>
      </c>
    </row>
    <row r="32" spans="1:20" x14ac:dyDescent="0.25">
      <c r="A32" s="16">
        <v>993708991</v>
      </c>
      <c r="B32" s="16" t="str">
        <f t="shared" si="0"/>
        <v>9937089911</v>
      </c>
      <c r="C32" s="17" t="s">
        <v>257</v>
      </c>
      <c r="D32" s="17" t="s">
        <v>122</v>
      </c>
      <c r="E32" s="17">
        <v>19681796</v>
      </c>
      <c r="F32" s="17" t="s">
        <v>72</v>
      </c>
      <c r="G32" s="17" t="s">
        <v>45</v>
      </c>
      <c r="H32" s="17" t="s">
        <v>258</v>
      </c>
      <c r="I32" s="18">
        <v>45566</v>
      </c>
      <c r="J32" s="18">
        <v>45792</v>
      </c>
      <c r="K32" s="17">
        <v>1</v>
      </c>
      <c r="L32" s="19">
        <v>1</v>
      </c>
      <c r="M32" s="19">
        <v>1</v>
      </c>
      <c r="O32" s="20">
        <v>1</v>
      </c>
      <c r="P32" s="17">
        <v>25.5</v>
      </c>
      <c r="Q32" s="17" t="s">
        <v>248</v>
      </c>
      <c r="R32" s="17" t="s">
        <v>947</v>
      </c>
      <c r="T32" s="21" t="s">
        <v>937</v>
      </c>
    </row>
    <row r="33" spans="1:20" x14ac:dyDescent="0.25">
      <c r="A33" s="16" t="s">
        <v>655</v>
      </c>
      <c r="B33" s="16" t="str">
        <f t="shared" si="0"/>
        <v>A042503571</v>
      </c>
      <c r="C33" s="17" t="s">
        <v>138</v>
      </c>
      <c r="D33" s="17" t="s">
        <v>89</v>
      </c>
      <c r="E33" s="17">
        <v>8325282</v>
      </c>
      <c r="F33" s="17" t="s">
        <v>139</v>
      </c>
      <c r="G33" s="17" t="s">
        <v>45</v>
      </c>
      <c r="H33" s="17" t="s">
        <v>140</v>
      </c>
      <c r="I33" s="18">
        <v>45748</v>
      </c>
      <c r="L33" s="19">
        <v>0</v>
      </c>
      <c r="M33" s="19">
        <v>25.02</v>
      </c>
      <c r="N33" s="17">
        <v>9</v>
      </c>
      <c r="O33" s="20">
        <v>1</v>
      </c>
      <c r="P33" s="17">
        <v>225.18</v>
      </c>
      <c r="R33" s="17" t="s">
        <v>941</v>
      </c>
    </row>
    <row r="34" spans="1:20" x14ac:dyDescent="0.25">
      <c r="A34" s="16" t="s">
        <v>717</v>
      </c>
      <c r="B34" s="16" t="str">
        <f t="shared" si="0"/>
        <v>A042563151</v>
      </c>
      <c r="C34" s="17" t="s">
        <v>188</v>
      </c>
      <c r="D34" s="17" t="s">
        <v>89</v>
      </c>
      <c r="E34" s="17">
        <v>8325282</v>
      </c>
      <c r="F34" s="17" t="s">
        <v>139</v>
      </c>
      <c r="G34" s="17" t="s">
        <v>45</v>
      </c>
      <c r="H34" s="17" t="s">
        <v>144</v>
      </c>
      <c r="I34" s="18">
        <v>45748</v>
      </c>
      <c r="L34" s="19">
        <v>0</v>
      </c>
      <c r="M34" s="19">
        <v>31.98</v>
      </c>
      <c r="N34" s="17">
        <v>9</v>
      </c>
      <c r="O34" s="20">
        <v>1</v>
      </c>
      <c r="P34" s="17">
        <v>287.82</v>
      </c>
      <c r="R34" s="17" t="s">
        <v>942</v>
      </c>
    </row>
    <row r="35" spans="1:20" x14ac:dyDescent="0.25">
      <c r="A35" s="16" t="s">
        <v>931</v>
      </c>
      <c r="B35" s="16" t="str">
        <f t="shared" si="0"/>
        <v>A037551451</v>
      </c>
      <c r="C35" s="17" t="s">
        <v>254</v>
      </c>
      <c r="D35" s="17" t="s">
        <v>89</v>
      </c>
      <c r="E35" s="17">
        <v>8325282</v>
      </c>
      <c r="F35" s="17" t="s">
        <v>139</v>
      </c>
      <c r="G35" s="17" t="s">
        <v>45</v>
      </c>
      <c r="H35" s="17" t="s">
        <v>253</v>
      </c>
      <c r="I35" s="18">
        <v>45627</v>
      </c>
      <c r="J35" s="18">
        <v>45792</v>
      </c>
      <c r="K35" s="17">
        <v>1</v>
      </c>
      <c r="L35" s="19">
        <v>1</v>
      </c>
      <c r="M35" s="19">
        <v>1</v>
      </c>
      <c r="O35" s="20">
        <v>1</v>
      </c>
      <c r="P35" s="17">
        <v>28.78</v>
      </c>
      <c r="Q35" s="17" t="s">
        <v>248</v>
      </c>
      <c r="R35" s="17" t="s">
        <v>943</v>
      </c>
    </row>
    <row r="36" spans="1:20" x14ac:dyDescent="0.25">
      <c r="A36" s="16" t="s">
        <v>657</v>
      </c>
      <c r="B36" s="16" t="str">
        <f t="shared" si="0"/>
        <v>A042528481</v>
      </c>
      <c r="C36" s="17" t="s">
        <v>143</v>
      </c>
      <c r="D36" s="17" t="s">
        <v>89</v>
      </c>
      <c r="E36" s="17">
        <v>8325282</v>
      </c>
      <c r="F36" s="17" t="s">
        <v>139</v>
      </c>
      <c r="G36" s="17" t="s">
        <v>45</v>
      </c>
      <c r="H36" s="17" t="s">
        <v>144</v>
      </c>
      <c r="I36" s="18">
        <v>45809</v>
      </c>
      <c r="L36" s="19">
        <v>0</v>
      </c>
      <c r="M36" s="19">
        <v>31.98</v>
      </c>
      <c r="N36" s="17">
        <v>9</v>
      </c>
      <c r="O36" s="20">
        <v>1</v>
      </c>
      <c r="P36" s="17">
        <v>287.82</v>
      </c>
      <c r="R36" s="17" t="s">
        <v>942</v>
      </c>
    </row>
    <row r="37" spans="1:20" x14ac:dyDescent="0.25">
      <c r="A37" s="16">
        <v>967561705</v>
      </c>
      <c r="B37" s="16" t="str">
        <f t="shared" si="0"/>
        <v>9675617051</v>
      </c>
      <c r="C37" s="17" t="s">
        <v>268</v>
      </c>
      <c r="D37" s="17" t="s">
        <v>89</v>
      </c>
      <c r="E37" s="17">
        <v>8325282</v>
      </c>
      <c r="F37" s="17" t="s">
        <v>139</v>
      </c>
      <c r="G37" s="17" t="s">
        <v>45</v>
      </c>
      <c r="H37" s="17" t="s">
        <v>262</v>
      </c>
      <c r="I37" s="18">
        <v>45597</v>
      </c>
      <c r="J37" s="18">
        <v>45792</v>
      </c>
      <c r="K37" s="17">
        <v>1</v>
      </c>
      <c r="L37" s="19">
        <v>1</v>
      </c>
      <c r="M37" s="19">
        <v>1</v>
      </c>
      <c r="O37" s="20">
        <v>1</v>
      </c>
      <c r="P37" s="17">
        <v>25.5</v>
      </c>
      <c r="Q37" s="17" t="s">
        <v>248</v>
      </c>
      <c r="R37" s="17" t="s">
        <v>947</v>
      </c>
      <c r="T37" s="21" t="s">
        <v>937</v>
      </c>
    </row>
    <row r="38" spans="1:20" x14ac:dyDescent="0.25">
      <c r="A38" s="16">
        <v>953075319</v>
      </c>
      <c r="B38" s="16" t="str">
        <f t="shared" si="0"/>
        <v>9530753191</v>
      </c>
      <c r="C38" s="17" t="s">
        <v>195</v>
      </c>
      <c r="D38" s="17" t="s">
        <v>194</v>
      </c>
      <c r="E38" s="17">
        <v>8325282</v>
      </c>
      <c r="F38" s="17" t="s">
        <v>139</v>
      </c>
      <c r="G38" s="17" t="s">
        <v>45</v>
      </c>
      <c r="H38" s="17" t="s">
        <v>123</v>
      </c>
      <c r="I38" s="18">
        <v>45839</v>
      </c>
      <c r="L38" s="19">
        <v>0</v>
      </c>
      <c r="M38" s="19">
        <v>156.5</v>
      </c>
      <c r="N38" s="17">
        <v>1</v>
      </c>
      <c r="O38" s="20">
        <v>1</v>
      </c>
      <c r="P38" s="17">
        <v>156.5</v>
      </c>
      <c r="Q38" s="17" t="s">
        <v>196</v>
      </c>
      <c r="R38" s="17" t="s">
        <v>951</v>
      </c>
      <c r="T38" s="17" t="s">
        <v>956</v>
      </c>
    </row>
    <row r="39" spans="1:20" x14ac:dyDescent="0.25">
      <c r="A39" s="16">
        <v>957220266</v>
      </c>
      <c r="B39" s="16" t="str">
        <f t="shared" si="0"/>
        <v>9572202661</v>
      </c>
      <c r="C39" s="17" t="s">
        <v>193</v>
      </c>
      <c r="D39" s="17" t="s">
        <v>192</v>
      </c>
      <c r="E39" s="17" t="s">
        <v>963</v>
      </c>
      <c r="F39" s="17" t="s">
        <v>191</v>
      </c>
      <c r="G39" s="17" t="s">
        <v>45</v>
      </c>
      <c r="H39" s="17" t="s">
        <v>123</v>
      </c>
      <c r="I39" s="18">
        <v>45778</v>
      </c>
      <c r="L39" s="19">
        <v>0</v>
      </c>
      <c r="M39" s="19">
        <v>208.67</v>
      </c>
      <c r="N39" s="17">
        <v>1</v>
      </c>
      <c r="O39" s="20">
        <v>1</v>
      </c>
      <c r="P39" s="17">
        <v>208.67</v>
      </c>
      <c r="Q39" s="17" t="s">
        <v>119</v>
      </c>
      <c r="R39" s="17" t="s">
        <v>951</v>
      </c>
      <c r="T39" s="17" t="s">
        <v>954</v>
      </c>
    </row>
    <row r="40" spans="1:20" x14ac:dyDescent="0.25">
      <c r="A40" s="16" t="s">
        <v>677</v>
      </c>
      <c r="B40" s="16" t="str">
        <f t="shared" si="0"/>
        <v>968607439CB1</v>
      </c>
      <c r="C40" s="17" t="s">
        <v>127</v>
      </c>
      <c r="D40" s="17" t="s">
        <v>128</v>
      </c>
      <c r="E40" s="17">
        <v>17774994</v>
      </c>
      <c r="F40" s="17" t="s">
        <v>129</v>
      </c>
      <c r="G40" s="17" t="s">
        <v>148</v>
      </c>
      <c r="H40" s="17" t="s">
        <v>123</v>
      </c>
      <c r="I40" s="18">
        <v>45658</v>
      </c>
      <c r="L40" s="19">
        <v>0</v>
      </c>
      <c r="M40" s="17">
        <v>-313</v>
      </c>
      <c r="N40" s="17">
        <v>1</v>
      </c>
      <c r="O40" s="20">
        <v>1</v>
      </c>
      <c r="P40" s="17">
        <v>-313</v>
      </c>
      <c r="R40" s="17" t="s">
        <v>951</v>
      </c>
      <c r="T40" s="17" t="s">
        <v>955</v>
      </c>
    </row>
    <row r="41" spans="1:20" x14ac:dyDescent="0.25">
      <c r="A41" s="16">
        <v>968607439</v>
      </c>
      <c r="B41" s="16" t="str">
        <f t="shared" si="0"/>
        <v>9686074391</v>
      </c>
      <c r="C41" s="17" t="s">
        <v>127</v>
      </c>
      <c r="D41" s="17" t="s">
        <v>128</v>
      </c>
      <c r="E41" s="17">
        <v>17774994</v>
      </c>
      <c r="F41" s="17" t="s">
        <v>129</v>
      </c>
      <c r="G41" s="17" t="s">
        <v>45</v>
      </c>
      <c r="H41" s="17" t="s">
        <v>123</v>
      </c>
      <c r="I41" s="18">
        <v>45748</v>
      </c>
      <c r="L41" s="19">
        <v>0</v>
      </c>
      <c r="M41" s="19">
        <v>234.75</v>
      </c>
      <c r="N41" s="17">
        <v>1</v>
      </c>
      <c r="O41" s="20">
        <v>1</v>
      </c>
      <c r="P41" s="17">
        <v>234.75</v>
      </c>
      <c r="Q41" s="17" t="s">
        <v>91</v>
      </c>
      <c r="R41" s="17" t="s">
        <v>951</v>
      </c>
      <c r="T41" s="21" t="s">
        <v>952</v>
      </c>
    </row>
    <row r="42" spans="1:20" x14ac:dyDescent="0.25">
      <c r="A42" s="16" t="s">
        <v>678</v>
      </c>
      <c r="B42" s="16" t="str">
        <f t="shared" si="0"/>
        <v>986050443CB1</v>
      </c>
      <c r="C42" s="17" t="s">
        <v>131</v>
      </c>
      <c r="D42" s="17" t="s">
        <v>128</v>
      </c>
      <c r="E42" s="17">
        <v>17774994</v>
      </c>
      <c r="F42" s="17" t="s">
        <v>129</v>
      </c>
      <c r="G42" s="17" t="s">
        <v>148</v>
      </c>
      <c r="H42" s="17" t="s">
        <v>123</v>
      </c>
      <c r="I42" s="18">
        <v>45658</v>
      </c>
      <c r="L42" s="19">
        <v>0</v>
      </c>
      <c r="M42" s="17">
        <v>-313</v>
      </c>
      <c r="N42" s="17">
        <v>1</v>
      </c>
      <c r="O42" s="20">
        <v>1</v>
      </c>
      <c r="P42" s="17">
        <v>-313</v>
      </c>
      <c r="R42" s="17" t="s">
        <v>951</v>
      </c>
      <c r="T42" s="17" t="s">
        <v>955</v>
      </c>
    </row>
    <row r="43" spans="1:20" x14ac:dyDescent="0.25">
      <c r="A43" s="16">
        <v>986050443</v>
      </c>
      <c r="B43" s="16" t="str">
        <f t="shared" si="0"/>
        <v>9860504431</v>
      </c>
      <c r="C43" s="17" t="s">
        <v>131</v>
      </c>
      <c r="D43" s="17" t="s">
        <v>128</v>
      </c>
      <c r="E43" s="17">
        <v>17774994</v>
      </c>
      <c r="F43" s="17" t="s">
        <v>129</v>
      </c>
      <c r="G43" s="17" t="s">
        <v>45</v>
      </c>
      <c r="H43" s="17" t="s">
        <v>123</v>
      </c>
      <c r="I43" s="18">
        <v>45748</v>
      </c>
      <c r="L43" s="19">
        <v>0</v>
      </c>
      <c r="M43" s="19">
        <v>234.75</v>
      </c>
      <c r="N43" s="17">
        <v>1</v>
      </c>
      <c r="O43" s="20">
        <v>1</v>
      </c>
      <c r="P43" s="17">
        <v>234.75</v>
      </c>
      <c r="Q43" s="17" t="s">
        <v>91</v>
      </c>
      <c r="R43" s="17" t="s">
        <v>951</v>
      </c>
      <c r="T43" s="21" t="s">
        <v>952</v>
      </c>
    </row>
    <row r="44" spans="1:20" x14ac:dyDescent="0.25">
      <c r="A44" s="16" t="s">
        <v>742</v>
      </c>
      <c r="B44" s="16" t="str">
        <f>CONCATENATE(A44,98)</f>
        <v>992296804PC98</v>
      </c>
      <c r="C44" s="17" t="s">
        <v>168</v>
      </c>
      <c r="D44" s="17" t="s">
        <v>89</v>
      </c>
      <c r="E44" s="17">
        <v>17301495</v>
      </c>
      <c r="F44" s="17" t="s">
        <v>137</v>
      </c>
      <c r="G44" s="17" t="s">
        <v>148</v>
      </c>
      <c r="H44" s="17" t="s">
        <v>167</v>
      </c>
      <c r="I44" s="18">
        <v>45717</v>
      </c>
      <c r="L44" s="19">
        <v>0</v>
      </c>
      <c r="M44" s="17">
        <v>-469.5</v>
      </c>
      <c r="N44" s="17">
        <v>1</v>
      </c>
      <c r="O44" s="20">
        <v>1</v>
      </c>
      <c r="P44" s="17">
        <v>-469.5</v>
      </c>
      <c r="R44" s="17" t="s">
        <v>948</v>
      </c>
      <c r="T44" s="21" t="s">
        <v>950</v>
      </c>
    </row>
    <row r="45" spans="1:20" x14ac:dyDescent="0.25">
      <c r="A45" s="16">
        <v>992296804</v>
      </c>
      <c r="B45" s="16" t="str">
        <f>CONCATENATE(A45,1)</f>
        <v>9922968041</v>
      </c>
      <c r="C45" s="17" t="s">
        <v>168</v>
      </c>
      <c r="D45" s="17" t="s">
        <v>89</v>
      </c>
      <c r="E45" s="17">
        <v>17301495</v>
      </c>
      <c r="F45" s="17" t="s">
        <v>137</v>
      </c>
      <c r="G45" s="17" t="s">
        <v>45</v>
      </c>
      <c r="H45" s="17" t="s">
        <v>123</v>
      </c>
      <c r="I45" s="18">
        <v>45748</v>
      </c>
      <c r="L45" s="19">
        <v>0</v>
      </c>
      <c r="M45" s="19">
        <v>234.75</v>
      </c>
      <c r="N45" s="17">
        <v>1</v>
      </c>
      <c r="O45" s="20">
        <v>1</v>
      </c>
      <c r="P45" s="17">
        <v>234.75</v>
      </c>
      <c r="Q45" s="17" t="s">
        <v>91</v>
      </c>
      <c r="R45" s="17" t="s">
        <v>951</v>
      </c>
      <c r="T45" s="21" t="s">
        <v>952</v>
      </c>
    </row>
    <row r="46" spans="1:20" x14ac:dyDescent="0.25">
      <c r="A46" s="16">
        <v>992802492</v>
      </c>
      <c r="B46" s="16" t="str">
        <f>CONCATENATE(A46,98)</f>
        <v>99280249298</v>
      </c>
      <c r="C46" s="17" t="s">
        <v>136</v>
      </c>
      <c r="D46" s="17" t="s">
        <v>89</v>
      </c>
      <c r="E46" s="17">
        <v>17301495</v>
      </c>
      <c r="F46" s="17" t="s">
        <v>137</v>
      </c>
      <c r="G46" s="17" t="s">
        <v>45</v>
      </c>
      <c r="H46" s="17" t="s">
        <v>190</v>
      </c>
      <c r="I46" s="18">
        <v>45748</v>
      </c>
      <c r="L46" s="19">
        <v>0</v>
      </c>
      <c r="M46" s="19">
        <v>626</v>
      </c>
      <c r="N46" s="17">
        <v>1</v>
      </c>
      <c r="O46" s="20">
        <v>1</v>
      </c>
      <c r="P46" s="17">
        <v>626</v>
      </c>
      <c r="R46" s="17" t="s">
        <v>948</v>
      </c>
      <c r="T46" s="21" t="s">
        <v>949</v>
      </c>
    </row>
    <row r="47" spans="1:20" x14ac:dyDescent="0.25">
      <c r="A47" s="16" t="s">
        <v>743</v>
      </c>
      <c r="B47" s="16" t="str">
        <f>CONCATENATE(A47,1)</f>
        <v>992802492CB1</v>
      </c>
      <c r="C47" s="17" t="s">
        <v>136</v>
      </c>
      <c r="D47" s="17" t="s">
        <v>89</v>
      </c>
      <c r="E47" s="17">
        <v>17301495</v>
      </c>
      <c r="F47" s="17" t="s">
        <v>137</v>
      </c>
      <c r="G47" s="17" t="s">
        <v>148</v>
      </c>
      <c r="H47" s="17" t="s">
        <v>123</v>
      </c>
      <c r="I47" s="18">
        <v>45748</v>
      </c>
      <c r="L47" s="19">
        <v>0</v>
      </c>
      <c r="M47" s="17">
        <v>-234.75</v>
      </c>
      <c r="N47" s="17">
        <v>1</v>
      </c>
      <c r="O47" s="20">
        <v>1</v>
      </c>
      <c r="P47" s="17">
        <v>-234.75</v>
      </c>
      <c r="R47" s="17" t="s">
        <v>951</v>
      </c>
      <c r="T47" s="21" t="s">
        <v>952</v>
      </c>
    </row>
    <row r="48" spans="1:20" x14ac:dyDescent="0.25">
      <c r="A48" s="16">
        <v>992802492</v>
      </c>
      <c r="B48" s="16" t="str">
        <f>CONCATENATE(A48,1)</f>
        <v>9928024921</v>
      </c>
      <c r="C48" s="17" t="s">
        <v>136</v>
      </c>
      <c r="D48" s="17" t="s">
        <v>89</v>
      </c>
      <c r="E48" s="17">
        <v>17301495</v>
      </c>
      <c r="F48" s="17" t="s">
        <v>137</v>
      </c>
      <c r="G48" s="17" t="s">
        <v>45</v>
      </c>
      <c r="H48" s="17" t="s">
        <v>123</v>
      </c>
      <c r="I48" s="18">
        <v>45748</v>
      </c>
      <c r="L48" s="19">
        <v>0</v>
      </c>
      <c r="M48" s="19">
        <v>234.75</v>
      </c>
      <c r="N48" s="17">
        <v>1</v>
      </c>
      <c r="O48" s="20">
        <v>1</v>
      </c>
      <c r="P48" s="17">
        <v>234.75</v>
      </c>
      <c r="Q48" s="17" t="s">
        <v>91</v>
      </c>
      <c r="R48" s="17" t="s">
        <v>951</v>
      </c>
      <c r="T48" s="21" t="s">
        <v>952</v>
      </c>
    </row>
    <row r="49" spans="1:20" x14ac:dyDescent="0.25">
      <c r="A49" s="16">
        <v>986931736</v>
      </c>
      <c r="B49" s="16" t="str">
        <f>CONCATENATE(A49,98)</f>
        <v>98693173698</v>
      </c>
      <c r="C49" s="17" t="s">
        <v>170</v>
      </c>
      <c r="D49" s="17" t="s">
        <v>89</v>
      </c>
      <c r="E49" s="17">
        <v>17301495</v>
      </c>
      <c r="F49" s="17" t="s">
        <v>137</v>
      </c>
      <c r="G49" s="17" t="s">
        <v>45</v>
      </c>
      <c r="H49" s="17" t="s">
        <v>190</v>
      </c>
      <c r="I49" s="18">
        <v>45748</v>
      </c>
      <c r="L49" s="19">
        <v>0</v>
      </c>
      <c r="M49" s="19">
        <v>626</v>
      </c>
      <c r="N49" s="17">
        <v>1</v>
      </c>
      <c r="O49" s="20">
        <v>1</v>
      </c>
      <c r="P49" s="17">
        <v>626</v>
      </c>
      <c r="R49" s="17" t="s">
        <v>948</v>
      </c>
      <c r="T49" s="21" t="s">
        <v>949</v>
      </c>
    </row>
    <row r="50" spans="1:20" x14ac:dyDescent="0.25">
      <c r="A50" s="16" t="s">
        <v>739</v>
      </c>
      <c r="B50" s="16" t="str">
        <f>CONCATENATE(A50,1)</f>
        <v>986931736CB1</v>
      </c>
      <c r="C50" s="17" t="s">
        <v>170</v>
      </c>
      <c r="D50" s="17" t="s">
        <v>89</v>
      </c>
      <c r="E50" s="17">
        <v>17301495</v>
      </c>
      <c r="F50" s="17" t="s">
        <v>137</v>
      </c>
      <c r="G50" s="17" t="s">
        <v>148</v>
      </c>
      <c r="H50" s="17" t="s">
        <v>123</v>
      </c>
      <c r="I50" s="18">
        <v>45748</v>
      </c>
      <c r="L50" s="19">
        <v>0</v>
      </c>
      <c r="M50" s="17">
        <v>-234.75</v>
      </c>
      <c r="N50" s="17">
        <v>1</v>
      </c>
      <c r="O50" s="20">
        <v>1</v>
      </c>
      <c r="P50" s="17">
        <v>-234.75</v>
      </c>
      <c r="R50" s="17" t="s">
        <v>951</v>
      </c>
      <c r="T50" s="21" t="s">
        <v>952</v>
      </c>
    </row>
    <row r="51" spans="1:20" x14ac:dyDescent="0.25">
      <c r="A51" s="16" t="s">
        <v>780</v>
      </c>
      <c r="B51" s="16" t="str">
        <f>CONCATENATE(A51,1)</f>
        <v>00021853327K1</v>
      </c>
      <c r="C51" s="17" t="s">
        <v>588</v>
      </c>
      <c r="D51" s="17" t="s">
        <v>43</v>
      </c>
      <c r="E51" s="17">
        <v>8814784</v>
      </c>
      <c r="F51" s="17" t="s">
        <v>68</v>
      </c>
      <c r="G51" s="17" t="s">
        <v>45</v>
      </c>
      <c r="H51" s="17" t="s">
        <v>511</v>
      </c>
      <c r="I51" s="18">
        <v>45474</v>
      </c>
      <c r="J51" s="18">
        <v>45792</v>
      </c>
      <c r="K51" s="17">
        <v>1</v>
      </c>
      <c r="L51" s="19">
        <v>1</v>
      </c>
      <c r="M51" s="19">
        <v>1</v>
      </c>
      <c r="O51" s="20">
        <v>1</v>
      </c>
      <c r="P51" s="17">
        <v>25.5</v>
      </c>
      <c r="Q51" s="17" t="s">
        <v>473</v>
      </c>
      <c r="R51" s="17" t="s">
        <v>938</v>
      </c>
      <c r="T51" s="17" t="s">
        <v>937</v>
      </c>
    </row>
    <row r="52" spans="1:20" x14ac:dyDescent="0.25">
      <c r="A52" s="16">
        <v>926202494</v>
      </c>
      <c r="B52" s="16" t="str">
        <f>CONCATENATE(A52,1)</f>
        <v>9262024941</v>
      </c>
      <c r="C52" s="17" t="s">
        <v>125</v>
      </c>
      <c r="D52" s="17" t="s">
        <v>126</v>
      </c>
      <c r="E52" s="17">
        <v>9213293</v>
      </c>
      <c r="F52" s="17" t="s">
        <v>50</v>
      </c>
      <c r="G52" s="17" t="s">
        <v>45</v>
      </c>
      <c r="H52" s="17" t="s">
        <v>123</v>
      </c>
      <c r="I52" s="18">
        <v>45748</v>
      </c>
      <c r="L52" s="19">
        <v>0</v>
      </c>
      <c r="M52" s="19">
        <v>234.75</v>
      </c>
      <c r="N52" s="17">
        <v>1</v>
      </c>
      <c r="O52" s="20">
        <v>1</v>
      </c>
      <c r="P52" s="17">
        <v>234.75</v>
      </c>
      <c r="Q52" s="17" t="s">
        <v>91</v>
      </c>
      <c r="R52" s="17" t="s">
        <v>951</v>
      </c>
      <c r="T52" s="21" t="s">
        <v>952</v>
      </c>
    </row>
    <row r="53" spans="1:20" x14ac:dyDescent="0.25">
      <c r="A53" s="16">
        <v>925390858</v>
      </c>
      <c r="B53" s="16" t="str">
        <f>CONCATENATE(A53,98)</f>
        <v>92539085898</v>
      </c>
      <c r="C53" s="17" t="s">
        <v>176</v>
      </c>
      <c r="D53" s="17" t="s">
        <v>89</v>
      </c>
      <c r="E53" s="17">
        <v>9213293</v>
      </c>
      <c r="F53" s="17" t="s">
        <v>50</v>
      </c>
      <c r="G53" s="17" t="s">
        <v>45</v>
      </c>
      <c r="H53" s="17" t="s">
        <v>190</v>
      </c>
      <c r="I53" s="18">
        <v>45809</v>
      </c>
      <c r="L53" s="19">
        <v>0</v>
      </c>
      <c r="M53" s="19">
        <v>626</v>
      </c>
      <c r="N53" s="17">
        <v>1</v>
      </c>
      <c r="O53" s="20">
        <v>1</v>
      </c>
      <c r="P53" s="17">
        <v>626</v>
      </c>
      <c r="R53" s="17" t="s">
        <v>948</v>
      </c>
      <c r="T53" s="21" t="s">
        <v>949</v>
      </c>
    </row>
    <row r="54" spans="1:20" x14ac:dyDescent="0.25">
      <c r="A54" s="16" t="s">
        <v>730</v>
      </c>
      <c r="B54" s="16" t="str">
        <f>CONCATENATE(A54,1)</f>
        <v>925390858CB1</v>
      </c>
      <c r="C54" s="17" t="s">
        <v>176</v>
      </c>
      <c r="D54" s="17" t="s">
        <v>89</v>
      </c>
      <c r="E54" s="17">
        <v>9213293</v>
      </c>
      <c r="F54" s="17" t="s">
        <v>50</v>
      </c>
      <c r="G54" s="17" t="s">
        <v>148</v>
      </c>
      <c r="H54" s="17" t="s">
        <v>123</v>
      </c>
      <c r="I54" s="18">
        <v>45809</v>
      </c>
      <c r="L54" s="19">
        <v>0</v>
      </c>
      <c r="M54" s="17">
        <v>-182.58</v>
      </c>
      <c r="N54" s="17">
        <v>1</v>
      </c>
      <c r="O54" s="20">
        <v>1</v>
      </c>
      <c r="P54" s="17">
        <v>-182.58</v>
      </c>
      <c r="R54" s="17" t="s">
        <v>951</v>
      </c>
      <c r="T54" s="17" t="s">
        <v>953</v>
      </c>
    </row>
    <row r="55" spans="1:20" x14ac:dyDescent="0.25">
      <c r="A55" s="16" t="s">
        <v>769</v>
      </c>
      <c r="B55" s="16" t="str">
        <f>CONCATENATE(A55,1)</f>
        <v>00021812164K1</v>
      </c>
      <c r="C55" s="17" t="s">
        <v>595</v>
      </c>
      <c r="D55" s="17" t="s">
        <v>43</v>
      </c>
      <c r="E55" s="17">
        <v>9213293</v>
      </c>
      <c r="F55" s="17" t="s">
        <v>50</v>
      </c>
      <c r="G55" s="17" t="s">
        <v>45</v>
      </c>
      <c r="H55" s="17" t="s">
        <v>511</v>
      </c>
      <c r="I55" s="18">
        <v>45444</v>
      </c>
      <c r="J55" s="18">
        <v>45792</v>
      </c>
      <c r="K55" s="17">
        <v>1</v>
      </c>
      <c r="L55" s="19">
        <v>1</v>
      </c>
      <c r="M55" s="19">
        <v>1</v>
      </c>
      <c r="O55" s="20">
        <v>1</v>
      </c>
      <c r="P55" s="17">
        <v>25.5</v>
      </c>
      <c r="Q55" s="17" t="s">
        <v>473</v>
      </c>
      <c r="R55" s="17" t="s">
        <v>938</v>
      </c>
      <c r="T55" s="17" t="s">
        <v>937</v>
      </c>
    </row>
    <row r="56" spans="1:20" x14ac:dyDescent="0.25">
      <c r="A56" s="16">
        <v>957421267</v>
      </c>
      <c r="B56" s="16" t="str">
        <f>CONCATENATE(A56,98)</f>
        <v>95742126798</v>
      </c>
      <c r="C56" s="17" t="s">
        <v>174</v>
      </c>
      <c r="D56" s="17" t="s">
        <v>89</v>
      </c>
      <c r="E56" s="17">
        <v>9213293</v>
      </c>
      <c r="F56" s="17" t="s">
        <v>50</v>
      </c>
      <c r="G56" s="17" t="s">
        <v>45</v>
      </c>
      <c r="H56" s="17" t="s">
        <v>190</v>
      </c>
      <c r="I56" s="18">
        <v>45748</v>
      </c>
      <c r="L56" s="19">
        <v>0</v>
      </c>
      <c r="M56" s="19">
        <v>626</v>
      </c>
      <c r="N56" s="17">
        <v>1</v>
      </c>
      <c r="O56" s="20">
        <v>1</v>
      </c>
      <c r="P56" s="17">
        <v>626</v>
      </c>
      <c r="R56" s="17" t="s">
        <v>948</v>
      </c>
      <c r="T56" s="21" t="s">
        <v>949</v>
      </c>
    </row>
    <row r="57" spans="1:20" x14ac:dyDescent="0.25">
      <c r="A57" s="16" t="s">
        <v>733</v>
      </c>
      <c r="B57" s="16" t="str">
        <f t="shared" ref="B57:B65" si="1">CONCATENATE(A57,1)</f>
        <v>957421267CB1</v>
      </c>
      <c r="C57" s="17" t="s">
        <v>174</v>
      </c>
      <c r="D57" s="17" t="s">
        <v>89</v>
      </c>
      <c r="E57" s="17">
        <v>9213293</v>
      </c>
      <c r="F57" s="17" t="s">
        <v>50</v>
      </c>
      <c r="G57" s="17" t="s">
        <v>148</v>
      </c>
      <c r="H57" s="17" t="s">
        <v>123</v>
      </c>
      <c r="I57" s="18">
        <v>45748</v>
      </c>
      <c r="L57" s="19">
        <v>0</v>
      </c>
      <c r="M57" s="17">
        <v>-234.75</v>
      </c>
      <c r="N57" s="17">
        <v>1</v>
      </c>
      <c r="O57" s="20">
        <v>1</v>
      </c>
      <c r="P57" s="17">
        <v>-234.75</v>
      </c>
      <c r="R57" s="17" t="s">
        <v>951</v>
      </c>
      <c r="T57" s="21" t="s">
        <v>952</v>
      </c>
    </row>
    <row r="58" spans="1:20" x14ac:dyDescent="0.25">
      <c r="A58" s="16">
        <v>992426853</v>
      </c>
      <c r="B58" s="16" t="str">
        <f t="shared" si="1"/>
        <v>9924268531</v>
      </c>
      <c r="C58" s="17" t="s">
        <v>259</v>
      </c>
      <c r="D58" s="17" t="s">
        <v>89</v>
      </c>
      <c r="E58" s="17">
        <v>9213293</v>
      </c>
      <c r="F58" s="17" t="s">
        <v>50</v>
      </c>
      <c r="G58" s="17" t="s">
        <v>45</v>
      </c>
      <c r="H58" s="17" t="s">
        <v>260</v>
      </c>
      <c r="I58" s="18">
        <v>45566</v>
      </c>
      <c r="J58" s="18">
        <v>45792</v>
      </c>
      <c r="K58" s="17">
        <v>1</v>
      </c>
      <c r="L58" s="19">
        <v>1</v>
      </c>
      <c r="M58" s="19">
        <v>1</v>
      </c>
      <c r="O58" s="20">
        <v>1</v>
      </c>
      <c r="P58" s="17">
        <v>25.5</v>
      </c>
      <c r="Q58" s="17" t="s">
        <v>248</v>
      </c>
      <c r="R58" s="17" t="s">
        <v>947</v>
      </c>
      <c r="T58" s="21" t="s">
        <v>937</v>
      </c>
    </row>
    <row r="59" spans="1:20" x14ac:dyDescent="0.25">
      <c r="A59" s="16" t="s">
        <v>716</v>
      </c>
      <c r="B59" s="16" t="str">
        <f t="shared" si="1"/>
        <v>A042523511</v>
      </c>
      <c r="C59" s="17" t="s">
        <v>83</v>
      </c>
      <c r="D59" s="17" t="s">
        <v>84</v>
      </c>
      <c r="E59" s="17">
        <v>9213293</v>
      </c>
      <c r="F59" s="17" t="s">
        <v>50</v>
      </c>
      <c r="G59" s="17" t="s">
        <v>45</v>
      </c>
      <c r="H59" s="17" t="s">
        <v>189</v>
      </c>
      <c r="I59" s="18">
        <v>45809</v>
      </c>
      <c r="L59" s="19">
        <v>0</v>
      </c>
      <c r="M59" s="19">
        <v>44.31</v>
      </c>
      <c r="N59" s="17">
        <v>9</v>
      </c>
      <c r="O59" s="20">
        <v>1</v>
      </c>
      <c r="P59" s="17">
        <v>398.79</v>
      </c>
      <c r="R59" s="17" t="s">
        <v>940</v>
      </c>
    </row>
    <row r="60" spans="1:20" x14ac:dyDescent="0.25">
      <c r="A60" s="16" t="s">
        <v>644</v>
      </c>
      <c r="B60" s="16" t="str">
        <f t="shared" si="1"/>
        <v>023065041PDP1</v>
      </c>
      <c r="C60" s="17" t="s">
        <v>83</v>
      </c>
      <c r="D60" s="17" t="s">
        <v>84</v>
      </c>
      <c r="E60" s="17">
        <v>9213293</v>
      </c>
      <c r="F60" s="17" t="s">
        <v>50</v>
      </c>
      <c r="G60" s="17" t="s">
        <v>45</v>
      </c>
      <c r="H60" s="17" t="s">
        <v>228</v>
      </c>
      <c r="I60" s="18">
        <v>45809</v>
      </c>
      <c r="L60" s="19">
        <v>0</v>
      </c>
      <c r="M60" s="19">
        <v>109</v>
      </c>
      <c r="N60" s="17">
        <v>1</v>
      </c>
      <c r="O60" s="20">
        <v>1</v>
      </c>
      <c r="P60" s="17">
        <v>109</v>
      </c>
      <c r="R60" s="17" t="s">
        <v>961</v>
      </c>
    </row>
    <row r="61" spans="1:20" x14ac:dyDescent="0.25">
      <c r="A61" s="16" t="s">
        <v>724</v>
      </c>
      <c r="B61" s="16" t="str">
        <f t="shared" si="1"/>
        <v>023065041PDPCB1</v>
      </c>
      <c r="C61" s="17" t="s">
        <v>83</v>
      </c>
      <c r="D61" s="17" t="s">
        <v>84</v>
      </c>
      <c r="E61" s="17">
        <v>9213293</v>
      </c>
      <c r="F61" s="17" t="s">
        <v>50</v>
      </c>
      <c r="G61" s="17" t="s">
        <v>148</v>
      </c>
      <c r="H61" s="17" t="s">
        <v>85</v>
      </c>
      <c r="I61" s="18">
        <v>45809</v>
      </c>
      <c r="L61" s="19">
        <v>0</v>
      </c>
      <c r="M61" s="17">
        <v>-32.08</v>
      </c>
      <c r="N61" s="17">
        <v>1</v>
      </c>
      <c r="O61" s="20">
        <v>1</v>
      </c>
      <c r="P61" s="17">
        <v>-32.08</v>
      </c>
      <c r="R61" s="17" t="s">
        <v>961</v>
      </c>
    </row>
    <row r="62" spans="1:20" x14ac:dyDescent="0.25">
      <c r="A62" s="16" t="s">
        <v>644</v>
      </c>
      <c r="B62" s="16" t="str">
        <f t="shared" si="1"/>
        <v>023065041PDP1</v>
      </c>
      <c r="C62" s="17" t="s">
        <v>83</v>
      </c>
      <c r="D62" s="17" t="s">
        <v>84</v>
      </c>
      <c r="E62" s="17">
        <v>9213293</v>
      </c>
      <c r="F62" s="17" t="s">
        <v>50</v>
      </c>
      <c r="G62" s="17" t="s">
        <v>45</v>
      </c>
      <c r="H62" s="17" t="s">
        <v>85</v>
      </c>
      <c r="I62" s="18">
        <v>45809</v>
      </c>
      <c r="L62" s="19">
        <v>0</v>
      </c>
      <c r="M62" s="19">
        <v>32.08</v>
      </c>
      <c r="N62" s="17">
        <v>1</v>
      </c>
      <c r="O62" s="20">
        <v>1</v>
      </c>
      <c r="P62" s="17">
        <v>32.08</v>
      </c>
      <c r="Q62" s="17" t="s">
        <v>86</v>
      </c>
      <c r="R62" s="17" t="s">
        <v>961</v>
      </c>
    </row>
    <row r="63" spans="1:20" x14ac:dyDescent="0.25">
      <c r="A63" s="16">
        <v>906051412</v>
      </c>
      <c r="B63" s="16" t="str">
        <f t="shared" si="1"/>
        <v>9060514121</v>
      </c>
      <c r="C63" s="17" t="s">
        <v>276</v>
      </c>
      <c r="D63" s="17" t="s">
        <v>89</v>
      </c>
      <c r="E63" s="17">
        <v>9213293</v>
      </c>
      <c r="F63" s="17" t="s">
        <v>50</v>
      </c>
      <c r="G63" s="17" t="s">
        <v>45</v>
      </c>
      <c r="H63" s="17" t="s">
        <v>262</v>
      </c>
      <c r="I63" s="18">
        <v>45566</v>
      </c>
      <c r="J63" s="18">
        <v>45792</v>
      </c>
      <c r="K63" s="17">
        <v>1</v>
      </c>
      <c r="L63" s="19">
        <v>1</v>
      </c>
      <c r="M63" s="19">
        <v>1</v>
      </c>
      <c r="O63" s="20">
        <v>1</v>
      </c>
      <c r="P63" s="17">
        <v>25.5</v>
      </c>
      <c r="Q63" s="17" t="s">
        <v>248</v>
      </c>
      <c r="R63" s="17" t="s">
        <v>947</v>
      </c>
      <c r="T63" s="21" t="s">
        <v>937</v>
      </c>
    </row>
    <row r="64" spans="1:20" x14ac:dyDescent="0.25">
      <c r="A64" s="16" t="s">
        <v>679</v>
      </c>
      <c r="B64" s="16" t="str">
        <f t="shared" si="1"/>
        <v>A04248221CB1</v>
      </c>
      <c r="C64" s="17" t="s">
        <v>166</v>
      </c>
      <c r="D64" s="17" t="s">
        <v>89</v>
      </c>
      <c r="E64" s="17">
        <v>9213293</v>
      </c>
      <c r="F64" s="17" t="s">
        <v>50</v>
      </c>
      <c r="G64" s="17" t="s">
        <v>148</v>
      </c>
      <c r="H64" s="17" t="s">
        <v>144</v>
      </c>
      <c r="I64" s="18">
        <v>45748</v>
      </c>
      <c r="L64" s="19">
        <v>0</v>
      </c>
      <c r="M64" s="17">
        <v>-287.82</v>
      </c>
      <c r="N64" s="17">
        <v>1</v>
      </c>
      <c r="O64" s="20">
        <v>1</v>
      </c>
      <c r="P64" s="17">
        <v>-287.82</v>
      </c>
      <c r="R64" s="17" t="s">
        <v>942</v>
      </c>
    </row>
    <row r="65" spans="1:20" x14ac:dyDescent="0.25">
      <c r="A65" s="16">
        <v>916875754</v>
      </c>
      <c r="B65" s="16" t="str">
        <f t="shared" si="1"/>
        <v>9168757541</v>
      </c>
      <c r="C65" s="17" t="s">
        <v>202</v>
      </c>
      <c r="D65" s="17" t="s">
        <v>89</v>
      </c>
      <c r="E65" s="17">
        <v>9213293</v>
      </c>
      <c r="F65" s="17" t="s">
        <v>50</v>
      </c>
      <c r="G65" s="17" t="s">
        <v>45</v>
      </c>
      <c r="H65" s="17" t="s">
        <v>123</v>
      </c>
      <c r="I65" s="18">
        <v>45778</v>
      </c>
      <c r="L65" s="19">
        <v>0</v>
      </c>
      <c r="M65" s="19">
        <v>208.67</v>
      </c>
      <c r="N65" s="17">
        <v>1</v>
      </c>
      <c r="O65" s="20">
        <v>1</v>
      </c>
      <c r="P65" s="17">
        <v>208.67</v>
      </c>
      <c r="Q65" s="17" t="s">
        <v>119</v>
      </c>
      <c r="R65" s="17" t="s">
        <v>951</v>
      </c>
      <c r="T65" s="17" t="s">
        <v>954</v>
      </c>
    </row>
    <row r="66" spans="1:20" x14ac:dyDescent="0.25">
      <c r="A66" s="16">
        <v>922650134</v>
      </c>
      <c r="B66" s="16" t="str">
        <f>CONCATENATE(A66,98)</f>
        <v>92265013498</v>
      </c>
      <c r="C66" s="17" t="s">
        <v>121</v>
      </c>
      <c r="D66" s="17" t="s">
        <v>122</v>
      </c>
      <c r="E66" s="17">
        <v>9213293</v>
      </c>
      <c r="F66" s="17" t="s">
        <v>50</v>
      </c>
      <c r="G66" s="17" t="s">
        <v>45</v>
      </c>
      <c r="H66" s="17" t="s">
        <v>190</v>
      </c>
      <c r="I66" s="18">
        <v>45809</v>
      </c>
      <c r="L66" s="19">
        <v>0</v>
      </c>
      <c r="M66" s="19">
        <v>626</v>
      </c>
      <c r="N66" s="17">
        <v>1</v>
      </c>
      <c r="O66" s="20">
        <v>1</v>
      </c>
      <c r="P66" s="17">
        <v>626</v>
      </c>
      <c r="R66" s="17" t="s">
        <v>948</v>
      </c>
      <c r="T66" s="21" t="s">
        <v>949</v>
      </c>
    </row>
    <row r="67" spans="1:20" x14ac:dyDescent="0.25">
      <c r="A67" s="16" t="s">
        <v>728</v>
      </c>
      <c r="B67" s="16" t="str">
        <f>CONCATENATE(A67,1)</f>
        <v>922650134CB1</v>
      </c>
      <c r="C67" s="17" t="s">
        <v>121</v>
      </c>
      <c r="D67" s="17" t="s">
        <v>122</v>
      </c>
      <c r="E67" s="17">
        <v>9213293</v>
      </c>
      <c r="F67" s="17" t="s">
        <v>50</v>
      </c>
      <c r="G67" s="17" t="s">
        <v>148</v>
      </c>
      <c r="H67" s="17" t="s">
        <v>123</v>
      </c>
      <c r="I67" s="18">
        <v>45809</v>
      </c>
      <c r="L67" s="19">
        <v>0</v>
      </c>
      <c r="M67" s="17">
        <v>-182.58</v>
      </c>
      <c r="N67" s="17">
        <v>1</v>
      </c>
      <c r="O67" s="20">
        <v>1</v>
      </c>
      <c r="P67" s="17">
        <v>-182.58</v>
      </c>
      <c r="R67" s="17" t="s">
        <v>951</v>
      </c>
      <c r="T67" s="17" t="s">
        <v>953</v>
      </c>
    </row>
    <row r="68" spans="1:20" x14ac:dyDescent="0.25">
      <c r="A68" s="16">
        <v>922650134</v>
      </c>
      <c r="B68" s="16" t="str">
        <f>CONCATENATE(A68,1)</f>
        <v>9226501341</v>
      </c>
      <c r="C68" s="17" t="s">
        <v>121</v>
      </c>
      <c r="D68" s="17" t="s">
        <v>122</v>
      </c>
      <c r="E68" s="17">
        <v>9213293</v>
      </c>
      <c r="F68" s="17" t="s">
        <v>50</v>
      </c>
      <c r="G68" s="17" t="s">
        <v>45</v>
      </c>
      <c r="H68" s="17" t="s">
        <v>123</v>
      </c>
      <c r="I68" s="18">
        <v>45809</v>
      </c>
      <c r="L68" s="19">
        <v>0</v>
      </c>
      <c r="M68" s="19">
        <v>182.58</v>
      </c>
      <c r="N68" s="17">
        <v>1</v>
      </c>
      <c r="O68" s="20">
        <v>1</v>
      </c>
      <c r="P68" s="17">
        <v>182.58</v>
      </c>
      <c r="Q68" s="17" t="s">
        <v>86</v>
      </c>
      <c r="R68" s="17" t="s">
        <v>951</v>
      </c>
      <c r="T68" s="17" t="s">
        <v>953</v>
      </c>
    </row>
    <row r="69" spans="1:20" x14ac:dyDescent="0.25">
      <c r="A69" s="16">
        <v>970181792</v>
      </c>
      <c r="B69" s="16" t="str">
        <f>CONCATENATE(A69,1)</f>
        <v>9701817921</v>
      </c>
      <c r="C69" s="17" t="s">
        <v>266</v>
      </c>
      <c r="D69" s="17" t="s">
        <v>265</v>
      </c>
      <c r="E69" s="17">
        <v>8307933</v>
      </c>
      <c r="F69" s="17" t="s">
        <v>118</v>
      </c>
      <c r="G69" s="17" t="s">
        <v>250</v>
      </c>
      <c r="H69" s="17" t="s">
        <v>262</v>
      </c>
      <c r="I69" s="18">
        <v>45597</v>
      </c>
      <c r="J69" s="18">
        <v>45792</v>
      </c>
      <c r="K69" s="17">
        <v>1</v>
      </c>
      <c r="L69" s="19">
        <v>1</v>
      </c>
      <c r="M69" s="19">
        <v>1</v>
      </c>
      <c r="O69" s="20">
        <v>1</v>
      </c>
      <c r="P69" s="17">
        <v>25.5</v>
      </c>
      <c r="Q69" s="17" t="s">
        <v>248</v>
      </c>
      <c r="R69" s="17" t="s">
        <v>947</v>
      </c>
      <c r="T69" s="21" t="s">
        <v>937</v>
      </c>
    </row>
    <row r="70" spans="1:20" x14ac:dyDescent="0.25">
      <c r="A70" s="16">
        <v>992088421</v>
      </c>
      <c r="B70" s="16" t="str">
        <f>CONCATENATE(A70,1)</f>
        <v>9920884211</v>
      </c>
      <c r="C70" s="17" t="s">
        <v>263</v>
      </c>
      <c r="D70" s="17" t="s">
        <v>128</v>
      </c>
      <c r="E70" s="17">
        <v>8307933</v>
      </c>
      <c r="F70" s="17" t="s">
        <v>118</v>
      </c>
      <c r="G70" s="17" t="s">
        <v>45</v>
      </c>
      <c r="H70" s="17" t="s">
        <v>262</v>
      </c>
      <c r="I70" s="18">
        <v>45597</v>
      </c>
      <c r="J70" s="18">
        <v>45792</v>
      </c>
      <c r="K70" s="17">
        <v>1</v>
      </c>
      <c r="L70" s="19">
        <v>1</v>
      </c>
      <c r="M70" s="19">
        <v>1</v>
      </c>
      <c r="O70" s="20">
        <v>1</v>
      </c>
      <c r="P70" s="17">
        <v>25.5</v>
      </c>
      <c r="Q70" s="17" t="s">
        <v>248</v>
      </c>
      <c r="R70" s="17" t="s">
        <v>947</v>
      </c>
      <c r="T70" s="21" t="s">
        <v>937</v>
      </c>
    </row>
    <row r="71" spans="1:20" x14ac:dyDescent="0.25">
      <c r="A71" s="16" t="s">
        <v>675</v>
      </c>
      <c r="B71" s="16" t="str">
        <f>CONCATENATE(A71,1)</f>
        <v>901684397CB1</v>
      </c>
      <c r="C71" s="17" t="s">
        <v>165</v>
      </c>
      <c r="D71" s="17" t="s">
        <v>128</v>
      </c>
      <c r="E71" s="17">
        <v>8307933</v>
      </c>
      <c r="F71" s="17" t="s">
        <v>118</v>
      </c>
      <c r="G71" s="17" t="s">
        <v>148</v>
      </c>
      <c r="H71" s="17" t="s">
        <v>123</v>
      </c>
      <c r="I71" s="18">
        <v>45658</v>
      </c>
      <c r="L71" s="19">
        <v>0</v>
      </c>
      <c r="M71" s="17">
        <v>-313</v>
      </c>
      <c r="N71" s="17">
        <v>1</v>
      </c>
      <c r="O71" s="20">
        <v>1</v>
      </c>
      <c r="P71" s="17">
        <v>-313</v>
      </c>
      <c r="R71" s="17" t="s">
        <v>951</v>
      </c>
      <c r="T71" s="17" t="s">
        <v>955</v>
      </c>
    </row>
    <row r="72" spans="1:20" x14ac:dyDescent="0.25">
      <c r="A72" s="16">
        <v>924420238</v>
      </c>
      <c r="B72" s="16" t="str">
        <f>CONCATENATE(A72,98)</f>
        <v>92442023898</v>
      </c>
      <c r="C72" s="17" t="s">
        <v>178</v>
      </c>
      <c r="D72" s="17" t="s">
        <v>133</v>
      </c>
      <c r="E72" s="17">
        <v>16865615</v>
      </c>
      <c r="F72" s="17" t="s">
        <v>177</v>
      </c>
      <c r="G72" s="17" t="s">
        <v>45</v>
      </c>
      <c r="H72" s="17" t="s">
        <v>190</v>
      </c>
      <c r="I72" s="18">
        <v>45748</v>
      </c>
      <c r="L72" s="19">
        <v>0</v>
      </c>
      <c r="M72" s="19">
        <v>626</v>
      </c>
      <c r="N72" s="17">
        <v>1</v>
      </c>
      <c r="O72" s="20">
        <v>1</v>
      </c>
      <c r="P72" s="17">
        <v>626</v>
      </c>
      <c r="R72" s="17" t="s">
        <v>948</v>
      </c>
      <c r="T72" s="21" t="s">
        <v>949</v>
      </c>
    </row>
    <row r="73" spans="1:20" x14ac:dyDescent="0.25">
      <c r="A73" s="16" t="s">
        <v>729</v>
      </c>
      <c r="B73" s="16" t="str">
        <f t="shared" ref="B73:B80" si="2">CONCATENATE(A73,1)</f>
        <v>924420238CB1</v>
      </c>
      <c r="C73" s="17" t="s">
        <v>178</v>
      </c>
      <c r="D73" s="17" t="s">
        <v>133</v>
      </c>
      <c r="E73" s="17">
        <v>16865615</v>
      </c>
      <c r="F73" s="17" t="s">
        <v>177</v>
      </c>
      <c r="G73" s="17" t="s">
        <v>148</v>
      </c>
      <c r="H73" s="17" t="s">
        <v>123</v>
      </c>
      <c r="I73" s="18">
        <v>45748</v>
      </c>
      <c r="L73" s="19">
        <v>0</v>
      </c>
      <c r="M73" s="17">
        <v>-234.75</v>
      </c>
      <c r="N73" s="17">
        <v>1</v>
      </c>
      <c r="O73" s="20">
        <v>1</v>
      </c>
      <c r="P73" s="17">
        <v>-234.75</v>
      </c>
      <c r="R73" s="17" t="s">
        <v>951</v>
      </c>
      <c r="T73" s="21" t="s">
        <v>952</v>
      </c>
    </row>
    <row r="74" spans="1:20" x14ac:dyDescent="0.25">
      <c r="A74" s="16">
        <v>981141937</v>
      </c>
      <c r="B74" s="16" t="str">
        <f t="shared" si="2"/>
        <v>9811419371</v>
      </c>
      <c r="C74" s="17" t="s">
        <v>264</v>
      </c>
      <c r="D74" s="17" t="s">
        <v>133</v>
      </c>
      <c r="E74" s="17">
        <v>16865615</v>
      </c>
      <c r="F74" s="17" t="s">
        <v>177</v>
      </c>
      <c r="G74" s="17" t="s">
        <v>45</v>
      </c>
      <c r="H74" s="17" t="s">
        <v>258</v>
      </c>
      <c r="I74" s="18">
        <v>45597</v>
      </c>
      <c r="J74" s="18">
        <v>45792</v>
      </c>
      <c r="K74" s="17">
        <v>1</v>
      </c>
      <c r="L74" s="19">
        <v>1</v>
      </c>
      <c r="M74" s="19">
        <v>1</v>
      </c>
      <c r="O74" s="20">
        <v>1</v>
      </c>
      <c r="P74" s="17">
        <v>25.5</v>
      </c>
      <c r="Q74" s="17" t="s">
        <v>248</v>
      </c>
      <c r="R74" s="17" t="s">
        <v>947</v>
      </c>
      <c r="T74" s="21" t="s">
        <v>937</v>
      </c>
    </row>
    <row r="75" spans="1:20" x14ac:dyDescent="0.25">
      <c r="A75" s="16" t="s">
        <v>700</v>
      </c>
      <c r="B75" s="16" t="str">
        <f t="shared" si="2"/>
        <v>023056622OV1</v>
      </c>
      <c r="C75" s="17" t="s">
        <v>182</v>
      </c>
      <c r="D75" s="17" t="s">
        <v>133</v>
      </c>
      <c r="E75" s="17">
        <v>16865615</v>
      </c>
      <c r="F75" s="17" t="s">
        <v>177</v>
      </c>
      <c r="G75" s="17" t="s">
        <v>45</v>
      </c>
      <c r="H75" s="17" t="s">
        <v>228</v>
      </c>
      <c r="I75" s="18">
        <v>45748</v>
      </c>
      <c r="L75" s="19">
        <v>0</v>
      </c>
      <c r="M75" s="19">
        <v>109</v>
      </c>
      <c r="N75" s="17">
        <v>1</v>
      </c>
      <c r="O75" s="20">
        <v>1</v>
      </c>
      <c r="P75" s="17">
        <v>109</v>
      </c>
      <c r="R75" s="17" t="s">
        <v>961</v>
      </c>
    </row>
    <row r="76" spans="1:20" x14ac:dyDescent="0.25">
      <c r="A76" s="16" t="s">
        <v>722</v>
      </c>
      <c r="B76" s="16" t="str">
        <f t="shared" si="2"/>
        <v>023056622OVCB1</v>
      </c>
      <c r="C76" s="17" t="s">
        <v>182</v>
      </c>
      <c r="D76" s="17" t="s">
        <v>133</v>
      </c>
      <c r="E76" s="17">
        <v>16865615</v>
      </c>
      <c r="F76" s="17" t="s">
        <v>177</v>
      </c>
      <c r="G76" s="17" t="s">
        <v>148</v>
      </c>
      <c r="H76" s="17" t="s">
        <v>85</v>
      </c>
      <c r="I76" s="18">
        <v>45748</v>
      </c>
      <c r="L76" s="19">
        <v>0</v>
      </c>
      <c r="M76" s="17">
        <v>-41.25</v>
      </c>
      <c r="N76" s="17">
        <v>1</v>
      </c>
      <c r="O76" s="20">
        <v>1</v>
      </c>
      <c r="P76" s="17">
        <v>-41.25</v>
      </c>
      <c r="R76" s="17" t="s">
        <v>961</v>
      </c>
    </row>
    <row r="77" spans="1:20" x14ac:dyDescent="0.25">
      <c r="A77" s="16">
        <v>938957904</v>
      </c>
      <c r="B77" s="16" t="str">
        <f t="shared" si="2"/>
        <v>9389579041</v>
      </c>
      <c r="C77" s="17" t="s">
        <v>199</v>
      </c>
      <c r="D77" s="17" t="s">
        <v>89</v>
      </c>
      <c r="E77" s="17">
        <v>18754354</v>
      </c>
      <c r="F77" s="17" t="s">
        <v>198</v>
      </c>
      <c r="G77" s="17" t="s">
        <v>45</v>
      </c>
      <c r="H77" s="17" t="s">
        <v>123</v>
      </c>
      <c r="I77" s="18">
        <v>45778</v>
      </c>
      <c r="L77" s="19">
        <v>0</v>
      </c>
      <c r="M77" s="19">
        <v>208.67</v>
      </c>
      <c r="N77" s="17">
        <v>1</v>
      </c>
      <c r="O77" s="20">
        <v>1</v>
      </c>
      <c r="P77" s="17">
        <v>208.67</v>
      </c>
      <c r="Q77" s="17" t="s">
        <v>119</v>
      </c>
      <c r="R77" s="17" t="s">
        <v>951</v>
      </c>
      <c r="T77" s="17" t="s">
        <v>954</v>
      </c>
    </row>
    <row r="78" spans="1:20" x14ac:dyDescent="0.25">
      <c r="A78" s="16">
        <v>992665744</v>
      </c>
      <c r="B78" s="16" t="str">
        <f t="shared" si="2"/>
        <v>9926657441</v>
      </c>
      <c r="C78" s="17" t="s">
        <v>135</v>
      </c>
      <c r="D78" s="17" t="s">
        <v>133</v>
      </c>
      <c r="E78" s="17">
        <v>6634327</v>
      </c>
      <c r="F78" s="17" t="s">
        <v>134</v>
      </c>
      <c r="G78" s="17" t="s">
        <v>45</v>
      </c>
      <c r="H78" s="17" t="s">
        <v>123</v>
      </c>
      <c r="I78" s="18">
        <v>45748</v>
      </c>
      <c r="L78" s="19">
        <v>0</v>
      </c>
      <c r="M78" s="19">
        <v>234.75</v>
      </c>
      <c r="N78" s="17">
        <v>1</v>
      </c>
      <c r="O78" s="20">
        <v>1</v>
      </c>
      <c r="P78" s="17">
        <v>234.75</v>
      </c>
      <c r="Q78" s="17" t="s">
        <v>91</v>
      </c>
      <c r="R78" s="17" t="s">
        <v>951</v>
      </c>
      <c r="T78" s="21" t="s">
        <v>952</v>
      </c>
    </row>
    <row r="79" spans="1:20" x14ac:dyDescent="0.25">
      <c r="A79" s="16">
        <v>990606128</v>
      </c>
      <c r="B79" s="16" t="str">
        <f t="shared" si="2"/>
        <v>9906061281</v>
      </c>
      <c r="C79" s="17" t="s">
        <v>132</v>
      </c>
      <c r="D79" s="17" t="s">
        <v>133</v>
      </c>
      <c r="E79" s="17">
        <v>6634327</v>
      </c>
      <c r="F79" s="17" t="s">
        <v>134</v>
      </c>
      <c r="G79" s="17" t="s">
        <v>45</v>
      </c>
      <c r="H79" s="17" t="s">
        <v>123</v>
      </c>
      <c r="I79" s="18">
        <v>45748</v>
      </c>
      <c r="L79" s="19">
        <v>0</v>
      </c>
      <c r="M79" s="19">
        <v>234.75</v>
      </c>
      <c r="N79" s="17">
        <v>1</v>
      </c>
      <c r="O79" s="20">
        <v>1</v>
      </c>
      <c r="P79" s="17">
        <v>234.75</v>
      </c>
      <c r="Q79" s="17" t="s">
        <v>91</v>
      </c>
      <c r="R79" s="17" t="s">
        <v>951</v>
      </c>
      <c r="T79" s="21" t="s">
        <v>952</v>
      </c>
    </row>
    <row r="80" spans="1:20" x14ac:dyDescent="0.25">
      <c r="A80" s="16">
        <v>925174142</v>
      </c>
      <c r="B80" s="16" t="str">
        <f t="shared" si="2"/>
        <v>9251741421</v>
      </c>
      <c r="C80" s="17" t="s">
        <v>201</v>
      </c>
      <c r="D80" s="17" t="s">
        <v>133</v>
      </c>
      <c r="E80" s="17">
        <v>6634327</v>
      </c>
      <c r="F80" s="17" t="s">
        <v>134</v>
      </c>
      <c r="G80" s="17" t="s">
        <v>45</v>
      </c>
      <c r="H80" s="17" t="s">
        <v>123</v>
      </c>
      <c r="I80" s="18">
        <v>45748</v>
      </c>
      <c r="L80" s="19">
        <v>0</v>
      </c>
      <c r="M80" s="19">
        <v>234.75</v>
      </c>
      <c r="N80" s="17">
        <v>1</v>
      </c>
      <c r="O80" s="20">
        <v>1</v>
      </c>
      <c r="P80" s="17">
        <v>234.75</v>
      </c>
      <c r="Q80" s="17" t="s">
        <v>91</v>
      </c>
      <c r="R80" s="17" t="s">
        <v>951</v>
      </c>
      <c r="T80" s="21" t="s">
        <v>952</v>
      </c>
    </row>
    <row r="81" spans="1:20" x14ac:dyDescent="0.25">
      <c r="A81" s="16">
        <v>971633104</v>
      </c>
      <c r="B81" s="16" t="str">
        <f>CONCATENATE(A81,98)</f>
        <v>97163310498</v>
      </c>
      <c r="C81" s="17" t="s">
        <v>171</v>
      </c>
      <c r="D81" s="17" t="s">
        <v>89</v>
      </c>
      <c r="E81" s="17">
        <v>20212926</v>
      </c>
      <c r="F81" s="17" t="s">
        <v>156</v>
      </c>
      <c r="G81" s="17" t="s">
        <v>45</v>
      </c>
      <c r="H81" s="17" t="s">
        <v>190</v>
      </c>
      <c r="I81" s="18">
        <v>45748</v>
      </c>
      <c r="L81" s="19">
        <v>0</v>
      </c>
      <c r="M81" s="19">
        <v>626</v>
      </c>
      <c r="N81" s="17">
        <v>1</v>
      </c>
      <c r="O81" s="20">
        <v>1</v>
      </c>
      <c r="P81" s="17">
        <v>626</v>
      </c>
      <c r="R81" s="17" t="s">
        <v>948</v>
      </c>
      <c r="T81" s="21" t="s">
        <v>949</v>
      </c>
    </row>
    <row r="82" spans="1:20" x14ac:dyDescent="0.25">
      <c r="A82" s="16" t="s">
        <v>738</v>
      </c>
      <c r="B82" s="16" t="str">
        <f>CONCATENATE(A82,1)</f>
        <v>971633104CB1</v>
      </c>
      <c r="C82" s="17" t="s">
        <v>171</v>
      </c>
      <c r="D82" s="17" t="s">
        <v>89</v>
      </c>
      <c r="E82" s="17">
        <v>20212926</v>
      </c>
      <c r="F82" s="17" t="s">
        <v>156</v>
      </c>
      <c r="G82" s="17" t="s">
        <v>148</v>
      </c>
      <c r="H82" s="17" t="s">
        <v>123</v>
      </c>
      <c r="I82" s="18">
        <v>45748</v>
      </c>
      <c r="L82" s="19">
        <v>0</v>
      </c>
      <c r="M82" s="17">
        <v>-234.75</v>
      </c>
      <c r="N82" s="17">
        <v>1</v>
      </c>
      <c r="O82" s="20">
        <v>1</v>
      </c>
      <c r="P82" s="17">
        <v>-234.75</v>
      </c>
      <c r="R82" s="17" t="s">
        <v>951</v>
      </c>
      <c r="T82" s="21" t="s">
        <v>952</v>
      </c>
    </row>
    <row r="83" spans="1:20" x14ac:dyDescent="0.25">
      <c r="A83" s="16" t="s">
        <v>896</v>
      </c>
      <c r="B83" s="16" t="str">
        <f t="shared" ref="B83:B146" si="3">CONCATENATE(A83,0)</f>
        <v>00022462923K0</v>
      </c>
      <c r="C83" s="17" t="s">
        <v>488</v>
      </c>
      <c r="D83" s="17" t="s">
        <v>43</v>
      </c>
      <c r="E83" s="17">
        <v>20411454</v>
      </c>
      <c r="F83" s="17" t="s">
        <v>962</v>
      </c>
      <c r="G83" s="17" t="s">
        <v>45</v>
      </c>
      <c r="H83" s="17" t="s">
        <v>54</v>
      </c>
      <c r="I83" s="18">
        <v>45627</v>
      </c>
      <c r="J83" s="18">
        <v>45792</v>
      </c>
      <c r="K83" s="17">
        <v>1</v>
      </c>
      <c r="L83" s="19">
        <v>1</v>
      </c>
      <c r="M83" s="19">
        <v>1</v>
      </c>
      <c r="O83" s="20">
        <v>1</v>
      </c>
      <c r="P83" s="17">
        <v>9</v>
      </c>
      <c r="Q83" s="17" t="s">
        <v>473</v>
      </c>
      <c r="R83" s="17" t="s">
        <v>936</v>
      </c>
    </row>
    <row r="84" spans="1:20" x14ac:dyDescent="0.25">
      <c r="A84" s="16">
        <v>101246918100</v>
      </c>
      <c r="B84" s="16" t="str">
        <f t="shared" si="3"/>
        <v>1012469181000</v>
      </c>
      <c r="C84" s="17" t="s">
        <v>96</v>
      </c>
      <c r="D84" s="17" t="s">
        <v>89</v>
      </c>
      <c r="E84" s="17">
        <v>20411454</v>
      </c>
      <c r="F84" s="17" t="s">
        <v>962</v>
      </c>
      <c r="G84" s="17" t="s">
        <v>45</v>
      </c>
      <c r="H84" s="17" t="s">
        <v>95</v>
      </c>
      <c r="I84" s="18">
        <v>45748</v>
      </c>
      <c r="L84" s="19">
        <v>0</v>
      </c>
      <c r="M84" s="19">
        <v>37.5</v>
      </c>
      <c r="N84" s="17">
        <v>1</v>
      </c>
      <c r="O84" s="20">
        <v>1</v>
      </c>
      <c r="P84" s="17">
        <v>37.5</v>
      </c>
      <c r="Q84" s="17" t="s">
        <v>91</v>
      </c>
      <c r="R84" s="17" t="s">
        <v>933</v>
      </c>
    </row>
    <row r="85" spans="1:20" x14ac:dyDescent="0.25">
      <c r="A85" s="16">
        <v>102042978300</v>
      </c>
      <c r="B85" s="16" t="str">
        <f t="shared" si="3"/>
        <v>1020429783000</v>
      </c>
      <c r="C85" s="17" t="s">
        <v>392</v>
      </c>
      <c r="D85" s="17" t="s">
        <v>89</v>
      </c>
      <c r="E85" s="17">
        <v>20411454</v>
      </c>
      <c r="F85" s="17" t="s">
        <v>962</v>
      </c>
      <c r="G85" s="17" t="s">
        <v>45</v>
      </c>
      <c r="H85" s="17" t="s">
        <v>95</v>
      </c>
      <c r="I85" s="18">
        <v>45536</v>
      </c>
      <c r="J85" s="18">
        <v>45792</v>
      </c>
      <c r="K85" s="17">
        <v>1</v>
      </c>
      <c r="L85" s="19">
        <v>1</v>
      </c>
      <c r="M85" s="19">
        <v>1</v>
      </c>
      <c r="O85" s="20">
        <v>1</v>
      </c>
      <c r="P85" s="17">
        <v>2</v>
      </c>
      <c r="Q85" s="17" t="s">
        <v>288</v>
      </c>
      <c r="R85" s="17" t="s">
        <v>933</v>
      </c>
    </row>
    <row r="86" spans="1:20" x14ac:dyDescent="0.25">
      <c r="A86" s="16" t="s">
        <v>641</v>
      </c>
      <c r="B86" s="16" t="str">
        <f t="shared" si="3"/>
        <v>00023235653K0</v>
      </c>
      <c r="C86" s="17" t="s">
        <v>80</v>
      </c>
      <c r="D86" s="17" t="s">
        <v>43</v>
      </c>
      <c r="E86" s="17">
        <v>20411454</v>
      </c>
      <c r="F86" s="17" t="s">
        <v>962</v>
      </c>
      <c r="G86" s="17" t="s">
        <v>45</v>
      </c>
      <c r="H86" s="17" t="s">
        <v>54</v>
      </c>
      <c r="I86" s="18">
        <v>45748</v>
      </c>
      <c r="L86" s="19">
        <v>0</v>
      </c>
      <c r="M86" s="19">
        <v>175</v>
      </c>
      <c r="N86" s="17">
        <v>1</v>
      </c>
      <c r="O86" s="20">
        <v>1</v>
      </c>
      <c r="P86" s="17">
        <v>175</v>
      </c>
      <c r="R86" s="17" t="s">
        <v>936</v>
      </c>
    </row>
    <row r="87" spans="1:20" x14ac:dyDescent="0.25">
      <c r="A87" s="16" t="s">
        <v>837</v>
      </c>
      <c r="B87" s="16" t="str">
        <f t="shared" si="3"/>
        <v>00022033067K0</v>
      </c>
      <c r="C87" s="17" t="s">
        <v>541</v>
      </c>
      <c r="D87" s="17" t="s">
        <v>43</v>
      </c>
      <c r="E87" s="17">
        <v>20411454</v>
      </c>
      <c r="F87" s="17" t="s">
        <v>962</v>
      </c>
      <c r="G87" s="17" t="s">
        <v>250</v>
      </c>
      <c r="H87" s="17" t="s">
        <v>54</v>
      </c>
      <c r="I87" s="18">
        <v>45566</v>
      </c>
      <c r="J87" s="18">
        <v>45792</v>
      </c>
      <c r="K87" s="17">
        <v>1</v>
      </c>
      <c r="L87" s="19">
        <v>1</v>
      </c>
      <c r="M87" s="19">
        <v>1</v>
      </c>
      <c r="O87" s="20">
        <v>1</v>
      </c>
      <c r="P87" s="17">
        <v>9</v>
      </c>
      <c r="Q87" s="17" t="s">
        <v>473</v>
      </c>
      <c r="R87" s="17" t="s">
        <v>936</v>
      </c>
    </row>
    <row r="88" spans="1:20" x14ac:dyDescent="0.25">
      <c r="A88" s="16" t="s">
        <v>812</v>
      </c>
      <c r="B88" s="16" t="str">
        <f t="shared" si="3"/>
        <v>00021937596K0</v>
      </c>
      <c r="C88" s="17" t="s">
        <v>562</v>
      </c>
      <c r="D88" s="17" t="s">
        <v>43</v>
      </c>
      <c r="E88" s="17">
        <v>20411454</v>
      </c>
      <c r="F88" s="17" t="s">
        <v>962</v>
      </c>
      <c r="G88" s="17" t="s">
        <v>45</v>
      </c>
      <c r="H88" s="17" t="s">
        <v>54</v>
      </c>
      <c r="I88" s="18">
        <v>45505</v>
      </c>
      <c r="J88" s="18">
        <v>45792</v>
      </c>
      <c r="K88" s="17">
        <v>1</v>
      </c>
      <c r="L88" s="19">
        <v>1</v>
      </c>
      <c r="M88" s="19">
        <v>1</v>
      </c>
      <c r="O88" s="20">
        <v>1</v>
      </c>
      <c r="P88" s="17">
        <v>9</v>
      </c>
      <c r="Q88" s="17" t="s">
        <v>473</v>
      </c>
      <c r="R88" s="17" t="s">
        <v>936</v>
      </c>
    </row>
    <row r="89" spans="1:20" x14ac:dyDescent="0.25">
      <c r="A89" s="16">
        <v>102104604100</v>
      </c>
      <c r="B89" s="16" t="str">
        <f t="shared" si="3"/>
        <v>1021046041000</v>
      </c>
      <c r="C89" s="17" t="s">
        <v>292</v>
      </c>
      <c r="D89" s="17" t="s">
        <v>133</v>
      </c>
      <c r="E89" s="17">
        <v>20411454</v>
      </c>
      <c r="F89" s="17" t="s">
        <v>962</v>
      </c>
      <c r="G89" s="17" t="s">
        <v>45</v>
      </c>
      <c r="H89" s="17" t="s">
        <v>162</v>
      </c>
      <c r="I89" s="18">
        <v>45627</v>
      </c>
      <c r="J89" s="18">
        <v>45792</v>
      </c>
      <c r="K89" s="17">
        <v>1</v>
      </c>
      <c r="L89" s="19">
        <v>1</v>
      </c>
      <c r="M89" s="19">
        <v>1</v>
      </c>
      <c r="O89" s="20">
        <v>1</v>
      </c>
      <c r="P89" s="17">
        <v>2</v>
      </c>
      <c r="Q89" s="17" t="s">
        <v>288</v>
      </c>
      <c r="R89" s="17" t="s">
        <v>933</v>
      </c>
    </row>
    <row r="90" spans="1:20" x14ac:dyDescent="0.25">
      <c r="A90" s="16" t="s">
        <v>653</v>
      </c>
      <c r="B90" s="16" t="str">
        <f t="shared" si="3"/>
        <v>992665744OV0</v>
      </c>
      <c r="C90" s="17" t="s">
        <v>135</v>
      </c>
      <c r="D90" s="17" t="s">
        <v>133</v>
      </c>
      <c r="E90" s="17">
        <v>20411454</v>
      </c>
      <c r="F90" s="17" t="s">
        <v>962</v>
      </c>
      <c r="G90" s="17" t="s">
        <v>45</v>
      </c>
      <c r="H90" s="17" t="s">
        <v>130</v>
      </c>
      <c r="I90" s="18">
        <v>45748</v>
      </c>
      <c r="L90" s="19">
        <v>0</v>
      </c>
      <c r="M90" s="19">
        <v>54</v>
      </c>
      <c r="N90" s="17">
        <v>1</v>
      </c>
      <c r="O90" s="20">
        <v>1</v>
      </c>
      <c r="P90" s="17">
        <v>54</v>
      </c>
      <c r="Q90" s="17" t="s">
        <v>91</v>
      </c>
      <c r="R90" s="17" t="s">
        <v>946</v>
      </c>
    </row>
    <row r="91" spans="1:20" x14ac:dyDescent="0.25">
      <c r="A91" s="16">
        <v>102017011100</v>
      </c>
      <c r="B91" s="16" t="str">
        <f t="shared" si="3"/>
        <v>1020170111000</v>
      </c>
      <c r="C91" s="17" t="s">
        <v>442</v>
      </c>
      <c r="D91" s="17" t="s">
        <v>93</v>
      </c>
      <c r="E91" s="17">
        <v>20411454</v>
      </c>
      <c r="F91" s="17" t="s">
        <v>962</v>
      </c>
      <c r="G91" s="17" t="s">
        <v>45</v>
      </c>
      <c r="H91" s="17" t="s">
        <v>162</v>
      </c>
      <c r="I91" s="18">
        <v>45474</v>
      </c>
      <c r="J91" s="18">
        <v>45792</v>
      </c>
      <c r="K91" s="17">
        <v>1</v>
      </c>
      <c r="L91" s="19">
        <v>1</v>
      </c>
      <c r="M91" s="19">
        <v>1</v>
      </c>
      <c r="O91" s="20">
        <v>1</v>
      </c>
      <c r="P91" s="17">
        <v>2</v>
      </c>
      <c r="Q91" s="17" t="s">
        <v>288</v>
      </c>
      <c r="R91" s="17" t="s">
        <v>933</v>
      </c>
    </row>
    <row r="92" spans="1:20" x14ac:dyDescent="0.25">
      <c r="A92" s="16" t="s">
        <v>633</v>
      </c>
      <c r="B92" s="16" t="str">
        <f t="shared" si="3"/>
        <v>00023222148K0</v>
      </c>
      <c r="C92" s="17" t="s">
        <v>69</v>
      </c>
      <c r="D92" s="17" t="s">
        <v>43</v>
      </c>
      <c r="E92" s="17">
        <v>20411454</v>
      </c>
      <c r="F92" s="17" t="s">
        <v>962</v>
      </c>
      <c r="G92" s="17" t="s">
        <v>45</v>
      </c>
      <c r="H92" s="17" t="s">
        <v>54</v>
      </c>
      <c r="I92" s="18">
        <v>45748</v>
      </c>
      <c r="L92" s="19">
        <v>0</v>
      </c>
      <c r="M92" s="19">
        <v>175</v>
      </c>
      <c r="N92" s="17">
        <v>1</v>
      </c>
      <c r="O92" s="20">
        <v>1</v>
      </c>
      <c r="P92" s="17">
        <v>175</v>
      </c>
      <c r="R92" s="17" t="s">
        <v>936</v>
      </c>
    </row>
    <row r="93" spans="1:20" x14ac:dyDescent="0.25">
      <c r="A93" s="16">
        <v>102037178300</v>
      </c>
      <c r="B93" s="16" t="str">
        <f t="shared" si="3"/>
        <v>1020371783000</v>
      </c>
      <c r="C93" s="17" t="s">
        <v>403</v>
      </c>
      <c r="D93" s="17" t="s">
        <v>93</v>
      </c>
      <c r="E93" s="17">
        <v>20411454</v>
      </c>
      <c r="F93" s="17" t="s">
        <v>962</v>
      </c>
      <c r="G93" s="17" t="s">
        <v>45</v>
      </c>
      <c r="H93" s="17" t="s">
        <v>162</v>
      </c>
      <c r="I93" s="18">
        <v>45505</v>
      </c>
      <c r="J93" s="18">
        <v>45792</v>
      </c>
      <c r="K93" s="17">
        <v>1</v>
      </c>
      <c r="L93" s="19">
        <v>1</v>
      </c>
      <c r="M93" s="19">
        <v>1</v>
      </c>
      <c r="O93" s="20">
        <v>1</v>
      </c>
      <c r="P93" s="17">
        <v>2</v>
      </c>
      <c r="Q93" s="17" t="s">
        <v>288</v>
      </c>
      <c r="R93" s="17" t="s">
        <v>933</v>
      </c>
    </row>
    <row r="94" spans="1:20" x14ac:dyDescent="0.25">
      <c r="A94" s="16">
        <v>102051937300</v>
      </c>
      <c r="B94" s="16" t="str">
        <f t="shared" si="3"/>
        <v>1020519373000</v>
      </c>
      <c r="C94" s="17" t="s">
        <v>364</v>
      </c>
      <c r="D94" s="17" t="s">
        <v>128</v>
      </c>
      <c r="E94" s="17">
        <v>20411454</v>
      </c>
      <c r="F94" s="17" t="s">
        <v>962</v>
      </c>
      <c r="G94" s="17" t="s">
        <v>45</v>
      </c>
      <c r="H94" s="17" t="s">
        <v>162</v>
      </c>
      <c r="I94" s="18">
        <v>45536</v>
      </c>
      <c r="J94" s="18">
        <v>45792</v>
      </c>
      <c r="K94" s="17">
        <v>1</v>
      </c>
      <c r="L94" s="19">
        <v>1</v>
      </c>
      <c r="M94" s="19">
        <v>1</v>
      </c>
      <c r="O94" s="20">
        <v>1</v>
      </c>
      <c r="P94" s="17">
        <v>2</v>
      </c>
      <c r="Q94" s="17" t="s">
        <v>288</v>
      </c>
      <c r="R94" s="17" t="s">
        <v>933</v>
      </c>
    </row>
    <row r="95" spans="1:20" x14ac:dyDescent="0.25">
      <c r="A95" s="16" t="s">
        <v>881</v>
      </c>
      <c r="B95" s="16" t="str">
        <f t="shared" si="3"/>
        <v>00022137026K0</v>
      </c>
      <c r="C95" s="17" t="s">
        <v>503</v>
      </c>
      <c r="D95" s="17" t="s">
        <v>43</v>
      </c>
      <c r="E95" s="17">
        <v>20411454</v>
      </c>
      <c r="F95" s="17" t="s">
        <v>962</v>
      </c>
      <c r="G95" s="17" t="s">
        <v>45</v>
      </c>
      <c r="H95" s="17" t="s">
        <v>54</v>
      </c>
      <c r="I95" s="18">
        <v>45597</v>
      </c>
      <c r="J95" s="18">
        <v>45792</v>
      </c>
      <c r="K95" s="17">
        <v>1</v>
      </c>
      <c r="L95" s="19">
        <v>1</v>
      </c>
      <c r="M95" s="19">
        <v>1</v>
      </c>
      <c r="O95" s="20">
        <v>1</v>
      </c>
      <c r="P95" s="17">
        <v>9</v>
      </c>
      <c r="Q95" s="17" t="s">
        <v>473</v>
      </c>
      <c r="R95" s="17" t="s">
        <v>936</v>
      </c>
    </row>
    <row r="96" spans="1:20" x14ac:dyDescent="0.25">
      <c r="A96" s="16" t="s">
        <v>900</v>
      </c>
      <c r="B96" s="16" t="str">
        <f t="shared" si="3"/>
        <v>00022571242K0</v>
      </c>
      <c r="C96" s="17" t="s">
        <v>484</v>
      </c>
      <c r="D96" s="17" t="s">
        <v>43</v>
      </c>
      <c r="E96" s="17">
        <v>20411454</v>
      </c>
      <c r="F96" s="17" t="s">
        <v>962</v>
      </c>
      <c r="G96" s="17" t="s">
        <v>45</v>
      </c>
      <c r="H96" s="17" t="s">
        <v>54</v>
      </c>
      <c r="I96" s="18">
        <v>45627</v>
      </c>
      <c r="J96" s="18">
        <v>45792</v>
      </c>
      <c r="K96" s="17">
        <v>1</v>
      </c>
      <c r="L96" s="19">
        <v>1</v>
      </c>
      <c r="M96" s="19">
        <v>1</v>
      </c>
      <c r="O96" s="20">
        <v>1</v>
      </c>
      <c r="P96" s="17">
        <v>9</v>
      </c>
      <c r="Q96" s="17" t="s">
        <v>473</v>
      </c>
      <c r="R96" s="17" t="s">
        <v>936</v>
      </c>
    </row>
    <row r="97" spans="1:18" x14ac:dyDescent="0.25">
      <c r="A97" s="16">
        <v>102021599000</v>
      </c>
      <c r="B97" s="16" t="str">
        <f t="shared" si="3"/>
        <v>1020215990000</v>
      </c>
      <c r="C97" s="17" t="s">
        <v>437</v>
      </c>
      <c r="D97" s="17" t="s">
        <v>93</v>
      </c>
      <c r="E97" s="17">
        <v>20411454</v>
      </c>
      <c r="F97" s="17" t="s">
        <v>962</v>
      </c>
      <c r="G97" s="17" t="s">
        <v>45</v>
      </c>
      <c r="H97" s="17" t="s">
        <v>162</v>
      </c>
      <c r="I97" s="18">
        <v>45505</v>
      </c>
      <c r="J97" s="18">
        <v>45792</v>
      </c>
      <c r="K97" s="17">
        <v>1</v>
      </c>
      <c r="L97" s="19">
        <v>1</v>
      </c>
      <c r="M97" s="19">
        <v>1</v>
      </c>
      <c r="O97" s="20">
        <v>1</v>
      </c>
      <c r="P97" s="17">
        <v>2</v>
      </c>
      <c r="Q97" s="17" t="s">
        <v>288</v>
      </c>
      <c r="R97" s="17" t="s">
        <v>933</v>
      </c>
    </row>
    <row r="98" spans="1:18" x14ac:dyDescent="0.25">
      <c r="A98" s="16" t="s">
        <v>906</v>
      </c>
      <c r="B98" s="16" t="str">
        <f t="shared" si="3"/>
        <v>00022671607K0</v>
      </c>
      <c r="C98" s="17" t="s">
        <v>478</v>
      </c>
      <c r="D98" s="17" t="s">
        <v>43</v>
      </c>
      <c r="E98" s="17">
        <v>20411454</v>
      </c>
      <c r="F98" s="17" t="s">
        <v>962</v>
      </c>
      <c r="G98" s="17" t="s">
        <v>45</v>
      </c>
      <c r="H98" s="17" t="s">
        <v>54</v>
      </c>
      <c r="I98" s="18">
        <v>45627</v>
      </c>
      <c r="J98" s="18">
        <v>45792</v>
      </c>
      <c r="K98" s="17">
        <v>1</v>
      </c>
      <c r="L98" s="19">
        <v>1</v>
      </c>
      <c r="M98" s="19">
        <v>1</v>
      </c>
      <c r="O98" s="20">
        <v>1</v>
      </c>
      <c r="P98" s="17">
        <v>9</v>
      </c>
      <c r="Q98" s="17" t="s">
        <v>473</v>
      </c>
      <c r="R98" s="17" t="s">
        <v>936</v>
      </c>
    </row>
    <row r="99" spans="1:18" x14ac:dyDescent="0.25">
      <c r="A99" s="16" t="s">
        <v>623</v>
      </c>
      <c r="B99" s="16" t="str">
        <f t="shared" si="3"/>
        <v>00017232908K0</v>
      </c>
      <c r="C99" s="17" t="s">
        <v>51</v>
      </c>
      <c r="D99" s="17" t="s">
        <v>43</v>
      </c>
      <c r="E99" s="17">
        <v>20411454</v>
      </c>
      <c r="F99" s="17" t="s">
        <v>962</v>
      </c>
      <c r="G99" s="17" t="s">
        <v>45</v>
      </c>
      <c r="H99" s="17" t="s">
        <v>46</v>
      </c>
      <c r="I99" s="18">
        <v>45748</v>
      </c>
      <c r="L99" s="19">
        <v>0</v>
      </c>
      <c r="M99" s="19">
        <v>108</v>
      </c>
      <c r="N99" s="17">
        <v>1</v>
      </c>
      <c r="O99" s="20">
        <v>1</v>
      </c>
      <c r="P99" s="17">
        <v>108</v>
      </c>
      <c r="R99" s="17" t="s">
        <v>936</v>
      </c>
    </row>
    <row r="100" spans="1:18" x14ac:dyDescent="0.25">
      <c r="A100" s="16" t="s">
        <v>898</v>
      </c>
      <c r="B100" s="16" t="str">
        <f t="shared" si="3"/>
        <v>00022498051K0</v>
      </c>
      <c r="C100" s="17" t="s">
        <v>486</v>
      </c>
      <c r="D100" s="17" t="s">
        <v>43</v>
      </c>
      <c r="E100" s="17">
        <v>20411454</v>
      </c>
      <c r="F100" s="17" t="s">
        <v>962</v>
      </c>
      <c r="G100" s="17" t="s">
        <v>45</v>
      </c>
      <c r="H100" s="17" t="s">
        <v>54</v>
      </c>
      <c r="I100" s="18">
        <v>45627</v>
      </c>
      <c r="J100" s="18">
        <v>45792</v>
      </c>
      <c r="K100" s="17">
        <v>1</v>
      </c>
      <c r="L100" s="19">
        <v>1</v>
      </c>
      <c r="M100" s="19">
        <v>1</v>
      </c>
      <c r="O100" s="20">
        <v>1</v>
      </c>
      <c r="P100" s="17">
        <v>9</v>
      </c>
      <c r="Q100" s="17" t="s">
        <v>473</v>
      </c>
      <c r="R100" s="17" t="s">
        <v>936</v>
      </c>
    </row>
    <row r="101" spans="1:18" x14ac:dyDescent="0.25">
      <c r="A101" s="16">
        <v>102058131300</v>
      </c>
      <c r="B101" s="16" t="str">
        <f t="shared" si="3"/>
        <v>1020581313000</v>
      </c>
      <c r="C101" s="17" t="s">
        <v>351</v>
      </c>
      <c r="D101" s="17" t="s">
        <v>93</v>
      </c>
      <c r="E101" s="17">
        <v>20411454</v>
      </c>
      <c r="F101" s="17" t="s">
        <v>962</v>
      </c>
      <c r="G101" s="17" t="s">
        <v>45</v>
      </c>
      <c r="H101" s="17" t="s">
        <v>162</v>
      </c>
      <c r="I101" s="18">
        <v>45566</v>
      </c>
      <c r="J101" s="18">
        <v>45792</v>
      </c>
      <c r="K101" s="17">
        <v>1</v>
      </c>
      <c r="L101" s="19">
        <v>1</v>
      </c>
      <c r="M101" s="19">
        <v>1</v>
      </c>
      <c r="O101" s="20">
        <v>1</v>
      </c>
      <c r="P101" s="17">
        <v>2</v>
      </c>
      <c r="Q101" s="17" t="s">
        <v>288</v>
      </c>
      <c r="R101" s="17" t="s">
        <v>933</v>
      </c>
    </row>
    <row r="102" spans="1:18" x14ac:dyDescent="0.25">
      <c r="A102" s="16">
        <v>102028483000</v>
      </c>
      <c r="B102" s="16" t="str">
        <f t="shared" si="3"/>
        <v>1020284830000</v>
      </c>
      <c r="C102" s="17" t="s">
        <v>425</v>
      </c>
      <c r="D102" s="17" t="s">
        <v>93</v>
      </c>
      <c r="E102" s="17">
        <v>20411454</v>
      </c>
      <c r="F102" s="17" t="s">
        <v>962</v>
      </c>
      <c r="G102" s="17" t="s">
        <v>45</v>
      </c>
      <c r="H102" s="17" t="s">
        <v>162</v>
      </c>
      <c r="I102" s="18">
        <v>45505</v>
      </c>
      <c r="J102" s="18">
        <v>45792</v>
      </c>
      <c r="K102" s="17">
        <v>1</v>
      </c>
      <c r="L102" s="19">
        <v>1</v>
      </c>
      <c r="M102" s="19">
        <v>1</v>
      </c>
      <c r="O102" s="20">
        <v>1</v>
      </c>
      <c r="P102" s="17">
        <v>2</v>
      </c>
      <c r="Q102" s="17" t="s">
        <v>288</v>
      </c>
      <c r="R102" s="17" t="s">
        <v>933</v>
      </c>
    </row>
    <row r="103" spans="1:18" x14ac:dyDescent="0.25">
      <c r="A103" s="16">
        <v>102086309300</v>
      </c>
      <c r="B103" s="16" t="str">
        <f t="shared" si="3"/>
        <v>1020863093000</v>
      </c>
      <c r="C103" s="17" t="s">
        <v>300</v>
      </c>
      <c r="D103" s="17" t="s">
        <v>89</v>
      </c>
      <c r="E103" s="17">
        <v>20411454</v>
      </c>
      <c r="F103" s="17" t="s">
        <v>962</v>
      </c>
      <c r="G103" s="17" t="s">
        <v>45</v>
      </c>
      <c r="H103" s="17" t="s">
        <v>162</v>
      </c>
      <c r="I103" s="18">
        <v>45627</v>
      </c>
      <c r="J103" s="18">
        <v>45792</v>
      </c>
      <c r="K103" s="17">
        <v>1</v>
      </c>
      <c r="L103" s="19">
        <v>1</v>
      </c>
      <c r="M103" s="19">
        <v>1</v>
      </c>
      <c r="O103" s="20">
        <v>1</v>
      </c>
      <c r="P103" s="17">
        <v>2</v>
      </c>
      <c r="Q103" s="17" t="s">
        <v>288</v>
      </c>
      <c r="R103" s="17" t="s">
        <v>933</v>
      </c>
    </row>
    <row r="104" spans="1:18" x14ac:dyDescent="0.25">
      <c r="A104" s="16">
        <v>102049702100</v>
      </c>
      <c r="B104" s="16" t="str">
        <f t="shared" si="3"/>
        <v>1020497021000</v>
      </c>
      <c r="C104" s="17" t="s">
        <v>376</v>
      </c>
      <c r="D104" s="17" t="s">
        <v>375</v>
      </c>
      <c r="E104" s="17">
        <v>20411454</v>
      </c>
      <c r="F104" s="17" t="s">
        <v>962</v>
      </c>
      <c r="G104" s="17" t="s">
        <v>45</v>
      </c>
      <c r="H104" s="17" t="s">
        <v>162</v>
      </c>
      <c r="I104" s="18">
        <v>45536</v>
      </c>
      <c r="J104" s="18">
        <v>45792</v>
      </c>
      <c r="K104" s="17">
        <v>1</v>
      </c>
      <c r="L104" s="19">
        <v>1</v>
      </c>
      <c r="M104" s="19">
        <v>1</v>
      </c>
      <c r="O104" s="20">
        <v>1</v>
      </c>
      <c r="P104" s="17">
        <v>2</v>
      </c>
      <c r="Q104" s="17" t="s">
        <v>288</v>
      </c>
      <c r="R104" s="17" t="s">
        <v>933</v>
      </c>
    </row>
    <row r="105" spans="1:18" x14ac:dyDescent="0.25">
      <c r="A105" s="16">
        <v>102158685300</v>
      </c>
      <c r="B105" s="16" t="str">
        <f t="shared" si="3"/>
        <v>1021586853000</v>
      </c>
      <c r="C105" s="17" t="s">
        <v>107</v>
      </c>
      <c r="D105" s="17" t="s">
        <v>93</v>
      </c>
      <c r="E105" s="17">
        <v>20411454</v>
      </c>
      <c r="F105" s="17" t="s">
        <v>962</v>
      </c>
      <c r="G105" s="17" t="s">
        <v>45</v>
      </c>
      <c r="H105" s="17" t="s">
        <v>109</v>
      </c>
      <c r="I105" s="18">
        <v>45717</v>
      </c>
      <c r="L105" s="19">
        <v>0</v>
      </c>
      <c r="M105" s="19">
        <v>33.33</v>
      </c>
      <c r="N105" s="17">
        <v>1</v>
      </c>
      <c r="O105" s="20">
        <v>1</v>
      </c>
      <c r="P105" s="17">
        <v>33.33</v>
      </c>
      <c r="Q105" s="17" t="s">
        <v>110</v>
      </c>
      <c r="R105" s="17" t="s">
        <v>933</v>
      </c>
    </row>
    <row r="106" spans="1:18" x14ac:dyDescent="0.25">
      <c r="A106" s="16">
        <v>102014897000</v>
      </c>
      <c r="B106" s="16" t="str">
        <f t="shared" si="3"/>
        <v>1020148970000</v>
      </c>
      <c r="C106" s="17" t="s">
        <v>447</v>
      </c>
      <c r="D106" s="17" t="s">
        <v>93</v>
      </c>
      <c r="E106" s="17">
        <v>20411454</v>
      </c>
      <c r="F106" s="17" t="s">
        <v>962</v>
      </c>
      <c r="G106" s="17" t="s">
        <v>45</v>
      </c>
      <c r="H106" s="17" t="s">
        <v>162</v>
      </c>
      <c r="I106" s="18">
        <v>45474</v>
      </c>
      <c r="J106" s="18">
        <v>45792</v>
      </c>
      <c r="K106" s="17">
        <v>1</v>
      </c>
      <c r="L106" s="19">
        <v>1</v>
      </c>
      <c r="M106" s="19">
        <v>1</v>
      </c>
      <c r="O106" s="20">
        <v>1</v>
      </c>
      <c r="P106" s="17">
        <v>2</v>
      </c>
      <c r="Q106" s="17" t="s">
        <v>288</v>
      </c>
      <c r="R106" s="17" t="s">
        <v>933</v>
      </c>
    </row>
    <row r="107" spans="1:18" x14ac:dyDescent="0.25">
      <c r="A107" s="16" t="s">
        <v>875</v>
      </c>
      <c r="B107" s="16" t="str">
        <f t="shared" si="3"/>
        <v>00022105983K0</v>
      </c>
      <c r="C107" s="17" t="s">
        <v>509</v>
      </c>
      <c r="D107" s="17" t="s">
        <v>43</v>
      </c>
      <c r="E107" s="17">
        <v>20411454</v>
      </c>
      <c r="F107" s="17" t="s">
        <v>962</v>
      </c>
      <c r="G107" s="17" t="s">
        <v>45</v>
      </c>
      <c r="H107" s="17" t="s">
        <v>54</v>
      </c>
      <c r="I107" s="18">
        <v>45627</v>
      </c>
      <c r="J107" s="18">
        <v>45792</v>
      </c>
      <c r="K107" s="17">
        <v>1</v>
      </c>
      <c r="L107" s="19">
        <v>1</v>
      </c>
      <c r="M107" s="19">
        <v>1</v>
      </c>
      <c r="O107" s="20">
        <v>1</v>
      </c>
      <c r="P107" s="17">
        <v>9</v>
      </c>
      <c r="Q107" s="17" t="s">
        <v>473</v>
      </c>
      <c r="R107" s="17" t="s">
        <v>936</v>
      </c>
    </row>
    <row r="108" spans="1:18" x14ac:dyDescent="0.25">
      <c r="A108" s="16">
        <v>102030760700</v>
      </c>
      <c r="B108" s="16" t="str">
        <f t="shared" si="3"/>
        <v>1020307607000</v>
      </c>
      <c r="C108" s="17" t="s">
        <v>421</v>
      </c>
      <c r="D108" s="17" t="s">
        <v>89</v>
      </c>
      <c r="E108" s="17">
        <v>20411454</v>
      </c>
      <c r="F108" s="17" t="s">
        <v>962</v>
      </c>
      <c r="G108" s="17" t="s">
        <v>45</v>
      </c>
      <c r="H108" s="17" t="s">
        <v>162</v>
      </c>
      <c r="I108" s="18">
        <v>45505</v>
      </c>
      <c r="J108" s="18">
        <v>45792</v>
      </c>
      <c r="K108" s="17">
        <v>1</v>
      </c>
      <c r="L108" s="19">
        <v>1</v>
      </c>
      <c r="M108" s="19">
        <v>1</v>
      </c>
      <c r="O108" s="20">
        <v>1</v>
      </c>
      <c r="P108" s="17">
        <v>2</v>
      </c>
      <c r="Q108" s="17" t="s">
        <v>288</v>
      </c>
      <c r="R108" s="17" t="s">
        <v>933</v>
      </c>
    </row>
    <row r="109" spans="1:18" x14ac:dyDescent="0.25">
      <c r="A109" s="16">
        <v>102161969300</v>
      </c>
      <c r="B109" s="16" t="str">
        <f t="shared" si="3"/>
        <v>1021619693000</v>
      </c>
      <c r="C109" s="17" t="s">
        <v>210</v>
      </c>
      <c r="D109" s="17" t="s">
        <v>93</v>
      </c>
      <c r="E109" s="17">
        <v>20411454</v>
      </c>
      <c r="F109" s="17" t="s">
        <v>962</v>
      </c>
      <c r="G109" s="17" t="s">
        <v>45</v>
      </c>
      <c r="H109" s="17" t="s">
        <v>95</v>
      </c>
      <c r="I109" s="18">
        <v>45809</v>
      </c>
      <c r="L109" s="19">
        <v>0</v>
      </c>
      <c r="M109" s="19">
        <v>29.17</v>
      </c>
      <c r="N109" s="17">
        <v>1</v>
      </c>
      <c r="O109" s="20">
        <v>1</v>
      </c>
      <c r="P109" s="17">
        <v>29.17</v>
      </c>
      <c r="Q109" s="17" t="s">
        <v>86</v>
      </c>
      <c r="R109" s="17" t="s">
        <v>933</v>
      </c>
    </row>
    <row r="110" spans="1:18" x14ac:dyDescent="0.25">
      <c r="A110" s="16">
        <v>102059621800</v>
      </c>
      <c r="B110" s="16" t="str">
        <f t="shared" si="3"/>
        <v>1020596218000</v>
      </c>
      <c r="C110" s="17" t="s">
        <v>340</v>
      </c>
      <c r="D110" s="17" t="s">
        <v>93</v>
      </c>
      <c r="E110" s="17">
        <v>20411454</v>
      </c>
      <c r="F110" s="17" t="s">
        <v>962</v>
      </c>
      <c r="G110" s="17" t="s">
        <v>45</v>
      </c>
      <c r="H110" s="17" t="s">
        <v>95</v>
      </c>
      <c r="I110" s="18">
        <v>45566</v>
      </c>
      <c r="J110" s="18">
        <v>45792</v>
      </c>
      <c r="K110" s="17">
        <v>1</v>
      </c>
      <c r="L110" s="19">
        <v>1</v>
      </c>
      <c r="M110" s="19">
        <v>1</v>
      </c>
      <c r="O110" s="20">
        <v>1</v>
      </c>
      <c r="P110" s="17">
        <v>2</v>
      </c>
      <c r="Q110" s="17" t="s">
        <v>288</v>
      </c>
      <c r="R110" s="17" t="s">
        <v>933</v>
      </c>
    </row>
    <row r="111" spans="1:18" x14ac:dyDescent="0.25">
      <c r="A111" s="16">
        <v>102021150000</v>
      </c>
      <c r="B111" s="16" t="str">
        <f t="shared" si="3"/>
        <v>1020211500000</v>
      </c>
      <c r="C111" s="17" t="s">
        <v>438</v>
      </c>
      <c r="D111" s="17" t="s">
        <v>93</v>
      </c>
      <c r="E111" s="17">
        <v>20411454</v>
      </c>
      <c r="F111" s="17" t="s">
        <v>962</v>
      </c>
      <c r="G111" s="17" t="s">
        <v>45</v>
      </c>
      <c r="H111" s="17" t="s">
        <v>162</v>
      </c>
      <c r="I111" s="18">
        <v>45536</v>
      </c>
      <c r="J111" s="18">
        <v>45792</v>
      </c>
      <c r="K111" s="17">
        <v>1</v>
      </c>
      <c r="L111" s="19">
        <v>1</v>
      </c>
      <c r="M111" s="19">
        <v>1</v>
      </c>
      <c r="O111" s="20">
        <v>1</v>
      </c>
      <c r="P111" s="17">
        <v>2</v>
      </c>
      <c r="Q111" s="17" t="s">
        <v>288</v>
      </c>
      <c r="R111" s="17" t="s">
        <v>933</v>
      </c>
    </row>
    <row r="112" spans="1:18" x14ac:dyDescent="0.25">
      <c r="A112" s="16">
        <v>102035247000</v>
      </c>
      <c r="B112" s="16" t="str">
        <f t="shared" si="3"/>
        <v>1020352470000</v>
      </c>
      <c r="C112" s="17" t="s">
        <v>414</v>
      </c>
      <c r="D112" s="17" t="s">
        <v>93</v>
      </c>
      <c r="E112" s="17">
        <v>20411454</v>
      </c>
      <c r="F112" s="17" t="s">
        <v>962</v>
      </c>
      <c r="G112" s="17" t="s">
        <v>45</v>
      </c>
      <c r="H112" s="17" t="s">
        <v>162</v>
      </c>
      <c r="I112" s="18">
        <v>45536</v>
      </c>
      <c r="J112" s="18">
        <v>45792</v>
      </c>
      <c r="K112" s="17">
        <v>1</v>
      </c>
      <c r="L112" s="19">
        <v>1</v>
      </c>
      <c r="M112" s="19">
        <v>1</v>
      </c>
      <c r="O112" s="20">
        <v>1</v>
      </c>
      <c r="P112" s="17">
        <v>2</v>
      </c>
      <c r="Q112" s="17" t="s">
        <v>288</v>
      </c>
      <c r="R112" s="17" t="s">
        <v>933</v>
      </c>
    </row>
    <row r="113" spans="1:18" x14ac:dyDescent="0.25">
      <c r="A113" s="16" t="s">
        <v>828</v>
      </c>
      <c r="B113" s="16" t="str">
        <f t="shared" si="3"/>
        <v>00022021737K0</v>
      </c>
      <c r="C113" s="17" t="s">
        <v>547</v>
      </c>
      <c r="D113" s="17" t="s">
        <v>43</v>
      </c>
      <c r="E113" s="17">
        <v>20411454</v>
      </c>
      <c r="F113" s="17" t="s">
        <v>962</v>
      </c>
      <c r="G113" s="17" t="s">
        <v>250</v>
      </c>
      <c r="H113" s="17" t="s">
        <v>54</v>
      </c>
      <c r="I113" s="18">
        <v>45566</v>
      </c>
      <c r="J113" s="18">
        <v>45792</v>
      </c>
      <c r="K113" s="17">
        <v>1</v>
      </c>
      <c r="L113" s="19">
        <v>1</v>
      </c>
      <c r="M113" s="19">
        <v>1</v>
      </c>
      <c r="O113" s="20">
        <v>1</v>
      </c>
      <c r="P113" s="17">
        <v>9</v>
      </c>
      <c r="Q113" s="17" t="s">
        <v>473</v>
      </c>
      <c r="R113" s="17" t="s">
        <v>936</v>
      </c>
    </row>
    <row r="114" spans="1:18" x14ac:dyDescent="0.25">
      <c r="A114" s="16" t="s">
        <v>746</v>
      </c>
      <c r="B114" s="16" t="str">
        <f t="shared" si="3"/>
        <v>00000076874F0</v>
      </c>
      <c r="C114" s="17" t="s">
        <v>619</v>
      </c>
      <c r="D114" s="17" t="s">
        <v>43</v>
      </c>
      <c r="E114" s="17">
        <v>20411454</v>
      </c>
      <c r="F114" s="17" t="s">
        <v>962</v>
      </c>
      <c r="G114" s="17" t="s">
        <v>45</v>
      </c>
      <c r="H114" s="17" t="s">
        <v>54</v>
      </c>
      <c r="I114" s="18">
        <v>45597</v>
      </c>
      <c r="J114" s="18">
        <v>45792</v>
      </c>
      <c r="K114" s="17">
        <v>1</v>
      </c>
      <c r="L114" s="19">
        <v>1</v>
      </c>
      <c r="M114" s="19">
        <v>1</v>
      </c>
      <c r="O114" s="20">
        <v>1</v>
      </c>
      <c r="P114" s="17">
        <v>9</v>
      </c>
      <c r="Q114" s="17" t="s">
        <v>473</v>
      </c>
      <c r="R114" s="17" t="s">
        <v>936</v>
      </c>
    </row>
    <row r="115" spans="1:18" x14ac:dyDescent="0.25">
      <c r="A115" s="16" t="s">
        <v>889</v>
      </c>
      <c r="B115" s="16" t="str">
        <f t="shared" si="3"/>
        <v>00022253745K0</v>
      </c>
      <c r="C115" s="17" t="s">
        <v>125</v>
      </c>
      <c r="D115" s="17" t="s">
        <v>43</v>
      </c>
      <c r="E115" s="17">
        <v>20411454</v>
      </c>
      <c r="F115" s="17" t="s">
        <v>962</v>
      </c>
      <c r="G115" s="17" t="s">
        <v>45</v>
      </c>
      <c r="H115" s="17" t="s">
        <v>54</v>
      </c>
      <c r="I115" s="18">
        <v>45597</v>
      </c>
      <c r="J115" s="18">
        <v>45792</v>
      </c>
      <c r="K115" s="17">
        <v>1</v>
      </c>
      <c r="L115" s="19">
        <v>1</v>
      </c>
      <c r="M115" s="19">
        <v>1</v>
      </c>
      <c r="O115" s="20">
        <v>1</v>
      </c>
      <c r="P115" s="17">
        <v>9</v>
      </c>
      <c r="Q115" s="17" t="s">
        <v>473</v>
      </c>
      <c r="R115" s="17" t="s">
        <v>936</v>
      </c>
    </row>
    <row r="116" spans="1:18" x14ac:dyDescent="0.25">
      <c r="A116" s="16" t="s">
        <v>649</v>
      </c>
      <c r="B116" s="16" t="str">
        <f t="shared" si="3"/>
        <v>926202494OV0</v>
      </c>
      <c r="C116" s="17" t="s">
        <v>125</v>
      </c>
      <c r="D116" s="17" t="s">
        <v>126</v>
      </c>
      <c r="E116" s="17">
        <v>20411454</v>
      </c>
      <c r="F116" s="17" t="s">
        <v>962</v>
      </c>
      <c r="G116" s="17" t="s">
        <v>45</v>
      </c>
      <c r="H116" s="17" t="s">
        <v>124</v>
      </c>
      <c r="I116" s="18">
        <v>45748</v>
      </c>
      <c r="L116" s="19">
        <v>0</v>
      </c>
      <c r="M116" s="19">
        <v>175</v>
      </c>
      <c r="N116" s="17">
        <v>1</v>
      </c>
      <c r="O116" s="20">
        <v>1</v>
      </c>
      <c r="P116" s="17">
        <v>175</v>
      </c>
      <c r="R116" s="17" t="s">
        <v>946</v>
      </c>
    </row>
    <row r="117" spans="1:18" x14ac:dyDescent="0.25">
      <c r="A117" s="16">
        <v>102038220200</v>
      </c>
      <c r="B117" s="16" t="str">
        <f t="shared" si="3"/>
        <v>1020382202000</v>
      </c>
      <c r="C117" s="17" t="s">
        <v>105</v>
      </c>
      <c r="D117" s="17" t="s">
        <v>89</v>
      </c>
      <c r="E117" s="17">
        <v>20411454</v>
      </c>
      <c r="F117" s="17" t="s">
        <v>962</v>
      </c>
      <c r="G117" s="17" t="s">
        <v>45</v>
      </c>
      <c r="H117" s="17" t="s">
        <v>95</v>
      </c>
      <c r="I117" s="18">
        <v>45748</v>
      </c>
      <c r="L117" s="19">
        <v>0</v>
      </c>
      <c r="M117" s="19">
        <v>37.5</v>
      </c>
      <c r="N117" s="17">
        <v>1</v>
      </c>
      <c r="O117" s="20">
        <v>1</v>
      </c>
      <c r="P117" s="17">
        <v>37.5</v>
      </c>
      <c r="Q117" s="17" t="s">
        <v>91</v>
      </c>
      <c r="R117" s="17" t="s">
        <v>933</v>
      </c>
    </row>
    <row r="118" spans="1:18" x14ac:dyDescent="0.25">
      <c r="A118" s="16" t="s">
        <v>865</v>
      </c>
      <c r="B118" s="16" t="str">
        <f t="shared" si="3"/>
        <v>00022094729KOV0</v>
      </c>
      <c r="C118" s="17" t="s">
        <v>516</v>
      </c>
      <c r="D118" s="17" t="s">
        <v>43</v>
      </c>
      <c r="E118" s="17">
        <v>20411454</v>
      </c>
      <c r="F118" s="17" t="s">
        <v>962</v>
      </c>
      <c r="G118" s="17" t="s">
        <v>45</v>
      </c>
      <c r="H118" s="17" t="s">
        <v>54</v>
      </c>
      <c r="I118" s="18">
        <v>45597</v>
      </c>
      <c r="J118" s="18">
        <v>45792</v>
      </c>
      <c r="K118" s="17">
        <v>1</v>
      </c>
      <c r="L118" s="19">
        <v>1</v>
      </c>
      <c r="M118" s="19">
        <v>1</v>
      </c>
      <c r="O118" s="20">
        <v>1</v>
      </c>
      <c r="P118" s="17">
        <v>9</v>
      </c>
      <c r="Q118" s="17" t="s">
        <v>473</v>
      </c>
      <c r="R118" s="17" t="s">
        <v>936</v>
      </c>
    </row>
    <row r="119" spans="1:18" x14ac:dyDescent="0.25">
      <c r="A119" s="16" t="s">
        <v>625</v>
      </c>
      <c r="B119" s="16" t="str">
        <f t="shared" si="3"/>
        <v>00018979147K0</v>
      </c>
      <c r="C119" s="17" t="s">
        <v>55</v>
      </c>
      <c r="D119" s="17" t="s">
        <v>43</v>
      </c>
      <c r="E119" s="17">
        <v>20411454</v>
      </c>
      <c r="F119" s="17" t="s">
        <v>962</v>
      </c>
      <c r="G119" s="17" t="s">
        <v>45</v>
      </c>
      <c r="H119" s="17" t="s">
        <v>46</v>
      </c>
      <c r="I119" s="18">
        <v>45748</v>
      </c>
      <c r="L119" s="19">
        <v>0</v>
      </c>
      <c r="M119" s="19">
        <v>108</v>
      </c>
      <c r="N119" s="17">
        <v>1</v>
      </c>
      <c r="O119" s="20">
        <v>1</v>
      </c>
      <c r="P119" s="17">
        <v>108</v>
      </c>
      <c r="R119" s="17" t="s">
        <v>936</v>
      </c>
    </row>
    <row r="120" spans="1:18" x14ac:dyDescent="0.25">
      <c r="A120" s="16" t="s">
        <v>695</v>
      </c>
      <c r="B120" s="16" t="str">
        <f t="shared" si="3"/>
        <v>00023251126K0</v>
      </c>
      <c r="C120" s="17" t="s">
        <v>232</v>
      </c>
      <c r="D120" s="17" t="s">
        <v>43</v>
      </c>
      <c r="E120" s="17">
        <v>20411454</v>
      </c>
      <c r="F120" s="17" t="s">
        <v>962</v>
      </c>
      <c r="G120" s="17" t="s">
        <v>45</v>
      </c>
      <c r="H120" s="17" t="s">
        <v>54</v>
      </c>
      <c r="I120" s="18">
        <v>45839</v>
      </c>
      <c r="L120" s="19">
        <v>0</v>
      </c>
      <c r="M120" s="19">
        <v>175</v>
      </c>
      <c r="N120" s="17">
        <v>1</v>
      </c>
      <c r="O120" s="20">
        <v>1</v>
      </c>
      <c r="P120" s="17">
        <v>175</v>
      </c>
      <c r="R120" s="17" t="s">
        <v>936</v>
      </c>
    </row>
    <row r="121" spans="1:18" x14ac:dyDescent="0.25">
      <c r="A121" s="16" t="s">
        <v>761</v>
      </c>
      <c r="B121" s="16" t="str">
        <f t="shared" si="3"/>
        <v>00021754102K0</v>
      </c>
      <c r="C121" s="17" t="s">
        <v>604</v>
      </c>
      <c r="D121" s="17" t="s">
        <v>43</v>
      </c>
      <c r="E121" s="17">
        <v>20411454</v>
      </c>
      <c r="F121" s="17" t="s">
        <v>962</v>
      </c>
      <c r="G121" s="17" t="s">
        <v>250</v>
      </c>
      <c r="H121" s="17" t="s">
        <v>54</v>
      </c>
      <c r="I121" s="18">
        <v>45474</v>
      </c>
      <c r="J121" s="18">
        <v>45792</v>
      </c>
      <c r="K121" s="17">
        <v>1</v>
      </c>
      <c r="L121" s="19">
        <v>1</v>
      </c>
      <c r="M121" s="19">
        <v>1</v>
      </c>
      <c r="O121" s="20">
        <v>1</v>
      </c>
      <c r="P121" s="17">
        <v>9</v>
      </c>
      <c r="Q121" s="17" t="s">
        <v>473</v>
      </c>
      <c r="R121" s="17" t="s">
        <v>936</v>
      </c>
    </row>
    <row r="122" spans="1:18" x14ac:dyDescent="0.25">
      <c r="A122" s="16">
        <v>102010075000</v>
      </c>
      <c r="B122" s="16" t="str">
        <f t="shared" si="3"/>
        <v>1020100750000</v>
      </c>
      <c r="C122" s="17" t="s">
        <v>453</v>
      </c>
      <c r="D122" s="17" t="s">
        <v>93</v>
      </c>
      <c r="E122" s="17">
        <v>20411454</v>
      </c>
      <c r="F122" s="17" t="s">
        <v>962</v>
      </c>
      <c r="G122" s="17" t="s">
        <v>45</v>
      </c>
      <c r="H122" s="17" t="s">
        <v>162</v>
      </c>
      <c r="I122" s="18">
        <v>45474</v>
      </c>
      <c r="J122" s="18">
        <v>45792</v>
      </c>
      <c r="K122" s="17">
        <v>1</v>
      </c>
      <c r="L122" s="19">
        <v>1</v>
      </c>
      <c r="M122" s="19">
        <v>1</v>
      </c>
      <c r="O122" s="20">
        <v>1</v>
      </c>
      <c r="P122" s="17">
        <v>2</v>
      </c>
      <c r="Q122" s="17" t="s">
        <v>288</v>
      </c>
      <c r="R122" s="17" t="s">
        <v>933</v>
      </c>
    </row>
    <row r="123" spans="1:18" x14ac:dyDescent="0.25">
      <c r="A123" s="16">
        <v>102059512100</v>
      </c>
      <c r="B123" s="16" t="str">
        <f t="shared" si="3"/>
        <v>1020595121000</v>
      </c>
      <c r="C123" s="17" t="s">
        <v>345</v>
      </c>
      <c r="D123" s="17" t="s">
        <v>112</v>
      </c>
      <c r="E123" s="17">
        <v>20411454</v>
      </c>
      <c r="F123" s="17" t="s">
        <v>962</v>
      </c>
      <c r="G123" s="17" t="s">
        <v>45</v>
      </c>
      <c r="H123" s="17" t="s">
        <v>109</v>
      </c>
      <c r="I123" s="18">
        <v>45597</v>
      </c>
      <c r="J123" s="18">
        <v>45792</v>
      </c>
      <c r="K123" s="17">
        <v>1</v>
      </c>
      <c r="L123" s="19">
        <v>1</v>
      </c>
      <c r="M123" s="19">
        <v>1</v>
      </c>
      <c r="O123" s="20">
        <v>1</v>
      </c>
      <c r="P123" s="17">
        <v>2</v>
      </c>
      <c r="Q123" s="17" t="s">
        <v>288</v>
      </c>
      <c r="R123" s="17" t="s">
        <v>933</v>
      </c>
    </row>
    <row r="124" spans="1:18" x14ac:dyDescent="0.25">
      <c r="A124" s="16">
        <v>102064231900</v>
      </c>
      <c r="B124" s="16" t="str">
        <f t="shared" si="3"/>
        <v>1020642319000</v>
      </c>
      <c r="C124" s="17" t="s">
        <v>330</v>
      </c>
      <c r="D124" s="17" t="s">
        <v>93</v>
      </c>
      <c r="E124" s="17">
        <v>20411454</v>
      </c>
      <c r="F124" s="17" t="s">
        <v>962</v>
      </c>
      <c r="G124" s="17" t="s">
        <v>45</v>
      </c>
      <c r="H124" s="17" t="s">
        <v>162</v>
      </c>
      <c r="I124" s="18">
        <v>45566</v>
      </c>
      <c r="J124" s="18">
        <v>45792</v>
      </c>
      <c r="K124" s="17">
        <v>1</v>
      </c>
      <c r="L124" s="19">
        <v>1</v>
      </c>
      <c r="M124" s="19">
        <v>1</v>
      </c>
      <c r="O124" s="20">
        <v>1</v>
      </c>
      <c r="P124" s="17">
        <v>2</v>
      </c>
      <c r="Q124" s="17" t="s">
        <v>288</v>
      </c>
      <c r="R124" s="17" t="s">
        <v>933</v>
      </c>
    </row>
    <row r="125" spans="1:18" x14ac:dyDescent="0.25">
      <c r="A125" s="16" t="s">
        <v>794</v>
      </c>
      <c r="B125" s="16" t="str">
        <f t="shared" si="3"/>
        <v>00021883797K0</v>
      </c>
      <c r="C125" s="17" t="s">
        <v>579</v>
      </c>
      <c r="D125" s="17" t="s">
        <v>43</v>
      </c>
      <c r="E125" s="17">
        <v>20411454</v>
      </c>
      <c r="F125" s="17" t="s">
        <v>962</v>
      </c>
      <c r="G125" s="17" t="s">
        <v>250</v>
      </c>
      <c r="H125" s="17" t="s">
        <v>54</v>
      </c>
      <c r="I125" s="18">
        <v>45474</v>
      </c>
      <c r="J125" s="18">
        <v>45792</v>
      </c>
      <c r="K125" s="17">
        <v>1</v>
      </c>
      <c r="L125" s="19">
        <v>1</v>
      </c>
      <c r="M125" s="19">
        <v>1</v>
      </c>
      <c r="O125" s="20">
        <v>1</v>
      </c>
      <c r="P125" s="17">
        <v>9</v>
      </c>
      <c r="Q125" s="17" t="s">
        <v>473</v>
      </c>
      <c r="R125" s="17" t="s">
        <v>936</v>
      </c>
    </row>
    <row r="126" spans="1:18" x14ac:dyDescent="0.25">
      <c r="A126" s="16">
        <v>102040827300</v>
      </c>
      <c r="B126" s="16" t="str">
        <f t="shared" si="3"/>
        <v>1020408273000</v>
      </c>
      <c r="C126" s="17" t="s">
        <v>396</v>
      </c>
      <c r="D126" s="17" t="s">
        <v>89</v>
      </c>
      <c r="E126" s="17">
        <v>20411454</v>
      </c>
      <c r="F126" s="17" t="s">
        <v>962</v>
      </c>
      <c r="G126" s="17" t="s">
        <v>45</v>
      </c>
      <c r="H126" s="17" t="s">
        <v>162</v>
      </c>
      <c r="I126" s="18">
        <v>45566</v>
      </c>
      <c r="J126" s="18">
        <v>45792</v>
      </c>
      <c r="K126" s="17">
        <v>1</v>
      </c>
      <c r="L126" s="19">
        <v>1</v>
      </c>
      <c r="M126" s="19">
        <v>1</v>
      </c>
      <c r="O126" s="20">
        <v>1</v>
      </c>
      <c r="P126" s="17">
        <v>2</v>
      </c>
      <c r="Q126" s="17" t="s">
        <v>288</v>
      </c>
      <c r="R126" s="17" t="s">
        <v>933</v>
      </c>
    </row>
    <row r="127" spans="1:18" x14ac:dyDescent="0.25">
      <c r="A127" s="16" t="s">
        <v>802</v>
      </c>
      <c r="B127" s="16" t="str">
        <f t="shared" si="3"/>
        <v>00021906634K0</v>
      </c>
      <c r="C127" s="17" t="s">
        <v>572</v>
      </c>
      <c r="D127" s="17" t="s">
        <v>43</v>
      </c>
      <c r="E127" s="17">
        <v>20411454</v>
      </c>
      <c r="F127" s="17" t="s">
        <v>962</v>
      </c>
      <c r="G127" s="17" t="s">
        <v>250</v>
      </c>
      <c r="H127" s="17" t="s">
        <v>54</v>
      </c>
      <c r="I127" s="18">
        <v>45536</v>
      </c>
      <c r="J127" s="18">
        <v>45792</v>
      </c>
      <c r="K127" s="17">
        <v>1</v>
      </c>
      <c r="L127" s="19">
        <v>1</v>
      </c>
      <c r="M127" s="19">
        <v>1</v>
      </c>
      <c r="O127" s="20">
        <v>1</v>
      </c>
      <c r="P127" s="17">
        <v>9</v>
      </c>
      <c r="Q127" s="17" t="s">
        <v>473</v>
      </c>
      <c r="R127" s="17" t="s">
        <v>936</v>
      </c>
    </row>
    <row r="128" spans="1:18" x14ac:dyDescent="0.25">
      <c r="A128" s="16">
        <v>102049657500</v>
      </c>
      <c r="B128" s="16" t="str">
        <f t="shared" si="3"/>
        <v>1020496575000</v>
      </c>
      <c r="C128" s="17" t="s">
        <v>377</v>
      </c>
      <c r="D128" s="17" t="s">
        <v>89</v>
      </c>
      <c r="E128" s="17">
        <v>20411454</v>
      </c>
      <c r="F128" s="17" t="s">
        <v>962</v>
      </c>
      <c r="G128" s="17" t="s">
        <v>45</v>
      </c>
      <c r="H128" s="17" t="s">
        <v>95</v>
      </c>
      <c r="I128" s="18">
        <v>45536</v>
      </c>
      <c r="J128" s="18">
        <v>45792</v>
      </c>
      <c r="K128" s="17">
        <v>1</v>
      </c>
      <c r="L128" s="19">
        <v>1</v>
      </c>
      <c r="M128" s="19">
        <v>1</v>
      </c>
      <c r="O128" s="20">
        <v>1</v>
      </c>
      <c r="P128" s="17">
        <v>2</v>
      </c>
      <c r="Q128" s="17" t="s">
        <v>288</v>
      </c>
      <c r="R128" s="17" t="s">
        <v>933</v>
      </c>
    </row>
    <row r="129" spans="1:18" x14ac:dyDescent="0.25">
      <c r="A129" s="16" t="s">
        <v>886</v>
      </c>
      <c r="B129" s="16" t="str">
        <f t="shared" si="3"/>
        <v>00022217599K0</v>
      </c>
      <c r="C129" s="17" t="s">
        <v>497</v>
      </c>
      <c r="D129" s="17" t="s">
        <v>43</v>
      </c>
      <c r="E129" s="17">
        <v>20411454</v>
      </c>
      <c r="F129" s="17" t="s">
        <v>962</v>
      </c>
      <c r="G129" s="17" t="s">
        <v>45</v>
      </c>
      <c r="H129" s="17" t="s">
        <v>54</v>
      </c>
      <c r="I129" s="18">
        <v>45566</v>
      </c>
      <c r="J129" s="18">
        <v>45792</v>
      </c>
      <c r="K129" s="17">
        <v>1</v>
      </c>
      <c r="L129" s="19">
        <v>1</v>
      </c>
      <c r="M129" s="19">
        <v>1</v>
      </c>
      <c r="O129" s="20">
        <v>1</v>
      </c>
      <c r="P129" s="17">
        <v>9</v>
      </c>
      <c r="Q129" s="17" t="s">
        <v>473</v>
      </c>
      <c r="R129" s="17" t="s">
        <v>936</v>
      </c>
    </row>
    <row r="130" spans="1:18" x14ac:dyDescent="0.25">
      <c r="A130" s="16" t="s">
        <v>760</v>
      </c>
      <c r="B130" s="16" t="str">
        <f t="shared" si="3"/>
        <v>00021695147K0</v>
      </c>
      <c r="C130" s="17" t="s">
        <v>605</v>
      </c>
      <c r="D130" s="17" t="s">
        <v>43</v>
      </c>
      <c r="E130" s="17">
        <v>20411454</v>
      </c>
      <c r="F130" s="17" t="s">
        <v>962</v>
      </c>
      <c r="G130" s="17" t="s">
        <v>250</v>
      </c>
      <c r="H130" s="17" t="s">
        <v>54</v>
      </c>
      <c r="I130" s="18">
        <v>45474</v>
      </c>
      <c r="J130" s="18">
        <v>45792</v>
      </c>
      <c r="K130" s="17">
        <v>1</v>
      </c>
      <c r="L130" s="19">
        <v>1</v>
      </c>
      <c r="M130" s="19">
        <v>1</v>
      </c>
      <c r="O130" s="20">
        <v>1</v>
      </c>
      <c r="P130" s="17">
        <v>9</v>
      </c>
      <c r="Q130" s="17" t="s">
        <v>473</v>
      </c>
      <c r="R130" s="17" t="s">
        <v>936</v>
      </c>
    </row>
    <row r="131" spans="1:18" x14ac:dyDescent="0.25">
      <c r="A131" s="16">
        <v>102063468900</v>
      </c>
      <c r="B131" s="16" t="str">
        <f t="shared" si="3"/>
        <v>1020634689000</v>
      </c>
      <c r="C131" s="17" t="s">
        <v>335</v>
      </c>
      <c r="D131" s="17" t="s">
        <v>89</v>
      </c>
      <c r="E131" s="17">
        <v>20411454</v>
      </c>
      <c r="F131" s="17" t="s">
        <v>962</v>
      </c>
      <c r="G131" s="17" t="s">
        <v>45</v>
      </c>
      <c r="H131" s="17" t="s">
        <v>162</v>
      </c>
      <c r="I131" s="18">
        <v>45566</v>
      </c>
      <c r="J131" s="18">
        <v>45792</v>
      </c>
      <c r="K131" s="17">
        <v>1</v>
      </c>
      <c r="L131" s="19">
        <v>1</v>
      </c>
      <c r="M131" s="19">
        <v>1</v>
      </c>
      <c r="O131" s="20">
        <v>1</v>
      </c>
      <c r="P131" s="17">
        <v>2</v>
      </c>
      <c r="Q131" s="17" t="s">
        <v>288</v>
      </c>
      <c r="R131" s="17" t="s">
        <v>933</v>
      </c>
    </row>
    <row r="132" spans="1:18" x14ac:dyDescent="0.25">
      <c r="A132" s="16" t="s">
        <v>927</v>
      </c>
      <c r="B132" s="16" t="str">
        <f t="shared" si="3"/>
        <v>992248315OV0</v>
      </c>
      <c r="C132" s="17" t="s">
        <v>261</v>
      </c>
      <c r="D132" s="17" t="s">
        <v>89</v>
      </c>
      <c r="E132" s="17">
        <v>20411454</v>
      </c>
      <c r="F132" s="17" t="s">
        <v>962</v>
      </c>
      <c r="G132" s="17" t="s">
        <v>45</v>
      </c>
      <c r="H132" s="17" t="s">
        <v>124</v>
      </c>
      <c r="I132" s="18">
        <v>45536</v>
      </c>
      <c r="J132" s="18">
        <v>45792</v>
      </c>
      <c r="K132" s="17">
        <v>1</v>
      </c>
      <c r="L132" s="19">
        <v>1</v>
      </c>
      <c r="M132" s="19">
        <v>1</v>
      </c>
      <c r="O132" s="20">
        <v>1</v>
      </c>
      <c r="P132" s="17">
        <v>6</v>
      </c>
      <c r="Q132" s="17" t="s">
        <v>248</v>
      </c>
      <c r="R132" s="17" t="s">
        <v>946</v>
      </c>
    </row>
    <row r="133" spans="1:18" x14ac:dyDescent="0.25">
      <c r="A133" s="16">
        <v>102161581100</v>
      </c>
      <c r="B133" s="16" t="str">
        <f t="shared" si="3"/>
        <v>1021615811000</v>
      </c>
      <c r="C133" s="17" t="s">
        <v>214</v>
      </c>
      <c r="D133" s="17" t="s">
        <v>89</v>
      </c>
      <c r="E133" s="17">
        <v>20411454</v>
      </c>
      <c r="F133" s="17" t="s">
        <v>962</v>
      </c>
      <c r="G133" s="17" t="s">
        <v>45</v>
      </c>
      <c r="H133" s="17" t="s">
        <v>95</v>
      </c>
      <c r="I133" s="18">
        <v>45748</v>
      </c>
      <c r="L133" s="19">
        <v>0</v>
      </c>
      <c r="M133" s="19">
        <v>37.5</v>
      </c>
      <c r="N133" s="17">
        <v>1</v>
      </c>
      <c r="O133" s="20">
        <v>1</v>
      </c>
      <c r="P133" s="17">
        <v>37.5</v>
      </c>
      <c r="Q133" s="17" t="s">
        <v>91</v>
      </c>
      <c r="R133" s="17" t="s">
        <v>933</v>
      </c>
    </row>
    <row r="134" spans="1:18" x14ac:dyDescent="0.25">
      <c r="A134" s="16">
        <v>102025517700</v>
      </c>
      <c r="B134" s="16" t="str">
        <f t="shared" si="3"/>
        <v>1020255177000</v>
      </c>
      <c r="C134" s="17" t="s">
        <v>430</v>
      </c>
      <c r="D134" s="17" t="s">
        <v>43</v>
      </c>
      <c r="E134" s="17">
        <v>20411454</v>
      </c>
      <c r="F134" s="17" t="s">
        <v>962</v>
      </c>
      <c r="G134" s="17" t="s">
        <v>45</v>
      </c>
      <c r="H134" s="17" t="s">
        <v>162</v>
      </c>
      <c r="I134" s="18">
        <v>45474</v>
      </c>
      <c r="J134" s="18">
        <v>45792</v>
      </c>
      <c r="K134" s="17">
        <v>1</v>
      </c>
      <c r="L134" s="19">
        <v>1</v>
      </c>
      <c r="M134" s="19">
        <v>1</v>
      </c>
      <c r="O134" s="20">
        <v>1</v>
      </c>
      <c r="P134" s="17">
        <v>2</v>
      </c>
      <c r="Q134" s="17" t="s">
        <v>288</v>
      </c>
      <c r="R134" s="17" t="s">
        <v>933</v>
      </c>
    </row>
    <row r="135" spans="1:18" x14ac:dyDescent="0.25">
      <c r="A135" s="16" t="s">
        <v>665</v>
      </c>
      <c r="B135" s="16" t="str">
        <f t="shared" si="3"/>
        <v>00019797045KPC0</v>
      </c>
      <c r="C135" s="17" t="s">
        <v>57</v>
      </c>
      <c r="D135" s="17" t="s">
        <v>43</v>
      </c>
      <c r="E135" s="17">
        <v>20411454</v>
      </c>
      <c r="F135" s="17" t="s">
        <v>962</v>
      </c>
      <c r="G135" s="17" t="s">
        <v>148</v>
      </c>
      <c r="H135" s="17" t="s">
        <v>46</v>
      </c>
      <c r="I135" s="18">
        <v>45658</v>
      </c>
      <c r="L135" s="19">
        <v>0</v>
      </c>
      <c r="M135" s="17">
        <v>-81</v>
      </c>
      <c r="N135" s="17">
        <v>1</v>
      </c>
      <c r="O135" s="20">
        <v>1</v>
      </c>
      <c r="P135" s="17">
        <v>-81</v>
      </c>
      <c r="R135" s="17" t="s">
        <v>936</v>
      </c>
    </row>
    <row r="136" spans="1:18" x14ac:dyDescent="0.25">
      <c r="A136" s="16" t="s">
        <v>626</v>
      </c>
      <c r="B136" s="16" t="str">
        <f t="shared" si="3"/>
        <v>00019797045K0</v>
      </c>
      <c r="C136" s="17" t="s">
        <v>57</v>
      </c>
      <c r="D136" s="17" t="s">
        <v>43</v>
      </c>
      <c r="E136" s="17">
        <v>20411454</v>
      </c>
      <c r="F136" s="17" t="s">
        <v>962</v>
      </c>
      <c r="G136" s="17" t="s">
        <v>45</v>
      </c>
      <c r="H136" s="17" t="s">
        <v>46</v>
      </c>
      <c r="I136" s="18">
        <v>45748</v>
      </c>
      <c r="L136" s="19">
        <v>0</v>
      </c>
      <c r="M136" s="19">
        <v>108</v>
      </c>
      <c r="N136" s="17">
        <v>1</v>
      </c>
      <c r="O136" s="20">
        <v>1</v>
      </c>
      <c r="P136" s="17">
        <v>108</v>
      </c>
      <c r="R136" s="17" t="s">
        <v>936</v>
      </c>
    </row>
    <row r="137" spans="1:18" x14ac:dyDescent="0.25">
      <c r="A137" s="16">
        <v>102036471300</v>
      </c>
      <c r="B137" s="16" t="str">
        <f t="shared" si="3"/>
        <v>1020364713000</v>
      </c>
      <c r="C137" s="17" t="s">
        <v>406</v>
      </c>
      <c r="D137" s="17" t="s">
        <v>93</v>
      </c>
      <c r="E137" s="17">
        <v>20411454</v>
      </c>
      <c r="F137" s="17" t="s">
        <v>962</v>
      </c>
      <c r="G137" s="17" t="s">
        <v>45</v>
      </c>
      <c r="H137" s="17" t="s">
        <v>162</v>
      </c>
      <c r="I137" s="18">
        <v>45505</v>
      </c>
      <c r="J137" s="18">
        <v>45792</v>
      </c>
      <c r="K137" s="17">
        <v>1</v>
      </c>
      <c r="L137" s="19">
        <v>1</v>
      </c>
      <c r="M137" s="19">
        <v>1</v>
      </c>
      <c r="O137" s="20">
        <v>1</v>
      </c>
      <c r="P137" s="17">
        <v>2</v>
      </c>
      <c r="Q137" s="17" t="s">
        <v>288</v>
      </c>
      <c r="R137" s="17" t="s">
        <v>933</v>
      </c>
    </row>
    <row r="138" spans="1:18" x14ac:dyDescent="0.25">
      <c r="A138" s="16">
        <v>102059613800</v>
      </c>
      <c r="B138" s="16" t="str">
        <f t="shared" si="3"/>
        <v>1020596138000</v>
      </c>
      <c r="C138" s="17" t="s">
        <v>341</v>
      </c>
      <c r="D138" s="17" t="s">
        <v>93</v>
      </c>
      <c r="E138" s="17">
        <v>20411454</v>
      </c>
      <c r="F138" s="17" t="s">
        <v>962</v>
      </c>
      <c r="G138" s="17" t="s">
        <v>45</v>
      </c>
      <c r="H138" s="17" t="s">
        <v>95</v>
      </c>
      <c r="I138" s="18">
        <v>45566</v>
      </c>
      <c r="J138" s="18">
        <v>45792</v>
      </c>
      <c r="K138" s="17">
        <v>1</v>
      </c>
      <c r="L138" s="19">
        <v>1</v>
      </c>
      <c r="M138" s="19">
        <v>1</v>
      </c>
      <c r="O138" s="20">
        <v>1</v>
      </c>
      <c r="P138" s="17">
        <v>2</v>
      </c>
      <c r="Q138" s="17" t="s">
        <v>288</v>
      </c>
      <c r="R138" s="17" t="s">
        <v>933</v>
      </c>
    </row>
    <row r="139" spans="1:18" x14ac:dyDescent="0.25">
      <c r="A139" s="16" t="s">
        <v>624</v>
      </c>
      <c r="B139" s="16" t="str">
        <f t="shared" si="3"/>
        <v>00018875597K0</v>
      </c>
      <c r="C139" s="17" t="s">
        <v>52</v>
      </c>
      <c r="D139" s="17" t="s">
        <v>43</v>
      </c>
      <c r="E139" s="17">
        <v>20411454</v>
      </c>
      <c r="F139" s="17" t="s">
        <v>962</v>
      </c>
      <c r="G139" s="17" t="s">
        <v>45</v>
      </c>
      <c r="H139" s="17" t="s">
        <v>54</v>
      </c>
      <c r="I139" s="18">
        <v>45748</v>
      </c>
      <c r="L139" s="19">
        <v>0</v>
      </c>
      <c r="M139" s="19">
        <v>175</v>
      </c>
      <c r="N139" s="17">
        <v>1</v>
      </c>
      <c r="O139" s="20">
        <v>1</v>
      </c>
      <c r="P139" s="17">
        <v>175</v>
      </c>
      <c r="R139" s="17" t="s">
        <v>936</v>
      </c>
    </row>
    <row r="140" spans="1:18" x14ac:dyDescent="0.25">
      <c r="A140" s="16" t="s">
        <v>874</v>
      </c>
      <c r="B140" s="16" t="str">
        <f t="shared" si="3"/>
        <v>00022097947KOV0</v>
      </c>
      <c r="C140" s="17" t="s">
        <v>510</v>
      </c>
      <c r="D140" s="17" t="s">
        <v>43</v>
      </c>
      <c r="E140" s="17">
        <v>20411454</v>
      </c>
      <c r="F140" s="17" t="s">
        <v>962</v>
      </c>
      <c r="G140" s="17" t="s">
        <v>45</v>
      </c>
      <c r="H140" s="17" t="s">
        <v>54</v>
      </c>
      <c r="I140" s="18">
        <v>45597</v>
      </c>
      <c r="J140" s="18">
        <v>45792</v>
      </c>
      <c r="K140" s="17">
        <v>1</v>
      </c>
      <c r="L140" s="19">
        <v>1</v>
      </c>
      <c r="M140" s="19">
        <v>1</v>
      </c>
      <c r="O140" s="20">
        <v>1</v>
      </c>
      <c r="P140" s="17">
        <v>9</v>
      </c>
      <c r="Q140" s="17" t="s">
        <v>473</v>
      </c>
      <c r="R140" s="17" t="s">
        <v>936</v>
      </c>
    </row>
    <row r="141" spans="1:18" x14ac:dyDescent="0.25">
      <c r="A141" s="16">
        <v>102021703600</v>
      </c>
      <c r="B141" s="16" t="str">
        <f t="shared" si="3"/>
        <v>1020217036000</v>
      </c>
      <c r="C141" s="17" t="s">
        <v>436</v>
      </c>
      <c r="D141" s="17" t="s">
        <v>93</v>
      </c>
      <c r="E141" s="17">
        <v>20411454</v>
      </c>
      <c r="F141" s="17" t="s">
        <v>962</v>
      </c>
      <c r="G141" s="17" t="s">
        <v>45</v>
      </c>
      <c r="H141" s="17" t="s">
        <v>162</v>
      </c>
      <c r="I141" s="18">
        <v>45536</v>
      </c>
      <c r="J141" s="18">
        <v>45792</v>
      </c>
      <c r="K141" s="17">
        <v>1</v>
      </c>
      <c r="L141" s="19">
        <v>1</v>
      </c>
      <c r="M141" s="19">
        <v>1</v>
      </c>
      <c r="O141" s="20">
        <v>1</v>
      </c>
      <c r="P141" s="17">
        <v>2</v>
      </c>
      <c r="Q141" s="17" t="s">
        <v>288</v>
      </c>
      <c r="R141" s="17" t="s">
        <v>933</v>
      </c>
    </row>
    <row r="142" spans="1:18" x14ac:dyDescent="0.25">
      <c r="A142" s="16" t="s">
        <v>681</v>
      </c>
      <c r="B142" s="16" t="str">
        <f t="shared" si="3"/>
        <v>00014119498K0</v>
      </c>
      <c r="C142" s="17" t="s">
        <v>246</v>
      </c>
      <c r="D142" s="17" t="s">
        <v>43</v>
      </c>
      <c r="E142" s="17">
        <v>20411454</v>
      </c>
      <c r="F142" s="17" t="s">
        <v>962</v>
      </c>
      <c r="G142" s="17" t="s">
        <v>45</v>
      </c>
      <c r="H142" s="17" t="s">
        <v>54</v>
      </c>
      <c r="I142" s="18">
        <v>45778</v>
      </c>
      <c r="L142" s="19">
        <v>0</v>
      </c>
      <c r="M142" s="19">
        <v>175</v>
      </c>
      <c r="N142" s="17">
        <v>1</v>
      </c>
      <c r="O142" s="20">
        <v>1</v>
      </c>
      <c r="P142" s="17">
        <v>175</v>
      </c>
      <c r="R142" s="17" t="s">
        <v>936</v>
      </c>
    </row>
    <row r="143" spans="1:18" x14ac:dyDescent="0.25">
      <c r="A143" s="16" t="s">
        <v>929</v>
      </c>
      <c r="B143" s="16" t="str">
        <f t="shared" si="3"/>
        <v>993708991OV0</v>
      </c>
      <c r="C143" s="17" t="s">
        <v>257</v>
      </c>
      <c r="D143" s="17" t="s">
        <v>122</v>
      </c>
      <c r="E143" s="17">
        <v>20411454</v>
      </c>
      <c r="F143" s="17" t="s">
        <v>962</v>
      </c>
      <c r="G143" s="17" t="s">
        <v>45</v>
      </c>
      <c r="H143" s="17" t="s">
        <v>169</v>
      </c>
      <c r="I143" s="18">
        <v>45566</v>
      </c>
      <c r="J143" s="18">
        <v>45792</v>
      </c>
      <c r="K143" s="17">
        <v>1</v>
      </c>
      <c r="L143" s="19">
        <v>1</v>
      </c>
      <c r="M143" s="19">
        <v>1</v>
      </c>
      <c r="O143" s="20">
        <v>1</v>
      </c>
      <c r="P143" s="17">
        <v>6</v>
      </c>
      <c r="Q143" s="17" t="s">
        <v>248</v>
      </c>
      <c r="R143" s="17" t="s">
        <v>946</v>
      </c>
    </row>
    <row r="144" spans="1:18" x14ac:dyDescent="0.25">
      <c r="A144" s="16">
        <v>102007511900</v>
      </c>
      <c r="B144" s="16" t="str">
        <f t="shared" si="3"/>
        <v>1020075119000</v>
      </c>
      <c r="C144" s="17" t="s">
        <v>457</v>
      </c>
      <c r="D144" s="17" t="s">
        <v>394</v>
      </c>
      <c r="E144" s="17">
        <v>20411454</v>
      </c>
      <c r="F144" s="17" t="s">
        <v>962</v>
      </c>
      <c r="G144" s="17" t="s">
        <v>45</v>
      </c>
      <c r="H144" s="17" t="s">
        <v>162</v>
      </c>
      <c r="I144" s="18">
        <v>45505</v>
      </c>
      <c r="J144" s="18">
        <v>45792</v>
      </c>
      <c r="K144" s="17">
        <v>1</v>
      </c>
      <c r="L144" s="19">
        <v>1</v>
      </c>
      <c r="M144" s="19">
        <v>1</v>
      </c>
      <c r="O144" s="20">
        <v>1</v>
      </c>
      <c r="P144" s="17">
        <v>2</v>
      </c>
      <c r="Q144" s="17" t="s">
        <v>288</v>
      </c>
      <c r="R144" s="17" t="s">
        <v>933</v>
      </c>
    </row>
    <row r="145" spans="1:18" x14ac:dyDescent="0.25">
      <c r="A145" s="16" t="s">
        <v>924</v>
      </c>
      <c r="B145" s="16" t="str">
        <f t="shared" si="3"/>
        <v>970181792OV0</v>
      </c>
      <c r="C145" s="17" t="s">
        <v>266</v>
      </c>
      <c r="D145" s="17" t="s">
        <v>265</v>
      </c>
      <c r="E145" s="17">
        <v>20411454</v>
      </c>
      <c r="F145" s="17" t="s">
        <v>962</v>
      </c>
      <c r="G145" s="17" t="s">
        <v>250</v>
      </c>
      <c r="H145" s="17" t="s">
        <v>124</v>
      </c>
      <c r="I145" s="18">
        <v>45597</v>
      </c>
      <c r="J145" s="18">
        <v>45792</v>
      </c>
      <c r="K145" s="17">
        <v>1</v>
      </c>
      <c r="L145" s="19">
        <v>1</v>
      </c>
      <c r="M145" s="19">
        <v>1</v>
      </c>
      <c r="O145" s="20">
        <v>1</v>
      </c>
      <c r="P145" s="17">
        <v>6</v>
      </c>
      <c r="Q145" s="17" t="s">
        <v>248</v>
      </c>
      <c r="R145" s="17" t="s">
        <v>946</v>
      </c>
    </row>
    <row r="146" spans="1:18" x14ac:dyDescent="0.25">
      <c r="A146" s="16" t="s">
        <v>628</v>
      </c>
      <c r="B146" s="16" t="str">
        <f t="shared" si="3"/>
        <v>00020407890K0</v>
      </c>
      <c r="C146" s="17" t="s">
        <v>60</v>
      </c>
      <c r="D146" s="17" t="s">
        <v>43</v>
      </c>
      <c r="E146" s="17">
        <v>20411454</v>
      </c>
      <c r="F146" s="17" t="s">
        <v>962</v>
      </c>
      <c r="G146" s="17" t="s">
        <v>45</v>
      </c>
      <c r="H146" s="17" t="s">
        <v>46</v>
      </c>
      <c r="I146" s="18">
        <v>45748</v>
      </c>
      <c r="L146" s="19">
        <v>0</v>
      </c>
      <c r="M146" s="19">
        <v>108</v>
      </c>
      <c r="N146" s="17">
        <v>1</v>
      </c>
      <c r="O146" s="20">
        <v>1</v>
      </c>
      <c r="P146" s="17">
        <v>108</v>
      </c>
      <c r="R146" s="17" t="s">
        <v>936</v>
      </c>
    </row>
    <row r="147" spans="1:18" x14ac:dyDescent="0.25">
      <c r="A147" s="16" t="s">
        <v>640</v>
      </c>
      <c r="B147" s="16" t="str">
        <f t="shared" ref="B147:B210" si="4">CONCATENATE(A147,0)</f>
        <v>00023234567K0</v>
      </c>
      <c r="C147" s="17" t="s">
        <v>79</v>
      </c>
      <c r="D147" s="17" t="s">
        <v>43</v>
      </c>
      <c r="E147" s="17">
        <v>20411454</v>
      </c>
      <c r="F147" s="17" t="s">
        <v>962</v>
      </c>
      <c r="G147" s="17" t="s">
        <v>45</v>
      </c>
      <c r="H147" s="17" t="s">
        <v>54</v>
      </c>
      <c r="I147" s="18">
        <v>45748</v>
      </c>
      <c r="L147" s="19">
        <v>0</v>
      </c>
      <c r="M147" s="19">
        <v>175</v>
      </c>
      <c r="N147" s="17">
        <v>1</v>
      </c>
      <c r="O147" s="20">
        <v>1</v>
      </c>
      <c r="P147" s="17">
        <v>175</v>
      </c>
      <c r="R147" s="17" t="s">
        <v>936</v>
      </c>
    </row>
    <row r="148" spans="1:18" x14ac:dyDescent="0.25">
      <c r="A148" s="16" t="s">
        <v>689</v>
      </c>
      <c r="B148" s="16" t="str">
        <f t="shared" si="4"/>
        <v>00023245997K0</v>
      </c>
      <c r="C148" s="17" t="s">
        <v>238</v>
      </c>
      <c r="D148" s="17" t="s">
        <v>43</v>
      </c>
      <c r="E148" s="17">
        <v>20411454</v>
      </c>
      <c r="F148" s="17" t="s">
        <v>962</v>
      </c>
      <c r="G148" s="17" t="s">
        <v>45</v>
      </c>
      <c r="H148" s="17" t="s">
        <v>54</v>
      </c>
      <c r="I148" s="18">
        <v>45748</v>
      </c>
      <c r="L148" s="19">
        <v>0</v>
      </c>
      <c r="M148" s="19">
        <v>175</v>
      </c>
      <c r="N148" s="17">
        <v>1</v>
      </c>
      <c r="O148" s="20">
        <v>1</v>
      </c>
      <c r="P148" s="17">
        <v>175</v>
      </c>
      <c r="R148" s="17" t="s">
        <v>936</v>
      </c>
    </row>
    <row r="149" spans="1:18" x14ac:dyDescent="0.25">
      <c r="A149" s="16" t="s">
        <v>791</v>
      </c>
      <c r="B149" s="16" t="str">
        <f t="shared" si="4"/>
        <v>00021881964K0</v>
      </c>
      <c r="C149" s="17" t="s">
        <v>581</v>
      </c>
      <c r="D149" s="17" t="s">
        <v>43</v>
      </c>
      <c r="E149" s="17">
        <v>20411454</v>
      </c>
      <c r="F149" s="17" t="s">
        <v>962</v>
      </c>
      <c r="G149" s="17" t="s">
        <v>250</v>
      </c>
      <c r="H149" s="17" t="s">
        <v>54</v>
      </c>
      <c r="I149" s="18">
        <v>45505</v>
      </c>
      <c r="J149" s="18">
        <v>45792</v>
      </c>
      <c r="K149" s="17">
        <v>1</v>
      </c>
      <c r="L149" s="19">
        <v>1</v>
      </c>
      <c r="M149" s="19">
        <v>1</v>
      </c>
      <c r="O149" s="20">
        <v>1</v>
      </c>
      <c r="P149" s="17">
        <v>9</v>
      </c>
      <c r="Q149" s="17" t="s">
        <v>473</v>
      </c>
      <c r="R149" s="17" t="s">
        <v>936</v>
      </c>
    </row>
    <row r="150" spans="1:18" x14ac:dyDescent="0.25">
      <c r="A150" s="16" t="s">
        <v>712</v>
      </c>
      <c r="B150" s="16" t="str">
        <f t="shared" si="4"/>
        <v>957220266OV0</v>
      </c>
      <c r="C150" s="17" t="s">
        <v>193</v>
      </c>
      <c r="D150" s="17" t="s">
        <v>192</v>
      </c>
      <c r="E150" s="17">
        <v>20411454</v>
      </c>
      <c r="F150" s="17" t="s">
        <v>962</v>
      </c>
      <c r="G150" s="17" t="s">
        <v>45</v>
      </c>
      <c r="H150" s="17" t="s">
        <v>124</v>
      </c>
      <c r="I150" s="18">
        <v>45778</v>
      </c>
      <c r="L150" s="19">
        <v>0</v>
      </c>
      <c r="M150" s="19">
        <v>175</v>
      </c>
      <c r="N150" s="17">
        <v>1</v>
      </c>
      <c r="O150" s="20">
        <v>1</v>
      </c>
      <c r="P150" s="17">
        <v>175</v>
      </c>
      <c r="R150" s="17" t="s">
        <v>946</v>
      </c>
    </row>
    <row r="151" spans="1:18" x14ac:dyDescent="0.25">
      <c r="A151" s="16">
        <v>102031351800</v>
      </c>
      <c r="B151" s="16" t="str">
        <f t="shared" si="4"/>
        <v>1020313518000</v>
      </c>
      <c r="C151" s="17" t="s">
        <v>418</v>
      </c>
      <c r="D151" s="17" t="s">
        <v>93</v>
      </c>
      <c r="E151" s="17">
        <v>20411454</v>
      </c>
      <c r="F151" s="17" t="s">
        <v>962</v>
      </c>
      <c r="G151" s="17" t="s">
        <v>45</v>
      </c>
      <c r="H151" s="17" t="s">
        <v>162</v>
      </c>
      <c r="I151" s="18">
        <v>45505</v>
      </c>
      <c r="J151" s="18">
        <v>45792</v>
      </c>
      <c r="K151" s="17">
        <v>1</v>
      </c>
      <c r="L151" s="19">
        <v>1</v>
      </c>
      <c r="M151" s="19">
        <v>1</v>
      </c>
      <c r="O151" s="20">
        <v>1</v>
      </c>
      <c r="P151" s="17">
        <v>2</v>
      </c>
      <c r="Q151" s="17" t="s">
        <v>288</v>
      </c>
      <c r="R151" s="17" t="s">
        <v>933</v>
      </c>
    </row>
    <row r="152" spans="1:18" x14ac:dyDescent="0.25">
      <c r="A152" s="16" t="s">
        <v>691</v>
      </c>
      <c r="B152" s="16" t="str">
        <f t="shared" si="4"/>
        <v>00023247495K0</v>
      </c>
      <c r="C152" s="17" t="s">
        <v>236</v>
      </c>
      <c r="D152" s="17" t="s">
        <v>43</v>
      </c>
      <c r="E152" s="17">
        <v>20411454</v>
      </c>
      <c r="F152" s="17" t="s">
        <v>962</v>
      </c>
      <c r="G152" s="17" t="s">
        <v>45</v>
      </c>
      <c r="H152" s="17" t="s">
        <v>54</v>
      </c>
      <c r="I152" s="18">
        <v>45748</v>
      </c>
      <c r="L152" s="19">
        <v>0</v>
      </c>
      <c r="M152" s="19">
        <v>175</v>
      </c>
      <c r="N152" s="17">
        <v>1</v>
      </c>
      <c r="O152" s="20">
        <v>1</v>
      </c>
      <c r="P152" s="17">
        <v>175</v>
      </c>
      <c r="R152" s="17" t="s">
        <v>936</v>
      </c>
    </row>
    <row r="153" spans="1:18" x14ac:dyDescent="0.25">
      <c r="A153" s="16" t="s">
        <v>838</v>
      </c>
      <c r="B153" s="16" t="str">
        <f t="shared" si="4"/>
        <v>00022033172K0</v>
      </c>
      <c r="C153" s="17" t="s">
        <v>540</v>
      </c>
      <c r="D153" s="17" t="s">
        <v>43</v>
      </c>
      <c r="E153" s="17">
        <v>20411454</v>
      </c>
      <c r="F153" s="17" t="s">
        <v>962</v>
      </c>
      <c r="G153" s="17" t="s">
        <v>250</v>
      </c>
      <c r="H153" s="17" t="s">
        <v>54</v>
      </c>
      <c r="I153" s="18">
        <v>45566</v>
      </c>
      <c r="J153" s="18">
        <v>45792</v>
      </c>
      <c r="K153" s="17">
        <v>1</v>
      </c>
      <c r="L153" s="19">
        <v>1</v>
      </c>
      <c r="M153" s="19">
        <v>1</v>
      </c>
      <c r="O153" s="20">
        <v>1</v>
      </c>
      <c r="P153" s="17">
        <v>9</v>
      </c>
      <c r="Q153" s="17" t="s">
        <v>473</v>
      </c>
      <c r="R153" s="17" t="s">
        <v>936</v>
      </c>
    </row>
    <row r="154" spans="1:18" x14ac:dyDescent="0.25">
      <c r="A154" s="16" t="s">
        <v>892</v>
      </c>
      <c r="B154" s="16" t="str">
        <f t="shared" si="4"/>
        <v>00022366455K0</v>
      </c>
      <c r="C154" s="17" t="s">
        <v>492</v>
      </c>
      <c r="D154" s="17" t="s">
        <v>43</v>
      </c>
      <c r="E154" s="17">
        <v>20411454</v>
      </c>
      <c r="F154" s="17" t="s">
        <v>962</v>
      </c>
      <c r="G154" s="17" t="s">
        <v>45</v>
      </c>
      <c r="H154" s="17" t="s">
        <v>54</v>
      </c>
      <c r="I154" s="18">
        <v>45597</v>
      </c>
      <c r="J154" s="18">
        <v>45792</v>
      </c>
      <c r="K154" s="17">
        <v>1</v>
      </c>
      <c r="L154" s="19">
        <v>1</v>
      </c>
      <c r="M154" s="19">
        <v>1</v>
      </c>
      <c r="O154" s="20">
        <v>1</v>
      </c>
      <c r="P154" s="17">
        <v>4</v>
      </c>
      <c r="Q154" s="17" t="s">
        <v>473</v>
      </c>
      <c r="R154" s="17" t="s">
        <v>936</v>
      </c>
    </row>
    <row r="155" spans="1:18" x14ac:dyDescent="0.25">
      <c r="A155" s="16" t="s">
        <v>781</v>
      </c>
      <c r="B155" s="16" t="str">
        <f t="shared" si="4"/>
        <v>00021853327KOV0</v>
      </c>
      <c r="C155" s="17" t="s">
        <v>588</v>
      </c>
      <c r="D155" s="17" t="s">
        <v>43</v>
      </c>
      <c r="E155" s="17">
        <v>20411454</v>
      </c>
      <c r="F155" s="17" t="s">
        <v>962</v>
      </c>
      <c r="G155" s="17" t="s">
        <v>45</v>
      </c>
      <c r="H155" s="17" t="s">
        <v>54</v>
      </c>
      <c r="I155" s="18">
        <v>45474</v>
      </c>
      <c r="J155" s="18">
        <v>45792</v>
      </c>
      <c r="K155" s="17">
        <v>1</v>
      </c>
      <c r="L155" s="19">
        <v>1</v>
      </c>
      <c r="M155" s="19">
        <v>1</v>
      </c>
      <c r="O155" s="20">
        <v>1</v>
      </c>
      <c r="P155" s="17">
        <v>9</v>
      </c>
      <c r="Q155" s="17" t="s">
        <v>473</v>
      </c>
      <c r="R155" s="17" t="s">
        <v>936</v>
      </c>
    </row>
    <row r="156" spans="1:18" x14ac:dyDescent="0.25">
      <c r="A156" s="16">
        <v>102059218000</v>
      </c>
      <c r="B156" s="16" t="str">
        <f t="shared" si="4"/>
        <v>1020592180000</v>
      </c>
      <c r="C156" s="17" t="s">
        <v>346</v>
      </c>
      <c r="D156" s="17" t="s">
        <v>93</v>
      </c>
      <c r="E156" s="17">
        <v>20411454</v>
      </c>
      <c r="F156" s="17" t="s">
        <v>962</v>
      </c>
      <c r="G156" s="17" t="s">
        <v>45</v>
      </c>
      <c r="H156" s="17" t="s">
        <v>162</v>
      </c>
      <c r="I156" s="18">
        <v>45566</v>
      </c>
      <c r="J156" s="18">
        <v>45792</v>
      </c>
      <c r="K156" s="17">
        <v>1</v>
      </c>
      <c r="L156" s="19">
        <v>1</v>
      </c>
      <c r="M156" s="19">
        <v>1</v>
      </c>
      <c r="O156" s="20">
        <v>1</v>
      </c>
      <c r="P156" s="17">
        <v>2</v>
      </c>
      <c r="Q156" s="17" t="s">
        <v>288</v>
      </c>
      <c r="R156" s="17" t="s">
        <v>933</v>
      </c>
    </row>
    <row r="157" spans="1:18" x14ac:dyDescent="0.25">
      <c r="A157" s="16">
        <v>102058162400</v>
      </c>
      <c r="B157" s="16" t="str">
        <f t="shared" si="4"/>
        <v>1020581624000</v>
      </c>
      <c r="C157" s="17" t="s">
        <v>349</v>
      </c>
      <c r="D157" s="17" t="s">
        <v>93</v>
      </c>
      <c r="E157" s="17">
        <v>20411454</v>
      </c>
      <c r="F157" s="17" t="s">
        <v>962</v>
      </c>
      <c r="G157" s="17" t="s">
        <v>45</v>
      </c>
      <c r="H157" s="17" t="s">
        <v>162</v>
      </c>
      <c r="I157" s="18">
        <v>45566</v>
      </c>
      <c r="J157" s="18">
        <v>45792</v>
      </c>
      <c r="K157" s="17">
        <v>1</v>
      </c>
      <c r="L157" s="19">
        <v>1</v>
      </c>
      <c r="M157" s="19">
        <v>1</v>
      </c>
      <c r="O157" s="20">
        <v>1</v>
      </c>
      <c r="P157" s="17">
        <v>2</v>
      </c>
      <c r="Q157" s="17" t="s">
        <v>288</v>
      </c>
      <c r="R157" s="17" t="s">
        <v>933</v>
      </c>
    </row>
    <row r="158" spans="1:18" x14ac:dyDescent="0.25">
      <c r="A158" s="16">
        <v>102035916500</v>
      </c>
      <c r="B158" s="16" t="str">
        <f t="shared" si="4"/>
        <v>1020359165000</v>
      </c>
      <c r="C158" s="17" t="s">
        <v>409</v>
      </c>
      <c r="D158" s="17" t="s">
        <v>93</v>
      </c>
      <c r="E158" s="17">
        <v>20411454</v>
      </c>
      <c r="F158" s="17" t="s">
        <v>962</v>
      </c>
      <c r="G158" s="17" t="s">
        <v>45</v>
      </c>
      <c r="H158" s="17" t="s">
        <v>162</v>
      </c>
      <c r="I158" s="18">
        <v>45505</v>
      </c>
      <c r="J158" s="18">
        <v>45792</v>
      </c>
      <c r="K158" s="17">
        <v>1</v>
      </c>
      <c r="L158" s="19">
        <v>1</v>
      </c>
      <c r="M158" s="19">
        <v>1</v>
      </c>
      <c r="O158" s="20">
        <v>1</v>
      </c>
      <c r="P158" s="17">
        <v>2</v>
      </c>
      <c r="Q158" s="17" t="s">
        <v>288</v>
      </c>
      <c r="R158" s="17" t="s">
        <v>933</v>
      </c>
    </row>
    <row r="159" spans="1:18" x14ac:dyDescent="0.25">
      <c r="A159" s="16" t="s">
        <v>752</v>
      </c>
      <c r="B159" s="16" t="str">
        <f t="shared" si="4"/>
        <v>00017505325K0</v>
      </c>
      <c r="C159" s="17" t="s">
        <v>612</v>
      </c>
      <c r="D159" s="17" t="s">
        <v>43</v>
      </c>
      <c r="E159" s="17">
        <v>20411454</v>
      </c>
      <c r="F159" s="17" t="s">
        <v>962</v>
      </c>
      <c r="G159" s="17" t="s">
        <v>250</v>
      </c>
      <c r="H159" s="17" t="s">
        <v>46</v>
      </c>
      <c r="I159" s="18">
        <v>45474</v>
      </c>
      <c r="J159" s="18">
        <v>45792</v>
      </c>
      <c r="K159" s="17">
        <v>1</v>
      </c>
      <c r="L159" s="19">
        <v>1</v>
      </c>
      <c r="M159" s="19">
        <v>1</v>
      </c>
      <c r="O159" s="20">
        <v>1</v>
      </c>
      <c r="P159" s="17">
        <v>9</v>
      </c>
      <c r="Q159" s="17" t="s">
        <v>473</v>
      </c>
      <c r="R159" s="17" t="s">
        <v>936</v>
      </c>
    </row>
    <row r="160" spans="1:18" x14ac:dyDescent="0.25">
      <c r="A160" s="16" t="s">
        <v>690</v>
      </c>
      <c r="B160" s="16" t="str">
        <f t="shared" si="4"/>
        <v>00023247398K0</v>
      </c>
      <c r="C160" s="17" t="s">
        <v>237</v>
      </c>
      <c r="D160" s="17" t="s">
        <v>43</v>
      </c>
      <c r="E160" s="17">
        <v>20411454</v>
      </c>
      <c r="F160" s="17" t="s">
        <v>962</v>
      </c>
      <c r="G160" s="17" t="s">
        <v>45</v>
      </c>
      <c r="H160" s="17" t="s">
        <v>54</v>
      </c>
      <c r="I160" s="18">
        <v>45748</v>
      </c>
      <c r="L160" s="19">
        <v>0</v>
      </c>
      <c r="M160" s="19">
        <v>175</v>
      </c>
      <c r="N160" s="17">
        <v>1</v>
      </c>
      <c r="O160" s="20">
        <v>1</v>
      </c>
      <c r="P160" s="17">
        <v>175</v>
      </c>
      <c r="R160" s="17" t="s">
        <v>936</v>
      </c>
    </row>
    <row r="161" spans="1:18" x14ac:dyDescent="0.25">
      <c r="A161" s="16">
        <v>101249635300</v>
      </c>
      <c r="B161" s="16" t="str">
        <f t="shared" si="4"/>
        <v>1012496353000</v>
      </c>
      <c r="C161" s="17" t="s">
        <v>153</v>
      </c>
      <c r="D161" s="17" t="s">
        <v>43</v>
      </c>
      <c r="E161" s="17">
        <v>20411454</v>
      </c>
      <c r="F161" s="17" t="s">
        <v>962</v>
      </c>
      <c r="G161" s="17" t="s">
        <v>45</v>
      </c>
      <c r="H161" s="17" t="s">
        <v>95</v>
      </c>
      <c r="I161" s="18">
        <v>45748</v>
      </c>
      <c r="L161" s="19">
        <v>0</v>
      </c>
      <c r="M161" s="19">
        <v>37.5</v>
      </c>
      <c r="N161" s="17">
        <v>1</v>
      </c>
      <c r="O161" s="20">
        <v>1</v>
      </c>
      <c r="P161" s="17">
        <v>37.5</v>
      </c>
      <c r="Q161" s="17" t="s">
        <v>91</v>
      </c>
      <c r="R161" s="17" t="s">
        <v>933</v>
      </c>
    </row>
    <row r="162" spans="1:18" x14ac:dyDescent="0.25">
      <c r="A162" s="16" t="s">
        <v>664</v>
      </c>
      <c r="B162" s="16" t="str">
        <f t="shared" si="4"/>
        <v>00019625979KPC0</v>
      </c>
      <c r="C162" s="17" t="s">
        <v>153</v>
      </c>
      <c r="D162" s="17" t="s">
        <v>43</v>
      </c>
      <c r="E162" s="17">
        <v>20411454</v>
      </c>
      <c r="F162" s="17" t="s">
        <v>962</v>
      </c>
      <c r="G162" s="17" t="s">
        <v>148</v>
      </c>
      <c r="H162" s="17" t="s">
        <v>54</v>
      </c>
      <c r="I162" s="18">
        <v>45658</v>
      </c>
      <c r="L162" s="19">
        <v>0</v>
      </c>
      <c r="M162" s="17">
        <v>-131.25</v>
      </c>
      <c r="N162" s="17">
        <v>1</v>
      </c>
      <c r="O162" s="20">
        <v>1</v>
      </c>
      <c r="P162" s="17">
        <v>-131.25</v>
      </c>
      <c r="R162" s="17" t="s">
        <v>936</v>
      </c>
    </row>
    <row r="163" spans="1:18" x14ac:dyDescent="0.25">
      <c r="A163" s="16">
        <v>102053814300</v>
      </c>
      <c r="B163" s="16" t="str">
        <f t="shared" si="4"/>
        <v>1020538143000</v>
      </c>
      <c r="C163" s="17" t="s">
        <v>359</v>
      </c>
      <c r="D163" s="17" t="s">
        <v>89</v>
      </c>
      <c r="E163" s="17">
        <v>20411454</v>
      </c>
      <c r="F163" s="17" t="s">
        <v>962</v>
      </c>
      <c r="G163" s="17" t="s">
        <v>45</v>
      </c>
      <c r="H163" s="17" t="s">
        <v>162</v>
      </c>
      <c r="I163" s="18">
        <v>45536</v>
      </c>
      <c r="J163" s="18">
        <v>45792</v>
      </c>
      <c r="K163" s="17">
        <v>1</v>
      </c>
      <c r="L163" s="19">
        <v>1</v>
      </c>
      <c r="M163" s="19">
        <v>1</v>
      </c>
      <c r="O163" s="20">
        <v>1</v>
      </c>
      <c r="P163" s="17">
        <v>2</v>
      </c>
      <c r="Q163" s="17" t="s">
        <v>288</v>
      </c>
      <c r="R163" s="17" t="s">
        <v>933</v>
      </c>
    </row>
    <row r="164" spans="1:18" x14ac:dyDescent="0.25">
      <c r="A164" s="16">
        <v>102012417600</v>
      </c>
      <c r="B164" s="16" t="str">
        <f t="shared" si="4"/>
        <v>1020124176000</v>
      </c>
      <c r="C164" s="17" t="s">
        <v>451</v>
      </c>
      <c r="D164" s="17" t="s">
        <v>112</v>
      </c>
      <c r="E164" s="17">
        <v>20411454</v>
      </c>
      <c r="F164" s="17" t="s">
        <v>962</v>
      </c>
      <c r="G164" s="17" t="s">
        <v>45</v>
      </c>
      <c r="H164" s="17" t="s">
        <v>162</v>
      </c>
      <c r="I164" s="18">
        <v>45444</v>
      </c>
      <c r="J164" s="18">
        <v>45792</v>
      </c>
      <c r="K164" s="17">
        <v>1</v>
      </c>
      <c r="L164" s="19">
        <v>1</v>
      </c>
      <c r="M164" s="19">
        <v>1</v>
      </c>
      <c r="O164" s="20">
        <v>1</v>
      </c>
      <c r="P164" s="17">
        <v>2</v>
      </c>
      <c r="Q164" s="17" t="s">
        <v>288</v>
      </c>
      <c r="R164" s="17" t="s">
        <v>933</v>
      </c>
    </row>
    <row r="165" spans="1:18" x14ac:dyDescent="0.25">
      <c r="A165" s="16">
        <v>102161176900</v>
      </c>
      <c r="B165" s="16" t="str">
        <f t="shared" si="4"/>
        <v>1021611769000</v>
      </c>
      <c r="C165" s="17" t="s">
        <v>217</v>
      </c>
      <c r="D165" s="17" t="s">
        <v>93</v>
      </c>
      <c r="E165" s="17">
        <v>20411454</v>
      </c>
      <c r="F165" s="17" t="s">
        <v>962</v>
      </c>
      <c r="G165" s="17" t="s">
        <v>45</v>
      </c>
      <c r="H165" s="17" t="s">
        <v>95</v>
      </c>
      <c r="I165" s="18">
        <v>45748</v>
      </c>
      <c r="L165" s="19">
        <v>0</v>
      </c>
      <c r="M165" s="19">
        <v>37.5</v>
      </c>
      <c r="N165" s="17">
        <v>1</v>
      </c>
      <c r="O165" s="20">
        <v>1</v>
      </c>
      <c r="P165" s="17">
        <v>37.5</v>
      </c>
      <c r="Q165" s="17" t="s">
        <v>91</v>
      </c>
      <c r="R165" s="17" t="s">
        <v>933</v>
      </c>
    </row>
    <row r="166" spans="1:18" x14ac:dyDescent="0.25">
      <c r="A166" s="16" t="s">
        <v>795</v>
      </c>
      <c r="B166" s="16" t="str">
        <f t="shared" si="4"/>
        <v>00021883866K0</v>
      </c>
      <c r="C166" s="17" t="s">
        <v>578</v>
      </c>
      <c r="D166" s="17" t="s">
        <v>43</v>
      </c>
      <c r="E166" s="17">
        <v>20411454</v>
      </c>
      <c r="F166" s="17" t="s">
        <v>962</v>
      </c>
      <c r="G166" s="17" t="s">
        <v>250</v>
      </c>
      <c r="H166" s="17" t="s">
        <v>54</v>
      </c>
      <c r="I166" s="18">
        <v>45444</v>
      </c>
      <c r="J166" s="18">
        <v>45792</v>
      </c>
      <c r="K166" s="17">
        <v>1</v>
      </c>
      <c r="L166" s="19">
        <v>1</v>
      </c>
      <c r="M166" s="19">
        <v>1</v>
      </c>
      <c r="O166" s="20">
        <v>1</v>
      </c>
      <c r="P166" s="17">
        <v>9</v>
      </c>
      <c r="Q166" s="17" t="s">
        <v>473</v>
      </c>
      <c r="R166" s="17" t="s">
        <v>936</v>
      </c>
    </row>
    <row r="167" spans="1:18" x14ac:dyDescent="0.25">
      <c r="A167" s="16">
        <v>102054994500</v>
      </c>
      <c r="B167" s="16" t="str">
        <f t="shared" si="4"/>
        <v>1020549945000</v>
      </c>
      <c r="C167" s="17" t="s">
        <v>358</v>
      </c>
      <c r="D167" s="17" t="s">
        <v>315</v>
      </c>
      <c r="E167" s="17">
        <v>20411454</v>
      </c>
      <c r="F167" s="17" t="s">
        <v>962</v>
      </c>
      <c r="G167" s="17" t="s">
        <v>45</v>
      </c>
      <c r="H167" s="17" t="s">
        <v>162</v>
      </c>
      <c r="I167" s="18">
        <v>45566</v>
      </c>
      <c r="J167" s="18">
        <v>45792</v>
      </c>
      <c r="K167" s="17">
        <v>1</v>
      </c>
      <c r="L167" s="19">
        <v>1</v>
      </c>
      <c r="M167" s="19">
        <v>1</v>
      </c>
      <c r="O167" s="20">
        <v>1</v>
      </c>
      <c r="P167" s="17">
        <v>2</v>
      </c>
      <c r="Q167" s="17" t="s">
        <v>288</v>
      </c>
      <c r="R167" s="17" t="s">
        <v>933</v>
      </c>
    </row>
    <row r="168" spans="1:18" x14ac:dyDescent="0.25">
      <c r="A168" s="16" t="s">
        <v>908</v>
      </c>
      <c r="B168" s="16" t="str">
        <f t="shared" si="4"/>
        <v>00022688863K0</v>
      </c>
      <c r="C168" s="17" t="s">
        <v>476</v>
      </c>
      <c r="D168" s="17" t="s">
        <v>43</v>
      </c>
      <c r="E168" s="17">
        <v>20411454</v>
      </c>
      <c r="F168" s="17" t="s">
        <v>962</v>
      </c>
      <c r="G168" s="17" t="s">
        <v>250</v>
      </c>
      <c r="H168" s="17" t="s">
        <v>54</v>
      </c>
      <c r="I168" s="18">
        <v>45627</v>
      </c>
      <c r="J168" s="18">
        <v>45792</v>
      </c>
      <c r="K168" s="17">
        <v>1</v>
      </c>
      <c r="L168" s="19">
        <v>1</v>
      </c>
      <c r="M168" s="19">
        <v>1</v>
      </c>
      <c r="O168" s="20">
        <v>1</v>
      </c>
      <c r="P168" s="17">
        <v>9</v>
      </c>
      <c r="Q168" s="17" t="s">
        <v>473</v>
      </c>
      <c r="R168" s="17" t="s">
        <v>936</v>
      </c>
    </row>
    <row r="169" spans="1:18" x14ac:dyDescent="0.25">
      <c r="A169" s="16" t="s">
        <v>814</v>
      </c>
      <c r="B169" s="16" t="str">
        <f t="shared" si="4"/>
        <v>00021938762K0</v>
      </c>
      <c r="C169" s="17" t="s">
        <v>560</v>
      </c>
      <c r="D169" s="17" t="s">
        <v>43</v>
      </c>
      <c r="E169" s="17">
        <v>20411454</v>
      </c>
      <c r="F169" s="17" t="s">
        <v>962</v>
      </c>
      <c r="G169" s="17" t="s">
        <v>45</v>
      </c>
      <c r="H169" s="17" t="s">
        <v>54</v>
      </c>
      <c r="I169" s="18">
        <v>45536</v>
      </c>
      <c r="J169" s="18">
        <v>45792</v>
      </c>
      <c r="K169" s="17">
        <v>1</v>
      </c>
      <c r="L169" s="19">
        <v>1</v>
      </c>
      <c r="M169" s="19">
        <v>1</v>
      </c>
      <c r="O169" s="20">
        <v>1</v>
      </c>
      <c r="P169" s="17">
        <v>9</v>
      </c>
      <c r="Q169" s="17" t="s">
        <v>473</v>
      </c>
      <c r="R169" s="17" t="s">
        <v>936</v>
      </c>
    </row>
    <row r="170" spans="1:18" x14ac:dyDescent="0.25">
      <c r="A170" s="16" t="s">
        <v>895</v>
      </c>
      <c r="B170" s="16" t="str">
        <f t="shared" si="4"/>
        <v>00022413863K0</v>
      </c>
      <c r="C170" s="17" t="s">
        <v>489</v>
      </c>
      <c r="D170" s="17" t="s">
        <v>43</v>
      </c>
      <c r="E170" s="17">
        <v>20411454</v>
      </c>
      <c r="F170" s="17" t="s">
        <v>962</v>
      </c>
      <c r="G170" s="17" t="s">
        <v>45</v>
      </c>
      <c r="H170" s="17" t="s">
        <v>54</v>
      </c>
      <c r="I170" s="18">
        <v>45627</v>
      </c>
      <c r="J170" s="18">
        <v>45792</v>
      </c>
      <c r="K170" s="17">
        <v>1</v>
      </c>
      <c r="L170" s="19">
        <v>1</v>
      </c>
      <c r="M170" s="19">
        <v>1</v>
      </c>
      <c r="O170" s="20">
        <v>1</v>
      </c>
      <c r="P170" s="17">
        <v>9</v>
      </c>
      <c r="Q170" s="17" t="s">
        <v>473</v>
      </c>
      <c r="R170" s="17" t="s">
        <v>936</v>
      </c>
    </row>
    <row r="171" spans="1:18" x14ac:dyDescent="0.25">
      <c r="A171" s="16" t="s">
        <v>696</v>
      </c>
      <c r="B171" s="16" t="str">
        <f t="shared" si="4"/>
        <v>00023257494K0</v>
      </c>
      <c r="C171" s="17" t="s">
        <v>231</v>
      </c>
      <c r="D171" s="17" t="s">
        <v>43</v>
      </c>
      <c r="E171" s="17">
        <v>20411454</v>
      </c>
      <c r="F171" s="17" t="s">
        <v>962</v>
      </c>
      <c r="G171" s="17" t="s">
        <v>45</v>
      </c>
      <c r="H171" s="17" t="s">
        <v>54</v>
      </c>
      <c r="I171" s="18">
        <v>45809</v>
      </c>
      <c r="L171" s="19">
        <v>0</v>
      </c>
      <c r="M171" s="19">
        <v>175</v>
      </c>
      <c r="N171" s="17">
        <v>1</v>
      </c>
      <c r="O171" s="20">
        <v>1</v>
      </c>
      <c r="P171" s="17">
        <v>175</v>
      </c>
      <c r="R171" s="17" t="s">
        <v>936</v>
      </c>
    </row>
    <row r="172" spans="1:18" x14ac:dyDescent="0.25">
      <c r="A172" s="16">
        <v>102040124800</v>
      </c>
      <c r="B172" s="16" t="str">
        <f t="shared" si="4"/>
        <v>1020401248000</v>
      </c>
      <c r="C172" s="17" t="s">
        <v>397</v>
      </c>
      <c r="D172" s="17" t="s">
        <v>128</v>
      </c>
      <c r="E172" s="17">
        <v>20411454</v>
      </c>
      <c r="F172" s="17" t="s">
        <v>962</v>
      </c>
      <c r="G172" s="17" t="s">
        <v>45</v>
      </c>
      <c r="H172" s="17" t="s">
        <v>162</v>
      </c>
      <c r="I172" s="18">
        <v>45536</v>
      </c>
      <c r="J172" s="18">
        <v>45792</v>
      </c>
      <c r="K172" s="17">
        <v>1</v>
      </c>
      <c r="L172" s="19">
        <v>1</v>
      </c>
      <c r="M172" s="19">
        <v>1</v>
      </c>
      <c r="O172" s="20">
        <v>1</v>
      </c>
      <c r="P172" s="17">
        <v>2</v>
      </c>
      <c r="Q172" s="17" t="s">
        <v>288</v>
      </c>
      <c r="R172" s="17" t="s">
        <v>933</v>
      </c>
    </row>
    <row r="173" spans="1:18" x14ac:dyDescent="0.25">
      <c r="A173" s="16" t="s">
        <v>747</v>
      </c>
      <c r="B173" s="16" t="str">
        <f t="shared" si="4"/>
        <v>00001672119K0</v>
      </c>
      <c r="C173" s="17" t="s">
        <v>617</v>
      </c>
      <c r="D173" s="17" t="s">
        <v>43</v>
      </c>
      <c r="E173" s="17">
        <v>20411454</v>
      </c>
      <c r="F173" s="17" t="s">
        <v>962</v>
      </c>
      <c r="G173" s="17" t="s">
        <v>250</v>
      </c>
      <c r="H173" s="17" t="s">
        <v>46</v>
      </c>
      <c r="I173" s="18">
        <v>45536</v>
      </c>
      <c r="J173" s="18">
        <v>45792</v>
      </c>
      <c r="K173" s="17">
        <v>1</v>
      </c>
      <c r="L173" s="19">
        <v>1</v>
      </c>
      <c r="M173" s="19">
        <v>1</v>
      </c>
      <c r="O173" s="20">
        <v>1</v>
      </c>
      <c r="P173" s="17">
        <v>9</v>
      </c>
      <c r="Q173" s="17" t="s">
        <v>473</v>
      </c>
      <c r="R173" s="17" t="s">
        <v>936</v>
      </c>
    </row>
    <row r="174" spans="1:18" x14ac:dyDescent="0.25">
      <c r="A174" s="16" t="s">
        <v>877</v>
      </c>
      <c r="B174" s="16" t="str">
        <f t="shared" si="4"/>
        <v>00022106958K0</v>
      </c>
      <c r="C174" s="17" t="s">
        <v>507</v>
      </c>
      <c r="D174" s="17" t="s">
        <v>43</v>
      </c>
      <c r="E174" s="17">
        <v>20411454</v>
      </c>
      <c r="F174" s="17" t="s">
        <v>962</v>
      </c>
      <c r="G174" s="17" t="s">
        <v>45</v>
      </c>
      <c r="H174" s="17" t="s">
        <v>54</v>
      </c>
      <c r="I174" s="18">
        <v>45627</v>
      </c>
      <c r="J174" s="18">
        <v>45792</v>
      </c>
      <c r="K174" s="17">
        <v>1</v>
      </c>
      <c r="L174" s="19">
        <v>1</v>
      </c>
      <c r="M174" s="19">
        <v>1</v>
      </c>
      <c r="O174" s="20">
        <v>1</v>
      </c>
      <c r="P174" s="17">
        <v>9</v>
      </c>
      <c r="Q174" s="17" t="s">
        <v>473</v>
      </c>
      <c r="R174" s="17" t="s">
        <v>936</v>
      </c>
    </row>
    <row r="175" spans="1:18" x14ac:dyDescent="0.25">
      <c r="A175" s="16">
        <v>101123136100</v>
      </c>
      <c r="B175" s="16" t="str">
        <f t="shared" si="4"/>
        <v>1011231361000</v>
      </c>
      <c r="C175" s="17" t="s">
        <v>92</v>
      </c>
      <c r="D175" s="17" t="s">
        <v>93</v>
      </c>
      <c r="E175" s="17">
        <v>20411454</v>
      </c>
      <c r="F175" s="17" t="s">
        <v>962</v>
      </c>
      <c r="G175" s="17" t="s">
        <v>45</v>
      </c>
      <c r="H175" s="17" t="s">
        <v>95</v>
      </c>
      <c r="I175" s="18">
        <v>45748</v>
      </c>
      <c r="L175" s="19">
        <v>0</v>
      </c>
      <c r="M175" s="19">
        <v>37.5</v>
      </c>
      <c r="N175" s="17">
        <v>1</v>
      </c>
      <c r="O175" s="20">
        <v>1</v>
      </c>
      <c r="P175" s="17">
        <v>37.5</v>
      </c>
      <c r="Q175" s="17" t="s">
        <v>91</v>
      </c>
      <c r="R175" s="17" t="s">
        <v>933</v>
      </c>
    </row>
    <row r="176" spans="1:18" x14ac:dyDescent="0.25">
      <c r="A176" s="16">
        <v>102053217100</v>
      </c>
      <c r="B176" s="16" t="str">
        <f t="shared" si="4"/>
        <v>1020532171000</v>
      </c>
      <c r="C176" s="17" t="s">
        <v>361</v>
      </c>
      <c r="D176" s="17" t="s">
        <v>89</v>
      </c>
      <c r="E176" s="17">
        <v>20411454</v>
      </c>
      <c r="F176" s="17" t="s">
        <v>962</v>
      </c>
      <c r="G176" s="17" t="s">
        <v>45</v>
      </c>
      <c r="H176" s="17" t="s">
        <v>162</v>
      </c>
      <c r="I176" s="18">
        <v>45536</v>
      </c>
      <c r="J176" s="18">
        <v>45792</v>
      </c>
      <c r="K176" s="17">
        <v>1</v>
      </c>
      <c r="L176" s="19">
        <v>1</v>
      </c>
      <c r="M176" s="19">
        <v>1</v>
      </c>
      <c r="O176" s="20">
        <v>1</v>
      </c>
      <c r="P176" s="17">
        <v>2</v>
      </c>
      <c r="Q176" s="17" t="s">
        <v>288</v>
      </c>
      <c r="R176" s="17" t="s">
        <v>933</v>
      </c>
    </row>
    <row r="177" spans="1:18" x14ac:dyDescent="0.25">
      <c r="A177" s="16" t="s">
        <v>878</v>
      </c>
      <c r="B177" s="16" t="str">
        <f t="shared" si="4"/>
        <v>00022107554K0</v>
      </c>
      <c r="C177" s="17" t="s">
        <v>506</v>
      </c>
      <c r="D177" s="17" t="s">
        <v>43</v>
      </c>
      <c r="E177" s="17">
        <v>20411454</v>
      </c>
      <c r="F177" s="17" t="s">
        <v>962</v>
      </c>
      <c r="G177" s="17" t="s">
        <v>45</v>
      </c>
      <c r="H177" s="17" t="s">
        <v>54</v>
      </c>
      <c r="I177" s="18">
        <v>45566</v>
      </c>
      <c r="J177" s="18">
        <v>45792</v>
      </c>
      <c r="K177" s="17">
        <v>1</v>
      </c>
      <c r="L177" s="19">
        <v>1</v>
      </c>
      <c r="M177" s="19">
        <v>1</v>
      </c>
      <c r="O177" s="20">
        <v>1</v>
      </c>
      <c r="P177" s="17">
        <v>9</v>
      </c>
      <c r="Q177" s="17" t="s">
        <v>473</v>
      </c>
      <c r="R177" s="17" t="s">
        <v>936</v>
      </c>
    </row>
    <row r="178" spans="1:18" x14ac:dyDescent="0.25">
      <c r="A178" s="16" t="s">
        <v>810</v>
      </c>
      <c r="B178" s="16" t="str">
        <f t="shared" si="4"/>
        <v>00021921861K0</v>
      </c>
      <c r="C178" s="17" t="s">
        <v>564</v>
      </c>
      <c r="D178" s="17" t="s">
        <v>43</v>
      </c>
      <c r="E178" s="17">
        <v>20411454</v>
      </c>
      <c r="F178" s="17" t="s">
        <v>962</v>
      </c>
      <c r="G178" s="17" t="s">
        <v>250</v>
      </c>
      <c r="H178" s="17" t="s">
        <v>54</v>
      </c>
      <c r="I178" s="18">
        <v>45505</v>
      </c>
      <c r="J178" s="18">
        <v>45792</v>
      </c>
      <c r="K178" s="17">
        <v>1</v>
      </c>
      <c r="L178" s="19">
        <v>1</v>
      </c>
      <c r="M178" s="19">
        <v>1</v>
      </c>
      <c r="O178" s="20">
        <v>1</v>
      </c>
      <c r="P178" s="17">
        <v>9</v>
      </c>
      <c r="Q178" s="17" t="s">
        <v>473</v>
      </c>
      <c r="R178" s="17" t="s">
        <v>936</v>
      </c>
    </row>
    <row r="179" spans="1:18" x14ac:dyDescent="0.25">
      <c r="A179" s="16" t="s">
        <v>721</v>
      </c>
      <c r="B179" s="16" t="str">
        <f t="shared" si="4"/>
        <v>00022982390KPC0</v>
      </c>
      <c r="C179" s="17" t="s">
        <v>183</v>
      </c>
      <c r="D179" s="17" t="s">
        <v>43</v>
      </c>
      <c r="E179" s="17">
        <v>20411454</v>
      </c>
      <c r="F179" s="17" t="s">
        <v>962</v>
      </c>
      <c r="G179" s="17" t="s">
        <v>148</v>
      </c>
      <c r="H179" s="17" t="s">
        <v>54</v>
      </c>
      <c r="I179" s="18">
        <v>45689</v>
      </c>
      <c r="L179" s="19">
        <v>0</v>
      </c>
      <c r="M179" s="17">
        <v>-131.25</v>
      </c>
      <c r="N179" s="17">
        <v>1</v>
      </c>
      <c r="O179" s="20">
        <v>1</v>
      </c>
      <c r="P179" s="17">
        <v>-131.25</v>
      </c>
      <c r="R179" s="17" t="s">
        <v>936</v>
      </c>
    </row>
    <row r="180" spans="1:18" x14ac:dyDescent="0.25">
      <c r="A180" s="16" t="s">
        <v>815</v>
      </c>
      <c r="B180" s="16" t="str">
        <f t="shared" si="4"/>
        <v>00021942365K0</v>
      </c>
      <c r="C180" s="17" t="s">
        <v>559</v>
      </c>
      <c r="D180" s="17" t="s">
        <v>43</v>
      </c>
      <c r="E180" s="17">
        <v>20411454</v>
      </c>
      <c r="F180" s="17" t="s">
        <v>962</v>
      </c>
      <c r="G180" s="17" t="s">
        <v>250</v>
      </c>
      <c r="H180" s="17" t="s">
        <v>54</v>
      </c>
      <c r="I180" s="18">
        <v>45505</v>
      </c>
      <c r="J180" s="18">
        <v>45792</v>
      </c>
      <c r="K180" s="17">
        <v>1</v>
      </c>
      <c r="L180" s="19">
        <v>1</v>
      </c>
      <c r="M180" s="19">
        <v>1</v>
      </c>
      <c r="O180" s="20">
        <v>1</v>
      </c>
      <c r="P180" s="17">
        <v>9</v>
      </c>
      <c r="Q180" s="17" t="s">
        <v>473</v>
      </c>
      <c r="R180" s="17" t="s">
        <v>936</v>
      </c>
    </row>
    <row r="181" spans="1:18" x14ac:dyDescent="0.25">
      <c r="A181" s="16">
        <v>102105540600</v>
      </c>
      <c r="B181" s="16" t="str">
        <f t="shared" si="4"/>
        <v>1021055406000</v>
      </c>
      <c r="C181" s="17" t="s">
        <v>291</v>
      </c>
      <c r="D181" s="17" t="s">
        <v>89</v>
      </c>
      <c r="E181" s="17">
        <v>20411454</v>
      </c>
      <c r="F181" s="17" t="s">
        <v>962</v>
      </c>
      <c r="G181" s="17" t="s">
        <v>45</v>
      </c>
      <c r="H181" s="17" t="s">
        <v>162</v>
      </c>
      <c r="I181" s="18">
        <v>45627</v>
      </c>
      <c r="J181" s="18">
        <v>45792</v>
      </c>
      <c r="K181" s="17">
        <v>1</v>
      </c>
      <c r="L181" s="19">
        <v>1</v>
      </c>
      <c r="M181" s="19">
        <v>1</v>
      </c>
      <c r="O181" s="20">
        <v>1</v>
      </c>
      <c r="P181" s="17">
        <v>2</v>
      </c>
      <c r="Q181" s="17" t="s">
        <v>288</v>
      </c>
      <c r="R181" s="17" t="s">
        <v>933</v>
      </c>
    </row>
    <row r="182" spans="1:18" x14ac:dyDescent="0.25">
      <c r="A182" s="16" t="s">
        <v>762</v>
      </c>
      <c r="B182" s="16" t="str">
        <f t="shared" si="4"/>
        <v>00021762005K0</v>
      </c>
      <c r="C182" s="17" t="s">
        <v>603</v>
      </c>
      <c r="D182" s="17" t="s">
        <v>43</v>
      </c>
      <c r="E182" s="17">
        <v>20411454</v>
      </c>
      <c r="F182" s="17" t="s">
        <v>962</v>
      </c>
      <c r="G182" s="17" t="s">
        <v>45</v>
      </c>
      <c r="H182" s="17" t="s">
        <v>46</v>
      </c>
      <c r="I182" s="18">
        <v>45566</v>
      </c>
      <c r="J182" s="18">
        <v>45792</v>
      </c>
      <c r="K182" s="17">
        <v>1</v>
      </c>
      <c r="L182" s="19">
        <v>1</v>
      </c>
      <c r="M182" s="19">
        <v>1</v>
      </c>
      <c r="O182" s="20">
        <v>1</v>
      </c>
      <c r="P182" s="17">
        <v>9</v>
      </c>
      <c r="Q182" s="17" t="s">
        <v>473</v>
      </c>
      <c r="R182" s="17" t="s">
        <v>936</v>
      </c>
    </row>
    <row r="183" spans="1:18" x14ac:dyDescent="0.25">
      <c r="A183" s="16" t="s">
        <v>770</v>
      </c>
      <c r="B183" s="16" t="str">
        <f t="shared" si="4"/>
        <v>00021812164KOV0</v>
      </c>
      <c r="C183" s="17" t="s">
        <v>595</v>
      </c>
      <c r="D183" s="17" t="s">
        <v>43</v>
      </c>
      <c r="E183" s="17">
        <v>20411454</v>
      </c>
      <c r="F183" s="17" t="s">
        <v>962</v>
      </c>
      <c r="G183" s="17" t="s">
        <v>45</v>
      </c>
      <c r="H183" s="17" t="s">
        <v>54</v>
      </c>
      <c r="I183" s="18">
        <v>45444</v>
      </c>
      <c r="J183" s="18">
        <v>45792</v>
      </c>
      <c r="K183" s="17">
        <v>1</v>
      </c>
      <c r="L183" s="19">
        <v>1</v>
      </c>
      <c r="M183" s="19">
        <v>1</v>
      </c>
      <c r="O183" s="20">
        <v>1</v>
      </c>
      <c r="P183" s="17">
        <v>9</v>
      </c>
      <c r="Q183" s="17" t="s">
        <v>473</v>
      </c>
      <c r="R183" s="17" t="s">
        <v>936</v>
      </c>
    </row>
    <row r="184" spans="1:18" x14ac:dyDescent="0.25">
      <c r="A184" s="16">
        <v>102161621900</v>
      </c>
      <c r="B184" s="16" t="str">
        <f t="shared" si="4"/>
        <v>1021616219000</v>
      </c>
      <c r="C184" s="17" t="s">
        <v>213</v>
      </c>
      <c r="D184" s="17" t="s">
        <v>89</v>
      </c>
      <c r="E184" s="17">
        <v>20411454</v>
      </c>
      <c r="F184" s="17" t="s">
        <v>962</v>
      </c>
      <c r="G184" s="17" t="s">
        <v>45</v>
      </c>
      <c r="H184" s="17" t="s">
        <v>95</v>
      </c>
      <c r="I184" s="18">
        <v>45748</v>
      </c>
      <c r="L184" s="19">
        <v>0</v>
      </c>
      <c r="M184" s="19">
        <v>37.5</v>
      </c>
      <c r="N184" s="17">
        <v>1</v>
      </c>
      <c r="O184" s="20">
        <v>1</v>
      </c>
      <c r="P184" s="17">
        <v>37.5</v>
      </c>
      <c r="Q184" s="17" t="s">
        <v>91</v>
      </c>
      <c r="R184" s="17" t="s">
        <v>933</v>
      </c>
    </row>
    <row r="185" spans="1:18" x14ac:dyDescent="0.25">
      <c r="A185" s="16">
        <v>102074570600</v>
      </c>
      <c r="B185" s="16" t="str">
        <f t="shared" si="4"/>
        <v>1020745706000</v>
      </c>
      <c r="C185" s="17" t="s">
        <v>309</v>
      </c>
      <c r="D185" s="17" t="s">
        <v>112</v>
      </c>
      <c r="E185" s="17">
        <v>20411454</v>
      </c>
      <c r="F185" s="17" t="s">
        <v>962</v>
      </c>
      <c r="G185" s="17" t="s">
        <v>45</v>
      </c>
      <c r="H185" s="17" t="s">
        <v>308</v>
      </c>
      <c r="I185" s="18">
        <v>45597</v>
      </c>
      <c r="J185" s="18">
        <v>45792</v>
      </c>
      <c r="K185" s="17">
        <v>1</v>
      </c>
      <c r="L185" s="19">
        <v>1</v>
      </c>
      <c r="M185" s="19">
        <v>1</v>
      </c>
      <c r="O185" s="20">
        <v>1</v>
      </c>
      <c r="P185" s="17">
        <v>2</v>
      </c>
      <c r="Q185" s="17" t="s">
        <v>288</v>
      </c>
      <c r="R185" s="17" t="s">
        <v>933</v>
      </c>
    </row>
    <row r="186" spans="1:18" x14ac:dyDescent="0.25">
      <c r="A186" s="16">
        <v>102088844600</v>
      </c>
      <c r="B186" s="16" t="str">
        <f t="shared" si="4"/>
        <v>1020888446000</v>
      </c>
      <c r="C186" s="17" t="s">
        <v>299</v>
      </c>
      <c r="D186" s="17" t="s">
        <v>89</v>
      </c>
      <c r="E186" s="17">
        <v>20411454</v>
      </c>
      <c r="F186" s="17" t="s">
        <v>962</v>
      </c>
      <c r="G186" s="17" t="s">
        <v>45</v>
      </c>
      <c r="H186" s="17" t="s">
        <v>162</v>
      </c>
      <c r="I186" s="18">
        <v>45627</v>
      </c>
      <c r="J186" s="18">
        <v>45792</v>
      </c>
      <c r="K186" s="17">
        <v>1</v>
      </c>
      <c r="L186" s="19">
        <v>1</v>
      </c>
      <c r="M186" s="19">
        <v>1</v>
      </c>
      <c r="O186" s="20">
        <v>1</v>
      </c>
      <c r="P186" s="17">
        <v>2</v>
      </c>
      <c r="Q186" s="17" t="s">
        <v>288</v>
      </c>
      <c r="R186" s="17" t="s">
        <v>933</v>
      </c>
    </row>
    <row r="187" spans="1:18" x14ac:dyDescent="0.25">
      <c r="A187" s="16">
        <v>102056819400</v>
      </c>
      <c r="B187" s="16" t="str">
        <f t="shared" si="4"/>
        <v>1020568194000</v>
      </c>
      <c r="C187" s="17" t="s">
        <v>353</v>
      </c>
      <c r="D187" s="17" t="s">
        <v>84</v>
      </c>
      <c r="E187" s="17">
        <v>20411454</v>
      </c>
      <c r="F187" s="17" t="s">
        <v>962</v>
      </c>
      <c r="G187" s="17" t="s">
        <v>45</v>
      </c>
      <c r="H187" s="17" t="s">
        <v>162</v>
      </c>
      <c r="I187" s="18">
        <v>45566</v>
      </c>
      <c r="J187" s="18">
        <v>45792</v>
      </c>
      <c r="K187" s="17">
        <v>1</v>
      </c>
      <c r="L187" s="19">
        <v>1</v>
      </c>
      <c r="M187" s="19">
        <v>1</v>
      </c>
      <c r="O187" s="20">
        <v>1</v>
      </c>
      <c r="P187" s="17">
        <v>2</v>
      </c>
      <c r="Q187" s="17" t="s">
        <v>288</v>
      </c>
      <c r="R187" s="17" t="s">
        <v>933</v>
      </c>
    </row>
    <row r="188" spans="1:18" x14ac:dyDescent="0.25">
      <c r="A188" s="16">
        <v>102033829400</v>
      </c>
      <c r="B188" s="16" t="str">
        <f t="shared" si="4"/>
        <v>1020338294000</v>
      </c>
      <c r="C188" s="17" t="s">
        <v>417</v>
      </c>
      <c r="D188" s="17" t="s">
        <v>84</v>
      </c>
      <c r="E188" s="17">
        <v>20411454</v>
      </c>
      <c r="F188" s="17" t="s">
        <v>962</v>
      </c>
      <c r="G188" s="17" t="s">
        <v>45</v>
      </c>
      <c r="H188" s="17" t="s">
        <v>95</v>
      </c>
      <c r="I188" s="18">
        <v>45505</v>
      </c>
      <c r="J188" s="18">
        <v>45792</v>
      </c>
      <c r="K188" s="17">
        <v>1</v>
      </c>
      <c r="L188" s="19">
        <v>1</v>
      </c>
      <c r="M188" s="19">
        <v>1</v>
      </c>
      <c r="O188" s="20">
        <v>1</v>
      </c>
      <c r="P188" s="17">
        <v>2</v>
      </c>
      <c r="Q188" s="17" t="s">
        <v>288</v>
      </c>
      <c r="R188" s="17" t="s">
        <v>933</v>
      </c>
    </row>
    <row r="189" spans="1:18" x14ac:dyDescent="0.25">
      <c r="A189" s="16">
        <v>102017011000</v>
      </c>
      <c r="B189" s="16" t="str">
        <f t="shared" si="4"/>
        <v>1020170110000</v>
      </c>
      <c r="C189" s="17" t="s">
        <v>443</v>
      </c>
      <c r="D189" s="17" t="s">
        <v>93</v>
      </c>
      <c r="E189" s="17">
        <v>20411454</v>
      </c>
      <c r="F189" s="17" t="s">
        <v>962</v>
      </c>
      <c r="G189" s="17" t="s">
        <v>250</v>
      </c>
      <c r="H189" s="17" t="s">
        <v>162</v>
      </c>
      <c r="I189" s="18">
        <v>45658</v>
      </c>
      <c r="J189" s="18">
        <v>45792</v>
      </c>
      <c r="K189" s="17">
        <v>1</v>
      </c>
      <c r="L189" s="19">
        <v>1</v>
      </c>
      <c r="M189" s="19">
        <v>1</v>
      </c>
      <c r="O189" s="20">
        <v>1</v>
      </c>
      <c r="P189" s="17">
        <v>2</v>
      </c>
      <c r="Q189" s="17" t="s">
        <v>288</v>
      </c>
      <c r="R189" s="17" t="s">
        <v>933</v>
      </c>
    </row>
    <row r="190" spans="1:18" x14ac:dyDescent="0.25">
      <c r="A190" s="16" t="s">
        <v>858</v>
      </c>
      <c r="B190" s="16" t="str">
        <f t="shared" si="4"/>
        <v>00022085271K0</v>
      </c>
      <c r="C190" s="17" t="s">
        <v>522</v>
      </c>
      <c r="D190" s="17" t="s">
        <v>43</v>
      </c>
      <c r="E190" s="17">
        <v>20411454</v>
      </c>
      <c r="F190" s="17" t="s">
        <v>962</v>
      </c>
      <c r="G190" s="17" t="s">
        <v>45</v>
      </c>
      <c r="H190" s="17" t="s">
        <v>54</v>
      </c>
      <c r="I190" s="18">
        <v>45597</v>
      </c>
      <c r="J190" s="18">
        <v>45792</v>
      </c>
      <c r="K190" s="17">
        <v>1</v>
      </c>
      <c r="L190" s="19">
        <v>1</v>
      </c>
      <c r="M190" s="19">
        <v>1</v>
      </c>
      <c r="O190" s="20">
        <v>1</v>
      </c>
      <c r="P190" s="17">
        <v>9</v>
      </c>
      <c r="Q190" s="17" t="s">
        <v>473</v>
      </c>
      <c r="R190" s="17" t="s">
        <v>936</v>
      </c>
    </row>
    <row r="191" spans="1:18" x14ac:dyDescent="0.25">
      <c r="A191" s="16" t="s">
        <v>719</v>
      </c>
      <c r="B191" s="16" t="str">
        <f t="shared" si="4"/>
        <v>00022113555KPC0</v>
      </c>
      <c r="C191" s="17" t="s">
        <v>185</v>
      </c>
      <c r="D191" s="17" t="s">
        <v>43</v>
      </c>
      <c r="E191" s="17">
        <v>20411454</v>
      </c>
      <c r="F191" s="17" t="s">
        <v>962</v>
      </c>
      <c r="G191" s="17" t="s">
        <v>148</v>
      </c>
      <c r="H191" s="17" t="s">
        <v>54</v>
      </c>
      <c r="I191" s="18">
        <v>45658</v>
      </c>
      <c r="L191" s="19">
        <v>0</v>
      </c>
      <c r="M191" s="17">
        <v>-145.25</v>
      </c>
      <c r="N191" s="17">
        <v>1</v>
      </c>
      <c r="O191" s="20">
        <v>1</v>
      </c>
      <c r="P191" s="17">
        <v>-145.25</v>
      </c>
      <c r="R191" s="17" t="s">
        <v>936</v>
      </c>
    </row>
    <row r="192" spans="1:18" x14ac:dyDescent="0.25">
      <c r="A192" s="16" t="s">
        <v>890</v>
      </c>
      <c r="B192" s="16" t="str">
        <f t="shared" si="4"/>
        <v>00022256745K0</v>
      </c>
      <c r="C192" s="17" t="s">
        <v>494</v>
      </c>
      <c r="D192" s="17" t="s">
        <v>43</v>
      </c>
      <c r="E192" s="17">
        <v>20411454</v>
      </c>
      <c r="F192" s="17" t="s">
        <v>962</v>
      </c>
      <c r="G192" s="17" t="s">
        <v>45</v>
      </c>
      <c r="H192" s="17" t="s">
        <v>54</v>
      </c>
      <c r="I192" s="18">
        <v>45597</v>
      </c>
      <c r="J192" s="18">
        <v>45792</v>
      </c>
      <c r="K192" s="17">
        <v>1</v>
      </c>
      <c r="L192" s="19">
        <v>1</v>
      </c>
      <c r="M192" s="19">
        <v>1</v>
      </c>
      <c r="O192" s="20">
        <v>1</v>
      </c>
      <c r="P192" s="17">
        <v>9</v>
      </c>
      <c r="Q192" s="17" t="s">
        <v>473</v>
      </c>
      <c r="R192" s="17" t="s">
        <v>936</v>
      </c>
    </row>
    <row r="193" spans="1:18" x14ac:dyDescent="0.25">
      <c r="A193" s="16" t="s">
        <v>764</v>
      </c>
      <c r="B193" s="16" t="str">
        <f t="shared" si="4"/>
        <v>00021778915K0</v>
      </c>
      <c r="C193" s="17" t="s">
        <v>601</v>
      </c>
      <c r="D193" s="17" t="s">
        <v>43</v>
      </c>
      <c r="E193" s="17">
        <v>20411454</v>
      </c>
      <c r="F193" s="17" t="s">
        <v>962</v>
      </c>
      <c r="G193" s="17" t="s">
        <v>250</v>
      </c>
      <c r="H193" s="17" t="s">
        <v>54</v>
      </c>
      <c r="I193" s="18">
        <v>45444</v>
      </c>
      <c r="J193" s="18">
        <v>45792</v>
      </c>
      <c r="K193" s="17">
        <v>1</v>
      </c>
      <c r="L193" s="19">
        <v>1</v>
      </c>
      <c r="M193" s="19">
        <v>1</v>
      </c>
      <c r="O193" s="20">
        <v>1</v>
      </c>
      <c r="P193" s="17">
        <v>9</v>
      </c>
      <c r="Q193" s="17" t="s">
        <v>473</v>
      </c>
      <c r="R193" s="17" t="s">
        <v>936</v>
      </c>
    </row>
    <row r="194" spans="1:18" x14ac:dyDescent="0.25">
      <c r="A194" s="16" t="s">
        <v>848</v>
      </c>
      <c r="B194" s="16" t="str">
        <f t="shared" si="4"/>
        <v>00022063861K0</v>
      </c>
      <c r="C194" s="17" t="s">
        <v>533</v>
      </c>
      <c r="D194" s="17" t="s">
        <v>43</v>
      </c>
      <c r="E194" s="17">
        <v>20411454</v>
      </c>
      <c r="F194" s="17" t="s">
        <v>962</v>
      </c>
      <c r="G194" s="17" t="s">
        <v>45</v>
      </c>
      <c r="H194" s="17" t="s">
        <v>54</v>
      </c>
      <c r="I194" s="18">
        <v>45566</v>
      </c>
      <c r="J194" s="18">
        <v>45792</v>
      </c>
      <c r="K194" s="17">
        <v>-1</v>
      </c>
      <c r="L194" s="19">
        <v>-1</v>
      </c>
      <c r="M194" s="19">
        <v>-1</v>
      </c>
      <c r="O194" s="20">
        <v>1</v>
      </c>
      <c r="P194" s="17">
        <v>-9</v>
      </c>
      <c r="Q194" s="17" t="s">
        <v>473</v>
      </c>
      <c r="R194" s="17" t="s">
        <v>936</v>
      </c>
    </row>
    <row r="195" spans="1:18" x14ac:dyDescent="0.25">
      <c r="A195" s="16">
        <v>101351768100</v>
      </c>
      <c r="B195" s="16" t="str">
        <f t="shared" si="4"/>
        <v>1013517681000</v>
      </c>
      <c r="C195" s="17" t="s">
        <v>465</v>
      </c>
      <c r="D195" s="17" t="s">
        <v>89</v>
      </c>
      <c r="E195" s="17">
        <v>20411454</v>
      </c>
      <c r="F195" s="17" t="s">
        <v>962</v>
      </c>
      <c r="G195" s="17" t="s">
        <v>250</v>
      </c>
      <c r="H195" s="17" t="s">
        <v>162</v>
      </c>
      <c r="I195" s="18">
        <v>43831</v>
      </c>
      <c r="J195" s="18">
        <v>45792</v>
      </c>
      <c r="K195" s="17">
        <v>1</v>
      </c>
      <c r="L195" s="19">
        <v>1</v>
      </c>
      <c r="M195" s="19">
        <v>1</v>
      </c>
      <c r="O195" s="20">
        <v>1</v>
      </c>
      <c r="P195" s="17">
        <v>2</v>
      </c>
      <c r="Q195" s="17" t="s">
        <v>288</v>
      </c>
      <c r="R195" s="17" t="s">
        <v>933</v>
      </c>
    </row>
    <row r="196" spans="1:18" x14ac:dyDescent="0.25">
      <c r="A196" s="16" t="s">
        <v>846</v>
      </c>
      <c r="B196" s="16" t="str">
        <f t="shared" si="4"/>
        <v>00022063091K0</v>
      </c>
      <c r="C196" s="17" t="s">
        <v>535</v>
      </c>
      <c r="D196" s="17" t="s">
        <v>43</v>
      </c>
      <c r="E196" s="17">
        <v>20411454</v>
      </c>
      <c r="F196" s="17" t="s">
        <v>962</v>
      </c>
      <c r="G196" s="17" t="s">
        <v>45</v>
      </c>
      <c r="H196" s="17" t="s">
        <v>54</v>
      </c>
      <c r="I196" s="18">
        <v>45566</v>
      </c>
      <c r="J196" s="18">
        <v>45792</v>
      </c>
      <c r="K196" s="17">
        <v>1</v>
      </c>
      <c r="L196" s="19">
        <v>1</v>
      </c>
      <c r="M196" s="19">
        <v>1</v>
      </c>
      <c r="O196" s="20">
        <v>1</v>
      </c>
      <c r="P196" s="17">
        <v>9</v>
      </c>
      <c r="Q196" s="17" t="s">
        <v>473</v>
      </c>
      <c r="R196" s="17" t="s">
        <v>936</v>
      </c>
    </row>
    <row r="197" spans="1:18" x14ac:dyDescent="0.25">
      <c r="A197" s="16">
        <v>102043872000</v>
      </c>
      <c r="B197" s="16" t="str">
        <f t="shared" si="4"/>
        <v>1020438720000</v>
      </c>
      <c r="C197" s="17" t="s">
        <v>390</v>
      </c>
      <c r="D197" s="17" t="s">
        <v>93</v>
      </c>
      <c r="E197" s="17">
        <v>20411454</v>
      </c>
      <c r="F197" s="17" t="s">
        <v>962</v>
      </c>
      <c r="G197" s="17" t="s">
        <v>45</v>
      </c>
      <c r="H197" s="17" t="s">
        <v>162</v>
      </c>
      <c r="I197" s="18">
        <v>45536</v>
      </c>
      <c r="J197" s="18">
        <v>45792</v>
      </c>
      <c r="K197" s="17">
        <v>1</v>
      </c>
      <c r="L197" s="19">
        <v>1</v>
      </c>
      <c r="M197" s="19">
        <v>1</v>
      </c>
      <c r="O197" s="20">
        <v>1</v>
      </c>
      <c r="P197" s="17">
        <v>2</v>
      </c>
      <c r="Q197" s="17" t="s">
        <v>288</v>
      </c>
      <c r="R197" s="17" t="s">
        <v>933</v>
      </c>
    </row>
    <row r="198" spans="1:18" x14ac:dyDescent="0.25">
      <c r="A198" s="16">
        <v>101458074100</v>
      </c>
      <c r="B198" s="16" t="str">
        <f t="shared" si="4"/>
        <v>1014580741000</v>
      </c>
      <c r="C198" s="17" t="s">
        <v>464</v>
      </c>
      <c r="D198" s="17" t="s">
        <v>84</v>
      </c>
      <c r="E198" s="17">
        <v>20411454</v>
      </c>
      <c r="F198" s="17" t="s">
        <v>962</v>
      </c>
      <c r="G198" s="17" t="s">
        <v>45</v>
      </c>
      <c r="H198" s="17" t="s">
        <v>95</v>
      </c>
      <c r="I198" s="18">
        <v>45597</v>
      </c>
      <c r="J198" s="18">
        <v>45792</v>
      </c>
      <c r="K198" s="17">
        <v>1</v>
      </c>
      <c r="L198" s="19">
        <v>1</v>
      </c>
      <c r="M198" s="19">
        <v>1</v>
      </c>
      <c r="O198" s="20">
        <v>1</v>
      </c>
      <c r="P198" s="17">
        <v>2</v>
      </c>
      <c r="Q198" s="17" t="s">
        <v>288</v>
      </c>
      <c r="R198" s="17" t="s">
        <v>933</v>
      </c>
    </row>
    <row r="199" spans="1:18" x14ac:dyDescent="0.25">
      <c r="A199" s="16" t="s">
        <v>684</v>
      </c>
      <c r="B199" s="16" t="str">
        <f t="shared" si="4"/>
        <v>00023241263K0</v>
      </c>
      <c r="C199" s="17" t="s">
        <v>243</v>
      </c>
      <c r="D199" s="17" t="s">
        <v>43</v>
      </c>
      <c r="E199" s="17">
        <v>20411454</v>
      </c>
      <c r="F199" s="17" t="s">
        <v>962</v>
      </c>
      <c r="G199" s="17" t="s">
        <v>45</v>
      </c>
      <c r="H199" s="17" t="s">
        <v>54</v>
      </c>
      <c r="I199" s="18">
        <v>45748</v>
      </c>
      <c r="L199" s="19">
        <v>0</v>
      </c>
      <c r="M199" s="19">
        <v>175</v>
      </c>
      <c r="N199" s="17">
        <v>1</v>
      </c>
      <c r="O199" s="20">
        <v>1</v>
      </c>
      <c r="P199" s="17">
        <v>175</v>
      </c>
      <c r="R199" s="17" t="s">
        <v>936</v>
      </c>
    </row>
    <row r="200" spans="1:18" x14ac:dyDescent="0.25">
      <c r="A200" s="16" t="s">
        <v>798</v>
      </c>
      <c r="B200" s="16" t="str">
        <f t="shared" si="4"/>
        <v>00021892187K0</v>
      </c>
      <c r="C200" s="17" t="s">
        <v>575</v>
      </c>
      <c r="D200" s="17" t="s">
        <v>43</v>
      </c>
      <c r="E200" s="17">
        <v>20411454</v>
      </c>
      <c r="F200" s="17" t="s">
        <v>962</v>
      </c>
      <c r="G200" s="17" t="s">
        <v>45</v>
      </c>
      <c r="H200" s="17" t="s">
        <v>570</v>
      </c>
      <c r="I200" s="18">
        <v>45474</v>
      </c>
      <c r="J200" s="18">
        <v>45792</v>
      </c>
      <c r="K200" s="17">
        <v>1</v>
      </c>
      <c r="L200" s="19">
        <v>1</v>
      </c>
      <c r="M200" s="19">
        <v>1</v>
      </c>
      <c r="O200" s="20">
        <v>1</v>
      </c>
      <c r="P200" s="17">
        <v>7</v>
      </c>
      <c r="Q200" s="17" t="s">
        <v>473</v>
      </c>
      <c r="R200" s="17" t="s">
        <v>936</v>
      </c>
    </row>
    <row r="201" spans="1:18" x14ac:dyDescent="0.25">
      <c r="A201" s="16" t="s">
        <v>756</v>
      </c>
      <c r="B201" s="16" t="str">
        <f t="shared" si="4"/>
        <v>00020054580KOV0</v>
      </c>
      <c r="C201" s="17" t="s">
        <v>609</v>
      </c>
      <c r="D201" s="17" t="s">
        <v>43</v>
      </c>
      <c r="E201" s="17">
        <v>20411454</v>
      </c>
      <c r="F201" s="17" t="s">
        <v>962</v>
      </c>
      <c r="G201" s="17" t="s">
        <v>45</v>
      </c>
      <c r="H201" s="17" t="s">
        <v>46</v>
      </c>
      <c r="I201" s="18">
        <v>45505</v>
      </c>
      <c r="J201" s="18">
        <v>45792</v>
      </c>
      <c r="K201" s="17">
        <v>1</v>
      </c>
      <c r="L201" s="19">
        <v>1</v>
      </c>
      <c r="M201" s="19">
        <v>1</v>
      </c>
      <c r="O201" s="20">
        <v>1</v>
      </c>
      <c r="P201" s="17">
        <v>9</v>
      </c>
      <c r="Q201" s="17" t="s">
        <v>473</v>
      </c>
      <c r="R201" s="17" t="s">
        <v>936</v>
      </c>
    </row>
    <row r="202" spans="1:18" x14ac:dyDescent="0.25">
      <c r="A202" s="16">
        <v>102098890500</v>
      </c>
      <c r="B202" s="16" t="str">
        <f t="shared" si="4"/>
        <v>1020988905000</v>
      </c>
      <c r="C202" s="17" t="s">
        <v>294</v>
      </c>
      <c r="D202" s="17" t="s">
        <v>93</v>
      </c>
      <c r="E202" s="17">
        <v>20411454</v>
      </c>
      <c r="F202" s="17" t="s">
        <v>962</v>
      </c>
      <c r="G202" s="17" t="s">
        <v>45</v>
      </c>
      <c r="H202" s="17" t="s">
        <v>162</v>
      </c>
      <c r="I202" s="18">
        <v>45627</v>
      </c>
      <c r="J202" s="18">
        <v>45792</v>
      </c>
      <c r="K202" s="17">
        <v>1</v>
      </c>
      <c r="L202" s="19">
        <v>1</v>
      </c>
      <c r="M202" s="19">
        <v>1</v>
      </c>
      <c r="O202" s="20">
        <v>1</v>
      </c>
      <c r="P202" s="17">
        <v>2</v>
      </c>
      <c r="Q202" s="17" t="s">
        <v>288</v>
      </c>
      <c r="R202" s="17" t="s">
        <v>933</v>
      </c>
    </row>
    <row r="203" spans="1:18" x14ac:dyDescent="0.25">
      <c r="A203" s="16" t="s">
        <v>822</v>
      </c>
      <c r="B203" s="16" t="str">
        <f t="shared" si="4"/>
        <v>00021999707K0</v>
      </c>
      <c r="C203" s="17" t="s">
        <v>552</v>
      </c>
      <c r="D203" s="17" t="s">
        <v>43</v>
      </c>
      <c r="E203" s="17">
        <v>20411454</v>
      </c>
      <c r="F203" s="17" t="s">
        <v>962</v>
      </c>
      <c r="G203" s="17" t="s">
        <v>250</v>
      </c>
      <c r="H203" s="17" t="s">
        <v>54</v>
      </c>
      <c r="I203" s="18">
        <v>45597</v>
      </c>
      <c r="J203" s="18">
        <v>45792</v>
      </c>
      <c r="K203" s="17">
        <v>1</v>
      </c>
      <c r="L203" s="19">
        <v>1</v>
      </c>
      <c r="M203" s="19">
        <v>1</v>
      </c>
      <c r="O203" s="20">
        <v>1</v>
      </c>
      <c r="P203" s="17">
        <v>9</v>
      </c>
      <c r="Q203" s="17" t="s">
        <v>473</v>
      </c>
      <c r="R203" s="17" t="s">
        <v>936</v>
      </c>
    </row>
    <row r="204" spans="1:18" x14ac:dyDescent="0.25">
      <c r="A204" s="16" t="s">
        <v>926</v>
      </c>
      <c r="B204" s="16" t="str">
        <f t="shared" si="4"/>
        <v>992088421OV0</v>
      </c>
      <c r="C204" s="17" t="s">
        <v>263</v>
      </c>
      <c r="D204" s="17" t="s">
        <v>128</v>
      </c>
      <c r="E204" s="17">
        <v>20411454</v>
      </c>
      <c r="F204" s="17" t="s">
        <v>962</v>
      </c>
      <c r="G204" s="17" t="s">
        <v>45</v>
      </c>
      <c r="H204" s="17" t="s">
        <v>124</v>
      </c>
      <c r="I204" s="18">
        <v>45597</v>
      </c>
      <c r="J204" s="18">
        <v>45792</v>
      </c>
      <c r="K204" s="17">
        <v>1</v>
      </c>
      <c r="L204" s="19">
        <v>1</v>
      </c>
      <c r="M204" s="19">
        <v>1</v>
      </c>
      <c r="O204" s="20">
        <v>1</v>
      </c>
      <c r="P204" s="17">
        <v>6</v>
      </c>
      <c r="Q204" s="17" t="s">
        <v>248</v>
      </c>
      <c r="R204" s="17" t="s">
        <v>946</v>
      </c>
    </row>
    <row r="205" spans="1:18" x14ac:dyDescent="0.25">
      <c r="A205" s="16" t="s">
        <v>748</v>
      </c>
      <c r="B205" s="16" t="str">
        <f t="shared" si="4"/>
        <v>00010066661K0</v>
      </c>
      <c r="C205" s="17" t="s">
        <v>616</v>
      </c>
      <c r="D205" s="17" t="s">
        <v>43</v>
      </c>
      <c r="E205" s="17">
        <v>20411454</v>
      </c>
      <c r="F205" s="17" t="s">
        <v>962</v>
      </c>
      <c r="G205" s="17" t="s">
        <v>250</v>
      </c>
      <c r="H205" s="17" t="s">
        <v>54</v>
      </c>
      <c r="I205" s="18">
        <v>45505</v>
      </c>
      <c r="J205" s="18">
        <v>45792</v>
      </c>
      <c r="K205" s="17">
        <v>1</v>
      </c>
      <c r="L205" s="19">
        <v>1</v>
      </c>
      <c r="M205" s="19">
        <v>1</v>
      </c>
      <c r="O205" s="20">
        <v>1</v>
      </c>
      <c r="P205" s="17">
        <v>9</v>
      </c>
      <c r="Q205" s="17" t="s">
        <v>473</v>
      </c>
      <c r="R205" s="17" t="s">
        <v>936</v>
      </c>
    </row>
    <row r="206" spans="1:18" x14ac:dyDescent="0.25">
      <c r="A206" s="16" t="s">
        <v>809</v>
      </c>
      <c r="B206" s="16" t="str">
        <f t="shared" si="4"/>
        <v>00021920643K0</v>
      </c>
      <c r="C206" s="17" t="s">
        <v>565</v>
      </c>
      <c r="D206" s="17" t="s">
        <v>43</v>
      </c>
      <c r="E206" s="17">
        <v>20411454</v>
      </c>
      <c r="F206" s="17" t="s">
        <v>962</v>
      </c>
      <c r="G206" s="17" t="s">
        <v>250</v>
      </c>
      <c r="H206" s="17" t="s">
        <v>54</v>
      </c>
      <c r="I206" s="18">
        <v>45505</v>
      </c>
      <c r="J206" s="18">
        <v>45792</v>
      </c>
      <c r="K206" s="17">
        <v>1</v>
      </c>
      <c r="L206" s="19">
        <v>1</v>
      </c>
      <c r="M206" s="19">
        <v>1</v>
      </c>
      <c r="O206" s="20">
        <v>1</v>
      </c>
      <c r="P206" s="17">
        <v>9</v>
      </c>
      <c r="Q206" s="17" t="s">
        <v>473</v>
      </c>
      <c r="R206" s="17" t="s">
        <v>936</v>
      </c>
    </row>
    <row r="207" spans="1:18" x14ac:dyDescent="0.25">
      <c r="A207" s="16">
        <v>102081559700</v>
      </c>
      <c r="B207" s="16" t="str">
        <f t="shared" si="4"/>
        <v>1020815597000</v>
      </c>
      <c r="C207" s="17" t="s">
        <v>304</v>
      </c>
      <c r="D207" s="17" t="s">
        <v>93</v>
      </c>
      <c r="E207" s="17">
        <v>20411454</v>
      </c>
      <c r="F207" s="17" t="s">
        <v>962</v>
      </c>
      <c r="G207" s="17" t="s">
        <v>45</v>
      </c>
      <c r="H207" s="17" t="s">
        <v>162</v>
      </c>
      <c r="I207" s="18">
        <v>45627</v>
      </c>
      <c r="J207" s="18">
        <v>45792</v>
      </c>
      <c r="K207" s="17">
        <v>1</v>
      </c>
      <c r="L207" s="19">
        <v>1</v>
      </c>
      <c r="M207" s="19">
        <v>1</v>
      </c>
      <c r="O207" s="20">
        <v>1</v>
      </c>
      <c r="P207" s="17">
        <v>2</v>
      </c>
      <c r="Q207" s="17" t="s">
        <v>288</v>
      </c>
      <c r="R207" s="17" t="s">
        <v>933</v>
      </c>
    </row>
    <row r="208" spans="1:18" x14ac:dyDescent="0.25">
      <c r="A208" s="16">
        <v>102160426700</v>
      </c>
      <c r="B208" s="16" t="str">
        <f t="shared" si="4"/>
        <v>1021604267000</v>
      </c>
      <c r="C208" s="17" t="s">
        <v>221</v>
      </c>
      <c r="D208" s="17" t="s">
        <v>89</v>
      </c>
      <c r="E208" s="17">
        <v>20411454</v>
      </c>
      <c r="F208" s="17" t="s">
        <v>962</v>
      </c>
      <c r="G208" s="17" t="s">
        <v>45</v>
      </c>
      <c r="H208" s="17" t="s">
        <v>95</v>
      </c>
      <c r="I208" s="18">
        <v>45748</v>
      </c>
      <c r="L208" s="19">
        <v>0</v>
      </c>
      <c r="M208" s="19">
        <v>37.5</v>
      </c>
      <c r="N208" s="17">
        <v>1</v>
      </c>
      <c r="O208" s="20">
        <v>1</v>
      </c>
      <c r="P208" s="17">
        <v>37.5</v>
      </c>
      <c r="Q208" s="17" t="s">
        <v>91</v>
      </c>
      <c r="R208" s="17" t="s">
        <v>933</v>
      </c>
    </row>
    <row r="209" spans="1:18" x14ac:dyDescent="0.25">
      <c r="A209" s="16">
        <v>102033862400</v>
      </c>
      <c r="B209" s="16" t="str">
        <f t="shared" si="4"/>
        <v>1020338624000</v>
      </c>
      <c r="C209" s="17" t="s">
        <v>416</v>
      </c>
      <c r="D209" s="17" t="s">
        <v>93</v>
      </c>
      <c r="E209" s="17">
        <v>20411454</v>
      </c>
      <c r="F209" s="17" t="s">
        <v>962</v>
      </c>
      <c r="G209" s="17" t="s">
        <v>45</v>
      </c>
      <c r="H209" s="17" t="s">
        <v>162</v>
      </c>
      <c r="I209" s="18">
        <v>45505</v>
      </c>
      <c r="J209" s="18">
        <v>45792</v>
      </c>
      <c r="K209" s="17">
        <v>1</v>
      </c>
      <c r="L209" s="19">
        <v>1</v>
      </c>
      <c r="M209" s="19">
        <v>1</v>
      </c>
      <c r="O209" s="20">
        <v>1</v>
      </c>
      <c r="P209" s="17">
        <v>2</v>
      </c>
      <c r="Q209" s="17" t="s">
        <v>288</v>
      </c>
      <c r="R209" s="17" t="s">
        <v>933</v>
      </c>
    </row>
    <row r="210" spans="1:18" x14ac:dyDescent="0.25">
      <c r="A210" s="16">
        <v>102095689100</v>
      </c>
      <c r="B210" s="16" t="str">
        <f t="shared" si="4"/>
        <v>1020956891000</v>
      </c>
      <c r="C210" s="17" t="s">
        <v>297</v>
      </c>
      <c r="D210" s="17" t="s">
        <v>122</v>
      </c>
      <c r="E210" s="17">
        <v>20411454</v>
      </c>
      <c r="F210" s="17" t="s">
        <v>962</v>
      </c>
      <c r="G210" s="17" t="s">
        <v>45</v>
      </c>
      <c r="H210" s="17" t="s">
        <v>162</v>
      </c>
      <c r="I210" s="18">
        <v>45627</v>
      </c>
      <c r="J210" s="18">
        <v>45792</v>
      </c>
      <c r="K210" s="17">
        <v>1</v>
      </c>
      <c r="L210" s="19">
        <v>1</v>
      </c>
      <c r="M210" s="19">
        <v>1</v>
      </c>
      <c r="O210" s="20">
        <v>1</v>
      </c>
      <c r="P210" s="17">
        <v>2</v>
      </c>
      <c r="Q210" s="17" t="s">
        <v>288</v>
      </c>
      <c r="R210" s="17" t="s">
        <v>933</v>
      </c>
    </row>
    <row r="211" spans="1:18" x14ac:dyDescent="0.25">
      <c r="A211" s="16">
        <v>102030825500</v>
      </c>
      <c r="B211" s="16" t="str">
        <f t="shared" ref="B211:B274" si="5">CONCATENATE(A211,0)</f>
        <v>1020308255000</v>
      </c>
      <c r="C211" s="17" t="s">
        <v>419</v>
      </c>
      <c r="D211" s="17" t="s">
        <v>89</v>
      </c>
      <c r="E211" s="17">
        <v>20411454</v>
      </c>
      <c r="F211" s="17" t="s">
        <v>962</v>
      </c>
      <c r="G211" s="17" t="s">
        <v>45</v>
      </c>
      <c r="H211" s="17" t="s">
        <v>162</v>
      </c>
      <c r="I211" s="18">
        <v>45505</v>
      </c>
      <c r="J211" s="18">
        <v>45792</v>
      </c>
      <c r="K211" s="17">
        <v>1</v>
      </c>
      <c r="L211" s="19">
        <v>1</v>
      </c>
      <c r="M211" s="19">
        <v>1</v>
      </c>
      <c r="O211" s="20">
        <v>1</v>
      </c>
      <c r="P211" s="17">
        <v>2</v>
      </c>
      <c r="Q211" s="17" t="s">
        <v>288</v>
      </c>
      <c r="R211" s="17" t="s">
        <v>933</v>
      </c>
    </row>
    <row r="212" spans="1:18" x14ac:dyDescent="0.25">
      <c r="A212" s="16" t="s">
        <v>880</v>
      </c>
      <c r="B212" s="16" t="str">
        <f t="shared" si="5"/>
        <v>00022121084K0</v>
      </c>
      <c r="C212" s="17" t="s">
        <v>504</v>
      </c>
      <c r="D212" s="17" t="s">
        <v>43</v>
      </c>
      <c r="E212" s="17">
        <v>20411454</v>
      </c>
      <c r="F212" s="17" t="s">
        <v>962</v>
      </c>
      <c r="G212" s="17" t="s">
        <v>45</v>
      </c>
      <c r="H212" s="17" t="s">
        <v>54</v>
      </c>
      <c r="I212" s="18">
        <v>45597</v>
      </c>
      <c r="J212" s="18">
        <v>45792</v>
      </c>
      <c r="K212" s="17">
        <v>1</v>
      </c>
      <c r="L212" s="19">
        <v>1</v>
      </c>
      <c r="M212" s="19">
        <v>1</v>
      </c>
      <c r="O212" s="20">
        <v>1</v>
      </c>
      <c r="P212" s="17">
        <v>9</v>
      </c>
      <c r="Q212" s="17" t="s">
        <v>473</v>
      </c>
      <c r="R212" s="17" t="s">
        <v>936</v>
      </c>
    </row>
    <row r="213" spans="1:18" x14ac:dyDescent="0.25">
      <c r="A213" s="16">
        <v>101098603800</v>
      </c>
      <c r="B213" s="16" t="str">
        <f t="shared" si="5"/>
        <v>1010986038000</v>
      </c>
      <c r="C213" s="17" t="s">
        <v>468</v>
      </c>
      <c r="D213" s="17" t="s">
        <v>93</v>
      </c>
      <c r="E213" s="17">
        <v>20411454</v>
      </c>
      <c r="F213" s="17" t="s">
        <v>962</v>
      </c>
      <c r="G213" s="17" t="s">
        <v>45</v>
      </c>
      <c r="H213" s="17" t="s">
        <v>162</v>
      </c>
      <c r="I213" s="18">
        <v>44562</v>
      </c>
      <c r="J213" s="18">
        <v>45792</v>
      </c>
      <c r="K213" s="17">
        <v>1</v>
      </c>
      <c r="L213" s="19">
        <v>1</v>
      </c>
      <c r="M213" s="19">
        <v>1</v>
      </c>
      <c r="O213" s="20">
        <v>1</v>
      </c>
      <c r="P213" s="17">
        <v>2</v>
      </c>
      <c r="Q213" s="17" t="s">
        <v>288</v>
      </c>
      <c r="R213" s="17" t="s">
        <v>933</v>
      </c>
    </row>
    <row r="214" spans="1:18" x14ac:dyDescent="0.25">
      <c r="A214" s="16" t="s">
        <v>868</v>
      </c>
      <c r="B214" s="16" t="str">
        <f t="shared" si="5"/>
        <v>00022094990K0</v>
      </c>
      <c r="C214" s="17" t="s">
        <v>514</v>
      </c>
      <c r="D214" s="17" t="s">
        <v>43</v>
      </c>
      <c r="E214" s="17">
        <v>20411454</v>
      </c>
      <c r="F214" s="17" t="s">
        <v>962</v>
      </c>
      <c r="G214" s="17" t="s">
        <v>45</v>
      </c>
      <c r="H214" s="17" t="s">
        <v>54</v>
      </c>
      <c r="I214" s="18">
        <v>45566</v>
      </c>
      <c r="J214" s="18">
        <v>45792</v>
      </c>
      <c r="K214" s="17">
        <v>1</v>
      </c>
      <c r="L214" s="19">
        <v>1</v>
      </c>
      <c r="M214" s="19">
        <v>1</v>
      </c>
      <c r="O214" s="20">
        <v>1</v>
      </c>
      <c r="P214" s="17">
        <v>9</v>
      </c>
      <c r="Q214" s="17" t="s">
        <v>473</v>
      </c>
      <c r="R214" s="17" t="s">
        <v>936</v>
      </c>
    </row>
    <row r="215" spans="1:18" x14ac:dyDescent="0.25">
      <c r="A215" s="16" t="s">
        <v>736</v>
      </c>
      <c r="B215" s="16" t="str">
        <f t="shared" si="5"/>
        <v>968761209OVPC0</v>
      </c>
      <c r="C215" s="17" t="s">
        <v>172</v>
      </c>
      <c r="D215" s="17" t="s">
        <v>128</v>
      </c>
      <c r="E215" s="17">
        <v>20411454</v>
      </c>
      <c r="F215" s="17" t="s">
        <v>962</v>
      </c>
      <c r="G215" s="17" t="s">
        <v>148</v>
      </c>
      <c r="H215" s="17" t="s">
        <v>124</v>
      </c>
      <c r="I215" s="18">
        <v>45658</v>
      </c>
      <c r="L215" s="19">
        <v>0</v>
      </c>
      <c r="M215" s="17">
        <v>-116.67</v>
      </c>
      <c r="N215" s="17">
        <v>1</v>
      </c>
      <c r="O215" s="20">
        <v>1</v>
      </c>
      <c r="P215" s="17">
        <v>-116.67</v>
      </c>
      <c r="R215" s="17" t="s">
        <v>946</v>
      </c>
    </row>
    <row r="216" spans="1:18" x14ac:dyDescent="0.25">
      <c r="A216" s="16" t="s">
        <v>708</v>
      </c>
      <c r="B216" s="16" t="str">
        <f t="shared" si="5"/>
        <v>938957904OV0</v>
      </c>
      <c r="C216" s="17" t="s">
        <v>199</v>
      </c>
      <c r="D216" s="17" t="s">
        <v>89</v>
      </c>
      <c r="E216" s="17">
        <v>20411454</v>
      </c>
      <c r="F216" s="17" t="s">
        <v>962</v>
      </c>
      <c r="G216" s="17" t="s">
        <v>45</v>
      </c>
      <c r="H216" s="17" t="s">
        <v>124</v>
      </c>
      <c r="I216" s="18">
        <v>45778</v>
      </c>
      <c r="L216" s="19">
        <v>0</v>
      </c>
      <c r="M216" s="19">
        <v>175</v>
      </c>
      <c r="N216" s="17">
        <v>1</v>
      </c>
      <c r="O216" s="20">
        <v>1</v>
      </c>
      <c r="P216" s="17">
        <v>175</v>
      </c>
      <c r="R216" s="17" t="s">
        <v>946</v>
      </c>
    </row>
    <row r="217" spans="1:18" x14ac:dyDescent="0.25">
      <c r="A217" s="16">
        <v>102161520300</v>
      </c>
      <c r="B217" s="16" t="str">
        <f t="shared" si="5"/>
        <v>1021615203000</v>
      </c>
      <c r="C217" s="17" t="s">
        <v>215</v>
      </c>
      <c r="D217" s="17" t="s">
        <v>93</v>
      </c>
      <c r="E217" s="17">
        <v>20411454</v>
      </c>
      <c r="F217" s="17" t="s">
        <v>962</v>
      </c>
      <c r="G217" s="17" t="s">
        <v>45</v>
      </c>
      <c r="H217" s="17" t="s">
        <v>95</v>
      </c>
      <c r="I217" s="18">
        <v>45748</v>
      </c>
      <c r="L217" s="19">
        <v>0</v>
      </c>
      <c r="M217" s="19">
        <v>37.5</v>
      </c>
      <c r="N217" s="17">
        <v>1</v>
      </c>
      <c r="O217" s="20">
        <v>1</v>
      </c>
      <c r="P217" s="17">
        <v>37.5</v>
      </c>
      <c r="Q217" s="17" t="s">
        <v>91</v>
      </c>
      <c r="R217" s="17" t="s">
        <v>933</v>
      </c>
    </row>
    <row r="218" spans="1:18" x14ac:dyDescent="0.25">
      <c r="A218" s="16" t="s">
        <v>713</v>
      </c>
      <c r="B218" s="16" t="str">
        <f t="shared" si="5"/>
        <v>957421267OV0</v>
      </c>
      <c r="C218" s="17" t="s">
        <v>174</v>
      </c>
      <c r="D218" s="17" t="s">
        <v>89</v>
      </c>
      <c r="E218" s="17">
        <v>20411454</v>
      </c>
      <c r="F218" s="17" t="s">
        <v>962</v>
      </c>
      <c r="G218" s="17" t="s">
        <v>45</v>
      </c>
      <c r="H218" s="17" t="s">
        <v>124</v>
      </c>
      <c r="I218" s="18">
        <v>45748</v>
      </c>
      <c r="L218" s="19">
        <v>0</v>
      </c>
      <c r="M218" s="19">
        <v>175</v>
      </c>
      <c r="N218" s="17">
        <v>1</v>
      </c>
      <c r="O218" s="20">
        <v>1</v>
      </c>
      <c r="P218" s="17">
        <v>175</v>
      </c>
      <c r="R218" s="17" t="s">
        <v>946</v>
      </c>
    </row>
    <row r="219" spans="1:18" x14ac:dyDescent="0.25">
      <c r="A219" s="16" t="s">
        <v>734</v>
      </c>
      <c r="B219" s="16" t="str">
        <f t="shared" si="5"/>
        <v>957421267OVCB0</v>
      </c>
      <c r="C219" s="17" t="s">
        <v>174</v>
      </c>
      <c r="D219" s="17" t="s">
        <v>89</v>
      </c>
      <c r="E219" s="17">
        <v>20411454</v>
      </c>
      <c r="F219" s="17" t="s">
        <v>962</v>
      </c>
      <c r="G219" s="17" t="s">
        <v>148</v>
      </c>
      <c r="H219" s="17" t="s">
        <v>130</v>
      </c>
      <c r="I219" s="18">
        <v>45748</v>
      </c>
      <c r="L219" s="19">
        <v>0</v>
      </c>
      <c r="M219" s="17">
        <v>-54</v>
      </c>
      <c r="N219" s="17">
        <v>1</v>
      </c>
      <c r="O219" s="20">
        <v>1</v>
      </c>
      <c r="P219" s="17">
        <v>-54</v>
      </c>
      <c r="R219" s="17" t="s">
        <v>946</v>
      </c>
    </row>
    <row r="220" spans="1:18" x14ac:dyDescent="0.25">
      <c r="A220" s="16" t="s">
        <v>636</v>
      </c>
      <c r="B220" s="16" t="str">
        <f t="shared" si="5"/>
        <v>00023224834K0</v>
      </c>
      <c r="C220" s="17" t="s">
        <v>75</v>
      </c>
      <c r="D220" s="17" t="s">
        <v>43</v>
      </c>
      <c r="E220" s="17">
        <v>20411454</v>
      </c>
      <c r="F220" s="17" t="s">
        <v>962</v>
      </c>
      <c r="G220" s="17" t="s">
        <v>45</v>
      </c>
      <c r="H220" s="17" t="s">
        <v>54</v>
      </c>
      <c r="I220" s="18">
        <v>45748</v>
      </c>
      <c r="L220" s="19">
        <v>0</v>
      </c>
      <c r="M220" s="19">
        <v>175</v>
      </c>
      <c r="N220" s="17">
        <v>1</v>
      </c>
      <c r="O220" s="20">
        <v>1</v>
      </c>
      <c r="P220" s="17">
        <v>175</v>
      </c>
      <c r="R220" s="17" t="s">
        <v>936</v>
      </c>
    </row>
    <row r="221" spans="1:18" x14ac:dyDescent="0.25">
      <c r="A221" s="16">
        <v>102160410700</v>
      </c>
      <c r="B221" s="16" t="str">
        <f t="shared" si="5"/>
        <v>1021604107000</v>
      </c>
      <c r="C221" s="17" t="s">
        <v>222</v>
      </c>
      <c r="D221" s="17" t="s">
        <v>89</v>
      </c>
      <c r="E221" s="17">
        <v>20411454</v>
      </c>
      <c r="F221" s="17" t="s">
        <v>962</v>
      </c>
      <c r="G221" s="17" t="s">
        <v>45</v>
      </c>
      <c r="H221" s="17" t="s">
        <v>95</v>
      </c>
      <c r="I221" s="18">
        <v>45748</v>
      </c>
      <c r="L221" s="19">
        <v>0</v>
      </c>
      <c r="M221" s="19">
        <v>37.5</v>
      </c>
      <c r="N221" s="17">
        <v>1</v>
      </c>
      <c r="O221" s="20">
        <v>1</v>
      </c>
      <c r="P221" s="17">
        <v>37.5</v>
      </c>
      <c r="Q221" s="17" t="s">
        <v>91</v>
      </c>
      <c r="R221" s="17" t="s">
        <v>933</v>
      </c>
    </row>
    <row r="222" spans="1:18" x14ac:dyDescent="0.25">
      <c r="A222" s="16">
        <v>102006468500</v>
      </c>
      <c r="B222" s="16" t="str">
        <f t="shared" si="5"/>
        <v>1020064685000</v>
      </c>
      <c r="C222" s="17" t="s">
        <v>459</v>
      </c>
      <c r="D222" s="17" t="s">
        <v>369</v>
      </c>
      <c r="E222" s="17">
        <v>20411454</v>
      </c>
      <c r="F222" s="17" t="s">
        <v>962</v>
      </c>
      <c r="G222" s="17" t="s">
        <v>45</v>
      </c>
      <c r="H222" s="17" t="s">
        <v>162</v>
      </c>
      <c r="I222" s="18">
        <v>45444</v>
      </c>
      <c r="J222" s="18">
        <v>45792</v>
      </c>
      <c r="K222" s="17">
        <v>1</v>
      </c>
      <c r="L222" s="19">
        <v>1</v>
      </c>
      <c r="M222" s="19">
        <v>1</v>
      </c>
      <c r="O222" s="20">
        <v>1</v>
      </c>
      <c r="P222" s="17">
        <v>2</v>
      </c>
      <c r="Q222" s="17" t="s">
        <v>288</v>
      </c>
      <c r="R222" s="17" t="s">
        <v>933</v>
      </c>
    </row>
    <row r="223" spans="1:18" x14ac:dyDescent="0.25">
      <c r="A223" s="16" t="s">
        <v>909</v>
      </c>
      <c r="B223" s="16" t="str">
        <f t="shared" si="5"/>
        <v>00022698535K0</v>
      </c>
      <c r="C223" s="17" t="s">
        <v>475</v>
      </c>
      <c r="D223" s="17" t="s">
        <v>43</v>
      </c>
      <c r="E223" s="17">
        <v>20411454</v>
      </c>
      <c r="F223" s="17" t="s">
        <v>962</v>
      </c>
      <c r="G223" s="17" t="s">
        <v>45</v>
      </c>
      <c r="H223" s="17" t="s">
        <v>54</v>
      </c>
      <c r="I223" s="18">
        <v>45627</v>
      </c>
      <c r="J223" s="18">
        <v>45792</v>
      </c>
      <c r="K223" s="17">
        <v>1</v>
      </c>
      <c r="L223" s="19">
        <v>1</v>
      </c>
      <c r="M223" s="19">
        <v>1</v>
      </c>
      <c r="O223" s="20">
        <v>1</v>
      </c>
      <c r="P223" s="17">
        <v>9</v>
      </c>
      <c r="Q223" s="17" t="s">
        <v>473</v>
      </c>
      <c r="R223" s="17" t="s">
        <v>936</v>
      </c>
    </row>
    <row r="224" spans="1:18" x14ac:dyDescent="0.25">
      <c r="A224" s="16">
        <v>102046673700</v>
      </c>
      <c r="B224" s="16" t="str">
        <f t="shared" si="5"/>
        <v>1020466737000</v>
      </c>
      <c r="C224" s="17" t="s">
        <v>384</v>
      </c>
      <c r="D224" s="17" t="s">
        <v>93</v>
      </c>
      <c r="E224" s="17">
        <v>20411454</v>
      </c>
      <c r="F224" s="17" t="s">
        <v>962</v>
      </c>
      <c r="G224" s="17" t="s">
        <v>45</v>
      </c>
      <c r="H224" s="17" t="s">
        <v>162</v>
      </c>
      <c r="I224" s="18">
        <v>45536</v>
      </c>
      <c r="J224" s="18">
        <v>45792</v>
      </c>
      <c r="K224" s="17">
        <v>1</v>
      </c>
      <c r="L224" s="19">
        <v>1</v>
      </c>
      <c r="M224" s="19">
        <v>1</v>
      </c>
      <c r="O224" s="20">
        <v>1</v>
      </c>
      <c r="P224" s="17">
        <v>2</v>
      </c>
      <c r="Q224" s="17" t="s">
        <v>288</v>
      </c>
      <c r="R224" s="17" t="s">
        <v>933</v>
      </c>
    </row>
    <row r="225" spans="1:18" x14ac:dyDescent="0.25">
      <c r="A225" s="16">
        <v>102092114400</v>
      </c>
      <c r="B225" s="16" t="str">
        <f t="shared" si="5"/>
        <v>1020921144000</v>
      </c>
      <c r="C225" s="17" t="s">
        <v>298</v>
      </c>
      <c r="D225" s="17" t="s">
        <v>89</v>
      </c>
      <c r="E225" s="17">
        <v>20411454</v>
      </c>
      <c r="F225" s="17" t="s">
        <v>962</v>
      </c>
      <c r="G225" s="17" t="s">
        <v>45</v>
      </c>
      <c r="H225" s="17" t="s">
        <v>162</v>
      </c>
      <c r="I225" s="18">
        <v>45627</v>
      </c>
      <c r="J225" s="18">
        <v>45792</v>
      </c>
      <c r="K225" s="17">
        <v>1</v>
      </c>
      <c r="L225" s="19">
        <v>1</v>
      </c>
      <c r="M225" s="19">
        <v>1</v>
      </c>
      <c r="O225" s="20">
        <v>1</v>
      </c>
      <c r="P225" s="17">
        <v>2</v>
      </c>
      <c r="Q225" s="17" t="s">
        <v>288</v>
      </c>
      <c r="R225" s="17" t="s">
        <v>933</v>
      </c>
    </row>
    <row r="226" spans="1:18" x14ac:dyDescent="0.25">
      <c r="A226" s="16" t="s">
        <v>673</v>
      </c>
      <c r="B226" s="16" t="str">
        <f t="shared" si="5"/>
        <v>102070609400CB0</v>
      </c>
      <c r="C226" s="17" t="s">
        <v>160</v>
      </c>
      <c r="D226" s="17" t="s">
        <v>89</v>
      </c>
      <c r="E226" s="17">
        <v>20411454</v>
      </c>
      <c r="F226" s="17" t="s">
        <v>962</v>
      </c>
      <c r="G226" s="17" t="s">
        <v>148</v>
      </c>
      <c r="H226" s="17" t="s">
        <v>162</v>
      </c>
      <c r="I226" s="18">
        <v>45658</v>
      </c>
      <c r="L226" s="19">
        <v>0</v>
      </c>
      <c r="M226" s="17">
        <v>-50</v>
      </c>
      <c r="N226" s="17">
        <v>1</v>
      </c>
      <c r="O226" s="20">
        <v>1</v>
      </c>
      <c r="P226" s="17">
        <v>-50</v>
      </c>
      <c r="R226" s="17" t="s">
        <v>933</v>
      </c>
    </row>
    <row r="227" spans="1:18" x14ac:dyDescent="0.25">
      <c r="A227" s="16" t="s">
        <v>907</v>
      </c>
      <c r="B227" s="16" t="str">
        <f t="shared" si="5"/>
        <v>00022674415K0</v>
      </c>
      <c r="C227" s="17" t="s">
        <v>477</v>
      </c>
      <c r="D227" s="17" t="s">
        <v>43</v>
      </c>
      <c r="E227" s="17">
        <v>20411454</v>
      </c>
      <c r="F227" s="17" t="s">
        <v>962</v>
      </c>
      <c r="G227" s="17" t="s">
        <v>45</v>
      </c>
      <c r="H227" s="17" t="s">
        <v>54</v>
      </c>
      <c r="I227" s="18">
        <v>45627</v>
      </c>
      <c r="J227" s="18">
        <v>45792</v>
      </c>
      <c r="K227" s="17">
        <v>1</v>
      </c>
      <c r="L227" s="19">
        <v>1</v>
      </c>
      <c r="M227" s="19">
        <v>1</v>
      </c>
      <c r="O227" s="20">
        <v>1</v>
      </c>
      <c r="P227" s="17">
        <v>9</v>
      </c>
      <c r="Q227" s="17" t="s">
        <v>473</v>
      </c>
      <c r="R227" s="17" t="s">
        <v>936</v>
      </c>
    </row>
    <row r="228" spans="1:18" x14ac:dyDescent="0.25">
      <c r="A228" s="16" t="s">
        <v>843</v>
      </c>
      <c r="B228" s="16" t="str">
        <f t="shared" si="5"/>
        <v>00022049020K0</v>
      </c>
      <c r="C228" s="17" t="s">
        <v>537</v>
      </c>
      <c r="D228" s="17" t="s">
        <v>43</v>
      </c>
      <c r="E228" s="17">
        <v>20411454</v>
      </c>
      <c r="F228" s="17" t="s">
        <v>962</v>
      </c>
      <c r="G228" s="17" t="s">
        <v>45</v>
      </c>
      <c r="H228" s="17" t="s">
        <v>54</v>
      </c>
      <c r="I228" s="18">
        <v>45627</v>
      </c>
      <c r="J228" s="18">
        <v>45792</v>
      </c>
      <c r="K228" s="17">
        <v>1</v>
      </c>
      <c r="L228" s="19">
        <v>1</v>
      </c>
      <c r="M228" s="19">
        <v>1</v>
      </c>
      <c r="O228" s="20">
        <v>1</v>
      </c>
      <c r="P228" s="17">
        <v>9</v>
      </c>
      <c r="Q228" s="17" t="s">
        <v>473</v>
      </c>
      <c r="R228" s="17" t="s">
        <v>936</v>
      </c>
    </row>
    <row r="229" spans="1:18" x14ac:dyDescent="0.25">
      <c r="A229" s="16" t="s">
        <v>928</v>
      </c>
      <c r="B229" s="16" t="str">
        <f t="shared" si="5"/>
        <v>992426853OV0</v>
      </c>
      <c r="C229" s="17" t="s">
        <v>259</v>
      </c>
      <c r="D229" s="17" t="s">
        <v>89</v>
      </c>
      <c r="E229" s="17">
        <v>20411454</v>
      </c>
      <c r="F229" s="17" t="s">
        <v>962</v>
      </c>
      <c r="G229" s="17" t="s">
        <v>45</v>
      </c>
      <c r="H229" s="17" t="s">
        <v>169</v>
      </c>
      <c r="I229" s="18">
        <v>45566</v>
      </c>
      <c r="J229" s="18">
        <v>45792</v>
      </c>
      <c r="K229" s="17">
        <v>1</v>
      </c>
      <c r="L229" s="19">
        <v>1</v>
      </c>
      <c r="M229" s="19">
        <v>1</v>
      </c>
      <c r="O229" s="20">
        <v>1</v>
      </c>
      <c r="P229" s="17">
        <v>6</v>
      </c>
      <c r="Q229" s="17" t="s">
        <v>248</v>
      </c>
      <c r="R229" s="17" t="s">
        <v>946</v>
      </c>
    </row>
    <row r="230" spans="1:18" x14ac:dyDescent="0.25">
      <c r="A230" s="16">
        <v>102049634300</v>
      </c>
      <c r="B230" s="16" t="str">
        <f t="shared" si="5"/>
        <v>1020496343000</v>
      </c>
      <c r="C230" s="17" t="s">
        <v>378</v>
      </c>
      <c r="D230" s="17" t="s">
        <v>93</v>
      </c>
      <c r="E230" s="17">
        <v>20411454</v>
      </c>
      <c r="F230" s="17" t="s">
        <v>962</v>
      </c>
      <c r="G230" s="17" t="s">
        <v>45</v>
      </c>
      <c r="H230" s="17" t="s">
        <v>162</v>
      </c>
      <c r="I230" s="18">
        <v>45597</v>
      </c>
      <c r="J230" s="18">
        <v>45792</v>
      </c>
      <c r="K230" s="17">
        <v>1</v>
      </c>
      <c r="L230" s="19">
        <v>1</v>
      </c>
      <c r="M230" s="19">
        <v>1</v>
      </c>
      <c r="O230" s="20">
        <v>1</v>
      </c>
      <c r="P230" s="17">
        <v>2</v>
      </c>
      <c r="Q230" s="17" t="s">
        <v>288</v>
      </c>
      <c r="R230" s="17" t="s">
        <v>933</v>
      </c>
    </row>
    <row r="231" spans="1:18" x14ac:dyDescent="0.25">
      <c r="A231" s="16">
        <v>102018981300</v>
      </c>
      <c r="B231" s="16" t="str">
        <f t="shared" si="5"/>
        <v>1020189813000</v>
      </c>
      <c r="C231" s="17" t="s">
        <v>440</v>
      </c>
      <c r="D231" s="17" t="s">
        <v>93</v>
      </c>
      <c r="E231" s="17">
        <v>20411454</v>
      </c>
      <c r="F231" s="17" t="s">
        <v>962</v>
      </c>
      <c r="G231" s="17" t="s">
        <v>45</v>
      </c>
      <c r="H231" s="17" t="s">
        <v>162</v>
      </c>
      <c r="I231" s="18">
        <v>45505</v>
      </c>
      <c r="J231" s="18">
        <v>45792</v>
      </c>
      <c r="K231" s="17">
        <v>1</v>
      </c>
      <c r="L231" s="19">
        <v>1</v>
      </c>
      <c r="M231" s="19">
        <v>1</v>
      </c>
      <c r="O231" s="20">
        <v>1</v>
      </c>
      <c r="P231" s="17">
        <v>2</v>
      </c>
      <c r="Q231" s="17" t="s">
        <v>288</v>
      </c>
      <c r="R231" s="17" t="s">
        <v>933</v>
      </c>
    </row>
    <row r="232" spans="1:18" x14ac:dyDescent="0.25">
      <c r="A232" s="16">
        <v>102009546700</v>
      </c>
      <c r="B232" s="16" t="str">
        <f t="shared" si="5"/>
        <v>1020095467000</v>
      </c>
      <c r="C232" s="17" t="s">
        <v>454</v>
      </c>
      <c r="D232" s="17" t="s">
        <v>93</v>
      </c>
      <c r="E232" s="17">
        <v>20411454</v>
      </c>
      <c r="F232" s="17" t="s">
        <v>962</v>
      </c>
      <c r="G232" s="17" t="s">
        <v>45</v>
      </c>
      <c r="H232" s="17" t="s">
        <v>162</v>
      </c>
      <c r="I232" s="18">
        <v>45444</v>
      </c>
      <c r="J232" s="18">
        <v>45792</v>
      </c>
      <c r="K232" s="17">
        <v>1</v>
      </c>
      <c r="L232" s="19">
        <v>1</v>
      </c>
      <c r="M232" s="19">
        <v>1</v>
      </c>
      <c r="O232" s="20">
        <v>1</v>
      </c>
      <c r="P232" s="17">
        <v>2</v>
      </c>
      <c r="Q232" s="17" t="s">
        <v>288</v>
      </c>
      <c r="R232" s="17" t="s">
        <v>933</v>
      </c>
    </row>
    <row r="233" spans="1:18" x14ac:dyDescent="0.25">
      <c r="A233" s="16">
        <v>102079872100</v>
      </c>
      <c r="B233" s="16" t="str">
        <f t="shared" si="5"/>
        <v>1020798721000</v>
      </c>
      <c r="C233" s="17" t="s">
        <v>305</v>
      </c>
      <c r="D233" s="17" t="s">
        <v>93</v>
      </c>
      <c r="E233" s="17">
        <v>20411454</v>
      </c>
      <c r="F233" s="17" t="s">
        <v>962</v>
      </c>
      <c r="G233" s="17" t="s">
        <v>45</v>
      </c>
      <c r="H233" s="17" t="s">
        <v>95</v>
      </c>
      <c r="I233" s="18">
        <v>45597</v>
      </c>
      <c r="J233" s="18">
        <v>45792</v>
      </c>
      <c r="K233" s="17">
        <v>1</v>
      </c>
      <c r="L233" s="19">
        <v>1</v>
      </c>
      <c r="M233" s="19">
        <v>1</v>
      </c>
      <c r="O233" s="20">
        <v>1</v>
      </c>
      <c r="P233" s="17">
        <v>2</v>
      </c>
      <c r="Q233" s="17" t="s">
        <v>288</v>
      </c>
      <c r="R233" s="17" t="s">
        <v>933</v>
      </c>
    </row>
    <row r="234" spans="1:18" x14ac:dyDescent="0.25">
      <c r="A234" s="16">
        <v>101301145800</v>
      </c>
      <c r="B234" s="16" t="str">
        <f t="shared" si="5"/>
        <v>1013011458000</v>
      </c>
      <c r="C234" s="17" t="s">
        <v>467</v>
      </c>
      <c r="D234" s="17" t="s">
        <v>93</v>
      </c>
      <c r="E234" s="17">
        <v>20411454</v>
      </c>
      <c r="F234" s="17" t="s">
        <v>962</v>
      </c>
      <c r="G234" s="17" t="s">
        <v>45</v>
      </c>
      <c r="H234" s="17" t="s">
        <v>95</v>
      </c>
      <c r="I234" s="18">
        <v>45566</v>
      </c>
      <c r="J234" s="18">
        <v>45792</v>
      </c>
      <c r="K234" s="17">
        <v>1</v>
      </c>
      <c r="L234" s="19">
        <v>1</v>
      </c>
      <c r="M234" s="19">
        <v>1</v>
      </c>
      <c r="O234" s="20">
        <v>1</v>
      </c>
      <c r="P234" s="17">
        <v>2</v>
      </c>
      <c r="Q234" s="17" t="s">
        <v>288</v>
      </c>
      <c r="R234" s="17" t="s">
        <v>933</v>
      </c>
    </row>
    <row r="235" spans="1:18" x14ac:dyDescent="0.25">
      <c r="A235" s="16">
        <v>920223192</v>
      </c>
      <c r="B235" s="16" t="str">
        <f t="shared" si="5"/>
        <v>9202231920</v>
      </c>
      <c r="C235" s="17" t="s">
        <v>273</v>
      </c>
      <c r="D235" s="17" t="s">
        <v>93</v>
      </c>
      <c r="E235" s="17">
        <v>20411454</v>
      </c>
      <c r="F235" s="17" t="s">
        <v>962</v>
      </c>
      <c r="G235" s="17" t="s">
        <v>45</v>
      </c>
      <c r="H235" s="17" t="s">
        <v>130</v>
      </c>
      <c r="I235" s="18">
        <v>45627</v>
      </c>
      <c r="J235" s="18">
        <v>45792</v>
      </c>
      <c r="K235" s="17">
        <v>1</v>
      </c>
      <c r="L235" s="19">
        <v>1</v>
      </c>
      <c r="M235" s="19">
        <v>1</v>
      </c>
      <c r="O235" s="20">
        <v>1</v>
      </c>
      <c r="P235" s="17">
        <v>6</v>
      </c>
      <c r="Q235" s="17" t="s">
        <v>248</v>
      </c>
      <c r="R235" s="17" t="s">
        <v>946</v>
      </c>
    </row>
    <row r="236" spans="1:18" x14ac:dyDescent="0.25">
      <c r="A236" s="16" t="s">
        <v>832</v>
      </c>
      <c r="B236" s="16" t="str">
        <f t="shared" si="5"/>
        <v>00022026537K0</v>
      </c>
      <c r="C236" s="17" t="s">
        <v>544</v>
      </c>
      <c r="D236" s="17" t="s">
        <v>43</v>
      </c>
      <c r="E236" s="17">
        <v>20411454</v>
      </c>
      <c r="F236" s="17" t="s">
        <v>962</v>
      </c>
      <c r="G236" s="17" t="s">
        <v>250</v>
      </c>
      <c r="H236" s="17" t="s">
        <v>54</v>
      </c>
      <c r="I236" s="18">
        <v>45536</v>
      </c>
      <c r="J236" s="18">
        <v>45792</v>
      </c>
      <c r="K236" s="17">
        <v>1</v>
      </c>
      <c r="L236" s="19">
        <v>1</v>
      </c>
      <c r="M236" s="19">
        <v>1</v>
      </c>
      <c r="O236" s="20">
        <v>1</v>
      </c>
      <c r="P236" s="17">
        <v>9</v>
      </c>
      <c r="Q236" s="17" t="s">
        <v>473</v>
      </c>
      <c r="R236" s="17" t="s">
        <v>936</v>
      </c>
    </row>
    <row r="237" spans="1:18" x14ac:dyDescent="0.25">
      <c r="A237" s="16" t="s">
        <v>704</v>
      </c>
      <c r="B237" s="16" t="str">
        <f t="shared" si="5"/>
        <v>905577824OV0</v>
      </c>
      <c r="C237" s="17" t="s">
        <v>204</v>
      </c>
      <c r="D237" s="17" t="s">
        <v>203</v>
      </c>
      <c r="E237" s="17">
        <v>20411454</v>
      </c>
      <c r="F237" s="17" t="s">
        <v>962</v>
      </c>
      <c r="G237" s="17" t="s">
        <v>45</v>
      </c>
      <c r="H237" s="17" t="s">
        <v>124</v>
      </c>
      <c r="I237" s="18">
        <v>45778</v>
      </c>
      <c r="L237" s="19">
        <v>0</v>
      </c>
      <c r="M237" s="19">
        <v>175</v>
      </c>
      <c r="N237" s="17">
        <v>1</v>
      </c>
      <c r="O237" s="20">
        <v>1</v>
      </c>
      <c r="P237" s="17">
        <v>175</v>
      </c>
      <c r="R237" s="17" t="s">
        <v>946</v>
      </c>
    </row>
    <row r="238" spans="1:18" x14ac:dyDescent="0.25">
      <c r="A238" s="16" t="s">
        <v>707</v>
      </c>
      <c r="B238" s="16" t="str">
        <f t="shared" si="5"/>
        <v>937824582OV0</v>
      </c>
      <c r="C238" s="17" t="s">
        <v>200</v>
      </c>
      <c r="D238" s="17" t="s">
        <v>122</v>
      </c>
      <c r="E238" s="17">
        <v>20411454</v>
      </c>
      <c r="F238" s="17" t="s">
        <v>962</v>
      </c>
      <c r="G238" s="17" t="s">
        <v>45</v>
      </c>
      <c r="H238" s="17" t="s">
        <v>124</v>
      </c>
      <c r="I238" s="18">
        <v>45809</v>
      </c>
      <c r="L238" s="19">
        <v>0</v>
      </c>
      <c r="M238" s="19">
        <v>175</v>
      </c>
      <c r="N238" s="17">
        <v>1</v>
      </c>
      <c r="O238" s="20">
        <v>1</v>
      </c>
      <c r="P238" s="17">
        <v>175</v>
      </c>
      <c r="R238" s="17" t="s">
        <v>946</v>
      </c>
    </row>
    <row r="239" spans="1:18" x14ac:dyDescent="0.25">
      <c r="A239" s="16">
        <v>102020865700</v>
      </c>
      <c r="B239" s="16" t="str">
        <f t="shared" si="5"/>
        <v>1020208657000</v>
      </c>
      <c r="C239" s="17" t="s">
        <v>439</v>
      </c>
      <c r="D239" s="17" t="s">
        <v>93</v>
      </c>
      <c r="E239" s="17">
        <v>20411454</v>
      </c>
      <c r="F239" s="17" t="s">
        <v>962</v>
      </c>
      <c r="G239" s="17" t="s">
        <v>45</v>
      </c>
      <c r="H239" s="17" t="s">
        <v>162</v>
      </c>
      <c r="I239" s="18">
        <v>45474</v>
      </c>
      <c r="J239" s="18">
        <v>45792</v>
      </c>
      <c r="K239" s="17">
        <v>1</v>
      </c>
      <c r="L239" s="19">
        <v>1</v>
      </c>
      <c r="M239" s="19">
        <v>1</v>
      </c>
      <c r="O239" s="20">
        <v>1</v>
      </c>
      <c r="P239" s="17">
        <v>2</v>
      </c>
      <c r="Q239" s="17" t="s">
        <v>288</v>
      </c>
      <c r="R239" s="17" t="s">
        <v>933</v>
      </c>
    </row>
    <row r="240" spans="1:18" x14ac:dyDescent="0.25">
      <c r="A240" s="16" t="s">
        <v>852</v>
      </c>
      <c r="B240" s="16" t="str">
        <f t="shared" si="5"/>
        <v>00022077130K0</v>
      </c>
      <c r="C240" s="17" t="s">
        <v>528</v>
      </c>
      <c r="D240" s="17" t="s">
        <v>43</v>
      </c>
      <c r="E240" s="17">
        <v>20411454</v>
      </c>
      <c r="F240" s="17" t="s">
        <v>962</v>
      </c>
      <c r="G240" s="17" t="s">
        <v>45</v>
      </c>
      <c r="H240" s="17" t="s">
        <v>54</v>
      </c>
      <c r="I240" s="18">
        <v>45597</v>
      </c>
      <c r="J240" s="18">
        <v>45792</v>
      </c>
      <c r="K240" s="17">
        <v>1</v>
      </c>
      <c r="L240" s="19">
        <v>1</v>
      </c>
      <c r="M240" s="19">
        <v>1</v>
      </c>
      <c r="O240" s="20">
        <v>1</v>
      </c>
      <c r="P240" s="17">
        <v>9</v>
      </c>
      <c r="Q240" s="17" t="s">
        <v>473</v>
      </c>
      <c r="R240" s="17" t="s">
        <v>936</v>
      </c>
    </row>
    <row r="241" spans="1:18" x14ac:dyDescent="0.25">
      <c r="A241" s="16">
        <v>102051406100</v>
      </c>
      <c r="B241" s="16" t="str">
        <f t="shared" si="5"/>
        <v>1020514061000</v>
      </c>
      <c r="C241" s="17" t="s">
        <v>367</v>
      </c>
      <c r="D241" s="17" t="s">
        <v>93</v>
      </c>
      <c r="E241" s="17">
        <v>20411454</v>
      </c>
      <c r="F241" s="17" t="s">
        <v>962</v>
      </c>
      <c r="G241" s="17" t="s">
        <v>45</v>
      </c>
      <c r="H241" s="17" t="s">
        <v>162</v>
      </c>
      <c r="I241" s="18">
        <v>45536</v>
      </c>
      <c r="J241" s="18">
        <v>45792</v>
      </c>
      <c r="K241" s="17">
        <v>1</v>
      </c>
      <c r="L241" s="19">
        <v>1</v>
      </c>
      <c r="M241" s="19">
        <v>1</v>
      </c>
      <c r="O241" s="20">
        <v>1</v>
      </c>
      <c r="P241" s="17">
        <v>2</v>
      </c>
      <c r="Q241" s="17" t="s">
        <v>288</v>
      </c>
      <c r="R241" s="17" t="s">
        <v>933</v>
      </c>
    </row>
    <row r="242" spans="1:18" x14ac:dyDescent="0.25">
      <c r="A242" s="16" t="s">
        <v>642</v>
      </c>
      <c r="B242" s="16" t="str">
        <f t="shared" si="5"/>
        <v>00023239312K0</v>
      </c>
      <c r="C242" s="17" t="s">
        <v>81</v>
      </c>
      <c r="D242" s="17" t="s">
        <v>43</v>
      </c>
      <c r="E242" s="17">
        <v>20411454</v>
      </c>
      <c r="F242" s="17" t="s">
        <v>962</v>
      </c>
      <c r="G242" s="17" t="s">
        <v>45</v>
      </c>
      <c r="H242" s="17" t="s">
        <v>54</v>
      </c>
      <c r="I242" s="18">
        <v>45748</v>
      </c>
      <c r="L242" s="19">
        <v>0</v>
      </c>
      <c r="M242" s="19">
        <v>175</v>
      </c>
      <c r="N242" s="17">
        <v>1</v>
      </c>
      <c r="O242" s="20">
        <v>1</v>
      </c>
      <c r="P242" s="17">
        <v>175</v>
      </c>
      <c r="R242" s="17" t="s">
        <v>936</v>
      </c>
    </row>
    <row r="243" spans="1:18" x14ac:dyDescent="0.25">
      <c r="A243" s="16" t="s">
        <v>836</v>
      </c>
      <c r="B243" s="16" t="str">
        <f t="shared" si="5"/>
        <v>00022032935KOV0</v>
      </c>
      <c r="C243" s="17" t="s">
        <v>542</v>
      </c>
      <c r="D243" s="17" t="s">
        <v>43</v>
      </c>
      <c r="E243" s="17">
        <v>20411454</v>
      </c>
      <c r="F243" s="17" t="s">
        <v>962</v>
      </c>
      <c r="G243" s="17" t="s">
        <v>45</v>
      </c>
      <c r="H243" s="17" t="s">
        <v>54</v>
      </c>
      <c r="I243" s="18">
        <v>45566</v>
      </c>
      <c r="J243" s="18">
        <v>45792</v>
      </c>
      <c r="K243" s="17">
        <v>1</v>
      </c>
      <c r="L243" s="19">
        <v>1</v>
      </c>
      <c r="M243" s="19">
        <v>1</v>
      </c>
      <c r="O243" s="20">
        <v>1</v>
      </c>
      <c r="P243" s="17">
        <v>9</v>
      </c>
      <c r="Q243" s="17" t="s">
        <v>473</v>
      </c>
      <c r="R243" s="17" t="s">
        <v>936</v>
      </c>
    </row>
    <row r="244" spans="1:18" x14ac:dyDescent="0.25">
      <c r="A244" s="16">
        <v>102065624200</v>
      </c>
      <c r="B244" s="16" t="str">
        <f t="shared" si="5"/>
        <v>1020656242000</v>
      </c>
      <c r="C244" s="17" t="s">
        <v>325</v>
      </c>
      <c r="D244" s="17" t="s">
        <v>93</v>
      </c>
      <c r="E244" s="17">
        <v>20411454</v>
      </c>
      <c r="F244" s="17" t="s">
        <v>962</v>
      </c>
      <c r="G244" s="17" t="s">
        <v>45</v>
      </c>
      <c r="H244" s="17" t="s">
        <v>162</v>
      </c>
      <c r="I244" s="18">
        <v>45597</v>
      </c>
      <c r="J244" s="18">
        <v>45792</v>
      </c>
      <c r="K244" s="17">
        <v>1</v>
      </c>
      <c r="L244" s="19">
        <v>1</v>
      </c>
      <c r="M244" s="19">
        <v>1</v>
      </c>
      <c r="O244" s="20">
        <v>1</v>
      </c>
      <c r="P244" s="17">
        <v>2</v>
      </c>
      <c r="Q244" s="17" t="s">
        <v>288</v>
      </c>
      <c r="R244" s="17" t="s">
        <v>933</v>
      </c>
    </row>
    <row r="245" spans="1:18" x14ac:dyDescent="0.25">
      <c r="A245" s="16" t="s">
        <v>663</v>
      </c>
      <c r="B245" s="16" t="str">
        <f t="shared" si="5"/>
        <v>00019509572KPC0</v>
      </c>
      <c r="C245" s="17" t="s">
        <v>151</v>
      </c>
      <c r="D245" s="17" t="s">
        <v>43</v>
      </c>
      <c r="E245" s="17">
        <v>20411454</v>
      </c>
      <c r="F245" s="17" t="s">
        <v>962</v>
      </c>
      <c r="G245" s="17" t="s">
        <v>148</v>
      </c>
      <c r="H245" s="17" t="s">
        <v>46</v>
      </c>
      <c r="I245" s="18">
        <v>45658</v>
      </c>
      <c r="L245" s="19">
        <v>0</v>
      </c>
      <c r="M245" s="17">
        <v>-81</v>
      </c>
      <c r="N245" s="17">
        <v>1</v>
      </c>
      <c r="O245" s="20">
        <v>1</v>
      </c>
      <c r="P245" s="17">
        <v>-81</v>
      </c>
      <c r="R245" s="17" t="s">
        <v>936</v>
      </c>
    </row>
    <row r="246" spans="1:18" x14ac:dyDescent="0.25">
      <c r="A246" s="16">
        <v>102055396200</v>
      </c>
      <c r="B246" s="16" t="str">
        <f t="shared" si="5"/>
        <v>1020553962000</v>
      </c>
      <c r="C246" s="17" t="s">
        <v>355</v>
      </c>
      <c r="D246" s="17" t="s">
        <v>89</v>
      </c>
      <c r="E246" s="17">
        <v>20411454</v>
      </c>
      <c r="F246" s="17" t="s">
        <v>962</v>
      </c>
      <c r="G246" s="17" t="s">
        <v>45</v>
      </c>
      <c r="H246" s="17" t="s">
        <v>162</v>
      </c>
      <c r="I246" s="18">
        <v>45566</v>
      </c>
      <c r="J246" s="18">
        <v>45792</v>
      </c>
      <c r="K246" s="17">
        <v>1</v>
      </c>
      <c r="L246" s="19">
        <v>1</v>
      </c>
      <c r="M246" s="19">
        <v>1</v>
      </c>
      <c r="O246" s="20">
        <v>1</v>
      </c>
      <c r="P246" s="17">
        <v>2</v>
      </c>
      <c r="Q246" s="17" t="s">
        <v>288</v>
      </c>
      <c r="R246" s="17" t="s">
        <v>933</v>
      </c>
    </row>
    <row r="247" spans="1:18" x14ac:dyDescent="0.25">
      <c r="A247" s="16">
        <v>102064852300</v>
      </c>
      <c r="B247" s="16" t="str">
        <f t="shared" si="5"/>
        <v>1020648523000</v>
      </c>
      <c r="C247" s="17" t="s">
        <v>327</v>
      </c>
      <c r="D247" s="17" t="s">
        <v>89</v>
      </c>
      <c r="E247" s="17">
        <v>20411454</v>
      </c>
      <c r="F247" s="17" t="s">
        <v>962</v>
      </c>
      <c r="G247" s="17" t="s">
        <v>45</v>
      </c>
      <c r="H247" s="17" t="s">
        <v>162</v>
      </c>
      <c r="I247" s="18">
        <v>45566</v>
      </c>
      <c r="J247" s="18">
        <v>45792</v>
      </c>
      <c r="K247" s="17">
        <v>1</v>
      </c>
      <c r="L247" s="19">
        <v>1</v>
      </c>
      <c r="M247" s="19">
        <v>1</v>
      </c>
      <c r="O247" s="20">
        <v>1</v>
      </c>
      <c r="P247" s="17">
        <v>2</v>
      </c>
      <c r="Q247" s="17" t="s">
        <v>288</v>
      </c>
      <c r="R247" s="17" t="s">
        <v>933</v>
      </c>
    </row>
    <row r="248" spans="1:18" x14ac:dyDescent="0.25">
      <c r="A248" s="16" t="s">
        <v>715</v>
      </c>
      <c r="B248" s="16" t="str">
        <f t="shared" si="5"/>
        <v>992296804OV0</v>
      </c>
      <c r="C248" s="17" t="s">
        <v>168</v>
      </c>
      <c r="D248" s="17" t="s">
        <v>89</v>
      </c>
      <c r="E248" s="17">
        <v>20411454</v>
      </c>
      <c r="F248" s="17" t="s">
        <v>962</v>
      </c>
      <c r="G248" s="17" t="s">
        <v>45</v>
      </c>
      <c r="H248" s="17" t="s">
        <v>130</v>
      </c>
      <c r="I248" s="18">
        <v>45748</v>
      </c>
      <c r="L248" s="19">
        <v>0</v>
      </c>
      <c r="M248" s="19">
        <v>54</v>
      </c>
      <c r="N248" s="17">
        <v>1</v>
      </c>
      <c r="O248" s="20">
        <v>1</v>
      </c>
      <c r="P248" s="17">
        <v>54</v>
      </c>
      <c r="Q248" s="17" t="s">
        <v>91</v>
      </c>
      <c r="R248" s="17" t="s">
        <v>946</v>
      </c>
    </row>
    <row r="249" spans="1:18" x14ac:dyDescent="0.25">
      <c r="A249" s="16" t="s">
        <v>741</v>
      </c>
      <c r="B249" s="16" t="str">
        <f t="shared" si="5"/>
        <v>992296804OVPC0</v>
      </c>
      <c r="C249" s="17" t="s">
        <v>168</v>
      </c>
      <c r="D249" s="17" t="s">
        <v>89</v>
      </c>
      <c r="E249" s="17">
        <v>20411454</v>
      </c>
      <c r="F249" s="17" t="s">
        <v>962</v>
      </c>
      <c r="G249" s="17" t="s">
        <v>148</v>
      </c>
      <c r="H249" s="17" t="s">
        <v>169</v>
      </c>
      <c r="I249" s="18">
        <v>45717</v>
      </c>
      <c r="L249" s="19">
        <v>0</v>
      </c>
      <c r="M249" s="17">
        <v>-131.25</v>
      </c>
      <c r="N249" s="17">
        <v>1</v>
      </c>
      <c r="O249" s="20">
        <v>1</v>
      </c>
      <c r="P249" s="17">
        <v>-131.25</v>
      </c>
      <c r="R249" s="17" t="s">
        <v>946</v>
      </c>
    </row>
    <row r="250" spans="1:18" x14ac:dyDescent="0.25">
      <c r="A250" s="16">
        <v>102014399100</v>
      </c>
      <c r="B250" s="16" t="str">
        <f t="shared" si="5"/>
        <v>1020143991000</v>
      </c>
      <c r="C250" s="17" t="s">
        <v>448</v>
      </c>
      <c r="D250" s="17" t="s">
        <v>93</v>
      </c>
      <c r="E250" s="17">
        <v>20411454</v>
      </c>
      <c r="F250" s="17" t="s">
        <v>962</v>
      </c>
      <c r="G250" s="17" t="s">
        <v>45</v>
      </c>
      <c r="H250" s="17" t="s">
        <v>162</v>
      </c>
      <c r="I250" s="18">
        <v>45505</v>
      </c>
      <c r="J250" s="18">
        <v>45792</v>
      </c>
      <c r="K250" s="17">
        <v>1</v>
      </c>
      <c r="L250" s="19">
        <v>1</v>
      </c>
      <c r="M250" s="19">
        <v>1</v>
      </c>
      <c r="O250" s="20">
        <v>1</v>
      </c>
      <c r="P250" s="17">
        <v>2</v>
      </c>
      <c r="Q250" s="17" t="s">
        <v>288</v>
      </c>
      <c r="R250" s="17" t="s">
        <v>933</v>
      </c>
    </row>
    <row r="251" spans="1:18" x14ac:dyDescent="0.25">
      <c r="A251" s="16">
        <v>102017009100</v>
      </c>
      <c r="B251" s="16" t="str">
        <f t="shared" si="5"/>
        <v>1020170091000</v>
      </c>
      <c r="C251" s="17" t="s">
        <v>444</v>
      </c>
      <c r="D251" s="17" t="s">
        <v>93</v>
      </c>
      <c r="E251" s="17">
        <v>20411454</v>
      </c>
      <c r="F251" s="17" t="s">
        <v>962</v>
      </c>
      <c r="G251" s="17" t="s">
        <v>45</v>
      </c>
      <c r="H251" s="17" t="s">
        <v>162</v>
      </c>
      <c r="I251" s="18">
        <v>45474</v>
      </c>
      <c r="J251" s="18">
        <v>45792</v>
      </c>
      <c r="K251" s="17">
        <v>1</v>
      </c>
      <c r="L251" s="19">
        <v>1</v>
      </c>
      <c r="M251" s="19">
        <v>1</v>
      </c>
      <c r="O251" s="20">
        <v>1</v>
      </c>
      <c r="P251" s="17">
        <v>2</v>
      </c>
      <c r="Q251" s="17" t="s">
        <v>288</v>
      </c>
      <c r="R251" s="17" t="s">
        <v>933</v>
      </c>
    </row>
    <row r="252" spans="1:18" x14ac:dyDescent="0.25">
      <c r="A252" s="16" t="s">
        <v>883</v>
      </c>
      <c r="B252" s="16" t="str">
        <f t="shared" si="5"/>
        <v>00022193283K0</v>
      </c>
      <c r="C252" s="17" t="s">
        <v>501</v>
      </c>
      <c r="D252" s="17" t="s">
        <v>43</v>
      </c>
      <c r="E252" s="17">
        <v>20411454</v>
      </c>
      <c r="F252" s="17" t="s">
        <v>962</v>
      </c>
      <c r="G252" s="17" t="s">
        <v>45</v>
      </c>
      <c r="H252" s="17" t="s">
        <v>54</v>
      </c>
      <c r="I252" s="18">
        <v>45627</v>
      </c>
      <c r="J252" s="18">
        <v>45792</v>
      </c>
      <c r="K252" s="17">
        <v>1</v>
      </c>
      <c r="L252" s="19">
        <v>1</v>
      </c>
      <c r="M252" s="19">
        <v>1</v>
      </c>
      <c r="O252" s="20">
        <v>1</v>
      </c>
      <c r="P252" s="17">
        <v>9</v>
      </c>
      <c r="Q252" s="17" t="s">
        <v>473</v>
      </c>
      <c r="R252" s="17" t="s">
        <v>936</v>
      </c>
    </row>
    <row r="253" spans="1:18" x14ac:dyDescent="0.25">
      <c r="A253" s="16">
        <v>102063811100</v>
      </c>
      <c r="B253" s="16" t="str">
        <f t="shared" si="5"/>
        <v>1020638111000</v>
      </c>
      <c r="C253" s="17" t="s">
        <v>332</v>
      </c>
      <c r="D253" s="17" t="s">
        <v>331</v>
      </c>
      <c r="E253" s="17">
        <v>20411454</v>
      </c>
      <c r="F253" s="17" t="s">
        <v>962</v>
      </c>
      <c r="G253" s="17" t="s">
        <v>45</v>
      </c>
      <c r="H253" s="17" t="s">
        <v>95</v>
      </c>
      <c r="I253" s="18">
        <v>45566</v>
      </c>
      <c r="J253" s="18">
        <v>45792</v>
      </c>
      <c r="K253" s="17">
        <v>1</v>
      </c>
      <c r="L253" s="19">
        <v>1</v>
      </c>
      <c r="M253" s="19">
        <v>1</v>
      </c>
      <c r="O253" s="20">
        <v>1</v>
      </c>
      <c r="P253" s="17">
        <v>2</v>
      </c>
      <c r="Q253" s="17" t="s">
        <v>288</v>
      </c>
      <c r="R253" s="17" t="s">
        <v>933</v>
      </c>
    </row>
    <row r="254" spans="1:18" x14ac:dyDescent="0.25">
      <c r="A254" s="16">
        <v>102055440700</v>
      </c>
      <c r="B254" s="16" t="str">
        <f t="shared" si="5"/>
        <v>1020554407000</v>
      </c>
      <c r="C254" s="17" t="s">
        <v>354</v>
      </c>
      <c r="D254" s="17" t="s">
        <v>265</v>
      </c>
      <c r="E254" s="17">
        <v>20411454</v>
      </c>
      <c r="F254" s="17" t="s">
        <v>962</v>
      </c>
      <c r="G254" s="17" t="s">
        <v>45</v>
      </c>
      <c r="H254" s="17" t="s">
        <v>162</v>
      </c>
      <c r="I254" s="18">
        <v>45597</v>
      </c>
      <c r="J254" s="18">
        <v>45792</v>
      </c>
      <c r="K254" s="17">
        <v>1</v>
      </c>
      <c r="L254" s="19">
        <v>1</v>
      </c>
      <c r="M254" s="19">
        <v>1</v>
      </c>
      <c r="O254" s="20">
        <v>1</v>
      </c>
      <c r="P254" s="17">
        <v>2</v>
      </c>
      <c r="Q254" s="17" t="s">
        <v>288</v>
      </c>
      <c r="R254" s="17" t="s">
        <v>933</v>
      </c>
    </row>
    <row r="255" spans="1:18" x14ac:dyDescent="0.25">
      <c r="A255" s="16" t="s">
        <v>862</v>
      </c>
      <c r="B255" s="16" t="str">
        <f t="shared" si="5"/>
        <v>00022092926K0</v>
      </c>
      <c r="C255" s="17" t="s">
        <v>518</v>
      </c>
      <c r="D255" s="17" t="s">
        <v>43</v>
      </c>
      <c r="E255" s="17">
        <v>20411454</v>
      </c>
      <c r="F255" s="17" t="s">
        <v>962</v>
      </c>
      <c r="G255" s="17" t="s">
        <v>45</v>
      </c>
      <c r="H255" s="17" t="s">
        <v>54</v>
      </c>
      <c r="I255" s="18">
        <v>45566</v>
      </c>
      <c r="J255" s="18">
        <v>45792</v>
      </c>
      <c r="K255" s="17">
        <v>1</v>
      </c>
      <c r="L255" s="19">
        <v>1</v>
      </c>
      <c r="M255" s="19">
        <v>1</v>
      </c>
      <c r="O255" s="20">
        <v>1</v>
      </c>
      <c r="P255" s="17">
        <v>9</v>
      </c>
      <c r="Q255" s="17" t="s">
        <v>473</v>
      </c>
      <c r="R255" s="17" t="s">
        <v>936</v>
      </c>
    </row>
    <row r="256" spans="1:18" x14ac:dyDescent="0.25">
      <c r="A256" s="16">
        <v>102023366700</v>
      </c>
      <c r="B256" s="16" t="str">
        <f t="shared" si="5"/>
        <v>1020233667000</v>
      </c>
      <c r="C256" s="17" t="s">
        <v>431</v>
      </c>
      <c r="D256" s="17" t="s">
        <v>93</v>
      </c>
      <c r="E256" s="17">
        <v>20411454</v>
      </c>
      <c r="F256" s="17" t="s">
        <v>962</v>
      </c>
      <c r="G256" s="17" t="s">
        <v>45</v>
      </c>
      <c r="H256" s="17" t="s">
        <v>95</v>
      </c>
      <c r="I256" s="18">
        <v>45505</v>
      </c>
      <c r="J256" s="18">
        <v>45792</v>
      </c>
      <c r="K256" s="17">
        <v>1</v>
      </c>
      <c r="L256" s="19">
        <v>1</v>
      </c>
      <c r="M256" s="19">
        <v>1</v>
      </c>
      <c r="O256" s="20">
        <v>1</v>
      </c>
      <c r="P256" s="17">
        <v>2</v>
      </c>
      <c r="Q256" s="17" t="s">
        <v>288</v>
      </c>
      <c r="R256" s="17" t="s">
        <v>933</v>
      </c>
    </row>
    <row r="257" spans="1:18" x14ac:dyDescent="0.25">
      <c r="A257" s="16">
        <v>102082370200</v>
      </c>
      <c r="B257" s="16" t="str">
        <f t="shared" si="5"/>
        <v>1020823702000</v>
      </c>
      <c r="C257" s="17" t="s">
        <v>303</v>
      </c>
      <c r="D257" s="17" t="s">
        <v>89</v>
      </c>
      <c r="E257" s="17">
        <v>20411454</v>
      </c>
      <c r="F257" s="17" t="s">
        <v>962</v>
      </c>
      <c r="G257" s="17" t="s">
        <v>45</v>
      </c>
      <c r="H257" s="17" t="s">
        <v>162</v>
      </c>
      <c r="I257" s="18">
        <v>45597</v>
      </c>
      <c r="J257" s="18">
        <v>45792</v>
      </c>
      <c r="K257" s="17">
        <v>1</v>
      </c>
      <c r="L257" s="19">
        <v>1</v>
      </c>
      <c r="M257" s="19">
        <v>1</v>
      </c>
      <c r="O257" s="20">
        <v>1</v>
      </c>
      <c r="P257" s="17">
        <v>2</v>
      </c>
      <c r="Q257" s="17" t="s">
        <v>288</v>
      </c>
      <c r="R257" s="17" t="s">
        <v>933</v>
      </c>
    </row>
    <row r="258" spans="1:18" x14ac:dyDescent="0.25">
      <c r="A258" s="16">
        <v>101079484800</v>
      </c>
      <c r="B258" s="16" t="str">
        <f t="shared" si="5"/>
        <v>1010794848000</v>
      </c>
      <c r="C258" s="17" t="s">
        <v>470</v>
      </c>
      <c r="D258" s="17" t="s">
        <v>93</v>
      </c>
      <c r="E258" s="17">
        <v>20411454</v>
      </c>
      <c r="F258" s="17" t="s">
        <v>962</v>
      </c>
      <c r="G258" s="17" t="s">
        <v>250</v>
      </c>
      <c r="H258" s="17" t="s">
        <v>162</v>
      </c>
      <c r="I258" s="18">
        <v>44044</v>
      </c>
      <c r="J258" s="18">
        <v>45792</v>
      </c>
      <c r="K258" s="17">
        <v>1</v>
      </c>
      <c r="L258" s="19">
        <v>1</v>
      </c>
      <c r="M258" s="19">
        <v>1</v>
      </c>
      <c r="O258" s="20">
        <v>1</v>
      </c>
      <c r="P258" s="17">
        <v>2</v>
      </c>
      <c r="Q258" s="17" t="s">
        <v>288</v>
      </c>
      <c r="R258" s="17" t="s">
        <v>933</v>
      </c>
    </row>
    <row r="259" spans="1:18" x14ac:dyDescent="0.25">
      <c r="A259" s="16" t="s">
        <v>870</v>
      </c>
      <c r="B259" s="16" t="str">
        <f t="shared" si="5"/>
        <v>00022095955KOV0</v>
      </c>
      <c r="C259" s="17" t="s">
        <v>513</v>
      </c>
      <c r="D259" s="17" t="s">
        <v>43</v>
      </c>
      <c r="E259" s="17">
        <v>20411454</v>
      </c>
      <c r="F259" s="17" t="s">
        <v>962</v>
      </c>
      <c r="G259" s="17" t="s">
        <v>45</v>
      </c>
      <c r="H259" s="17" t="s">
        <v>54</v>
      </c>
      <c r="I259" s="18">
        <v>45597</v>
      </c>
      <c r="J259" s="18">
        <v>45792</v>
      </c>
      <c r="K259" s="17">
        <v>1</v>
      </c>
      <c r="L259" s="19">
        <v>1</v>
      </c>
      <c r="M259" s="19">
        <v>1</v>
      </c>
      <c r="O259" s="20">
        <v>1</v>
      </c>
      <c r="P259" s="17">
        <v>9</v>
      </c>
      <c r="Q259" s="17" t="s">
        <v>473</v>
      </c>
      <c r="R259" s="17" t="s">
        <v>936</v>
      </c>
    </row>
    <row r="260" spans="1:18" x14ac:dyDescent="0.25">
      <c r="A260" s="16" t="s">
        <v>686</v>
      </c>
      <c r="B260" s="16" t="str">
        <f t="shared" si="5"/>
        <v>00023243657K0</v>
      </c>
      <c r="C260" s="17" t="s">
        <v>241</v>
      </c>
      <c r="D260" s="17" t="s">
        <v>43</v>
      </c>
      <c r="E260" s="17">
        <v>20411454</v>
      </c>
      <c r="F260" s="17" t="s">
        <v>962</v>
      </c>
      <c r="G260" s="17" t="s">
        <v>45</v>
      </c>
      <c r="H260" s="17" t="s">
        <v>54</v>
      </c>
      <c r="I260" s="18">
        <v>45778</v>
      </c>
      <c r="L260" s="19">
        <v>0</v>
      </c>
      <c r="M260" s="19">
        <v>175</v>
      </c>
      <c r="N260" s="17">
        <v>1</v>
      </c>
      <c r="O260" s="20">
        <v>1</v>
      </c>
      <c r="P260" s="17">
        <v>175</v>
      </c>
      <c r="R260" s="17" t="s">
        <v>936</v>
      </c>
    </row>
    <row r="261" spans="1:18" x14ac:dyDescent="0.25">
      <c r="A261" s="16">
        <v>101302951000</v>
      </c>
      <c r="B261" s="16" t="str">
        <f t="shared" si="5"/>
        <v>1013029510000</v>
      </c>
      <c r="C261" s="17" t="s">
        <v>224</v>
      </c>
      <c r="D261" s="17" t="s">
        <v>93</v>
      </c>
      <c r="E261" s="17">
        <v>20411454</v>
      </c>
      <c r="F261" s="17" t="s">
        <v>962</v>
      </c>
      <c r="G261" s="17" t="s">
        <v>45</v>
      </c>
      <c r="H261" s="17" t="s">
        <v>95</v>
      </c>
      <c r="I261" s="18">
        <v>45748</v>
      </c>
      <c r="L261" s="19">
        <v>0</v>
      </c>
      <c r="M261" s="19">
        <v>37.5</v>
      </c>
      <c r="N261" s="17">
        <v>1</v>
      </c>
      <c r="O261" s="20">
        <v>1</v>
      </c>
      <c r="P261" s="17">
        <v>37.5</v>
      </c>
      <c r="Q261" s="17" t="s">
        <v>91</v>
      </c>
      <c r="R261" s="17" t="s">
        <v>933</v>
      </c>
    </row>
    <row r="262" spans="1:18" x14ac:dyDescent="0.25">
      <c r="A262" s="16">
        <v>101097095200</v>
      </c>
      <c r="B262" s="16" t="str">
        <f t="shared" si="5"/>
        <v>1010970952000</v>
      </c>
      <c r="C262" s="17" t="s">
        <v>469</v>
      </c>
      <c r="D262" s="17" t="s">
        <v>93</v>
      </c>
      <c r="E262" s="17">
        <v>20411454</v>
      </c>
      <c r="F262" s="17" t="s">
        <v>962</v>
      </c>
      <c r="G262" s="17" t="s">
        <v>45</v>
      </c>
      <c r="H262" s="17" t="s">
        <v>162</v>
      </c>
      <c r="I262" s="18">
        <v>45658</v>
      </c>
      <c r="J262" s="18">
        <v>45792</v>
      </c>
      <c r="K262" s="17">
        <v>1</v>
      </c>
      <c r="L262" s="19">
        <v>1</v>
      </c>
      <c r="M262" s="19">
        <v>1</v>
      </c>
      <c r="O262" s="20">
        <v>1</v>
      </c>
      <c r="P262" s="17">
        <v>2</v>
      </c>
      <c r="Q262" s="17" t="s">
        <v>288</v>
      </c>
      <c r="R262" s="17" t="s">
        <v>933</v>
      </c>
    </row>
    <row r="263" spans="1:18" x14ac:dyDescent="0.25">
      <c r="A263" s="16" t="s">
        <v>867</v>
      </c>
      <c r="B263" s="16" t="str">
        <f t="shared" si="5"/>
        <v>00022094985KOV0</v>
      </c>
      <c r="C263" s="17" t="s">
        <v>515</v>
      </c>
      <c r="D263" s="17" t="s">
        <v>43</v>
      </c>
      <c r="E263" s="17">
        <v>20411454</v>
      </c>
      <c r="F263" s="17" t="s">
        <v>962</v>
      </c>
      <c r="G263" s="17" t="s">
        <v>45</v>
      </c>
      <c r="H263" s="17" t="s">
        <v>54</v>
      </c>
      <c r="I263" s="18">
        <v>45597</v>
      </c>
      <c r="J263" s="18">
        <v>45792</v>
      </c>
      <c r="K263" s="17">
        <v>1</v>
      </c>
      <c r="L263" s="19">
        <v>1</v>
      </c>
      <c r="M263" s="19">
        <v>1</v>
      </c>
      <c r="O263" s="20">
        <v>1</v>
      </c>
      <c r="P263" s="17">
        <v>9</v>
      </c>
      <c r="Q263" s="17" t="s">
        <v>473</v>
      </c>
      <c r="R263" s="17" t="s">
        <v>936</v>
      </c>
    </row>
    <row r="264" spans="1:18" x14ac:dyDescent="0.25">
      <c r="A264" s="16" t="s">
        <v>820</v>
      </c>
      <c r="B264" s="16" t="str">
        <f t="shared" si="5"/>
        <v>00021973839KOV0</v>
      </c>
      <c r="C264" s="17" t="s">
        <v>554</v>
      </c>
      <c r="D264" s="17" t="s">
        <v>43</v>
      </c>
      <c r="E264" s="17">
        <v>20411454</v>
      </c>
      <c r="F264" s="17" t="s">
        <v>962</v>
      </c>
      <c r="G264" s="17" t="s">
        <v>45</v>
      </c>
      <c r="H264" s="17" t="s">
        <v>54</v>
      </c>
      <c r="I264" s="18">
        <v>45536</v>
      </c>
      <c r="J264" s="18">
        <v>45792</v>
      </c>
      <c r="K264" s="17">
        <v>1</v>
      </c>
      <c r="L264" s="19">
        <v>1</v>
      </c>
      <c r="M264" s="19">
        <v>1</v>
      </c>
      <c r="O264" s="20">
        <v>1</v>
      </c>
      <c r="P264" s="17">
        <v>9</v>
      </c>
      <c r="Q264" s="17" t="s">
        <v>473</v>
      </c>
      <c r="R264" s="17" t="s">
        <v>936</v>
      </c>
    </row>
    <row r="265" spans="1:18" x14ac:dyDescent="0.25">
      <c r="A265" s="16" t="s">
        <v>904</v>
      </c>
      <c r="B265" s="16" t="str">
        <f t="shared" si="5"/>
        <v>00022646876K0</v>
      </c>
      <c r="C265" s="17" t="s">
        <v>480</v>
      </c>
      <c r="D265" s="17" t="s">
        <v>43</v>
      </c>
      <c r="E265" s="17">
        <v>20411454</v>
      </c>
      <c r="F265" s="17" t="s">
        <v>962</v>
      </c>
      <c r="G265" s="17" t="s">
        <v>45</v>
      </c>
      <c r="H265" s="17" t="s">
        <v>54</v>
      </c>
      <c r="I265" s="18">
        <v>45627</v>
      </c>
      <c r="J265" s="18">
        <v>45792</v>
      </c>
      <c r="K265" s="17">
        <v>1</v>
      </c>
      <c r="L265" s="19">
        <v>1</v>
      </c>
      <c r="M265" s="19">
        <v>1</v>
      </c>
      <c r="O265" s="20">
        <v>1</v>
      </c>
      <c r="P265" s="17">
        <v>9</v>
      </c>
      <c r="Q265" s="17" t="s">
        <v>473</v>
      </c>
      <c r="R265" s="17" t="s">
        <v>936</v>
      </c>
    </row>
    <row r="266" spans="1:18" x14ac:dyDescent="0.25">
      <c r="A266" s="16" t="s">
        <v>635</v>
      </c>
      <c r="B266" s="16" t="str">
        <f t="shared" si="5"/>
        <v>00023224608K0</v>
      </c>
      <c r="C266" s="17" t="s">
        <v>73</v>
      </c>
      <c r="D266" s="17" t="s">
        <v>43</v>
      </c>
      <c r="E266" s="17">
        <v>20411454</v>
      </c>
      <c r="F266" s="17" t="s">
        <v>962</v>
      </c>
      <c r="G266" s="17" t="s">
        <v>45</v>
      </c>
      <c r="H266" s="17" t="s">
        <v>54</v>
      </c>
      <c r="I266" s="18">
        <v>45809</v>
      </c>
      <c r="L266" s="19">
        <v>0</v>
      </c>
      <c r="M266" s="19">
        <v>175</v>
      </c>
      <c r="N266" s="17">
        <v>1</v>
      </c>
      <c r="O266" s="20">
        <v>1</v>
      </c>
      <c r="P266" s="17">
        <v>175</v>
      </c>
      <c r="R266" s="17" t="s">
        <v>936</v>
      </c>
    </row>
    <row r="267" spans="1:18" x14ac:dyDescent="0.25">
      <c r="A267" s="16">
        <v>102069393600</v>
      </c>
      <c r="B267" s="16" t="str">
        <f t="shared" si="5"/>
        <v>1020693936000</v>
      </c>
      <c r="C267" s="17" t="s">
        <v>314</v>
      </c>
      <c r="D267" s="17" t="s">
        <v>84</v>
      </c>
      <c r="E267" s="17">
        <v>20411454</v>
      </c>
      <c r="F267" s="17" t="s">
        <v>962</v>
      </c>
      <c r="G267" s="17" t="s">
        <v>45</v>
      </c>
      <c r="H267" s="17" t="s">
        <v>162</v>
      </c>
      <c r="I267" s="18">
        <v>45627</v>
      </c>
      <c r="J267" s="18">
        <v>45792</v>
      </c>
      <c r="K267" s="17">
        <v>1</v>
      </c>
      <c r="L267" s="19">
        <v>1</v>
      </c>
      <c r="M267" s="19">
        <v>1</v>
      </c>
      <c r="O267" s="20">
        <v>1</v>
      </c>
      <c r="P267" s="17">
        <v>2</v>
      </c>
      <c r="Q267" s="17" t="s">
        <v>288</v>
      </c>
      <c r="R267" s="17" t="s">
        <v>933</v>
      </c>
    </row>
    <row r="268" spans="1:18" x14ac:dyDescent="0.25">
      <c r="A268" s="16">
        <v>101987999900</v>
      </c>
      <c r="B268" s="16" t="str">
        <f t="shared" si="5"/>
        <v>1019879999000</v>
      </c>
      <c r="C268" s="17" t="s">
        <v>460</v>
      </c>
      <c r="D268" s="17" t="s">
        <v>369</v>
      </c>
      <c r="E268" s="17">
        <v>20411454</v>
      </c>
      <c r="F268" s="17" t="s">
        <v>962</v>
      </c>
      <c r="G268" s="17" t="s">
        <v>45</v>
      </c>
      <c r="H268" s="17" t="s">
        <v>95</v>
      </c>
      <c r="I268" s="18">
        <v>45536</v>
      </c>
      <c r="J268" s="18">
        <v>45792</v>
      </c>
      <c r="K268" s="17">
        <v>1</v>
      </c>
      <c r="L268" s="19">
        <v>1</v>
      </c>
      <c r="M268" s="19">
        <v>1</v>
      </c>
      <c r="O268" s="20">
        <v>1</v>
      </c>
      <c r="P268" s="17">
        <v>2</v>
      </c>
      <c r="Q268" s="17" t="s">
        <v>288</v>
      </c>
      <c r="R268" s="17" t="s">
        <v>933</v>
      </c>
    </row>
    <row r="269" spans="1:18" x14ac:dyDescent="0.25">
      <c r="A269" s="16">
        <v>102160093600</v>
      </c>
      <c r="B269" s="16" t="str">
        <f t="shared" si="5"/>
        <v>1021600936000</v>
      </c>
      <c r="C269" s="17" t="s">
        <v>115</v>
      </c>
      <c r="D269" s="17" t="s">
        <v>89</v>
      </c>
      <c r="E269" s="17">
        <v>20411454</v>
      </c>
      <c r="F269" s="17" t="s">
        <v>962</v>
      </c>
      <c r="G269" s="17" t="s">
        <v>45</v>
      </c>
      <c r="H269" s="17" t="s">
        <v>95</v>
      </c>
      <c r="I269" s="18">
        <v>45748</v>
      </c>
      <c r="L269" s="19">
        <v>0</v>
      </c>
      <c r="M269" s="19">
        <v>37.5</v>
      </c>
      <c r="N269" s="17">
        <v>1</v>
      </c>
      <c r="O269" s="20">
        <v>1</v>
      </c>
      <c r="P269" s="17">
        <v>37.5</v>
      </c>
      <c r="Q269" s="17" t="s">
        <v>91</v>
      </c>
      <c r="R269" s="17" t="s">
        <v>933</v>
      </c>
    </row>
    <row r="270" spans="1:18" x14ac:dyDescent="0.25">
      <c r="A270" s="16" t="s">
        <v>922</v>
      </c>
      <c r="B270" s="16" t="str">
        <f t="shared" si="5"/>
        <v>961601451OV0</v>
      </c>
      <c r="C270" s="17" t="s">
        <v>269</v>
      </c>
      <c r="D270" s="17" t="s">
        <v>128</v>
      </c>
      <c r="E270" s="17">
        <v>20411454</v>
      </c>
      <c r="F270" s="17" t="s">
        <v>962</v>
      </c>
      <c r="G270" s="17" t="s">
        <v>45</v>
      </c>
      <c r="H270" s="17" t="s">
        <v>124</v>
      </c>
      <c r="I270" s="18">
        <v>45597</v>
      </c>
      <c r="J270" s="18">
        <v>45792</v>
      </c>
      <c r="K270" s="17">
        <v>1</v>
      </c>
      <c r="L270" s="19">
        <v>1</v>
      </c>
      <c r="M270" s="19">
        <v>1</v>
      </c>
      <c r="O270" s="20">
        <v>1</v>
      </c>
      <c r="P270" s="17">
        <v>6</v>
      </c>
      <c r="Q270" s="17" t="s">
        <v>248</v>
      </c>
      <c r="R270" s="17" t="s">
        <v>946</v>
      </c>
    </row>
    <row r="271" spans="1:18" x14ac:dyDescent="0.25">
      <c r="A271" s="16">
        <v>102035273900</v>
      </c>
      <c r="B271" s="16" t="str">
        <f t="shared" si="5"/>
        <v>1020352739000</v>
      </c>
      <c r="C271" s="17" t="s">
        <v>413</v>
      </c>
      <c r="D271" s="17" t="s">
        <v>89</v>
      </c>
      <c r="E271" s="17">
        <v>20411454</v>
      </c>
      <c r="F271" s="17" t="s">
        <v>962</v>
      </c>
      <c r="G271" s="17" t="s">
        <v>45</v>
      </c>
      <c r="H271" s="17" t="s">
        <v>162</v>
      </c>
      <c r="I271" s="18">
        <v>45566</v>
      </c>
      <c r="J271" s="18">
        <v>45792</v>
      </c>
      <c r="K271" s="17">
        <v>1</v>
      </c>
      <c r="L271" s="19">
        <v>1</v>
      </c>
      <c r="M271" s="19">
        <v>1</v>
      </c>
      <c r="O271" s="20">
        <v>1</v>
      </c>
      <c r="P271" s="17">
        <v>2</v>
      </c>
      <c r="Q271" s="17" t="s">
        <v>288</v>
      </c>
      <c r="R271" s="17" t="s">
        <v>933</v>
      </c>
    </row>
    <row r="272" spans="1:18" x14ac:dyDescent="0.25">
      <c r="A272" s="16">
        <v>102022904500</v>
      </c>
      <c r="B272" s="16" t="str">
        <f t="shared" si="5"/>
        <v>1020229045000</v>
      </c>
      <c r="C272" s="17" t="s">
        <v>433</v>
      </c>
      <c r="D272" s="17" t="s">
        <v>93</v>
      </c>
      <c r="E272" s="17">
        <v>20411454</v>
      </c>
      <c r="F272" s="17" t="s">
        <v>962</v>
      </c>
      <c r="G272" s="17" t="s">
        <v>45</v>
      </c>
      <c r="H272" s="17" t="s">
        <v>162</v>
      </c>
      <c r="I272" s="18">
        <v>45505</v>
      </c>
      <c r="J272" s="18">
        <v>45792</v>
      </c>
      <c r="K272" s="17">
        <v>1</v>
      </c>
      <c r="L272" s="19">
        <v>1</v>
      </c>
      <c r="M272" s="19">
        <v>1</v>
      </c>
      <c r="O272" s="20">
        <v>1</v>
      </c>
      <c r="P272" s="17">
        <v>2</v>
      </c>
      <c r="Q272" s="17" t="s">
        <v>288</v>
      </c>
      <c r="R272" s="17" t="s">
        <v>933</v>
      </c>
    </row>
    <row r="273" spans="1:18" x14ac:dyDescent="0.25">
      <c r="A273" s="16" t="s">
        <v>754</v>
      </c>
      <c r="B273" s="16" t="str">
        <f t="shared" si="5"/>
        <v>00018671925K0</v>
      </c>
      <c r="C273" s="17" t="s">
        <v>610</v>
      </c>
      <c r="D273" s="17" t="s">
        <v>43</v>
      </c>
      <c r="E273" s="17">
        <v>20411454</v>
      </c>
      <c r="F273" s="17" t="s">
        <v>962</v>
      </c>
      <c r="G273" s="17" t="s">
        <v>45</v>
      </c>
      <c r="H273" s="17" t="s">
        <v>54</v>
      </c>
      <c r="I273" s="18">
        <v>45597</v>
      </c>
      <c r="J273" s="18">
        <v>45792</v>
      </c>
      <c r="K273" s="17">
        <v>1</v>
      </c>
      <c r="L273" s="19">
        <v>1</v>
      </c>
      <c r="M273" s="19">
        <v>1</v>
      </c>
      <c r="O273" s="20">
        <v>1</v>
      </c>
      <c r="P273" s="17">
        <v>9</v>
      </c>
      <c r="Q273" s="17" t="s">
        <v>473</v>
      </c>
      <c r="R273" s="17" t="s">
        <v>936</v>
      </c>
    </row>
    <row r="274" spans="1:18" x14ac:dyDescent="0.25">
      <c r="A274" s="16">
        <v>102099156000</v>
      </c>
      <c r="B274" s="16" t="str">
        <f t="shared" si="5"/>
        <v>1020991560000</v>
      </c>
      <c r="C274" s="17" t="s">
        <v>293</v>
      </c>
      <c r="D274" s="17" t="s">
        <v>93</v>
      </c>
      <c r="E274" s="17">
        <v>20411454</v>
      </c>
      <c r="F274" s="17" t="s">
        <v>962</v>
      </c>
      <c r="G274" s="17" t="s">
        <v>45</v>
      </c>
      <c r="H274" s="17" t="s">
        <v>162</v>
      </c>
      <c r="I274" s="18">
        <v>45627</v>
      </c>
      <c r="J274" s="18">
        <v>45792</v>
      </c>
      <c r="K274" s="17">
        <v>1</v>
      </c>
      <c r="L274" s="19">
        <v>1</v>
      </c>
      <c r="M274" s="19">
        <v>1</v>
      </c>
      <c r="O274" s="20">
        <v>1</v>
      </c>
      <c r="P274" s="17">
        <v>2</v>
      </c>
      <c r="Q274" s="17" t="s">
        <v>288</v>
      </c>
      <c r="R274" s="17" t="s">
        <v>933</v>
      </c>
    </row>
    <row r="275" spans="1:18" x14ac:dyDescent="0.25">
      <c r="A275" s="16">
        <v>102109694200</v>
      </c>
      <c r="B275" s="16" t="str">
        <f t="shared" ref="B275:B338" si="6">CONCATENATE(A275,0)</f>
        <v>1021096942000</v>
      </c>
      <c r="C275" s="17" t="s">
        <v>289</v>
      </c>
      <c r="D275" s="17" t="s">
        <v>89</v>
      </c>
      <c r="E275" s="17">
        <v>20411454</v>
      </c>
      <c r="F275" s="17" t="s">
        <v>962</v>
      </c>
      <c r="G275" s="17" t="s">
        <v>45</v>
      </c>
      <c r="H275" s="17" t="s">
        <v>162</v>
      </c>
      <c r="I275" s="18">
        <v>45627</v>
      </c>
      <c r="J275" s="18">
        <v>45792</v>
      </c>
      <c r="K275" s="17">
        <v>1</v>
      </c>
      <c r="L275" s="19">
        <v>1</v>
      </c>
      <c r="M275" s="19">
        <v>1</v>
      </c>
      <c r="O275" s="20">
        <v>1</v>
      </c>
      <c r="P275" s="17">
        <v>2</v>
      </c>
      <c r="Q275" s="17" t="s">
        <v>288</v>
      </c>
      <c r="R275" s="17" t="s">
        <v>933</v>
      </c>
    </row>
    <row r="276" spans="1:18" x14ac:dyDescent="0.25">
      <c r="A276" s="16" t="s">
        <v>911</v>
      </c>
      <c r="B276" s="16" t="str">
        <f t="shared" si="6"/>
        <v>102109694200A0</v>
      </c>
      <c r="C276" s="17" t="s">
        <v>289</v>
      </c>
      <c r="D276" s="17" t="s">
        <v>89</v>
      </c>
      <c r="E276" s="17">
        <v>20411454</v>
      </c>
      <c r="F276" s="17" t="s">
        <v>962</v>
      </c>
      <c r="G276" s="17" t="s">
        <v>250</v>
      </c>
      <c r="H276" s="17" t="s">
        <v>95</v>
      </c>
      <c r="I276" s="18">
        <v>45627</v>
      </c>
      <c r="L276" s="19">
        <v>0</v>
      </c>
      <c r="M276" s="19">
        <v>0</v>
      </c>
      <c r="O276" s="20">
        <v>1</v>
      </c>
      <c r="P276" s="17">
        <v>-4.17</v>
      </c>
      <c r="Q276" s="17" t="s">
        <v>286</v>
      </c>
      <c r="R276" s="17" t="s">
        <v>933</v>
      </c>
    </row>
    <row r="277" spans="1:18" x14ac:dyDescent="0.25">
      <c r="A277" s="16" t="s">
        <v>709</v>
      </c>
      <c r="B277" s="16" t="str">
        <f t="shared" si="6"/>
        <v>940026103OV0</v>
      </c>
      <c r="C277" s="17" t="s">
        <v>197</v>
      </c>
      <c r="D277" s="17" t="s">
        <v>84</v>
      </c>
      <c r="E277" s="17">
        <v>20411454</v>
      </c>
      <c r="F277" s="17" t="s">
        <v>962</v>
      </c>
      <c r="G277" s="17" t="s">
        <v>45</v>
      </c>
      <c r="H277" s="17" t="s">
        <v>124</v>
      </c>
      <c r="I277" s="18">
        <v>45809</v>
      </c>
      <c r="L277" s="19">
        <v>0</v>
      </c>
      <c r="M277" s="19">
        <v>175</v>
      </c>
      <c r="N277" s="17">
        <v>1</v>
      </c>
      <c r="O277" s="20">
        <v>1</v>
      </c>
      <c r="P277" s="17">
        <v>175</v>
      </c>
      <c r="R277" s="17" t="s">
        <v>946</v>
      </c>
    </row>
    <row r="278" spans="1:18" x14ac:dyDescent="0.25">
      <c r="A278" s="16">
        <v>102048695700</v>
      </c>
      <c r="B278" s="16" t="str">
        <f t="shared" si="6"/>
        <v>1020486957000</v>
      </c>
      <c r="C278" s="17" t="s">
        <v>382</v>
      </c>
      <c r="D278" s="17" t="s">
        <v>93</v>
      </c>
      <c r="E278" s="17">
        <v>20411454</v>
      </c>
      <c r="F278" s="17" t="s">
        <v>962</v>
      </c>
      <c r="G278" s="17" t="s">
        <v>45</v>
      </c>
      <c r="H278" s="17" t="s">
        <v>162</v>
      </c>
      <c r="I278" s="18">
        <v>45536</v>
      </c>
      <c r="J278" s="18">
        <v>45792</v>
      </c>
      <c r="K278" s="17">
        <v>1</v>
      </c>
      <c r="L278" s="19">
        <v>1</v>
      </c>
      <c r="M278" s="19">
        <v>1</v>
      </c>
      <c r="O278" s="20">
        <v>1</v>
      </c>
      <c r="P278" s="17">
        <v>2</v>
      </c>
      <c r="Q278" s="17" t="s">
        <v>288</v>
      </c>
      <c r="R278" s="17" t="s">
        <v>933</v>
      </c>
    </row>
    <row r="279" spans="1:18" x14ac:dyDescent="0.25">
      <c r="A279" s="16" t="s">
        <v>787</v>
      </c>
      <c r="B279" s="16" t="str">
        <f t="shared" si="6"/>
        <v>00021865984KOV0</v>
      </c>
      <c r="C279" s="17" t="s">
        <v>585</v>
      </c>
      <c r="E279" s="17">
        <v>20411454</v>
      </c>
      <c r="F279" s="17" t="s">
        <v>962</v>
      </c>
      <c r="G279" s="17" t="s">
        <v>250</v>
      </c>
      <c r="H279" s="17" t="s">
        <v>54</v>
      </c>
      <c r="I279" s="18">
        <v>45474</v>
      </c>
      <c r="J279" s="18">
        <v>45792</v>
      </c>
      <c r="K279" s="17">
        <v>1</v>
      </c>
      <c r="L279" s="19">
        <v>1</v>
      </c>
      <c r="M279" s="19">
        <v>1</v>
      </c>
      <c r="O279" s="20">
        <v>1</v>
      </c>
      <c r="P279" s="17">
        <v>9</v>
      </c>
      <c r="Q279" s="17" t="s">
        <v>473</v>
      </c>
      <c r="R279" s="17" t="s">
        <v>936</v>
      </c>
    </row>
    <row r="280" spans="1:18" x14ac:dyDescent="0.25">
      <c r="A280" s="16">
        <v>102037067200</v>
      </c>
      <c r="B280" s="16" t="str">
        <f t="shared" si="6"/>
        <v>1020370672000</v>
      </c>
      <c r="C280" s="17" t="s">
        <v>404</v>
      </c>
      <c r="D280" s="17" t="s">
        <v>89</v>
      </c>
      <c r="E280" s="17">
        <v>20411454</v>
      </c>
      <c r="F280" s="17" t="s">
        <v>962</v>
      </c>
      <c r="G280" s="17" t="s">
        <v>45</v>
      </c>
      <c r="H280" s="17" t="s">
        <v>162</v>
      </c>
      <c r="I280" s="18">
        <v>45566</v>
      </c>
      <c r="J280" s="18">
        <v>45792</v>
      </c>
      <c r="K280" s="17">
        <v>1</v>
      </c>
      <c r="L280" s="19">
        <v>1</v>
      </c>
      <c r="M280" s="19">
        <v>1</v>
      </c>
      <c r="O280" s="20">
        <v>1</v>
      </c>
      <c r="P280" s="17">
        <v>2</v>
      </c>
      <c r="Q280" s="17" t="s">
        <v>288</v>
      </c>
      <c r="R280" s="17" t="s">
        <v>933</v>
      </c>
    </row>
    <row r="281" spans="1:18" x14ac:dyDescent="0.25">
      <c r="A281" s="16">
        <v>102038784900</v>
      </c>
      <c r="B281" s="16" t="str">
        <f t="shared" si="6"/>
        <v>1020387849000</v>
      </c>
      <c r="C281" s="17" t="s">
        <v>398</v>
      </c>
      <c r="D281" s="17" t="s">
        <v>93</v>
      </c>
      <c r="E281" s="17">
        <v>20411454</v>
      </c>
      <c r="F281" s="17" t="s">
        <v>962</v>
      </c>
      <c r="G281" s="17" t="s">
        <v>45</v>
      </c>
      <c r="H281" s="17" t="s">
        <v>162</v>
      </c>
      <c r="I281" s="18">
        <v>45566</v>
      </c>
      <c r="J281" s="18">
        <v>45792</v>
      </c>
      <c r="K281" s="17">
        <v>1</v>
      </c>
      <c r="L281" s="19">
        <v>1</v>
      </c>
      <c r="M281" s="19">
        <v>1</v>
      </c>
      <c r="O281" s="20">
        <v>1</v>
      </c>
      <c r="P281" s="17">
        <v>2</v>
      </c>
      <c r="Q281" s="17" t="s">
        <v>288</v>
      </c>
      <c r="R281" s="17" t="s">
        <v>933</v>
      </c>
    </row>
    <row r="282" spans="1:18" x14ac:dyDescent="0.25">
      <c r="A282" s="16" t="s">
        <v>632</v>
      </c>
      <c r="B282" s="16" t="str">
        <f t="shared" si="6"/>
        <v>00023222045K0</v>
      </c>
      <c r="C282" s="17" t="s">
        <v>67</v>
      </c>
      <c r="D282" s="17" t="s">
        <v>43</v>
      </c>
      <c r="E282" s="17">
        <v>20411454</v>
      </c>
      <c r="F282" s="17" t="s">
        <v>962</v>
      </c>
      <c r="G282" s="17" t="s">
        <v>45</v>
      </c>
      <c r="H282" s="17" t="s">
        <v>54</v>
      </c>
      <c r="I282" s="18">
        <v>45748</v>
      </c>
      <c r="L282" s="19">
        <v>0</v>
      </c>
      <c r="M282" s="19">
        <v>175</v>
      </c>
      <c r="N282" s="17">
        <v>1</v>
      </c>
      <c r="O282" s="20">
        <v>1</v>
      </c>
      <c r="P282" s="17">
        <v>175</v>
      </c>
      <c r="R282" s="17" t="s">
        <v>936</v>
      </c>
    </row>
    <row r="283" spans="1:18" x14ac:dyDescent="0.25">
      <c r="A283" s="16" t="s">
        <v>726</v>
      </c>
      <c r="B283" s="16" t="str">
        <f t="shared" si="6"/>
        <v>101540239900CB0</v>
      </c>
      <c r="C283" s="17" t="s">
        <v>180</v>
      </c>
      <c r="D283" s="17" t="s">
        <v>93</v>
      </c>
      <c r="E283" s="17">
        <v>20411454</v>
      </c>
      <c r="F283" s="17" t="s">
        <v>962</v>
      </c>
      <c r="G283" s="17" t="s">
        <v>148</v>
      </c>
      <c r="H283" s="17" t="s">
        <v>162</v>
      </c>
      <c r="I283" s="18">
        <v>45658</v>
      </c>
      <c r="L283" s="19">
        <v>0</v>
      </c>
      <c r="M283" s="17">
        <v>-50</v>
      </c>
      <c r="N283" s="17">
        <v>1</v>
      </c>
      <c r="O283" s="20">
        <v>1</v>
      </c>
      <c r="P283" s="17">
        <v>-50</v>
      </c>
      <c r="R283" s="17" t="s">
        <v>933</v>
      </c>
    </row>
    <row r="284" spans="1:18" x14ac:dyDescent="0.25">
      <c r="A284" s="16" t="s">
        <v>893</v>
      </c>
      <c r="B284" s="16" t="str">
        <f t="shared" si="6"/>
        <v>00022386017K0</v>
      </c>
      <c r="C284" s="17" t="s">
        <v>491</v>
      </c>
      <c r="D284" s="17" t="s">
        <v>43</v>
      </c>
      <c r="E284" s="17">
        <v>20411454</v>
      </c>
      <c r="F284" s="17" t="s">
        <v>962</v>
      </c>
      <c r="G284" s="17" t="s">
        <v>45</v>
      </c>
      <c r="H284" s="17" t="s">
        <v>54</v>
      </c>
      <c r="I284" s="18">
        <v>45597</v>
      </c>
      <c r="J284" s="18">
        <v>45792</v>
      </c>
      <c r="K284" s="17">
        <v>1</v>
      </c>
      <c r="L284" s="19">
        <v>1</v>
      </c>
      <c r="M284" s="19">
        <v>1</v>
      </c>
      <c r="O284" s="20">
        <v>1</v>
      </c>
      <c r="P284" s="17">
        <v>9</v>
      </c>
      <c r="Q284" s="17" t="s">
        <v>473</v>
      </c>
      <c r="R284" s="17" t="s">
        <v>936</v>
      </c>
    </row>
    <row r="285" spans="1:18" x14ac:dyDescent="0.25">
      <c r="A285" s="16" t="s">
        <v>824</v>
      </c>
      <c r="B285" s="16" t="str">
        <f t="shared" si="6"/>
        <v>00022004915KOV0</v>
      </c>
      <c r="C285" s="17" t="s">
        <v>551</v>
      </c>
      <c r="D285" s="17" t="s">
        <v>43</v>
      </c>
      <c r="E285" s="17">
        <v>20411454</v>
      </c>
      <c r="F285" s="17" t="s">
        <v>962</v>
      </c>
      <c r="G285" s="17" t="s">
        <v>45</v>
      </c>
      <c r="H285" s="17" t="s">
        <v>54</v>
      </c>
      <c r="I285" s="18">
        <v>45536</v>
      </c>
      <c r="J285" s="18">
        <v>45792</v>
      </c>
      <c r="K285" s="17">
        <v>1</v>
      </c>
      <c r="L285" s="19">
        <v>1</v>
      </c>
      <c r="M285" s="19">
        <v>1</v>
      </c>
      <c r="O285" s="20">
        <v>1</v>
      </c>
      <c r="P285" s="17">
        <v>9</v>
      </c>
      <c r="Q285" s="17" t="s">
        <v>473</v>
      </c>
      <c r="R285" s="17" t="s">
        <v>936</v>
      </c>
    </row>
    <row r="286" spans="1:18" x14ac:dyDescent="0.25">
      <c r="A286" s="16">
        <v>102051423100</v>
      </c>
      <c r="B286" s="16" t="str">
        <f t="shared" si="6"/>
        <v>1020514231000</v>
      </c>
      <c r="C286" s="17" t="s">
        <v>366</v>
      </c>
      <c r="D286" s="17" t="s">
        <v>133</v>
      </c>
      <c r="E286" s="17">
        <v>20411454</v>
      </c>
      <c r="F286" s="17" t="s">
        <v>962</v>
      </c>
      <c r="G286" s="17" t="s">
        <v>45</v>
      </c>
      <c r="H286" s="17" t="s">
        <v>162</v>
      </c>
      <c r="I286" s="18">
        <v>45536</v>
      </c>
      <c r="J286" s="18">
        <v>45792</v>
      </c>
      <c r="K286" s="17">
        <v>1</v>
      </c>
      <c r="L286" s="19">
        <v>1</v>
      </c>
      <c r="M286" s="19">
        <v>1</v>
      </c>
      <c r="O286" s="20">
        <v>1</v>
      </c>
      <c r="P286" s="17">
        <v>2</v>
      </c>
      <c r="Q286" s="17" t="s">
        <v>288</v>
      </c>
      <c r="R286" s="17" t="s">
        <v>933</v>
      </c>
    </row>
    <row r="287" spans="1:18" x14ac:dyDescent="0.25">
      <c r="A287" s="16" t="s">
        <v>914</v>
      </c>
      <c r="B287" s="16" t="str">
        <f t="shared" si="6"/>
        <v>130524428OV0</v>
      </c>
      <c r="C287" s="17" t="s">
        <v>284</v>
      </c>
      <c r="D287" s="17" t="s">
        <v>112</v>
      </c>
      <c r="E287" s="17">
        <v>20411454</v>
      </c>
      <c r="F287" s="17" t="s">
        <v>962</v>
      </c>
      <c r="G287" s="17" t="s">
        <v>45</v>
      </c>
      <c r="H287" s="17" t="s">
        <v>169</v>
      </c>
      <c r="I287" s="18">
        <v>45505</v>
      </c>
      <c r="J287" s="18">
        <v>45792</v>
      </c>
      <c r="K287" s="17">
        <v>1</v>
      </c>
      <c r="L287" s="19">
        <v>1</v>
      </c>
      <c r="M287" s="19">
        <v>1</v>
      </c>
      <c r="O287" s="20">
        <v>1</v>
      </c>
      <c r="P287" s="17">
        <v>6</v>
      </c>
      <c r="Q287" s="17" t="s">
        <v>248</v>
      </c>
      <c r="R287" s="17" t="s">
        <v>946</v>
      </c>
    </row>
    <row r="288" spans="1:18" x14ac:dyDescent="0.25">
      <c r="A288" s="16" t="s">
        <v>676</v>
      </c>
      <c r="B288" s="16" t="str">
        <f t="shared" si="6"/>
        <v>901684397OVCB0</v>
      </c>
      <c r="C288" s="17" t="s">
        <v>165</v>
      </c>
      <c r="D288" s="17" t="s">
        <v>128</v>
      </c>
      <c r="E288" s="17">
        <v>20411454</v>
      </c>
      <c r="F288" s="17" t="s">
        <v>962</v>
      </c>
      <c r="G288" s="17" t="s">
        <v>148</v>
      </c>
      <c r="H288" s="17" t="s">
        <v>124</v>
      </c>
      <c r="I288" s="18">
        <v>45658</v>
      </c>
      <c r="L288" s="19">
        <v>0</v>
      </c>
      <c r="M288" s="17">
        <v>-175</v>
      </c>
      <c r="N288" s="17">
        <v>1</v>
      </c>
      <c r="O288" s="20">
        <v>1</v>
      </c>
      <c r="P288" s="17">
        <v>-175</v>
      </c>
      <c r="R288" s="17" t="s">
        <v>946</v>
      </c>
    </row>
    <row r="289" spans="1:18" x14ac:dyDescent="0.25">
      <c r="A289" s="16">
        <v>102038194700</v>
      </c>
      <c r="B289" s="16" t="str">
        <f t="shared" si="6"/>
        <v>1020381947000</v>
      </c>
      <c r="C289" s="17" t="s">
        <v>399</v>
      </c>
      <c r="D289" s="17" t="s">
        <v>281</v>
      </c>
      <c r="E289" s="17">
        <v>20411454</v>
      </c>
      <c r="F289" s="17" t="s">
        <v>962</v>
      </c>
      <c r="G289" s="17" t="s">
        <v>45</v>
      </c>
      <c r="H289" s="17" t="s">
        <v>162</v>
      </c>
      <c r="I289" s="18">
        <v>45505</v>
      </c>
      <c r="J289" s="18">
        <v>45792</v>
      </c>
      <c r="K289" s="17">
        <v>1</v>
      </c>
      <c r="L289" s="19">
        <v>1</v>
      </c>
      <c r="M289" s="19">
        <v>1</v>
      </c>
      <c r="O289" s="20">
        <v>1</v>
      </c>
      <c r="P289" s="17">
        <v>2</v>
      </c>
      <c r="Q289" s="17" t="s">
        <v>288</v>
      </c>
      <c r="R289" s="17" t="s">
        <v>933</v>
      </c>
    </row>
    <row r="290" spans="1:18" x14ac:dyDescent="0.25">
      <c r="A290" s="16" t="s">
        <v>821</v>
      </c>
      <c r="B290" s="16" t="str">
        <f t="shared" si="6"/>
        <v>00021996169K0</v>
      </c>
      <c r="C290" s="17" t="s">
        <v>553</v>
      </c>
      <c r="D290" s="17" t="s">
        <v>43</v>
      </c>
      <c r="E290" s="17">
        <v>20411454</v>
      </c>
      <c r="F290" s="17" t="s">
        <v>962</v>
      </c>
      <c r="G290" s="17" t="s">
        <v>250</v>
      </c>
      <c r="H290" s="17" t="s">
        <v>54</v>
      </c>
      <c r="I290" s="18">
        <v>45536</v>
      </c>
      <c r="J290" s="18">
        <v>45792</v>
      </c>
      <c r="K290" s="17">
        <v>1</v>
      </c>
      <c r="L290" s="19">
        <v>1</v>
      </c>
      <c r="M290" s="19">
        <v>1</v>
      </c>
      <c r="O290" s="20">
        <v>1</v>
      </c>
      <c r="P290" s="17">
        <v>9</v>
      </c>
      <c r="Q290" s="17" t="s">
        <v>473</v>
      </c>
      <c r="R290" s="17" t="s">
        <v>936</v>
      </c>
    </row>
    <row r="291" spans="1:18" x14ac:dyDescent="0.25">
      <c r="A291" s="16">
        <v>102041647300</v>
      </c>
      <c r="B291" s="16" t="str">
        <f t="shared" si="6"/>
        <v>1020416473000</v>
      </c>
      <c r="C291" s="17" t="s">
        <v>395</v>
      </c>
      <c r="D291" s="17" t="s">
        <v>394</v>
      </c>
      <c r="E291" s="17">
        <v>20411454</v>
      </c>
      <c r="F291" s="17" t="s">
        <v>962</v>
      </c>
      <c r="G291" s="17" t="s">
        <v>45</v>
      </c>
      <c r="H291" s="17" t="s">
        <v>162</v>
      </c>
      <c r="I291" s="18">
        <v>45505</v>
      </c>
      <c r="J291" s="18">
        <v>45792</v>
      </c>
      <c r="K291" s="17">
        <v>1</v>
      </c>
      <c r="L291" s="19">
        <v>1</v>
      </c>
      <c r="M291" s="19">
        <v>1</v>
      </c>
      <c r="O291" s="20">
        <v>1</v>
      </c>
      <c r="P291" s="17">
        <v>2</v>
      </c>
      <c r="Q291" s="17" t="s">
        <v>288</v>
      </c>
      <c r="R291" s="17" t="s">
        <v>933</v>
      </c>
    </row>
    <row r="292" spans="1:18" x14ac:dyDescent="0.25">
      <c r="A292" s="16" t="s">
        <v>917</v>
      </c>
      <c r="B292" s="16" t="str">
        <f t="shared" si="6"/>
        <v>357W152370</v>
      </c>
      <c r="C292" s="17" t="s">
        <v>279</v>
      </c>
      <c r="D292" s="17" t="s">
        <v>43</v>
      </c>
      <c r="E292" s="17">
        <v>20411454</v>
      </c>
      <c r="F292" s="17" t="s">
        <v>962</v>
      </c>
      <c r="G292" s="17" t="s">
        <v>45</v>
      </c>
      <c r="H292" s="17" t="s">
        <v>278</v>
      </c>
      <c r="I292" s="18">
        <v>45658</v>
      </c>
      <c r="J292" s="18">
        <v>47939</v>
      </c>
      <c r="K292" s="17">
        <v>1</v>
      </c>
      <c r="L292" s="19">
        <v>1</v>
      </c>
      <c r="M292" s="19">
        <v>1</v>
      </c>
      <c r="O292" s="20">
        <v>1</v>
      </c>
      <c r="P292" s="17">
        <v>7</v>
      </c>
      <c r="Q292" s="17" t="s">
        <v>270</v>
      </c>
      <c r="R292" s="17" t="s">
        <v>934</v>
      </c>
    </row>
    <row r="293" spans="1:18" x14ac:dyDescent="0.25">
      <c r="A293" s="16">
        <v>102160129600</v>
      </c>
      <c r="B293" s="16" t="str">
        <f t="shared" si="6"/>
        <v>1021601296000</v>
      </c>
      <c r="C293" s="17" t="s">
        <v>120</v>
      </c>
      <c r="D293" s="17" t="s">
        <v>89</v>
      </c>
      <c r="E293" s="17">
        <v>20411454</v>
      </c>
      <c r="F293" s="17" t="s">
        <v>962</v>
      </c>
      <c r="G293" s="17" t="s">
        <v>45</v>
      </c>
      <c r="H293" s="17" t="s">
        <v>95</v>
      </c>
      <c r="I293" s="18">
        <v>45748</v>
      </c>
      <c r="L293" s="19">
        <v>0</v>
      </c>
      <c r="M293" s="19">
        <v>37.5</v>
      </c>
      <c r="N293" s="17">
        <v>1</v>
      </c>
      <c r="O293" s="20">
        <v>1</v>
      </c>
      <c r="P293" s="17">
        <v>37.5</v>
      </c>
      <c r="Q293" s="17" t="s">
        <v>91</v>
      </c>
      <c r="R293" s="17" t="s">
        <v>933</v>
      </c>
    </row>
    <row r="294" spans="1:18" x14ac:dyDescent="0.25">
      <c r="A294" s="16" t="s">
        <v>750</v>
      </c>
      <c r="B294" s="16" t="str">
        <f t="shared" si="6"/>
        <v>00011519472K0</v>
      </c>
      <c r="C294" s="17" t="s">
        <v>614</v>
      </c>
      <c r="D294" s="17" t="s">
        <v>43</v>
      </c>
      <c r="E294" s="17">
        <v>20411454</v>
      </c>
      <c r="F294" s="17" t="s">
        <v>962</v>
      </c>
      <c r="G294" s="17" t="s">
        <v>45</v>
      </c>
      <c r="H294" s="17" t="s">
        <v>54</v>
      </c>
      <c r="I294" s="18">
        <v>45597</v>
      </c>
      <c r="J294" s="18">
        <v>45792</v>
      </c>
      <c r="K294" s="17">
        <v>1</v>
      </c>
      <c r="L294" s="19">
        <v>1</v>
      </c>
      <c r="M294" s="19">
        <v>1</v>
      </c>
      <c r="O294" s="20">
        <v>1</v>
      </c>
      <c r="P294" s="17">
        <v>9</v>
      </c>
      <c r="Q294" s="17" t="s">
        <v>473</v>
      </c>
      <c r="R294" s="17" t="s">
        <v>936</v>
      </c>
    </row>
    <row r="295" spans="1:18" x14ac:dyDescent="0.25">
      <c r="A295" s="16">
        <v>102070306300</v>
      </c>
      <c r="B295" s="16" t="str">
        <f t="shared" si="6"/>
        <v>1020703063000</v>
      </c>
      <c r="C295" s="17" t="s">
        <v>312</v>
      </c>
      <c r="D295" s="17" t="s">
        <v>133</v>
      </c>
      <c r="E295" s="17">
        <v>20411454</v>
      </c>
      <c r="F295" s="17" t="s">
        <v>962</v>
      </c>
      <c r="G295" s="17" t="s">
        <v>45</v>
      </c>
      <c r="H295" s="17" t="s">
        <v>95</v>
      </c>
      <c r="I295" s="18">
        <v>45597</v>
      </c>
      <c r="J295" s="18">
        <v>45792</v>
      </c>
      <c r="K295" s="17">
        <v>1</v>
      </c>
      <c r="L295" s="19">
        <v>1</v>
      </c>
      <c r="M295" s="19">
        <v>1</v>
      </c>
      <c r="O295" s="20">
        <v>1</v>
      </c>
      <c r="P295" s="17">
        <v>2</v>
      </c>
      <c r="Q295" s="17" t="s">
        <v>288</v>
      </c>
      <c r="R295" s="17" t="s">
        <v>933</v>
      </c>
    </row>
    <row r="296" spans="1:18" x14ac:dyDescent="0.25">
      <c r="A296" s="16">
        <v>102065679900</v>
      </c>
      <c r="B296" s="16" t="str">
        <f t="shared" si="6"/>
        <v>1020656799000</v>
      </c>
      <c r="C296" s="17" t="s">
        <v>324</v>
      </c>
      <c r="D296" s="17" t="s">
        <v>323</v>
      </c>
      <c r="E296" s="17">
        <v>20411454</v>
      </c>
      <c r="F296" s="17" t="s">
        <v>962</v>
      </c>
      <c r="G296" s="17" t="s">
        <v>250</v>
      </c>
      <c r="H296" s="17" t="s">
        <v>162</v>
      </c>
      <c r="I296" s="18">
        <v>45658</v>
      </c>
      <c r="J296" s="18">
        <v>45792</v>
      </c>
      <c r="K296" s="17">
        <v>1</v>
      </c>
      <c r="L296" s="19">
        <v>1</v>
      </c>
      <c r="M296" s="19">
        <v>1</v>
      </c>
      <c r="O296" s="20">
        <v>1</v>
      </c>
      <c r="P296" s="17">
        <v>2</v>
      </c>
      <c r="Q296" s="17" t="s">
        <v>288</v>
      </c>
      <c r="R296" s="17" t="s">
        <v>933</v>
      </c>
    </row>
    <row r="297" spans="1:18" x14ac:dyDescent="0.25">
      <c r="A297" s="16">
        <v>102027923000</v>
      </c>
      <c r="B297" s="16" t="str">
        <f t="shared" si="6"/>
        <v>1020279230000</v>
      </c>
      <c r="C297" s="17" t="s">
        <v>426</v>
      </c>
      <c r="D297" s="17" t="s">
        <v>89</v>
      </c>
      <c r="E297" s="17">
        <v>20411454</v>
      </c>
      <c r="F297" s="17" t="s">
        <v>962</v>
      </c>
      <c r="G297" s="17" t="s">
        <v>45</v>
      </c>
      <c r="H297" s="17" t="s">
        <v>162</v>
      </c>
      <c r="I297" s="18">
        <v>45474</v>
      </c>
      <c r="J297" s="18">
        <v>45792</v>
      </c>
      <c r="K297" s="17">
        <v>1</v>
      </c>
      <c r="L297" s="19">
        <v>1</v>
      </c>
      <c r="M297" s="19">
        <v>1</v>
      </c>
      <c r="O297" s="20">
        <v>1</v>
      </c>
      <c r="P297" s="17">
        <v>2</v>
      </c>
      <c r="Q297" s="17" t="s">
        <v>288</v>
      </c>
      <c r="R297" s="17" t="s">
        <v>933</v>
      </c>
    </row>
    <row r="298" spans="1:18" x14ac:dyDescent="0.25">
      <c r="A298" s="16" t="s">
        <v>919</v>
      </c>
      <c r="B298" s="16" t="str">
        <f t="shared" si="6"/>
        <v>906051412OV0</v>
      </c>
      <c r="C298" s="17" t="s">
        <v>276</v>
      </c>
      <c r="D298" s="17" t="s">
        <v>89</v>
      </c>
      <c r="E298" s="17">
        <v>20411454</v>
      </c>
      <c r="F298" s="17" t="s">
        <v>962</v>
      </c>
      <c r="G298" s="17" t="s">
        <v>45</v>
      </c>
      <c r="H298" s="17" t="s">
        <v>124</v>
      </c>
      <c r="I298" s="18">
        <v>45566</v>
      </c>
      <c r="J298" s="18">
        <v>45792</v>
      </c>
      <c r="K298" s="17">
        <v>1</v>
      </c>
      <c r="L298" s="19">
        <v>1</v>
      </c>
      <c r="M298" s="19">
        <v>1</v>
      </c>
      <c r="O298" s="20">
        <v>1</v>
      </c>
      <c r="P298" s="17">
        <v>6</v>
      </c>
      <c r="Q298" s="17" t="s">
        <v>248</v>
      </c>
      <c r="R298" s="17" t="s">
        <v>946</v>
      </c>
    </row>
    <row r="299" spans="1:18" x14ac:dyDescent="0.25">
      <c r="A299" s="16" t="s">
        <v>807</v>
      </c>
      <c r="B299" s="16" t="str">
        <f t="shared" si="6"/>
        <v>00021918216K0</v>
      </c>
      <c r="C299" s="17" t="s">
        <v>567</v>
      </c>
      <c r="D299" s="17" t="s">
        <v>43</v>
      </c>
      <c r="E299" s="17">
        <v>20411454</v>
      </c>
      <c r="F299" s="17" t="s">
        <v>962</v>
      </c>
      <c r="G299" s="17" t="s">
        <v>250</v>
      </c>
      <c r="H299" s="17" t="s">
        <v>54</v>
      </c>
      <c r="I299" s="18">
        <v>45505</v>
      </c>
      <c r="J299" s="18">
        <v>45792</v>
      </c>
      <c r="K299" s="17">
        <v>1</v>
      </c>
      <c r="L299" s="19">
        <v>1</v>
      </c>
      <c r="M299" s="19">
        <v>1</v>
      </c>
      <c r="O299" s="20">
        <v>1</v>
      </c>
      <c r="P299" s="17">
        <v>9</v>
      </c>
      <c r="Q299" s="17" t="s">
        <v>473</v>
      </c>
      <c r="R299" s="17" t="s">
        <v>936</v>
      </c>
    </row>
    <row r="300" spans="1:18" x14ac:dyDescent="0.25">
      <c r="A300" s="16" t="s">
        <v>757</v>
      </c>
      <c r="B300" s="16" t="str">
        <f t="shared" si="6"/>
        <v>00020195670K0</v>
      </c>
      <c r="C300" s="17" t="s">
        <v>608</v>
      </c>
      <c r="D300" s="17" t="s">
        <v>43</v>
      </c>
      <c r="E300" s="17">
        <v>20411454</v>
      </c>
      <c r="F300" s="17" t="s">
        <v>962</v>
      </c>
      <c r="G300" s="17" t="s">
        <v>45</v>
      </c>
      <c r="H300" s="17" t="s">
        <v>54</v>
      </c>
      <c r="I300" s="18">
        <v>45566</v>
      </c>
      <c r="J300" s="18">
        <v>45792</v>
      </c>
      <c r="K300" s="17">
        <v>1</v>
      </c>
      <c r="L300" s="19">
        <v>1</v>
      </c>
      <c r="M300" s="19">
        <v>1</v>
      </c>
      <c r="O300" s="20">
        <v>1</v>
      </c>
      <c r="P300" s="17">
        <v>9</v>
      </c>
      <c r="Q300" s="17" t="s">
        <v>473</v>
      </c>
      <c r="R300" s="17" t="s">
        <v>936</v>
      </c>
    </row>
    <row r="301" spans="1:18" x14ac:dyDescent="0.25">
      <c r="A301" s="16">
        <v>101853428500</v>
      </c>
      <c r="B301" s="16" t="str">
        <f t="shared" si="6"/>
        <v>1018534285000</v>
      </c>
      <c r="C301" s="17" t="s">
        <v>104</v>
      </c>
      <c r="D301" s="17" t="s">
        <v>43</v>
      </c>
      <c r="E301" s="17">
        <v>20411454</v>
      </c>
      <c r="F301" s="17" t="s">
        <v>962</v>
      </c>
      <c r="G301" s="17" t="s">
        <v>45</v>
      </c>
      <c r="H301" s="17" t="s">
        <v>95</v>
      </c>
      <c r="I301" s="18">
        <v>45748</v>
      </c>
      <c r="L301" s="19">
        <v>0</v>
      </c>
      <c r="M301" s="19">
        <v>37.5</v>
      </c>
      <c r="N301" s="17">
        <v>1</v>
      </c>
      <c r="O301" s="20">
        <v>1</v>
      </c>
      <c r="P301" s="17">
        <v>37.5</v>
      </c>
      <c r="Q301" s="17" t="s">
        <v>91</v>
      </c>
      <c r="R301" s="17" t="s">
        <v>933</v>
      </c>
    </row>
    <row r="302" spans="1:18" x14ac:dyDescent="0.25">
      <c r="A302" s="16" t="s">
        <v>790</v>
      </c>
      <c r="B302" s="16" t="str">
        <f t="shared" si="6"/>
        <v>00021878864K0</v>
      </c>
      <c r="C302" s="17" t="s">
        <v>582</v>
      </c>
      <c r="D302" s="17" t="s">
        <v>43</v>
      </c>
      <c r="E302" s="17">
        <v>20411454</v>
      </c>
      <c r="F302" s="17" t="s">
        <v>962</v>
      </c>
      <c r="G302" s="17" t="s">
        <v>250</v>
      </c>
      <c r="H302" s="17" t="s">
        <v>54</v>
      </c>
      <c r="I302" s="18">
        <v>45474</v>
      </c>
      <c r="J302" s="18">
        <v>45792</v>
      </c>
      <c r="K302" s="17">
        <v>1</v>
      </c>
      <c r="L302" s="19">
        <v>1</v>
      </c>
      <c r="M302" s="19">
        <v>1</v>
      </c>
      <c r="O302" s="20">
        <v>1</v>
      </c>
      <c r="P302" s="17">
        <v>9</v>
      </c>
      <c r="Q302" s="17" t="s">
        <v>473</v>
      </c>
      <c r="R302" s="17" t="s">
        <v>936</v>
      </c>
    </row>
    <row r="303" spans="1:18" x14ac:dyDescent="0.25">
      <c r="A303" s="16" t="s">
        <v>637</v>
      </c>
      <c r="B303" s="16" t="str">
        <f t="shared" si="6"/>
        <v>00023224844K0</v>
      </c>
      <c r="C303" s="17" t="s">
        <v>76</v>
      </c>
      <c r="D303" s="17" t="s">
        <v>43</v>
      </c>
      <c r="E303" s="17">
        <v>20411454</v>
      </c>
      <c r="F303" s="17" t="s">
        <v>962</v>
      </c>
      <c r="G303" s="17" t="s">
        <v>45</v>
      </c>
      <c r="H303" s="17" t="s">
        <v>54</v>
      </c>
      <c r="I303" s="18">
        <v>45748</v>
      </c>
      <c r="L303" s="19">
        <v>0</v>
      </c>
      <c r="M303" s="19">
        <v>175</v>
      </c>
      <c r="N303" s="17">
        <v>1</v>
      </c>
      <c r="O303" s="20">
        <v>1</v>
      </c>
      <c r="P303" s="17">
        <v>175</v>
      </c>
      <c r="R303" s="17" t="s">
        <v>936</v>
      </c>
    </row>
    <row r="304" spans="1:18" x14ac:dyDescent="0.25">
      <c r="A304" s="16">
        <v>102015648800</v>
      </c>
      <c r="B304" s="16" t="str">
        <f t="shared" si="6"/>
        <v>1020156488000</v>
      </c>
      <c r="C304" s="17" t="s">
        <v>446</v>
      </c>
      <c r="D304" s="17" t="s">
        <v>93</v>
      </c>
      <c r="E304" s="17">
        <v>20411454</v>
      </c>
      <c r="F304" s="17" t="s">
        <v>962</v>
      </c>
      <c r="G304" s="17" t="s">
        <v>45</v>
      </c>
      <c r="H304" s="17" t="s">
        <v>162</v>
      </c>
      <c r="I304" s="18">
        <v>45474</v>
      </c>
      <c r="J304" s="18">
        <v>45792</v>
      </c>
      <c r="K304" s="17">
        <v>1</v>
      </c>
      <c r="L304" s="19">
        <v>1</v>
      </c>
      <c r="M304" s="19">
        <v>1</v>
      </c>
      <c r="O304" s="20">
        <v>1</v>
      </c>
      <c r="P304" s="17">
        <v>2</v>
      </c>
      <c r="Q304" s="17" t="s">
        <v>288</v>
      </c>
      <c r="R304" s="17" t="s">
        <v>933</v>
      </c>
    </row>
    <row r="305" spans="1:18" x14ac:dyDescent="0.25">
      <c r="A305" s="16" t="s">
        <v>671</v>
      </c>
      <c r="B305" s="16" t="str">
        <f t="shared" si="6"/>
        <v>00023140342KPC0</v>
      </c>
      <c r="C305" s="17" t="s">
        <v>157</v>
      </c>
      <c r="D305" s="17" t="s">
        <v>43</v>
      </c>
      <c r="E305" s="17">
        <v>20411454</v>
      </c>
      <c r="F305" s="17" t="s">
        <v>962</v>
      </c>
      <c r="G305" s="17" t="s">
        <v>148</v>
      </c>
      <c r="H305" s="17" t="s">
        <v>54</v>
      </c>
      <c r="I305" s="18">
        <v>45717</v>
      </c>
      <c r="L305" s="19">
        <v>0</v>
      </c>
      <c r="M305" s="17">
        <v>-131.25</v>
      </c>
      <c r="N305" s="17">
        <v>1</v>
      </c>
      <c r="O305" s="20">
        <v>1</v>
      </c>
      <c r="P305" s="17">
        <v>-131.25</v>
      </c>
      <c r="R305" s="17" t="s">
        <v>936</v>
      </c>
    </row>
    <row r="306" spans="1:18" x14ac:dyDescent="0.25">
      <c r="A306" s="16" t="s">
        <v>913</v>
      </c>
      <c r="B306" s="16" t="str">
        <f t="shared" si="6"/>
        <v>130273314OV0</v>
      </c>
      <c r="C306" s="17" t="s">
        <v>285</v>
      </c>
      <c r="D306" s="17" t="s">
        <v>112</v>
      </c>
      <c r="E306" s="17">
        <v>20411454</v>
      </c>
      <c r="F306" s="17" t="s">
        <v>962</v>
      </c>
      <c r="G306" s="17" t="s">
        <v>45</v>
      </c>
      <c r="H306" s="17" t="s">
        <v>124</v>
      </c>
      <c r="I306" s="18">
        <v>45474</v>
      </c>
      <c r="J306" s="18">
        <v>45792</v>
      </c>
      <c r="K306" s="17">
        <v>1</v>
      </c>
      <c r="L306" s="19">
        <v>1</v>
      </c>
      <c r="M306" s="19">
        <v>1</v>
      </c>
      <c r="O306" s="20">
        <v>1</v>
      </c>
      <c r="P306" s="17">
        <v>6</v>
      </c>
      <c r="Q306" s="17" t="s">
        <v>248</v>
      </c>
      <c r="R306" s="17" t="s">
        <v>946</v>
      </c>
    </row>
    <row r="307" spans="1:18" x14ac:dyDescent="0.25">
      <c r="A307" s="16" t="s">
        <v>834</v>
      </c>
      <c r="B307" s="16" t="str">
        <f t="shared" si="6"/>
        <v>00022031158KOV0</v>
      </c>
      <c r="C307" s="17" t="s">
        <v>543</v>
      </c>
      <c r="D307" s="17" t="s">
        <v>43</v>
      </c>
      <c r="E307" s="17">
        <v>20411454</v>
      </c>
      <c r="F307" s="17" t="s">
        <v>962</v>
      </c>
      <c r="G307" s="17" t="s">
        <v>45</v>
      </c>
      <c r="H307" s="17" t="s">
        <v>54</v>
      </c>
      <c r="I307" s="18">
        <v>45566</v>
      </c>
      <c r="J307" s="18">
        <v>45792</v>
      </c>
      <c r="K307" s="17">
        <v>1</v>
      </c>
      <c r="L307" s="19">
        <v>1</v>
      </c>
      <c r="M307" s="19">
        <v>1</v>
      </c>
      <c r="O307" s="20">
        <v>1</v>
      </c>
      <c r="P307" s="17">
        <v>9</v>
      </c>
      <c r="Q307" s="17" t="s">
        <v>473</v>
      </c>
      <c r="R307" s="17" t="s">
        <v>936</v>
      </c>
    </row>
    <row r="308" spans="1:18" x14ac:dyDescent="0.25">
      <c r="A308" s="16">
        <v>102008188300</v>
      </c>
      <c r="B308" s="16" t="str">
        <f t="shared" si="6"/>
        <v>1020081883000</v>
      </c>
      <c r="C308" s="17" t="s">
        <v>456</v>
      </c>
      <c r="D308" s="17" t="s">
        <v>281</v>
      </c>
      <c r="E308" s="17">
        <v>20411454</v>
      </c>
      <c r="F308" s="17" t="s">
        <v>962</v>
      </c>
      <c r="G308" s="17" t="s">
        <v>45</v>
      </c>
      <c r="H308" s="17" t="s">
        <v>162</v>
      </c>
      <c r="I308" s="18">
        <v>45444</v>
      </c>
      <c r="J308" s="18">
        <v>45792</v>
      </c>
      <c r="K308" s="17">
        <v>1</v>
      </c>
      <c r="L308" s="19">
        <v>1</v>
      </c>
      <c r="M308" s="19">
        <v>1</v>
      </c>
      <c r="O308" s="20">
        <v>1</v>
      </c>
      <c r="P308" s="17">
        <v>2</v>
      </c>
      <c r="Q308" s="17" t="s">
        <v>288</v>
      </c>
      <c r="R308" s="17" t="s">
        <v>933</v>
      </c>
    </row>
    <row r="309" spans="1:18" x14ac:dyDescent="0.25">
      <c r="A309" s="16">
        <v>102050160600</v>
      </c>
      <c r="B309" s="16" t="str">
        <f t="shared" si="6"/>
        <v>1020501606000</v>
      </c>
      <c r="C309" s="17" t="s">
        <v>371</v>
      </c>
      <c r="D309" s="17" t="s">
        <v>315</v>
      </c>
      <c r="E309" s="17">
        <v>20411454</v>
      </c>
      <c r="F309" s="17" t="s">
        <v>962</v>
      </c>
      <c r="G309" s="17" t="s">
        <v>45</v>
      </c>
      <c r="H309" s="17" t="s">
        <v>95</v>
      </c>
      <c r="I309" s="18">
        <v>45536</v>
      </c>
      <c r="J309" s="18">
        <v>45792</v>
      </c>
      <c r="K309" s="17">
        <v>1</v>
      </c>
      <c r="L309" s="19">
        <v>1</v>
      </c>
      <c r="M309" s="19">
        <v>1</v>
      </c>
      <c r="O309" s="20">
        <v>1</v>
      </c>
      <c r="P309" s="17">
        <v>2</v>
      </c>
      <c r="Q309" s="17" t="s">
        <v>288</v>
      </c>
      <c r="R309" s="17" t="s">
        <v>933</v>
      </c>
    </row>
    <row r="310" spans="1:18" x14ac:dyDescent="0.25">
      <c r="A310" s="16" t="s">
        <v>901</v>
      </c>
      <c r="B310" s="16" t="str">
        <f t="shared" si="6"/>
        <v>00022602838K0</v>
      </c>
      <c r="C310" s="17" t="s">
        <v>483</v>
      </c>
      <c r="D310" s="17" t="s">
        <v>43</v>
      </c>
      <c r="E310" s="17">
        <v>20411454</v>
      </c>
      <c r="F310" s="17" t="s">
        <v>962</v>
      </c>
      <c r="G310" s="17" t="s">
        <v>45</v>
      </c>
      <c r="H310" s="17" t="s">
        <v>54</v>
      </c>
      <c r="I310" s="18">
        <v>45627</v>
      </c>
      <c r="J310" s="18">
        <v>45792</v>
      </c>
      <c r="K310" s="17">
        <v>1</v>
      </c>
      <c r="L310" s="19">
        <v>1</v>
      </c>
      <c r="M310" s="19">
        <v>1</v>
      </c>
      <c r="O310" s="20">
        <v>1</v>
      </c>
      <c r="P310" s="17">
        <v>9</v>
      </c>
      <c r="Q310" s="17" t="s">
        <v>473</v>
      </c>
      <c r="R310" s="17" t="s">
        <v>936</v>
      </c>
    </row>
    <row r="311" spans="1:18" x14ac:dyDescent="0.25">
      <c r="A311" s="16" t="s">
        <v>622</v>
      </c>
      <c r="B311" s="16" t="str">
        <f t="shared" si="6"/>
        <v>00003962303K0</v>
      </c>
      <c r="C311" s="17" t="s">
        <v>49</v>
      </c>
      <c r="D311" s="17" t="s">
        <v>43</v>
      </c>
      <c r="E311" s="17">
        <v>20411454</v>
      </c>
      <c r="F311" s="17" t="s">
        <v>962</v>
      </c>
      <c r="G311" s="17" t="s">
        <v>45</v>
      </c>
      <c r="H311" s="17" t="s">
        <v>46</v>
      </c>
      <c r="I311" s="18">
        <v>45748</v>
      </c>
      <c r="L311" s="19">
        <v>0</v>
      </c>
      <c r="M311" s="19">
        <v>108</v>
      </c>
      <c r="N311" s="17">
        <v>1</v>
      </c>
      <c r="O311" s="20">
        <v>1</v>
      </c>
      <c r="P311" s="17">
        <v>108</v>
      </c>
      <c r="R311" s="17" t="s">
        <v>936</v>
      </c>
    </row>
    <row r="312" spans="1:18" x14ac:dyDescent="0.25">
      <c r="A312" s="16">
        <v>102035849400</v>
      </c>
      <c r="B312" s="16" t="str">
        <f t="shared" si="6"/>
        <v>1020358494000</v>
      </c>
      <c r="C312" s="17" t="s">
        <v>410</v>
      </c>
      <c r="D312" s="17" t="s">
        <v>89</v>
      </c>
      <c r="E312" s="17">
        <v>20411454</v>
      </c>
      <c r="F312" s="17" t="s">
        <v>962</v>
      </c>
      <c r="G312" s="17" t="s">
        <v>45</v>
      </c>
      <c r="H312" s="17" t="s">
        <v>162</v>
      </c>
      <c r="I312" s="18">
        <v>45505</v>
      </c>
      <c r="J312" s="18">
        <v>45792</v>
      </c>
      <c r="K312" s="17">
        <v>1</v>
      </c>
      <c r="L312" s="19">
        <v>1</v>
      </c>
      <c r="M312" s="19">
        <v>1</v>
      </c>
      <c r="O312" s="20">
        <v>1</v>
      </c>
      <c r="P312" s="17">
        <v>2</v>
      </c>
      <c r="Q312" s="17" t="s">
        <v>288</v>
      </c>
      <c r="R312" s="17" t="s">
        <v>933</v>
      </c>
    </row>
    <row r="313" spans="1:18" x14ac:dyDescent="0.25">
      <c r="A313" s="16">
        <v>102072923100</v>
      </c>
      <c r="B313" s="16" t="str">
        <f t="shared" si="6"/>
        <v>1020729231000</v>
      </c>
      <c r="C313" s="17" t="s">
        <v>310</v>
      </c>
      <c r="D313" s="17" t="s">
        <v>93</v>
      </c>
      <c r="E313" s="17">
        <v>20411454</v>
      </c>
      <c r="F313" s="17" t="s">
        <v>962</v>
      </c>
      <c r="G313" s="17" t="s">
        <v>45</v>
      </c>
      <c r="H313" s="17" t="s">
        <v>162</v>
      </c>
      <c r="I313" s="18">
        <v>45627</v>
      </c>
      <c r="J313" s="18">
        <v>45792</v>
      </c>
      <c r="K313" s="17">
        <v>1</v>
      </c>
      <c r="L313" s="19">
        <v>1</v>
      </c>
      <c r="M313" s="19">
        <v>1</v>
      </c>
      <c r="O313" s="20">
        <v>1</v>
      </c>
      <c r="P313" s="17">
        <v>2</v>
      </c>
      <c r="Q313" s="17" t="s">
        <v>288</v>
      </c>
      <c r="R313" s="17" t="s">
        <v>933</v>
      </c>
    </row>
    <row r="314" spans="1:18" x14ac:dyDescent="0.25">
      <c r="A314" s="16" t="s">
        <v>861</v>
      </c>
      <c r="B314" s="16" t="str">
        <f t="shared" si="6"/>
        <v>00022088151K0</v>
      </c>
      <c r="C314" s="17" t="s">
        <v>519</v>
      </c>
      <c r="D314" s="17" t="s">
        <v>43</v>
      </c>
      <c r="E314" s="17">
        <v>20411454</v>
      </c>
      <c r="F314" s="17" t="s">
        <v>962</v>
      </c>
      <c r="G314" s="17" t="s">
        <v>45</v>
      </c>
      <c r="H314" s="17" t="s">
        <v>54</v>
      </c>
      <c r="I314" s="18">
        <v>45566</v>
      </c>
      <c r="J314" s="18">
        <v>45792</v>
      </c>
      <c r="K314" s="17">
        <v>1</v>
      </c>
      <c r="L314" s="19">
        <v>1</v>
      </c>
      <c r="M314" s="19">
        <v>1</v>
      </c>
      <c r="O314" s="20">
        <v>1</v>
      </c>
      <c r="P314" s="17">
        <v>9</v>
      </c>
      <c r="Q314" s="17" t="s">
        <v>473</v>
      </c>
      <c r="R314" s="17" t="s">
        <v>936</v>
      </c>
    </row>
    <row r="315" spans="1:18" x14ac:dyDescent="0.25">
      <c r="A315" s="16">
        <v>102036450000</v>
      </c>
      <c r="B315" s="16" t="str">
        <f t="shared" si="6"/>
        <v>1020364500000</v>
      </c>
      <c r="C315" s="17" t="s">
        <v>407</v>
      </c>
      <c r="D315" s="17" t="s">
        <v>93</v>
      </c>
      <c r="E315" s="17">
        <v>20411454</v>
      </c>
      <c r="F315" s="17" t="s">
        <v>962</v>
      </c>
      <c r="G315" s="17" t="s">
        <v>45</v>
      </c>
      <c r="H315" s="17" t="s">
        <v>162</v>
      </c>
      <c r="I315" s="18">
        <v>45505</v>
      </c>
      <c r="J315" s="18">
        <v>45792</v>
      </c>
      <c r="K315" s="17">
        <v>1</v>
      </c>
      <c r="L315" s="19">
        <v>1</v>
      </c>
      <c r="M315" s="19">
        <v>1</v>
      </c>
      <c r="O315" s="20">
        <v>1</v>
      </c>
      <c r="P315" s="17">
        <v>2</v>
      </c>
      <c r="Q315" s="17" t="s">
        <v>288</v>
      </c>
      <c r="R315" s="17" t="s">
        <v>933</v>
      </c>
    </row>
    <row r="316" spans="1:18" x14ac:dyDescent="0.25">
      <c r="A316" s="16" t="s">
        <v>759</v>
      </c>
      <c r="B316" s="16" t="str">
        <f t="shared" si="6"/>
        <v>00021686716K0</v>
      </c>
      <c r="C316" s="17" t="s">
        <v>606</v>
      </c>
      <c r="D316" s="17" t="s">
        <v>43</v>
      </c>
      <c r="E316" s="17">
        <v>20411454</v>
      </c>
      <c r="F316" s="17" t="s">
        <v>962</v>
      </c>
      <c r="G316" s="17" t="s">
        <v>250</v>
      </c>
      <c r="H316" s="17" t="s">
        <v>54</v>
      </c>
      <c r="I316" s="18">
        <v>45444</v>
      </c>
      <c r="J316" s="18">
        <v>45792</v>
      </c>
      <c r="K316" s="17">
        <v>1</v>
      </c>
      <c r="L316" s="19">
        <v>1</v>
      </c>
      <c r="M316" s="19">
        <v>1</v>
      </c>
      <c r="O316" s="20">
        <v>1</v>
      </c>
      <c r="P316" s="17">
        <v>9</v>
      </c>
      <c r="Q316" s="17" t="s">
        <v>473</v>
      </c>
      <c r="R316" s="17" t="s">
        <v>936</v>
      </c>
    </row>
    <row r="317" spans="1:18" x14ac:dyDescent="0.25">
      <c r="A317" s="16">
        <v>102050715300</v>
      </c>
      <c r="B317" s="16" t="str">
        <f t="shared" si="6"/>
        <v>1020507153000</v>
      </c>
      <c r="C317" s="17" t="s">
        <v>368</v>
      </c>
      <c r="D317" s="17" t="s">
        <v>89</v>
      </c>
      <c r="E317" s="17">
        <v>20411454</v>
      </c>
      <c r="F317" s="17" t="s">
        <v>962</v>
      </c>
      <c r="G317" s="17" t="s">
        <v>45</v>
      </c>
      <c r="H317" s="17" t="s">
        <v>162</v>
      </c>
      <c r="I317" s="18">
        <v>45566</v>
      </c>
      <c r="J317" s="18">
        <v>45792</v>
      </c>
      <c r="K317" s="17">
        <v>1</v>
      </c>
      <c r="L317" s="19">
        <v>1</v>
      </c>
      <c r="M317" s="19">
        <v>1</v>
      </c>
      <c r="O317" s="20">
        <v>1</v>
      </c>
      <c r="P317" s="17">
        <v>2</v>
      </c>
      <c r="Q317" s="17" t="s">
        <v>288</v>
      </c>
      <c r="R317" s="17" t="s">
        <v>933</v>
      </c>
    </row>
    <row r="318" spans="1:18" x14ac:dyDescent="0.25">
      <c r="A318" s="16">
        <v>102037208500</v>
      </c>
      <c r="B318" s="16" t="str">
        <f t="shared" si="6"/>
        <v>1020372085000</v>
      </c>
      <c r="C318" s="17" t="s">
        <v>402</v>
      </c>
      <c r="D318" s="17" t="s">
        <v>281</v>
      </c>
      <c r="E318" s="17">
        <v>20411454</v>
      </c>
      <c r="F318" s="17" t="s">
        <v>962</v>
      </c>
      <c r="G318" s="17" t="s">
        <v>45</v>
      </c>
      <c r="H318" s="17" t="s">
        <v>162</v>
      </c>
      <c r="I318" s="18">
        <v>45566</v>
      </c>
      <c r="J318" s="18">
        <v>45792</v>
      </c>
      <c r="K318" s="17">
        <v>1</v>
      </c>
      <c r="L318" s="19">
        <v>1</v>
      </c>
      <c r="M318" s="19">
        <v>1</v>
      </c>
      <c r="O318" s="20">
        <v>1</v>
      </c>
      <c r="P318" s="17">
        <v>2</v>
      </c>
      <c r="Q318" s="17" t="s">
        <v>288</v>
      </c>
      <c r="R318" s="17" t="s">
        <v>933</v>
      </c>
    </row>
    <row r="319" spans="1:18" x14ac:dyDescent="0.25">
      <c r="A319" s="16">
        <v>102017118900</v>
      </c>
      <c r="B319" s="16" t="str">
        <f t="shared" si="6"/>
        <v>1020171189000</v>
      </c>
      <c r="C319" s="17" t="s">
        <v>441</v>
      </c>
      <c r="D319" s="17" t="s">
        <v>89</v>
      </c>
      <c r="E319" s="17">
        <v>20411454</v>
      </c>
      <c r="F319" s="17" t="s">
        <v>962</v>
      </c>
      <c r="G319" s="17" t="s">
        <v>45</v>
      </c>
      <c r="H319" s="17" t="s">
        <v>162</v>
      </c>
      <c r="I319" s="18">
        <v>45474</v>
      </c>
      <c r="J319" s="18">
        <v>45792</v>
      </c>
      <c r="K319" s="17">
        <v>1</v>
      </c>
      <c r="L319" s="19">
        <v>1</v>
      </c>
      <c r="M319" s="19">
        <v>1</v>
      </c>
      <c r="O319" s="20">
        <v>1</v>
      </c>
      <c r="P319" s="17">
        <v>2</v>
      </c>
      <c r="Q319" s="17" t="s">
        <v>288</v>
      </c>
      <c r="R319" s="17" t="s">
        <v>933</v>
      </c>
    </row>
    <row r="320" spans="1:18" x14ac:dyDescent="0.25">
      <c r="A320" s="16" t="s">
        <v>854</v>
      </c>
      <c r="B320" s="16" t="str">
        <f t="shared" si="6"/>
        <v>00022078841K0</v>
      </c>
      <c r="C320" s="17" t="s">
        <v>526</v>
      </c>
      <c r="D320" s="17" t="s">
        <v>43</v>
      </c>
      <c r="E320" s="17">
        <v>20411454</v>
      </c>
      <c r="F320" s="17" t="s">
        <v>962</v>
      </c>
      <c r="G320" s="17" t="s">
        <v>45</v>
      </c>
      <c r="H320" s="17" t="s">
        <v>54</v>
      </c>
      <c r="I320" s="18">
        <v>45627</v>
      </c>
      <c r="J320" s="18">
        <v>45792</v>
      </c>
      <c r="K320" s="17">
        <v>1</v>
      </c>
      <c r="L320" s="19">
        <v>1</v>
      </c>
      <c r="M320" s="19">
        <v>1</v>
      </c>
      <c r="O320" s="20">
        <v>1</v>
      </c>
      <c r="P320" s="17">
        <v>9</v>
      </c>
      <c r="Q320" s="17" t="s">
        <v>473</v>
      </c>
      <c r="R320" s="17" t="s">
        <v>936</v>
      </c>
    </row>
    <row r="321" spans="1:18" x14ac:dyDescent="0.25">
      <c r="A321" s="16" t="s">
        <v>903</v>
      </c>
      <c r="B321" s="16" t="str">
        <f t="shared" si="6"/>
        <v>00022643625K0</v>
      </c>
      <c r="C321" s="17" t="s">
        <v>481</v>
      </c>
      <c r="D321" s="17" t="s">
        <v>43</v>
      </c>
      <c r="E321" s="17">
        <v>20411454</v>
      </c>
      <c r="F321" s="17" t="s">
        <v>962</v>
      </c>
      <c r="G321" s="17" t="s">
        <v>45</v>
      </c>
      <c r="H321" s="17" t="s">
        <v>54</v>
      </c>
      <c r="I321" s="18">
        <v>45627</v>
      </c>
      <c r="J321" s="18">
        <v>45792</v>
      </c>
      <c r="K321" s="17">
        <v>1</v>
      </c>
      <c r="L321" s="19">
        <v>1</v>
      </c>
      <c r="M321" s="19">
        <v>1</v>
      </c>
      <c r="O321" s="20">
        <v>1</v>
      </c>
      <c r="P321" s="17">
        <v>9</v>
      </c>
      <c r="Q321" s="17" t="s">
        <v>473</v>
      </c>
      <c r="R321" s="17" t="s">
        <v>936</v>
      </c>
    </row>
    <row r="322" spans="1:18" x14ac:dyDescent="0.25">
      <c r="A322" s="16" t="s">
        <v>669</v>
      </c>
      <c r="B322" s="16" t="str">
        <f t="shared" si="6"/>
        <v>00022969890KPC0</v>
      </c>
      <c r="C322" s="17" t="s">
        <v>66</v>
      </c>
      <c r="D322" s="17" t="s">
        <v>43</v>
      </c>
      <c r="E322" s="17">
        <v>20411454</v>
      </c>
      <c r="F322" s="17" t="s">
        <v>962</v>
      </c>
      <c r="G322" s="17" t="s">
        <v>148</v>
      </c>
      <c r="H322" s="17" t="s">
        <v>54</v>
      </c>
      <c r="I322" s="18">
        <v>45658</v>
      </c>
      <c r="L322" s="19">
        <v>0</v>
      </c>
      <c r="M322" s="17">
        <v>-131.25</v>
      </c>
      <c r="N322" s="17">
        <v>1</v>
      </c>
      <c r="O322" s="20">
        <v>1</v>
      </c>
      <c r="P322" s="17">
        <v>-131.25</v>
      </c>
      <c r="R322" s="17" t="s">
        <v>936</v>
      </c>
    </row>
    <row r="323" spans="1:18" x14ac:dyDescent="0.25">
      <c r="A323" s="16" t="s">
        <v>631</v>
      </c>
      <c r="B323" s="16" t="str">
        <f t="shared" si="6"/>
        <v>00022969890K0</v>
      </c>
      <c r="C323" s="17" t="s">
        <v>66</v>
      </c>
      <c r="D323" s="17" t="s">
        <v>43</v>
      </c>
      <c r="E323" s="17">
        <v>20411454</v>
      </c>
      <c r="F323" s="17" t="s">
        <v>962</v>
      </c>
      <c r="G323" s="17" t="s">
        <v>45</v>
      </c>
      <c r="H323" s="17" t="s">
        <v>46</v>
      </c>
      <c r="I323" s="18">
        <v>45748</v>
      </c>
      <c r="L323" s="19">
        <v>0</v>
      </c>
      <c r="M323" s="19">
        <v>108</v>
      </c>
      <c r="N323" s="17">
        <v>1</v>
      </c>
      <c r="O323" s="20">
        <v>1</v>
      </c>
      <c r="P323" s="17">
        <v>108</v>
      </c>
      <c r="R323" s="17" t="s">
        <v>936</v>
      </c>
    </row>
    <row r="324" spans="1:18" x14ac:dyDescent="0.25">
      <c r="A324" s="16">
        <v>102042487000</v>
      </c>
      <c r="B324" s="16" t="str">
        <f t="shared" si="6"/>
        <v>1020424870000</v>
      </c>
      <c r="C324" s="17" t="s">
        <v>393</v>
      </c>
      <c r="D324" s="17" t="s">
        <v>93</v>
      </c>
      <c r="E324" s="17">
        <v>20411454</v>
      </c>
      <c r="F324" s="17" t="s">
        <v>962</v>
      </c>
      <c r="G324" s="17" t="s">
        <v>45</v>
      </c>
      <c r="H324" s="17" t="s">
        <v>162</v>
      </c>
      <c r="I324" s="18">
        <v>45536</v>
      </c>
      <c r="J324" s="18">
        <v>45792</v>
      </c>
      <c r="K324" s="17">
        <v>1</v>
      </c>
      <c r="L324" s="19">
        <v>1</v>
      </c>
      <c r="M324" s="19">
        <v>1</v>
      </c>
      <c r="O324" s="20">
        <v>1</v>
      </c>
      <c r="P324" s="17">
        <v>2</v>
      </c>
      <c r="Q324" s="17" t="s">
        <v>288</v>
      </c>
      <c r="R324" s="17" t="s">
        <v>933</v>
      </c>
    </row>
    <row r="325" spans="1:18" x14ac:dyDescent="0.25">
      <c r="A325" s="16" t="s">
        <v>897</v>
      </c>
      <c r="B325" s="16" t="str">
        <f t="shared" si="6"/>
        <v>00022466880K0</v>
      </c>
      <c r="C325" s="17" t="s">
        <v>487</v>
      </c>
      <c r="D325" s="17" t="s">
        <v>43</v>
      </c>
      <c r="E325" s="17">
        <v>20411454</v>
      </c>
      <c r="F325" s="17" t="s">
        <v>962</v>
      </c>
      <c r="G325" s="17" t="s">
        <v>45</v>
      </c>
      <c r="H325" s="17" t="s">
        <v>54</v>
      </c>
      <c r="I325" s="18">
        <v>45627</v>
      </c>
      <c r="J325" s="18">
        <v>45792</v>
      </c>
      <c r="K325" s="17">
        <v>1</v>
      </c>
      <c r="L325" s="19">
        <v>1</v>
      </c>
      <c r="M325" s="19">
        <v>1</v>
      </c>
      <c r="O325" s="20">
        <v>1</v>
      </c>
      <c r="P325" s="17">
        <v>9</v>
      </c>
      <c r="Q325" s="17" t="s">
        <v>473</v>
      </c>
      <c r="R325" s="17" t="s">
        <v>936</v>
      </c>
    </row>
    <row r="326" spans="1:18" x14ac:dyDescent="0.25">
      <c r="A326" s="16" t="s">
        <v>855</v>
      </c>
      <c r="B326" s="16" t="str">
        <f t="shared" si="6"/>
        <v>00022082807K0</v>
      </c>
      <c r="C326" s="17" t="s">
        <v>525</v>
      </c>
      <c r="D326" s="17" t="s">
        <v>43</v>
      </c>
      <c r="E326" s="17">
        <v>20411454</v>
      </c>
      <c r="F326" s="17" t="s">
        <v>962</v>
      </c>
      <c r="G326" s="17" t="s">
        <v>45</v>
      </c>
      <c r="H326" s="17" t="s">
        <v>54</v>
      </c>
      <c r="I326" s="18">
        <v>45566</v>
      </c>
      <c r="J326" s="18">
        <v>45792</v>
      </c>
      <c r="K326" s="17">
        <v>1</v>
      </c>
      <c r="L326" s="19">
        <v>1</v>
      </c>
      <c r="M326" s="19">
        <v>1</v>
      </c>
      <c r="O326" s="20">
        <v>1</v>
      </c>
      <c r="P326" s="17">
        <v>9</v>
      </c>
      <c r="Q326" s="17" t="s">
        <v>473</v>
      </c>
      <c r="R326" s="17" t="s">
        <v>936</v>
      </c>
    </row>
    <row r="327" spans="1:18" x14ac:dyDescent="0.25">
      <c r="A327" s="16" t="s">
        <v>650</v>
      </c>
      <c r="B327" s="16" t="str">
        <f t="shared" si="6"/>
        <v>968607439OV0</v>
      </c>
      <c r="C327" s="17" t="s">
        <v>127</v>
      </c>
      <c r="D327" s="17" t="s">
        <v>128</v>
      </c>
      <c r="E327" s="17">
        <v>20411454</v>
      </c>
      <c r="F327" s="17" t="s">
        <v>962</v>
      </c>
      <c r="G327" s="17" t="s">
        <v>45</v>
      </c>
      <c r="H327" s="17" t="s">
        <v>130</v>
      </c>
      <c r="I327" s="18">
        <v>45748</v>
      </c>
      <c r="L327" s="19">
        <v>0</v>
      </c>
      <c r="M327" s="19">
        <v>54</v>
      </c>
      <c r="N327" s="17">
        <v>1</v>
      </c>
      <c r="O327" s="20">
        <v>1</v>
      </c>
      <c r="P327" s="17">
        <v>54</v>
      </c>
      <c r="Q327" s="17" t="s">
        <v>91</v>
      </c>
      <c r="R327" s="17" t="s">
        <v>946</v>
      </c>
    </row>
    <row r="328" spans="1:18" x14ac:dyDescent="0.25">
      <c r="A328" s="16" t="s">
        <v>863</v>
      </c>
      <c r="B328" s="16" t="str">
        <f t="shared" si="6"/>
        <v>00022094137K0</v>
      </c>
      <c r="C328" s="17" t="s">
        <v>517</v>
      </c>
      <c r="D328" s="17" t="s">
        <v>43</v>
      </c>
      <c r="E328" s="17">
        <v>20411454</v>
      </c>
      <c r="F328" s="17" t="s">
        <v>962</v>
      </c>
      <c r="G328" s="17" t="s">
        <v>45</v>
      </c>
      <c r="H328" s="17" t="s">
        <v>54</v>
      </c>
      <c r="I328" s="18">
        <v>45597</v>
      </c>
      <c r="J328" s="18">
        <v>45792</v>
      </c>
      <c r="K328" s="17">
        <v>1</v>
      </c>
      <c r="L328" s="19">
        <v>1</v>
      </c>
      <c r="M328" s="19">
        <v>1</v>
      </c>
      <c r="O328" s="20">
        <v>1</v>
      </c>
      <c r="P328" s="17">
        <v>9</v>
      </c>
      <c r="Q328" s="17" t="s">
        <v>473</v>
      </c>
      <c r="R328" s="17" t="s">
        <v>936</v>
      </c>
    </row>
    <row r="329" spans="1:18" x14ac:dyDescent="0.25">
      <c r="A329" s="16" t="s">
        <v>857</v>
      </c>
      <c r="B329" s="16" t="str">
        <f t="shared" si="6"/>
        <v>00022084599K0</v>
      </c>
      <c r="C329" s="17" t="s">
        <v>523</v>
      </c>
      <c r="D329" s="17" t="s">
        <v>43</v>
      </c>
      <c r="E329" s="17">
        <v>20411454</v>
      </c>
      <c r="F329" s="17" t="s">
        <v>962</v>
      </c>
      <c r="G329" s="17" t="s">
        <v>45</v>
      </c>
      <c r="H329" s="17" t="s">
        <v>54</v>
      </c>
      <c r="I329" s="18">
        <v>45566</v>
      </c>
      <c r="J329" s="18">
        <v>45792</v>
      </c>
      <c r="K329" s="17">
        <v>1</v>
      </c>
      <c r="L329" s="19">
        <v>1</v>
      </c>
      <c r="M329" s="19">
        <v>1</v>
      </c>
      <c r="O329" s="20">
        <v>1</v>
      </c>
      <c r="P329" s="17">
        <v>9</v>
      </c>
      <c r="Q329" s="17" t="s">
        <v>473</v>
      </c>
      <c r="R329" s="17" t="s">
        <v>936</v>
      </c>
    </row>
    <row r="330" spans="1:18" x14ac:dyDescent="0.25">
      <c r="A330" s="16">
        <v>102068196700</v>
      </c>
      <c r="B330" s="16" t="str">
        <f t="shared" si="6"/>
        <v>1020681967000</v>
      </c>
      <c r="C330" s="17" t="s">
        <v>318</v>
      </c>
      <c r="D330" s="17" t="s">
        <v>89</v>
      </c>
      <c r="E330" s="17">
        <v>20411454</v>
      </c>
      <c r="F330" s="17" t="s">
        <v>962</v>
      </c>
      <c r="G330" s="17" t="s">
        <v>45</v>
      </c>
      <c r="H330" s="17" t="s">
        <v>162</v>
      </c>
      <c r="I330" s="18">
        <v>45597</v>
      </c>
      <c r="J330" s="18">
        <v>45792</v>
      </c>
      <c r="K330" s="17">
        <v>1</v>
      </c>
      <c r="L330" s="19">
        <v>1</v>
      </c>
      <c r="M330" s="19">
        <v>1</v>
      </c>
      <c r="O330" s="20">
        <v>1</v>
      </c>
      <c r="P330" s="17">
        <v>2</v>
      </c>
      <c r="Q330" s="17" t="s">
        <v>288</v>
      </c>
      <c r="R330" s="17" t="s">
        <v>933</v>
      </c>
    </row>
    <row r="331" spans="1:18" x14ac:dyDescent="0.25">
      <c r="A331" s="16">
        <v>102055388900</v>
      </c>
      <c r="B331" s="16" t="str">
        <f t="shared" si="6"/>
        <v>1020553889000</v>
      </c>
      <c r="C331" s="17" t="s">
        <v>356</v>
      </c>
      <c r="D331" s="17" t="s">
        <v>89</v>
      </c>
      <c r="E331" s="17">
        <v>20411454</v>
      </c>
      <c r="F331" s="17" t="s">
        <v>962</v>
      </c>
      <c r="G331" s="17" t="s">
        <v>45</v>
      </c>
      <c r="H331" s="17" t="s">
        <v>162</v>
      </c>
      <c r="I331" s="18">
        <v>45566</v>
      </c>
      <c r="J331" s="18">
        <v>45792</v>
      </c>
      <c r="K331" s="17">
        <v>1</v>
      </c>
      <c r="L331" s="19">
        <v>1</v>
      </c>
      <c r="M331" s="19">
        <v>1</v>
      </c>
      <c r="O331" s="20">
        <v>1</v>
      </c>
      <c r="P331" s="17">
        <v>2</v>
      </c>
      <c r="Q331" s="17" t="s">
        <v>288</v>
      </c>
      <c r="R331" s="17" t="s">
        <v>933</v>
      </c>
    </row>
    <row r="332" spans="1:18" x14ac:dyDescent="0.25">
      <c r="A332" s="16" t="s">
        <v>777</v>
      </c>
      <c r="B332" s="16" t="str">
        <f t="shared" si="6"/>
        <v>00021836597KOV0</v>
      </c>
      <c r="C332" s="17" t="s">
        <v>591</v>
      </c>
      <c r="D332" s="17" t="s">
        <v>43</v>
      </c>
      <c r="E332" s="17">
        <v>20411454</v>
      </c>
      <c r="F332" s="17" t="s">
        <v>962</v>
      </c>
      <c r="G332" s="17" t="s">
        <v>45</v>
      </c>
      <c r="H332" s="17" t="s">
        <v>54</v>
      </c>
      <c r="I332" s="18">
        <v>45474</v>
      </c>
      <c r="J332" s="18">
        <v>45792</v>
      </c>
      <c r="K332" s="17">
        <v>1</v>
      </c>
      <c r="L332" s="19">
        <v>1</v>
      </c>
      <c r="M332" s="19">
        <v>1</v>
      </c>
      <c r="O332" s="20">
        <v>1</v>
      </c>
      <c r="P332" s="17">
        <v>9</v>
      </c>
      <c r="Q332" s="17" t="s">
        <v>473</v>
      </c>
      <c r="R332" s="17" t="s">
        <v>936</v>
      </c>
    </row>
    <row r="333" spans="1:18" x14ac:dyDescent="0.25">
      <c r="A333" s="16">
        <v>101953198300</v>
      </c>
      <c r="B333" s="16" t="str">
        <f t="shared" si="6"/>
        <v>1019531983000</v>
      </c>
      <c r="C333" s="17" t="s">
        <v>461</v>
      </c>
      <c r="D333" s="17" t="s">
        <v>93</v>
      </c>
      <c r="E333" s="17">
        <v>20411454</v>
      </c>
      <c r="F333" s="17" t="s">
        <v>962</v>
      </c>
      <c r="G333" s="17" t="s">
        <v>45</v>
      </c>
      <c r="H333" s="17" t="s">
        <v>162</v>
      </c>
      <c r="I333" s="18">
        <v>45627</v>
      </c>
      <c r="J333" s="18">
        <v>45792</v>
      </c>
      <c r="K333" s="17">
        <v>1</v>
      </c>
      <c r="L333" s="19">
        <v>1</v>
      </c>
      <c r="M333" s="19">
        <v>1</v>
      </c>
      <c r="O333" s="20">
        <v>1</v>
      </c>
      <c r="P333" s="17">
        <v>2</v>
      </c>
      <c r="Q333" s="17" t="s">
        <v>288</v>
      </c>
      <c r="R333" s="17" t="s">
        <v>933</v>
      </c>
    </row>
    <row r="334" spans="1:18" x14ac:dyDescent="0.25">
      <c r="A334" s="16" t="s">
        <v>785</v>
      </c>
      <c r="B334" s="16" t="str">
        <f t="shared" si="6"/>
        <v>00021859258KOV0</v>
      </c>
      <c r="C334" s="17" t="s">
        <v>586</v>
      </c>
      <c r="D334" s="17" t="s">
        <v>43</v>
      </c>
      <c r="E334" s="17">
        <v>20411454</v>
      </c>
      <c r="F334" s="17" t="s">
        <v>962</v>
      </c>
      <c r="G334" s="17" t="s">
        <v>45</v>
      </c>
      <c r="H334" s="17" t="s">
        <v>54</v>
      </c>
      <c r="I334" s="18">
        <v>45474</v>
      </c>
      <c r="J334" s="18">
        <v>45792</v>
      </c>
      <c r="K334" s="17">
        <v>1</v>
      </c>
      <c r="L334" s="19">
        <v>1</v>
      </c>
      <c r="M334" s="19">
        <v>1</v>
      </c>
      <c r="O334" s="20">
        <v>1</v>
      </c>
      <c r="P334" s="17">
        <v>9</v>
      </c>
      <c r="Q334" s="17" t="s">
        <v>473</v>
      </c>
      <c r="R334" s="17" t="s">
        <v>936</v>
      </c>
    </row>
    <row r="335" spans="1:18" x14ac:dyDescent="0.25">
      <c r="A335" s="16">
        <v>102062449500</v>
      </c>
      <c r="B335" s="16" t="str">
        <f t="shared" si="6"/>
        <v>1020624495000</v>
      </c>
      <c r="C335" s="17" t="s">
        <v>336</v>
      </c>
      <c r="D335" s="17" t="s">
        <v>89</v>
      </c>
      <c r="E335" s="17">
        <v>20411454</v>
      </c>
      <c r="F335" s="17" t="s">
        <v>962</v>
      </c>
      <c r="G335" s="17" t="s">
        <v>45</v>
      </c>
      <c r="H335" s="17" t="s">
        <v>162</v>
      </c>
      <c r="I335" s="18">
        <v>45627</v>
      </c>
      <c r="J335" s="18">
        <v>45792</v>
      </c>
      <c r="K335" s="17">
        <v>1</v>
      </c>
      <c r="L335" s="19">
        <v>1</v>
      </c>
      <c r="M335" s="19">
        <v>1</v>
      </c>
      <c r="O335" s="20">
        <v>1</v>
      </c>
      <c r="P335" s="17">
        <v>2</v>
      </c>
      <c r="Q335" s="17" t="s">
        <v>288</v>
      </c>
      <c r="R335" s="17" t="s">
        <v>933</v>
      </c>
    </row>
    <row r="336" spans="1:18" x14ac:dyDescent="0.25">
      <c r="A336" s="16">
        <v>102049732200</v>
      </c>
      <c r="B336" s="16" t="str">
        <f t="shared" si="6"/>
        <v>1020497322000</v>
      </c>
      <c r="C336" s="17" t="s">
        <v>374</v>
      </c>
      <c r="D336" s="17" t="s">
        <v>89</v>
      </c>
      <c r="E336" s="17">
        <v>20411454</v>
      </c>
      <c r="F336" s="17" t="s">
        <v>962</v>
      </c>
      <c r="G336" s="17" t="s">
        <v>45</v>
      </c>
      <c r="H336" s="17" t="s">
        <v>162</v>
      </c>
      <c r="I336" s="18">
        <v>45597</v>
      </c>
      <c r="J336" s="18">
        <v>45792</v>
      </c>
      <c r="K336" s="17">
        <v>1</v>
      </c>
      <c r="L336" s="19">
        <v>1</v>
      </c>
      <c r="M336" s="19">
        <v>1</v>
      </c>
      <c r="O336" s="20">
        <v>1</v>
      </c>
      <c r="P336" s="17">
        <v>2</v>
      </c>
      <c r="Q336" s="17" t="s">
        <v>288</v>
      </c>
      <c r="R336" s="17" t="s">
        <v>933</v>
      </c>
    </row>
    <row r="337" spans="1:18" x14ac:dyDescent="0.25">
      <c r="A337" s="16" t="s">
        <v>899</v>
      </c>
      <c r="B337" s="16" t="str">
        <f t="shared" si="6"/>
        <v>00022524693K0</v>
      </c>
      <c r="C337" s="17" t="s">
        <v>485</v>
      </c>
      <c r="D337" s="17" t="s">
        <v>43</v>
      </c>
      <c r="E337" s="17">
        <v>20411454</v>
      </c>
      <c r="F337" s="17" t="s">
        <v>962</v>
      </c>
      <c r="G337" s="17" t="s">
        <v>45</v>
      </c>
      <c r="H337" s="17" t="s">
        <v>54</v>
      </c>
      <c r="I337" s="18">
        <v>45627</v>
      </c>
      <c r="J337" s="18">
        <v>45792</v>
      </c>
      <c r="K337" s="17">
        <v>1</v>
      </c>
      <c r="L337" s="19">
        <v>1</v>
      </c>
      <c r="M337" s="19">
        <v>1</v>
      </c>
      <c r="O337" s="20">
        <v>1</v>
      </c>
      <c r="P337" s="17">
        <v>9</v>
      </c>
      <c r="Q337" s="17" t="s">
        <v>473</v>
      </c>
      <c r="R337" s="17" t="s">
        <v>936</v>
      </c>
    </row>
    <row r="338" spans="1:18" x14ac:dyDescent="0.25">
      <c r="A338" s="16" t="s">
        <v>688</v>
      </c>
      <c r="B338" s="16" t="str">
        <f t="shared" si="6"/>
        <v>00023244763K0</v>
      </c>
      <c r="C338" s="17" t="s">
        <v>239</v>
      </c>
      <c r="D338" s="17" t="s">
        <v>43</v>
      </c>
      <c r="E338" s="17">
        <v>20411454</v>
      </c>
      <c r="F338" s="17" t="s">
        <v>962</v>
      </c>
      <c r="G338" s="17" t="s">
        <v>45</v>
      </c>
      <c r="H338" s="17" t="s">
        <v>54</v>
      </c>
      <c r="I338" s="18">
        <v>45839</v>
      </c>
      <c r="L338" s="19">
        <v>0</v>
      </c>
      <c r="M338" s="19">
        <v>175</v>
      </c>
      <c r="N338" s="17">
        <v>1</v>
      </c>
      <c r="O338" s="20">
        <v>1</v>
      </c>
      <c r="P338" s="17">
        <v>175</v>
      </c>
      <c r="R338" s="17" t="s">
        <v>936</v>
      </c>
    </row>
    <row r="339" spans="1:18" x14ac:dyDescent="0.25">
      <c r="A339" s="16">
        <v>102059559800</v>
      </c>
      <c r="B339" s="16" t="str">
        <f t="shared" ref="B339:B402" si="7">CONCATENATE(A339,0)</f>
        <v>1020595598000</v>
      </c>
      <c r="C339" s="17" t="s">
        <v>344</v>
      </c>
      <c r="D339" s="17" t="s">
        <v>93</v>
      </c>
      <c r="E339" s="17">
        <v>20411454</v>
      </c>
      <c r="F339" s="17" t="s">
        <v>962</v>
      </c>
      <c r="G339" s="17" t="s">
        <v>45</v>
      </c>
      <c r="H339" s="17" t="s">
        <v>162</v>
      </c>
      <c r="I339" s="18">
        <v>45566</v>
      </c>
      <c r="J339" s="18">
        <v>45792</v>
      </c>
      <c r="K339" s="17">
        <v>1</v>
      </c>
      <c r="L339" s="19">
        <v>1</v>
      </c>
      <c r="M339" s="19">
        <v>1</v>
      </c>
      <c r="O339" s="20">
        <v>1</v>
      </c>
      <c r="P339" s="17">
        <v>2</v>
      </c>
      <c r="Q339" s="17" t="s">
        <v>288</v>
      </c>
      <c r="R339" s="17" t="s">
        <v>933</v>
      </c>
    </row>
    <row r="340" spans="1:18" x14ac:dyDescent="0.25">
      <c r="A340" s="16" t="s">
        <v>831</v>
      </c>
      <c r="B340" s="16" t="str">
        <f t="shared" si="7"/>
        <v>00022025150KOV0</v>
      </c>
      <c r="C340" s="17" t="s">
        <v>545</v>
      </c>
      <c r="D340" s="17" t="s">
        <v>43</v>
      </c>
      <c r="E340" s="17">
        <v>20411454</v>
      </c>
      <c r="F340" s="17" t="s">
        <v>962</v>
      </c>
      <c r="G340" s="17" t="s">
        <v>45</v>
      </c>
      <c r="H340" s="17" t="s">
        <v>54</v>
      </c>
      <c r="I340" s="18">
        <v>45566</v>
      </c>
      <c r="J340" s="18">
        <v>45792</v>
      </c>
      <c r="K340" s="17">
        <v>1</v>
      </c>
      <c r="L340" s="19">
        <v>1</v>
      </c>
      <c r="M340" s="19">
        <v>1</v>
      </c>
      <c r="O340" s="20">
        <v>1</v>
      </c>
      <c r="P340" s="17">
        <v>9</v>
      </c>
      <c r="Q340" s="17" t="s">
        <v>473</v>
      </c>
      <c r="R340" s="17" t="s">
        <v>936</v>
      </c>
    </row>
    <row r="341" spans="1:18" x14ac:dyDescent="0.25">
      <c r="A341" s="16">
        <v>102058656500</v>
      </c>
      <c r="B341" s="16" t="str">
        <f t="shared" si="7"/>
        <v>1020586565000</v>
      </c>
      <c r="C341" s="17" t="s">
        <v>348</v>
      </c>
      <c r="D341" s="17" t="s">
        <v>89</v>
      </c>
      <c r="E341" s="17">
        <v>20411454</v>
      </c>
      <c r="F341" s="17" t="s">
        <v>962</v>
      </c>
      <c r="G341" s="17" t="s">
        <v>45</v>
      </c>
      <c r="H341" s="17" t="s">
        <v>162</v>
      </c>
      <c r="I341" s="18">
        <v>45597</v>
      </c>
      <c r="J341" s="18">
        <v>45792</v>
      </c>
      <c r="K341" s="17">
        <v>1</v>
      </c>
      <c r="L341" s="19">
        <v>1</v>
      </c>
      <c r="M341" s="19">
        <v>1</v>
      </c>
      <c r="O341" s="20">
        <v>1</v>
      </c>
      <c r="P341" s="17">
        <v>2</v>
      </c>
      <c r="Q341" s="17" t="s">
        <v>288</v>
      </c>
      <c r="R341" s="17" t="s">
        <v>933</v>
      </c>
    </row>
    <row r="342" spans="1:18" x14ac:dyDescent="0.25">
      <c r="A342" s="16">
        <v>102162023700</v>
      </c>
      <c r="B342" s="16" t="str">
        <f t="shared" si="7"/>
        <v>1021620237000</v>
      </c>
      <c r="C342" s="17" t="s">
        <v>208</v>
      </c>
      <c r="D342" s="17" t="s">
        <v>93</v>
      </c>
      <c r="E342" s="17">
        <v>20411454</v>
      </c>
      <c r="F342" s="17" t="s">
        <v>962</v>
      </c>
      <c r="G342" s="17" t="s">
        <v>45</v>
      </c>
      <c r="H342" s="17" t="s">
        <v>95</v>
      </c>
      <c r="I342" s="18">
        <v>45809</v>
      </c>
      <c r="L342" s="19">
        <v>0</v>
      </c>
      <c r="M342" s="19">
        <v>29.17</v>
      </c>
      <c r="N342" s="17">
        <v>1</v>
      </c>
      <c r="O342" s="20">
        <v>1</v>
      </c>
      <c r="P342" s="17">
        <v>29.17</v>
      </c>
      <c r="Q342" s="17" t="s">
        <v>86</v>
      </c>
      <c r="R342" s="17" t="s">
        <v>933</v>
      </c>
    </row>
    <row r="343" spans="1:18" x14ac:dyDescent="0.25">
      <c r="A343" s="16" t="s">
        <v>808</v>
      </c>
      <c r="B343" s="16" t="str">
        <f t="shared" si="7"/>
        <v>00021920479K0</v>
      </c>
      <c r="C343" s="17" t="s">
        <v>566</v>
      </c>
      <c r="D343" s="17" t="s">
        <v>43</v>
      </c>
      <c r="E343" s="17">
        <v>20411454</v>
      </c>
      <c r="F343" s="17" t="s">
        <v>962</v>
      </c>
      <c r="G343" s="17" t="s">
        <v>250</v>
      </c>
      <c r="H343" s="17" t="s">
        <v>54</v>
      </c>
      <c r="I343" s="18">
        <v>45505</v>
      </c>
      <c r="J343" s="18">
        <v>45792</v>
      </c>
      <c r="K343" s="17">
        <v>1</v>
      </c>
      <c r="L343" s="19">
        <v>1</v>
      </c>
      <c r="M343" s="19">
        <v>1</v>
      </c>
      <c r="O343" s="20">
        <v>1</v>
      </c>
      <c r="P343" s="17">
        <v>9</v>
      </c>
      <c r="Q343" s="17" t="s">
        <v>473</v>
      </c>
      <c r="R343" s="17" t="s">
        <v>936</v>
      </c>
    </row>
    <row r="344" spans="1:18" x14ac:dyDescent="0.25">
      <c r="A344" s="16">
        <v>102061588300</v>
      </c>
      <c r="B344" s="16" t="str">
        <f t="shared" si="7"/>
        <v>1020615883000</v>
      </c>
      <c r="C344" s="17" t="s">
        <v>338</v>
      </c>
      <c r="D344" s="17" t="s">
        <v>93</v>
      </c>
      <c r="E344" s="17">
        <v>20411454</v>
      </c>
      <c r="F344" s="17" t="s">
        <v>962</v>
      </c>
      <c r="G344" s="17" t="s">
        <v>45</v>
      </c>
      <c r="H344" s="17" t="s">
        <v>162</v>
      </c>
      <c r="I344" s="18">
        <v>45566</v>
      </c>
      <c r="J344" s="18">
        <v>45792</v>
      </c>
      <c r="K344" s="17">
        <v>1</v>
      </c>
      <c r="L344" s="19">
        <v>1</v>
      </c>
      <c r="M344" s="19">
        <v>1</v>
      </c>
      <c r="O344" s="20">
        <v>1</v>
      </c>
      <c r="P344" s="17">
        <v>2</v>
      </c>
      <c r="Q344" s="17" t="s">
        <v>288</v>
      </c>
      <c r="R344" s="17" t="s">
        <v>933</v>
      </c>
    </row>
    <row r="345" spans="1:18" x14ac:dyDescent="0.25">
      <c r="A345" s="16" t="s">
        <v>652</v>
      </c>
      <c r="B345" s="16" t="str">
        <f t="shared" si="7"/>
        <v>990606128OV0</v>
      </c>
      <c r="C345" s="17" t="s">
        <v>132</v>
      </c>
      <c r="D345" s="17" t="s">
        <v>133</v>
      </c>
      <c r="E345" s="17">
        <v>20411454</v>
      </c>
      <c r="F345" s="17" t="s">
        <v>962</v>
      </c>
      <c r="G345" s="17" t="s">
        <v>45</v>
      </c>
      <c r="H345" s="17" t="s">
        <v>130</v>
      </c>
      <c r="I345" s="18">
        <v>45748</v>
      </c>
      <c r="L345" s="19">
        <v>0</v>
      </c>
      <c r="M345" s="19">
        <v>54</v>
      </c>
      <c r="N345" s="17">
        <v>1</v>
      </c>
      <c r="O345" s="20">
        <v>1</v>
      </c>
      <c r="P345" s="17">
        <v>54</v>
      </c>
      <c r="Q345" s="17" t="s">
        <v>91</v>
      </c>
      <c r="R345" s="17" t="s">
        <v>946</v>
      </c>
    </row>
    <row r="346" spans="1:18" x14ac:dyDescent="0.25">
      <c r="A346" s="16" t="s">
        <v>783</v>
      </c>
      <c r="B346" s="16" t="str">
        <f t="shared" si="7"/>
        <v>00021853815KOV0</v>
      </c>
      <c r="C346" s="17" t="s">
        <v>587</v>
      </c>
      <c r="D346" s="17" t="s">
        <v>43</v>
      </c>
      <c r="E346" s="17">
        <v>20411454</v>
      </c>
      <c r="F346" s="17" t="s">
        <v>962</v>
      </c>
      <c r="G346" s="17" t="s">
        <v>45</v>
      </c>
      <c r="H346" s="17" t="s">
        <v>54</v>
      </c>
      <c r="I346" s="18">
        <v>45474</v>
      </c>
      <c r="J346" s="18">
        <v>45792</v>
      </c>
      <c r="K346" s="17">
        <v>1</v>
      </c>
      <c r="L346" s="19">
        <v>1</v>
      </c>
      <c r="M346" s="19">
        <v>1</v>
      </c>
      <c r="O346" s="20">
        <v>1</v>
      </c>
      <c r="P346" s="17">
        <v>9</v>
      </c>
      <c r="Q346" s="17" t="s">
        <v>473</v>
      </c>
      <c r="R346" s="17" t="s">
        <v>936</v>
      </c>
    </row>
    <row r="347" spans="1:18" x14ac:dyDescent="0.25">
      <c r="A347" s="16" t="s">
        <v>638</v>
      </c>
      <c r="B347" s="16" t="str">
        <f t="shared" si="7"/>
        <v>00023231591K0</v>
      </c>
      <c r="C347" s="17" t="s">
        <v>77</v>
      </c>
      <c r="D347" s="17" t="s">
        <v>43</v>
      </c>
      <c r="E347" s="17">
        <v>20411454</v>
      </c>
      <c r="F347" s="17" t="s">
        <v>962</v>
      </c>
      <c r="G347" s="17" t="s">
        <v>45</v>
      </c>
      <c r="H347" s="17" t="s">
        <v>54</v>
      </c>
      <c r="I347" s="18">
        <v>45748</v>
      </c>
      <c r="L347" s="19">
        <v>0</v>
      </c>
      <c r="M347" s="19">
        <v>175</v>
      </c>
      <c r="N347" s="17">
        <v>1</v>
      </c>
      <c r="O347" s="20">
        <v>1</v>
      </c>
      <c r="P347" s="17">
        <v>175</v>
      </c>
      <c r="R347" s="17" t="s">
        <v>936</v>
      </c>
    </row>
    <row r="348" spans="1:18" x14ac:dyDescent="0.25">
      <c r="A348" s="16" t="s">
        <v>793</v>
      </c>
      <c r="B348" s="16" t="str">
        <f t="shared" si="7"/>
        <v>00021882434KOV0</v>
      </c>
      <c r="C348" s="17" t="s">
        <v>580</v>
      </c>
      <c r="D348" s="17" t="s">
        <v>43</v>
      </c>
      <c r="E348" s="17">
        <v>20411454</v>
      </c>
      <c r="F348" s="17" t="s">
        <v>962</v>
      </c>
      <c r="G348" s="17" t="s">
        <v>45</v>
      </c>
      <c r="H348" s="17" t="s">
        <v>54</v>
      </c>
      <c r="I348" s="18">
        <v>45474</v>
      </c>
      <c r="J348" s="18">
        <v>45792</v>
      </c>
      <c r="K348" s="17">
        <v>1</v>
      </c>
      <c r="L348" s="19">
        <v>1</v>
      </c>
      <c r="M348" s="19">
        <v>1</v>
      </c>
      <c r="O348" s="20">
        <v>1</v>
      </c>
      <c r="P348" s="17">
        <v>9</v>
      </c>
      <c r="Q348" s="17" t="s">
        <v>473</v>
      </c>
      <c r="R348" s="17" t="s">
        <v>936</v>
      </c>
    </row>
    <row r="349" spans="1:18" x14ac:dyDescent="0.25">
      <c r="A349" s="16">
        <v>102159072900</v>
      </c>
      <c r="B349" s="16" t="str">
        <f t="shared" si="7"/>
        <v>1021590729000</v>
      </c>
      <c r="C349" s="17" t="s">
        <v>114</v>
      </c>
      <c r="D349" s="17" t="s">
        <v>89</v>
      </c>
      <c r="E349" s="17">
        <v>20411454</v>
      </c>
      <c r="F349" s="17" t="s">
        <v>962</v>
      </c>
      <c r="G349" s="17" t="s">
        <v>45</v>
      </c>
      <c r="H349" s="17" t="s">
        <v>95</v>
      </c>
      <c r="I349" s="18">
        <v>45748</v>
      </c>
      <c r="L349" s="19">
        <v>0</v>
      </c>
      <c r="M349" s="19">
        <v>37.5</v>
      </c>
      <c r="N349" s="17">
        <v>1</v>
      </c>
      <c r="O349" s="20">
        <v>1</v>
      </c>
      <c r="P349" s="17">
        <v>37.5</v>
      </c>
      <c r="Q349" s="17" t="s">
        <v>91</v>
      </c>
      <c r="R349" s="17" t="s">
        <v>933</v>
      </c>
    </row>
    <row r="350" spans="1:18" x14ac:dyDescent="0.25">
      <c r="A350" s="16" t="s">
        <v>672</v>
      </c>
      <c r="B350" s="16" t="str">
        <f t="shared" si="7"/>
        <v>00023187920KCB0</v>
      </c>
      <c r="C350" s="17" t="s">
        <v>158</v>
      </c>
      <c r="D350" s="17" t="s">
        <v>43</v>
      </c>
      <c r="E350" s="17">
        <v>20411454</v>
      </c>
      <c r="F350" s="17" t="s">
        <v>962</v>
      </c>
      <c r="G350" s="17" t="s">
        <v>148</v>
      </c>
      <c r="H350" s="17" t="s">
        <v>54</v>
      </c>
      <c r="I350" s="18">
        <v>45748</v>
      </c>
      <c r="L350" s="19">
        <v>0</v>
      </c>
      <c r="M350" s="17">
        <v>-175</v>
      </c>
      <c r="N350" s="17">
        <v>1</v>
      </c>
      <c r="O350" s="20">
        <v>1</v>
      </c>
      <c r="P350" s="17">
        <v>-175</v>
      </c>
      <c r="R350" s="17" t="s">
        <v>936</v>
      </c>
    </row>
    <row r="351" spans="1:18" x14ac:dyDescent="0.25">
      <c r="A351" s="16" t="s">
        <v>683</v>
      </c>
      <c r="B351" s="16" t="str">
        <f t="shared" si="7"/>
        <v>00023187920K0</v>
      </c>
      <c r="C351" s="17" t="s">
        <v>158</v>
      </c>
      <c r="D351" s="17" t="s">
        <v>43</v>
      </c>
      <c r="E351" s="17">
        <v>20411454</v>
      </c>
      <c r="F351" s="17" t="s">
        <v>962</v>
      </c>
      <c r="G351" s="17" t="s">
        <v>45</v>
      </c>
      <c r="H351" s="17" t="s">
        <v>54</v>
      </c>
      <c r="I351" s="18">
        <v>45778</v>
      </c>
      <c r="L351" s="19">
        <v>0</v>
      </c>
      <c r="M351" s="19">
        <v>175</v>
      </c>
      <c r="N351" s="17">
        <v>1</v>
      </c>
      <c r="O351" s="20">
        <v>1</v>
      </c>
      <c r="P351" s="17">
        <v>175</v>
      </c>
      <c r="R351" s="17" t="s">
        <v>936</v>
      </c>
    </row>
    <row r="352" spans="1:18" x14ac:dyDescent="0.25">
      <c r="A352" s="16" t="s">
        <v>842</v>
      </c>
      <c r="B352" s="16" t="str">
        <f t="shared" si="7"/>
        <v>00022040894KOV0</v>
      </c>
      <c r="C352" s="17" t="s">
        <v>538</v>
      </c>
      <c r="D352" s="17" t="s">
        <v>43</v>
      </c>
      <c r="E352" s="17">
        <v>20411454</v>
      </c>
      <c r="F352" s="17" t="s">
        <v>962</v>
      </c>
      <c r="G352" s="17" t="s">
        <v>45</v>
      </c>
      <c r="H352" s="17" t="s">
        <v>54</v>
      </c>
      <c r="I352" s="18">
        <v>45566</v>
      </c>
      <c r="J352" s="18">
        <v>45792</v>
      </c>
      <c r="K352" s="17">
        <v>1</v>
      </c>
      <c r="L352" s="19">
        <v>1</v>
      </c>
      <c r="M352" s="19">
        <v>1</v>
      </c>
      <c r="O352" s="20">
        <v>1</v>
      </c>
      <c r="P352" s="17">
        <v>9</v>
      </c>
      <c r="Q352" s="17" t="s">
        <v>473</v>
      </c>
      <c r="R352" s="17" t="s">
        <v>936</v>
      </c>
    </row>
    <row r="353" spans="1:18" x14ac:dyDescent="0.25">
      <c r="A353" s="16" t="s">
        <v>768</v>
      </c>
      <c r="B353" s="16" t="str">
        <f t="shared" si="7"/>
        <v>00021801538K0</v>
      </c>
      <c r="C353" s="17" t="s">
        <v>596</v>
      </c>
      <c r="D353" s="17" t="s">
        <v>43</v>
      </c>
      <c r="E353" s="17">
        <v>20411454</v>
      </c>
      <c r="F353" s="17" t="s">
        <v>962</v>
      </c>
      <c r="G353" s="17" t="s">
        <v>250</v>
      </c>
      <c r="H353" s="17" t="s">
        <v>54</v>
      </c>
      <c r="I353" s="18">
        <v>45444</v>
      </c>
      <c r="J353" s="18">
        <v>45792</v>
      </c>
      <c r="K353" s="17">
        <v>1</v>
      </c>
      <c r="L353" s="19">
        <v>1</v>
      </c>
      <c r="M353" s="19">
        <v>1</v>
      </c>
      <c r="O353" s="20">
        <v>1</v>
      </c>
      <c r="P353" s="17">
        <v>9</v>
      </c>
      <c r="Q353" s="17" t="s">
        <v>473</v>
      </c>
      <c r="R353" s="17" t="s">
        <v>936</v>
      </c>
    </row>
    <row r="354" spans="1:18" x14ac:dyDescent="0.25">
      <c r="A354" s="16">
        <v>102054999900</v>
      </c>
      <c r="B354" s="16" t="str">
        <f t="shared" si="7"/>
        <v>1020549999000</v>
      </c>
      <c r="C354" s="17" t="s">
        <v>357</v>
      </c>
      <c r="D354" s="17" t="s">
        <v>93</v>
      </c>
      <c r="E354" s="17">
        <v>20411454</v>
      </c>
      <c r="F354" s="17" t="s">
        <v>962</v>
      </c>
      <c r="G354" s="17" t="s">
        <v>45</v>
      </c>
      <c r="H354" s="17" t="s">
        <v>162</v>
      </c>
      <c r="I354" s="18">
        <v>45566</v>
      </c>
      <c r="J354" s="18">
        <v>45792</v>
      </c>
      <c r="K354" s="17">
        <v>1</v>
      </c>
      <c r="L354" s="19">
        <v>1</v>
      </c>
      <c r="M354" s="19">
        <v>1</v>
      </c>
      <c r="O354" s="20">
        <v>1</v>
      </c>
      <c r="P354" s="17">
        <v>2</v>
      </c>
      <c r="Q354" s="17" t="s">
        <v>288</v>
      </c>
      <c r="R354" s="17" t="s">
        <v>933</v>
      </c>
    </row>
    <row r="355" spans="1:18" x14ac:dyDescent="0.25">
      <c r="A355" s="16" t="s">
        <v>749</v>
      </c>
      <c r="B355" s="16" t="str">
        <f t="shared" si="7"/>
        <v>00011182221K0</v>
      </c>
      <c r="C355" s="17" t="s">
        <v>615</v>
      </c>
      <c r="D355" s="17" t="s">
        <v>43</v>
      </c>
      <c r="E355" s="17">
        <v>20411454</v>
      </c>
      <c r="F355" s="17" t="s">
        <v>962</v>
      </c>
      <c r="G355" s="17" t="s">
        <v>250</v>
      </c>
      <c r="H355" s="17" t="s">
        <v>54</v>
      </c>
      <c r="I355" s="18">
        <v>45566</v>
      </c>
      <c r="J355" s="18">
        <v>45792</v>
      </c>
      <c r="K355" s="17">
        <v>1</v>
      </c>
      <c r="L355" s="19">
        <v>1</v>
      </c>
      <c r="M355" s="19">
        <v>1</v>
      </c>
      <c r="O355" s="20">
        <v>1</v>
      </c>
      <c r="P355" s="17">
        <v>9</v>
      </c>
      <c r="Q355" s="17" t="s">
        <v>473</v>
      </c>
      <c r="R355" s="17" t="s">
        <v>936</v>
      </c>
    </row>
    <row r="356" spans="1:18" x14ac:dyDescent="0.25">
      <c r="A356" s="16">
        <v>102066652900</v>
      </c>
      <c r="B356" s="16" t="str">
        <f t="shared" si="7"/>
        <v>1020666529000</v>
      </c>
      <c r="C356" s="17" t="s">
        <v>321</v>
      </c>
      <c r="D356" s="17" t="s">
        <v>93</v>
      </c>
      <c r="E356" s="17">
        <v>20411454</v>
      </c>
      <c r="F356" s="17" t="s">
        <v>962</v>
      </c>
      <c r="G356" s="17" t="s">
        <v>45</v>
      </c>
      <c r="H356" s="17" t="s">
        <v>162</v>
      </c>
      <c r="I356" s="18">
        <v>45627</v>
      </c>
      <c r="J356" s="18">
        <v>45792</v>
      </c>
      <c r="K356" s="17">
        <v>1</v>
      </c>
      <c r="L356" s="19">
        <v>1</v>
      </c>
      <c r="M356" s="19">
        <v>1</v>
      </c>
      <c r="O356" s="20">
        <v>1</v>
      </c>
      <c r="P356" s="17">
        <v>2</v>
      </c>
      <c r="Q356" s="17" t="s">
        <v>288</v>
      </c>
      <c r="R356" s="17" t="s">
        <v>933</v>
      </c>
    </row>
    <row r="357" spans="1:18" x14ac:dyDescent="0.25">
      <c r="A357" s="16" t="s">
        <v>902</v>
      </c>
      <c r="B357" s="16" t="str">
        <f t="shared" si="7"/>
        <v>00022627896K0</v>
      </c>
      <c r="C357" s="17" t="s">
        <v>482</v>
      </c>
      <c r="D357" s="17" t="s">
        <v>43</v>
      </c>
      <c r="E357" s="17">
        <v>20411454</v>
      </c>
      <c r="F357" s="17" t="s">
        <v>962</v>
      </c>
      <c r="G357" s="17" t="s">
        <v>45</v>
      </c>
      <c r="H357" s="17" t="s">
        <v>54</v>
      </c>
      <c r="I357" s="18">
        <v>45627</v>
      </c>
      <c r="J357" s="18">
        <v>45792</v>
      </c>
      <c r="K357" s="17">
        <v>1</v>
      </c>
      <c r="L357" s="19">
        <v>1</v>
      </c>
      <c r="M357" s="19">
        <v>1</v>
      </c>
      <c r="O357" s="20">
        <v>1</v>
      </c>
      <c r="P357" s="17">
        <v>9</v>
      </c>
      <c r="Q357" s="17" t="s">
        <v>473</v>
      </c>
      <c r="R357" s="17" t="s">
        <v>936</v>
      </c>
    </row>
    <row r="358" spans="1:18" x14ac:dyDescent="0.25">
      <c r="A358" s="16" t="s">
        <v>627</v>
      </c>
      <c r="B358" s="16" t="str">
        <f t="shared" si="7"/>
        <v>00019960682K0</v>
      </c>
      <c r="C358" s="17" t="s">
        <v>59</v>
      </c>
      <c r="D358" s="17" t="s">
        <v>43</v>
      </c>
      <c r="E358" s="17">
        <v>20411454</v>
      </c>
      <c r="F358" s="17" t="s">
        <v>962</v>
      </c>
      <c r="G358" s="17" t="s">
        <v>45</v>
      </c>
      <c r="H358" s="17" t="s">
        <v>46</v>
      </c>
      <c r="I358" s="18">
        <v>45748</v>
      </c>
      <c r="L358" s="19">
        <v>0</v>
      </c>
      <c r="M358" s="19">
        <v>108</v>
      </c>
      <c r="N358" s="17">
        <v>1</v>
      </c>
      <c r="O358" s="20">
        <v>1</v>
      </c>
      <c r="P358" s="17">
        <v>108</v>
      </c>
      <c r="R358" s="17" t="s">
        <v>936</v>
      </c>
    </row>
    <row r="359" spans="1:18" x14ac:dyDescent="0.25">
      <c r="A359" s="16" t="s">
        <v>882</v>
      </c>
      <c r="B359" s="16" t="str">
        <f t="shared" si="7"/>
        <v>00022148995K0</v>
      </c>
      <c r="C359" s="17" t="s">
        <v>502</v>
      </c>
      <c r="D359" s="17" t="s">
        <v>43</v>
      </c>
      <c r="E359" s="17">
        <v>20411454</v>
      </c>
      <c r="F359" s="17" t="s">
        <v>962</v>
      </c>
      <c r="G359" s="17" t="s">
        <v>45</v>
      </c>
      <c r="H359" s="17" t="s">
        <v>54</v>
      </c>
      <c r="I359" s="18">
        <v>45597</v>
      </c>
      <c r="J359" s="18">
        <v>45792</v>
      </c>
      <c r="K359" s="17">
        <v>1</v>
      </c>
      <c r="L359" s="19">
        <v>1</v>
      </c>
      <c r="M359" s="19">
        <v>1</v>
      </c>
      <c r="O359" s="20">
        <v>1</v>
      </c>
      <c r="P359" s="17">
        <v>9</v>
      </c>
      <c r="Q359" s="17" t="s">
        <v>473</v>
      </c>
      <c r="R359" s="17" t="s">
        <v>936</v>
      </c>
    </row>
    <row r="360" spans="1:18" x14ac:dyDescent="0.25">
      <c r="A360" s="16">
        <v>102029053100</v>
      </c>
      <c r="B360" s="16" t="str">
        <f t="shared" si="7"/>
        <v>1020290531000</v>
      </c>
      <c r="C360" s="17" t="s">
        <v>424</v>
      </c>
      <c r="D360" s="17" t="s">
        <v>93</v>
      </c>
      <c r="E360" s="17">
        <v>20411454</v>
      </c>
      <c r="F360" s="17" t="s">
        <v>962</v>
      </c>
      <c r="G360" s="17" t="s">
        <v>45</v>
      </c>
      <c r="H360" s="17" t="s">
        <v>162</v>
      </c>
      <c r="I360" s="18">
        <v>45566</v>
      </c>
      <c r="J360" s="18">
        <v>45792</v>
      </c>
      <c r="K360" s="17">
        <v>1</v>
      </c>
      <c r="L360" s="19">
        <v>1</v>
      </c>
      <c r="M360" s="19">
        <v>1</v>
      </c>
      <c r="O360" s="20">
        <v>1</v>
      </c>
      <c r="P360" s="17">
        <v>2</v>
      </c>
      <c r="Q360" s="17" t="s">
        <v>288</v>
      </c>
      <c r="R360" s="17" t="s">
        <v>933</v>
      </c>
    </row>
    <row r="361" spans="1:18" x14ac:dyDescent="0.25">
      <c r="A361" s="16">
        <v>102097467700</v>
      </c>
      <c r="B361" s="16" t="str">
        <f t="shared" si="7"/>
        <v>1020974677000</v>
      </c>
      <c r="C361" s="17" t="s">
        <v>296</v>
      </c>
      <c r="D361" s="17" t="s">
        <v>128</v>
      </c>
      <c r="E361" s="17">
        <v>20411454</v>
      </c>
      <c r="F361" s="17" t="s">
        <v>962</v>
      </c>
      <c r="G361" s="17" t="s">
        <v>45</v>
      </c>
      <c r="H361" s="17" t="s">
        <v>162</v>
      </c>
      <c r="I361" s="18">
        <v>45627</v>
      </c>
      <c r="J361" s="18">
        <v>45792</v>
      </c>
      <c r="K361" s="17">
        <v>1</v>
      </c>
      <c r="L361" s="19">
        <v>1</v>
      </c>
      <c r="M361" s="19">
        <v>1</v>
      </c>
      <c r="O361" s="20">
        <v>1</v>
      </c>
      <c r="P361" s="17">
        <v>2</v>
      </c>
      <c r="Q361" s="17" t="s">
        <v>288</v>
      </c>
      <c r="R361" s="17" t="s">
        <v>933</v>
      </c>
    </row>
    <row r="362" spans="1:18" x14ac:dyDescent="0.25">
      <c r="A362" s="16" t="s">
        <v>765</v>
      </c>
      <c r="B362" s="16" t="str">
        <f t="shared" si="7"/>
        <v>00021783471K0</v>
      </c>
      <c r="C362" s="17" t="s">
        <v>600</v>
      </c>
      <c r="D362" s="17" t="s">
        <v>43</v>
      </c>
      <c r="E362" s="17">
        <v>20411454</v>
      </c>
      <c r="F362" s="17" t="s">
        <v>962</v>
      </c>
      <c r="G362" s="17" t="s">
        <v>250</v>
      </c>
      <c r="H362" s="17" t="s">
        <v>54</v>
      </c>
      <c r="I362" s="18">
        <v>45474</v>
      </c>
      <c r="J362" s="18">
        <v>45792</v>
      </c>
      <c r="K362" s="17">
        <v>1</v>
      </c>
      <c r="L362" s="19">
        <v>1</v>
      </c>
      <c r="M362" s="19">
        <v>1</v>
      </c>
      <c r="O362" s="20">
        <v>1</v>
      </c>
      <c r="P362" s="17">
        <v>9</v>
      </c>
      <c r="Q362" s="17" t="s">
        <v>473</v>
      </c>
      <c r="R362" s="17" t="s">
        <v>936</v>
      </c>
    </row>
    <row r="363" spans="1:18" x14ac:dyDescent="0.25">
      <c r="A363" s="16">
        <v>102160975500</v>
      </c>
      <c r="B363" s="16" t="str">
        <f t="shared" si="7"/>
        <v>1021609755000</v>
      </c>
      <c r="C363" s="17" t="s">
        <v>219</v>
      </c>
      <c r="D363" s="17" t="s">
        <v>89</v>
      </c>
      <c r="E363" s="17">
        <v>20411454</v>
      </c>
      <c r="F363" s="17" t="s">
        <v>962</v>
      </c>
      <c r="G363" s="17" t="s">
        <v>45</v>
      </c>
      <c r="H363" s="17" t="s">
        <v>95</v>
      </c>
      <c r="I363" s="18">
        <v>45748</v>
      </c>
      <c r="L363" s="19">
        <v>0</v>
      </c>
      <c r="M363" s="19">
        <v>37.5</v>
      </c>
      <c r="N363" s="17">
        <v>1</v>
      </c>
      <c r="O363" s="20">
        <v>1</v>
      </c>
      <c r="P363" s="17">
        <v>37.5</v>
      </c>
      <c r="Q363" s="17" t="s">
        <v>91</v>
      </c>
      <c r="R363" s="17" t="s">
        <v>933</v>
      </c>
    </row>
    <row r="364" spans="1:18" x14ac:dyDescent="0.25">
      <c r="A364" s="16" t="s">
        <v>853</v>
      </c>
      <c r="B364" s="16" t="str">
        <f t="shared" si="7"/>
        <v>00022077277K0</v>
      </c>
      <c r="C364" s="17" t="s">
        <v>527</v>
      </c>
      <c r="D364" s="17" t="s">
        <v>43</v>
      </c>
      <c r="E364" s="17">
        <v>20411454</v>
      </c>
      <c r="F364" s="17" t="s">
        <v>962</v>
      </c>
      <c r="G364" s="17" t="s">
        <v>45</v>
      </c>
      <c r="H364" s="17" t="s">
        <v>54</v>
      </c>
      <c r="I364" s="18">
        <v>45566</v>
      </c>
      <c r="J364" s="18">
        <v>45792</v>
      </c>
      <c r="K364" s="17">
        <v>1</v>
      </c>
      <c r="L364" s="19">
        <v>1</v>
      </c>
      <c r="M364" s="19">
        <v>1</v>
      </c>
      <c r="O364" s="20">
        <v>1</v>
      </c>
      <c r="P364" s="17">
        <v>9</v>
      </c>
      <c r="Q364" s="17" t="s">
        <v>473</v>
      </c>
      <c r="R364" s="17" t="s">
        <v>936</v>
      </c>
    </row>
    <row r="365" spans="1:18" x14ac:dyDescent="0.25">
      <c r="A365" s="16" t="s">
        <v>925</v>
      </c>
      <c r="B365" s="16" t="str">
        <f t="shared" si="7"/>
        <v>981141937OV0</v>
      </c>
      <c r="C365" s="17" t="s">
        <v>264</v>
      </c>
      <c r="D365" s="17" t="s">
        <v>133</v>
      </c>
      <c r="E365" s="17">
        <v>20411454</v>
      </c>
      <c r="F365" s="17" t="s">
        <v>962</v>
      </c>
      <c r="G365" s="17" t="s">
        <v>45</v>
      </c>
      <c r="H365" s="17" t="s">
        <v>169</v>
      </c>
      <c r="I365" s="18">
        <v>45597</v>
      </c>
      <c r="J365" s="18">
        <v>45792</v>
      </c>
      <c r="K365" s="17">
        <v>1</v>
      </c>
      <c r="L365" s="19">
        <v>1</v>
      </c>
      <c r="M365" s="19">
        <v>1</v>
      </c>
      <c r="O365" s="20">
        <v>1</v>
      </c>
      <c r="P365" s="17">
        <v>6</v>
      </c>
      <c r="Q365" s="17" t="s">
        <v>248</v>
      </c>
      <c r="R365" s="17" t="s">
        <v>946</v>
      </c>
    </row>
    <row r="366" spans="1:18" x14ac:dyDescent="0.25">
      <c r="A366" s="16">
        <v>101557848700</v>
      </c>
      <c r="B366" s="16" t="str">
        <f t="shared" si="7"/>
        <v>1015578487000</v>
      </c>
      <c r="C366" s="17" t="s">
        <v>102</v>
      </c>
      <c r="D366" s="17" t="s">
        <v>89</v>
      </c>
      <c r="E366" s="17">
        <v>20411454</v>
      </c>
      <c r="F366" s="17" t="s">
        <v>962</v>
      </c>
      <c r="G366" s="17" t="s">
        <v>45</v>
      </c>
      <c r="H366" s="17" t="s">
        <v>95</v>
      </c>
      <c r="I366" s="18">
        <v>45748</v>
      </c>
      <c r="L366" s="19">
        <v>0</v>
      </c>
      <c r="M366" s="19">
        <v>37.5</v>
      </c>
      <c r="N366" s="17">
        <v>1</v>
      </c>
      <c r="O366" s="20">
        <v>1</v>
      </c>
      <c r="P366" s="17">
        <v>37.5</v>
      </c>
      <c r="Q366" s="17" t="s">
        <v>91</v>
      </c>
      <c r="R366" s="17" t="s">
        <v>933</v>
      </c>
    </row>
    <row r="367" spans="1:18" x14ac:dyDescent="0.25">
      <c r="A367" s="16">
        <v>102052502800</v>
      </c>
      <c r="B367" s="16" t="str">
        <f t="shared" si="7"/>
        <v>1020525028000</v>
      </c>
      <c r="C367" s="17" t="s">
        <v>363</v>
      </c>
      <c r="D367" s="17" t="s">
        <v>89</v>
      </c>
      <c r="E367" s="17">
        <v>20411454</v>
      </c>
      <c r="F367" s="17" t="s">
        <v>962</v>
      </c>
      <c r="G367" s="17" t="s">
        <v>45</v>
      </c>
      <c r="H367" s="17" t="s">
        <v>162</v>
      </c>
      <c r="I367" s="18">
        <v>45536</v>
      </c>
      <c r="J367" s="18">
        <v>45792</v>
      </c>
      <c r="K367" s="17">
        <v>1</v>
      </c>
      <c r="L367" s="19">
        <v>1</v>
      </c>
      <c r="M367" s="19">
        <v>1</v>
      </c>
      <c r="O367" s="20">
        <v>1</v>
      </c>
      <c r="P367" s="17">
        <v>2</v>
      </c>
      <c r="Q367" s="17" t="s">
        <v>288</v>
      </c>
      <c r="R367" s="17" t="s">
        <v>933</v>
      </c>
    </row>
    <row r="368" spans="1:18" x14ac:dyDescent="0.25">
      <c r="A368" s="16">
        <v>102059560100</v>
      </c>
      <c r="B368" s="16" t="str">
        <f t="shared" si="7"/>
        <v>1020595601000</v>
      </c>
      <c r="C368" s="17" t="s">
        <v>342</v>
      </c>
      <c r="D368" s="17" t="s">
        <v>117</v>
      </c>
      <c r="E368" s="17">
        <v>20411454</v>
      </c>
      <c r="F368" s="17" t="s">
        <v>962</v>
      </c>
      <c r="G368" s="17" t="s">
        <v>45</v>
      </c>
      <c r="H368" s="17" t="s">
        <v>162</v>
      </c>
      <c r="I368" s="18">
        <v>45566</v>
      </c>
      <c r="J368" s="18">
        <v>45792</v>
      </c>
      <c r="K368" s="17">
        <v>1</v>
      </c>
      <c r="L368" s="19">
        <v>1</v>
      </c>
      <c r="M368" s="19">
        <v>1</v>
      </c>
      <c r="O368" s="20">
        <v>1</v>
      </c>
      <c r="P368" s="17">
        <v>2</v>
      </c>
      <c r="Q368" s="17" t="s">
        <v>288</v>
      </c>
      <c r="R368" s="17" t="s">
        <v>933</v>
      </c>
    </row>
    <row r="369" spans="1:18" x14ac:dyDescent="0.25">
      <c r="A369" s="16" t="s">
        <v>918</v>
      </c>
      <c r="B369" s="16" t="str">
        <f t="shared" si="7"/>
        <v>829W215440</v>
      </c>
      <c r="C369" s="17" t="s">
        <v>277</v>
      </c>
      <c r="E369" s="17">
        <v>20411454</v>
      </c>
      <c r="F369" s="17" t="s">
        <v>962</v>
      </c>
      <c r="G369" s="17" t="s">
        <v>45</v>
      </c>
      <c r="H369" s="17" t="s">
        <v>271</v>
      </c>
      <c r="I369" s="18">
        <v>45597</v>
      </c>
      <c r="J369" s="18">
        <v>47939</v>
      </c>
      <c r="K369" s="17">
        <v>1</v>
      </c>
      <c r="L369" s="19">
        <v>1</v>
      </c>
      <c r="M369" s="19">
        <v>1</v>
      </c>
      <c r="O369" s="20">
        <v>1</v>
      </c>
      <c r="P369" s="17">
        <v>7</v>
      </c>
      <c r="Q369" s="17" t="s">
        <v>270</v>
      </c>
      <c r="R369" s="17" t="s">
        <v>934</v>
      </c>
    </row>
    <row r="370" spans="1:18" x14ac:dyDescent="0.25">
      <c r="A370" s="16" t="s">
        <v>692</v>
      </c>
      <c r="B370" s="16" t="str">
        <f t="shared" si="7"/>
        <v>00023247603K0</v>
      </c>
      <c r="C370" s="17" t="s">
        <v>235</v>
      </c>
      <c r="D370" s="17" t="s">
        <v>43</v>
      </c>
      <c r="E370" s="17">
        <v>20411454</v>
      </c>
      <c r="F370" s="17" t="s">
        <v>962</v>
      </c>
      <c r="G370" s="17" t="s">
        <v>45</v>
      </c>
      <c r="H370" s="17" t="s">
        <v>54</v>
      </c>
      <c r="I370" s="18">
        <v>45748</v>
      </c>
      <c r="L370" s="19">
        <v>0</v>
      </c>
      <c r="M370" s="19">
        <v>175</v>
      </c>
      <c r="N370" s="17">
        <v>1</v>
      </c>
      <c r="O370" s="20">
        <v>1</v>
      </c>
      <c r="P370" s="17">
        <v>175</v>
      </c>
      <c r="R370" s="17" t="s">
        <v>936</v>
      </c>
    </row>
    <row r="371" spans="1:18" x14ac:dyDescent="0.25">
      <c r="A371" s="16" t="s">
        <v>827</v>
      </c>
      <c r="B371" s="16" t="str">
        <f t="shared" si="7"/>
        <v>00022021720K0</v>
      </c>
      <c r="C371" s="17" t="s">
        <v>548</v>
      </c>
      <c r="D371" s="17" t="s">
        <v>43</v>
      </c>
      <c r="E371" s="17">
        <v>20411454</v>
      </c>
      <c r="F371" s="17" t="s">
        <v>962</v>
      </c>
      <c r="G371" s="17" t="s">
        <v>250</v>
      </c>
      <c r="H371" s="17" t="s">
        <v>54</v>
      </c>
      <c r="I371" s="18">
        <v>45536</v>
      </c>
      <c r="J371" s="18">
        <v>45792</v>
      </c>
      <c r="K371" s="17">
        <v>1</v>
      </c>
      <c r="L371" s="19">
        <v>1</v>
      </c>
      <c r="M371" s="19">
        <v>1</v>
      </c>
      <c r="O371" s="20">
        <v>1</v>
      </c>
      <c r="P371" s="17">
        <v>9</v>
      </c>
      <c r="Q371" s="17" t="s">
        <v>473</v>
      </c>
      <c r="R371" s="17" t="s">
        <v>936</v>
      </c>
    </row>
    <row r="372" spans="1:18" x14ac:dyDescent="0.25">
      <c r="A372" s="16" t="s">
        <v>850</v>
      </c>
      <c r="B372" s="16" t="str">
        <f t="shared" si="7"/>
        <v>00022074715K0</v>
      </c>
      <c r="C372" s="17" t="s">
        <v>530</v>
      </c>
      <c r="D372" s="17" t="s">
        <v>43</v>
      </c>
      <c r="E372" s="17">
        <v>20411454</v>
      </c>
      <c r="F372" s="17" t="s">
        <v>962</v>
      </c>
      <c r="G372" s="17" t="s">
        <v>45</v>
      </c>
      <c r="H372" s="17" t="s">
        <v>54</v>
      </c>
      <c r="I372" s="18">
        <v>45627</v>
      </c>
      <c r="J372" s="18">
        <v>45792</v>
      </c>
      <c r="K372" s="17">
        <v>1</v>
      </c>
      <c r="L372" s="19">
        <v>1</v>
      </c>
      <c r="M372" s="19">
        <v>1</v>
      </c>
      <c r="O372" s="20">
        <v>1</v>
      </c>
      <c r="P372" s="17">
        <v>9</v>
      </c>
      <c r="Q372" s="17" t="s">
        <v>473</v>
      </c>
      <c r="R372" s="17" t="s">
        <v>936</v>
      </c>
    </row>
    <row r="373" spans="1:18" x14ac:dyDescent="0.25">
      <c r="A373" s="16">
        <v>102006527900</v>
      </c>
      <c r="B373" s="16" t="str">
        <f t="shared" si="7"/>
        <v>1020065279000</v>
      </c>
      <c r="C373" s="17" t="s">
        <v>458</v>
      </c>
      <c r="D373" s="17" t="s">
        <v>369</v>
      </c>
      <c r="E373" s="17">
        <v>20411454</v>
      </c>
      <c r="F373" s="17" t="s">
        <v>962</v>
      </c>
      <c r="G373" s="17" t="s">
        <v>45</v>
      </c>
      <c r="H373" s="17" t="s">
        <v>162</v>
      </c>
      <c r="I373" s="18">
        <v>45444</v>
      </c>
      <c r="J373" s="18">
        <v>45792</v>
      </c>
      <c r="K373" s="17">
        <v>1</v>
      </c>
      <c r="L373" s="19">
        <v>1</v>
      </c>
      <c r="M373" s="19">
        <v>1</v>
      </c>
      <c r="O373" s="20">
        <v>1</v>
      </c>
      <c r="P373" s="17">
        <v>2</v>
      </c>
      <c r="Q373" s="17" t="s">
        <v>288</v>
      </c>
      <c r="R373" s="17" t="s">
        <v>933</v>
      </c>
    </row>
    <row r="374" spans="1:18" x14ac:dyDescent="0.25">
      <c r="A374" s="16" t="s">
        <v>706</v>
      </c>
      <c r="B374" s="16" t="str">
        <f t="shared" si="7"/>
        <v>925174142OV0</v>
      </c>
      <c r="C374" s="17" t="s">
        <v>201</v>
      </c>
      <c r="D374" s="17" t="s">
        <v>133</v>
      </c>
      <c r="E374" s="17">
        <v>20411454</v>
      </c>
      <c r="F374" s="17" t="s">
        <v>962</v>
      </c>
      <c r="G374" s="17" t="s">
        <v>45</v>
      </c>
      <c r="H374" s="17" t="s">
        <v>124</v>
      </c>
      <c r="I374" s="18">
        <v>45748</v>
      </c>
      <c r="L374" s="19">
        <v>0</v>
      </c>
      <c r="M374" s="19">
        <v>175</v>
      </c>
      <c r="N374" s="17">
        <v>1</v>
      </c>
      <c r="O374" s="20">
        <v>1</v>
      </c>
      <c r="P374" s="17">
        <v>175</v>
      </c>
      <c r="R374" s="17" t="s">
        <v>946</v>
      </c>
    </row>
    <row r="375" spans="1:18" x14ac:dyDescent="0.25">
      <c r="A375" s="16" t="s">
        <v>799</v>
      </c>
      <c r="B375" s="16" t="str">
        <f t="shared" si="7"/>
        <v>00021895596K0</v>
      </c>
      <c r="C375" s="17" t="s">
        <v>574</v>
      </c>
      <c r="D375" s="17" t="s">
        <v>43</v>
      </c>
      <c r="E375" s="17">
        <v>20411454</v>
      </c>
      <c r="F375" s="17" t="s">
        <v>962</v>
      </c>
      <c r="G375" s="17" t="s">
        <v>250</v>
      </c>
      <c r="H375" s="17" t="s">
        <v>54</v>
      </c>
      <c r="I375" s="18">
        <v>45474</v>
      </c>
      <c r="J375" s="18">
        <v>45792</v>
      </c>
      <c r="K375" s="17">
        <v>1</v>
      </c>
      <c r="L375" s="19">
        <v>1</v>
      </c>
      <c r="M375" s="19">
        <v>1</v>
      </c>
      <c r="O375" s="20">
        <v>1</v>
      </c>
      <c r="P375" s="17">
        <v>9</v>
      </c>
      <c r="Q375" s="17" t="s">
        <v>473</v>
      </c>
      <c r="R375" s="17" t="s">
        <v>936</v>
      </c>
    </row>
    <row r="376" spans="1:18" x14ac:dyDescent="0.25">
      <c r="A376" s="16" t="s">
        <v>753</v>
      </c>
      <c r="B376" s="16" t="str">
        <f t="shared" si="7"/>
        <v>00017632868K0</v>
      </c>
      <c r="C376" s="17" t="s">
        <v>611</v>
      </c>
      <c r="D376" s="17" t="s">
        <v>43</v>
      </c>
      <c r="E376" s="17">
        <v>20411454</v>
      </c>
      <c r="F376" s="17" t="s">
        <v>962</v>
      </c>
      <c r="G376" s="17" t="s">
        <v>45</v>
      </c>
      <c r="H376" s="17" t="s">
        <v>54</v>
      </c>
      <c r="I376" s="18">
        <v>45627</v>
      </c>
      <c r="J376" s="18">
        <v>45792</v>
      </c>
      <c r="K376" s="17">
        <v>1</v>
      </c>
      <c r="L376" s="19">
        <v>1</v>
      </c>
      <c r="M376" s="19">
        <v>1</v>
      </c>
      <c r="O376" s="20">
        <v>1</v>
      </c>
      <c r="P376" s="17">
        <v>9</v>
      </c>
      <c r="Q376" s="17" t="s">
        <v>473</v>
      </c>
      <c r="R376" s="17" t="s">
        <v>936</v>
      </c>
    </row>
    <row r="377" spans="1:18" x14ac:dyDescent="0.25">
      <c r="A377" s="16" t="s">
        <v>720</v>
      </c>
      <c r="B377" s="16" t="str">
        <f t="shared" si="7"/>
        <v>00022700969KCB0</v>
      </c>
      <c r="C377" s="17" t="s">
        <v>184</v>
      </c>
      <c r="D377" s="17" t="s">
        <v>43</v>
      </c>
      <c r="E377" s="17">
        <v>20411454</v>
      </c>
      <c r="F377" s="17" t="s">
        <v>962</v>
      </c>
      <c r="G377" s="17" t="s">
        <v>148</v>
      </c>
      <c r="H377" s="17" t="s">
        <v>54</v>
      </c>
      <c r="I377" s="18">
        <v>45658</v>
      </c>
      <c r="L377" s="19">
        <v>0</v>
      </c>
      <c r="M377" s="17">
        <v>-175</v>
      </c>
      <c r="N377" s="17">
        <v>1</v>
      </c>
      <c r="O377" s="20">
        <v>1</v>
      </c>
      <c r="P377" s="17">
        <v>-175</v>
      </c>
      <c r="R377" s="17" t="s">
        <v>936</v>
      </c>
    </row>
    <row r="378" spans="1:18" x14ac:dyDescent="0.25">
      <c r="A378" s="16">
        <v>102022261800</v>
      </c>
      <c r="B378" s="16" t="str">
        <f t="shared" si="7"/>
        <v>1020222618000</v>
      </c>
      <c r="C378" s="17" t="s">
        <v>434</v>
      </c>
      <c r="D378" s="17" t="s">
        <v>93</v>
      </c>
      <c r="E378" s="17">
        <v>20411454</v>
      </c>
      <c r="F378" s="17" t="s">
        <v>962</v>
      </c>
      <c r="G378" s="17" t="s">
        <v>45</v>
      </c>
      <c r="H378" s="17" t="s">
        <v>162</v>
      </c>
      <c r="I378" s="18">
        <v>45474</v>
      </c>
      <c r="J378" s="18">
        <v>45792</v>
      </c>
      <c r="K378" s="17">
        <v>1</v>
      </c>
      <c r="L378" s="19">
        <v>1</v>
      </c>
      <c r="M378" s="19">
        <v>1</v>
      </c>
      <c r="O378" s="20">
        <v>1</v>
      </c>
      <c r="P378" s="17">
        <v>2</v>
      </c>
      <c r="Q378" s="17" t="s">
        <v>288</v>
      </c>
      <c r="R378" s="17" t="s">
        <v>933</v>
      </c>
    </row>
    <row r="379" spans="1:18" x14ac:dyDescent="0.25">
      <c r="A379" s="16">
        <v>102015762800</v>
      </c>
      <c r="B379" s="16" t="str">
        <f t="shared" si="7"/>
        <v>1020157628000</v>
      </c>
      <c r="C379" s="17" t="s">
        <v>445</v>
      </c>
      <c r="D379" s="17" t="s">
        <v>93</v>
      </c>
      <c r="E379" s="17">
        <v>20411454</v>
      </c>
      <c r="F379" s="17" t="s">
        <v>962</v>
      </c>
      <c r="G379" s="17" t="s">
        <v>45</v>
      </c>
      <c r="H379" s="17" t="s">
        <v>162</v>
      </c>
      <c r="I379" s="18">
        <v>45474</v>
      </c>
      <c r="J379" s="18">
        <v>45792</v>
      </c>
      <c r="K379" s="17">
        <v>1</v>
      </c>
      <c r="L379" s="19">
        <v>1</v>
      </c>
      <c r="M379" s="19">
        <v>1</v>
      </c>
      <c r="O379" s="20">
        <v>1</v>
      </c>
      <c r="P379" s="17">
        <v>2</v>
      </c>
      <c r="Q379" s="17" t="s">
        <v>288</v>
      </c>
      <c r="R379" s="17" t="s">
        <v>933</v>
      </c>
    </row>
    <row r="380" spans="1:18" x14ac:dyDescent="0.25">
      <c r="A380" s="16">
        <v>101338772600</v>
      </c>
      <c r="B380" s="16" t="str">
        <f t="shared" si="7"/>
        <v>1013387726000</v>
      </c>
      <c r="C380" s="17" t="s">
        <v>466</v>
      </c>
      <c r="D380" s="17" t="s">
        <v>43</v>
      </c>
      <c r="E380" s="17">
        <v>20411454</v>
      </c>
      <c r="F380" s="17" t="s">
        <v>962</v>
      </c>
      <c r="G380" s="17" t="s">
        <v>45</v>
      </c>
      <c r="H380" s="17" t="s">
        <v>162</v>
      </c>
      <c r="I380" s="18">
        <v>45536</v>
      </c>
      <c r="J380" s="18">
        <v>45792</v>
      </c>
      <c r="K380" s="17">
        <v>1</v>
      </c>
      <c r="L380" s="19">
        <v>1</v>
      </c>
      <c r="M380" s="19">
        <v>1</v>
      </c>
      <c r="O380" s="20">
        <v>1</v>
      </c>
      <c r="P380" s="17">
        <v>2</v>
      </c>
      <c r="Q380" s="17" t="s">
        <v>288</v>
      </c>
      <c r="R380" s="17" t="s">
        <v>933</v>
      </c>
    </row>
    <row r="381" spans="1:18" x14ac:dyDescent="0.25">
      <c r="A381" s="16">
        <v>102066402500</v>
      </c>
      <c r="B381" s="16" t="str">
        <f t="shared" si="7"/>
        <v>1020664025000</v>
      </c>
      <c r="C381" s="17" t="s">
        <v>322</v>
      </c>
      <c r="D381" s="17" t="s">
        <v>89</v>
      </c>
      <c r="E381" s="17">
        <v>20411454</v>
      </c>
      <c r="F381" s="17" t="s">
        <v>962</v>
      </c>
      <c r="G381" s="17" t="s">
        <v>45</v>
      </c>
      <c r="H381" s="17" t="s">
        <v>162</v>
      </c>
      <c r="I381" s="18">
        <v>45597</v>
      </c>
      <c r="J381" s="18">
        <v>45792</v>
      </c>
      <c r="K381" s="17">
        <v>1</v>
      </c>
      <c r="L381" s="19">
        <v>1</v>
      </c>
      <c r="M381" s="19">
        <v>1</v>
      </c>
      <c r="O381" s="20">
        <v>1</v>
      </c>
      <c r="P381" s="17">
        <v>2</v>
      </c>
      <c r="Q381" s="17" t="s">
        <v>288</v>
      </c>
      <c r="R381" s="17" t="s">
        <v>933</v>
      </c>
    </row>
    <row r="382" spans="1:18" x14ac:dyDescent="0.25">
      <c r="A382" s="16" t="s">
        <v>668</v>
      </c>
      <c r="B382" s="16" t="str">
        <f t="shared" si="7"/>
        <v>00022965116KPC0</v>
      </c>
      <c r="C382" s="17" t="s">
        <v>64</v>
      </c>
      <c r="D382" s="17" t="s">
        <v>43</v>
      </c>
      <c r="E382" s="17">
        <v>20411454</v>
      </c>
      <c r="F382" s="17" t="s">
        <v>962</v>
      </c>
      <c r="G382" s="17" t="s">
        <v>148</v>
      </c>
      <c r="H382" s="17" t="s">
        <v>54</v>
      </c>
      <c r="I382" s="18">
        <v>45658</v>
      </c>
      <c r="L382" s="19">
        <v>0</v>
      </c>
      <c r="M382" s="17">
        <v>-131.25</v>
      </c>
      <c r="N382" s="17">
        <v>1</v>
      </c>
      <c r="O382" s="20">
        <v>1</v>
      </c>
      <c r="P382" s="17">
        <v>-131.25</v>
      </c>
      <c r="R382" s="17" t="s">
        <v>936</v>
      </c>
    </row>
    <row r="383" spans="1:18" x14ac:dyDescent="0.25">
      <c r="A383" s="16" t="s">
        <v>630</v>
      </c>
      <c r="B383" s="16" t="str">
        <f t="shared" si="7"/>
        <v>00022965116K0</v>
      </c>
      <c r="C383" s="17" t="s">
        <v>64</v>
      </c>
      <c r="D383" s="17" t="s">
        <v>43</v>
      </c>
      <c r="E383" s="17">
        <v>20411454</v>
      </c>
      <c r="F383" s="17" t="s">
        <v>962</v>
      </c>
      <c r="G383" s="17" t="s">
        <v>45</v>
      </c>
      <c r="H383" s="17" t="s">
        <v>46</v>
      </c>
      <c r="I383" s="18">
        <v>45748</v>
      </c>
      <c r="L383" s="19">
        <v>0</v>
      </c>
      <c r="M383" s="19">
        <v>108</v>
      </c>
      <c r="N383" s="17">
        <v>1</v>
      </c>
      <c r="O383" s="20">
        <v>1</v>
      </c>
      <c r="P383" s="17">
        <v>108</v>
      </c>
      <c r="R383" s="17" t="s">
        <v>936</v>
      </c>
    </row>
    <row r="384" spans="1:18" x14ac:dyDescent="0.25">
      <c r="A384" s="16" t="s">
        <v>687</v>
      </c>
      <c r="B384" s="16" t="str">
        <f t="shared" si="7"/>
        <v>00023243949K0</v>
      </c>
      <c r="C384" s="17" t="s">
        <v>240</v>
      </c>
      <c r="D384" s="17" t="s">
        <v>43</v>
      </c>
      <c r="E384" s="17">
        <v>20411454</v>
      </c>
      <c r="F384" s="17" t="s">
        <v>962</v>
      </c>
      <c r="G384" s="17" t="s">
        <v>45</v>
      </c>
      <c r="H384" s="17" t="s">
        <v>54</v>
      </c>
      <c r="I384" s="18">
        <v>45748</v>
      </c>
      <c r="L384" s="19">
        <v>0</v>
      </c>
      <c r="M384" s="19">
        <v>175</v>
      </c>
      <c r="N384" s="17">
        <v>1</v>
      </c>
      <c r="O384" s="20">
        <v>1</v>
      </c>
      <c r="P384" s="17">
        <v>175</v>
      </c>
      <c r="R384" s="17" t="s">
        <v>936</v>
      </c>
    </row>
    <row r="385" spans="1:18" x14ac:dyDescent="0.25">
      <c r="A385" s="16" t="s">
        <v>894</v>
      </c>
      <c r="B385" s="16" t="str">
        <f t="shared" si="7"/>
        <v>00022406995K0</v>
      </c>
      <c r="C385" s="17" t="s">
        <v>490</v>
      </c>
      <c r="D385" s="17" t="s">
        <v>43</v>
      </c>
      <c r="E385" s="17">
        <v>20411454</v>
      </c>
      <c r="F385" s="17" t="s">
        <v>962</v>
      </c>
      <c r="G385" s="17" t="s">
        <v>45</v>
      </c>
      <c r="H385" s="17" t="s">
        <v>54</v>
      </c>
      <c r="I385" s="18">
        <v>45627</v>
      </c>
      <c r="J385" s="18">
        <v>45792</v>
      </c>
      <c r="K385" s="17">
        <v>1</v>
      </c>
      <c r="L385" s="19">
        <v>1</v>
      </c>
      <c r="M385" s="19">
        <v>1</v>
      </c>
      <c r="O385" s="20">
        <v>1</v>
      </c>
      <c r="P385" s="17">
        <v>9</v>
      </c>
      <c r="Q385" s="17" t="s">
        <v>473</v>
      </c>
      <c r="R385" s="17" t="s">
        <v>936</v>
      </c>
    </row>
    <row r="386" spans="1:18" x14ac:dyDescent="0.25">
      <c r="A386" s="16">
        <v>102035997700</v>
      </c>
      <c r="B386" s="16" t="str">
        <f t="shared" si="7"/>
        <v>1020359977000</v>
      </c>
      <c r="C386" s="17" t="s">
        <v>408</v>
      </c>
      <c r="D386" s="17" t="s">
        <v>93</v>
      </c>
      <c r="E386" s="17">
        <v>20411454</v>
      </c>
      <c r="F386" s="17" t="s">
        <v>962</v>
      </c>
      <c r="G386" s="17" t="s">
        <v>45</v>
      </c>
      <c r="H386" s="17" t="s">
        <v>308</v>
      </c>
      <c r="I386" s="18">
        <v>45474</v>
      </c>
      <c r="J386" s="18">
        <v>45792</v>
      </c>
      <c r="K386" s="17">
        <v>1</v>
      </c>
      <c r="L386" s="19">
        <v>1</v>
      </c>
      <c r="M386" s="19">
        <v>1</v>
      </c>
      <c r="O386" s="20">
        <v>1</v>
      </c>
      <c r="P386" s="17">
        <v>2</v>
      </c>
      <c r="Q386" s="17" t="s">
        <v>288</v>
      </c>
      <c r="R386" s="17" t="s">
        <v>933</v>
      </c>
    </row>
    <row r="387" spans="1:18" x14ac:dyDescent="0.25">
      <c r="A387" s="16" t="s">
        <v>705</v>
      </c>
      <c r="B387" s="16" t="str">
        <f t="shared" si="7"/>
        <v>916875754OV0</v>
      </c>
      <c r="C387" s="17" t="s">
        <v>202</v>
      </c>
      <c r="D387" s="17" t="s">
        <v>89</v>
      </c>
      <c r="E387" s="17">
        <v>20411454</v>
      </c>
      <c r="F387" s="17" t="s">
        <v>962</v>
      </c>
      <c r="G387" s="17" t="s">
        <v>45</v>
      </c>
      <c r="H387" s="17" t="s">
        <v>124</v>
      </c>
      <c r="I387" s="18">
        <v>45778</v>
      </c>
      <c r="L387" s="19">
        <v>0</v>
      </c>
      <c r="M387" s="19">
        <v>175</v>
      </c>
      <c r="N387" s="17">
        <v>1</v>
      </c>
      <c r="O387" s="20">
        <v>1</v>
      </c>
      <c r="P387" s="17">
        <v>175</v>
      </c>
      <c r="R387" s="17" t="s">
        <v>946</v>
      </c>
    </row>
    <row r="388" spans="1:18" x14ac:dyDescent="0.25">
      <c r="A388" s="16" t="s">
        <v>682</v>
      </c>
      <c r="B388" s="16" t="str">
        <f t="shared" si="7"/>
        <v>00019870511K0</v>
      </c>
      <c r="C388" s="17" t="s">
        <v>245</v>
      </c>
      <c r="D388" s="17" t="s">
        <v>89</v>
      </c>
      <c r="E388" s="17">
        <v>20411454</v>
      </c>
      <c r="F388" s="17" t="s">
        <v>962</v>
      </c>
      <c r="G388" s="17" t="s">
        <v>45</v>
      </c>
      <c r="H388" s="17" t="s">
        <v>54</v>
      </c>
      <c r="I388" s="18">
        <v>45748</v>
      </c>
      <c r="L388" s="19">
        <v>0</v>
      </c>
      <c r="M388" s="19">
        <v>175</v>
      </c>
      <c r="N388" s="17">
        <v>1</v>
      </c>
      <c r="O388" s="20">
        <v>1</v>
      </c>
      <c r="P388" s="17">
        <v>175</v>
      </c>
      <c r="R388" s="17" t="s">
        <v>936</v>
      </c>
    </row>
    <row r="389" spans="1:18" x14ac:dyDescent="0.25">
      <c r="A389" s="16">
        <v>101373587000</v>
      </c>
      <c r="B389" s="16" t="str">
        <f t="shared" si="7"/>
        <v>1013735870000</v>
      </c>
      <c r="C389" s="17" t="s">
        <v>101</v>
      </c>
      <c r="D389" s="17" t="s">
        <v>89</v>
      </c>
      <c r="E389" s="17">
        <v>20411454</v>
      </c>
      <c r="F389" s="17" t="s">
        <v>962</v>
      </c>
      <c r="G389" s="17" t="s">
        <v>45</v>
      </c>
      <c r="H389" s="17" t="s">
        <v>95</v>
      </c>
      <c r="I389" s="18">
        <v>45748</v>
      </c>
      <c r="L389" s="19">
        <v>0</v>
      </c>
      <c r="M389" s="19">
        <v>37.5</v>
      </c>
      <c r="N389" s="17">
        <v>1</v>
      </c>
      <c r="O389" s="20">
        <v>1</v>
      </c>
      <c r="P389" s="17">
        <v>37.5</v>
      </c>
      <c r="Q389" s="17" t="s">
        <v>91</v>
      </c>
      <c r="R389" s="17" t="s">
        <v>933</v>
      </c>
    </row>
    <row r="390" spans="1:18" x14ac:dyDescent="0.25">
      <c r="A390" s="16">
        <v>102051462300</v>
      </c>
      <c r="B390" s="16" t="str">
        <f t="shared" si="7"/>
        <v>1020514623000</v>
      </c>
      <c r="C390" s="17" t="s">
        <v>365</v>
      </c>
      <c r="D390" s="17" t="s">
        <v>93</v>
      </c>
      <c r="E390" s="17">
        <v>20411454</v>
      </c>
      <c r="F390" s="17" t="s">
        <v>962</v>
      </c>
      <c r="G390" s="17" t="s">
        <v>45</v>
      </c>
      <c r="H390" s="17" t="s">
        <v>162</v>
      </c>
      <c r="I390" s="18">
        <v>45536</v>
      </c>
      <c r="J390" s="18">
        <v>45792</v>
      </c>
      <c r="K390" s="17">
        <v>1</v>
      </c>
      <c r="L390" s="19">
        <v>1</v>
      </c>
      <c r="M390" s="19">
        <v>1</v>
      </c>
      <c r="O390" s="20">
        <v>1</v>
      </c>
      <c r="P390" s="17">
        <v>2</v>
      </c>
      <c r="Q390" s="17" t="s">
        <v>288</v>
      </c>
      <c r="R390" s="17" t="s">
        <v>933</v>
      </c>
    </row>
    <row r="391" spans="1:18" x14ac:dyDescent="0.25">
      <c r="A391" s="16" t="s">
        <v>803</v>
      </c>
      <c r="B391" s="16" t="str">
        <f t="shared" si="7"/>
        <v>00021908647K0</v>
      </c>
      <c r="C391" s="17" t="s">
        <v>571</v>
      </c>
      <c r="D391" s="17" t="s">
        <v>43</v>
      </c>
      <c r="E391" s="17">
        <v>20411454</v>
      </c>
      <c r="F391" s="17" t="s">
        <v>962</v>
      </c>
      <c r="G391" s="17" t="s">
        <v>45</v>
      </c>
      <c r="H391" s="17" t="s">
        <v>570</v>
      </c>
      <c r="I391" s="18">
        <v>45505</v>
      </c>
      <c r="J391" s="18">
        <v>45792</v>
      </c>
      <c r="K391" s="17">
        <v>1</v>
      </c>
      <c r="L391" s="19">
        <v>1</v>
      </c>
      <c r="M391" s="19">
        <v>1</v>
      </c>
      <c r="O391" s="20">
        <v>1</v>
      </c>
      <c r="P391" s="17">
        <v>7</v>
      </c>
      <c r="Q391" s="17" t="s">
        <v>473</v>
      </c>
      <c r="R391" s="17" t="s">
        <v>936</v>
      </c>
    </row>
    <row r="392" spans="1:18" x14ac:dyDescent="0.25">
      <c r="A392" s="16" t="s">
        <v>876</v>
      </c>
      <c r="B392" s="16" t="str">
        <f t="shared" si="7"/>
        <v>00022106692K0</v>
      </c>
      <c r="C392" s="17" t="s">
        <v>508</v>
      </c>
      <c r="D392" s="17" t="s">
        <v>43</v>
      </c>
      <c r="E392" s="17">
        <v>20411454</v>
      </c>
      <c r="F392" s="17" t="s">
        <v>962</v>
      </c>
      <c r="G392" s="17" t="s">
        <v>45</v>
      </c>
      <c r="H392" s="17" t="s">
        <v>54</v>
      </c>
      <c r="I392" s="18">
        <v>45597</v>
      </c>
      <c r="J392" s="18">
        <v>45792</v>
      </c>
      <c r="K392" s="17">
        <v>-1</v>
      </c>
      <c r="L392" s="19">
        <v>-1</v>
      </c>
      <c r="M392" s="19">
        <v>-1</v>
      </c>
      <c r="O392" s="20">
        <v>1</v>
      </c>
      <c r="P392" s="17">
        <v>-9</v>
      </c>
      <c r="Q392" s="17" t="s">
        <v>473</v>
      </c>
      <c r="R392" s="17" t="s">
        <v>936</v>
      </c>
    </row>
    <row r="393" spans="1:18" x14ac:dyDescent="0.25">
      <c r="A393" s="16">
        <v>102123717600</v>
      </c>
      <c r="B393" s="16" t="str">
        <f t="shared" si="7"/>
        <v>1021237176000</v>
      </c>
      <c r="C393" s="17" t="s">
        <v>287</v>
      </c>
      <c r="D393" s="17" t="s">
        <v>89</v>
      </c>
      <c r="E393" s="17">
        <v>20411454</v>
      </c>
      <c r="F393" s="17" t="s">
        <v>962</v>
      </c>
      <c r="G393" s="17" t="s">
        <v>45</v>
      </c>
      <c r="H393" s="17" t="s">
        <v>162</v>
      </c>
      <c r="I393" s="18">
        <v>45627</v>
      </c>
      <c r="J393" s="18">
        <v>45792</v>
      </c>
      <c r="K393" s="17">
        <v>1</v>
      </c>
      <c r="L393" s="19">
        <v>1</v>
      </c>
      <c r="M393" s="19">
        <v>1</v>
      </c>
      <c r="O393" s="20">
        <v>1</v>
      </c>
      <c r="P393" s="17">
        <v>2</v>
      </c>
      <c r="Q393" s="17" t="s">
        <v>288</v>
      </c>
      <c r="R393" s="17" t="s">
        <v>933</v>
      </c>
    </row>
    <row r="394" spans="1:18" x14ac:dyDescent="0.25">
      <c r="A394" s="16" t="s">
        <v>912</v>
      </c>
      <c r="B394" s="16" t="str">
        <f t="shared" si="7"/>
        <v>102123717600A0</v>
      </c>
      <c r="C394" s="17" t="s">
        <v>287</v>
      </c>
      <c r="D394" s="17" t="s">
        <v>89</v>
      </c>
      <c r="E394" s="17">
        <v>20411454</v>
      </c>
      <c r="F394" s="17" t="s">
        <v>962</v>
      </c>
      <c r="G394" s="17" t="s">
        <v>250</v>
      </c>
      <c r="H394" s="17" t="s">
        <v>95</v>
      </c>
      <c r="I394" s="18">
        <v>45627</v>
      </c>
      <c r="L394" s="19">
        <v>0</v>
      </c>
      <c r="M394" s="19">
        <v>0</v>
      </c>
      <c r="O394" s="20">
        <v>1</v>
      </c>
      <c r="P394" s="17">
        <v>-4.17</v>
      </c>
      <c r="Q394" s="17" t="s">
        <v>286</v>
      </c>
      <c r="R394" s="17" t="s">
        <v>933</v>
      </c>
    </row>
    <row r="395" spans="1:18" x14ac:dyDescent="0.25">
      <c r="A395" s="16" t="s">
        <v>811</v>
      </c>
      <c r="B395" s="16" t="str">
        <f t="shared" si="7"/>
        <v>00021926659K0</v>
      </c>
      <c r="C395" s="17" t="s">
        <v>563</v>
      </c>
      <c r="D395" s="17" t="s">
        <v>43</v>
      </c>
      <c r="E395" s="17">
        <v>20411454</v>
      </c>
      <c r="F395" s="17" t="s">
        <v>962</v>
      </c>
      <c r="G395" s="17" t="s">
        <v>250</v>
      </c>
      <c r="H395" s="17" t="s">
        <v>54</v>
      </c>
      <c r="I395" s="18">
        <v>45505</v>
      </c>
      <c r="J395" s="18">
        <v>45792</v>
      </c>
      <c r="K395" s="17">
        <v>1</v>
      </c>
      <c r="L395" s="19">
        <v>1</v>
      </c>
      <c r="M395" s="19">
        <v>1</v>
      </c>
      <c r="O395" s="20">
        <v>1</v>
      </c>
      <c r="P395" s="17">
        <v>9</v>
      </c>
      <c r="Q395" s="17" t="s">
        <v>473</v>
      </c>
      <c r="R395" s="17" t="s">
        <v>936</v>
      </c>
    </row>
    <row r="396" spans="1:18" x14ac:dyDescent="0.25">
      <c r="A396" s="16" t="s">
        <v>860</v>
      </c>
      <c r="B396" s="16" t="str">
        <f t="shared" si="7"/>
        <v>00022087983K0</v>
      </c>
      <c r="C396" s="17" t="s">
        <v>520</v>
      </c>
      <c r="D396" s="17" t="s">
        <v>43</v>
      </c>
      <c r="E396" s="17">
        <v>20411454</v>
      </c>
      <c r="F396" s="17" t="s">
        <v>962</v>
      </c>
      <c r="G396" s="17" t="s">
        <v>45</v>
      </c>
      <c r="H396" s="17" t="s">
        <v>54</v>
      </c>
      <c r="I396" s="18">
        <v>45566</v>
      </c>
      <c r="J396" s="18">
        <v>45792</v>
      </c>
      <c r="K396" s="17">
        <v>1</v>
      </c>
      <c r="L396" s="19">
        <v>1</v>
      </c>
      <c r="M396" s="19">
        <v>1</v>
      </c>
      <c r="O396" s="20">
        <v>1</v>
      </c>
      <c r="P396" s="17">
        <v>9</v>
      </c>
      <c r="Q396" s="17" t="s">
        <v>473</v>
      </c>
      <c r="R396" s="17" t="s">
        <v>936</v>
      </c>
    </row>
    <row r="397" spans="1:18" x14ac:dyDescent="0.25">
      <c r="A397" s="16" t="s">
        <v>818</v>
      </c>
      <c r="B397" s="16" t="str">
        <f t="shared" si="7"/>
        <v>00021961080K0</v>
      </c>
      <c r="C397" s="17" t="s">
        <v>555</v>
      </c>
      <c r="D397" s="17" t="s">
        <v>43</v>
      </c>
      <c r="E397" s="17">
        <v>20411454</v>
      </c>
      <c r="F397" s="17" t="s">
        <v>962</v>
      </c>
      <c r="G397" s="17" t="s">
        <v>250</v>
      </c>
      <c r="H397" s="17" t="s">
        <v>54</v>
      </c>
      <c r="I397" s="18">
        <v>45505</v>
      </c>
      <c r="J397" s="18">
        <v>45792</v>
      </c>
      <c r="K397" s="17">
        <v>1</v>
      </c>
      <c r="L397" s="19">
        <v>1</v>
      </c>
      <c r="M397" s="19">
        <v>1</v>
      </c>
      <c r="O397" s="20">
        <v>1</v>
      </c>
      <c r="P397" s="17">
        <v>9</v>
      </c>
      <c r="Q397" s="17" t="s">
        <v>473</v>
      </c>
      <c r="R397" s="17" t="s">
        <v>936</v>
      </c>
    </row>
    <row r="398" spans="1:18" x14ac:dyDescent="0.25">
      <c r="A398" s="16" t="s">
        <v>905</v>
      </c>
      <c r="B398" s="16" t="str">
        <f t="shared" si="7"/>
        <v>00022659909K0</v>
      </c>
      <c r="C398" s="17" t="s">
        <v>479</v>
      </c>
      <c r="D398" s="17" t="s">
        <v>43</v>
      </c>
      <c r="E398" s="17">
        <v>20411454</v>
      </c>
      <c r="F398" s="17" t="s">
        <v>962</v>
      </c>
      <c r="G398" s="17" t="s">
        <v>45</v>
      </c>
      <c r="H398" s="17" t="s">
        <v>54</v>
      </c>
      <c r="I398" s="18">
        <v>45627</v>
      </c>
      <c r="J398" s="18">
        <v>45792</v>
      </c>
      <c r="K398" s="17">
        <v>1</v>
      </c>
      <c r="L398" s="19">
        <v>1</v>
      </c>
      <c r="M398" s="19">
        <v>1</v>
      </c>
      <c r="O398" s="20">
        <v>1</v>
      </c>
      <c r="P398" s="17">
        <v>9</v>
      </c>
      <c r="Q398" s="17" t="s">
        <v>473</v>
      </c>
      <c r="R398" s="17" t="s">
        <v>936</v>
      </c>
    </row>
    <row r="399" spans="1:18" x14ac:dyDescent="0.25">
      <c r="A399" s="16" t="s">
        <v>634</v>
      </c>
      <c r="B399" s="16" t="str">
        <f t="shared" si="7"/>
        <v>00023222214K0</v>
      </c>
      <c r="C399" s="17" t="s">
        <v>71</v>
      </c>
      <c r="D399" s="17" t="s">
        <v>43</v>
      </c>
      <c r="E399" s="17">
        <v>20411454</v>
      </c>
      <c r="F399" s="17" t="s">
        <v>962</v>
      </c>
      <c r="G399" s="17" t="s">
        <v>45</v>
      </c>
      <c r="H399" s="17" t="s">
        <v>54</v>
      </c>
      <c r="I399" s="18">
        <v>45748</v>
      </c>
      <c r="L399" s="19">
        <v>0</v>
      </c>
      <c r="M399" s="19">
        <v>175</v>
      </c>
      <c r="N399" s="17">
        <v>1</v>
      </c>
      <c r="O399" s="20">
        <v>1</v>
      </c>
      <c r="P399" s="17">
        <v>175</v>
      </c>
      <c r="R399" s="17" t="s">
        <v>936</v>
      </c>
    </row>
    <row r="400" spans="1:18" x14ac:dyDescent="0.25">
      <c r="A400" s="16">
        <v>102050179700</v>
      </c>
      <c r="B400" s="16" t="str">
        <f t="shared" si="7"/>
        <v>1020501797000</v>
      </c>
      <c r="C400" s="17" t="s">
        <v>370</v>
      </c>
      <c r="D400" s="17" t="s">
        <v>369</v>
      </c>
      <c r="E400" s="17">
        <v>20411454</v>
      </c>
      <c r="F400" s="17" t="s">
        <v>962</v>
      </c>
      <c r="G400" s="17" t="s">
        <v>45</v>
      </c>
      <c r="H400" s="17" t="s">
        <v>162</v>
      </c>
      <c r="I400" s="18">
        <v>45536</v>
      </c>
      <c r="J400" s="18">
        <v>45792</v>
      </c>
      <c r="K400" s="17">
        <v>1</v>
      </c>
      <c r="L400" s="19">
        <v>1</v>
      </c>
      <c r="M400" s="19">
        <v>1</v>
      </c>
      <c r="O400" s="20">
        <v>1</v>
      </c>
      <c r="P400" s="17">
        <v>2</v>
      </c>
      <c r="Q400" s="17" t="s">
        <v>288</v>
      </c>
      <c r="R400" s="17" t="s">
        <v>933</v>
      </c>
    </row>
    <row r="401" spans="1:18" x14ac:dyDescent="0.25">
      <c r="A401" s="16">
        <v>102056835200</v>
      </c>
      <c r="B401" s="16" t="str">
        <f t="shared" si="7"/>
        <v>1020568352000</v>
      </c>
      <c r="C401" s="17" t="s">
        <v>352</v>
      </c>
      <c r="D401" s="17" t="s">
        <v>93</v>
      </c>
      <c r="E401" s="17">
        <v>20411454</v>
      </c>
      <c r="F401" s="17" t="s">
        <v>962</v>
      </c>
      <c r="G401" s="17" t="s">
        <v>45</v>
      </c>
      <c r="H401" s="17" t="s">
        <v>162</v>
      </c>
      <c r="I401" s="18">
        <v>45566</v>
      </c>
      <c r="J401" s="18">
        <v>45792</v>
      </c>
      <c r="K401" s="17">
        <v>1</v>
      </c>
      <c r="L401" s="19">
        <v>1</v>
      </c>
      <c r="M401" s="19">
        <v>1</v>
      </c>
      <c r="O401" s="20">
        <v>1</v>
      </c>
      <c r="P401" s="17">
        <v>2</v>
      </c>
      <c r="Q401" s="17" t="s">
        <v>288</v>
      </c>
      <c r="R401" s="17" t="s">
        <v>933</v>
      </c>
    </row>
    <row r="402" spans="1:18" x14ac:dyDescent="0.25">
      <c r="A402" s="16">
        <v>102030823900</v>
      </c>
      <c r="B402" s="16" t="str">
        <f t="shared" si="7"/>
        <v>1020308239000</v>
      </c>
      <c r="C402" s="17" t="s">
        <v>420</v>
      </c>
      <c r="D402" s="17" t="s">
        <v>89</v>
      </c>
      <c r="E402" s="17">
        <v>20411454</v>
      </c>
      <c r="F402" s="17" t="s">
        <v>962</v>
      </c>
      <c r="G402" s="17" t="s">
        <v>45</v>
      </c>
      <c r="H402" s="17" t="s">
        <v>162</v>
      </c>
      <c r="I402" s="18">
        <v>45505</v>
      </c>
      <c r="J402" s="18">
        <v>45792</v>
      </c>
      <c r="K402" s="17">
        <v>1</v>
      </c>
      <c r="L402" s="19">
        <v>1</v>
      </c>
      <c r="M402" s="19">
        <v>1</v>
      </c>
      <c r="O402" s="20">
        <v>1</v>
      </c>
      <c r="P402" s="17">
        <v>2</v>
      </c>
      <c r="Q402" s="17" t="s">
        <v>288</v>
      </c>
      <c r="R402" s="17" t="s">
        <v>933</v>
      </c>
    </row>
    <row r="403" spans="1:18" x14ac:dyDescent="0.25">
      <c r="A403" s="16" t="s">
        <v>763</v>
      </c>
      <c r="B403" s="16" t="str">
        <f t="shared" ref="B403:B466" si="8">CONCATENATE(A403,0)</f>
        <v>00021776882K0</v>
      </c>
      <c r="C403" s="17" t="s">
        <v>602</v>
      </c>
      <c r="D403" s="17" t="s">
        <v>43</v>
      </c>
      <c r="E403" s="17">
        <v>20411454</v>
      </c>
      <c r="F403" s="17" t="s">
        <v>962</v>
      </c>
      <c r="G403" s="17" t="s">
        <v>250</v>
      </c>
      <c r="H403" s="17" t="s">
        <v>54</v>
      </c>
      <c r="I403" s="18">
        <v>45505</v>
      </c>
      <c r="J403" s="18">
        <v>45792</v>
      </c>
      <c r="K403" s="17">
        <v>1</v>
      </c>
      <c r="L403" s="19">
        <v>1</v>
      </c>
      <c r="M403" s="19">
        <v>1</v>
      </c>
      <c r="O403" s="20">
        <v>1</v>
      </c>
      <c r="P403" s="17">
        <v>9</v>
      </c>
      <c r="Q403" s="17" t="s">
        <v>473</v>
      </c>
      <c r="R403" s="17" t="s">
        <v>936</v>
      </c>
    </row>
    <row r="404" spans="1:18" x14ac:dyDescent="0.25">
      <c r="A404" s="16">
        <v>102053113700</v>
      </c>
      <c r="B404" s="16" t="str">
        <f t="shared" si="8"/>
        <v>1020531137000</v>
      </c>
      <c r="C404" s="17" t="s">
        <v>362</v>
      </c>
      <c r="D404" s="17" t="s">
        <v>89</v>
      </c>
      <c r="E404" s="17">
        <v>20411454</v>
      </c>
      <c r="F404" s="17" t="s">
        <v>962</v>
      </c>
      <c r="G404" s="17" t="s">
        <v>45</v>
      </c>
      <c r="H404" s="17" t="s">
        <v>95</v>
      </c>
      <c r="I404" s="18">
        <v>45536</v>
      </c>
      <c r="J404" s="18">
        <v>45792</v>
      </c>
      <c r="K404" s="17">
        <v>1</v>
      </c>
      <c r="L404" s="19">
        <v>1</v>
      </c>
      <c r="M404" s="19">
        <v>1</v>
      </c>
      <c r="O404" s="20">
        <v>1</v>
      </c>
      <c r="P404" s="17">
        <v>2</v>
      </c>
      <c r="Q404" s="17" t="s">
        <v>288</v>
      </c>
      <c r="R404" s="17" t="s">
        <v>933</v>
      </c>
    </row>
    <row r="405" spans="1:18" x14ac:dyDescent="0.25">
      <c r="A405" s="16" t="s">
        <v>731</v>
      </c>
      <c r="B405" s="16" t="str">
        <f t="shared" si="8"/>
        <v>944761723OVPC0</v>
      </c>
      <c r="C405" s="17" t="s">
        <v>175</v>
      </c>
      <c r="D405" s="17" t="s">
        <v>122</v>
      </c>
      <c r="E405" s="17">
        <v>20411454</v>
      </c>
      <c r="F405" s="17" t="s">
        <v>962</v>
      </c>
      <c r="G405" s="17" t="s">
        <v>148</v>
      </c>
      <c r="H405" s="17" t="s">
        <v>130</v>
      </c>
      <c r="I405" s="18">
        <v>45658</v>
      </c>
      <c r="L405" s="19">
        <v>0</v>
      </c>
      <c r="M405" s="17">
        <v>-48</v>
      </c>
      <c r="N405" s="17">
        <v>1</v>
      </c>
      <c r="O405" s="20">
        <v>1</v>
      </c>
      <c r="P405" s="17">
        <v>-48</v>
      </c>
      <c r="R405" s="17" t="s">
        <v>946</v>
      </c>
    </row>
    <row r="406" spans="1:18" x14ac:dyDescent="0.25">
      <c r="A406" s="16" t="s">
        <v>710</v>
      </c>
      <c r="B406" s="16" t="str">
        <f t="shared" si="8"/>
        <v>944761723OV0</v>
      </c>
      <c r="C406" s="17" t="s">
        <v>175</v>
      </c>
      <c r="D406" s="17" t="s">
        <v>122</v>
      </c>
      <c r="E406" s="17">
        <v>20411454</v>
      </c>
      <c r="F406" s="17" t="s">
        <v>962</v>
      </c>
      <c r="G406" s="17" t="s">
        <v>45</v>
      </c>
      <c r="H406" s="17" t="s">
        <v>130</v>
      </c>
      <c r="I406" s="18">
        <v>45778</v>
      </c>
      <c r="L406" s="19">
        <v>0</v>
      </c>
      <c r="M406" s="19">
        <v>48</v>
      </c>
      <c r="N406" s="17">
        <v>1</v>
      </c>
      <c r="O406" s="20">
        <v>1</v>
      </c>
      <c r="P406" s="17">
        <v>48</v>
      </c>
      <c r="Q406" s="17" t="s">
        <v>119</v>
      </c>
      <c r="R406" s="17" t="s">
        <v>946</v>
      </c>
    </row>
    <row r="407" spans="1:18" x14ac:dyDescent="0.25">
      <c r="A407" s="16">
        <v>102064780500</v>
      </c>
      <c r="B407" s="16" t="str">
        <f t="shared" si="8"/>
        <v>1020647805000</v>
      </c>
      <c r="C407" s="17" t="s">
        <v>328</v>
      </c>
      <c r="D407" s="17" t="s">
        <v>89</v>
      </c>
      <c r="E407" s="17">
        <v>20411454</v>
      </c>
      <c r="F407" s="17" t="s">
        <v>962</v>
      </c>
      <c r="G407" s="17" t="s">
        <v>45</v>
      </c>
      <c r="H407" s="17" t="s">
        <v>95</v>
      </c>
      <c r="I407" s="18">
        <v>45566</v>
      </c>
      <c r="J407" s="18">
        <v>45792</v>
      </c>
      <c r="K407" s="17">
        <v>1</v>
      </c>
      <c r="L407" s="19">
        <v>1</v>
      </c>
      <c r="M407" s="19">
        <v>1</v>
      </c>
      <c r="O407" s="20">
        <v>1</v>
      </c>
      <c r="P407" s="17">
        <v>2</v>
      </c>
      <c r="Q407" s="17" t="s">
        <v>288</v>
      </c>
      <c r="R407" s="17" t="s">
        <v>933</v>
      </c>
    </row>
    <row r="408" spans="1:18" x14ac:dyDescent="0.25">
      <c r="A408" s="16" t="s">
        <v>806</v>
      </c>
      <c r="B408" s="16" t="str">
        <f t="shared" si="8"/>
        <v>00021917176KOV0</v>
      </c>
      <c r="C408" s="17" t="s">
        <v>568</v>
      </c>
      <c r="D408" s="17" t="s">
        <v>43</v>
      </c>
      <c r="E408" s="17">
        <v>20411454</v>
      </c>
      <c r="F408" s="17" t="s">
        <v>962</v>
      </c>
      <c r="G408" s="17" t="s">
        <v>45</v>
      </c>
      <c r="H408" s="17" t="s">
        <v>54</v>
      </c>
      <c r="I408" s="18">
        <v>45505</v>
      </c>
      <c r="J408" s="18">
        <v>45792</v>
      </c>
      <c r="K408" s="17">
        <v>1</v>
      </c>
      <c r="L408" s="19">
        <v>1</v>
      </c>
      <c r="M408" s="19">
        <v>1</v>
      </c>
      <c r="O408" s="20">
        <v>1</v>
      </c>
      <c r="P408" s="17">
        <v>9</v>
      </c>
      <c r="Q408" s="17" t="s">
        <v>473</v>
      </c>
      <c r="R408" s="17" t="s">
        <v>936</v>
      </c>
    </row>
    <row r="409" spans="1:18" x14ac:dyDescent="0.25">
      <c r="A409" s="16">
        <v>102053241100</v>
      </c>
      <c r="B409" s="16" t="str">
        <f t="shared" si="8"/>
        <v>1020532411000</v>
      </c>
      <c r="C409" s="17" t="s">
        <v>360</v>
      </c>
      <c r="D409" s="17" t="s">
        <v>89</v>
      </c>
      <c r="E409" s="17">
        <v>20411454</v>
      </c>
      <c r="F409" s="17" t="s">
        <v>962</v>
      </c>
      <c r="G409" s="17" t="s">
        <v>45</v>
      </c>
      <c r="H409" s="17" t="s">
        <v>162</v>
      </c>
      <c r="I409" s="18">
        <v>45536</v>
      </c>
      <c r="J409" s="18">
        <v>45792</v>
      </c>
      <c r="K409" s="17">
        <v>1</v>
      </c>
      <c r="L409" s="19">
        <v>1</v>
      </c>
      <c r="M409" s="19">
        <v>1</v>
      </c>
      <c r="O409" s="20">
        <v>1</v>
      </c>
      <c r="P409" s="17">
        <v>2</v>
      </c>
      <c r="Q409" s="17" t="s">
        <v>288</v>
      </c>
      <c r="R409" s="17" t="s">
        <v>933</v>
      </c>
    </row>
    <row r="410" spans="1:18" x14ac:dyDescent="0.25">
      <c r="A410" s="16">
        <v>102037642800</v>
      </c>
      <c r="B410" s="16" t="str">
        <f t="shared" si="8"/>
        <v>1020376428000</v>
      </c>
      <c r="C410" s="17" t="s">
        <v>400</v>
      </c>
      <c r="D410" s="17" t="s">
        <v>93</v>
      </c>
      <c r="E410" s="17">
        <v>20411454</v>
      </c>
      <c r="F410" s="17" t="s">
        <v>962</v>
      </c>
      <c r="G410" s="17" t="s">
        <v>45</v>
      </c>
      <c r="H410" s="17" t="s">
        <v>162</v>
      </c>
      <c r="I410" s="18">
        <v>45505</v>
      </c>
      <c r="J410" s="18">
        <v>45792</v>
      </c>
      <c r="K410" s="17">
        <v>1</v>
      </c>
      <c r="L410" s="19">
        <v>1</v>
      </c>
      <c r="M410" s="19">
        <v>1</v>
      </c>
      <c r="O410" s="20">
        <v>1</v>
      </c>
      <c r="P410" s="17">
        <v>2</v>
      </c>
      <c r="Q410" s="17" t="s">
        <v>288</v>
      </c>
      <c r="R410" s="17" t="s">
        <v>933</v>
      </c>
    </row>
    <row r="411" spans="1:18" x14ac:dyDescent="0.25">
      <c r="A411" s="16">
        <v>102035359600</v>
      </c>
      <c r="B411" s="16" t="str">
        <f t="shared" si="8"/>
        <v>1020353596000</v>
      </c>
      <c r="C411" s="17" t="s">
        <v>412</v>
      </c>
      <c r="D411" s="17" t="s">
        <v>89</v>
      </c>
      <c r="E411" s="17">
        <v>20411454</v>
      </c>
      <c r="F411" s="17" t="s">
        <v>962</v>
      </c>
      <c r="G411" s="17" t="s">
        <v>45</v>
      </c>
      <c r="H411" s="17" t="s">
        <v>162</v>
      </c>
      <c r="I411" s="18">
        <v>45505</v>
      </c>
      <c r="J411" s="18">
        <v>45792</v>
      </c>
      <c r="K411" s="17">
        <v>1</v>
      </c>
      <c r="L411" s="19">
        <v>1</v>
      </c>
      <c r="M411" s="19">
        <v>1</v>
      </c>
      <c r="O411" s="20">
        <v>1</v>
      </c>
      <c r="P411" s="17">
        <v>2</v>
      </c>
      <c r="Q411" s="17" t="s">
        <v>288</v>
      </c>
      <c r="R411" s="17" t="s">
        <v>933</v>
      </c>
    </row>
    <row r="412" spans="1:18" x14ac:dyDescent="0.25">
      <c r="A412" s="16" t="s">
        <v>885</v>
      </c>
      <c r="B412" s="16" t="str">
        <f t="shared" si="8"/>
        <v>00022203514K0</v>
      </c>
      <c r="C412" s="17" t="s">
        <v>499</v>
      </c>
      <c r="D412" s="17" t="s">
        <v>43</v>
      </c>
      <c r="E412" s="17">
        <v>20411454</v>
      </c>
      <c r="F412" s="17" t="s">
        <v>962</v>
      </c>
      <c r="G412" s="17" t="s">
        <v>45</v>
      </c>
      <c r="H412" s="17" t="s">
        <v>54</v>
      </c>
      <c r="I412" s="18">
        <v>45597</v>
      </c>
      <c r="J412" s="18">
        <v>45792</v>
      </c>
      <c r="K412" s="17">
        <v>1</v>
      </c>
      <c r="L412" s="19">
        <v>1</v>
      </c>
      <c r="M412" s="19">
        <v>1</v>
      </c>
      <c r="O412" s="20">
        <v>1</v>
      </c>
      <c r="P412" s="17">
        <v>9</v>
      </c>
      <c r="Q412" s="17" t="s">
        <v>473</v>
      </c>
      <c r="R412" s="17" t="s">
        <v>936</v>
      </c>
    </row>
    <row r="413" spans="1:18" x14ac:dyDescent="0.25">
      <c r="A413" s="16">
        <v>102069037500</v>
      </c>
      <c r="B413" s="16" t="str">
        <f t="shared" si="8"/>
        <v>1020690375000</v>
      </c>
      <c r="C413" s="17" t="s">
        <v>317</v>
      </c>
      <c r="D413" s="17" t="s">
        <v>93</v>
      </c>
      <c r="E413" s="17">
        <v>20411454</v>
      </c>
      <c r="F413" s="17" t="s">
        <v>962</v>
      </c>
      <c r="G413" s="17" t="s">
        <v>45</v>
      </c>
      <c r="H413" s="17" t="s">
        <v>162</v>
      </c>
      <c r="I413" s="18">
        <v>45627</v>
      </c>
      <c r="J413" s="18">
        <v>45792</v>
      </c>
      <c r="K413" s="17">
        <v>1</v>
      </c>
      <c r="L413" s="19">
        <v>1</v>
      </c>
      <c r="M413" s="19">
        <v>1</v>
      </c>
      <c r="O413" s="20">
        <v>1</v>
      </c>
      <c r="P413" s="17">
        <v>2</v>
      </c>
      <c r="Q413" s="17" t="s">
        <v>288</v>
      </c>
      <c r="R413" s="17" t="s">
        <v>933</v>
      </c>
    </row>
    <row r="414" spans="1:18" x14ac:dyDescent="0.25">
      <c r="A414" s="16" t="s">
        <v>662</v>
      </c>
      <c r="B414" s="16" t="str">
        <f t="shared" si="8"/>
        <v>00016858919KPC0</v>
      </c>
      <c r="C414" s="17" t="s">
        <v>150</v>
      </c>
      <c r="D414" s="17" t="s">
        <v>43</v>
      </c>
      <c r="E414" s="17">
        <v>20411454</v>
      </c>
      <c r="F414" s="17" t="s">
        <v>962</v>
      </c>
      <c r="G414" s="17" t="s">
        <v>148</v>
      </c>
      <c r="H414" s="17" t="s">
        <v>46</v>
      </c>
      <c r="I414" s="18">
        <v>45717</v>
      </c>
      <c r="L414" s="19">
        <v>0</v>
      </c>
      <c r="M414" s="17">
        <v>-99.36</v>
      </c>
      <c r="N414" s="17">
        <v>1</v>
      </c>
      <c r="O414" s="20">
        <v>1</v>
      </c>
      <c r="P414" s="17">
        <v>-99.36</v>
      </c>
      <c r="R414" s="17" t="s">
        <v>936</v>
      </c>
    </row>
    <row r="415" spans="1:18" x14ac:dyDescent="0.25">
      <c r="A415" s="16">
        <v>102058154400</v>
      </c>
      <c r="B415" s="16" t="str">
        <f t="shared" si="8"/>
        <v>1020581544000</v>
      </c>
      <c r="C415" s="17" t="s">
        <v>350</v>
      </c>
      <c r="D415" s="17" t="s">
        <v>89</v>
      </c>
      <c r="E415" s="17">
        <v>20411454</v>
      </c>
      <c r="F415" s="17" t="s">
        <v>962</v>
      </c>
      <c r="G415" s="17" t="s">
        <v>45</v>
      </c>
      <c r="H415" s="17" t="s">
        <v>162</v>
      </c>
      <c r="I415" s="18">
        <v>45597</v>
      </c>
      <c r="J415" s="18">
        <v>45792</v>
      </c>
      <c r="K415" s="17">
        <v>1</v>
      </c>
      <c r="L415" s="19">
        <v>1</v>
      </c>
      <c r="M415" s="19">
        <v>1</v>
      </c>
      <c r="O415" s="20">
        <v>1</v>
      </c>
      <c r="P415" s="17">
        <v>2</v>
      </c>
      <c r="Q415" s="17" t="s">
        <v>288</v>
      </c>
      <c r="R415" s="17" t="s">
        <v>933</v>
      </c>
    </row>
    <row r="416" spans="1:18" x14ac:dyDescent="0.25">
      <c r="A416" s="16" t="s">
        <v>660</v>
      </c>
      <c r="B416" s="16" t="str">
        <f t="shared" si="8"/>
        <v>00001879234KPC0</v>
      </c>
      <c r="C416" s="17" t="s">
        <v>42</v>
      </c>
      <c r="D416" s="17" t="s">
        <v>43</v>
      </c>
      <c r="E416" s="17">
        <v>20411454</v>
      </c>
      <c r="F416" s="17" t="s">
        <v>962</v>
      </c>
      <c r="G416" s="17" t="s">
        <v>148</v>
      </c>
      <c r="H416" s="17" t="s">
        <v>46</v>
      </c>
      <c r="I416" s="18">
        <v>45658</v>
      </c>
      <c r="L416" s="19">
        <v>0</v>
      </c>
      <c r="M416" s="17">
        <v>-81</v>
      </c>
      <c r="N416" s="17">
        <v>1</v>
      </c>
      <c r="O416" s="20">
        <v>1</v>
      </c>
      <c r="P416" s="17">
        <v>-81</v>
      </c>
      <c r="R416" s="17" t="s">
        <v>936</v>
      </c>
    </row>
    <row r="417" spans="1:18" x14ac:dyDescent="0.25">
      <c r="A417" s="16" t="s">
        <v>621</v>
      </c>
      <c r="B417" s="16" t="str">
        <f t="shared" si="8"/>
        <v>00001879234K0</v>
      </c>
      <c r="C417" s="17" t="s">
        <v>42</v>
      </c>
      <c r="D417" s="17" t="s">
        <v>43</v>
      </c>
      <c r="E417" s="17">
        <v>20411454</v>
      </c>
      <c r="F417" s="17" t="s">
        <v>962</v>
      </c>
      <c r="G417" s="17" t="s">
        <v>45</v>
      </c>
      <c r="H417" s="17" t="s">
        <v>46</v>
      </c>
      <c r="I417" s="18">
        <v>45748</v>
      </c>
      <c r="L417" s="19">
        <v>0</v>
      </c>
      <c r="M417" s="19">
        <v>108</v>
      </c>
      <c r="N417" s="17">
        <v>1</v>
      </c>
      <c r="O417" s="20">
        <v>1</v>
      </c>
      <c r="P417" s="17">
        <v>108</v>
      </c>
      <c r="R417" s="17" t="s">
        <v>936</v>
      </c>
    </row>
    <row r="418" spans="1:18" x14ac:dyDescent="0.25">
      <c r="A418" s="16" t="s">
        <v>910</v>
      </c>
      <c r="B418" s="16" t="str">
        <f t="shared" si="8"/>
        <v>00022763707K0</v>
      </c>
      <c r="C418" s="17" t="s">
        <v>474</v>
      </c>
      <c r="D418" s="17" t="s">
        <v>43</v>
      </c>
      <c r="E418" s="17">
        <v>20411454</v>
      </c>
      <c r="F418" s="17" t="s">
        <v>962</v>
      </c>
      <c r="G418" s="17" t="s">
        <v>45</v>
      </c>
      <c r="H418" s="17" t="s">
        <v>54</v>
      </c>
      <c r="I418" s="18">
        <v>45627</v>
      </c>
      <c r="J418" s="18">
        <v>45792</v>
      </c>
      <c r="K418" s="17">
        <v>1</v>
      </c>
      <c r="L418" s="19">
        <v>1</v>
      </c>
      <c r="M418" s="19">
        <v>1</v>
      </c>
      <c r="O418" s="20">
        <v>1</v>
      </c>
      <c r="P418" s="17">
        <v>9</v>
      </c>
      <c r="Q418" s="17" t="s">
        <v>473</v>
      </c>
      <c r="R418" s="17" t="s">
        <v>936</v>
      </c>
    </row>
    <row r="419" spans="1:18" x14ac:dyDescent="0.25">
      <c r="A419" s="16">
        <v>102030348000</v>
      </c>
      <c r="B419" s="16" t="str">
        <f t="shared" si="8"/>
        <v>1020303480000</v>
      </c>
      <c r="C419" s="17" t="s">
        <v>422</v>
      </c>
      <c r="D419" s="17" t="s">
        <v>93</v>
      </c>
      <c r="E419" s="17">
        <v>20411454</v>
      </c>
      <c r="F419" s="17" t="s">
        <v>962</v>
      </c>
      <c r="G419" s="17" t="s">
        <v>45</v>
      </c>
      <c r="H419" s="17" t="s">
        <v>162</v>
      </c>
      <c r="I419" s="18">
        <v>45505</v>
      </c>
      <c r="J419" s="18">
        <v>45792</v>
      </c>
      <c r="K419" s="17">
        <v>1</v>
      </c>
      <c r="L419" s="19">
        <v>1</v>
      </c>
      <c r="M419" s="19">
        <v>1</v>
      </c>
      <c r="O419" s="20">
        <v>1</v>
      </c>
      <c r="P419" s="17">
        <v>2</v>
      </c>
      <c r="Q419" s="17" t="s">
        <v>288</v>
      </c>
      <c r="R419" s="17" t="s">
        <v>933</v>
      </c>
    </row>
    <row r="420" spans="1:18" x14ac:dyDescent="0.25">
      <c r="A420" s="16" t="s">
        <v>817</v>
      </c>
      <c r="B420" s="16" t="str">
        <f t="shared" si="8"/>
        <v>00021951591K0</v>
      </c>
      <c r="C420" s="17" t="s">
        <v>557</v>
      </c>
      <c r="D420" s="17" t="s">
        <v>43</v>
      </c>
      <c r="E420" s="17">
        <v>20411454</v>
      </c>
      <c r="F420" s="17" t="s">
        <v>962</v>
      </c>
      <c r="G420" s="17" t="s">
        <v>250</v>
      </c>
      <c r="H420" s="17" t="s">
        <v>54</v>
      </c>
      <c r="I420" s="18">
        <v>45536</v>
      </c>
      <c r="J420" s="18">
        <v>45792</v>
      </c>
      <c r="K420" s="17">
        <v>1</v>
      </c>
      <c r="L420" s="19">
        <v>1</v>
      </c>
      <c r="M420" s="19">
        <v>1</v>
      </c>
      <c r="O420" s="20">
        <v>1</v>
      </c>
      <c r="P420" s="17">
        <v>9</v>
      </c>
      <c r="Q420" s="17" t="s">
        <v>473</v>
      </c>
      <c r="R420" s="17" t="s">
        <v>936</v>
      </c>
    </row>
    <row r="421" spans="1:18" x14ac:dyDescent="0.25">
      <c r="A421" s="16" t="s">
        <v>758</v>
      </c>
      <c r="B421" s="16" t="str">
        <f t="shared" si="8"/>
        <v>00021641743K0</v>
      </c>
      <c r="C421" s="17" t="s">
        <v>607</v>
      </c>
      <c r="D421" s="17" t="s">
        <v>43</v>
      </c>
      <c r="E421" s="17">
        <v>20411454</v>
      </c>
      <c r="F421" s="17" t="s">
        <v>962</v>
      </c>
      <c r="G421" s="17" t="s">
        <v>250</v>
      </c>
      <c r="H421" s="17" t="s">
        <v>54</v>
      </c>
      <c r="I421" s="18">
        <v>45444</v>
      </c>
      <c r="J421" s="18">
        <v>45792</v>
      </c>
      <c r="K421" s="17">
        <v>1</v>
      </c>
      <c r="L421" s="19">
        <v>1</v>
      </c>
      <c r="M421" s="19">
        <v>1</v>
      </c>
      <c r="O421" s="20">
        <v>1</v>
      </c>
      <c r="P421" s="17">
        <v>9</v>
      </c>
      <c r="Q421" s="17" t="s">
        <v>473</v>
      </c>
      <c r="R421" s="17" t="s">
        <v>936</v>
      </c>
    </row>
    <row r="422" spans="1:18" x14ac:dyDescent="0.25">
      <c r="A422" s="16">
        <v>102061850500</v>
      </c>
      <c r="B422" s="16" t="str">
        <f t="shared" si="8"/>
        <v>1020618505000</v>
      </c>
      <c r="C422" s="17" t="s">
        <v>337</v>
      </c>
      <c r="D422" s="17" t="s">
        <v>89</v>
      </c>
      <c r="E422" s="17">
        <v>20411454</v>
      </c>
      <c r="F422" s="17" t="s">
        <v>962</v>
      </c>
      <c r="G422" s="17" t="s">
        <v>45</v>
      </c>
      <c r="H422" s="17" t="s">
        <v>162</v>
      </c>
      <c r="I422" s="18">
        <v>45566</v>
      </c>
      <c r="J422" s="18">
        <v>45792</v>
      </c>
      <c r="K422" s="17">
        <v>1</v>
      </c>
      <c r="L422" s="19">
        <v>1</v>
      </c>
      <c r="M422" s="19">
        <v>1</v>
      </c>
      <c r="O422" s="20">
        <v>1</v>
      </c>
      <c r="P422" s="17">
        <v>2</v>
      </c>
      <c r="Q422" s="17" t="s">
        <v>288</v>
      </c>
      <c r="R422" s="17" t="s">
        <v>933</v>
      </c>
    </row>
    <row r="423" spans="1:18" x14ac:dyDescent="0.25">
      <c r="A423" s="16">
        <v>102044679100</v>
      </c>
      <c r="B423" s="16" t="str">
        <f t="shared" si="8"/>
        <v>1020446791000</v>
      </c>
      <c r="C423" s="17" t="s">
        <v>389</v>
      </c>
      <c r="D423" s="17" t="s">
        <v>93</v>
      </c>
      <c r="E423" s="17">
        <v>20411454</v>
      </c>
      <c r="F423" s="17" t="s">
        <v>962</v>
      </c>
      <c r="G423" s="17" t="s">
        <v>45</v>
      </c>
      <c r="H423" s="17" t="s">
        <v>162</v>
      </c>
      <c r="I423" s="18">
        <v>45566</v>
      </c>
      <c r="J423" s="18">
        <v>45792</v>
      </c>
      <c r="K423" s="17">
        <v>1</v>
      </c>
      <c r="L423" s="19">
        <v>1</v>
      </c>
      <c r="M423" s="19">
        <v>1</v>
      </c>
      <c r="O423" s="20">
        <v>1</v>
      </c>
      <c r="P423" s="17">
        <v>2</v>
      </c>
      <c r="Q423" s="17" t="s">
        <v>288</v>
      </c>
      <c r="R423" s="17" t="s">
        <v>933</v>
      </c>
    </row>
    <row r="424" spans="1:18" x14ac:dyDescent="0.25">
      <c r="A424" s="16">
        <v>102025592500</v>
      </c>
      <c r="B424" s="16" t="str">
        <f t="shared" si="8"/>
        <v>1020255925000</v>
      </c>
      <c r="C424" s="17" t="s">
        <v>429</v>
      </c>
      <c r="D424" s="17" t="s">
        <v>128</v>
      </c>
      <c r="E424" s="17">
        <v>20411454</v>
      </c>
      <c r="F424" s="17" t="s">
        <v>962</v>
      </c>
      <c r="G424" s="17" t="s">
        <v>45</v>
      </c>
      <c r="H424" s="17" t="s">
        <v>162</v>
      </c>
      <c r="I424" s="18">
        <v>45505</v>
      </c>
      <c r="J424" s="18">
        <v>45792</v>
      </c>
      <c r="K424" s="17">
        <v>1</v>
      </c>
      <c r="L424" s="19">
        <v>1</v>
      </c>
      <c r="M424" s="19">
        <v>1</v>
      </c>
      <c r="O424" s="20">
        <v>1</v>
      </c>
      <c r="P424" s="17">
        <v>2</v>
      </c>
      <c r="Q424" s="17" t="s">
        <v>288</v>
      </c>
      <c r="R424" s="17" t="s">
        <v>933</v>
      </c>
    </row>
    <row r="425" spans="1:18" x14ac:dyDescent="0.25">
      <c r="A425" s="16" t="s">
        <v>654</v>
      </c>
      <c r="B425" s="16" t="str">
        <f t="shared" si="8"/>
        <v>992802492OV0</v>
      </c>
      <c r="C425" s="17" t="s">
        <v>136</v>
      </c>
      <c r="D425" s="17" t="s">
        <v>89</v>
      </c>
      <c r="E425" s="17">
        <v>20411454</v>
      </c>
      <c r="F425" s="17" t="s">
        <v>962</v>
      </c>
      <c r="G425" s="17" t="s">
        <v>45</v>
      </c>
      <c r="H425" s="17" t="s">
        <v>124</v>
      </c>
      <c r="I425" s="18">
        <v>45748</v>
      </c>
      <c r="L425" s="19">
        <v>0</v>
      </c>
      <c r="M425" s="19">
        <v>175</v>
      </c>
      <c r="N425" s="17">
        <v>1</v>
      </c>
      <c r="O425" s="20">
        <v>1</v>
      </c>
      <c r="P425" s="17">
        <v>175</v>
      </c>
      <c r="R425" s="17" t="s">
        <v>946</v>
      </c>
    </row>
    <row r="426" spans="1:18" x14ac:dyDescent="0.25">
      <c r="A426" s="16" t="s">
        <v>744</v>
      </c>
      <c r="B426" s="16" t="str">
        <f t="shared" si="8"/>
        <v>992802492OVCB0</v>
      </c>
      <c r="C426" s="17" t="s">
        <v>136</v>
      </c>
      <c r="D426" s="17" t="s">
        <v>89</v>
      </c>
      <c r="E426" s="17">
        <v>20411454</v>
      </c>
      <c r="F426" s="17" t="s">
        <v>962</v>
      </c>
      <c r="G426" s="17" t="s">
        <v>148</v>
      </c>
      <c r="H426" s="17" t="s">
        <v>130</v>
      </c>
      <c r="I426" s="18">
        <v>45748</v>
      </c>
      <c r="L426" s="19">
        <v>0</v>
      </c>
      <c r="M426" s="17">
        <v>-54</v>
      </c>
      <c r="N426" s="17">
        <v>1</v>
      </c>
      <c r="O426" s="20">
        <v>1</v>
      </c>
      <c r="P426" s="17">
        <v>-54</v>
      </c>
      <c r="R426" s="17" t="s">
        <v>946</v>
      </c>
    </row>
    <row r="427" spans="1:18" x14ac:dyDescent="0.25">
      <c r="A427" s="16" t="s">
        <v>654</v>
      </c>
      <c r="B427" s="16" t="str">
        <f t="shared" si="8"/>
        <v>992802492OV0</v>
      </c>
      <c r="C427" s="17" t="s">
        <v>136</v>
      </c>
      <c r="D427" s="17" t="s">
        <v>89</v>
      </c>
      <c r="E427" s="17">
        <v>20411454</v>
      </c>
      <c r="F427" s="17" t="s">
        <v>962</v>
      </c>
      <c r="G427" s="17" t="s">
        <v>45</v>
      </c>
      <c r="H427" s="17" t="s">
        <v>130</v>
      </c>
      <c r="I427" s="18">
        <v>45748</v>
      </c>
      <c r="L427" s="19">
        <v>0</v>
      </c>
      <c r="M427" s="19">
        <v>54</v>
      </c>
      <c r="N427" s="17">
        <v>1</v>
      </c>
      <c r="O427" s="20">
        <v>1</v>
      </c>
      <c r="P427" s="17">
        <v>54</v>
      </c>
      <c r="Q427" s="17" t="s">
        <v>91</v>
      </c>
      <c r="R427" s="17" t="s">
        <v>946</v>
      </c>
    </row>
    <row r="428" spans="1:18" x14ac:dyDescent="0.25">
      <c r="A428" s="16" t="s">
        <v>801</v>
      </c>
      <c r="B428" s="16" t="str">
        <f t="shared" si="8"/>
        <v>00021895977KOV0</v>
      </c>
      <c r="C428" s="17" t="s">
        <v>573</v>
      </c>
      <c r="D428" s="17" t="s">
        <v>43</v>
      </c>
      <c r="E428" s="17">
        <v>20411454</v>
      </c>
      <c r="F428" s="17" t="s">
        <v>962</v>
      </c>
      <c r="G428" s="17" t="s">
        <v>45</v>
      </c>
      <c r="H428" s="17" t="s">
        <v>54</v>
      </c>
      <c r="I428" s="18">
        <v>45505</v>
      </c>
      <c r="J428" s="18">
        <v>45792</v>
      </c>
      <c r="K428" s="17">
        <v>1</v>
      </c>
      <c r="L428" s="19">
        <v>1</v>
      </c>
      <c r="M428" s="19">
        <v>1</v>
      </c>
      <c r="O428" s="20">
        <v>1</v>
      </c>
      <c r="P428" s="17">
        <v>9</v>
      </c>
      <c r="Q428" s="17" t="s">
        <v>473</v>
      </c>
      <c r="R428" s="17" t="s">
        <v>936</v>
      </c>
    </row>
    <row r="429" spans="1:18" x14ac:dyDescent="0.25">
      <c r="A429" s="16" t="s">
        <v>921</v>
      </c>
      <c r="B429" s="16" t="str">
        <f t="shared" si="8"/>
        <v>948W212160</v>
      </c>
      <c r="C429" s="17" t="s">
        <v>272</v>
      </c>
      <c r="E429" s="17">
        <v>20411454</v>
      </c>
      <c r="F429" s="17" t="s">
        <v>962</v>
      </c>
      <c r="G429" s="17" t="s">
        <v>45</v>
      </c>
      <c r="H429" s="17" t="s">
        <v>271</v>
      </c>
      <c r="I429" s="18">
        <v>45536</v>
      </c>
      <c r="J429" s="18">
        <v>47818</v>
      </c>
      <c r="K429" s="17">
        <v>1</v>
      </c>
      <c r="L429" s="19">
        <v>1</v>
      </c>
      <c r="M429" s="19">
        <v>1</v>
      </c>
      <c r="O429" s="20">
        <v>1</v>
      </c>
      <c r="P429" s="17">
        <v>7</v>
      </c>
      <c r="Q429" s="17" t="s">
        <v>270</v>
      </c>
      <c r="R429" s="17" t="s">
        <v>934</v>
      </c>
    </row>
    <row r="430" spans="1:18" x14ac:dyDescent="0.25">
      <c r="A430" s="16">
        <v>102046287500</v>
      </c>
      <c r="B430" s="16" t="str">
        <f t="shared" si="8"/>
        <v>1020462875000</v>
      </c>
      <c r="C430" s="17" t="s">
        <v>385</v>
      </c>
      <c r="D430" s="17" t="s">
        <v>93</v>
      </c>
      <c r="E430" s="17">
        <v>20411454</v>
      </c>
      <c r="F430" s="17" t="s">
        <v>962</v>
      </c>
      <c r="G430" s="17" t="s">
        <v>45</v>
      </c>
      <c r="H430" s="17" t="s">
        <v>162</v>
      </c>
      <c r="I430" s="18">
        <v>45536</v>
      </c>
      <c r="J430" s="18">
        <v>45792</v>
      </c>
      <c r="K430" s="17">
        <v>1</v>
      </c>
      <c r="L430" s="19">
        <v>1</v>
      </c>
      <c r="M430" s="19">
        <v>1</v>
      </c>
      <c r="O430" s="20">
        <v>1</v>
      </c>
      <c r="P430" s="17">
        <v>2</v>
      </c>
      <c r="Q430" s="17" t="s">
        <v>288</v>
      </c>
      <c r="R430" s="17" t="s">
        <v>933</v>
      </c>
    </row>
    <row r="431" spans="1:18" x14ac:dyDescent="0.25">
      <c r="A431" s="16" t="s">
        <v>879</v>
      </c>
      <c r="B431" s="16" t="str">
        <f t="shared" si="8"/>
        <v>00022112017K0</v>
      </c>
      <c r="C431" s="17" t="s">
        <v>505</v>
      </c>
      <c r="D431" s="17" t="s">
        <v>43</v>
      </c>
      <c r="E431" s="17">
        <v>20411454</v>
      </c>
      <c r="F431" s="17" t="s">
        <v>962</v>
      </c>
      <c r="G431" s="17" t="s">
        <v>45</v>
      </c>
      <c r="H431" s="17" t="s">
        <v>54</v>
      </c>
      <c r="I431" s="18">
        <v>45597</v>
      </c>
      <c r="J431" s="18">
        <v>45792</v>
      </c>
      <c r="K431" s="17">
        <v>1</v>
      </c>
      <c r="L431" s="19">
        <v>1</v>
      </c>
      <c r="M431" s="19">
        <v>1</v>
      </c>
      <c r="O431" s="20">
        <v>1</v>
      </c>
      <c r="P431" s="17">
        <v>9</v>
      </c>
      <c r="Q431" s="17" t="s">
        <v>473</v>
      </c>
      <c r="R431" s="17" t="s">
        <v>936</v>
      </c>
    </row>
    <row r="432" spans="1:18" x14ac:dyDescent="0.25">
      <c r="A432" s="16" t="s">
        <v>766</v>
      </c>
      <c r="B432" s="16" t="str">
        <f t="shared" si="8"/>
        <v>00021784141K0</v>
      </c>
      <c r="C432" s="17" t="s">
        <v>599</v>
      </c>
      <c r="D432" s="17" t="s">
        <v>43</v>
      </c>
      <c r="E432" s="17">
        <v>20411454</v>
      </c>
      <c r="F432" s="17" t="s">
        <v>962</v>
      </c>
      <c r="G432" s="17" t="s">
        <v>250</v>
      </c>
      <c r="H432" s="17" t="s">
        <v>54</v>
      </c>
      <c r="I432" s="18">
        <v>45444</v>
      </c>
      <c r="J432" s="18">
        <v>45792</v>
      </c>
      <c r="K432" s="17">
        <v>1</v>
      </c>
      <c r="L432" s="19">
        <v>1</v>
      </c>
      <c r="M432" s="19">
        <v>1</v>
      </c>
      <c r="O432" s="20">
        <v>1</v>
      </c>
      <c r="P432" s="17">
        <v>9</v>
      </c>
      <c r="Q432" s="17" t="s">
        <v>473</v>
      </c>
      <c r="R432" s="17" t="s">
        <v>936</v>
      </c>
    </row>
    <row r="433" spans="1:18" x14ac:dyDescent="0.25">
      <c r="A433" s="16">
        <v>102009524100</v>
      </c>
      <c r="B433" s="16" t="str">
        <f t="shared" si="8"/>
        <v>1020095241000</v>
      </c>
      <c r="C433" s="17" t="s">
        <v>455</v>
      </c>
      <c r="D433" s="17" t="s">
        <v>93</v>
      </c>
      <c r="E433" s="17">
        <v>20411454</v>
      </c>
      <c r="F433" s="17" t="s">
        <v>962</v>
      </c>
      <c r="G433" s="17" t="s">
        <v>45</v>
      </c>
      <c r="H433" s="17" t="s">
        <v>162</v>
      </c>
      <c r="I433" s="18">
        <v>45444</v>
      </c>
      <c r="J433" s="18">
        <v>45792</v>
      </c>
      <c r="K433" s="17">
        <v>1</v>
      </c>
      <c r="L433" s="19">
        <v>1</v>
      </c>
      <c r="M433" s="19">
        <v>1</v>
      </c>
      <c r="O433" s="20">
        <v>1</v>
      </c>
      <c r="P433" s="17">
        <v>2</v>
      </c>
      <c r="Q433" s="17" t="s">
        <v>288</v>
      </c>
      <c r="R433" s="17" t="s">
        <v>933</v>
      </c>
    </row>
    <row r="434" spans="1:18" x14ac:dyDescent="0.25">
      <c r="A434" s="16" t="s">
        <v>659</v>
      </c>
      <c r="B434" s="16" t="str">
        <f t="shared" si="8"/>
        <v>00000121388FPC0</v>
      </c>
      <c r="C434" s="17" t="s">
        <v>147</v>
      </c>
      <c r="D434" s="17" t="s">
        <v>43</v>
      </c>
      <c r="E434" s="17">
        <v>20411454</v>
      </c>
      <c r="F434" s="17" t="s">
        <v>962</v>
      </c>
      <c r="G434" s="17" t="s">
        <v>148</v>
      </c>
      <c r="H434" s="17" t="s">
        <v>46</v>
      </c>
      <c r="I434" s="18">
        <v>45658</v>
      </c>
      <c r="L434" s="19">
        <v>0</v>
      </c>
      <c r="M434" s="17">
        <v>-81</v>
      </c>
      <c r="N434" s="17">
        <v>1</v>
      </c>
      <c r="O434" s="20">
        <v>1</v>
      </c>
      <c r="P434" s="17">
        <v>-81</v>
      </c>
      <c r="R434" s="17" t="s">
        <v>936</v>
      </c>
    </row>
    <row r="435" spans="1:18" x14ac:dyDescent="0.25">
      <c r="A435" s="16" t="s">
        <v>694</v>
      </c>
      <c r="B435" s="16" t="str">
        <f t="shared" si="8"/>
        <v>00023250929K0</v>
      </c>
      <c r="C435" s="17" t="s">
        <v>233</v>
      </c>
      <c r="D435" s="17" t="s">
        <v>43</v>
      </c>
      <c r="E435" s="17">
        <v>20411454</v>
      </c>
      <c r="F435" s="17" t="s">
        <v>962</v>
      </c>
      <c r="G435" s="17" t="s">
        <v>45</v>
      </c>
      <c r="H435" s="17" t="s">
        <v>54</v>
      </c>
      <c r="I435" s="18">
        <v>45778</v>
      </c>
      <c r="L435" s="19">
        <v>0</v>
      </c>
      <c r="M435" s="19">
        <v>175</v>
      </c>
      <c r="N435" s="17">
        <v>1</v>
      </c>
      <c r="O435" s="20">
        <v>1</v>
      </c>
      <c r="P435" s="17">
        <v>175</v>
      </c>
      <c r="R435" s="17" t="s">
        <v>936</v>
      </c>
    </row>
    <row r="436" spans="1:18" x14ac:dyDescent="0.25">
      <c r="A436" s="16" t="s">
        <v>887</v>
      </c>
      <c r="B436" s="16" t="str">
        <f t="shared" si="8"/>
        <v>00022235665K0</v>
      </c>
      <c r="C436" s="17" t="s">
        <v>496</v>
      </c>
      <c r="D436" s="17" t="s">
        <v>43</v>
      </c>
      <c r="E436" s="17">
        <v>20411454</v>
      </c>
      <c r="F436" s="17" t="s">
        <v>962</v>
      </c>
      <c r="G436" s="17" t="s">
        <v>45</v>
      </c>
      <c r="H436" s="17" t="s">
        <v>54</v>
      </c>
      <c r="I436" s="18">
        <v>45627</v>
      </c>
      <c r="J436" s="18">
        <v>45792</v>
      </c>
      <c r="K436" s="17">
        <v>1</v>
      </c>
      <c r="L436" s="19">
        <v>1</v>
      </c>
      <c r="M436" s="19">
        <v>1</v>
      </c>
      <c r="O436" s="20">
        <v>1</v>
      </c>
      <c r="P436" s="17">
        <v>9</v>
      </c>
      <c r="Q436" s="17" t="s">
        <v>473</v>
      </c>
      <c r="R436" s="17" t="s">
        <v>936</v>
      </c>
    </row>
    <row r="437" spans="1:18" x14ac:dyDescent="0.25">
      <c r="A437" s="16" t="s">
        <v>667</v>
      </c>
      <c r="B437" s="16" t="str">
        <f t="shared" si="8"/>
        <v>00022958376KPC0</v>
      </c>
      <c r="C437" s="17" t="s">
        <v>62</v>
      </c>
      <c r="D437" s="17" t="s">
        <v>43</v>
      </c>
      <c r="E437" s="17">
        <v>20411454</v>
      </c>
      <c r="F437" s="17" t="s">
        <v>962</v>
      </c>
      <c r="G437" s="17" t="s">
        <v>148</v>
      </c>
      <c r="H437" s="17" t="s">
        <v>54</v>
      </c>
      <c r="I437" s="18">
        <v>45658</v>
      </c>
      <c r="L437" s="19">
        <v>0</v>
      </c>
      <c r="M437" s="17">
        <v>-131.25</v>
      </c>
      <c r="N437" s="17">
        <v>1</v>
      </c>
      <c r="O437" s="20">
        <v>1</v>
      </c>
      <c r="P437" s="17">
        <v>-131.25</v>
      </c>
      <c r="R437" s="17" t="s">
        <v>936</v>
      </c>
    </row>
    <row r="438" spans="1:18" x14ac:dyDescent="0.25">
      <c r="A438" s="16" t="s">
        <v>629</v>
      </c>
      <c r="B438" s="16" t="str">
        <f t="shared" si="8"/>
        <v>00022958376K0</v>
      </c>
      <c r="C438" s="17" t="s">
        <v>62</v>
      </c>
      <c r="D438" s="17" t="s">
        <v>43</v>
      </c>
      <c r="E438" s="17">
        <v>20411454</v>
      </c>
      <c r="F438" s="17" t="s">
        <v>962</v>
      </c>
      <c r="G438" s="17" t="s">
        <v>45</v>
      </c>
      <c r="H438" s="17" t="s">
        <v>46</v>
      </c>
      <c r="I438" s="18">
        <v>45748</v>
      </c>
      <c r="L438" s="19">
        <v>0</v>
      </c>
      <c r="M438" s="19">
        <v>108</v>
      </c>
      <c r="N438" s="17">
        <v>1</v>
      </c>
      <c r="O438" s="20">
        <v>1</v>
      </c>
      <c r="P438" s="17">
        <v>108</v>
      </c>
      <c r="R438" s="17" t="s">
        <v>936</v>
      </c>
    </row>
    <row r="439" spans="1:18" x14ac:dyDescent="0.25">
      <c r="A439" s="16">
        <v>102069330900</v>
      </c>
      <c r="B439" s="16" t="str">
        <f t="shared" si="8"/>
        <v>1020693309000</v>
      </c>
      <c r="C439" s="17" t="s">
        <v>316</v>
      </c>
      <c r="D439" s="17" t="s">
        <v>315</v>
      </c>
      <c r="E439" s="17">
        <v>20411454</v>
      </c>
      <c r="F439" s="17" t="s">
        <v>962</v>
      </c>
      <c r="G439" s="17" t="s">
        <v>45</v>
      </c>
      <c r="H439" s="17" t="s">
        <v>162</v>
      </c>
      <c r="I439" s="18">
        <v>45597</v>
      </c>
      <c r="J439" s="18">
        <v>45792</v>
      </c>
      <c r="K439" s="17">
        <v>1</v>
      </c>
      <c r="L439" s="19">
        <v>1</v>
      </c>
      <c r="M439" s="19">
        <v>1</v>
      </c>
      <c r="O439" s="20">
        <v>1</v>
      </c>
      <c r="P439" s="17">
        <v>2</v>
      </c>
      <c r="Q439" s="17" t="s">
        <v>288</v>
      </c>
      <c r="R439" s="17" t="s">
        <v>933</v>
      </c>
    </row>
    <row r="440" spans="1:18" x14ac:dyDescent="0.25">
      <c r="A440" s="16">
        <v>101872588800</v>
      </c>
      <c r="B440" s="16" t="str">
        <f t="shared" si="8"/>
        <v>1018725888000</v>
      </c>
      <c r="C440" s="17" t="s">
        <v>462</v>
      </c>
      <c r="D440" s="17" t="s">
        <v>93</v>
      </c>
      <c r="E440" s="17">
        <v>20411454</v>
      </c>
      <c r="F440" s="17" t="s">
        <v>962</v>
      </c>
      <c r="G440" s="17" t="s">
        <v>45</v>
      </c>
      <c r="H440" s="17" t="s">
        <v>95</v>
      </c>
      <c r="I440" s="18">
        <v>45474</v>
      </c>
      <c r="J440" s="18">
        <v>45792</v>
      </c>
      <c r="K440" s="17">
        <v>1</v>
      </c>
      <c r="L440" s="19">
        <v>1</v>
      </c>
      <c r="M440" s="19">
        <v>1</v>
      </c>
      <c r="O440" s="20">
        <v>1</v>
      </c>
      <c r="P440" s="17">
        <v>2</v>
      </c>
      <c r="Q440" s="17" t="s">
        <v>288</v>
      </c>
      <c r="R440" s="17" t="s">
        <v>933</v>
      </c>
    </row>
    <row r="441" spans="1:18" x14ac:dyDescent="0.25">
      <c r="A441" s="16">
        <v>102084927600</v>
      </c>
      <c r="B441" s="16" t="str">
        <f t="shared" si="8"/>
        <v>1020849276000</v>
      </c>
      <c r="C441" s="17" t="s">
        <v>302</v>
      </c>
      <c r="D441" s="17" t="s">
        <v>89</v>
      </c>
      <c r="E441" s="17">
        <v>20411454</v>
      </c>
      <c r="F441" s="17" t="s">
        <v>962</v>
      </c>
      <c r="G441" s="17" t="s">
        <v>45</v>
      </c>
      <c r="H441" s="17" t="s">
        <v>162</v>
      </c>
      <c r="I441" s="18">
        <v>45627</v>
      </c>
      <c r="J441" s="18">
        <v>45792</v>
      </c>
      <c r="K441" s="17">
        <v>1</v>
      </c>
      <c r="L441" s="19">
        <v>1</v>
      </c>
      <c r="M441" s="19">
        <v>1</v>
      </c>
      <c r="O441" s="20">
        <v>1</v>
      </c>
      <c r="P441" s="17">
        <v>2</v>
      </c>
      <c r="Q441" s="17" t="s">
        <v>288</v>
      </c>
      <c r="R441" s="17" t="s">
        <v>933</v>
      </c>
    </row>
    <row r="442" spans="1:18" x14ac:dyDescent="0.25">
      <c r="A442" s="16">
        <v>967950774</v>
      </c>
      <c r="B442" s="16" t="str">
        <f t="shared" si="8"/>
        <v>9679507740</v>
      </c>
      <c r="C442" s="17" t="s">
        <v>267</v>
      </c>
      <c r="D442" s="17" t="s">
        <v>93</v>
      </c>
      <c r="E442" s="17">
        <v>20411454</v>
      </c>
      <c r="F442" s="17" t="s">
        <v>962</v>
      </c>
      <c r="G442" s="17" t="s">
        <v>45</v>
      </c>
      <c r="H442" s="17" t="s">
        <v>130</v>
      </c>
      <c r="I442" s="18">
        <v>45627</v>
      </c>
      <c r="J442" s="18">
        <v>45792</v>
      </c>
      <c r="K442" s="17">
        <v>1</v>
      </c>
      <c r="L442" s="19">
        <v>1</v>
      </c>
      <c r="M442" s="19">
        <v>1</v>
      </c>
      <c r="O442" s="20">
        <v>1</v>
      </c>
      <c r="P442" s="17">
        <v>6</v>
      </c>
      <c r="Q442" s="17" t="s">
        <v>248</v>
      </c>
      <c r="R442" s="17" t="s">
        <v>946</v>
      </c>
    </row>
    <row r="443" spans="1:18" x14ac:dyDescent="0.25">
      <c r="A443" s="16" t="s">
        <v>643</v>
      </c>
      <c r="B443" s="16" t="str">
        <f t="shared" si="8"/>
        <v>00023239414K0</v>
      </c>
      <c r="C443" s="17" t="s">
        <v>82</v>
      </c>
      <c r="D443" s="17" t="s">
        <v>43</v>
      </c>
      <c r="E443" s="17">
        <v>20411454</v>
      </c>
      <c r="F443" s="17" t="s">
        <v>962</v>
      </c>
      <c r="G443" s="17" t="s">
        <v>45</v>
      </c>
      <c r="H443" s="17" t="s">
        <v>54</v>
      </c>
      <c r="I443" s="18">
        <v>45748</v>
      </c>
      <c r="L443" s="19">
        <v>0</v>
      </c>
      <c r="M443" s="19">
        <v>175</v>
      </c>
      <c r="N443" s="17">
        <v>1</v>
      </c>
      <c r="O443" s="20">
        <v>1</v>
      </c>
      <c r="P443" s="17">
        <v>175</v>
      </c>
      <c r="R443" s="17" t="s">
        <v>936</v>
      </c>
    </row>
    <row r="444" spans="1:18" x14ac:dyDescent="0.25">
      <c r="A444" s="16">
        <v>102049245100</v>
      </c>
      <c r="B444" s="16" t="str">
        <f t="shared" si="8"/>
        <v>1020492451000</v>
      </c>
      <c r="C444" s="17" t="s">
        <v>380</v>
      </c>
      <c r="D444" s="17" t="s">
        <v>265</v>
      </c>
      <c r="E444" s="17">
        <v>20411454</v>
      </c>
      <c r="F444" s="17" t="s">
        <v>962</v>
      </c>
      <c r="G444" s="17" t="s">
        <v>45</v>
      </c>
      <c r="H444" s="17" t="s">
        <v>162</v>
      </c>
      <c r="I444" s="18">
        <v>45597</v>
      </c>
      <c r="J444" s="18">
        <v>45792</v>
      </c>
      <c r="K444" s="17">
        <v>1</v>
      </c>
      <c r="L444" s="19">
        <v>1</v>
      </c>
      <c r="M444" s="19">
        <v>1</v>
      </c>
      <c r="O444" s="20">
        <v>1</v>
      </c>
      <c r="P444" s="17">
        <v>2</v>
      </c>
      <c r="Q444" s="17" t="s">
        <v>288</v>
      </c>
      <c r="R444" s="17" t="s">
        <v>933</v>
      </c>
    </row>
    <row r="445" spans="1:18" x14ac:dyDescent="0.25">
      <c r="A445" s="16">
        <v>102035806200</v>
      </c>
      <c r="B445" s="16" t="str">
        <f t="shared" si="8"/>
        <v>1020358062000</v>
      </c>
      <c r="C445" s="17" t="s">
        <v>411</v>
      </c>
      <c r="D445" s="17" t="s">
        <v>315</v>
      </c>
      <c r="E445" s="17">
        <v>20411454</v>
      </c>
      <c r="F445" s="17" t="s">
        <v>962</v>
      </c>
      <c r="G445" s="17" t="s">
        <v>45</v>
      </c>
      <c r="H445" s="17" t="s">
        <v>162</v>
      </c>
      <c r="I445" s="18">
        <v>45566</v>
      </c>
      <c r="J445" s="18">
        <v>45792</v>
      </c>
      <c r="K445" s="17">
        <v>1</v>
      </c>
      <c r="L445" s="19">
        <v>1</v>
      </c>
      <c r="M445" s="19">
        <v>1</v>
      </c>
      <c r="O445" s="20">
        <v>1</v>
      </c>
      <c r="P445" s="17">
        <v>2</v>
      </c>
      <c r="Q445" s="17" t="s">
        <v>288</v>
      </c>
      <c r="R445" s="17" t="s">
        <v>933</v>
      </c>
    </row>
    <row r="446" spans="1:18" x14ac:dyDescent="0.25">
      <c r="A446" s="16" t="s">
        <v>751</v>
      </c>
      <c r="B446" s="16" t="str">
        <f t="shared" si="8"/>
        <v>00013131759K0</v>
      </c>
      <c r="C446" s="17" t="s">
        <v>613</v>
      </c>
      <c r="D446" s="17" t="s">
        <v>43</v>
      </c>
      <c r="E446" s="17">
        <v>20411454</v>
      </c>
      <c r="F446" s="17" t="s">
        <v>962</v>
      </c>
      <c r="G446" s="17" t="s">
        <v>250</v>
      </c>
      <c r="H446" s="17" t="s">
        <v>54</v>
      </c>
      <c r="I446" s="18">
        <v>45505</v>
      </c>
      <c r="J446" s="18">
        <v>45792</v>
      </c>
      <c r="K446" s="17">
        <v>1</v>
      </c>
      <c r="L446" s="19">
        <v>1</v>
      </c>
      <c r="M446" s="19">
        <v>1</v>
      </c>
      <c r="O446" s="20">
        <v>1</v>
      </c>
      <c r="P446" s="17">
        <v>9</v>
      </c>
      <c r="Q446" s="17" t="s">
        <v>473</v>
      </c>
      <c r="R446" s="17" t="s">
        <v>936</v>
      </c>
    </row>
    <row r="447" spans="1:18" x14ac:dyDescent="0.25">
      <c r="A447" s="16" t="s">
        <v>847</v>
      </c>
      <c r="B447" s="16" t="str">
        <f t="shared" si="8"/>
        <v>00022063543K0</v>
      </c>
      <c r="C447" s="17" t="s">
        <v>534</v>
      </c>
      <c r="D447" s="17" t="s">
        <v>43</v>
      </c>
      <c r="E447" s="17">
        <v>20411454</v>
      </c>
      <c r="F447" s="17" t="s">
        <v>962</v>
      </c>
      <c r="G447" s="17" t="s">
        <v>45</v>
      </c>
      <c r="H447" s="17" t="s">
        <v>54</v>
      </c>
      <c r="I447" s="18">
        <v>45566</v>
      </c>
      <c r="J447" s="18">
        <v>45792</v>
      </c>
      <c r="K447" s="17">
        <v>1</v>
      </c>
      <c r="L447" s="19">
        <v>1</v>
      </c>
      <c r="M447" s="19">
        <v>1</v>
      </c>
      <c r="O447" s="20">
        <v>1</v>
      </c>
      <c r="P447" s="17">
        <v>9</v>
      </c>
      <c r="Q447" s="17" t="s">
        <v>473</v>
      </c>
      <c r="R447" s="17" t="s">
        <v>936</v>
      </c>
    </row>
    <row r="448" spans="1:18" x14ac:dyDescent="0.25">
      <c r="A448" s="16">
        <v>101060073300</v>
      </c>
      <c r="B448" s="16" t="str">
        <f t="shared" si="8"/>
        <v>1010600733000</v>
      </c>
      <c r="C448" s="17" t="s">
        <v>472</v>
      </c>
      <c r="D448" s="17" t="s">
        <v>93</v>
      </c>
      <c r="E448" s="17">
        <v>20411454</v>
      </c>
      <c r="F448" s="17" t="s">
        <v>962</v>
      </c>
      <c r="G448" s="17" t="s">
        <v>45</v>
      </c>
      <c r="H448" s="17" t="s">
        <v>162</v>
      </c>
      <c r="I448" s="18">
        <v>43678</v>
      </c>
      <c r="J448" s="18">
        <v>45792</v>
      </c>
      <c r="K448" s="17">
        <v>1</v>
      </c>
      <c r="L448" s="19">
        <v>1</v>
      </c>
      <c r="M448" s="19">
        <v>1</v>
      </c>
      <c r="O448" s="20">
        <v>1</v>
      </c>
      <c r="P448" s="17">
        <v>2</v>
      </c>
      <c r="Q448" s="17" t="s">
        <v>288</v>
      </c>
      <c r="R448" s="17" t="s">
        <v>933</v>
      </c>
    </row>
    <row r="449" spans="1:18" x14ac:dyDescent="0.25">
      <c r="A449" s="16">
        <v>102066699300</v>
      </c>
      <c r="B449" s="16" t="str">
        <f t="shared" si="8"/>
        <v>1020666993000</v>
      </c>
      <c r="C449" s="17" t="s">
        <v>320</v>
      </c>
      <c r="E449" s="17">
        <v>20411454</v>
      </c>
      <c r="F449" s="17" t="s">
        <v>962</v>
      </c>
      <c r="G449" s="17" t="s">
        <v>45</v>
      </c>
      <c r="H449" s="17" t="s">
        <v>162</v>
      </c>
      <c r="I449" s="18">
        <v>45597</v>
      </c>
      <c r="J449" s="18">
        <v>45792</v>
      </c>
      <c r="K449" s="17">
        <v>1</v>
      </c>
      <c r="L449" s="19">
        <v>1</v>
      </c>
      <c r="M449" s="19">
        <v>1</v>
      </c>
      <c r="O449" s="20">
        <v>1</v>
      </c>
      <c r="P449" s="17">
        <v>2</v>
      </c>
      <c r="Q449" s="17" t="s">
        <v>288</v>
      </c>
      <c r="R449" s="17" t="s">
        <v>933</v>
      </c>
    </row>
    <row r="450" spans="1:18" x14ac:dyDescent="0.25">
      <c r="A450" s="16">
        <v>102022919300</v>
      </c>
      <c r="B450" s="16" t="str">
        <f t="shared" si="8"/>
        <v>1020229193000</v>
      </c>
      <c r="C450" s="17" t="s">
        <v>432</v>
      </c>
      <c r="D450" s="17" t="s">
        <v>93</v>
      </c>
      <c r="E450" s="17">
        <v>20411454</v>
      </c>
      <c r="F450" s="17" t="s">
        <v>962</v>
      </c>
      <c r="G450" s="17" t="s">
        <v>45</v>
      </c>
      <c r="H450" s="17" t="s">
        <v>95</v>
      </c>
      <c r="I450" s="18">
        <v>45474</v>
      </c>
      <c r="J450" s="18">
        <v>45792</v>
      </c>
      <c r="K450" s="17">
        <v>1</v>
      </c>
      <c r="L450" s="19">
        <v>1</v>
      </c>
      <c r="M450" s="19">
        <v>1</v>
      </c>
      <c r="O450" s="20">
        <v>1</v>
      </c>
      <c r="P450" s="17">
        <v>2</v>
      </c>
      <c r="Q450" s="17" t="s">
        <v>288</v>
      </c>
      <c r="R450" s="17" t="s">
        <v>933</v>
      </c>
    </row>
    <row r="451" spans="1:18" x14ac:dyDescent="0.25">
      <c r="A451" s="16" t="s">
        <v>845</v>
      </c>
      <c r="B451" s="16" t="str">
        <f t="shared" si="8"/>
        <v>00022052067KOV0</v>
      </c>
      <c r="C451" s="17" t="s">
        <v>536</v>
      </c>
      <c r="D451" s="17" t="s">
        <v>43</v>
      </c>
      <c r="E451" s="17">
        <v>20411454</v>
      </c>
      <c r="F451" s="17" t="s">
        <v>962</v>
      </c>
      <c r="G451" s="17" t="s">
        <v>45</v>
      </c>
      <c r="H451" s="17" t="s">
        <v>54</v>
      </c>
      <c r="I451" s="18">
        <v>45566</v>
      </c>
      <c r="J451" s="18">
        <v>45792</v>
      </c>
      <c r="K451" s="17">
        <v>1</v>
      </c>
      <c r="L451" s="19">
        <v>1</v>
      </c>
      <c r="M451" s="19">
        <v>1</v>
      </c>
      <c r="O451" s="20">
        <v>1</v>
      </c>
      <c r="P451" s="17">
        <v>9</v>
      </c>
      <c r="Q451" s="17" t="s">
        <v>473</v>
      </c>
      <c r="R451" s="17" t="s">
        <v>936</v>
      </c>
    </row>
    <row r="452" spans="1:18" x14ac:dyDescent="0.25">
      <c r="A452" s="16" t="s">
        <v>884</v>
      </c>
      <c r="B452" s="16" t="str">
        <f t="shared" si="8"/>
        <v>00022198910K0</v>
      </c>
      <c r="C452" s="17" t="s">
        <v>500</v>
      </c>
      <c r="D452" s="17" t="s">
        <v>43</v>
      </c>
      <c r="E452" s="17">
        <v>20411454</v>
      </c>
      <c r="F452" s="17" t="s">
        <v>962</v>
      </c>
      <c r="G452" s="17" t="s">
        <v>45</v>
      </c>
      <c r="H452" s="17" t="s">
        <v>54</v>
      </c>
      <c r="I452" s="18">
        <v>45597</v>
      </c>
      <c r="J452" s="18">
        <v>45792</v>
      </c>
      <c r="K452" s="17">
        <v>1</v>
      </c>
      <c r="L452" s="19">
        <v>1</v>
      </c>
      <c r="M452" s="19">
        <v>1</v>
      </c>
      <c r="O452" s="20">
        <v>1</v>
      </c>
      <c r="P452" s="17">
        <v>9</v>
      </c>
      <c r="Q452" s="17" t="s">
        <v>473</v>
      </c>
      <c r="R452" s="17" t="s">
        <v>936</v>
      </c>
    </row>
    <row r="453" spans="1:18" x14ac:dyDescent="0.25">
      <c r="A453" s="16" t="s">
        <v>661</v>
      </c>
      <c r="B453" s="16" t="str">
        <f t="shared" si="8"/>
        <v>00003943983KPC0</v>
      </c>
      <c r="C453" s="17" t="s">
        <v>149</v>
      </c>
      <c r="D453" s="17" t="s">
        <v>43</v>
      </c>
      <c r="E453" s="17">
        <v>20411454</v>
      </c>
      <c r="F453" s="17" t="s">
        <v>962</v>
      </c>
      <c r="G453" s="17" t="s">
        <v>148</v>
      </c>
      <c r="H453" s="17" t="s">
        <v>46</v>
      </c>
      <c r="I453" s="18">
        <v>45658</v>
      </c>
      <c r="L453" s="19">
        <v>0</v>
      </c>
      <c r="M453" s="17">
        <v>-81</v>
      </c>
      <c r="N453" s="17">
        <v>1</v>
      </c>
      <c r="O453" s="20">
        <v>1</v>
      </c>
      <c r="P453" s="17">
        <v>-81</v>
      </c>
      <c r="R453" s="17" t="s">
        <v>936</v>
      </c>
    </row>
    <row r="454" spans="1:18" x14ac:dyDescent="0.25">
      <c r="A454" s="16">
        <v>102065623700</v>
      </c>
      <c r="B454" s="16" t="str">
        <f t="shared" si="8"/>
        <v>1020656237000</v>
      </c>
      <c r="C454" s="17" t="s">
        <v>326</v>
      </c>
      <c r="D454" s="17" t="s">
        <v>93</v>
      </c>
      <c r="E454" s="17">
        <v>20411454</v>
      </c>
      <c r="F454" s="17" t="s">
        <v>962</v>
      </c>
      <c r="G454" s="17" t="s">
        <v>45</v>
      </c>
      <c r="H454" s="17" t="s">
        <v>162</v>
      </c>
      <c r="I454" s="18">
        <v>45597</v>
      </c>
      <c r="J454" s="18">
        <v>45792</v>
      </c>
      <c r="K454" s="17">
        <v>1</v>
      </c>
      <c r="L454" s="19">
        <v>1</v>
      </c>
      <c r="M454" s="19">
        <v>1</v>
      </c>
      <c r="O454" s="20">
        <v>1</v>
      </c>
      <c r="P454" s="17">
        <v>2</v>
      </c>
      <c r="Q454" s="17" t="s">
        <v>288</v>
      </c>
      <c r="R454" s="17" t="s">
        <v>933</v>
      </c>
    </row>
    <row r="455" spans="1:18" x14ac:dyDescent="0.25">
      <c r="A455" s="16" t="s">
        <v>648</v>
      </c>
      <c r="B455" s="16" t="str">
        <f t="shared" si="8"/>
        <v>922650134OV0</v>
      </c>
      <c r="C455" s="17" t="s">
        <v>121</v>
      </c>
      <c r="D455" s="17" t="s">
        <v>122</v>
      </c>
      <c r="E455" s="17">
        <v>20411454</v>
      </c>
      <c r="F455" s="17" t="s">
        <v>962</v>
      </c>
      <c r="G455" s="17" t="s">
        <v>45</v>
      </c>
      <c r="H455" s="17" t="s">
        <v>124</v>
      </c>
      <c r="I455" s="18">
        <v>45809</v>
      </c>
      <c r="L455" s="19">
        <v>0</v>
      </c>
      <c r="M455" s="19">
        <v>175</v>
      </c>
      <c r="N455" s="17">
        <v>1</v>
      </c>
      <c r="O455" s="20">
        <v>1</v>
      </c>
      <c r="P455" s="17">
        <v>175</v>
      </c>
      <c r="R455" s="17" t="s">
        <v>946</v>
      </c>
    </row>
    <row r="456" spans="1:18" x14ac:dyDescent="0.25">
      <c r="A456" s="16" t="s">
        <v>920</v>
      </c>
      <c r="B456" s="16" t="str">
        <f t="shared" si="8"/>
        <v>909023469OV0</v>
      </c>
      <c r="C456" s="17" t="s">
        <v>274</v>
      </c>
      <c r="D456" s="17" t="s">
        <v>93</v>
      </c>
      <c r="E456" s="17">
        <v>20411454</v>
      </c>
      <c r="F456" s="17" t="s">
        <v>962</v>
      </c>
      <c r="G456" s="17" t="s">
        <v>250</v>
      </c>
      <c r="H456" s="17" t="s">
        <v>124</v>
      </c>
      <c r="I456" s="18">
        <v>45627</v>
      </c>
      <c r="J456" s="18">
        <v>45792</v>
      </c>
      <c r="K456" s="17">
        <v>1</v>
      </c>
      <c r="L456" s="19">
        <v>1</v>
      </c>
      <c r="M456" s="19">
        <v>1</v>
      </c>
      <c r="O456" s="20">
        <v>1</v>
      </c>
      <c r="P456" s="17">
        <v>6</v>
      </c>
      <c r="Q456" s="17" t="s">
        <v>248</v>
      </c>
      <c r="R456" s="17" t="s">
        <v>946</v>
      </c>
    </row>
    <row r="457" spans="1:18" x14ac:dyDescent="0.25">
      <c r="A457" s="16">
        <v>102079442100</v>
      </c>
      <c r="B457" s="16" t="str">
        <f t="shared" si="8"/>
        <v>1020794421000</v>
      </c>
      <c r="C457" s="17" t="s">
        <v>306</v>
      </c>
      <c r="D457" s="17" t="s">
        <v>265</v>
      </c>
      <c r="E457" s="17">
        <v>20411454</v>
      </c>
      <c r="F457" s="17" t="s">
        <v>962</v>
      </c>
      <c r="G457" s="17" t="s">
        <v>45</v>
      </c>
      <c r="H457" s="17" t="s">
        <v>162</v>
      </c>
      <c r="I457" s="18">
        <v>45597</v>
      </c>
      <c r="J457" s="18">
        <v>45792</v>
      </c>
      <c r="K457" s="17">
        <v>1</v>
      </c>
      <c r="L457" s="19">
        <v>1</v>
      </c>
      <c r="M457" s="19">
        <v>1</v>
      </c>
      <c r="O457" s="20">
        <v>1</v>
      </c>
      <c r="P457" s="17">
        <v>2</v>
      </c>
      <c r="Q457" s="17" t="s">
        <v>288</v>
      </c>
      <c r="R457" s="17" t="s">
        <v>933</v>
      </c>
    </row>
    <row r="458" spans="1:18" x14ac:dyDescent="0.25">
      <c r="A458" s="16">
        <v>102061556500</v>
      </c>
      <c r="B458" s="16" t="str">
        <f t="shared" si="8"/>
        <v>1020615565000</v>
      </c>
      <c r="C458" s="17" t="s">
        <v>339</v>
      </c>
      <c r="D458" s="17" t="s">
        <v>89</v>
      </c>
      <c r="E458" s="17">
        <v>20411454</v>
      </c>
      <c r="F458" s="17" t="s">
        <v>962</v>
      </c>
      <c r="G458" s="17" t="s">
        <v>45</v>
      </c>
      <c r="H458" s="17" t="s">
        <v>162</v>
      </c>
      <c r="I458" s="18">
        <v>45566</v>
      </c>
      <c r="J458" s="18">
        <v>45792</v>
      </c>
      <c r="K458" s="17">
        <v>1</v>
      </c>
      <c r="L458" s="19">
        <v>1</v>
      </c>
      <c r="M458" s="19">
        <v>1</v>
      </c>
      <c r="O458" s="20">
        <v>1</v>
      </c>
      <c r="P458" s="17">
        <v>2</v>
      </c>
      <c r="Q458" s="17" t="s">
        <v>288</v>
      </c>
      <c r="R458" s="17" t="s">
        <v>933</v>
      </c>
    </row>
    <row r="459" spans="1:18" x14ac:dyDescent="0.25">
      <c r="A459" s="16" t="s">
        <v>789</v>
      </c>
      <c r="B459" s="16" t="str">
        <f t="shared" si="8"/>
        <v>00021876763K0</v>
      </c>
      <c r="C459" s="17" t="s">
        <v>583</v>
      </c>
      <c r="D459" s="17" t="s">
        <v>43</v>
      </c>
      <c r="E459" s="17">
        <v>20411454</v>
      </c>
      <c r="F459" s="17" t="s">
        <v>962</v>
      </c>
      <c r="G459" s="17" t="s">
        <v>250</v>
      </c>
      <c r="H459" s="17" t="s">
        <v>54</v>
      </c>
      <c r="I459" s="18">
        <v>45505</v>
      </c>
      <c r="J459" s="18">
        <v>45792</v>
      </c>
      <c r="K459" s="17">
        <v>1</v>
      </c>
      <c r="L459" s="19">
        <v>1</v>
      </c>
      <c r="M459" s="19">
        <v>1</v>
      </c>
      <c r="O459" s="20">
        <v>1</v>
      </c>
      <c r="P459" s="17">
        <v>9</v>
      </c>
      <c r="Q459" s="17" t="s">
        <v>473</v>
      </c>
      <c r="R459" s="17" t="s">
        <v>936</v>
      </c>
    </row>
    <row r="460" spans="1:18" x14ac:dyDescent="0.25">
      <c r="A460" s="16">
        <v>102160124800</v>
      </c>
      <c r="B460" s="16" t="str">
        <f t="shared" si="8"/>
        <v>1021601248000</v>
      </c>
      <c r="C460" s="17" t="s">
        <v>116</v>
      </c>
      <c r="D460" s="17" t="s">
        <v>117</v>
      </c>
      <c r="E460" s="17">
        <v>20411454</v>
      </c>
      <c r="F460" s="17" t="s">
        <v>962</v>
      </c>
      <c r="G460" s="17" t="s">
        <v>45</v>
      </c>
      <c r="H460" s="17" t="s">
        <v>95</v>
      </c>
      <c r="I460" s="18">
        <v>45778</v>
      </c>
      <c r="L460" s="19">
        <v>0</v>
      </c>
      <c r="M460" s="19">
        <v>33.33</v>
      </c>
      <c r="N460" s="17">
        <v>1</v>
      </c>
      <c r="O460" s="20">
        <v>1</v>
      </c>
      <c r="P460" s="17">
        <v>33.33</v>
      </c>
      <c r="Q460" s="17" t="s">
        <v>119</v>
      </c>
      <c r="R460" s="17" t="s">
        <v>933</v>
      </c>
    </row>
    <row r="461" spans="1:18" x14ac:dyDescent="0.25">
      <c r="A461" s="16">
        <v>102034658300</v>
      </c>
      <c r="B461" s="16" t="str">
        <f t="shared" si="8"/>
        <v>1020346583000</v>
      </c>
      <c r="C461" s="17" t="s">
        <v>415</v>
      </c>
      <c r="D461" s="17" t="s">
        <v>93</v>
      </c>
      <c r="E461" s="17">
        <v>20411454</v>
      </c>
      <c r="F461" s="17" t="s">
        <v>962</v>
      </c>
      <c r="G461" s="17" t="s">
        <v>45</v>
      </c>
      <c r="H461" s="17" t="s">
        <v>162</v>
      </c>
      <c r="I461" s="18">
        <v>45536</v>
      </c>
      <c r="J461" s="18">
        <v>45792</v>
      </c>
      <c r="K461" s="17">
        <v>1</v>
      </c>
      <c r="L461" s="19">
        <v>1</v>
      </c>
      <c r="M461" s="19">
        <v>1</v>
      </c>
      <c r="O461" s="20">
        <v>1</v>
      </c>
      <c r="P461" s="17">
        <v>2</v>
      </c>
      <c r="Q461" s="17" t="s">
        <v>288</v>
      </c>
      <c r="R461" s="17" t="s">
        <v>933</v>
      </c>
    </row>
    <row r="462" spans="1:18" x14ac:dyDescent="0.25">
      <c r="A462" s="16" t="s">
        <v>698</v>
      </c>
      <c r="B462" s="16" t="str">
        <f t="shared" si="8"/>
        <v>00023259320K0</v>
      </c>
      <c r="C462" s="17" t="s">
        <v>141</v>
      </c>
      <c r="D462" s="17" t="s">
        <v>43</v>
      </c>
      <c r="E462" s="17">
        <v>20411454</v>
      </c>
      <c r="F462" s="17" t="s">
        <v>962</v>
      </c>
      <c r="G462" s="17" t="s">
        <v>45</v>
      </c>
      <c r="H462" s="17" t="s">
        <v>54</v>
      </c>
      <c r="I462" s="18">
        <v>45778</v>
      </c>
      <c r="L462" s="19">
        <v>0</v>
      </c>
      <c r="M462" s="19">
        <v>175</v>
      </c>
      <c r="N462" s="17">
        <v>1</v>
      </c>
      <c r="O462" s="20">
        <v>1</v>
      </c>
      <c r="P462" s="17">
        <v>175</v>
      </c>
      <c r="R462" s="17" t="s">
        <v>936</v>
      </c>
    </row>
    <row r="463" spans="1:18" x14ac:dyDescent="0.25">
      <c r="A463" s="16">
        <v>102050057700</v>
      </c>
      <c r="B463" s="16" t="str">
        <f t="shared" si="8"/>
        <v>1020500577000</v>
      </c>
      <c r="C463" s="17" t="s">
        <v>372</v>
      </c>
      <c r="D463" s="17" t="s">
        <v>93</v>
      </c>
      <c r="E463" s="17">
        <v>20411454</v>
      </c>
      <c r="F463" s="17" t="s">
        <v>962</v>
      </c>
      <c r="G463" s="17" t="s">
        <v>45</v>
      </c>
      <c r="H463" s="17" t="s">
        <v>162</v>
      </c>
      <c r="I463" s="18">
        <v>45566</v>
      </c>
      <c r="J463" s="18">
        <v>45792</v>
      </c>
      <c r="K463" s="17">
        <v>1</v>
      </c>
      <c r="L463" s="19">
        <v>1</v>
      </c>
      <c r="M463" s="19">
        <v>1</v>
      </c>
      <c r="O463" s="20">
        <v>1</v>
      </c>
      <c r="P463" s="17">
        <v>2</v>
      </c>
      <c r="Q463" s="17" t="s">
        <v>288</v>
      </c>
      <c r="R463" s="17" t="s">
        <v>933</v>
      </c>
    </row>
    <row r="464" spans="1:18" x14ac:dyDescent="0.25">
      <c r="A464" s="16">
        <v>102046259200</v>
      </c>
      <c r="B464" s="16" t="str">
        <f t="shared" si="8"/>
        <v>1020462592000</v>
      </c>
      <c r="C464" s="17" t="s">
        <v>386</v>
      </c>
      <c r="D464" s="17" t="s">
        <v>93</v>
      </c>
      <c r="E464" s="17">
        <v>20411454</v>
      </c>
      <c r="F464" s="17" t="s">
        <v>962</v>
      </c>
      <c r="G464" s="17" t="s">
        <v>45</v>
      </c>
      <c r="H464" s="17" t="s">
        <v>162</v>
      </c>
      <c r="I464" s="18">
        <v>45597</v>
      </c>
      <c r="J464" s="18">
        <v>45792</v>
      </c>
      <c r="K464" s="17">
        <v>1</v>
      </c>
      <c r="L464" s="19">
        <v>1</v>
      </c>
      <c r="M464" s="19">
        <v>1</v>
      </c>
      <c r="O464" s="20">
        <v>1</v>
      </c>
      <c r="P464" s="17">
        <v>2</v>
      </c>
      <c r="Q464" s="17" t="s">
        <v>288</v>
      </c>
      <c r="R464" s="17" t="s">
        <v>933</v>
      </c>
    </row>
    <row r="465" spans="1:18" x14ac:dyDescent="0.25">
      <c r="A465" s="16" t="s">
        <v>851</v>
      </c>
      <c r="B465" s="16" t="str">
        <f t="shared" si="8"/>
        <v>00022077041K0</v>
      </c>
      <c r="C465" s="17" t="s">
        <v>529</v>
      </c>
      <c r="D465" s="17" t="s">
        <v>43</v>
      </c>
      <c r="E465" s="17">
        <v>20411454</v>
      </c>
      <c r="F465" s="17" t="s">
        <v>962</v>
      </c>
      <c r="G465" s="17" t="s">
        <v>45</v>
      </c>
      <c r="H465" s="17" t="s">
        <v>54</v>
      </c>
      <c r="I465" s="18">
        <v>45566</v>
      </c>
      <c r="J465" s="18">
        <v>45792</v>
      </c>
      <c r="K465" s="17">
        <v>1</v>
      </c>
      <c r="L465" s="19">
        <v>1</v>
      </c>
      <c r="M465" s="19">
        <v>1</v>
      </c>
      <c r="O465" s="20">
        <v>1</v>
      </c>
      <c r="P465" s="17">
        <v>9</v>
      </c>
      <c r="Q465" s="17" t="s">
        <v>473</v>
      </c>
      <c r="R465" s="17" t="s">
        <v>936</v>
      </c>
    </row>
    <row r="466" spans="1:18" x14ac:dyDescent="0.25">
      <c r="A466" s="16" t="s">
        <v>872</v>
      </c>
      <c r="B466" s="16" t="str">
        <f t="shared" si="8"/>
        <v>00022096948KOV0</v>
      </c>
      <c r="C466" s="17" t="s">
        <v>512</v>
      </c>
      <c r="D466" s="17" t="s">
        <v>43</v>
      </c>
      <c r="E466" s="17">
        <v>20411454</v>
      </c>
      <c r="F466" s="17" t="s">
        <v>962</v>
      </c>
      <c r="G466" s="17" t="s">
        <v>45</v>
      </c>
      <c r="H466" s="17" t="s">
        <v>54</v>
      </c>
      <c r="I466" s="18">
        <v>45597</v>
      </c>
      <c r="J466" s="18">
        <v>45792</v>
      </c>
      <c r="K466" s="17">
        <v>1</v>
      </c>
      <c r="L466" s="19">
        <v>1</v>
      </c>
      <c r="M466" s="19">
        <v>1</v>
      </c>
      <c r="O466" s="20">
        <v>1</v>
      </c>
      <c r="P466" s="17">
        <v>9</v>
      </c>
      <c r="Q466" s="17" t="s">
        <v>473</v>
      </c>
      <c r="R466" s="17" t="s">
        <v>936</v>
      </c>
    </row>
    <row r="467" spans="1:18" x14ac:dyDescent="0.25">
      <c r="A467" s="16" t="s">
        <v>923</v>
      </c>
      <c r="B467" s="16" t="str">
        <f t="shared" ref="B467:B530" si="9">CONCATENATE(A467,0)</f>
        <v>967561705OV0</v>
      </c>
      <c r="C467" s="17" t="s">
        <v>268</v>
      </c>
      <c r="D467" s="17" t="s">
        <v>89</v>
      </c>
      <c r="E467" s="17">
        <v>20411454</v>
      </c>
      <c r="F467" s="17" t="s">
        <v>962</v>
      </c>
      <c r="G467" s="17" t="s">
        <v>250</v>
      </c>
      <c r="H467" s="17" t="s">
        <v>124</v>
      </c>
      <c r="I467" s="18">
        <v>45597</v>
      </c>
      <c r="J467" s="18">
        <v>45792</v>
      </c>
      <c r="K467" s="17">
        <v>1</v>
      </c>
      <c r="L467" s="19">
        <v>1</v>
      </c>
      <c r="M467" s="19">
        <v>1</v>
      </c>
      <c r="O467" s="20">
        <v>1</v>
      </c>
      <c r="P467" s="17">
        <v>6</v>
      </c>
      <c r="Q467" s="17" t="s">
        <v>248</v>
      </c>
      <c r="R467" s="17" t="s">
        <v>946</v>
      </c>
    </row>
    <row r="468" spans="1:18" x14ac:dyDescent="0.25">
      <c r="A468" s="16" t="s">
        <v>856</v>
      </c>
      <c r="B468" s="16" t="str">
        <f t="shared" si="9"/>
        <v>00022083688K0</v>
      </c>
      <c r="C468" s="17" t="s">
        <v>524</v>
      </c>
      <c r="D468" s="17" t="s">
        <v>43</v>
      </c>
      <c r="E468" s="17">
        <v>20411454</v>
      </c>
      <c r="F468" s="17" t="s">
        <v>962</v>
      </c>
      <c r="G468" s="17" t="s">
        <v>45</v>
      </c>
      <c r="H468" s="17" t="s">
        <v>54</v>
      </c>
      <c r="I468" s="18">
        <v>45566</v>
      </c>
      <c r="J468" s="18">
        <v>45792</v>
      </c>
      <c r="K468" s="17">
        <v>1</v>
      </c>
      <c r="L468" s="19">
        <v>1</v>
      </c>
      <c r="M468" s="19">
        <v>1</v>
      </c>
      <c r="O468" s="20">
        <v>1</v>
      </c>
      <c r="P468" s="17">
        <v>9</v>
      </c>
      <c r="Q468" s="17" t="s">
        <v>473</v>
      </c>
      <c r="R468" s="17" t="s">
        <v>936</v>
      </c>
    </row>
    <row r="469" spans="1:18" x14ac:dyDescent="0.25">
      <c r="A469" s="16" t="s">
        <v>674</v>
      </c>
      <c r="B469" s="16" t="str">
        <f t="shared" si="9"/>
        <v>102098672900PC0</v>
      </c>
      <c r="C469" s="17" t="s">
        <v>163</v>
      </c>
      <c r="D469" s="17" t="s">
        <v>89</v>
      </c>
      <c r="E469" s="17">
        <v>20411454</v>
      </c>
      <c r="F469" s="17" t="s">
        <v>962</v>
      </c>
      <c r="G469" s="17" t="s">
        <v>148</v>
      </c>
      <c r="H469" s="17" t="s">
        <v>162</v>
      </c>
      <c r="I469" s="18">
        <v>45658</v>
      </c>
      <c r="L469" s="19">
        <v>0</v>
      </c>
      <c r="M469" s="17">
        <v>-41.66</v>
      </c>
      <c r="N469" s="17">
        <v>1</v>
      </c>
      <c r="O469" s="20">
        <v>1</v>
      </c>
      <c r="P469" s="17">
        <v>-41.66</v>
      </c>
      <c r="R469" s="17" t="s">
        <v>933</v>
      </c>
    </row>
    <row r="470" spans="1:18" x14ac:dyDescent="0.25">
      <c r="A470" s="16">
        <v>102044729900</v>
      </c>
      <c r="B470" s="16" t="str">
        <f t="shared" si="9"/>
        <v>1020447299000</v>
      </c>
      <c r="C470" s="17" t="s">
        <v>388</v>
      </c>
      <c r="D470" s="17" t="s">
        <v>89</v>
      </c>
      <c r="E470" s="17">
        <v>20411454</v>
      </c>
      <c r="F470" s="17" t="s">
        <v>962</v>
      </c>
      <c r="G470" s="17" t="s">
        <v>45</v>
      </c>
      <c r="H470" s="17" t="s">
        <v>162</v>
      </c>
      <c r="I470" s="18">
        <v>45566</v>
      </c>
      <c r="J470" s="18">
        <v>45792</v>
      </c>
      <c r="K470" s="17">
        <v>1</v>
      </c>
      <c r="L470" s="19">
        <v>1</v>
      </c>
      <c r="M470" s="19">
        <v>1</v>
      </c>
      <c r="O470" s="20">
        <v>1</v>
      </c>
      <c r="P470" s="17">
        <v>2</v>
      </c>
      <c r="Q470" s="17" t="s">
        <v>288</v>
      </c>
      <c r="R470" s="17" t="s">
        <v>933</v>
      </c>
    </row>
    <row r="471" spans="1:18" x14ac:dyDescent="0.25">
      <c r="A471" s="16">
        <v>102160449600</v>
      </c>
      <c r="B471" s="16" t="str">
        <f t="shared" si="9"/>
        <v>1021604496000</v>
      </c>
      <c r="C471" s="17" t="s">
        <v>220</v>
      </c>
      <c r="D471" s="17" t="s">
        <v>89</v>
      </c>
      <c r="E471" s="17">
        <v>20411454</v>
      </c>
      <c r="F471" s="17" t="s">
        <v>962</v>
      </c>
      <c r="G471" s="17" t="s">
        <v>45</v>
      </c>
      <c r="H471" s="17" t="s">
        <v>95</v>
      </c>
      <c r="I471" s="18">
        <v>45748</v>
      </c>
      <c r="L471" s="19">
        <v>0</v>
      </c>
      <c r="M471" s="19">
        <v>37.5</v>
      </c>
      <c r="N471" s="17">
        <v>1</v>
      </c>
      <c r="O471" s="20">
        <v>1</v>
      </c>
      <c r="P471" s="17">
        <v>37.5</v>
      </c>
      <c r="Q471" s="17" t="s">
        <v>91</v>
      </c>
      <c r="R471" s="17" t="s">
        <v>933</v>
      </c>
    </row>
    <row r="472" spans="1:18" x14ac:dyDescent="0.25">
      <c r="A472" s="16">
        <v>101063039500</v>
      </c>
      <c r="B472" s="16" t="str">
        <f t="shared" si="9"/>
        <v>1010630395000</v>
      </c>
      <c r="C472" s="17" t="s">
        <v>471</v>
      </c>
      <c r="D472" s="17" t="s">
        <v>93</v>
      </c>
      <c r="E472" s="17">
        <v>20411454</v>
      </c>
      <c r="F472" s="17" t="s">
        <v>962</v>
      </c>
      <c r="G472" s="17" t="s">
        <v>45</v>
      </c>
      <c r="H472" s="17" t="s">
        <v>162</v>
      </c>
      <c r="I472" s="18">
        <v>45658</v>
      </c>
      <c r="J472" s="18">
        <v>45792</v>
      </c>
      <c r="K472" s="17">
        <v>1</v>
      </c>
      <c r="L472" s="19">
        <v>1</v>
      </c>
      <c r="M472" s="19">
        <v>1</v>
      </c>
      <c r="O472" s="20">
        <v>1</v>
      </c>
      <c r="P472" s="17">
        <v>2</v>
      </c>
      <c r="Q472" s="17" t="s">
        <v>288</v>
      </c>
      <c r="R472" s="17" t="s">
        <v>933</v>
      </c>
    </row>
    <row r="473" spans="1:18" x14ac:dyDescent="0.25">
      <c r="A473" s="16" t="s">
        <v>916</v>
      </c>
      <c r="B473" s="16" t="str">
        <f t="shared" si="9"/>
        <v>283W175780</v>
      </c>
      <c r="C473" s="17" t="s">
        <v>280</v>
      </c>
      <c r="D473" s="17" t="s">
        <v>43</v>
      </c>
      <c r="E473" s="17">
        <v>20411454</v>
      </c>
      <c r="F473" s="17" t="s">
        <v>962</v>
      </c>
      <c r="G473" s="17" t="s">
        <v>45</v>
      </c>
      <c r="H473" s="17" t="s">
        <v>278</v>
      </c>
      <c r="I473" s="18">
        <v>45658</v>
      </c>
      <c r="J473" s="18">
        <v>47939</v>
      </c>
      <c r="K473" s="17">
        <v>1</v>
      </c>
      <c r="L473" s="19">
        <v>1</v>
      </c>
      <c r="M473" s="19">
        <v>1</v>
      </c>
      <c r="O473" s="20">
        <v>1</v>
      </c>
      <c r="P473" s="17">
        <v>7</v>
      </c>
      <c r="Q473" s="17" t="s">
        <v>270</v>
      </c>
      <c r="R473" s="17" t="s">
        <v>934</v>
      </c>
    </row>
    <row r="474" spans="1:18" x14ac:dyDescent="0.25">
      <c r="A474" s="16">
        <v>101780531400</v>
      </c>
      <c r="B474" s="16" t="str">
        <f t="shared" si="9"/>
        <v>1017805314000</v>
      </c>
      <c r="C474" s="17" t="s">
        <v>223</v>
      </c>
      <c r="D474" s="17" t="s">
        <v>84</v>
      </c>
      <c r="E474" s="17">
        <v>20411454</v>
      </c>
      <c r="F474" s="17" t="s">
        <v>962</v>
      </c>
      <c r="G474" s="17" t="s">
        <v>45</v>
      </c>
      <c r="H474" s="17" t="s">
        <v>95</v>
      </c>
      <c r="I474" s="18">
        <v>45748</v>
      </c>
      <c r="L474" s="19">
        <v>0</v>
      </c>
      <c r="M474" s="19">
        <v>37.5</v>
      </c>
      <c r="N474" s="17">
        <v>1</v>
      </c>
      <c r="O474" s="20">
        <v>1</v>
      </c>
      <c r="P474" s="17">
        <v>37.5</v>
      </c>
      <c r="Q474" s="17" t="s">
        <v>91</v>
      </c>
      <c r="R474" s="17" t="s">
        <v>933</v>
      </c>
    </row>
    <row r="475" spans="1:18" x14ac:dyDescent="0.25">
      <c r="A475" s="16" t="s">
        <v>826</v>
      </c>
      <c r="B475" s="16" t="str">
        <f t="shared" si="9"/>
        <v>00022014220K0</v>
      </c>
      <c r="C475" s="17" t="s">
        <v>549</v>
      </c>
      <c r="D475" s="17" t="s">
        <v>43</v>
      </c>
      <c r="E475" s="17">
        <v>20411454</v>
      </c>
      <c r="F475" s="17" t="s">
        <v>962</v>
      </c>
      <c r="G475" s="17" t="s">
        <v>250</v>
      </c>
      <c r="H475" s="17" t="s">
        <v>54</v>
      </c>
      <c r="I475" s="18">
        <v>45536</v>
      </c>
      <c r="J475" s="18">
        <v>45792</v>
      </c>
      <c r="K475" s="17">
        <v>1</v>
      </c>
      <c r="L475" s="19">
        <v>1</v>
      </c>
      <c r="M475" s="19">
        <v>1</v>
      </c>
      <c r="O475" s="20">
        <v>1</v>
      </c>
      <c r="P475" s="17">
        <v>9</v>
      </c>
      <c r="Q475" s="17" t="s">
        <v>473</v>
      </c>
      <c r="R475" s="17" t="s">
        <v>936</v>
      </c>
    </row>
    <row r="476" spans="1:18" x14ac:dyDescent="0.25">
      <c r="A476" s="16">
        <v>102071177500</v>
      </c>
      <c r="B476" s="16" t="str">
        <f t="shared" si="9"/>
        <v>1020711775000</v>
      </c>
      <c r="C476" s="17" t="s">
        <v>311</v>
      </c>
      <c r="D476" s="17" t="s">
        <v>93</v>
      </c>
      <c r="E476" s="17">
        <v>20411454</v>
      </c>
      <c r="F476" s="17" t="s">
        <v>962</v>
      </c>
      <c r="G476" s="17" t="s">
        <v>45</v>
      </c>
      <c r="H476" s="17" t="s">
        <v>162</v>
      </c>
      <c r="I476" s="18">
        <v>45597</v>
      </c>
      <c r="J476" s="18">
        <v>45792</v>
      </c>
      <c r="K476" s="17">
        <v>1</v>
      </c>
      <c r="L476" s="19">
        <v>1</v>
      </c>
      <c r="M476" s="19">
        <v>1</v>
      </c>
      <c r="O476" s="20">
        <v>1</v>
      </c>
      <c r="P476" s="17">
        <v>2</v>
      </c>
      <c r="Q476" s="17" t="s">
        <v>288</v>
      </c>
      <c r="R476" s="17" t="s">
        <v>933</v>
      </c>
    </row>
    <row r="477" spans="1:18" x14ac:dyDescent="0.25">
      <c r="A477" s="16">
        <v>102037260600</v>
      </c>
      <c r="B477" s="16" t="str">
        <f t="shared" si="9"/>
        <v>1020372606000</v>
      </c>
      <c r="C477" s="17" t="s">
        <v>401</v>
      </c>
      <c r="D477" s="17" t="s">
        <v>89</v>
      </c>
      <c r="E477" s="17">
        <v>20411454</v>
      </c>
      <c r="F477" s="17" t="s">
        <v>962</v>
      </c>
      <c r="G477" s="17" t="s">
        <v>45</v>
      </c>
      <c r="H477" s="17" t="s">
        <v>162</v>
      </c>
      <c r="I477" s="18">
        <v>45505</v>
      </c>
      <c r="J477" s="18">
        <v>45792</v>
      </c>
      <c r="K477" s="17">
        <v>1</v>
      </c>
      <c r="L477" s="19">
        <v>1</v>
      </c>
      <c r="M477" s="19">
        <v>1</v>
      </c>
      <c r="O477" s="20">
        <v>1</v>
      </c>
      <c r="P477" s="17">
        <v>2</v>
      </c>
      <c r="Q477" s="17" t="s">
        <v>288</v>
      </c>
      <c r="R477" s="17" t="s">
        <v>933</v>
      </c>
    </row>
    <row r="478" spans="1:18" x14ac:dyDescent="0.25">
      <c r="A478" s="16">
        <v>102044738100</v>
      </c>
      <c r="B478" s="16" t="str">
        <f t="shared" si="9"/>
        <v>1020447381000</v>
      </c>
      <c r="C478" s="17" t="s">
        <v>387</v>
      </c>
      <c r="D478" s="17" t="s">
        <v>194</v>
      </c>
      <c r="E478" s="17">
        <v>20411454</v>
      </c>
      <c r="F478" s="17" t="s">
        <v>962</v>
      </c>
      <c r="G478" s="17" t="s">
        <v>45</v>
      </c>
      <c r="H478" s="17" t="s">
        <v>162</v>
      </c>
      <c r="I478" s="18">
        <v>45536</v>
      </c>
      <c r="J478" s="18">
        <v>45792</v>
      </c>
      <c r="K478" s="17">
        <v>1</v>
      </c>
      <c r="L478" s="19">
        <v>1</v>
      </c>
      <c r="M478" s="19">
        <v>1</v>
      </c>
      <c r="O478" s="20">
        <v>1</v>
      </c>
      <c r="P478" s="17">
        <v>2</v>
      </c>
      <c r="Q478" s="17" t="s">
        <v>288</v>
      </c>
      <c r="R478" s="17" t="s">
        <v>933</v>
      </c>
    </row>
    <row r="479" spans="1:18" x14ac:dyDescent="0.25">
      <c r="A479" s="16">
        <v>102026454000</v>
      </c>
      <c r="B479" s="16" t="str">
        <f t="shared" si="9"/>
        <v>1020264540000</v>
      </c>
      <c r="C479" s="17" t="s">
        <v>428</v>
      </c>
      <c r="D479" s="17" t="s">
        <v>427</v>
      </c>
      <c r="E479" s="17">
        <v>20411454</v>
      </c>
      <c r="F479" s="17" t="s">
        <v>962</v>
      </c>
      <c r="G479" s="17" t="s">
        <v>45</v>
      </c>
      <c r="H479" s="17" t="s">
        <v>162</v>
      </c>
      <c r="I479" s="18">
        <v>45474</v>
      </c>
      <c r="J479" s="18">
        <v>45792</v>
      </c>
      <c r="K479" s="17">
        <v>1</v>
      </c>
      <c r="L479" s="19">
        <v>1</v>
      </c>
      <c r="M479" s="19">
        <v>1</v>
      </c>
      <c r="O479" s="20">
        <v>1</v>
      </c>
      <c r="P479" s="17">
        <v>2</v>
      </c>
      <c r="Q479" s="17" t="s">
        <v>288</v>
      </c>
      <c r="R479" s="17" t="s">
        <v>933</v>
      </c>
    </row>
    <row r="480" spans="1:18" x14ac:dyDescent="0.25">
      <c r="A480" s="16" t="s">
        <v>859</v>
      </c>
      <c r="B480" s="16" t="str">
        <f t="shared" si="9"/>
        <v>00022085971K0</v>
      </c>
      <c r="C480" s="17" t="s">
        <v>521</v>
      </c>
      <c r="D480" s="17" t="s">
        <v>43</v>
      </c>
      <c r="E480" s="17">
        <v>20411454</v>
      </c>
      <c r="F480" s="17" t="s">
        <v>962</v>
      </c>
      <c r="G480" s="17" t="s">
        <v>45</v>
      </c>
      <c r="H480" s="17" t="s">
        <v>54</v>
      </c>
      <c r="I480" s="18">
        <v>45566</v>
      </c>
      <c r="J480" s="18">
        <v>45792</v>
      </c>
      <c r="K480" s="17">
        <v>1</v>
      </c>
      <c r="L480" s="19">
        <v>1</v>
      </c>
      <c r="M480" s="19">
        <v>1</v>
      </c>
      <c r="O480" s="20">
        <v>1</v>
      </c>
      <c r="P480" s="17">
        <v>9</v>
      </c>
      <c r="Q480" s="17" t="s">
        <v>473</v>
      </c>
      <c r="R480" s="17" t="s">
        <v>936</v>
      </c>
    </row>
    <row r="481" spans="1:18" x14ac:dyDescent="0.25">
      <c r="A481" s="16" t="s">
        <v>849</v>
      </c>
      <c r="B481" s="16" t="str">
        <f t="shared" si="9"/>
        <v>00022070044K0</v>
      </c>
      <c r="C481" s="17" t="s">
        <v>531</v>
      </c>
      <c r="D481" s="17" t="s">
        <v>43</v>
      </c>
      <c r="E481" s="17">
        <v>20411454</v>
      </c>
      <c r="F481" s="17" t="s">
        <v>962</v>
      </c>
      <c r="G481" s="17" t="s">
        <v>45</v>
      </c>
      <c r="H481" s="17" t="s">
        <v>54</v>
      </c>
      <c r="I481" s="18">
        <v>45597</v>
      </c>
      <c r="J481" s="18">
        <v>45792</v>
      </c>
      <c r="K481" s="17">
        <v>1</v>
      </c>
      <c r="L481" s="19">
        <v>1</v>
      </c>
      <c r="M481" s="19">
        <v>1</v>
      </c>
      <c r="O481" s="20">
        <v>1</v>
      </c>
      <c r="P481" s="17">
        <v>9</v>
      </c>
      <c r="Q481" s="17" t="s">
        <v>473</v>
      </c>
      <c r="R481" s="17" t="s">
        <v>936</v>
      </c>
    </row>
    <row r="482" spans="1:18" x14ac:dyDescent="0.25">
      <c r="A482" s="16" t="s">
        <v>771</v>
      </c>
      <c r="B482" s="16" t="str">
        <f t="shared" si="9"/>
        <v>00021818605K0</v>
      </c>
      <c r="C482" s="17" t="s">
        <v>594</v>
      </c>
      <c r="D482" s="17" t="s">
        <v>43</v>
      </c>
      <c r="E482" s="17">
        <v>20411454</v>
      </c>
      <c r="F482" s="17" t="s">
        <v>962</v>
      </c>
      <c r="G482" s="17" t="s">
        <v>250</v>
      </c>
      <c r="H482" s="17" t="s">
        <v>54</v>
      </c>
      <c r="I482" s="18">
        <v>45444</v>
      </c>
      <c r="J482" s="18">
        <v>45792</v>
      </c>
      <c r="K482" s="17">
        <v>1</v>
      </c>
      <c r="L482" s="19">
        <v>1</v>
      </c>
      <c r="M482" s="19">
        <v>1</v>
      </c>
      <c r="O482" s="20">
        <v>1</v>
      </c>
      <c r="P482" s="17">
        <v>9</v>
      </c>
      <c r="Q482" s="17" t="s">
        <v>473</v>
      </c>
      <c r="R482" s="17" t="s">
        <v>936</v>
      </c>
    </row>
    <row r="483" spans="1:18" x14ac:dyDescent="0.25">
      <c r="A483" s="16" t="s">
        <v>773</v>
      </c>
      <c r="B483" s="16" t="str">
        <f t="shared" si="9"/>
        <v>00021819613KOV0</v>
      </c>
      <c r="C483" s="17" t="s">
        <v>593</v>
      </c>
      <c r="D483" s="17" t="s">
        <v>43</v>
      </c>
      <c r="E483" s="17">
        <v>20411454</v>
      </c>
      <c r="F483" s="17" t="s">
        <v>962</v>
      </c>
      <c r="G483" s="17" t="s">
        <v>45</v>
      </c>
      <c r="H483" s="17" t="s">
        <v>54</v>
      </c>
      <c r="I483" s="18">
        <v>45444</v>
      </c>
      <c r="J483" s="18">
        <v>45792</v>
      </c>
      <c r="K483" s="17">
        <v>1</v>
      </c>
      <c r="L483" s="19">
        <v>1</v>
      </c>
      <c r="M483" s="19">
        <v>1</v>
      </c>
      <c r="O483" s="20">
        <v>1</v>
      </c>
      <c r="P483" s="17">
        <v>9</v>
      </c>
      <c r="Q483" s="17" t="s">
        <v>473</v>
      </c>
      <c r="R483" s="17" t="s">
        <v>936</v>
      </c>
    </row>
    <row r="484" spans="1:18" x14ac:dyDescent="0.25">
      <c r="A484" s="16" t="s">
        <v>697</v>
      </c>
      <c r="B484" s="16" t="str">
        <f t="shared" si="9"/>
        <v>00023257863K0</v>
      </c>
      <c r="C484" s="17" t="s">
        <v>230</v>
      </c>
      <c r="D484" s="17" t="s">
        <v>43</v>
      </c>
      <c r="E484" s="17">
        <v>20411454</v>
      </c>
      <c r="F484" s="17" t="s">
        <v>962</v>
      </c>
      <c r="G484" s="17" t="s">
        <v>45</v>
      </c>
      <c r="H484" s="17" t="s">
        <v>54</v>
      </c>
      <c r="I484" s="18">
        <v>45778</v>
      </c>
      <c r="L484" s="19">
        <v>0</v>
      </c>
      <c r="M484" s="19">
        <v>175</v>
      </c>
      <c r="N484" s="17">
        <v>1</v>
      </c>
      <c r="O484" s="20">
        <v>1</v>
      </c>
      <c r="P484" s="17">
        <v>175</v>
      </c>
      <c r="R484" s="17" t="s">
        <v>936</v>
      </c>
    </row>
    <row r="485" spans="1:18" x14ac:dyDescent="0.25">
      <c r="A485" s="16" t="s">
        <v>816</v>
      </c>
      <c r="B485" s="16" t="str">
        <f t="shared" si="9"/>
        <v>00021948322K0</v>
      </c>
      <c r="C485" s="17" t="s">
        <v>558</v>
      </c>
      <c r="D485" s="17" t="s">
        <v>43</v>
      </c>
      <c r="E485" s="17">
        <v>20411454</v>
      </c>
      <c r="F485" s="17" t="s">
        <v>962</v>
      </c>
      <c r="G485" s="17" t="s">
        <v>45</v>
      </c>
      <c r="H485" s="17" t="s">
        <v>54</v>
      </c>
      <c r="I485" s="18">
        <v>45566</v>
      </c>
      <c r="J485" s="18">
        <v>45792</v>
      </c>
      <c r="K485" s="17">
        <v>1</v>
      </c>
      <c r="L485" s="19">
        <v>1</v>
      </c>
      <c r="M485" s="19">
        <v>1</v>
      </c>
      <c r="O485" s="20">
        <v>1</v>
      </c>
      <c r="P485" s="17">
        <v>9</v>
      </c>
      <c r="Q485" s="17" t="s">
        <v>473</v>
      </c>
      <c r="R485" s="17" t="s">
        <v>936</v>
      </c>
    </row>
    <row r="486" spans="1:18" x14ac:dyDescent="0.25">
      <c r="A486" s="16">
        <v>102022258700</v>
      </c>
      <c r="B486" s="16" t="str">
        <f t="shared" si="9"/>
        <v>1020222587000</v>
      </c>
      <c r="C486" s="17" t="s">
        <v>435</v>
      </c>
      <c r="D486" s="17" t="s">
        <v>93</v>
      </c>
      <c r="E486" s="17">
        <v>20411454</v>
      </c>
      <c r="F486" s="17" t="s">
        <v>962</v>
      </c>
      <c r="G486" s="17" t="s">
        <v>45</v>
      </c>
      <c r="H486" s="17" t="s">
        <v>162</v>
      </c>
      <c r="I486" s="18">
        <v>45474</v>
      </c>
      <c r="J486" s="18">
        <v>45792</v>
      </c>
      <c r="K486" s="17">
        <v>1</v>
      </c>
      <c r="L486" s="19">
        <v>1</v>
      </c>
      <c r="M486" s="19">
        <v>1</v>
      </c>
      <c r="O486" s="20">
        <v>1</v>
      </c>
      <c r="P486" s="17">
        <v>2</v>
      </c>
      <c r="Q486" s="17" t="s">
        <v>288</v>
      </c>
      <c r="R486" s="17" t="s">
        <v>933</v>
      </c>
    </row>
    <row r="487" spans="1:18" x14ac:dyDescent="0.25">
      <c r="A487" s="16">
        <v>102078192100</v>
      </c>
      <c r="B487" s="16" t="str">
        <f t="shared" si="9"/>
        <v>1020781921000</v>
      </c>
      <c r="C487" s="17" t="s">
        <v>307</v>
      </c>
      <c r="D487" s="17" t="s">
        <v>122</v>
      </c>
      <c r="E487" s="17">
        <v>20411454</v>
      </c>
      <c r="F487" s="17" t="s">
        <v>962</v>
      </c>
      <c r="G487" s="17" t="s">
        <v>45</v>
      </c>
      <c r="H487" s="17" t="s">
        <v>162</v>
      </c>
      <c r="I487" s="18">
        <v>45597</v>
      </c>
      <c r="J487" s="18">
        <v>45792</v>
      </c>
      <c r="K487" s="17">
        <v>1</v>
      </c>
      <c r="L487" s="19">
        <v>1</v>
      </c>
      <c r="M487" s="19">
        <v>1</v>
      </c>
      <c r="O487" s="20">
        <v>1</v>
      </c>
      <c r="P487" s="17">
        <v>2</v>
      </c>
      <c r="Q487" s="17" t="s">
        <v>288</v>
      </c>
      <c r="R487" s="17" t="s">
        <v>933</v>
      </c>
    </row>
    <row r="488" spans="1:18" x14ac:dyDescent="0.25">
      <c r="A488" s="16" t="s">
        <v>813</v>
      </c>
      <c r="B488" s="16" t="str">
        <f t="shared" si="9"/>
        <v>00021938736K0</v>
      </c>
      <c r="C488" s="17" t="s">
        <v>561</v>
      </c>
      <c r="D488" s="17" t="s">
        <v>43</v>
      </c>
      <c r="E488" s="17">
        <v>20411454</v>
      </c>
      <c r="F488" s="17" t="s">
        <v>962</v>
      </c>
      <c r="G488" s="17" t="s">
        <v>250</v>
      </c>
      <c r="H488" s="17" t="s">
        <v>54</v>
      </c>
      <c r="I488" s="18">
        <v>45505</v>
      </c>
      <c r="J488" s="18">
        <v>45792</v>
      </c>
      <c r="K488" s="17">
        <v>1</v>
      </c>
      <c r="L488" s="19">
        <v>1</v>
      </c>
      <c r="M488" s="19">
        <v>1</v>
      </c>
      <c r="O488" s="20">
        <v>1</v>
      </c>
      <c r="P488" s="17">
        <v>9</v>
      </c>
      <c r="Q488" s="17" t="s">
        <v>473</v>
      </c>
      <c r="R488" s="17" t="s">
        <v>936</v>
      </c>
    </row>
    <row r="489" spans="1:18" x14ac:dyDescent="0.25">
      <c r="A489" s="16" t="s">
        <v>888</v>
      </c>
      <c r="B489" s="16" t="str">
        <f t="shared" si="9"/>
        <v>00022241122K0</v>
      </c>
      <c r="C489" s="17" t="s">
        <v>495</v>
      </c>
      <c r="D489" s="17" t="s">
        <v>43</v>
      </c>
      <c r="E489" s="17">
        <v>20411454</v>
      </c>
      <c r="F489" s="17" t="s">
        <v>962</v>
      </c>
      <c r="G489" s="17" t="s">
        <v>45</v>
      </c>
      <c r="H489" s="17" t="s">
        <v>54</v>
      </c>
      <c r="I489" s="18">
        <v>45597</v>
      </c>
      <c r="J489" s="18">
        <v>45792</v>
      </c>
      <c r="K489" s="17">
        <v>1</v>
      </c>
      <c r="L489" s="19">
        <v>1</v>
      </c>
      <c r="M489" s="19">
        <v>1</v>
      </c>
      <c r="O489" s="20">
        <v>1</v>
      </c>
      <c r="P489" s="17">
        <v>9</v>
      </c>
      <c r="Q489" s="17" t="s">
        <v>473</v>
      </c>
      <c r="R489" s="17" t="s">
        <v>936</v>
      </c>
    </row>
    <row r="490" spans="1:18" x14ac:dyDescent="0.25">
      <c r="A490" s="16" t="s">
        <v>804</v>
      </c>
      <c r="B490" s="16" t="str">
        <f t="shared" si="9"/>
        <v>00021915889K0</v>
      </c>
      <c r="C490" s="17" t="s">
        <v>569</v>
      </c>
      <c r="D490" s="17" t="s">
        <v>43</v>
      </c>
      <c r="E490" s="17">
        <v>20411454</v>
      </c>
      <c r="F490" s="17" t="s">
        <v>962</v>
      </c>
      <c r="G490" s="17" t="s">
        <v>250</v>
      </c>
      <c r="H490" s="17" t="s">
        <v>54</v>
      </c>
      <c r="I490" s="18">
        <v>45536</v>
      </c>
      <c r="J490" s="18">
        <v>45792</v>
      </c>
      <c r="K490" s="17">
        <v>1</v>
      </c>
      <c r="L490" s="19">
        <v>1</v>
      </c>
      <c r="M490" s="19">
        <v>1</v>
      </c>
      <c r="O490" s="20">
        <v>1</v>
      </c>
      <c r="P490" s="17">
        <v>9</v>
      </c>
      <c r="Q490" s="17" t="s">
        <v>473</v>
      </c>
      <c r="R490" s="17" t="s">
        <v>936</v>
      </c>
    </row>
    <row r="491" spans="1:18" x14ac:dyDescent="0.25">
      <c r="A491" s="16">
        <v>101545020000</v>
      </c>
      <c r="B491" s="16" t="str">
        <f t="shared" si="9"/>
        <v>1015450200000</v>
      </c>
      <c r="C491" s="17" t="s">
        <v>463</v>
      </c>
      <c r="D491" s="17" t="s">
        <v>281</v>
      </c>
      <c r="E491" s="17">
        <v>20411454</v>
      </c>
      <c r="F491" s="17" t="s">
        <v>962</v>
      </c>
      <c r="G491" s="17" t="s">
        <v>45</v>
      </c>
      <c r="H491" s="17" t="s">
        <v>95</v>
      </c>
      <c r="I491" s="18">
        <v>45536</v>
      </c>
      <c r="J491" s="18">
        <v>45792</v>
      </c>
      <c r="K491" s="17">
        <v>1</v>
      </c>
      <c r="L491" s="19">
        <v>1</v>
      </c>
      <c r="M491" s="19">
        <v>1</v>
      </c>
      <c r="O491" s="20">
        <v>1</v>
      </c>
      <c r="P491" s="17">
        <v>2</v>
      </c>
      <c r="Q491" s="17" t="s">
        <v>288</v>
      </c>
      <c r="R491" s="17" t="s">
        <v>933</v>
      </c>
    </row>
    <row r="492" spans="1:18" x14ac:dyDescent="0.25">
      <c r="A492" s="16" t="s">
        <v>829</v>
      </c>
      <c r="B492" s="16" t="str">
        <f t="shared" si="9"/>
        <v>00022023339K0</v>
      </c>
      <c r="C492" s="17" t="s">
        <v>546</v>
      </c>
      <c r="D492" s="17" t="s">
        <v>43</v>
      </c>
      <c r="E492" s="17">
        <v>20411454</v>
      </c>
      <c r="F492" s="17" t="s">
        <v>962</v>
      </c>
      <c r="G492" s="17" t="s">
        <v>250</v>
      </c>
      <c r="H492" s="17" t="s">
        <v>54</v>
      </c>
      <c r="I492" s="18">
        <v>45536</v>
      </c>
      <c r="J492" s="18">
        <v>45792</v>
      </c>
      <c r="K492" s="17">
        <v>1</v>
      </c>
      <c r="L492" s="19">
        <v>1</v>
      </c>
      <c r="M492" s="19">
        <v>1</v>
      </c>
      <c r="O492" s="20">
        <v>1</v>
      </c>
      <c r="P492" s="17">
        <v>9</v>
      </c>
      <c r="Q492" s="17" t="s">
        <v>473</v>
      </c>
      <c r="R492" s="17" t="s">
        <v>936</v>
      </c>
    </row>
    <row r="493" spans="1:18" x14ac:dyDescent="0.25">
      <c r="A493" s="16">
        <v>102043771500</v>
      </c>
      <c r="B493" s="16" t="str">
        <f t="shared" si="9"/>
        <v>1020437715000</v>
      </c>
      <c r="C493" s="17" t="s">
        <v>391</v>
      </c>
      <c r="D493" s="17" t="s">
        <v>89</v>
      </c>
      <c r="E493" s="17">
        <v>20411454</v>
      </c>
      <c r="F493" s="17" t="s">
        <v>962</v>
      </c>
      <c r="G493" s="17" t="s">
        <v>45</v>
      </c>
      <c r="H493" s="17" t="s">
        <v>162</v>
      </c>
      <c r="I493" s="18">
        <v>45566</v>
      </c>
      <c r="J493" s="18">
        <v>45792</v>
      </c>
      <c r="K493" s="17">
        <v>1</v>
      </c>
      <c r="L493" s="19">
        <v>1</v>
      </c>
      <c r="M493" s="19">
        <v>1</v>
      </c>
      <c r="O493" s="20">
        <v>1</v>
      </c>
      <c r="P493" s="17">
        <v>2</v>
      </c>
      <c r="Q493" s="17" t="s">
        <v>288</v>
      </c>
      <c r="R493" s="17" t="s">
        <v>933</v>
      </c>
    </row>
    <row r="494" spans="1:18" x14ac:dyDescent="0.25">
      <c r="A494" s="16" t="s">
        <v>779</v>
      </c>
      <c r="B494" s="16" t="str">
        <f t="shared" si="9"/>
        <v>00021852153KOV0</v>
      </c>
      <c r="C494" s="17" t="s">
        <v>589</v>
      </c>
      <c r="D494" s="17" t="s">
        <v>43</v>
      </c>
      <c r="E494" s="17">
        <v>20411454</v>
      </c>
      <c r="F494" s="17" t="s">
        <v>962</v>
      </c>
      <c r="G494" s="17" t="s">
        <v>45</v>
      </c>
      <c r="H494" s="17" t="s">
        <v>54</v>
      </c>
      <c r="I494" s="18">
        <v>45474</v>
      </c>
      <c r="J494" s="18">
        <v>45792</v>
      </c>
      <c r="K494" s="17">
        <v>1</v>
      </c>
      <c r="L494" s="19">
        <v>1</v>
      </c>
      <c r="M494" s="19">
        <v>1</v>
      </c>
      <c r="O494" s="20">
        <v>1</v>
      </c>
      <c r="P494" s="17">
        <v>9</v>
      </c>
      <c r="Q494" s="17" t="s">
        <v>473</v>
      </c>
      <c r="R494" s="17" t="s">
        <v>936</v>
      </c>
    </row>
    <row r="495" spans="1:18" x14ac:dyDescent="0.25">
      <c r="A495" s="16">
        <v>102063802200</v>
      </c>
      <c r="B495" s="16" t="str">
        <f t="shared" si="9"/>
        <v>1020638022000</v>
      </c>
      <c r="C495" s="17" t="s">
        <v>333</v>
      </c>
      <c r="D495" s="17" t="s">
        <v>331</v>
      </c>
      <c r="E495" s="17">
        <v>20411454</v>
      </c>
      <c r="F495" s="17" t="s">
        <v>962</v>
      </c>
      <c r="G495" s="17" t="s">
        <v>45</v>
      </c>
      <c r="H495" s="17" t="s">
        <v>95</v>
      </c>
      <c r="I495" s="18">
        <v>45566</v>
      </c>
      <c r="J495" s="18">
        <v>45792</v>
      </c>
      <c r="K495" s="17">
        <v>1</v>
      </c>
      <c r="L495" s="19">
        <v>1</v>
      </c>
      <c r="M495" s="19">
        <v>1</v>
      </c>
      <c r="O495" s="20">
        <v>1</v>
      </c>
      <c r="P495" s="17">
        <v>2</v>
      </c>
      <c r="Q495" s="17" t="s">
        <v>288</v>
      </c>
      <c r="R495" s="17" t="s">
        <v>933</v>
      </c>
    </row>
    <row r="496" spans="1:18" x14ac:dyDescent="0.25">
      <c r="A496" s="16" t="s">
        <v>891</v>
      </c>
      <c r="B496" s="16" t="str">
        <f t="shared" si="9"/>
        <v>00022351069K0</v>
      </c>
      <c r="C496" s="17" t="s">
        <v>493</v>
      </c>
      <c r="D496" s="17" t="s">
        <v>43</v>
      </c>
      <c r="E496" s="17">
        <v>20411454</v>
      </c>
      <c r="F496" s="17" t="s">
        <v>962</v>
      </c>
      <c r="G496" s="17" t="s">
        <v>45</v>
      </c>
      <c r="H496" s="17" t="s">
        <v>54</v>
      </c>
      <c r="I496" s="18">
        <v>45597</v>
      </c>
      <c r="J496" s="18">
        <v>45792</v>
      </c>
      <c r="K496" s="17">
        <v>1</v>
      </c>
      <c r="L496" s="19">
        <v>1</v>
      </c>
      <c r="M496" s="19">
        <v>1</v>
      </c>
      <c r="O496" s="20">
        <v>1</v>
      </c>
      <c r="P496" s="17">
        <v>9</v>
      </c>
      <c r="Q496" s="17" t="s">
        <v>473</v>
      </c>
      <c r="R496" s="17" t="s">
        <v>936</v>
      </c>
    </row>
    <row r="497" spans="1:18" x14ac:dyDescent="0.25">
      <c r="A497" s="16" t="s">
        <v>840</v>
      </c>
      <c r="B497" s="16" t="str">
        <f t="shared" si="9"/>
        <v>00022035242KOV0</v>
      </c>
      <c r="C497" s="17" t="s">
        <v>539</v>
      </c>
      <c r="D497" s="17" t="s">
        <v>43</v>
      </c>
      <c r="E497" s="17">
        <v>20411454</v>
      </c>
      <c r="F497" s="17" t="s">
        <v>962</v>
      </c>
      <c r="G497" s="17" t="s">
        <v>45</v>
      </c>
      <c r="H497" s="17" t="s">
        <v>54</v>
      </c>
      <c r="I497" s="18">
        <v>45566</v>
      </c>
      <c r="J497" s="18">
        <v>45792</v>
      </c>
      <c r="K497" s="17">
        <v>1</v>
      </c>
      <c r="L497" s="19">
        <v>1</v>
      </c>
      <c r="M497" s="19">
        <v>1</v>
      </c>
      <c r="O497" s="20">
        <v>1</v>
      </c>
      <c r="P497" s="17">
        <v>9</v>
      </c>
      <c r="Q497" s="17" t="s">
        <v>473</v>
      </c>
      <c r="R497" s="17" t="s">
        <v>936</v>
      </c>
    </row>
    <row r="498" spans="1:18" x14ac:dyDescent="0.25">
      <c r="A498" s="16">
        <v>101268593500</v>
      </c>
      <c r="B498" s="16" t="str">
        <f t="shared" si="9"/>
        <v>1012685935000</v>
      </c>
      <c r="C498" s="17" t="s">
        <v>98</v>
      </c>
      <c r="D498" s="17" t="s">
        <v>89</v>
      </c>
      <c r="E498" s="17">
        <v>20411454</v>
      </c>
      <c r="F498" s="17" t="s">
        <v>962</v>
      </c>
      <c r="G498" s="17" t="s">
        <v>45</v>
      </c>
      <c r="H498" s="17" t="s">
        <v>95</v>
      </c>
      <c r="I498" s="18">
        <v>45748</v>
      </c>
      <c r="L498" s="19">
        <v>0</v>
      </c>
      <c r="M498" s="19">
        <v>37.5</v>
      </c>
      <c r="N498" s="17">
        <v>1</v>
      </c>
      <c r="O498" s="20">
        <v>1</v>
      </c>
      <c r="P498" s="17">
        <v>37.5</v>
      </c>
      <c r="Q498" s="17" t="s">
        <v>91</v>
      </c>
      <c r="R498" s="17" t="s">
        <v>933</v>
      </c>
    </row>
    <row r="499" spans="1:18" x14ac:dyDescent="0.25">
      <c r="A499" s="16" t="s">
        <v>915</v>
      </c>
      <c r="B499" s="16" t="str">
        <f t="shared" si="9"/>
        <v>130625781OV0</v>
      </c>
      <c r="C499" s="17" t="s">
        <v>282</v>
      </c>
      <c r="D499" s="17" t="s">
        <v>281</v>
      </c>
      <c r="E499" s="17">
        <v>20411454</v>
      </c>
      <c r="F499" s="17" t="s">
        <v>962</v>
      </c>
      <c r="G499" s="17" t="s">
        <v>45</v>
      </c>
      <c r="H499" s="17" t="s">
        <v>124</v>
      </c>
      <c r="I499" s="18">
        <v>45536</v>
      </c>
      <c r="J499" s="18">
        <v>45792</v>
      </c>
      <c r="K499" s="17">
        <v>1</v>
      </c>
      <c r="L499" s="19">
        <v>1</v>
      </c>
      <c r="M499" s="19">
        <v>1</v>
      </c>
      <c r="O499" s="20">
        <v>1</v>
      </c>
      <c r="P499" s="17">
        <v>6</v>
      </c>
      <c r="Q499" s="17" t="s">
        <v>248</v>
      </c>
      <c r="R499" s="17" t="s">
        <v>946</v>
      </c>
    </row>
    <row r="500" spans="1:18" x14ac:dyDescent="0.25">
      <c r="A500" s="16">
        <v>102048671500</v>
      </c>
      <c r="B500" s="16" t="str">
        <f t="shared" si="9"/>
        <v>1020486715000</v>
      </c>
      <c r="C500" s="17" t="s">
        <v>383</v>
      </c>
      <c r="D500" s="17" t="s">
        <v>93</v>
      </c>
      <c r="E500" s="17">
        <v>20411454</v>
      </c>
      <c r="F500" s="17" t="s">
        <v>962</v>
      </c>
      <c r="G500" s="17" t="s">
        <v>45</v>
      </c>
      <c r="H500" s="17" t="s">
        <v>162</v>
      </c>
      <c r="I500" s="18">
        <v>45566</v>
      </c>
      <c r="J500" s="18">
        <v>45792</v>
      </c>
      <c r="K500" s="17">
        <v>1</v>
      </c>
      <c r="L500" s="19">
        <v>1</v>
      </c>
      <c r="M500" s="19">
        <v>1</v>
      </c>
      <c r="O500" s="20">
        <v>1</v>
      </c>
      <c r="P500" s="17">
        <v>2</v>
      </c>
      <c r="Q500" s="17" t="s">
        <v>288</v>
      </c>
      <c r="R500" s="17" t="s">
        <v>933</v>
      </c>
    </row>
    <row r="501" spans="1:18" x14ac:dyDescent="0.25">
      <c r="A501" s="16">
        <v>102059200300</v>
      </c>
      <c r="B501" s="16" t="str">
        <f t="shared" si="9"/>
        <v>1020592003000</v>
      </c>
      <c r="C501" s="17" t="s">
        <v>347</v>
      </c>
      <c r="D501" s="17" t="s">
        <v>89</v>
      </c>
      <c r="E501" s="17">
        <v>20411454</v>
      </c>
      <c r="F501" s="17" t="s">
        <v>962</v>
      </c>
      <c r="G501" s="17" t="s">
        <v>45</v>
      </c>
      <c r="H501" s="17" t="s">
        <v>162</v>
      </c>
      <c r="I501" s="18">
        <v>45566</v>
      </c>
      <c r="J501" s="18">
        <v>45792</v>
      </c>
      <c r="K501" s="17">
        <v>1</v>
      </c>
      <c r="L501" s="19">
        <v>1</v>
      </c>
      <c r="M501" s="19">
        <v>1</v>
      </c>
      <c r="O501" s="20">
        <v>1</v>
      </c>
      <c r="P501" s="17">
        <v>2</v>
      </c>
      <c r="Q501" s="17" t="s">
        <v>288</v>
      </c>
      <c r="R501" s="17" t="s">
        <v>933</v>
      </c>
    </row>
    <row r="502" spans="1:18" x14ac:dyDescent="0.25">
      <c r="A502" s="16">
        <v>102036698800</v>
      </c>
      <c r="B502" s="16" t="str">
        <f t="shared" si="9"/>
        <v>1020366988000</v>
      </c>
      <c r="C502" s="17" t="s">
        <v>405</v>
      </c>
      <c r="D502" s="17" t="s">
        <v>84</v>
      </c>
      <c r="E502" s="17">
        <v>20411454</v>
      </c>
      <c r="F502" s="17" t="s">
        <v>962</v>
      </c>
      <c r="G502" s="17" t="s">
        <v>45</v>
      </c>
      <c r="H502" s="17" t="s">
        <v>162</v>
      </c>
      <c r="I502" s="18">
        <v>45536</v>
      </c>
      <c r="J502" s="18">
        <v>45792</v>
      </c>
      <c r="K502" s="17">
        <v>1</v>
      </c>
      <c r="L502" s="19">
        <v>1</v>
      </c>
      <c r="M502" s="19">
        <v>1</v>
      </c>
      <c r="O502" s="20">
        <v>1</v>
      </c>
      <c r="P502" s="17">
        <v>2</v>
      </c>
      <c r="Q502" s="17" t="s">
        <v>288</v>
      </c>
      <c r="R502" s="17" t="s">
        <v>933</v>
      </c>
    </row>
    <row r="503" spans="1:18" x14ac:dyDescent="0.25">
      <c r="A503" s="16" t="s">
        <v>693</v>
      </c>
      <c r="B503" s="16" t="str">
        <f t="shared" si="9"/>
        <v>00023250215K0</v>
      </c>
      <c r="C503" s="17" t="s">
        <v>234</v>
      </c>
      <c r="D503" s="17" t="s">
        <v>43</v>
      </c>
      <c r="E503" s="17">
        <v>20411454</v>
      </c>
      <c r="F503" s="17" t="s">
        <v>962</v>
      </c>
      <c r="G503" s="17" t="s">
        <v>45</v>
      </c>
      <c r="H503" s="17" t="s">
        <v>54</v>
      </c>
      <c r="I503" s="18">
        <v>45778</v>
      </c>
      <c r="L503" s="19">
        <v>0</v>
      </c>
      <c r="M503" s="19">
        <v>175</v>
      </c>
      <c r="N503" s="17">
        <v>1</v>
      </c>
      <c r="O503" s="20">
        <v>1</v>
      </c>
      <c r="P503" s="17">
        <v>175</v>
      </c>
      <c r="R503" s="17" t="s">
        <v>936</v>
      </c>
    </row>
    <row r="504" spans="1:18" x14ac:dyDescent="0.25">
      <c r="A504" s="16">
        <v>102105930700</v>
      </c>
      <c r="B504" s="16" t="str">
        <f t="shared" si="9"/>
        <v>1021059307000</v>
      </c>
      <c r="C504" s="17" t="s">
        <v>290</v>
      </c>
      <c r="D504" s="17" t="s">
        <v>89</v>
      </c>
      <c r="E504" s="17">
        <v>20411454</v>
      </c>
      <c r="F504" s="17" t="s">
        <v>962</v>
      </c>
      <c r="G504" s="17" t="s">
        <v>45</v>
      </c>
      <c r="H504" s="17" t="s">
        <v>162</v>
      </c>
      <c r="I504" s="18">
        <v>45627</v>
      </c>
      <c r="J504" s="18">
        <v>45792</v>
      </c>
      <c r="K504" s="17">
        <v>1</v>
      </c>
      <c r="L504" s="19">
        <v>1</v>
      </c>
      <c r="M504" s="19">
        <v>1</v>
      </c>
      <c r="O504" s="20">
        <v>1</v>
      </c>
      <c r="P504" s="17">
        <v>2</v>
      </c>
      <c r="Q504" s="17" t="s">
        <v>288</v>
      </c>
      <c r="R504" s="17" t="s">
        <v>933</v>
      </c>
    </row>
    <row r="505" spans="1:18" x14ac:dyDescent="0.25">
      <c r="A505" s="16">
        <v>102013256200</v>
      </c>
      <c r="B505" s="16" t="str">
        <f t="shared" si="9"/>
        <v>1020132562000</v>
      </c>
      <c r="C505" s="17" t="s">
        <v>449</v>
      </c>
      <c r="D505" s="17" t="s">
        <v>93</v>
      </c>
      <c r="E505" s="17">
        <v>20411454</v>
      </c>
      <c r="F505" s="17" t="s">
        <v>962</v>
      </c>
      <c r="G505" s="17" t="s">
        <v>45</v>
      </c>
      <c r="H505" s="17" t="s">
        <v>162</v>
      </c>
      <c r="I505" s="18">
        <v>45505</v>
      </c>
      <c r="J505" s="18">
        <v>45792</v>
      </c>
      <c r="K505" s="17">
        <v>1</v>
      </c>
      <c r="L505" s="19">
        <v>1</v>
      </c>
      <c r="M505" s="19">
        <v>1</v>
      </c>
      <c r="O505" s="20">
        <v>1</v>
      </c>
      <c r="P505" s="17">
        <v>2</v>
      </c>
      <c r="Q505" s="17" t="s">
        <v>288</v>
      </c>
      <c r="R505" s="17" t="s">
        <v>933</v>
      </c>
    </row>
    <row r="506" spans="1:18" x14ac:dyDescent="0.25">
      <c r="A506" s="16" t="s">
        <v>767</v>
      </c>
      <c r="B506" s="16" t="str">
        <f t="shared" si="9"/>
        <v>00021792778K0</v>
      </c>
      <c r="C506" s="17" t="s">
        <v>597</v>
      </c>
      <c r="D506" s="17" t="s">
        <v>43</v>
      </c>
      <c r="E506" s="17">
        <v>20411454</v>
      </c>
      <c r="F506" s="17" t="s">
        <v>962</v>
      </c>
      <c r="G506" s="17" t="s">
        <v>250</v>
      </c>
      <c r="H506" s="17" t="s">
        <v>54</v>
      </c>
      <c r="I506" s="18">
        <v>45505</v>
      </c>
      <c r="J506" s="18">
        <v>45792</v>
      </c>
      <c r="K506" s="17">
        <v>1</v>
      </c>
      <c r="L506" s="19">
        <v>1</v>
      </c>
      <c r="M506" s="19">
        <v>1</v>
      </c>
      <c r="O506" s="20">
        <v>1</v>
      </c>
      <c r="P506" s="17">
        <v>9</v>
      </c>
      <c r="Q506" s="17" t="s">
        <v>473</v>
      </c>
      <c r="R506" s="17" t="s">
        <v>936</v>
      </c>
    </row>
    <row r="507" spans="1:18" x14ac:dyDescent="0.25">
      <c r="A507" s="16" t="s">
        <v>703</v>
      </c>
      <c r="B507" s="16" t="str">
        <f t="shared" si="9"/>
        <v>54X4U5H810</v>
      </c>
      <c r="C507" s="17" t="s">
        <v>207</v>
      </c>
      <c r="D507" s="17" t="s">
        <v>133</v>
      </c>
      <c r="E507" s="17">
        <v>20411454</v>
      </c>
      <c r="F507" s="17" t="s">
        <v>962</v>
      </c>
      <c r="G507" s="17" t="s">
        <v>45</v>
      </c>
      <c r="H507" s="17" t="s">
        <v>206</v>
      </c>
      <c r="I507" s="18">
        <v>45748</v>
      </c>
      <c r="L507" s="19">
        <v>0</v>
      </c>
      <c r="M507" s="19">
        <v>100</v>
      </c>
      <c r="N507" s="17">
        <v>1</v>
      </c>
      <c r="O507" s="20">
        <v>1</v>
      </c>
      <c r="P507" s="17">
        <v>100</v>
      </c>
      <c r="R507" s="17" t="s">
        <v>935</v>
      </c>
    </row>
    <row r="508" spans="1:18" x14ac:dyDescent="0.25">
      <c r="A508" s="16" t="s">
        <v>788</v>
      </c>
      <c r="B508" s="16" t="str">
        <f t="shared" si="9"/>
        <v>00021876313K0</v>
      </c>
      <c r="C508" s="17" t="s">
        <v>584</v>
      </c>
      <c r="D508" s="17" t="s">
        <v>43</v>
      </c>
      <c r="E508" s="17">
        <v>20411454</v>
      </c>
      <c r="F508" s="17" t="s">
        <v>962</v>
      </c>
      <c r="G508" s="17" t="s">
        <v>250</v>
      </c>
      <c r="H508" s="17" t="s">
        <v>54</v>
      </c>
      <c r="I508" s="18">
        <v>45474</v>
      </c>
      <c r="J508" s="18">
        <v>45792</v>
      </c>
      <c r="K508" s="17">
        <v>1</v>
      </c>
      <c r="L508" s="19">
        <v>1</v>
      </c>
      <c r="M508" s="19">
        <v>1</v>
      </c>
      <c r="O508" s="20">
        <v>1</v>
      </c>
      <c r="P508" s="17">
        <v>9</v>
      </c>
      <c r="Q508" s="17" t="s">
        <v>473</v>
      </c>
      <c r="R508" s="17" t="s">
        <v>936</v>
      </c>
    </row>
    <row r="509" spans="1:18" x14ac:dyDescent="0.25">
      <c r="A509" s="16" t="s">
        <v>666</v>
      </c>
      <c r="B509" s="16" t="str">
        <f t="shared" si="9"/>
        <v>00022377740KPC0</v>
      </c>
      <c r="C509" s="17" t="s">
        <v>154</v>
      </c>
      <c r="D509" s="17" t="s">
        <v>43</v>
      </c>
      <c r="E509" s="17">
        <v>20411454</v>
      </c>
      <c r="F509" s="17" t="s">
        <v>962</v>
      </c>
      <c r="G509" s="17" t="s">
        <v>148</v>
      </c>
      <c r="H509" s="17" t="s">
        <v>54</v>
      </c>
      <c r="I509" s="18">
        <v>45658</v>
      </c>
      <c r="L509" s="19">
        <v>0</v>
      </c>
      <c r="M509" s="17">
        <v>-131.25</v>
      </c>
      <c r="N509" s="17">
        <v>1</v>
      </c>
      <c r="O509" s="20">
        <v>1</v>
      </c>
      <c r="P509" s="17">
        <v>-131.25</v>
      </c>
      <c r="R509" s="17" t="s">
        <v>936</v>
      </c>
    </row>
    <row r="510" spans="1:18" x14ac:dyDescent="0.25">
      <c r="A510" s="16">
        <v>102161745100</v>
      </c>
      <c r="B510" s="16" t="str">
        <f t="shared" si="9"/>
        <v>1021617451000</v>
      </c>
      <c r="C510" s="17" t="s">
        <v>212</v>
      </c>
      <c r="D510" s="17" t="s">
        <v>211</v>
      </c>
      <c r="E510" s="17">
        <v>20411454</v>
      </c>
      <c r="F510" s="17" t="s">
        <v>962</v>
      </c>
      <c r="G510" s="17" t="s">
        <v>45</v>
      </c>
      <c r="H510" s="17" t="s">
        <v>95</v>
      </c>
      <c r="I510" s="18">
        <v>45748</v>
      </c>
      <c r="L510" s="19">
        <v>0</v>
      </c>
      <c r="M510" s="19">
        <v>37.5</v>
      </c>
      <c r="N510" s="17">
        <v>1</v>
      </c>
      <c r="O510" s="20">
        <v>1</v>
      </c>
      <c r="P510" s="17">
        <v>37.5</v>
      </c>
      <c r="Q510" s="17" t="s">
        <v>91</v>
      </c>
      <c r="R510" s="17" t="s">
        <v>933</v>
      </c>
    </row>
    <row r="511" spans="1:18" x14ac:dyDescent="0.25">
      <c r="A511" s="16" t="s">
        <v>775</v>
      </c>
      <c r="B511" s="16" t="str">
        <f t="shared" si="9"/>
        <v>00021836561KOV0</v>
      </c>
      <c r="C511" s="17" t="s">
        <v>592</v>
      </c>
      <c r="D511" s="17" t="s">
        <v>43</v>
      </c>
      <c r="E511" s="17">
        <v>20411454</v>
      </c>
      <c r="F511" s="17" t="s">
        <v>962</v>
      </c>
      <c r="G511" s="17" t="s">
        <v>45</v>
      </c>
      <c r="H511" s="17" t="s">
        <v>54</v>
      </c>
      <c r="I511" s="18">
        <v>45474</v>
      </c>
      <c r="J511" s="18">
        <v>45792</v>
      </c>
      <c r="K511" s="17">
        <v>1</v>
      </c>
      <c r="L511" s="19">
        <v>1</v>
      </c>
      <c r="M511" s="19">
        <v>1</v>
      </c>
      <c r="O511" s="20">
        <v>1</v>
      </c>
      <c r="P511" s="17">
        <v>9</v>
      </c>
      <c r="Q511" s="17" t="s">
        <v>473</v>
      </c>
      <c r="R511" s="17" t="s">
        <v>936</v>
      </c>
    </row>
    <row r="512" spans="1:18" x14ac:dyDescent="0.25">
      <c r="A512" s="16" t="s">
        <v>670</v>
      </c>
      <c r="B512" s="16" t="str">
        <f t="shared" si="9"/>
        <v>00023063791KPC0</v>
      </c>
      <c r="C512" s="17" t="s">
        <v>155</v>
      </c>
      <c r="D512" s="17" t="s">
        <v>43</v>
      </c>
      <c r="E512" s="17">
        <v>20411454</v>
      </c>
      <c r="F512" s="17" t="s">
        <v>962</v>
      </c>
      <c r="G512" s="17" t="s">
        <v>148</v>
      </c>
      <c r="H512" s="17" t="s">
        <v>54</v>
      </c>
      <c r="I512" s="18">
        <v>45689</v>
      </c>
      <c r="L512" s="19">
        <v>0</v>
      </c>
      <c r="M512" s="17">
        <v>-145.25</v>
      </c>
      <c r="N512" s="17">
        <v>1</v>
      </c>
      <c r="O512" s="20">
        <v>1</v>
      </c>
      <c r="P512" s="17">
        <v>-145.25</v>
      </c>
      <c r="R512" s="17" t="s">
        <v>936</v>
      </c>
    </row>
    <row r="513" spans="1:18" x14ac:dyDescent="0.25">
      <c r="A513" s="16">
        <v>102049267000</v>
      </c>
      <c r="B513" s="16" t="str">
        <f t="shared" si="9"/>
        <v>1020492670000</v>
      </c>
      <c r="C513" s="17" t="s">
        <v>379</v>
      </c>
      <c r="D513" s="17" t="s">
        <v>93</v>
      </c>
      <c r="E513" s="17">
        <v>20411454</v>
      </c>
      <c r="F513" s="17" t="s">
        <v>962</v>
      </c>
      <c r="G513" s="17" t="s">
        <v>45</v>
      </c>
      <c r="H513" s="17" t="s">
        <v>162</v>
      </c>
      <c r="I513" s="18">
        <v>45536</v>
      </c>
      <c r="J513" s="18">
        <v>45792</v>
      </c>
      <c r="K513" s="17">
        <v>1</v>
      </c>
      <c r="L513" s="19">
        <v>1</v>
      </c>
      <c r="M513" s="19">
        <v>1</v>
      </c>
      <c r="O513" s="20">
        <v>1</v>
      </c>
      <c r="P513" s="17">
        <v>2</v>
      </c>
      <c r="Q513" s="17" t="s">
        <v>288</v>
      </c>
      <c r="R513" s="17" t="s">
        <v>933</v>
      </c>
    </row>
    <row r="514" spans="1:18" x14ac:dyDescent="0.25">
      <c r="A514" s="16" t="s">
        <v>825</v>
      </c>
      <c r="B514" s="16" t="str">
        <f t="shared" si="9"/>
        <v>00022011876K0</v>
      </c>
      <c r="C514" s="17" t="s">
        <v>550</v>
      </c>
      <c r="D514" s="17" t="s">
        <v>43</v>
      </c>
      <c r="E514" s="17">
        <v>20411454</v>
      </c>
      <c r="F514" s="17" t="s">
        <v>962</v>
      </c>
      <c r="G514" s="17" t="s">
        <v>250</v>
      </c>
      <c r="H514" s="17" t="s">
        <v>54</v>
      </c>
      <c r="I514" s="18">
        <v>45536</v>
      </c>
      <c r="J514" s="18">
        <v>45792</v>
      </c>
      <c r="K514" s="17">
        <v>1</v>
      </c>
      <c r="L514" s="19">
        <v>1</v>
      </c>
      <c r="M514" s="19">
        <v>1</v>
      </c>
      <c r="O514" s="20">
        <v>1</v>
      </c>
      <c r="P514" s="17">
        <v>9</v>
      </c>
      <c r="Q514" s="17" t="s">
        <v>473</v>
      </c>
      <c r="R514" s="17" t="s">
        <v>936</v>
      </c>
    </row>
    <row r="515" spans="1:18" x14ac:dyDescent="0.25">
      <c r="A515" s="16" t="s">
        <v>685</v>
      </c>
      <c r="B515" s="16" t="str">
        <f t="shared" si="9"/>
        <v>00023242232K0</v>
      </c>
      <c r="C515" s="17" t="s">
        <v>242</v>
      </c>
      <c r="D515" s="17" t="s">
        <v>43</v>
      </c>
      <c r="E515" s="17">
        <v>20411454</v>
      </c>
      <c r="F515" s="17" t="s">
        <v>962</v>
      </c>
      <c r="G515" s="17" t="s">
        <v>45</v>
      </c>
      <c r="H515" s="17" t="s">
        <v>54</v>
      </c>
      <c r="I515" s="18">
        <v>45748</v>
      </c>
      <c r="L515" s="19">
        <v>0</v>
      </c>
      <c r="M515" s="19">
        <v>175</v>
      </c>
      <c r="N515" s="17">
        <v>1</v>
      </c>
      <c r="O515" s="20">
        <v>1</v>
      </c>
      <c r="P515" s="17">
        <v>175</v>
      </c>
      <c r="R515" s="17" t="s">
        <v>936</v>
      </c>
    </row>
    <row r="516" spans="1:18" x14ac:dyDescent="0.25">
      <c r="A516" s="16" t="s">
        <v>699</v>
      </c>
      <c r="B516" s="16" t="str">
        <f t="shared" si="9"/>
        <v>00023259955K0</v>
      </c>
      <c r="C516" s="17" t="s">
        <v>229</v>
      </c>
      <c r="D516" s="17" t="s">
        <v>43</v>
      </c>
      <c r="E516" s="17">
        <v>20411454</v>
      </c>
      <c r="F516" s="17" t="s">
        <v>962</v>
      </c>
      <c r="G516" s="17" t="s">
        <v>45</v>
      </c>
      <c r="H516" s="17" t="s">
        <v>54</v>
      </c>
      <c r="I516" s="18">
        <v>45778</v>
      </c>
      <c r="L516" s="19">
        <v>0</v>
      </c>
      <c r="M516" s="19">
        <v>175</v>
      </c>
      <c r="N516" s="17">
        <v>1</v>
      </c>
      <c r="O516" s="20">
        <v>1</v>
      </c>
      <c r="P516" s="17">
        <v>175</v>
      </c>
      <c r="R516" s="17" t="s">
        <v>936</v>
      </c>
    </row>
    <row r="517" spans="1:18" x14ac:dyDescent="0.25">
      <c r="A517" s="16">
        <v>101308501300</v>
      </c>
      <c r="B517" s="16" t="str">
        <f t="shared" si="9"/>
        <v>1013085013000</v>
      </c>
      <c r="C517" s="17" t="s">
        <v>100</v>
      </c>
      <c r="D517" s="17" t="s">
        <v>43</v>
      </c>
      <c r="E517" s="17">
        <v>20411454</v>
      </c>
      <c r="F517" s="17" t="s">
        <v>962</v>
      </c>
      <c r="G517" s="17" t="s">
        <v>45</v>
      </c>
      <c r="H517" s="17" t="s">
        <v>95</v>
      </c>
      <c r="I517" s="18">
        <v>45748</v>
      </c>
      <c r="L517" s="19">
        <v>0</v>
      </c>
      <c r="M517" s="19">
        <v>37.5</v>
      </c>
      <c r="N517" s="17">
        <v>1</v>
      </c>
      <c r="O517" s="20">
        <v>1</v>
      </c>
      <c r="P517" s="17">
        <v>37.5</v>
      </c>
      <c r="Q517" s="17" t="s">
        <v>91</v>
      </c>
      <c r="R517" s="17" t="s">
        <v>933</v>
      </c>
    </row>
    <row r="518" spans="1:18" x14ac:dyDescent="0.25">
      <c r="A518" s="16">
        <v>102085672600</v>
      </c>
      <c r="B518" s="16" t="str">
        <f t="shared" si="9"/>
        <v>1020856726000</v>
      </c>
      <c r="C518" s="17" t="s">
        <v>301</v>
      </c>
      <c r="D518" s="17" t="s">
        <v>122</v>
      </c>
      <c r="E518" s="17">
        <v>20411454</v>
      </c>
      <c r="F518" s="17" t="s">
        <v>962</v>
      </c>
      <c r="G518" s="17" t="s">
        <v>45</v>
      </c>
      <c r="H518" s="17" t="s">
        <v>162</v>
      </c>
      <c r="I518" s="18">
        <v>45627</v>
      </c>
      <c r="J518" s="18">
        <v>45792</v>
      </c>
      <c r="K518" s="17">
        <v>1</v>
      </c>
      <c r="L518" s="19">
        <v>1</v>
      </c>
      <c r="M518" s="19">
        <v>1</v>
      </c>
      <c r="O518" s="20">
        <v>1</v>
      </c>
      <c r="P518" s="17">
        <v>2</v>
      </c>
      <c r="Q518" s="17" t="s">
        <v>288</v>
      </c>
      <c r="R518" s="17" t="s">
        <v>933</v>
      </c>
    </row>
    <row r="519" spans="1:18" x14ac:dyDescent="0.25">
      <c r="A519" s="16">
        <v>102064758600</v>
      </c>
      <c r="B519" s="16" t="str">
        <f t="shared" si="9"/>
        <v>1020647586000</v>
      </c>
      <c r="C519" s="17" t="s">
        <v>329</v>
      </c>
      <c r="D519" s="17" t="s">
        <v>93</v>
      </c>
      <c r="E519" s="17">
        <v>20411454</v>
      </c>
      <c r="F519" s="17" t="s">
        <v>962</v>
      </c>
      <c r="G519" s="17" t="s">
        <v>45</v>
      </c>
      <c r="H519" s="17" t="s">
        <v>162</v>
      </c>
      <c r="I519" s="18">
        <v>45566</v>
      </c>
      <c r="J519" s="18">
        <v>45792</v>
      </c>
      <c r="K519" s="17">
        <v>1</v>
      </c>
      <c r="L519" s="19">
        <v>1</v>
      </c>
      <c r="M519" s="19">
        <v>1</v>
      </c>
      <c r="O519" s="20">
        <v>1</v>
      </c>
      <c r="P519" s="17">
        <v>2</v>
      </c>
      <c r="Q519" s="17" t="s">
        <v>288</v>
      </c>
      <c r="R519" s="17" t="s">
        <v>933</v>
      </c>
    </row>
    <row r="520" spans="1:18" x14ac:dyDescent="0.25">
      <c r="A520" s="16" t="s">
        <v>680</v>
      </c>
      <c r="B520" s="16" t="str">
        <f t="shared" si="9"/>
        <v>00010438260K0</v>
      </c>
      <c r="C520" s="17" t="s">
        <v>247</v>
      </c>
      <c r="D520" s="17" t="s">
        <v>43</v>
      </c>
      <c r="E520" s="17">
        <v>20411454</v>
      </c>
      <c r="F520" s="17" t="s">
        <v>962</v>
      </c>
      <c r="G520" s="17" t="s">
        <v>45</v>
      </c>
      <c r="H520" s="17" t="s">
        <v>54</v>
      </c>
      <c r="I520" s="18">
        <v>45658</v>
      </c>
      <c r="L520" s="19">
        <v>0</v>
      </c>
      <c r="M520" s="19">
        <v>175</v>
      </c>
      <c r="N520" s="17">
        <v>1</v>
      </c>
      <c r="O520" s="20">
        <v>1</v>
      </c>
      <c r="P520" s="17">
        <v>175</v>
      </c>
      <c r="R520" s="17" t="s">
        <v>936</v>
      </c>
    </row>
    <row r="521" spans="1:18" x14ac:dyDescent="0.25">
      <c r="A521" s="16">
        <v>102012252800</v>
      </c>
      <c r="B521" s="16" t="str">
        <f t="shared" si="9"/>
        <v>1020122528000</v>
      </c>
      <c r="C521" s="17" t="s">
        <v>452</v>
      </c>
      <c r="D521" s="17" t="s">
        <v>331</v>
      </c>
      <c r="E521" s="17">
        <v>20411454</v>
      </c>
      <c r="F521" s="17" t="s">
        <v>962</v>
      </c>
      <c r="G521" s="17" t="s">
        <v>45</v>
      </c>
      <c r="H521" s="17" t="s">
        <v>162</v>
      </c>
      <c r="I521" s="18">
        <v>45505</v>
      </c>
      <c r="J521" s="18">
        <v>45792</v>
      </c>
      <c r="K521" s="17">
        <v>1</v>
      </c>
      <c r="L521" s="19">
        <v>1</v>
      </c>
      <c r="M521" s="19">
        <v>1</v>
      </c>
      <c r="O521" s="20">
        <v>1</v>
      </c>
      <c r="P521" s="17">
        <v>2</v>
      </c>
      <c r="Q521" s="17" t="s">
        <v>288</v>
      </c>
      <c r="R521" s="17" t="s">
        <v>933</v>
      </c>
    </row>
    <row r="522" spans="1:18" x14ac:dyDescent="0.25">
      <c r="A522" s="16" t="s">
        <v>651</v>
      </c>
      <c r="B522" s="16" t="str">
        <f t="shared" si="9"/>
        <v>986050443OV0</v>
      </c>
      <c r="C522" s="17" t="s">
        <v>131</v>
      </c>
      <c r="D522" s="17" t="s">
        <v>128</v>
      </c>
      <c r="E522" s="17">
        <v>20411454</v>
      </c>
      <c r="F522" s="17" t="s">
        <v>962</v>
      </c>
      <c r="G522" s="17" t="s">
        <v>45</v>
      </c>
      <c r="H522" s="17" t="s">
        <v>130</v>
      </c>
      <c r="I522" s="18">
        <v>45748</v>
      </c>
      <c r="L522" s="19">
        <v>0</v>
      </c>
      <c r="M522" s="19">
        <v>54</v>
      </c>
      <c r="N522" s="17">
        <v>1</v>
      </c>
      <c r="O522" s="20">
        <v>1</v>
      </c>
      <c r="P522" s="17">
        <v>54</v>
      </c>
      <c r="Q522" s="17" t="s">
        <v>91</v>
      </c>
      <c r="R522" s="17" t="s">
        <v>946</v>
      </c>
    </row>
    <row r="523" spans="1:18" x14ac:dyDescent="0.25">
      <c r="A523" s="16">
        <v>102068178600</v>
      </c>
      <c r="B523" s="16" t="str">
        <f t="shared" si="9"/>
        <v>1020681786000</v>
      </c>
      <c r="C523" s="17" t="s">
        <v>319</v>
      </c>
      <c r="D523" s="17" t="s">
        <v>93</v>
      </c>
      <c r="E523" s="17">
        <v>20411454</v>
      </c>
      <c r="F523" s="17" t="s">
        <v>962</v>
      </c>
      <c r="G523" s="17" t="s">
        <v>45</v>
      </c>
      <c r="H523" s="17" t="s">
        <v>162</v>
      </c>
      <c r="I523" s="18">
        <v>45597</v>
      </c>
      <c r="J523" s="18">
        <v>45792</v>
      </c>
      <c r="K523" s="17">
        <v>1</v>
      </c>
      <c r="L523" s="19">
        <v>1</v>
      </c>
      <c r="M523" s="19">
        <v>1</v>
      </c>
      <c r="O523" s="20">
        <v>1</v>
      </c>
      <c r="P523" s="17">
        <v>2</v>
      </c>
      <c r="Q523" s="17" t="s">
        <v>288</v>
      </c>
      <c r="R523" s="17" t="s">
        <v>933</v>
      </c>
    </row>
    <row r="524" spans="1:18" x14ac:dyDescent="0.25">
      <c r="A524" s="16">
        <v>102029646800</v>
      </c>
      <c r="B524" s="16" t="str">
        <f t="shared" si="9"/>
        <v>1020296468000</v>
      </c>
      <c r="C524" s="17" t="s">
        <v>423</v>
      </c>
      <c r="D524" s="17" t="s">
        <v>89</v>
      </c>
      <c r="E524" s="17">
        <v>20411454</v>
      </c>
      <c r="F524" s="17" t="s">
        <v>962</v>
      </c>
      <c r="G524" s="17" t="s">
        <v>45</v>
      </c>
      <c r="H524" s="17" t="s">
        <v>162</v>
      </c>
      <c r="I524" s="18">
        <v>45566</v>
      </c>
      <c r="J524" s="18">
        <v>45792</v>
      </c>
      <c r="K524" s="17">
        <v>1</v>
      </c>
      <c r="L524" s="19">
        <v>1</v>
      </c>
      <c r="M524" s="19">
        <v>1</v>
      </c>
      <c r="O524" s="20">
        <v>1</v>
      </c>
      <c r="P524" s="17">
        <v>2</v>
      </c>
      <c r="Q524" s="17" t="s">
        <v>288</v>
      </c>
      <c r="R524" s="17" t="s">
        <v>933</v>
      </c>
    </row>
    <row r="525" spans="1:18" x14ac:dyDescent="0.25">
      <c r="A525" s="16">
        <v>102049165000</v>
      </c>
      <c r="B525" s="16" t="str">
        <f t="shared" si="9"/>
        <v>1020491650000</v>
      </c>
      <c r="C525" s="17" t="s">
        <v>381</v>
      </c>
      <c r="D525" s="17" t="s">
        <v>89</v>
      </c>
      <c r="E525" s="17">
        <v>20411454</v>
      </c>
      <c r="F525" s="17" t="s">
        <v>962</v>
      </c>
      <c r="G525" s="17" t="s">
        <v>45</v>
      </c>
      <c r="H525" s="17" t="s">
        <v>162</v>
      </c>
      <c r="I525" s="18">
        <v>45566</v>
      </c>
      <c r="J525" s="18">
        <v>45792</v>
      </c>
      <c r="K525" s="17">
        <v>1</v>
      </c>
      <c r="L525" s="19">
        <v>1</v>
      </c>
      <c r="M525" s="19">
        <v>1</v>
      </c>
      <c r="O525" s="20">
        <v>1</v>
      </c>
      <c r="P525" s="17">
        <v>2</v>
      </c>
      <c r="Q525" s="17" t="s">
        <v>288</v>
      </c>
      <c r="R525" s="17" t="s">
        <v>933</v>
      </c>
    </row>
    <row r="526" spans="1:18" x14ac:dyDescent="0.25">
      <c r="A526" s="16">
        <v>102161201900</v>
      </c>
      <c r="B526" s="16" t="str">
        <f t="shared" si="9"/>
        <v>1021612019000</v>
      </c>
      <c r="C526" s="17" t="s">
        <v>216</v>
      </c>
      <c r="D526" s="17" t="s">
        <v>93</v>
      </c>
      <c r="E526" s="17">
        <v>20411454</v>
      </c>
      <c r="F526" s="17" t="s">
        <v>962</v>
      </c>
      <c r="G526" s="17" t="s">
        <v>45</v>
      </c>
      <c r="H526" s="17" t="s">
        <v>95</v>
      </c>
      <c r="I526" s="18">
        <v>45748</v>
      </c>
      <c r="L526" s="19">
        <v>0</v>
      </c>
      <c r="M526" s="19">
        <v>37.5</v>
      </c>
      <c r="N526" s="17">
        <v>1</v>
      </c>
      <c r="O526" s="20">
        <v>1</v>
      </c>
      <c r="P526" s="17">
        <v>37.5</v>
      </c>
      <c r="Q526" s="17" t="s">
        <v>91</v>
      </c>
      <c r="R526" s="17" t="s">
        <v>933</v>
      </c>
    </row>
    <row r="527" spans="1:18" x14ac:dyDescent="0.25">
      <c r="A527" s="16" t="s">
        <v>797</v>
      </c>
      <c r="B527" s="16" t="str">
        <f t="shared" si="9"/>
        <v>00021884516KOV0</v>
      </c>
      <c r="C527" s="17" t="s">
        <v>576</v>
      </c>
      <c r="D527" s="17" t="s">
        <v>43</v>
      </c>
      <c r="E527" s="17">
        <v>20411454</v>
      </c>
      <c r="F527" s="17" t="s">
        <v>962</v>
      </c>
      <c r="G527" s="17" t="s">
        <v>45</v>
      </c>
      <c r="H527" s="17" t="s">
        <v>54</v>
      </c>
      <c r="I527" s="18">
        <v>45474</v>
      </c>
      <c r="J527" s="18">
        <v>45792</v>
      </c>
      <c r="K527" s="17">
        <v>1</v>
      </c>
      <c r="L527" s="19">
        <v>1</v>
      </c>
      <c r="M527" s="19">
        <v>1</v>
      </c>
      <c r="O527" s="20">
        <v>1</v>
      </c>
      <c r="P527" s="17">
        <v>9</v>
      </c>
      <c r="Q527" s="17" t="s">
        <v>473</v>
      </c>
      <c r="R527" s="17" t="s">
        <v>936</v>
      </c>
    </row>
    <row r="528" spans="1:18" x14ac:dyDescent="0.25">
      <c r="A528" s="16">
        <v>102050057000</v>
      </c>
      <c r="B528" s="16" t="str">
        <f t="shared" si="9"/>
        <v>1020500570000</v>
      </c>
      <c r="C528" s="17" t="s">
        <v>373</v>
      </c>
      <c r="D528" s="17" t="s">
        <v>93</v>
      </c>
      <c r="E528" s="17">
        <v>20411454</v>
      </c>
      <c r="F528" s="17" t="s">
        <v>962</v>
      </c>
      <c r="G528" s="17" t="s">
        <v>45</v>
      </c>
      <c r="H528" s="17" t="s">
        <v>162</v>
      </c>
      <c r="I528" s="18">
        <v>45566</v>
      </c>
      <c r="J528" s="18">
        <v>45792</v>
      </c>
      <c r="K528" s="17">
        <v>1</v>
      </c>
      <c r="L528" s="19">
        <v>1</v>
      </c>
      <c r="M528" s="19">
        <v>1</v>
      </c>
      <c r="O528" s="20">
        <v>1</v>
      </c>
      <c r="P528" s="17">
        <v>2</v>
      </c>
      <c r="Q528" s="17" t="s">
        <v>288</v>
      </c>
      <c r="R528" s="17" t="s">
        <v>933</v>
      </c>
    </row>
    <row r="529" spans="1:20" x14ac:dyDescent="0.25">
      <c r="A529" s="16" t="s">
        <v>711</v>
      </c>
      <c r="B529" s="16" t="str">
        <f t="shared" si="9"/>
        <v>953075319OV0</v>
      </c>
      <c r="C529" s="17" t="s">
        <v>195</v>
      </c>
      <c r="D529" s="17" t="s">
        <v>194</v>
      </c>
      <c r="E529" s="17">
        <v>20411454</v>
      </c>
      <c r="F529" s="17" t="s">
        <v>962</v>
      </c>
      <c r="G529" s="17" t="s">
        <v>45</v>
      </c>
      <c r="H529" s="17" t="s">
        <v>124</v>
      </c>
      <c r="I529" s="18">
        <v>45839</v>
      </c>
      <c r="L529" s="19">
        <v>0</v>
      </c>
      <c r="M529" s="19">
        <v>175</v>
      </c>
      <c r="N529" s="17">
        <v>1</v>
      </c>
      <c r="O529" s="20">
        <v>1</v>
      </c>
      <c r="P529" s="17">
        <v>175</v>
      </c>
      <c r="R529" s="17" t="s">
        <v>946</v>
      </c>
    </row>
    <row r="530" spans="1:20" x14ac:dyDescent="0.25">
      <c r="A530" s="16" t="s">
        <v>714</v>
      </c>
      <c r="B530" s="16" t="str">
        <f t="shared" si="9"/>
        <v>986931736OV0</v>
      </c>
      <c r="C530" s="17" t="s">
        <v>170</v>
      </c>
      <c r="D530" s="17" t="s">
        <v>89</v>
      </c>
      <c r="E530" s="17">
        <v>20411454</v>
      </c>
      <c r="F530" s="17" t="s">
        <v>962</v>
      </c>
      <c r="G530" s="17" t="s">
        <v>45</v>
      </c>
      <c r="H530" s="17" t="s">
        <v>124</v>
      </c>
      <c r="I530" s="18">
        <v>45748</v>
      </c>
      <c r="L530" s="19">
        <v>0</v>
      </c>
      <c r="M530" s="19">
        <v>175</v>
      </c>
      <c r="N530" s="17">
        <v>1</v>
      </c>
      <c r="O530" s="20">
        <v>1</v>
      </c>
      <c r="P530" s="17">
        <v>175</v>
      </c>
      <c r="R530" s="17" t="s">
        <v>946</v>
      </c>
    </row>
    <row r="531" spans="1:20" x14ac:dyDescent="0.25">
      <c r="A531" s="16" t="s">
        <v>740</v>
      </c>
      <c r="B531" s="16" t="str">
        <f t="shared" ref="B531:B594" si="10">CONCATENATE(A531,0)</f>
        <v>986931736OVCB0</v>
      </c>
      <c r="C531" s="17" t="s">
        <v>170</v>
      </c>
      <c r="D531" s="17" t="s">
        <v>89</v>
      </c>
      <c r="E531" s="17">
        <v>20411454</v>
      </c>
      <c r="F531" s="17" t="s">
        <v>962</v>
      </c>
      <c r="G531" s="17" t="s">
        <v>148</v>
      </c>
      <c r="H531" s="17" t="s">
        <v>130</v>
      </c>
      <c r="I531" s="18">
        <v>45748</v>
      </c>
      <c r="L531" s="19">
        <v>0</v>
      </c>
      <c r="M531" s="17">
        <v>-54</v>
      </c>
      <c r="N531" s="17">
        <v>1</v>
      </c>
      <c r="O531" s="20">
        <v>1</v>
      </c>
      <c r="P531" s="17">
        <v>-54</v>
      </c>
      <c r="R531" s="17" t="s">
        <v>946</v>
      </c>
    </row>
    <row r="532" spans="1:20" x14ac:dyDescent="0.25">
      <c r="A532" s="16">
        <v>102158867100</v>
      </c>
      <c r="B532" s="16" t="str">
        <f t="shared" si="10"/>
        <v>1021588671000</v>
      </c>
      <c r="C532" s="17" t="s">
        <v>111</v>
      </c>
      <c r="D532" s="17" t="s">
        <v>112</v>
      </c>
      <c r="E532" s="17">
        <v>20411454</v>
      </c>
      <c r="F532" s="17" t="s">
        <v>962</v>
      </c>
      <c r="G532" s="17" t="s">
        <v>45</v>
      </c>
      <c r="H532" s="17" t="s">
        <v>109</v>
      </c>
      <c r="I532" s="18">
        <v>45748</v>
      </c>
      <c r="L532" s="19">
        <v>0</v>
      </c>
      <c r="M532" s="19">
        <v>30</v>
      </c>
      <c r="N532" s="17">
        <v>1</v>
      </c>
      <c r="O532" s="20">
        <v>1</v>
      </c>
      <c r="P532" s="17">
        <v>30</v>
      </c>
      <c r="Q532" s="17" t="s">
        <v>91</v>
      </c>
      <c r="R532" s="17" t="s">
        <v>933</v>
      </c>
    </row>
    <row r="533" spans="1:20" x14ac:dyDescent="0.25">
      <c r="A533" s="16" t="s">
        <v>639</v>
      </c>
      <c r="B533" s="16" t="str">
        <f t="shared" si="10"/>
        <v>00023232654K0</v>
      </c>
      <c r="C533" s="17" t="s">
        <v>78</v>
      </c>
      <c r="D533" s="17" t="s">
        <v>43</v>
      </c>
      <c r="E533" s="17">
        <v>20411454</v>
      </c>
      <c r="F533" s="17" t="s">
        <v>962</v>
      </c>
      <c r="G533" s="17" t="s">
        <v>45</v>
      </c>
      <c r="H533" s="17" t="s">
        <v>54</v>
      </c>
      <c r="I533" s="18">
        <v>45748</v>
      </c>
      <c r="L533" s="19">
        <v>0</v>
      </c>
      <c r="M533" s="19">
        <v>175</v>
      </c>
      <c r="N533" s="17">
        <v>1</v>
      </c>
      <c r="O533" s="20">
        <v>1</v>
      </c>
      <c r="P533" s="17">
        <v>175</v>
      </c>
      <c r="R533" s="17" t="s">
        <v>936</v>
      </c>
    </row>
    <row r="534" spans="1:20" x14ac:dyDescent="0.25">
      <c r="A534" s="16">
        <v>992248315</v>
      </c>
      <c r="B534" s="16" t="str">
        <f t="shared" ref="B534:B542" si="11">CONCATENATE(A534,1)</f>
        <v>9922483151</v>
      </c>
      <c r="C534" s="17" t="s">
        <v>261</v>
      </c>
      <c r="D534" s="17" t="s">
        <v>89</v>
      </c>
      <c r="E534" s="22" t="s">
        <v>964</v>
      </c>
      <c r="F534" s="17" t="s">
        <v>90</v>
      </c>
      <c r="G534" s="17" t="s">
        <v>45</v>
      </c>
      <c r="H534" s="17" t="s">
        <v>262</v>
      </c>
      <c r="I534" s="18">
        <v>45536</v>
      </c>
      <c r="J534" s="18">
        <v>45792</v>
      </c>
      <c r="K534" s="17">
        <v>1</v>
      </c>
      <c r="L534" s="19">
        <v>1</v>
      </c>
      <c r="M534" s="19">
        <v>1</v>
      </c>
      <c r="O534" s="20">
        <v>1</v>
      </c>
      <c r="P534" s="17">
        <v>25.5</v>
      </c>
      <c r="Q534" s="17" t="s">
        <v>248</v>
      </c>
      <c r="R534" s="17" t="s">
        <v>947</v>
      </c>
      <c r="T534" s="21" t="s">
        <v>937</v>
      </c>
    </row>
    <row r="535" spans="1:20" x14ac:dyDescent="0.25">
      <c r="A535" s="16" t="s">
        <v>647</v>
      </c>
      <c r="B535" s="16" t="str">
        <f t="shared" si="11"/>
        <v>023065880PDPOV1</v>
      </c>
      <c r="C535" s="17" t="s">
        <v>88</v>
      </c>
      <c r="D535" s="17" t="s">
        <v>89</v>
      </c>
      <c r="E535" s="22" t="s">
        <v>964</v>
      </c>
      <c r="F535" s="17" t="s">
        <v>90</v>
      </c>
      <c r="G535" s="17" t="s">
        <v>45</v>
      </c>
      <c r="H535" s="17" t="s">
        <v>228</v>
      </c>
      <c r="I535" s="18">
        <v>45748</v>
      </c>
      <c r="L535" s="19">
        <v>0</v>
      </c>
      <c r="M535" s="19">
        <v>109</v>
      </c>
      <c r="N535" s="17">
        <v>1</v>
      </c>
      <c r="O535" s="20">
        <v>1</v>
      </c>
      <c r="P535" s="17">
        <v>109</v>
      </c>
      <c r="R535" s="17" t="s">
        <v>961</v>
      </c>
    </row>
    <row r="536" spans="1:20" x14ac:dyDescent="0.25">
      <c r="A536" s="16" t="s">
        <v>725</v>
      </c>
      <c r="B536" s="16" t="str">
        <f t="shared" si="11"/>
        <v>023065880PDPCB1</v>
      </c>
      <c r="C536" s="17" t="s">
        <v>88</v>
      </c>
      <c r="D536" s="17" t="s">
        <v>89</v>
      </c>
      <c r="E536" s="22" t="s">
        <v>964</v>
      </c>
      <c r="F536" s="17" t="s">
        <v>90</v>
      </c>
      <c r="G536" s="17" t="s">
        <v>148</v>
      </c>
      <c r="H536" s="17" t="s">
        <v>85</v>
      </c>
      <c r="I536" s="18">
        <v>45748</v>
      </c>
      <c r="L536" s="19">
        <v>0</v>
      </c>
      <c r="M536" s="17">
        <v>-41.25</v>
      </c>
      <c r="N536" s="17">
        <v>1</v>
      </c>
      <c r="O536" s="20">
        <v>1</v>
      </c>
      <c r="P536" s="17">
        <v>-41.25</v>
      </c>
      <c r="R536" s="17" t="s">
        <v>961</v>
      </c>
    </row>
    <row r="537" spans="1:20" x14ac:dyDescent="0.25">
      <c r="A537" s="16" t="s">
        <v>646</v>
      </c>
      <c r="B537" s="16" t="str">
        <f t="shared" si="11"/>
        <v>023065880PDP1</v>
      </c>
      <c r="C537" s="17" t="s">
        <v>88</v>
      </c>
      <c r="D537" s="17" t="s">
        <v>89</v>
      </c>
      <c r="E537" s="22" t="s">
        <v>964</v>
      </c>
      <c r="F537" s="17" t="s">
        <v>90</v>
      </c>
      <c r="G537" s="17" t="s">
        <v>45</v>
      </c>
      <c r="H537" s="17" t="s">
        <v>85</v>
      </c>
      <c r="I537" s="18">
        <v>45748</v>
      </c>
      <c r="L537" s="19">
        <v>0</v>
      </c>
      <c r="M537" s="19">
        <v>41.25</v>
      </c>
      <c r="N537" s="17">
        <v>1</v>
      </c>
      <c r="O537" s="20">
        <v>1</v>
      </c>
      <c r="P537" s="17">
        <v>41.25</v>
      </c>
      <c r="Q537" s="17" t="s">
        <v>91</v>
      </c>
      <c r="R537" s="17" t="s">
        <v>961</v>
      </c>
    </row>
    <row r="538" spans="1:20" x14ac:dyDescent="0.25">
      <c r="A538" s="16" t="s">
        <v>718</v>
      </c>
      <c r="B538" s="16" t="str">
        <f t="shared" si="11"/>
        <v>A042571011</v>
      </c>
      <c r="C538" s="17" t="s">
        <v>187</v>
      </c>
      <c r="D538" s="17" t="s">
        <v>89</v>
      </c>
      <c r="E538" s="17">
        <v>8244481</v>
      </c>
      <c r="F538" s="17" t="s">
        <v>161</v>
      </c>
      <c r="G538" s="17" t="s">
        <v>45</v>
      </c>
      <c r="H538" s="17" t="s">
        <v>186</v>
      </c>
      <c r="I538" s="18">
        <v>45778</v>
      </c>
      <c r="L538" s="19">
        <v>0</v>
      </c>
      <c r="M538" s="19">
        <v>30</v>
      </c>
      <c r="N538" s="17">
        <v>9</v>
      </c>
      <c r="O538" s="20">
        <v>1</v>
      </c>
      <c r="P538" s="17">
        <v>270</v>
      </c>
      <c r="R538" s="17" t="s">
        <v>944</v>
      </c>
    </row>
    <row r="539" spans="1:20" x14ac:dyDescent="0.25">
      <c r="A539" s="16" t="s">
        <v>772</v>
      </c>
      <c r="B539" s="16" t="str">
        <f t="shared" si="11"/>
        <v>00021819613K1</v>
      </c>
      <c r="C539" s="17" t="s">
        <v>593</v>
      </c>
      <c r="D539" s="17" t="s">
        <v>43</v>
      </c>
      <c r="E539" s="17">
        <v>8244481</v>
      </c>
      <c r="F539" s="17" t="s">
        <v>161</v>
      </c>
      <c r="G539" s="17" t="s">
        <v>45</v>
      </c>
      <c r="H539" s="17" t="s">
        <v>511</v>
      </c>
      <c r="I539" s="18">
        <v>45444</v>
      </c>
      <c r="J539" s="18">
        <v>45792</v>
      </c>
      <c r="K539" s="17">
        <v>1</v>
      </c>
      <c r="L539" s="19">
        <v>1</v>
      </c>
      <c r="M539" s="19">
        <v>1</v>
      </c>
      <c r="O539" s="20">
        <v>1</v>
      </c>
      <c r="P539" s="17">
        <v>25.5</v>
      </c>
      <c r="Q539" s="17" t="s">
        <v>473</v>
      </c>
      <c r="R539" s="17" t="s">
        <v>938</v>
      </c>
      <c r="T539" s="17" t="s">
        <v>937</v>
      </c>
    </row>
    <row r="540" spans="1:20" x14ac:dyDescent="0.25">
      <c r="A540" s="16" t="s">
        <v>737</v>
      </c>
      <c r="B540" s="16" t="str">
        <f t="shared" si="11"/>
        <v>968761209PC1</v>
      </c>
      <c r="C540" s="17" t="s">
        <v>172</v>
      </c>
      <c r="D540" s="17" t="s">
        <v>128</v>
      </c>
      <c r="E540" s="17">
        <v>19200754</v>
      </c>
      <c r="F540" s="17" t="s">
        <v>65</v>
      </c>
      <c r="G540" s="17" t="s">
        <v>148</v>
      </c>
      <c r="H540" s="17" t="s">
        <v>123</v>
      </c>
      <c r="I540" s="18">
        <v>45658</v>
      </c>
      <c r="L540" s="19">
        <v>0</v>
      </c>
      <c r="M540" s="17">
        <v>-208.66</v>
      </c>
      <c r="N540" s="17">
        <v>1</v>
      </c>
      <c r="O540" s="20">
        <v>1</v>
      </c>
      <c r="P540" s="17">
        <v>-208.66</v>
      </c>
      <c r="R540" s="17" t="s">
        <v>951</v>
      </c>
      <c r="T540" s="17" t="s">
        <v>954</v>
      </c>
    </row>
    <row r="541" spans="1:20" x14ac:dyDescent="0.25">
      <c r="A541" s="16" t="s">
        <v>784</v>
      </c>
      <c r="B541" s="16" t="str">
        <f t="shared" si="11"/>
        <v>00021859258K1</v>
      </c>
      <c r="C541" s="17" t="s">
        <v>586</v>
      </c>
      <c r="D541" s="17" t="s">
        <v>43</v>
      </c>
      <c r="E541" s="17">
        <v>19200754</v>
      </c>
      <c r="F541" s="17" t="s">
        <v>65</v>
      </c>
      <c r="G541" s="17" t="s">
        <v>45</v>
      </c>
      <c r="H541" s="17" t="s">
        <v>511</v>
      </c>
      <c r="I541" s="18">
        <v>45474</v>
      </c>
      <c r="J541" s="18">
        <v>45792</v>
      </c>
      <c r="K541" s="17">
        <v>1</v>
      </c>
      <c r="L541" s="19">
        <v>1</v>
      </c>
      <c r="M541" s="19">
        <v>1</v>
      </c>
      <c r="O541" s="20">
        <v>1</v>
      </c>
      <c r="P541" s="17">
        <v>25.5</v>
      </c>
      <c r="Q541" s="17" t="s">
        <v>473</v>
      </c>
      <c r="R541" s="17" t="s">
        <v>938</v>
      </c>
      <c r="T541" s="17" t="s">
        <v>937</v>
      </c>
    </row>
    <row r="542" spans="1:20" x14ac:dyDescent="0.25">
      <c r="A542" s="16">
        <v>130625781</v>
      </c>
      <c r="B542" s="16" t="str">
        <f t="shared" si="11"/>
        <v>1306257811</v>
      </c>
      <c r="C542" s="17" t="s">
        <v>282</v>
      </c>
      <c r="D542" s="17" t="s">
        <v>281</v>
      </c>
      <c r="E542" s="17">
        <v>19200754</v>
      </c>
      <c r="F542" s="17" t="s">
        <v>65</v>
      </c>
      <c r="G542" s="17" t="s">
        <v>45</v>
      </c>
      <c r="H542" s="17" t="s">
        <v>262</v>
      </c>
      <c r="I542" s="18">
        <v>45536</v>
      </c>
      <c r="J542" s="18">
        <v>45792</v>
      </c>
      <c r="K542" s="17">
        <v>1</v>
      </c>
      <c r="L542" s="19">
        <v>1</v>
      </c>
      <c r="M542" s="19">
        <v>1</v>
      </c>
      <c r="O542" s="20">
        <v>1</v>
      </c>
      <c r="P542" s="17">
        <v>25.5</v>
      </c>
      <c r="Q542" s="17" t="s">
        <v>248</v>
      </c>
      <c r="R542" s="17" t="s">
        <v>947</v>
      </c>
      <c r="T542" s="21" t="s">
        <v>937</v>
      </c>
    </row>
    <row r="543" spans="1:20" x14ac:dyDescent="0.25">
      <c r="A543" s="16">
        <v>132661650</v>
      </c>
      <c r="B543" s="16" t="str">
        <f>CONCATENATE(A543,98)</f>
        <v>13266165098</v>
      </c>
      <c r="C543" s="17" t="s">
        <v>179</v>
      </c>
      <c r="D543" s="17" t="s">
        <v>112</v>
      </c>
      <c r="E543" s="17">
        <v>5442438</v>
      </c>
      <c r="F543" s="17" t="s">
        <v>113</v>
      </c>
      <c r="G543" s="17" t="s">
        <v>45</v>
      </c>
      <c r="H543" s="17" t="s">
        <v>167</v>
      </c>
      <c r="I543" s="18">
        <v>45748</v>
      </c>
      <c r="L543" s="19">
        <v>0</v>
      </c>
      <c r="M543" s="19">
        <v>469.5</v>
      </c>
      <c r="N543" s="17">
        <v>1</v>
      </c>
      <c r="O543" s="20">
        <v>1</v>
      </c>
      <c r="P543" s="17">
        <v>469.5</v>
      </c>
      <c r="Q543" s="17" t="s">
        <v>91</v>
      </c>
      <c r="R543" s="17" t="s">
        <v>948</v>
      </c>
      <c r="T543" s="21" t="s">
        <v>950</v>
      </c>
    </row>
    <row r="544" spans="1:20" x14ac:dyDescent="0.25">
      <c r="A544" s="16" t="s">
        <v>727</v>
      </c>
      <c r="B544" s="16" t="str">
        <f>CONCATENATE(A544,1)</f>
        <v>132661650CB1</v>
      </c>
      <c r="C544" s="17" t="s">
        <v>179</v>
      </c>
      <c r="D544" s="17" t="s">
        <v>112</v>
      </c>
      <c r="E544" s="17">
        <v>5442438</v>
      </c>
      <c r="F544" s="17" t="s">
        <v>113</v>
      </c>
      <c r="G544" s="17" t="s">
        <v>148</v>
      </c>
      <c r="H544" s="17" t="s">
        <v>123</v>
      </c>
      <c r="I544" s="18">
        <v>45748</v>
      </c>
      <c r="L544" s="19">
        <v>0</v>
      </c>
      <c r="M544" s="17">
        <v>-234.75</v>
      </c>
      <c r="N544" s="17">
        <v>1</v>
      </c>
      <c r="O544" s="20">
        <v>1</v>
      </c>
      <c r="P544" s="17">
        <v>-234.75</v>
      </c>
      <c r="R544" s="17" t="s">
        <v>951</v>
      </c>
      <c r="T544" s="21" t="s">
        <v>952</v>
      </c>
    </row>
    <row r="545" spans="1:20" x14ac:dyDescent="0.25">
      <c r="A545" s="16">
        <v>937824582</v>
      </c>
      <c r="B545" s="16" t="str">
        <f>CONCATENATE(A545,1)</f>
        <v>9378245821</v>
      </c>
      <c r="C545" s="17" t="s">
        <v>200</v>
      </c>
      <c r="D545" s="17" t="s">
        <v>122</v>
      </c>
      <c r="E545" s="17">
        <v>19645587</v>
      </c>
      <c r="F545" s="17" t="s">
        <v>74</v>
      </c>
      <c r="G545" s="17" t="s">
        <v>45</v>
      </c>
      <c r="H545" s="17" t="s">
        <v>123</v>
      </c>
      <c r="I545" s="18">
        <v>45809</v>
      </c>
      <c r="L545" s="19">
        <v>0</v>
      </c>
      <c r="M545" s="19">
        <v>182.58</v>
      </c>
      <c r="N545" s="17">
        <v>1</v>
      </c>
      <c r="O545" s="20">
        <v>1</v>
      </c>
      <c r="P545" s="17">
        <v>182.58</v>
      </c>
      <c r="Q545" s="17" t="s">
        <v>86</v>
      </c>
      <c r="R545" s="17" t="s">
        <v>951</v>
      </c>
      <c r="T545" s="21" t="s">
        <v>953</v>
      </c>
    </row>
    <row r="546" spans="1:20" x14ac:dyDescent="0.25">
      <c r="A546" s="16">
        <v>961601451</v>
      </c>
      <c r="B546" s="16" t="str">
        <f>CONCATENATE(A546,1)</f>
        <v>9616014511</v>
      </c>
      <c r="C546" s="17" t="s">
        <v>269</v>
      </c>
      <c r="D546" s="17" t="s">
        <v>128</v>
      </c>
      <c r="E546" s="17">
        <v>19645587</v>
      </c>
      <c r="F546" s="17" t="s">
        <v>74</v>
      </c>
      <c r="G546" s="17" t="s">
        <v>250</v>
      </c>
      <c r="H546" s="17" t="s">
        <v>262</v>
      </c>
      <c r="I546" s="18">
        <v>45597</v>
      </c>
      <c r="J546" s="18">
        <v>45792</v>
      </c>
      <c r="K546" s="17">
        <v>1</v>
      </c>
      <c r="L546" s="19">
        <v>1</v>
      </c>
      <c r="M546" s="19">
        <v>1</v>
      </c>
      <c r="O546" s="20">
        <v>1</v>
      </c>
      <c r="P546" s="17">
        <v>25.5</v>
      </c>
      <c r="Q546" s="17" t="s">
        <v>248</v>
      </c>
      <c r="R546" s="17" t="s">
        <v>947</v>
      </c>
      <c r="T546" s="21" t="s">
        <v>937</v>
      </c>
    </row>
    <row r="547" spans="1:20" x14ac:dyDescent="0.25">
      <c r="A547" s="16">
        <v>940026103</v>
      </c>
      <c r="B547" s="16" t="str">
        <f>CONCATENATE(A547,98)</f>
        <v>94002610398</v>
      </c>
      <c r="C547" s="17" t="s">
        <v>197</v>
      </c>
      <c r="D547" s="17" t="s">
        <v>84</v>
      </c>
      <c r="E547" s="17">
        <v>19645587</v>
      </c>
      <c r="F547" s="17" t="s">
        <v>74</v>
      </c>
      <c r="G547" s="17" t="s">
        <v>45</v>
      </c>
      <c r="H547" s="17" t="s">
        <v>190</v>
      </c>
      <c r="I547" s="18">
        <v>45809</v>
      </c>
      <c r="L547" s="19">
        <v>0</v>
      </c>
      <c r="M547" s="19">
        <v>626</v>
      </c>
      <c r="N547" s="17">
        <v>1</v>
      </c>
      <c r="O547" s="20">
        <v>1</v>
      </c>
      <c r="P547" s="17">
        <v>626</v>
      </c>
      <c r="R547" s="17" t="s">
        <v>948</v>
      </c>
      <c r="T547" s="21" t="s">
        <v>949</v>
      </c>
    </row>
    <row r="548" spans="1:20" x14ac:dyDescent="0.25">
      <c r="A548" s="16" t="s">
        <v>658</v>
      </c>
      <c r="B548" s="16" t="str">
        <f>CONCATENATE(A548,1)</f>
        <v>A042530781</v>
      </c>
      <c r="C548" s="17" t="s">
        <v>145</v>
      </c>
      <c r="D548" s="17" t="s">
        <v>89</v>
      </c>
      <c r="E548" s="17">
        <v>19645587</v>
      </c>
      <c r="F548" s="17" t="s">
        <v>74</v>
      </c>
      <c r="G548" s="17" t="s">
        <v>45</v>
      </c>
      <c r="H548" s="17" t="s">
        <v>144</v>
      </c>
      <c r="I548" s="18">
        <v>45748</v>
      </c>
      <c r="L548" s="19">
        <v>0</v>
      </c>
      <c r="M548" s="19">
        <v>31.98</v>
      </c>
      <c r="N548" s="17">
        <v>9</v>
      </c>
      <c r="O548" s="20">
        <v>1</v>
      </c>
      <c r="P548" s="17">
        <v>287.82</v>
      </c>
      <c r="R548" s="17" t="s">
        <v>942</v>
      </c>
    </row>
    <row r="549" spans="1:20" x14ac:dyDescent="0.25">
      <c r="A549" s="16" t="s">
        <v>745</v>
      </c>
      <c r="B549" s="16" t="str">
        <f>CONCATENATE(A549,1)</f>
        <v>A04251058CB1</v>
      </c>
      <c r="C549" s="17" t="s">
        <v>141</v>
      </c>
      <c r="D549" s="17" t="s">
        <v>84</v>
      </c>
      <c r="E549" s="17">
        <v>19645587</v>
      </c>
      <c r="F549" s="17" t="s">
        <v>74</v>
      </c>
      <c r="G549" s="17" t="s">
        <v>148</v>
      </c>
      <c r="H549" s="17" t="s">
        <v>142</v>
      </c>
      <c r="I549" s="18">
        <v>45778</v>
      </c>
      <c r="L549" s="19">
        <v>0</v>
      </c>
      <c r="M549" s="17">
        <v>-523.71</v>
      </c>
      <c r="N549" s="17">
        <v>1</v>
      </c>
      <c r="O549" s="20">
        <v>1</v>
      </c>
      <c r="P549" s="17">
        <v>-523.71</v>
      </c>
      <c r="R549" s="17" t="s">
        <v>939</v>
      </c>
    </row>
    <row r="550" spans="1:20" x14ac:dyDescent="0.25">
      <c r="A550" s="16" t="s">
        <v>656</v>
      </c>
      <c r="B550" s="16" t="str">
        <f>CONCATENATE(A550,1)</f>
        <v>A042510581</v>
      </c>
      <c r="C550" s="17" t="s">
        <v>141</v>
      </c>
      <c r="D550" s="17" t="s">
        <v>84</v>
      </c>
      <c r="E550" s="17">
        <v>19645587</v>
      </c>
      <c r="F550" s="17" t="s">
        <v>74</v>
      </c>
      <c r="G550" s="17" t="s">
        <v>45</v>
      </c>
      <c r="H550" s="17" t="s">
        <v>142</v>
      </c>
      <c r="I550" s="18">
        <v>45778</v>
      </c>
      <c r="L550" s="19">
        <v>0</v>
      </c>
      <c r="M550" s="19">
        <v>58.19</v>
      </c>
      <c r="N550" s="17">
        <v>9</v>
      </c>
      <c r="O550" s="20">
        <v>1</v>
      </c>
      <c r="P550" s="17">
        <v>523.71</v>
      </c>
      <c r="R550" s="17" t="s">
        <v>939</v>
      </c>
    </row>
    <row r="551" spans="1:20" x14ac:dyDescent="0.25">
      <c r="A551" s="16">
        <v>959406713</v>
      </c>
      <c r="B551" s="16" t="str">
        <f>CONCATENATE(A551,98)</f>
        <v>95940671398</v>
      </c>
      <c r="C551" s="17" t="s">
        <v>173</v>
      </c>
      <c r="D551" s="17" t="s">
        <v>84</v>
      </c>
      <c r="E551" s="17">
        <v>19645587</v>
      </c>
      <c r="F551" s="17" t="s">
        <v>74</v>
      </c>
      <c r="G551" s="17" t="s">
        <v>45</v>
      </c>
      <c r="H551" s="17" t="s">
        <v>190</v>
      </c>
      <c r="I551" s="18">
        <v>45778</v>
      </c>
      <c r="L551" s="19">
        <v>0</v>
      </c>
      <c r="M551" s="19">
        <v>626</v>
      </c>
      <c r="N551" s="17">
        <v>1</v>
      </c>
      <c r="O551" s="20">
        <v>1</v>
      </c>
      <c r="P551" s="17">
        <v>626</v>
      </c>
      <c r="R551" s="17" t="s">
        <v>948</v>
      </c>
      <c r="T551" s="21" t="s">
        <v>949</v>
      </c>
    </row>
    <row r="552" spans="1:20" x14ac:dyDescent="0.25">
      <c r="A552" s="16" t="s">
        <v>735</v>
      </c>
      <c r="B552" s="16" t="str">
        <f>CONCATENATE(A552,1)</f>
        <v>959406713CB1</v>
      </c>
      <c r="C552" s="17" t="s">
        <v>173</v>
      </c>
      <c r="D552" s="17" t="s">
        <v>84</v>
      </c>
      <c r="E552" s="17">
        <v>19645587</v>
      </c>
      <c r="F552" s="17" t="s">
        <v>74</v>
      </c>
      <c r="G552" s="17" t="s">
        <v>148</v>
      </c>
      <c r="H552" s="17" t="s">
        <v>123</v>
      </c>
      <c r="I552" s="18">
        <v>45778</v>
      </c>
      <c r="L552" s="19">
        <v>0</v>
      </c>
      <c r="M552" s="17">
        <v>-208.67</v>
      </c>
      <c r="N552" s="17">
        <v>1</v>
      </c>
      <c r="O552" s="20">
        <v>1</v>
      </c>
      <c r="P552" s="17">
        <v>-208.67</v>
      </c>
      <c r="R552" s="17" t="s">
        <v>951</v>
      </c>
      <c r="T552" s="17" t="s">
        <v>954</v>
      </c>
    </row>
    <row r="553" spans="1:20" x14ac:dyDescent="0.25">
      <c r="A553" s="16" t="s">
        <v>732</v>
      </c>
      <c r="B553" s="16" t="str">
        <f>CONCATENATE(A553,1)</f>
        <v>944761723PC1</v>
      </c>
      <c r="C553" s="17" t="s">
        <v>175</v>
      </c>
      <c r="D553" s="17" t="s">
        <v>122</v>
      </c>
      <c r="E553" s="17">
        <v>18581063</v>
      </c>
      <c r="F553" s="17" t="s">
        <v>56</v>
      </c>
      <c r="G553" s="17" t="s">
        <v>148</v>
      </c>
      <c r="H553" s="17" t="s">
        <v>123</v>
      </c>
      <c r="I553" s="18">
        <v>45658</v>
      </c>
      <c r="L553" s="19">
        <v>0</v>
      </c>
      <c r="M553" s="17">
        <v>-208.66</v>
      </c>
      <c r="N553" s="17">
        <v>1</v>
      </c>
      <c r="O553" s="20">
        <v>1</v>
      </c>
      <c r="P553" s="17">
        <v>-208.66</v>
      </c>
      <c r="R553" s="17" t="s">
        <v>951</v>
      </c>
      <c r="T553" s="17" t="s">
        <v>954</v>
      </c>
    </row>
    <row r="554" spans="1:20" x14ac:dyDescent="0.25">
      <c r="A554" s="16">
        <v>944761723</v>
      </c>
      <c r="B554" s="16" t="str">
        <f>CONCATENATE(A554,1)</f>
        <v>9447617231</v>
      </c>
      <c r="C554" s="17" t="s">
        <v>175</v>
      </c>
      <c r="D554" s="17" t="s">
        <v>122</v>
      </c>
      <c r="E554" s="17">
        <v>18581063</v>
      </c>
      <c r="F554" s="17" t="s">
        <v>56</v>
      </c>
      <c r="G554" s="17" t="s">
        <v>45</v>
      </c>
      <c r="H554" s="17" t="s">
        <v>123</v>
      </c>
      <c r="I554" s="18">
        <v>45778</v>
      </c>
      <c r="L554" s="19">
        <v>0</v>
      </c>
      <c r="M554" s="19">
        <v>208.67</v>
      </c>
      <c r="N554" s="17">
        <v>1</v>
      </c>
      <c r="O554" s="20">
        <v>1</v>
      </c>
      <c r="P554" s="17">
        <v>208.67</v>
      </c>
      <c r="Q554" s="17" t="s">
        <v>119</v>
      </c>
      <c r="R554" s="17" t="s">
        <v>951</v>
      </c>
      <c r="T554" s="17" t="s">
        <v>954</v>
      </c>
    </row>
  </sheetData>
  <sortState xmlns:xlrd2="http://schemas.microsoft.com/office/spreadsheetml/2017/richdata2" ref="A2:T554">
    <sortCondition ref="F2:F554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9735-76DE-494A-887B-7980DD12E3A6}">
  <dimension ref="A1:AM3"/>
  <sheetViews>
    <sheetView tabSelected="1" workbookViewId="0">
      <selection activeCell="B3" sqref="B3"/>
    </sheetView>
  </sheetViews>
  <sheetFormatPr defaultRowHeight="15" x14ac:dyDescent="0.25"/>
  <cols>
    <col min="3" max="3" width="18" bestFit="1" customWidth="1"/>
    <col min="8" max="8" width="54.28515625" bestFit="1" customWidth="1"/>
    <col min="17" max="17" width="24.5703125" bestFit="1" customWidth="1"/>
  </cols>
  <sheetData>
    <row r="1" spans="1:39" x14ac:dyDescent="0.25">
      <c r="A1" s="5" t="s">
        <v>8</v>
      </c>
      <c r="B1" s="5"/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21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37</v>
      </c>
    </row>
    <row r="2" spans="1:39" x14ac:dyDescent="0.25">
      <c r="A2" s="11" t="s">
        <v>930</v>
      </c>
      <c r="B2" s="5" t="str">
        <f>CONCATENATE(A2,1)</f>
        <v>A037226851</v>
      </c>
      <c r="C2" s="12" t="s">
        <v>256</v>
      </c>
      <c r="D2" s="12" t="s">
        <v>93</v>
      </c>
      <c r="E2" s="12">
        <v>19278370</v>
      </c>
      <c r="F2" s="12" t="s">
        <v>53</v>
      </c>
      <c r="G2" s="12" t="s">
        <v>45</v>
      </c>
      <c r="H2" s="12" t="s">
        <v>255</v>
      </c>
      <c r="I2" s="13">
        <v>45689</v>
      </c>
      <c r="J2" s="13">
        <v>45792</v>
      </c>
      <c r="K2" s="12">
        <v>1</v>
      </c>
      <c r="L2" s="14">
        <v>1</v>
      </c>
      <c r="M2" s="14">
        <v>1</v>
      </c>
      <c r="N2" s="12"/>
      <c r="O2" s="15">
        <v>1</v>
      </c>
      <c r="P2" s="12">
        <v>24.73</v>
      </c>
      <c r="Q2" s="12" t="s">
        <v>248</v>
      </c>
      <c r="R2" s="12" t="s">
        <v>965</v>
      </c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x14ac:dyDescent="0.25">
      <c r="A3" s="11" t="s">
        <v>932</v>
      </c>
      <c r="B3" s="5" t="str">
        <f>CONCATENATE(A3,1)</f>
        <v>A037778171</v>
      </c>
      <c r="C3" s="12" t="s">
        <v>251</v>
      </c>
      <c r="D3" s="12" t="s">
        <v>93</v>
      </c>
      <c r="E3" s="12">
        <v>17425766</v>
      </c>
      <c r="F3" s="12" t="s">
        <v>58</v>
      </c>
      <c r="G3" s="12" t="s">
        <v>250</v>
      </c>
      <c r="H3" s="12" t="s">
        <v>249</v>
      </c>
      <c r="I3" s="13">
        <v>45597</v>
      </c>
      <c r="J3" s="13">
        <v>45792</v>
      </c>
      <c r="K3" s="12">
        <v>1</v>
      </c>
      <c r="L3" s="14">
        <v>1</v>
      </c>
      <c r="M3" s="14">
        <v>1</v>
      </c>
      <c r="N3" s="12"/>
      <c r="O3" s="15">
        <v>1</v>
      </c>
      <c r="P3" s="12">
        <v>22.52</v>
      </c>
      <c r="Q3" s="12" t="s">
        <v>248</v>
      </c>
      <c r="R3" s="12" t="s">
        <v>945</v>
      </c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2025-04-18T18:25:59Z</dcterms:created>
  <dcterms:modified xsi:type="dcterms:W3CDTF">2025-04-23T17:42:02Z</dcterms:modified>
</cp:coreProperties>
</file>