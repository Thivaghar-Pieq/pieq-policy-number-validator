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6-04-25\"/>
    </mc:Choice>
  </mc:AlternateContent>
  <xr:revisionPtr revIDLastSave="0" documentId="13_ncr:9_{FDF5CB9E-076A-4D29-AE2F-32A9847BD454}" xr6:coauthVersionLast="47" xr6:coauthVersionMax="47" xr10:uidLastSave="{00000000-0000-0000-0000-000000000000}"/>
  <bookViews>
    <workbookView xWindow="28680" yWindow="-120" windowWidth="29040" windowHeight="16440" xr2:uid="{0366BACA-85B1-4809-97FE-65A54E40834C}"/>
  </bookViews>
  <sheets>
    <sheet name="New Business Agent Statement - 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B16" i="2" l="1"/>
  <c r="B15" i="2"/>
  <c r="B12" i="2"/>
  <c r="B11" i="2"/>
  <c r="B10" i="2"/>
  <c r="B9" i="2"/>
  <c r="B8" i="2"/>
  <c r="B7" i="2"/>
  <c r="B5" i="2"/>
  <c r="B4" i="2"/>
  <c r="B3" i="2"/>
  <c r="B2" i="2"/>
  <c r="N21" i="2"/>
</calcChain>
</file>

<file path=xl/sharedStrings.xml><?xml version="1.0" encoding="utf-8"?>
<sst xmlns="http://schemas.openxmlformats.org/spreadsheetml/2006/main" count="515" uniqueCount="162">
  <si>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</si>
  <si>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</si>
  <si>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</si>
  <si>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</si>
  <si>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</si>
  <si>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</si>
  <si>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</si>
  <si>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</si>
  <si>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</si>
  <si>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</si>
  <si>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</si>
  <si>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</si>
  <si>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</si>
  <si>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</si>
  <si>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</si>
  <si>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</si>
  <si>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</si>
  <si>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</si>
  <si>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</si>
  <si>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</si>
  <si>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</si>
  <si>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</si>
  <si>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</si>
  <si>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</si>
  <si>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</si>
  <si>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</si>
  <si>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</si>
  <si>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</si>
  <si>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</si>
  <si>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</si>
  <si>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</si>
  <si>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</si>
  <si>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</si>
  <si>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</si>
  <si>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</si>
  <si>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</si>
  <si>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</si>
  <si>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</si>
  <si>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</si>
  <si>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</si>
  <si>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</si>
  <si>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</si>
  <si>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</si>
  <si>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</si>
  <si>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'00020026437K</t>
  </si>
  <si>
    <t>THERESA SCHOLZ</t>
  </si>
  <si>
    <t>IL</t>
  </si>
  <si>
    <t>'045638</t>
  </si>
  <si>
    <t>RICHARD YALE</t>
  </si>
  <si>
    <t>ACTIVE</t>
  </si>
  <si>
    <t>Humana MA 2019+ Level 15- 175/108 Repl 2024</t>
  </si>
  <si>
    <t>Monthly</t>
  </si>
  <si>
    <t>AV</t>
  </si>
  <si>
    <t>'00022121084K</t>
  </si>
  <si>
    <t>GUY MAES</t>
  </si>
  <si>
    <t>WI</t>
  </si>
  <si>
    <t>'045603</t>
  </si>
  <si>
    <t>ANDREW CHOI</t>
  </si>
  <si>
    <t>'00023140342K</t>
  </si>
  <si>
    <t>LE TRIEU-TRINH</t>
  </si>
  <si>
    <t>NA</t>
  </si>
  <si>
    <t>'045605</t>
  </si>
  <si>
    <t>GARY PORTUGAL</t>
  </si>
  <si>
    <t>Active</t>
  </si>
  <si>
    <t>Humana MA 2019+ Level 15- 175/108</t>
  </si>
  <si>
    <t>Humana MA Bonus Upload 06-04-2025.xlsx</t>
  </si>
  <si>
    <t>'00023362643K</t>
  </si>
  <si>
    <t>VERNON SWEARENGIN</t>
  </si>
  <si>
    <t>MO</t>
  </si>
  <si>
    <t>'043682</t>
  </si>
  <si>
    <t>GREGORY TEIPEL</t>
  </si>
  <si>
    <t>'00023362985K</t>
  </si>
  <si>
    <t>DEBORAH PETTERSEN</t>
  </si>
  <si>
    <t>'045611</t>
  </si>
  <si>
    <t>FRANK LISKOVEC</t>
  </si>
  <si>
    <t>'00023363788K</t>
  </si>
  <si>
    <t>JOHN KIM</t>
  </si>
  <si>
    <t>'00023364263K</t>
  </si>
  <si>
    <t>PORFIRIO ROMAN</t>
  </si>
  <si>
    <t>PA</t>
  </si>
  <si>
    <t>'045634</t>
  </si>
  <si>
    <t>PATRICIA LONG</t>
  </si>
  <si>
    <t>'00023364862K</t>
  </si>
  <si>
    <t>KEITH STRICKER</t>
  </si>
  <si>
    <t>NE</t>
  </si>
  <si>
    <t>'045642</t>
  </si>
  <si>
    <t>JONATHAN ALOFF</t>
  </si>
  <si>
    <t>'00023366415KPDP</t>
  </si>
  <si>
    <t>PAUL VAVRINCHIK</t>
  </si>
  <si>
    <t>Humana PDP 2019+ Level 15- 15/0</t>
  </si>
  <si>
    <t>'00023368889KPDP</t>
  </si>
  <si>
    <t>LAURIE ROUND</t>
  </si>
  <si>
    <t>'043705</t>
  </si>
  <si>
    <t>MICHAEL DUNAVANT</t>
  </si>
  <si>
    <t>'00023373372K</t>
  </si>
  <si>
    <t>BILL SAUSER</t>
  </si>
  <si>
    <t>'045709</t>
  </si>
  <si>
    <t>ESTHER HERRERA-LARSEN</t>
  </si>
  <si>
    <t>'102171601900</t>
  </si>
  <si>
    <t>MAGDALENA ROSA SERRANO</t>
  </si>
  <si>
    <t>OH</t>
  </si>
  <si>
    <t>Aetna MAPD NMO to GMO - 4-1-23+  Replace E-App</t>
  </si>
  <si>
    <t>7/12 PRORATE</t>
  </si>
  <si>
    <t>'102172052300</t>
  </si>
  <si>
    <t>DAVID SHELLY</t>
  </si>
  <si>
    <t>'043691</t>
  </si>
  <si>
    <t>MICHELLE MCCORKLE</t>
  </si>
  <si>
    <t>5/12 PRORATE</t>
  </si>
  <si>
    <t>'102172138300</t>
  </si>
  <si>
    <t>CHRISTINE HOCHSPRUNG</t>
  </si>
  <si>
    <t>'045622</t>
  </si>
  <si>
    <t>JACOB YALE</t>
  </si>
  <si>
    <t>'102172358300</t>
  </si>
  <si>
    <t>WILLIAM CERNY</t>
  </si>
  <si>
    <t>'045612</t>
  </si>
  <si>
    <t>ANTHONY HUNSBERGER</t>
  </si>
  <si>
    <t>CB</t>
  </si>
  <si>
    <t>'00017893697KPC</t>
  </si>
  <si>
    <t>PHANNALY LUANGSISONGKHAM</t>
  </si>
  <si>
    <t>'043625</t>
  </si>
  <si>
    <t>PATSAMON THANADABOUTH</t>
  </si>
  <si>
    <t>CHARGEBACK</t>
  </si>
  <si>
    <t>'00023341972KCB</t>
  </si>
  <si>
    <t>DEBORAH FRIEDEN</t>
  </si>
  <si>
    <t>FL</t>
  </si>
  <si>
    <t>'043969</t>
  </si>
  <si>
    <t>STACEY PORTUGAL</t>
  </si>
  <si>
    <t>'00023342286KCB</t>
  </si>
  <si>
    <t>JAMES FRIEDEN</t>
  </si>
  <si>
    <t>'101497408000PC</t>
  </si>
  <si>
    <t>DEBORAH STUDEBAKER</t>
  </si>
  <si>
    <t>CA</t>
  </si>
  <si>
    <t>'043678</t>
  </si>
  <si>
    <t>MATTHEW DAUGHERTY</t>
  </si>
  <si>
    <t>Aetna MAPD NMO to GMO 4-1-23+  -CA NJ -  New E-App</t>
  </si>
  <si>
    <t>'905092419OVPC</t>
  </si>
  <si>
    <t>SONDRA HAIRSTON</t>
  </si>
  <si>
    <t>UHC MA Direct 2024 New Full</t>
  </si>
  <si>
    <t>'905092419PC</t>
  </si>
  <si>
    <t>UHC MAPD Street payable to upline- 2025 Replace</t>
  </si>
  <si>
    <t>00020026437K</t>
  </si>
  <si>
    <t>00022121084K</t>
  </si>
  <si>
    <t>00023362643K</t>
  </si>
  <si>
    <t>00023362985K</t>
  </si>
  <si>
    <t>00023363788K</t>
  </si>
  <si>
    <t>00023364263K</t>
  </si>
  <si>
    <t>00023364862K</t>
  </si>
  <si>
    <t>00023366415KPDP</t>
  </si>
  <si>
    <t>00023368889KPDP</t>
  </si>
  <si>
    <t>00023373372K</t>
  </si>
  <si>
    <t>00017893697KPC</t>
  </si>
  <si>
    <t>00023341972KCB</t>
  </si>
  <si>
    <t>00023342286KCB</t>
  </si>
  <si>
    <t>101497408000PC</t>
  </si>
  <si>
    <t>905092419OVPC</t>
  </si>
  <si>
    <t>905092419PC</t>
  </si>
  <si>
    <t>Aetna MAPD OVR 2025</t>
  </si>
  <si>
    <t>Humana MAPD OVR 2025</t>
  </si>
  <si>
    <t>UHC MAPD Ovr 2025</t>
  </si>
  <si>
    <t>[%/$=313][prorate=7/12]</t>
  </si>
  <si>
    <t>UHC MAPD 2025*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</si>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</sst>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17C4-FD96-4C7C-8740-D4A82164CDF8}">
  <dimension ref="A1:AL22"/>
  <sheetViews>
    <sheetView tabSelected="1" topLeftCell="L1" workbookViewId="0">
      <selection activeCell="I4" sqref="I4"/>
    </sheetView>
  </sheetViews>
  <sheetFormatPr defaultRowHeight="15" x14ac:dyDescent="0.25"/>
  <cols>
    <col min="9" max="9" width="17.42578125" bestFit="1" customWidth="1"/>
    <col min="18" max="18" width="51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45812</v>
      </c>
      <c r="B2" s="1">
        <v>45812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45809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5493774</v>
      </c>
    </row>
    <row r="3" spans="1:38" x14ac:dyDescent="0.25">
      <c r="A3" s="1">
        <v>45812</v>
      </c>
      <c r="B3" s="1">
        <v>45812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45809</v>
      </c>
      <c r="U3" t="s">
        <v>51</v>
      </c>
      <c r="X3" t="s">
        <v>52</v>
      </c>
      <c r="Y3" s="2">
        <v>0</v>
      </c>
      <c r="Z3" s="2">
        <v>108</v>
      </c>
      <c r="AA3">
        <v>1</v>
      </c>
      <c r="AB3" s="3">
        <v>1</v>
      </c>
      <c r="AC3" s="2">
        <v>108</v>
      </c>
      <c r="AD3" s="3">
        <v>0</v>
      </c>
      <c r="AE3" s="2">
        <v>0</v>
      </c>
      <c r="AF3" s="2">
        <v>108</v>
      </c>
      <c r="AK3">
        <v>5493779</v>
      </c>
    </row>
    <row r="4" spans="1:38" s="7" customFormat="1" x14ac:dyDescent="0.25">
      <c r="A4" s="6">
        <v>45812</v>
      </c>
      <c r="B4" s="6">
        <v>45812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  <c r="I4" s="7" t="s">
        <v>58</v>
      </c>
      <c r="J4" s="7" t="s">
        <v>59</v>
      </c>
      <c r="M4" s="7" t="s">
        <v>60</v>
      </c>
      <c r="O4" s="7" t="s">
        <v>61</v>
      </c>
      <c r="P4" s="7" t="s">
        <v>62</v>
      </c>
      <c r="Q4" s="7" t="s">
        <v>63</v>
      </c>
      <c r="R4" s="7" t="s">
        <v>64</v>
      </c>
      <c r="S4" s="6">
        <v>45717</v>
      </c>
      <c r="U4" s="7" t="s">
        <v>51</v>
      </c>
      <c r="X4" s="7" t="s">
        <v>52</v>
      </c>
      <c r="Y4" s="8">
        <v>0</v>
      </c>
      <c r="Z4" s="8">
        <v>131.25</v>
      </c>
      <c r="AA4" s="7">
        <v>1</v>
      </c>
      <c r="AB4" s="9">
        <v>1</v>
      </c>
      <c r="AC4" s="8">
        <v>131.25</v>
      </c>
      <c r="AD4" s="9">
        <v>0</v>
      </c>
      <c r="AE4" s="8">
        <v>0</v>
      </c>
      <c r="AF4" s="8">
        <v>131.25</v>
      </c>
      <c r="AK4" s="7">
        <v>0</v>
      </c>
      <c r="AL4" s="7" t="s">
        <v>65</v>
      </c>
    </row>
    <row r="5" spans="1:38" x14ac:dyDescent="0.25">
      <c r="A5" s="1">
        <v>45812</v>
      </c>
      <c r="B5" s="1">
        <v>45812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66</v>
      </c>
      <c r="J5" t="s">
        <v>67</v>
      </c>
      <c r="M5" t="s">
        <v>68</v>
      </c>
      <c r="O5" t="s">
        <v>69</v>
      </c>
      <c r="P5" t="s">
        <v>70</v>
      </c>
      <c r="Q5" t="s">
        <v>49</v>
      </c>
      <c r="R5" t="s">
        <v>64</v>
      </c>
      <c r="S5" s="1">
        <v>45809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5493810</v>
      </c>
    </row>
    <row r="6" spans="1:38" x14ac:dyDescent="0.25">
      <c r="A6" s="1">
        <v>45812</v>
      </c>
      <c r="B6" s="1">
        <v>45812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71</v>
      </c>
      <c r="J6" t="s">
        <v>72</v>
      </c>
      <c r="M6" t="s">
        <v>46</v>
      </c>
      <c r="O6" t="s">
        <v>73</v>
      </c>
      <c r="P6" t="s">
        <v>74</v>
      </c>
      <c r="Q6" t="s">
        <v>49</v>
      </c>
      <c r="R6" t="s">
        <v>64</v>
      </c>
      <c r="S6" s="1">
        <v>45809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5493815</v>
      </c>
    </row>
    <row r="7" spans="1:38" x14ac:dyDescent="0.25">
      <c r="A7" s="1">
        <v>45812</v>
      </c>
      <c r="B7" s="1">
        <v>45812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75</v>
      </c>
      <c r="J7" t="s">
        <v>76</v>
      </c>
      <c r="M7" t="s">
        <v>46</v>
      </c>
      <c r="O7" t="s">
        <v>56</v>
      </c>
      <c r="P7" t="s">
        <v>57</v>
      </c>
      <c r="Q7" t="s">
        <v>49</v>
      </c>
      <c r="R7" t="s">
        <v>64</v>
      </c>
      <c r="S7" s="1">
        <v>45809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5493824</v>
      </c>
    </row>
    <row r="8" spans="1:38" x14ac:dyDescent="0.25">
      <c r="A8" s="1">
        <v>45812</v>
      </c>
      <c r="B8" s="1">
        <v>45812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77</v>
      </c>
      <c r="J8" t="s">
        <v>78</v>
      </c>
      <c r="M8" t="s">
        <v>79</v>
      </c>
      <c r="O8" t="s">
        <v>80</v>
      </c>
      <c r="P8" t="s">
        <v>81</v>
      </c>
      <c r="Q8" t="s">
        <v>49</v>
      </c>
      <c r="R8" t="s">
        <v>64</v>
      </c>
      <c r="S8" s="1">
        <v>45809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5493826</v>
      </c>
    </row>
    <row r="9" spans="1:38" x14ac:dyDescent="0.25">
      <c r="A9" s="1">
        <v>45812</v>
      </c>
      <c r="B9" s="1">
        <v>45812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82</v>
      </c>
      <c r="J9" t="s">
        <v>83</v>
      </c>
      <c r="M9" t="s">
        <v>84</v>
      </c>
      <c r="O9" t="s">
        <v>85</v>
      </c>
      <c r="P9" t="s">
        <v>86</v>
      </c>
      <c r="Q9" t="s">
        <v>49</v>
      </c>
      <c r="R9" t="s">
        <v>64</v>
      </c>
      <c r="S9" s="1">
        <v>45809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5493829</v>
      </c>
    </row>
    <row r="10" spans="1:38" x14ac:dyDescent="0.25">
      <c r="A10" s="1">
        <v>45812</v>
      </c>
      <c r="B10" s="1">
        <v>45812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87</v>
      </c>
      <c r="J10" t="s">
        <v>88</v>
      </c>
      <c r="M10" t="s">
        <v>46</v>
      </c>
      <c r="O10" t="s">
        <v>61</v>
      </c>
      <c r="P10" t="s">
        <v>62</v>
      </c>
      <c r="Q10" t="s">
        <v>49</v>
      </c>
      <c r="R10" t="s">
        <v>89</v>
      </c>
      <c r="S10" s="1">
        <v>45809</v>
      </c>
      <c r="U10" t="s">
        <v>51</v>
      </c>
      <c r="X10" t="s">
        <v>52</v>
      </c>
      <c r="Y10" s="2">
        <v>0</v>
      </c>
      <c r="Z10" s="2">
        <v>15</v>
      </c>
      <c r="AA10">
        <v>1</v>
      </c>
      <c r="AB10" s="3">
        <v>1</v>
      </c>
      <c r="AC10" s="2">
        <v>15</v>
      </c>
      <c r="AD10" s="3">
        <v>0</v>
      </c>
      <c r="AE10" s="2">
        <v>0</v>
      </c>
      <c r="AF10" s="2">
        <v>15</v>
      </c>
      <c r="AK10">
        <v>5493760</v>
      </c>
    </row>
    <row r="11" spans="1:38" x14ac:dyDescent="0.25">
      <c r="A11" s="1">
        <v>45812</v>
      </c>
      <c r="B11" s="1">
        <v>45812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90</v>
      </c>
      <c r="J11" t="s">
        <v>91</v>
      </c>
      <c r="M11" t="s">
        <v>46</v>
      </c>
      <c r="O11" t="s">
        <v>92</v>
      </c>
      <c r="P11" t="s">
        <v>93</v>
      </c>
      <c r="Q11" t="s">
        <v>49</v>
      </c>
      <c r="R11" t="s">
        <v>89</v>
      </c>
      <c r="S11" s="1">
        <v>45809</v>
      </c>
      <c r="U11" t="s">
        <v>51</v>
      </c>
      <c r="X11" t="s">
        <v>52</v>
      </c>
      <c r="Y11" s="2">
        <v>0</v>
      </c>
      <c r="Z11" s="2">
        <v>15</v>
      </c>
      <c r="AA11">
        <v>1</v>
      </c>
      <c r="AB11" s="3">
        <v>1</v>
      </c>
      <c r="AC11" s="2">
        <v>15</v>
      </c>
      <c r="AD11" s="3">
        <v>0</v>
      </c>
      <c r="AE11" s="2">
        <v>0</v>
      </c>
      <c r="AF11" s="2">
        <v>15</v>
      </c>
      <c r="AK11">
        <v>5493761</v>
      </c>
    </row>
    <row r="12" spans="1:38" x14ac:dyDescent="0.25">
      <c r="A12" s="1">
        <v>45812</v>
      </c>
      <c r="B12" s="1">
        <v>45812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94</v>
      </c>
      <c r="J12" t="s">
        <v>95</v>
      </c>
      <c r="M12" t="s">
        <v>46</v>
      </c>
      <c r="O12" t="s">
        <v>96</v>
      </c>
      <c r="P12" t="s">
        <v>97</v>
      </c>
      <c r="Q12" t="s">
        <v>49</v>
      </c>
      <c r="R12" t="s">
        <v>64</v>
      </c>
      <c r="S12" s="1">
        <v>45809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5493868</v>
      </c>
    </row>
    <row r="13" spans="1:38" x14ac:dyDescent="0.25">
      <c r="A13" s="1">
        <v>45812</v>
      </c>
      <c r="B13" s="1">
        <v>45812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98</v>
      </c>
      <c r="J13" t="s">
        <v>99</v>
      </c>
      <c r="M13" t="s">
        <v>100</v>
      </c>
      <c r="O13" t="s">
        <v>69</v>
      </c>
      <c r="P13" t="s">
        <v>70</v>
      </c>
      <c r="Q13" t="s">
        <v>49</v>
      </c>
      <c r="R13" t="s">
        <v>101</v>
      </c>
      <c r="S13" s="1">
        <v>45809</v>
      </c>
      <c r="U13" t="s">
        <v>51</v>
      </c>
      <c r="X13" t="s">
        <v>52</v>
      </c>
      <c r="Y13" s="2">
        <v>0</v>
      </c>
      <c r="Z13" s="2">
        <v>29.17</v>
      </c>
      <c r="AA13">
        <v>1</v>
      </c>
      <c r="AB13" s="3">
        <v>1</v>
      </c>
      <c r="AC13" s="2">
        <v>29.17</v>
      </c>
      <c r="AD13" s="3">
        <v>0</v>
      </c>
      <c r="AE13" s="2">
        <v>0</v>
      </c>
      <c r="AF13" s="2">
        <v>29.17</v>
      </c>
      <c r="AK13">
        <v>5493672</v>
      </c>
      <c r="AL13" t="s">
        <v>102</v>
      </c>
    </row>
    <row r="14" spans="1:38" x14ac:dyDescent="0.25">
      <c r="A14" s="1">
        <v>45812</v>
      </c>
      <c r="B14" s="1">
        <v>45812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103</v>
      </c>
      <c r="J14" t="s">
        <v>104</v>
      </c>
      <c r="M14" t="s">
        <v>79</v>
      </c>
      <c r="O14" t="s">
        <v>105</v>
      </c>
      <c r="P14" t="s">
        <v>106</v>
      </c>
      <c r="Q14" t="s">
        <v>49</v>
      </c>
      <c r="R14" t="s">
        <v>101</v>
      </c>
      <c r="S14" s="1">
        <v>45870</v>
      </c>
      <c r="U14" t="s">
        <v>51</v>
      </c>
      <c r="X14" t="s">
        <v>52</v>
      </c>
      <c r="Y14" s="2">
        <v>0</v>
      </c>
      <c r="Z14" s="2">
        <v>20.83</v>
      </c>
      <c r="AA14">
        <v>1</v>
      </c>
      <c r="AB14" s="3">
        <v>1</v>
      </c>
      <c r="AC14" s="2">
        <v>20.83</v>
      </c>
      <c r="AD14" s="3">
        <v>0</v>
      </c>
      <c r="AE14" s="2">
        <v>0</v>
      </c>
      <c r="AF14" s="2">
        <v>20.83</v>
      </c>
      <c r="AK14">
        <v>5493694</v>
      </c>
      <c r="AL14" t="s">
        <v>107</v>
      </c>
    </row>
    <row r="15" spans="1:38" x14ac:dyDescent="0.25">
      <c r="A15" s="1">
        <v>45812</v>
      </c>
      <c r="B15" s="1">
        <v>45812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108</v>
      </c>
      <c r="J15" t="s">
        <v>109</v>
      </c>
      <c r="M15" t="s">
        <v>46</v>
      </c>
      <c r="O15" t="s">
        <v>110</v>
      </c>
      <c r="P15" t="s">
        <v>111</v>
      </c>
      <c r="Q15" t="s">
        <v>49</v>
      </c>
      <c r="R15" t="s">
        <v>101</v>
      </c>
      <c r="S15" s="1">
        <v>45809</v>
      </c>
      <c r="U15" t="s">
        <v>51</v>
      </c>
      <c r="X15" t="s">
        <v>52</v>
      </c>
      <c r="Y15" s="2">
        <v>0</v>
      </c>
      <c r="Z15" s="2">
        <v>29.17</v>
      </c>
      <c r="AA15">
        <v>1</v>
      </c>
      <c r="AB15" s="3">
        <v>1</v>
      </c>
      <c r="AC15" s="2">
        <v>29.17</v>
      </c>
      <c r="AD15" s="3">
        <v>0</v>
      </c>
      <c r="AE15" s="2">
        <v>0</v>
      </c>
      <c r="AF15" s="2">
        <v>29.17</v>
      </c>
      <c r="AK15">
        <v>5493698</v>
      </c>
      <c r="AL15" t="s">
        <v>102</v>
      </c>
    </row>
    <row r="16" spans="1:38" x14ac:dyDescent="0.25">
      <c r="A16" s="1">
        <v>45812</v>
      </c>
      <c r="B16" s="1">
        <v>45812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112</v>
      </c>
      <c r="J16" t="s">
        <v>113</v>
      </c>
      <c r="M16" t="s">
        <v>46</v>
      </c>
      <c r="O16" t="s">
        <v>114</v>
      </c>
      <c r="P16" t="s">
        <v>115</v>
      </c>
      <c r="Q16" t="s">
        <v>49</v>
      </c>
      <c r="R16" t="s">
        <v>101</v>
      </c>
      <c r="S16" s="1">
        <v>45809</v>
      </c>
      <c r="U16" t="s">
        <v>51</v>
      </c>
      <c r="X16" t="s">
        <v>52</v>
      </c>
      <c r="Y16" s="2">
        <v>0</v>
      </c>
      <c r="Z16" s="2">
        <v>29.17</v>
      </c>
      <c r="AA16">
        <v>1</v>
      </c>
      <c r="AB16" s="3">
        <v>1</v>
      </c>
      <c r="AC16" s="2">
        <v>29.17</v>
      </c>
      <c r="AD16" s="3">
        <v>0</v>
      </c>
      <c r="AE16" s="2">
        <v>0</v>
      </c>
      <c r="AF16" s="2">
        <v>29.17</v>
      </c>
      <c r="AK16">
        <v>5493700</v>
      </c>
      <c r="AL16" t="s">
        <v>102</v>
      </c>
    </row>
    <row r="17" spans="1:36" x14ac:dyDescent="0.25">
      <c r="A17" s="1">
        <v>45812</v>
      </c>
      <c r="B17" s="1">
        <v>45812</v>
      </c>
      <c r="C17" t="s">
        <v>116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117</v>
      </c>
      <c r="J17" t="s">
        <v>118</v>
      </c>
      <c r="M17" t="s">
        <v>60</v>
      </c>
      <c r="O17" t="s">
        <v>119</v>
      </c>
      <c r="P17" t="s">
        <v>120</v>
      </c>
      <c r="Q17" t="s">
        <v>121</v>
      </c>
      <c r="R17" t="s">
        <v>50</v>
      </c>
      <c r="S17" s="1">
        <v>45658</v>
      </c>
      <c r="U17" t="s">
        <v>51</v>
      </c>
      <c r="X17" t="s">
        <v>52</v>
      </c>
      <c r="AC17" s="4"/>
      <c r="AF17" s="2">
        <v>108</v>
      </c>
      <c r="AG17" s="2">
        <v>0</v>
      </c>
      <c r="AJ17" s="2">
        <v>62.64</v>
      </c>
    </row>
    <row r="18" spans="1:36" x14ac:dyDescent="0.25">
      <c r="A18" s="1">
        <v>45812</v>
      </c>
      <c r="B18" s="1">
        <v>45812</v>
      </c>
      <c r="C18" t="s">
        <v>116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122</v>
      </c>
      <c r="J18" t="s">
        <v>123</v>
      </c>
      <c r="M18" t="s">
        <v>124</v>
      </c>
      <c r="O18" t="s">
        <v>125</v>
      </c>
      <c r="P18" t="s">
        <v>126</v>
      </c>
      <c r="Q18" t="s">
        <v>121</v>
      </c>
      <c r="R18" t="s">
        <v>64</v>
      </c>
      <c r="S18" s="1">
        <v>45809</v>
      </c>
      <c r="U18" t="s">
        <v>51</v>
      </c>
      <c r="X18" t="s">
        <v>52</v>
      </c>
      <c r="AC18" s="4"/>
      <c r="AF18" s="2">
        <v>175</v>
      </c>
      <c r="AG18" s="2">
        <v>0</v>
      </c>
      <c r="AJ18" s="2">
        <v>175</v>
      </c>
    </row>
    <row r="19" spans="1:36" x14ac:dyDescent="0.25">
      <c r="A19" s="1">
        <v>45812</v>
      </c>
      <c r="B19" s="1">
        <v>45812</v>
      </c>
      <c r="C19" t="s">
        <v>116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127</v>
      </c>
      <c r="J19" t="s">
        <v>128</v>
      </c>
      <c r="M19" t="s">
        <v>124</v>
      </c>
      <c r="O19" t="s">
        <v>125</v>
      </c>
      <c r="P19" t="s">
        <v>126</v>
      </c>
      <c r="Q19" t="s">
        <v>121</v>
      </c>
      <c r="R19" t="s">
        <v>64</v>
      </c>
      <c r="S19" s="1">
        <v>45809</v>
      </c>
      <c r="U19" t="s">
        <v>51</v>
      </c>
      <c r="X19" t="s">
        <v>52</v>
      </c>
      <c r="AC19" s="4"/>
      <c r="AF19" s="2">
        <v>175</v>
      </c>
      <c r="AG19" s="2">
        <v>0</v>
      </c>
      <c r="AJ19" s="2">
        <v>175</v>
      </c>
    </row>
    <row r="20" spans="1:36" x14ac:dyDescent="0.25">
      <c r="A20" s="1">
        <v>45812</v>
      </c>
      <c r="B20" s="1">
        <v>45812</v>
      </c>
      <c r="C20" t="s">
        <v>116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129</v>
      </c>
      <c r="J20" t="s">
        <v>130</v>
      </c>
      <c r="M20" t="s">
        <v>131</v>
      </c>
      <c r="O20" t="s">
        <v>132</v>
      </c>
      <c r="P20" t="s">
        <v>133</v>
      </c>
      <c r="Q20" t="s">
        <v>121</v>
      </c>
      <c r="R20" t="s">
        <v>134</v>
      </c>
      <c r="S20" s="1">
        <v>45658</v>
      </c>
      <c r="U20" t="s">
        <v>51</v>
      </c>
      <c r="X20" t="s">
        <v>52</v>
      </c>
      <c r="AC20" s="4"/>
      <c r="AF20" s="2">
        <v>50</v>
      </c>
      <c r="AG20" s="2">
        <v>0</v>
      </c>
      <c r="AJ20" s="2">
        <v>29.17</v>
      </c>
    </row>
    <row r="21" spans="1:36" x14ac:dyDescent="0.25">
      <c r="A21" s="1">
        <v>45812</v>
      </c>
      <c r="B21" s="1">
        <v>45812</v>
      </c>
      <c r="C21" t="s">
        <v>116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135</v>
      </c>
      <c r="J21" t="s">
        <v>136</v>
      </c>
      <c r="M21" t="s">
        <v>124</v>
      </c>
      <c r="O21" t="s">
        <v>85</v>
      </c>
      <c r="P21" t="s">
        <v>86</v>
      </c>
      <c r="Q21" t="s">
        <v>121</v>
      </c>
      <c r="R21" t="s">
        <v>137</v>
      </c>
      <c r="S21" s="1">
        <v>45658</v>
      </c>
      <c r="U21" t="s">
        <v>51</v>
      </c>
      <c r="X21" t="s">
        <v>52</v>
      </c>
      <c r="AC21" s="4"/>
      <c r="AF21" s="2">
        <v>175</v>
      </c>
      <c r="AG21" s="2">
        <v>0</v>
      </c>
      <c r="AJ21" s="2">
        <v>102.08</v>
      </c>
    </row>
    <row r="22" spans="1:36" x14ac:dyDescent="0.25">
      <c r="A22" s="1">
        <v>45812</v>
      </c>
      <c r="B22" s="1">
        <v>45812</v>
      </c>
      <c r="C22" t="s">
        <v>116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138</v>
      </c>
      <c r="J22" t="s">
        <v>136</v>
      </c>
      <c r="M22" t="s">
        <v>124</v>
      </c>
      <c r="O22" t="s">
        <v>85</v>
      </c>
      <c r="P22" t="s">
        <v>86</v>
      </c>
      <c r="Q22" t="s">
        <v>121</v>
      </c>
      <c r="R22" t="s">
        <v>139</v>
      </c>
      <c r="S22" s="1">
        <v>45658</v>
      </c>
      <c r="U22" t="s">
        <v>51</v>
      </c>
      <c r="X22" t="s">
        <v>52</v>
      </c>
      <c r="AC22" s="4"/>
      <c r="AF22" s="2">
        <v>313</v>
      </c>
      <c r="AG22" s="2">
        <v>0</v>
      </c>
      <c r="AJ22" s="2">
        <v>182.58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AEC5-C6C2-47B2-B452-EE64DE2224B9}">
  <dimension ref="A1:N21"/>
  <sheetViews>
    <sheetView workbookViewId="0">
      <selection activeCell="L21" sqref="L21"/>
    </sheetView>
  </sheetViews>
  <sheetFormatPr defaultRowHeight="15" x14ac:dyDescent="0.25"/>
  <cols>
    <col min="1" max="2" width="21.42578125" style="5" customWidth="1"/>
    <col min="3" max="3" width="30.140625" bestFit="1" customWidth="1"/>
    <col min="5" max="5" width="27.28515625" bestFit="1" customWidth="1"/>
    <col min="6" max="6" width="51" bestFit="1" customWidth="1"/>
    <col min="10" max="10" width="39.140625" bestFit="1" customWidth="1"/>
    <col min="11" max="11" width="23.28515625" bestFit="1" customWidth="1"/>
  </cols>
  <sheetData>
    <row r="1" spans="1:11" x14ac:dyDescent="0.25">
      <c r="A1" s="5" t="s">
        <v>8</v>
      </c>
      <c r="C1" t="s">
        <v>9</v>
      </c>
      <c r="D1" t="s">
        <v>12</v>
      </c>
      <c r="E1" t="s">
        <v>15</v>
      </c>
      <c r="F1" t="s">
        <v>17</v>
      </c>
      <c r="G1" t="s">
        <v>18</v>
      </c>
      <c r="H1" t="s">
        <v>20</v>
      </c>
      <c r="I1" t="s">
        <v>28</v>
      </c>
      <c r="J1" t="s">
        <v>37</v>
      </c>
    </row>
    <row r="2" spans="1:11" x14ac:dyDescent="0.25">
      <c r="A2" s="5">
        <v>102171601900</v>
      </c>
      <c r="B2" s="5" t="str">
        <f>CONCATENATE(A2,0)</f>
        <v>1021716019000</v>
      </c>
      <c r="C2" t="s">
        <v>99</v>
      </c>
      <c r="D2" t="s">
        <v>100</v>
      </c>
      <c r="E2" t="s">
        <v>161</v>
      </c>
      <c r="F2" t="s">
        <v>101</v>
      </c>
      <c r="G2" s="1">
        <v>45809</v>
      </c>
      <c r="H2" t="s">
        <v>51</v>
      </c>
      <c r="I2" s="2">
        <v>29.17</v>
      </c>
      <c r="J2" t="s">
        <v>102</v>
      </c>
      <c r="K2" t="s">
        <v>156</v>
      </c>
    </row>
    <row r="3" spans="1:11" x14ac:dyDescent="0.25">
      <c r="A3" s="5">
        <v>102172052300</v>
      </c>
      <c r="B3" s="5" t="str">
        <f t="shared" ref="B3:B5" si="0">CONCATENATE(A3,0)</f>
        <v>1021720523000</v>
      </c>
      <c r="C3" t="s">
        <v>104</v>
      </c>
      <c r="D3" t="s">
        <v>79</v>
      </c>
      <c r="E3" t="s">
        <v>161</v>
      </c>
      <c r="F3" t="s">
        <v>101</v>
      </c>
      <c r="G3" s="1">
        <v>45870</v>
      </c>
      <c r="H3" t="s">
        <v>51</v>
      </c>
      <c r="I3" s="2">
        <v>20.83</v>
      </c>
      <c r="J3" t="s">
        <v>107</v>
      </c>
      <c r="K3" t="s">
        <v>156</v>
      </c>
    </row>
    <row r="4" spans="1:11" x14ac:dyDescent="0.25">
      <c r="A4" s="5">
        <v>102172138300</v>
      </c>
      <c r="B4" s="5" t="str">
        <f t="shared" si="0"/>
        <v>1021721383000</v>
      </c>
      <c r="C4" t="s">
        <v>109</v>
      </c>
      <c r="D4" t="s">
        <v>46</v>
      </c>
      <c r="E4" t="s">
        <v>161</v>
      </c>
      <c r="F4" t="s">
        <v>101</v>
      </c>
      <c r="G4" s="1">
        <v>45809</v>
      </c>
      <c r="H4" t="s">
        <v>51</v>
      </c>
      <c r="I4" s="2">
        <v>29.17</v>
      </c>
      <c r="J4" t="s">
        <v>102</v>
      </c>
      <c r="K4" t="s">
        <v>156</v>
      </c>
    </row>
    <row r="5" spans="1:11" x14ac:dyDescent="0.25">
      <c r="A5" s="5">
        <v>102172358300</v>
      </c>
      <c r="B5" s="5" t="str">
        <f t="shared" si="0"/>
        <v>1021723583000</v>
      </c>
      <c r="C5" t="s">
        <v>113</v>
      </c>
      <c r="D5" t="s">
        <v>46</v>
      </c>
      <c r="E5" t="s">
        <v>161</v>
      </c>
      <c r="F5" t="s">
        <v>101</v>
      </c>
      <c r="G5" s="1">
        <v>45809</v>
      </c>
      <c r="H5" t="s">
        <v>51</v>
      </c>
      <c r="I5" s="2">
        <v>29.17</v>
      </c>
      <c r="J5" t="s">
        <v>102</v>
      </c>
      <c r="K5" t="s">
        <v>156</v>
      </c>
    </row>
    <row r="6" spans="1:11" x14ac:dyDescent="0.25">
      <c r="A6" s="5" t="s">
        <v>153</v>
      </c>
      <c r="B6" s="5" t="s">
        <v>153</v>
      </c>
      <c r="C6" t="s">
        <v>130</v>
      </c>
      <c r="D6" t="s">
        <v>131</v>
      </c>
      <c r="E6" t="s">
        <v>161</v>
      </c>
      <c r="F6" t="s">
        <v>134</v>
      </c>
      <c r="G6" s="1">
        <v>45658</v>
      </c>
      <c r="H6" t="s">
        <v>51</v>
      </c>
      <c r="I6" s="4">
        <v>-29.17</v>
      </c>
      <c r="K6" t="s">
        <v>156</v>
      </c>
    </row>
    <row r="7" spans="1:11" x14ac:dyDescent="0.25">
      <c r="A7" s="5" t="s">
        <v>142</v>
      </c>
      <c r="B7" s="5" t="str">
        <f t="shared" ref="B7:B12" si="1">CONCATENATE(A7,0)</f>
        <v>00023362643K0</v>
      </c>
      <c r="C7" t="s">
        <v>67</v>
      </c>
      <c r="D7" t="s">
        <v>68</v>
      </c>
      <c r="E7" t="s">
        <v>161</v>
      </c>
      <c r="F7" t="s">
        <v>64</v>
      </c>
      <c r="G7" s="1">
        <v>45809</v>
      </c>
      <c r="H7" t="s">
        <v>51</v>
      </c>
      <c r="I7" s="2">
        <v>175</v>
      </c>
      <c r="K7" t="s">
        <v>157</v>
      </c>
    </row>
    <row r="8" spans="1:11" x14ac:dyDescent="0.25">
      <c r="A8" s="5" t="s">
        <v>143</v>
      </c>
      <c r="B8" s="5" t="str">
        <f t="shared" si="1"/>
        <v>00023362985K0</v>
      </c>
      <c r="C8" t="s">
        <v>72</v>
      </c>
      <c r="D8" t="s">
        <v>46</v>
      </c>
      <c r="E8" t="s">
        <v>161</v>
      </c>
      <c r="F8" t="s">
        <v>64</v>
      </c>
      <c r="G8" s="1">
        <v>45809</v>
      </c>
      <c r="H8" t="s">
        <v>51</v>
      </c>
      <c r="I8" s="2">
        <v>175</v>
      </c>
      <c r="K8" t="s">
        <v>157</v>
      </c>
    </row>
    <row r="9" spans="1:11" x14ac:dyDescent="0.25">
      <c r="A9" s="5" t="s">
        <v>144</v>
      </c>
      <c r="B9" s="5" t="str">
        <f t="shared" si="1"/>
        <v>00023363788K0</v>
      </c>
      <c r="C9" t="s">
        <v>76</v>
      </c>
      <c r="D9" t="s">
        <v>46</v>
      </c>
      <c r="E9" t="s">
        <v>161</v>
      </c>
      <c r="F9" t="s">
        <v>64</v>
      </c>
      <c r="G9" s="1">
        <v>45809</v>
      </c>
      <c r="H9" t="s">
        <v>51</v>
      </c>
      <c r="I9" s="2">
        <v>175</v>
      </c>
      <c r="K9" t="s">
        <v>157</v>
      </c>
    </row>
    <row r="10" spans="1:11" x14ac:dyDescent="0.25">
      <c r="A10" s="5" t="s">
        <v>145</v>
      </c>
      <c r="B10" s="5" t="str">
        <f t="shared" si="1"/>
        <v>00023364263K0</v>
      </c>
      <c r="C10" t="s">
        <v>78</v>
      </c>
      <c r="D10" t="s">
        <v>79</v>
      </c>
      <c r="E10" t="s">
        <v>161</v>
      </c>
      <c r="F10" t="s">
        <v>64</v>
      </c>
      <c r="G10" s="1">
        <v>45809</v>
      </c>
      <c r="H10" t="s">
        <v>51</v>
      </c>
      <c r="I10" s="2">
        <v>175</v>
      </c>
      <c r="K10" t="s">
        <v>157</v>
      </c>
    </row>
    <row r="11" spans="1:11" x14ac:dyDescent="0.25">
      <c r="A11" s="5" t="s">
        <v>146</v>
      </c>
      <c r="B11" s="5" t="str">
        <f t="shared" si="1"/>
        <v>00023364862K0</v>
      </c>
      <c r="C11" t="s">
        <v>83</v>
      </c>
      <c r="D11" t="s">
        <v>84</v>
      </c>
      <c r="E11" t="s">
        <v>161</v>
      </c>
      <c r="F11" t="s">
        <v>64</v>
      </c>
      <c r="G11" s="1">
        <v>45809</v>
      </c>
      <c r="H11" t="s">
        <v>51</v>
      </c>
      <c r="I11" s="2">
        <v>175</v>
      </c>
      <c r="K11" t="s">
        <v>157</v>
      </c>
    </row>
    <row r="12" spans="1:11" x14ac:dyDescent="0.25">
      <c r="A12" s="5" t="s">
        <v>149</v>
      </c>
      <c r="B12" s="5" t="str">
        <f t="shared" si="1"/>
        <v>00023373372K0</v>
      </c>
      <c r="C12" t="s">
        <v>95</v>
      </c>
      <c r="D12" t="s">
        <v>46</v>
      </c>
      <c r="E12" t="s">
        <v>161</v>
      </c>
      <c r="F12" t="s">
        <v>64</v>
      </c>
      <c r="G12" s="1">
        <v>45809</v>
      </c>
      <c r="H12" t="s">
        <v>51</v>
      </c>
      <c r="I12" s="2">
        <v>175</v>
      </c>
      <c r="K12" t="s">
        <v>157</v>
      </c>
    </row>
    <row r="13" spans="1:11" x14ac:dyDescent="0.25">
      <c r="A13" s="5" t="s">
        <v>151</v>
      </c>
      <c r="B13" s="5" t="s">
        <v>151</v>
      </c>
      <c r="C13" t="s">
        <v>123</v>
      </c>
      <c r="D13" t="s">
        <v>124</v>
      </c>
      <c r="E13" t="s">
        <v>161</v>
      </c>
      <c r="F13" t="s">
        <v>64</v>
      </c>
      <c r="G13" s="1">
        <v>45809</v>
      </c>
      <c r="H13" t="s">
        <v>51</v>
      </c>
      <c r="I13" s="4">
        <v>-175</v>
      </c>
      <c r="K13" t="s">
        <v>157</v>
      </c>
    </row>
    <row r="14" spans="1:11" x14ac:dyDescent="0.25">
      <c r="A14" s="5" t="s">
        <v>152</v>
      </c>
      <c r="B14" s="5" t="s">
        <v>152</v>
      </c>
      <c r="C14" t="s">
        <v>128</v>
      </c>
      <c r="D14" t="s">
        <v>124</v>
      </c>
      <c r="E14" t="s">
        <v>161</v>
      </c>
      <c r="F14" t="s">
        <v>64</v>
      </c>
      <c r="G14" s="1">
        <v>45809</v>
      </c>
      <c r="H14" t="s">
        <v>51</v>
      </c>
      <c r="I14" s="4">
        <v>-175</v>
      </c>
      <c r="K14" t="s">
        <v>157</v>
      </c>
    </row>
    <row r="15" spans="1:11" x14ac:dyDescent="0.25">
      <c r="A15" s="5" t="s">
        <v>140</v>
      </c>
      <c r="B15" s="5" t="str">
        <f t="shared" ref="B15:B16" si="2">CONCATENATE(A15,0)</f>
        <v>00020026437K0</v>
      </c>
      <c r="C15" t="s">
        <v>45</v>
      </c>
      <c r="D15" t="s">
        <v>46</v>
      </c>
      <c r="E15" t="s">
        <v>161</v>
      </c>
      <c r="F15" t="s">
        <v>50</v>
      </c>
      <c r="G15" s="1">
        <v>45809</v>
      </c>
      <c r="H15" t="s">
        <v>51</v>
      </c>
      <c r="I15" s="2">
        <v>108</v>
      </c>
      <c r="K15" t="s">
        <v>157</v>
      </c>
    </row>
    <row r="16" spans="1:11" x14ac:dyDescent="0.25">
      <c r="A16" s="5" t="s">
        <v>141</v>
      </c>
      <c r="B16" s="5" t="str">
        <f t="shared" si="2"/>
        <v>00022121084K0</v>
      </c>
      <c r="C16" t="s">
        <v>54</v>
      </c>
      <c r="D16" t="s">
        <v>55</v>
      </c>
      <c r="E16" t="s">
        <v>161</v>
      </c>
      <c r="F16" t="s">
        <v>50</v>
      </c>
      <c r="G16" s="1">
        <v>45809</v>
      </c>
      <c r="H16" t="s">
        <v>51</v>
      </c>
      <c r="I16" s="2">
        <v>108</v>
      </c>
      <c r="K16" t="s">
        <v>157</v>
      </c>
    </row>
    <row r="17" spans="1:14" x14ac:dyDescent="0.25">
      <c r="A17" s="5" t="s">
        <v>150</v>
      </c>
      <c r="B17" s="5" t="s">
        <v>150</v>
      </c>
      <c r="C17" t="s">
        <v>118</v>
      </c>
      <c r="D17" t="s">
        <v>60</v>
      </c>
      <c r="E17" t="s">
        <v>161</v>
      </c>
      <c r="F17" t="s">
        <v>50</v>
      </c>
      <c r="G17" s="1">
        <v>45658</v>
      </c>
      <c r="H17" t="s">
        <v>51</v>
      </c>
      <c r="I17" s="4">
        <v>-62.64</v>
      </c>
      <c r="K17" t="s">
        <v>157</v>
      </c>
    </row>
    <row r="18" spans="1:14" x14ac:dyDescent="0.25">
      <c r="A18" s="5" t="s">
        <v>147</v>
      </c>
      <c r="B18" s="5" t="s">
        <v>147</v>
      </c>
      <c r="C18" t="s">
        <v>88</v>
      </c>
      <c r="D18" t="s">
        <v>46</v>
      </c>
      <c r="E18" t="s">
        <v>161</v>
      </c>
      <c r="F18" t="s">
        <v>89</v>
      </c>
      <c r="G18" s="1">
        <v>45809</v>
      </c>
      <c r="H18" t="s">
        <v>51</v>
      </c>
      <c r="I18" s="2">
        <v>15</v>
      </c>
      <c r="K18" t="s">
        <v>157</v>
      </c>
    </row>
    <row r="19" spans="1:14" x14ac:dyDescent="0.25">
      <c r="A19" s="5" t="s">
        <v>148</v>
      </c>
      <c r="B19" s="5" t="s">
        <v>148</v>
      </c>
      <c r="C19" t="s">
        <v>91</v>
      </c>
      <c r="D19" t="s">
        <v>46</v>
      </c>
      <c r="E19" t="s">
        <v>161</v>
      </c>
      <c r="F19" t="s">
        <v>89</v>
      </c>
      <c r="G19" s="1">
        <v>45809</v>
      </c>
      <c r="H19" t="s">
        <v>51</v>
      </c>
      <c r="I19" s="2">
        <v>15</v>
      </c>
      <c r="K19" t="s">
        <v>157</v>
      </c>
    </row>
    <row r="20" spans="1:14" x14ac:dyDescent="0.25">
      <c r="A20" s="5" t="s">
        <v>154</v>
      </c>
      <c r="B20" s="5" t="s">
        <v>154</v>
      </c>
      <c r="C20" t="s">
        <v>136</v>
      </c>
      <c r="D20" t="s">
        <v>124</v>
      </c>
      <c r="E20" t="s">
        <v>161</v>
      </c>
      <c r="F20" t="s">
        <v>137</v>
      </c>
      <c r="G20" s="1">
        <v>45658</v>
      </c>
      <c r="H20" t="s">
        <v>51</v>
      </c>
      <c r="I20" s="4">
        <v>-102.08</v>
      </c>
      <c r="K20" t="s">
        <v>158</v>
      </c>
    </row>
    <row r="21" spans="1:14" x14ac:dyDescent="0.25">
      <c r="A21" s="5" t="s">
        <v>155</v>
      </c>
      <c r="B21" s="5">
        <v>9050924199</v>
      </c>
      <c r="C21" t="s">
        <v>136</v>
      </c>
      <c r="D21" t="s">
        <v>124</v>
      </c>
      <c r="E21" t="s">
        <v>86</v>
      </c>
      <c r="F21" t="s">
        <v>139</v>
      </c>
      <c r="G21" s="1">
        <v>45658</v>
      </c>
      <c r="H21" t="s">
        <v>51</v>
      </c>
      <c r="I21" s="4">
        <v>-182.58</v>
      </c>
      <c r="K21" t="s">
        <v>160</v>
      </c>
      <c r="L21" t="s">
        <v>159</v>
      </c>
      <c r="N21">
        <f>313/12*7</f>
        <v>182.58333333333331</v>
      </c>
    </row>
  </sheetData>
  <sortState xmlns:xlrd2="http://schemas.microsoft.com/office/spreadsheetml/2017/richdata2" ref="A2:AN21">
    <sortCondition ref="F2:F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2025-06-04T19:40:51Z</dcterms:created>
  <dcterms:modified xsi:type="dcterms:W3CDTF">2025-06-04T20:14:02Z</dcterms:modified>
</cp:coreProperties>
</file>