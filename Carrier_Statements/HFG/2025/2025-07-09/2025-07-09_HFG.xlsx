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7-09-25\"/>
    </mc:Choice>
  </mc:AlternateContent>
  <xr:revisionPtr revIDLastSave="0" documentId="13_ncr:1_{7B226D01-BFA4-454F-ABC0-8835CD81FC79}" xr6:coauthVersionLast="47" xr6:coauthVersionMax="47" xr10:uidLastSave="{00000000-0000-0000-0000-000000000000}"/>
  <bookViews>
    <workbookView xWindow="28680" yWindow="-120" windowWidth="29040" windowHeight="16440" activeTab="1" xr2:uid="{640B55D3-E7B7-4B06-94BB-524924058C87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9" i="2" l="1"/>
  <c r="B38" i="2"/>
  <c r="B37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7" i="2"/>
  <c r="B16" i="2"/>
  <c r="B15" i="2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<sst xmlns="http://schemas.openxmlformats.org/spreadsheetml/2006/main" count="923" uniqueCount="227">
  <si>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</si>
  <si>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</si>
  <si>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</si>
  <si>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</si>
  <si>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</si>
  <si>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</si>
  <si>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</si>
  <si>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</si>
  <si>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</si>
  <si>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</si>
  <si>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</si>
  <si>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</si>
  <si>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</si>
  <si>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</si>
  <si>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</si>
  <si>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</si>
  <si>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</si>
  <si>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</si>
  <si>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</si>
  <si>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</si>
  <si>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</si>
  <si>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</si>
  <si>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</si>
  <si>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</si>
  <si>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</si>
  <si>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</si>
  <si>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</si>
  <si>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</si>
  <si>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</si>
  <si>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</si>
  <si>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</si>
  <si>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</si>
  <si>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</si>
  <si>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</si>
  <si>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</si>
  <si>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</si>
  <si>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</si>
  <si>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</si>
  <si>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</si>
  <si>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</si>
  <si>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</si>
  <si>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</si>
  <si>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</si>
  <si>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</si>
  <si>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'00008001943K</t>
  </si>
  <si>
    <t>BARBARA FORTINO</t>
  </si>
  <si>
    <t>IL</t>
  </si>
  <si>
    <t>'043701</t>
  </si>
  <si>
    <t>ARNOLD ALOFF</t>
  </si>
  <si>
    <t>ACTIVE</t>
  </si>
  <si>
    <t>Humana MA 2019+ Level 15- 175/108 Repl 2024</t>
  </si>
  <si>
    <t>Monthly</t>
  </si>
  <si>
    <t>AV</t>
  </si>
  <si>
    <t>'00012290150KPC</t>
  </si>
  <si>
    <t>VICKY DOWNS</t>
  </si>
  <si>
    <t>NA</t>
  </si>
  <si>
    <t>'045605</t>
  </si>
  <si>
    <t>GARY PORTUGAL</t>
  </si>
  <si>
    <t>Active</t>
  </si>
  <si>
    <t>Humana MA Bonus Upload 07-09-2025.xlsx</t>
  </si>
  <si>
    <t>'00014552202K</t>
  </si>
  <si>
    <t>NANCY DAVIS</t>
  </si>
  <si>
    <t>'00015884195K</t>
  </si>
  <si>
    <t>MAUREEN WILLIAMS</t>
  </si>
  <si>
    <t>'00023419316K</t>
  </si>
  <si>
    <t>MARIAVICTORIA DIJAMCO</t>
  </si>
  <si>
    <t>'045613</t>
  </si>
  <si>
    <t>RICARDO SANTOS</t>
  </si>
  <si>
    <t>HU MA 2022+ New Structure</t>
  </si>
  <si>
    <t>'00023442523K</t>
  </si>
  <si>
    <t>ZBIGNIEW ANIOL</t>
  </si>
  <si>
    <t>'00023445656K</t>
  </si>
  <si>
    <t>ROMINAVICTORIA MARTINEZ</t>
  </si>
  <si>
    <t>'00023445793KPDP</t>
  </si>
  <si>
    <t>KATHY METCALF</t>
  </si>
  <si>
    <t>FL</t>
  </si>
  <si>
    <t>'045717</t>
  </si>
  <si>
    <t>RONALD MAX</t>
  </si>
  <si>
    <t>Humana PDP 2019+ Level 15- 15/0</t>
  </si>
  <si>
    <t>'00023446545K</t>
  </si>
  <si>
    <t>THOMAS MAY</t>
  </si>
  <si>
    <t>'00023449614K</t>
  </si>
  <si>
    <t>TAMMY WILLIAMS</t>
  </si>
  <si>
    <t>WI</t>
  </si>
  <si>
    <t>'045638</t>
  </si>
  <si>
    <t>RICHARD YALE</t>
  </si>
  <si>
    <t>'00023449616K</t>
  </si>
  <si>
    <t>GAIL RODRIGUEZ</t>
  </si>
  <si>
    <t>'043618</t>
  </si>
  <si>
    <t>SAADIA ABDUL</t>
  </si>
  <si>
    <t>'00023450701K</t>
  </si>
  <si>
    <t>GAIL GRAVES</t>
  </si>
  <si>
    <t>'043644</t>
  </si>
  <si>
    <t>TIMOTHY HODGMAN</t>
  </si>
  <si>
    <t>'00023451990K</t>
  </si>
  <si>
    <t>DAVID MICHAELS</t>
  </si>
  <si>
    <t>'045612</t>
  </si>
  <si>
    <t>ANTHONY HUNSBERGER</t>
  </si>
  <si>
    <t>'00023452353K</t>
  </si>
  <si>
    <t>JIM RAU</t>
  </si>
  <si>
    <t>'043705</t>
  </si>
  <si>
    <t>MICHAEL DUNAVANT</t>
  </si>
  <si>
    <t>'00023452444K</t>
  </si>
  <si>
    <t>VICKIE RAU</t>
  </si>
  <si>
    <t>'00023452819K</t>
  </si>
  <si>
    <t>MARC BYERS</t>
  </si>
  <si>
    <t>'043969</t>
  </si>
  <si>
    <t>STACEY PORTUGAL</t>
  </si>
  <si>
    <t>'00023453133K</t>
  </si>
  <si>
    <t>JULI MICHAELS</t>
  </si>
  <si>
    <t>'00023455114K</t>
  </si>
  <si>
    <t>JUNE GALASINSKI</t>
  </si>
  <si>
    <t>'101856887200</t>
  </si>
  <si>
    <t>BOLAJOKO SOYOYE</t>
  </si>
  <si>
    <t>'043736</t>
  </si>
  <si>
    <t>DENNIS HOLYN</t>
  </si>
  <si>
    <t>Aetna MAPD NMO to GMO - 4-1-23+  Replace E-App</t>
  </si>
  <si>
    <t>6/12 PRORATE</t>
  </si>
  <si>
    <t>'102178218100</t>
  </si>
  <si>
    <t>RIMOND JAMOU</t>
  </si>
  <si>
    <t>'045604</t>
  </si>
  <si>
    <t>JEFFREY HORN</t>
  </si>
  <si>
    <t>'102178275700</t>
  </si>
  <si>
    <t>CYNTHIA SMITH</t>
  </si>
  <si>
    <t>'043637</t>
  </si>
  <si>
    <t>CHRISTIAN TAUGNER</t>
  </si>
  <si>
    <t>Aetna MAPD NMO to GMO - 4-1-23+  Replace Paper</t>
  </si>
  <si>
    <t>4/12 PRORATE</t>
  </si>
  <si>
    <t>'102178491500</t>
  </si>
  <si>
    <t>JUNE MCGRATH</t>
  </si>
  <si>
    <t>PA</t>
  </si>
  <si>
    <t>'043867</t>
  </si>
  <si>
    <t>RYAN STOCKER</t>
  </si>
  <si>
    <t>'102178830400</t>
  </si>
  <si>
    <t>MICHAEL HUBERTY</t>
  </si>
  <si>
    <t>'102179150500</t>
  </si>
  <si>
    <t>IGNACIO GARCIA</t>
  </si>
  <si>
    <t>'102179152300</t>
  </si>
  <si>
    <t>CAROLYN WARF</t>
  </si>
  <si>
    <t>'102179360200</t>
  </si>
  <si>
    <t>ANGELA DAVIS</t>
  </si>
  <si>
    <t>7/12 PRORATE</t>
  </si>
  <si>
    <t>'102179372000</t>
  </si>
  <si>
    <t>BRENT OFFENHEISER</t>
  </si>
  <si>
    <t>'047621</t>
  </si>
  <si>
    <t>TOM SERIO</t>
  </si>
  <si>
    <t>'102179379000</t>
  </si>
  <si>
    <t>ANGELICA VARGAS</t>
  </si>
  <si>
    <t>'045709</t>
  </si>
  <si>
    <t>ESTHER HERRERA-LARSEN</t>
  </si>
  <si>
    <t>'102179506900</t>
  </si>
  <si>
    <t>MARK MILLER</t>
  </si>
  <si>
    <t>IN</t>
  </si>
  <si>
    <t>'045603</t>
  </si>
  <si>
    <t>ANDREW CHOI</t>
  </si>
  <si>
    <t>'102179509500</t>
  </si>
  <si>
    <t>SUSAN SOMMER</t>
  </si>
  <si>
    <t>TX</t>
  </si>
  <si>
    <t>'043682</t>
  </si>
  <si>
    <t>GREGORY TEIPEL</t>
  </si>
  <si>
    <t>'102179510800</t>
  </si>
  <si>
    <t>DIANA SAXTON</t>
  </si>
  <si>
    <t>'043679</t>
  </si>
  <si>
    <t>DEBORAH INSKIPT</t>
  </si>
  <si>
    <t>'933331735</t>
  </si>
  <si>
    <t>CRAIG EVANS</t>
  </si>
  <si>
    <t>'043611</t>
  </si>
  <si>
    <t>TIMOTHY POWERS</t>
  </si>
  <si>
    <t>UHC MA Direct 2024 New Full</t>
  </si>
  <si>
    <t>'986658939</t>
  </si>
  <si>
    <t>RAMZI ORAHA</t>
  </si>
  <si>
    <t>UHC MAPD Street payable to upline- 2025 Replace</t>
  </si>
  <si>
    <t>'986658939OV</t>
  </si>
  <si>
    <t>UHC MA Direct 2024 New Initial Prorated</t>
  </si>
  <si>
    <t>CB</t>
  </si>
  <si>
    <t>'00008790290KAPC</t>
  </si>
  <si>
    <t>CONNIE WILLIAMS</t>
  </si>
  <si>
    <t>'045712</t>
  </si>
  <si>
    <t>GREGORY HANSFORD</t>
  </si>
  <si>
    <t>CHARGEBACK</t>
  </si>
  <si>
    <t>'101123136100PC</t>
  </si>
  <si>
    <t>DORINE PRITTS</t>
  </si>
  <si>
    <t>'102141630900PC</t>
  </si>
  <si>
    <t>CYNTHIA FIEDLER</t>
  </si>
  <si>
    <t>OH</t>
  </si>
  <si>
    <t>'045632</t>
  </si>
  <si>
    <t>BARRY SCHUMANN</t>
  </si>
  <si>
    <t>Aetna MAPD NMO to GMO - 4-1-23+  New E-App</t>
  </si>
  <si>
    <t>'102144511800CB</t>
  </si>
  <si>
    <t>SUSAN BUSSE</t>
  </si>
  <si>
    <t>'045611</t>
  </si>
  <si>
    <t>FRANK LISKOVEC</t>
  </si>
  <si>
    <t>'37153729PC</t>
  </si>
  <si>
    <t>PRISCILLA ZENO</t>
  </si>
  <si>
    <t>Cigna MAPD FMO to GA 1-1-19+ - New</t>
  </si>
  <si>
    <t>00008001943K</t>
  </si>
  <si>
    <t>00014552202K</t>
  </si>
  <si>
    <t>00015884195K</t>
  </si>
  <si>
    <t>00023419316K</t>
  </si>
  <si>
    <t>00023442523K</t>
  </si>
  <si>
    <t>00023445656K</t>
  </si>
  <si>
    <t>00023445793KPDP</t>
  </si>
  <si>
    <t>00023446545K</t>
  </si>
  <si>
    <t>00023449614K</t>
  </si>
  <si>
    <t>00023449616K</t>
  </si>
  <si>
    <t>00023450701K</t>
  </si>
  <si>
    <t>00023451990K</t>
  </si>
  <si>
    <t>00023452353K</t>
  </si>
  <si>
    <t>00023452444K</t>
  </si>
  <si>
    <t>00023452819K</t>
  </si>
  <si>
    <t>00023453133K</t>
  </si>
  <si>
    <t>00023455114K</t>
  </si>
  <si>
    <t>986658939OV</t>
  </si>
  <si>
    <t>00008790290KAPC</t>
  </si>
  <si>
    <t>101123136100PC</t>
  </si>
  <si>
    <t>102141630900PC</t>
  </si>
  <si>
    <t>102144511800CB</t>
  </si>
  <si>
    <t>37153729PC</t>
  </si>
  <si>
    <t>Aetna MAPD OVR 2025</t>
  </si>
  <si>
    <t>Cigna MAPD 2025 Ovr</t>
  </si>
  <si>
    <t>Humana MAPD OVR 2025</t>
  </si>
  <si>
    <t>Humana PDP 2025!</t>
  </si>
  <si>
    <t>UHC MAPD Ovr 2025</t>
  </si>
  <si>
    <t>UHC MAPD 2025*</t>
  </si>
  <si>
    <t>[%/$=313][prorate=6/12]</t>
  </si>
  <si>
    <t>Main Line Benefits</t>
  </si>
  <si>
    <t>00008790290KA9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</si>
</sst>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/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7EEF-B533-4036-BFF9-47FF36585194}">
  <dimension ref="A1:AL40"/>
  <sheetViews>
    <sheetView topLeftCell="J10" workbookViewId="0">
      <selection activeCell="AJ36" sqref="AJ36:AJ40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45847</v>
      </c>
      <c r="B2" s="1">
        <v>45847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45839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5598938</v>
      </c>
    </row>
    <row r="3" spans="1:38" x14ac:dyDescent="0.25">
      <c r="A3" s="1">
        <v>45847</v>
      </c>
      <c r="B3" s="1">
        <v>45847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58</v>
      </c>
      <c r="R3" t="s">
        <v>50</v>
      </c>
      <c r="S3" s="1">
        <v>45658</v>
      </c>
      <c r="U3" t="s">
        <v>51</v>
      </c>
      <c r="X3" t="s">
        <v>52</v>
      </c>
      <c r="Y3" s="2">
        <v>0</v>
      </c>
      <c r="Z3" s="2">
        <v>54</v>
      </c>
      <c r="AA3">
        <v>1</v>
      </c>
      <c r="AB3" s="3">
        <v>1</v>
      </c>
      <c r="AC3" s="2">
        <v>54</v>
      </c>
      <c r="AD3" s="3">
        <v>0</v>
      </c>
      <c r="AE3" s="2">
        <v>0</v>
      </c>
      <c r="AF3" s="2">
        <v>54</v>
      </c>
      <c r="AK3">
        <v>0</v>
      </c>
      <c r="AL3" t="s">
        <v>59</v>
      </c>
    </row>
    <row r="4" spans="1:38" x14ac:dyDescent="0.25">
      <c r="A4" s="1">
        <v>45847</v>
      </c>
      <c r="B4" s="1">
        <v>45847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56</v>
      </c>
      <c r="P4" t="s">
        <v>57</v>
      </c>
      <c r="Q4" t="s">
        <v>49</v>
      </c>
      <c r="R4" t="s">
        <v>50</v>
      </c>
      <c r="S4" s="1">
        <v>45839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5598940</v>
      </c>
    </row>
    <row r="5" spans="1:38" x14ac:dyDescent="0.25">
      <c r="A5" s="1">
        <v>45847</v>
      </c>
      <c r="B5" s="1">
        <v>45847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46</v>
      </c>
      <c r="O5" t="s">
        <v>56</v>
      </c>
      <c r="P5" t="s">
        <v>57</v>
      </c>
      <c r="Q5" t="s">
        <v>49</v>
      </c>
      <c r="R5" t="s">
        <v>50</v>
      </c>
      <c r="S5" s="1">
        <v>45839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5598941</v>
      </c>
    </row>
    <row r="6" spans="1:38" x14ac:dyDescent="0.25">
      <c r="A6" s="1">
        <v>45847</v>
      </c>
      <c r="B6" s="1">
        <v>45847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46</v>
      </c>
      <c r="O6" t="s">
        <v>66</v>
      </c>
      <c r="P6" t="s">
        <v>67</v>
      </c>
      <c r="Q6" t="s">
        <v>49</v>
      </c>
      <c r="R6" t="s">
        <v>68</v>
      </c>
      <c r="S6" s="1">
        <v>45839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5598979</v>
      </c>
    </row>
    <row r="7" spans="1:38" x14ac:dyDescent="0.25">
      <c r="A7" s="1">
        <v>45847</v>
      </c>
      <c r="B7" s="1">
        <v>45847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46</v>
      </c>
      <c r="O7" t="s">
        <v>56</v>
      </c>
      <c r="P7" t="s">
        <v>57</v>
      </c>
      <c r="Q7" t="s">
        <v>49</v>
      </c>
      <c r="R7" t="s">
        <v>68</v>
      </c>
      <c r="S7" s="1">
        <v>45839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5599009</v>
      </c>
    </row>
    <row r="8" spans="1:38" x14ac:dyDescent="0.25">
      <c r="A8" s="1">
        <v>45847</v>
      </c>
      <c r="B8" s="1">
        <v>45847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71</v>
      </c>
      <c r="J8" t="s">
        <v>72</v>
      </c>
      <c r="M8" t="s">
        <v>46</v>
      </c>
      <c r="O8" t="s">
        <v>66</v>
      </c>
      <c r="P8" t="s">
        <v>67</v>
      </c>
      <c r="Q8" t="s">
        <v>49</v>
      </c>
      <c r="R8" t="s">
        <v>68</v>
      </c>
      <c r="S8" s="1">
        <v>45839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5599032</v>
      </c>
    </row>
    <row r="9" spans="1:38" x14ac:dyDescent="0.25">
      <c r="A9" s="1">
        <v>45847</v>
      </c>
      <c r="B9" s="1">
        <v>45847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73</v>
      </c>
      <c r="J9" t="s">
        <v>74</v>
      </c>
      <c r="M9" t="s">
        <v>75</v>
      </c>
      <c r="O9" t="s">
        <v>76</v>
      </c>
      <c r="P9" t="s">
        <v>77</v>
      </c>
      <c r="Q9" t="s">
        <v>49</v>
      </c>
      <c r="R9" t="s">
        <v>78</v>
      </c>
      <c r="S9" s="1">
        <v>45839</v>
      </c>
      <c r="U9" t="s">
        <v>51</v>
      </c>
      <c r="X9" t="s">
        <v>52</v>
      </c>
      <c r="Y9" s="2">
        <v>0</v>
      </c>
      <c r="Z9" s="2">
        <v>15</v>
      </c>
      <c r="AA9">
        <v>1</v>
      </c>
      <c r="AB9" s="3">
        <v>1</v>
      </c>
      <c r="AC9" s="2">
        <v>15</v>
      </c>
      <c r="AD9" s="3">
        <v>0</v>
      </c>
      <c r="AE9" s="2">
        <v>0</v>
      </c>
      <c r="AF9" s="2">
        <v>15</v>
      </c>
      <c r="AK9">
        <v>5598930</v>
      </c>
    </row>
    <row r="10" spans="1:38" x14ac:dyDescent="0.25">
      <c r="A10" s="1">
        <v>45847</v>
      </c>
      <c r="B10" s="1">
        <v>45847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80</v>
      </c>
      <c r="M10" t="s">
        <v>46</v>
      </c>
      <c r="O10" t="s">
        <v>56</v>
      </c>
      <c r="P10" t="s">
        <v>57</v>
      </c>
      <c r="Q10" t="s">
        <v>49</v>
      </c>
      <c r="R10" t="s">
        <v>68</v>
      </c>
      <c r="S10" s="1">
        <v>45901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5599041</v>
      </c>
    </row>
    <row r="11" spans="1:38" x14ac:dyDescent="0.25">
      <c r="A11" s="1">
        <v>45847</v>
      </c>
      <c r="B11" s="1">
        <v>45847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81</v>
      </c>
      <c r="J11" t="s">
        <v>82</v>
      </c>
      <c r="M11" t="s">
        <v>83</v>
      </c>
      <c r="O11" t="s">
        <v>84</v>
      </c>
      <c r="P11" t="s">
        <v>85</v>
      </c>
      <c r="Q11" t="s">
        <v>49</v>
      </c>
      <c r="R11" t="s">
        <v>68</v>
      </c>
      <c r="S11" s="1">
        <v>45839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5599060</v>
      </c>
    </row>
    <row r="12" spans="1:38" x14ac:dyDescent="0.25">
      <c r="A12" s="1">
        <v>45847</v>
      </c>
      <c r="B12" s="1">
        <v>45847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86</v>
      </c>
      <c r="J12" t="s">
        <v>87</v>
      </c>
      <c r="M12" t="s">
        <v>46</v>
      </c>
      <c r="O12" t="s">
        <v>88</v>
      </c>
      <c r="P12" t="s">
        <v>89</v>
      </c>
      <c r="Q12" t="s">
        <v>49</v>
      </c>
      <c r="R12" t="s">
        <v>68</v>
      </c>
      <c r="S12" s="1">
        <v>45839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5599061</v>
      </c>
    </row>
    <row r="13" spans="1:38" x14ac:dyDescent="0.25">
      <c r="A13" s="1">
        <v>45847</v>
      </c>
      <c r="B13" s="1">
        <v>45847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83</v>
      </c>
      <c r="O13" t="s">
        <v>92</v>
      </c>
      <c r="P13" t="s">
        <v>93</v>
      </c>
      <c r="Q13" t="s">
        <v>49</v>
      </c>
      <c r="R13" t="s">
        <v>68</v>
      </c>
      <c r="S13" s="1">
        <v>45839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5599068</v>
      </c>
    </row>
    <row r="14" spans="1:38" x14ac:dyDescent="0.25">
      <c r="A14" s="1">
        <v>45847</v>
      </c>
      <c r="B14" s="1">
        <v>45847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94</v>
      </c>
      <c r="J14" t="s">
        <v>95</v>
      </c>
      <c r="M14" t="s">
        <v>46</v>
      </c>
      <c r="O14" t="s">
        <v>96</v>
      </c>
      <c r="P14" t="s">
        <v>97</v>
      </c>
      <c r="Q14" t="s">
        <v>49</v>
      </c>
      <c r="R14" t="s">
        <v>68</v>
      </c>
      <c r="S14" s="1">
        <v>45839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5599076</v>
      </c>
    </row>
    <row r="15" spans="1:38" x14ac:dyDescent="0.25">
      <c r="A15" s="1">
        <v>45847</v>
      </c>
      <c r="B15" s="1">
        <v>45847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75</v>
      </c>
      <c r="O15" t="s">
        <v>100</v>
      </c>
      <c r="P15" t="s">
        <v>101</v>
      </c>
      <c r="Q15" t="s">
        <v>49</v>
      </c>
      <c r="R15" t="s">
        <v>68</v>
      </c>
      <c r="S15" s="1">
        <v>45839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5599078</v>
      </c>
    </row>
    <row r="16" spans="1:38" x14ac:dyDescent="0.25">
      <c r="A16" s="1">
        <v>45847</v>
      </c>
      <c r="B16" s="1">
        <v>45847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M16" t="s">
        <v>75</v>
      </c>
      <c r="O16" t="s">
        <v>100</v>
      </c>
      <c r="P16" t="s">
        <v>101</v>
      </c>
      <c r="Q16" t="s">
        <v>49</v>
      </c>
      <c r="R16" t="s">
        <v>68</v>
      </c>
      <c r="S16" s="1">
        <v>45839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5599079</v>
      </c>
    </row>
    <row r="17" spans="1:38" x14ac:dyDescent="0.25">
      <c r="A17" s="1">
        <v>45847</v>
      </c>
      <c r="B17" s="1">
        <v>45847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104</v>
      </c>
      <c r="J17" t="s">
        <v>105</v>
      </c>
      <c r="M17" t="s">
        <v>75</v>
      </c>
      <c r="O17" t="s">
        <v>106</v>
      </c>
      <c r="P17" t="s">
        <v>107</v>
      </c>
      <c r="Q17" t="s">
        <v>49</v>
      </c>
      <c r="R17" t="s">
        <v>68</v>
      </c>
      <c r="S17" s="1">
        <v>45870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5599082</v>
      </c>
    </row>
    <row r="18" spans="1:38" x14ac:dyDescent="0.25">
      <c r="A18" s="1">
        <v>45847</v>
      </c>
      <c r="B18" s="1">
        <v>45847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108</v>
      </c>
      <c r="J18" t="s">
        <v>109</v>
      </c>
      <c r="M18" t="s">
        <v>46</v>
      </c>
      <c r="O18" t="s">
        <v>96</v>
      </c>
      <c r="P18" t="s">
        <v>97</v>
      </c>
      <c r="Q18" t="s">
        <v>49</v>
      </c>
      <c r="R18" t="s">
        <v>68</v>
      </c>
      <c r="S18" s="1">
        <v>45839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5599087</v>
      </c>
    </row>
    <row r="19" spans="1:38" x14ac:dyDescent="0.25">
      <c r="A19" s="1">
        <v>45847</v>
      </c>
      <c r="B19" s="1">
        <v>45847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110</v>
      </c>
      <c r="J19" t="s">
        <v>111</v>
      </c>
      <c r="M19" t="s">
        <v>46</v>
      </c>
      <c r="O19" t="s">
        <v>47</v>
      </c>
      <c r="P19" t="s">
        <v>48</v>
      </c>
      <c r="Q19" t="s">
        <v>49</v>
      </c>
      <c r="R19" t="s">
        <v>68</v>
      </c>
      <c r="S19" s="1">
        <v>45839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5599094</v>
      </c>
    </row>
    <row r="20" spans="1:38" x14ac:dyDescent="0.25">
      <c r="A20" s="1">
        <v>45847</v>
      </c>
      <c r="B20" s="1">
        <v>45847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112</v>
      </c>
      <c r="J20" t="s">
        <v>113</v>
      </c>
      <c r="M20" t="s">
        <v>46</v>
      </c>
      <c r="O20" t="s">
        <v>114</v>
      </c>
      <c r="P20" t="s">
        <v>115</v>
      </c>
      <c r="Q20" t="s">
        <v>49</v>
      </c>
      <c r="R20" t="s">
        <v>116</v>
      </c>
      <c r="S20" s="1">
        <v>45839</v>
      </c>
      <c r="U20" t="s">
        <v>51</v>
      </c>
      <c r="X20" t="s">
        <v>52</v>
      </c>
      <c r="Y20" s="2">
        <v>0</v>
      </c>
      <c r="Z20" s="2">
        <v>25</v>
      </c>
      <c r="AA20">
        <v>1</v>
      </c>
      <c r="AB20" s="3">
        <v>1</v>
      </c>
      <c r="AC20" s="2">
        <v>25</v>
      </c>
      <c r="AD20" s="3">
        <v>0</v>
      </c>
      <c r="AE20" s="2">
        <v>0</v>
      </c>
      <c r="AF20" s="2">
        <v>25</v>
      </c>
      <c r="AK20">
        <v>5598857</v>
      </c>
      <c r="AL20" t="s">
        <v>117</v>
      </c>
    </row>
    <row r="21" spans="1:38" x14ac:dyDescent="0.25">
      <c r="A21" s="1">
        <v>45847</v>
      </c>
      <c r="B21" s="1">
        <v>45847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118</v>
      </c>
      <c r="J21" t="s">
        <v>119</v>
      </c>
      <c r="M21" t="s">
        <v>46</v>
      </c>
      <c r="O21" t="s">
        <v>120</v>
      </c>
      <c r="P21" t="s">
        <v>121</v>
      </c>
      <c r="Q21" t="s">
        <v>49</v>
      </c>
      <c r="R21" t="s">
        <v>116</v>
      </c>
      <c r="S21" s="1">
        <v>45839</v>
      </c>
      <c r="U21" t="s">
        <v>51</v>
      </c>
      <c r="X21" t="s">
        <v>52</v>
      </c>
      <c r="Y21" s="2">
        <v>0</v>
      </c>
      <c r="Z21" s="2">
        <v>25</v>
      </c>
      <c r="AA21">
        <v>1</v>
      </c>
      <c r="AB21" s="3">
        <v>1</v>
      </c>
      <c r="AC21" s="2">
        <v>25</v>
      </c>
      <c r="AD21" s="3">
        <v>0</v>
      </c>
      <c r="AE21" s="2">
        <v>0</v>
      </c>
      <c r="AF21" s="2">
        <v>25</v>
      </c>
      <c r="AK21">
        <v>5598863</v>
      </c>
      <c r="AL21" t="s">
        <v>117</v>
      </c>
    </row>
    <row r="22" spans="1:38" x14ac:dyDescent="0.25">
      <c r="A22" s="1">
        <v>45847</v>
      </c>
      <c r="B22" s="1">
        <v>45847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122</v>
      </c>
      <c r="J22" t="s">
        <v>123</v>
      </c>
      <c r="M22" t="s">
        <v>83</v>
      </c>
      <c r="O22" t="s">
        <v>124</v>
      </c>
      <c r="P22" t="s">
        <v>125</v>
      </c>
      <c r="Q22" t="s">
        <v>49</v>
      </c>
      <c r="R22" t="s">
        <v>126</v>
      </c>
      <c r="S22" s="1">
        <v>45901</v>
      </c>
      <c r="U22" t="s">
        <v>51</v>
      </c>
      <c r="X22" t="s">
        <v>52</v>
      </c>
      <c r="Y22" s="2">
        <v>0</v>
      </c>
      <c r="Z22" s="2">
        <v>13.33</v>
      </c>
      <c r="AA22">
        <v>1</v>
      </c>
      <c r="AB22" s="3">
        <v>1</v>
      </c>
      <c r="AC22" s="2">
        <v>13.33</v>
      </c>
      <c r="AD22" s="3">
        <v>0</v>
      </c>
      <c r="AE22" s="2">
        <v>0</v>
      </c>
      <c r="AF22" s="2">
        <v>13.33</v>
      </c>
      <c r="AK22">
        <v>5598868</v>
      </c>
      <c r="AL22" t="s">
        <v>127</v>
      </c>
    </row>
    <row r="23" spans="1:38" x14ac:dyDescent="0.25">
      <c r="A23" s="1">
        <v>45847</v>
      </c>
      <c r="B23" s="1">
        <v>45847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128</v>
      </c>
      <c r="J23" t="s">
        <v>129</v>
      </c>
      <c r="M23" t="s">
        <v>130</v>
      </c>
      <c r="O23" t="s">
        <v>131</v>
      </c>
      <c r="P23" t="s">
        <v>132</v>
      </c>
      <c r="Q23" t="s">
        <v>49</v>
      </c>
      <c r="R23" t="s">
        <v>116</v>
      </c>
      <c r="S23" s="1">
        <v>45839</v>
      </c>
      <c r="U23" t="s">
        <v>51</v>
      </c>
      <c r="X23" t="s">
        <v>52</v>
      </c>
      <c r="Y23" s="2">
        <v>0</v>
      </c>
      <c r="Z23" s="2">
        <v>25</v>
      </c>
      <c r="AA23">
        <v>1</v>
      </c>
      <c r="AB23" s="3">
        <v>1</v>
      </c>
      <c r="AC23" s="2">
        <v>25</v>
      </c>
      <c r="AD23" s="3">
        <v>0</v>
      </c>
      <c r="AE23" s="2">
        <v>0</v>
      </c>
      <c r="AF23" s="2">
        <v>25</v>
      </c>
      <c r="AK23">
        <v>5598882</v>
      </c>
      <c r="AL23" t="s">
        <v>117</v>
      </c>
    </row>
    <row r="24" spans="1:38" x14ac:dyDescent="0.25">
      <c r="A24" s="1">
        <v>45847</v>
      </c>
      <c r="B24" s="1">
        <v>45847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133</v>
      </c>
      <c r="J24" t="s">
        <v>134</v>
      </c>
      <c r="M24" t="s">
        <v>46</v>
      </c>
      <c r="O24" t="s">
        <v>120</v>
      </c>
      <c r="P24" t="s">
        <v>121</v>
      </c>
      <c r="Q24" t="s">
        <v>49</v>
      </c>
      <c r="R24" t="s">
        <v>116</v>
      </c>
      <c r="S24" s="1">
        <v>45839</v>
      </c>
      <c r="U24" t="s">
        <v>51</v>
      </c>
      <c r="X24" t="s">
        <v>52</v>
      </c>
      <c r="Y24" s="2">
        <v>0</v>
      </c>
      <c r="Z24" s="2">
        <v>25</v>
      </c>
      <c r="AA24">
        <v>1</v>
      </c>
      <c r="AB24" s="3">
        <v>1</v>
      </c>
      <c r="AC24" s="2">
        <v>25</v>
      </c>
      <c r="AD24" s="3">
        <v>0</v>
      </c>
      <c r="AE24" s="2">
        <v>0</v>
      </c>
      <c r="AF24" s="2">
        <v>25</v>
      </c>
      <c r="AK24">
        <v>5598889</v>
      </c>
      <c r="AL24" t="s">
        <v>117</v>
      </c>
    </row>
    <row r="25" spans="1:38" x14ac:dyDescent="0.25">
      <c r="A25" s="1">
        <v>45847</v>
      </c>
      <c r="B25" s="1">
        <v>45847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135</v>
      </c>
      <c r="J25" t="s">
        <v>136</v>
      </c>
      <c r="M25" t="s">
        <v>46</v>
      </c>
      <c r="O25" t="s">
        <v>88</v>
      </c>
      <c r="P25" t="s">
        <v>89</v>
      </c>
      <c r="Q25" t="s">
        <v>49</v>
      </c>
      <c r="R25" t="s">
        <v>126</v>
      </c>
      <c r="S25" s="1">
        <v>45839</v>
      </c>
      <c r="U25" t="s">
        <v>51</v>
      </c>
      <c r="X25" t="s">
        <v>52</v>
      </c>
      <c r="Y25" s="2">
        <v>0</v>
      </c>
      <c r="Z25" s="2">
        <v>20</v>
      </c>
      <c r="AA25">
        <v>1</v>
      </c>
      <c r="AB25" s="3">
        <v>1</v>
      </c>
      <c r="AC25" s="2">
        <v>20</v>
      </c>
      <c r="AD25" s="3">
        <v>0</v>
      </c>
      <c r="AE25" s="2">
        <v>0</v>
      </c>
      <c r="AF25" s="2">
        <v>20</v>
      </c>
      <c r="AK25">
        <v>5598902</v>
      </c>
      <c r="AL25" t="s">
        <v>117</v>
      </c>
    </row>
    <row r="26" spans="1:38" x14ac:dyDescent="0.25">
      <c r="A26" s="1">
        <v>45847</v>
      </c>
      <c r="B26" s="1">
        <v>45847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137</v>
      </c>
      <c r="J26" t="s">
        <v>138</v>
      </c>
      <c r="M26" t="s">
        <v>46</v>
      </c>
      <c r="O26" t="s">
        <v>96</v>
      </c>
      <c r="P26" t="s">
        <v>97</v>
      </c>
      <c r="Q26" t="s">
        <v>49</v>
      </c>
      <c r="R26" t="s">
        <v>116</v>
      </c>
      <c r="S26" s="1">
        <v>45839</v>
      </c>
      <c r="U26" t="s">
        <v>51</v>
      </c>
      <c r="X26" t="s">
        <v>52</v>
      </c>
      <c r="Y26" s="2">
        <v>0</v>
      </c>
      <c r="Z26" s="2">
        <v>25</v>
      </c>
      <c r="AA26">
        <v>1</v>
      </c>
      <c r="AB26" s="3">
        <v>1</v>
      </c>
      <c r="AC26" s="2">
        <v>25</v>
      </c>
      <c r="AD26" s="3">
        <v>0</v>
      </c>
      <c r="AE26" s="2">
        <v>0</v>
      </c>
      <c r="AF26" s="2">
        <v>25</v>
      </c>
      <c r="AK26">
        <v>5598903</v>
      </c>
      <c r="AL26" t="s">
        <v>117</v>
      </c>
    </row>
    <row r="27" spans="1:38" x14ac:dyDescent="0.25">
      <c r="A27" s="1">
        <v>45847</v>
      </c>
      <c r="B27" s="1">
        <v>45847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139</v>
      </c>
      <c r="J27" t="s">
        <v>140</v>
      </c>
      <c r="M27" t="s">
        <v>46</v>
      </c>
      <c r="O27" t="s">
        <v>124</v>
      </c>
      <c r="P27" t="s">
        <v>125</v>
      </c>
      <c r="Q27" t="s">
        <v>49</v>
      </c>
      <c r="R27" t="s">
        <v>126</v>
      </c>
      <c r="S27" s="1">
        <v>45809</v>
      </c>
      <c r="U27" t="s">
        <v>51</v>
      </c>
      <c r="X27" t="s">
        <v>52</v>
      </c>
      <c r="Y27" s="2">
        <v>0</v>
      </c>
      <c r="Z27" s="2">
        <v>23.33</v>
      </c>
      <c r="AA27">
        <v>1</v>
      </c>
      <c r="AB27" s="3">
        <v>1</v>
      </c>
      <c r="AC27" s="2">
        <v>23.33</v>
      </c>
      <c r="AD27" s="3">
        <v>0</v>
      </c>
      <c r="AE27" s="2">
        <v>0</v>
      </c>
      <c r="AF27" s="2">
        <v>23.33</v>
      </c>
      <c r="AK27">
        <v>5598906</v>
      </c>
      <c r="AL27" t="s">
        <v>141</v>
      </c>
    </row>
    <row r="28" spans="1:38" x14ac:dyDescent="0.25">
      <c r="A28" s="1">
        <v>45847</v>
      </c>
      <c r="B28" s="1">
        <v>45847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142</v>
      </c>
      <c r="J28" t="s">
        <v>143</v>
      </c>
      <c r="M28" t="s">
        <v>46</v>
      </c>
      <c r="O28" t="s">
        <v>144</v>
      </c>
      <c r="P28" t="s">
        <v>145</v>
      </c>
      <c r="Q28" t="s">
        <v>49</v>
      </c>
      <c r="R28" t="s">
        <v>116</v>
      </c>
      <c r="S28" s="1">
        <v>45839</v>
      </c>
      <c r="U28" t="s">
        <v>51</v>
      </c>
      <c r="X28" t="s">
        <v>52</v>
      </c>
      <c r="Y28" s="2">
        <v>0</v>
      </c>
      <c r="Z28" s="2">
        <v>25</v>
      </c>
      <c r="AA28">
        <v>1</v>
      </c>
      <c r="AB28" s="3">
        <v>1</v>
      </c>
      <c r="AC28" s="2">
        <v>25</v>
      </c>
      <c r="AD28" s="3">
        <v>0</v>
      </c>
      <c r="AE28" s="2">
        <v>0</v>
      </c>
      <c r="AF28" s="2">
        <v>25</v>
      </c>
      <c r="AK28">
        <v>5598907</v>
      </c>
      <c r="AL28" t="s">
        <v>117</v>
      </c>
    </row>
    <row r="29" spans="1:38" x14ac:dyDescent="0.25">
      <c r="A29" s="1">
        <v>45847</v>
      </c>
      <c r="B29" s="1">
        <v>45847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146</v>
      </c>
      <c r="J29" t="s">
        <v>147</v>
      </c>
      <c r="M29" t="s">
        <v>46</v>
      </c>
      <c r="O29" t="s">
        <v>148</v>
      </c>
      <c r="P29" t="s">
        <v>149</v>
      </c>
      <c r="Q29" t="s">
        <v>49</v>
      </c>
      <c r="R29" t="s">
        <v>116</v>
      </c>
      <c r="S29" s="1">
        <v>45839</v>
      </c>
      <c r="U29" t="s">
        <v>51</v>
      </c>
      <c r="X29" t="s">
        <v>52</v>
      </c>
      <c r="Y29" s="2">
        <v>0</v>
      </c>
      <c r="Z29" s="2">
        <v>25</v>
      </c>
      <c r="AA29">
        <v>1</v>
      </c>
      <c r="AB29" s="3">
        <v>1</v>
      </c>
      <c r="AC29" s="2">
        <v>25</v>
      </c>
      <c r="AD29" s="3">
        <v>0</v>
      </c>
      <c r="AE29" s="2">
        <v>0</v>
      </c>
      <c r="AF29" s="2">
        <v>25</v>
      </c>
      <c r="AK29">
        <v>5598908</v>
      </c>
      <c r="AL29" t="s">
        <v>117</v>
      </c>
    </row>
    <row r="30" spans="1:38" x14ac:dyDescent="0.25">
      <c r="A30" s="1">
        <v>45847</v>
      </c>
      <c r="B30" s="1">
        <v>45847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150</v>
      </c>
      <c r="J30" t="s">
        <v>151</v>
      </c>
      <c r="M30" t="s">
        <v>152</v>
      </c>
      <c r="O30" t="s">
        <v>153</v>
      </c>
      <c r="P30" t="s">
        <v>154</v>
      </c>
      <c r="Q30" t="s">
        <v>49</v>
      </c>
      <c r="R30" t="s">
        <v>116</v>
      </c>
      <c r="S30" s="1">
        <v>45839</v>
      </c>
      <c r="U30" t="s">
        <v>51</v>
      </c>
      <c r="X30" t="s">
        <v>52</v>
      </c>
      <c r="Y30" s="2">
        <v>0</v>
      </c>
      <c r="Z30" s="2">
        <v>25</v>
      </c>
      <c r="AA30">
        <v>1</v>
      </c>
      <c r="AB30" s="3">
        <v>1</v>
      </c>
      <c r="AC30" s="2">
        <v>25</v>
      </c>
      <c r="AD30" s="3">
        <v>0</v>
      </c>
      <c r="AE30" s="2">
        <v>0</v>
      </c>
      <c r="AF30" s="2">
        <v>25</v>
      </c>
      <c r="AK30">
        <v>5598913</v>
      </c>
      <c r="AL30" t="s">
        <v>117</v>
      </c>
    </row>
    <row r="31" spans="1:38" x14ac:dyDescent="0.25">
      <c r="A31" s="1">
        <v>45847</v>
      </c>
      <c r="B31" s="1">
        <v>45847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155</v>
      </c>
      <c r="J31" t="s">
        <v>156</v>
      </c>
      <c r="M31" t="s">
        <v>157</v>
      </c>
      <c r="O31" t="s">
        <v>158</v>
      </c>
      <c r="P31" t="s">
        <v>159</v>
      </c>
      <c r="Q31" t="s">
        <v>49</v>
      </c>
      <c r="R31" t="s">
        <v>116</v>
      </c>
      <c r="S31" s="1">
        <v>45839</v>
      </c>
      <c r="U31" t="s">
        <v>51</v>
      </c>
      <c r="X31" t="s">
        <v>52</v>
      </c>
      <c r="Y31" s="2">
        <v>0</v>
      </c>
      <c r="Z31" s="2">
        <v>25</v>
      </c>
      <c r="AA31">
        <v>1</v>
      </c>
      <c r="AB31" s="3">
        <v>1</v>
      </c>
      <c r="AC31" s="2">
        <v>25</v>
      </c>
      <c r="AD31" s="3">
        <v>0</v>
      </c>
      <c r="AE31" s="2">
        <v>0</v>
      </c>
      <c r="AF31" s="2">
        <v>25</v>
      </c>
      <c r="AK31">
        <v>5598915</v>
      </c>
      <c r="AL31" t="s">
        <v>117</v>
      </c>
    </row>
    <row r="32" spans="1:38" x14ac:dyDescent="0.25">
      <c r="A32" s="1">
        <v>45847</v>
      </c>
      <c r="B32" s="1">
        <v>45847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160</v>
      </c>
      <c r="J32" t="s">
        <v>161</v>
      </c>
      <c r="M32" t="s">
        <v>130</v>
      </c>
      <c r="O32" t="s">
        <v>162</v>
      </c>
      <c r="P32" t="s">
        <v>163</v>
      </c>
      <c r="Q32" t="s">
        <v>49</v>
      </c>
      <c r="R32" t="s">
        <v>116</v>
      </c>
      <c r="S32" s="1">
        <v>45839</v>
      </c>
      <c r="U32" t="s">
        <v>51</v>
      </c>
      <c r="X32" t="s">
        <v>52</v>
      </c>
      <c r="Y32" s="2">
        <v>0</v>
      </c>
      <c r="Z32" s="2">
        <v>25</v>
      </c>
      <c r="AA32">
        <v>1</v>
      </c>
      <c r="AB32" s="3">
        <v>1</v>
      </c>
      <c r="AC32" s="2">
        <v>25</v>
      </c>
      <c r="AD32" s="3">
        <v>0</v>
      </c>
      <c r="AE32" s="2">
        <v>0</v>
      </c>
      <c r="AF32" s="2">
        <v>25</v>
      </c>
      <c r="AK32">
        <v>5598916</v>
      </c>
      <c r="AL32" t="s">
        <v>117</v>
      </c>
    </row>
    <row r="33" spans="1:38" x14ac:dyDescent="0.25">
      <c r="A33" s="1">
        <v>45847</v>
      </c>
      <c r="B33" s="1">
        <v>45847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164</v>
      </c>
      <c r="J33" t="s">
        <v>165</v>
      </c>
      <c r="M33" t="s">
        <v>130</v>
      </c>
      <c r="O33" t="s">
        <v>166</v>
      </c>
      <c r="P33" t="s">
        <v>167</v>
      </c>
      <c r="Q33" t="s">
        <v>49</v>
      </c>
      <c r="R33" t="s">
        <v>168</v>
      </c>
      <c r="S33" s="1">
        <v>45839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5599169</v>
      </c>
    </row>
    <row r="34" spans="1:38" x14ac:dyDescent="0.25">
      <c r="A34" s="1">
        <v>45847</v>
      </c>
      <c r="B34" s="1">
        <v>45847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169</v>
      </c>
      <c r="J34" t="s">
        <v>170</v>
      </c>
      <c r="M34" t="s">
        <v>46</v>
      </c>
      <c r="O34" t="s">
        <v>88</v>
      </c>
      <c r="P34" t="s">
        <v>89</v>
      </c>
      <c r="Q34" t="s">
        <v>49</v>
      </c>
      <c r="R34" t="s">
        <v>171</v>
      </c>
      <c r="S34" s="1">
        <v>45839</v>
      </c>
      <c r="U34" t="s">
        <v>51</v>
      </c>
      <c r="X34" t="s">
        <v>52</v>
      </c>
      <c r="Y34" s="2">
        <v>0</v>
      </c>
      <c r="Z34" s="2">
        <v>156.5</v>
      </c>
      <c r="AA34">
        <v>1</v>
      </c>
      <c r="AB34" s="3">
        <v>1</v>
      </c>
      <c r="AC34" s="2">
        <v>156.5</v>
      </c>
      <c r="AD34" s="3">
        <v>0</v>
      </c>
      <c r="AE34" s="2">
        <v>0</v>
      </c>
      <c r="AF34" s="2">
        <v>156.5</v>
      </c>
      <c r="AK34">
        <v>5599174</v>
      </c>
      <c r="AL34" t="s">
        <v>117</v>
      </c>
    </row>
    <row r="35" spans="1:38" x14ac:dyDescent="0.25">
      <c r="A35" s="1">
        <v>45847</v>
      </c>
      <c r="B35" s="1">
        <v>45847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172</v>
      </c>
      <c r="J35" t="s">
        <v>170</v>
      </c>
      <c r="M35" t="s">
        <v>46</v>
      </c>
      <c r="O35" t="s">
        <v>88</v>
      </c>
      <c r="P35" t="s">
        <v>89</v>
      </c>
      <c r="Q35" t="s">
        <v>49</v>
      </c>
      <c r="R35" t="s">
        <v>173</v>
      </c>
      <c r="S35" s="1">
        <v>45839</v>
      </c>
      <c r="U35" t="s">
        <v>51</v>
      </c>
      <c r="X35" t="s">
        <v>52</v>
      </c>
      <c r="Y35" s="2">
        <v>0</v>
      </c>
      <c r="Z35" s="2">
        <v>36</v>
      </c>
      <c r="AA35">
        <v>1</v>
      </c>
      <c r="AB35" s="3">
        <v>1</v>
      </c>
      <c r="AC35" s="2">
        <v>36</v>
      </c>
      <c r="AD35" s="3">
        <v>0</v>
      </c>
      <c r="AE35" s="2">
        <v>0</v>
      </c>
      <c r="AF35" s="2">
        <v>36</v>
      </c>
      <c r="AK35">
        <v>5599175</v>
      </c>
      <c r="AL35" t="s">
        <v>117</v>
      </c>
    </row>
    <row r="36" spans="1:38" x14ac:dyDescent="0.25">
      <c r="A36" s="1">
        <v>45847</v>
      </c>
      <c r="B36" s="1">
        <v>45847</v>
      </c>
      <c r="C36" t="s">
        <v>174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175</v>
      </c>
      <c r="J36" t="s">
        <v>176</v>
      </c>
      <c r="M36" t="s">
        <v>55</v>
      </c>
      <c r="O36" t="s">
        <v>177</v>
      </c>
      <c r="P36" t="s">
        <v>178</v>
      </c>
      <c r="Q36" t="s">
        <v>179</v>
      </c>
      <c r="R36" t="s">
        <v>50</v>
      </c>
      <c r="S36" s="1">
        <v>45717</v>
      </c>
      <c r="U36" t="s">
        <v>51</v>
      </c>
      <c r="X36" t="s">
        <v>52</v>
      </c>
      <c r="AF36" s="2">
        <v>108</v>
      </c>
      <c r="AG36" s="2">
        <v>0</v>
      </c>
      <c r="AJ36" s="2">
        <v>72.36</v>
      </c>
    </row>
    <row r="37" spans="1:38" x14ac:dyDescent="0.25">
      <c r="A37" s="1">
        <v>45847</v>
      </c>
      <c r="B37" s="1">
        <v>45847</v>
      </c>
      <c r="C37" t="s">
        <v>174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180</v>
      </c>
      <c r="J37" t="s">
        <v>181</v>
      </c>
      <c r="M37" t="s">
        <v>130</v>
      </c>
      <c r="O37" t="s">
        <v>166</v>
      </c>
      <c r="P37" t="s">
        <v>167</v>
      </c>
      <c r="Q37" t="s">
        <v>179</v>
      </c>
      <c r="R37" t="s">
        <v>116</v>
      </c>
      <c r="S37" s="1">
        <v>45748</v>
      </c>
      <c r="U37" t="s">
        <v>51</v>
      </c>
      <c r="X37" t="s">
        <v>52</v>
      </c>
      <c r="AF37" s="2">
        <v>37.5</v>
      </c>
      <c r="AG37" s="2">
        <v>0</v>
      </c>
      <c r="AJ37" s="2">
        <v>25</v>
      </c>
    </row>
    <row r="38" spans="1:38" x14ac:dyDescent="0.25">
      <c r="A38" s="1">
        <v>45847</v>
      </c>
      <c r="B38" s="1">
        <v>45847</v>
      </c>
      <c r="C38" t="s">
        <v>174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182</v>
      </c>
      <c r="J38" t="s">
        <v>183</v>
      </c>
      <c r="M38" t="s">
        <v>184</v>
      </c>
      <c r="O38" t="s">
        <v>185</v>
      </c>
      <c r="P38" t="s">
        <v>186</v>
      </c>
      <c r="Q38" t="s">
        <v>179</v>
      </c>
      <c r="R38" t="s">
        <v>187</v>
      </c>
      <c r="S38" s="1">
        <v>45689</v>
      </c>
      <c r="U38" t="s">
        <v>51</v>
      </c>
      <c r="X38" t="s">
        <v>52</v>
      </c>
      <c r="AF38" s="2">
        <v>50</v>
      </c>
      <c r="AG38" s="2">
        <v>0</v>
      </c>
      <c r="AJ38" s="2">
        <v>29.17</v>
      </c>
    </row>
    <row r="39" spans="1:38" x14ac:dyDescent="0.25">
      <c r="A39" s="1">
        <v>45847</v>
      </c>
      <c r="B39" s="1">
        <v>45847</v>
      </c>
      <c r="C39" t="s">
        <v>174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188</v>
      </c>
      <c r="J39" t="s">
        <v>189</v>
      </c>
      <c r="M39" t="s">
        <v>46</v>
      </c>
      <c r="O39" t="s">
        <v>190</v>
      </c>
      <c r="P39" t="s">
        <v>191</v>
      </c>
      <c r="Q39" t="s">
        <v>179</v>
      </c>
      <c r="R39" t="s">
        <v>187</v>
      </c>
      <c r="S39" s="1">
        <v>45748</v>
      </c>
      <c r="U39" t="s">
        <v>51</v>
      </c>
      <c r="X39" t="s">
        <v>52</v>
      </c>
      <c r="AF39" s="2">
        <v>50</v>
      </c>
      <c r="AG39" s="2">
        <v>0</v>
      </c>
      <c r="AJ39" s="2">
        <v>50</v>
      </c>
    </row>
    <row r="40" spans="1:38" x14ac:dyDescent="0.25">
      <c r="A40" s="1">
        <v>45847</v>
      </c>
      <c r="B40" s="1">
        <v>45847</v>
      </c>
      <c r="C40" t="s">
        <v>174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192</v>
      </c>
      <c r="J40" t="s">
        <v>193</v>
      </c>
      <c r="M40" t="s">
        <v>157</v>
      </c>
      <c r="O40" t="s">
        <v>106</v>
      </c>
      <c r="P40" t="s">
        <v>107</v>
      </c>
      <c r="Q40" t="s">
        <v>179</v>
      </c>
      <c r="R40" t="s">
        <v>194</v>
      </c>
      <c r="S40" s="1">
        <v>45658</v>
      </c>
      <c r="U40" t="s">
        <v>51</v>
      </c>
      <c r="X40" t="s">
        <v>52</v>
      </c>
      <c r="AF40" s="2">
        <v>100</v>
      </c>
      <c r="AG40" s="2">
        <v>0</v>
      </c>
      <c r="AJ40" s="2">
        <v>83.33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128E-816C-446F-A541-8CE086FD9DF0}">
  <dimension ref="A1:AN39"/>
  <sheetViews>
    <sheetView tabSelected="1" workbookViewId="0">
      <selection activeCell="S2" sqref="S2:S39"/>
    </sheetView>
  </sheetViews>
  <sheetFormatPr defaultRowHeight="15" x14ac:dyDescent="0.25"/>
  <cols>
    <col min="1" max="1" width="16.85546875" bestFit="1" customWidth="1"/>
    <col min="2" max="2" width="16.85546875" customWidth="1"/>
    <col min="6" max="6" width="23.7109375" bestFit="1" customWidth="1"/>
    <col min="7" max="7" width="12.85546875" bestFit="1" customWidth="1"/>
    <col min="8" max="8" width="47.140625" bestFit="1" customWidth="1"/>
    <col min="10" max="10" width="9.7109375" bestFit="1" customWidth="1"/>
    <col min="17" max="17" width="15.28515625" customWidth="1"/>
    <col min="18" max="18" width="23.28515625" bestFit="1" customWidth="1"/>
  </cols>
  <sheetData>
    <row r="1" spans="1:40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37</v>
      </c>
    </row>
    <row r="2" spans="1:40" x14ac:dyDescent="0.25">
      <c r="A2" s="4" t="s">
        <v>215</v>
      </c>
      <c r="B2" s="4">
        <v>1021416309009</v>
      </c>
      <c r="C2" t="s">
        <v>183</v>
      </c>
      <c r="D2" t="s">
        <v>184</v>
      </c>
      <c r="E2">
        <v>20411454</v>
      </c>
      <c r="F2" t="s">
        <v>225</v>
      </c>
      <c r="G2" t="s">
        <v>179</v>
      </c>
      <c r="H2" t="s">
        <v>187</v>
      </c>
      <c r="I2" s="1">
        <v>45689</v>
      </c>
      <c r="J2" s="1">
        <v>45839</v>
      </c>
      <c r="N2" s="5">
        <v>-29.17</v>
      </c>
      <c r="R2" t="s">
        <v>218</v>
      </c>
    </row>
    <row r="3" spans="1:40" s="7" customFormat="1" x14ac:dyDescent="0.25">
      <c r="A3" s="4" t="s">
        <v>216</v>
      </c>
      <c r="B3" s="4">
        <v>1021445118009</v>
      </c>
      <c r="C3" t="s">
        <v>189</v>
      </c>
      <c r="D3" t="s">
        <v>46</v>
      </c>
      <c r="E3">
        <v>20411454</v>
      </c>
      <c r="F3" t="s">
        <v>225</v>
      </c>
      <c r="G3" t="s">
        <v>179</v>
      </c>
      <c r="H3" t="s">
        <v>187</v>
      </c>
      <c r="I3" s="1">
        <v>45748</v>
      </c>
      <c r="J3" s="1">
        <v>45839</v>
      </c>
      <c r="K3"/>
      <c r="L3"/>
      <c r="M3"/>
      <c r="N3" s="5">
        <v>-50</v>
      </c>
      <c r="O3"/>
      <c r="P3"/>
      <c r="Q3"/>
      <c r="R3" t="s">
        <v>218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x14ac:dyDescent="0.25">
      <c r="A4" s="4">
        <v>101856887200</v>
      </c>
      <c r="B4" s="4" t="str">
        <f>CONCATENATE(A4,0)</f>
        <v>1018568872000</v>
      </c>
      <c r="C4" t="s">
        <v>113</v>
      </c>
      <c r="D4" t="s">
        <v>46</v>
      </c>
      <c r="E4">
        <v>20411454</v>
      </c>
      <c r="F4" t="s">
        <v>225</v>
      </c>
      <c r="G4" t="s">
        <v>49</v>
      </c>
      <c r="H4" t="s">
        <v>116</v>
      </c>
      <c r="I4" s="1">
        <v>45839</v>
      </c>
      <c r="J4" s="1">
        <v>45870</v>
      </c>
      <c r="K4" s="2">
        <v>25</v>
      </c>
      <c r="L4">
        <v>1</v>
      </c>
      <c r="M4" s="3">
        <v>1</v>
      </c>
      <c r="N4" s="2">
        <v>25</v>
      </c>
      <c r="O4" s="3">
        <v>0</v>
      </c>
      <c r="P4" s="2">
        <v>0</v>
      </c>
      <c r="Q4" t="s">
        <v>117</v>
      </c>
      <c r="R4" t="s">
        <v>218</v>
      </c>
    </row>
    <row r="5" spans="1:40" x14ac:dyDescent="0.25">
      <c r="A5" s="4">
        <v>102178218100</v>
      </c>
      <c r="B5" s="4" t="str">
        <f t="shared" ref="B5:B13" si="0">CONCATENATE(A5,0)</f>
        <v>1021782181000</v>
      </c>
      <c r="C5" t="s">
        <v>119</v>
      </c>
      <c r="D5" t="s">
        <v>46</v>
      </c>
      <c r="E5">
        <v>20411454</v>
      </c>
      <c r="F5" t="s">
        <v>225</v>
      </c>
      <c r="G5" t="s">
        <v>49</v>
      </c>
      <c r="H5" t="s">
        <v>116</v>
      </c>
      <c r="I5" s="1">
        <v>45839</v>
      </c>
      <c r="J5" s="1">
        <v>45870</v>
      </c>
      <c r="K5" s="2">
        <v>25</v>
      </c>
      <c r="L5">
        <v>1</v>
      </c>
      <c r="M5" s="3">
        <v>1</v>
      </c>
      <c r="N5" s="2">
        <v>25</v>
      </c>
      <c r="O5" s="3">
        <v>0</v>
      </c>
      <c r="P5" s="2">
        <v>0</v>
      </c>
      <c r="Q5" t="s">
        <v>117</v>
      </c>
      <c r="R5" t="s">
        <v>218</v>
      </c>
    </row>
    <row r="6" spans="1:40" x14ac:dyDescent="0.25">
      <c r="A6" s="4">
        <v>102178491500</v>
      </c>
      <c r="B6" s="4" t="str">
        <f t="shared" si="0"/>
        <v>1021784915000</v>
      </c>
      <c r="C6" t="s">
        <v>129</v>
      </c>
      <c r="D6" t="s">
        <v>130</v>
      </c>
      <c r="E6">
        <v>20411454</v>
      </c>
      <c r="F6" t="s">
        <v>225</v>
      </c>
      <c r="G6" t="s">
        <v>49</v>
      </c>
      <c r="H6" t="s">
        <v>116</v>
      </c>
      <c r="I6" s="1">
        <v>45839</v>
      </c>
      <c r="J6" s="1">
        <v>45870</v>
      </c>
      <c r="K6" s="2">
        <v>25</v>
      </c>
      <c r="L6">
        <v>1</v>
      </c>
      <c r="M6" s="3">
        <v>1</v>
      </c>
      <c r="N6" s="2">
        <v>25</v>
      </c>
      <c r="O6" s="3">
        <v>0</v>
      </c>
      <c r="P6" s="2">
        <v>0</v>
      </c>
      <c r="Q6" t="s">
        <v>117</v>
      </c>
      <c r="R6" t="s">
        <v>218</v>
      </c>
    </row>
    <row r="7" spans="1:40" x14ac:dyDescent="0.25">
      <c r="A7" s="4">
        <v>102178830400</v>
      </c>
      <c r="B7" s="4" t="str">
        <f t="shared" si="0"/>
        <v>1021788304000</v>
      </c>
      <c r="C7" t="s">
        <v>134</v>
      </c>
      <c r="D7" t="s">
        <v>46</v>
      </c>
      <c r="E7">
        <v>20411454</v>
      </c>
      <c r="F7" t="s">
        <v>225</v>
      </c>
      <c r="G7" t="s">
        <v>49</v>
      </c>
      <c r="H7" t="s">
        <v>116</v>
      </c>
      <c r="I7" s="1">
        <v>45839</v>
      </c>
      <c r="J7" s="1">
        <v>45870</v>
      </c>
      <c r="K7" s="2">
        <v>25</v>
      </c>
      <c r="L7">
        <v>1</v>
      </c>
      <c r="M7" s="3">
        <v>1</v>
      </c>
      <c r="N7" s="2">
        <v>25</v>
      </c>
      <c r="O7" s="3">
        <v>0</v>
      </c>
      <c r="P7" s="2">
        <v>0</v>
      </c>
      <c r="Q7" t="s">
        <v>117</v>
      </c>
      <c r="R7" t="s">
        <v>218</v>
      </c>
    </row>
    <row r="8" spans="1:40" x14ac:dyDescent="0.25">
      <c r="A8" s="4">
        <v>102179152300</v>
      </c>
      <c r="B8" s="4" t="str">
        <f t="shared" si="0"/>
        <v>1021791523000</v>
      </c>
      <c r="C8" t="s">
        <v>138</v>
      </c>
      <c r="D8" t="s">
        <v>46</v>
      </c>
      <c r="E8">
        <v>20411454</v>
      </c>
      <c r="F8" t="s">
        <v>225</v>
      </c>
      <c r="G8" t="s">
        <v>49</v>
      </c>
      <c r="H8" t="s">
        <v>116</v>
      </c>
      <c r="I8" s="1">
        <v>45839</v>
      </c>
      <c r="J8" s="1">
        <v>45870</v>
      </c>
      <c r="K8" s="2">
        <v>25</v>
      </c>
      <c r="L8">
        <v>1</v>
      </c>
      <c r="M8" s="3">
        <v>1</v>
      </c>
      <c r="N8" s="2">
        <v>25</v>
      </c>
      <c r="O8" s="3">
        <v>0</v>
      </c>
      <c r="P8" s="2">
        <v>0</v>
      </c>
      <c r="Q8" t="s">
        <v>117</v>
      </c>
      <c r="R8" t="s">
        <v>218</v>
      </c>
    </row>
    <row r="9" spans="1:40" x14ac:dyDescent="0.25">
      <c r="A9" s="4">
        <v>102179372000</v>
      </c>
      <c r="B9" s="4" t="str">
        <f t="shared" si="0"/>
        <v>1021793720000</v>
      </c>
      <c r="C9" t="s">
        <v>143</v>
      </c>
      <c r="D9" t="s">
        <v>46</v>
      </c>
      <c r="E9">
        <v>20411454</v>
      </c>
      <c r="F9" t="s">
        <v>225</v>
      </c>
      <c r="G9" t="s">
        <v>49</v>
      </c>
      <c r="H9" t="s">
        <v>116</v>
      </c>
      <c r="I9" s="1">
        <v>45839</v>
      </c>
      <c r="J9" s="1">
        <v>45870</v>
      </c>
      <c r="K9" s="2">
        <v>25</v>
      </c>
      <c r="L9">
        <v>1</v>
      </c>
      <c r="M9" s="3">
        <v>1</v>
      </c>
      <c r="N9" s="2">
        <v>25</v>
      </c>
      <c r="O9" s="3">
        <v>0</v>
      </c>
      <c r="P9" s="2">
        <v>0</v>
      </c>
      <c r="Q9" t="s">
        <v>117</v>
      </c>
      <c r="R9" t="s">
        <v>218</v>
      </c>
    </row>
    <row r="10" spans="1:40" x14ac:dyDescent="0.25">
      <c r="A10" s="4">
        <v>102179379000</v>
      </c>
      <c r="B10" s="4" t="str">
        <f t="shared" si="0"/>
        <v>1021793790000</v>
      </c>
      <c r="C10" t="s">
        <v>147</v>
      </c>
      <c r="D10" t="s">
        <v>46</v>
      </c>
      <c r="E10">
        <v>20411454</v>
      </c>
      <c r="F10" t="s">
        <v>225</v>
      </c>
      <c r="G10" t="s">
        <v>49</v>
      </c>
      <c r="H10" t="s">
        <v>116</v>
      </c>
      <c r="I10" s="1">
        <v>45839</v>
      </c>
      <c r="J10" s="1">
        <v>45870</v>
      </c>
      <c r="K10" s="2">
        <v>25</v>
      </c>
      <c r="L10">
        <v>1</v>
      </c>
      <c r="M10" s="3">
        <v>1</v>
      </c>
      <c r="N10" s="2">
        <v>25</v>
      </c>
      <c r="O10" s="3">
        <v>0</v>
      </c>
      <c r="P10" s="2">
        <v>0</v>
      </c>
      <c r="Q10" t="s">
        <v>117</v>
      </c>
      <c r="R10" t="s">
        <v>218</v>
      </c>
    </row>
    <row r="11" spans="1:40" x14ac:dyDescent="0.25">
      <c r="A11" s="4">
        <v>102179506900</v>
      </c>
      <c r="B11" s="4" t="str">
        <f t="shared" si="0"/>
        <v>1021795069000</v>
      </c>
      <c r="C11" t="s">
        <v>151</v>
      </c>
      <c r="D11" t="s">
        <v>152</v>
      </c>
      <c r="E11">
        <v>20411454</v>
      </c>
      <c r="F11" t="s">
        <v>225</v>
      </c>
      <c r="G11" t="s">
        <v>49</v>
      </c>
      <c r="H11" t="s">
        <v>116</v>
      </c>
      <c r="I11" s="1">
        <v>45839</v>
      </c>
      <c r="J11" s="1">
        <v>45870</v>
      </c>
      <c r="K11" s="2">
        <v>25</v>
      </c>
      <c r="L11">
        <v>1</v>
      </c>
      <c r="M11" s="3">
        <v>1</v>
      </c>
      <c r="N11" s="2">
        <v>25</v>
      </c>
      <c r="O11" s="3">
        <v>0</v>
      </c>
      <c r="P11" s="2">
        <v>0</v>
      </c>
      <c r="Q11" t="s">
        <v>117</v>
      </c>
      <c r="R11" t="s">
        <v>218</v>
      </c>
    </row>
    <row r="12" spans="1:40" x14ac:dyDescent="0.25">
      <c r="A12" s="4">
        <v>102179509500</v>
      </c>
      <c r="B12" s="4" t="str">
        <f t="shared" si="0"/>
        <v>1021795095000</v>
      </c>
      <c r="C12" t="s">
        <v>156</v>
      </c>
      <c r="D12" t="s">
        <v>157</v>
      </c>
      <c r="E12">
        <v>20411454</v>
      </c>
      <c r="F12" t="s">
        <v>225</v>
      </c>
      <c r="G12" t="s">
        <v>49</v>
      </c>
      <c r="H12" t="s">
        <v>116</v>
      </c>
      <c r="I12" s="1">
        <v>45839</v>
      </c>
      <c r="J12" s="1">
        <v>45870</v>
      </c>
      <c r="K12" s="2">
        <v>25</v>
      </c>
      <c r="L12">
        <v>1</v>
      </c>
      <c r="M12" s="3">
        <v>1</v>
      </c>
      <c r="N12" s="2">
        <v>25</v>
      </c>
      <c r="O12" s="3">
        <v>0</v>
      </c>
      <c r="P12" s="2">
        <v>0</v>
      </c>
      <c r="Q12" t="s">
        <v>117</v>
      </c>
      <c r="R12" t="s">
        <v>218</v>
      </c>
    </row>
    <row r="13" spans="1:40" x14ac:dyDescent="0.25">
      <c r="A13" s="4">
        <v>102179510800</v>
      </c>
      <c r="B13" s="4" t="str">
        <f t="shared" si="0"/>
        <v>1021795108000</v>
      </c>
      <c r="C13" t="s">
        <v>161</v>
      </c>
      <c r="D13" t="s">
        <v>130</v>
      </c>
      <c r="E13">
        <v>20411454</v>
      </c>
      <c r="F13" t="s">
        <v>225</v>
      </c>
      <c r="G13" t="s">
        <v>49</v>
      </c>
      <c r="H13" t="s">
        <v>116</v>
      </c>
      <c r="I13" s="1">
        <v>45839</v>
      </c>
      <c r="J13" s="1">
        <v>45870</v>
      </c>
      <c r="K13" s="2">
        <v>25</v>
      </c>
      <c r="L13">
        <v>1</v>
      </c>
      <c r="M13" s="3">
        <v>1</v>
      </c>
      <c r="N13" s="2">
        <v>25</v>
      </c>
      <c r="O13" s="3">
        <v>0</v>
      </c>
      <c r="P13" s="2">
        <v>0</v>
      </c>
      <c r="Q13" t="s">
        <v>117</v>
      </c>
      <c r="R13" t="s">
        <v>218</v>
      </c>
    </row>
    <row r="14" spans="1:40" x14ac:dyDescent="0.25">
      <c r="A14" s="4" t="s">
        <v>214</v>
      </c>
      <c r="B14" s="4">
        <v>1011231361000</v>
      </c>
      <c r="C14" t="s">
        <v>181</v>
      </c>
      <c r="D14" t="s">
        <v>130</v>
      </c>
      <c r="E14">
        <v>20411454</v>
      </c>
      <c r="F14" t="s">
        <v>225</v>
      </c>
      <c r="G14" t="s">
        <v>179</v>
      </c>
      <c r="H14" t="s">
        <v>116</v>
      </c>
      <c r="I14" s="1">
        <v>45748</v>
      </c>
      <c r="J14" s="1">
        <v>45839</v>
      </c>
      <c r="N14" s="5">
        <v>-25</v>
      </c>
      <c r="R14" t="s">
        <v>218</v>
      </c>
    </row>
    <row r="15" spans="1:40" x14ac:dyDescent="0.25">
      <c r="A15" s="4">
        <v>102178275700</v>
      </c>
      <c r="B15" s="4" t="str">
        <f t="shared" ref="B15:B17" si="1">CONCATENATE(A15,0)</f>
        <v>1021782757000</v>
      </c>
      <c r="C15" t="s">
        <v>123</v>
      </c>
      <c r="D15" t="s">
        <v>83</v>
      </c>
      <c r="E15">
        <v>20411454</v>
      </c>
      <c r="F15" t="s">
        <v>225</v>
      </c>
      <c r="G15" t="s">
        <v>49</v>
      </c>
      <c r="H15" t="s">
        <v>126</v>
      </c>
      <c r="I15" s="1">
        <v>45901</v>
      </c>
      <c r="J15" s="1">
        <v>45931</v>
      </c>
      <c r="K15" s="2">
        <v>13.33</v>
      </c>
      <c r="L15">
        <v>1</v>
      </c>
      <c r="M15" s="3">
        <v>1</v>
      </c>
      <c r="N15" s="2">
        <v>13.33</v>
      </c>
      <c r="O15" s="3">
        <v>0</v>
      </c>
      <c r="P15" s="2">
        <v>0</v>
      </c>
      <c r="Q15" t="s">
        <v>127</v>
      </c>
      <c r="R15" t="s">
        <v>218</v>
      </c>
    </row>
    <row r="16" spans="1:40" x14ac:dyDescent="0.25">
      <c r="A16" s="4">
        <v>102179150500</v>
      </c>
      <c r="B16" s="4" t="str">
        <f t="shared" si="1"/>
        <v>1021791505000</v>
      </c>
      <c r="C16" t="s">
        <v>136</v>
      </c>
      <c r="D16" t="s">
        <v>46</v>
      </c>
      <c r="E16">
        <v>20411454</v>
      </c>
      <c r="F16" t="s">
        <v>225</v>
      </c>
      <c r="G16" t="s">
        <v>49</v>
      </c>
      <c r="H16" t="s">
        <v>126</v>
      </c>
      <c r="I16" s="1">
        <v>45839</v>
      </c>
      <c r="J16" s="1">
        <v>45870</v>
      </c>
      <c r="K16" s="2">
        <v>20</v>
      </c>
      <c r="L16">
        <v>1</v>
      </c>
      <c r="M16" s="3">
        <v>1</v>
      </c>
      <c r="N16" s="2">
        <v>20</v>
      </c>
      <c r="O16" s="3">
        <v>0</v>
      </c>
      <c r="P16" s="2">
        <v>0</v>
      </c>
      <c r="Q16" t="s">
        <v>117</v>
      </c>
      <c r="R16" t="s">
        <v>218</v>
      </c>
    </row>
    <row r="17" spans="1:18" x14ac:dyDescent="0.25">
      <c r="A17" s="4">
        <v>102179360200</v>
      </c>
      <c r="B17" s="4" t="str">
        <f t="shared" si="1"/>
        <v>1021793602000</v>
      </c>
      <c r="C17" t="s">
        <v>140</v>
      </c>
      <c r="D17" t="s">
        <v>46</v>
      </c>
      <c r="E17">
        <v>20411454</v>
      </c>
      <c r="F17" t="s">
        <v>225</v>
      </c>
      <c r="G17" t="s">
        <v>49</v>
      </c>
      <c r="H17" t="s">
        <v>126</v>
      </c>
      <c r="I17" s="1">
        <v>45809</v>
      </c>
      <c r="J17" s="1">
        <v>45839</v>
      </c>
      <c r="K17" s="2">
        <v>23.33</v>
      </c>
      <c r="L17">
        <v>1</v>
      </c>
      <c r="M17" s="3">
        <v>1</v>
      </c>
      <c r="N17" s="2">
        <v>23.33</v>
      </c>
      <c r="O17" s="3">
        <v>0</v>
      </c>
      <c r="P17" s="2">
        <v>0</v>
      </c>
      <c r="Q17" t="s">
        <v>141</v>
      </c>
      <c r="R17" t="s">
        <v>218</v>
      </c>
    </row>
    <row r="18" spans="1:18" x14ac:dyDescent="0.25">
      <c r="A18" s="4" t="s">
        <v>217</v>
      </c>
      <c r="B18" s="4">
        <v>371537299</v>
      </c>
      <c r="C18" t="s">
        <v>193</v>
      </c>
      <c r="D18" t="s">
        <v>157</v>
      </c>
      <c r="E18">
        <v>20411454</v>
      </c>
      <c r="F18" t="s">
        <v>225</v>
      </c>
      <c r="G18" t="s">
        <v>179</v>
      </c>
      <c r="H18" t="s">
        <v>194</v>
      </c>
      <c r="I18" s="1">
        <v>45658</v>
      </c>
      <c r="J18" s="1">
        <v>45839</v>
      </c>
      <c r="N18" s="5">
        <v>-83.33</v>
      </c>
      <c r="R18" t="s">
        <v>219</v>
      </c>
    </row>
    <row r="19" spans="1:18" x14ac:dyDescent="0.25">
      <c r="A19" s="4" t="s">
        <v>198</v>
      </c>
      <c r="B19" s="4" t="str">
        <f t="shared" ref="B19:B34" si="2">CONCATENATE(A19,0)</f>
        <v>00023419316K0</v>
      </c>
      <c r="C19" t="s">
        <v>65</v>
      </c>
      <c r="D19" t="s">
        <v>46</v>
      </c>
      <c r="E19">
        <v>20411454</v>
      </c>
      <c r="F19" t="s">
        <v>225</v>
      </c>
      <c r="G19" t="s">
        <v>49</v>
      </c>
      <c r="H19" t="s">
        <v>68</v>
      </c>
      <c r="I19" s="1">
        <v>45839</v>
      </c>
      <c r="J19" s="1">
        <v>45870</v>
      </c>
      <c r="K19" s="2">
        <v>175</v>
      </c>
      <c r="L19">
        <v>1</v>
      </c>
      <c r="M19" s="3">
        <v>1</v>
      </c>
      <c r="N19" s="2">
        <v>175</v>
      </c>
      <c r="O19" s="3">
        <v>0</v>
      </c>
      <c r="P19" s="2">
        <v>0</v>
      </c>
      <c r="R19" t="s">
        <v>220</v>
      </c>
    </row>
    <row r="20" spans="1:18" x14ac:dyDescent="0.25">
      <c r="A20" s="4" t="s">
        <v>199</v>
      </c>
      <c r="B20" s="4" t="str">
        <f t="shared" si="2"/>
        <v>00023442523K0</v>
      </c>
      <c r="C20" t="s">
        <v>70</v>
      </c>
      <c r="D20" t="s">
        <v>46</v>
      </c>
      <c r="E20">
        <v>20411454</v>
      </c>
      <c r="F20" t="s">
        <v>225</v>
      </c>
      <c r="G20" t="s">
        <v>49</v>
      </c>
      <c r="H20" t="s">
        <v>68</v>
      </c>
      <c r="I20" s="1">
        <v>45839</v>
      </c>
      <c r="J20" s="1">
        <v>45870</v>
      </c>
      <c r="K20" s="2">
        <v>175</v>
      </c>
      <c r="L20">
        <v>1</v>
      </c>
      <c r="M20" s="3">
        <v>1</v>
      </c>
      <c r="N20" s="2">
        <v>175</v>
      </c>
      <c r="O20" s="3">
        <v>0</v>
      </c>
      <c r="P20" s="2">
        <v>0</v>
      </c>
      <c r="R20" t="s">
        <v>220</v>
      </c>
    </row>
    <row r="21" spans="1:18" x14ac:dyDescent="0.25">
      <c r="A21" s="4" t="s">
        <v>200</v>
      </c>
      <c r="B21" s="4" t="str">
        <f t="shared" si="2"/>
        <v>00023445656K0</v>
      </c>
      <c r="C21" t="s">
        <v>72</v>
      </c>
      <c r="D21" t="s">
        <v>46</v>
      </c>
      <c r="E21">
        <v>20411454</v>
      </c>
      <c r="F21" t="s">
        <v>225</v>
      </c>
      <c r="G21" t="s">
        <v>49</v>
      </c>
      <c r="H21" t="s">
        <v>68</v>
      </c>
      <c r="I21" s="1">
        <v>45839</v>
      </c>
      <c r="J21" s="1">
        <v>45870</v>
      </c>
      <c r="K21" s="2">
        <v>175</v>
      </c>
      <c r="L21">
        <v>1</v>
      </c>
      <c r="M21" s="3">
        <v>1</v>
      </c>
      <c r="N21" s="2">
        <v>175</v>
      </c>
      <c r="O21" s="3">
        <v>0</v>
      </c>
      <c r="P21" s="2">
        <v>0</v>
      </c>
      <c r="R21" t="s">
        <v>220</v>
      </c>
    </row>
    <row r="22" spans="1:18" x14ac:dyDescent="0.25">
      <c r="A22" s="4" t="s">
        <v>202</v>
      </c>
      <c r="B22" s="4" t="str">
        <f t="shared" si="2"/>
        <v>00023446545K0</v>
      </c>
      <c r="C22" t="s">
        <v>80</v>
      </c>
      <c r="D22" t="s">
        <v>46</v>
      </c>
      <c r="E22">
        <v>20411454</v>
      </c>
      <c r="F22" t="s">
        <v>225</v>
      </c>
      <c r="G22" t="s">
        <v>49</v>
      </c>
      <c r="H22" t="s">
        <v>68</v>
      </c>
      <c r="I22" s="1">
        <v>45901</v>
      </c>
      <c r="J22" s="1">
        <v>45931</v>
      </c>
      <c r="K22" s="2">
        <v>175</v>
      </c>
      <c r="L22">
        <v>1</v>
      </c>
      <c r="M22" s="3">
        <v>1</v>
      </c>
      <c r="N22" s="2">
        <v>175</v>
      </c>
      <c r="O22" s="3">
        <v>0</v>
      </c>
      <c r="P22" s="2">
        <v>0</v>
      </c>
      <c r="R22" t="s">
        <v>220</v>
      </c>
    </row>
    <row r="23" spans="1:18" x14ac:dyDescent="0.25">
      <c r="A23" s="4" t="s">
        <v>203</v>
      </c>
      <c r="B23" s="4" t="str">
        <f t="shared" si="2"/>
        <v>00023449614K0</v>
      </c>
      <c r="C23" t="s">
        <v>82</v>
      </c>
      <c r="D23" t="s">
        <v>83</v>
      </c>
      <c r="E23">
        <v>20411454</v>
      </c>
      <c r="F23" t="s">
        <v>225</v>
      </c>
      <c r="G23" t="s">
        <v>49</v>
      </c>
      <c r="H23" t="s">
        <v>68</v>
      </c>
      <c r="I23" s="1">
        <v>45839</v>
      </c>
      <c r="J23" s="1">
        <v>45870</v>
      </c>
      <c r="K23" s="2">
        <v>175</v>
      </c>
      <c r="L23">
        <v>1</v>
      </c>
      <c r="M23" s="3">
        <v>1</v>
      </c>
      <c r="N23" s="2">
        <v>175</v>
      </c>
      <c r="O23" s="3">
        <v>0</v>
      </c>
      <c r="P23" s="2">
        <v>0</v>
      </c>
      <c r="R23" t="s">
        <v>220</v>
      </c>
    </row>
    <row r="24" spans="1:18" x14ac:dyDescent="0.25">
      <c r="A24" s="4" t="s">
        <v>204</v>
      </c>
      <c r="B24" s="4" t="str">
        <f t="shared" si="2"/>
        <v>00023449616K0</v>
      </c>
      <c r="C24" t="s">
        <v>87</v>
      </c>
      <c r="D24" t="s">
        <v>46</v>
      </c>
      <c r="E24">
        <v>20411454</v>
      </c>
      <c r="F24" t="s">
        <v>225</v>
      </c>
      <c r="G24" t="s">
        <v>49</v>
      </c>
      <c r="H24" t="s">
        <v>68</v>
      </c>
      <c r="I24" s="1">
        <v>45839</v>
      </c>
      <c r="J24" s="1">
        <v>45870</v>
      </c>
      <c r="K24" s="2">
        <v>175</v>
      </c>
      <c r="L24">
        <v>1</v>
      </c>
      <c r="M24" s="3">
        <v>1</v>
      </c>
      <c r="N24" s="2">
        <v>175</v>
      </c>
      <c r="O24" s="3">
        <v>0</v>
      </c>
      <c r="P24" s="2">
        <v>0</v>
      </c>
      <c r="R24" t="s">
        <v>220</v>
      </c>
    </row>
    <row r="25" spans="1:18" x14ac:dyDescent="0.25">
      <c r="A25" s="4" t="s">
        <v>205</v>
      </c>
      <c r="B25" s="4" t="str">
        <f t="shared" si="2"/>
        <v>00023450701K0</v>
      </c>
      <c r="C25" t="s">
        <v>91</v>
      </c>
      <c r="D25" t="s">
        <v>83</v>
      </c>
      <c r="E25">
        <v>20411454</v>
      </c>
      <c r="F25" t="s">
        <v>225</v>
      </c>
      <c r="G25" t="s">
        <v>49</v>
      </c>
      <c r="H25" t="s">
        <v>68</v>
      </c>
      <c r="I25" s="1">
        <v>45839</v>
      </c>
      <c r="J25" s="1">
        <v>45870</v>
      </c>
      <c r="K25" s="2">
        <v>175</v>
      </c>
      <c r="L25">
        <v>1</v>
      </c>
      <c r="M25" s="3">
        <v>1</v>
      </c>
      <c r="N25" s="2">
        <v>175</v>
      </c>
      <c r="O25" s="3">
        <v>0</v>
      </c>
      <c r="P25" s="2">
        <v>0</v>
      </c>
      <c r="R25" t="s">
        <v>220</v>
      </c>
    </row>
    <row r="26" spans="1:18" x14ac:dyDescent="0.25">
      <c r="A26" s="4" t="s">
        <v>206</v>
      </c>
      <c r="B26" s="4" t="str">
        <f t="shared" si="2"/>
        <v>00023451990K0</v>
      </c>
      <c r="C26" t="s">
        <v>95</v>
      </c>
      <c r="D26" t="s">
        <v>46</v>
      </c>
      <c r="E26">
        <v>20411454</v>
      </c>
      <c r="F26" t="s">
        <v>225</v>
      </c>
      <c r="G26" t="s">
        <v>49</v>
      </c>
      <c r="H26" t="s">
        <v>68</v>
      </c>
      <c r="I26" s="1">
        <v>45839</v>
      </c>
      <c r="J26" s="1">
        <v>45870</v>
      </c>
      <c r="K26" s="2">
        <v>175</v>
      </c>
      <c r="L26">
        <v>1</v>
      </c>
      <c r="M26" s="3">
        <v>1</v>
      </c>
      <c r="N26" s="2">
        <v>175</v>
      </c>
      <c r="O26" s="3">
        <v>0</v>
      </c>
      <c r="P26" s="2">
        <v>0</v>
      </c>
      <c r="R26" t="s">
        <v>220</v>
      </c>
    </row>
    <row r="27" spans="1:18" x14ac:dyDescent="0.25">
      <c r="A27" s="4" t="s">
        <v>207</v>
      </c>
      <c r="B27" s="4" t="str">
        <f t="shared" si="2"/>
        <v>00023452353K0</v>
      </c>
      <c r="C27" t="s">
        <v>99</v>
      </c>
      <c r="D27" t="s">
        <v>75</v>
      </c>
      <c r="E27">
        <v>20411454</v>
      </c>
      <c r="F27" t="s">
        <v>225</v>
      </c>
      <c r="G27" t="s">
        <v>49</v>
      </c>
      <c r="H27" t="s">
        <v>68</v>
      </c>
      <c r="I27" s="1">
        <v>45839</v>
      </c>
      <c r="J27" s="1">
        <v>45870</v>
      </c>
      <c r="K27" s="2">
        <v>175</v>
      </c>
      <c r="L27">
        <v>1</v>
      </c>
      <c r="M27" s="3">
        <v>1</v>
      </c>
      <c r="N27" s="2">
        <v>175</v>
      </c>
      <c r="O27" s="3">
        <v>0</v>
      </c>
      <c r="P27" s="2">
        <v>0</v>
      </c>
      <c r="R27" t="s">
        <v>220</v>
      </c>
    </row>
    <row r="28" spans="1:18" x14ac:dyDescent="0.25">
      <c r="A28" s="4" t="s">
        <v>208</v>
      </c>
      <c r="B28" s="4" t="str">
        <f t="shared" si="2"/>
        <v>00023452444K0</v>
      </c>
      <c r="C28" t="s">
        <v>103</v>
      </c>
      <c r="D28" t="s">
        <v>75</v>
      </c>
      <c r="E28">
        <v>20411454</v>
      </c>
      <c r="F28" t="s">
        <v>225</v>
      </c>
      <c r="G28" t="s">
        <v>49</v>
      </c>
      <c r="H28" t="s">
        <v>68</v>
      </c>
      <c r="I28" s="1">
        <v>45839</v>
      </c>
      <c r="J28" s="1">
        <v>45870</v>
      </c>
      <c r="K28" s="2">
        <v>175</v>
      </c>
      <c r="L28">
        <v>1</v>
      </c>
      <c r="M28" s="3">
        <v>1</v>
      </c>
      <c r="N28" s="2">
        <v>175</v>
      </c>
      <c r="O28" s="3">
        <v>0</v>
      </c>
      <c r="P28" s="2">
        <v>0</v>
      </c>
      <c r="R28" t="s">
        <v>220</v>
      </c>
    </row>
    <row r="29" spans="1:18" x14ac:dyDescent="0.25">
      <c r="A29" s="4" t="s">
        <v>209</v>
      </c>
      <c r="B29" s="4" t="str">
        <f t="shared" si="2"/>
        <v>00023452819K0</v>
      </c>
      <c r="C29" t="s">
        <v>105</v>
      </c>
      <c r="D29" t="s">
        <v>75</v>
      </c>
      <c r="E29">
        <v>20411454</v>
      </c>
      <c r="F29" t="s">
        <v>225</v>
      </c>
      <c r="G29" t="s">
        <v>49</v>
      </c>
      <c r="H29" t="s">
        <v>68</v>
      </c>
      <c r="I29" s="1">
        <v>45901</v>
      </c>
      <c r="J29" s="1">
        <v>45931</v>
      </c>
      <c r="K29" s="2">
        <v>175</v>
      </c>
      <c r="L29">
        <v>1</v>
      </c>
      <c r="M29" s="3">
        <v>1</v>
      </c>
      <c r="N29" s="2">
        <v>175</v>
      </c>
      <c r="O29" s="3">
        <v>0</v>
      </c>
      <c r="P29" s="2">
        <v>0</v>
      </c>
      <c r="R29" t="s">
        <v>220</v>
      </c>
    </row>
    <row r="30" spans="1:18" x14ac:dyDescent="0.25">
      <c r="A30" s="4" t="s">
        <v>210</v>
      </c>
      <c r="B30" s="4" t="str">
        <f t="shared" si="2"/>
        <v>00023453133K0</v>
      </c>
      <c r="C30" t="s">
        <v>109</v>
      </c>
      <c r="D30" t="s">
        <v>46</v>
      </c>
      <c r="E30">
        <v>20411454</v>
      </c>
      <c r="F30" t="s">
        <v>225</v>
      </c>
      <c r="G30" t="s">
        <v>49</v>
      </c>
      <c r="H30" t="s">
        <v>68</v>
      </c>
      <c r="I30" s="1">
        <v>45839</v>
      </c>
      <c r="J30" s="1">
        <v>45870</v>
      </c>
      <c r="K30" s="2">
        <v>175</v>
      </c>
      <c r="L30">
        <v>1</v>
      </c>
      <c r="M30" s="3">
        <v>1</v>
      </c>
      <c r="N30" s="2">
        <v>175</v>
      </c>
      <c r="O30" s="3">
        <v>0</v>
      </c>
      <c r="P30" s="2">
        <v>0</v>
      </c>
      <c r="R30" t="s">
        <v>220</v>
      </c>
    </row>
    <row r="31" spans="1:18" x14ac:dyDescent="0.25">
      <c r="A31" s="4" t="s">
        <v>211</v>
      </c>
      <c r="B31" s="4" t="str">
        <f t="shared" si="2"/>
        <v>00023455114K0</v>
      </c>
      <c r="C31" t="s">
        <v>111</v>
      </c>
      <c r="D31" t="s">
        <v>46</v>
      </c>
      <c r="E31">
        <v>20411454</v>
      </c>
      <c r="F31" t="s">
        <v>225</v>
      </c>
      <c r="G31" t="s">
        <v>49</v>
      </c>
      <c r="H31" t="s">
        <v>68</v>
      </c>
      <c r="I31" s="1">
        <v>45839</v>
      </c>
      <c r="J31" s="1">
        <v>45870</v>
      </c>
      <c r="K31" s="2">
        <v>175</v>
      </c>
      <c r="L31">
        <v>1</v>
      </c>
      <c r="M31" s="3">
        <v>1</v>
      </c>
      <c r="N31" s="2">
        <v>175</v>
      </c>
      <c r="O31" s="3">
        <v>0</v>
      </c>
      <c r="P31" s="2">
        <v>0</v>
      </c>
      <c r="R31" t="s">
        <v>220</v>
      </c>
    </row>
    <row r="32" spans="1:18" x14ac:dyDescent="0.25">
      <c r="A32" s="4" t="s">
        <v>195</v>
      </c>
      <c r="B32" s="4" t="str">
        <f t="shared" si="2"/>
        <v>00008001943K0</v>
      </c>
      <c r="C32" t="s">
        <v>45</v>
      </c>
      <c r="D32" t="s">
        <v>46</v>
      </c>
      <c r="E32">
        <v>20411454</v>
      </c>
      <c r="F32" t="s">
        <v>225</v>
      </c>
      <c r="G32" t="s">
        <v>49</v>
      </c>
      <c r="H32" t="s">
        <v>50</v>
      </c>
      <c r="I32" s="1">
        <v>45839</v>
      </c>
      <c r="J32" s="1">
        <v>45870</v>
      </c>
      <c r="K32" s="2">
        <v>108</v>
      </c>
      <c r="L32">
        <v>1</v>
      </c>
      <c r="M32" s="3">
        <v>1</v>
      </c>
      <c r="N32" s="2">
        <v>108</v>
      </c>
      <c r="O32" s="3">
        <v>0</v>
      </c>
      <c r="P32" s="2">
        <v>0</v>
      </c>
      <c r="R32" t="s">
        <v>220</v>
      </c>
    </row>
    <row r="33" spans="1:19" x14ac:dyDescent="0.25">
      <c r="A33" s="4" t="s">
        <v>196</v>
      </c>
      <c r="B33" s="4" t="str">
        <f t="shared" si="2"/>
        <v>00014552202K0</v>
      </c>
      <c r="C33" t="s">
        <v>61</v>
      </c>
      <c r="D33" t="s">
        <v>46</v>
      </c>
      <c r="E33">
        <v>20411454</v>
      </c>
      <c r="F33" t="s">
        <v>225</v>
      </c>
      <c r="G33" t="s">
        <v>49</v>
      </c>
      <c r="H33" t="s">
        <v>50</v>
      </c>
      <c r="I33" s="1">
        <v>45839</v>
      </c>
      <c r="J33" s="1">
        <v>45870</v>
      </c>
      <c r="K33" s="2">
        <v>108</v>
      </c>
      <c r="L33">
        <v>1</v>
      </c>
      <c r="M33" s="3">
        <v>1</v>
      </c>
      <c r="N33" s="2">
        <v>108</v>
      </c>
      <c r="O33" s="3">
        <v>0</v>
      </c>
      <c r="P33" s="2">
        <v>0</v>
      </c>
      <c r="R33" t="s">
        <v>220</v>
      </c>
    </row>
    <row r="34" spans="1:19" x14ac:dyDescent="0.25">
      <c r="A34" s="4" t="s">
        <v>197</v>
      </c>
      <c r="B34" s="4" t="str">
        <f t="shared" si="2"/>
        <v>00015884195K0</v>
      </c>
      <c r="C34" t="s">
        <v>63</v>
      </c>
      <c r="D34" t="s">
        <v>46</v>
      </c>
      <c r="E34">
        <v>20411454</v>
      </c>
      <c r="F34" t="s">
        <v>225</v>
      </c>
      <c r="G34" t="s">
        <v>49</v>
      </c>
      <c r="H34" t="s">
        <v>50</v>
      </c>
      <c r="I34" s="1">
        <v>45839</v>
      </c>
      <c r="J34" s="1">
        <v>45870</v>
      </c>
      <c r="K34" s="2">
        <v>108</v>
      </c>
      <c r="L34">
        <v>1</v>
      </c>
      <c r="M34" s="3">
        <v>1</v>
      </c>
      <c r="N34" s="2">
        <v>108</v>
      </c>
      <c r="O34" s="3">
        <v>0</v>
      </c>
      <c r="P34" s="2">
        <v>0</v>
      </c>
      <c r="R34" t="s">
        <v>220</v>
      </c>
    </row>
    <row r="35" spans="1:19" x14ac:dyDescent="0.25">
      <c r="A35" s="4" t="s">
        <v>213</v>
      </c>
      <c r="B35" s="4" t="s">
        <v>226</v>
      </c>
      <c r="C35" t="s">
        <v>176</v>
      </c>
      <c r="D35" t="s">
        <v>55</v>
      </c>
      <c r="E35">
        <v>20411454</v>
      </c>
      <c r="F35" t="s">
        <v>225</v>
      </c>
      <c r="G35" t="s">
        <v>179</v>
      </c>
      <c r="H35" t="s">
        <v>50</v>
      </c>
      <c r="I35" s="1">
        <v>45717</v>
      </c>
      <c r="J35" s="1">
        <v>45839</v>
      </c>
      <c r="N35" s="5">
        <v>-72.36</v>
      </c>
      <c r="R35" t="s">
        <v>220</v>
      </c>
    </row>
    <row r="36" spans="1:19" s="7" customFormat="1" x14ac:dyDescent="0.25">
      <c r="A36" s="6" t="s">
        <v>201</v>
      </c>
      <c r="B36" s="6" t="s">
        <v>201</v>
      </c>
      <c r="C36" s="7" t="s">
        <v>74</v>
      </c>
      <c r="D36" s="7" t="s">
        <v>75</v>
      </c>
      <c r="E36" s="7">
        <v>5442438</v>
      </c>
      <c r="F36" s="7" t="s">
        <v>77</v>
      </c>
      <c r="G36" s="7" t="s">
        <v>49</v>
      </c>
      <c r="H36" s="7" t="s">
        <v>78</v>
      </c>
      <c r="I36" s="8">
        <v>45839</v>
      </c>
      <c r="J36" s="1">
        <v>45870</v>
      </c>
      <c r="K36" s="9">
        <v>15</v>
      </c>
      <c r="L36" s="7">
        <v>1</v>
      </c>
      <c r="M36" s="10">
        <v>1</v>
      </c>
      <c r="N36" s="9">
        <v>15</v>
      </c>
      <c r="O36" s="10">
        <v>0</v>
      </c>
      <c r="P36" s="9">
        <v>0</v>
      </c>
      <c r="R36" s="7" t="s">
        <v>221</v>
      </c>
    </row>
    <row r="37" spans="1:19" x14ac:dyDescent="0.25">
      <c r="A37" s="4">
        <v>933331735</v>
      </c>
      <c r="B37" s="4" t="str">
        <f t="shared" ref="B37:B39" si="3">CONCATENATE(A37,0)</f>
        <v>9333317350</v>
      </c>
      <c r="C37" t="s">
        <v>165</v>
      </c>
      <c r="D37" t="s">
        <v>130</v>
      </c>
      <c r="E37">
        <v>20411454</v>
      </c>
      <c r="F37" t="s">
        <v>225</v>
      </c>
      <c r="G37" t="s">
        <v>49</v>
      </c>
      <c r="H37" t="s">
        <v>168</v>
      </c>
      <c r="I37" s="1">
        <v>45839</v>
      </c>
      <c r="J37" s="1">
        <v>45870</v>
      </c>
      <c r="K37" s="2">
        <v>175</v>
      </c>
      <c r="L37">
        <v>1</v>
      </c>
      <c r="M37" s="3">
        <v>1</v>
      </c>
      <c r="N37" s="2">
        <v>175</v>
      </c>
      <c r="O37" s="3">
        <v>0</v>
      </c>
      <c r="P37" s="2">
        <v>0</v>
      </c>
      <c r="R37" t="s">
        <v>222</v>
      </c>
    </row>
    <row r="38" spans="1:19" x14ac:dyDescent="0.25">
      <c r="A38" s="4" t="s">
        <v>212</v>
      </c>
      <c r="B38" s="4" t="str">
        <f t="shared" si="3"/>
        <v>986658939OV0</v>
      </c>
      <c r="C38" t="s">
        <v>170</v>
      </c>
      <c r="D38" t="s">
        <v>46</v>
      </c>
      <c r="E38">
        <v>20411454</v>
      </c>
      <c r="F38" t="s">
        <v>225</v>
      </c>
      <c r="G38" t="s">
        <v>49</v>
      </c>
      <c r="H38" t="s">
        <v>173</v>
      </c>
      <c r="I38" s="1">
        <v>45839</v>
      </c>
      <c r="J38" s="1">
        <v>45870</v>
      </c>
      <c r="K38" s="2">
        <v>36</v>
      </c>
      <c r="L38">
        <v>1</v>
      </c>
      <c r="M38" s="3">
        <v>1</v>
      </c>
      <c r="N38" s="2">
        <v>36</v>
      </c>
      <c r="O38" s="3">
        <v>0</v>
      </c>
      <c r="P38" s="2">
        <v>0</v>
      </c>
      <c r="Q38" t="s">
        <v>117</v>
      </c>
      <c r="R38" t="s">
        <v>222</v>
      </c>
    </row>
    <row r="39" spans="1:19" s="7" customFormat="1" x14ac:dyDescent="0.25">
      <c r="A39" s="6">
        <v>986658939</v>
      </c>
      <c r="B39" s="4" t="str">
        <f>CONCATENATE(A39,1)</f>
        <v>9866589391</v>
      </c>
      <c r="C39" s="7" t="s">
        <v>170</v>
      </c>
      <c r="D39" s="7" t="s">
        <v>46</v>
      </c>
      <c r="E39" s="7">
        <v>19396223</v>
      </c>
      <c r="F39" s="7" t="s">
        <v>89</v>
      </c>
      <c r="G39" s="7" t="s">
        <v>49</v>
      </c>
      <c r="H39" s="7" t="s">
        <v>171</v>
      </c>
      <c r="I39" s="8">
        <v>45839</v>
      </c>
      <c r="J39" s="1">
        <v>45870</v>
      </c>
      <c r="K39" s="9">
        <v>156.5</v>
      </c>
      <c r="L39" s="7">
        <v>1</v>
      </c>
      <c r="M39" s="10">
        <v>1</v>
      </c>
      <c r="N39" s="9">
        <v>156.5</v>
      </c>
      <c r="O39" s="10">
        <v>0</v>
      </c>
      <c r="P39" s="9">
        <v>0</v>
      </c>
      <c r="Q39" s="7" t="s">
        <v>117</v>
      </c>
      <c r="R39" s="7" t="s">
        <v>223</v>
      </c>
      <c r="S39" s="7" t="s">
        <v>224</v>
      </c>
    </row>
  </sheetData>
  <sortState xmlns:xlrd2="http://schemas.microsoft.com/office/spreadsheetml/2017/richdata2" ref="A2:AN39">
    <sortCondition ref="H2:H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2025-07-10T18:23:47Z</dcterms:created>
  <dcterms:modified xsi:type="dcterms:W3CDTF">2025-07-15T16:23:48Z</dcterms:modified>
</cp:coreProperties>
</file>