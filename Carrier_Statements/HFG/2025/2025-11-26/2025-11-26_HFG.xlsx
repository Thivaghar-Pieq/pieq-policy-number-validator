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1-26-25\"/>
    </mc:Choice>
  </mc:AlternateContent>
  <xr:revisionPtr revIDLastSave="0" documentId="13_ncr:1_{F9505CC9-21D8-4630-9ED0-FF3A02A6E099}" xr6:coauthVersionLast="47" xr6:coauthVersionMax="47" xr10:uidLastSave="{00000000-0000-0000-0000-000000000000}"/>
  <bookViews>
    <workbookView xWindow="28680" yWindow="-120" windowWidth="29040" windowHeight="16440" activeTab="2" xr2:uid="{5123BAFF-DF0C-4424-B19E-3081234C00F4}"/>
  </bookViews>
  <sheets>
    <sheet name="New Business Agent Statement - 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N11" i="3" l="1"/>
  <c r="O11" i="3" s="1"/>
  <c r="P11" i="3" s="1"/>
  <c r="Q11" i="3" s="1"/>
  <c r="N10" i="3"/>
  <c r="O10" i="3" s="1"/>
  <c r="P10" i="3" s="1"/>
  <c r="Q10" i="3" s="1"/>
  <c r="N9" i="3"/>
  <c r="O9" i="3" s="1"/>
  <c r="P9" i="3" s="1"/>
  <c r="Q9" i="3" s="1"/>
  <c r="N8" i="3"/>
  <c r="O8" i="3" s="1"/>
  <c r="P8" i="3" s="1"/>
  <c r="Q8" i="3" s="1"/>
  <c r="B249" i="2"/>
  <c r="B250" i="2"/>
  <c r="B256" i="2"/>
  <c r="B255" i="2"/>
  <c r="B254" i="2"/>
  <c r="B253" i="2"/>
  <c r="B252" i="2"/>
  <c r="B25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<sst xmlns="http://schemas.openxmlformats.org/spreadsheetml/2006/main" count="7080" uniqueCount="1076">
  <si>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</si>
  <si>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</si>
  <si>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</si>
  <si>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</si>
  <si>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</si>
  <si>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</si>
  <si>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</si>
  <si>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</si>
  <si>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</si>
  <si>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</si>
  <si>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</si>
  <si>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</si>
  <si>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</si>
  <si>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</si>
  <si>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</si>
  <si>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</si>
  <si>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</si>
  <si>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</si>
  <si>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</si>
  <si>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</si>
  <si>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</si>
  <si>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</si>
  <si>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</si>
  <si>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</si>
  <si>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</si>
  <si>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</si>
  <si>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</si>
  <si>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</si>
  <si>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</si>
  <si>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</si>
  <si>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</si>
  <si>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</si>
  <si>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</si>
  <si>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</si>
  <si>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</si>
  <si>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</si>
  <si>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</si>
  <si>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</si>
  <si>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</si>
  <si>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</si>
  <si>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</si>
  <si>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</si>
  <si>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</si>
  <si>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</si>
  <si>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'00000119198K</t>
  </si>
  <si>
    <t>NOEMI PIERI</t>
  </si>
  <si>
    <t>IL</t>
  </si>
  <si>
    <t>'045612</t>
  </si>
  <si>
    <t>ANTHONY HUNSBERGER</t>
  </si>
  <si>
    <t>ACTIVE</t>
  </si>
  <si>
    <t>Humana MA 2019+ Level 15- 175/108</t>
  </si>
  <si>
    <t>Monthly</t>
  </si>
  <si>
    <t>AV</t>
  </si>
  <si>
    <t>'00000260046D</t>
  </si>
  <si>
    <t>EUGENIO SORRENTINO</t>
  </si>
  <si>
    <t>'045605</t>
  </si>
  <si>
    <t>GARY PORTUGAL</t>
  </si>
  <si>
    <t>'00000497361I</t>
  </si>
  <si>
    <t>ROBERT WETZEL</t>
  </si>
  <si>
    <t>OH</t>
  </si>
  <si>
    <t>'045684</t>
  </si>
  <si>
    <t>JILL SHEPARD</t>
  </si>
  <si>
    <t>'00000781190K</t>
  </si>
  <si>
    <t>SUNDRA TAXALI</t>
  </si>
  <si>
    <t>'043618</t>
  </si>
  <si>
    <t>SAADIA ABDUL</t>
  </si>
  <si>
    <t>Humana MA 2019+ Level 15- 175/108 Repl 2024</t>
  </si>
  <si>
    <t>'00002580176K</t>
  </si>
  <si>
    <t>WILLIAM BLAISDELL</t>
  </si>
  <si>
    <t>'00004476179K</t>
  </si>
  <si>
    <t>BEVERLY CARLYLE</t>
  </si>
  <si>
    <t>NY</t>
  </si>
  <si>
    <t>'045591</t>
  </si>
  <si>
    <t>CHRISTOPHER BROUSSEAU</t>
  </si>
  <si>
    <t>'00006393824K</t>
  </si>
  <si>
    <t>PAULA ROPPO</t>
  </si>
  <si>
    <t>'00006977053K</t>
  </si>
  <si>
    <t>RICHARD BRADDIX</t>
  </si>
  <si>
    <t>'00007155782K</t>
  </si>
  <si>
    <t>KRISTIE BIZEAU</t>
  </si>
  <si>
    <t>'041686</t>
  </si>
  <si>
    <t>DALE WALENGA</t>
  </si>
  <si>
    <t>'00007368051K</t>
  </si>
  <si>
    <t>MARYANN LISKOVEC</t>
  </si>
  <si>
    <t>'045611</t>
  </si>
  <si>
    <t>FRANK LISKOVEC</t>
  </si>
  <si>
    <t>'00007738402K</t>
  </si>
  <si>
    <t>M PUPILLO</t>
  </si>
  <si>
    <t>'00007832051K</t>
  </si>
  <si>
    <t>RINA PUPILLO</t>
  </si>
  <si>
    <t>'00007851058K</t>
  </si>
  <si>
    <t>BERTHA GALINDO</t>
  </si>
  <si>
    <t>'045966</t>
  </si>
  <si>
    <t>ANTONIA NEVAREZ</t>
  </si>
  <si>
    <t>'00007937309K</t>
  </si>
  <si>
    <t>JERRY GRAFMAN</t>
  </si>
  <si>
    <t>'045638</t>
  </si>
  <si>
    <t>RICHARD YALE</t>
  </si>
  <si>
    <t>'00008035060K</t>
  </si>
  <si>
    <t>GIOVANNA BIRAZZI</t>
  </si>
  <si>
    <t>'043714</t>
  </si>
  <si>
    <t>BRIAN STROHMAN</t>
  </si>
  <si>
    <t>'00009083562K</t>
  </si>
  <si>
    <t>JUDITH WAGGONER</t>
  </si>
  <si>
    <t>'045603</t>
  </si>
  <si>
    <t>ANDREW CHOI</t>
  </si>
  <si>
    <t>'00009648551K</t>
  </si>
  <si>
    <t>JAMES GANTA</t>
  </si>
  <si>
    <t>'045618</t>
  </si>
  <si>
    <t>STEPHANIE DRAPAC</t>
  </si>
  <si>
    <t>'00010413776K</t>
  </si>
  <si>
    <t>THOMAS BIERBRODT</t>
  </si>
  <si>
    <t>'00011490079K</t>
  </si>
  <si>
    <t>PATRICIA WALTERS</t>
  </si>
  <si>
    <t>'045604</t>
  </si>
  <si>
    <t>JEFFREY HORN</t>
  </si>
  <si>
    <t>'00011877765K</t>
  </si>
  <si>
    <t>GRACIELA CASTRO</t>
  </si>
  <si>
    <t>'00011956148K</t>
  </si>
  <si>
    <t>MARY POSS</t>
  </si>
  <si>
    <t>'00011962409K</t>
  </si>
  <si>
    <t>LARRY POSS</t>
  </si>
  <si>
    <t>'00012702701K</t>
  </si>
  <si>
    <t>DIANE MIGALA</t>
  </si>
  <si>
    <t>'00012902120K</t>
  </si>
  <si>
    <t>ISIDRO FERNANDEZ</t>
  </si>
  <si>
    <t>'00012978613K</t>
  </si>
  <si>
    <t>BETOOL AL KHAFAJI</t>
  </si>
  <si>
    <t>'00013062580K</t>
  </si>
  <si>
    <t>JULI GOODHUE</t>
  </si>
  <si>
    <t>CO</t>
  </si>
  <si>
    <t>'043713</t>
  </si>
  <si>
    <t>JOEL LEE</t>
  </si>
  <si>
    <t>'00013573633K</t>
  </si>
  <si>
    <t>FANNIE GREEN</t>
  </si>
  <si>
    <t>'00013813500K</t>
  </si>
  <si>
    <t>WILLIAM RODENKIRCH</t>
  </si>
  <si>
    <t>'00013907636K</t>
  </si>
  <si>
    <t>AARON KEETER</t>
  </si>
  <si>
    <t>OK</t>
  </si>
  <si>
    <t>'043638</t>
  </si>
  <si>
    <t>THOMAS PARDUE</t>
  </si>
  <si>
    <t>'00013990336K</t>
  </si>
  <si>
    <t>BARBARA IVERSON</t>
  </si>
  <si>
    <t>'045622</t>
  </si>
  <si>
    <t>JACOB YALE</t>
  </si>
  <si>
    <t>'00015214337K</t>
  </si>
  <si>
    <t>MARVIN KLINKER</t>
  </si>
  <si>
    <t>'00015770477K</t>
  </si>
  <si>
    <t>PAUL ZULASKI</t>
  </si>
  <si>
    <t>'043682</t>
  </si>
  <si>
    <t>GREGORY TEIPEL</t>
  </si>
  <si>
    <t>'00016064056K</t>
  </si>
  <si>
    <t>LORRAINE GOSNELL</t>
  </si>
  <si>
    <t>'043705</t>
  </si>
  <si>
    <t>MICHAEL DUNAVANT</t>
  </si>
  <si>
    <t>'00016102805K</t>
  </si>
  <si>
    <t>EFRAIN ALVAREZ</t>
  </si>
  <si>
    <t>'045984</t>
  </si>
  <si>
    <t>JEANET REYES</t>
  </si>
  <si>
    <t>'00016330432K</t>
  </si>
  <si>
    <t>MICHAEL TAFOYA</t>
  </si>
  <si>
    <t>'00016914030K</t>
  </si>
  <si>
    <t>BRIAN FIELDS</t>
  </si>
  <si>
    <t>'045613</t>
  </si>
  <si>
    <t>RICARDO SANTOS</t>
  </si>
  <si>
    <t>'00017778527K</t>
  </si>
  <si>
    <t>PETER VELOSO</t>
  </si>
  <si>
    <t>'00018214315K</t>
  </si>
  <si>
    <t>ROSEMARY ORTIZ</t>
  </si>
  <si>
    <t>'00018368840K</t>
  </si>
  <si>
    <t>CYNTHIA ZIRZOW</t>
  </si>
  <si>
    <t>'00018869709K</t>
  </si>
  <si>
    <t>BRENDA MONTGOMERY</t>
  </si>
  <si>
    <t>'00019224627K</t>
  </si>
  <si>
    <t>GUSTAVO GONZALEZ</t>
  </si>
  <si>
    <t>'00019265140K</t>
  </si>
  <si>
    <t>JACQUELINE GIROUARD</t>
  </si>
  <si>
    <t>'00019292757K</t>
  </si>
  <si>
    <t>KULSOOM POONJA</t>
  </si>
  <si>
    <t>'00019321108K</t>
  </si>
  <si>
    <t>MAHMOOD POONJA</t>
  </si>
  <si>
    <t>'00019793768K</t>
  </si>
  <si>
    <t>BARBARA CROMBIE</t>
  </si>
  <si>
    <t>'00019967666K</t>
  </si>
  <si>
    <t>JANINA SZEWCZUL</t>
  </si>
  <si>
    <t>'00020062203K</t>
  </si>
  <si>
    <t>MARINA SEMPREVIVO</t>
  </si>
  <si>
    <t>'043725</t>
  </si>
  <si>
    <t>MICHAEL SEMPREVIVO</t>
  </si>
  <si>
    <t>'00020137453K</t>
  </si>
  <si>
    <t>TAWNYA BOBST</t>
  </si>
  <si>
    <t>FL</t>
  </si>
  <si>
    <t>'045601</t>
  </si>
  <si>
    <t>CAROL FOLEY</t>
  </si>
  <si>
    <t>'00020860905K</t>
  </si>
  <si>
    <t>JONATHAN SHAPIRO</t>
  </si>
  <si>
    <t>'045671</t>
  </si>
  <si>
    <t>ROBERT SHAPIRO</t>
  </si>
  <si>
    <t>'00020900318K</t>
  </si>
  <si>
    <t>DEBRA SMITH</t>
  </si>
  <si>
    <t>'045670</t>
  </si>
  <si>
    <t>STEVEN BRANDT</t>
  </si>
  <si>
    <t>'00020904940K</t>
  </si>
  <si>
    <t>RONALD SMITH</t>
  </si>
  <si>
    <t>'00021344814K</t>
  </si>
  <si>
    <t>JOHN FRITZ</t>
  </si>
  <si>
    <t>PA</t>
  </si>
  <si>
    <t>'00021516553K</t>
  </si>
  <si>
    <t>SLOBODANKA BUBIC</t>
  </si>
  <si>
    <t>'00021683807K</t>
  </si>
  <si>
    <t>WILLIAM CROTEAU</t>
  </si>
  <si>
    <t>NH</t>
  </si>
  <si>
    <t>'00021710751K</t>
  </si>
  <si>
    <t>SONIA BERRIOS LOPEZ</t>
  </si>
  <si>
    <t>'045709</t>
  </si>
  <si>
    <t>ESTHER HERRERA-LARSEN</t>
  </si>
  <si>
    <t>'00021862985K</t>
  </si>
  <si>
    <t>KAREN CHISM</t>
  </si>
  <si>
    <t>VA</t>
  </si>
  <si>
    <t>'045904</t>
  </si>
  <si>
    <t>BRITTANY OLIVER</t>
  </si>
  <si>
    <t>'00021953385K</t>
  </si>
  <si>
    <t>KAREN ZINDER</t>
  </si>
  <si>
    <t>'00022200575K</t>
  </si>
  <si>
    <t>THOMAS EDMEIER</t>
  </si>
  <si>
    <t>'00022203375K</t>
  </si>
  <si>
    <t>MARY EDMEIER</t>
  </si>
  <si>
    <t>'00022442515K</t>
  </si>
  <si>
    <t>STEPHANIE MAIORIELLO</t>
  </si>
  <si>
    <t>'00022662380K</t>
  </si>
  <si>
    <t>SERGIO CASILLAS</t>
  </si>
  <si>
    <t>'00022985423K</t>
  </si>
  <si>
    <t>SYED SALIM</t>
  </si>
  <si>
    <t>'00022988358K</t>
  </si>
  <si>
    <t>QUDSIA SALIM</t>
  </si>
  <si>
    <t>'00023072316K</t>
  </si>
  <si>
    <t>KAY WILLIES</t>
  </si>
  <si>
    <t>'00023074746K</t>
  </si>
  <si>
    <t>ZUHAIR GEORGE</t>
  </si>
  <si>
    <t>'00023114640K</t>
  </si>
  <si>
    <t>ALFREDO SUAREZ</t>
  </si>
  <si>
    <t>'00023120301K</t>
  </si>
  <si>
    <t>EVANGELINA VALENCIA</t>
  </si>
  <si>
    <t>'00023122146K</t>
  </si>
  <si>
    <t>YOLANDA SAMAYOA</t>
  </si>
  <si>
    <t>'00023482902K</t>
  </si>
  <si>
    <t>GREGG ARENSON</t>
  </si>
  <si>
    <t>'046013</t>
  </si>
  <si>
    <t>'00023765948K</t>
  </si>
  <si>
    <t>RUSSELL LANCE</t>
  </si>
  <si>
    <t>'00024166424K</t>
  </si>
  <si>
    <t>HENRY GARZA</t>
  </si>
  <si>
    <t>'00024565859KPDP</t>
  </si>
  <si>
    <t>NANCY COMBS</t>
  </si>
  <si>
    <t>'045621</t>
  </si>
  <si>
    <t>HEATHER GESKE</t>
  </si>
  <si>
    <t>Humana PDP 2019+ Level 15- 15/0</t>
  </si>
  <si>
    <t>'00024685235K</t>
  </si>
  <si>
    <t>PATRICIA WEBER</t>
  </si>
  <si>
    <t>'00024687353K</t>
  </si>
  <si>
    <t>MARIE RAPP</t>
  </si>
  <si>
    <t>'00024689320K</t>
  </si>
  <si>
    <t>JAMES DIFOGGIO</t>
  </si>
  <si>
    <t>'00024689391K</t>
  </si>
  <si>
    <t>SUSAN BERTELLOTTI</t>
  </si>
  <si>
    <t>WI</t>
  </si>
  <si>
    <t>'00024690178K</t>
  </si>
  <si>
    <t>MARIA GONZALEZ</t>
  </si>
  <si>
    <t>'00024693674K</t>
  </si>
  <si>
    <t>MARK RAPP</t>
  </si>
  <si>
    <t>'00024695043K</t>
  </si>
  <si>
    <t>BARBARA MIDDLETON</t>
  </si>
  <si>
    <t>'00024695321K</t>
  </si>
  <si>
    <t>DONNA BADOWSKI</t>
  </si>
  <si>
    <t>IN</t>
  </si>
  <si>
    <t>'045967</t>
  </si>
  <si>
    <t>DANNA GREEN</t>
  </si>
  <si>
    <t>'00024695701KPDP</t>
  </si>
  <si>
    <t>JOHN FENNICK</t>
  </si>
  <si>
    <t>'043611</t>
  </si>
  <si>
    <t>TIMOTHY POWERS</t>
  </si>
  <si>
    <t>'00024696042K</t>
  </si>
  <si>
    <t>ANNA FUSSI</t>
  </si>
  <si>
    <t>'00024697016K</t>
  </si>
  <si>
    <t>RAMONA DIFOGGIO</t>
  </si>
  <si>
    <t>'00024697948K</t>
  </si>
  <si>
    <t>LYDIA RILEY</t>
  </si>
  <si>
    <t>'043813</t>
  </si>
  <si>
    <t>VICTOR FUENTES</t>
  </si>
  <si>
    <t>'00024698402K</t>
  </si>
  <si>
    <t>CAROL REYNOLDS</t>
  </si>
  <si>
    <t>'00024699362K</t>
  </si>
  <si>
    <t>DONALD CRAWFORD</t>
  </si>
  <si>
    <t>GA</t>
  </si>
  <si>
    <t>'00024701707K</t>
  </si>
  <si>
    <t>GREGORY BRAITHWAITE</t>
  </si>
  <si>
    <t>'043969</t>
  </si>
  <si>
    <t>STACEY PORTUGAL</t>
  </si>
  <si>
    <t>'00024703143K</t>
  </si>
  <si>
    <t>RICK LATTANZIO</t>
  </si>
  <si>
    <t>'045632</t>
  </si>
  <si>
    <t>BARRY SCHUMANN</t>
  </si>
  <si>
    <t>'00024703872K</t>
  </si>
  <si>
    <t>HELENA RADECKA</t>
  </si>
  <si>
    <t>'043718</t>
  </si>
  <si>
    <t>CHAD YALE</t>
  </si>
  <si>
    <t>'00024704222K</t>
  </si>
  <si>
    <t>ANITA MALIK</t>
  </si>
  <si>
    <t>'00024704975K</t>
  </si>
  <si>
    <t>ALFREDA NELSON</t>
  </si>
  <si>
    <t>'046106</t>
  </si>
  <si>
    <t>AUTUMN SLAUGHTER</t>
  </si>
  <si>
    <t>'00024705286KPDP</t>
  </si>
  <si>
    <t>CYNTHIA BALZA</t>
  </si>
  <si>
    <t>'043739</t>
  </si>
  <si>
    <t>ANDREA PETRUNGARO</t>
  </si>
  <si>
    <t>'00024705354K</t>
  </si>
  <si>
    <t>MICHAEL KOVACH</t>
  </si>
  <si>
    <t>'045421</t>
  </si>
  <si>
    <t>MATTHEW SHERMAN</t>
  </si>
  <si>
    <t>'00024705427K</t>
  </si>
  <si>
    <t>JERRY REYNOLDS</t>
  </si>
  <si>
    <t>'00024707822K</t>
  </si>
  <si>
    <t>JOSEPHINE BROWN</t>
  </si>
  <si>
    <t>'00024709153K</t>
  </si>
  <si>
    <t>RAKSHA PATEL</t>
  </si>
  <si>
    <t>'00024709962K</t>
  </si>
  <si>
    <t>LINDA ROLLINS</t>
  </si>
  <si>
    <t>'00024712026K</t>
  </si>
  <si>
    <t>NORMAN ARWOOD</t>
  </si>
  <si>
    <t>'00024713005K</t>
  </si>
  <si>
    <t>DEBRA CHINDERLE</t>
  </si>
  <si>
    <t>'00024713081K</t>
  </si>
  <si>
    <t>JAN EOFF</t>
  </si>
  <si>
    <t>'00024714272K</t>
  </si>
  <si>
    <t>CHARLES BROWN</t>
  </si>
  <si>
    <t>'00024714293KPDP</t>
  </si>
  <si>
    <t>SUZANNE HORNYAK</t>
  </si>
  <si>
    <t>DE</t>
  </si>
  <si>
    <t>'00024714467K</t>
  </si>
  <si>
    <t>DONALD MOORE</t>
  </si>
  <si>
    <t>'00024716880K</t>
  </si>
  <si>
    <t>CHARLES STOCKDALE</t>
  </si>
  <si>
    <t>SC</t>
  </si>
  <si>
    <t>'00024717149K</t>
  </si>
  <si>
    <t>BENITO DELGADO</t>
  </si>
  <si>
    <t>'00024720232K</t>
  </si>
  <si>
    <t>CYNTHIA DUMONTELLE</t>
  </si>
  <si>
    <t>'00024721397K</t>
  </si>
  <si>
    <t>REFIK JAKUPOVIC</t>
  </si>
  <si>
    <t>'00024723967K</t>
  </si>
  <si>
    <t>CONNIE CAVE</t>
  </si>
  <si>
    <t>'00024724403K</t>
  </si>
  <si>
    <t>MARY CLEVELAND STOCKDALE</t>
  </si>
  <si>
    <t>'00024727623K</t>
  </si>
  <si>
    <t>JAMES SMITH</t>
  </si>
  <si>
    <t>'045447</t>
  </si>
  <si>
    <t>ROBERT SIEVEWRIGHT</t>
  </si>
  <si>
    <t>'00024729351K</t>
  </si>
  <si>
    <t>JEAN SCHWAB</t>
  </si>
  <si>
    <t>'00024729595K</t>
  </si>
  <si>
    <t>STEVEN LEGG</t>
  </si>
  <si>
    <t>'00024730417K</t>
  </si>
  <si>
    <t>LUANNE PERTL</t>
  </si>
  <si>
    <t>'00024732248K</t>
  </si>
  <si>
    <t>GERALD KASKA</t>
  </si>
  <si>
    <t>'00024737026K</t>
  </si>
  <si>
    <t>ROBERT KASPER</t>
  </si>
  <si>
    <t>'00024737161KPDP</t>
  </si>
  <si>
    <t>DONALD HARRIS</t>
  </si>
  <si>
    <t>TX</t>
  </si>
  <si>
    <t>'045896</t>
  </si>
  <si>
    <t>LENSIE GONZALEZ</t>
  </si>
  <si>
    <t>'00024738351K</t>
  </si>
  <si>
    <t>HILDEMARA RODRIGUEZ</t>
  </si>
  <si>
    <t>'00024739227K</t>
  </si>
  <si>
    <t>JANICE CARPENTER</t>
  </si>
  <si>
    <t>'00024740480KPDP</t>
  </si>
  <si>
    <t>JEFFREY WEINTRAUB</t>
  </si>
  <si>
    <t>MD</t>
  </si>
  <si>
    <t>'045885</t>
  </si>
  <si>
    <t>CHAD BENDER</t>
  </si>
  <si>
    <t>'00024742028K</t>
  </si>
  <si>
    <t>JAMES HOFFMAN</t>
  </si>
  <si>
    <t>'00024742171K</t>
  </si>
  <si>
    <t>RICK MARSHALL</t>
  </si>
  <si>
    <t>'00024743893K</t>
  </si>
  <si>
    <t>JUDY COWARD</t>
  </si>
  <si>
    <t>'00024744052K</t>
  </si>
  <si>
    <t>RONALD NORAMCZYK</t>
  </si>
  <si>
    <t>'045607</t>
  </si>
  <si>
    <t>PAMELA DEATON</t>
  </si>
  <si>
    <t>'00024745815K</t>
  </si>
  <si>
    <t>LOLA FLORY</t>
  </si>
  <si>
    <t>'00024746858K</t>
  </si>
  <si>
    <t>URSULA DELGADO</t>
  </si>
  <si>
    <t>'00024749345K</t>
  </si>
  <si>
    <t>REINHOLD PERTL</t>
  </si>
  <si>
    <t>'00024755268K</t>
  </si>
  <si>
    <t>RODERICK MCNAMARA</t>
  </si>
  <si>
    <t>NJ</t>
  </si>
  <si>
    <t>'045609</t>
  </si>
  <si>
    <t>MURRAY STERNER</t>
  </si>
  <si>
    <t>'00024758895K</t>
  </si>
  <si>
    <t>ROBERT BOGOLIN</t>
  </si>
  <si>
    <t>'00024758943K</t>
  </si>
  <si>
    <t>PAULA BOGOLIN</t>
  </si>
  <si>
    <t>'00024760304K</t>
  </si>
  <si>
    <t>JOSEPH FLORY</t>
  </si>
  <si>
    <t>'00024764952K</t>
  </si>
  <si>
    <t>JAMES HOLLOWAY</t>
  </si>
  <si>
    <t>'00024764983K</t>
  </si>
  <si>
    <t>ELSA BOROWIEC</t>
  </si>
  <si>
    <t>'00024765849K</t>
  </si>
  <si>
    <t>MARIA ARROYO</t>
  </si>
  <si>
    <t>'00024766498K</t>
  </si>
  <si>
    <t>KIM WENT</t>
  </si>
  <si>
    <t>'00024766878K</t>
  </si>
  <si>
    <t>DEVRA SHIBA</t>
  </si>
  <si>
    <t>AZ</t>
  </si>
  <si>
    <t>'00024767806K</t>
  </si>
  <si>
    <t>EDWARD SCHAEFER</t>
  </si>
  <si>
    <t>'00024768851K</t>
  </si>
  <si>
    <t>PATRICIA SCHAEFER</t>
  </si>
  <si>
    <t>'00024770450K</t>
  </si>
  <si>
    <t>ANTONIOS BOULOS</t>
  </si>
  <si>
    <t>'043867</t>
  </si>
  <si>
    <t>RYAN STOCKER</t>
  </si>
  <si>
    <t>'00024772296K</t>
  </si>
  <si>
    <t>JAMIE REINERT</t>
  </si>
  <si>
    <t>'00024772712K</t>
  </si>
  <si>
    <t>TERESA NOE</t>
  </si>
  <si>
    <t>'00024773766K</t>
  </si>
  <si>
    <t>LARRY WENT</t>
  </si>
  <si>
    <t>'00024775303K</t>
  </si>
  <si>
    <t>HERMAN KAPLAN</t>
  </si>
  <si>
    <t>'00024777491K</t>
  </si>
  <si>
    <t>THOMAS MURRENS</t>
  </si>
  <si>
    <t>'00024780029K</t>
  </si>
  <si>
    <t>ARTURO FERNANDEZ</t>
  </si>
  <si>
    <t>'00024780521K</t>
  </si>
  <si>
    <t>TERESA RAGSDALE</t>
  </si>
  <si>
    <t>'00024781637K</t>
  </si>
  <si>
    <t>DEBORAH ROBINSON</t>
  </si>
  <si>
    <t>'00024781702K</t>
  </si>
  <si>
    <t>DANIEL JACQUES</t>
  </si>
  <si>
    <t>'043637</t>
  </si>
  <si>
    <t>CHRISTIAN TAUGNER</t>
  </si>
  <si>
    <t>'00024785306K</t>
  </si>
  <si>
    <t>CHRISTIANNE MURRENS</t>
  </si>
  <si>
    <t>'00024785465K</t>
  </si>
  <si>
    <t>SUSAN COOK</t>
  </si>
  <si>
    <t>'00024787021K</t>
  </si>
  <si>
    <t>FRANCO POMPONI</t>
  </si>
  <si>
    <t>'00024787947K</t>
  </si>
  <si>
    <t>RICHARD LANNERS</t>
  </si>
  <si>
    <t>'00024790178K</t>
  </si>
  <si>
    <t>JAN ELLENSTEIN</t>
  </si>
  <si>
    <t>'00024790618K</t>
  </si>
  <si>
    <t>KATHLEEN HARRINGTON</t>
  </si>
  <si>
    <t>'00024790873K</t>
  </si>
  <si>
    <t>BETH COMER</t>
  </si>
  <si>
    <t>'00024791232K</t>
  </si>
  <si>
    <t>ANTHONY GOLDA</t>
  </si>
  <si>
    <t>'00024791577K</t>
  </si>
  <si>
    <t>ANA MARTINEZ</t>
  </si>
  <si>
    <t>'00024793627K</t>
  </si>
  <si>
    <t>ISIDRO MARTINEZ</t>
  </si>
  <si>
    <t>'00024794949K</t>
  </si>
  <si>
    <t>BARBARA POTTER</t>
  </si>
  <si>
    <t>'00024798121K</t>
  </si>
  <si>
    <t>BERNICE EDWARDS</t>
  </si>
  <si>
    <t>'00024798574K</t>
  </si>
  <si>
    <t>JACKIE TUCKER</t>
  </si>
  <si>
    <t>'00024800029K</t>
  </si>
  <si>
    <t>BERT EDWARDS</t>
  </si>
  <si>
    <t>'00024803848K</t>
  </si>
  <si>
    <t>RAND PRIEGEL</t>
  </si>
  <si>
    <t>'00024805690K</t>
  </si>
  <si>
    <t>SHARON CAMPBELL</t>
  </si>
  <si>
    <t>'00024807949K</t>
  </si>
  <si>
    <t>BRADLEY CARR</t>
  </si>
  <si>
    <t>'00024812921K</t>
  </si>
  <si>
    <t>ROBERT KATKOWSKY</t>
  </si>
  <si>
    <t>'00024814837K</t>
  </si>
  <si>
    <t>KENNETH JACOBS</t>
  </si>
  <si>
    <t>'00024814875K</t>
  </si>
  <si>
    <t>EVELYN GIARDINA</t>
  </si>
  <si>
    <t>'045639</t>
  </si>
  <si>
    <t>STEVEN WERNER</t>
  </si>
  <si>
    <t>'00024816293K</t>
  </si>
  <si>
    <t>JAMAL KAMAREDDINE</t>
  </si>
  <si>
    <t>'00024816985K</t>
  </si>
  <si>
    <t>CAROLYN DULEY</t>
  </si>
  <si>
    <t>'00024818329K</t>
  </si>
  <si>
    <t>CRYSTAL SEBALLOS</t>
  </si>
  <si>
    <t>'00024820736K</t>
  </si>
  <si>
    <t>KAREN JACOBS</t>
  </si>
  <si>
    <t>'00024821466K</t>
  </si>
  <si>
    <t>DAN MORREL</t>
  </si>
  <si>
    <t>'00024823334K</t>
  </si>
  <si>
    <t>DAVID VANZANTEN</t>
  </si>
  <si>
    <t>'00024824483K</t>
  </si>
  <si>
    <t>MARJORIE BRADDIX</t>
  </si>
  <si>
    <t>'00024827694K</t>
  </si>
  <si>
    <t>RAJU ABRAHAM</t>
  </si>
  <si>
    <t>'00024828279K</t>
  </si>
  <si>
    <t>ROBERT SCHAEDEL</t>
  </si>
  <si>
    <t>'00024829757K</t>
  </si>
  <si>
    <t>RANDY SCHUSTER</t>
  </si>
  <si>
    <t>'00024830366K</t>
  </si>
  <si>
    <t>DOMENICO BONASERA</t>
  </si>
  <si>
    <t>'00024830605K</t>
  </si>
  <si>
    <t>SANDRA CRANE</t>
  </si>
  <si>
    <t>'00024832718K</t>
  </si>
  <si>
    <t>DOUGLAS MARKWALDER</t>
  </si>
  <si>
    <t>'00024834769K</t>
  </si>
  <si>
    <t>PATRICIA WATSON</t>
  </si>
  <si>
    <t>AL</t>
  </si>
  <si>
    <t>'00024835520K</t>
  </si>
  <si>
    <t>KENNETH RICHARDSON</t>
  </si>
  <si>
    <t>'00024835556K</t>
  </si>
  <si>
    <t>ABDUL GILANI</t>
  </si>
  <si>
    <t>'00024837075K</t>
  </si>
  <si>
    <t>LE SOSA URBINA DE ARRECIS</t>
  </si>
  <si>
    <t>'043589</t>
  </si>
  <si>
    <t>JOSE TORRES</t>
  </si>
  <si>
    <t>'00024839668K</t>
  </si>
  <si>
    <t>ISRAEL WARENS</t>
  </si>
  <si>
    <t>'00024840234K</t>
  </si>
  <si>
    <t>GARY CERESE</t>
  </si>
  <si>
    <t>'00024841501K</t>
  </si>
  <si>
    <t>JOANNE HARRIS</t>
  </si>
  <si>
    <t>'00024842390K</t>
  </si>
  <si>
    <t>BETTY VLASAK</t>
  </si>
  <si>
    <t>MI</t>
  </si>
  <si>
    <t>'00024843418K</t>
  </si>
  <si>
    <t>SARAH GOLD</t>
  </si>
  <si>
    <t>'043832</t>
  </si>
  <si>
    <t>CAROL FRITZ</t>
  </si>
  <si>
    <t>'00024843428K</t>
  </si>
  <si>
    <t>ALVARO SERRANO</t>
  </si>
  <si>
    <t>'00024845676K</t>
  </si>
  <si>
    <t>DONNA SHAPIRO</t>
  </si>
  <si>
    <t>'00024846786K</t>
  </si>
  <si>
    <t>CONCEPCION DE GUIA</t>
  </si>
  <si>
    <t>'00024847287K</t>
  </si>
  <si>
    <t>NINA ALLEN</t>
  </si>
  <si>
    <t>'00024847886K</t>
  </si>
  <si>
    <t>CANDACE WARENS</t>
  </si>
  <si>
    <t>'00024848882K</t>
  </si>
  <si>
    <t>JULIETA DUARTE</t>
  </si>
  <si>
    <t>'00024850573K</t>
  </si>
  <si>
    <t>KAREN GAIMARI</t>
  </si>
  <si>
    <t>'00024851311K</t>
  </si>
  <si>
    <t>THERESA OHARA</t>
  </si>
  <si>
    <t>'00024852223K</t>
  </si>
  <si>
    <t>ALFONSO GAIMARI</t>
  </si>
  <si>
    <t>'00024852233K</t>
  </si>
  <si>
    <t>CHARLES MUNDY</t>
  </si>
  <si>
    <t>'00024854538K</t>
  </si>
  <si>
    <t>GAVIN HAMILTON</t>
  </si>
  <si>
    <t>'00024855174K</t>
  </si>
  <si>
    <t>JESUS GUILLEN</t>
  </si>
  <si>
    <t>'00024855255K</t>
  </si>
  <si>
    <t>CATHERINE JERVIER</t>
  </si>
  <si>
    <t>'00024856642K</t>
  </si>
  <si>
    <t>GAIL CODY</t>
  </si>
  <si>
    <t>'00024858265K</t>
  </si>
  <si>
    <t>MUJO VEJZOVIC</t>
  </si>
  <si>
    <t>'00024860266K</t>
  </si>
  <si>
    <t>VIRGINIA ONEILL</t>
  </si>
  <si>
    <t>'00024860538K</t>
  </si>
  <si>
    <t>JUDITH NASH</t>
  </si>
  <si>
    <t>'00024861668K</t>
  </si>
  <si>
    <t>RENEE NEAL</t>
  </si>
  <si>
    <t>'00024861722K</t>
  </si>
  <si>
    <t>BRENDA POOL</t>
  </si>
  <si>
    <t>'00024862089K</t>
  </si>
  <si>
    <t>MARI MALZAHN</t>
  </si>
  <si>
    <t>'00024862095K</t>
  </si>
  <si>
    <t>ELEANOR BECKER</t>
  </si>
  <si>
    <t>'00024862288K</t>
  </si>
  <si>
    <t>KARIN DEXTER</t>
  </si>
  <si>
    <t>'00024863190K</t>
  </si>
  <si>
    <t>JOY ENDERLE</t>
  </si>
  <si>
    <t>'00024864113K</t>
  </si>
  <si>
    <t>HERMAN GOLD</t>
  </si>
  <si>
    <t>'00024867322K</t>
  </si>
  <si>
    <t>BLAS ARRIETA</t>
  </si>
  <si>
    <t>'00024868285K</t>
  </si>
  <si>
    <t>NANCY ARRIETA</t>
  </si>
  <si>
    <t>'00024869293K</t>
  </si>
  <si>
    <t>JAIRO DUARTE</t>
  </si>
  <si>
    <t>'00024870055K</t>
  </si>
  <si>
    <t>PHILIP AMATO</t>
  </si>
  <si>
    <t>'00024872183K</t>
  </si>
  <si>
    <t>DAVID NEVAREZ SAUCEDO</t>
  </si>
  <si>
    <t>'00024873552K</t>
  </si>
  <si>
    <t>ANTOINE JERVIER</t>
  </si>
  <si>
    <t>'00024874733K</t>
  </si>
  <si>
    <t>WITOLD GLADYS</t>
  </si>
  <si>
    <t>'00024876715K</t>
  </si>
  <si>
    <t>FLORENCE BEKOE</t>
  </si>
  <si>
    <t>'00024877830K</t>
  </si>
  <si>
    <t>ILAN SHIBA</t>
  </si>
  <si>
    <t>'00024879617K</t>
  </si>
  <si>
    <t>SHERRY RICHARDSON</t>
  </si>
  <si>
    <t>'00024883243K</t>
  </si>
  <si>
    <t>KIM LY</t>
  </si>
  <si>
    <t>'00024884778K</t>
  </si>
  <si>
    <t>PAMELA SOLOMON</t>
  </si>
  <si>
    <t>KS</t>
  </si>
  <si>
    <t>'00024890670K</t>
  </si>
  <si>
    <t>JAMES BELL</t>
  </si>
  <si>
    <t>'00024892170K</t>
  </si>
  <si>
    <t>SANDRA MONEYMAKER</t>
  </si>
  <si>
    <t>'00024892655K</t>
  </si>
  <si>
    <t>ELIZABETH SAKANIS</t>
  </si>
  <si>
    <t>'00024894353K</t>
  </si>
  <si>
    <t>JAMES CROUT</t>
  </si>
  <si>
    <t>'00024894667K</t>
  </si>
  <si>
    <t>SCOTT RIEKE</t>
  </si>
  <si>
    <t>'00024894747K</t>
  </si>
  <si>
    <t>REGINA TENZINGER</t>
  </si>
  <si>
    <t>'00024895169K</t>
  </si>
  <si>
    <t>MARYANNE RICCIO</t>
  </si>
  <si>
    <t>'045772</t>
  </si>
  <si>
    <t>JASON ROLLER</t>
  </si>
  <si>
    <t>'029W24748</t>
  </si>
  <si>
    <t>CARL MAGNA</t>
  </si>
  <si>
    <t>'045937</t>
  </si>
  <si>
    <t>MARSHA SANDEROCK</t>
  </si>
  <si>
    <t>Active</t>
  </si>
  <si>
    <t>Anthem BCBS Med Supp Percentage 2025</t>
  </si>
  <si>
    <t>'101525949100</t>
  </si>
  <si>
    <t>HOWARD LOUGHRY</t>
  </si>
  <si>
    <t>Aetna MAPD NMO to MMO - 2025+ Replace E-App</t>
  </si>
  <si>
    <t>2/12 PRORATE</t>
  </si>
  <si>
    <t>'102200107100</t>
  </si>
  <si>
    <t>TOM VONDRASEK</t>
  </si>
  <si>
    <t>'102200136700</t>
  </si>
  <si>
    <t>JOSE DIAZ</t>
  </si>
  <si>
    <t>1/12 PRORATE</t>
  </si>
  <si>
    <t>'102211543800</t>
  </si>
  <si>
    <t>MARILYN HOHULIN</t>
  </si>
  <si>
    <t>Aetna MAPD NMO to MMO - 2025+ Replace Paper</t>
  </si>
  <si>
    <t>'102212376700</t>
  </si>
  <si>
    <t>TIMOTHY ELLISON</t>
  </si>
  <si>
    <t>'043679</t>
  </si>
  <si>
    <t>DEBORAH INSKIPT</t>
  </si>
  <si>
    <t>'102214678200</t>
  </si>
  <si>
    <t>LEAH KILLEEN</t>
  </si>
  <si>
    <t>'046098</t>
  </si>
  <si>
    <t>ARICK MARTIN</t>
  </si>
  <si>
    <t>'102214680800</t>
  </si>
  <si>
    <t>PATRICIA GRAMS</t>
  </si>
  <si>
    <t>'043644</t>
  </si>
  <si>
    <t>TIMOTHY HODGMAN</t>
  </si>
  <si>
    <t>'102214683400</t>
  </si>
  <si>
    <t>TROY WALLS</t>
  </si>
  <si>
    <t>'123531250</t>
  </si>
  <si>
    <t>GLORIA ASTORGA</t>
  </si>
  <si>
    <t>UHC MA Direct 2025 New Initial Prorated</t>
  </si>
  <si>
    <t>12/12 PRORATE</t>
  </si>
  <si>
    <t>'134698577</t>
  </si>
  <si>
    <t>ELENI VETTAS</t>
  </si>
  <si>
    <t>'045717</t>
  </si>
  <si>
    <t>RONALD MAX</t>
  </si>
  <si>
    <t>UHC MA Direct 2025 New Full</t>
  </si>
  <si>
    <t>'211W24349</t>
  </si>
  <si>
    <t>TROY EMANUEL</t>
  </si>
  <si>
    <t>NA</t>
  </si>
  <si>
    <t>Anthem MA 2025</t>
  </si>
  <si>
    <t>'36A3X2H39</t>
  </si>
  <si>
    <t>CYNTHIA MCGOWAN</t>
  </si>
  <si>
    <t>Cigna MAPD FMO to GA 1-1-19+ - New</t>
  </si>
  <si>
    <t>'488W24198</t>
  </si>
  <si>
    <t>JOYCE COUCH</t>
  </si>
  <si>
    <t>'574W24286</t>
  </si>
  <si>
    <t>TERESA LAIN</t>
  </si>
  <si>
    <t>'640W24767</t>
  </si>
  <si>
    <t>LISA MONTGOMERY</t>
  </si>
  <si>
    <t>'641W24303</t>
  </si>
  <si>
    <t>CONNIE GANGNON</t>
  </si>
  <si>
    <t>'810W24548</t>
  </si>
  <si>
    <t>KATHLEE RYSTED</t>
  </si>
  <si>
    <t>'902156178</t>
  </si>
  <si>
    <t>MONTY LOGAN</t>
  </si>
  <si>
    <t>'905009866</t>
  </si>
  <si>
    <t>JOHN ALBERT</t>
  </si>
  <si>
    <t>'905161845</t>
  </si>
  <si>
    <t>BRIAN HINCKLEY</t>
  </si>
  <si>
    <t>'043974</t>
  </si>
  <si>
    <t>JENNIFER HALSAVER</t>
  </si>
  <si>
    <t>'908826935</t>
  </si>
  <si>
    <t>JOHN DALY</t>
  </si>
  <si>
    <t>UHC MA Direct 2025 New Full - Other</t>
  </si>
  <si>
    <t>'912672491</t>
  </si>
  <si>
    <t>ESMERALDA RODRIGUEZ</t>
  </si>
  <si>
    <t>UHC MA Direct 2025 New Initial Prorated - Other</t>
  </si>
  <si>
    <t>'914374312</t>
  </si>
  <si>
    <t>PAULETTA GARDNER</t>
  </si>
  <si>
    <t>'914857307</t>
  </si>
  <si>
    <t>JUNE MCGRATH</t>
  </si>
  <si>
    <t>'915280693</t>
  </si>
  <si>
    <t>THOMAS CLINE</t>
  </si>
  <si>
    <t>WA</t>
  </si>
  <si>
    <t>'917471347</t>
  </si>
  <si>
    <t>WILLIAM ANDERSON</t>
  </si>
  <si>
    <t>'919848005</t>
  </si>
  <si>
    <t>REGINA REILAND</t>
  </si>
  <si>
    <t>'920890366</t>
  </si>
  <si>
    <t>NANCY BARNA</t>
  </si>
  <si>
    <t>'043691</t>
  </si>
  <si>
    <t>MICHELLE MCCORKLE</t>
  </si>
  <si>
    <t>'921081744</t>
  </si>
  <si>
    <t>PATRICIA HINCKLEY</t>
  </si>
  <si>
    <t>'924573691</t>
  </si>
  <si>
    <t>EUGENE REILAND</t>
  </si>
  <si>
    <t>'926739998</t>
  </si>
  <si>
    <t>JUDY LOGAN</t>
  </si>
  <si>
    <t>'928559266</t>
  </si>
  <si>
    <t>KIMBERLY BENTON</t>
  </si>
  <si>
    <t>'928792726</t>
  </si>
  <si>
    <t>RONALD O'NEILL</t>
  </si>
  <si>
    <t>'936494692</t>
  </si>
  <si>
    <t>DAVID YOUNG</t>
  </si>
  <si>
    <t>'941505435</t>
  </si>
  <si>
    <t>ROSE STEWART</t>
  </si>
  <si>
    <t>'947312937</t>
  </si>
  <si>
    <t>KATHRYN CHAPPELL</t>
  </si>
  <si>
    <t>OR</t>
  </si>
  <si>
    <t>'951067902</t>
  </si>
  <si>
    <t>DAVID ONEAL</t>
  </si>
  <si>
    <t>'951859059</t>
  </si>
  <si>
    <t>RICHARD LEWIS</t>
  </si>
  <si>
    <t>'952857667</t>
  </si>
  <si>
    <t>SUSAN EMMERT</t>
  </si>
  <si>
    <t>'953263323</t>
  </si>
  <si>
    <t>DIANA SORRENTINO</t>
  </si>
  <si>
    <t>'954290609</t>
  </si>
  <si>
    <t>DONALD DOLLAR</t>
  </si>
  <si>
    <t>'957051758</t>
  </si>
  <si>
    <t>LYNN ODDI</t>
  </si>
  <si>
    <t>'959144340</t>
  </si>
  <si>
    <t>LEONARD READ</t>
  </si>
  <si>
    <t>'970254922</t>
  </si>
  <si>
    <t>MARJORIE HARMS</t>
  </si>
  <si>
    <t>'972513660</t>
  </si>
  <si>
    <t>ANDREW BROWN</t>
  </si>
  <si>
    <t>'972544206</t>
  </si>
  <si>
    <t>SUSAN STAAT</t>
  </si>
  <si>
    <t>'973009221</t>
  </si>
  <si>
    <t>MARY WATT</t>
  </si>
  <si>
    <t>'975278396</t>
  </si>
  <si>
    <t>STEVEN RADEL</t>
  </si>
  <si>
    <t>'043565</t>
  </si>
  <si>
    <t>LORI TUNSTALL</t>
  </si>
  <si>
    <t>'976643581</t>
  </si>
  <si>
    <t>ALPHONSE BECCARD</t>
  </si>
  <si>
    <t>UHC MAPD Street payable to upline PA/CT- 2025 Replace</t>
  </si>
  <si>
    <t>'976643581OV</t>
  </si>
  <si>
    <t>'979478312</t>
  </si>
  <si>
    <t>THERESA ANDERSON</t>
  </si>
  <si>
    <t>'980349869</t>
  </si>
  <si>
    <t>LEIGH WETZEL</t>
  </si>
  <si>
    <t>'990114406</t>
  </si>
  <si>
    <t>WILLIAM NORWOOD</t>
  </si>
  <si>
    <t>'993410662</t>
  </si>
  <si>
    <t>DEVIN LEE</t>
  </si>
  <si>
    <t>'043692</t>
  </si>
  <si>
    <t>ADAM RICHTER</t>
  </si>
  <si>
    <t>'996928045</t>
  </si>
  <si>
    <t>JOHN SCHERMERHORN</t>
  </si>
  <si>
    <t>'A01895480</t>
  </si>
  <si>
    <t>PATRICIA STEPHENSON</t>
  </si>
  <si>
    <t>UHC AARP Med Supp 2025+ IN All Plans</t>
  </si>
  <si>
    <t>'A04365807</t>
  </si>
  <si>
    <t>SHERI HIESTON</t>
  </si>
  <si>
    <t>'A04366148</t>
  </si>
  <si>
    <t>ALBERT HOPKINS</t>
  </si>
  <si>
    <t>'A04367889</t>
  </si>
  <si>
    <t>ANNETTE EDWARDSON</t>
  </si>
  <si>
    <t>UHC AARP Med Supp 2026+ IL Plan F G</t>
  </si>
  <si>
    <t>'A04368308</t>
  </si>
  <si>
    <t>RANDI ZITRON</t>
  </si>
  <si>
    <t>UHC AARP Med Supp 2026+ AZ IL KS ME NC TN WV Plan B C D F G</t>
  </si>
  <si>
    <t>'A04368561</t>
  </si>
  <si>
    <t>JACQUELYNN BRIGGS</t>
  </si>
  <si>
    <t>CB</t>
  </si>
  <si>
    <t>'00023803100KPDPCB</t>
  </si>
  <si>
    <t>ANGELICA LABARBERA</t>
  </si>
  <si>
    <t>CHARGEBACK</t>
  </si>
  <si>
    <t>'00024565859KPDPCB</t>
  </si>
  <si>
    <t>'102200107100CB</t>
  </si>
  <si>
    <t>'102200136700CB</t>
  </si>
  <si>
    <t>'131758294CB</t>
  </si>
  <si>
    <t>SANDRA NOGUERAS SANTANA</t>
  </si>
  <si>
    <t>UHC MAPD Street payable to upline- 2025 Pro New</t>
  </si>
  <si>
    <t>'131758294OVCB</t>
  </si>
  <si>
    <t>UHC MA Direct 2025 New Prorated</t>
  </si>
  <si>
    <t>'902277837CB</t>
  </si>
  <si>
    <t>PEGGY LANG</t>
  </si>
  <si>
    <t>UHC MAPD Street payable to upline- 2025 Replace</t>
  </si>
  <si>
    <t>'902277837OVCB</t>
  </si>
  <si>
    <t>'927290651CB</t>
  </si>
  <si>
    <t>ANNETTE CARDONA MIRANDA</t>
  </si>
  <si>
    <t>'950654690CB</t>
  </si>
  <si>
    <t>UHC MAPD Street payable to upline - 2025 New</t>
  </si>
  <si>
    <t>'950654690OVCB</t>
  </si>
  <si>
    <t>'958939641CB</t>
  </si>
  <si>
    <t>'A04316329PC</t>
  </si>
  <si>
    <t>ALFONSO LOPEZ</t>
  </si>
  <si>
    <t>UHC AARP Med Supp TX Area 2  2025- Plan F &amp; G</t>
  </si>
  <si>
    <t>00000119198K</t>
  </si>
  <si>
    <t>00000260046D</t>
  </si>
  <si>
    <t>00000497361I</t>
  </si>
  <si>
    <t>00000781190K</t>
  </si>
  <si>
    <t>00002580176K</t>
  </si>
  <si>
    <t>00004476179K</t>
  </si>
  <si>
    <t>00006393824K</t>
  </si>
  <si>
    <t>00006977053K</t>
  </si>
  <si>
    <t>00007155782K</t>
  </si>
  <si>
    <t>00007368051K</t>
  </si>
  <si>
    <t>00007738402K</t>
  </si>
  <si>
    <t>00007832051K</t>
  </si>
  <si>
    <t>00007851058K</t>
  </si>
  <si>
    <t>00007937309K</t>
  </si>
  <si>
    <t>00008035060K</t>
  </si>
  <si>
    <t>00009083562K</t>
  </si>
  <si>
    <t>00009648551K</t>
  </si>
  <si>
    <t>00010413776K</t>
  </si>
  <si>
    <t>00011490079K</t>
  </si>
  <si>
    <t>00011877765K</t>
  </si>
  <si>
    <t>00011956148K</t>
  </si>
  <si>
    <t>00011962409K</t>
  </si>
  <si>
    <t>00012702701K</t>
  </si>
  <si>
    <t>00012902120K</t>
  </si>
  <si>
    <t>00012978613K</t>
  </si>
  <si>
    <t>00013062580K</t>
  </si>
  <si>
    <t>00013573633K</t>
  </si>
  <si>
    <t>00013813500K</t>
  </si>
  <si>
    <t>00013907636K</t>
  </si>
  <si>
    <t>00013990336K</t>
  </si>
  <si>
    <t>00015214337K</t>
  </si>
  <si>
    <t>00015770477K</t>
  </si>
  <si>
    <t>00016064056K</t>
  </si>
  <si>
    <t>00016102805K</t>
  </si>
  <si>
    <t>00016330432K</t>
  </si>
  <si>
    <t>00016914030K</t>
  </si>
  <si>
    <t>00017778527K</t>
  </si>
  <si>
    <t>00018214315K</t>
  </si>
  <si>
    <t>00018368840K</t>
  </si>
  <si>
    <t>00018869709K</t>
  </si>
  <si>
    <t>00019224627K</t>
  </si>
  <si>
    <t>00019265140K</t>
  </si>
  <si>
    <t>00019292757K</t>
  </si>
  <si>
    <t>00019321108K</t>
  </si>
  <si>
    <t>00019793768K</t>
  </si>
  <si>
    <t>00019967666K</t>
  </si>
  <si>
    <t>00020062203K</t>
  </si>
  <si>
    <t>00020137453K</t>
  </si>
  <si>
    <t>00020860905K</t>
  </si>
  <si>
    <t>00020900318K</t>
  </si>
  <si>
    <t>00020904940K</t>
  </si>
  <si>
    <t>00021344814K</t>
  </si>
  <si>
    <t>00021516553K</t>
  </si>
  <si>
    <t>00021683807K</t>
  </si>
  <si>
    <t>00021710751K</t>
  </si>
  <si>
    <t>00021862985K</t>
  </si>
  <si>
    <t>00021953385K</t>
  </si>
  <si>
    <t>00022200575K</t>
  </si>
  <si>
    <t>00022203375K</t>
  </si>
  <si>
    <t>00022442515K</t>
  </si>
  <si>
    <t>00022662380K</t>
  </si>
  <si>
    <t>00022985423K</t>
  </si>
  <si>
    <t>00022988358K</t>
  </si>
  <si>
    <t>00023072316K</t>
  </si>
  <si>
    <t>00023074746K</t>
  </si>
  <si>
    <t>00023114640K</t>
  </si>
  <si>
    <t>00023120301K</t>
  </si>
  <si>
    <t>00023122146K</t>
  </si>
  <si>
    <t>00023482902K</t>
  </si>
  <si>
    <t>00023765948K</t>
  </si>
  <si>
    <t>00024166424K</t>
  </si>
  <si>
    <t>00024565859KPDP</t>
  </si>
  <si>
    <t>00024685235K</t>
  </si>
  <si>
    <t>00024687353K</t>
  </si>
  <si>
    <t>00024689320K</t>
  </si>
  <si>
    <t>00024689391K</t>
  </si>
  <si>
    <t>00024690178K</t>
  </si>
  <si>
    <t>00024693674K</t>
  </si>
  <si>
    <t>00024695043K</t>
  </si>
  <si>
    <t>00024695321K</t>
  </si>
  <si>
    <t>00024695701KPDP</t>
  </si>
  <si>
    <t>00024696042K</t>
  </si>
  <si>
    <t>00024697016K</t>
  </si>
  <si>
    <t>00024697948K</t>
  </si>
  <si>
    <t>00024698402K</t>
  </si>
  <si>
    <t>00024699362K</t>
  </si>
  <si>
    <t>00024701707K</t>
  </si>
  <si>
    <t>00024703143K</t>
  </si>
  <si>
    <t>00024703872K</t>
  </si>
  <si>
    <t>00024704222K</t>
  </si>
  <si>
    <t>00024704975K</t>
  </si>
  <si>
    <t>00024705286KPDP</t>
  </si>
  <si>
    <t>00024705354K</t>
  </si>
  <si>
    <t>00024705427K</t>
  </si>
  <si>
    <t>00024707822K</t>
  </si>
  <si>
    <t>00024709153K</t>
  </si>
  <si>
    <t>00024709962K</t>
  </si>
  <si>
    <t>00024712026K</t>
  </si>
  <si>
    <t>00024713005K</t>
  </si>
  <si>
    <t>00024713081K</t>
  </si>
  <si>
    <t>00024714272K</t>
  </si>
  <si>
    <t>00024714293KPDP</t>
  </si>
  <si>
    <t>00024714467K</t>
  </si>
  <si>
    <t>00024716880K</t>
  </si>
  <si>
    <t>00024717149K</t>
  </si>
  <si>
    <t>00024720232K</t>
  </si>
  <si>
    <t>00024721397K</t>
  </si>
  <si>
    <t>00024723967K</t>
  </si>
  <si>
    <t>00024724403K</t>
  </si>
  <si>
    <t>00024727623K</t>
  </si>
  <si>
    <t>00024729351K</t>
  </si>
  <si>
    <t>00024729595K</t>
  </si>
  <si>
    <t>00024730417K</t>
  </si>
  <si>
    <t>00024732248K</t>
  </si>
  <si>
    <t>00024737026K</t>
  </si>
  <si>
    <t>00024737161KPDP</t>
  </si>
  <si>
    <t>00024738351K</t>
  </si>
  <si>
    <t>00024739227K</t>
  </si>
  <si>
    <t>00024740480KPDP</t>
  </si>
  <si>
    <t>00024742028K</t>
  </si>
  <si>
    <t>00024742171K</t>
  </si>
  <si>
    <t>00024743893K</t>
  </si>
  <si>
    <t>00024744052K</t>
  </si>
  <si>
    <t>00024745815K</t>
  </si>
  <si>
    <t>00024746858K</t>
  </si>
  <si>
    <t>00024749345K</t>
  </si>
  <si>
    <t>00024755268K</t>
  </si>
  <si>
    <t>00024758895K</t>
  </si>
  <si>
    <t>00024758943K</t>
  </si>
  <si>
    <t>00024760304K</t>
  </si>
  <si>
    <t>00024764952K</t>
  </si>
  <si>
    <t>00024764983K</t>
  </si>
  <si>
    <t>00024765849K</t>
  </si>
  <si>
    <t>00024766498K</t>
  </si>
  <si>
    <t>00024766878K</t>
  </si>
  <si>
    <t>00024767806K</t>
  </si>
  <si>
    <t>00024768851K</t>
  </si>
  <si>
    <t>00024770450K</t>
  </si>
  <si>
    <t>00024772296K</t>
  </si>
  <si>
    <t>00024772712K</t>
  </si>
  <si>
    <t>00024773766K</t>
  </si>
  <si>
    <t>00024775303K</t>
  </si>
  <si>
    <t>00024777491K</t>
  </si>
  <si>
    <t>00024780029K</t>
  </si>
  <si>
    <t>00024780521K</t>
  </si>
  <si>
    <t>00024781637K</t>
  </si>
  <si>
    <t>00024781702K</t>
  </si>
  <si>
    <t>00024785306K</t>
  </si>
  <si>
    <t>00024785465K</t>
  </si>
  <si>
    <t>00024787021K</t>
  </si>
  <si>
    <t>00024787947K</t>
  </si>
  <si>
    <t>00024790178K</t>
  </si>
  <si>
    <t>00024790618K</t>
  </si>
  <si>
    <t>00024790873K</t>
  </si>
  <si>
    <t>00024791232K</t>
  </si>
  <si>
    <t>00024791577K</t>
  </si>
  <si>
    <t>00024793627K</t>
  </si>
  <si>
    <t>00024794949K</t>
  </si>
  <si>
    <t>00024798121K</t>
  </si>
  <si>
    <t>00024798574K</t>
  </si>
  <si>
    <t>00024800029K</t>
  </si>
  <si>
    <t>00024803848K</t>
  </si>
  <si>
    <t>00024805690K</t>
  </si>
  <si>
    <t>00024807949K</t>
  </si>
  <si>
    <t>00024812921K</t>
  </si>
  <si>
    <t>00024814837K</t>
  </si>
  <si>
    <t>00024814875K</t>
  </si>
  <si>
    <t>00024816293K</t>
  </si>
  <si>
    <t>00024816985K</t>
  </si>
  <si>
    <t>00024818329K</t>
  </si>
  <si>
    <t>00024820736K</t>
  </si>
  <si>
    <t>00024821466K</t>
  </si>
  <si>
    <t>00024823334K</t>
  </si>
  <si>
    <t>00024824483K</t>
  </si>
  <si>
    <t>00024827694K</t>
  </si>
  <si>
    <t>00024828279K</t>
  </si>
  <si>
    <t>00024829757K</t>
  </si>
  <si>
    <t>00024830366K</t>
  </si>
  <si>
    <t>00024830605K</t>
  </si>
  <si>
    <t>00024832718K</t>
  </si>
  <si>
    <t>00024834769K</t>
  </si>
  <si>
    <t>00024835520K</t>
  </si>
  <si>
    <t>00024835556K</t>
  </si>
  <si>
    <t>00024837075K</t>
  </si>
  <si>
    <t>00024839668K</t>
  </si>
  <si>
    <t>00024840234K</t>
  </si>
  <si>
    <t>00024841501K</t>
  </si>
  <si>
    <t>00024842390K</t>
  </si>
  <si>
    <t>00024843418K</t>
  </si>
  <si>
    <t>00024843428K</t>
  </si>
  <si>
    <t>00024845676K</t>
  </si>
  <si>
    <t>00024846786K</t>
  </si>
  <si>
    <t>00024847287K</t>
  </si>
  <si>
    <t>00024847886K</t>
  </si>
  <si>
    <t>00024848882K</t>
  </si>
  <si>
    <t>00024850573K</t>
  </si>
  <si>
    <t>00024851311K</t>
  </si>
  <si>
    <t>00024852223K</t>
  </si>
  <si>
    <t>00024852233K</t>
  </si>
  <si>
    <t>00024854538K</t>
  </si>
  <si>
    <t>00024855174K</t>
  </si>
  <si>
    <t>00024855255K</t>
  </si>
  <si>
    <t>00024856642K</t>
  </si>
  <si>
    <t>00024858265K</t>
  </si>
  <si>
    <t>00024860266K</t>
  </si>
  <si>
    <t>00024860538K</t>
  </si>
  <si>
    <t>00024861668K</t>
  </si>
  <si>
    <t>00024861722K</t>
  </si>
  <si>
    <t>00024862089K</t>
  </si>
  <si>
    <t>00024862095K</t>
  </si>
  <si>
    <t>00024862288K</t>
  </si>
  <si>
    <t>00024863190K</t>
  </si>
  <si>
    <t>00024864113K</t>
  </si>
  <si>
    <t>00024867322K</t>
  </si>
  <si>
    <t>00024868285K</t>
  </si>
  <si>
    <t>00024869293K</t>
  </si>
  <si>
    <t>00024870055K</t>
  </si>
  <si>
    <t>00024872183K</t>
  </si>
  <si>
    <t>00024873552K</t>
  </si>
  <si>
    <t>00024874733K</t>
  </si>
  <si>
    <t>00024876715K</t>
  </si>
  <si>
    <t>00024877830K</t>
  </si>
  <si>
    <t>00024879617K</t>
  </si>
  <si>
    <t>00024883243K</t>
  </si>
  <si>
    <t>00024884778K</t>
  </si>
  <si>
    <t>00024890670K</t>
  </si>
  <si>
    <t>00024892170K</t>
  </si>
  <si>
    <t>00024892655K</t>
  </si>
  <si>
    <t>00024894353K</t>
  </si>
  <si>
    <t>00024894667K</t>
  </si>
  <si>
    <t>00024894747K</t>
  </si>
  <si>
    <t>00024895169K</t>
  </si>
  <si>
    <t>211W24349</t>
  </si>
  <si>
    <t>36A3X2H39</t>
  </si>
  <si>
    <t>488W24198</t>
  </si>
  <si>
    <t>A01895480</t>
  </si>
  <si>
    <t>A04365807</t>
  </si>
  <si>
    <t>A04366148</t>
  </si>
  <si>
    <t>A04367889</t>
  </si>
  <si>
    <t>A04368308</t>
  </si>
  <si>
    <t>A04368561</t>
  </si>
  <si>
    <t>Aetna MAPD OVR 2025</t>
  </si>
  <si>
    <t>Anthem MAPD 2025 OVR</t>
  </si>
  <si>
    <t>Cigna MAPD 2025 Ovr</t>
  </si>
  <si>
    <t>Humana MAPD OVR 2025</t>
  </si>
  <si>
    <t>Humana PDP 2025!</t>
  </si>
  <si>
    <t>UHC AARP Med Supp TX Area 2 2025- Plan F &amp; G</t>
  </si>
  <si>
    <t>UHC MAPD Ovr 2025</t>
  </si>
  <si>
    <t>UHC 2025 CT, PA, DC *</t>
  </si>
  <si>
    <t>UHC MAPD 2025*</t>
  </si>
  <si>
    <t>UHC 2025</t>
  </si>
  <si>
    <t>[%/$=353][prorate=1/12]</t>
  </si>
  <si>
    <t>[%/$=313][prorate=6/12]</t>
  </si>
  <si>
    <t>[%/$=313][prorate=3/12]</t>
  </si>
  <si>
    <t>[%/$=626]</t>
  </si>
  <si>
    <t>Main Line Benefits</t>
  </si>
  <si>
    <t>20003537old</t>
  </si>
  <si>
    <t>17528908N</t>
  </si>
  <si>
    <t>00023803100KPDP</t>
  </si>
  <si>
    <t>A04316329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</si>
</sst>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1" fontId="14" fillId="33" borderId="0" xfId="0" applyNumberFormat="1" applyFont="1" applyFill="1" applyAlignment="1">
      <alignment horizontal="left"/>
    </xf>
    <xf numFmtId="0" fontId="0" fillId="34" borderId="0" xfId="0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0B04-0D89-4971-B135-BE079578D218}">
  <dimension ref="A1:AL308"/>
  <sheetViews>
    <sheetView topLeftCell="A277" workbookViewId="0">
      <selection activeCell="A293" sqref="A293:XFD293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9.7109375" bestFit="1" customWidth="1"/>
    <col min="10" max="10" width="28.42578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4.5703125" bestFit="1" customWidth="1"/>
    <col min="17" max="17" width="12.85546875" bestFit="1" customWidth="1"/>
    <col min="18" max="18" width="58.28515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45986</v>
      </c>
      <c r="B2" s="1">
        <v>45987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6041324</v>
      </c>
    </row>
    <row r="3" spans="1:38" x14ac:dyDescent="0.25">
      <c r="A3" s="1">
        <v>45986</v>
      </c>
      <c r="B3" s="1">
        <v>45987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50</v>
      </c>
      <c r="S3" s="1">
        <v>46023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6041325</v>
      </c>
    </row>
    <row r="4" spans="1:38" x14ac:dyDescent="0.25">
      <c r="A4" s="1">
        <v>45986</v>
      </c>
      <c r="B4" s="1">
        <v>45987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57</v>
      </c>
      <c r="J4" t="s">
        <v>58</v>
      </c>
      <c r="M4" t="s">
        <v>59</v>
      </c>
      <c r="O4" t="s">
        <v>60</v>
      </c>
      <c r="P4" t="s">
        <v>61</v>
      </c>
      <c r="Q4" t="s">
        <v>49</v>
      </c>
      <c r="R4" t="s">
        <v>50</v>
      </c>
      <c r="S4" s="1">
        <v>46023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6041226</v>
      </c>
    </row>
    <row r="5" spans="1:38" x14ac:dyDescent="0.25">
      <c r="A5" s="1">
        <v>45986</v>
      </c>
      <c r="B5" s="1">
        <v>45987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46</v>
      </c>
      <c r="O5" t="s">
        <v>64</v>
      </c>
      <c r="P5" t="s">
        <v>65</v>
      </c>
      <c r="Q5" t="s">
        <v>49</v>
      </c>
      <c r="R5" t="s">
        <v>66</v>
      </c>
      <c r="S5" s="1">
        <v>46023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6040849</v>
      </c>
    </row>
    <row r="6" spans="1:38" x14ac:dyDescent="0.25">
      <c r="A6" s="1">
        <v>45986</v>
      </c>
      <c r="B6" s="1">
        <v>45987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46</v>
      </c>
      <c r="O6" t="s">
        <v>47</v>
      </c>
      <c r="P6" t="s">
        <v>48</v>
      </c>
      <c r="Q6" t="s">
        <v>49</v>
      </c>
      <c r="R6" t="s">
        <v>50</v>
      </c>
      <c r="S6" s="1">
        <v>46023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6041326</v>
      </c>
    </row>
    <row r="7" spans="1:38" x14ac:dyDescent="0.25">
      <c r="A7" s="1">
        <v>45986</v>
      </c>
      <c r="B7" s="1">
        <v>45987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71</v>
      </c>
      <c r="O7" t="s">
        <v>72</v>
      </c>
      <c r="P7" t="s">
        <v>73</v>
      </c>
      <c r="Q7" t="s">
        <v>49</v>
      </c>
      <c r="R7" t="s">
        <v>50</v>
      </c>
      <c r="S7" s="1">
        <v>46023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6041327</v>
      </c>
    </row>
    <row r="8" spans="1:38" x14ac:dyDescent="0.25">
      <c r="A8" s="1">
        <v>45986</v>
      </c>
      <c r="B8" s="1">
        <v>45987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64</v>
      </c>
      <c r="P8" t="s">
        <v>65</v>
      </c>
      <c r="Q8" t="s">
        <v>49</v>
      </c>
      <c r="R8" t="s">
        <v>50</v>
      </c>
      <c r="S8" s="1">
        <v>46023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6041328</v>
      </c>
    </row>
    <row r="9" spans="1:38" x14ac:dyDescent="0.25">
      <c r="A9" s="1">
        <v>45986</v>
      </c>
      <c r="B9" s="1">
        <v>45987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76</v>
      </c>
      <c r="J9" t="s">
        <v>77</v>
      </c>
      <c r="M9" t="s">
        <v>59</v>
      </c>
      <c r="O9" t="s">
        <v>60</v>
      </c>
      <c r="P9" t="s">
        <v>61</v>
      </c>
      <c r="Q9" t="s">
        <v>49</v>
      </c>
      <c r="R9" t="s">
        <v>50</v>
      </c>
      <c r="S9" s="1">
        <v>46023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6041234</v>
      </c>
    </row>
    <row r="10" spans="1:38" x14ac:dyDescent="0.25">
      <c r="A10" s="1">
        <v>45986</v>
      </c>
      <c r="B10" s="1">
        <v>45987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78</v>
      </c>
      <c r="J10" t="s">
        <v>79</v>
      </c>
      <c r="M10" t="s">
        <v>46</v>
      </c>
      <c r="O10" t="s">
        <v>80</v>
      </c>
      <c r="P10" t="s">
        <v>81</v>
      </c>
      <c r="Q10" t="s">
        <v>49</v>
      </c>
      <c r="R10" t="s">
        <v>66</v>
      </c>
      <c r="S10" s="1">
        <v>46023</v>
      </c>
      <c r="U10" t="s">
        <v>51</v>
      </c>
      <c r="X10" t="s">
        <v>52</v>
      </c>
      <c r="Y10" s="2">
        <v>0</v>
      </c>
      <c r="Z10" s="2">
        <v>108</v>
      </c>
      <c r="AA10">
        <v>1</v>
      </c>
      <c r="AB10" s="3">
        <v>1</v>
      </c>
      <c r="AC10" s="2">
        <v>108</v>
      </c>
      <c r="AD10" s="3">
        <v>0</v>
      </c>
      <c r="AE10" s="2">
        <v>0</v>
      </c>
      <c r="AF10" s="2">
        <v>108</v>
      </c>
      <c r="AK10">
        <v>6040850</v>
      </c>
    </row>
    <row r="11" spans="1:38" x14ac:dyDescent="0.25">
      <c r="A11" s="1">
        <v>45986</v>
      </c>
      <c r="B11" s="1">
        <v>45987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82</v>
      </c>
      <c r="J11" t="s">
        <v>83</v>
      </c>
      <c r="M11" t="s">
        <v>46</v>
      </c>
      <c r="O11" t="s">
        <v>84</v>
      </c>
      <c r="P11" t="s">
        <v>85</v>
      </c>
      <c r="Q11" t="s">
        <v>49</v>
      </c>
      <c r="R11" t="s">
        <v>50</v>
      </c>
      <c r="S11" s="1">
        <v>46023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6041329</v>
      </c>
    </row>
    <row r="12" spans="1:38" x14ac:dyDescent="0.25">
      <c r="A12" s="1">
        <v>45986</v>
      </c>
      <c r="B12" s="1">
        <v>45987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86</v>
      </c>
      <c r="J12" t="s">
        <v>87</v>
      </c>
      <c r="M12" t="s">
        <v>46</v>
      </c>
      <c r="O12" t="s">
        <v>64</v>
      </c>
      <c r="P12" t="s">
        <v>65</v>
      </c>
      <c r="Q12" t="s">
        <v>49</v>
      </c>
      <c r="R12" t="s">
        <v>66</v>
      </c>
      <c r="S12" s="1">
        <v>46023</v>
      </c>
      <c r="U12" t="s">
        <v>51</v>
      </c>
      <c r="X12" t="s">
        <v>52</v>
      </c>
      <c r="Y12" s="2">
        <v>0</v>
      </c>
      <c r="Z12" s="2">
        <v>108</v>
      </c>
      <c r="AA12">
        <v>1</v>
      </c>
      <c r="AB12" s="3">
        <v>1</v>
      </c>
      <c r="AC12" s="2">
        <v>108</v>
      </c>
      <c r="AD12" s="3">
        <v>0</v>
      </c>
      <c r="AE12" s="2">
        <v>0</v>
      </c>
      <c r="AF12" s="2">
        <v>108</v>
      </c>
      <c r="AK12">
        <v>6040851</v>
      </c>
    </row>
    <row r="13" spans="1:38" x14ac:dyDescent="0.25">
      <c r="A13" s="1">
        <v>45986</v>
      </c>
      <c r="B13" s="1">
        <v>45987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88</v>
      </c>
      <c r="J13" t="s">
        <v>89</v>
      </c>
      <c r="M13" t="s">
        <v>46</v>
      </c>
      <c r="O13" t="s">
        <v>64</v>
      </c>
      <c r="P13" t="s">
        <v>65</v>
      </c>
      <c r="Q13" t="s">
        <v>49</v>
      </c>
      <c r="R13" t="s">
        <v>66</v>
      </c>
      <c r="S13" s="1">
        <v>46023</v>
      </c>
      <c r="U13" t="s">
        <v>51</v>
      </c>
      <c r="X13" t="s">
        <v>52</v>
      </c>
      <c r="Y13" s="2">
        <v>0</v>
      </c>
      <c r="Z13" s="2">
        <v>108</v>
      </c>
      <c r="AA13">
        <v>1</v>
      </c>
      <c r="AB13" s="3">
        <v>1</v>
      </c>
      <c r="AC13" s="2">
        <v>108</v>
      </c>
      <c r="AD13" s="3">
        <v>0</v>
      </c>
      <c r="AE13" s="2">
        <v>0</v>
      </c>
      <c r="AF13" s="2">
        <v>108</v>
      </c>
      <c r="AK13">
        <v>6040852</v>
      </c>
    </row>
    <row r="14" spans="1:38" x14ac:dyDescent="0.25">
      <c r="A14" s="1">
        <v>45986</v>
      </c>
      <c r="B14" s="1">
        <v>45987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90</v>
      </c>
      <c r="J14" t="s">
        <v>91</v>
      </c>
      <c r="M14" t="s">
        <v>46</v>
      </c>
      <c r="O14" t="s">
        <v>92</v>
      </c>
      <c r="P14" t="s">
        <v>93</v>
      </c>
      <c r="Q14" t="s">
        <v>49</v>
      </c>
      <c r="R14" t="s">
        <v>66</v>
      </c>
      <c r="S14" s="1">
        <v>46023</v>
      </c>
      <c r="U14" t="s">
        <v>51</v>
      </c>
      <c r="X14" t="s">
        <v>52</v>
      </c>
      <c r="Y14" s="2">
        <v>0</v>
      </c>
      <c r="Z14" s="2">
        <v>108</v>
      </c>
      <c r="AA14">
        <v>1</v>
      </c>
      <c r="AB14" s="3">
        <v>1</v>
      </c>
      <c r="AC14" s="2">
        <v>108</v>
      </c>
      <c r="AD14" s="3">
        <v>0</v>
      </c>
      <c r="AE14" s="2">
        <v>0</v>
      </c>
      <c r="AF14" s="2">
        <v>108</v>
      </c>
      <c r="AK14">
        <v>6040853</v>
      </c>
    </row>
    <row r="15" spans="1:38" x14ac:dyDescent="0.25">
      <c r="A15" s="1">
        <v>45986</v>
      </c>
      <c r="B15" s="1">
        <v>45987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94</v>
      </c>
      <c r="J15" t="s">
        <v>95</v>
      </c>
      <c r="M15" t="s">
        <v>46</v>
      </c>
      <c r="O15" t="s">
        <v>96</v>
      </c>
      <c r="P15" t="s">
        <v>97</v>
      </c>
      <c r="Q15" t="s">
        <v>49</v>
      </c>
      <c r="R15" t="s">
        <v>50</v>
      </c>
      <c r="S15" s="1">
        <v>46023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6041330</v>
      </c>
    </row>
    <row r="16" spans="1:38" x14ac:dyDescent="0.25">
      <c r="A16" s="1">
        <v>45986</v>
      </c>
      <c r="B16" s="1">
        <v>45987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98</v>
      </c>
      <c r="J16" t="s">
        <v>99</v>
      </c>
      <c r="M16" t="s">
        <v>46</v>
      </c>
      <c r="O16" t="s">
        <v>100</v>
      </c>
      <c r="P16" t="s">
        <v>101</v>
      </c>
      <c r="Q16" t="s">
        <v>49</v>
      </c>
      <c r="R16" t="s">
        <v>66</v>
      </c>
      <c r="S16" s="1">
        <v>46023</v>
      </c>
      <c r="U16" t="s">
        <v>51</v>
      </c>
      <c r="X16" t="s">
        <v>52</v>
      </c>
      <c r="Y16" s="2">
        <v>0</v>
      </c>
      <c r="Z16" s="2">
        <v>108</v>
      </c>
      <c r="AA16">
        <v>1</v>
      </c>
      <c r="AB16" s="3">
        <v>1</v>
      </c>
      <c r="AC16" s="2">
        <v>108</v>
      </c>
      <c r="AD16" s="3">
        <v>0</v>
      </c>
      <c r="AE16" s="2">
        <v>0</v>
      </c>
      <c r="AF16" s="2">
        <v>108</v>
      </c>
      <c r="AK16">
        <v>6040812</v>
      </c>
    </row>
    <row r="17" spans="1:37" x14ac:dyDescent="0.25">
      <c r="A17" s="1">
        <v>45986</v>
      </c>
      <c r="B17" s="1">
        <v>45987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102</v>
      </c>
      <c r="J17" t="s">
        <v>103</v>
      </c>
      <c r="M17" t="s">
        <v>46</v>
      </c>
      <c r="O17" t="s">
        <v>104</v>
      </c>
      <c r="P17" t="s">
        <v>105</v>
      </c>
      <c r="Q17" t="s">
        <v>49</v>
      </c>
      <c r="R17" t="s">
        <v>66</v>
      </c>
      <c r="S17" s="1">
        <v>46023</v>
      </c>
      <c r="U17" t="s">
        <v>51</v>
      </c>
      <c r="X17" t="s">
        <v>52</v>
      </c>
      <c r="Y17" s="2">
        <v>0</v>
      </c>
      <c r="Z17" s="2">
        <v>108</v>
      </c>
      <c r="AA17">
        <v>1</v>
      </c>
      <c r="AB17" s="3">
        <v>1</v>
      </c>
      <c r="AC17" s="2">
        <v>108</v>
      </c>
      <c r="AD17" s="3">
        <v>0</v>
      </c>
      <c r="AE17" s="2">
        <v>0</v>
      </c>
      <c r="AF17" s="2">
        <v>108</v>
      </c>
      <c r="AK17">
        <v>6040854</v>
      </c>
    </row>
    <row r="18" spans="1:37" x14ac:dyDescent="0.25">
      <c r="A18" s="1">
        <v>45986</v>
      </c>
      <c r="B18" s="1">
        <v>45987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106</v>
      </c>
      <c r="J18" t="s">
        <v>107</v>
      </c>
      <c r="M18" t="s">
        <v>46</v>
      </c>
      <c r="O18" t="s">
        <v>108</v>
      </c>
      <c r="P18" t="s">
        <v>109</v>
      </c>
      <c r="Q18" t="s">
        <v>49</v>
      </c>
      <c r="R18" t="s">
        <v>50</v>
      </c>
      <c r="S18" s="1">
        <v>46023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6041331</v>
      </c>
    </row>
    <row r="19" spans="1:37" x14ac:dyDescent="0.25">
      <c r="A19" s="1">
        <v>45986</v>
      </c>
      <c r="B19" s="1">
        <v>45987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110</v>
      </c>
      <c r="J19" t="s">
        <v>111</v>
      </c>
      <c r="M19" t="s">
        <v>46</v>
      </c>
      <c r="O19" t="s">
        <v>104</v>
      </c>
      <c r="P19" t="s">
        <v>105</v>
      </c>
      <c r="Q19" t="s">
        <v>49</v>
      </c>
      <c r="R19" t="s">
        <v>66</v>
      </c>
      <c r="S19" s="1">
        <v>46023</v>
      </c>
      <c r="U19" t="s">
        <v>51</v>
      </c>
      <c r="X19" t="s">
        <v>52</v>
      </c>
      <c r="Y19" s="2">
        <v>0</v>
      </c>
      <c r="Z19" s="2">
        <v>108</v>
      </c>
      <c r="AA19">
        <v>1</v>
      </c>
      <c r="AB19" s="3">
        <v>1</v>
      </c>
      <c r="AC19" s="2">
        <v>108</v>
      </c>
      <c r="AD19" s="3">
        <v>0</v>
      </c>
      <c r="AE19" s="2">
        <v>0</v>
      </c>
      <c r="AF19" s="2">
        <v>108</v>
      </c>
      <c r="AK19">
        <v>6040855</v>
      </c>
    </row>
    <row r="20" spans="1:37" x14ac:dyDescent="0.25">
      <c r="A20" s="1">
        <v>45986</v>
      </c>
      <c r="B20" s="1">
        <v>45987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112</v>
      </c>
      <c r="J20" t="s">
        <v>113</v>
      </c>
      <c r="M20" t="s">
        <v>46</v>
      </c>
      <c r="O20" t="s">
        <v>114</v>
      </c>
      <c r="P20" t="s">
        <v>115</v>
      </c>
      <c r="Q20" t="s">
        <v>49</v>
      </c>
      <c r="R20" t="s">
        <v>50</v>
      </c>
      <c r="S20" s="1">
        <v>46023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6041332</v>
      </c>
    </row>
    <row r="21" spans="1:37" x14ac:dyDescent="0.25">
      <c r="A21" s="1">
        <v>45986</v>
      </c>
      <c r="B21" s="1">
        <v>45987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116</v>
      </c>
      <c r="J21" t="s">
        <v>117</v>
      </c>
      <c r="M21" t="s">
        <v>46</v>
      </c>
      <c r="O21" t="s">
        <v>92</v>
      </c>
      <c r="P21" t="s">
        <v>93</v>
      </c>
      <c r="Q21" t="s">
        <v>49</v>
      </c>
      <c r="R21" t="s">
        <v>66</v>
      </c>
      <c r="S21" s="1">
        <v>46023</v>
      </c>
      <c r="U21" t="s">
        <v>51</v>
      </c>
      <c r="X21" t="s">
        <v>52</v>
      </c>
      <c r="Y21" s="2">
        <v>0</v>
      </c>
      <c r="Z21" s="2">
        <v>108</v>
      </c>
      <c r="AA21">
        <v>1</v>
      </c>
      <c r="AB21" s="3">
        <v>1</v>
      </c>
      <c r="AC21" s="2">
        <v>108</v>
      </c>
      <c r="AD21" s="3">
        <v>0</v>
      </c>
      <c r="AE21" s="2">
        <v>0</v>
      </c>
      <c r="AF21" s="2">
        <v>108</v>
      </c>
      <c r="AK21">
        <v>6040856</v>
      </c>
    </row>
    <row r="22" spans="1:37" x14ac:dyDescent="0.25">
      <c r="A22" s="1">
        <v>45986</v>
      </c>
      <c r="B22" s="1">
        <v>45987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118</v>
      </c>
      <c r="J22" t="s">
        <v>119</v>
      </c>
      <c r="M22" t="s">
        <v>46</v>
      </c>
      <c r="O22" t="s">
        <v>47</v>
      </c>
      <c r="P22" t="s">
        <v>48</v>
      </c>
      <c r="Q22" t="s">
        <v>49</v>
      </c>
      <c r="R22" t="s">
        <v>66</v>
      </c>
      <c r="S22" s="1">
        <v>46023</v>
      </c>
      <c r="U22" t="s">
        <v>51</v>
      </c>
      <c r="X22" t="s">
        <v>52</v>
      </c>
      <c r="Y22" s="2">
        <v>0</v>
      </c>
      <c r="Z22" s="2">
        <v>108</v>
      </c>
      <c r="AA22">
        <v>1</v>
      </c>
      <c r="AB22" s="3">
        <v>1</v>
      </c>
      <c r="AC22" s="2">
        <v>108</v>
      </c>
      <c r="AD22" s="3">
        <v>0</v>
      </c>
      <c r="AE22" s="2">
        <v>0</v>
      </c>
      <c r="AF22" s="2">
        <v>108</v>
      </c>
      <c r="AK22">
        <v>6040857</v>
      </c>
    </row>
    <row r="23" spans="1:37" x14ac:dyDescent="0.25">
      <c r="A23" s="1">
        <v>45986</v>
      </c>
      <c r="B23" s="1">
        <v>45987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120</v>
      </c>
      <c r="J23" t="s">
        <v>121</v>
      </c>
      <c r="M23" t="s">
        <v>46</v>
      </c>
      <c r="O23" t="s">
        <v>47</v>
      </c>
      <c r="P23" t="s">
        <v>48</v>
      </c>
      <c r="Q23" t="s">
        <v>49</v>
      </c>
      <c r="R23" t="s">
        <v>66</v>
      </c>
      <c r="S23" s="1">
        <v>46023</v>
      </c>
      <c r="U23" t="s">
        <v>51</v>
      </c>
      <c r="X23" t="s">
        <v>52</v>
      </c>
      <c r="Y23" s="2">
        <v>0</v>
      </c>
      <c r="Z23" s="2">
        <v>108</v>
      </c>
      <c r="AA23">
        <v>1</v>
      </c>
      <c r="AB23" s="3">
        <v>1</v>
      </c>
      <c r="AC23" s="2">
        <v>108</v>
      </c>
      <c r="AD23" s="3">
        <v>0</v>
      </c>
      <c r="AE23" s="2">
        <v>0</v>
      </c>
      <c r="AF23" s="2">
        <v>108</v>
      </c>
      <c r="AK23">
        <v>6040858</v>
      </c>
    </row>
    <row r="24" spans="1:37" x14ac:dyDescent="0.25">
      <c r="A24" s="1">
        <v>45986</v>
      </c>
      <c r="B24" s="1">
        <v>45987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122</v>
      </c>
      <c r="J24" t="s">
        <v>123</v>
      </c>
      <c r="M24" t="s">
        <v>46</v>
      </c>
      <c r="O24" t="s">
        <v>64</v>
      </c>
      <c r="P24" t="s">
        <v>65</v>
      </c>
      <c r="Q24" t="s">
        <v>49</v>
      </c>
      <c r="R24" t="s">
        <v>66</v>
      </c>
      <c r="S24" s="1">
        <v>46023</v>
      </c>
      <c r="U24" t="s">
        <v>51</v>
      </c>
      <c r="X24" t="s">
        <v>52</v>
      </c>
      <c r="Y24" s="2">
        <v>0</v>
      </c>
      <c r="Z24" s="2">
        <v>108</v>
      </c>
      <c r="AA24">
        <v>1</v>
      </c>
      <c r="AB24" s="3">
        <v>1</v>
      </c>
      <c r="AC24" s="2">
        <v>108</v>
      </c>
      <c r="AD24" s="3">
        <v>0</v>
      </c>
      <c r="AE24" s="2">
        <v>0</v>
      </c>
      <c r="AF24" s="2">
        <v>108</v>
      </c>
      <c r="AK24">
        <v>6040859</v>
      </c>
    </row>
    <row r="25" spans="1:37" x14ac:dyDescent="0.25">
      <c r="A25" s="1">
        <v>45986</v>
      </c>
      <c r="B25" s="1">
        <v>45987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124</v>
      </c>
      <c r="J25" t="s">
        <v>125</v>
      </c>
      <c r="M25" t="s">
        <v>46</v>
      </c>
      <c r="O25" t="s">
        <v>64</v>
      </c>
      <c r="P25" t="s">
        <v>65</v>
      </c>
      <c r="Q25" t="s">
        <v>49</v>
      </c>
      <c r="R25" t="s">
        <v>50</v>
      </c>
      <c r="S25" s="1">
        <v>46023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6041333</v>
      </c>
    </row>
    <row r="26" spans="1:37" x14ac:dyDescent="0.25">
      <c r="A26" s="1">
        <v>45986</v>
      </c>
      <c r="B26" s="1">
        <v>45987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126</v>
      </c>
      <c r="J26" t="s">
        <v>127</v>
      </c>
      <c r="M26" t="s">
        <v>46</v>
      </c>
      <c r="O26" t="s">
        <v>92</v>
      </c>
      <c r="P26" t="s">
        <v>93</v>
      </c>
      <c r="Q26" t="s">
        <v>49</v>
      </c>
      <c r="R26" t="s">
        <v>50</v>
      </c>
      <c r="S26" s="1">
        <v>46023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6041334</v>
      </c>
    </row>
    <row r="27" spans="1:37" x14ac:dyDescent="0.25">
      <c r="A27" s="1">
        <v>45986</v>
      </c>
      <c r="B27" s="1">
        <v>45987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128</v>
      </c>
      <c r="J27" t="s">
        <v>129</v>
      </c>
      <c r="M27" t="s">
        <v>130</v>
      </c>
      <c r="O27" t="s">
        <v>131</v>
      </c>
      <c r="P27" t="s">
        <v>132</v>
      </c>
      <c r="Q27" t="s">
        <v>49</v>
      </c>
      <c r="R27" t="s">
        <v>50</v>
      </c>
      <c r="S27" s="1">
        <v>46023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6041241</v>
      </c>
    </row>
    <row r="28" spans="1:37" x14ac:dyDescent="0.25">
      <c r="A28" s="1">
        <v>45986</v>
      </c>
      <c r="B28" s="1">
        <v>45987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133</v>
      </c>
      <c r="J28" t="s">
        <v>134</v>
      </c>
      <c r="M28" t="s">
        <v>46</v>
      </c>
      <c r="O28" t="s">
        <v>104</v>
      </c>
      <c r="P28" t="s">
        <v>105</v>
      </c>
      <c r="Q28" t="s">
        <v>49</v>
      </c>
      <c r="R28" t="s">
        <v>66</v>
      </c>
      <c r="S28" s="1">
        <v>46023</v>
      </c>
      <c r="U28" t="s">
        <v>51</v>
      </c>
      <c r="X28" t="s">
        <v>52</v>
      </c>
      <c r="Y28" s="2">
        <v>0</v>
      </c>
      <c r="Z28" s="2">
        <v>108</v>
      </c>
      <c r="AA28">
        <v>1</v>
      </c>
      <c r="AB28" s="3">
        <v>1</v>
      </c>
      <c r="AC28" s="2">
        <v>108</v>
      </c>
      <c r="AD28" s="3">
        <v>0</v>
      </c>
      <c r="AE28" s="2">
        <v>0</v>
      </c>
      <c r="AF28" s="2">
        <v>108</v>
      </c>
      <c r="AK28">
        <v>6040860</v>
      </c>
    </row>
    <row r="29" spans="1:37" x14ac:dyDescent="0.25">
      <c r="A29" s="1">
        <v>45986</v>
      </c>
      <c r="B29" s="1">
        <v>45987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135</v>
      </c>
      <c r="J29" t="s">
        <v>136</v>
      </c>
      <c r="M29" t="s">
        <v>46</v>
      </c>
      <c r="O29" t="s">
        <v>84</v>
      </c>
      <c r="P29" t="s">
        <v>85</v>
      </c>
      <c r="Q29" t="s">
        <v>49</v>
      </c>
      <c r="R29" t="s">
        <v>50</v>
      </c>
      <c r="S29" s="1">
        <v>46023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6041335</v>
      </c>
    </row>
    <row r="30" spans="1:37" x14ac:dyDescent="0.25">
      <c r="A30" s="1">
        <v>45986</v>
      </c>
      <c r="B30" s="1">
        <v>45987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137</v>
      </c>
      <c r="J30" t="s">
        <v>138</v>
      </c>
      <c r="M30" t="s">
        <v>139</v>
      </c>
      <c r="O30" t="s">
        <v>140</v>
      </c>
      <c r="P30" t="s">
        <v>141</v>
      </c>
      <c r="Q30" t="s">
        <v>49</v>
      </c>
      <c r="R30" t="s">
        <v>50</v>
      </c>
      <c r="S30" s="1">
        <v>46023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6041336</v>
      </c>
    </row>
    <row r="31" spans="1:37" x14ac:dyDescent="0.25">
      <c r="A31" s="1">
        <v>45986</v>
      </c>
      <c r="B31" s="1">
        <v>45987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142</v>
      </c>
      <c r="J31" t="s">
        <v>143</v>
      </c>
      <c r="M31" t="s">
        <v>46</v>
      </c>
      <c r="O31" t="s">
        <v>144</v>
      </c>
      <c r="P31" t="s">
        <v>145</v>
      </c>
      <c r="Q31" t="s">
        <v>49</v>
      </c>
      <c r="R31" t="s">
        <v>66</v>
      </c>
      <c r="S31" s="1">
        <v>46023</v>
      </c>
      <c r="U31" t="s">
        <v>51</v>
      </c>
      <c r="X31" t="s">
        <v>52</v>
      </c>
      <c r="Y31" s="2">
        <v>0</v>
      </c>
      <c r="Z31" s="2">
        <v>108</v>
      </c>
      <c r="AA31">
        <v>1</v>
      </c>
      <c r="AB31" s="3">
        <v>1</v>
      </c>
      <c r="AC31" s="2">
        <v>108</v>
      </c>
      <c r="AD31" s="3">
        <v>0</v>
      </c>
      <c r="AE31" s="2">
        <v>0</v>
      </c>
      <c r="AF31" s="2">
        <v>108</v>
      </c>
      <c r="AK31">
        <v>6040863</v>
      </c>
    </row>
    <row r="32" spans="1:37" x14ac:dyDescent="0.25">
      <c r="A32" s="1">
        <v>45986</v>
      </c>
      <c r="B32" s="1">
        <v>45987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146</v>
      </c>
      <c r="J32" t="s">
        <v>147</v>
      </c>
      <c r="M32" t="s">
        <v>59</v>
      </c>
      <c r="O32" t="s">
        <v>60</v>
      </c>
      <c r="P32" t="s">
        <v>61</v>
      </c>
      <c r="Q32" t="s">
        <v>49</v>
      </c>
      <c r="R32" t="s">
        <v>66</v>
      </c>
      <c r="S32" s="1">
        <v>46023</v>
      </c>
      <c r="U32" t="s">
        <v>51</v>
      </c>
      <c r="X32" t="s">
        <v>52</v>
      </c>
      <c r="Y32" s="2">
        <v>0</v>
      </c>
      <c r="Z32" s="2">
        <v>108</v>
      </c>
      <c r="AA32">
        <v>1</v>
      </c>
      <c r="AB32" s="3">
        <v>1</v>
      </c>
      <c r="AC32" s="2">
        <v>108</v>
      </c>
      <c r="AD32" s="3">
        <v>0</v>
      </c>
      <c r="AE32" s="2">
        <v>0</v>
      </c>
      <c r="AF32" s="2">
        <v>108</v>
      </c>
      <c r="AK32">
        <v>6040820</v>
      </c>
    </row>
    <row r="33" spans="1:37" x14ac:dyDescent="0.25">
      <c r="A33" s="1">
        <v>45986</v>
      </c>
      <c r="B33" s="1">
        <v>45987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148</v>
      </c>
      <c r="J33" t="s">
        <v>149</v>
      </c>
      <c r="M33" t="s">
        <v>46</v>
      </c>
      <c r="O33" t="s">
        <v>150</v>
      </c>
      <c r="P33" t="s">
        <v>151</v>
      </c>
      <c r="Q33" t="s">
        <v>49</v>
      </c>
      <c r="R33" t="s">
        <v>66</v>
      </c>
      <c r="S33" s="1">
        <v>46023</v>
      </c>
      <c r="U33" t="s">
        <v>51</v>
      </c>
      <c r="X33" t="s">
        <v>52</v>
      </c>
      <c r="Y33" s="2">
        <v>0</v>
      </c>
      <c r="Z33" s="2">
        <v>108</v>
      </c>
      <c r="AA33">
        <v>1</v>
      </c>
      <c r="AB33" s="3">
        <v>1</v>
      </c>
      <c r="AC33" s="2">
        <v>108</v>
      </c>
      <c r="AD33" s="3">
        <v>0</v>
      </c>
      <c r="AE33" s="2">
        <v>0</v>
      </c>
      <c r="AF33" s="2">
        <v>108</v>
      </c>
      <c r="AK33">
        <v>6040864</v>
      </c>
    </row>
    <row r="34" spans="1:37" x14ac:dyDescent="0.25">
      <c r="A34" s="1">
        <v>45986</v>
      </c>
      <c r="B34" s="1">
        <v>45987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152</v>
      </c>
      <c r="J34" t="s">
        <v>153</v>
      </c>
      <c r="M34" t="s">
        <v>46</v>
      </c>
      <c r="O34" t="s">
        <v>154</v>
      </c>
      <c r="P34" t="s">
        <v>155</v>
      </c>
      <c r="Q34" t="s">
        <v>49</v>
      </c>
      <c r="R34" t="s">
        <v>50</v>
      </c>
      <c r="S34" s="1">
        <v>46023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6041337</v>
      </c>
    </row>
    <row r="35" spans="1:37" x14ac:dyDescent="0.25">
      <c r="A35" s="1">
        <v>45986</v>
      </c>
      <c r="B35" s="1">
        <v>45987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156</v>
      </c>
      <c r="J35" t="s">
        <v>157</v>
      </c>
      <c r="M35" t="s">
        <v>46</v>
      </c>
      <c r="O35" t="s">
        <v>158</v>
      </c>
      <c r="P35" t="s">
        <v>159</v>
      </c>
      <c r="Q35" t="s">
        <v>49</v>
      </c>
      <c r="R35" t="s">
        <v>66</v>
      </c>
      <c r="S35" s="1">
        <v>46023</v>
      </c>
      <c r="U35" t="s">
        <v>51</v>
      </c>
      <c r="X35" t="s">
        <v>52</v>
      </c>
      <c r="Y35" s="2">
        <v>0</v>
      </c>
      <c r="Z35" s="2">
        <v>108</v>
      </c>
      <c r="AA35">
        <v>1</v>
      </c>
      <c r="AB35" s="3">
        <v>1</v>
      </c>
      <c r="AC35" s="2">
        <v>108</v>
      </c>
      <c r="AD35" s="3">
        <v>0</v>
      </c>
      <c r="AE35" s="2">
        <v>0</v>
      </c>
      <c r="AF35" s="2">
        <v>108</v>
      </c>
      <c r="AK35">
        <v>6040865</v>
      </c>
    </row>
    <row r="36" spans="1:37" x14ac:dyDescent="0.25">
      <c r="A36" s="1">
        <v>45986</v>
      </c>
      <c r="B36" s="1">
        <v>45987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160</v>
      </c>
      <c r="J36" t="s">
        <v>161</v>
      </c>
      <c r="M36" t="s">
        <v>46</v>
      </c>
      <c r="O36" t="s">
        <v>47</v>
      </c>
      <c r="P36" t="s">
        <v>48</v>
      </c>
      <c r="Q36" t="s">
        <v>49</v>
      </c>
      <c r="R36" t="s">
        <v>50</v>
      </c>
      <c r="S36" s="1">
        <v>46023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6041338</v>
      </c>
    </row>
    <row r="37" spans="1:37" x14ac:dyDescent="0.25">
      <c r="A37" s="1">
        <v>45986</v>
      </c>
      <c r="B37" s="1">
        <v>45987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162</v>
      </c>
      <c r="J37" t="s">
        <v>163</v>
      </c>
      <c r="M37" t="s">
        <v>46</v>
      </c>
      <c r="O37" t="s">
        <v>164</v>
      </c>
      <c r="P37" t="s">
        <v>165</v>
      </c>
      <c r="Q37" t="s">
        <v>49</v>
      </c>
      <c r="R37" t="s">
        <v>50</v>
      </c>
      <c r="S37" s="1">
        <v>46023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6041339</v>
      </c>
    </row>
    <row r="38" spans="1:37" x14ac:dyDescent="0.25">
      <c r="A38" s="1">
        <v>45986</v>
      </c>
      <c r="B38" s="1">
        <v>45987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166</v>
      </c>
      <c r="J38" t="s">
        <v>167</v>
      </c>
      <c r="M38" t="s">
        <v>46</v>
      </c>
      <c r="O38" t="s">
        <v>164</v>
      </c>
      <c r="P38" t="s">
        <v>165</v>
      </c>
      <c r="Q38" t="s">
        <v>49</v>
      </c>
      <c r="R38" t="s">
        <v>50</v>
      </c>
      <c r="S38" s="1">
        <v>46023</v>
      </c>
      <c r="U38" t="s">
        <v>51</v>
      </c>
      <c r="X38" t="s">
        <v>52</v>
      </c>
      <c r="Y38" s="2">
        <v>0</v>
      </c>
      <c r="Z38" s="2">
        <v>175</v>
      </c>
      <c r="AA38">
        <v>1</v>
      </c>
      <c r="AB38" s="3">
        <v>1</v>
      </c>
      <c r="AC38" s="2">
        <v>175</v>
      </c>
      <c r="AD38" s="3">
        <v>0</v>
      </c>
      <c r="AE38" s="2">
        <v>0</v>
      </c>
      <c r="AF38" s="2">
        <v>175</v>
      </c>
      <c r="AK38">
        <v>6041340</v>
      </c>
    </row>
    <row r="39" spans="1:37" x14ac:dyDescent="0.25">
      <c r="A39" s="1">
        <v>45986</v>
      </c>
      <c r="B39" s="1">
        <v>45987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168</v>
      </c>
      <c r="J39" t="s">
        <v>169</v>
      </c>
      <c r="M39" t="s">
        <v>46</v>
      </c>
      <c r="O39" t="s">
        <v>55</v>
      </c>
      <c r="P39" t="s">
        <v>56</v>
      </c>
      <c r="Q39" t="s">
        <v>49</v>
      </c>
      <c r="R39" t="s">
        <v>66</v>
      </c>
      <c r="S39" s="1">
        <v>46023</v>
      </c>
      <c r="U39" t="s">
        <v>51</v>
      </c>
      <c r="X39" t="s">
        <v>52</v>
      </c>
      <c r="Y39" s="2">
        <v>0</v>
      </c>
      <c r="Z39" s="2">
        <v>108</v>
      </c>
      <c r="AA39">
        <v>1</v>
      </c>
      <c r="AB39" s="3">
        <v>1</v>
      </c>
      <c r="AC39" s="2">
        <v>108</v>
      </c>
      <c r="AD39" s="3">
        <v>0</v>
      </c>
      <c r="AE39" s="2">
        <v>0</v>
      </c>
      <c r="AF39" s="2">
        <v>108</v>
      </c>
      <c r="AK39">
        <v>6040866</v>
      </c>
    </row>
    <row r="40" spans="1:37" x14ac:dyDescent="0.25">
      <c r="A40" s="1">
        <v>45986</v>
      </c>
      <c r="B40" s="1">
        <v>45987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170</v>
      </c>
      <c r="J40" t="s">
        <v>171</v>
      </c>
      <c r="M40" t="s">
        <v>46</v>
      </c>
      <c r="O40" t="s">
        <v>47</v>
      </c>
      <c r="P40" t="s">
        <v>48</v>
      </c>
      <c r="Q40" t="s">
        <v>49</v>
      </c>
      <c r="R40" t="s">
        <v>50</v>
      </c>
      <c r="S40" s="1">
        <v>46023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6041341</v>
      </c>
    </row>
    <row r="41" spans="1:37" x14ac:dyDescent="0.25">
      <c r="A41" s="1">
        <v>45986</v>
      </c>
      <c r="B41" s="1">
        <v>45987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172</v>
      </c>
      <c r="J41" t="s">
        <v>173</v>
      </c>
      <c r="M41" t="s">
        <v>139</v>
      </c>
      <c r="O41" t="s">
        <v>140</v>
      </c>
      <c r="P41" t="s">
        <v>141</v>
      </c>
      <c r="Q41" t="s">
        <v>49</v>
      </c>
      <c r="R41" t="s">
        <v>50</v>
      </c>
      <c r="S41" s="1">
        <v>46023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6041342</v>
      </c>
    </row>
    <row r="42" spans="1:37" x14ac:dyDescent="0.25">
      <c r="A42" s="1">
        <v>45986</v>
      </c>
      <c r="B42" s="1">
        <v>45987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174</v>
      </c>
      <c r="J42" t="s">
        <v>175</v>
      </c>
      <c r="M42" t="s">
        <v>46</v>
      </c>
      <c r="O42" t="s">
        <v>55</v>
      </c>
      <c r="P42" t="s">
        <v>56</v>
      </c>
      <c r="Q42" t="s">
        <v>49</v>
      </c>
      <c r="R42" t="s">
        <v>50</v>
      </c>
      <c r="S42" s="1">
        <v>46023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6041343</v>
      </c>
    </row>
    <row r="43" spans="1:37" x14ac:dyDescent="0.25">
      <c r="A43" s="1">
        <v>45986</v>
      </c>
      <c r="B43" s="1">
        <v>45987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176</v>
      </c>
      <c r="J43" t="s">
        <v>177</v>
      </c>
      <c r="M43" t="s">
        <v>46</v>
      </c>
      <c r="O43" t="s">
        <v>47</v>
      </c>
      <c r="P43" t="s">
        <v>48</v>
      </c>
      <c r="Q43" t="s">
        <v>49</v>
      </c>
      <c r="R43" t="s">
        <v>50</v>
      </c>
      <c r="S43" s="1">
        <v>46023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6041344</v>
      </c>
    </row>
    <row r="44" spans="1:37" x14ac:dyDescent="0.25">
      <c r="A44" s="1">
        <v>45986</v>
      </c>
      <c r="B44" s="1">
        <v>45987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178</v>
      </c>
      <c r="J44" t="s">
        <v>179</v>
      </c>
      <c r="M44" t="s">
        <v>46</v>
      </c>
      <c r="O44" t="s">
        <v>80</v>
      </c>
      <c r="P44" t="s">
        <v>81</v>
      </c>
      <c r="Q44" t="s">
        <v>49</v>
      </c>
      <c r="R44" t="s">
        <v>66</v>
      </c>
      <c r="S44" s="1">
        <v>46023</v>
      </c>
      <c r="U44" t="s">
        <v>51</v>
      </c>
      <c r="X44" t="s">
        <v>52</v>
      </c>
      <c r="Y44" s="2">
        <v>0</v>
      </c>
      <c r="Z44" s="2">
        <v>108</v>
      </c>
      <c r="AA44">
        <v>1</v>
      </c>
      <c r="AB44" s="3">
        <v>1</v>
      </c>
      <c r="AC44" s="2">
        <v>108</v>
      </c>
      <c r="AD44" s="3">
        <v>0</v>
      </c>
      <c r="AE44" s="2">
        <v>0</v>
      </c>
      <c r="AF44" s="2">
        <v>108</v>
      </c>
      <c r="AK44">
        <v>6040867</v>
      </c>
    </row>
    <row r="45" spans="1:37" x14ac:dyDescent="0.25">
      <c r="A45" s="1">
        <v>45986</v>
      </c>
      <c r="B45" s="1">
        <v>45987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180</v>
      </c>
      <c r="J45" t="s">
        <v>181</v>
      </c>
      <c r="M45" t="s">
        <v>46</v>
      </c>
      <c r="O45" t="s">
        <v>80</v>
      </c>
      <c r="P45" t="s">
        <v>81</v>
      </c>
      <c r="Q45" t="s">
        <v>49</v>
      </c>
      <c r="R45" t="s">
        <v>66</v>
      </c>
      <c r="S45" s="1">
        <v>46023</v>
      </c>
      <c r="U45" t="s">
        <v>51</v>
      </c>
      <c r="X45" t="s">
        <v>52</v>
      </c>
      <c r="Y45" s="2">
        <v>0</v>
      </c>
      <c r="Z45" s="2">
        <v>108</v>
      </c>
      <c r="AA45">
        <v>1</v>
      </c>
      <c r="AB45" s="3">
        <v>1</v>
      </c>
      <c r="AC45" s="2">
        <v>108</v>
      </c>
      <c r="AD45" s="3">
        <v>0</v>
      </c>
      <c r="AE45" s="2">
        <v>0</v>
      </c>
      <c r="AF45" s="2">
        <v>108</v>
      </c>
      <c r="AK45">
        <v>6040868</v>
      </c>
    </row>
    <row r="46" spans="1:37" x14ac:dyDescent="0.25">
      <c r="A46" s="1">
        <v>45986</v>
      </c>
      <c r="B46" s="1">
        <v>45987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182</v>
      </c>
      <c r="J46" t="s">
        <v>183</v>
      </c>
      <c r="M46" t="s">
        <v>46</v>
      </c>
      <c r="O46" t="s">
        <v>104</v>
      </c>
      <c r="P46" t="s">
        <v>105</v>
      </c>
      <c r="Q46" t="s">
        <v>49</v>
      </c>
      <c r="R46" t="s">
        <v>66</v>
      </c>
      <c r="S46" s="1">
        <v>46023</v>
      </c>
      <c r="U46" t="s">
        <v>51</v>
      </c>
      <c r="X46" t="s">
        <v>52</v>
      </c>
      <c r="Y46" s="2">
        <v>0</v>
      </c>
      <c r="Z46" s="2">
        <v>108</v>
      </c>
      <c r="AA46">
        <v>1</v>
      </c>
      <c r="AB46" s="3">
        <v>1</v>
      </c>
      <c r="AC46" s="2">
        <v>108</v>
      </c>
      <c r="AD46" s="3">
        <v>0</v>
      </c>
      <c r="AE46" s="2">
        <v>0</v>
      </c>
      <c r="AF46" s="2">
        <v>108</v>
      </c>
      <c r="AK46">
        <v>6040869</v>
      </c>
    </row>
    <row r="47" spans="1:37" x14ac:dyDescent="0.25">
      <c r="A47" s="1">
        <v>45986</v>
      </c>
      <c r="B47" s="1">
        <v>45987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184</v>
      </c>
      <c r="J47" t="s">
        <v>185</v>
      </c>
      <c r="M47" t="s">
        <v>46</v>
      </c>
      <c r="O47" t="s">
        <v>164</v>
      </c>
      <c r="P47" t="s">
        <v>165</v>
      </c>
      <c r="Q47" t="s">
        <v>49</v>
      </c>
      <c r="R47" t="s">
        <v>66</v>
      </c>
      <c r="S47" s="1">
        <v>46023</v>
      </c>
      <c r="U47" t="s">
        <v>51</v>
      </c>
      <c r="X47" t="s">
        <v>52</v>
      </c>
      <c r="Y47" s="2">
        <v>0</v>
      </c>
      <c r="Z47" s="2">
        <v>108</v>
      </c>
      <c r="AA47">
        <v>1</v>
      </c>
      <c r="AB47" s="3">
        <v>1</v>
      </c>
      <c r="AC47" s="2">
        <v>108</v>
      </c>
      <c r="AD47" s="3">
        <v>0</v>
      </c>
      <c r="AE47" s="2">
        <v>0</v>
      </c>
      <c r="AF47" s="2">
        <v>108</v>
      </c>
      <c r="AK47">
        <v>6040870</v>
      </c>
    </row>
    <row r="48" spans="1:37" x14ac:dyDescent="0.25">
      <c r="A48" s="1">
        <v>45986</v>
      </c>
      <c r="B48" s="1">
        <v>45987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186</v>
      </c>
      <c r="J48" t="s">
        <v>187</v>
      </c>
      <c r="M48" t="s">
        <v>46</v>
      </c>
      <c r="O48" t="s">
        <v>188</v>
      </c>
      <c r="P48" t="s">
        <v>189</v>
      </c>
      <c r="Q48" t="s">
        <v>49</v>
      </c>
      <c r="R48" t="s">
        <v>50</v>
      </c>
      <c r="S48" s="1">
        <v>46023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6040875</v>
      </c>
    </row>
    <row r="49" spans="1:37" x14ac:dyDescent="0.25">
      <c r="A49" s="1">
        <v>45986</v>
      </c>
      <c r="B49" s="1">
        <v>45987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190</v>
      </c>
      <c r="J49" t="s">
        <v>191</v>
      </c>
      <c r="M49" t="s">
        <v>192</v>
      </c>
      <c r="O49" t="s">
        <v>193</v>
      </c>
      <c r="P49" t="s">
        <v>194</v>
      </c>
      <c r="Q49" t="s">
        <v>49</v>
      </c>
      <c r="R49" t="s">
        <v>66</v>
      </c>
      <c r="S49" s="1">
        <v>46023</v>
      </c>
      <c r="U49" t="s">
        <v>51</v>
      </c>
      <c r="X49" t="s">
        <v>52</v>
      </c>
      <c r="Y49" s="2">
        <v>0</v>
      </c>
      <c r="Z49" s="2">
        <v>108</v>
      </c>
      <c r="AA49">
        <v>1</v>
      </c>
      <c r="AB49" s="3">
        <v>1</v>
      </c>
      <c r="AC49" s="2">
        <v>108</v>
      </c>
      <c r="AD49" s="3">
        <v>0</v>
      </c>
      <c r="AE49" s="2">
        <v>0</v>
      </c>
      <c r="AF49" s="2">
        <v>108</v>
      </c>
      <c r="AK49">
        <v>6040872</v>
      </c>
    </row>
    <row r="50" spans="1:37" x14ac:dyDescent="0.25">
      <c r="A50" s="1">
        <v>45986</v>
      </c>
      <c r="B50" s="1">
        <v>45987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195</v>
      </c>
      <c r="J50" t="s">
        <v>196</v>
      </c>
      <c r="M50" t="s">
        <v>46</v>
      </c>
      <c r="O50" t="s">
        <v>197</v>
      </c>
      <c r="P50" t="s">
        <v>198</v>
      </c>
      <c r="Q50" t="s">
        <v>49</v>
      </c>
      <c r="R50" t="s">
        <v>50</v>
      </c>
      <c r="S50" s="1">
        <v>46023</v>
      </c>
      <c r="U50" t="s">
        <v>51</v>
      </c>
      <c r="X50" t="s">
        <v>52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6041345</v>
      </c>
    </row>
    <row r="51" spans="1:37" x14ac:dyDescent="0.25">
      <c r="A51" s="1">
        <v>45986</v>
      </c>
      <c r="B51" s="1">
        <v>45987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199</v>
      </c>
      <c r="J51" t="s">
        <v>200</v>
      </c>
      <c r="M51" t="s">
        <v>59</v>
      </c>
      <c r="O51" t="s">
        <v>201</v>
      </c>
      <c r="P51" t="s">
        <v>202</v>
      </c>
      <c r="Q51" t="s">
        <v>49</v>
      </c>
      <c r="R51" t="s">
        <v>50</v>
      </c>
      <c r="S51" s="1">
        <v>46023</v>
      </c>
      <c r="U51" t="s">
        <v>51</v>
      </c>
      <c r="X51" t="s">
        <v>52</v>
      </c>
      <c r="Y51" s="2">
        <v>0</v>
      </c>
      <c r="Z51" s="2">
        <v>175</v>
      </c>
      <c r="AA51">
        <v>1</v>
      </c>
      <c r="AB51" s="3">
        <v>1</v>
      </c>
      <c r="AC51" s="2">
        <v>175</v>
      </c>
      <c r="AD51" s="3">
        <v>0</v>
      </c>
      <c r="AE51" s="2">
        <v>0</v>
      </c>
      <c r="AF51" s="2">
        <v>175</v>
      </c>
      <c r="AK51">
        <v>6041346</v>
      </c>
    </row>
    <row r="52" spans="1:37" x14ac:dyDescent="0.25">
      <c r="A52" s="1">
        <v>45986</v>
      </c>
      <c r="B52" s="1">
        <v>45987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203</v>
      </c>
      <c r="J52" t="s">
        <v>204</v>
      </c>
      <c r="M52" t="s">
        <v>59</v>
      </c>
      <c r="O52" t="s">
        <v>201</v>
      </c>
      <c r="P52" t="s">
        <v>202</v>
      </c>
      <c r="Q52" t="s">
        <v>49</v>
      </c>
      <c r="R52" t="s">
        <v>50</v>
      </c>
      <c r="S52" s="1">
        <v>46023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6041347</v>
      </c>
    </row>
    <row r="53" spans="1:37" x14ac:dyDescent="0.25">
      <c r="A53" s="1">
        <v>45986</v>
      </c>
      <c r="B53" s="1">
        <v>45987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205</v>
      </c>
      <c r="J53" t="s">
        <v>206</v>
      </c>
      <c r="M53" t="s">
        <v>207</v>
      </c>
      <c r="O53" t="s">
        <v>193</v>
      </c>
      <c r="P53" t="s">
        <v>194</v>
      </c>
      <c r="Q53" t="s">
        <v>49</v>
      </c>
      <c r="R53" t="s">
        <v>50</v>
      </c>
      <c r="S53" s="1">
        <v>46023</v>
      </c>
      <c r="U53" t="s">
        <v>51</v>
      </c>
      <c r="X53" t="s">
        <v>52</v>
      </c>
      <c r="Y53" s="2">
        <v>0</v>
      </c>
      <c r="Z53" s="2">
        <v>175</v>
      </c>
      <c r="AA53">
        <v>1</v>
      </c>
      <c r="AB53" s="3">
        <v>1</v>
      </c>
      <c r="AC53" s="2">
        <v>175</v>
      </c>
      <c r="AD53" s="3">
        <v>0</v>
      </c>
      <c r="AE53" s="2">
        <v>0</v>
      </c>
      <c r="AF53" s="2">
        <v>175</v>
      </c>
      <c r="AK53">
        <v>6041348</v>
      </c>
    </row>
    <row r="54" spans="1:37" x14ac:dyDescent="0.25">
      <c r="A54" s="1">
        <v>45986</v>
      </c>
      <c r="B54" s="1">
        <v>45987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208</v>
      </c>
      <c r="J54" t="s">
        <v>209</v>
      </c>
      <c r="M54" t="s">
        <v>46</v>
      </c>
      <c r="O54" t="s">
        <v>80</v>
      </c>
      <c r="P54" t="s">
        <v>81</v>
      </c>
      <c r="Q54" t="s">
        <v>49</v>
      </c>
      <c r="R54" t="s">
        <v>66</v>
      </c>
      <c r="S54" s="1">
        <v>46023</v>
      </c>
      <c r="U54" t="s">
        <v>51</v>
      </c>
      <c r="X54" t="s">
        <v>52</v>
      </c>
      <c r="Y54" s="2">
        <v>0</v>
      </c>
      <c r="Z54" s="2">
        <v>108</v>
      </c>
      <c r="AA54">
        <v>1</v>
      </c>
      <c r="AB54" s="3">
        <v>1</v>
      </c>
      <c r="AC54" s="2">
        <v>108</v>
      </c>
      <c r="AD54" s="3">
        <v>0</v>
      </c>
      <c r="AE54" s="2">
        <v>0</v>
      </c>
      <c r="AF54" s="2">
        <v>108</v>
      </c>
      <c r="AK54">
        <v>6040873</v>
      </c>
    </row>
    <row r="55" spans="1:37" x14ac:dyDescent="0.25">
      <c r="A55" s="1">
        <v>45986</v>
      </c>
      <c r="B55" s="1">
        <v>45987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210</v>
      </c>
      <c r="J55" t="s">
        <v>211</v>
      </c>
      <c r="M55" t="s">
        <v>212</v>
      </c>
      <c r="O55" t="s">
        <v>84</v>
      </c>
      <c r="P55" t="s">
        <v>85</v>
      </c>
      <c r="Q55" t="s">
        <v>49</v>
      </c>
      <c r="R55" t="s">
        <v>50</v>
      </c>
      <c r="S55" s="1">
        <v>46023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6041349</v>
      </c>
    </row>
    <row r="56" spans="1:37" x14ac:dyDescent="0.25">
      <c r="A56" s="1">
        <v>45986</v>
      </c>
      <c r="B56" s="1">
        <v>45987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213</v>
      </c>
      <c r="J56" t="s">
        <v>214</v>
      </c>
      <c r="M56" t="s">
        <v>46</v>
      </c>
      <c r="O56" t="s">
        <v>215</v>
      </c>
      <c r="P56" t="s">
        <v>216</v>
      </c>
      <c r="Q56" t="s">
        <v>49</v>
      </c>
      <c r="R56" t="s">
        <v>66</v>
      </c>
      <c r="S56" s="1">
        <v>46023</v>
      </c>
      <c r="U56" t="s">
        <v>51</v>
      </c>
      <c r="X56" t="s">
        <v>52</v>
      </c>
      <c r="Y56" s="2">
        <v>0</v>
      </c>
      <c r="Z56" s="2">
        <v>108</v>
      </c>
      <c r="AA56">
        <v>1</v>
      </c>
      <c r="AB56" s="3">
        <v>1</v>
      </c>
      <c r="AC56" s="2">
        <v>108</v>
      </c>
      <c r="AD56" s="3">
        <v>0</v>
      </c>
      <c r="AE56" s="2">
        <v>0</v>
      </c>
      <c r="AF56" s="2">
        <v>108</v>
      </c>
      <c r="AK56">
        <v>6040874</v>
      </c>
    </row>
    <row r="57" spans="1:37" x14ac:dyDescent="0.25">
      <c r="A57" s="1">
        <v>45986</v>
      </c>
      <c r="B57" s="1">
        <v>45987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217</v>
      </c>
      <c r="J57" t="s">
        <v>218</v>
      </c>
      <c r="M57" t="s">
        <v>219</v>
      </c>
      <c r="O57" t="s">
        <v>220</v>
      </c>
      <c r="P57" t="s">
        <v>221</v>
      </c>
      <c r="Q57" t="s">
        <v>49</v>
      </c>
      <c r="R57" t="s">
        <v>66</v>
      </c>
      <c r="S57" s="1">
        <v>46023</v>
      </c>
      <c r="U57" t="s">
        <v>51</v>
      </c>
      <c r="X57" t="s">
        <v>52</v>
      </c>
      <c r="Y57" s="2">
        <v>0</v>
      </c>
      <c r="Z57" s="2">
        <v>108</v>
      </c>
      <c r="AA57">
        <v>1</v>
      </c>
      <c r="AB57" s="3">
        <v>1</v>
      </c>
      <c r="AC57" s="2">
        <v>108</v>
      </c>
      <c r="AD57" s="3">
        <v>0</v>
      </c>
      <c r="AE57" s="2">
        <v>0</v>
      </c>
      <c r="AF57" s="2">
        <v>108</v>
      </c>
      <c r="AK57">
        <v>6040877</v>
      </c>
    </row>
    <row r="58" spans="1:37" x14ac:dyDescent="0.25">
      <c r="A58" s="1">
        <v>45986</v>
      </c>
      <c r="B58" s="1">
        <v>45987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222</v>
      </c>
      <c r="J58" t="s">
        <v>223</v>
      </c>
      <c r="M58" t="s">
        <v>46</v>
      </c>
      <c r="O58" t="s">
        <v>108</v>
      </c>
      <c r="P58" t="s">
        <v>109</v>
      </c>
      <c r="Q58" t="s">
        <v>49</v>
      </c>
      <c r="R58" t="s">
        <v>50</v>
      </c>
      <c r="S58" s="1">
        <v>46023</v>
      </c>
      <c r="U58" t="s">
        <v>51</v>
      </c>
      <c r="X58" t="s">
        <v>52</v>
      </c>
      <c r="Y58" s="2">
        <v>0</v>
      </c>
      <c r="Z58" s="2">
        <v>175</v>
      </c>
      <c r="AA58">
        <v>1</v>
      </c>
      <c r="AB58" s="3">
        <v>1</v>
      </c>
      <c r="AC58" s="2">
        <v>175</v>
      </c>
      <c r="AD58" s="3">
        <v>0</v>
      </c>
      <c r="AE58" s="2">
        <v>0</v>
      </c>
      <c r="AF58" s="2">
        <v>175</v>
      </c>
      <c r="AK58">
        <v>6041350</v>
      </c>
    </row>
    <row r="59" spans="1:37" x14ac:dyDescent="0.25">
      <c r="A59" s="1">
        <v>45986</v>
      </c>
      <c r="B59" s="1">
        <v>45987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224</v>
      </c>
      <c r="J59" t="s">
        <v>225</v>
      </c>
      <c r="M59" t="s">
        <v>46</v>
      </c>
      <c r="O59" t="s">
        <v>47</v>
      </c>
      <c r="P59" t="s">
        <v>48</v>
      </c>
      <c r="Q59" t="s">
        <v>49</v>
      </c>
      <c r="R59" t="s">
        <v>66</v>
      </c>
      <c r="S59" s="1">
        <v>46023</v>
      </c>
      <c r="U59" t="s">
        <v>51</v>
      </c>
      <c r="X59" t="s">
        <v>52</v>
      </c>
      <c r="Y59" s="2">
        <v>0</v>
      </c>
      <c r="Z59" s="2">
        <v>108</v>
      </c>
      <c r="AA59">
        <v>1</v>
      </c>
      <c r="AB59" s="3">
        <v>1</v>
      </c>
      <c r="AC59" s="2">
        <v>108</v>
      </c>
      <c r="AD59" s="3">
        <v>0</v>
      </c>
      <c r="AE59" s="2">
        <v>0</v>
      </c>
      <c r="AF59" s="2">
        <v>108</v>
      </c>
      <c r="AK59">
        <v>6040878</v>
      </c>
    </row>
    <row r="60" spans="1:37" x14ac:dyDescent="0.25">
      <c r="A60" s="1">
        <v>45986</v>
      </c>
      <c r="B60" s="1">
        <v>45987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226</v>
      </c>
      <c r="J60" t="s">
        <v>227</v>
      </c>
      <c r="M60" t="s">
        <v>46</v>
      </c>
      <c r="O60" t="s">
        <v>47</v>
      </c>
      <c r="P60" t="s">
        <v>48</v>
      </c>
      <c r="Q60" t="s">
        <v>49</v>
      </c>
      <c r="R60" t="s">
        <v>66</v>
      </c>
      <c r="S60" s="1">
        <v>46023</v>
      </c>
      <c r="U60" t="s">
        <v>51</v>
      </c>
      <c r="X60" t="s">
        <v>52</v>
      </c>
      <c r="Y60" s="2">
        <v>0</v>
      </c>
      <c r="Z60" s="2">
        <v>108</v>
      </c>
      <c r="AA60">
        <v>1</v>
      </c>
      <c r="AB60" s="3">
        <v>1</v>
      </c>
      <c r="AC60" s="2">
        <v>108</v>
      </c>
      <c r="AD60" s="3">
        <v>0</v>
      </c>
      <c r="AE60" s="2">
        <v>0</v>
      </c>
      <c r="AF60" s="2">
        <v>108</v>
      </c>
      <c r="AK60">
        <v>6040879</v>
      </c>
    </row>
    <row r="61" spans="1:37" x14ac:dyDescent="0.25">
      <c r="A61" s="1">
        <v>45986</v>
      </c>
      <c r="B61" s="1">
        <v>45987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228</v>
      </c>
      <c r="J61" t="s">
        <v>229</v>
      </c>
      <c r="M61" t="s">
        <v>46</v>
      </c>
      <c r="O61" t="s">
        <v>80</v>
      </c>
      <c r="P61" t="s">
        <v>81</v>
      </c>
      <c r="Q61" t="s">
        <v>49</v>
      </c>
      <c r="R61" t="s">
        <v>66</v>
      </c>
      <c r="S61" s="1">
        <v>46023</v>
      </c>
      <c r="U61" t="s">
        <v>51</v>
      </c>
      <c r="X61" t="s">
        <v>52</v>
      </c>
      <c r="Y61" s="2">
        <v>0</v>
      </c>
      <c r="Z61" s="2">
        <v>108</v>
      </c>
      <c r="AA61">
        <v>1</v>
      </c>
      <c r="AB61" s="3">
        <v>1</v>
      </c>
      <c r="AC61" s="2">
        <v>108</v>
      </c>
      <c r="AD61" s="3">
        <v>0</v>
      </c>
      <c r="AE61" s="2">
        <v>0</v>
      </c>
      <c r="AF61" s="2">
        <v>108</v>
      </c>
      <c r="AK61">
        <v>6040880</v>
      </c>
    </row>
    <row r="62" spans="1:37" x14ac:dyDescent="0.25">
      <c r="A62" s="1">
        <v>45986</v>
      </c>
      <c r="B62" s="1">
        <v>45987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230</v>
      </c>
      <c r="J62" t="s">
        <v>231</v>
      </c>
      <c r="M62" t="s">
        <v>46</v>
      </c>
      <c r="O62" t="s">
        <v>197</v>
      </c>
      <c r="P62" t="s">
        <v>198</v>
      </c>
      <c r="Q62" t="s">
        <v>49</v>
      </c>
      <c r="R62" t="s">
        <v>66</v>
      </c>
      <c r="S62" s="1">
        <v>46023</v>
      </c>
      <c r="U62" t="s">
        <v>51</v>
      </c>
      <c r="X62" t="s">
        <v>52</v>
      </c>
      <c r="Y62" s="2">
        <v>0</v>
      </c>
      <c r="Z62" s="2">
        <v>108</v>
      </c>
      <c r="AA62">
        <v>1</v>
      </c>
      <c r="AB62" s="3">
        <v>1</v>
      </c>
      <c r="AC62" s="2">
        <v>108</v>
      </c>
      <c r="AD62" s="3">
        <v>0</v>
      </c>
      <c r="AE62" s="2">
        <v>0</v>
      </c>
      <c r="AF62" s="2">
        <v>108</v>
      </c>
      <c r="AK62">
        <v>6040881</v>
      </c>
    </row>
    <row r="63" spans="1:37" x14ac:dyDescent="0.25">
      <c r="A63" s="1">
        <v>45986</v>
      </c>
      <c r="B63" s="1">
        <v>45987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232</v>
      </c>
      <c r="J63" t="s">
        <v>233</v>
      </c>
      <c r="M63" t="s">
        <v>46</v>
      </c>
      <c r="O63" t="s">
        <v>64</v>
      </c>
      <c r="P63" t="s">
        <v>65</v>
      </c>
      <c r="Q63" t="s">
        <v>49</v>
      </c>
      <c r="R63" t="s">
        <v>66</v>
      </c>
      <c r="S63" s="1">
        <v>46023</v>
      </c>
      <c r="U63" t="s">
        <v>51</v>
      </c>
      <c r="X63" t="s">
        <v>52</v>
      </c>
      <c r="Y63" s="2">
        <v>0</v>
      </c>
      <c r="Z63" s="2">
        <v>108</v>
      </c>
      <c r="AA63">
        <v>1</v>
      </c>
      <c r="AB63" s="3">
        <v>1</v>
      </c>
      <c r="AC63" s="2">
        <v>108</v>
      </c>
      <c r="AD63" s="3">
        <v>0</v>
      </c>
      <c r="AE63" s="2">
        <v>0</v>
      </c>
      <c r="AF63" s="2">
        <v>108</v>
      </c>
      <c r="AK63">
        <v>6040882</v>
      </c>
    </row>
    <row r="64" spans="1:37" x14ac:dyDescent="0.25">
      <c r="A64" s="1">
        <v>45986</v>
      </c>
      <c r="B64" s="1">
        <v>45987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234</v>
      </c>
      <c r="J64" t="s">
        <v>235</v>
      </c>
      <c r="M64" t="s">
        <v>46</v>
      </c>
      <c r="O64" t="s">
        <v>64</v>
      </c>
      <c r="P64" t="s">
        <v>65</v>
      </c>
      <c r="Q64" t="s">
        <v>49</v>
      </c>
      <c r="R64" t="s">
        <v>66</v>
      </c>
      <c r="S64" s="1">
        <v>46023</v>
      </c>
      <c r="U64" t="s">
        <v>51</v>
      </c>
      <c r="X64" t="s">
        <v>52</v>
      </c>
      <c r="Y64" s="2">
        <v>0</v>
      </c>
      <c r="Z64" s="2">
        <v>108</v>
      </c>
      <c r="AA64">
        <v>1</v>
      </c>
      <c r="AB64" s="3">
        <v>1</v>
      </c>
      <c r="AC64" s="2">
        <v>108</v>
      </c>
      <c r="AD64" s="3">
        <v>0</v>
      </c>
      <c r="AE64" s="2">
        <v>0</v>
      </c>
      <c r="AF64" s="2">
        <v>108</v>
      </c>
      <c r="AK64">
        <v>6040883</v>
      </c>
    </row>
    <row r="65" spans="1:37" x14ac:dyDescent="0.25">
      <c r="A65" s="1">
        <v>45986</v>
      </c>
      <c r="B65" s="1">
        <v>45987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236</v>
      </c>
      <c r="J65" t="s">
        <v>237</v>
      </c>
      <c r="M65" t="s">
        <v>46</v>
      </c>
      <c r="O65" t="s">
        <v>55</v>
      </c>
      <c r="P65" t="s">
        <v>56</v>
      </c>
      <c r="Q65" t="s">
        <v>49</v>
      </c>
      <c r="R65" t="s">
        <v>66</v>
      </c>
      <c r="S65" s="1">
        <v>46023</v>
      </c>
      <c r="U65" t="s">
        <v>51</v>
      </c>
      <c r="X65" t="s">
        <v>52</v>
      </c>
      <c r="Y65" s="2">
        <v>0</v>
      </c>
      <c r="Z65" s="2">
        <v>108</v>
      </c>
      <c r="AA65">
        <v>1</v>
      </c>
      <c r="AB65" s="3">
        <v>1</v>
      </c>
      <c r="AC65" s="2">
        <v>108</v>
      </c>
      <c r="AD65" s="3">
        <v>0</v>
      </c>
      <c r="AE65" s="2">
        <v>0</v>
      </c>
      <c r="AF65" s="2">
        <v>108</v>
      </c>
      <c r="AK65">
        <v>6040884</v>
      </c>
    </row>
    <row r="66" spans="1:37" x14ac:dyDescent="0.25">
      <c r="A66" s="1">
        <v>45986</v>
      </c>
      <c r="B66" s="1">
        <v>45987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238</v>
      </c>
      <c r="J66" t="s">
        <v>239</v>
      </c>
      <c r="M66" t="s">
        <v>46</v>
      </c>
      <c r="O66" t="s">
        <v>84</v>
      </c>
      <c r="P66" t="s">
        <v>85</v>
      </c>
      <c r="Q66" t="s">
        <v>49</v>
      </c>
      <c r="R66" t="s">
        <v>50</v>
      </c>
      <c r="S66" s="1">
        <v>46023</v>
      </c>
      <c r="U66" t="s">
        <v>51</v>
      </c>
      <c r="X66" t="s">
        <v>52</v>
      </c>
      <c r="Y66" s="2">
        <v>0</v>
      </c>
      <c r="Z66" s="2">
        <v>175</v>
      </c>
      <c r="AA66">
        <v>1</v>
      </c>
      <c r="AB66" s="3">
        <v>1</v>
      </c>
      <c r="AC66" s="2">
        <v>175</v>
      </c>
      <c r="AD66" s="3">
        <v>0</v>
      </c>
      <c r="AE66" s="2">
        <v>0</v>
      </c>
      <c r="AF66" s="2">
        <v>175</v>
      </c>
      <c r="AK66">
        <v>6041351</v>
      </c>
    </row>
    <row r="67" spans="1:37" x14ac:dyDescent="0.25">
      <c r="A67" s="1">
        <v>45986</v>
      </c>
      <c r="B67" s="1">
        <v>45987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240</v>
      </c>
      <c r="J67" t="s">
        <v>241</v>
      </c>
      <c r="M67" t="s">
        <v>46</v>
      </c>
      <c r="O67" t="s">
        <v>92</v>
      </c>
      <c r="P67" t="s">
        <v>93</v>
      </c>
      <c r="Q67" t="s">
        <v>49</v>
      </c>
      <c r="R67" t="s">
        <v>66</v>
      </c>
      <c r="S67" s="1">
        <v>46023</v>
      </c>
      <c r="U67" t="s">
        <v>51</v>
      </c>
      <c r="X67" t="s">
        <v>52</v>
      </c>
      <c r="Y67" s="2">
        <v>0</v>
      </c>
      <c r="Z67" s="2">
        <v>108</v>
      </c>
      <c r="AA67">
        <v>1</v>
      </c>
      <c r="AB67" s="3">
        <v>1</v>
      </c>
      <c r="AC67" s="2">
        <v>108</v>
      </c>
      <c r="AD67" s="3">
        <v>0</v>
      </c>
      <c r="AE67" s="2">
        <v>0</v>
      </c>
      <c r="AF67" s="2">
        <v>108</v>
      </c>
      <c r="AK67">
        <v>6040885</v>
      </c>
    </row>
    <row r="68" spans="1:37" x14ac:dyDescent="0.25">
      <c r="A68" s="1">
        <v>45986</v>
      </c>
      <c r="B68" s="1">
        <v>45987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242</v>
      </c>
      <c r="J68" t="s">
        <v>243</v>
      </c>
      <c r="M68" t="s">
        <v>46</v>
      </c>
      <c r="O68" t="s">
        <v>92</v>
      </c>
      <c r="P68" t="s">
        <v>93</v>
      </c>
      <c r="Q68" t="s">
        <v>49</v>
      </c>
      <c r="R68" t="s">
        <v>66</v>
      </c>
      <c r="S68" s="1">
        <v>46023</v>
      </c>
      <c r="U68" t="s">
        <v>51</v>
      </c>
      <c r="X68" t="s">
        <v>52</v>
      </c>
      <c r="Y68" s="2">
        <v>0</v>
      </c>
      <c r="Z68" s="2">
        <v>108</v>
      </c>
      <c r="AA68">
        <v>1</v>
      </c>
      <c r="AB68" s="3">
        <v>1</v>
      </c>
      <c r="AC68" s="2">
        <v>108</v>
      </c>
      <c r="AD68" s="3">
        <v>0</v>
      </c>
      <c r="AE68" s="2">
        <v>0</v>
      </c>
      <c r="AF68" s="2">
        <v>108</v>
      </c>
      <c r="AK68">
        <v>6040886</v>
      </c>
    </row>
    <row r="69" spans="1:37" x14ac:dyDescent="0.25">
      <c r="A69" s="1">
        <v>45986</v>
      </c>
      <c r="B69" s="1">
        <v>45987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244</v>
      </c>
      <c r="J69" t="s">
        <v>245</v>
      </c>
      <c r="M69" t="s">
        <v>46</v>
      </c>
      <c r="O69" t="s">
        <v>92</v>
      </c>
      <c r="P69" t="s">
        <v>93</v>
      </c>
      <c r="Q69" t="s">
        <v>49</v>
      </c>
      <c r="R69" t="s">
        <v>66</v>
      </c>
      <c r="S69" s="1">
        <v>46023</v>
      </c>
      <c r="U69" t="s">
        <v>51</v>
      </c>
      <c r="X69" t="s">
        <v>52</v>
      </c>
      <c r="Y69" s="2">
        <v>0</v>
      </c>
      <c r="Z69" s="2">
        <v>108</v>
      </c>
      <c r="AA69">
        <v>1</v>
      </c>
      <c r="AB69" s="3">
        <v>1</v>
      </c>
      <c r="AC69" s="2">
        <v>108</v>
      </c>
      <c r="AD69" s="3">
        <v>0</v>
      </c>
      <c r="AE69" s="2">
        <v>0</v>
      </c>
      <c r="AF69" s="2">
        <v>108</v>
      </c>
      <c r="AK69">
        <v>6040887</v>
      </c>
    </row>
    <row r="70" spans="1:37" x14ac:dyDescent="0.25">
      <c r="A70" s="1">
        <v>45986</v>
      </c>
      <c r="B70" s="1">
        <v>45987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246</v>
      </c>
      <c r="J70" t="s">
        <v>247</v>
      </c>
      <c r="M70" t="s">
        <v>46</v>
      </c>
      <c r="O70" t="s">
        <v>248</v>
      </c>
      <c r="P70" t="s">
        <v>247</v>
      </c>
      <c r="Q70" t="s">
        <v>49</v>
      </c>
      <c r="R70" t="s">
        <v>66</v>
      </c>
      <c r="S70" s="1">
        <v>46023</v>
      </c>
      <c r="U70" t="s">
        <v>51</v>
      </c>
      <c r="X70" t="s">
        <v>52</v>
      </c>
      <c r="Y70" s="2">
        <v>0</v>
      </c>
      <c r="Z70" s="2">
        <v>108</v>
      </c>
      <c r="AA70">
        <v>1</v>
      </c>
      <c r="AB70" s="3">
        <v>1</v>
      </c>
      <c r="AC70" s="2">
        <v>108</v>
      </c>
      <c r="AD70" s="3">
        <v>0</v>
      </c>
      <c r="AE70" s="2">
        <v>0</v>
      </c>
      <c r="AF70" s="2">
        <v>108</v>
      </c>
      <c r="AK70">
        <v>6040888</v>
      </c>
    </row>
    <row r="71" spans="1:37" x14ac:dyDescent="0.25">
      <c r="A71" s="1">
        <v>45986</v>
      </c>
      <c r="B71" s="1">
        <v>45987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249</v>
      </c>
      <c r="J71" t="s">
        <v>250</v>
      </c>
      <c r="M71" t="s">
        <v>192</v>
      </c>
      <c r="O71" t="s">
        <v>55</v>
      </c>
      <c r="P71" t="s">
        <v>56</v>
      </c>
      <c r="Q71" t="s">
        <v>49</v>
      </c>
      <c r="R71" t="s">
        <v>66</v>
      </c>
      <c r="S71" s="1">
        <v>46023</v>
      </c>
      <c r="U71" t="s">
        <v>51</v>
      </c>
      <c r="X71" t="s">
        <v>52</v>
      </c>
      <c r="Y71" s="2">
        <v>0</v>
      </c>
      <c r="Z71" s="2">
        <v>108</v>
      </c>
      <c r="AA71">
        <v>1</v>
      </c>
      <c r="AB71" s="3">
        <v>1</v>
      </c>
      <c r="AC71" s="2">
        <v>108</v>
      </c>
      <c r="AD71" s="3">
        <v>0</v>
      </c>
      <c r="AE71" s="2">
        <v>0</v>
      </c>
      <c r="AF71" s="2">
        <v>108</v>
      </c>
      <c r="AK71">
        <v>6040889</v>
      </c>
    </row>
    <row r="72" spans="1:37" x14ac:dyDescent="0.25">
      <c r="A72" s="1">
        <v>45986</v>
      </c>
      <c r="B72" s="1">
        <v>45987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251</v>
      </c>
      <c r="J72" t="s">
        <v>252</v>
      </c>
      <c r="M72" t="s">
        <v>192</v>
      </c>
      <c r="O72" t="s">
        <v>144</v>
      </c>
      <c r="P72" t="s">
        <v>145</v>
      </c>
      <c r="Q72" t="s">
        <v>49</v>
      </c>
      <c r="R72" t="s">
        <v>50</v>
      </c>
      <c r="S72" s="1">
        <v>46023</v>
      </c>
      <c r="U72" t="s">
        <v>51</v>
      </c>
      <c r="X72" t="s">
        <v>52</v>
      </c>
      <c r="Y72" s="2">
        <v>0</v>
      </c>
      <c r="Z72" s="2">
        <v>175</v>
      </c>
      <c r="AA72">
        <v>1</v>
      </c>
      <c r="AB72" s="3">
        <v>1</v>
      </c>
      <c r="AC72" s="2">
        <v>175</v>
      </c>
      <c r="AD72" s="3">
        <v>0</v>
      </c>
      <c r="AE72" s="2">
        <v>0</v>
      </c>
      <c r="AF72" s="2">
        <v>175</v>
      </c>
      <c r="AK72">
        <v>6041352</v>
      </c>
    </row>
    <row r="73" spans="1:37" x14ac:dyDescent="0.25">
      <c r="A73" s="1">
        <v>45986</v>
      </c>
      <c r="B73" s="1">
        <v>45987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253</v>
      </c>
      <c r="J73" t="s">
        <v>254</v>
      </c>
      <c r="M73" t="s">
        <v>130</v>
      </c>
      <c r="O73" t="s">
        <v>255</v>
      </c>
      <c r="P73" t="s">
        <v>256</v>
      </c>
      <c r="Q73" t="s">
        <v>49</v>
      </c>
      <c r="R73" t="s">
        <v>257</v>
      </c>
      <c r="S73" s="1">
        <v>45992</v>
      </c>
      <c r="U73" t="s">
        <v>51</v>
      </c>
      <c r="X73" t="s">
        <v>52</v>
      </c>
      <c r="Y73" s="2">
        <v>0</v>
      </c>
      <c r="Z73" s="2">
        <v>15</v>
      </c>
      <c r="AA73">
        <v>1</v>
      </c>
      <c r="AB73" s="3">
        <v>1</v>
      </c>
      <c r="AC73" s="2">
        <v>15</v>
      </c>
      <c r="AD73" s="3">
        <v>0</v>
      </c>
      <c r="AE73" s="2">
        <v>0</v>
      </c>
      <c r="AF73" s="2">
        <v>15</v>
      </c>
      <c r="AK73">
        <v>6040656</v>
      </c>
    </row>
    <row r="74" spans="1:37" x14ac:dyDescent="0.25">
      <c r="A74" s="1">
        <v>45986</v>
      </c>
      <c r="B74" s="1">
        <v>45987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258</v>
      </c>
      <c r="J74" t="s">
        <v>259</v>
      </c>
      <c r="M74" t="s">
        <v>46</v>
      </c>
      <c r="O74" t="s">
        <v>92</v>
      </c>
      <c r="P74" t="s">
        <v>93</v>
      </c>
      <c r="Q74" t="s">
        <v>49</v>
      </c>
      <c r="R74" t="s">
        <v>50</v>
      </c>
      <c r="S74" s="1">
        <v>46023</v>
      </c>
      <c r="U74" t="s">
        <v>51</v>
      </c>
      <c r="X74" t="s">
        <v>52</v>
      </c>
      <c r="Y74" s="2">
        <v>0</v>
      </c>
      <c r="Z74" s="2">
        <v>175</v>
      </c>
      <c r="AA74">
        <v>1</v>
      </c>
      <c r="AB74" s="3">
        <v>1</v>
      </c>
      <c r="AC74" s="2">
        <v>175</v>
      </c>
      <c r="AD74" s="3">
        <v>0</v>
      </c>
      <c r="AE74" s="2">
        <v>0</v>
      </c>
      <c r="AF74" s="2">
        <v>175</v>
      </c>
      <c r="AK74">
        <v>6041353</v>
      </c>
    </row>
    <row r="75" spans="1:37" x14ac:dyDescent="0.25">
      <c r="A75" s="1">
        <v>45986</v>
      </c>
      <c r="B75" s="1">
        <v>45987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260</v>
      </c>
      <c r="J75" t="s">
        <v>261</v>
      </c>
      <c r="M75" t="s">
        <v>46</v>
      </c>
      <c r="O75" t="s">
        <v>104</v>
      </c>
      <c r="P75" t="s">
        <v>105</v>
      </c>
      <c r="Q75" t="s">
        <v>49</v>
      </c>
      <c r="R75" t="s">
        <v>50</v>
      </c>
      <c r="S75" s="1">
        <v>46023</v>
      </c>
      <c r="U75" t="s">
        <v>51</v>
      </c>
      <c r="X75" t="s">
        <v>52</v>
      </c>
      <c r="Y75" s="2">
        <v>0</v>
      </c>
      <c r="Z75" s="2">
        <v>175</v>
      </c>
      <c r="AA75">
        <v>1</v>
      </c>
      <c r="AB75" s="3">
        <v>1</v>
      </c>
      <c r="AC75" s="2">
        <v>175</v>
      </c>
      <c r="AD75" s="3">
        <v>0</v>
      </c>
      <c r="AE75" s="2">
        <v>0</v>
      </c>
      <c r="AF75" s="2">
        <v>175</v>
      </c>
      <c r="AK75">
        <v>6041354</v>
      </c>
    </row>
    <row r="76" spans="1:37" x14ac:dyDescent="0.25">
      <c r="A76" s="1">
        <v>45986</v>
      </c>
      <c r="B76" s="1">
        <v>45987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262</v>
      </c>
      <c r="J76" t="s">
        <v>263</v>
      </c>
      <c r="M76" t="s">
        <v>46</v>
      </c>
      <c r="O76" t="s">
        <v>47</v>
      </c>
      <c r="P76" t="s">
        <v>48</v>
      </c>
      <c r="Q76" t="s">
        <v>49</v>
      </c>
      <c r="R76" t="s">
        <v>50</v>
      </c>
      <c r="S76" s="1">
        <v>46023</v>
      </c>
      <c r="U76" t="s">
        <v>51</v>
      </c>
      <c r="X76" t="s">
        <v>52</v>
      </c>
      <c r="Y76" s="2">
        <v>0</v>
      </c>
      <c r="Z76" s="2">
        <v>175</v>
      </c>
      <c r="AA76">
        <v>1</v>
      </c>
      <c r="AB76" s="3">
        <v>1</v>
      </c>
      <c r="AC76" s="2">
        <v>175</v>
      </c>
      <c r="AD76" s="3">
        <v>0</v>
      </c>
      <c r="AE76" s="2">
        <v>0</v>
      </c>
      <c r="AF76" s="2">
        <v>175</v>
      </c>
      <c r="AK76">
        <v>6041355</v>
      </c>
    </row>
    <row r="77" spans="1:37" x14ac:dyDescent="0.25">
      <c r="A77" s="1">
        <v>45986</v>
      </c>
      <c r="B77" s="1">
        <v>45987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264</v>
      </c>
      <c r="J77" t="s">
        <v>265</v>
      </c>
      <c r="M77" t="s">
        <v>266</v>
      </c>
      <c r="O77" t="s">
        <v>47</v>
      </c>
      <c r="P77" t="s">
        <v>48</v>
      </c>
      <c r="Q77" t="s">
        <v>49</v>
      </c>
      <c r="R77" t="s">
        <v>50</v>
      </c>
      <c r="S77" s="1">
        <v>46023</v>
      </c>
      <c r="U77" t="s">
        <v>51</v>
      </c>
      <c r="X77" t="s">
        <v>52</v>
      </c>
      <c r="Y77" s="2">
        <v>0</v>
      </c>
      <c r="Z77" s="2">
        <v>175</v>
      </c>
      <c r="AA77">
        <v>1</v>
      </c>
      <c r="AB77" s="3">
        <v>1</v>
      </c>
      <c r="AC77" s="2">
        <v>175</v>
      </c>
      <c r="AD77" s="3">
        <v>0</v>
      </c>
      <c r="AE77" s="2">
        <v>0</v>
      </c>
      <c r="AF77" s="2">
        <v>175</v>
      </c>
      <c r="AK77">
        <v>6041356</v>
      </c>
    </row>
    <row r="78" spans="1:37" x14ac:dyDescent="0.25">
      <c r="A78" s="1">
        <v>45986</v>
      </c>
      <c r="B78" s="1">
        <v>45987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267</v>
      </c>
      <c r="J78" t="s">
        <v>268</v>
      </c>
      <c r="M78" t="s">
        <v>46</v>
      </c>
      <c r="O78" t="s">
        <v>55</v>
      </c>
      <c r="P78" t="s">
        <v>56</v>
      </c>
      <c r="Q78" t="s">
        <v>49</v>
      </c>
      <c r="R78" t="s">
        <v>50</v>
      </c>
      <c r="S78" s="1">
        <v>46023</v>
      </c>
      <c r="U78" t="s">
        <v>51</v>
      </c>
      <c r="X78" t="s">
        <v>52</v>
      </c>
      <c r="Y78" s="2">
        <v>0</v>
      </c>
      <c r="Z78" s="2">
        <v>175</v>
      </c>
      <c r="AA78">
        <v>1</v>
      </c>
      <c r="AB78" s="3">
        <v>1</v>
      </c>
      <c r="AC78" s="2">
        <v>175</v>
      </c>
      <c r="AD78" s="3">
        <v>0</v>
      </c>
      <c r="AE78" s="2">
        <v>0</v>
      </c>
      <c r="AF78" s="2">
        <v>175</v>
      </c>
      <c r="AK78">
        <v>6041358</v>
      </c>
    </row>
    <row r="79" spans="1:37" x14ac:dyDescent="0.25">
      <c r="A79" s="1">
        <v>45986</v>
      </c>
      <c r="B79" s="1">
        <v>45987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269</v>
      </c>
      <c r="J79" t="s">
        <v>270</v>
      </c>
      <c r="M79" t="s">
        <v>46</v>
      </c>
      <c r="O79" t="s">
        <v>104</v>
      </c>
      <c r="P79" t="s">
        <v>105</v>
      </c>
      <c r="Q79" t="s">
        <v>49</v>
      </c>
      <c r="R79" t="s">
        <v>50</v>
      </c>
      <c r="S79" s="1">
        <v>46023</v>
      </c>
      <c r="U79" t="s">
        <v>51</v>
      </c>
      <c r="X79" t="s">
        <v>52</v>
      </c>
      <c r="Y79" s="2">
        <v>0</v>
      </c>
      <c r="Z79" s="2">
        <v>175</v>
      </c>
      <c r="AA79">
        <v>1</v>
      </c>
      <c r="AB79" s="3">
        <v>1</v>
      </c>
      <c r="AC79" s="2">
        <v>175</v>
      </c>
      <c r="AD79" s="3">
        <v>0</v>
      </c>
      <c r="AE79" s="2">
        <v>0</v>
      </c>
      <c r="AF79" s="2">
        <v>175</v>
      </c>
      <c r="AK79">
        <v>6041359</v>
      </c>
    </row>
    <row r="80" spans="1:37" x14ac:dyDescent="0.25">
      <c r="A80" s="1">
        <v>45986</v>
      </c>
      <c r="B80" s="1">
        <v>45987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271</v>
      </c>
      <c r="J80" t="s">
        <v>272</v>
      </c>
      <c r="M80" t="s">
        <v>46</v>
      </c>
      <c r="O80" t="s">
        <v>108</v>
      </c>
      <c r="P80" t="s">
        <v>109</v>
      </c>
      <c r="Q80" t="s">
        <v>49</v>
      </c>
      <c r="R80" t="s">
        <v>50</v>
      </c>
      <c r="S80" s="1">
        <v>46023</v>
      </c>
      <c r="U80" t="s">
        <v>51</v>
      </c>
      <c r="X80" t="s">
        <v>52</v>
      </c>
      <c r="Y80" s="2">
        <v>0</v>
      </c>
      <c r="Z80" s="2">
        <v>175</v>
      </c>
      <c r="AA80">
        <v>1</v>
      </c>
      <c r="AB80" s="3">
        <v>1</v>
      </c>
      <c r="AC80" s="2">
        <v>175</v>
      </c>
      <c r="AD80" s="3">
        <v>0</v>
      </c>
      <c r="AE80" s="2">
        <v>0</v>
      </c>
      <c r="AF80" s="2">
        <v>175</v>
      </c>
      <c r="AK80">
        <v>6041360</v>
      </c>
    </row>
    <row r="81" spans="1:37" x14ac:dyDescent="0.25">
      <c r="A81" s="1">
        <v>45986</v>
      </c>
      <c r="B81" s="1">
        <v>45987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273</v>
      </c>
      <c r="J81" t="s">
        <v>274</v>
      </c>
      <c r="M81" t="s">
        <v>275</v>
      </c>
      <c r="O81" t="s">
        <v>276</v>
      </c>
      <c r="P81" t="s">
        <v>277</v>
      </c>
      <c r="Q81" t="s">
        <v>49</v>
      </c>
      <c r="R81" t="s">
        <v>50</v>
      </c>
      <c r="S81" s="1">
        <v>46023</v>
      </c>
      <c r="U81" t="s">
        <v>51</v>
      </c>
      <c r="X81" t="s">
        <v>52</v>
      </c>
      <c r="Y81" s="2">
        <v>0</v>
      </c>
      <c r="Z81" s="2">
        <v>175</v>
      </c>
      <c r="AA81">
        <v>1</v>
      </c>
      <c r="AB81" s="3">
        <v>1</v>
      </c>
      <c r="AC81" s="2">
        <v>175</v>
      </c>
      <c r="AD81" s="3">
        <v>0</v>
      </c>
      <c r="AE81" s="2">
        <v>0</v>
      </c>
      <c r="AF81" s="2">
        <v>175</v>
      </c>
      <c r="AK81">
        <v>6041361</v>
      </c>
    </row>
    <row r="82" spans="1:37" x14ac:dyDescent="0.25">
      <c r="A82" s="1">
        <v>45986</v>
      </c>
      <c r="B82" s="1">
        <v>45987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278</v>
      </c>
      <c r="J82" t="s">
        <v>279</v>
      </c>
      <c r="M82" t="s">
        <v>207</v>
      </c>
      <c r="O82" t="s">
        <v>280</v>
      </c>
      <c r="P82" t="s">
        <v>281</v>
      </c>
      <c r="Q82" t="s">
        <v>49</v>
      </c>
      <c r="R82" t="s">
        <v>257</v>
      </c>
      <c r="S82" s="1">
        <v>46023</v>
      </c>
      <c r="U82" t="s">
        <v>51</v>
      </c>
      <c r="X82" t="s">
        <v>52</v>
      </c>
      <c r="Y82" s="2">
        <v>0</v>
      </c>
      <c r="Z82" s="2">
        <v>15</v>
      </c>
      <c r="AA82">
        <v>1</v>
      </c>
      <c r="AB82" s="3">
        <v>1</v>
      </c>
      <c r="AC82" s="2">
        <v>15</v>
      </c>
      <c r="AD82" s="3">
        <v>0</v>
      </c>
      <c r="AE82" s="2">
        <v>0</v>
      </c>
      <c r="AF82" s="2">
        <v>15</v>
      </c>
      <c r="AK82">
        <v>6040655</v>
      </c>
    </row>
    <row r="83" spans="1:37" x14ac:dyDescent="0.25">
      <c r="A83" s="1">
        <v>45986</v>
      </c>
      <c r="B83" s="1">
        <v>45987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282</v>
      </c>
      <c r="J83" t="s">
        <v>283</v>
      </c>
      <c r="M83" t="s">
        <v>59</v>
      </c>
      <c r="O83" t="s">
        <v>60</v>
      </c>
      <c r="P83" t="s">
        <v>61</v>
      </c>
      <c r="Q83" t="s">
        <v>49</v>
      </c>
      <c r="R83" t="s">
        <v>50</v>
      </c>
      <c r="S83" s="1">
        <v>46023</v>
      </c>
      <c r="U83" t="s">
        <v>51</v>
      </c>
      <c r="X83" t="s">
        <v>52</v>
      </c>
      <c r="Y83" s="2">
        <v>0</v>
      </c>
      <c r="Z83" s="2">
        <v>175</v>
      </c>
      <c r="AA83">
        <v>1</v>
      </c>
      <c r="AB83" s="3">
        <v>1</v>
      </c>
      <c r="AC83" s="2">
        <v>175</v>
      </c>
      <c r="AD83" s="3">
        <v>0</v>
      </c>
      <c r="AE83" s="2">
        <v>0</v>
      </c>
      <c r="AF83" s="2">
        <v>175</v>
      </c>
      <c r="AK83">
        <v>6041261</v>
      </c>
    </row>
    <row r="84" spans="1:37" x14ac:dyDescent="0.25">
      <c r="A84" s="1">
        <v>45986</v>
      </c>
      <c r="B84" s="1">
        <v>45987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284</v>
      </c>
      <c r="J84" t="s">
        <v>285</v>
      </c>
      <c r="M84" t="s">
        <v>46</v>
      </c>
      <c r="O84" t="s">
        <v>47</v>
      </c>
      <c r="P84" t="s">
        <v>48</v>
      </c>
      <c r="Q84" t="s">
        <v>49</v>
      </c>
      <c r="R84" t="s">
        <v>50</v>
      </c>
      <c r="S84" s="1">
        <v>46023</v>
      </c>
      <c r="U84" t="s">
        <v>51</v>
      </c>
      <c r="X84" t="s">
        <v>52</v>
      </c>
      <c r="Y84" s="2">
        <v>0</v>
      </c>
      <c r="Z84" s="2">
        <v>175</v>
      </c>
      <c r="AA84">
        <v>1</v>
      </c>
      <c r="AB84" s="3">
        <v>1</v>
      </c>
      <c r="AC84" s="2">
        <v>175</v>
      </c>
      <c r="AD84" s="3">
        <v>0</v>
      </c>
      <c r="AE84" s="2">
        <v>0</v>
      </c>
      <c r="AF84" s="2">
        <v>175</v>
      </c>
      <c r="AK84">
        <v>6041362</v>
      </c>
    </row>
    <row r="85" spans="1:37" x14ac:dyDescent="0.25">
      <c r="A85" s="1">
        <v>45986</v>
      </c>
      <c r="B85" s="1">
        <v>45987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286</v>
      </c>
      <c r="J85" t="s">
        <v>287</v>
      </c>
      <c r="M85" t="s">
        <v>46</v>
      </c>
      <c r="O85" t="s">
        <v>288</v>
      </c>
      <c r="P85" t="s">
        <v>289</v>
      </c>
      <c r="Q85" t="s">
        <v>49</v>
      </c>
      <c r="R85" t="s">
        <v>50</v>
      </c>
      <c r="S85" s="1">
        <v>46023</v>
      </c>
      <c r="U85" t="s">
        <v>51</v>
      </c>
      <c r="X85" t="s">
        <v>52</v>
      </c>
      <c r="Y85" s="2">
        <v>0</v>
      </c>
      <c r="Z85" s="2">
        <v>175</v>
      </c>
      <c r="AA85">
        <v>1</v>
      </c>
      <c r="AB85" s="3">
        <v>1</v>
      </c>
      <c r="AC85" s="2">
        <v>175</v>
      </c>
      <c r="AD85" s="3">
        <v>0</v>
      </c>
      <c r="AE85" s="2">
        <v>0</v>
      </c>
      <c r="AF85" s="2">
        <v>175</v>
      </c>
      <c r="AK85">
        <v>6041363</v>
      </c>
    </row>
    <row r="86" spans="1:37" x14ac:dyDescent="0.25">
      <c r="A86" s="1">
        <v>45986</v>
      </c>
      <c r="B86" s="1">
        <v>45987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290</v>
      </c>
      <c r="J86" t="s">
        <v>291</v>
      </c>
      <c r="M86" t="s">
        <v>46</v>
      </c>
      <c r="O86" t="s">
        <v>47</v>
      </c>
      <c r="P86" t="s">
        <v>48</v>
      </c>
      <c r="Q86" t="s">
        <v>49</v>
      </c>
      <c r="R86" t="s">
        <v>50</v>
      </c>
      <c r="S86" s="1">
        <v>46023</v>
      </c>
      <c r="U86" t="s">
        <v>51</v>
      </c>
      <c r="X86" t="s">
        <v>52</v>
      </c>
      <c r="Y86" s="2">
        <v>0</v>
      </c>
      <c r="Z86" s="2">
        <v>175</v>
      </c>
      <c r="AA86">
        <v>1</v>
      </c>
      <c r="AB86" s="3">
        <v>1</v>
      </c>
      <c r="AC86" s="2">
        <v>175</v>
      </c>
      <c r="AD86" s="3">
        <v>0</v>
      </c>
      <c r="AE86" s="2">
        <v>0</v>
      </c>
      <c r="AF86" s="2">
        <v>175</v>
      </c>
      <c r="AK86">
        <v>6041364</v>
      </c>
    </row>
    <row r="87" spans="1:37" x14ac:dyDescent="0.25">
      <c r="A87" s="1">
        <v>45986</v>
      </c>
      <c r="B87" s="1">
        <v>45987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292</v>
      </c>
      <c r="J87" t="s">
        <v>293</v>
      </c>
      <c r="M87" t="s">
        <v>294</v>
      </c>
      <c r="O87" t="s">
        <v>72</v>
      </c>
      <c r="P87" t="s">
        <v>73</v>
      </c>
      <c r="Q87" t="s">
        <v>49</v>
      </c>
      <c r="R87" t="s">
        <v>50</v>
      </c>
      <c r="S87" s="1">
        <v>46023</v>
      </c>
      <c r="U87" t="s">
        <v>51</v>
      </c>
      <c r="X87" t="s">
        <v>52</v>
      </c>
      <c r="Y87" s="2">
        <v>0</v>
      </c>
      <c r="Z87" s="2">
        <v>175</v>
      </c>
      <c r="AA87">
        <v>1</v>
      </c>
      <c r="AB87" s="3">
        <v>1</v>
      </c>
      <c r="AC87" s="2">
        <v>175</v>
      </c>
      <c r="AD87" s="3">
        <v>0</v>
      </c>
      <c r="AE87" s="2">
        <v>0</v>
      </c>
      <c r="AF87" s="2">
        <v>175</v>
      </c>
      <c r="AK87">
        <v>6041365</v>
      </c>
    </row>
    <row r="88" spans="1:37" x14ac:dyDescent="0.25">
      <c r="A88" s="1">
        <v>45986</v>
      </c>
      <c r="B88" s="1">
        <v>45987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295</v>
      </c>
      <c r="J88" t="s">
        <v>296</v>
      </c>
      <c r="M88" t="s">
        <v>46</v>
      </c>
      <c r="O88" t="s">
        <v>297</v>
      </c>
      <c r="P88" t="s">
        <v>298</v>
      </c>
      <c r="Q88" t="s">
        <v>49</v>
      </c>
      <c r="R88" t="s">
        <v>50</v>
      </c>
      <c r="S88" s="1">
        <v>46023</v>
      </c>
      <c r="U88" t="s">
        <v>51</v>
      </c>
      <c r="X88" t="s">
        <v>52</v>
      </c>
      <c r="Y88" s="2">
        <v>0</v>
      </c>
      <c r="Z88" s="2">
        <v>175</v>
      </c>
      <c r="AA88">
        <v>1</v>
      </c>
      <c r="AB88" s="3">
        <v>1</v>
      </c>
      <c r="AC88" s="2">
        <v>175</v>
      </c>
      <c r="AD88" s="3">
        <v>0</v>
      </c>
      <c r="AE88" s="2">
        <v>0</v>
      </c>
      <c r="AF88" s="2">
        <v>175</v>
      </c>
      <c r="AK88">
        <v>6041366</v>
      </c>
    </row>
    <row r="89" spans="1:37" x14ac:dyDescent="0.25">
      <c r="A89" s="1">
        <v>45986</v>
      </c>
      <c r="B89" s="1">
        <v>45987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299</v>
      </c>
      <c r="J89" t="s">
        <v>300</v>
      </c>
      <c r="M89" t="s">
        <v>46</v>
      </c>
      <c r="O89" t="s">
        <v>301</v>
      </c>
      <c r="P89" t="s">
        <v>302</v>
      </c>
      <c r="Q89" t="s">
        <v>49</v>
      </c>
      <c r="R89" t="s">
        <v>50</v>
      </c>
      <c r="S89" s="1">
        <v>46023</v>
      </c>
      <c r="U89" t="s">
        <v>51</v>
      </c>
      <c r="X89" t="s">
        <v>52</v>
      </c>
      <c r="Y89" s="2">
        <v>0</v>
      </c>
      <c r="Z89" s="2">
        <v>175</v>
      </c>
      <c r="AA89">
        <v>1</v>
      </c>
      <c r="AB89" s="3">
        <v>1</v>
      </c>
      <c r="AC89" s="2">
        <v>175</v>
      </c>
      <c r="AD89" s="3">
        <v>0</v>
      </c>
      <c r="AE89" s="2">
        <v>0</v>
      </c>
      <c r="AF89" s="2">
        <v>175</v>
      </c>
      <c r="AK89">
        <v>6041368</v>
      </c>
    </row>
    <row r="90" spans="1:37" x14ac:dyDescent="0.25">
      <c r="A90" s="1">
        <v>45986</v>
      </c>
      <c r="B90" s="1">
        <v>45987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303</v>
      </c>
      <c r="J90" t="s">
        <v>304</v>
      </c>
      <c r="M90" t="s">
        <v>46</v>
      </c>
      <c r="O90" t="s">
        <v>305</v>
      </c>
      <c r="P90" t="s">
        <v>306</v>
      </c>
      <c r="Q90" t="s">
        <v>49</v>
      </c>
      <c r="R90" t="s">
        <v>50</v>
      </c>
      <c r="S90" s="1">
        <v>46023</v>
      </c>
      <c r="U90" t="s">
        <v>51</v>
      </c>
      <c r="X90" t="s">
        <v>52</v>
      </c>
      <c r="Y90" s="2">
        <v>0</v>
      </c>
      <c r="Z90" s="2">
        <v>175</v>
      </c>
      <c r="AA90">
        <v>1</v>
      </c>
      <c r="AB90" s="3">
        <v>1</v>
      </c>
      <c r="AC90" s="2">
        <v>175</v>
      </c>
      <c r="AD90" s="3">
        <v>0</v>
      </c>
      <c r="AE90" s="2">
        <v>0</v>
      </c>
      <c r="AF90" s="2">
        <v>175</v>
      </c>
      <c r="AK90">
        <v>6041369</v>
      </c>
    </row>
    <row r="91" spans="1:37" x14ac:dyDescent="0.25">
      <c r="A91" s="1">
        <v>45986</v>
      </c>
      <c r="B91" s="1">
        <v>45987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307</v>
      </c>
      <c r="J91" t="s">
        <v>308</v>
      </c>
      <c r="M91" t="s">
        <v>46</v>
      </c>
      <c r="O91" t="s">
        <v>47</v>
      </c>
      <c r="P91" t="s">
        <v>48</v>
      </c>
      <c r="Q91" t="s">
        <v>49</v>
      </c>
      <c r="R91" t="s">
        <v>50</v>
      </c>
      <c r="S91" s="1">
        <v>46023</v>
      </c>
      <c r="U91" t="s">
        <v>51</v>
      </c>
      <c r="X91" t="s">
        <v>52</v>
      </c>
      <c r="Y91" s="2">
        <v>0</v>
      </c>
      <c r="Z91" s="2">
        <v>175</v>
      </c>
      <c r="AA91">
        <v>1</v>
      </c>
      <c r="AB91" s="3">
        <v>1</v>
      </c>
      <c r="AC91" s="2">
        <v>175</v>
      </c>
      <c r="AD91" s="3">
        <v>0</v>
      </c>
      <c r="AE91" s="2">
        <v>0</v>
      </c>
      <c r="AF91" s="2">
        <v>175</v>
      </c>
      <c r="AK91">
        <v>6041370</v>
      </c>
    </row>
    <row r="92" spans="1:37" x14ac:dyDescent="0.25">
      <c r="A92" s="1">
        <v>45986</v>
      </c>
      <c r="B92" s="1">
        <v>45987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309</v>
      </c>
      <c r="J92" t="s">
        <v>310</v>
      </c>
      <c r="M92" t="s">
        <v>275</v>
      </c>
      <c r="O92" t="s">
        <v>311</v>
      </c>
      <c r="P92" t="s">
        <v>312</v>
      </c>
      <c r="Q92" t="s">
        <v>49</v>
      </c>
      <c r="R92" t="s">
        <v>50</v>
      </c>
      <c r="S92" s="1">
        <v>46023</v>
      </c>
      <c r="U92" t="s">
        <v>51</v>
      </c>
      <c r="X92" t="s">
        <v>52</v>
      </c>
      <c r="Y92" s="2">
        <v>0</v>
      </c>
      <c r="Z92" s="2">
        <v>175</v>
      </c>
      <c r="AA92">
        <v>1</v>
      </c>
      <c r="AB92" s="3">
        <v>1</v>
      </c>
      <c r="AC92" s="2">
        <v>175</v>
      </c>
      <c r="AD92" s="3">
        <v>0</v>
      </c>
      <c r="AE92" s="2">
        <v>0</v>
      </c>
      <c r="AF92" s="2">
        <v>175</v>
      </c>
      <c r="AK92">
        <v>6041021</v>
      </c>
    </row>
    <row r="93" spans="1:37" x14ac:dyDescent="0.25">
      <c r="A93" s="1">
        <v>45986</v>
      </c>
      <c r="B93" s="1">
        <v>45987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313</v>
      </c>
      <c r="J93" t="s">
        <v>314</v>
      </c>
      <c r="M93" t="s">
        <v>46</v>
      </c>
      <c r="O93" t="s">
        <v>315</v>
      </c>
      <c r="P93" t="s">
        <v>316</v>
      </c>
      <c r="Q93" t="s">
        <v>49</v>
      </c>
      <c r="R93" t="s">
        <v>257</v>
      </c>
      <c r="S93" s="1">
        <v>46023</v>
      </c>
      <c r="U93" t="s">
        <v>51</v>
      </c>
      <c r="X93" t="s">
        <v>52</v>
      </c>
      <c r="Y93" s="2">
        <v>0</v>
      </c>
      <c r="Z93" s="2">
        <v>15</v>
      </c>
      <c r="AA93">
        <v>1</v>
      </c>
      <c r="AB93" s="3">
        <v>1</v>
      </c>
      <c r="AC93" s="2">
        <v>15</v>
      </c>
      <c r="AD93" s="3">
        <v>0</v>
      </c>
      <c r="AE93" s="2">
        <v>0</v>
      </c>
      <c r="AF93" s="2">
        <v>15</v>
      </c>
      <c r="AK93">
        <v>6040657</v>
      </c>
    </row>
    <row r="94" spans="1:37" x14ac:dyDescent="0.25">
      <c r="A94" s="1">
        <v>45986</v>
      </c>
      <c r="B94" s="1">
        <v>45987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317</v>
      </c>
      <c r="J94" t="s">
        <v>318</v>
      </c>
      <c r="M94" t="s">
        <v>46</v>
      </c>
      <c r="O94" t="s">
        <v>319</v>
      </c>
      <c r="P94" t="s">
        <v>320</v>
      </c>
      <c r="Q94" t="s">
        <v>49</v>
      </c>
      <c r="R94" t="s">
        <v>50</v>
      </c>
      <c r="S94" s="1">
        <v>45992</v>
      </c>
      <c r="U94" t="s">
        <v>51</v>
      </c>
      <c r="X94" t="s">
        <v>52</v>
      </c>
      <c r="Y94" s="2">
        <v>0</v>
      </c>
      <c r="Z94" s="2">
        <v>175</v>
      </c>
      <c r="AA94">
        <v>1</v>
      </c>
      <c r="AB94" s="3">
        <v>1</v>
      </c>
      <c r="AC94" s="2">
        <v>175</v>
      </c>
      <c r="AD94" s="3">
        <v>0</v>
      </c>
      <c r="AE94" s="2">
        <v>0</v>
      </c>
      <c r="AF94" s="2">
        <v>175</v>
      </c>
      <c r="AK94">
        <v>6041372</v>
      </c>
    </row>
    <row r="95" spans="1:37" x14ac:dyDescent="0.25">
      <c r="A95" s="1">
        <v>45986</v>
      </c>
      <c r="B95" s="1">
        <v>45987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321</v>
      </c>
      <c r="J95" t="s">
        <v>322</v>
      </c>
      <c r="M95" t="s">
        <v>46</v>
      </c>
      <c r="O95" t="s">
        <v>47</v>
      </c>
      <c r="P95" t="s">
        <v>48</v>
      </c>
      <c r="Q95" t="s">
        <v>49</v>
      </c>
      <c r="R95" t="s">
        <v>50</v>
      </c>
      <c r="S95" s="1">
        <v>46023</v>
      </c>
      <c r="U95" t="s">
        <v>51</v>
      </c>
      <c r="X95" t="s">
        <v>52</v>
      </c>
      <c r="Y95" s="2">
        <v>0</v>
      </c>
      <c r="Z95" s="2">
        <v>175</v>
      </c>
      <c r="AA95">
        <v>1</v>
      </c>
      <c r="AB95" s="3">
        <v>1</v>
      </c>
      <c r="AC95" s="2">
        <v>175</v>
      </c>
      <c r="AD95" s="3">
        <v>0</v>
      </c>
      <c r="AE95" s="2">
        <v>0</v>
      </c>
      <c r="AF95" s="2">
        <v>175</v>
      </c>
      <c r="AK95">
        <v>6041373</v>
      </c>
    </row>
    <row r="96" spans="1:37" x14ac:dyDescent="0.25">
      <c r="A96" s="1">
        <v>45986</v>
      </c>
      <c r="B96" s="1">
        <v>45987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323</v>
      </c>
      <c r="J96" t="s">
        <v>324</v>
      </c>
      <c r="M96" t="s">
        <v>46</v>
      </c>
      <c r="O96" t="s">
        <v>297</v>
      </c>
      <c r="P96" t="s">
        <v>298</v>
      </c>
      <c r="Q96" t="s">
        <v>49</v>
      </c>
      <c r="R96" t="s">
        <v>50</v>
      </c>
      <c r="S96" s="1">
        <v>46023</v>
      </c>
      <c r="U96" t="s">
        <v>51</v>
      </c>
      <c r="X96" t="s">
        <v>52</v>
      </c>
      <c r="Y96" s="2">
        <v>0</v>
      </c>
      <c r="Z96" s="2">
        <v>175</v>
      </c>
      <c r="AA96">
        <v>1</v>
      </c>
      <c r="AB96" s="3">
        <v>1</v>
      </c>
      <c r="AC96" s="2">
        <v>175</v>
      </c>
      <c r="AD96" s="3">
        <v>0</v>
      </c>
      <c r="AE96" s="2">
        <v>0</v>
      </c>
      <c r="AF96" s="2">
        <v>175</v>
      </c>
      <c r="AK96">
        <v>6041374</v>
      </c>
    </row>
    <row r="97" spans="1:37" x14ac:dyDescent="0.25">
      <c r="A97" s="1">
        <v>45986</v>
      </c>
      <c r="B97" s="1">
        <v>45987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325</v>
      </c>
      <c r="J97" t="s">
        <v>326</v>
      </c>
      <c r="M97" t="s">
        <v>59</v>
      </c>
      <c r="O97" t="s">
        <v>201</v>
      </c>
      <c r="P97" t="s">
        <v>202</v>
      </c>
      <c r="Q97" t="s">
        <v>49</v>
      </c>
      <c r="R97" t="s">
        <v>50</v>
      </c>
      <c r="S97" s="1">
        <v>46023</v>
      </c>
      <c r="U97" t="s">
        <v>51</v>
      </c>
      <c r="X97" t="s">
        <v>52</v>
      </c>
      <c r="Y97" s="2">
        <v>0</v>
      </c>
      <c r="Z97" s="2">
        <v>175</v>
      </c>
      <c r="AA97">
        <v>1</v>
      </c>
      <c r="AB97" s="3">
        <v>1</v>
      </c>
      <c r="AC97" s="2">
        <v>175</v>
      </c>
      <c r="AD97" s="3">
        <v>0</v>
      </c>
      <c r="AE97" s="2">
        <v>0</v>
      </c>
      <c r="AF97" s="2">
        <v>175</v>
      </c>
      <c r="AK97">
        <v>6041375</v>
      </c>
    </row>
    <row r="98" spans="1:37" x14ac:dyDescent="0.25">
      <c r="A98" s="1">
        <v>45986</v>
      </c>
      <c r="B98" s="1">
        <v>45987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327</v>
      </c>
      <c r="J98" t="s">
        <v>328</v>
      </c>
      <c r="M98" t="s">
        <v>275</v>
      </c>
      <c r="O98" t="s">
        <v>276</v>
      </c>
      <c r="P98" t="s">
        <v>277</v>
      </c>
      <c r="Q98" t="s">
        <v>49</v>
      </c>
      <c r="R98" t="s">
        <v>50</v>
      </c>
      <c r="S98" s="1">
        <v>46023</v>
      </c>
      <c r="U98" t="s">
        <v>51</v>
      </c>
      <c r="X98" t="s">
        <v>52</v>
      </c>
      <c r="Y98" s="2">
        <v>0</v>
      </c>
      <c r="Z98" s="2">
        <v>175</v>
      </c>
      <c r="AA98">
        <v>1</v>
      </c>
      <c r="AB98" s="3">
        <v>1</v>
      </c>
      <c r="AC98" s="2">
        <v>175</v>
      </c>
      <c r="AD98" s="3">
        <v>0</v>
      </c>
      <c r="AE98" s="2">
        <v>0</v>
      </c>
      <c r="AF98" s="2">
        <v>175</v>
      </c>
      <c r="AK98">
        <v>6041376</v>
      </c>
    </row>
    <row r="99" spans="1:37" x14ac:dyDescent="0.25">
      <c r="A99" s="1">
        <v>45986</v>
      </c>
      <c r="B99" s="1">
        <v>45987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329</v>
      </c>
      <c r="J99" t="s">
        <v>330</v>
      </c>
      <c r="M99" t="s">
        <v>46</v>
      </c>
      <c r="O99" t="s">
        <v>158</v>
      </c>
      <c r="P99" t="s">
        <v>159</v>
      </c>
      <c r="Q99" t="s">
        <v>49</v>
      </c>
      <c r="R99" t="s">
        <v>50</v>
      </c>
      <c r="S99" s="1">
        <v>46023</v>
      </c>
      <c r="U99" t="s">
        <v>51</v>
      </c>
      <c r="X99" t="s">
        <v>52</v>
      </c>
      <c r="Y99" s="2">
        <v>0</v>
      </c>
      <c r="Z99" s="2">
        <v>175</v>
      </c>
      <c r="AA99">
        <v>1</v>
      </c>
      <c r="AB99" s="3">
        <v>1</v>
      </c>
      <c r="AC99" s="2">
        <v>175</v>
      </c>
      <c r="AD99" s="3">
        <v>0</v>
      </c>
      <c r="AE99" s="2">
        <v>0</v>
      </c>
      <c r="AF99" s="2">
        <v>175</v>
      </c>
      <c r="AK99">
        <v>6041378</v>
      </c>
    </row>
    <row r="100" spans="1:37" x14ac:dyDescent="0.25">
      <c r="A100" s="1">
        <v>45986</v>
      </c>
      <c r="B100" s="1">
        <v>45987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331</v>
      </c>
      <c r="J100" t="s">
        <v>332</v>
      </c>
      <c r="M100" t="s">
        <v>46</v>
      </c>
      <c r="O100" t="s">
        <v>108</v>
      </c>
      <c r="P100" t="s">
        <v>109</v>
      </c>
      <c r="Q100" t="s">
        <v>49</v>
      </c>
      <c r="R100" t="s">
        <v>50</v>
      </c>
      <c r="S100" s="1">
        <v>46023</v>
      </c>
      <c r="U100" t="s">
        <v>51</v>
      </c>
      <c r="X100" t="s">
        <v>52</v>
      </c>
      <c r="Y100" s="2">
        <v>0</v>
      </c>
      <c r="Z100" s="2">
        <v>175</v>
      </c>
      <c r="AA100">
        <v>1</v>
      </c>
      <c r="AB100" s="3">
        <v>1</v>
      </c>
      <c r="AC100" s="2">
        <v>175</v>
      </c>
      <c r="AD100" s="3">
        <v>0</v>
      </c>
      <c r="AE100" s="2">
        <v>0</v>
      </c>
      <c r="AF100" s="2">
        <v>175</v>
      </c>
      <c r="AK100">
        <v>6041379</v>
      </c>
    </row>
    <row r="101" spans="1:37" x14ac:dyDescent="0.25">
      <c r="A101" s="1">
        <v>45986</v>
      </c>
      <c r="B101" s="1">
        <v>45987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333</v>
      </c>
      <c r="J101" t="s">
        <v>334</v>
      </c>
      <c r="M101" t="s">
        <v>275</v>
      </c>
      <c r="O101" t="s">
        <v>276</v>
      </c>
      <c r="P101" t="s">
        <v>277</v>
      </c>
      <c r="Q101" t="s">
        <v>49</v>
      </c>
      <c r="R101" t="s">
        <v>50</v>
      </c>
      <c r="S101" s="1">
        <v>46023</v>
      </c>
      <c r="U101" t="s">
        <v>51</v>
      </c>
      <c r="X101" t="s">
        <v>52</v>
      </c>
      <c r="Y101" s="2">
        <v>0</v>
      </c>
      <c r="Z101" s="2">
        <v>175</v>
      </c>
      <c r="AA101">
        <v>1</v>
      </c>
      <c r="AB101" s="3">
        <v>1</v>
      </c>
      <c r="AC101" s="2">
        <v>175</v>
      </c>
      <c r="AD101" s="3">
        <v>0</v>
      </c>
      <c r="AE101" s="2">
        <v>0</v>
      </c>
      <c r="AF101" s="2">
        <v>175</v>
      </c>
      <c r="AK101">
        <v>6041381</v>
      </c>
    </row>
    <row r="102" spans="1:37" x14ac:dyDescent="0.25">
      <c r="A102" s="1">
        <v>45986</v>
      </c>
      <c r="B102" s="1">
        <v>45987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335</v>
      </c>
      <c r="J102" t="s">
        <v>336</v>
      </c>
      <c r="M102" t="s">
        <v>46</v>
      </c>
      <c r="O102" t="s">
        <v>297</v>
      </c>
      <c r="P102" t="s">
        <v>298</v>
      </c>
      <c r="Q102" t="s">
        <v>49</v>
      </c>
      <c r="R102" t="s">
        <v>50</v>
      </c>
      <c r="S102" s="1">
        <v>46023</v>
      </c>
      <c r="U102" t="s">
        <v>51</v>
      </c>
      <c r="X102" t="s">
        <v>52</v>
      </c>
      <c r="Y102" s="2">
        <v>0</v>
      </c>
      <c r="Z102" s="2">
        <v>175</v>
      </c>
      <c r="AA102">
        <v>1</v>
      </c>
      <c r="AB102" s="3">
        <v>1</v>
      </c>
      <c r="AC102" s="2">
        <v>175</v>
      </c>
      <c r="AD102" s="3">
        <v>0</v>
      </c>
      <c r="AE102" s="2">
        <v>0</v>
      </c>
      <c r="AF102" s="2">
        <v>175</v>
      </c>
      <c r="AK102">
        <v>6041382</v>
      </c>
    </row>
    <row r="103" spans="1:37" x14ac:dyDescent="0.25">
      <c r="A103" s="1">
        <v>45986</v>
      </c>
      <c r="B103" s="1">
        <v>45987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337</v>
      </c>
      <c r="J103" t="s">
        <v>338</v>
      </c>
      <c r="M103" t="s">
        <v>339</v>
      </c>
      <c r="O103" t="s">
        <v>193</v>
      </c>
      <c r="P103" t="s">
        <v>194</v>
      </c>
      <c r="Q103" t="s">
        <v>49</v>
      </c>
      <c r="R103" t="s">
        <v>257</v>
      </c>
      <c r="S103" s="1">
        <v>46023</v>
      </c>
      <c r="U103" t="s">
        <v>51</v>
      </c>
      <c r="X103" t="s">
        <v>52</v>
      </c>
      <c r="Y103" s="2">
        <v>0</v>
      </c>
      <c r="Z103" s="2">
        <v>15</v>
      </c>
      <c r="AA103">
        <v>1</v>
      </c>
      <c r="AB103" s="3">
        <v>1</v>
      </c>
      <c r="AC103" s="2">
        <v>15</v>
      </c>
      <c r="AD103" s="3">
        <v>0</v>
      </c>
      <c r="AE103" s="2">
        <v>0</v>
      </c>
      <c r="AF103" s="2">
        <v>15</v>
      </c>
      <c r="AK103">
        <v>6040658</v>
      </c>
    </row>
    <row r="104" spans="1:37" x14ac:dyDescent="0.25">
      <c r="A104" s="1">
        <v>45986</v>
      </c>
      <c r="B104" s="1">
        <v>45987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340</v>
      </c>
      <c r="J104" t="s">
        <v>341</v>
      </c>
      <c r="M104" t="s">
        <v>46</v>
      </c>
      <c r="O104" t="s">
        <v>47</v>
      </c>
      <c r="P104" t="s">
        <v>48</v>
      </c>
      <c r="Q104" t="s">
        <v>49</v>
      </c>
      <c r="R104" t="s">
        <v>50</v>
      </c>
      <c r="S104" s="1">
        <v>46023</v>
      </c>
      <c r="U104" t="s">
        <v>51</v>
      </c>
      <c r="X104" t="s">
        <v>52</v>
      </c>
      <c r="Y104" s="2">
        <v>0</v>
      </c>
      <c r="Z104" s="2">
        <v>175</v>
      </c>
      <c r="AA104">
        <v>1</v>
      </c>
      <c r="AB104" s="3">
        <v>1</v>
      </c>
      <c r="AC104" s="2">
        <v>175</v>
      </c>
      <c r="AD104" s="3">
        <v>0</v>
      </c>
      <c r="AE104" s="2">
        <v>0</v>
      </c>
      <c r="AF104" s="2">
        <v>175</v>
      </c>
      <c r="AK104">
        <v>6041383</v>
      </c>
    </row>
    <row r="105" spans="1:37" x14ac:dyDescent="0.25">
      <c r="A105" s="1">
        <v>45986</v>
      </c>
      <c r="B105" s="1">
        <v>45987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342</v>
      </c>
      <c r="J105" t="s">
        <v>343</v>
      </c>
      <c r="M105" t="s">
        <v>344</v>
      </c>
      <c r="O105" t="s">
        <v>150</v>
      </c>
      <c r="P105" t="s">
        <v>151</v>
      </c>
      <c r="Q105" t="s">
        <v>49</v>
      </c>
      <c r="R105" t="s">
        <v>50</v>
      </c>
      <c r="S105" s="1">
        <v>46023</v>
      </c>
      <c r="U105" t="s">
        <v>51</v>
      </c>
      <c r="X105" t="s">
        <v>52</v>
      </c>
      <c r="Y105" s="2">
        <v>0</v>
      </c>
      <c r="Z105" s="2">
        <v>175</v>
      </c>
      <c r="AA105">
        <v>1</v>
      </c>
      <c r="AB105" s="3">
        <v>1</v>
      </c>
      <c r="AC105" s="2">
        <v>175</v>
      </c>
      <c r="AD105" s="3">
        <v>0</v>
      </c>
      <c r="AE105" s="2">
        <v>0</v>
      </c>
      <c r="AF105" s="2">
        <v>175</v>
      </c>
      <c r="AK105">
        <v>6041384</v>
      </c>
    </row>
    <row r="106" spans="1:37" x14ac:dyDescent="0.25">
      <c r="A106" s="1">
        <v>45986</v>
      </c>
      <c r="B106" s="1">
        <v>45987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345</v>
      </c>
      <c r="J106" t="s">
        <v>346</v>
      </c>
      <c r="M106" t="s">
        <v>46</v>
      </c>
      <c r="O106" t="s">
        <v>96</v>
      </c>
      <c r="P106" t="s">
        <v>97</v>
      </c>
      <c r="Q106" t="s">
        <v>49</v>
      </c>
      <c r="R106" t="s">
        <v>50</v>
      </c>
      <c r="S106" s="1">
        <v>46023</v>
      </c>
      <c r="U106" t="s">
        <v>51</v>
      </c>
      <c r="X106" t="s">
        <v>52</v>
      </c>
      <c r="Y106" s="2">
        <v>0</v>
      </c>
      <c r="Z106" s="2">
        <v>175</v>
      </c>
      <c r="AA106">
        <v>1</v>
      </c>
      <c r="AB106" s="3">
        <v>1</v>
      </c>
      <c r="AC106" s="2">
        <v>175</v>
      </c>
      <c r="AD106" s="3">
        <v>0</v>
      </c>
      <c r="AE106" s="2">
        <v>0</v>
      </c>
      <c r="AF106" s="2">
        <v>175</v>
      </c>
      <c r="AK106">
        <v>6041385</v>
      </c>
    </row>
    <row r="107" spans="1:37" x14ac:dyDescent="0.25">
      <c r="A107" s="1">
        <v>45986</v>
      </c>
      <c r="B107" s="1">
        <v>45987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347</v>
      </c>
      <c r="J107" t="s">
        <v>348</v>
      </c>
      <c r="M107" t="s">
        <v>46</v>
      </c>
      <c r="O107" t="s">
        <v>47</v>
      </c>
      <c r="P107" t="s">
        <v>48</v>
      </c>
      <c r="Q107" t="s">
        <v>49</v>
      </c>
      <c r="R107" t="s">
        <v>50</v>
      </c>
      <c r="S107" s="1">
        <v>46023</v>
      </c>
      <c r="U107" t="s">
        <v>51</v>
      </c>
      <c r="X107" t="s">
        <v>52</v>
      </c>
      <c r="Y107" s="2">
        <v>0</v>
      </c>
      <c r="Z107" s="2">
        <v>175</v>
      </c>
      <c r="AA107">
        <v>1</v>
      </c>
      <c r="AB107" s="3">
        <v>1</v>
      </c>
      <c r="AC107" s="2">
        <v>175</v>
      </c>
      <c r="AD107" s="3">
        <v>0</v>
      </c>
      <c r="AE107" s="2">
        <v>0</v>
      </c>
      <c r="AF107" s="2">
        <v>175</v>
      </c>
      <c r="AK107">
        <v>6041386</v>
      </c>
    </row>
    <row r="108" spans="1:37" x14ac:dyDescent="0.25">
      <c r="A108" s="1">
        <v>45986</v>
      </c>
      <c r="B108" s="1">
        <v>45987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349</v>
      </c>
      <c r="J108" t="s">
        <v>350</v>
      </c>
      <c r="M108" t="s">
        <v>46</v>
      </c>
      <c r="O108" t="s">
        <v>84</v>
      </c>
      <c r="P108" t="s">
        <v>85</v>
      </c>
      <c r="Q108" t="s">
        <v>49</v>
      </c>
      <c r="R108" t="s">
        <v>50</v>
      </c>
      <c r="S108" s="1">
        <v>46023</v>
      </c>
      <c r="U108" t="s">
        <v>51</v>
      </c>
      <c r="X108" t="s">
        <v>52</v>
      </c>
      <c r="Y108" s="2">
        <v>0</v>
      </c>
      <c r="Z108" s="2">
        <v>175</v>
      </c>
      <c r="AA108">
        <v>1</v>
      </c>
      <c r="AB108" s="3">
        <v>1</v>
      </c>
      <c r="AC108" s="2">
        <v>175</v>
      </c>
      <c r="AD108" s="3">
        <v>0</v>
      </c>
      <c r="AE108" s="2">
        <v>0</v>
      </c>
      <c r="AF108" s="2">
        <v>175</v>
      </c>
      <c r="AK108">
        <v>6041387</v>
      </c>
    </row>
    <row r="109" spans="1:37" x14ac:dyDescent="0.25">
      <c r="A109" s="1">
        <v>45986</v>
      </c>
      <c r="B109" s="1">
        <v>45987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351</v>
      </c>
      <c r="J109" t="s">
        <v>352</v>
      </c>
      <c r="M109" t="s">
        <v>46</v>
      </c>
      <c r="O109" t="s">
        <v>144</v>
      </c>
      <c r="P109" t="s">
        <v>145</v>
      </c>
      <c r="Q109" t="s">
        <v>49</v>
      </c>
      <c r="R109" t="s">
        <v>50</v>
      </c>
      <c r="S109" s="1">
        <v>46054</v>
      </c>
      <c r="U109" t="s">
        <v>51</v>
      </c>
      <c r="X109" t="s">
        <v>52</v>
      </c>
      <c r="Y109" s="2">
        <v>0</v>
      </c>
      <c r="Z109" s="2">
        <v>175</v>
      </c>
      <c r="AA109">
        <v>1</v>
      </c>
      <c r="AB109" s="3">
        <v>1</v>
      </c>
      <c r="AC109" s="2">
        <v>175</v>
      </c>
      <c r="AD109" s="3">
        <v>0</v>
      </c>
      <c r="AE109" s="2">
        <v>0</v>
      </c>
      <c r="AF109" s="2">
        <v>175</v>
      </c>
      <c r="AK109">
        <v>6041388</v>
      </c>
    </row>
    <row r="110" spans="1:37" x14ac:dyDescent="0.25">
      <c r="A110" s="1">
        <v>45986</v>
      </c>
      <c r="B110" s="1">
        <v>45987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353</v>
      </c>
      <c r="J110" t="s">
        <v>354</v>
      </c>
      <c r="M110" t="s">
        <v>344</v>
      </c>
      <c r="O110" t="s">
        <v>150</v>
      </c>
      <c r="P110" t="s">
        <v>151</v>
      </c>
      <c r="Q110" t="s">
        <v>49</v>
      </c>
      <c r="R110" t="s">
        <v>50</v>
      </c>
      <c r="S110" s="1">
        <v>46023</v>
      </c>
      <c r="U110" t="s">
        <v>51</v>
      </c>
      <c r="X110" t="s">
        <v>52</v>
      </c>
      <c r="Y110" s="2">
        <v>0</v>
      </c>
      <c r="Z110" s="2">
        <v>175</v>
      </c>
      <c r="AA110">
        <v>1</v>
      </c>
      <c r="AB110" s="3">
        <v>1</v>
      </c>
      <c r="AC110" s="2">
        <v>175</v>
      </c>
      <c r="AD110" s="3">
        <v>0</v>
      </c>
      <c r="AE110" s="2">
        <v>0</v>
      </c>
      <c r="AF110" s="2">
        <v>175</v>
      </c>
      <c r="AK110">
        <v>6041389</v>
      </c>
    </row>
    <row r="111" spans="1:37" x14ac:dyDescent="0.25">
      <c r="A111" s="1">
        <v>45986</v>
      </c>
      <c r="B111" s="1">
        <v>45987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355</v>
      </c>
      <c r="J111" t="s">
        <v>356</v>
      </c>
      <c r="M111" t="s">
        <v>344</v>
      </c>
      <c r="O111" t="s">
        <v>357</v>
      </c>
      <c r="P111" t="s">
        <v>358</v>
      </c>
      <c r="Q111" t="s">
        <v>49</v>
      </c>
      <c r="R111" t="s">
        <v>50</v>
      </c>
      <c r="S111" s="1">
        <v>46023</v>
      </c>
      <c r="U111" t="s">
        <v>51</v>
      </c>
      <c r="X111" t="s">
        <v>52</v>
      </c>
      <c r="Y111" s="2">
        <v>0</v>
      </c>
      <c r="Z111" s="2">
        <v>175</v>
      </c>
      <c r="AA111">
        <v>1</v>
      </c>
      <c r="AB111" s="3">
        <v>1</v>
      </c>
      <c r="AC111" s="2">
        <v>175</v>
      </c>
      <c r="AD111" s="3">
        <v>0</v>
      </c>
      <c r="AE111" s="2">
        <v>0</v>
      </c>
      <c r="AF111" s="2">
        <v>175</v>
      </c>
      <c r="AK111">
        <v>6041390</v>
      </c>
    </row>
    <row r="112" spans="1:37" x14ac:dyDescent="0.25">
      <c r="A112" s="1">
        <v>45986</v>
      </c>
      <c r="B112" s="1">
        <v>45987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359</v>
      </c>
      <c r="J112" t="s">
        <v>360</v>
      </c>
      <c r="M112" t="s">
        <v>46</v>
      </c>
      <c r="O112" t="s">
        <v>144</v>
      </c>
      <c r="P112" t="s">
        <v>145</v>
      </c>
      <c r="Q112" t="s">
        <v>49</v>
      </c>
      <c r="R112" t="s">
        <v>50</v>
      </c>
      <c r="S112" s="1">
        <v>46023</v>
      </c>
      <c r="U112" t="s">
        <v>51</v>
      </c>
      <c r="X112" t="s">
        <v>52</v>
      </c>
      <c r="Y112" s="2">
        <v>0</v>
      </c>
      <c r="Z112" s="2">
        <v>175</v>
      </c>
      <c r="AA112">
        <v>1</v>
      </c>
      <c r="AB112" s="3">
        <v>1</v>
      </c>
      <c r="AC112" s="2">
        <v>175</v>
      </c>
      <c r="AD112" s="3">
        <v>0</v>
      </c>
      <c r="AE112" s="2">
        <v>0</v>
      </c>
      <c r="AF112" s="2">
        <v>175</v>
      </c>
      <c r="AK112">
        <v>6041391</v>
      </c>
    </row>
    <row r="113" spans="1:37" x14ac:dyDescent="0.25">
      <c r="A113" s="1">
        <v>45986</v>
      </c>
      <c r="B113" s="1">
        <v>45987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361</v>
      </c>
      <c r="J113" t="s">
        <v>362</v>
      </c>
      <c r="M113" t="s">
        <v>46</v>
      </c>
      <c r="O113" t="s">
        <v>84</v>
      </c>
      <c r="P113" t="s">
        <v>85</v>
      </c>
      <c r="Q113" t="s">
        <v>49</v>
      </c>
      <c r="R113" t="s">
        <v>50</v>
      </c>
      <c r="S113" s="1">
        <v>45992</v>
      </c>
      <c r="U113" t="s">
        <v>51</v>
      </c>
      <c r="X113" t="s">
        <v>52</v>
      </c>
      <c r="Y113" s="2">
        <v>0</v>
      </c>
      <c r="Z113" s="2">
        <v>175</v>
      </c>
      <c r="AA113">
        <v>1</v>
      </c>
      <c r="AB113" s="3">
        <v>1</v>
      </c>
      <c r="AC113" s="2">
        <v>175</v>
      </c>
      <c r="AD113" s="3">
        <v>0</v>
      </c>
      <c r="AE113" s="2">
        <v>0</v>
      </c>
      <c r="AF113" s="2">
        <v>175</v>
      </c>
      <c r="AK113">
        <v>6041392</v>
      </c>
    </row>
    <row r="114" spans="1:37" x14ac:dyDescent="0.25">
      <c r="A114" s="1">
        <v>45986</v>
      </c>
      <c r="B114" s="1">
        <v>45987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363</v>
      </c>
      <c r="J114" t="s">
        <v>364</v>
      </c>
      <c r="M114" t="s">
        <v>46</v>
      </c>
      <c r="O114" t="s">
        <v>47</v>
      </c>
      <c r="P114" t="s">
        <v>48</v>
      </c>
      <c r="Q114" t="s">
        <v>49</v>
      </c>
      <c r="R114" t="s">
        <v>50</v>
      </c>
      <c r="S114" s="1">
        <v>46023</v>
      </c>
      <c r="U114" t="s">
        <v>51</v>
      </c>
      <c r="X114" t="s">
        <v>52</v>
      </c>
      <c r="Y114" s="2">
        <v>0</v>
      </c>
      <c r="Z114" s="2">
        <v>175</v>
      </c>
      <c r="AA114">
        <v>1</v>
      </c>
      <c r="AB114" s="3">
        <v>1</v>
      </c>
      <c r="AC114" s="2">
        <v>175</v>
      </c>
      <c r="AD114" s="3">
        <v>0</v>
      </c>
      <c r="AE114" s="2">
        <v>0</v>
      </c>
      <c r="AF114" s="2">
        <v>175</v>
      </c>
      <c r="AK114">
        <v>6041393</v>
      </c>
    </row>
    <row r="115" spans="1:37" x14ac:dyDescent="0.25">
      <c r="A115" s="1">
        <v>45986</v>
      </c>
      <c r="B115" s="1">
        <v>45987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365</v>
      </c>
      <c r="J115" t="s">
        <v>366</v>
      </c>
      <c r="M115" t="s">
        <v>46</v>
      </c>
      <c r="O115" t="s">
        <v>47</v>
      </c>
      <c r="P115" t="s">
        <v>48</v>
      </c>
      <c r="Q115" t="s">
        <v>49</v>
      </c>
      <c r="R115" t="s">
        <v>50</v>
      </c>
      <c r="S115" s="1">
        <v>46023</v>
      </c>
      <c r="U115" t="s">
        <v>51</v>
      </c>
      <c r="X115" t="s">
        <v>52</v>
      </c>
      <c r="Y115" s="2">
        <v>0</v>
      </c>
      <c r="Z115" s="2">
        <v>175</v>
      </c>
      <c r="AA115">
        <v>1</v>
      </c>
      <c r="AB115" s="3">
        <v>1</v>
      </c>
      <c r="AC115" s="2">
        <v>175</v>
      </c>
      <c r="AD115" s="3">
        <v>0</v>
      </c>
      <c r="AE115" s="2">
        <v>0</v>
      </c>
      <c r="AF115" s="2">
        <v>175</v>
      </c>
      <c r="AK115">
        <v>6041394</v>
      </c>
    </row>
    <row r="116" spans="1:37" x14ac:dyDescent="0.25">
      <c r="A116" s="1">
        <v>45986</v>
      </c>
      <c r="B116" s="1">
        <v>45987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367</v>
      </c>
      <c r="J116" t="s">
        <v>368</v>
      </c>
      <c r="M116" t="s">
        <v>46</v>
      </c>
      <c r="O116" t="s">
        <v>47</v>
      </c>
      <c r="P116" t="s">
        <v>48</v>
      </c>
      <c r="Q116" t="s">
        <v>49</v>
      </c>
      <c r="R116" t="s">
        <v>50</v>
      </c>
      <c r="S116" s="1">
        <v>46023</v>
      </c>
      <c r="U116" t="s">
        <v>51</v>
      </c>
      <c r="X116" t="s">
        <v>52</v>
      </c>
      <c r="Y116" s="2">
        <v>0</v>
      </c>
      <c r="Z116" s="2">
        <v>175</v>
      </c>
      <c r="AA116">
        <v>1</v>
      </c>
      <c r="AB116" s="3">
        <v>1</v>
      </c>
      <c r="AC116" s="2">
        <v>175</v>
      </c>
      <c r="AD116" s="3">
        <v>0</v>
      </c>
      <c r="AE116" s="2">
        <v>0</v>
      </c>
      <c r="AF116" s="2">
        <v>175</v>
      </c>
      <c r="AK116">
        <v>6041395</v>
      </c>
    </row>
    <row r="117" spans="1:37" x14ac:dyDescent="0.25">
      <c r="A117" s="1">
        <v>45986</v>
      </c>
      <c r="B117" s="1">
        <v>45987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369</v>
      </c>
      <c r="J117" t="s">
        <v>370</v>
      </c>
      <c r="M117" t="s">
        <v>371</v>
      </c>
      <c r="O117" t="s">
        <v>372</v>
      </c>
      <c r="P117" t="s">
        <v>373</v>
      </c>
      <c r="Q117" t="s">
        <v>49</v>
      </c>
      <c r="R117" t="s">
        <v>257</v>
      </c>
      <c r="S117" s="1">
        <v>45992</v>
      </c>
      <c r="U117" t="s">
        <v>51</v>
      </c>
      <c r="X117" t="s">
        <v>52</v>
      </c>
      <c r="Y117" s="2">
        <v>0</v>
      </c>
      <c r="Z117" s="2">
        <v>15</v>
      </c>
      <c r="AA117">
        <v>1</v>
      </c>
      <c r="AB117" s="3">
        <v>1</v>
      </c>
      <c r="AC117" s="2">
        <v>15</v>
      </c>
      <c r="AD117" s="3">
        <v>0</v>
      </c>
      <c r="AE117" s="2">
        <v>0</v>
      </c>
      <c r="AF117" s="2">
        <v>15</v>
      </c>
      <c r="AK117">
        <v>6040659</v>
      </c>
    </row>
    <row r="118" spans="1:37" x14ac:dyDescent="0.25">
      <c r="A118" s="1">
        <v>45986</v>
      </c>
      <c r="B118" s="1">
        <v>45987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374</v>
      </c>
      <c r="J118" t="s">
        <v>375</v>
      </c>
      <c r="M118" t="s">
        <v>46</v>
      </c>
      <c r="O118" t="s">
        <v>96</v>
      </c>
      <c r="P118" t="s">
        <v>97</v>
      </c>
      <c r="Q118" t="s">
        <v>49</v>
      </c>
      <c r="R118" t="s">
        <v>50</v>
      </c>
      <c r="S118" s="1">
        <v>46023</v>
      </c>
      <c r="U118" t="s">
        <v>51</v>
      </c>
      <c r="X118" t="s">
        <v>52</v>
      </c>
      <c r="Y118" s="2">
        <v>0</v>
      </c>
      <c r="Z118" s="2">
        <v>175</v>
      </c>
      <c r="AA118">
        <v>1</v>
      </c>
      <c r="AB118" s="3">
        <v>1</v>
      </c>
      <c r="AC118" s="2">
        <v>175</v>
      </c>
      <c r="AD118" s="3">
        <v>0</v>
      </c>
      <c r="AE118" s="2">
        <v>0</v>
      </c>
      <c r="AF118" s="2">
        <v>175</v>
      </c>
      <c r="AK118">
        <v>6041396</v>
      </c>
    </row>
    <row r="119" spans="1:37" x14ac:dyDescent="0.25">
      <c r="A119" s="1">
        <v>45986</v>
      </c>
      <c r="B119" s="1">
        <v>45987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376</v>
      </c>
      <c r="J119" t="s">
        <v>377</v>
      </c>
      <c r="M119" t="s">
        <v>46</v>
      </c>
      <c r="O119" t="s">
        <v>47</v>
      </c>
      <c r="P119" t="s">
        <v>48</v>
      </c>
      <c r="Q119" t="s">
        <v>49</v>
      </c>
      <c r="R119" t="s">
        <v>50</v>
      </c>
      <c r="S119" s="1">
        <v>46023</v>
      </c>
      <c r="U119" t="s">
        <v>51</v>
      </c>
      <c r="X119" t="s">
        <v>52</v>
      </c>
      <c r="Y119" s="2">
        <v>0</v>
      </c>
      <c r="Z119" s="2">
        <v>175</v>
      </c>
      <c r="AA119">
        <v>1</v>
      </c>
      <c r="AB119" s="3">
        <v>1</v>
      </c>
      <c r="AC119" s="2">
        <v>175</v>
      </c>
      <c r="AD119" s="3">
        <v>0</v>
      </c>
      <c r="AE119" s="2">
        <v>0</v>
      </c>
      <c r="AF119" s="2">
        <v>175</v>
      </c>
      <c r="AK119">
        <v>6041397</v>
      </c>
    </row>
    <row r="120" spans="1:37" x14ac:dyDescent="0.25">
      <c r="A120" s="1">
        <v>45986</v>
      </c>
      <c r="B120" s="1">
        <v>45987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378</v>
      </c>
      <c r="J120" t="s">
        <v>379</v>
      </c>
      <c r="M120" t="s">
        <v>380</v>
      </c>
      <c r="O120" t="s">
        <v>381</v>
      </c>
      <c r="P120" t="s">
        <v>382</v>
      </c>
      <c r="Q120" t="s">
        <v>49</v>
      </c>
      <c r="R120" t="s">
        <v>257</v>
      </c>
      <c r="S120" s="1">
        <v>46023</v>
      </c>
      <c r="U120" t="s">
        <v>51</v>
      </c>
      <c r="X120" t="s">
        <v>52</v>
      </c>
      <c r="Y120" s="2">
        <v>0</v>
      </c>
      <c r="Z120" s="2">
        <v>15</v>
      </c>
      <c r="AA120">
        <v>1</v>
      </c>
      <c r="AB120" s="3">
        <v>1</v>
      </c>
      <c r="AC120" s="2">
        <v>15</v>
      </c>
      <c r="AD120" s="3">
        <v>0</v>
      </c>
      <c r="AE120" s="2">
        <v>0</v>
      </c>
      <c r="AF120" s="2">
        <v>15</v>
      </c>
      <c r="AK120">
        <v>6040660</v>
      </c>
    </row>
    <row r="121" spans="1:37" x14ac:dyDescent="0.25">
      <c r="A121" s="1">
        <v>45986</v>
      </c>
      <c r="B121" s="1">
        <v>45987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383</v>
      </c>
      <c r="J121" t="s">
        <v>384</v>
      </c>
      <c r="M121" t="s">
        <v>46</v>
      </c>
      <c r="O121" t="s">
        <v>55</v>
      </c>
      <c r="P121" t="s">
        <v>56</v>
      </c>
      <c r="Q121" t="s">
        <v>49</v>
      </c>
      <c r="R121" t="s">
        <v>50</v>
      </c>
      <c r="S121" s="1">
        <v>46023</v>
      </c>
      <c r="U121" t="s">
        <v>51</v>
      </c>
      <c r="X121" t="s">
        <v>52</v>
      </c>
      <c r="Y121" s="2">
        <v>0</v>
      </c>
      <c r="Z121" s="2">
        <v>175</v>
      </c>
      <c r="AA121">
        <v>1</v>
      </c>
      <c r="AB121" s="3">
        <v>1</v>
      </c>
      <c r="AC121" s="2">
        <v>175</v>
      </c>
      <c r="AD121" s="3">
        <v>0</v>
      </c>
      <c r="AE121" s="2">
        <v>0</v>
      </c>
      <c r="AF121" s="2">
        <v>175</v>
      </c>
      <c r="AK121">
        <v>6041398</v>
      </c>
    </row>
    <row r="122" spans="1:37" x14ac:dyDescent="0.25">
      <c r="A122" s="1">
        <v>45986</v>
      </c>
      <c r="B122" s="1">
        <v>45987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385</v>
      </c>
      <c r="J122" t="s">
        <v>386</v>
      </c>
      <c r="M122" t="s">
        <v>139</v>
      </c>
      <c r="O122" t="s">
        <v>140</v>
      </c>
      <c r="P122" t="s">
        <v>141</v>
      </c>
      <c r="Q122" t="s">
        <v>49</v>
      </c>
      <c r="R122" t="s">
        <v>50</v>
      </c>
      <c r="S122" s="1">
        <v>46023</v>
      </c>
      <c r="U122" t="s">
        <v>51</v>
      </c>
      <c r="X122" t="s">
        <v>52</v>
      </c>
      <c r="Y122" s="2">
        <v>0</v>
      </c>
      <c r="Z122" s="2">
        <v>175</v>
      </c>
      <c r="AA122">
        <v>1</v>
      </c>
      <c r="AB122" s="3">
        <v>1</v>
      </c>
      <c r="AC122" s="2">
        <v>175</v>
      </c>
      <c r="AD122" s="3">
        <v>0</v>
      </c>
      <c r="AE122" s="2">
        <v>0</v>
      </c>
      <c r="AF122" s="2">
        <v>175</v>
      </c>
      <c r="AK122">
        <v>6041399</v>
      </c>
    </row>
    <row r="123" spans="1:37" x14ac:dyDescent="0.25">
      <c r="A123" s="1">
        <v>45986</v>
      </c>
      <c r="B123" s="1">
        <v>45987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387</v>
      </c>
      <c r="J123" t="s">
        <v>388</v>
      </c>
      <c r="M123" t="s">
        <v>371</v>
      </c>
      <c r="O123" t="s">
        <v>96</v>
      </c>
      <c r="P123" t="s">
        <v>97</v>
      </c>
      <c r="Q123" t="s">
        <v>49</v>
      </c>
      <c r="R123" t="s">
        <v>50</v>
      </c>
      <c r="S123" s="1">
        <v>46023</v>
      </c>
      <c r="U123" t="s">
        <v>51</v>
      </c>
      <c r="X123" t="s">
        <v>52</v>
      </c>
      <c r="Y123" s="2">
        <v>0</v>
      </c>
      <c r="Z123" s="2">
        <v>175</v>
      </c>
      <c r="AA123">
        <v>1</v>
      </c>
      <c r="AB123" s="3">
        <v>1</v>
      </c>
      <c r="AC123" s="2">
        <v>175</v>
      </c>
      <c r="AD123" s="3">
        <v>0</v>
      </c>
      <c r="AE123" s="2">
        <v>0</v>
      </c>
      <c r="AF123" s="2">
        <v>175</v>
      </c>
      <c r="AK123">
        <v>6041400</v>
      </c>
    </row>
    <row r="124" spans="1:37" x14ac:dyDescent="0.25">
      <c r="A124" s="1">
        <v>45986</v>
      </c>
      <c r="B124" s="1">
        <v>45987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389</v>
      </c>
      <c r="J124" t="s">
        <v>390</v>
      </c>
      <c r="M124" t="s">
        <v>46</v>
      </c>
      <c r="O124" t="s">
        <v>391</v>
      </c>
      <c r="P124" t="s">
        <v>392</v>
      </c>
      <c r="Q124" t="s">
        <v>49</v>
      </c>
      <c r="R124" t="s">
        <v>50</v>
      </c>
      <c r="S124" s="1">
        <v>46023</v>
      </c>
      <c r="U124" t="s">
        <v>51</v>
      </c>
      <c r="X124" t="s">
        <v>52</v>
      </c>
      <c r="Y124" s="2">
        <v>0</v>
      </c>
      <c r="Z124" s="2">
        <v>175</v>
      </c>
      <c r="AA124">
        <v>1</v>
      </c>
      <c r="AB124" s="3">
        <v>1</v>
      </c>
      <c r="AC124" s="2">
        <v>175</v>
      </c>
      <c r="AD124" s="3">
        <v>0</v>
      </c>
      <c r="AE124" s="2">
        <v>0</v>
      </c>
      <c r="AF124" s="2">
        <v>175</v>
      </c>
      <c r="AK124">
        <v>6041401</v>
      </c>
    </row>
    <row r="125" spans="1:37" x14ac:dyDescent="0.25">
      <c r="A125" s="1">
        <v>45986</v>
      </c>
      <c r="B125" s="1">
        <v>45987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393</v>
      </c>
      <c r="J125" t="s">
        <v>394</v>
      </c>
      <c r="M125" t="s">
        <v>59</v>
      </c>
      <c r="O125" t="s">
        <v>201</v>
      </c>
      <c r="P125" t="s">
        <v>202</v>
      </c>
      <c r="Q125" t="s">
        <v>49</v>
      </c>
      <c r="R125" t="s">
        <v>50</v>
      </c>
      <c r="S125" s="1">
        <v>46023</v>
      </c>
      <c r="U125" t="s">
        <v>51</v>
      </c>
      <c r="X125" t="s">
        <v>52</v>
      </c>
      <c r="Y125" s="2">
        <v>0</v>
      </c>
      <c r="Z125" s="2">
        <v>175</v>
      </c>
      <c r="AA125">
        <v>1</v>
      </c>
      <c r="AB125" s="3">
        <v>1</v>
      </c>
      <c r="AC125" s="2">
        <v>175</v>
      </c>
      <c r="AD125" s="3">
        <v>0</v>
      </c>
      <c r="AE125" s="2">
        <v>0</v>
      </c>
      <c r="AF125" s="2">
        <v>175</v>
      </c>
      <c r="AK125">
        <v>6041402</v>
      </c>
    </row>
    <row r="126" spans="1:37" x14ac:dyDescent="0.25">
      <c r="A126" s="1">
        <v>45986</v>
      </c>
      <c r="B126" s="1">
        <v>45987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395</v>
      </c>
      <c r="J126" t="s">
        <v>396</v>
      </c>
      <c r="M126" t="s">
        <v>46</v>
      </c>
      <c r="O126" t="s">
        <v>96</v>
      </c>
      <c r="P126" t="s">
        <v>97</v>
      </c>
      <c r="Q126" t="s">
        <v>49</v>
      </c>
      <c r="R126" t="s">
        <v>50</v>
      </c>
      <c r="S126" s="1">
        <v>46023</v>
      </c>
      <c r="U126" t="s">
        <v>51</v>
      </c>
      <c r="X126" t="s">
        <v>52</v>
      </c>
      <c r="Y126" s="2">
        <v>0</v>
      </c>
      <c r="Z126" s="2">
        <v>175</v>
      </c>
      <c r="AA126">
        <v>1</v>
      </c>
      <c r="AB126" s="3">
        <v>1</v>
      </c>
      <c r="AC126" s="2">
        <v>175</v>
      </c>
      <c r="AD126" s="3">
        <v>0</v>
      </c>
      <c r="AE126" s="2">
        <v>0</v>
      </c>
      <c r="AF126" s="2">
        <v>175</v>
      </c>
      <c r="AK126">
        <v>6041403</v>
      </c>
    </row>
    <row r="127" spans="1:37" x14ac:dyDescent="0.25">
      <c r="A127" s="1">
        <v>45986</v>
      </c>
      <c r="B127" s="1">
        <v>45987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397</v>
      </c>
      <c r="J127" t="s">
        <v>398</v>
      </c>
      <c r="M127" t="s">
        <v>46</v>
      </c>
      <c r="O127" t="s">
        <v>47</v>
      </c>
      <c r="P127" t="s">
        <v>48</v>
      </c>
      <c r="Q127" t="s">
        <v>49</v>
      </c>
      <c r="R127" t="s">
        <v>50</v>
      </c>
      <c r="S127" s="1">
        <v>46023</v>
      </c>
      <c r="U127" t="s">
        <v>51</v>
      </c>
      <c r="X127" t="s">
        <v>52</v>
      </c>
      <c r="Y127" s="2">
        <v>0</v>
      </c>
      <c r="Z127" s="2">
        <v>175</v>
      </c>
      <c r="AA127">
        <v>1</v>
      </c>
      <c r="AB127" s="3">
        <v>1</v>
      </c>
      <c r="AC127" s="2">
        <v>175</v>
      </c>
      <c r="AD127" s="3">
        <v>0</v>
      </c>
      <c r="AE127" s="2">
        <v>0</v>
      </c>
      <c r="AF127" s="2">
        <v>175</v>
      </c>
      <c r="AK127">
        <v>6041404</v>
      </c>
    </row>
    <row r="128" spans="1:37" x14ac:dyDescent="0.25">
      <c r="A128" s="1">
        <v>45986</v>
      </c>
      <c r="B128" s="1">
        <v>45987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399</v>
      </c>
      <c r="J128" t="s">
        <v>400</v>
      </c>
      <c r="M128" t="s">
        <v>401</v>
      </c>
      <c r="O128" t="s">
        <v>402</v>
      </c>
      <c r="P128" t="s">
        <v>403</v>
      </c>
      <c r="Q128" t="s">
        <v>49</v>
      </c>
      <c r="R128" t="s">
        <v>50</v>
      </c>
      <c r="S128" s="1">
        <v>46023</v>
      </c>
      <c r="U128" t="s">
        <v>51</v>
      </c>
      <c r="X128" t="s">
        <v>52</v>
      </c>
      <c r="Y128" s="2">
        <v>0</v>
      </c>
      <c r="Z128" s="2">
        <v>175</v>
      </c>
      <c r="AA128">
        <v>1</v>
      </c>
      <c r="AB128" s="3">
        <v>1</v>
      </c>
      <c r="AC128" s="2">
        <v>175</v>
      </c>
      <c r="AD128" s="3">
        <v>0</v>
      </c>
      <c r="AE128" s="2">
        <v>0</v>
      </c>
      <c r="AF128" s="2">
        <v>175</v>
      </c>
      <c r="AK128">
        <v>6041405</v>
      </c>
    </row>
    <row r="129" spans="1:37" x14ac:dyDescent="0.25">
      <c r="A129" s="1">
        <v>45986</v>
      </c>
      <c r="B129" s="1">
        <v>45987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404</v>
      </c>
      <c r="J129" t="s">
        <v>405</v>
      </c>
      <c r="M129" t="s">
        <v>46</v>
      </c>
      <c r="O129" t="s">
        <v>47</v>
      </c>
      <c r="P129" t="s">
        <v>48</v>
      </c>
      <c r="Q129" t="s">
        <v>49</v>
      </c>
      <c r="R129" t="s">
        <v>50</v>
      </c>
      <c r="S129" s="1">
        <v>46023</v>
      </c>
      <c r="U129" t="s">
        <v>51</v>
      </c>
      <c r="X129" t="s">
        <v>52</v>
      </c>
      <c r="Y129" s="2">
        <v>0</v>
      </c>
      <c r="Z129" s="2">
        <v>175</v>
      </c>
      <c r="AA129">
        <v>1</v>
      </c>
      <c r="AB129" s="3">
        <v>1</v>
      </c>
      <c r="AC129" s="2">
        <v>175</v>
      </c>
      <c r="AD129" s="3">
        <v>0</v>
      </c>
      <c r="AE129" s="2">
        <v>0</v>
      </c>
      <c r="AF129" s="2">
        <v>175</v>
      </c>
      <c r="AK129">
        <v>6041406</v>
      </c>
    </row>
    <row r="130" spans="1:37" x14ac:dyDescent="0.25">
      <c r="A130" s="1">
        <v>45986</v>
      </c>
      <c r="B130" s="1">
        <v>45987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406</v>
      </c>
      <c r="J130" t="s">
        <v>407</v>
      </c>
      <c r="M130" t="s">
        <v>46</v>
      </c>
      <c r="O130" t="s">
        <v>47</v>
      </c>
      <c r="P130" t="s">
        <v>48</v>
      </c>
      <c r="Q130" t="s">
        <v>49</v>
      </c>
      <c r="R130" t="s">
        <v>50</v>
      </c>
      <c r="S130" s="1">
        <v>46023</v>
      </c>
      <c r="U130" t="s">
        <v>51</v>
      </c>
      <c r="X130" t="s">
        <v>52</v>
      </c>
      <c r="Y130" s="2">
        <v>0</v>
      </c>
      <c r="Z130" s="2">
        <v>175</v>
      </c>
      <c r="AA130">
        <v>1</v>
      </c>
      <c r="AB130" s="3">
        <v>1</v>
      </c>
      <c r="AC130" s="2">
        <v>175</v>
      </c>
      <c r="AD130" s="3">
        <v>0</v>
      </c>
      <c r="AE130" s="2">
        <v>0</v>
      </c>
      <c r="AF130" s="2">
        <v>175</v>
      </c>
      <c r="AK130">
        <v>6041407</v>
      </c>
    </row>
    <row r="131" spans="1:37" x14ac:dyDescent="0.25">
      <c r="A131" s="1">
        <v>45986</v>
      </c>
      <c r="B131" s="1">
        <v>45987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408</v>
      </c>
      <c r="J131" t="s">
        <v>409</v>
      </c>
      <c r="M131" t="s">
        <v>59</v>
      </c>
      <c r="O131" t="s">
        <v>201</v>
      </c>
      <c r="P131" t="s">
        <v>202</v>
      </c>
      <c r="Q131" t="s">
        <v>49</v>
      </c>
      <c r="R131" t="s">
        <v>50</v>
      </c>
      <c r="S131" s="1">
        <v>46023</v>
      </c>
      <c r="U131" t="s">
        <v>51</v>
      </c>
      <c r="X131" t="s">
        <v>52</v>
      </c>
      <c r="Y131" s="2">
        <v>0</v>
      </c>
      <c r="Z131" s="2">
        <v>175</v>
      </c>
      <c r="AA131">
        <v>1</v>
      </c>
      <c r="AB131" s="3">
        <v>1</v>
      </c>
      <c r="AC131" s="2">
        <v>175</v>
      </c>
      <c r="AD131" s="3">
        <v>0</v>
      </c>
      <c r="AE131" s="2">
        <v>0</v>
      </c>
      <c r="AF131" s="2">
        <v>175</v>
      </c>
      <c r="AK131">
        <v>6041408</v>
      </c>
    </row>
    <row r="132" spans="1:37" x14ac:dyDescent="0.25">
      <c r="A132" s="1">
        <v>45986</v>
      </c>
      <c r="B132" s="1">
        <v>45987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410</v>
      </c>
      <c r="J132" t="s">
        <v>411</v>
      </c>
      <c r="M132" t="s">
        <v>46</v>
      </c>
      <c r="O132" t="s">
        <v>96</v>
      </c>
      <c r="P132" t="s">
        <v>97</v>
      </c>
      <c r="Q132" t="s">
        <v>49</v>
      </c>
      <c r="R132" t="s">
        <v>50</v>
      </c>
      <c r="S132" s="1">
        <v>46023</v>
      </c>
      <c r="U132" t="s">
        <v>51</v>
      </c>
      <c r="X132" t="s">
        <v>52</v>
      </c>
      <c r="Y132" s="2">
        <v>0</v>
      </c>
      <c r="Z132" s="2">
        <v>175</v>
      </c>
      <c r="AA132">
        <v>1</v>
      </c>
      <c r="AB132" s="3">
        <v>1</v>
      </c>
      <c r="AC132" s="2">
        <v>175</v>
      </c>
      <c r="AD132" s="3">
        <v>0</v>
      </c>
      <c r="AE132" s="2">
        <v>0</v>
      </c>
      <c r="AF132" s="2">
        <v>175</v>
      </c>
      <c r="AK132">
        <v>6041410</v>
      </c>
    </row>
    <row r="133" spans="1:37" x14ac:dyDescent="0.25">
      <c r="A133" s="1">
        <v>45986</v>
      </c>
      <c r="B133" s="1">
        <v>45987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412</v>
      </c>
      <c r="J133" t="s">
        <v>413</v>
      </c>
      <c r="M133" t="s">
        <v>192</v>
      </c>
      <c r="O133" t="s">
        <v>104</v>
      </c>
      <c r="P133" t="s">
        <v>105</v>
      </c>
      <c r="Q133" t="s">
        <v>49</v>
      </c>
      <c r="R133" t="s">
        <v>50</v>
      </c>
      <c r="S133" s="1">
        <v>46023</v>
      </c>
      <c r="U133" t="s">
        <v>51</v>
      </c>
      <c r="X133" t="s">
        <v>52</v>
      </c>
      <c r="Y133" s="2">
        <v>0</v>
      </c>
      <c r="Z133" s="2">
        <v>175</v>
      </c>
      <c r="AA133">
        <v>1</v>
      </c>
      <c r="AB133" s="3">
        <v>1</v>
      </c>
      <c r="AC133" s="2">
        <v>175</v>
      </c>
      <c r="AD133" s="3">
        <v>0</v>
      </c>
      <c r="AE133" s="2">
        <v>0</v>
      </c>
      <c r="AF133" s="2">
        <v>175</v>
      </c>
      <c r="AK133">
        <v>6041411</v>
      </c>
    </row>
    <row r="134" spans="1:37" x14ac:dyDescent="0.25">
      <c r="A134" s="1">
        <v>45986</v>
      </c>
      <c r="B134" s="1">
        <v>45987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414</v>
      </c>
      <c r="J134" t="s">
        <v>415</v>
      </c>
      <c r="M134" t="s">
        <v>46</v>
      </c>
      <c r="O134" t="s">
        <v>55</v>
      </c>
      <c r="P134" t="s">
        <v>56</v>
      </c>
      <c r="Q134" t="s">
        <v>49</v>
      </c>
      <c r="R134" t="s">
        <v>50</v>
      </c>
      <c r="S134" s="1">
        <v>46054</v>
      </c>
      <c r="U134" t="s">
        <v>51</v>
      </c>
      <c r="X134" t="s">
        <v>52</v>
      </c>
      <c r="Y134" s="2">
        <v>0</v>
      </c>
      <c r="Z134" s="2">
        <v>175</v>
      </c>
      <c r="AA134">
        <v>1</v>
      </c>
      <c r="AB134" s="3">
        <v>1</v>
      </c>
      <c r="AC134" s="2">
        <v>175</v>
      </c>
      <c r="AD134" s="3">
        <v>0</v>
      </c>
      <c r="AE134" s="2">
        <v>0</v>
      </c>
      <c r="AF134" s="2">
        <v>175</v>
      </c>
      <c r="AK134">
        <v>6041412</v>
      </c>
    </row>
    <row r="135" spans="1:37" x14ac:dyDescent="0.25">
      <c r="A135" s="1">
        <v>45986</v>
      </c>
      <c r="B135" s="1">
        <v>45987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416</v>
      </c>
      <c r="J135" t="s">
        <v>417</v>
      </c>
      <c r="M135" t="s">
        <v>59</v>
      </c>
      <c r="O135" t="s">
        <v>201</v>
      </c>
      <c r="P135" t="s">
        <v>202</v>
      </c>
      <c r="Q135" t="s">
        <v>49</v>
      </c>
      <c r="R135" t="s">
        <v>50</v>
      </c>
      <c r="S135" s="1">
        <v>46023</v>
      </c>
      <c r="U135" t="s">
        <v>51</v>
      </c>
      <c r="X135" t="s">
        <v>52</v>
      </c>
      <c r="Y135" s="2">
        <v>0</v>
      </c>
      <c r="Z135" s="2">
        <v>175</v>
      </c>
      <c r="AA135">
        <v>1</v>
      </c>
      <c r="AB135" s="3">
        <v>1</v>
      </c>
      <c r="AC135" s="2">
        <v>175</v>
      </c>
      <c r="AD135" s="3">
        <v>0</v>
      </c>
      <c r="AE135" s="2">
        <v>0</v>
      </c>
      <c r="AF135" s="2">
        <v>175</v>
      </c>
      <c r="AK135">
        <v>6041413</v>
      </c>
    </row>
    <row r="136" spans="1:37" x14ac:dyDescent="0.25">
      <c r="A136" s="1">
        <v>45986</v>
      </c>
      <c r="B136" s="1">
        <v>45987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418</v>
      </c>
      <c r="J136" t="s">
        <v>419</v>
      </c>
      <c r="M136" t="s">
        <v>420</v>
      </c>
      <c r="O136" t="s">
        <v>47</v>
      </c>
      <c r="P136" t="s">
        <v>48</v>
      </c>
      <c r="Q136" t="s">
        <v>49</v>
      </c>
      <c r="R136" t="s">
        <v>50</v>
      </c>
      <c r="S136" s="1">
        <v>46023</v>
      </c>
      <c r="U136" t="s">
        <v>51</v>
      </c>
      <c r="X136" t="s">
        <v>52</v>
      </c>
      <c r="Y136" s="2">
        <v>0</v>
      </c>
      <c r="Z136" s="2">
        <v>175</v>
      </c>
      <c r="AA136">
        <v>1</v>
      </c>
      <c r="AB136" s="3">
        <v>1</v>
      </c>
      <c r="AC136" s="2">
        <v>175</v>
      </c>
      <c r="AD136" s="3">
        <v>0</v>
      </c>
      <c r="AE136" s="2">
        <v>0</v>
      </c>
      <c r="AF136" s="2">
        <v>175</v>
      </c>
      <c r="AK136">
        <v>6041414</v>
      </c>
    </row>
    <row r="137" spans="1:37" x14ac:dyDescent="0.25">
      <c r="A137" s="1">
        <v>45986</v>
      </c>
      <c r="B137" s="1">
        <v>45987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421</v>
      </c>
      <c r="J137" t="s">
        <v>422</v>
      </c>
      <c r="M137" t="s">
        <v>46</v>
      </c>
      <c r="O137" t="s">
        <v>47</v>
      </c>
      <c r="P137" t="s">
        <v>48</v>
      </c>
      <c r="Q137" t="s">
        <v>49</v>
      </c>
      <c r="R137" t="s">
        <v>50</v>
      </c>
      <c r="S137" s="1">
        <v>46023</v>
      </c>
      <c r="U137" t="s">
        <v>51</v>
      </c>
      <c r="X137" t="s">
        <v>52</v>
      </c>
      <c r="Y137" s="2">
        <v>0</v>
      </c>
      <c r="Z137" s="2">
        <v>175</v>
      </c>
      <c r="AA137">
        <v>1</v>
      </c>
      <c r="AB137" s="3">
        <v>1</v>
      </c>
      <c r="AC137" s="2">
        <v>175</v>
      </c>
      <c r="AD137" s="3">
        <v>0</v>
      </c>
      <c r="AE137" s="2">
        <v>0</v>
      </c>
      <c r="AF137" s="2">
        <v>175</v>
      </c>
      <c r="AK137">
        <v>6041415</v>
      </c>
    </row>
    <row r="138" spans="1:37" x14ac:dyDescent="0.25">
      <c r="A138" s="1">
        <v>45986</v>
      </c>
      <c r="B138" s="1">
        <v>45987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423</v>
      </c>
      <c r="J138" t="s">
        <v>424</v>
      </c>
      <c r="M138" t="s">
        <v>46</v>
      </c>
      <c r="O138" t="s">
        <v>47</v>
      </c>
      <c r="P138" t="s">
        <v>48</v>
      </c>
      <c r="Q138" t="s">
        <v>49</v>
      </c>
      <c r="R138" t="s">
        <v>50</v>
      </c>
      <c r="S138" s="1">
        <v>46023</v>
      </c>
      <c r="U138" t="s">
        <v>51</v>
      </c>
      <c r="X138" t="s">
        <v>52</v>
      </c>
      <c r="Y138" s="2">
        <v>0</v>
      </c>
      <c r="Z138" s="2">
        <v>175</v>
      </c>
      <c r="AA138">
        <v>1</v>
      </c>
      <c r="AB138" s="3">
        <v>1</v>
      </c>
      <c r="AC138" s="2">
        <v>175</v>
      </c>
      <c r="AD138" s="3">
        <v>0</v>
      </c>
      <c r="AE138" s="2">
        <v>0</v>
      </c>
      <c r="AF138" s="2">
        <v>175</v>
      </c>
      <c r="AK138">
        <v>6041416</v>
      </c>
    </row>
    <row r="139" spans="1:37" x14ac:dyDescent="0.25">
      <c r="A139" s="1">
        <v>45986</v>
      </c>
      <c r="B139" s="1">
        <v>45987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425</v>
      </c>
      <c r="J139" t="s">
        <v>426</v>
      </c>
      <c r="M139" t="s">
        <v>401</v>
      </c>
      <c r="O139" t="s">
        <v>427</v>
      </c>
      <c r="P139" t="s">
        <v>428</v>
      </c>
      <c r="Q139" t="s">
        <v>49</v>
      </c>
      <c r="R139" t="s">
        <v>50</v>
      </c>
      <c r="S139" s="1">
        <v>46023</v>
      </c>
      <c r="U139" t="s">
        <v>51</v>
      </c>
      <c r="X139" t="s">
        <v>52</v>
      </c>
      <c r="Y139" s="2">
        <v>0</v>
      </c>
      <c r="Z139" s="2">
        <v>175</v>
      </c>
      <c r="AA139">
        <v>1</v>
      </c>
      <c r="AB139" s="3">
        <v>1</v>
      </c>
      <c r="AC139" s="2">
        <v>175</v>
      </c>
      <c r="AD139" s="3">
        <v>0</v>
      </c>
      <c r="AE139" s="2">
        <v>0</v>
      </c>
      <c r="AF139" s="2">
        <v>175</v>
      </c>
      <c r="AK139">
        <v>6041417</v>
      </c>
    </row>
    <row r="140" spans="1:37" x14ac:dyDescent="0.25">
      <c r="A140" s="1">
        <v>45986</v>
      </c>
      <c r="B140" s="1">
        <v>45987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429</v>
      </c>
      <c r="J140" t="s">
        <v>430</v>
      </c>
      <c r="M140" t="s">
        <v>46</v>
      </c>
      <c r="O140" t="s">
        <v>47</v>
      </c>
      <c r="P140" t="s">
        <v>48</v>
      </c>
      <c r="Q140" t="s">
        <v>49</v>
      </c>
      <c r="R140" t="s">
        <v>50</v>
      </c>
      <c r="S140" s="1">
        <v>46023</v>
      </c>
      <c r="U140" t="s">
        <v>51</v>
      </c>
      <c r="X140" t="s">
        <v>52</v>
      </c>
      <c r="Y140" s="2">
        <v>0</v>
      </c>
      <c r="Z140" s="2">
        <v>175</v>
      </c>
      <c r="AA140">
        <v>1</v>
      </c>
      <c r="AB140" s="3">
        <v>1</v>
      </c>
      <c r="AC140" s="2">
        <v>175</v>
      </c>
      <c r="AD140" s="3">
        <v>0</v>
      </c>
      <c r="AE140" s="2">
        <v>0</v>
      </c>
      <c r="AF140" s="2">
        <v>175</v>
      </c>
      <c r="AK140">
        <v>6041418</v>
      </c>
    </row>
    <row r="141" spans="1:37" x14ac:dyDescent="0.25">
      <c r="A141" s="1">
        <v>45986</v>
      </c>
      <c r="B141" s="1">
        <v>45987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431</v>
      </c>
      <c r="J141" t="s">
        <v>432</v>
      </c>
      <c r="M141" t="s">
        <v>59</v>
      </c>
      <c r="O141" t="s">
        <v>201</v>
      </c>
      <c r="P141" t="s">
        <v>202</v>
      </c>
      <c r="Q141" t="s">
        <v>49</v>
      </c>
      <c r="R141" t="s">
        <v>50</v>
      </c>
      <c r="S141" s="1">
        <v>46023</v>
      </c>
      <c r="U141" t="s">
        <v>51</v>
      </c>
      <c r="X141" t="s">
        <v>52</v>
      </c>
      <c r="Y141" s="2">
        <v>0</v>
      </c>
      <c r="Z141" s="2">
        <v>175</v>
      </c>
      <c r="AA141">
        <v>1</v>
      </c>
      <c r="AB141" s="3">
        <v>1</v>
      </c>
      <c r="AC141" s="2">
        <v>175</v>
      </c>
      <c r="AD141" s="3">
        <v>0</v>
      </c>
      <c r="AE141" s="2">
        <v>0</v>
      </c>
      <c r="AF141" s="2">
        <v>175</v>
      </c>
      <c r="AK141">
        <v>6041419</v>
      </c>
    </row>
    <row r="142" spans="1:37" x14ac:dyDescent="0.25">
      <c r="A142" s="1">
        <v>45986</v>
      </c>
      <c r="B142" s="1">
        <v>45987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433</v>
      </c>
      <c r="J142" t="s">
        <v>434</v>
      </c>
      <c r="M142" t="s">
        <v>59</v>
      </c>
      <c r="O142" t="s">
        <v>201</v>
      </c>
      <c r="P142" t="s">
        <v>202</v>
      </c>
      <c r="Q142" t="s">
        <v>49</v>
      </c>
      <c r="R142" t="s">
        <v>50</v>
      </c>
      <c r="S142" s="1">
        <v>46023</v>
      </c>
      <c r="U142" t="s">
        <v>51</v>
      </c>
      <c r="X142" t="s">
        <v>52</v>
      </c>
      <c r="Y142" s="2">
        <v>0</v>
      </c>
      <c r="Z142" s="2">
        <v>175</v>
      </c>
      <c r="AA142">
        <v>1</v>
      </c>
      <c r="AB142" s="3">
        <v>1</v>
      </c>
      <c r="AC142" s="2">
        <v>175</v>
      </c>
      <c r="AD142" s="3">
        <v>0</v>
      </c>
      <c r="AE142" s="2">
        <v>0</v>
      </c>
      <c r="AF142" s="2">
        <v>175</v>
      </c>
      <c r="AK142">
        <v>6041420</v>
      </c>
    </row>
    <row r="143" spans="1:37" x14ac:dyDescent="0.25">
      <c r="A143" s="1">
        <v>45986</v>
      </c>
      <c r="B143" s="1">
        <v>45987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435</v>
      </c>
      <c r="J143" t="s">
        <v>436</v>
      </c>
      <c r="M143" t="s">
        <v>46</v>
      </c>
      <c r="O143" t="s">
        <v>55</v>
      </c>
      <c r="P143" t="s">
        <v>56</v>
      </c>
      <c r="Q143" t="s">
        <v>49</v>
      </c>
      <c r="R143" t="s">
        <v>50</v>
      </c>
      <c r="S143" s="1">
        <v>46023</v>
      </c>
      <c r="U143" t="s">
        <v>51</v>
      </c>
      <c r="X143" t="s">
        <v>52</v>
      </c>
      <c r="Y143" s="2">
        <v>0</v>
      </c>
      <c r="Z143" s="2">
        <v>175</v>
      </c>
      <c r="AA143">
        <v>1</v>
      </c>
      <c r="AB143" s="3">
        <v>1</v>
      </c>
      <c r="AC143" s="2">
        <v>175</v>
      </c>
      <c r="AD143" s="3">
        <v>0</v>
      </c>
      <c r="AE143" s="2">
        <v>0</v>
      </c>
      <c r="AF143" s="2">
        <v>175</v>
      </c>
      <c r="AK143">
        <v>6041421</v>
      </c>
    </row>
    <row r="144" spans="1:37" x14ac:dyDescent="0.25">
      <c r="A144" s="1">
        <v>45986</v>
      </c>
      <c r="B144" s="1">
        <v>45987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437</v>
      </c>
      <c r="J144" t="s">
        <v>438</v>
      </c>
      <c r="M144" t="s">
        <v>46</v>
      </c>
      <c r="O144" t="s">
        <v>80</v>
      </c>
      <c r="P144" t="s">
        <v>81</v>
      </c>
      <c r="Q144" t="s">
        <v>49</v>
      </c>
      <c r="R144" t="s">
        <v>50</v>
      </c>
      <c r="S144" s="1">
        <v>46023</v>
      </c>
      <c r="U144" t="s">
        <v>51</v>
      </c>
      <c r="X144" t="s">
        <v>52</v>
      </c>
      <c r="Y144" s="2">
        <v>0</v>
      </c>
      <c r="Z144" s="2">
        <v>175</v>
      </c>
      <c r="AA144">
        <v>1</v>
      </c>
      <c r="AB144" s="3">
        <v>1</v>
      </c>
      <c r="AC144" s="2">
        <v>175</v>
      </c>
      <c r="AD144" s="3">
        <v>0</v>
      </c>
      <c r="AE144" s="2">
        <v>0</v>
      </c>
      <c r="AF144" s="2">
        <v>175</v>
      </c>
      <c r="AK144">
        <v>6041422</v>
      </c>
    </row>
    <row r="145" spans="1:37" x14ac:dyDescent="0.25">
      <c r="A145" s="1">
        <v>45986</v>
      </c>
      <c r="B145" s="1">
        <v>45987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439</v>
      </c>
      <c r="J145" t="s">
        <v>440</v>
      </c>
      <c r="M145" t="s">
        <v>46</v>
      </c>
      <c r="O145" t="s">
        <v>64</v>
      </c>
      <c r="P145" t="s">
        <v>65</v>
      </c>
      <c r="Q145" t="s">
        <v>49</v>
      </c>
      <c r="R145" t="s">
        <v>50</v>
      </c>
      <c r="S145" s="1">
        <v>46023</v>
      </c>
      <c r="U145" t="s">
        <v>51</v>
      </c>
      <c r="X145" t="s">
        <v>52</v>
      </c>
      <c r="Y145" s="2">
        <v>0</v>
      </c>
      <c r="Z145" s="2">
        <v>175</v>
      </c>
      <c r="AA145">
        <v>1</v>
      </c>
      <c r="AB145" s="3">
        <v>1</v>
      </c>
      <c r="AC145" s="2">
        <v>175</v>
      </c>
      <c r="AD145" s="3">
        <v>0</v>
      </c>
      <c r="AE145" s="2">
        <v>0</v>
      </c>
      <c r="AF145" s="2">
        <v>175</v>
      </c>
      <c r="AK145">
        <v>6041423</v>
      </c>
    </row>
    <row r="146" spans="1:37" x14ac:dyDescent="0.25">
      <c r="A146" s="1">
        <v>45986</v>
      </c>
      <c r="B146" s="1">
        <v>45987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441</v>
      </c>
      <c r="J146" t="s">
        <v>442</v>
      </c>
      <c r="M146" t="s">
        <v>275</v>
      </c>
      <c r="O146" t="s">
        <v>276</v>
      </c>
      <c r="P146" t="s">
        <v>277</v>
      </c>
      <c r="Q146" t="s">
        <v>49</v>
      </c>
      <c r="R146" t="s">
        <v>50</v>
      </c>
      <c r="S146" s="1">
        <v>46023</v>
      </c>
      <c r="U146" t="s">
        <v>51</v>
      </c>
      <c r="X146" t="s">
        <v>52</v>
      </c>
      <c r="Y146" s="2">
        <v>0</v>
      </c>
      <c r="Z146" s="2">
        <v>175</v>
      </c>
      <c r="AA146">
        <v>1</v>
      </c>
      <c r="AB146" s="3">
        <v>1</v>
      </c>
      <c r="AC146" s="2">
        <v>175</v>
      </c>
      <c r="AD146" s="3">
        <v>0</v>
      </c>
      <c r="AE146" s="2">
        <v>0</v>
      </c>
      <c r="AF146" s="2">
        <v>175</v>
      </c>
      <c r="AK146">
        <v>6041424</v>
      </c>
    </row>
    <row r="147" spans="1:37" x14ac:dyDescent="0.25">
      <c r="A147" s="1">
        <v>45986</v>
      </c>
      <c r="B147" s="1">
        <v>45987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443</v>
      </c>
      <c r="J147" t="s">
        <v>444</v>
      </c>
      <c r="M147" t="s">
        <v>59</v>
      </c>
      <c r="O147" t="s">
        <v>60</v>
      </c>
      <c r="P147" t="s">
        <v>61</v>
      </c>
      <c r="Q147" t="s">
        <v>49</v>
      </c>
      <c r="R147" t="s">
        <v>50</v>
      </c>
      <c r="S147" s="1">
        <v>46023</v>
      </c>
      <c r="U147" t="s">
        <v>51</v>
      </c>
      <c r="X147" t="s">
        <v>52</v>
      </c>
      <c r="Y147" s="2">
        <v>0</v>
      </c>
      <c r="Z147" s="2">
        <v>175</v>
      </c>
      <c r="AA147">
        <v>1</v>
      </c>
      <c r="AB147" s="3">
        <v>1</v>
      </c>
      <c r="AC147" s="2">
        <v>175</v>
      </c>
      <c r="AD147" s="3">
        <v>0</v>
      </c>
      <c r="AE147" s="2">
        <v>0</v>
      </c>
      <c r="AF147" s="2">
        <v>175</v>
      </c>
      <c r="AK147">
        <v>6041267</v>
      </c>
    </row>
    <row r="148" spans="1:37" x14ac:dyDescent="0.25">
      <c r="A148" s="1">
        <v>45986</v>
      </c>
      <c r="B148" s="1">
        <v>45987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445</v>
      </c>
      <c r="J148" t="s">
        <v>446</v>
      </c>
      <c r="M148" t="s">
        <v>46</v>
      </c>
      <c r="O148" t="s">
        <v>447</v>
      </c>
      <c r="P148" t="s">
        <v>448</v>
      </c>
      <c r="Q148" t="s">
        <v>49</v>
      </c>
      <c r="R148" t="s">
        <v>50</v>
      </c>
      <c r="S148" s="1">
        <v>46023</v>
      </c>
      <c r="U148" t="s">
        <v>51</v>
      </c>
      <c r="X148" t="s">
        <v>52</v>
      </c>
      <c r="Y148" s="2">
        <v>0</v>
      </c>
      <c r="Z148" s="2">
        <v>175</v>
      </c>
      <c r="AA148">
        <v>1</v>
      </c>
      <c r="AB148" s="3">
        <v>1</v>
      </c>
      <c r="AC148" s="2">
        <v>175</v>
      </c>
      <c r="AD148" s="3">
        <v>0</v>
      </c>
      <c r="AE148" s="2">
        <v>0</v>
      </c>
      <c r="AF148" s="2">
        <v>175</v>
      </c>
      <c r="AK148">
        <v>6041268</v>
      </c>
    </row>
    <row r="149" spans="1:37" x14ac:dyDescent="0.25">
      <c r="A149" s="1">
        <v>45986</v>
      </c>
      <c r="B149" s="1">
        <v>45987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449</v>
      </c>
      <c r="J149" t="s">
        <v>450</v>
      </c>
      <c r="M149" t="s">
        <v>46</v>
      </c>
      <c r="O149" t="s">
        <v>80</v>
      </c>
      <c r="P149" t="s">
        <v>81</v>
      </c>
      <c r="Q149" t="s">
        <v>49</v>
      </c>
      <c r="R149" t="s">
        <v>50</v>
      </c>
      <c r="S149" s="1">
        <v>46023</v>
      </c>
      <c r="U149" t="s">
        <v>51</v>
      </c>
      <c r="X149" t="s">
        <v>52</v>
      </c>
      <c r="Y149" s="2">
        <v>0</v>
      </c>
      <c r="Z149" s="2">
        <v>175</v>
      </c>
      <c r="AA149">
        <v>1</v>
      </c>
      <c r="AB149" s="3">
        <v>1</v>
      </c>
      <c r="AC149" s="2">
        <v>175</v>
      </c>
      <c r="AD149" s="3">
        <v>0</v>
      </c>
      <c r="AE149" s="2">
        <v>0</v>
      </c>
      <c r="AF149" s="2">
        <v>175</v>
      </c>
      <c r="AK149">
        <v>6041425</v>
      </c>
    </row>
    <row r="150" spans="1:37" x14ac:dyDescent="0.25">
      <c r="A150" s="1">
        <v>45986</v>
      </c>
      <c r="B150" s="1">
        <v>45987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451</v>
      </c>
      <c r="J150" t="s">
        <v>452</v>
      </c>
      <c r="M150" t="s">
        <v>46</v>
      </c>
      <c r="O150" t="s">
        <v>391</v>
      </c>
      <c r="P150" t="s">
        <v>392</v>
      </c>
      <c r="Q150" t="s">
        <v>49</v>
      </c>
      <c r="R150" t="s">
        <v>50</v>
      </c>
      <c r="S150" s="1">
        <v>46023</v>
      </c>
      <c r="U150" t="s">
        <v>51</v>
      </c>
      <c r="X150" t="s">
        <v>52</v>
      </c>
      <c r="Y150" s="2">
        <v>0</v>
      </c>
      <c r="Z150" s="2">
        <v>175</v>
      </c>
      <c r="AA150">
        <v>1</v>
      </c>
      <c r="AB150" s="3">
        <v>1</v>
      </c>
      <c r="AC150" s="2">
        <v>175</v>
      </c>
      <c r="AD150" s="3">
        <v>0</v>
      </c>
      <c r="AE150" s="2">
        <v>0</v>
      </c>
      <c r="AF150" s="2">
        <v>175</v>
      </c>
      <c r="AK150">
        <v>6041426</v>
      </c>
    </row>
    <row r="151" spans="1:37" x14ac:dyDescent="0.25">
      <c r="A151" s="1">
        <v>45986</v>
      </c>
      <c r="B151" s="1">
        <v>45987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453</v>
      </c>
      <c r="J151" t="s">
        <v>454</v>
      </c>
      <c r="M151" t="s">
        <v>46</v>
      </c>
      <c r="O151" t="s">
        <v>96</v>
      </c>
      <c r="P151" t="s">
        <v>97</v>
      </c>
      <c r="Q151" t="s">
        <v>49</v>
      </c>
      <c r="R151" t="s">
        <v>50</v>
      </c>
      <c r="S151" s="1">
        <v>46023</v>
      </c>
      <c r="U151" t="s">
        <v>51</v>
      </c>
      <c r="X151" t="s">
        <v>52</v>
      </c>
      <c r="Y151" s="2">
        <v>0</v>
      </c>
      <c r="Z151" s="2">
        <v>175</v>
      </c>
      <c r="AA151">
        <v>1</v>
      </c>
      <c r="AB151" s="3">
        <v>1</v>
      </c>
      <c r="AC151" s="2">
        <v>175</v>
      </c>
      <c r="AD151" s="3">
        <v>0</v>
      </c>
      <c r="AE151" s="2">
        <v>0</v>
      </c>
      <c r="AF151" s="2">
        <v>175</v>
      </c>
      <c r="AK151">
        <v>6041427</v>
      </c>
    </row>
    <row r="152" spans="1:37" x14ac:dyDescent="0.25">
      <c r="A152" s="1">
        <v>45986</v>
      </c>
      <c r="B152" s="1">
        <v>45987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455</v>
      </c>
      <c r="J152" t="s">
        <v>456</v>
      </c>
      <c r="M152" t="s">
        <v>46</v>
      </c>
      <c r="O152" t="s">
        <v>84</v>
      </c>
      <c r="P152" t="s">
        <v>85</v>
      </c>
      <c r="Q152" t="s">
        <v>49</v>
      </c>
      <c r="R152" t="s">
        <v>50</v>
      </c>
      <c r="S152" s="1">
        <v>45992</v>
      </c>
      <c r="U152" t="s">
        <v>51</v>
      </c>
      <c r="X152" t="s">
        <v>52</v>
      </c>
      <c r="Y152" s="2">
        <v>0</v>
      </c>
      <c r="Z152" s="2">
        <v>175</v>
      </c>
      <c r="AA152">
        <v>1</v>
      </c>
      <c r="AB152" s="3">
        <v>1</v>
      </c>
      <c r="AC152" s="2">
        <v>175</v>
      </c>
      <c r="AD152" s="3">
        <v>0</v>
      </c>
      <c r="AE152" s="2">
        <v>0</v>
      </c>
      <c r="AF152" s="2">
        <v>175</v>
      </c>
      <c r="AK152">
        <v>6041428</v>
      </c>
    </row>
    <row r="153" spans="1:37" x14ac:dyDescent="0.25">
      <c r="A153" s="1">
        <v>45986</v>
      </c>
      <c r="B153" s="1">
        <v>45987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457</v>
      </c>
      <c r="J153" t="s">
        <v>458</v>
      </c>
      <c r="M153" t="s">
        <v>46</v>
      </c>
      <c r="O153" t="s">
        <v>84</v>
      </c>
      <c r="P153" t="s">
        <v>85</v>
      </c>
      <c r="Q153" t="s">
        <v>49</v>
      </c>
      <c r="R153" t="s">
        <v>50</v>
      </c>
      <c r="S153" s="1">
        <v>46023</v>
      </c>
      <c r="U153" t="s">
        <v>51</v>
      </c>
      <c r="X153" t="s">
        <v>52</v>
      </c>
      <c r="Y153" s="2">
        <v>0</v>
      </c>
      <c r="Z153" s="2">
        <v>175</v>
      </c>
      <c r="AA153">
        <v>1</v>
      </c>
      <c r="AB153" s="3">
        <v>1</v>
      </c>
      <c r="AC153" s="2">
        <v>175</v>
      </c>
      <c r="AD153" s="3">
        <v>0</v>
      </c>
      <c r="AE153" s="2">
        <v>0</v>
      </c>
      <c r="AF153" s="2">
        <v>175</v>
      </c>
      <c r="AK153">
        <v>6041429</v>
      </c>
    </row>
    <row r="154" spans="1:37" x14ac:dyDescent="0.25">
      <c r="A154" s="1">
        <v>45986</v>
      </c>
      <c r="B154" s="1">
        <v>45987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459</v>
      </c>
      <c r="J154" t="s">
        <v>460</v>
      </c>
      <c r="M154" t="s">
        <v>46</v>
      </c>
      <c r="O154" t="s">
        <v>55</v>
      </c>
      <c r="P154" t="s">
        <v>56</v>
      </c>
      <c r="Q154" t="s">
        <v>49</v>
      </c>
      <c r="R154" t="s">
        <v>50</v>
      </c>
      <c r="S154" s="1">
        <v>46023</v>
      </c>
      <c r="U154" t="s">
        <v>51</v>
      </c>
      <c r="X154" t="s">
        <v>52</v>
      </c>
      <c r="Y154" s="2">
        <v>0</v>
      </c>
      <c r="Z154" s="2">
        <v>175</v>
      </c>
      <c r="AA154">
        <v>1</v>
      </c>
      <c r="AB154" s="3">
        <v>1</v>
      </c>
      <c r="AC154" s="2">
        <v>175</v>
      </c>
      <c r="AD154" s="3">
        <v>0</v>
      </c>
      <c r="AE154" s="2">
        <v>0</v>
      </c>
      <c r="AF154" s="2">
        <v>175</v>
      </c>
      <c r="AK154">
        <v>6041430</v>
      </c>
    </row>
    <row r="155" spans="1:37" x14ac:dyDescent="0.25">
      <c r="A155" s="1">
        <v>45986</v>
      </c>
      <c r="B155" s="1">
        <v>45987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461</v>
      </c>
      <c r="J155" t="s">
        <v>462</v>
      </c>
      <c r="M155" t="s">
        <v>46</v>
      </c>
      <c r="O155" t="s">
        <v>100</v>
      </c>
      <c r="P155" t="s">
        <v>101</v>
      </c>
      <c r="Q155" t="s">
        <v>49</v>
      </c>
      <c r="R155" t="s">
        <v>50</v>
      </c>
      <c r="S155" s="1">
        <v>46023</v>
      </c>
      <c r="U155" t="s">
        <v>51</v>
      </c>
      <c r="X155" t="s">
        <v>52</v>
      </c>
      <c r="Y155" s="2">
        <v>0</v>
      </c>
      <c r="Z155" s="2">
        <v>175</v>
      </c>
      <c r="AA155">
        <v>1</v>
      </c>
      <c r="AB155" s="3">
        <v>1</v>
      </c>
      <c r="AC155" s="2">
        <v>175</v>
      </c>
      <c r="AD155" s="3">
        <v>0</v>
      </c>
      <c r="AE155" s="2">
        <v>0</v>
      </c>
      <c r="AF155" s="2">
        <v>175</v>
      </c>
      <c r="AK155">
        <v>6041270</v>
      </c>
    </row>
    <row r="156" spans="1:37" x14ac:dyDescent="0.25">
      <c r="A156" s="1">
        <v>45986</v>
      </c>
      <c r="B156" s="1">
        <v>45987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463</v>
      </c>
      <c r="J156" t="s">
        <v>464</v>
      </c>
      <c r="M156" t="s">
        <v>46</v>
      </c>
      <c r="O156" t="s">
        <v>104</v>
      </c>
      <c r="P156" t="s">
        <v>105</v>
      </c>
      <c r="Q156" t="s">
        <v>49</v>
      </c>
      <c r="R156" t="s">
        <v>50</v>
      </c>
      <c r="S156" s="1">
        <v>46023</v>
      </c>
      <c r="U156" t="s">
        <v>51</v>
      </c>
      <c r="X156" t="s">
        <v>52</v>
      </c>
      <c r="Y156" s="2">
        <v>0</v>
      </c>
      <c r="Z156" s="2">
        <v>175</v>
      </c>
      <c r="AA156">
        <v>1</v>
      </c>
      <c r="AB156" s="3">
        <v>1</v>
      </c>
      <c r="AC156" s="2">
        <v>175</v>
      </c>
      <c r="AD156" s="3">
        <v>0</v>
      </c>
      <c r="AE156" s="2">
        <v>0</v>
      </c>
      <c r="AF156" s="2">
        <v>175</v>
      </c>
      <c r="AK156">
        <v>6041431</v>
      </c>
    </row>
    <row r="157" spans="1:37" x14ac:dyDescent="0.25">
      <c r="A157" s="1">
        <v>45986</v>
      </c>
      <c r="B157" s="1">
        <v>45987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465</v>
      </c>
      <c r="J157" t="s">
        <v>466</v>
      </c>
      <c r="M157" t="s">
        <v>46</v>
      </c>
      <c r="O157" t="s">
        <v>64</v>
      </c>
      <c r="P157" t="s">
        <v>65</v>
      </c>
      <c r="Q157" t="s">
        <v>49</v>
      </c>
      <c r="R157" t="s">
        <v>50</v>
      </c>
      <c r="S157" s="1">
        <v>46023</v>
      </c>
      <c r="U157" t="s">
        <v>51</v>
      </c>
      <c r="X157" t="s">
        <v>52</v>
      </c>
      <c r="Y157" s="2">
        <v>0</v>
      </c>
      <c r="Z157" s="2">
        <v>175</v>
      </c>
      <c r="AA157">
        <v>1</v>
      </c>
      <c r="AB157" s="3">
        <v>1</v>
      </c>
      <c r="AC157" s="2">
        <v>175</v>
      </c>
      <c r="AD157" s="3">
        <v>0</v>
      </c>
      <c r="AE157" s="2">
        <v>0</v>
      </c>
      <c r="AF157" s="2">
        <v>175</v>
      </c>
      <c r="AK157">
        <v>6041432</v>
      </c>
    </row>
    <row r="158" spans="1:37" x14ac:dyDescent="0.25">
      <c r="A158" s="1">
        <v>45986</v>
      </c>
      <c r="B158" s="1">
        <v>45987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467</v>
      </c>
      <c r="J158" t="s">
        <v>468</v>
      </c>
      <c r="M158" t="s">
        <v>46</v>
      </c>
      <c r="O158" t="s">
        <v>64</v>
      </c>
      <c r="P158" t="s">
        <v>65</v>
      </c>
      <c r="Q158" t="s">
        <v>49</v>
      </c>
      <c r="R158" t="s">
        <v>50</v>
      </c>
      <c r="S158" s="1">
        <v>46023</v>
      </c>
      <c r="U158" t="s">
        <v>51</v>
      </c>
      <c r="X158" t="s">
        <v>52</v>
      </c>
      <c r="Y158" s="2">
        <v>0</v>
      </c>
      <c r="Z158" s="2">
        <v>175</v>
      </c>
      <c r="AA158">
        <v>1</v>
      </c>
      <c r="AB158" s="3">
        <v>1</v>
      </c>
      <c r="AC158" s="2">
        <v>175</v>
      </c>
      <c r="AD158" s="3">
        <v>0</v>
      </c>
      <c r="AE158" s="2">
        <v>0</v>
      </c>
      <c r="AF158" s="2">
        <v>175</v>
      </c>
      <c r="AK158">
        <v>6041433</v>
      </c>
    </row>
    <row r="159" spans="1:37" x14ac:dyDescent="0.25">
      <c r="A159" s="1">
        <v>45986</v>
      </c>
      <c r="B159" s="1">
        <v>45987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469</v>
      </c>
      <c r="J159" t="s">
        <v>470</v>
      </c>
      <c r="M159" t="s">
        <v>46</v>
      </c>
      <c r="O159" t="s">
        <v>47</v>
      </c>
      <c r="P159" t="s">
        <v>48</v>
      </c>
      <c r="Q159" t="s">
        <v>49</v>
      </c>
      <c r="R159" t="s">
        <v>50</v>
      </c>
      <c r="S159" s="1">
        <v>46023</v>
      </c>
      <c r="U159" t="s">
        <v>51</v>
      </c>
      <c r="X159" t="s">
        <v>52</v>
      </c>
      <c r="Y159" s="2">
        <v>0</v>
      </c>
      <c r="Z159" s="2">
        <v>175</v>
      </c>
      <c r="AA159">
        <v>1</v>
      </c>
      <c r="AB159" s="3">
        <v>1</v>
      </c>
      <c r="AC159" s="2">
        <v>175</v>
      </c>
      <c r="AD159" s="3">
        <v>0</v>
      </c>
      <c r="AE159" s="2">
        <v>0</v>
      </c>
      <c r="AF159" s="2">
        <v>175</v>
      </c>
      <c r="AK159">
        <v>6041434</v>
      </c>
    </row>
    <row r="160" spans="1:37" x14ac:dyDescent="0.25">
      <c r="A160" s="1">
        <v>45986</v>
      </c>
      <c r="B160" s="1">
        <v>45987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471</v>
      </c>
      <c r="J160" t="s">
        <v>472</v>
      </c>
      <c r="M160" t="s">
        <v>344</v>
      </c>
      <c r="O160" t="s">
        <v>150</v>
      </c>
      <c r="P160" t="s">
        <v>151</v>
      </c>
      <c r="Q160" t="s">
        <v>49</v>
      </c>
      <c r="R160" t="s">
        <v>50</v>
      </c>
      <c r="S160" s="1">
        <v>46023</v>
      </c>
      <c r="U160" t="s">
        <v>51</v>
      </c>
      <c r="X160" t="s">
        <v>52</v>
      </c>
      <c r="Y160" s="2">
        <v>0</v>
      </c>
      <c r="Z160" s="2">
        <v>175</v>
      </c>
      <c r="AA160">
        <v>1</v>
      </c>
      <c r="AB160" s="3">
        <v>1</v>
      </c>
      <c r="AC160" s="2">
        <v>175</v>
      </c>
      <c r="AD160" s="3">
        <v>0</v>
      </c>
      <c r="AE160" s="2">
        <v>0</v>
      </c>
      <c r="AF160" s="2">
        <v>175</v>
      </c>
      <c r="AK160">
        <v>6041435</v>
      </c>
    </row>
    <row r="161" spans="1:37" x14ac:dyDescent="0.25">
      <c r="A161" s="1">
        <v>45986</v>
      </c>
      <c r="B161" s="1">
        <v>45987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473</v>
      </c>
      <c r="J161" t="s">
        <v>474</v>
      </c>
      <c r="M161" t="s">
        <v>139</v>
      </c>
      <c r="O161" t="s">
        <v>140</v>
      </c>
      <c r="P161" t="s">
        <v>141</v>
      </c>
      <c r="Q161" t="s">
        <v>49</v>
      </c>
      <c r="R161" t="s">
        <v>50</v>
      </c>
      <c r="S161" s="1">
        <v>45992</v>
      </c>
      <c r="U161" t="s">
        <v>51</v>
      </c>
      <c r="X161" t="s">
        <v>52</v>
      </c>
      <c r="Y161" s="2">
        <v>0</v>
      </c>
      <c r="Z161" s="2">
        <v>175</v>
      </c>
      <c r="AA161">
        <v>1</v>
      </c>
      <c r="AB161" s="3">
        <v>1</v>
      </c>
      <c r="AC161" s="2">
        <v>175</v>
      </c>
      <c r="AD161" s="3">
        <v>0</v>
      </c>
      <c r="AE161" s="2">
        <v>0</v>
      </c>
      <c r="AF161" s="2">
        <v>175</v>
      </c>
      <c r="AK161">
        <v>6041436</v>
      </c>
    </row>
    <row r="162" spans="1:37" x14ac:dyDescent="0.25">
      <c r="A162" s="1">
        <v>45986</v>
      </c>
      <c r="B162" s="1">
        <v>45987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475</v>
      </c>
      <c r="J162" t="s">
        <v>476</v>
      </c>
      <c r="M162" t="s">
        <v>344</v>
      </c>
      <c r="O162" t="s">
        <v>150</v>
      </c>
      <c r="P162" t="s">
        <v>151</v>
      </c>
      <c r="Q162" t="s">
        <v>49</v>
      </c>
      <c r="R162" t="s">
        <v>50</v>
      </c>
      <c r="S162" s="1">
        <v>46023</v>
      </c>
      <c r="U162" t="s">
        <v>51</v>
      </c>
      <c r="X162" t="s">
        <v>52</v>
      </c>
      <c r="Y162" s="2">
        <v>0</v>
      </c>
      <c r="Z162" s="2">
        <v>175</v>
      </c>
      <c r="AA162">
        <v>1</v>
      </c>
      <c r="AB162" s="3">
        <v>1</v>
      </c>
      <c r="AC162" s="2">
        <v>175</v>
      </c>
      <c r="AD162" s="3">
        <v>0</v>
      </c>
      <c r="AE162" s="2">
        <v>0</v>
      </c>
      <c r="AF162" s="2">
        <v>175</v>
      </c>
      <c r="AK162">
        <v>6041437</v>
      </c>
    </row>
    <row r="163" spans="1:37" x14ac:dyDescent="0.25">
      <c r="A163" s="1">
        <v>45986</v>
      </c>
      <c r="B163" s="1">
        <v>45987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477</v>
      </c>
      <c r="J163" t="s">
        <v>478</v>
      </c>
      <c r="M163" t="s">
        <v>46</v>
      </c>
      <c r="O163" t="s">
        <v>47</v>
      </c>
      <c r="P163" t="s">
        <v>48</v>
      </c>
      <c r="Q163" t="s">
        <v>49</v>
      </c>
      <c r="R163" t="s">
        <v>50</v>
      </c>
      <c r="S163" s="1">
        <v>45992</v>
      </c>
      <c r="U163" t="s">
        <v>51</v>
      </c>
      <c r="X163" t="s">
        <v>52</v>
      </c>
      <c r="Y163" s="2">
        <v>0</v>
      </c>
      <c r="Z163" s="2">
        <v>175</v>
      </c>
      <c r="AA163">
        <v>1</v>
      </c>
      <c r="AB163" s="3">
        <v>1</v>
      </c>
      <c r="AC163" s="2">
        <v>175</v>
      </c>
      <c r="AD163" s="3">
        <v>0</v>
      </c>
      <c r="AE163" s="2">
        <v>0</v>
      </c>
      <c r="AF163" s="2">
        <v>175</v>
      </c>
      <c r="AK163">
        <v>6041438</v>
      </c>
    </row>
    <row r="164" spans="1:37" x14ac:dyDescent="0.25">
      <c r="A164" s="1">
        <v>45986</v>
      </c>
      <c r="B164" s="1">
        <v>45987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479</v>
      </c>
      <c r="J164" t="s">
        <v>480</v>
      </c>
      <c r="M164" t="s">
        <v>59</v>
      </c>
      <c r="O164" t="s">
        <v>60</v>
      </c>
      <c r="P164" t="s">
        <v>61</v>
      </c>
      <c r="Q164" t="s">
        <v>49</v>
      </c>
      <c r="R164" t="s">
        <v>50</v>
      </c>
      <c r="S164" s="1">
        <v>46023</v>
      </c>
      <c r="U164" t="s">
        <v>51</v>
      </c>
      <c r="X164" t="s">
        <v>52</v>
      </c>
      <c r="Y164" s="2">
        <v>0</v>
      </c>
      <c r="Z164" s="2">
        <v>175</v>
      </c>
      <c r="AA164">
        <v>1</v>
      </c>
      <c r="AB164" s="3">
        <v>1</v>
      </c>
      <c r="AC164" s="2">
        <v>175</v>
      </c>
      <c r="AD164" s="3">
        <v>0</v>
      </c>
      <c r="AE164" s="2">
        <v>0</v>
      </c>
      <c r="AF164" s="2">
        <v>175</v>
      </c>
      <c r="AK164">
        <v>6041273</v>
      </c>
    </row>
    <row r="165" spans="1:37" x14ac:dyDescent="0.25">
      <c r="A165" s="1">
        <v>45986</v>
      </c>
      <c r="B165" s="1">
        <v>45987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481</v>
      </c>
      <c r="J165" t="s">
        <v>482</v>
      </c>
      <c r="M165" t="s">
        <v>46</v>
      </c>
      <c r="O165" t="s">
        <v>447</v>
      </c>
      <c r="P165" t="s">
        <v>448</v>
      </c>
      <c r="Q165" t="s">
        <v>49</v>
      </c>
      <c r="R165" t="s">
        <v>50</v>
      </c>
      <c r="S165" s="1">
        <v>46023</v>
      </c>
      <c r="U165" t="s">
        <v>51</v>
      </c>
      <c r="X165" t="s">
        <v>52</v>
      </c>
      <c r="Y165" s="2">
        <v>0</v>
      </c>
      <c r="Z165" s="2">
        <v>175</v>
      </c>
      <c r="AA165">
        <v>1</v>
      </c>
      <c r="AB165" s="3">
        <v>1</v>
      </c>
      <c r="AC165" s="2">
        <v>175</v>
      </c>
      <c r="AD165" s="3">
        <v>0</v>
      </c>
      <c r="AE165" s="2">
        <v>0</v>
      </c>
      <c r="AF165" s="2">
        <v>175</v>
      </c>
      <c r="AK165">
        <v>6041274</v>
      </c>
    </row>
    <row r="166" spans="1:37" x14ac:dyDescent="0.25">
      <c r="A166" s="1">
        <v>45986</v>
      </c>
      <c r="B166" s="1">
        <v>45987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483</v>
      </c>
      <c r="J166" t="s">
        <v>484</v>
      </c>
      <c r="M166" t="s">
        <v>59</v>
      </c>
      <c r="O166" t="s">
        <v>60</v>
      </c>
      <c r="P166" t="s">
        <v>61</v>
      </c>
      <c r="Q166" t="s">
        <v>49</v>
      </c>
      <c r="R166" t="s">
        <v>50</v>
      </c>
      <c r="S166" s="1">
        <v>46023</v>
      </c>
      <c r="U166" t="s">
        <v>51</v>
      </c>
      <c r="X166" t="s">
        <v>52</v>
      </c>
      <c r="Y166" s="2">
        <v>0</v>
      </c>
      <c r="Z166" s="2">
        <v>175</v>
      </c>
      <c r="AA166">
        <v>1</v>
      </c>
      <c r="AB166" s="3">
        <v>1</v>
      </c>
      <c r="AC166" s="2">
        <v>175</v>
      </c>
      <c r="AD166" s="3">
        <v>0</v>
      </c>
      <c r="AE166" s="2">
        <v>0</v>
      </c>
      <c r="AF166" s="2">
        <v>175</v>
      </c>
      <c r="AK166">
        <v>6041275</v>
      </c>
    </row>
    <row r="167" spans="1:37" x14ac:dyDescent="0.25">
      <c r="A167" s="1">
        <v>45986</v>
      </c>
      <c r="B167" s="1">
        <v>45987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485</v>
      </c>
      <c r="J167" t="s">
        <v>486</v>
      </c>
      <c r="M167" t="s">
        <v>46</v>
      </c>
      <c r="O167" t="s">
        <v>47</v>
      </c>
      <c r="P167" t="s">
        <v>48</v>
      </c>
      <c r="Q167" t="s">
        <v>49</v>
      </c>
      <c r="R167" t="s">
        <v>50</v>
      </c>
      <c r="S167" s="1">
        <v>46023</v>
      </c>
      <c r="U167" t="s">
        <v>51</v>
      </c>
      <c r="X167" t="s">
        <v>52</v>
      </c>
      <c r="Y167" s="2">
        <v>0</v>
      </c>
      <c r="Z167" s="2">
        <v>175</v>
      </c>
      <c r="AA167">
        <v>1</v>
      </c>
      <c r="AB167" s="3">
        <v>1</v>
      </c>
      <c r="AC167" s="2">
        <v>175</v>
      </c>
      <c r="AD167" s="3">
        <v>0</v>
      </c>
      <c r="AE167" s="2">
        <v>0</v>
      </c>
      <c r="AF167" s="2">
        <v>175</v>
      </c>
      <c r="AK167">
        <v>6041439</v>
      </c>
    </row>
    <row r="168" spans="1:37" x14ac:dyDescent="0.25">
      <c r="A168" s="1">
        <v>45986</v>
      </c>
      <c r="B168" s="1">
        <v>45987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487</v>
      </c>
      <c r="J168" t="s">
        <v>488</v>
      </c>
      <c r="M168" t="s">
        <v>420</v>
      </c>
      <c r="O168" t="s">
        <v>489</v>
      </c>
      <c r="P168" t="s">
        <v>490</v>
      </c>
      <c r="Q168" t="s">
        <v>49</v>
      </c>
      <c r="R168" t="s">
        <v>50</v>
      </c>
      <c r="S168" s="1">
        <v>46023</v>
      </c>
      <c r="U168" t="s">
        <v>51</v>
      </c>
      <c r="X168" t="s">
        <v>52</v>
      </c>
      <c r="Y168" s="2">
        <v>0</v>
      </c>
      <c r="Z168" s="2">
        <v>175</v>
      </c>
      <c r="AA168">
        <v>1</v>
      </c>
      <c r="AB168" s="3">
        <v>1</v>
      </c>
      <c r="AC168" s="2">
        <v>175</v>
      </c>
      <c r="AD168" s="3">
        <v>0</v>
      </c>
      <c r="AE168" s="2">
        <v>0</v>
      </c>
      <c r="AF168" s="2">
        <v>175</v>
      </c>
      <c r="AK168">
        <v>6041440</v>
      </c>
    </row>
    <row r="169" spans="1:37" x14ac:dyDescent="0.25">
      <c r="A169" s="1">
        <v>45986</v>
      </c>
      <c r="B169" s="1">
        <v>45987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491</v>
      </c>
      <c r="J169" t="s">
        <v>492</v>
      </c>
      <c r="M169" t="s">
        <v>192</v>
      </c>
      <c r="O169" t="s">
        <v>193</v>
      </c>
      <c r="P169" t="s">
        <v>194</v>
      </c>
      <c r="Q169" t="s">
        <v>49</v>
      </c>
      <c r="R169" t="s">
        <v>50</v>
      </c>
      <c r="S169" s="1">
        <v>46023</v>
      </c>
      <c r="U169" t="s">
        <v>51</v>
      </c>
      <c r="X169" t="s">
        <v>52</v>
      </c>
      <c r="Y169" s="2">
        <v>0</v>
      </c>
      <c r="Z169" s="2">
        <v>175</v>
      </c>
      <c r="AA169">
        <v>1</v>
      </c>
      <c r="AB169" s="3">
        <v>1</v>
      </c>
      <c r="AC169" s="2">
        <v>175</v>
      </c>
      <c r="AD169" s="3">
        <v>0</v>
      </c>
      <c r="AE169" s="2">
        <v>0</v>
      </c>
      <c r="AF169" s="2">
        <v>175</v>
      </c>
      <c r="AK169">
        <v>6041441</v>
      </c>
    </row>
    <row r="170" spans="1:37" x14ac:dyDescent="0.25">
      <c r="A170" s="1">
        <v>45986</v>
      </c>
      <c r="B170" s="1">
        <v>45987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493</v>
      </c>
      <c r="J170" t="s">
        <v>494</v>
      </c>
      <c r="M170" t="s">
        <v>275</v>
      </c>
      <c r="O170" t="s">
        <v>47</v>
      </c>
      <c r="P170" t="s">
        <v>48</v>
      </c>
      <c r="Q170" t="s">
        <v>49</v>
      </c>
      <c r="R170" t="s">
        <v>50</v>
      </c>
      <c r="S170" s="1">
        <v>46023</v>
      </c>
      <c r="U170" t="s">
        <v>51</v>
      </c>
      <c r="X170" t="s">
        <v>52</v>
      </c>
      <c r="Y170" s="2">
        <v>0</v>
      </c>
      <c r="Z170" s="2">
        <v>175</v>
      </c>
      <c r="AA170">
        <v>1</v>
      </c>
      <c r="AB170" s="3">
        <v>1</v>
      </c>
      <c r="AC170" s="2">
        <v>175</v>
      </c>
      <c r="AD170" s="3">
        <v>0</v>
      </c>
      <c r="AE170" s="2">
        <v>0</v>
      </c>
      <c r="AF170" s="2">
        <v>175</v>
      </c>
      <c r="AK170">
        <v>6041442</v>
      </c>
    </row>
    <row r="171" spans="1:37" x14ac:dyDescent="0.25">
      <c r="A171" s="1">
        <v>45986</v>
      </c>
      <c r="B171" s="1">
        <v>45987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495</v>
      </c>
      <c r="J171" t="s">
        <v>496</v>
      </c>
      <c r="M171" t="s">
        <v>46</v>
      </c>
      <c r="O171" t="s">
        <v>55</v>
      </c>
      <c r="P171" t="s">
        <v>56</v>
      </c>
      <c r="Q171" t="s">
        <v>49</v>
      </c>
      <c r="R171" t="s">
        <v>50</v>
      </c>
      <c r="S171" s="1">
        <v>46023</v>
      </c>
      <c r="U171" t="s">
        <v>51</v>
      </c>
      <c r="X171" t="s">
        <v>52</v>
      </c>
      <c r="Y171" s="2">
        <v>0</v>
      </c>
      <c r="Z171" s="2">
        <v>175</v>
      </c>
      <c r="AA171">
        <v>1</v>
      </c>
      <c r="AB171" s="3">
        <v>1</v>
      </c>
      <c r="AC171" s="2">
        <v>175</v>
      </c>
      <c r="AD171" s="3">
        <v>0</v>
      </c>
      <c r="AE171" s="2">
        <v>0</v>
      </c>
      <c r="AF171" s="2">
        <v>175</v>
      </c>
      <c r="AK171">
        <v>6041443</v>
      </c>
    </row>
    <row r="172" spans="1:37" x14ac:dyDescent="0.25">
      <c r="A172" s="1">
        <v>45986</v>
      </c>
      <c r="B172" s="1">
        <v>45987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497</v>
      </c>
      <c r="J172" t="s">
        <v>498</v>
      </c>
      <c r="M172" t="s">
        <v>46</v>
      </c>
      <c r="O172" t="s">
        <v>47</v>
      </c>
      <c r="P172" t="s">
        <v>48</v>
      </c>
      <c r="Q172" t="s">
        <v>49</v>
      </c>
      <c r="R172" t="s">
        <v>50</v>
      </c>
      <c r="S172" s="1">
        <v>46023</v>
      </c>
      <c r="U172" t="s">
        <v>51</v>
      </c>
      <c r="X172" t="s">
        <v>52</v>
      </c>
      <c r="Y172" s="2">
        <v>0</v>
      </c>
      <c r="Z172" s="2">
        <v>175</v>
      </c>
      <c r="AA172">
        <v>1</v>
      </c>
      <c r="AB172" s="3">
        <v>1</v>
      </c>
      <c r="AC172" s="2">
        <v>175</v>
      </c>
      <c r="AD172" s="3">
        <v>0</v>
      </c>
      <c r="AE172" s="2">
        <v>0</v>
      </c>
      <c r="AF172" s="2">
        <v>175</v>
      </c>
      <c r="AK172">
        <v>6041444</v>
      </c>
    </row>
    <row r="173" spans="1:37" x14ac:dyDescent="0.25">
      <c r="A173" s="1">
        <v>45986</v>
      </c>
      <c r="B173" s="1">
        <v>45987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499</v>
      </c>
      <c r="J173" t="s">
        <v>500</v>
      </c>
      <c r="M173" t="s">
        <v>46</v>
      </c>
      <c r="O173" t="s">
        <v>297</v>
      </c>
      <c r="P173" t="s">
        <v>298</v>
      </c>
      <c r="Q173" t="s">
        <v>49</v>
      </c>
      <c r="R173" t="s">
        <v>50</v>
      </c>
      <c r="S173" s="1">
        <v>46023</v>
      </c>
      <c r="U173" t="s">
        <v>51</v>
      </c>
      <c r="X173" t="s">
        <v>52</v>
      </c>
      <c r="Y173" s="2">
        <v>0</v>
      </c>
      <c r="Z173" s="2">
        <v>175</v>
      </c>
      <c r="AA173">
        <v>1</v>
      </c>
      <c r="AB173" s="3">
        <v>1</v>
      </c>
      <c r="AC173" s="2">
        <v>175</v>
      </c>
      <c r="AD173" s="3">
        <v>0</v>
      </c>
      <c r="AE173" s="2">
        <v>0</v>
      </c>
      <c r="AF173" s="2">
        <v>175</v>
      </c>
      <c r="AK173">
        <v>6041445</v>
      </c>
    </row>
    <row r="174" spans="1:37" x14ac:dyDescent="0.25">
      <c r="A174" s="1">
        <v>45986</v>
      </c>
      <c r="B174" s="1">
        <v>45987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501</v>
      </c>
      <c r="J174" t="s">
        <v>502</v>
      </c>
      <c r="M174" t="s">
        <v>46</v>
      </c>
      <c r="O174" t="s">
        <v>55</v>
      </c>
      <c r="P174" t="s">
        <v>56</v>
      </c>
      <c r="Q174" t="s">
        <v>49</v>
      </c>
      <c r="R174" t="s">
        <v>50</v>
      </c>
      <c r="S174" s="1">
        <v>46023</v>
      </c>
      <c r="U174" t="s">
        <v>51</v>
      </c>
      <c r="X174" t="s">
        <v>52</v>
      </c>
      <c r="Y174" s="2">
        <v>0</v>
      </c>
      <c r="Z174" s="2">
        <v>175</v>
      </c>
      <c r="AA174">
        <v>1</v>
      </c>
      <c r="AB174" s="3">
        <v>1</v>
      </c>
      <c r="AC174" s="2">
        <v>175</v>
      </c>
      <c r="AD174" s="3">
        <v>0</v>
      </c>
      <c r="AE174" s="2">
        <v>0</v>
      </c>
      <c r="AF174" s="2">
        <v>175</v>
      </c>
      <c r="AK174">
        <v>6041446</v>
      </c>
    </row>
    <row r="175" spans="1:37" x14ac:dyDescent="0.25">
      <c r="A175" s="1">
        <v>45986</v>
      </c>
      <c r="B175" s="1">
        <v>45987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503</v>
      </c>
      <c r="J175" t="s">
        <v>504</v>
      </c>
      <c r="M175" t="s">
        <v>59</v>
      </c>
      <c r="O175" t="s">
        <v>60</v>
      </c>
      <c r="P175" t="s">
        <v>61</v>
      </c>
      <c r="Q175" t="s">
        <v>49</v>
      </c>
      <c r="R175" t="s">
        <v>50</v>
      </c>
      <c r="S175" s="1">
        <v>46023</v>
      </c>
      <c r="U175" t="s">
        <v>51</v>
      </c>
      <c r="X175" t="s">
        <v>52</v>
      </c>
      <c r="Y175" s="2">
        <v>0</v>
      </c>
      <c r="Z175" s="2">
        <v>175</v>
      </c>
      <c r="AA175">
        <v>1</v>
      </c>
      <c r="AB175" s="3">
        <v>1</v>
      </c>
      <c r="AC175" s="2">
        <v>175</v>
      </c>
      <c r="AD175" s="3">
        <v>0</v>
      </c>
      <c r="AE175" s="2">
        <v>0</v>
      </c>
      <c r="AF175" s="2">
        <v>175</v>
      </c>
      <c r="AK175">
        <v>6041276</v>
      </c>
    </row>
    <row r="176" spans="1:37" x14ac:dyDescent="0.25">
      <c r="A176" s="1">
        <v>45986</v>
      </c>
      <c r="B176" s="1">
        <v>45987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505</v>
      </c>
      <c r="J176" t="s">
        <v>506</v>
      </c>
      <c r="M176" t="s">
        <v>46</v>
      </c>
      <c r="O176" t="s">
        <v>305</v>
      </c>
      <c r="P176" t="s">
        <v>306</v>
      </c>
      <c r="Q176" t="s">
        <v>49</v>
      </c>
      <c r="R176" t="s">
        <v>50</v>
      </c>
      <c r="S176" s="1">
        <v>46023</v>
      </c>
      <c r="U176" t="s">
        <v>51</v>
      </c>
      <c r="X176" t="s">
        <v>52</v>
      </c>
      <c r="Y176" s="2">
        <v>0</v>
      </c>
      <c r="Z176" s="2">
        <v>175</v>
      </c>
      <c r="AA176">
        <v>1</v>
      </c>
      <c r="AB176" s="3">
        <v>1</v>
      </c>
      <c r="AC176" s="2">
        <v>175</v>
      </c>
      <c r="AD176" s="3">
        <v>0</v>
      </c>
      <c r="AE176" s="2">
        <v>0</v>
      </c>
      <c r="AF176" s="2">
        <v>175</v>
      </c>
      <c r="AK176">
        <v>6041447</v>
      </c>
    </row>
    <row r="177" spans="1:37" x14ac:dyDescent="0.25">
      <c r="A177" s="1">
        <v>45986</v>
      </c>
      <c r="B177" s="1">
        <v>45987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507</v>
      </c>
      <c r="J177" t="s">
        <v>508</v>
      </c>
      <c r="M177" t="s">
        <v>46</v>
      </c>
      <c r="O177" t="s">
        <v>47</v>
      </c>
      <c r="P177" t="s">
        <v>48</v>
      </c>
      <c r="Q177" t="s">
        <v>49</v>
      </c>
      <c r="R177" t="s">
        <v>50</v>
      </c>
      <c r="S177" s="1">
        <v>46023</v>
      </c>
      <c r="U177" t="s">
        <v>51</v>
      </c>
      <c r="X177" t="s">
        <v>52</v>
      </c>
      <c r="Y177" s="2">
        <v>0</v>
      </c>
      <c r="Z177" s="2">
        <v>175</v>
      </c>
      <c r="AA177">
        <v>1</v>
      </c>
      <c r="AB177" s="3">
        <v>1</v>
      </c>
      <c r="AC177" s="2">
        <v>175</v>
      </c>
      <c r="AD177" s="3">
        <v>0</v>
      </c>
      <c r="AE177" s="2">
        <v>0</v>
      </c>
      <c r="AF177" s="2">
        <v>175</v>
      </c>
      <c r="AK177">
        <v>6041448</v>
      </c>
    </row>
    <row r="178" spans="1:37" x14ac:dyDescent="0.25">
      <c r="A178" s="1">
        <v>45986</v>
      </c>
      <c r="B178" s="1">
        <v>45987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509</v>
      </c>
      <c r="J178" t="s">
        <v>510</v>
      </c>
      <c r="M178" t="s">
        <v>46</v>
      </c>
      <c r="O178" t="s">
        <v>297</v>
      </c>
      <c r="P178" t="s">
        <v>298</v>
      </c>
      <c r="Q178" t="s">
        <v>49</v>
      </c>
      <c r="R178" t="s">
        <v>50</v>
      </c>
      <c r="S178" s="1">
        <v>46023</v>
      </c>
      <c r="U178" t="s">
        <v>51</v>
      </c>
      <c r="X178" t="s">
        <v>52</v>
      </c>
      <c r="Y178" s="2">
        <v>0</v>
      </c>
      <c r="Z178" s="2">
        <v>175</v>
      </c>
      <c r="AA178">
        <v>1</v>
      </c>
      <c r="AB178" s="3">
        <v>1</v>
      </c>
      <c r="AC178" s="2">
        <v>175</v>
      </c>
      <c r="AD178" s="3">
        <v>0</v>
      </c>
      <c r="AE178" s="2">
        <v>0</v>
      </c>
      <c r="AF178" s="2">
        <v>175</v>
      </c>
      <c r="AK178">
        <v>6041449</v>
      </c>
    </row>
    <row r="179" spans="1:37" x14ac:dyDescent="0.25">
      <c r="A179" s="1">
        <v>45986</v>
      </c>
      <c r="B179" s="1">
        <v>45987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511</v>
      </c>
      <c r="J179" t="s">
        <v>512</v>
      </c>
      <c r="M179" t="s">
        <v>46</v>
      </c>
      <c r="O179" t="s">
        <v>80</v>
      </c>
      <c r="P179" t="s">
        <v>81</v>
      </c>
      <c r="Q179" t="s">
        <v>49</v>
      </c>
      <c r="R179" t="s">
        <v>50</v>
      </c>
      <c r="S179" s="1">
        <v>46023</v>
      </c>
      <c r="U179" t="s">
        <v>51</v>
      </c>
      <c r="X179" t="s">
        <v>52</v>
      </c>
      <c r="Y179" s="2">
        <v>0</v>
      </c>
      <c r="Z179" s="2">
        <v>175</v>
      </c>
      <c r="AA179">
        <v>1</v>
      </c>
      <c r="AB179" s="3">
        <v>1</v>
      </c>
      <c r="AC179" s="2">
        <v>175</v>
      </c>
      <c r="AD179" s="3">
        <v>0</v>
      </c>
      <c r="AE179" s="2">
        <v>0</v>
      </c>
      <c r="AF179" s="2">
        <v>175</v>
      </c>
      <c r="AK179">
        <v>6041450</v>
      </c>
    </row>
    <row r="180" spans="1:37" x14ac:dyDescent="0.25">
      <c r="A180" s="1">
        <v>45986</v>
      </c>
      <c r="B180" s="1">
        <v>45987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513</v>
      </c>
      <c r="J180" t="s">
        <v>514</v>
      </c>
      <c r="M180" t="s">
        <v>71</v>
      </c>
      <c r="O180" t="s">
        <v>72</v>
      </c>
      <c r="P180" t="s">
        <v>73</v>
      </c>
      <c r="Q180" t="s">
        <v>49</v>
      </c>
      <c r="R180" t="s">
        <v>50</v>
      </c>
      <c r="S180" s="1">
        <v>46023</v>
      </c>
      <c r="U180" t="s">
        <v>51</v>
      </c>
      <c r="X180" t="s">
        <v>52</v>
      </c>
      <c r="Y180" s="2">
        <v>0</v>
      </c>
      <c r="Z180" s="2">
        <v>175</v>
      </c>
      <c r="AA180">
        <v>1</v>
      </c>
      <c r="AB180" s="3">
        <v>1</v>
      </c>
      <c r="AC180" s="2">
        <v>175</v>
      </c>
      <c r="AD180" s="3">
        <v>0</v>
      </c>
      <c r="AE180" s="2">
        <v>0</v>
      </c>
      <c r="AF180" s="2">
        <v>175</v>
      </c>
      <c r="AK180">
        <v>6041451</v>
      </c>
    </row>
    <row r="181" spans="1:37" x14ac:dyDescent="0.25">
      <c r="A181" s="1">
        <v>45986</v>
      </c>
      <c r="B181" s="1">
        <v>45987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515</v>
      </c>
      <c r="J181" t="s">
        <v>516</v>
      </c>
      <c r="M181" t="s">
        <v>46</v>
      </c>
      <c r="O181" t="s">
        <v>164</v>
      </c>
      <c r="P181" t="s">
        <v>165</v>
      </c>
      <c r="Q181" t="s">
        <v>49</v>
      </c>
      <c r="R181" t="s">
        <v>50</v>
      </c>
      <c r="S181" s="1">
        <v>46023</v>
      </c>
      <c r="U181" t="s">
        <v>51</v>
      </c>
      <c r="X181" t="s">
        <v>52</v>
      </c>
      <c r="Y181" s="2">
        <v>0</v>
      </c>
      <c r="Z181" s="2">
        <v>175</v>
      </c>
      <c r="AA181">
        <v>1</v>
      </c>
      <c r="AB181" s="3">
        <v>1</v>
      </c>
      <c r="AC181" s="2">
        <v>175</v>
      </c>
      <c r="AD181" s="3">
        <v>0</v>
      </c>
      <c r="AE181" s="2">
        <v>0</v>
      </c>
      <c r="AF181" s="2">
        <v>175</v>
      </c>
      <c r="AK181">
        <v>6041452</v>
      </c>
    </row>
    <row r="182" spans="1:37" x14ac:dyDescent="0.25">
      <c r="A182" s="1">
        <v>45986</v>
      </c>
      <c r="B182" s="1">
        <v>45987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517</v>
      </c>
      <c r="J182" t="s">
        <v>518</v>
      </c>
      <c r="M182" t="s">
        <v>519</v>
      </c>
      <c r="O182" t="s">
        <v>150</v>
      </c>
      <c r="P182" t="s">
        <v>151</v>
      </c>
      <c r="Q182" t="s">
        <v>49</v>
      </c>
      <c r="R182" t="s">
        <v>50</v>
      </c>
      <c r="S182" s="1">
        <v>46023</v>
      </c>
      <c r="U182" t="s">
        <v>51</v>
      </c>
      <c r="X182" t="s">
        <v>52</v>
      </c>
      <c r="Y182" s="2">
        <v>0</v>
      </c>
      <c r="Z182" s="2">
        <v>175</v>
      </c>
      <c r="AA182">
        <v>1</v>
      </c>
      <c r="AB182" s="3">
        <v>1</v>
      </c>
      <c r="AC182" s="2">
        <v>175</v>
      </c>
      <c r="AD182" s="3">
        <v>0</v>
      </c>
      <c r="AE182" s="2">
        <v>0</v>
      </c>
      <c r="AF182" s="2">
        <v>175</v>
      </c>
      <c r="AK182">
        <v>6041453</v>
      </c>
    </row>
    <row r="183" spans="1:37" x14ac:dyDescent="0.25">
      <c r="A183" s="1">
        <v>45986</v>
      </c>
      <c r="B183" s="1">
        <v>45987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520</v>
      </c>
      <c r="J183" t="s">
        <v>521</v>
      </c>
      <c r="M183" t="s">
        <v>519</v>
      </c>
      <c r="O183" t="s">
        <v>150</v>
      </c>
      <c r="P183" t="s">
        <v>151</v>
      </c>
      <c r="Q183" t="s">
        <v>49</v>
      </c>
      <c r="R183" t="s">
        <v>50</v>
      </c>
      <c r="S183" s="1">
        <v>46023</v>
      </c>
      <c r="U183" t="s">
        <v>51</v>
      </c>
      <c r="X183" t="s">
        <v>52</v>
      </c>
      <c r="Y183" s="2">
        <v>0</v>
      </c>
      <c r="Z183" s="2">
        <v>175</v>
      </c>
      <c r="AA183">
        <v>1</v>
      </c>
      <c r="AB183" s="3">
        <v>1</v>
      </c>
      <c r="AC183" s="2">
        <v>175</v>
      </c>
      <c r="AD183" s="3">
        <v>0</v>
      </c>
      <c r="AE183" s="2">
        <v>0</v>
      </c>
      <c r="AF183" s="2">
        <v>175</v>
      </c>
      <c r="AK183">
        <v>6041455</v>
      </c>
    </row>
    <row r="184" spans="1:37" x14ac:dyDescent="0.25">
      <c r="A184" s="1">
        <v>45986</v>
      </c>
      <c r="B184" s="1">
        <v>45987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522</v>
      </c>
      <c r="J184" t="s">
        <v>523</v>
      </c>
      <c r="M184" t="s">
        <v>46</v>
      </c>
      <c r="O184" t="s">
        <v>92</v>
      </c>
      <c r="P184" t="s">
        <v>93</v>
      </c>
      <c r="Q184" t="s">
        <v>49</v>
      </c>
      <c r="R184" t="s">
        <v>50</v>
      </c>
      <c r="S184" s="1">
        <v>46023</v>
      </c>
      <c r="U184" t="s">
        <v>51</v>
      </c>
      <c r="X184" t="s">
        <v>52</v>
      </c>
      <c r="Y184" s="2">
        <v>0</v>
      </c>
      <c r="Z184" s="2">
        <v>175</v>
      </c>
      <c r="AA184">
        <v>1</v>
      </c>
      <c r="AB184" s="3">
        <v>1</v>
      </c>
      <c r="AC184" s="2">
        <v>175</v>
      </c>
      <c r="AD184" s="3">
        <v>0</v>
      </c>
      <c r="AE184" s="2">
        <v>0</v>
      </c>
      <c r="AF184" s="2">
        <v>175</v>
      </c>
      <c r="AK184">
        <v>6041456</v>
      </c>
    </row>
    <row r="185" spans="1:37" x14ac:dyDescent="0.25">
      <c r="A185" s="1">
        <v>45986</v>
      </c>
      <c r="B185" s="1">
        <v>45987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524</v>
      </c>
      <c r="J185" t="s">
        <v>525</v>
      </c>
      <c r="M185" t="s">
        <v>46</v>
      </c>
      <c r="O185" t="s">
        <v>526</v>
      </c>
      <c r="P185" t="s">
        <v>527</v>
      </c>
      <c r="Q185" t="s">
        <v>49</v>
      </c>
      <c r="R185" t="s">
        <v>50</v>
      </c>
      <c r="S185" s="1">
        <v>46054</v>
      </c>
      <c r="U185" t="s">
        <v>51</v>
      </c>
      <c r="X185" t="s">
        <v>52</v>
      </c>
      <c r="Y185" s="2">
        <v>0</v>
      </c>
      <c r="Z185" s="2">
        <v>175</v>
      </c>
      <c r="AA185">
        <v>1</v>
      </c>
      <c r="AB185" s="3">
        <v>1</v>
      </c>
      <c r="AC185" s="2">
        <v>175</v>
      </c>
      <c r="AD185" s="3">
        <v>0</v>
      </c>
      <c r="AE185" s="2">
        <v>0</v>
      </c>
      <c r="AF185" s="2">
        <v>175</v>
      </c>
      <c r="AK185">
        <v>6041277</v>
      </c>
    </row>
    <row r="186" spans="1:37" x14ac:dyDescent="0.25">
      <c r="A186" s="1">
        <v>45986</v>
      </c>
      <c r="B186" s="1">
        <v>45987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528</v>
      </c>
      <c r="J186" t="s">
        <v>529</v>
      </c>
      <c r="M186" t="s">
        <v>46</v>
      </c>
      <c r="O186" t="s">
        <v>55</v>
      </c>
      <c r="P186" t="s">
        <v>56</v>
      </c>
      <c r="Q186" t="s">
        <v>49</v>
      </c>
      <c r="R186" t="s">
        <v>50</v>
      </c>
      <c r="S186" s="1">
        <v>46023</v>
      </c>
      <c r="U186" t="s">
        <v>51</v>
      </c>
      <c r="X186" t="s">
        <v>52</v>
      </c>
      <c r="Y186" s="2">
        <v>0</v>
      </c>
      <c r="Z186" s="2">
        <v>175</v>
      </c>
      <c r="AA186">
        <v>1</v>
      </c>
      <c r="AB186" s="3">
        <v>1</v>
      </c>
      <c r="AC186" s="2">
        <v>175</v>
      </c>
      <c r="AD186" s="3">
        <v>0</v>
      </c>
      <c r="AE186" s="2">
        <v>0</v>
      </c>
      <c r="AF186" s="2">
        <v>175</v>
      </c>
      <c r="AK186">
        <v>6041457</v>
      </c>
    </row>
    <row r="187" spans="1:37" x14ac:dyDescent="0.25">
      <c r="A187" s="1">
        <v>45986</v>
      </c>
      <c r="B187" s="1">
        <v>45987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530</v>
      </c>
      <c r="J187" t="s">
        <v>531</v>
      </c>
      <c r="M187" t="s">
        <v>46</v>
      </c>
      <c r="O187" t="s">
        <v>197</v>
      </c>
      <c r="P187" t="s">
        <v>198</v>
      </c>
      <c r="Q187" t="s">
        <v>49</v>
      </c>
      <c r="R187" t="s">
        <v>50</v>
      </c>
      <c r="S187" s="1">
        <v>46023</v>
      </c>
      <c r="U187" t="s">
        <v>51</v>
      </c>
      <c r="X187" t="s">
        <v>52</v>
      </c>
      <c r="Y187" s="2">
        <v>0</v>
      </c>
      <c r="Z187" s="2">
        <v>175</v>
      </c>
      <c r="AA187">
        <v>1</v>
      </c>
      <c r="AB187" s="3">
        <v>1</v>
      </c>
      <c r="AC187" s="2">
        <v>175</v>
      </c>
      <c r="AD187" s="3">
        <v>0</v>
      </c>
      <c r="AE187" s="2">
        <v>0</v>
      </c>
      <c r="AF187" s="2">
        <v>175</v>
      </c>
      <c r="AK187">
        <v>6041458</v>
      </c>
    </row>
    <row r="188" spans="1:37" x14ac:dyDescent="0.25">
      <c r="A188" s="1">
        <v>45986</v>
      </c>
      <c r="B188" s="1">
        <v>45987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532</v>
      </c>
      <c r="J188" t="s">
        <v>533</v>
      </c>
      <c r="M188" t="s">
        <v>46</v>
      </c>
      <c r="O188" t="s">
        <v>301</v>
      </c>
      <c r="P188" t="s">
        <v>302</v>
      </c>
      <c r="Q188" t="s">
        <v>49</v>
      </c>
      <c r="R188" t="s">
        <v>50</v>
      </c>
      <c r="S188" s="1">
        <v>46023</v>
      </c>
      <c r="U188" t="s">
        <v>51</v>
      </c>
      <c r="X188" t="s">
        <v>52</v>
      </c>
      <c r="Y188" s="2">
        <v>0</v>
      </c>
      <c r="Z188" s="2">
        <v>175</v>
      </c>
      <c r="AA188">
        <v>1</v>
      </c>
      <c r="AB188" s="3">
        <v>1</v>
      </c>
      <c r="AC188" s="2">
        <v>175</v>
      </c>
      <c r="AD188" s="3">
        <v>0</v>
      </c>
      <c r="AE188" s="2">
        <v>0</v>
      </c>
      <c r="AF188" s="2">
        <v>175</v>
      </c>
      <c r="AK188">
        <v>6041459</v>
      </c>
    </row>
    <row r="189" spans="1:37" x14ac:dyDescent="0.25">
      <c r="A189" s="1">
        <v>45986</v>
      </c>
      <c r="B189" s="1">
        <v>45987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534</v>
      </c>
      <c r="J189" t="s">
        <v>535</v>
      </c>
      <c r="M189" t="s">
        <v>536</v>
      </c>
      <c r="O189" t="s">
        <v>104</v>
      </c>
      <c r="P189" t="s">
        <v>105</v>
      </c>
      <c r="Q189" t="s">
        <v>49</v>
      </c>
      <c r="R189" t="s">
        <v>50</v>
      </c>
      <c r="S189" s="1">
        <v>46023</v>
      </c>
      <c r="U189" t="s">
        <v>51</v>
      </c>
      <c r="X189" t="s">
        <v>52</v>
      </c>
      <c r="Y189" s="2">
        <v>0</v>
      </c>
      <c r="Z189" s="2">
        <v>175</v>
      </c>
      <c r="AA189">
        <v>1</v>
      </c>
      <c r="AB189" s="3">
        <v>1</v>
      </c>
      <c r="AC189" s="2">
        <v>175</v>
      </c>
      <c r="AD189" s="3">
        <v>0</v>
      </c>
      <c r="AE189" s="2">
        <v>0</v>
      </c>
      <c r="AF189" s="2">
        <v>175</v>
      </c>
      <c r="AK189">
        <v>6041460</v>
      </c>
    </row>
    <row r="190" spans="1:37" x14ac:dyDescent="0.25">
      <c r="A190" s="1">
        <v>45986</v>
      </c>
      <c r="B190" s="1">
        <v>45987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537</v>
      </c>
      <c r="J190" t="s">
        <v>538</v>
      </c>
      <c r="M190" t="s">
        <v>46</v>
      </c>
      <c r="O190" t="s">
        <v>539</v>
      </c>
      <c r="P190" t="s">
        <v>540</v>
      </c>
      <c r="Q190" t="s">
        <v>49</v>
      </c>
      <c r="R190" t="s">
        <v>50</v>
      </c>
      <c r="S190" s="1">
        <v>46023</v>
      </c>
      <c r="U190" t="s">
        <v>51</v>
      </c>
      <c r="X190" t="s">
        <v>52</v>
      </c>
      <c r="Y190" s="2">
        <v>0</v>
      </c>
      <c r="Z190" s="2">
        <v>175</v>
      </c>
      <c r="AA190">
        <v>1</v>
      </c>
      <c r="AB190" s="3">
        <v>1</v>
      </c>
      <c r="AC190" s="2">
        <v>175</v>
      </c>
      <c r="AD190" s="3">
        <v>0</v>
      </c>
      <c r="AE190" s="2">
        <v>0</v>
      </c>
      <c r="AF190" s="2">
        <v>175</v>
      </c>
      <c r="AK190">
        <v>6041461</v>
      </c>
    </row>
    <row r="191" spans="1:37" x14ac:dyDescent="0.25">
      <c r="A191" s="1">
        <v>45986</v>
      </c>
      <c r="B191" s="1">
        <v>45987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541</v>
      </c>
      <c r="J191" t="s">
        <v>542</v>
      </c>
      <c r="M191" t="s">
        <v>192</v>
      </c>
      <c r="O191" t="s">
        <v>372</v>
      </c>
      <c r="P191" t="s">
        <v>373</v>
      </c>
      <c r="Q191" t="s">
        <v>49</v>
      </c>
      <c r="R191" t="s">
        <v>50</v>
      </c>
      <c r="S191" s="1">
        <v>46023</v>
      </c>
      <c r="U191" t="s">
        <v>51</v>
      </c>
      <c r="X191" t="s">
        <v>52</v>
      </c>
      <c r="Y191" s="2">
        <v>0</v>
      </c>
      <c r="Z191" s="2">
        <v>175</v>
      </c>
      <c r="AA191">
        <v>1</v>
      </c>
      <c r="AB191" s="3">
        <v>1</v>
      </c>
      <c r="AC191" s="2">
        <v>175</v>
      </c>
      <c r="AD191" s="3">
        <v>0</v>
      </c>
      <c r="AE191" s="2">
        <v>0</v>
      </c>
      <c r="AF191" s="2">
        <v>175</v>
      </c>
      <c r="AK191">
        <v>6041462</v>
      </c>
    </row>
    <row r="192" spans="1:37" x14ac:dyDescent="0.25">
      <c r="A192" s="1">
        <v>45986</v>
      </c>
      <c r="B192" s="1">
        <v>45987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543</v>
      </c>
      <c r="J192" t="s">
        <v>544</v>
      </c>
      <c r="M192" t="s">
        <v>46</v>
      </c>
      <c r="O192" t="s">
        <v>47</v>
      </c>
      <c r="P192" t="s">
        <v>48</v>
      </c>
      <c r="Q192" t="s">
        <v>49</v>
      </c>
      <c r="R192" t="s">
        <v>50</v>
      </c>
      <c r="S192" s="1">
        <v>46023</v>
      </c>
      <c r="U192" t="s">
        <v>51</v>
      </c>
      <c r="X192" t="s">
        <v>52</v>
      </c>
      <c r="Y192" s="2">
        <v>0</v>
      </c>
      <c r="Z192" s="2">
        <v>175</v>
      </c>
      <c r="AA192">
        <v>1</v>
      </c>
      <c r="AB192" s="3">
        <v>1</v>
      </c>
      <c r="AC192" s="2">
        <v>175</v>
      </c>
      <c r="AD192" s="3">
        <v>0</v>
      </c>
      <c r="AE192" s="2">
        <v>0</v>
      </c>
      <c r="AF192" s="2">
        <v>175</v>
      </c>
      <c r="AK192">
        <v>6041463</v>
      </c>
    </row>
    <row r="193" spans="1:37" x14ac:dyDescent="0.25">
      <c r="A193" s="1">
        <v>45986</v>
      </c>
      <c r="B193" s="1">
        <v>45987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545</v>
      </c>
      <c r="J193" t="s">
        <v>546</v>
      </c>
      <c r="M193" t="s">
        <v>46</v>
      </c>
      <c r="O193" t="s">
        <v>164</v>
      </c>
      <c r="P193" t="s">
        <v>165</v>
      </c>
      <c r="Q193" t="s">
        <v>49</v>
      </c>
      <c r="R193" t="s">
        <v>50</v>
      </c>
      <c r="S193" s="1">
        <v>45992</v>
      </c>
      <c r="U193" t="s">
        <v>51</v>
      </c>
      <c r="X193" t="s">
        <v>52</v>
      </c>
      <c r="Y193" s="2">
        <v>0</v>
      </c>
      <c r="Z193" s="2">
        <v>175</v>
      </c>
      <c r="AA193">
        <v>1</v>
      </c>
      <c r="AB193" s="3">
        <v>1</v>
      </c>
      <c r="AC193" s="2">
        <v>175</v>
      </c>
      <c r="AD193" s="3">
        <v>0</v>
      </c>
      <c r="AE193" s="2">
        <v>0</v>
      </c>
      <c r="AF193" s="2">
        <v>175</v>
      </c>
      <c r="AK193">
        <v>6041464</v>
      </c>
    </row>
    <row r="194" spans="1:37" x14ac:dyDescent="0.25">
      <c r="A194" s="1">
        <v>45986</v>
      </c>
      <c r="B194" s="1">
        <v>45987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547</v>
      </c>
      <c r="J194" t="s">
        <v>548</v>
      </c>
      <c r="M194" t="s">
        <v>46</v>
      </c>
      <c r="O194" t="s">
        <v>104</v>
      </c>
      <c r="P194" t="s">
        <v>105</v>
      </c>
      <c r="Q194" t="s">
        <v>49</v>
      </c>
      <c r="R194" t="s">
        <v>50</v>
      </c>
      <c r="S194" s="1">
        <v>46023</v>
      </c>
      <c r="U194" t="s">
        <v>51</v>
      </c>
      <c r="X194" t="s">
        <v>52</v>
      </c>
      <c r="Y194" s="2">
        <v>0</v>
      </c>
      <c r="Z194" s="2">
        <v>175</v>
      </c>
      <c r="AA194">
        <v>1</v>
      </c>
      <c r="AB194" s="3">
        <v>1</v>
      </c>
      <c r="AC194" s="2">
        <v>175</v>
      </c>
      <c r="AD194" s="3">
        <v>0</v>
      </c>
      <c r="AE194" s="2">
        <v>0</v>
      </c>
      <c r="AF194" s="2">
        <v>175</v>
      </c>
      <c r="AK194">
        <v>6041465</v>
      </c>
    </row>
    <row r="195" spans="1:37" x14ac:dyDescent="0.25">
      <c r="A195" s="1">
        <v>45986</v>
      </c>
      <c r="B195" s="1">
        <v>45987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549</v>
      </c>
      <c r="J195" t="s">
        <v>550</v>
      </c>
      <c r="M195" t="s">
        <v>46</v>
      </c>
      <c r="O195" t="s">
        <v>55</v>
      </c>
      <c r="P195" t="s">
        <v>56</v>
      </c>
      <c r="Q195" t="s">
        <v>49</v>
      </c>
      <c r="R195" t="s">
        <v>50</v>
      </c>
      <c r="S195" s="1">
        <v>46023</v>
      </c>
      <c r="U195" t="s">
        <v>51</v>
      </c>
      <c r="X195" t="s">
        <v>52</v>
      </c>
      <c r="Y195" s="2">
        <v>0</v>
      </c>
      <c r="Z195" s="2">
        <v>175</v>
      </c>
      <c r="AA195">
        <v>1</v>
      </c>
      <c r="AB195" s="3">
        <v>1</v>
      </c>
      <c r="AC195" s="2">
        <v>175</v>
      </c>
      <c r="AD195" s="3">
        <v>0</v>
      </c>
      <c r="AE195" s="2">
        <v>0</v>
      </c>
      <c r="AF195" s="2">
        <v>175</v>
      </c>
      <c r="AK195">
        <v>6041466</v>
      </c>
    </row>
    <row r="196" spans="1:37" x14ac:dyDescent="0.25">
      <c r="A196" s="1">
        <v>45986</v>
      </c>
      <c r="B196" s="1">
        <v>45987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551</v>
      </c>
      <c r="J196" t="s">
        <v>552</v>
      </c>
      <c r="M196" t="s">
        <v>46</v>
      </c>
      <c r="O196" t="s">
        <v>92</v>
      </c>
      <c r="P196" t="s">
        <v>93</v>
      </c>
      <c r="Q196" t="s">
        <v>49</v>
      </c>
      <c r="R196" t="s">
        <v>50</v>
      </c>
      <c r="S196" s="1">
        <v>46023</v>
      </c>
      <c r="U196" t="s">
        <v>51</v>
      </c>
      <c r="X196" t="s">
        <v>52</v>
      </c>
      <c r="Y196" s="2">
        <v>0</v>
      </c>
      <c r="Z196" s="2">
        <v>175</v>
      </c>
      <c r="AA196">
        <v>1</v>
      </c>
      <c r="AB196" s="3">
        <v>1</v>
      </c>
      <c r="AC196" s="2">
        <v>175</v>
      </c>
      <c r="AD196" s="3">
        <v>0</v>
      </c>
      <c r="AE196" s="2">
        <v>0</v>
      </c>
      <c r="AF196" s="2">
        <v>175</v>
      </c>
      <c r="AK196">
        <v>6041467</v>
      </c>
    </row>
    <row r="197" spans="1:37" x14ac:dyDescent="0.25">
      <c r="A197" s="1">
        <v>45986</v>
      </c>
      <c r="B197" s="1">
        <v>45987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553</v>
      </c>
      <c r="J197" t="s">
        <v>554</v>
      </c>
      <c r="M197" t="s">
        <v>46</v>
      </c>
      <c r="O197" t="s">
        <v>301</v>
      </c>
      <c r="P197" t="s">
        <v>302</v>
      </c>
      <c r="Q197" t="s">
        <v>49</v>
      </c>
      <c r="R197" t="s">
        <v>50</v>
      </c>
      <c r="S197" s="1">
        <v>46023</v>
      </c>
      <c r="U197" t="s">
        <v>51</v>
      </c>
      <c r="X197" t="s">
        <v>52</v>
      </c>
      <c r="Y197" s="2">
        <v>0</v>
      </c>
      <c r="Z197" s="2">
        <v>175</v>
      </c>
      <c r="AA197">
        <v>1</v>
      </c>
      <c r="AB197" s="3">
        <v>1</v>
      </c>
      <c r="AC197" s="2">
        <v>175</v>
      </c>
      <c r="AD197" s="3">
        <v>0</v>
      </c>
      <c r="AE197" s="2">
        <v>0</v>
      </c>
      <c r="AF197" s="2">
        <v>175</v>
      </c>
      <c r="AK197">
        <v>6041468</v>
      </c>
    </row>
    <row r="198" spans="1:37" x14ac:dyDescent="0.25">
      <c r="A198" s="1">
        <v>45986</v>
      </c>
      <c r="B198" s="1">
        <v>45987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555</v>
      </c>
      <c r="J198" t="s">
        <v>556</v>
      </c>
      <c r="M198" t="s">
        <v>46</v>
      </c>
      <c r="O198" t="s">
        <v>539</v>
      </c>
      <c r="P198" t="s">
        <v>540</v>
      </c>
      <c r="Q198" t="s">
        <v>49</v>
      </c>
      <c r="R198" t="s">
        <v>50</v>
      </c>
      <c r="S198" s="1">
        <v>46023</v>
      </c>
      <c r="U198" t="s">
        <v>51</v>
      </c>
      <c r="X198" t="s">
        <v>52</v>
      </c>
      <c r="Y198" s="2">
        <v>0</v>
      </c>
      <c r="Z198" s="2">
        <v>175</v>
      </c>
      <c r="AA198">
        <v>1</v>
      </c>
      <c r="AB198" s="3">
        <v>1</v>
      </c>
      <c r="AC198" s="2">
        <v>175</v>
      </c>
      <c r="AD198" s="3">
        <v>0</v>
      </c>
      <c r="AE198" s="2">
        <v>0</v>
      </c>
      <c r="AF198" s="2">
        <v>175</v>
      </c>
      <c r="AK198">
        <v>6041469</v>
      </c>
    </row>
    <row r="199" spans="1:37" x14ac:dyDescent="0.25">
      <c r="A199" s="1">
        <v>45986</v>
      </c>
      <c r="B199" s="1">
        <v>45987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557</v>
      </c>
      <c r="J199" t="s">
        <v>558</v>
      </c>
      <c r="M199" t="s">
        <v>46</v>
      </c>
      <c r="O199" t="s">
        <v>301</v>
      </c>
      <c r="P199" t="s">
        <v>302</v>
      </c>
      <c r="Q199" t="s">
        <v>49</v>
      </c>
      <c r="R199" t="s">
        <v>50</v>
      </c>
      <c r="S199" s="1">
        <v>46023</v>
      </c>
      <c r="U199" t="s">
        <v>51</v>
      </c>
      <c r="X199" t="s">
        <v>52</v>
      </c>
      <c r="Y199" s="2">
        <v>0</v>
      </c>
      <c r="Z199" s="2">
        <v>175</v>
      </c>
      <c r="AA199">
        <v>1</v>
      </c>
      <c r="AB199" s="3">
        <v>1</v>
      </c>
      <c r="AC199" s="2">
        <v>175</v>
      </c>
      <c r="AD199" s="3">
        <v>0</v>
      </c>
      <c r="AE199" s="2">
        <v>0</v>
      </c>
      <c r="AF199" s="2">
        <v>175</v>
      </c>
      <c r="AK199">
        <v>6041470</v>
      </c>
    </row>
    <row r="200" spans="1:37" x14ac:dyDescent="0.25">
      <c r="A200" s="1">
        <v>45986</v>
      </c>
      <c r="B200" s="1">
        <v>45987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559</v>
      </c>
      <c r="J200" t="s">
        <v>560</v>
      </c>
      <c r="M200" t="s">
        <v>46</v>
      </c>
      <c r="O200" t="s">
        <v>154</v>
      </c>
      <c r="P200" t="s">
        <v>155</v>
      </c>
      <c r="Q200" t="s">
        <v>49</v>
      </c>
      <c r="R200" t="s">
        <v>50</v>
      </c>
      <c r="S200" s="1">
        <v>46023</v>
      </c>
      <c r="U200" t="s">
        <v>51</v>
      </c>
      <c r="X200" t="s">
        <v>52</v>
      </c>
      <c r="Y200" s="2">
        <v>0</v>
      </c>
      <c r="Z200" s="2">
        <v>175</v>
      </c>
      <c r="AA200">
        <v>1</v>
      </c>
      <c r="AB200" s="3">
        <v>1</v>
      </c>
      <c r="AC200" s="2">
        <v>175</v>
      </c>
      <c r="AD200" s="3">
        <v>0</v>
      </c>
      <c r="AE200" s="2">
        <v>0</v>
      </c>
      <c r="AF200" s="2">
        <v>175</v>
      </c>
      <c r="AK200">
        <v>6041471</v>
      </c>
    </row>
    <row r="201" spans="1:37" x14ac:dyDescent="0.25">
      <c r="A201" s="1">
        <v>45986</v>
      </c>
      <c r="B201" s="1">
        <v>45987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561</v>
      </c>
      <c r="J201" t="s">
        <v>562</v>
      </c>
      <c r="M201" t="s">
        <v>46</v>
      </c>
      <c r="O201" t="s">
        <v>84</v>
      </c>
      <c r="P201" t="s">
        <v>85</v>
      </c>
      <c r="Q201" t="s">
        <v>49</v>
      </c>
      <c r="R201" t="s">
        <v>50</v>
      </c>
      <c r="S201" s="1">
        <v>45992</v>
      </c>
      <c r="U201" t="s">
        <v>51</v>
      </c>
      <c r="X201" t="s">
        <v>52</v>
      </c>
      <c r="Y201" s="2">
        <v>0</v>
      </c>
      <c r="Z201" s="2">
        <v>175</v>
      </c>
      <c r="AA201">
        <v>1</v>
      </c>
      <c r="AB201" s="3">
        <v>1</v>
      </c>
      <c r="AC201" s="2">
        <v>175</v>
      </c>
      <c r="AD201" s="3">
        <v>0</v>
      </c>
      <c r="AE201" s="2">
        <v>0</v>
      </c>
      <c r="AF201" s="2">
        <v>175</v>
      </c>
      <c r="AK201">
        <v>6041472</v>
      </c>
    </row>
    <row r="202" spans="1:37" x14ac:dyDescent="0.25">
      <c r="A202" s="1">
        <v>45986</v>
      </c>
      <c r="B202" s="1">
        <v>45987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563</v>
      </c>
      <c r="J202" t="s">
        <v>564</v>
      </c>
      <c r="M202" t="s">
        <v>46</v>
      </c>
      <c r="O202" t="s">
        <v>215</v>
      </c>
      <c r="P202" t="s">
        <v>216</v>
      </c>
      <c r="Q202" t="s">
        <v>49</v>
      </c>
      <c r="R202" t="s">
        <v>50</v>
      </c>
      <c r="S202" s="1">
        <v>46023</v>
      </c>
      <c r="U202" t="s">
        <v>51</v>
      </c>
      <c r="X202" t="s">
        <v>52</v>
      </c>
      <c r="Y202" s="2">
        <v>0</v>
      </c>
      <c r="Z202" s="2">
        <v>175</v>
      </c>
      <c r="AA202">
        <v>1</v>
      </c>
      <c r="AB202" s="3">
        <v>1</v>
      </c>
      <c r="AC202" s="2">
        <v>175</v>
      </c>
      <c r="AD202" s="3">
        <v>0</v>
      </c>
      <c r="AE202" s="2">
        <v>0</v>
      </c>
      <c r="AF202" s="2">
        <v>175</v>
      </c>
      <c r="AK202">
        <v>6041473</v>
      </c>
    </row>
    <row r="203" spans="1:37" x14ac:dyDescent="0.25">
      <c r="A203" s="1">
        <v>45986</v>
      </c>
      <c r="B203" s="1">
        <v>45987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565</v>
      </c>
      <c r="J203" t="s">
        <v>566</v>
      </c>
      <c r="M203" t="s">
        <v>46</v>
      </c>
      <c r="O203" t="s">
        <v>215</v>
      </c>
      <c r="P203" t="s">
        <v>216</v>
      </c>
      <c r="Q203" t="s">
        <v>49</v>
      </c>
      <c r="R203" t="s">
        <v>50</v>
      </c>
      <c r="S203" s="1">
        <v>46023</v>
      </c>
      <c r="U203" t="s">
        <v>51</v>
      </c>
      <c r="X203" t="s">
        <v>52</v>
      </c>
      <c r="Y203" s="2">
        <v>0</v>
      </c>
      <c r="Z203" s="2">
        <v>175</v>
      </c>
      <c r="AA203">
        <v>1</v>
      </c>
      <c r="AB203" s="3">
        <v>1</v>
      </c>
      <c r="AC203" s="2">
        <v>175</v>
      </c>
      <c r="AD203" s="3">
        <v>0</v>
      </c>
      <c r="AE203" s="2">
        <v>0</v>
      </c>
      <c r="AF203" s="2">
        <v>175</v>
      </c>
      <c r="AK203">
        <v>6041474</v>
      </c>
    </row>
    <row r="204" spans="1:37" x14ac:dyDescent="0.25">
      <c r="A204" s="1">
        <v>45986</v>
      </c>
      <c r="B204" s="1">
        <v>45987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567</v>
      </c>
      <c r="J204" t="s">
        <v>568</v>
      </c>
      <c r="M204" t="s">
        <v>46</v>
      </c>
      <c r="O204" t="s">
        <v>47</v>
      </c>
      <c r="P204" t="s">
        <v>48</v>
      </c>
      <c r="Q204" t="s">
        <v>49</v>
      </c>
      <c r="R204" t="s">
        <v>50</v>
      </c>
      <c r="S204" s="1">
        <v>46023</v>
      </c>
      <c r="U204" t="s">
        <v>51</v>
      </c>
      <c r="X204" t="s">
        <v>52</v>
      </c>
      <c r="Y204" s="2">
        <v>0</v>
      </c>
      <c r="Z204" s="2">
        <v>175</v>
      </c>
      <c r="AA204">
        <v>1</v>
      </c>
      <c r="AB204" s="3">
        <v>1</v>
      </c>
      <c r="AC204" s="2">
        <v>175</v>
      </c>
      <c r="AD204" s="3">
        <v>0</v>
      </c>
      <c r="AE204" s="2">
        <v>0</v>
      </c>
      <c r="AF204" s="2">
        <v>175</v>
      </c>
      <c r="AK204">
        <v>6041475</v>
      </c>
    </row>
    <row r="205" spans="1:37" x14ac:dyDescent="0.25">
      <c r="A205" s="1">
        <v>45986</v>
      </c>
      <c r="B205" s="1">
        <v>45987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569</v>
      </c>
      <c r="J205" t="s">
        <v>570</v>
      </c>
      <c r="M205" t="s">
        <v>46</v>
      </c>
      <c r="O205" t="s">
        <v>84</v>
      </c>
      <c r="P205" t="s">
        <v>85</v>
      </c>
      <c r="Q205" t="s">
        <v>49</v>
      </c>
      <c r="R205" t="s">
        <v>50</v>
      </c>
      <c r="S205" s="1">
        <v>46023</v>
      </c>
      <c r="U205" t="s">
        <v>51</v>
      </c>
      <c r="X205" t="s">
        <v>52</v>
      </c>
      <c r="Y205" s="2">
        <v>0</v>
      </c>
      <c r="Z205" s="2">
        <v>175</v>
      </c>
      <c r="AA205">
        <v>1</v>
      </c>
      <c r="AB205" s="3">
        <v>1</v>
      </c>
      <c r="AC205" s="2">
        <v>175</v>
      </c>
      <c r="AD205" s="3">
        <v>0</v>
      </c>
      <c r="AE205" s="2">
        <v>0</v>
      </c>
      <c r="AF205" s="2">
        <v>175</v>
      </c>
      <c r="AK205">
        <v>6041476</v>
      </c>
    </row>
    <row r="206" spans="1:37" x14ac:dyDescent="0.25">
      <c r="A206" s="1">
        <v>45986</v>
      </c>
      <c r="B206" s="1">
        <v>45987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571</v>
      </c>
      <c r="J206" t="s">
        <v>572</v>
      </c>
      <c r="M206" t="s">
        <v>275</v>
      </c>
      <c r="O206" t="s">
        <v>276</v>
      </c>
      <c r="P206" t="s">
        <v>277</v>
      </c>
      <c r="Q206" t="s">
        <v>49</v>
      </c>
      <c r="R206" t="s">
        <v>50</v>
      </c>
      <c r="S206" s="1">
        <v>46023</v>
      </c>
      <c r="U206" t="s">
        <v>51</v>
      </c>
      <c r="X206" t="s">
        <v>52</v>
      </c>
      <c r="Y206" s="2">
        <v>0</v>
      </c>
      <c r="Z206" s="2">
        <v>175</v>
      </c>
      <c r="AA206">
        <v>1</v>
      </c>
      <c r="AB206" s="3">
        <v>1</v>
      </c>
      <c r="AC206" s="2">
        <v>175</v>
      </c>
      <c r="AD206" s="3">
        <v>0</v>
      </c>
      <c r="AE206" s="2">
        <v>0</v>
      </c>
      <c r="AF206" s="2">
        <v>175</v>
      </c>
      <c r="AK206">
        <v>6041477</v>
      </c>
    </row>
    <row r="207" spans="1:37" x14ac:dyDescent="0.25">
      <c r="A207" s="1">
        <v>45986</v>
      </c>
      <c r="B207" s="1">
        <v>45987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573</v>
      </c>
      <c r="J207" t="s">
        <v>574</v>
      </c>
      <c r="M207" t="s">
        <v>46</v>
      </c>
      <c r="O207" t="s">
        <v>301</v>
      </c>
      <c r="P207" t="s">
        <v>302</v>
      </c>
      <c r="Q207" t="s">
        <v>49</v>
      </c>
      <c r="R207" t="s">
        <v>50</v>
      </c>
      <c r="S207" s="1">
        <v>46023</v>
      </c>
      <c r="U207" t="s">
        <v>51</v>
      </c>
      <c r="X207" t="s">
        <v>52</v>
      </c>
      <c r="Y207" s="2">
        <v>0</v>
      </c>
      <c r="Z207" s="2">
        <v>175</v>
      </c>
      <c r="AA207">
        <v>1</v>
      </c>
      <c r="AB207" s="3">
        <v>1</v>
      </c>
      <c r="AC207" s="2">
        <v>175</v>
      </c>
      <c r="AD207" s="3">
        <v>0</v>
      </c>
      <c r="AE207" s="2">
        <v>0</v>
      </c>
      <c r="AF207" s="2">
        <v>175</v>
      </c>
      <c r="AK207">
        <v>6041478</v>
      </c>
    </row>
    <row r="208" spans="1:37" x14ac:dyDescent="0.25">
      <c r="A208" s="1">
        <v>45986</v>
      </c>
      <c r="B208" s="1">
        <v>45987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575</v>
      </c>
      <c r="J208" t="s">
        <v>576</v>
      </c>
      <c r="M208" t="s">
        <v>59</v>
      </c>
      <c r="O208" t="s">
        <v>60</v>
      </c>
      <c r="P208" t="s">
        <v>61</v>
      </c>
      <c r="Q208" t="s">
        <v>49</v>
      </c>
      <c r="R208" t="s">
        <v>50</v>
      </c>
      <c r="S208" s="1">
        <v>46023</v>
      </c>
      <c r="U208" t="s">
        <v>51</v>
      </c>
      <c r="X208" t="s">
        <v>52</v>
      </c>
      <c r="Y208" s="2">
        <v>0</v>
      </c>
      <c r="Z208" s="2">
        <v>175</v>
      </c>
      <c r="AA208">
        <v>1</v>
      </c>
      <c r="AB208" s="3">
        <v>1</v>
      </c>
      <c r="AC208" s="2">
        <v>175</v>
      </c>
      <c r="AD208" s="3">
        <v>0</v>
      </c>
      <c r="AE208" s="2">
        <v>0</v>
      </c>
      <c r="AF208" s="2">
        <v>175</v>
      </c>
      <c r="AK208">
        <v>6041285</v>
      </c>
    </row>
    <row r="209" spans="1:37" x14ac:dyDescent="0.25">
      <c r="A209" s="1">
        <v>45986</v>
      </c>
      <c r="B209" s="1">
        <v>45987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577</v>
      </c>
      <c r="J209" t="s">
        <v>578</v>
      </c>
      <c r="M209" t="s">
        <v>275</v>
      </c>
      <c r="O209" t="s">
        <v>276</v>
      </c>
      <c r="P209" t="s">
        <v>277</v>
      </c>
      <c r="Q209" t="s">
        <v>49</v>
      </c>
      <c r="R209" t="s">
        <v>50</v>
      </c>
      <c r="S209" s="1">
        <v>46023</v>
      </c>
      <c r="U209" t="s">
        <v>51</v>
      </c>
      <c r="X209" t="s">
        <v>52</v>
      </c>
      <c r="Y209" s="2">
        <v>0</v>
      </c>
      <c r="Z209" s="2">
        <v>175</v>
      </c>
      <c r="AA209">
        <v>1</v>
      </c>
      <c r="AB209" s="3">
        <v>1</v>
      </c>
      <c r="AC209" s="2">
        <v>175</v>
      </c>
      <c r="AD209" s="3">
        <v>0</v>
      </c>
      <c r="AE209" s="2">
        <v>0</v>
      </c>
      <c r="AF209" s="2">
        <v>175</v>
      </c>
      <c r="AK209">
        <v>6041479</v>
      </c>
    </row>
    <row r="210" spans="1:37" x14ac:dyDescent="0.25">
      <c r="A210" s="1">
        <v>45986</v>
      </c>
      <c r="B210" s="1">
        <v>45987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579</v>
      </c>
      <c r="J210" t="s">
        <v>580</v>
      </c>
      <c r="M210" t="s">
        <v>46</v>
      </c>
      <c r="O210" t="s">
        <v>301</v>
      </c>
      <c r="P210" t="s">
        <v>302</v>
      </c>
      <c r="Q210" t="s">
        <v>49</v>
      </c>
      <c r="R210" t="s">
        <v>50</v>
      </c>
      <c r="S210" s="1">
        <v>45992</v>
      </c>
      <c r="U210" t="s">
        <v>51</v>
      </c>
      <c r="X210" t="s">
        <v>52</v>
      </c>
      <c r="Y210" s="2">
        <v>0</v>
      </c>
      <c r="Z210" s="2">
        <v>175</v>
      </c>
      <c r="AA210">
        <v>1</v>
      </c>
      <c r="AB210" s="3">
        <v>1</v>
      </c>
      <c r="AC210" s="2">
        <v>175</v>
      </c>
      <c r="AD210" s="3">
        <v>0</v>
      </c>
      <c r="AE210" s="2">
        <v>0</v>
      </c>
      <c r="AF210" s="2">
        <v>175</v>
      </c>
      <c r="AK210">
        <v>6041481</v>
      </c>
    </row>
    <row r="211" spans="1:37" x14ac:dyDescent="0.25">
      <c r="A211" s="1">
        <v>45986</v>
      </c>
      <c r="B211" s="1">
        <v>45987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581</v>
      </c>
      <c r="J211" t="s">
        <v>582</v>
      </c>
      <c r="M211" t="s">
        <v>46</v>
      </c>
      <c r="O211" t="s">
        <v>64</v>
      </c>
      <c r="P211" t="s">
        <v>65</v>
      </c>
      <c r="Q211" t="s">
        <v>49</v>
      </c>
      <c r="R211" t="s">
        <v>50</v>
      </c>
      <c r="S211" s="1">
        <v>46023</v>
      </c>
      <c r="U211" t="s">
        <v>51</v>
      </c>
      <c r="X211" t="s">
        <v>52</v>
      </c>
      <c r="Y211" s="2">
        <v>0</v>
      </c>
      <c r="Z211" s="2">
        <v>175</v>
      </c>
      <c r="AA211">
        <v>1</v>
      </c>
      <c r="AB211" s="3">
        <v>1</v>
      </c>
      <c r="AC211" s="2">
        <v>175</v>
      </c>
      <c r="AD211" s="3">
        <v>0</v>
      </c>
      <c r="AE211" s="2">
        <v>0</v>
      </c>
      <c r="AF211" s="2">
        <v>175</v>
      </c>
      <c r="AK211">
        <v>6041482</v>
      </c>
    </row>
    <row r="212" spans="1:37" x14ac:dyDescent="0.25">
      <c r="A212" s="1">
        <v>45986</v>
      </c>
      <c r="B212" s="1">
        <v>45987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583</v>
      </c>
      <c r="J212" t="s">
        <v>584</v>
      </c>
      <c r="M212" t="s">
        <v>46</v>
      </c>
      <c r="O212" t="s">
        <v>47</v>
      </c>
      <c r="P212" t="s">
        <v>48</v>
      </c>
      <c r="Q212" t="s">
        <v>49</v>
      </c>
      <c r="R212" t="s">
        <v>50</v>
      </c>
      <c r="S212" s="1">
        <v>46023</v>
      </c>
      <c r="U212" t="s">
        <v>51</v>
      </c>
      <c r="X212" t="s">
        <v>52</v>
      </c>
      <c r="Y212" s="2">
        <v>0</v>
      </c>
      <c r="Z212" s="2">
        <v>175</v>
      </c>
      <c r="AA212">
        <v>1</v>
      </c>
      <c r="AB212" s="3">
        <v>1</v>
      </c>
      <c r="AC212" s="2">
        <v>175</v>
      </c>
      <c r="AD212" s="3">
        <v>0</v>
      </c>
      <c r="AE212" s="2">
        <v>0</v>
      </c>
      <c r="AF212" s="2">
        <v>175</v>
      </c>
      <c r="AK212">
        <v>6041483</v>
      </c>
    </row>
    <row r="213" spans="1:37" x14ac:dyDescent="0.25">
      <c r="A213" s="1">
        <v>45986</v>
      </c>
      <c r="B213" s="1">
        <v>45987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585</v>
      </c>
      <c r="J213" t="s">
        <v>586</v>
      </c>
      <c r="M213" t="s">
        <v>59</v>
      </c>
      <c r="O213" t="s">
        <v>60</v>
      </c>
      <c r="P213" t="s">
        <v>61</v>
      </c>
      <c r="Q213" t="s">
        <v>49</v>
      </c>
      <c r="R213" t="s">
        <v>50</v>
      </c>
      <c r="S213" s="1">
        <v>46023</v>
      </c>
      <c r="U213" t="s">
        <v>51</v>
      </c>
      <c r="X213" t="s">
        <v>52</v>
      </c>
      <c r="Y213" s="2">
        <v>0</v>
      </c>
      <c r="Z213" s="2">
        <v>175</v>
      </c>
      <c r="AA213">
        <v>1</v>
      </c>
      <c r="AB213" s="3">
        <v>1</v>
      </c>
      <c r="AC213" s="2">
        <v>175</v>
      </c>
      <c r="AD213" s="3">
        <v>0</v>
      </c>
      <c r="AE213" s="2">
        <v>0</v>
      </c>
      <c r="AF213" s="2">
        <v>175</v>
      </c>
      <c r="AK213">
        <v>6041286</v>
      </c>
    </row>
    <row r="214" spans="1:37" x14ac:dyDescent="0.25">
      <c r="A214" s="1">
        <v>45986</v>
      </c>
      <c r="B214" s="1">
        <v>45987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587</v>
      </c>
      <c r="J214" t="s">
        <v>588</v>
      </c>
      <c r="M214" t="s">
        <v>46</v>
      </c>
      <c r="O214" t="s">
        <v>539</v>
      </c>
      <c r="P214" t="s">
        <v>540</v>
      </c>
      <c r="Q214" t="s">
        <v>49</v>
      </c>
      <c r="R214" t="s">
        <v>50</v>
      </c>
      <c r="S214" s="1">
        <v>46023</v>
      </c>
      <c r="U214" t="s">
        <v>51</v>
      </c>
      <c r="X214" t="s">
        <v>52</v>
      </c>
      <c r="Y214" s="2">
        <v>0</v>
      </c>
      <c r="Z214" s="2">
        <v>175</v>
      </c>
      <c r="AA214">
        <v>1</v>
      </c>
      <c r="AB214" s="3">
        <v>1</v>
      </c>
      <c r="AC214" s="2">
        <v>175</v>
      </c>
      <c r="AD214" s="3">
        <v>0</v>
      </c>
      <c r="AE214" s="2">
        <v>0</v>
      </c>
      <c r="AF214" s="2">
        <v>175</v>
      </c>
      <c r="AK214">
        <v>6041484</v>
      </c>
    </row>
    <row r="215" spans="1:37" x14ac:dyDescent="0.25">
      <c r="A215" s="1">
        <v>45986</v>
      </c>
      <c r="B215" s="1">
        <v>45987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589</v>
      </c>
      <c r="J215" t="s">
        <v>590</v>
      </c>
      <c r="M215" t="s">
        <v>46</v>
      </c>
      <c r="O215" t="s">
        <v>215</v>
      </c>
      <c r="P215" t="s">
        <v>216</v>
      </c>
      <c r="Q215" t="s">
        <v>49</v>
      </c>
      <c r="R215" t="s">
        <v>50</v>
      </c>
      <c r="S215" s="1">
        <v>46023</v>
      </c>
      <c r="U215" t="s">
        <v>51</v>
      </c>
      <c r="X215" t="s">
        <v>52</v>
      </c>
      <c r="Y215" s="2">
        <v>0</v>
      </c>
      <c r="Z215" s="2">
        <v>175</v>
      </c>
      <c r="AA215">
        <v>1</v>
      </c>
      <c r="AB215" s="3">
        <v>1</v>
      </c>
      <c r="AC215" s="2">
        <v>175</v>
      </c>
      <c r="AD215" s="3">
        <v>0</v>
      </c>
      <c r="AE215" s="2">
        <v>0</v>
      </c>
      <c r="AF215" s="2">
        <v>175</v>
      </c>
      <c r="AK215">
        <v>6041485</v>
      </c>
    </row>
    <row r="216" spans="1:37" x14ac:dyDescent="0.25">
      <c r="A216" s="1">
        <v>45986</v>
      </c>
      <c r="B216" s="1">
        <v>45987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591</v>
      </c>
      <c r="J216" t="s">
        <v>592</v>
      </c>
      <c r="M216" t="s">
        <v>46</v>
      </c>
      <c r="O216" t="s">
        <v>215</v>
      </c>
      <c r="P216" t="s">
        <v>216</v>
      </c>
      <c r="Q216" t="s">
        <v>49</v>
      </c>
      <c r="R216" t="s">
        <v>50</v>
      </c>
      <c r="S216" s="1">
        <v>46023</v>
      </c>
      <c r="U216" t="s">
        <v>51</v>
      </c>
      <c r="X216" t="s">
        <v>52</v>
      </c>
      <c r="Y216" s="2">
        <v>0</v>
      </c>
      <c r="Z216" s="2">
        <v>175</v>
      </c>
      <c r="AA216">
        <v>1</v>
      </c>
      <c r="AB216" s="3">
        <v>1</v>
      </c>
      <c r="AC216" s="2">
        <v>175</v>
      </c>
      <c r="AD216" s="3">
        <v>0</v>
      </c>
      <c r="AE216" s="2">
        <v>0</v>
      </c>
      <c r="AF216" s="2">
        <v>175</v>
      </c>
      <c r="AK216">
        <v>6041486</v>
      </c>
    </row>
    <row r="217" spans="1:37" x14ac:dyDescent="0.25">
      <c r="A217" s="1">
        <v>45986</v>
      </c>
      <c r="B217" s="1">
        <v>45987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593</v>
      </c>
      <c r="J217" t="s">
        <v>594</v>
      </c>
      <c r="M217" t="s">
        <v>46</v>
      </c>
      <c r="O217" t="s">
        <v>92</v>
      </c>
      <c r="P217" t="s">
        <v>93</v>
      </c>
      <c r="Q217" t="s">
        <v>49</v>
      </c>
      <c r="R217" t="s">
        <v>50</v>
      </c>
      <c r="S217" s="1">
        <v>46023</v>
      </c>
      <c r="U217" t="s">
        <v>51</v>
      </c>
      <c r="X217" t="s">
        <v>52</v>
      </c>
      <c r="Y217" s="2">
        <v>0</v>
      </c>
      <c r="Z217" s="2">
        <v>175</v>
      </c>
      <c r="AA217">
        <v>1</v>
      </c>
      <c r="AB217" s="3">
        <v>1</v>
      </c>
      <c r="AC217" s="2">
        <v>175</v>
      </c>
      <c r="AD217" s="3">
        <v>0</v>
      </c>
      <c r="AE217" s="2">
        <v>0</v>
      </c>
      <c r="AF217" s="2">
        <v>175</v>
      </c>
      <c r="AK217">
        <v>6041487</v>
      </c>
    </row>
    <row r="218" spans="1:37" x14ac:dyDescent="0.25">
      <c r="A218" s="1">
        <v>45986</v>
      </c>
      <c r="B218" s="1">
        <v>45987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595</v>
      </c>
      <c r="J218" t="s">
        <v>596</v>
      </c>
      <c r="M218" t="s">
        <v>46</v>
      </c>
      <c r="O218" t="s">
        <v>144</v>
      </c>
      <c r="P218" t="s">
        <v>145</v>
      </c>
      <c r="Q218" t="s">
        <v>49</v>
      </c>
      <c r="R218" t="s">
        <v>50</v>
      </c>
      <c r="S218" s="1">
        <v>46023</v>
      </c>
      <c r="U218" t="s">
        <v>51</v>
      </c>
      <c r="X218" t="s">
        <v>52</v>
      </c>
      <c r="Y218" s="2">
        <v>0</v>
      </c>
      <c r="Z218" s="2">
        <v>175</v>
      </c>
      <c r="AA218">
        <v>1</v>
      </c>
      <c r="AB218" s="3">
        <v>1</v>
      </c>
      <c r="AC218" s="2">
        <v>175</v>
      </c>
      <c r="AD218" s="3">
        <v>0</v>
      </c>
      <c r="AE218" s="2">
        <v>0</v>
      </c>
      <c r="AF218" s="2">
        <v>175</v>
      </c>
      <c r="AK218">
        <v>6041488</v>
      </c>
    </row>
    <row r="219" spans="1:37" x14ac:dyDescent="0.25">
      <c r="A219" s="1">
        <v>45986</v>
      </c>
      <c r="B219" s="1">
        <v>45987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597</v>
      </c>
      <c r="J219" t="s">
        <v>598</v>
      </c>
      <c r="M219" t="s">
        <v>46</v>
      </c>
      <c r="O219" t="s">
        <v>92</v>
      </c>
      <c r="P219" t="s">
        <v>93</v>
      </c>
      <c r="Q219" t="s">
        <v>49</v>
      </c>
      <c r="R219" t="s">
        <v>50</v>
      </c>
      <c r="S219" s="1">
        <v>45992</v>
      </c>
      <c r="U219" t="s">
        <v>51</v>
      </c>
      <c r="X219" t="s">
        <v>52</v>
      </c>
      <c r="Y219" s="2">
        <v>0</v>
      </c>
      <c r="Z219" s="2">
        <v>175</v>
      </c>
      <c r="AA219">
        <v>1</v>
      </c>
      <c r="AB219" s="3">
        <v>1</v>
      </c>
      <c r="AC219" s="2">
        <v>175</v>
      </c>
      <c r="AD219" s="3">
        <v>0</v>
      </c>
      <c r="AE219" s="2">
        <v>0</v>
      </c>
      <c r="AF219" s="2">
        <v>175</v>
      </c>
      <c r="AK219">
        <v>6041489</v>
      </c>
    </row>
    <row r="220" spans="1:37" x14ac:dyDescent="0.25">
      <c r="A220" s="1">
        <v>45986</v>
      </c>
      <c r="B220" s="1">
        <v>45987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599</v>
      </c>
      <c r="J220" t="s">
        <v>600</v>
      </c>
      <c r="M220" t="s">
        <v>46</v>
      </c>
      <c r="O220" t="s">
        <v>215</v>
      </c>
      <c r="P220" t="s">
        <v>216</v>
      </c>
      <c r="Q220" t="s">
        <v>49</v>
      </c>
      <c r="R220" t="s">
        <v>50</v>
      </c>
      <c r="S220" s="1">
        <v>46023</v>
      </c>
      <c r="U220" t="s">
        <v>51</v>
      </c>
      <c r="X220" t="s">
        <v>52</v>
      </c>
      <c r="Y220" s="2">
        <v>0</v>
      </c>
      <c r="Z220" s="2">
        <v>175</v>
      </c>
      <c r="AA220">
        <v>1</v>
      </c>
      <c r="AB220" s="3">
        <v>1</v>
      </c>
      <c r="AC220" s="2">
        <v>175</v>
      </c>
      <c r="AD220" s="3">
        <v>0</v>
      </c>
      <c r="AE220" s="2">
        <v>0</v>
      </c>
      <c r="AF220" s="2">
        <v>175</v>
      </c>
      <c r="AK220">
        <v>6041490</v>
      </c>
    </row>
    <row r="221" spans="1:37" x14ac:dyDescent="0.25">
      <c r="A221" s="1">
        <v>45986</v>
      </c>
      <c r="B221" s="1">
        <v>45987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601</v>
      </c>
      <c r="J221" t="s">
        <v>602</v>
      </c>
      <c r="M221" t="s">
        <v>46</v>
      </c>
      <c r="O221" t="s">
        <v>80</v>
      </c>
      <c r="P221" t="s">
        <v>81</v>
      </c>
      <c r="Q221" t="s">
        <v>49</v>
      </c>
      <c r="R221" t="s">
        <v>50</v>
      </c>
      <c r="S221" s="1">
        <v>46023</v>
      </c>
      <c r="U221" t="s">
        <v>51</v>
      </c>
      <c r="X221" t="s">
        <v>52</v>
      </c>
      <c r="Y221" s="2">
        <v>0</v>
      </c>
      <c r="Z221" s="2">
        <v>175</v>
      </c>
      <c r="AA221">
        <v>1</v>
      </c>
      <c r="AB221" s="3">
        <v>1</v>
      </c>
      <c r="AC221" s="2">
        <v>175</v>
      </c>
      <c r="AD221" s="3">
        <v>0</v>
      </c>
      <c r="AE221" s="2">
        <v>0</v>
      </c>
      <c r="AF221" s="2">
        <v>175</v>
      </c>
      <c r="AK221">
        <v>6041491</v>
      </c>
    </row>
    <row r="222" spans="1:37" x14ac:dyDescent="0.25">
      <c r="A222" s="1">
        <v>45986</v>
      </c>
      <c r="B222" s="1">
        <v>45987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603</v>
      </c>
      <c r="J222" t="s">
        <v>604</v>
      </c>
      <c r="M222" t="s">
        <v>46</v>
      </c>
      <c r="O222" t="s">
        <v>55</v>
      </c>
      <c r="P222" t="s">
        <v>56</v>
      </c>
      <c r="Q222" t="s">
        <v>49</v>
      </c>
      <c r="R222" t="s">
        <v>50</v>
      </c>
      <c r="S222" s="1">
        <v>46054</v>
      </c>
      <c r="U222" t="s">
        <v>51</v>
      </c>
      <c r="X222" t="s">
        <v>52</v>
      </c>
      <c r="Y222" s="2">
        <v>0</v>
      </c>
      <c r="Z222" s="2">
        <v>175</v>
      </c>
      <c r="AA222">
        <v>1</v>
      </c>
      <c r="AB222" s="3">
        <v>1</v>
      </c>
      <c r="AC222" s="2">
        <v>175</v>
      </c>
      <c r="AD222" s="3">
        <v>0</v>
      </c>
      <c r="AE222" s="2">
        <v>0</v>
      </c>
      <c r="AF222" s="2">
        <v>175</v>
      </c>
      <c r="AK222">
        <v>6041492</v>
      </c>
    </row>
    <row r="223" spans="1:37" x14ac:dyDescent="0.25">
      <c r="A223" s="1">
        <v>45986</v>
      </c>
      <c r="B223" s="1">
        <v>45987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605</v>
      </c>
      <c r="J223" t="s">
        <v>606</v>
      </c>
      <c r="M223" t="s">
        <v>420</v>
      </c>
      <c r="O223" t="s">
        <v>47</v>
      </c>
      <c r="P223" t="s">
        <v>48</v>
      </c>
      <c r="Q223" t="s">
        <v>49</v>
      </c>
      <c r="R223" t="s">
        <v>50</v>
      </c>
      <c r="S223" s="1">
        <v>46023</v>
      </c>
      <c r="U223" t="s">
        <v>51</v>
      </c>
      <c r="X223" t="s">
        <v>52</v>
      </c>
      <c r="Y223" s="2">
        <v>0</v>
      </c>
      <c r="Z223" s="2">
        <v>175</v>
      </c>
      <c r="AA223">
        <v>1</v>
      </c>
      <c r="AB223" s="3">
        <v>1</v>
      </c>
      <c r="AC223" s="2">
        <v>175</v>
      </c>
      <c r="AD223" s="3">
        <v>0</v>
      </c>
      <c r="AE223" s="2">
        <v>0</v>
      </c>
      <c r="AF223" s="2">
        <v>175</v>
      </c>
      <c r="AK223">
        <v>6041493</v>
      </c>
    </row>
    <row r="224" spans="1:37" x14ac:dyDescent="0.25">
      <c r="A224" s="1">
        <v>45986</v>
      </c>
      <c r="B224" s="1">
        <v>45987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607</v>
      </c>
      <c r="J224" t="s">
        <v>608</v>
      </c>
      <c r="M224" t="s">
        <v>46</v>
      </c>
      <c r="O224" t="s">
        <v>305</v>
      </c>
      <c r="P224" t="s">
        <v>306</v>
      </c>
      <c r="Q224" t="s">
        <v>49</v>
      </c>
      <c r="R224" t="s">
        <v>50</v>
      </c>
      <c r="S224" s="1">
        <v>46023</v>
      </c>
      <c r="U224" t="s">
        <v>51</v>
      </c>
      <c r="X224" t="s">
        <v>52</v>
      </c>
      <c r="Y224" s="2">
        <v>0</v>
      </c>
      <c r="Z224" s="2">
        <v>175</v>
      </c>
      <c r="AA224">
        <v>1</v>
      </c>
      <c r="AB224" s="3">
        <v>1</v>
      </c>
      <c r="AC224" s="2">
        <v>175</v>
      </c>
      <c r="AD224" s="3">
        <v>0</v>
      </c>
      <c r="AE224" s="2">
        <v>0</v>
      </c>
      <c r="AF224" s="2">
        <v>175</v>
      </c>
      <c r="AK224">
        <v>6041494</v>
      </c>
    </row>
    <row r="225" spans="1:38" x14ac:dyDescent="0.25">
      <c r="A225" s="1">
        <v>45986</v>
      </c>
      <c r="B225" s="1">
        <v>45987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609</v>
      </c>
      <c r="J225" t="s">
        <v>610</v>
      </c>
      <c r="M225" t="s">
        <v>46</v>
      </c>
      <c r="O225" t="s">
        <v>96</v>
      </c>
      <c r="P225" t="s">
        <v>97</v>
      </c>
      <c r="Q225" t="s">
        <v>49</v>
      </c>
      <c r="R225" t="s">
        <v>50</v>
      </c>
      <c r="S225" s="1">
        <v>46023</v>
      </c>
      <c r="U225" t="s">
        <v>51</v>
      </c>
      <c r="X225" t="s">
        <v>52</v>
      </c>
      <c r="Y225" s="2">
        <v>0</v>
      </c>
      <c r="Z225" s="2">
        <v>175</v>
      </c>
      <c r="AA225">
        <v>1</v>
      </c>
      <c r="AB225" s="3">
        <v>1</v>
      </c>
      <c r="AC225" s="2">
        <v>175</v>
      </c>
      <c r="AD225" s="3">
        <v>0</v>
      </c>
      <c r="AE225" s="2">
        <v>0</v>
      </c>
      <c r="AF225" s="2">
        <v>175</v>
      </c>
      <c r="AK225">
        <v>6041495</v>
      </c>
    </row>
    <row r="226" spans="1:38" x14ac:dyDescent="0.25">
      <c r="A226" s="1">
        <v>45986</v>
      </c>
      <c r="B226" s="1">
        <v>45987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611</v>
      </c>
      <c r="J226" t="s">
        <v>612</v>
      </c>
      <c r="M226" t="s">
        <v>613</v>
      </c>
      <c r="O226" t="s">
        <v>150</v>
      </c>
      <c r="P226" t="s">
        <v>151</v>
      </c>
      <c r="Q226" t="s">
        <v>49</v>
      </c>
      <c r="R226" t="s">
        <v>50</v>
      </c>
      <c r="S226" s="1">
        <v>46054</v>
      </c>
      <c r="U226" t="s">
        <v>51</v>
      </c>
      <c r="X226" t="s">
        <v>52</v>
      </c>
      <c r="Y226" s="2">
        <v>0</v>
      </c>
      <c r="Z226" s="2">
        <v>175</v>
      </c>
      <c r="AA226">
        <v>1</v>
      </c>
      <c r="AB226" s="3">
        <v>1</v>
      </c>
      <c r="AC226" s="2">
        <v>175</v>
      </c>
      <c r="AD226" s="3">
        <v>0</v>
      </c>
      <c r="AE226" s="2">
        <v>0</v>
      </c>
      <c r="AF226" s="2">
        <v>175</v>
      </c>
      <c r="AK226">
        <v>6041496</v>
      </c>
    </row>
    <row r="227" spans="1:38" x14ac:dyDescent="0.25">
      <c r="A227" s="1">
        <v>45986</v>
      </c>
      <c r="B227" s="1">
        <v>45987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614</v>
      </c>
      <c r="J227" t="s">
        <v>615</v>
      </c>
      <c r="M227" t="s">
        <v>46</v>
      </c>
      <c r="O227" t="s">
        <v>197</v>
      </c>
      <c r="P227" t="s">
        <v>198</v>
      </c>
      <c r="Q227" t="s">
        <v>49</v>
      </c>
      <c r="R227" t="s">
        <v>50</v>
      </c>
      <c r="S227" s="1">
        <v>46023</v>
      </c>
      <c r="U227" t="s">
        <v>51</v>
      </c>
      <c r="X227" t="s">
        <v>52</v>
      </c>
      <c r="Y227" s="2">
        <v>0</v>
      </c>
      <c r="Z227" s="2">
        <v>175</v>
      </c>
      <c r="AA227">
        <v>1</v>
      </c>
      <c r="AB227" s="3">
        <v>1</v>
      </c>
      <c r="AC227" s="2">
        <v>175</v>
      </c>
      <c r="AD227" s="3">
        <v>0</v>
      </c>
      <c r="AE227" s="2">
        <v>0</v>
      </c>
      <c r="AF227" s="2">
        <v>175</v>
      </c>
      <c r="AK227">
        <v>6041497</v>
      </c>
    </row>
    <row r="228" spans="1:38" x14ac:dyDescent="0.25">
      <c r="A228" s="1">
        <v>45986</v>
      </c>
      <c r="B228" s="1">
        <v>45987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616</v>
      </c>
      <c r="J228" t="s">
        <v>617</v>
      </c>
      <c r="M228" t="s">
        <v>71</v>
      </c>
      <c r="O228" t="s">
        <v>72</v>
      </c>
      <c r="P228" t="s">
        <v>73</v>
      </c>
      <c r="Q228" t="s">
        <v>49</v>
      </c>
      <c r="R228" t="s">
        <v>50</v>
      </c>
      <c r="S228" s="1">
        <v>46023</v>
      </c>
      <c r="U228" t="s">
        <v>51</v>
      </c>
      <c r="X228" t="s">
        <v>52</v>
      </c>
      <c r="Y228" s="2">
        <v>0</v>
      </c>
      <c r="Z228" s="2">
        <v>175</v>
      </c>
      <c r="AA228">
        <v>1</v>
      </c>
      <c r="AB228" s="3">
        <v>1</v>
      </c>
      <c r="AC228" s="2">
        <v>175</v>
      </c>
      <c r="AD228" s="3">
        <v>0</v>
      </c>
      <c r="AE228" s="2">
        <v>0</v>
      </c>
      <c r="AF228" s="2">
        <v>175</v>
      </c>
      <c r="AK228">
        <v>6041498</v>
      </c>
    </row>
    <row r="229" spans="1:38" x14ac:dyDescent="0.25">
      <c r="A229" s="1">
        <v>45986</v>
      </c>
      <c r="B229" s="1">
        <v>45987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618</v>
      </c>
      <c r="J229" t="s">
        <v>619</v>
      </c>
      <c r="M229" t="s">
        <v>46</v>
      </c>
      <c r="O229" t="s">
        <v>47</v>
      </c>
      <c r="P229" t="s">
        <v>48</v>
      </c>
      <c r="Q229" t="s">
        <v>49</v>
      </c>
      <c r="R229" t="s">
        <v>50</v>
      </c>
      <c r="S229" s="1">
        <v>46023</v>
      </c>
      <c r="U229" t="s">
        <v>51</v>
      </c>
      <c r="X229" t="s">
        <v>52</v>
      </c>
      <c r="Y229" s="2">
        <v>0</v>
      </c>
      <c r="Z229" s="2">
        <v>175</v>
      </c>
      <c r="AA229">
        <v>1</v>
      </c>
      <c r="AB229" s="3">
        <v>1</v>
      </c>
      <c r="AC229" s="2">
        <v>175</v>
      </c>
      <c r="AD229" s="3">
        <v>0</v>
      </c>
      <c r="AE229" s="2">
        <v>0</v>
      </c>
      <c r="AF229" s="2">
        <v>175</v>
      </c>
      <c r="AK229">
        <v>6041499</v>
      </c>
    </row>
    <row r="230" spans="1:38" x14ac:dyDescent="0.25">
      <c r="A230" s="1">
        <v>45986</v>
      </c>
      <c r="B230" s="1">
        <v>45987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620</v>
      </c>
      <c r="J230" t="s">
        <v>621</v>
      </c>
      <c r="M230" t="s">
        <v>46</v>
      </c>
      <c r="O230" t="s">
        <v>47</v>
      </c>
      <c r="P230" t="s">
        <v>48</v>
      </c>
      <c r="Q230" t="s">
        <v>49</v>
      </c>
      <c r="R230" t="s">
        <v>50</v>
      </c>
      <c r="S230" s="1">
        <v>46023</v>
      </c>
      <c r="U230" t="s">
        <v>51</v>
      </c>
      <c r="X230" t="s">
        <v>52</v>
      </c>
      <c r="Y230" s="2">
        <v>0</v>
      </c>
      <c r="Z230" s="2">
        <v>175</v>
      </c>
      <c r="AA230">
        <v>1</v>
      </c>
      <c r="AB230" s="3">
        <v>1</v>
      </c>
      <c r="AC230" s="2">
        <v>175</v>
      </c>
      <c r="AD230" s="3">
        <v>0</v>
      </c>
      <c r="AE230" s="2">
        <v>0</v>
      </c>
      <c r="AF230" s="2">
        <v>175</v>
      </c>
      <c r="AK230">
        <v>6041500</v>
      </c>
    </row>
    <row r="231" spans="1:38" x14ac:dyDescent="0.25">
      <c r="A231" s="1">
        <v>45986</v>
      </c>
      <c r="B231" s="1">
        <v>45987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622</v>
      </c>
      <c r="J231" t="s">
        <v>623</v>
      </c>
      <c r="M231" t="s">
        <v>46</v>
      </c>
      <c r="O231" t="s">
        <v>47</v>
      </c>
      <c r="P231" t="s">
        <v>48</v>
      </c>
      <c r="Q231" t="s">
        <v>49</v>
      </c>
      <c r="R231" t="s">
        <v>50</v>
      </c>
      <c r="S231" s="1">
        <v>46023</v>
      </c>
      <c r="U231" t="s">
        <v>51</v>
      </c>
      <c r="X231" t="s">
        <v>52</v>
      </c>
      <c r="Y231" s="2">
        <v>0</v>
      </c>
      <c r="Z231" s="2">
        <v>175</v>
      </c>
      <c r="AA231">
        <v>1</v>
      </c>
      <c r="AB231" s="3">
        <v>1</v>
      </c>
      <c r="AC231" s="2">
        <v>175</v>
      </c>
      <c r="AD231" s="3">
        <v>0</v>
      </c>
      <c r="AE231" s="2">
        <v>0</v>
      </c>
      <c r="AF231" s="2">
        <v>175</v>
      </c>
      <c r="AK231">
        <v>6041501</v>
      </c>
    </row>
    <row r="232" spans="1:38" x14ac:dyDescent="0.25">
      <c r="A232" s="1">
        <v>45986</v>
      </c>
      <c r="B232" s="1">
        <v>45987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624</v>
      </c>
      <c r="J232" t="s">
        <v>625</v>
      </c>
      <c r="M232" t="s">
        <v>46</v>
      </c>
      <c r="O232" t="s">
        <v>55</v>
      </c>
      <c r="P232" t="s">
        <v>56</v>
      </c>
      <c r="Q232" t="s">
        <v>49</v>
      </c>
      <c r="R232" t="s">
        <v>50</v>
      </c>
      <c r="S232" s="1">
        <v>46023</v>
      </c>
      <c r="U232" t="s">
        <v>51</v>
      </c>
      <c r="X232" t="s">
        <v>52</v>
      </c>
      <c r="Y232" s="2">
        <v>0</v>
      </c>
      <c r="Z232" s="2">
        <v>175</v>
      </c>
      <c r="AA232">
        <v>1</v>
      </c>
      <c r="AB232" s="3">
        <v>1</v>
      </c>
      <c r="AC232" s="2">
        <v>175</v>
      </c>
      <c r="AD232" s="3">
        <v>0</v>
      </c>
      <c r="AE232" s="2">
        <v>0</v>
      </c>
      <c r="AF232" s="2">
        <v>175</v>
      </c>
      <c r="AK232">
        <v>6041502</v>
      </c>
    </row>
    <row r="233" spans="1:38" x14ac:dyDescent="0.25">
      <c r="A233" s="1">
        <v>45986</v>
      </c>
      <c r="B233" s="1">
        <v>45987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626</v>
      </c>
      <c r="J233" t="s">
        <v>627</v>
      </c>
      <c r="M233" t="s">
        <v>46</v>
      </c>
      <c r="O233" t="s">
        <v>628</v>
      </c>
      <c r="P233" t="s">
        <v>629</v>
      </c>
      <c r="Q233" t="s">
        <v>49</v>
      </c>
      <c r="R233" t="s">
        <v>50</v>
      </c>
      <c r="S233" s="1">
        <v>45992</v>
      </c>
      <c r="U233" t="s">
        <v>51</v>
      </c>
      <c r="X233" t="s">
        <v>52</v>
      </c>
      <c r="Y233" s="2">
        <v>0</v>
      </c>
      <c r="Z233" s="2">
        <v>175</v>
      </c>
      <c r="AA233">
        <v>1</v>
      </c>
      <c r="AB233" s="3">
        <v>1</v>
      </c>
      <c r="AC233" s="2">
        <v>175</v>
      </c>
      <c r="AD233" s="3">
        <v>0</v>
      </c>
      <c r="AE233" s="2">
        <v>0</v>
      </c>
      <c r="AF233" s="2">
        <v>175</v>
      </c>
      <c r="AK233">
        <v>6041503</v>
      </c>
    </row>
    <row r="234" spans="1:38" x14ac:dyDescent="0.25">
      <c r="A234" s="1">
        <v>45986</v>
      </c>
      <c r="B234" s="1">
        <v>45987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630</v>
      </c>
      <c r="J234" t="s">
        <v>631</v>
      </c>
      <c r="O234" t="s">
        <v>632</v>
      </c>
      <c r="P234" t="s">
        <v>633</v>
      </c>
      <c r="Q234" t="s">
        <v>634</v>
      </c>
      <c r="R234" t="s">
        <v>635</v>
      </c>
      <c r="S234" s="1">
        <v>45931</v>
      </c>
      <c r="U234" t="s">
        <v>51</v>
      </c>
      <c r="X234" t="s">
        <v>52</v>
      </c>
      <c r="Y234" s="2">
        <v>163.4</v>
      </c>
      <c r="Z234" s="2">
        <v>163.4</v>
      </c>
      <c r="AA234">
        <v>9</v>
      </c>
      <c r="AB234" s="3">
        <v>0.03</v>
      </c>
      <c r="AC234" s="2">
        <v>44.12</v>
      </c>
      <c r="AD234" s="3">
        <v>0</v>
      </c>
      <c r="AE234" s="2">
        <v>0</v>
      </c>
      <c r="AF234" s="2">
        <v>44.12</v>
      </c>
      <c r="AK234">
        <v>6042456</v>
      </c>
    </row>
    <row r="235" spans="1:38" x14ac:dyDescent="0.25">
      <c r="A235" s="1">
        <v>45986</v>
      </c>
      <c r="B235" s="1">
        <v>45987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636</v>
      </c>
      <c r="J235" t="s">
        <v>637</v>
      </c>
      <c r="M235" t="s">
        <v>59</v>
      </c>
      <c r="O235" t="s">
        <v>60</v>
      </c>
      <c r="P235" t="s">
        <v>61</v>
      </c>
      <c r="Q235" t="s">
        <v>49</v>
      </c>
      <c r="R235" t="s">
        <v>638</v>
      </c>
      <c r="S235" s="1">
        <v>45962</v>
      </c>
      <c r="U235" t="s">
        <v>51</v>
      </c>
      <c r="X235" t="s">
        <v>52</v>
      </c>
      <c r="Y235" s="2">
        <v>0</v>
      </c>
      <c r="Z235" s="2">
        <v>4.17</v>
      </c>
      <c r="AA235">
        <v>1</v>
      </c>
      <c r="AB235" s="3">
        <v>1</v>
      </c>
      <c r="AC235" s="2">
        <v>4.17</v>
      </c>
      <c r="AD235" s="3">
        <v>0</v>
      </c>
      <c r="AE235" s="2">
        <v>0</v>
      </c>
      <c r="AF235" s="2">
        <v>4.17</v>
      </c>
      <c r="AK235">
        <v>6040415</v>
      </c>
      <c r="AL235" t="s">
        <v>639</v>
      </c>
    </row>
    <row r="236" spans="1:38" x14ac:dyDescent="0.25">
      <c r="A236" s="1">
        <v>45986</v>
      </c>
      <c r="B236" s="1">
        <v>45987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640</v>
      </c>
      <c r="J236" t="s">
        <v>641</v>
      </c>
      <c r="M236" t="s">
        <v>46</v>
      </c>
      <c r="O236" t="s">
        <v>55</v>
      </c>
      <c r="P236" t="s">
        <v>56</v>
      </c>
      <c r="Q236" t="s">
        <v>49</v>
      </c>
      <c r="R236" t="s">
        <v>638</v>
      </c>
      <c r="S236" s="1">
        <v>45962</v>
      </c>
      <c r="U236" t="s">
        <v>51</v>
      </c>
      <c r="X236" t="s">
        <v>52</v>
      </c>
      <c r="Y236" s="2">
        <v>0</v>
      </c>
      <c r="Z236" s="2">
        <v>4.17</v>
      </c>
      <c r="AA236">
        <v>1</v>
      </c>
      <c r="AB236" s="3">
        <v>1</v>
      </c>
      <c r="AC236" s="2">
        <v>4.17</v>
      </c>
      <c r="AD236" s="3">
        <v>0</v>
      </c>
      <c r="AE236" s="2">
        <v>0</v>
      </c>
      <c r="AF236" s="2">
        <v>4.17</v>
      </c>
      <c r="AK236">
        <v>6040465</v>
      </c>
      <c r="AL236" t="s">
        <v>639</v>
      </c>
    </row>
    <row r="237" spans="1:38" x14ac:dyDescent="0.25">
      <c r="A237" s="1">
        <v>45986</v>
      </c>
      <c r="B237" s="1">
        <v>45987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642</v>
      </c>
      <c r="J237" t="s">
        <v>643</v>
      </c>
      <c r="M237" t="s">
        <v>46</v>
      </c>
      <c r="O237" t="s">
        <v>55</v>
      </c>
      <c r="P237" t="s">
        <v>56</v>
      </c>
      <c r="Q237" t="s">
        <v>49</v>
      </c>
      <c r="R237" t="s">
        <v>638</v>
      </c>
      <c r="S237" s="1">
        <v>45992</v>
      </c>
      <c r="U237" t="s">
        <v>51</v>
      </c>
      <c r="X237" t="s">
        <v>52</v>
      </c>
      <c r="Y237" s="2">
        <v>0</v>
      </c>
      <c r="Z237" s="2">
        <v>2.08</v>
      </c>
      <c r="AA237">
        <v>1</v>
      </c>
      <c r="AB237" s="3">
        <v>1</v>
      </c>
      <c r="AC237" s="2">
        <v>2.08</v>
      </c>
      <c r="AD237" s="3">
        <v>0</v>
      </c>
      <c r="AE237" s="2">
        <v>0</v>
      </c>
      <c r="AF237" s="2">
        <v>2.08</v>
      </c>
      <c r="AK237">
        <v>6040466</v>
      </c>
      <c r="AL237" t="s">
        <v>644</v>
      </c>
    </row>
    <row r="238" spans="1:38" x14ac:dyDescent="0.25">
      <c r="A238" s="1">
        <v>45986</v>
      </c>
      <c r="B238" s="1">
        <v>45987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645</v>
      </c>
      <c r="J238" t="s">
        <v>646</v>
      </c>
      <c r="M238" t="s">
        <v>46</v>
      </c>
      <c r="O238" t="s">
        <v>391</v>
      </c>
      <c r="P238" t="s">
        <v>392</v>
      </c>
      <c r="Q238" t="s">
        <v>49</v>
      </c>
      <c r="R238" t="s">
        <v>647</v>
      </c>
      <c r="S238" s="1">
        <v>45962</v>
      </c>
      <c r="U238" t="s">
        <v>51</v>
      </c>
      <c r="X238" t="s">
        <v>52</v>
      </c>
      <c r="Y238" s="2">
        <v>0</v>
      </c>
      <c r="Z238" s="2">
        <v>2.5</v>
      </c>
      <c r="AA238">
        <v>1</v>
      </c>
      <c r="AB238" s="3">
        <v>1</v>
      </c>
      <c r="AC238" s="2">
        <v>2.5</v>
      </c>
      <c r="AD238" s="3">
        <v>0</v>
      </c>
      <c r="AE238" s="2">
        <v>0</v>
      </c>
      <c r="AF238" s="2">
        <v>2.5</v>
      </c>
      <c r="AK238">
        <v>6040428</v>
      </c>
      <c r="AL238" t="s">
        <v>639</v>
      </c>
    </row>
    <row r="239" spans="1:38" x14ac:dyDescent="0.25">
      <c r="A239" s="1">
        <v>45986</v>
      </c>
      <c r="B239" s="1">
        <v>45987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648</v>
      </c>
      <c r="J239" t="s">
        <v>649</v>
      </c>
      <c r="M239" t="s">
        <v>207</v>
      </c>
      <c r="O239" t="s">
        <v>650</v>
      </c>
      <c r="P239" t="s">
        <v>651</v>
      </c>
      <c r="Q239" t="s">
        <v>49</v>
      </c>
      <c r="R239" t="s">
        <v>647</v>
      </c>
      <c r="S239" s="1">
        <v>45962</v>
      </c>
      <c r="U239" t="s">
        <v>51</v>
      </c>
      <c r="X239" t="s">
        <v>52</v>
      </c>
      <c r="Y239" s="2">
        <v>0</v>
      </c>
      <c r="Z239" s="2">
        <v>2.5</v>
      </c>
      <c r="AA239">
        <v>1</v>
      </c>
      <c r="AB239" s="3">
        <v>1</v>
      </c>
      <c r="AC239" s="2">
        <v>2.5</v>
      </c>
      <c r="AD239" s="3">
        <v>0</v>
      </c>
      <c r="AE239" s="2">
        <v>0</v>
      </c>
      <c r="AF239" s="2">
        <v>2.5</v>
      </c>
      <c r="AK239">
        <v>6040437</v>
      </c>
      <c r="AL239" t="s">
        <v>639</v>
      </c>
    </row>
    <row r="240" spans="1:38" x14ac:dyDescent="0.25">
      <c r="A240" s="1">
        <v>45986</v>
      </c>
      <c r="B240" s="1">
        <v>45987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652</v>
      </c>
      <c r="J240" t="s">
        <v>653</v>
      </c>
      <c r="M240" t="s">
        <v>207</v>
      </c>
      <c r="O240" t="s">
        <v>654</v>
      </c>
      <c r="P240" t="s">
        <v>655</v>
      </c>
      <c r="Q240" t="s">
        <v>49</v>
      </c>
      <c r="R240" t="s">
        <v>647</v>
      </c>
      <c r="S240" s="1">
        <v>45962</v>
      </c>
      <c r="U240" t="s">
        <v>51</v>
      </c>
      <c r="X240" t="s">
        <v>52</v>
      </c>
      <c r="Y240" s="2">
        <v>0</v>
      </c>
      <c r="Z240" s="2">
        <v>2.5</v>
      </c>
      <c r="AA240">
        <v>1</v>
      </c>
      <c r="AB240" s="3">
        <v>1</v>
      </c>
      <c r="AC240" s="2">
        <v>2.5</v>
      </c>
      <c r="AD240" s="3">
        <v>0</v>
      </c>
      <c r="AE240" s="2">
        <v>0</v>
      </c>
      <c r="AF240" s="2">
        <v>2.5</v>
      </c>
      <c r="AK240">
        <v>6040451</v>
      </c>
      <c r="AL240" t="s">
        <v>639</v>
      </c>
    </row>
    <row r="241" spans="1:38" x14ac:dyDescent="0.25">
      <c r="A241" s="1">
        <v>45986</v>
      </c>
      <c r="B241" s="1">
        <v>45987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656</v>
      </c>
      <c r="J241" t="s">
        <v>657</v>
      </c>
      <c r="M241" t="s">
        <v>266</v>
      </c>
      <c r="O241" t="s">
        <v>658</v>
      </c>
      <c r="P241" t="s">
        <v>659</v>
      </c>
      <c r="Q241" t="s">
        <v>49</v>
      </c>
      <c r="R241" t="s">
        <v>647</v>
      </c>
      <c r="S241" s="1">
        <v>45992</v>
      </c>
      <c r="U241" t="s">
        <v>51</v>
      </c>
      <c r="X241" t="s">
        <v>52</v>
      </c>
      <c r="Y241" s="2">
        <v>0</v>
      </c>
      <c r="Z241" s="2">
        <v>1.25</v>
      </c>
      <c r="AA241">
        <v>1</v>
      </c>
      <c r="AB241" s="3">
        <v>1</v>
      </c>
      <c r="AC241" s="2">
        <v>1.25</v>
      </c>
      <c r="AD241" s="3">
        <v>0</v>
      </c>
      <c r="AE241" s="2">
        <v>0</v>
      </c>
      <c r="AF241" s="2">
        <v>1.25</v>
      </c>
      <c r="AK241">
        <v>6040452</v>
      </c>
      <c r="AL241" t="s">
        <v>644</v>
      </c>
    </row>
    <row r="242" spans="1:38" x14ac:dyDescent="0.25">
      <c r="A242" s="1">
        <v>45986</v>
      </c>
      <c r="B242" s="1">
        <v>45987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660</v>
      </c>
      <c r="J242" t="s">
        <v>661</v>
      </c>
      <c r="M242" t="s">
        <v>46</v>
      </c>
      <c r="O242" t="s">
        <v>154</v>
      </c>
      <c r="P242" t="s">
        <v>155</v>
      </c>
      <c r="Q242" t="s">
        <v>49</v>
      </c>
      <c r="R242" t="s">
        <v>647</v>
      </c>
      <c r="S242" s="1">
        <v>45962</v>
      </c>
      <c r="U242" t="s">
        <v>51</v>
      </c>
      <c r="X242" t="s">
        <v>52</v>
      </c>
      <c r="Y242" s="2">
        <v>0</v>
      </c>
      <c r="Z242" s="2">
        <v>2.5</v>
      </c>
      <c r="AA242">
        <v>1</v>
      </c>
      <c r="AB242" s="3">
        <v>1</v>
      </c>
      <c r="AC242" s="2">
        <v>2.5</v>
      </c>
      <c r="AD242" s="3">
        <v>0</v>
      </c>
      <c r="AE242" s="2">
        <v>0</v>
      </c>
      <c r="AF242" s="2">
        <v>2.5</v>
      </c>
      <c r="AK242">
        <v>6040453</v>
      </c>
      <c r="AL242" t="s">
        <v>639</v>
      </c>
    </row>
    <row r="243" spans="1:38" x14ac:dyDescent="0.25">
      <c r="A243" s="1">
        <v>45986</v>
      </c>
      <c r="B243" s="1">
        <v>45987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662</v>
      </c>
      <c r="J243" t="s">
        <v>663</v>
      </c>
      <c r="M243" t="s">
        <v>371</v>
      </c>
      <c r="O243" t="s">
        <v>372</v>
      </c>
      <c r="P243" t="s">
        <v>373</v>
      </c>
      <c r="Q243" t="s">
        <v>49</v>
      </c>
      <c r="R243" t="s">
        <v>664</v>
      </c>
      <c r="S243" s="1">
        <v>46023</v>
      </c>
      <c r="U243" t="s">
        <v>51</v>
      </c>
      <c r="X243" t="s">
        <v>52</v>
      </c>
      <c r="Y243" s="2">
        <v>0</v>
      </c>
      <c r="Z243" s="2">
        <v>72</v>
      </c>
      <c r="AA243">
        <v>1</v>
      </c>
      <c r="AB243" s="3">
        <v>1</v>
      </c>
      <c r="AC243" s="2">
        <v>72</v>
      </c>
      <c r="AD243" s="3">
        <v>0</v>
      </c>
      <c r="AE243" s="2">
        <v>0</v>
      </c>
      <c r="AF243" s="2">
        <v>72</v>
      </c>
      <c r="AK243">
        <v>6042229</v>
      </c>
      <c r="AL243" t="s">
        <v>665</v>
      </c>
    </row>
    <row r="244" spans="1:38" x14ac:dyDescent="0.25">
      <c r="A244" s="1">
        <v>45986</v>
      </c>
      <c r="B244" s="1">
        <v>45987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666</v>
      </c>
      <c r="J244" t="s">
        <v>667</v>
      </c>
      <c r="M244" t="s">
        <v>380</v>
      </c>
      <c r="O244" t="s">
        <v>668</v>
      </c>
      <c r="P244" t="s">
        <v>669</v>
      </c>
      <c r="Q244" t="s">
        <v>49</v>
      </c>
      <c r="R244" t="s">
        <v>670</v>
      </c>
      <c r="S244" s="1">
        <v>46023</v>
      </c>
      <c r="U244" t="s">
        <v>51</v>
      </c>
      <c r="X244" t="s">
        <v>52</v>
      </c>
      <c r="Y244" s="2">
        <v>0</v>
      </c>
      <c r="Z244" s="2">
        <v>175</v>
      </c>
      <c r="AA244">
        <v>1</v>
      </c>
      <c r="AB244" s="3">
        <v>1</v>
      </c>
      <c r="AC244" s="2">
        <v>175</v>
      </c>
      <c r="AD244" s="3">
        <v>0</v>
      </c>
      <c r="AE244" s="2">
        <v>0</v>
      </c>
      <c r="AF244" s="2">
        <v>175</v>
      </c>
      <c r="AK244">
        <v>6042402</v>
      </c>
    </row>
    <row r="245" spans="1:38" x14ac:dyDescent="0.25">
      <c r="A245" s="1">
        <v>45986</v>
      </c>
      <c r="B245" s="1">
        <v>45987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671</v>
      </c>
      <c r="J245" t="s">
        <v>672</v>
      </c>
      <c r="M245" t="s">
        <v>673</v>
      </c>
      <c r="O245" t="s">
        <v>297</v>
      </c>
      <c r="P245" t="s">
        <v>298</v>
      </c>
      <c r="Q245" t="s">
        <v>49</v>
      </c>
      <c r="R245" t="s">
        <v>674</v>
      </c>
      <c r="S245" s="1">
        <v>45931</v>
      </c>
      <c r="U245" t="s">
        <v>51</v>
      </c>
      <c r="X245" t="s">
        <v>52</v>
      </c>
      <c r="Y245" s="2">
        <v>0</v>
      </c>
      <c r="Z245" s="2">
        <v>175</v>
      </c>
      <c r="AA245">
        <v>1</v>
      </c>
      <c r="AB245" s="3">
        <v>1</v>
      </c>
      <c r="AC245" s="2">
        <v>175</v>
      </c>
      <c r="AD245" s="3">
        <v>0</v>
      </c>
      <c r="AE245" s="2">
        <v>0</v>
      </c>
      <c r="AF245" s="2">
        <v>175</v>
      </c>
      <c r="AK245">
        <v>6040485</v>
      </c>
    </row>
    <row r="246" spans="1:38" x14ac:dyDescent="0.25">
      <c r="A246" s="1">
        <v>45986</v>
      </c>
      <c r="B246" s="1">
        <v>45987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675</v>
      </c>
      <c r="J246" t="s">
        <v>676</v>
      </c>
      <c r="M246" t="s">
        <v>46</v>
      </c>
      <c r="O246" t="s">
        <v>301</v>
      </c>
      <c r="P246" t="s">
        <v>302</v>
      </c>
      <c r="Q246" t="s">
        <v>49</v>
      </c>
      <c r="R246" t="s">
        <v>677</v>
      </c>
      <c r="S246" s="1">
        <v>45962</v>
      </c>
      <c r="U246" t="s">
        <v>51</v>
      </c>
      <c r="X246" t="s">
        <v>52</v>
      </c>
      <c r="Y246" s="2">
        <v>0</v>
      </c>
      <c r="Z246" s="2">
        <v>100</v>
      </c>
      <c r="AA246">
        <v>1</v>
      </c>
      <c r="AB246" s="3">
        <v>1</v>
      </c>
      <c r="AC246" s="2">
        <v>100</v>
      </c>
      <c r="AD246" s="3">
        <v>0</v>
      </c>
      <c r="AE246" s="2">
        <v>0</v>
      </c>
      <c r="AF246" s="2">
        <v>100</v>
      </c>
      <c r="AK246">
        <v>6040599</v>
      </c>
    </row>
    <row r="247" spans="1:38" x14ac:dyDescent="0.25">
      <c r="A247" s="1">
        <v>45986</v>
      </c>
      <c r="B247" s="1">
        <v>45987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678</v>
      </c>
      <c r="J247" t="s">
        <v>679</v>
      </c>
      <c r="M247" t="s">
        <v>673</v>
      </c>
      <c r="O247" t="s">
        <v>297</v>
      </c>
      <c r="P247" t="s">
        <v>298</v>
      </c>
      <c r="Q247" t="s">
        <v>49</v>
      </c>
      <c r="R247" t="s">
        <v>674</v>
      </c>
      <c r="S247" s="1">
        <v>45931</v>
      </c>
      <c r="U247" t="s">
        <v>51</v>
      </c>
      <c r="X247" t="s">
        <v>52</v>
      </c>
      <c r="Y247" s="2">
        <v>0</v>
      </c>
      <c r="Z247" s="2">
        <v>175</v>
      </c>
      <c r="AA247">
        <v>1</v>
      </c>
      <c r="AB247" s="3">
        <v>1</v>
      </c>
      <c r="AC247" s="2">
        <v>175</v>
      </c>
      <c r="AD247" s="3">
        <v>0</v>
      </c>
      <c r="AE247" s="2">
        <v>0</v>
      </c>
      <c r="AF247" s="2">
        <v>175</v>
      </c>
      <c r="AK247">
        <v>6040503</v>
      </c>
    </row>
    <row r="248" spans="1:38" x14ac:dyDescent="0.25">
      <c r="A248" s="1">
        <v>45986</v>
      </c>
      <c r="B248" s="1">
        <v>45987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680</v>
      </c>
      <c r="J248" t="s">
        <v>681</v>
      </c>
      <c r="O248" t="s">
        <v>632</v>
      </c>
      <c r="P248" t="s">
        <v>633</v>
      </c>
      <c r="Q248" t="s">
        <v>634</v>
      </c>
      <c r="R248" t="s">
        <v>635</v>
      </c>
      <c r="S248" s="1">
        <v>45931</v>
      </c>
      <c r="U248" t="s">
        <v>51</v>
      </c>
      <c r="X248" t="s">
        <v>52</v>
      </c>
      <c r="Y248" s="2">
        <v>147.6</v>
      </c>
      <c r="Z248" s="2">
        <v>147.6</v>
      </c>
      <c r="AA248">
        <v>9</v>
      </c>
      <c r="AB248" s="3">
        <v>0.03</v>
      </c>
      <c r="AC248" s="2">
        <v>39.85</v>
      </c>
      <c r="AD248" s="3">
        <v>0</v>
      </c>
      <c r="AE248" s="2">
        <v>0</v>
      </c>
      <c r="AF248" s="2">
        <v>39.85</v>
      </c>
      <c r="AK248">
        <v>6042462</v>
      </c>
    </row>
    <row r="249" spans="1:38" x14ac:dyDescent="0.25">
      <c r="A249" s="1">
        <v>45986</v>
      </c>
      <c r="B249" s="1">
        <v>45987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682</v>
      </c>
      <c r="J249" t="s">
        <v>683</v>
      </c>
      <c r="O249" t="s">
        <v>632</v>
      </c>
      <c r="P249" t="s">
        <v>633</v>
      </c>
      <c r="Q249" t="s">
        <v>634</v>
      </c>
      <c r="R249" t="s">
        <v>635</v>
      </c>
      <c r="S249" s="1">
        <v>45931</v>
      </c>
      <c r="U249" t="s">
        <v>51</v>
      </c>
      <c r="X249" t="s">
        <v>52</v>
      </c>
      <c r="Y249" s="2">
        <v>176.8</v>
      </c>
      <c r="Z249" s="2">
        <v>176.8</v>
      </c>
      <c r="AA249">
        <v>9</v>
      </c>
      <c r="AB249" s="3">
        <v>0.03</v>
      </c>
      <c r="AC249" s="2">
        <v>47.74</v>
      </c>
      <c r="AD249" s="3">
        <v>0</v>
      </c>
      <c r="AE249" s="2">
        <v>0</v>
      </c>
      <c r="AF249" s="2">
        <v>47.74</v>
      </c>
      <c r="AK249">
        <v>6042464</v>
      </c>
    </row>
    <row r="250" spans="1:38" x14ac:dyDescent="0.25">
      <c r="A250" s="1">
        <v>45986</v>
      </c>
      <c r="B250" s="1">
        <v>45987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684</v>
      </c>
      <c r="J250" t="s">
        <v>685</v>
      </c>
      <c r="O250" t="s">
        <v>632</v>
      </c>
      <c r="P250" t="s">
        <v>633</v>
      </c>
      <c r="Q250" t="s">
        <v>634</v>
      </c>
      <c r="R250" t="s">
        <v>635</v>
      </c>
      <c r="S250" s="1">
        <v>45931</v>
      </c>
      <c r="U250" t="s">
        <v>51</v>
      </c>
      <c r="X250" t="s">
        <v>52</v>
      </c>
      <c r="Y250" s="2">
        <v>147.6</v>
      </c>
      <c r="Z250" s="2">
        <v>147.6</v>
      </c>
      <c r="AA250">
        <v>9</v>
      </c>
      <c r="AB250" s="3">
        <v>0.03</v>
      </c>
      <c r="AC250" s="2">
        <v>39.85</v>
      </c>
      <c r="AD250" s="3">
        <v>0</v>
      </c>
      <c r="AE250" s="2">
        <v>0</v>
      </c>
      <c r="AF250" s="2">
        <v>39.85</v>
      </c>
      <c r="AK250">
        <v>6042465</v>
      </c>
    </row>
    <row r="251" spans="1:38" x14ac:dyDescent="0.25">
      <c r="A251" s="1">
        <v>45986</v>
      </c>
      <c r="B251" s="1">
        <v>45987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686</v>
      </c>
      <c r="J251" t="s">
        <v>687</v>
      </c>
      <c r="O251" t="s">
        <v>632</v>
      </c>
      <c r="P251" t="s">
        <v>633</v>
      </c>
      <c r="Q251" t="s">
        <v>634</v>
      </c>
      <c r="R251" t="s">
        <v>635</v>
      </c>
      <c r="S251" s="1">
        <v>45931</v>
      </c>
      <c r="U251" t="s">
        <v>51</v>
      </c>
      <c r="X251" t="s">
        <v>52</v>
      </c>
      <c r="Y251" s="2">
        <v>157.80000000000001</v>
      </c>
      <c r="Z251" s="2">
        <v>157.80000000000001</v>
      </c>
      <c r="AA251">
        <v>9</v>
      </c>
      <c r="AB251" s="3">
        <v>0.03</v>
      </c>
      <c r="AC251" s="2">
        <v>42.61</v>
      </c>
      <c r="AD251" s="3">
        <v>0</v>
      </c>
      <c r="AE251" s="2">
        <v>0</v>
      </c>
      <c r="AF251" s="2">
        <v>42.61</v>
      </c>
      <c r="AK251">
        <v>6042470</v>
      </c>
    </row>
    <row r="252" spans="1:38" x14ac:dyDescent="0.25">
      <c r="A252" s="1">
        <v>45986</v>
      </c>
      <c r="B252" s="1">
        <v>45987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688</v>
      </c>
      <c r="J252" t="s">
        <v>689</v>
      </c>
      <c r="M252" t="s">
        <v>46</v>
      </c>
      <c r="O252" t="s">
        <v>628</v>
      </c>
      <c r="P252" t="s">
        <v>629</v>
      </c>
      <c r="Q252" t="s">
        <v>49</v>
      </c>
      <c r="R252" t="s">
        <v>670</v>
      </c>
      <c r="S252" s="1">
        <v>46023</v>
      </c>
      <c r="U252" t="s">
        <v>51</v>
      </c>
      <c r="X252" t="s">
        <v>52</v>
      </c>
      <c r="Y252" s="2">
        <v>0</v>
      </c>
      <c r="Z252" s="2">
        <v>175</v>
      </c>
      <c r="AA252">
        <v>1</v>
      </c>
      <c r="AB252" s="3">
        <v>1</v>
      </c>
      <c r="AC252" s="2">
        <v>175</v>
      </c>
      <c r="AD252" s="3">
        <v>0</v>
      </c>
      <c r="AE252" s="2">
        <v>0</v>
      </c>
      <c r="AF252" s="2">
        <v>175</v>
      </c>
      <c r="AK252">
        <v>6042412</v>
      </c>
    </row>
    <row r="253" spans="1:38" x14ac:dyDescent="0.25">
      <c r="A253" s="1">
        <v>45986</v>
      </c>
      <c r="B253" s="1">
        <v>45987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690</v>
      </c>
      <c r="J253" t="s">
        <v>691</v>
      </c>
      <c r="M253" t="s">
        <v>71</v>
      </c>
      <c r="O253" t="s">
        <v>72</v>
      </c>
      <c r="P253" t="s">
        <v>73</v>
      </c>
      <c r="Q253" t="s">
        <v>49</v>
      </c>
      <c r="R253" t="s">
        <v>670</v>
      </c>
      <c r="S253" s="1">
        <v>46023</v>
      </c>
      <c r="U253" t="s">
        <v>51</v>
      </c>
      <c r="X253" t="s">
        <v>52</v>
      </c>
      <c r="Y253" s="2">
        <v>0</v>
      </c>
      <c r="Z253" s="2">
        <v>175</v>
      </c>
      <c r="AA253">
        <v>1</v>
      </c>
      <c r="AB253" s="3">
        <v>1</v>
      </c>
      <c r="AC253" s="2">
        <v>175</v>
      </c>
      <c r="AD253" s="3">
        <v>0</v>
      </c>
      <c r="AE253" s="2">
        <v>0</v>
      </c>
      <c r="AF253" s="2">
        <v>175</v>
      </c>
      <c r="AK253">
        <v>6042413</v>
      </c>
    </row>
    <row r="254" spans="1:38" x14ac:dyDescent="0.25">
      <c r="A254" s="1">
        <v>45986</v>
      </c>
      <c r="B254" s="1">
        <v>45987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692</v>
      </c>
      <c r="J254" t="s">
        <v>693</v>
      </c>
      <c r="M254" t="s">
        <v>59</v>
      </c>
      <c r="O254" t="s">
        <v>694</v>
      </c>
      <c r="P254" t="s">
        <v>695</v>
      </c>
      <c r="Q254" t="s">
        <v>49</v>
      </c>
      <c r="R254" t="s">
        <v>670</v>
      </c>
      <c r="S254" s="1">
        <v>46023</v>
      </c>
      <c r="U254" t="s">
        <v>51</v>
      </c>
      <c r="X254" t="s">
        <v>52</v>
      </c>
      <c r="Y254" s="2">
        <v>0</v>
      </c>
      <c r="Z254" s="2">
        <v>175</v>
      </c>
      <c r="AA254">
        <v>1</v>
      </c>
      <c r="AB254" s="3">
        <v>1</v>
      </c>
      <c r="AC254" s="2">
        <v>175</v>
      </c>
      <c r="AD254" s="3">
        <v>0</v>
      </c>
      <c r="AE254" s="2">
        <v>0</v>
      </c>
      <c r="AF254" s="2">
        <v>175</v>
      </c>
      <c r="AK254">
        <v>6042414</v>
      </c>
    </row>
    <row r="255" spans="1:38" x14ac:dyDescent="0.25">
      <c r="A255" s="1">
        <v>45986</v>
      </c>
      <c r="B255" s="1">
        <v>45987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696</v>
      </c>
      <c r="J255" t="s">
        <v>697</v>
      </c>
      <c r="M255" t="s">
        <v>371</v>
      </c>
      <c r="O255" t="s">
        <v>72</v>
      </c>
      <c r="P255" t="s">
        <v>73</v>
      </c>
      <c r="Q255" t="s">
        <v>49</v>
      </c>
      <c r="R255" t="s">
        <v>698</v>
      </c>
      <c r="S255" s="1">
        <v>46023</v>
      </c>
      <c r="U255" t="s">
        <v>51</v>
      </c>
      <c r="X255" t="s">
        <v>52</v>
      </c>
      <c r="Y255" s="2">
        <v>0</v>
      </c>
      <c r="Z255" s="2">
        <v>113</v>
      </c>
      <c r="AA255">
        <v>1</v>
      </c>
      <c r="AB255" s="3">
        <v>1</v>
      </c>
      <c r="AC255" s="2">
        <v>113</v>
      </c>
      <c r="AD255" s="3">
        <v>0</v>
      </c>
      <c r="AE255" s="2">
        <v>0</v>
      </c>
      <c r="AF255" s="2">
        <v>113</v>
      </c>
      <c r="AK255">
        <v>6042286</v>
      </c>
    </row>
    <row r="256" spans="1:38" x14ac:dyDescent="0.25">
      <c r="A256" s="1">
        <v>45986</v>
      </c>
      <c r="B256" s="1">
        <v>45987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699</v>
      </c>
      <c r="J256" t="s">
        <v>700</v>
      </c>
      <c r="M256" t="s">
        <v>371</v>
      </c>
      <c r="O256" t="s">
        <v>297</v>
      </c>
      <c r="P256" t="s">
        <v>298</v>
      </c>
      <c r="Q256" t="s">
        <v>49</v>
      </c>
      <c r="R256" t="s">
        <v>701</v>
      </c>
      <c r="S256" s="1">
        <v>46023</v>
      </c>
      <c r="U256" t="s">
        <v>51</v>
      </c>
      <c r="X256" t="s">
        <v>52</v>
      </c>
      <c r="Y256" s="2">
        <v>0</v>
      </c>
      <c r="Z256" s="2">
        <v>50</v>
      </c>
      <c r="AA256">
        <v>1</v>
      </c>
      <c r="AB256" s="3">
        <v>1</v>
      </c>
      <c r="AC256" s="2">
        <v>50</v>
      </c>
      <c r="AD256" s="3">
        <v>0</v>
      </c>
      <c r="AE256" s="2">
        <v>0</v>
      </c>
      <c r="AF256" s="2">
        <v>50</v>
      </c>
      <c r="AK256">
        <v>6042128</v>
      </c>
      <c r="AL256" t="s">
        <v>665</v>
      </c>
    </row>
    <row r="257" spans="1:38" x14ac:dyDescent="0.25">
      <c r="A257" s="1">
        <v>45986</v>
      </c>
      <c r="B257" s="1">
        <v>45987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702</v>
      </c>
      <c r="J257" t="s">
        <v>703</v>
      </c>
      <c r="M257" t="s">
        <v>371</v>
      </c>
      <c r="O257" t="s">
        <v>305</v>
      </c>
      <c r="P257" t="s">
        <v>306</v>
      </c>
      <c r="Q257" t="s">
        <v>49</v>
      </c>
      <c r="R257" t="s">
        <v>670</v>
      </c>
      <c r="S257" s="1">
        <v>46023</v>
      </c>
      <c r="U257" t="s">
        <v>51</v>
      </c>
      <c r="X257" t="s">
        <v>52</v>
      </c>
      <c r="Y257" s="2">
        <v>0</v>
      </c>
      <c r="Z257" s="2">
        <v>175</v>
      </c>
      <c r="AA257">
        <v>1</v>
      </c>
      <c r="AB257" s="3">
        <v>1</v>
      </c>
      <c r="AC257" s="2">
        <v>175</v>
      </c>
      <c r="AD257" s="3">
        <v>0</v>
      </c>
      <c r="AE257" s="2">
        <v>0</v>
      </c>
      <c r="AF257" s="2">
        <v>175</v>
      </c>
      <c r="AK257">
        <v>6042415</v>
      </c>
    </row>
    <row r="258" spans="1:38" x14ac:dyDescent="0.25">
      <c r="A258" s="1">
        <v>45986</v>
      </c>
      <c r="B258" s="1">
        <v>45987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704</v>
      </c>
      <c r="J258" t="s">
        <v>705</v>
      </c>
      <c r="M258" t="s">
        <v>207</v>
      </c>
      <c r="O258" t="s">
        <v>427</v>
      </c>
      <c r="P258" t="s">
        <v>428</v>
      </c>
      <c r="Q258" t="s">
        <v>49</v>
      </c>
      <c r="R258" t="s">
        <v>698</v>
      </c>
      <c r="S258" s="1">
        <v>46023</v>
      </c>
      <c r="U258" t="s">
        <v>51</v>
      </c>
      <c r="X258" t="s">
        <v>52</v>
      </c>
      <c r="Y258" s="2">
        <v>0</v>
      </c>
      <c r="Z258" s="2">
        <v>113</v>
      </c>
      <c r="AA258">
        <v>1</v>
      </c>
      <c r="AB258" s="3">
        <v>1</v>
      </c>
      <c r="AC258" s="2">
        <v>113</v>
      </c>
      <c r="AD258" s="3">
        <v>0</v>
      </c>
      <c r="AE258" s="2">
        <v>0</v>
      </c>
      <c r="AF258" s="2">
        <v>113</v>
      </c>
      <c r="AK258">
        <v>6042287</v>
      </c>
    </row>
    <row r="259" spans="1:38" x14ac:dyDescent="0.25">
      <c r="A259" s="1">
        <v>45986</v>
      </c>
      <c r="B259" s="1">
        <v>45987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706</v>
      </c>
      <c r="J259" t="s">
        <v>707</v>
      </c>
      <c r="M259" t="s">
        <v>708</v>
      </c>
      <c r="O259" t="s">
        <v>72</v>
      </c>
      <c r="P259" t="s">
        <v>73</v>
      </c>
      <c r="Q259" t="s">
        <v>49</v>
      </c>
      <c r="R259" t="s">
        <v>670</v>
      </c>
      <c r="S259" s="1">
        <v>46023</v>
      </c>
      <c r="U259" t="s">
        <v>51</v>
      </c>
      <c r="X259" t="s">
        <v>52</v>
      </c>
      <c r="Y259" s="2">
        <v>0</v>
      </c>
      <c r="Z259" s="2">
        <v>175</v>
      </c>
      <c r="AA259">
        <v>1</v>
      </c>
      <c r="AB259" s="3">
        <v>1</v>
      </c>
      <c r="AC259" s="2">
        <v>175</v>
      </c>
      <c r="AD259" s="3">
        <v>0</v>
      </c>
      <c r="AE259" s="2">
        <v>0</v>
      </c>
      <c r="AF259" s="2">
        <v>175</v>
      </c>
      <c r="AK259">
        <v>6042416</v>
      </c>
    </row>
    <row r="260" spans="1:38" x14ac:dyDescent="0.25">
      <c r="A260" s="1">
        <v>45986</v>
      </c>
      <c r="B260" s="1">
        <v>45987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709</v>
      </c>
      <c r="J260" t="s">
        <v>710</v>
      </c>
      <c r="M260" t="s">
        <v>708</v>
      </c>
      <c r="O260" t="s">
        <v>72</v>
      </c>
      <c r="P260" t="s">
        <v>73</v>
      </c>
      <c r="Q260" t="s">
        <v>49</v>
      </c>
      <c r="R260" t="s">
        <v>670</v>
      </c>
      <c r="S260" s="1">
        <v>46023</v>
      </c>
      <c r="U260" t="s">
        <v>51</v>
      </c>
      <c r="X260" t="s">
        <v>52</v>
      </c>
      <c r="Y260" s="2">
        <v>0</v>
      </c>
      <c r="Z260" s="2">
        <v>175</v>
      </c>
      <c r="AA260">
        <v>1</v>
      </c>
      <c r="AB260" s="3">
        <v>1</v>
      </c>
      <c r="AC260" s="2">
        <v>175</v>
      </c>
      <c r="AD260" s="3">
        <v>0</v>
      </c>
      <c r="AE260" s="2">
        <v>0</v>
      </c>
      <c r="AF260" s="2">
        <v>175</v>
      </c>
      <c r="AK260">
        <v>6042417</v>
      </c>
    </row>
    <row r="261" spans="1:38" x14ac:dyDescent="0.25">
      <c r="A261" s="1">
        <v>45986</v>
      </c>
      <c r="B261" s="1">
        <v>45987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711</v>
      </c>
      <c r="J261" t="s">
        <v>712</v>
      </c>
      <c r="M261" t="s">
        <v>46</v>
      </c>
      <c r="O261" t="s">
        <v>391</v>
      </c>
      <c r="P261" t="s">
        <v>392</v>
      </c>
      <c r="Q261" t="s">
        <v>49</v>
      </c>
      <c r="R261" t="s">
        <v>670</v>
      </c>
      <c r="S261" s="1">
        <v>46023</v>
      </c>
      <c r="U261" t="s">
        <v>51</v>
      </c>
      <c r="X261" t="s">
        <v>52</v>
      </c>
      <c r="Y261" s="2">
        <v>0</v>
      </c>
      <c r="Z261" s="2">
        <v>175</v>
      </c>
      <c r="AA261">
        <v>1</v>
      </c>
      <c r="AB261" s="3">
        <v>1</v>
      </c>
      <c r="AC261" s="2">
        <v>175</v>
      </c>
      <c r="AD261" s="3">
        <v>0</v>
      </c>
      <c r="AE261" s="2">
        <v>0</v>
      </c>
      <c r="AF261" s="2">
        <v>175</v>
      </c>
      <c r="AK261">
        <v>6042403</v>
      </c>
    </row>
    <row r="262" spans="1:38" x14ac:dyDescent="0.25">
      <c r="A262" s="1">
        <v>45986</v>
      </c>
      <c r="B262" s="1">
        <v>45987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713</v>
      </c>
      <c r="J262" t="s">
        <v>714</v>
      </c>
      <c r="M262" t="s">
        <v>207</v>
      </c>
      <c r="O262" t="s">
        <v>715</v>
      </c>
      <c r="P262" t="s">
        <v>716</v>
      </c>
      <c r="Q262" t="s">
        <v>49</v>
      </c>
      <c r="R262" t="s">
        <v>664</v>
      </c>
      <c r="S262" s="1">
        <v>46023</v>
      </c>
      <c r="U262" t="s">
        <v>51</v>
      </c>
      <c r="X262" t="s">
        <v>52</v>
      </c>
      <c r="Y262" s="2">
        <v>0</v>
      </c>
      <c r="Z262" s="2">
        <v>72</v>
      </c>
      <c r="AA262">
        <v>1</v>
      </c>
      <c r="AB262" s="3">
        <v>1</v>
      </c>
      <c r="AC262" s="2">
        <v>72</v>
      </c>
      <c r="AD262" s="3">
        <v>0</v>
      </c>
      <c r="AE262" s="2">
        <v>0</v>
      </c>
      <c r="AF262" s="2">
        <v>72</v>
      </c>
      <c r="AK262">
        <v>6042224</v>
      </c>
      <c r="AL262" t="s">
        <v>665</v>
      </c>
    </row>
    <row r="263" spans="1:38" x14ac:dyDescent="0.25">
      <c r="A263" s="1">
        <v>45986</v>
      </c>
      <c r="B263" s="1">
        <v>45987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717</v>
      </c>
      <c r="J263" t="s">
        <v>718</v>
      </c>
      <c r="M263" t="s">
        <v>59</v>
      </c>
      <c r="O263" t="s">
        <v>694</v>
      </c>
      <c r="P263" t="s">
        <v>695</v>
      </c>
      <c r="Q263" t="s">
        <v>49</v>
      </c>
      <c r="R263" t="s">
        <v>670</v>
      </c>
      <c r="S263" s="1">
        <v>46023</v>
      </c>
      <c r="U263" t="s">
        <v>51</v>
      </c>
      <c r="X263" t="s">
        <v>52</v>
      </c>
      <c r="Y263" s="2">
        <v>0</v>
      </c>
      <c r="Z263" s="2">
        <v>175</v>
      </c>
      <c r="AA263">
        <v>1</v>
      </c>
      <c r="AB263" s="3">
        <v>1</v>
      </c>
      <c r="AC263" s="2">
        <v>175</v>
      </c>
      <c r="AD263" s="3">
        <v>0</v>
      </c>
      <c r="AE263" s="2">
        <v>0</v>
      </c>
      <c r="AF263" s="2">
        <v>175</v>
      </c>
      <c r="AK263">
        <v>6042418</v>
      </c>
    </row>
    <row r="264" spans="1:38" x14ac:dyDescent="0.25">
      <c r="A264" s="1">
        <v>45986</v>
      </c>
      <c r="B264" s="1">
        <v>45987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719</v>
      </c>
      <c r="J264" t="s">
        <v>720</v>
      </c>
      <c r="M264" t="s">
        <v>46</v>
      </c>
      <c r="O264" t="s">
        <v>391</v>
      </c>
      <c r="P264" t="s">
        <v>392</v>
      </c>
      <c r="Q264" t="s">
        <v>49</v>
      </c>
      <c r="R264" t="s">
        <v>670</v>
      </c>
      <c r="S264" s="1">
        <v>46023</v>
      </c>
      <c r="U264" t="s">
        <v>51</v>
      </c>
      <c r="X264" t="s">
        <v>52</v>
      </c>
      <c r="Y264" s="2">
        <v>0</v>
      </c>
      <c r="Z264" s="2">
        <v>175</v>
      </c>
      <c r="AA264">
        <v>1</v>
      </c>
      <c r="AB264" s="3">
        <v>1</v>
      </c>
      <c r="AC264" s="2">
        <v>175</v>
      </c>
      <c r="AD264" s="3">
        <v>0</v>
      </c>
      <c r="AE264" s="2">
        <v>0</v>
      </c>
      <c r="AF264" s="2">
        <v>175</v>
      </c>
      <c r="AK264">
        <v>6042404</v>
      </c>
    </row>
    <row r="265" spans="1:38" x14ac:dyDescent="0.25">
      <c r="A265" s="1">
        <v>45986</v>
      </c>
      <c r="B265" s="1">
        <v>45987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721</v>
      </c>
      <c r="J265" t="s">
        <v>722</v>
      </c>
      <c r="M265" t="s">
        <v>46</v>
      </c>
      <c r="O265" t="s">
        <v>628</v>
      </c>
      <c r="P265" t="s">
        <v>629</v>
      </c>
      <c r="Q265" t="s">
        <v>49</v>
      </c>
      <c r="R265" t="s">
        <v>670</v>
      </c>
      <c r="S265" s="1">
        <v>46023</v>
      </c>
      <c r="U265" t="s">
        <v>51</v>
      </c>
      <c r="X265" t="s">
        <v>52</v>
      </c>
      <c r="Y265" s="2">
        <v>0</v>
      </c>
      <c r="Z265" s="2">
        <v>175</v>
      </c>
      <c r="AA265">
        <v>1</v>
      </c>
      <c r="AB265" s="3">
        <v>1</v>
      </c>
      <c r="AC265" s="2">
        <v>175</v>
      </c>
      <c r="AD265" s="3">
        <v>0</v>
      </c>
      <c r="AE265" s="2">
        <v>0</v>
      </c>
      <c r="AF265" s="2">
        <v>175</v>
      </c>
      <c r="AK265">
        <v>6042419</v>
      </c>
    </row>
    <row r="266" spans="1:38" x14ac:dyDescent="0.25">
      <c r="A266" s="1">
        <v>45986</v>
      </c>
      <c r="B266" s="1">
        <v>45987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723</v>
      </c>
      <c r="J266" t="s">
        <v>724</v>
      </c>
      <c r="M266" t="s">
        <v>46</v>
      </c>
      <c r="O266" t="s">
        <v>391</v>
      </c>
      <c r="P266" t="s">
        <v>392</v>
      </c>
      <c r="Q266" t="s">
        <v>49</v>
      </c>
      <c r="R266" t="s">
        <v>670</v>
      </c>
      <c r="S266" s="1">
        <v>46023</v>
      </c>
      <c r="U266" t="s">
        <v>51</v>
      </c>
      <c r="X266" t="s">
        <v>52</v>
      </c>
      <c r="Y266" s="2">
        <v>0</v>
      </c>
      <c r="Z266" s="2">
        <v>175</v>
      </c>
      <c r="AA266">
        <v>1</v>
      </c>
      <c r="AB266" s="3">
        <v>1</v>
      </c>
      <c r="AC266" s="2">
        <v>175</v>
      </c>
      <c r="AD266" s="3">
        <v>0</v>
      </c>
      <c r="AE266" s="2">
        <v>0</v>
      </c>
      <c r="AF266" s="2">
        <v>175</v>
      </c>
      <c r="AK266">
        <v>6042405</v>
      </c>
    </row>
    <row r="267" spans="1:38" x14ac:dyDescent="0.25">
      <c r="A267" s="1">
        <v>45986</v>
      </c>
      <c r="B267" s="1">
        <v>45987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725</v>
      </c>
      <c r="J267" t="s">
        <v>726</v>
      </c>
      <c r="M267" t="s">
        <v>275</v>
      </c>
      <c r="O267" t="s">
        <v>276</v>
      </c>
      <c r="P267" t="s">
        <v>277</v>
      </c>
      <c r="Q267" t="s">
        <v>49</v>
      </c>
      <c r="R267" t="s">
        <v>664</v>
      </c>
      <c r="S267" s="1">
        <v>46023</v>
      </c>
      <c r="U267" t="s">
        <v>51</v>
      </c>
      <c r="X267" t="s">
        <v>52</v>
      </c>
      <c r="Y267" s="2">
        <v>0</v>
      </c>
      <c r="Z267" s="2">
        <v>72</v>
      </c>
      <c r="AA267">
        <v>1</v>
      </c>
      <c r="AB267" s="3">
        <v>1</v>
      </c>
      <c r="AC267" s="2">
        <v>72</v>
      </c>
      <c r="AD267" s="3">
        <v>0</v>
      </c>
      <c r="AE267" s="2">
        <v>0</v>
      </c>
      <c r="AF267" s="2">
        <v>72</v>
      </c>
      <c r="AK267">
        <v>6042230</v>
      </c>
      <c r="AL267" t="s">
        <v>665</v>
      </c>
    </row>
    <row r="268" spans="1:38" x14ac:dyDescent="0.25">
      <c r="A268" s="1">
        <v>45986</v>
      </c>
      <c r="B268" s="1">
        <v>45987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727</v>
      </c>
      <c r="J268" t="s">
        <v>728</v>
      </c>
      <c r="M268" t="s">
        <v>46</v>
      </c>
      <c r="O268" t="s">
        <v>391</v>
      </c>
      <c r="P268" t="s">
        <v>392</v>
      </c>
      <c r="Q268" t="s">
        <v>49</v>
      </c>
      <c r="R268" t="s">
        <v>701</v>
      </c>
      <c r="S268" s="1">
        <v>46023</v>
      </c>
      <c r="U268" t="s">
        <v>51</v>
      </c>
      <c r="X268" t="s">
        <v>52</v>
      </c>
      <c r="Y268" s="2">
        <v>0</v>
      </c>
      <c r="Z268" s="2">
        <v>50</v>
      </c>
      <c r="AA268">
        <v>1</v>
      </c>
      <c r="AB268" s="3">
        <v>1</v>
      </c>
      <c r="AC268" s="2">
        <v>50</v>
      </c>
      <c r="AD268" s="3">
        <v>0</v>
      </c>
      <c r="AE268" s="2">
        <v>0</v>
      </c>
      <c r="AF268" s="2">
        <v>50</v>
      </c>
      <c r="AK268">
        <v>6042131</v>
      </c>
      <c r="AL268" t="s">
        <v>665</v>
      </c>
    </row>
    <row r="269" spans="1:38" x14ac:dyDescent="0.25">
      <c r="A269" s="1">
        <v>45986</v>
      </c>
      <c r="B269" s="1">
        <v>45987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729</v>
      </c>
      <c r="J269" t="s">
        <v>730</v>
      </c>
      <c r="M269" t="s">
        <v>46</v>
      </c>
      <c r="O269" t="s">
        <v>114</v>
      </c>
      <c r="P269" t="s">
        <v>115</v>
      </c>
      <c r="Q269" t="s">
        <v>49</v>
      </c>
      <c r="R269" t="s">
        <v>664</v>
      </c>
      <c r="S269" s="1">
        <v>46023</v>
      </c>
      <c r="U269" t="s">
        <v>51</v>
      </c>
      <c r="X269" t="s">
        <v>52</v>
      </c>
      <c r="Y269" s="2">
        <v>0</v>
      </c>
      <c r="Z269" s="2">
        <v>72</v>
      </c>
      <c r="AA269">
        <v>1</v>
      </c>
      <c r="AB269" s="3">
        <v>1</v>
      </c>
      <c r="AC269" s="2">
        <v>72</v>
      </c>
      <c r="AD269" s="3">
        <v>0</v>
      </c>
      <c r="AE269" s="2">
        <v>0</v>
      </c>
      <c r="AF269" s="2">
        <v>72</v>
      </c>
      <c r="AK269">
        <v>6042225</v>
      </c>
      <c r="AL269" t="s">
        <v>665</v>
      </c>
    </row>
    <row r="270" spans="1:38" x14ac:dyDescent="0.25">
      <c r="A270" s="1">
        <v>45986</v>
      </c>
      <c r="B270" s="1">
        <v>45987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731</v>
      </c>
      <c r="J270" t="s">
        <v>732</v>
      </c>
      <c r="M270" t="s">
        <v>733</v>
      </c>
      <c r="O270" t="s">
        <v>55</v>
      </c>
      <c r="P270" t="s">
        <v>56</v>
      </c>
      <c r="Q270" t="s">
        <v>49</v>
      </c>
      <c r="R270" t="s">
        <v>670</v>
      </c>
      <c r="S270" s="1">
        <v>46023</v>
      </c>
      <c r="U270" t="s">
        <v>51</v>
      </c>
      <c r="X270" t="s">
        <v>52</v>
      </c>
      <c r="Y270" s="2">
        <v>0</v>
      </c>
      <c r="Z270" s="2">
        <v>175</v>
      </c>
      <c r="AA270">
        <v>1</v>
      </c>
      <c r="AB270" s="3">
        <v>1</v>
      </c>
      <c r="AC270" s="2">
        <v>175</v>
      </c>
      <c r="AD270" s="3">
        <v>0</v>
      </c>
      <c r="AE270" s="2">
        <v>0</v>
      </c>
      <c r="AF270" s="2">
        <v>175</v>
      </c>
      <c r="AK270">
        <v>6042406</v>
      </c>
    </row>
    <row r="271" spans="1:38" x14ac:dyDescent="0.25">
      <c r="A271" s="1">
        <v>45986</v>
      </c>
      <c r="B271" s="1">
        <v>45987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734</v>
      </c>
      <c r="J271" t="s">
        <v>735</v>
      </c>
      <c r="M271" t="s">
        <v>130</v>
      </c>
      <c r="O271" t="s">
        <v>55</v>
      </c>
      <c r="P271" t="s">
        <v>56</v>
      </c>
      <c r="Q271" t="s">
        <v>49</v>
      </c>
      <c r="R271" t="s">
        <v>670</v>
      </c>
      <c r="S271" s="1">
        <v>46023</v>
      </c>
      <c r="U271" t="s">
        <v>51</v>
      </c>
      <c r="X271" t="s">
        <v>52</v>
      </c>
      <c r="Y271" s="2">
        <v>0</v>
      </c>
      <c r="Z271" s="2">
        <v>175</v>
      </c>
      <c r="AA271">
        <v>1</v>
      </c>
      <c r="AB271" s="3">
        <v>1</v>
      </c>
      <c r="AC271" s="2">
        <v>175</v>
      </c>
      <c r="AD271" s="3">
        <v>0</v>
      </c>
      <c r="AE271" s="2">
        <v>0</v>
      </c>
      <c r="AF271" s="2">
        <v>175</v>
      </c>
      <c r="AK271">
        <v>6042407</v>
      </c>
    </row>
    <row r="272" spans="1:38" x14ac:dyDescent="0.25">
      <c r="A272" s="1">
        <v>45986</v>
      </c>
      <c r="B272" s="1">
        <v>45987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736</v>
      </c>
      <c r="J272" t="s">
        <v>737</v>
      </c>
      <c r="M272" t="s">
        <v>708</v>
      </c>
      <c r="O272" t="s">
        <v>372</v>
      </c>
      <c r="P272" t="s">
        <v>373</v>
      </c>
      <c r="Q272" t="s">
        <v>49</v>
      </c>
      <c r="R272" t="s">
        <v>664</v>
      </c>
      <c r="S272" s="1">
        <v>46023</v>
      </c>
      <c r="U272" t="s">
        <v>51</v>
      </c>
      <c r="X272" t="s">
        <v>52</v>
      </c>
      <c r="Y272" s="2">
        <v>0</v>
      </c>
      <c r="Z272" s="2">
        <v>72</v>
      </c>
      <c r="AA272">
        <v>1</v>
      </c>
      <c r="AB272" s="3">
        <v>1</v>
      </c>
      <c r="AC272" s="2">
        <v>72</v>
      </c>
      <c r="AD272" s="3">
        <v>0</v>
      </c>
      <c r="AE272" s="2">
        <v>0</v>
      </c>
      <c r="AF272" s="2">
        <v>72</v>
      </c>
      <c r="AK272">
        <v>6042231</v>
      </c>
      <c r="AL272" t="s">
        <v>665</v>
      </c>
    </row>
    <row r="273" spans="1:38" x14ac:dyDescent="0.25">
      <c r="A273" s="1">
        <v>45986</v>
      </c>
      <c r="B273" s="1">
        <v>45987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738</v>
      </c>
      <c r="J273" t="s">
        <v>739</v>
      </c>
      <c r="M273" t="s">
        <v>46</v>
      </c>
      <c r="O273" t="s">
        <v>154</v>
      </c>
      <c r="P273" t="s">
        <v>155</v>
      </c>
      <c r="Q273" t="s">
        <v>49</v>
      </c>
      <c r="R273" t="s">
        <v>670</v>
      </c>
      <c r="S273" s="1">
        <v>46023</v>
      </c>
      <c r="U273" t="s">
        <v>51</v>
      </c>
      <c r="X273" t="s">
        <v>52</v>
      </c>
      <c r="Y273" s="2">
        <v>0</v>
      </c>
      <c r="Z273" s="2">
        <v>175</v>
      </c>
      <c r="AA273">
        <v>1</v>
      </c>
      <c r="AB273" s="3">
        <v>1</v>
      </c>
      <c r="AC273" s="2">
        <v>175</v>
      </c>
      <c r="AD273" s="3">
        <v>0</v>
      </c>
      <c r="AE273" s="2">
        <v>0</v>
      </c>
      <c r="AF273" s="2">
        <v>175</v>
      </c>
      <c r="AK273">
        <v>6042408</v>
      </c>
    </row>
    <row r="274" spans="1:38" x14ac:dyDescent="0.25">
      <c r="A274" s="1">
        <v>45986</v>
      </c>
      <c r="B274" s="1">
        <v>45987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740</v>
      </c>
      <c r="J274" t="s">
        <v>741</v>
      </c>
      <c r="M274" t="s">
        <v>46</v>
      </c>
      <c r="O274" t="s">
        <v>297</v>
      </c>
      <c r="P274" t="s">
        <v>298</v>
      </c>
      <c r="Q274" t="s">
        <v>49</v>
      </c>
      <c r="R274" t="s">
        <v>701</v>
      </c>
      <c r="S274" s="1">
        <v>46023</v>
      </c>
      <c r="U274" t="s">
        <v>51</v>
      </c>
      <c r="X274" t="s">
        <v>52</v>
      </c>
      <c r="Y274" s="2">
        <v>0</v>
      </c>
      <c r="Z274" s="2">
        <v>50</v>
      </c>
      <c r="AA274">
        <v>1</v>
      </c>
      <c r="AB274" s="3">
        <v>1</v>
      </c>
      <c r="AC274" s="2">
        <v>50</v>
      </c>
      <c r="AD274" s="3">
        <v>0</v>
      </c>
      <c r="AE274" s="2">
        <v>0</v>
      </c>
      <c r="AF274" s="2">
        <v>50</v>
      </c>
      <c r="AK274">
        <v>6042132</v>
      </c>
      <c r="AL274" t="s">
        <v>665</v>
      </c>
    </row>
    <row r="275" spans="1:38" x14ac:dyDescent="0.25">
      <c r="A275" s="1">
        <v>45986</v>
      </c>
      <c r="B275" s="1">
        <v>45987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742</v>
      </c>
      <c r="J275" t="s">
        <v>743</v>
      </c>
      <c r="M275" t="s">
        <v>371</v>
      </c>
      <c r="O275" t="s">
        <v>297</v>
      </c>
      <c r="P275" t="s">
        <v>298</v>
      </c>
      <c r="Q275" t="s">
        <v>49</v>
      </c>
      <c r="R275" t="s">
        <v>670</v>
      </c>
      <c r="S275" s="1">
        <v>46023</v>
      </c>
      <c r="U275" t="s">
        <v>51</v>
      </c>
      <c r="X275" t="s">
        <v>52</v>
      </c>
      <c r="Y275" s="2">
        <v>0</v>
      </c>
      <c r="Z275" s="2">
        <v>175</v>
      </c>
      <c r="AA275">
        <v>1</v>
      </c>
      <c r="AB275" s="3">
        <v>1</v>
      </c>
      <c r="AC275" s="2">
        <v>175</v>
      </c>
      <c r="AD275" s="3">
        <v>0</v>
      </c>
      <c r="AE275" s="2">
        <v>0</v>
      </c>
      <c r="AF275" s="2">
        <v>175</v>
      </c>
      <c r="AK275">
        <v>6042409</v>
      </c>
    </row>
    <row r="276" spans="1:38" x14ac:dyDescent="0.25">
      <c r="A276" s="1">
        <v>45986</v>
      </c>
      <c r="B276" s="1">
        <v>45987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744</v>
      </c>
      <c r="J276" t="s">
        <v>745</v>
      </c>
      <c r="M276" t="s">
        <v>46</v>
      </c>
      <c r="O276" t="s">
        <v>84</v>
      </c>
      <c r="P276" t="s">
        <v>85</v>
      </c>
      <c r="Q276" t="s">
        <v>49</v>
      </c>
      <c r="R276" t="s">
        <v>698</v>
      </c>
      <c r="S276" s="1">
        <v>46023</v>
      </c>
      <c r="U276" t="s">
        <v>51</v>
      </c>
      <c r="X276" t="s">
        <v>52</v>
      </c>
      <c r="Y276" s="2">
        <v>0</v>
      </c>
      <c r="Z276" s="2">
        <v>113</v>
      </c>
      <c r="AA276">
        <v>1</v>
      </c>
      <c r="AB276" s="3">
        <v>1</v>
      </c>
      <c r="AC276" s="2">
        <v>113</v>
      </c>
      <c r="AD276" s="3">
        <v>0</v>
      </c>
      <c r="AE276" s="2">
        <v>0</v>
      </c>
      <c r="AF276" s="2">
        <v>113</v>
      </c>
      <c r="AK276">
        <v>6042285</v>
      </c>
    </row>
    <row r="277" spans="1:38" x14ac:dyDescent="0.25">
      <c r="A277" s="1">
        <v>45986</v>
      </c>
      <c r="B277" s="1">
        <v>45987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746</v>
      </c>
      <c r="J277" t="s">
        <v>747</v>
      </c>
      <c r="M277" t="s">
        <v>275</v>
      </c>
      <c r="O277" t="s">
        <v>276</v>
      </c>
      <c r="P277" t="s">
        <v>277</v>
      </c>
      <c r="Q277" t="s">
        <v>49</v>
      </c>
      <c r="R277" t="s">
        <v>670</v>
      </c>
      <c r="S277" s="1">
        <v>46023</v>
      </c>
      <c r="U277" t="s">
        <v>51</v>
      </c>
      <c r="X277" t="s">
        <v>52</v>
      </c>
      <c r="Y277" s="2">
        <v>0</v>
      </c>
      <c r="Z277" s="2">
        <v>175</v>
      </c>
      <c r="AA277">
        <v>1</v>
      </c>
      <c r="AB277" s="3">
        <v>1</v>
      </c>
      <c r="AC277" s="2">
        <v>175</v>
      </c>
      <c r="AD277" s="3">
        <v>0</v>
      </c>
      <c r="AE277" s="2">
        <v>0</v>
      </c>
      <c r="AF277" s="2">
        <v>175</v>
      </c>
      <c r="AK277">
        <v>6042420</v>
      </c>
    </row>
    <row r="278" spans="1:38" x14ac:dyDescent="0.25">
      <c r="A278" s="1">
        <v>45986</v>
      </c>
      <c r="B278" s="1">
        <v>45987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748</v>
      </c>
      <c r="J278" t="s">
        <v>749</v>
      </c>
      <c r="M278" t="s">
        <v>46</v>
      </c>
      <c r="O278" t="s">
        <v>114</v>
      </c>
      <c r="P278" t="s">
        <v>115</v>
      </c>
      <c r="Q278" t="s">
        <v>49</v>
      </c>
      <c r="R278" t="s">
        <v>670</v>
      </c>
      <c r="S278" s="1">
        <v>46023</v>
      </c>
      <c r="U278" t="s">
        <v>51</v>
      </c>
      <c r="X278" t="s">
        <v>52</v>
      </c>
      <c r="Y278" s="2">
        <v>0</v>
      </c>
      <c r="Z278" s="2">
        <v>175</v>
      </c>
      <c r="AA278">
        <v>1</v>
      </c>
      <c r="AB278" s="3">
        <v>1</v>
      </c>
      <c r="AC278" s="2">
        <v>175</v>
      </c>
      <c r="AD278" s="3">
        <v>0</v>
      </c>
      <c r="AE278" s="2">
        <v>0</v>
      </c>
      <c r="AF278" s="2">
        <v>175</v>
      </c>
      <c r="AK278">
        <v>6042410</v>
      </c>
    </row>
    <row r="279" spans="1:38" x14ac:dyDescent="0.25">
      <c r="A279" s="1">
        <v>45986</v>
      </c>
      <c r="B279" s="1">
        <v>45987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750</v>
      </c>
      <c r="J279" t="s">
        <v>751</v>
      </c>
      <c r="M279" t="s">
        <v>371</v>
      </c>
      <c r="O279" t="s">
        <v>72</v>
      </c>
      <c r="P279" t="s">
        <v>73</v>
      </c>
      <c r="Q279" t="s">
        <v>49</v>
      </c>
      <c r="R279" t="s">
        <v>670</v>
      </c>
      <c r="S279" s="1">
        <v>46023</v>
      </c>
      <c r="U279" t="s">
        <v>51</v>
      </c>
      <c r="X279" t="s">
        <v>52</v>
      </c>
      <c r="Y279" s="2">
        <v>0</v>
      </c>
      <c r="Z279" s="2">
        <v>175</v>
      </c>
      <c r="AA279">
        <v>1</v>
      </c>
      <c r="AB279" s="3">
        <v>1</v>
      </c>
      <c r="AC279" s="2">
        <v>175</v>
      </c>
      <c r="AD279" s="3">
        <v>0</v>
      </c>
      <c r="AE279" s="2">
        <v>0</v>
      </c>
      <c r="AF279" s="2">
        <v>175</v>
      </c>
      <c r="AK279">
        <v>6042421</v>
      </c>
    </row>
    <row r="280" spans="1:38" x14ac:dyDescent="0.25">
      <c r="A280" s="1">
        <v>45986</v>
      </c>
      <c r="B280" s="1">
        <v>45987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752</v>
      </c>
      <c r="J280" t="s">
        <v>753</v>
      </c>
      <c r="M280" t="s">
        <v>708</v>
      </c>
      <c r="O280" t="s">
        <v>372</v>
      </c>
      <c r="P280" t="s">
        <v>373</v>
      </c>
      <c r="Q280" t="s">
        <v>49</v>
      </c>
      <c r="R280" t="s">
        <v>664</v>
      </c>
      <c r="S280" s="1">
        <v>46023</v>
      </c>
      <c r="U280" t="s">
        <v>51</v>
      </c>
      <c r="X280" t="s">
        <v>52</v>
      </c>
      <c r="Y280" s="2">
        <v>0</v>
      </c>
      <c r="Z280" s="2">
        <v>72</v>
      </c>
      <c r="AA280">
        <v>1</v>
      </c>
      <c r="AB280" s="3">
        <v>1</v>
      </c>
      <c r="AC280" s="2">
        <v>72</v>
      </c>
      <c r="AD280" s="3">
        <v>0</v>
      </c>
      <c r="AE280" s="2">
        <v>0</v>
      </c>
      <c r="AF280" s="2">
        <v>72</v>
      </c>
      <c r="AK280">
        <v>6042232</v>
      </c>
      <c r="AL280" t="s">
        <v>665</v>
      </c>
    </row>
    <row r="281" spans="1:38" x14ac:dyDescent="0.25">
      <c r="A281" s="1">
        <v>45986</v>
      </c>
      <c r="B281" s="1">
        <v>45987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754</v>
      </c>
      <c r="J281" t="s">
        <v>755</v>
      </c>
      <c r="M281" t="s">
        <v>46</v>
      </c>
      <c r="O281" t="s">
        <v>144</v>
      </c>
      <c r="P281" t="s">
        <v>145</v>
      </c>
      <c r="Q281" t="s">
        <v>49</v>
      </c>
      <c r="R281" t="s">
        <v>670</v>
      </c>
      <c r="S281" s="1">
        <v>46023</v>
      </c>
      <c r="U281" t="s">
        <v>51</v>
      </c>
      <c r="X281" t="s">
        <v>52</v>
      </c>
      <c r="Y281" s="2">
        <v>0</v>
      </c>
      <c r="Z281" s="2">
        <v>175</v>
      </c>
      <c r="AA281">
        <v>1</v>
      </c>
      <c r="AB281" s="3">
        <v>1</v>
      </c>
      <c r="AC281" s="2">
        <v>175</v>
      </c>
      <c r="AD281" s="3">
        <v>0</v>
      </c>
      <c r="AE281" s="2">
        <v>0</v>
      </c>
      <c r="AF281" s="2">
        <v>175</v>
      </c>
      <c r="AK281">
        <v>6042411</v>
      </c>
    </row>
    <row r="282" spans="1:38" x14ac:dyDescent="0.25">
      <c r="A282" s="1">
        <v>45986</v>
      </c>
      <c r="B282" s="1">
        <v>45987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756</v>
      </c>
      <c r="J282" t="s">
        <v>757</v>
      </c>
      <c r="M282" t="s">
        <v>192</v>
      </c>
      <c r="O282" t="s">
        <v>758</v>
      </c>
      <c r="P282" t="s">
        <v>759</v>
      </c>
      <c r="Q282" t="s">
        <v>49</v>
      </c>
      <c r="R282" t="s">
        <v>698</v>
      </c>
      <c r="S282" s="1">
        <v>46023</v>
      </c>
      <c r="U282" t="s">
        <v>51</v>
      </c>
      <c r="X282" t="s">
        <v>52</v>
      </c>
      <c r="Y282" s="2">
        <v>0</v>
      </c>
      <c r="Z282" s="2">
        <v>113</v>
      </c>
      <c r="AA282">
        <v>1</v>
      </c>
      <c r="AB282" s="3">
        <v>1</v>
      </c>
      <c r="AC282" s="2">
        <v>113</v>
      </c>
      <c r="AD282" s="3">
        <v>0</v>
      </c>
      <c r="AE282" s="2">
        <v>0</v>
      </c>
      <c r="AF282" s="2">
        <v>113</v>
      </c>
      <c r="AK282">
        <v>6042281</v>
      </c>
    </row>
    <row r="283" spans="1:38" x14ac:dyDescent="0.25">
      <c r="A283" s="1">
        <v>45986</v>
      </c>
      <c r="B283" s="1">
        <v>45987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760</v>
      </c>
      <c r="J283" t="s">
        <v>761</v>
      </c>
      <c r="M283" t="s">
        <v>207</v>
      </c>
      <c r="O283" t="s">
        <v>650</v>
      </c>
      <c r="P283" t="s">
        <v>651</v>
      </c>
      <c r="Q283" t="s">
        <v>49</v>
      </c>
      <c r="R283" t="s">
        <v>762</v>
      </c>
      <c r="S283" s="1">
        <v>45992</v>
      </c>
      <c r="U283" t="s">
        <v>51</v>
      </c>
      <c r="X283" t="s">
        <v>52</v>
      </c>
      <c r="Y283" s="2">
        <v>0</v>
      </c>
      <c r="Z283" s="2">
        <v>29.42</v>
      </c>
      <c r="AA283">
        <v>1</v>
      </c>
      <c r="AB283" s="3">
        <v>1</v>
      </c>
      <c r="AC283" s="2">
        <v>29.42</v>
      </c>
      <c r="AD283" s="3">
        <v>0</v>
      </c>
      <c r="AE283" s="2">
        <v>0</v>
      </c>
      <c r="AF283" s="2">
        <v>29.42</v>
      </c>
      <c r="AK283">
        <v>6042441</v>
      </c>
      <c r="AL283" t="s">
        <v>644</v>
      </c>
    </row>
    <row r="284" spans="1:38" x14ac:dyDescent="0.25">
      <c r="A284" s="1">
        <v>45986</v>
      </c>
      <c r="B284" s="1">
        <v>45987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763</v>
      </c>
      <c r="J284" t="s">
        <v>761</v>
      </c>
      <c r="M284" t="s">
        <v>207</v>
      </c>
      <c r="O284" t="s">
        <v>650</v>
      </c>
      <c r="P284" t="s">
        <v>651</v>
      </c>
      <c r="Q284" t="s">
        <v>49</v>
      </c>
      <c r="R284" t="s">
        <v>670</v>
      </c>
      <c r="S284" s="1">
        <v>45992</v>
      </c>
      <c r="U284" t="s">
        <v>51</v>
      </c>
      <c r="X284" t="s">
        <v>52</v>
      </c>
      <c r="Y284" s="2">
        <v>0</v>
      </c>
      <c r="Z284" s="2">
        <v>175</v>
      </c>
      <c r="AA284">
        <v>1</v>
      </c>
      <c r="AB284" s="3">
        <v>1</v>
      </c>
      <c r="AC284" s="2">
        <v>175</v>
      </c>
      <c r="AD284" s="3">
        <v>0</v>
      </c>
      <c r="AE284" s="2">
        <v>0</v>
      </c>
      <c r="AF284" s="2">
        <v>175</v>
      </c>
      <c r="AK284">
        <v>6042440</v>
      </c>
    </row>
    <row r="285" spans="1:38" x14ac:dyDescent="0.25">
      <c r="A285" s="1">
        <v>45986</v>
      </c>
      <c r="B285" s="1">
        <v>45987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764</v>
      </c>
      <c r="J285" t="s">
        <v>765</v>
      </c>
      <c r="M285" t="s">
        <v>708</v>
      </c>
      <c r="O285" t="s">
        <v>72</v>
      </c>
      <c r="P285" t="s">
        <v>73</v>
      </c>
      <c r="Q285" t="s">
        <v>49</v>
      </c>
      <c r="R285" t="s">
        <v>670</v>
      </c>
      <c r="S285" s="1">
        <v>46023</v>
      </c>
      <c r="U285" t="s">
        <v>51</v>
      </c>
      <c r="X285" t="s">
        <v>52</v>
      </c>
      <c r="Y285" s="2">
        <v>0</v>
      </c>
      <c r="Z285" s="2">
        <v>175</v>
      </c>
      <c r="AA285">
        <v>1</v>
      </c>
      <c r="AB285" s="3">
        <v>1</v>
      </c>
      <c r="AC285" s="2">
        <v>175</v>
      </c>
      <c r="AD285" s="3">
        <v>0</v>
      </c>
      <c r="AE285" s="2">
        <v>0</v>
      </c>
      <c r="AF285" s="2">
        <v>175</v>
      </c>
      <c r="AK285">
        <v>6042422</v>
      </c>
    </row>
    <row r="286" spans="1:38" x14ac:dyDescent="0.25">
      <c r="A286" s="1">
        <v>45986</v>
      </c>
      <c r="B286" s="1">
        <v>45987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766</v>
      </c>
      <c r="J286" t="s">
        <v>767</v>
      </c>
      <c r="M286" t="s">
        <v>59</v>
      </c>
      <c r="O286" t="s">
        <v>60</v>
      </c>
      <c r="P286" t="s">
        <v>61</v>
      </c>
      <c r="Q286" t="s">
        <v>49</v>
      </c>
      <c r="R286" t="s">
        <v>664</v>
      </c>
      <c r="S286" s="1">
        <v>46023</v>
      </c>
      <c r="U286" t="s">
        <v>51</v>
      </c>
      <c r="X286" t="s">
        <v>52</v>
      </c>
      <c r="Y286" s="2">
        <v>0</v>
      </c>
      <c r="Z286" s="2">
        <v>72</v>
      </c>
      <c r="AA286">
        <v>1</v>
      </c>
      <c r="AB286" s="3">
        <v>1</v>
      </c>
      <c r="AC286" s="2">
        <v>72</v>
      </c>
      <c r="AD286" s="3">
        <v>0</v>
      </c>
      <c r="AE286" s="2">
        <v>0</v>
      </c>
      <c r="AF286" s="2">
        <v>72</v>
      </c>
      <c r="AK286">
        <v>6042233</v>
      </c>
      <c r="AL286" t="s">
        <v>665</v>
      </c>
    </row>
    <row r="287" spans="1:38" x14ac:dyDescent="0.25">
      <c r="A287" s="1">
        <v>45986</v>
      </c>
      <c r="B287" s="1">
        <v>45987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768</v>
      </c>
      <c r="J287" t="s">
        <v>769</v>
      </c>
      <c r="M287" t="s">
        <v>46</v>
      </c>
      <c r="O287" t="s">
        <v>55</v>
      </c>
      <c r="P287" t="s">
        <v>56</v>
      </c>
      <c r="Q287" t="s">
        <v>49</v>
      </c>
      <c r="R287" t="s">
        <v>664</v>
      </c>
      <c r="S287" s="1">
        <v>46023</v>
      </c>
      <c r="U287" t="s">
        <v>51</v>
      </c>
      <c r="X287" t="s">
        <v>52</v>
      </c>
      <c r="Y287" s="2">
        <v>0</v>
      </c>
      <c r="Z287" s="2">
        <v>72</v>
      </c>
      <c r="AA287">
        <v>1</v>
      </c>
      <c r="AB287" s="3">
        <v>1</v>
      </c>
      <c r="AC287" s="2">
        <v>72</v>
      </c>
      <c r="AD287" s="3">
        <v>0</v>
      </c>
      <c r="AE287" s="2">
        <v>0</v>
      </c>
      <c r="AF287" s="2">
        <v>72</v>
      </c>
      <c r="AK287">
        <v>6042226</v>
      </c>
      <c r="AL287" t="s">
        <v>665</v>
      </c>
    </row>
    <row r="288" spans="1:38" x14ac:dyDescent="0.25">
      <c r="A288" s="1">
        <v>45986</v>
      </c>
      <c r="B288" s="1">
        <v>45987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770</v>
      </c>
      <c r="J288" t="s">
        <v>771</v>
      </c>
      <c r="M288" t="s">
        <v>371</v>
      </c>
      <c r="O288" t="s">
        <v>772</v>
      </c>
      <c r="P288" t="s">
        <v>773</v>
      </c>
      <c r="Q288" t="s">
        <v>49</v>
      </c>
      <c r="R288" t="s">
        <v>664</v>
      </c>
      <c r="S288" s="1">
        <v>46023</v>
      </c>
      <c r="U288" t="s">
        <v>51</v>
      </c>
      <c r="X288" t="s">
        <v>52</v>
      </c>
      <c r="Y288" s="2">
        <v>0</v>
      </c>
      <c r="Z288" s="2">
        <v>72</v>
      </c>
      <c r="AA288">
        <v>1</v>
      </c>
      <c r="AB288" s="3">
        <v>1</v>
      </c>
      <c r="AC288" s="2">
        <v>72</v>
      </c>
      <c r="AD288" s="3">
        <v>0</v>
      </c>
      <c r="AE288" s="2">
        <v>0</v>
      </c>
      <c r="AF288" s="2">
        <v>72</v>
      </c>
      <c r="AK288">
        <v>6042227</v>
      </c>
      <c r="AL288" t="s">
        <v>665</v>
      </c>
    </row>
    <row r="289" spans="1:38" x14ac:dyDescent="0.25">
      <c r="A289" s="1">
        <v>45986</v>
      </c>
      <c r="B289" s="1">
        <v>45987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774</v>
      </c>
      <c r="J289" t="s">
        <v>775</v>
      </c>
      <c r="M289" t="s">
        <v>46</v>
      </c>
      <c r="O289" t="s">
        <v>297</v>
      </c>
      <c r="P289" t="s">
        <v>298</v>
      </c>
      <c r="Q289" t="s">
        <v>49</v>
      </c>
      <c r="R289" t="s">
        <v>664</v>
      </c>
      <c r="S289" s="1">
        <v>46023</v>
      </c>
      <c r="U289" t="s">
        <v>51</v>
      </c>
      <c r="X289" t="s">
        <v>52</v>
      </c>
      <c r="Y289" s="2">
        <v>0</v>
      </c>
      <c r="Z289" s="2">
        <v>72</v>
      </c>
      <c r="AA289">
        <v>1</v>
      </c>
      <c r="AB289" s="3">
        <v>1</v>
      </c>
      <c r="AC289" s="2">
        <v>72</v>
      </c>
      <c r="AD289" s="3">
        <v>0</v>
      </c>
      <c r="AE289" s="2">
        <v>0</v>
      </c>
      <c r="AF289" s="2">
        <v>72</v>
      </c>
      <c r="AK289">
        <v>6042228</v>
      </c>
      <c r="AL289" t="s">
        <v>665</v>
      </c>
    </row>
    <row r="290" spans="1:38" x14ac:dyDescent="0.25">
      <c r="A290" s="1">
        <v>45986</v>
      </c>
      <c r="B290" s="1">
        <v>45987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776</v>
      </c>
      <c r="J290" t="s">
        <v>777</v>
      </c>
      <c r="M290" t="s">
        <v>275</v>
      </c>
      <c r="O290" t="s">
        <v>276</v>
      </c>
      <c r="P290" t="s">
        <v>277</v>
      </c>
      <c r="Q290" t="s">
        <v>49</v>
      </c>
      <c r="R290" t="s">
        <v>778</v>
      </c>
      <c r="S290" s="1">
        <v>46023</v>
      </c>
      <c r="U290" t="s">
        <v>51</v>
      </c>
      <c r="X290" t="s">
        <v>52</v>
      </c>
      <c r="Y290" s="2">
        <v>0</v>
      </c>
      <c r="Z290" s="2">
        <v>31.02</v>
      </c>
      <c r="AA290">
        <v>9</v>
      </c>
      <c r="AB290" s="3">
        <v>1</v>
      </c>
      <c r="AC290" s="2">
        <v>279.18</v>
      </c>
      <c r="AD290" s="3">
        <v>0</v>
      </c>
      <c r="AE290" s="2">
        <v>0</v>
      </c>
      <c r="AF290" s="2">
        <v>279.18</v>
      </c>
      <c r="AK290">
        <v>6041628</v>
      </c>
    </row>
    <row r="291" spans="1:38" x14ac:dyDescent="0.25">
      <c r="A291" s="1">
        <v>45986</v>
      </c>
      <c r="B291" s="1">
        <v>45987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779</v>
      </c>
      <c r="J291" t="s">
        <v>780</v>
      </c>
      <c r="M291" t="s">
        <v>275</v>
      </c>
      <c r="O291" t="s">
        <v>276</v>
      </c>
      <c r="P291" t="s">
        <v>277</v>
      </c>
      <c r="Q291" t="s">
        <v>49</v>
      </c>
      <c r="R291" t="s">
        <v>778</v>
      </c>
      <c r="S291" s="1">
        <v>46023</v>
      </c>
      <c r="U291" t="s">
        <v>51</v>
      </c>
      <c r="X291" t="s">
        <v>52</v>
      </c>
      <c r="Y291" s="2">
        <v>0</v>
      </c>
      <c r="Z291" s="2">
        <v>31.02</v>
      </c>
      <c r="AA291">
        <v>9</v>
      </c>
      <c r="AB291" s="3">
        <v>1</v>
      </c>
      <c r="AC291" s="2">
        <v>279.18</v>
      </c>
      <c r="AD291" s="3">
        <v>0</v>
      </c>
      <c r="AE291" s="2">
        <v>0</v>
      </c>
      <c r="AF291" s="2">
        <v>279.18</v>
      </c>
      <c r="AK291">
        <v>6041627</v>
      </c>
    </row>
    <row r="292" spans="1:38" x14ac:dyDescent="0.25">
      <c r="A292" s="1">
        <v>45986</v>
      </c>
      <c r="B292" s="1">
        <v>45987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781</v>
      </c>
      <c r="J292" t="s">
        <v>782</v>
      </c>
      <c r="M292" t="s">
        <v>275</v>
      </c>
      <c r="O292" t="s">
        <v>276</v>
      </c>
      <c r="P292" t="s">
        <v>277</v>
      </c>
      <c r="Q292" t="s">
        <v>49</v>
      </c>
      <c r="R292" t="s">
        <v>778</v>
      </c>
      <c r="S292" s="1">
        <v>46054</v>
      </c>
      <c r="U292" t="s">
        <v>51</v>
      </c>
      <c r="X292" t="s">
        <v>52</v>
      </c>
      <c r="Y292" s="2">
        <v>0</v>
      </c>
      <c r="Z292" s="2">
        <v>31.02</v>
      </c>
      <c r="AA292">
        <v>9</v>
      </c>
      <c r="AB292" s="3">
        <v>1</v>
      </c>
      <c r="AC292" s="2">
        <v>279.18</v>
      </c>
      <c r="AD292" s="3">
        <v>0</v>
      </c>
      <c r="AE292" s="2">
        <v>0</v>
      </c>
      <c r="AF292" s="2">
        <v>279.18</v>
      </c>
      <c r="AK292">
        <v>6041626</v>
      </c>
    </row>
    <row r="293" spans="1:38" s="15" customFormat="1" x14ac:dyDescent="0.25">
      <c r="A293" s="16">
        <v>45986</v>
      </c>
      <c r="B293" s="16">
        <v>45987</v>
      </c>
      <c r="C293" s="15" t="s">
        <v>38</v>
      </c>
      <c r="D293" s="15" t="s">
        <v>39</v>
      </c>
      <c r="E293" s="15" t="s">
        <v>40</v>
      </c>
      <c r="F293" s="15" t="s">
        <v>41</v>
      </c>
      <c r="G293" s="15" t="s">
        <v>42</v>
      </c>
      <c r="H293" s="15" t="s">
        <v>43</v>
      </c>
      <c r="I293" s="15" t="s">
        <v>783</v>
      </c>
      <c r="J293" s="15" t="s">
        <v>784</v>
      </c>
      <c r="M293" s="15" t="s">
        <v>46</v>
      </c>
      <c r="O293" s="15" t="s">
        <v>144</v>
      </c>
      <c r="P293" s="15" t="s">
        <v>145</v>
      </c>
      <c r="Q293" s="15" t="s">
        <v>49</v>
      </c>
      <c r="R293" s="15" t="s">
        <v>785</v>
      </c>
      <c r="S293" s="16">
        <v>46023</v>
      </c>
      <c r="U293" s="15" t="s">
        <v>51</v>
      </c>
      <c r="X293" s="15" t="s">
        <v>52</v>
      </c>
      <c r="Y293" s="17">
        <v>0</v>
      </c>
      <c r="Z293" s="17">
        <v>9.83</v>
      </c>
      <c r="AA293" s="15">
        <v>9</v>
      </c>
      <c r="AB293" s="18">
        <v>1</v>
      </c>
      <c r="AC293" s="17">
        <v>88.47</v>
      </c>
      <c r="AD293" s="18">
        <v>0</v>
      </c>
      <c r="AE293" s="17">
        <v>0</v>
      </c>
      <c r="AF293" s="17">
        <v>88.47</v>
      </c>
      <c r="AK293" s="15">
        <v>6041625</v>
      </c>
    </row>
    <row r="294" spans="1:38" x14ac:dyDescent="0.25">
      <c r="A294" s="1">
        <v>45986</v>
      </c>
      <c r="B294" s="1">
        <v>45987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786</v>
      </c>
      <c r="J294" t="s">
        <v>787</v>
      </c>
      <c r="M294" t="s">
        <v>46</v>
      </c>
      <c r="O294" t="s">
        <v>80</v>
      </c>
      <c r="P294" t="s">
        <v>81</v>
      </c>
      <c r="Q294" t="s">
        <v>49</v>
      </c>
      <c r="R294" t="s">
        <v>788</v>
      </c>
      <c r="S294" s="1">
        <v>46023</v>
      </c>
      <c r="U294" t="s">
        <v>51</v>
      </c>
      <c r="X294" t="s">
        <v>52</v>
      </c>
      <c r="Y294" s="2">
        <v>0</v>
      </c>
      <c r="Z294" s="2">
        <v>31.5</v>
      </c>
      <c r="AA294">
        <v>9</v>
      </c>
      <c r="AB294" s="3">
        <v>1</v>
      </c>
      <c r="AC294" s="2">
        <v>283.5</v>
      </c>
      <c r="AD294" s="3">
        <v>0</v>
      </c>
      <c r="AE294" s="2">
        <v>0</v>
      </c>
      <c r="AF294" s="2">
        <v>283.5</v>
      </c>
      <c r="AK294">
        <v>6041624</v>
      </c>
    </row>
    <row r="295" spans="1:38" x14ac:dyDescent="0.25">
      <c r="A295" s="1">
        <v>45986</v>
      </c>
      <c r="B295" s="1">
        <v>45987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789</v>
      </c>
      <c r="J295" t="s">
        <v>790</v>
      </c>
      <c r="M295" t="s">
        <v>275</v>
      </c>
      <c r="O295" t="s">
        <v>632</v>
      </c>
      <c r="P295" t="s">
        <v>633</v>
      </c>
      <c r="Q295" t="s">
        <v>49</v>
      </c>
      <c r="R295" t="s">
        <v>778</v>
      </c>
      <c r="S295" s="1">
        <v>45992</v>
      </c>
      <c r="U295" t="s">
        <v>51</v>
      </c>
      <c r="X295" t="s">
        <v>52</v>
      </c>
      <c r="Y295" s="2">
        <v>0</v>
      </c>
      <c r="Z295" s="2">
        <v>31.02</v>
      </c>
      <c r="AA295">
        <v>9</v>
      </c>
      <c r="AB295" s="3">
        <v>1</v>
      </c>
      <c r="AC295" s="2">
        <v>279.18</v>
      </c>
      <c r="AD295" s="3">
        <v>0</v>
      </c>
      <c r="AE295" s="2">
        <v>0</v>
      </c>
      <c r="AF295" s="2">
        <v>279.18</v>
      </c>
      <c r="AK295">
        <v>6041623</v>
      </c>
    </row>
    <row r="296" spans="1:38" x14ac:dyDescent="0.25">
      <c r="A296" s="1">
        <v>45986</v>
      </c>
      <c r="B296" s="1">
        <v>45987</v>
      </c>
      <c r="C296" t="s">
        <v>791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792</v>
      </c>
      <c r="J296" t="s">
        <v>793</v>
      </c>
      <c r="M296" t="s">
        <v>401</v>
      </c>
      <c r="O296" t="s">
        <v>402</v>
      </c>
      <c r="P296" t="s">
        <v>403</v>
      </c>
      <c r="Q296" t="s">
        <v>794</v>
      </c>
      <c r="R296" t="s">
        <v>257</v>
      </c>
      <c r="S296" s="1">
        <v>46023</v>
      </c>
      <c r="U296" t="s">
        <v>51</v>
      </c>
      <c r="X296" t="s">
        <v>52</v>
      </c>
      <c r="AF296" s="2">
        <v>15</v>
      </c>
      <c r="AG296" s="2">
        <v>0</v>
      </c>
      <c r="AJ296" s="2">
        <v>15</v>
      </c>
    </row>
    <row r="297" spans="1:38" x14ac:dyDescent="0.25">
      <c r="A297" s="1">
        <v>45986</v>
      </c>
      <c r="B297" s="1">
        <v>45987</v>
      </c>
      <c r="C297" t="s">
        <v>791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795</v>
      </c>
      <c r="J297" t="s">
        <v>254</v>
      </c>
      <c r="M297" t="s">
        <v>130</v>
      </c>
      <c r="O297" t="s">
        <v>255</v>
      </c>
      <c r="P297" t="s">
        <v>256</v>
      </c>
      <c r="Q297" t="s">
        <v>794</v>
      </c>
      <c r="R297" t="s">
        <v>257</v>
      </c>
      <c r="S297" s="1">
        <v>46023</v>
      </c>
      <c r="U297" t="s">
        <v>51</v>
      </c>
      <c r="X297" t="s">
        <v>52</v>
      </c>
      <c r="AF297" s="2">
        <v>15</v>
      </c>
      <c r="AG297" s="2">
        <v>0</v>
      </c>
      <c r="AJ297" s="2">
        <v>15</v>
      </c>
    </row>
    <row r="298" spans="1:38" x14ac:dyDescent="0.25">
      <c r="A298" s="1">
        <v>45986</v>
      </c>
      <c r="B298" s="1">
        <v>45987</v>
      </c>
      <c r="C298" t="s">
        <v>791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796</v>
      </c>
      <c r="J298" t="s">
        <v>641</v>
      </c>
      <c r="M298" t="s">
        <v>46</v>
      </c>
      <c r="O298" t="s">
        <v>55</v>
      </c>
      <c r="P298" t="s">
        <v>56</v>
      </c>
      <c r="Q298" t="s">
        <v>794</v>
      </c>
      <c r="R298" t="s">
        <v>647</v>
      </c>
      <c r="S298" s="1">
        <v>45962</v>
      </c>
      <c r="U298" t="s">
        <v>51</v>
      </c>
      <c r="X298" t="s">
        <v>52</v>
      </c>
      <c r="AF298" s="2">
        <v>2.5</v>
      </c>
      <c r="AG298" s="2">
        <v>0</v>
      </c>
      <c r="AJ298" s="2">
        <v>2.5</v>
      </c>
    </row>
    <row r="299" spans="1:38" x14ac:dyDescent="0.25">
      <c r="A299" s="1">
        <v>45986</v>
      </c>
      <c r="B299" s="1">
        <v>45987</v>
      </c>
      <c r="C299" t="s">
        <v>791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797</v>
      </c>
      <c r="J299" t="s">
        <v>643</v>
      </c>
      <c r="M299" t="s">
        <v>46</v>
      </c>
      <c r="O299" t="s">
        <v>55</v>
      </c>
      <c r="P299" t="s">
        <v>56</v>
      </c>
      <c r="Q299" t="s">
        <v>794</v>
      </c>
      <c r="R299" t="s">
        <v>647</v>
      </c>
      <c r="S299" s="1">
        <v>45992</v>
      </c>
      <c r="U299" t="s">
        <v>51</v>
      </c>
      <c r="X299" t="s">
        <v>52</v>
      </c>
      <c r="AF299" s="2">
        <v>1.25</v>
      </c>
      <c r="AG299" s="2">
        <v>0</v>
      </c>
      <c r="AJ299" s="2">
        <v>1.25</v>
      </c>
    </row>
    <row r="300" spans="1:38" x14ac:dyDescent="0.25">
      <c r="A300" s="1">
        <v>45986</v>
      </c>
      <c r="B300" s="1">
        <v>45987</v>
      </c>
      <c r="C300" t="s">
        <v>791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798</v>
      </c>
      <c r="J300" t="s">
        <v>799</v>
      </c>
      <c r="M300" t="s">
        <v>59</v>
      </c>
      <c r="O300" t="s">
        <v>60</v>
      </c>
      <c r="P300" t="s">
        <v>61</v>
      </c>
      <c r="Q300" t="s">
        <v>794</v>
      </c>
      <c r="R300" t="s">
        <v>800</v>
      </c>
      <c r="S300" s="1">
        <v>45931</v>
      </c>
      <c r="U300" t="s">
        <v>51</v>
      </c>
      <c r="X300" t="s">
        <v>52</v>
      </c>
      <c r="AF300" s="2">
        <v>156.5</v>
      </c>
      <c r="AG300" s="2">
        <v>0</v>
      </c>
      <c r="AJ300" s="2">
        <v>156.5</v>
      </c>
    </row>
    <row r="301" spans="1:38" x14ac:dyDescent="0.25">
      <c r="A301" s="1">
        <v>45986</v>
      </c>
      <c r="B301" s="1">
        <v>45987</v>
      </c>
      <c r="C301" t="s">
        <v>791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801</v>
      </c>
      <c r="J301" t="s">
        <v>799</v>
      </c>
      <c r="M301" t="s">
        <v>59</v>
      </c>
      <c r="O301" t="s">
        <v>60</v>
      </c>
      <c r="P301" t="s">
        <v>61</v>
      </c>
      <c r="Q301" t="s">
        <v>794</v>
      </c>
      <c r="R301" t="s">
        <v>802</v>
      </c>
      <c r="S301" s="1">
        <v>45931</v>
      </c>
      <c r="U301" t="s">
        <v>51</v>
      </c>
      <c r="X301" t="s">
        <v>52</v>
      </c>
      <c r="AF301" s="2">
        <v>43.75</v>
      </c>
      <c r="AG301" s="2">
        <v>0</v>
      </c>
      <c r="AJ301" s="2">
        <v>43.75</v>
      </c>
    </row>
    <row r="302" spans="1:38" x14ac:dyDescent="0.25">
      <c r="A302" s="1">
        <v>45986</v>
      </c>
      <c r="B302" s="1">
        <v>45987</v>
      </c>
      <c r="C302" t="s">
        <v>791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803</v>
      </c>
      <c r="J302" t="s">
        <v>804</v>
      </c>
      <c r="M302" t="s">
        <v>192</v>
      </c>
      <c r="O302" t="s">
        <v>114</v>
      </c>
      <c r="P302" t="s">
        <v>115</v>
      </c>
      <c r="Q302" t="s">
        <v>794</v>
      </c>
      <c r="R302" t="s">
        <v>805</v>
      </c>
      <c r="S302" s="1">
        <v>45931</v>
      </c>
      <c r="U302" t="s">
        <v>51</v>
      </c>
      <c r="X302" t="s">
        <v>52</v>
      </c>
      <c r="AF302" s="2">
        <v>78.25</v>
      </c>
      <c r="AG302" s="2">
        <v>0</v>
      </c>
      <c r="AJ302" s="2">
        <v>78.25</v>
      </c>
    </row>
    <row r="303" spans="1:38" x14ac:dyDescent="0.25">
      <c r="A303" s="1">
        <v>45986</v>
      </c>
      <c r="B303" s="1">
        <v>45987</v>
      </c>
      <c r="C303" t="s">
        <v>791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806</v>
      </c>
      <c r="J303" t="s">
        <v>804</v>
      </c>
      <c r="M303" t="s">
        <v>192</v>
      </c>
      <c r="O303" t="s">
        <v>114</v>
      </c>
      <c r="P303" t="s">
        <v>115</v>
      </c>
      <c r="Q303" t="s">
        <v>794</v>
      </c>
      <c r="R303" t="s">
        <v>664</v>
      </c>
      <c r="S303" s="1">
        <v>45931</v>
      </c>
      <c r="U303" t="s">
        <v>51</v>
      </c>
      <c r="X303" t="s">
        <v>52</v>
      </c>
      <c r="AF303" s="2">
        <v>18</v>
      </c>
      <c r="AG303" s="2">
        <v>0</v>
      </c>
      <c r="AJ303" s="2">
        <v>18</v>
      </c>
    </row>
    <row r="304" spans="1:38" x14ac:dyDescent="0.25">
      <c r="A304" s="1">
        <v>45986</v>
      </c>
      <c r="B304" s="1">
        <v>45987</v>
      </c>
      <c r="C304" t="s">
        <v>791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807</v>
      </c>
      <c r="J304" t="s">
        <v>808</v>
      </c>
      <c r="M304" t="s">
        <v>46</v>
      </c>
      <c r="O304" t="s">
        <v>297</v>
      </c>
      <c r="P304" t="s">
        <v>298</v>
      </c>
      <c r="Q304" t="s">
        <v>794</v>
      </c>
      <c r="R304" t="s">
        <v>670</v>
      </c>
      <c r="S304" s="1">
        <v>46023</v>
      </c>
      <c r="U304" t="s">
        <v>51</v>
      </c>
      <c r="X304" t="s">
        <v>52</v>
      </c>
      <c r="AF304" s="2">
        <v>175</v>
      </c>
      <c r="AG304" s="2">
        <v>0</v>
      </c>
      <c r="AJ304" s="2">
        <v>175</v>
      </c>
    </row>
    <row r="305" spans="1:36" x14ac:dyDescent="0.25">
      <c r="A305" s="1">
        <v>45986</v>
      </c>
      <c r="B305" s="1">
        <v>45987</v>
      </c>
      <c r="C305" t="s">
        <v>791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809</v>
      </c>
      <c r="J305" t="s">
        <v>442</v>
      </c>
      <c r="M305" t="s">
        <v>275</v>
      </c>
      <c r="O305" t="s">
        <v>632</v>
      </c>
      <c r="P305" t="s">
        <v>633</v>
      </c>
      <c r="Q305" t="s">
        <v>794</v>
      </c>
      <c r="R305" t="s">
        <v>810</v>
      </c>
      <c r="S305" s="1">
        <v>45962</v>
      </c>
      <c r="U305" t="s">
        <v>51</v>
      </c>
      <c r="X305" t="s">
        <v>52</v>
      </c>
      <c r="AF305" s="2">
        <v>626</v>
      </c>
      <c r="AG305" s="2">
        <v>0</v>
      </c>
      <c r="AJ305" s="2">
        <v>626</v>
      </c>
    </row>
    <row r="306" spans="1:36" x14ac:dyDescent="0.25">
      <c r="A306" s="1">
        <v>45986</v>
      </c>
      <c r="B306" s="1">
        <v>45987</v>
      </c>
      <c r="C306" t="s">
        <v>791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811</v>
      </c>
      <c r="J306" t="s">
        <v>442</v>
      </c>
      <c r="M306" t="s">
        <v>275</v>
      </c>
      <c r="O306" t="s">
        <v>632</v>
      </c>
      <c r="P306" t="s">
        <v>633</v>
      </c>
      <c r="Q306" t="s">
        <v>794</v>
      </c>
      <c r="R306" t="s">
        <v>698</v>
      </c>
      <c r="S306" s="1">
        <v>45962</v>
      </c>
      <c r="U306" t="s">
        <v>51</v>
      </c>
      <c r="X306" t="s">
        <v>52</v>
      </c>
      <c r="AF306" s="2">
        <v>113</v>
      </c>
      <c r="AG306" s="2">
        <v>0</v>
      </c>
      <c r="AJ306" s="2">
        <v>113</v>
      </c>
    </row>
    <row r="307" spans="1:36" x14ac:dyDescent="0.25">
      <c r="A307" s="1">
        <v>45986</v>
      </c>
      <c r="B307" s="1">
        <v>45987</v>
      </c>
      <c r="C307" t="s">
        <v>791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812</v>
      </c>
      <c r="J307" t="s">
        <v>533</v>
      </c>
      <c r="M307" t="s">
        <v>46</v>
      </c>
      <c r="O307" t="s">
        <v>301</v>
      </c>
      <c r="P307" t="s">
        <v>302</v>
      </c>
      <c r="Q307" t="s">
        <v>794</v>
      </c>
      <c r="R307" t="s">
        <v>698</v>
      </c>
      <c r="S307" s="1">
        <v>46023</v>
      </c>
      <c r="U307" t="s">
        <v>51</v>
      </c>
      <c r="X307" t="s">
        <v>52</v>
      </c>
      <c r="AF307" s="2">
        <v>113</v>
      </c>
      <c r="AG307" s="2">
        <v>0</v>
      </c>
      <c r="AJ307" s="2">
        <v>113</v>
      </c>
    </row>
    <row r="308" spans="1:36" x14ac:dyDescent="0.25">
      <c r="A308" s="1">
        <v>45986</v>
      </c>
      <c r="B308" s="1">
        <v>45987</v>
      </c>
      <c r="C308" t="s">
        <v>791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813</v>
      </c>
      <c r="J308" t="s">
        <v>814</v>
      </c>
      <c r="M308" t="s">
        <v>371</v>
      </c>
      <c r="O308" t="s">
        <v>305</v>
      </c>
      <c r="P308" t="s">
        <v>306</v>
      </c>
      <c r="Q308" t="s">
        <v>794</v>
      </c>
      <c r="R308" t="s">
        <v>815</v>
      </c>
      <c r="S308" s="1">
        <v>45870</v>
      </c>
      <c r="U308" t="s">
        <v>51</v>
      </c>
      <c r="X308" t="s">
        <v>52</v>
      </c>
      <c r="AF308" s="2">
        <v>277.38</v>
      </c>
      <c r="AG308" s="2">
        <v>0</v>
      </c>
      <c r="AJ308" s="2">
        <v>4.1100000000000003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257F-BC2F-4245-BA38-158442B55CF8}">
  <dimension ref="A1:AM300"/>
  <sheetViews>
    <sheetView topLeftCell="B236" workbookViewId="0">
      <selection activeCell="B255" sqref="A255:XFD255"/>
    </sheetView>
  </sheetViews>
  <sheetFormatPr defaultRowHeight="15" x14ac:dyDescent="0.25"/>
  <cols>
    <col min="1" max="1" width="19.28515625" style="10" bestFit="1" customWidth="1"/>
    <col min="2" max="2" width="19.28515625" style="10" customWidth="1"/>
    <col min="3" max="3" width="17.7109375" customWidth="1"/>
    <col min="4" max="4" width="5.5703125" bestFit="1" customWidth="1"/>
    <col min="5" max="5" width="9.7109375" customWidth="1"/>
    <col min="6" max="6" width="15.5703125" customWidth="1"/>
    <col min="7" max="7" width="40.7109375" customWidth="1"/>
    <col min="8" max="8" width="10.140625" bestFit="1" customWidth="1"/>
    <col min="9" max="9" width="14.5703125" bestFit="1" customWidth="1"/>
    <col min="10" max="10" width="6.28515625" customWidth="1"/>
    <col min="11" max="11" width="10.42578125" customWidth="1"/>
    <col min="12" max="12" width="8.28515625" customWidth="1"/>
    <col min="13" max="13" width="11.28515625" customWidth="1"/>
    <col min="14" max="14" width="10.28515625" customWidth="1"/>
    <col min="15" max="15" width="11.85546875" customWidth="1"/>
    <col min="16" max="16" width="43.42578125" bestFit="1" customWidth="1"/>
  </cols>
  <sheetData>
    <row r="1" spans="1:16" x14ac:dyDescent="0.25">
      <c r="A1" s="10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20</v>
      </c>
      <c r="J1" t="s">
        <v>23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6" x14ac:dyDescent="0.25">
      <c r="A2" s="11">
        <v>101525949100</v>
      </c>
      <c r="B2" s="11" t="str">
        <f t="shared" ref="B2:B65" si="0">CONCATENATE(A2,"OVR")</f>
        <v>101525949100OVR</v>
      </c>
      <c r="C2" t="s">
        <v>637</v>
      </c>
      <c r="D2" t="s">
        <v>59</v>
      </c>
      <c r="E2">
        <v>20411454</v>
      </c>
      <c r="F2" t="s">
        <v>1071</v>
      </c>
      <c r="G2" t="s">
        <v>638</v>
      </c>
      <c r="H2" s="1">
        <v>45962</v>
      </c>
      <c r="I2" t="s">
        <v>51</v>
      </c>
      <c r="J2" t="s">
        <v>52</v>
      </c>
      <c r="K2" s="2">
        <v>4.17</v>
      </c>
      <c r="L2">
        <v>1</v>
      </c>
      <c r="M2" s="3">
        <v>1</v>
      </c>
      <c r="N2" s="2">
        <v>4.17</v>
      </c>
      <c r="O2" t="s">
        <v>639</v>
      </c>
      <c r="P2" t="s">
        <v>1057</v>
      </c>
    </row>
    <row r="3" spans="1:16" x14ac:dyDescent="0.25">
      <c r="A3" s="11">
        <v>102200107100</v>
      </c>
      <c r="B3" s="11" t="str">
        <f t="shared" si="0"/>
        <v>102200107100OVR</v>
      </c>
      <c r="C3" t="s">
        <v>641</v>
      </c>
      <c r="D3" t="s">
        <v>46</v>
      </c>
      <c r="E3">
        <v>20411454</v>
      </c>
      <c r="F3" t="s">
        <v>1071</v>
      </c>
      <c r="G3" t="s">
        <v>638</v>
      </c>
      <c r="H3" s="1">
        <v>45962</v>
      </c>
      <c r="I3" t="s">
        <v>51</v>
      </c>
      <c r="J3" t="s">
        <v>52</v>
      </c>
      <c r="K3" s="2">
        <v>4.17</v>
      </c>
      <c r="L3">
        <v>1</v>
      </c>
      <c r="M3" s="3">
        <v>1</v>
      </c>
      <c r="N3" s="2">
        <v>4.17</v>
      </c>
      <c r="O3" t="s">
        <v>639</v>
      </c>
      <c r="P3" t="s">
        <v>1057</v>
      </c>
    </row>
    <row r="4" spans="1:16" x14ac:dyDescent="0.25">
      <c r="A4" s="11">
        <v>102200136700</v>
      </c>
      <c r="B4" s="11" t="str">
        <f t="shared" si="0"/>
        <v>102200136700OVR</v>
      </c>
      <c r="C4" t="s">
        <v>643</v>
      </c>
      <c r="D4" t="s">
        <v>46</v>
      </c>
      <c r="E4">
        <v>20411454</v>
      </c>
      <c r="F4" t="s">
        <v>1071</v>
      </c>
      <c r="G4" t="s">
        <v>638</v>
      </c>
      <c r="H4" s="1">
        <v>45992</v>
      </c>
      <c r="I4" t="s">
        <v>51</v>
      </c>
      <c r="J4" t="s">
        <v>52</v>
      </c>
      <c r="K4" s="2">
        <v>2.08</v>
      </c>
      <c r="L4">
        <v>1</v>
      </c>
      <c r="M4" s="3">
        <v>1</v>
      </c>
      <c r="N4" s="2">
        <v>2.08</v>
      </c>
      <c r="O4" t="s">
        <v>644</v>
      </c>
      <c r="P4" t="s">
        <v>1057</v>
      </c>
    </row>
    <row r="5" spans="1:16" x14ac:dyDescent="0.25">
      <c r="A5" s="11">
        <v>102211543800</v>
      </c>
      <c r="B5" s="11" t="str">
        <f t="shared" si="0"/>
        <v>102211543800OVR</v>
      </c>
      <c r="C5" t="s">
        <v>646</v>
      </c>
      <c r="D5" t="s">
        <v>46</v>
      </c>
      <c r="E5">
        <v>20411454</v>
      </c>
      <c r="F5" t="s">
        <v>1071</v>
      </c>
      <c r="G5" t="s">
        <v>647</v>
      </c>
      <c r="H5" s="1">
        <v>45962</v>
      </c>
      <c r="I5" t="s">
        <v>51</v>
      </c>
      <c r="J5" t="s">
        <v>52</v>
      </c>
      <c r="K5" s="2">
        <v>2.5</v>
      </c>
      <c r="L5">
        <v>1</v>
      </c>
      <c r="M5" s="3">
        <v>1</v>
      </c>
      <c r="N5" s="2">
        <v>2.5</v>
      </c>
      <c r="O5" t="s">
        <v>639</v>
      </c>
      <c r="P5" t="s">
        <v>1057</v>
      </c>
    </row>
    <row r="6" spans="1:16" x14ac:dyDescent="0.25">
      <c r="A6" s="11">
        <v>102212376700</v>
      </c>
      <c r="B6" s="11" t="str">
        <f t="shared" si="0"/>
        <v>102212376700OVR</v>
      </c>
      <c r="C6" t="s">
        <v>649</v>
      </c>
      <c r="D6" t="s">
        <v>207</v>
      </c>
      <c r="E6">
        <v>20411454</v>
      </c>
      <c r="F6" t="s">
        <v>1071</v>
      </c>
      <c r="G6" t="s">
        <v>647</v>
      </c>
      <c r="H6" s="1">
        <v>45962</v>
      </c>
      <c r="I6" t="s">
        <v>51</v>
      </c>
      <c r="J6" t="s">
        <v>52</v>
      </c>
      <c r="K6" s="2">
        <v>2.5</v>
      </c>
      <c r="L6">
        <v>1</v>
      </c>
      <c r="M6" s="3">
        <v>1</v>
      </c>
      <c r="N6" s="2">
        <v>2.5</v>
      </c>
      <c r="O6" t="s">
        <v>639</v>
      </c>
      <c r="P6" t="s">
        <v>1057</v>
      </c>
    </row>
    <row r="7" spans="1:16" x14ac:dyDescent="0.25">
      <c r="A7" s="11">
        <v>102214678200</v>
      </c>
      <c r="B7" s="11" t="str">
        <f t="shared" si="0"/>
        <v>102214678200OVR</v>
      </c>
      <c r="C7" t="s">
        <v>653</v>
      </c>
      <c r="D7" t="s">
        <v>207</v>
      </c>
      <c r="E7">
        <v>20411454</v>
      </c>
      <c r="F7" t="s">
        <v>1071</v>
      </c>
      <c r="G7" t="s">
        <v>647</v>
      </c>
      <c r="H7" s="1">
        <v>45962</v>
      </c>
      <c r="I7" t="s">
        <v>51</v>
      </c>
      <c r="J7" t="s">
        <v>52</v>
      </c>
      <c r="K7" s="2">
        <v>2.5</v>
      </c>
      <c r="L7">
        <v>1</v>
      </c>
      <c r="M7" s="3">
        <v>1</v>
      </c>
      <c r="N7" s="2">
        <v>2.5</v>
      </c>
      <c r="O7" t="s">
        <v>639</v>
      </c>
      <c r="P7" t="s">
        <v>1057</v>
      </c>
    </row>
    <row r="8" spans="1:16" x14ac:dyDescent="0.25">
      <c r="A8" s="11">
        <v>102214680800</v>
      </c>
      <c r="B8" s="11" t="str">
        <f t="shared" si="0"/>
        <v>102214680800OVR</v>
      </c>
      <c r="C8" t="s">
        <v>657</v>
      </c>
      <c r="D8" t="s">
        <v>266</v>
      </c>
      <c r="E8">
        <v>20411454</v>
      </c>
      <c r="F8" t="s">
        <v>1071</v>
      </c>
      <c r="G8" t="s">
        <v>647</v>
      </c>
      <c r="H8" s="1">
        <v>45992</v>
      </c>
      <c r="I8" t="s">
        <v>51</v>
      </c>
      <c r="J8" t="s">
        <v>52</v>
      </c>
      <c r="K8" s="2">
        <v>1.25</v>
      </c>
      <c r="L8">
        <v>1</v>
      </c>
      <c r="M8" s="3">
        <v>1</v>
      </c>
      <c r="N8" s="2">
        <v>1.25</v>
      </c>
      <c r="O8" t="s">
        <v>644</v>
      </c>
      <c r="P8" t="s">
        <v>1057</v>
      </c>
    </row>
    <row r="9" spans="1:16" x14ac:dyDescent="0.25">
      <c r="A9" s="11">
        <v>102214683400</v>
      </c>
      <c r="B9" s="11" t="str">
        <f t="shared" si="0"/>
        <v>102214683400OVR</v>
      </c>
      <c r="C9" t="s">
        <v>661</v>
      </c>
      <c r="D9" t="s">
        <v>46</v>
      </c>
      <c r="E9">
        <v>20411454</v>
      </c>
      <c r="F9" t="s">
        <v>1071</v>
      </c>
      <c r="G9" t="s">
        <v>647</v>
      </c>
      <c r="H9" s="1">
        <v>45962</v>
      </c>
      <c r="I9" t="s">
        <v>51</v>
      </c>
      <c r="J9" t="s">
        <v>52</v>
      </c>
      <c r="K9" s="2">
        <v>2.5</v>
      </c>
      <c r="L9">
        <v>1</v>
      </c>
      <c r="M9" s="3">
        <v>1</v>
      </c>
      <c r="N9" s="2">
        <v>2.5</v>
      </c>
      <c r="O9" t="s">
        <v>639</v>
      </c>
      <c r="P9" t="s">
        <v>1057</v>
      </c>
    </row>
    <row r="10" spans="1:16" x14ac:dyDescent="0.25">
      <c r="A10" s="11">
        <v>102200107100</v>
      </c>
      <c r="B10" s="11" t="str">
        <f t="shared" si="0"/>
        <v>102200107100OVR</v>
      </c>
      <c r="C10" t="s">
        <v>641</v>
      </c>
      <c r="D10" t="s">
        <v>46</v>
      </c>
      <c r="E10">
        <v>20411454</v>
      </c>
      <c r="F10" t="s">
        <v>1071</v>
      </c>
      <c r="G10" t="s">
        <v>647</v>
      </c>
      <c r="H10" s="1">
        <v>45962</v>
      </c>
      <c r="I10" t="s">
        <v>51</v>
      </c>
      <c r="J10" t="s">
        <v>52</v>
      </c>
      <c r="N10">
        <v>-2.5</v>
      </c>
      <c r="P10" t="s">
        <v>1057</v>
      </c>
    </row>
    <row r="11" spans="1:16" x14ac:dyDescent="0.25">
      <c r="A11" s="11">
        <v>102200136700</v>
      </c>
      <c r="B11" s="11" t="str">
        <f t="shared" si="0"/>
        <v>102200136700OVR</v>
      </c>
      <c r="C11" t="s">
        <v>643</v>
      </c>
      <c r="D11" t="s">
        <v>46</v>
      </c>
      <c r="E11">
        <v>20411454</v>
      </c>
      <c r="F11" t="s">
        <v>1071</v>
      </c>
      <c r="G11" t="s">
        <v>647</v>
      </c>
      <c r="H11" s="1">
        <v>45992</v>
      </c>
      <c r="I11" t="s">
        <v>51</v>
      </c>
      <c r="J11" t="s">
        <v>52</v>
      </c>
      <c r="N11">
        <v>-1.25</v>
      </c>
      <c r="P11" t="s">
        <v>1057</v>
      </c>
    </row>
    <row r="12" spans="1:16" x14ac:dyDescent="0.25">
      <c r="A12" s="11" t="s">
        <v>1048</v>
      </c>
      <c r="B12" s="11" t="str">
        <f t="shared" si="0"/>
        <v>211W24349OVR</v>
      </c>
      <c r="C12" t="s">
        <v>672</v>
      </c>
      <c r="D12" t="s">
        <v>673</v>
      </c>
      <c r="E12">
        <v>20411454</v>
      </c>
      <c r="F12" t="s">
        <v>1071</v>
      </c>
      <c r="G12" t="s">
        <v>674</v>
      </c>
      <c r="H12" s="1">
        <v>45931</v>
      </c>
      <c r="I12" t="s">
        <v>51</v>
      </c>
      <c r="J12" t="s">
        <v>52</v>
      </c>
      <c r="K12" s="2">
        <v>175</v>
      </c>
      <c r="L12">
        <v>1</v>
      </c>
      <c r="M12" s="3">
        <v>1</v>
      </c>
      <c r="N12" s="2">
        <v>175</v>
      </c>
      <c r="P12" t="s">
        <v>1058</v>
      </c>
    </row>
    <row r="13" spans="1:16" x14ac:dyDescent="0.25">
      <c r="A13" s="11" t="s">
        <v>1050</v>
      </c>
      <c r="B13" s="11" t="str">
        <f t="shared" si="0"/>
        <v>488W24198OVR</v>
      </c>
      <c r="C13" t="s">
        <v>679</v>
      </c>
      <c r="D13" t="s">
        <v>673</v>
      </c>
      <c r="E13">
        <v>20411454</v>
      </c>
      <c r="F13" t="s">
        <v>1071</v>
      </c>
      <c r="G13" t="s">
        <v>674</v>
      </c>
      <c r="H13" s="1">
        <v>45931</v>
      </c>
      <c r="I13" t="s">
        <v>51</v>
      </c>
      <c r="J13" t="s">
        <v>52</v>
      </c>
      <c r="K13" s="2">
        <v>175</v>
      </c>
      <c r="L13">
        <v>1</v>
      </c>
      <c r="M13" s="3">
        <v>1</v>
      </c>
      <c r="N13" s="2">
        <v>175</v>
      </c>
      <c r="P13" t="s">
        <v>1058</v>
      </c>
    </row>
    <row r="14" spans="1:16" x14ac:dyDescent="0.25">
      <c r="A14" s="11" t="s">
        <v>1049</v>
      </c>
      <c r="B14" s="11" t="str">
        <f t="shared" si="0"/>
        <v>36A3X2H39OVR</v>
      </c>
      <c r="C14" t="s">
        <v>676</v>
      </c>
      <c r="D14" t="s">
        <v>46</v>
      </c>
      <c r="E14">
        <v>20411454</v>
      </c>
      <c r="F14" t="s">
        <v>1071</v>
      </c>
      <c r="G14" t="s">
        <v>677</v>
      </c>
      <c r="H14" s="1">
        <v>45962</v>
      </c>
      <c r="I14" t="s">
        <v>51</v>
      </c>
      <c r="J14" t="s">
        <v>52</v>
      </c>
      <c r="K14" s="2">
        <v>100</v>
      </c>
      <c r="L14">
        <v>1</v>
      </c>
      <c r="M14" s="3">
        <v>1</v>
      </c>
      <c r="N14" s="2">
        <v>100</v>
      </c>
      <c r="P14" t="s">
        <v>1059</v>
      </c>
    </row>
    <row r="15" spans="1:16" x14ac:dyDescent="0.25">
      <c r="A15" s="11" t="s">
        <v>816</v>
      </c>
      <c r="B15" s="11" t="str">
        <f t="shared" si="0"/>
        <v>00000119198KOVR</v>
      </c>
      <c r="C15" t="s">
        <v>45</v>
      </c>
      <c r="D15" t="s">
        <v>46</v>
      </c>
      <c r="E15">
        <v>20411454</v>
      </c>
      <c r="F15" t="s">
        <v>1071</v>
      </c>
      <c r="G15" t="s">
        <v>50</v>
      </c>
      <c r="H15" s="1">
        <v>46023</v>
      </c>
      <c r="I15" t="s">
        <v>51</v>
      </c>
      <c r="J15" t="s">
        <v>52</v>
      </c>
      <c r="K15" s="2">
        <v>175</v>
      </c>
      <c r="L15">
        <v>1</v>
      </c>
      <c r="M15" s="3">
        <v>1</v>
      </c>
      <c r="N15" s="2">
        <v>175</v>
      </c>
      <c r="P15" t="s">
        <v>1060</v>
      </c>
    </row>
    <row r="16" spans="1:16" x14ac:dyDescent="0.25">
      <c r="A16" s="11" t="s">
        <v>817</v>
      </c>
      <c r="B16" s="11" t="str">
        <f t="shared" si="0"/>
        <v>00000260046DOVR</v>
      </c>
      <c r="C16" t="s">
        <v>54</v>
      </c>
      <c r="D16" t="s">
        <v>46</v>
      </c>
      <c r="E16">
        <v>20411454</v>
      </c>
      <c r="F16" t="s">
        <v>1071</v>
      </c>
      <c r="G16" t="s">
        <v>50</v>
      </c>
      <c r="H16" s="1">
        <v>46023</v>
      </c>
      <c r="I16" t="s">
        <v>51</v>
      </c>
      <c r="J16" t="s">
        <v>52</v>
      </c>
      <c r="K16" s="2">
        <v>175</v>
      </c>
      <c r="L16">
        <v>1</v>
      </c>
      <c r="M16" s="3">
        <v>1</v>
      </c>
      <c r="N16" s="2">
        <v>175</v>
      </c>
      <c r="P16" t="s">
        <v>1060</v>
      </c>
    </row>
    <row r="17" spans="1:16" x14ac:dyDescent="0.25">
      <c r="A17" s="11" t="s">
        <v>818</v>
      </c>
      <c r="B17" s="11" t="str">
        <f t="shared" si="0"/>
        <v>00000497361IOVR</v>
      </c>
      <c r="C17" t="s">
        <v>58</v>
      </c>
      <c r="D17" t="s">
        <v>59</v>
      </c>
      <c r="E17">
        <v>20411454</v>
      </c>
      <c r="F17" t="s">
        <v>1071</v>
      </c>
      <c r="G17" t="s">
        <v>50</v>
      </c>
      <c r="H17" s="1">
        <v>46023</v>
      </c>
      <c r="I17" t="s">
        <v>51</v>
      </c>
      <c r="J17" t="s">
        <v>52</v>
      </c>
      <c r="K17" s="2">
        <v>175</v>
      </c>
      <c r="L17">
        <v>1</v>
      </c>
      <c r="M17" s="3">
        <v>1</v>
      </c>
      <c r="N17" s="2">
        <v>175</v>
      </c>
      <c r="P17" t="s">
        <v>1060</v>
      </c>
    </row>
    <row r="18" spans="1:16" x14ac:dyDescent="0.25">
      <c r="A18" s="11" t="s">
        <v>820</v>
      </c>
      <c r="B18" s="11" t="str">
        <f t="shared" si="0"/>
        <v>00002580176KOVR</v>
      </c>
      <c r="C18" t="s">
        <v>68</v>
      </c>
      <c r="D18" t="s">
        <v>46</v>
      </c>
      <c r="E18">
        <v>20411454</v>
      </c>
      <c r="F18" t="s">
        <v>1071</v>
      </c>
      <c r="G18" t="s">
        <v>50</v>
      </c>
      <c r="H18" s="1">
        <v>46023</v>
      </c>
      <c r="I18" t="s">
        <v>51</v>
      </c>
      <c r="J18" t="s">
        <v>52</v>
      </c>
      <c r="K18" s="2">
        <v>175</v>
      </c>
      <c r="L18">
        <v>1</v>
      </c>
      <c r="M18" s="3">
        <v>1</v>
      </c>
      <c r="N18" s="2">
        <v>175</v>
      </c>
      <c r="P18" t="s">
        <v>1060</v>
      </c>
    </row>
    <row r="19" spans="1:16" x14ac:dyDescent="0.25">
      <c r="A19" s="11" t="s">
        <v>821</v>
      </c>
      <c r="B19" s="11" t="str">
        <f t="shared" si="0"/>
        <v>00004476179KOVR</v>
      </c>
      <c r="C19" t="s">
        <v>70</v>
      </c>
      <c r="D19" t="s">
        <v>71</v>
      </c>
      <c r="E19">
        <v>20411454</v>
      </c>
      <c r="F19" t="s">
        <v>1071</v>
      </c>
      <c r="G19" t="s">
        <v>50</v>
      </c>
      <c r="H19" s="1">
        <v>46023</v>
      </c>
      <c r="I19" t="s">
        <v>51</v>
      </c>
      <c r="J19" t="s">
        <v>52</v>
      </c>
      <c r="K19" s="2">
        <v>175</v>
      </c>
      <c r="L19">
        <v>1</v>
      </c>
      <c r="M19" s="3">
        <v>1</v>
      </c>
      <c r="N19" s="2">
        <v>175</v>
      </c>
      <c r="P19" t="s">
        <v>1060</v>
      </c>
    </row>
    <row r="20" spans="1:16" x14ac:dyDescent="0.25">
      <c r="A20" s="11" t="s">
        <v>822</v>
      </c>
      <c r="B20" s="11" t="str">
        <f t="shared" si="0"/>
        <v>00006393824KOVR</v>
      </c>
      <c r="C20" t="s">
        <v>75</v>
      </c>
      <c r="D20" t="s">
        <v>46</v>
      </c>
      <c r="E20">
        <v>20411454</v>
      </c>
      <c r="F20" t="s">
        <v>1071</v>
      </c>
      <c r="G20" t="s">
        <v>50</v>
      </c>
      <c r="H20" s="1">
        <v>46023</v>
      </c>
      <c r="I20" t="s">
        <v>51</v>
      </c>
      <c r="J20" t="s">
        <v>52</v>
      </c>
      <c r="K20" s="2">
        <v>175</v>
      </c>
      <c r="L20">
        <v>1</v>
      </c>
      <c r="M20" s="3">
        <v>1</v>
      </c>
      <c r="N20" s="2">
        <v>175</v>
      </c>
      <c r="P20" t="s">
        <v>1060</v>
      </c>
    </row>
    <row r="21" spans="1:16" x14ac:dyDescent="0.25">
      <c r="A21" s="11" t="s">
        <v>823</v>
      </c>
      <c r="B21" s="11" t="str">
        <f t="shared" si="0"/>
        <v>00006977053KOVR</v>
      </c>
      <c r="C21" t="s">
        <v>77</v>
      </c>
      <c r="D21" t="s">
        <v>59</v>
      </c>
      <c r="E21">
        <v>20411454</v>
      </c>
      <c r="F21" t="s">
        <v>1071</v>
      </c>
      <c r="G21" t="s">
        <v>50</v>
      </c>
      <c r="H21" s="1">
        <v>46023</v>
      </c>
      <c r="I21" t="s">
        <v>51</v>
      </c>
      <c r="J21" t="s">
        <v>52</v>
      </c>
      <c r="K21" s="2">
        <v>175</v>
      </c>
      <c r="L21">
        <v>1</v>
      </c>
      <c r="M21" s="3">
        <v>1</v>
      </c>
      <c r="N21" s="2">
        <v>175</v>
      </c>
      <c r="P21" t="s">
        <v>1060</v>
      </c>
    </row>
    <row r="22" spans="1:16" x14ac:dyDescent="0.25">
      <c r="A22" s="11" t="s">
        <v>825</v>
      </c>
      <c r="B22" s="11" t="str">
        <f t="shared" si="0"/>
        <v>00007368051KOVR</v>
      </c>
      <c r="C22" t="s">
        <v>83</v>
      </c>
      <c r="D22" t="s">
        <v>46</v>
      </c>
      <c r="E22">
        <v>20411454</v>
      </c>
      <c r="F22" t="s">
        <v>1071</v>
      </c>
      <c r="G22" t="s">
        <v>50</v>
      </c>
      <c r="H22" s="1">
        <v>46023</v>
      </c>
      <c r="I22" t="s">
        <v>51</v>
      </c>
      <c r="J22" t="s">
        <v>52</v>
      </c>
      <c r="K22" s="2">
        <v>175</v>
      </c>
      <c r="L22">
        <v>1</v>
      </c>
      <c r="M22" s="3">
        <v>1</v>
      </c>
      <c r="N22" s="2">
        <v>175</v>
      </c>
      <c r="P22" t="s">
        <v>1060</v>
      </c>
    </row>
    <row r="23" spans="1:16" x14ac:dyDescent="0.25">
      <c r="A23" s="11" t="s">
        <v>829</v>
      </c>
      <c r="B23" s="11" t="str">
        <f t="shared" si="0"/>
        <v>00007937309KOVR</v>
      </c>
      <c r="C23" t="s">
        <v>95</v>
      </c>
      <c r="D23" t="s">
        <v>46</v>
      </c>
      <c r="E23">
        <v>20411454</v>
      </c>
      <c r="F23" t="s">
        <v>1071</v>
      </c>
      <c r="G23" t="s">
        <v>50</v>
      </c>
      <c r="H23" s="1">
        <v>46023</v>
      </c>
      <c r="I23" t="s">
        <v>51</v>
      </c>
      <c r="J23" t="s">
        <v>52</v>
      </c>
      <c r="K23" s="2">
        <v>175</v>
      </c>
      <c r="L23">
        <v>1</v>
      </c>
      <c r="M23" s="3">
        <v>1</v>
      </c>
      <c r="N23" s="2">
        <v>175</v>
      </c>
      <c r="P23" t="s">
        <v>1060</v>
      </c>
    </row>
    <row r="24" spans="1:16" x14ac:dyDescent="0.25">
      <c r="A24" s="11" t="s">
        <v>832</v>
      </c>
      <c r="B24" s="11" t="str">
        <f t="shared" si="0"/>
        <v>00009648551KOVR</v>
      </c>
      <c r="C24" t="s">
        <v>107</v>
      </c>
      <c r="D24" t="s">
        <v>46</v>
      </c>
      <c r="E24">
        <v>20411454</v>
      </c>
      <c r="F24" t="s">
        <v>1071</v>
      </c>
      <c r="G24" t="s">
        <v>50</v>
      </c>
      <c r="H24" s="1">
        <v>46023</v>
      </c>
      <c r="I24" t="s">
        <v>51</v>
      </c>
      <c r="J24" t="s">
        <v>52</v>
      </c>
      <c r="K24" s="2">
        <v>175</v>
      </c>
      <c r="L24">
        <v>1</v>
      </c>
      <c r="M24" s="3">
        <v>1</v>
      </c>
      <c r="N24" s="2">
        <v>175</v>
      </c>
      <c r="P24" t="s">
        <v>1060</v>
      </c>
    </row>
    <row r="25" spans="1:16" x14ac:dyDescent="0.25">
      <c r="A25" s="11" t="s">
        <v>834</v>
      </c>
      <c r="B25" s="11" t="str">
        <f t="shared" si="0"/>
        <v>00011490079KOVR</v>
      </c>
      <c r="C25" t="s">
        <v>113</v>
      </c>
      <c r="D25" t="s">
        <v>46</v>
      </c>
      <c r="E25">
        <v>20411454</v>
      </c>
      <c r="F25" t="s">
        <v>1071</v>
      </c>
      <c r="G25" t="s">
        <v>50</v>
      </c>
      <c r="H25" s="1">
        <v>46023</v>
      </c>
      <c r="I25" t="s">
        <v>51</v>
      </c>
      <c r="J25" t="s">
        <v>52</v>
      </c>
      <c r="K25" s="2">
        <v>175</v>
      </c>
      <c r="L25">
        <v>1</v>
      </c>
      <c r="M25" s="3">
        <v>1</v>
      </c>
      <c r="N25" s="2">
        <v>175</v>
      </c>
      <c r="P25" t="s">
        <v>1060</v>
      </c>
    </row>
    <row r="26" spans="1:16" x14ac:dyDescent="0.25">
      <c r="A26" s="11" t="s">
        <v>839</v>
      </c>
      <c r="B26" s="11" t="str">
        <f t="shared" si="0"/>
        <v>00012902120KOVR</v>
      </c>
      <c r="C26" t="s">
        <v>125</v>
      </c>
      <c r="D26" t="s">
        <v>46</v>
      </c>
      <c r="E26">
        <v>20411454</v>
      </c>
      <c r="F26" t="s">
        <v>1071</v>
      </c>
      <c r="G26" t="s">
        <v>50</v>
      </c>
      <c r="H26" s="1">
        <v>46023</v>
      </c>
      <c r="I26" t="s">
        <v>51</v>
      </c>
      <c r="J26" t="s">
        <v>52</v>
      </c>
      <c r="K26" s="2">
        <v>175</v>
      </c>
      <c r="L26">
        <v>1</v>
      </c>
      <c r="M26" s="3">
        <v>1</v>
      </c>
      <c r="N26" s="2">
        <v>175</v>
      </c>
      <c r="P26" t="s">
        <v>1060</v>
      </c>
    </row>
    <row r="27" spans="1:16" x14ac:dyDescent="0.25">
      <c r="A27" s="11" t="s">
        <v>840</v>
      </c>
      <c r="B27" s="11" t="str">
        <f t="shared" si="0"/>
        <v>00012978613KOVR</v>
      </c>
      <c r="C27" t="s">
        <v>127</v>
      </c>
      <c r="D27" t="s">
        <v>46</v>
      </c>
      <c r="E27">
        <v>20411454</v>
      </c>
      <c r="F27" t="s">
        <v>1071</v>
      </c>
      <c r="G27" t="s">
        <v>50</v>
      </c>
      <c r="H27" s="1">
        <v>46023</v>
      </c>
      <c r="I27" t="s">
        <v>51</v>
      </c>
      <c r="J27" t="s">
        <v>52</v>
      </c>
      <c r="K27" s="2">
        <v>175</v>
      </c>
      <c r="L27">
        <v>1</v>
      </c>
      <c r="M27" s="3">
        <v>1</v>
      </c>
      <c r="N27" s="2">
        <v>175</v>
      </c>
      <c r="P27" t="s">
        <v>1060</v>
      </c>
    </row>
    <row r="28" spans="1:16" x14ac:dyDescent="0.25">
      <c r="A28" s="11" t="s">
        <v>841</v>
      </c>
      <c r="B28" s="11" t="str">
        <f t="shared" si="0"/>
        <v>00013062580KOVR</v>
      </c>
      <c r="C28" t="s">
        <v>129</v>
      </c>
      <c r="D28" t="s">
        <v>130</v>
      </c>
      <c r="E28">
        <v>20411454</v>
      </c>
      <c r="F28" t="s">
        <v>1071</v>
      </c>
      <c r="G28" t="s">
        <v>50</v>
      </c>
      <c r="H28" s="1">
        <v>46023</v>
      </c>
      <c r="I28" t="s">
        <v>51</v>
      </c>
      <c r="J28" t="s">
        <v>52</v>
      </c>
      <c r="K28" s="2">
        <v>175</v>
      </c>
      <c r="L28">
        <v>1</v>
      </c>
      <c r="M28" s="3">
        <v>1</v>
      </c>
      <c r="N28" s="2">
        <v>175</v>
      </c>
      <c r="P28" t="s">
        <v>1060</v>
      </c>
    </row>
    <row r="29" spans="1:16" x14ac:dyDescent="0.25">
      <c r="A29" s="11" t="s">
        <v>843</v>
      </c>
      <c r="B29" s="11" t="str">
        <f t="shared" si="0"/>
        <v>00013813500KOVR</v>
      </c>
      <c r="C29" t="s">
        <v>136</v>
      </c>
      <c r="D29" t="s">
        <v>46</v>
      </c>
      <c r="E29">
        <v>20411454</v>
      </c>
      <c r="F29" t="s">
        <v>1071</v>
      </c>
      <c r="G29" t="s">
        <v>50</v>
      </c>
      <c r="H29" s="1">
        <v>46023</v>
      </c>
      <c r="I29" t="s">
        <v>51</v>
      </c>
      <c r="J29" t="s">
        <v>52</v>
      </c>
      <c r="K29" s="2">
        <v>175</v>
      </c>
      <c r="L29">
        <v>1</v>
      </c>
      <c r="M29" s="3">
        <v>1</v>
      </c>
      <c r="N29" s="2">
        <v>175</v>
      </c>
      <c r="P29" t="s">
        <v>1060</v>
      </c>
    </row>
    <row r="30" spans="1:16" x14ac:dyDescent="0.25">
      <c r="A30" s="11" t="s">
        <v>844</v>
      </c>
      <c r="B30" s="11" t="str">
        <f t="shared" si="0"/>
        <v>00013907636KOVR</v>
      </c>
      <c r="C30" t="s">
        <v>138</v>
      </c>
      <c r="D30" t="s">
        <v>139</v>
      </c>
      <c r="E30">
        <v>20411454</v>
      </c>
      <c r="F30" t="s">
        <v>1071</v>
      </c>
      <c r="G30" t="s">
        <v>50</v>
      </c>
      <c r="H30" s="1">
        <v>46023</v>
      </c>
      <c r="I30" t="s">
        <v>51</v>
      </c>
      <c r="J30" t="s">
        <v>52</v>
      </c>
      <c r="K30" s="2">
        <v>175</v>
      </c>
      <c r="L30">
        <v>1</v>
      </c>
      <c r="M30" s="3">
        <v>1</v>
      </c>
      <c r="N30" s="2">
        <v>175</v>
      </c>
      <c r="P30" t="s">
        <v>1060</v>
      </c>
    </row>
    <row r="31" spans="1:16" x14ac:dyDescent="0.25">
      <c r="A31" s="11" t="s">
        <v>848</v>
      </c>
      <c r="B31" s="11" t="str">
        <f t="shared" si="0"/>
        <v>00016064056KOVR</v>
      </c>
      <c r="C31" t="s">
        <v>153</v>
      </c>
      <c r="D31" t="s">
        <v>46</v>
      </c>
      <c r="E31">
        <v>20411454</v>
      </c>
      <c r="F31" t="s">
        <v>1071</v>
      </c>
      <c r="G31" t="s">
        <v>50</v>
      </c>
      <c r="H31" s="1">
        <v>46023</v>
      </c>
      <c r="I31" t="s">
        <v>51</v>
      </c>
      <c r="J31" t="s">
        <v>52</v>
      </c>
      <c r="K31" s="2">
        <v>175</v>
      </c>
      <c r="L31">
        <v>1</v>
      </c>
      <c r="M31" s="3">
        <v>1</v>
      </c>
      <c r="N31" s="2">
        <v>175</v>
      </c>
      <c r="P31" t="s">
        <v>1060</v>
      </c>
    </row>
    <row r="32" spans="1:16" x14ac:dyDescent="0.25">
      <c r="A32" s="11" t="s">
        <v>850</v>
      </c>
      <c r="B32" s="11" t="str">
        <f t="shared" si="0"/>
        <v>00016330432KOVR</v>
      </c>
      <c r="C32" t="s">
        <v>161</v>
      </c>
      <c r="D32" t="s">
        <v>46</v>
      </c>
      <c r="E32">
        <v>20411454</v>
      </c>
      <c r="F32" t="s">
        <v>1071</v>
      </c>
      <c r="G32" t="s">
        <v>50</v>
      </c>
      <c r="H32" s="1">
        <v>46023</v>
      </c>
      <c r="I32" t="s">
        <v>51</v>
      </c>
      <c r="J32" t="s">
        <v>52</v>
      </c>
      <c r="K32" s="2">
        <v>175</v>
      </c>
      <c r="L32">
        <v>1</v>
      </c>
      <c r="M32" s="3">
        <v>1</v>
      </c>
      <c r="N32" s="2">
        <v>175</v>
      </c>
      <c r="P32" t="s">
        <v>1060</v>
      </c>
    </row>
    <row r="33" spans="1:16" x14ac:dyDescent="0.25">
      <c r="A33" s="11" t="s">
        <v>851</v>
      </c>
      <c r="B33" s="11" t="str">
        <f t="shared" si="0"/>
        <v>00016914030KOVR</v>
      </c>
      <c r="C33" t="s">
        <v>163</v>
      </c>
      <c r="D33" t="s">
        <v>46</v>
      </c>
      <c r="E33">
        <v>20411454</v>
      </c>
      <c r="F33" t="s">
        <v>1071</v>
      </c>
      <c r="G33" t="s">
        <v>50</v>
      </c>
      <c r="H33" s="1">
        <v>46023</v>
      </c>
      <c r="I33" t="s">
        <v>51</v>
      </c>
      <c r="J33" t="s">
        <v>52</v>
      </c>
      <c r="K33" s="2">
        <v>175</v>
      </c>
      <c r="L33">
        <v>1</v>
      </c>
      <c r="M33" s="3">
        <v>1</v>
      </c>
      <c r="N33" s="2">
        <v>175</v>
      </c>
      <c r="P33" t="s">
        <v>1060</v>
      </c>
    </row>
    <row r="34" spans="1:16" x14ac:dyDescent="0.25">
      <c r="A34" s="11" t="s">
        <v>852</v>
      </c>
      <c r="B34" s="11" t="str">
        <f t="shared" si="0"/>
        <v>00017778527KOVR</v>
      </c>
      <c r="C34" t="s">
        <v>167</v>
      </c>
      <c r="D34" t="s">
        <v>46</v>
      </c>
      <c r="E34">
        <v>20411454</v>
      </c>
      <c r="F34" t="s">
        <v>1071</v>
      </c>
      <c r="G34" t="s">
        <v>50</v>
      </c>
      <c r="H34" s="1">
        <v>46023</v>
      </c>
      <c r="I34" t="s">
        <v>51</v>
      </c>
      <c r="J34" t="s">
        <v>52</v>
      </c>
      <c r="K34" s="2">
        <v>175</v>
      </c>
      <c r="L34">
        <v>1</v>
      </c>
      <c r="M34" s="3">
        <v>1</v>
      </c>
      <c r="N34" s="2">
        <v>175</v>
      </c>
      <c r="P34" t="s">
        <v>1060</v>
      </c>
    </row>
    <row r="35" spans="1:16" x14ac:dyDescent="0.25">
      <c r="A35" s="11" t="s">
        <v>854</v>
      </c>
      <c r="B35" s="11" t="str">
        <f t="shared" si="0"/>
        <v>00018368840KOVR</v>
      </c>
      <c r="C35" t="s">
        <v>171</v>
      </c>
      <c r="D35" t="s">
        <v>46</v>
      </c>
      <c r="E35">
        <v>20411454</v>
      </c>
      <c r="F35" t="s">
        <v>1071</v>
      </c>
      <c r="G35" t="s">
        <v>50</v>
      </c>
      <c r="H35" s="1">
        <v>46023</v>
      </c>
      <c r="I35" t="s">
        <v>51</v>
      </c>
      <c r="J35" t="s">
        <v>52</v>
      </c>
      <c r="K35" s="2">
        <v>175</v>
      </c>
      <c r="L35">
        <v>1</v>
      </c>
      <c r="M35" s="3">
        <v>1</v>
      </c>
      <c r="N35" s="2">
        <v>175</v>
      </c>
      <c r="P35" t="s">
        <v>1060</v>
      </c>
    </row>
    <row r="36" spans="1:16" x14ac:dyDescent="0.25">
      <c r="A36" s="11" t="s">
        <v>855</v>
      </c>
      <c r="B36" s="11" t="str">
        <f t="shared" si="0"/>
        <v>00018869709KOVR</v>
      </c>
      <c r="C36" t="s">
        <v>173</v>
      </c>
      <c r="D36" t="s">
        <v>139</v>
      </c>
      <c r="E36">
        <v>20411454</v>
      </c>
      <c r="F36" t="s">
        <v>1071</v>
      </c>
      <c r="G36" t="s">
        <v>50</v>
      </c>
      <c r="H36" s="1">
        <v>46023</v>
      </c>
      <c r="I36" t="s">
        <v>51</v>
      </c>
      <c r="J36" t="s">
        <v>52</v>
      </c>
      <c r="K36" s="2">
        <v>175</v>
      </c>
      <c r="L36">
        <v>1</v>
      </c>
      <c r="M36" s="3">
        <v>1</v>
      </c>
      <c r="N36" s="2">
        <v>175</v>
      </c>
      <c r="P36" t="s">
        <v>1060</v>
      </c>
    </row>
    <row r="37" spans="1:16" x14ac:dyDescent="0.25">
      <c r="A37" s="11" t="s">
        <v>856</v>
      </c>
      <c r="B37" s="11" t="str">
        <f t="shared" si="0"/>
        <v>00019224627KOVR</v>
      </c>
      <c r="C37" t="s">
        <v>175</v>
      </c>
      <c r="D37" t="s">
        <v>46</v>
      </c>
      <c r="E37">
        <v>20411454</v>
      </c>
      <c r="F37" t="s">
        <v>1071</v>
      </c>
      <c r="G37" t="s">
        <v>50</v>
      </c>
      <c r="H37" s="1">
        <v>46023</v>
      </c>
      <c r="I37" t="s">
        <v>51</v>
      </c>
      <c r="J37" t="s">
        <v>52</v>
      </c>
      <c r="K37" s="2">
        <v>175</v>
      </c>
      <c r="L37">
        <v>1</v>
      </c>
      <c r="M37" s="3">
        <v>1</v>
      </c>
      <c r="N37" s="2">
        <v>175</v>
      </c>
      <c r="P37" t="s">
        <v>1060</v>
      </c>
    </row>
    <row r="38" spans="1:16" x14ac:dyDescent="0.25">
      <c r="A38" s="11" t="s">
        <v>857</v>
      </c>
      <c r="B38" s="11" t="str">
        <f t="shared" si="0"/>
        <v>00019265140KOVR</v>
      </c>
      <c r="C38" t="s">
        <v>177</v>
      </c>
      <c r="D38" t="s">
        <v>46</v>
      </c>
      <c r="E38">
        <v>20411454</v>
      </c>
      <c r="F38" t="s">
        <v>1071</v>
      </c>
      <c r="G38" t="s">
        <v>50</v>
      </c>
      <c r="H38" s="1">
        <v>46023</v>
      </c>
      <c r="I38" t="s">
        <v>51</v>
      </c>
      <c r="J38" t="s">
        <v>52</v>
      </c>
      <c r="K38" s="2">
        <v>175</v>
      </c>
      <c r="L38">
        <v>1</v>
      </c>
      <c r="M38" s="3">
        <v>1</v>
      </c>
      <c r="N38" s="2">
        <v>175</v>
      </c>
      <c r="P38" t="s">
        <v>1060</v>
      </c>
    </row>
    <row r="39" spans="1:16" x14ac:dyDescent="0.25">
      <c r="A39" s="11" t="s">
        <v>862</v>
      </c>
      <c r="B39" s="11" t="str">
        <f t="shared" si="0"/>
        <v>00020062203KOVR</v>
      </c>
      <c r="C39" t="s">
        <v>187</v>
      </c>
      <c r="D39" t="s">
        <v>46</v>
      </c>
      <c r="E39">
        <v>20411454</v>
      </c>
      <c r="F39" t="s">
        <v>1071</v>
      </c>
      <c r="G39" t="s">
        <v>50</v>
      </c>
      <c r="H39" s="1">
        <v>46023</v>
      </c>
      <c r="I39" t="s">
        <v>51</v>
      </c>
      <c r="J39" t="s">
        <v>52</v>
      </c>
      <c r="K39" s="2">
        <v>175</v>
      </c>
      <c r="L39">
        <v>1</v>
      </c>
      <c r="M39" s="3">
        <v>1</v>
      </c>
      <c r="N39" s="2">
        <v>175</v>
      </c>
      <c r="P39" t="s">
        <v>1060</v>
      </c>
    </row>
    <row r="40" spans="1:16" x14ac:dyDescent="0.25">
      <c r="A40" s="11" t="s">
        <v>864</v>
      </c>
      <c r="B40" s="11" t="str">
        <f t="shared" si="0"/>
        <v>00020860905KOVR</v>
      </c>
      <c r="C40" t="s">
        <v>196</v>
      </c>
      <c r="D40" t="s">
        <v>46</v>
      </c>
      <c r="E40">
        <v>20411454</v>
      </c>
      <c r="F40" t="s">
        <v>1071</v>
      </c>
      <c r="G40" t="s">
        <v>50</v>
      </c>
      <c r="H40" s="1">
        <v>46023</v>
      </c>
      <c r="I40" t="s">
        <v>51</v>
      </c>
      <c r="J40" t="s">
        <v>52</v>
      </c>
      <c r="K40" s="2">
        <v>175</v>
      </c>
      <c r="L40">
        <v>1</v>
      </c>
      <c r="M40" s="3">
        <v>1</v>
      </c>
      <c r="N40" s="2">
        <v>175</v>
      </c>
      <c r="P40" t="s">
        <v>1060</v>
      </c>
    </row>
    <row r="41" spans="1:16" x14ac:dyDescent="0.25">
      <c r="A41" s="11" t="s">
        <v>865</v>
      </c>
      <c r="B41" s="11" t="str">
        <f t="shared" si="0"/>
        <v>00020900318KOVR</v>
      </c>
      <c r="C41" t="s">
        <v>200</v>
      </c>
      <c r="D41" t="s">
        <v>59</v>
      </c>
      <c r="E41">
        <v>20411454</v>
      </c>
      <c r="F41" t="s">
        <v>1071</v>
      </c>
      <c r="G41" t="s">
        <v>50</v>
      </c>
      <c r="H41" s="1">
        <v>46023</v>
      </c>
      <c r="I41" t="s">
        <v>51</v>
      </c>
      <c r="J41" t="s">
        <v>52</v>
      </c>
      <c r="K41" s="2">
        <v>175</v>
      </c>
      <c r="L41">
        <v>1</v>
      </c>
      <c r="M41" s="3">
        <v>1</v>
      </c>
      <c r="N41" s="2">
        <v>175</v>
      </c>
      <c r="P41" t="s">
        <v>1060</v>
      </c>
    </row>
    <row r="42" spans="1:16" x14ac:dyDescent="0.25">
      <c r="A42" s="11" t="s">
        <v>866</v>
      </c>
      <c r="B42" s="11" t="str">
        <f t="shared" si="0"/>
        <v>00020904940KOVR</v>
      </c>
      <c r="C42" t="s">
        <v>204</v>
      </c>
      <c r="D42" t="s">
        <v>59</v>
      </c>
      <c r="E42">
        <v>20411454</v>
      </c>
      <c r="F42" t="s">
        <v>1071</v>
      </c>
      <c r="G42" t="s">
        <v>50</v>
      </c>
      <c r="H42" s="1">
        <v>46023</v>
      </c>
      <c r="I42" t="s">
        <v>51</v>
      </c>
      <c r="J42" t="s">
        <v>52</v>
      </c>
      <c r="K42" s="2">
        <v>175</v>
      </c>
      <c r="L42">
        <v>1</v>
      </c>
      <c r="M42" s="3">
        <v>1</v>
      </c>
      <c r="N42" s="2">
        <v>175</v>
      </c>
      <c r="P42" t="s">
        <v>1060</v>
      </c>
    </row>
    <row r="43" spans="1:16" x14ac:dyDescent="0.25">
      <c r="A43" s="11" t="s">
        <v>867</v>
      </c>
      <c r="B43" s="11" t="str">
        <f t="shared" si="0"/>
        <v>00021344814KOVR</v>
      </c>
      <c r="C43" t="s">
        <v>206</v>
      </c>
      <c r="D43" t="s">
        <v>207</v>
      </c>
      <c r="E43">
        <v>20411454</v>
      </c>
      <c r="F43" t="s">
        <v>1071</v>
      </c>
      <c r="G43" t="s">
        <v>50</v>
      </c>
      <c r="H43" s="1">
        <v>46023</v>
      </c>
      <c r="I43" t="s">
        <v>51</v>
      </c>
      <c r="J43" t="s">
        <v>52</v>
      </c>
      <c r="K43" s="2">
        <v>175</v>
      </c>
      <c r="L43">
        <v>1</v>
      </c>
      <c r="M43" s="3">
        <v>1</v>
      </c>
      <c r="N43" s="2">
        <v>175</v>
      </c>
      <c r="P43" t="s">
        <v>1060</v>
      </c>
    </row>
    <row r="44" spans="1:16" x14ac:dyDescent="0.25">
      <c r="A44" s="11" t="s">
        <v>869</v>
      </c>
      <c r="B44" s="11" t="str">
        <f t="shared" si="0"/>
        <v>00021683807KOVR</v>
      </c>
      <c r="C44" t="s">
        <v>211</v>
      </c>
      <c r="D44" t="s">
        <v>212</v>
      </c>
      <c r="E44">
        <v>20411454</v>
      </c>
      <c r="F44" t="s">
        <v>1071</v>
      </c>
      <c r="G44" t="s">
        <v>50</v>
      </c>
      <c r="H44" s="1">
        <v>46023</v>
      </c>
      <c r="I44" t="s">
        <v>51</v>
      </c>
      <c r="J44" t="s">
        <v>52</v>
      </c>
      <c r="K44" s="2">
        <v>175</v>
      </c>
      <c r="L44">
        <v>1</v>
      </c>
      <c r="M44" s="3">
        <v>1</v>
      </c>
      <c r="N44" s="2">
        <v>175</v>
      </c>
      <c r="P44" t="s">
        <v>1060</v>
      </c>
    </row>
    <row r="45" spans="1:16" x14ac:dyDescent="0.25">
      <c r="A45" s="11" t="s">
        <v>872</v>
      </c>
      <c r="B45" s="11" t="str">
        <f t="shared" si="0"/>
        <v>00021953385KOVR</v>
      </c>
      <c r="C45" t="s">
        <v>223</v>
      </c>
      <c r="D45" t="s">
        <v>46</v>
      </c>
      <c r="E45">
        <v>20411454</v>
      </c>
      <c r="F45" t="s">
        <v>1071</v>
      </c>
      <c r="G45" t="s">
        <v>50</v>
      </c>
      <c r="H45" s="1">
        <v>46023</v>
      </c>
      <c r="I45" t="s">
        <v>51</v>
      </c>
      <c r="J45" t="s">
        <v>52</v>
      </c>
      <c r="K45" s="2">
        <v>175</v>
      </c>
      <c r="L45">
        <v>1</v>
      </c>
      <c r="M45" s="3">
        <v>1</v>
      </c>
      <c r="N45" s="2">
        <v>175</v>
      </c>
      <c r="P45" t="s">
        <v>1060</v>
      </c>
    </row>
    <row r="46" spans="1:16" x14ac:dyDescent="0.25">
      <c r="A46" s="11" t="s">
        <v>880</v>
      </c>
      <c r="B46" s="11" t="str">
        <f t="shared" si="0"/>
        <v>00023074746KOVR</v>
      </c>
      <c r="C46" t="s">
        <v>239</v>
      </c>
      <c r="D46" t="s">
        <v>46</v>
      </c>
      <c r="E46">
        <v>20411454</v>
      </c>
      <c r="F46" t="s">
        <v>1071</v>
      </c>
      <c r="G46" t="s">
        <v>50</v>
      </c>
      <c r="H46" s="1">
        <v>46023</v>
      </c>
      <c r="I46" t="s">
        <v>51</v>
      </c>
      <c r="J46" t="s">
        <v>52</v>
      </c>
      <c r="K46" s="2">
        <v>175</v>
      </c>
      <c r="L46">
        <v>1</v>
      </c>
      <c r="M46" s="3">
        <v>1</v>
      </c>
      <c r="N46" s="2">
        <v>175</v>
      </c>
      <c r="P46" t="s">
        <v>1060</v>
      </c>
    </row>
    <row r="47" spans="1:16" x14ac:dyDescent="0.25">
      <c r="A47" s="11" t="s">
        <v>886</v>
      </c>
      <c r="B47" s="11" t="str">
        <f t="shared" si="0"/>
        <v>00024166424KOVR</v>
      </c>
      <c r="C47" t="s">
        <v>252</v>
      </c>
      <c r="D47" t="s">
        <v>192</v>
      </c>
      <c r="E47">
        <v>20411454</v>
      </c>
      <c r="F47" t="s">
        <v>1071</v>
      </c>
      <c r="G47" t="s">
        <v>50</v>
      </c>
      <c r="H47" s="1">
        <v>46023</v>
      </c>
      <c r="I47" t="s">
        <v>51</v>
      </c>
      <c r="J47" t="s">
        <v>52</v>
      </c>
      <c r="K47" s="2">
        <v>175</v>
      </c>
      <c r="L47">
        <v>1</v>
      </c>
      <c r="M47" s="3">
        <v>1</v>
      </c>
      <c r="N47" s="2">
        <v>175</v>
      </c>
      <c r="P47" t="s">
        <v>1060</v>
      </c>
    </row>
    <row r="48" spans="1:16" x14ac:dyDescent="0.25">
      <c r="A48" s="11" t="s">
        <v>888</v>
      </c>
      <c r="B48" s="11" t="str">
        <f t="shared" si="0"/>
        <v>00024685235KOVR</v>
      </c>
      <c r="C48" t="s">
        <v>259</v>
      </c>
      <c r="D48" t="s">
        <v>46</v>
      </c>
      <c r="E48">
        <v>20411454</v>
      </c>
      <c r="F48" t="s">
        <v>1071</v>
      </c>
      <c r="G48" t="s">
        <v>50</v>
      </c>
      <c r="H48" s="1">
        <v>46023</v>
      </c>
      <c r="I48" t="s">
        <v>51</v>
      </c>
      <c r="J48" t="s">
        <v>52</v>
      </c>
      <c r="K48" s="2">
        <v>175</v>
      </c>
      <c r="L48">
        <v>1</v>
      </c>
      <c r="M48" s="3">
        <v>1</v>
      </c>
      <c r="N48" s="2">
        <v>175</v>
      </c>
      <c r="P48" t="s">
        <v>1060</v>
      </c>
    </row>
    <row r="49" spans="1:16" x14ac:dyDescent="0.25">
      <c r="A49" s="11" t="s">
        <v>889</v>
      </c>
      <c r="B49" s="11" t="str">
        <f t="shared" si="0"/>
        <v>00024687353KOVR</v>
      </c>
      <c r="C49" t="s">
        <v>261</v>
      </c>
      <c r="D49" t="s">
        <v>46</v>
      </c>
      <c r="E49">
        <v>20411454</v>
      </c>
      <c r="F49" t="s">
        <v>1071</v>
      </c>
      <c r="G49" t="s">
        <v>50</v>
      </c>
      <c r="H49" s="1">
        <v>46023</v>
      </c>
      <c r="I49" t="s">
        <v>51</v>
      </c>
      <c r="J49" t="s">
        <v>52</v>
      </c>
      <c r="K49" s="2">
        <v>175</v>
      </c>
      <c r="L49">
        <v>1</v>
      </c>
      <c r="M49" s="3">
        <v>1</v>
      </c>
      <c r="N49" s="2">
        <v>175</v>
      </c>
      <c r="P49" t="s">
        <v>1060</v>
      </c>
    </row>
    <row r="50" spans="1:16" x14ac:dyDescent="0.25">
      <c r="A50" s="11" t="s">
        <v>890</v>
      </c>
      <c r="B50" s="11" t="str">
        <f t="shared" si="0"/>
        <v>00024689320KOVR</v>
      </c>
      <c r="C50" t="s">
        <v>263</v>
      </c>
      <c r="D50" t="s">
        <v>46</v>
      </c>
      <c r="E50">
        <v>20411454</v>
      </c>
      <c r="F50" t="s">
        <v>1071</v>
      </c>
      <c r="G50" t="s">
        <v>50</v>
      </c>
      <c r="H50" s="1">
        <v>46023</v>
      </c>
      <c r="I50" t="s">
        <v>51</v>
      </c>
      <c r="J50" t="s">
        <v>52</v>
      </c>
      <c r="K50" s="2">
        <v>175</v>
      </c>
      <c r="L50">
        <v>1</v>
      </c>
      <c r="M50" s="3">
        <v>1</v>
      </c>
      <c r="N50" s="2">
        <v>175</v>
      </c>
      <c r="P50" t="s">
        <v>1060</v>
      </c>
    </row>
    <row r="51" spans="1:16" x14ac:dyDescent="0.25">
      <c r="A51" s="11" t="s">
        <v>891</v>
      </c>
      <c r="B51" s="11" t="str">
        <f t="shared" si="0"/>
        <v>00024689391KOVR</v>
      </c>
      <c r="C51" t="s">
        <v>265</v>
      </c>
      <c r="D51" t="s">
        <v>266</v>
      </c>
      <c r="E51">
        <v>20411454</v>
      </c>
      <c r="F51" t="s">
        <v>1071</v>
      </c>
      <c r="G51" t="s">
        <v>50</v>
      </c>
      <c r="H51" s="1">
        <v>46023</v>
      </c>
      <c r="I51" t="s">
        <v>51</v>
      </c>
      <c r="J51" t="s">
        <v>52</v>
      </c>
      <c r="K51" s="2">
        <v>175</v>
      </c>
      <c r="L51">
        <v>1</v>
      </c>
      <c r="M51" s="3">
        <v>1</v>
      </c>
      <c r="N51" s="2">
        <v>175</v>
      </c>
      <c r="P51" t="s">
        <v>1060</v>
      </c>
    </row>
    <row r="52" spans="1:16" x14ac:dyDescent="0.25">
      <c r="A52" s="11" t="s">
        <v>892</v>
      </c>
      <c r="B52" s="11" t="str">
        <f t="shared" si="0"/>
        <v>00024690178KOVR</v>
      </c>
      <c r="C52" t="s">
        <v>268</v>
      </c>
      <c r="D52" t="s">
        <v>46</v>
      </c>
      <c r="E52">
        <v>20411454</v>
      </c>
      <c r="F52" t="s">
        <v>1071</v>
      </c>
      <c r="G52" t="s">
        <v>50</v>
      </c>
      <c r="H52" s="1">
        <v>46023</v>
      </c>
      <c r="I52" t="s">
        <v>51</v>
      </c>
      <c r="J52" t="s">
        <v>52</v>
      </c>
      <c r="K52" s="2">
        <v>175</v>
      </c>
      <c r="L52">
        <v>1</v>
      </c>
      <c r="M52" s="3">
        <v>1</v>
      </c>
      <c r="N52" s="2">
        <v>175</v>
      </c>
      <c r="P52" t="s">
        <v>1060</v>
      </c>
    </row>
    <row r="53" spans="1:16" x14ac:dyDescent="0.25">
      <c r="A53" s="11" t="s">
        <v>893</v>
      </c>
      <c r="B53" s="11" t="str">
        <f t="shared" si="0"/>
        <v>00024693674KOVR</v>
      </c>
      <c r="C53" t="s">
        <v>270</v>
      </c>
      <c r="D53" t="s">
        <v>46</v>
      </c>
      <c r="E53">
        <v>20411454</v>
      </c>
      <c r="F53" t="s">
        <v>1071</v>
      </c>
      <c r="G53" t="s">
        <v>50</v>
      </c>
      <c r="H53" s="1">
        <v>46023</v>
      </c>
      <c r="I53" t="s">
        <v>51</v>
      </c>
      <c r="J53" t="s">
        <v>52</v>
      </c>
      <c r="K53" s="2">
        <v>175</v>
      </c>
      <c r="L53">
        <v>1</v>
      </c>
      <c r="M53" s="3">
        <v>1</v>
      </c>
      <c r="N53" s="2">
        <v>175</v>
      </c>
      <c r="P53" t="s">
        <v>1060</v>
      </c>
    </row>
    <row r="54" spans="1:16" x14ac:dyDescent="0.25">
      <c r="A54" s="11" t="s">
        <v>894</v>
      </c>
      <c r="B54" s="11" t="str">
        <f t="shared" si="0"/>
        <v>00024695043KOVR</v>
      </c>
      <c r="C54" t="s">
        <v>272</v>
      </c>
      <c r="D54" t="s">
        <v>46</v>
      </c>
      <c r="E54">
        <v>20411454</v>
      </c>
      <c r="F54" t="s">
        <v>1071</v>
      </c>
      <c r="G54" t="s">
        <v>50</v>
      </c>
      <c r="H54" s="1">
        <v>46023</v>
      </c>
      <c r="I54" t="s">
        <v>51</v>
      </c>
      <c r="J54" t="s">
        <v>52</v>
      </c>
      <c r="K54" s="2">
        <v>175</v>
      </c>
      <c r="L54">
        <v>1</v>
      </c>
      <c r="M54" s="3">
        <v>1</v>
      </c>
      <c r="N54" s="2">
        <v>175</v>
      </c>
      <c r="P54" t="s">
        <v>1060</v>
      </c>
    </row>
    <row r="55" spans="1:16" x14ac:dyDescent="0.25">
      <c r="A55" s="11" t="s">
        <v>895</v>
      </c>
      <c r="B55" s="11" t="str">
        <f t="shared" si="0"/>
        <v>00024695321KOVR</v>
      </c>
      <c r="C55" t="s">
        <v>274</v>
      </c>
      <c r="D55" t="s">
        <v>275</v>
      </c>
      <c r="E55">
        <v>20411454</v>
      </c>
      <c r="F55" t="s">
        <v>1071</v>
      </c>
      <c r="G55" t="s">
        <v>50</v>
      </c>
      <c r="H55" s="1">
        <v>46023</v>
      </c>
      <c r="I55" t="s">
        <v>51</v>
      </c>
      <c r="J55" t="s">
        <v>52</v>
      </c>
      <c r="K55" s="2">
        <v>175</v>
      </c>
      <c r="L55">
        <v>1</v>
      </c>
      <c r="M55" s="3">
        <v>1</v>
      </c>
      <c r="N55" s="2">
        <v>175</v>
      </c>
      <c r="P55" t="s">
        <v>1060</v>
      </c>
    </row>
    <row r="56" spans="1:16" x14ac:dyDescent="0.25">
      <c r="A56" s="11" t="s">
        <v>897</v>
      </c>
      <c r="B56" s="11" t="str">
        <f t="shared" si="0"/>
        <v>00024696042KOVR</v>
      </c>
      <c r="C56" t="s">
        <v>283</v>
      </c>
      <c r="D56" t="s">
        <v>59</v>
      </c>
      <c r="E56">
        <v>20411454</v>
      </c>
      <c r="F56" t="s">
        <v>1071</v>
      </c>
      <c r="G56" t="s">
        <v>50</v>
      </c>
      <c r="H56" s="1">
        <v>46023</v>
      </c>
      <c r="I56" t="s">
        <v>51</v>
      </c>
      <c r="J56" t="s">
        <v>52</v>
      </c>
      <c r="K56" s="2">
        <v>175</v>
      </c>
      <c r="L56">
        <v>1</v>
      </c>
      <c r="M56" s="3">
        <v>1</v>
      </c>
      <c r="N56" s="2">
        <v>175</v>
      </c>
      <c r="P56" t="s">
        <v>1060</v>
      </c>
    </row>
    <row r="57" spans="1:16" x14ac:dyDescent="0.25">
      <c r="A57" s="11" t="s">
        <v>898</v>
      </c>
      <c r="B57" s="11" t="str">
        <f t="shared" si="0"/>
        <v>00024697016KOVR</v>
      </c>
      <c r="C57" t="s">
        <v>285</v>
      </c>
      <c r="D57" t="s">
        <v>46</v>
      </c>
      <c r="E57">
        <v>20411454</v>
      </c>
      <c r="F57" t="s">
        <v>1071</v>
      </c>
      <c r="G57" t="s">
        <v>50</v>
      </c>
      <c r="H57" s="1">
        <v>46023</v>
      </c>
      <c r="I57" t="s">
        <v>51</v>
      </c>
      <c r="J57" t="s">
        <v>52</v>
      </c>
      <c r="K57" s="2">
        <v>175</v>
      </c>
      <c r="L57">
        <v>1</v>
      </c>
      <c r="M57" s="3">
        <v>1</v>
      </c>
      <c r="N57" s="2">
        <v>175</v>
      </c>
      <c r="P57" t="s">
        <v>1060</v>
      </c>
    </row>
    <row r="58" spans="1:16" x14ac:dyDescent="0.25">
      <c r="A58" s="11" t="s">
        <v>899</v>
      </c>
      <c r="B58" s="11" t="str">
        <f t="shared" si="0"/>
        <v>00024697948KOVR</v>
      </c>
      <c r="C58" t="s">
        <v>287</v>
      </c>
      <c r="D58" t="s">
        <v>46</v>
      </c>
      <c r="E58">
        <v>20411454</v>
      </c>
      <c r="F58" t="s">
        <v>1071</v>
      </c>
      <c r="G58" t="s">
        <v>50</v>
      </c>
      <c r="H58" s="1">
        <v>46023</v>
      </c>
      <c r="I58" t="s">
        <v>51</v>
      </c>
      <c r="J58" t="s">
        <v>52</v>
      </c>
      <c r="K58" s="2">
        <v>175</v>
      </c>
      <c r="L58">
        <v>1</v>
      </c>
      <c r="M58" s="3">
        <v>1</v>
      </c>
      <c r="N58" s="2">
        <v>175</v>
      </c>
      <c r="P58" t="s">
        <v>1060</v>
      </c>
    </row>
    <row r="59" spans="1:16" x14ac:dyDescent="0.25">
      <c r="A59" s="11" t="s">
        <v>900</v>
      </c>
      <c r="B59" s="11" t="str">
        <f t="shared" si="0"/>
        <v>00024698402KOVR</v>
      </c>
      <c r="C59" t="s">
        <v>291</v>
      </c>
      <c r="D59" t="s">
        <v>46</v>
      </c>
      <c r="E59">
        <v>20411454</v>
      </c>
      <c r="F59" t="s">
        <v>1071</v>
      </c>
      <c r="G59" t="s">
        <v>50</v>
      </c>
      <c r="H59" s="1">
        <v>46023</v>
      </c>
      <c r="I59" t="s">
        <v>51</v>
      </c>
      <c r="J59" t="s">
        <v>52</v>
      </c>
      <c r="K59" s="2">
        <v>175</v>
      </c>
      <c r="L59">
        <v>1</v>
      </c>
      <c r="M59" s="3">
        <v>1</v>
      </c>
      <c r="N59" s="2">
        <v>175</v>
      </c>
      <c r="P59" t="s">
        <v>1060</v>
      </c>
    </row>
    <row r="60" spans="1:16" x14ac:dyDescent="0.25">
      <c r="A60" s="11" t="s">
        <v>901</v>
      </c>
      <c r="B60" s="11" t="str">
        <f t="shared" si="0"/>
        <v>00024699362KOVR</v>
      </c>
      <c r="C60" t="s">
        <v>293</v>
      </c>
      <c r="D60" t="s">
        <v>294</v>
      </c>
      <c r="E60">
        <v>20411454</v>
      </c>
      <c r="F60" t="s">
        <v>1071</v>
      </c>
      <c r="G60" t="s">
        <v>50</v>
      </c>
      <c r="H60" s="1">
        <v>46023</v>
      </c>
      <c r="I60" t="s">
        <v>51</v>
      </c>
      <c r="J60" t="s">
        <v>52</v>
      </c>
      <c r="K60" s="2">
        <v>175</v>
      </c>
      <c r="L60">
        <v>1</v>
      </c>
      <c r="M60" s="3">
        <v>1</v>
      </c>
      <c r="N60" s="2">
        <v>175</v>
      </c>
      <c r="P60" t="s">
        <v>1060</v>
      </c>
    </row>
    <row r="61" spans="1:16" x14ac:dyDescent="0.25">
      <c r="A61" s="11" t="s">
        <v>902</v>
      </c>
      <c r="B61" s="11" t="str">
        <f t="shared" si="0"/>
        <v>00024701707KOVR</v>
      </c>
      <c r="C61" t="s">
        <v>296</v>
      </c>
      <c r="D61" t="s">
        <v>46</v>
      </c>
      <c r="E61">
        <v>20411454</v>
      </c>
      <c r="F61" t="s">
        <v>1071</v>
      </c>
      <c r="G61" t="s">
        <v>50</v>
      </c>
      <c r="H61" s="1">
        <v>46023</v>
      </c>
      <c r="I61" t="s">
        <v>51</v>
      </c>
      <c r="J61" t="s">
        <v>52</v>
      </c>
      <c r="K61" s="2">
        <v>175</v>
      </c>
      <c r="L61">
        <v>1</v>
      </c>
      <c r="M61" s="3">
        <v>1</v>
      </c>
      <c r="N61" s="2">
        <v>175</v>
      </c>
      <c r="P61" t="s">
        <v>1060</v>
      </c>
    </row>
    <row r="62" spans="1:16" x14ac:dyDescent="0.25">
      <c r="A62" s="11" t="s">
        <v>903</v>
      </c>
      <c r="B62" s="11" t="str">
        <f t="shared" si="0"/>
        <v>00024703143KOVR</v>
      </c>
      <c r="C62" t="s">
        <v>300</v>
      </c>
      <c r="D62" t="s">
        <v>46</v>
      </c>
      <c r="E62">
        <v>20411454</v>
      </c>
      <c r="F62" t="s">
        <v>1071</v>
      </c>
      <c r="G62" t="s">
        <v>50</v>
      </c>
      <c r="H62" s="1">
        <v>46023</v>
      </c>
      <c r="I62" t="s">
        <v>51</v>
      </c>
      <c r="J62" t="s">
        <v>52</v>
      </c>
      <c r="K62" s="2">
        <v>175</v>
      </c>
      <c r="L62">
        <v>1</v>
      </c>
      <c r="M62" s="3">
        <v>1</v>
      </c>
      <c r="N62" s="2">
        <v>175</v>
      </c>
      <c r="P62" t="s">
        <v>1060</v>
      </c>
    </row>
    <row r="63" spans="1:16" x14ac:dyDescent="0.25">
      <c r="A63" s="11" t="s">
        <v>904</v>
      </c>
      <c r="B63" s="11" t="str">
        <f t="shared" si="0"/>
        <v>00024703872KOVR</v>
      </c>
      <c r="C63" t="s">
        <v>304</v>
      </c>
      <c r="D63" t="s">
        <v>46</v>
      </c>
      <c r="E63">
        <v>20411454</v>
      </c>
      <c r="F63" t="s">
        <v>1071</v>
      </c>
      <c r="G63" t="s">
        <v>50</v>
      </c>
      <c r="H63" s="1">
        <v>46023</v>
      </c>
      <c r="I63" t="s">
        <v>51</v>
      </c>
      <c r="J63" t="s">
        <v>52</v>
      </c>
      <c r="K63" s="2">
        <v>175</v>
      </c>
      <c r="L63">
        <v>1</v>
      </c>
      <c r="M63" s="3">
        <v>1</v>
      </c>
      <c r="N63" s="2">
        <v>175</v>
      </c>
      <c r="P63" t="s">
        <v>1060</v>
      </c>
    </row>
    <row r="64" spans="1:16" x14ac:dyDescent="0.25">
      <c r="A64" s="11" t="s">
        <v>905</v>
      </c>
      <c r="B64" s="11" t="str">
        <f t="shared" si="0"/>
        <v>00024704222KOVR</v>
      </c>
      <c r="C64" t="s">
        <v>308</v>
      </c>
      <c r="D64" t="s">
        <v>46</v>
      </c>
      <c r="E64">
        <v>20411454</v>
      </c>
      <c r="F64" t="s">
        <v>1071</v>
      </c>
      <c r="G64" t="s">
        <v>50</v>
      </c>
      <c r="H64" s="1">
        <v>46023</v>
      </c>
      <c r="I64" t="s">
        <v>51</v>
      </c>
      <c r="J64" t="s">
        <v>52</v>
      </c>
      <c r="K64" s="2">
        <v>175</v>
      </c>
      <c r="L64">
        <v>1</v>
      </c>
      <c r="M64" s="3">
        <v>1</v>
      </c>
      <c r="N64" s="2">
        <v>175</v>
      </c>
      <c r="P64" t="s">
        <v>1060</v>
      </c>
    </row>
    <row r="65" spans="1:16" x14ac:dyDescent="0.25">
      <c r="A65" s="11" t="s">
        <v>906</v>
      </c>
      <c r="B65" s="11" t="str">
        <f t="shared" si="0"/>
        <v>00024704975KOVR</v>
      </c>
      <c r="C65" t="s">
        <v>310</v>
      </c>
      <c r="D65" t="s">
        <v>275</v>
      </c>
      <c r="E65">
        <v>20411454</v>
      </c>
      <c r="F65" t="s">
        <v>1071</v>
      </c>
      <c r="G65" t="s">
        <v>50</v>
      </c>
      <c r="H65" s="1">
        <v>46023</v>
      </c>
      <c r="I65" t="s">
        <v>51</v>
      </c>
      <c r="J65" t="s">
        <v>52</v>
      </c>
      <c r="K65" s="2">
        <v>175</v>
      </c>
      <c r="L65">
        <v>1</v>
      </c>
      <c r="M65" s="3">
        <v>1</v>
      </c>
      <c r="N65" s="2">
        <v>175</v>
      </c>
      <c r="P65" t="s">
        <v>1060</v>
      </c>
    </row>
    <row r="66" spans="1:16" x14ac:dyDescent="0.25">
      <c r="A66" s="11" t="s">
        <v>908</v>
      </c>
      <c r="B66" s="11" t="str">
        <f t="shared" ref="B66:B129" si="1">CONCATENATE(A66,"OVR")</f>
        <v>00024705354KOVR</v>
      </c>
      <c r="C66" t="s">
        <v>318</v>
      </c>
      <c r="D66" t="s">
        <v>46</v>
      </c>
      <c r="E66">
        <v>20411454</v>
      </c>
      <c r="F66" t="s">
        <v>1071</v>
      </c>
      <c r="G66" t="s">
        <v>50</v>
      </c>
      <c r="H66" s="1">
        <v>45992</v>
      </c>
      <c r="I66" t="s">
        <v>51</v>
      </c>
      <c r="J66" t="s">
        <v>52</v>
      </c>
      <c r="K66" s="2">
        <v>175</v>
      </c>
      <c r="L66">
        <v>1</v>
      </c>
      <c r="M66" s="3">
        <v>1</v>
      </c>
      <c r="N66" s="2">
        <v>175</v>
      </c>
      <c r="P66" t="s">
        <v>1060</v>
      </c>
    </row>
    <row r="67" spans="1:16" x14ac:dyDescent="0.25">
      <c r="A67" s="11" t="s">
        <v>909</v>
      </c>
      <c r="B67" s="11" t="str">
        <f t="shared" si="1"/>
        <v>00024705427KOVR</v>
      </c>
      <c r="C67" t="s">
        <v>322</v>
      </c>
      <c r="D67" t="s">
        <v>46</v>
      </c>
      <c r="E67">
        <v>20411454</v>
      </c>
      <c r="F67" t="s">
        <v>1071</v>
      </c>
      <c r="G67" t="s">
        <v>50</v>
      </c>
      <c r="H67" s="1">
        <v>46023</v>
      </c>
      <c r="I67" t="s">
        <v>51</v>
      </c>
      <c r="J67" t="s">
        <v>52</v>
      </c>
      <c r="K67" s="2">
        <v>175</v>
      </c>
      <c r="L67">
        <v>1</v>
      </c>
      <c r="M67" s="3">
        <v>1</v>
      </c>
      <c r="N67" s="2">
        <v>175</v>
      </c>
      <c r="P67" t="s">
        <v>1060</v>
      </c>
    </row>
    <row r="68" spans="1:16" x14ac:dyDescent="0.25">
      <c r="A68" s="11" t="s">
        <v>910</v>
      </c>
      <c r="B68" s="11" t="str">
        <f t="shared" si="1"/>
        <v>00024707822KOVR</v>
      </c>
      <c r="C68" t="s">
        <v>324</v>
      </c>
      <c r="D68" t="s">
        <v>46</v>
      </c>
      <c r="E68">
        <v>20411454</v>
      </c>
      <c r="F68" t="s">
        <v>1071</v>
      </c>
      <c r="G68" t="s">
        <v>50</v>
      </c>
      <c r="H68" s="1">
        <v>46023</v>
      </c>
      <c r="I68" t="s">
        <v>51</v>
      </c>
      <c r="J68" t="s">
        <v>52</v>
      </c>
      <c r="K68" s="2">
        <v>175</v>
      </c>
      <c r="L68">
        <v>1</v>
      </c>
      <c r="M68" s="3">
        <v>1</v>
      </c>
      <c r="N68" s="2">
        <v>175</v>
      </c>
      <c r="P68" t="s">
        <v>1060</v>
      </c>
    </row>
    <row r="69" spans="1:16" x14ac:dyDescent="0.25">
      <c r="A69" s="11" t="s">
        <v>911</v>
      </c>
      <c r="B69" s="11" t="str">
        <f t="shared" si="1"/>
        <v>00024709153KOVR</v>
      </c>
      <c r="C69" t="s">
        <v>326</v>
      </c>
      <c r="D69" t="s">
        <v>59</v>
      </c>
      <c r="E69">
        <v>20411454</v>
      </c>
      <c r="F69" t="s">
        <v>1071</v>
      </c>
      <c r="G69" t="s">
        <v>50</v>
      </c>
      <c r="H69" s="1">
        <v>46023</v>
      </c>
      <c r="I69" t="s">
        <v>51</v>
      </c>
      <c r="J69" t="s">
        <v>52</v>
      </c>
      <c r="K69" s="2">
        <v>175</v>
      </c>
      <c r="L69">
        <v>1</v>
      </c>
      <c r="M69" s="3">
        <v>1</v>
      </c>
      <c r="N69" s="2">
        <v>175</v>
      </c>
      <c r="P69" t="s">
        <v>1060</v>
      </c>
    </row>
    <row r="70" spans="1:16" x14ac:dyDescent="0.25">
      <c r="A70" s="11" t="s">
        <v>912</v>
      </c>
      <c r="B70" s="11" t="str">
        <f t="shared" si="1"/>
        <v>00024709962KOVR</v>
      </c>
      <c r="C70" t="s">
        <v>328</v>
      </c>
      <c r="D70" t="s">
        <v>275</v>
      </c>
      <c r="E70">
        <v>20411454</v>
      </c>
      <c r="F70" t="s">
        <v>1071</v>
      </c>
      <c r="G70" t="s">
        <v>50</v>
      </c>
      <c r="H70" s="1">
        <v>46023</v>
      </c>
      <c r="I70" t="s">
        <v>51</v>
      </c>
      <c r="J70" t="s">
        <v>52</v>
      </c>
      <c r="K70" s="2">
        <v>175</v>
      </c>
      <c r="L70">
        <v>1</v>
      </c>
      <c r="M70" s="3">
        <v>1</v>
      </c>
      <c r="N70" s="2">
        <v>175</v>
      </c>
      <c r="P70" t="s">
        <v>1060</v>
      </c>
    </row>
    <row r="71" spans="1:16" x14ac:dyDescent="0.25">
      <c r="A71" s="11" t="s">
        <v>913</v>
      </c>
      <c r="B71" s="11" t="str">
        <f t="shared" si="1"/>
        <v>00024712026KOVR</v>
      </c>
      <c r="C71" t="s">
        <v>330</v>
      </c>
      <c r="D71" t="s">
        <v>46</v>
      </c>
      <c r="E71">
        <v>20411454</v>
      </c>
      <c r="F71" t="s">
        <v>1071</v>
      </c>
      <c r="G71" t="s">
        <v>50</v>
      </c>
      <c r="H71" s="1">
        <v>46023</v>
      </c>
      <c r="I71" t="s">
        <v>51</v>
      </c>
      <c r="J71" t="s">
        <v>52</v>
      </c>
      <c r="K71" s="2">
        <v>175</v>
      </c>
      <c r="L71">
        <v>1</v>
      </c>
      <c r="M71" s="3">
        <v>1</v>
      </c>
      <c r="N71" s="2">
        <v>175</v>
      </c>
      <c r="P71" t="s">
        <v>1060</v>
      </c>
    </row>
    <row r="72" spans="1:16" x14ac:dyDescent="0.25">
      <c r="A72" s="11" t="s">
        <v>914</v>
      </c>
      <c r="B72" s="11" t="str">
        <f t="shared" si="1"/>
        <v>00024713005KOVR</v>
      </c>
      <c r="C72" t="s">
        <v>332</v>
      </c>
      <c r="D72" t="s">
        <v>46</v>
      </c>
      <c r="E72">
        <v>20411454</v>
      </c>
      <c r="F72" t="s">
        <v>1071</v>
      </c>
      <c r="G72" t="s">
        <v>50</v>
      </c>
      <c r="H72" s="1">
        <v>46023</v>
      </c>
      <c r="I72" t="s">
        <v>51</v>
      </c>
      <c r="J72" t="s">
        <v>52</v>
      </c>
      <c r="K72" s="2">
        <v>175</v>
      </c>
      <c r="L72">
        <v>1</v>
      </c>
      <c r="M72" s="3">
        <v>1</v>
      </c>
      <c r="N72" s="2">
        <v>175</v>
      </c>
      <c r="P72" t="s">
        <v>1060</v>
      </c>
    </row>
    <row r="73" spans="1:16" x14ac:dyDescent="0.25">
      <c r="A73" s="11" t="s">
        <v>915</v>
      </c>
      <c r="B73" s="11" t="str">
        <f t="shared" si="1"/>
        <v>00024713081KOVR</v>
      </c>
      <c r="C73" t="s">
        <v>334</v>
      </c>
      <c r="D73" t="s">
        <v>275</v>
      </c>
      <c r="E73">
        <v>20411454</v>
      </c>
      <c r="F73" t="s">
        <v>1071</v>
      </c>
      <c r="G73" t="s">
        <v>50</v>
      </c>
      <c r="H73" s="1">
        <v>46023</v>
      </c>
      <c r="I73" t="s">
        <v>51</v>
      </c>
      <c r="J73" t="s">
        <v>52</v>
      </c>
      <c r="K73" s="2">
        <v>175</v>
      </c>
      <c r="L73">
        <v>1</v>
      </c>
      <c r="M73" s="3">
        <v>1</v>
      </c>
      <c r="N73" s="2">
        <v>175</v>
      </c>
      <c r="P73" t="s">
        <v>1060</v>
      </c>
    </row>
    <row r="74" spans="1:16" x14ac:dyDescent="0.25">
      <c r="A74" s="11" t="s">
        <v>916</v>
      </c>
      <c r="B74" s="11" t="str">
        <f t="shared" si="1"/>
        <v>00024714272KOVR</v>
      </c>
      <c r="C74" t="s">
        <v>336</v>
      </c>
      <c r="D74" t="s">
        <v>46</v>
      </c>
      <c r="E74">
        <v>20411454</v>
      </c>
      <c r="F74" t="s">
        <v>1071</v>
      </c>
      <c r="G74" t="s">
        <v>50</v>
      </c>
      <c r="H74" s="1">
        <v>46023</v>
      </c>
      <c r="I74" t="s">
        <v>51</v>
      </c>
      <c r="J74" t="s">
        <v>52</v>
      </c>
      <c r="K74" s="2">
        <v>175</v>
      </c>
      <c r="L74">
        <v>1</v>
      </c>
      <c r="M74" s="3">
        <v>1</v>
      </c>
      <c r="N74" s="2">
        <v>175</v>
      </c>
      <c r="P74" t="s">
        <v>1060</v>
      </c>
    </row>
    <row r="75" spans="1:16" x14ac:dyDescent="0.25">
      <c r="A75" s="11" t="s">
        <v>918</v>
      </c>
      <c r="B75" s="11" t="str">
        <f t="shared" si="1"/>
        <v>00024714467KOVR</v>
      </c>
      <c r="C75" t="s">
        <v>341</v>
      </c>
      <c r="D75" t="s">
        <v>46</v>
      </c>
      <c r="E75">
        <v>20411454</v>
      </c>
      <c r="F75" t="s">
        <v>1071</v>
      </c>
      <c r="G75" t="s">
        <v>50</v>
      </c>
      <c r="H75" s="1">
        <v>46023</v>
      </c>
      <c r="I75" t="s">
        <v>51</v>
      </c>
      <c r="J75" t="s">
        <v>52</v>
      </c>
      <c r="K75" s="2">
        <v>175</v>
      </c>
      <c r="L75">
        <v>1</v>
      </c>
      <c r="M75" s="3">
        <v>1</v>
      </c>
      <c r="N75" s="2">
        <v>175</v>
      </c>
      <c r="P75" t="s">
        <v>1060</v>
      </c>
    </row>
    <row r="76" spans="1:16" x14ac:dyDescent="0.25">
      <c r="A76" s="11" t="s">
        <v>919</v>
      </c>
      <c r="B76" s="11" t="str">
        <f t="shared" si="1"/>
        <v>00024716880KOVR</v>
      </c>
      <c r="C76" t="s">
        <v>343</v>
      </c>
      <c r="D76" t="s">
        <v>344</v>
      </c>
      <c r="E76">
        <v>20411454</v>
      </c>
      <c r="F76" t="s">
        <v>1071</v>
      </c>
      <c r="G76" t="s">
        <v>50</v>
      </c>
      <c r="H76" s="1">
        <v>46023</v>
      </c>
      <c r="I76" t="s">
        <v>51</v>
      </c>
      <c r="J76" t="s">
        <v>52</v>
      </c>
      <c r="K76" s="2">
        <v>175</v>
      </c>
      <c r="L76">
        <v>1</v>
      </c>
      <c r="M76" s="3">
        <v>1</v>
      </c>
      <c r="N76" s="2">
        <v>175</v>
      </c>
      <c r="P76" t="s">
        <v>1060</v>
      </c>
    </row>
    <row r="77" spans="1:16" x14ac:dyDescent="0.25">
      <c r="A77" s="11" t="s">
        <v>920</v>
      </c>
      <c r="B77" s="11" t="str">
        <f t="shared" si="1"/>
        <v>00024717149KOVR</v>
      </c>
      <c r="C77" t="s">
        <v>346</v>
      </c>
      <c r="D77" t="s">
        <v>46</v>
      </c>
      <c r="E77">
        <v>20411454</v>
      </c>
      <c r="F77" t="s">
        <v>1071</v>
      </c>
      <c r="G77" t="s">
        <v>50</v>
      </c>
      <c r="H77" s="1">
        <v>46023</v>
      </c>
      <c r="I77" t="s">
        <v>51</v>
      </c>
      <c r="J77" t="s">
        <v>52</v>
      </c>
      <c r="K77" s="2">
        <v>175</v>
      </c>
      <c r="L77">
        <v>1</v>
      </c>
      <c r="M77" s="3">
        <v>1</v>
      </c>
      <c r="N77" s="2">
        <v>175</v>
      </c>
      <c r="P77" t="s">
        <v>1060</v>
      </c>
    </row>
    <row r="78" spans="1:16" x14ac:dyDescent="0.25">
      <c r="A78" s="11" t="s">
        <v>921</v>
      </c>
      <c r="B78" s="11" t="str">
        <f t="shared" si="1"/>
        <v>00024720232KOVR</v>
      </c>
      <c r="C78" t="s">
        <v>348</v>
      </c>
      <c r="D78" t="s">
        <v>46</v>
      </c>
      <c r="E78">
        <v>20411454</v>
      </c>
      <c r="F78" t="s">
        <v>1071</v>
      </c>
      <c r="G78" t="s">
        <v>50</v>
      </c>
      <c r="H78" s="1">
        <v>46023</v>
      </c>
      <c r="I78" t="s">
        <v>51</v>
      </c>
      <c r="J78" t="s">
        <v>52</v>
      </c>
      <c r="K78" s="2">
        <v>175</v>
      </c>
      <c r="L78">
        <v>1</v>
      </c>
      <c r="M78" s="3">
        <v>1</v>
      </c>
      <c r="N78" s="2">
        <v>175</v>
      </c>
      <c r="P78" t="s">
        <v>1060</v>
      </c>
    </row>
    <row r="79" spans="1:16" x14ac:dyDescent="0.25">
      <c r="A79" s="11" t="s">
        <v>922</v>
      </c>
      <c r="B79" s="11" t="str">
        <f t="shared" si="1"/>
        <v>00024721397KOVR</v>
      </c>
      <c r="C79" t="s">
        <v>350</v>
      </c>
      <c r="D79" t="s">
        <v>46</v>
      </c>
      <c r="E79">
        <v>20411454</v>
      </c>
      <c r="F79" t="s">
        <v>1071</v>
      </c>
      <c r="G79" t="s">
        <v>50</v>
      </c>
      <c r="H79" s="1">
        <v>46023</v>
      </c>
      <c r="I79" t="s">
        <v>51</v>
      </c>
      <c r="J79" t="s">
        <v>52</v>
      </c>
      <c r="K79" s="2">
        <v>175</v>
      </c>
      <c r="L79">
        <v>1</v>
      </c>
      <c r="M79" s="3">
        <v>1</v>
      </c>
      <c r="N79" s="2">
        <v>175</v>
      </c>
      <c r="P79" t="s">
        <v>1060</v>
      </c>
    </row>
    <row r="80" spans="1:16" x14ac:dyDescent="0.25">
      <c r="A80" s="11" t="s">
        <v>923</v>
      </c>
      <c r="B80" s="11" t="str">
        <f t="shared" si="1"/>
        <v>00024723967KOVR</v>
      </c>
      <c r="C80" t="s">
        <v>352</v>
      </c>
      <c r="D80" t="s">
        <v>46</v>
      </c>
      <c r="E80">
        <v>20411454</v>
      </c>
      <c r="F80" t="s">
        <v>1071</v>
      </c>
      <c r="G80" t="s">
        <v>50</v>
      </c>
      <c r="H80" s="1">
        <v>46054</v>
      </c>
      <c r="I80" t="s">
        <v>51</v>
      </c>
      <c r="J80" t="s">
        <v>52</v>
      </c>
      <c r="K80" s="2">
        <v>175</v>
      </c>
      <c r="L80">
        <v>1</v>
      </c>
      <c r="M80" s="3">
        <v>1</v>
      </c>
      <c r="N80" s="2">
        <v>175</v>
      </c>
      <c r="P80" t="s">
        <v>1060</v>
      </c>
    </row>
    <row r="81" spans="1:16" x14ac:dyDescent="0.25">
      <c r="A81" s="11" t="s">
        <v>924</v>
      </c>
      <c r="B81" s="11" t="str">
        <f t="shared" si="1"/>
        <v>00024724403KOVR</v>
      </c>
      <c r="C81" t="s">
        <v>354</v>
      </c>
      <c r="D81" t="s">
        <v>344</v>
      </c>
      <c r="E81">
        <v>20411454</v>
      </c>
      <c r="F81" t="s">
        <v>1071</v>
      </c>
      <c r="G81" t="s">
        <v>50</v>
      </c>
      <c r="H81" s="1">
        <v>46023</v>
      </c>
      <c r="I81" t="s">
        <v>51</v>
      </c>
      <c r="J81" t="s">
        <v>52</v>
      </c>
      <c r="K81" s="2">
        <v>175</v>
      </c>
      <c r="L81">
        <v>1</v>
      </c>
      <c r="M81" s="3">
        <v>1</v>
      </c>
      <c r="N81" s="2">
        <v>175</v>
      </c>
      <c r="P81" t="s">
        <v>1060</v>
      </c>
    </row>
    <row r="82" spans="1:16" x14ac:dyDescent="0.25">
      <c r="A82" s="11" t="s">
        <v>925</v>
      </c>
      <c r="B82" s="11" t="str">
        <f t="shared" si="1"/>
        <v>00024727623KOVR</v>
      </c>
      <c r="C82" t="s">
        <v>356</v>
      </c>
      <c r="D82" t="s">
        <v>344</v>
      </c>
      <c r="E82">
        <v>20411454</v>
      </c>
      <c r="F82" t="s">
        <v>1071</v>
      </c>
      <c r="G82" t="s">
        <v>50</v>
      </c>
      <c r="H82" s="1">
        <v>46023</v>
      </c>
      <c r="I82" t="s">
        <v>51</v>
      </c>
      <c r="J82" t="s">
        <v>52</v>
      </c>
      <c r="K82" s="2">
        <v>175</v>
      </c>
      <c r="L82">
        <v>1</v>
      </c>
      <c r="M82" s="3">
        <v>1</v>
      </c>
      <c r="N82" s="2">
        <v>175</v>
      </c>
      <c r="P82" t="s">
        <v>1060</v>
      </c>
    </row>
    <row r="83" spans="1:16" x14ac:dyDescent="0.25">
      <c r="A83" s="11" t="s">
        <v>926</v>
      </c>
      <c r="B83" s="11" t="str">
        <f t="shared" si="1"/>
        <v>00024729351KOVR</v>
      </c>
      <c r="C83" t="s">
        <v>360</v>
      </c>
      <c r="D83" t="s">
        <v>46</v>
      </c>
      <c r="E83">
        <v>20411454</v>
      </c>
      <c r="F83" t="s">
        <v>1071</v>
      </c>
      <c r="G83" t="s">
        <v>50</v>
      </c>
      <c r="H83" s="1">
        <v>46023</v>
      </c>
      <c r="I83" t="s">
        <v>51</v>
      </c>
      <c r="J83" t="s">
        <v>52</v>
      </c>
      <c r="K83" s="2">
        <v>175</v>
      </c>
      <c r="L83">
        <v>1</v>
      </c>
      <c r="M83" s="3">
        <v>1</v>
      </c>
      <c r="N83" s="2">
        <v>175</v>
      </c>
      <c r="P83" t="s">
        <v>1060</v>
      </c>
    </row>
    <row r="84" spans="1:16" x14ac:dyDescent="0.25">
      <c r="A84" s="11" t="s">
        <v>927</v>
      </c>
      <c r="B84" s="11" t="str">
        <f t="shared" si="1"/>
        <v>00024729595KOVR</v>
      </c>
      <c r="C84" t="s">
        <v>362</v>
      </c>
      <c r="D84" t="s">
        <v>46</v>
      </c>
      <c r="E84">
        <v>20411454</v>
      </c>
      <c r="F84" t="s">
        <v>1071</v>
      </c>
      <c r="G84" t="s">
        <v>50</v>
      </c>
      <c r="H84" s="1">
        <v>45992</v>
      </c>
      <c r="I84" t="s">
        <v>51</v>
      </c>
      <c r="J84" t="s">
        <v>52</v>
      </c>
      <c r="K84" s="2">
        <v>175</v>
      </c>
      <c r="L84">
        <v>1</v>
      </c>
      <c r="M84" s="3">
        <v>1</v>
      </c>
      <c r="N84" s="2">
        <v>175</v>
      </c>
      <c r="P84" t="s">
        <v>1060</v>
      </c>
    </row>
    <row r="85" spans="1:16" x14ac:dyDescent="0.25">
      <c r="A85" s="11" t="s">
        <v>928</v>
      </c>
      <c r="B85" s="11" t="str">
        <f t="shared" si="1"/>
        <v>00024730417KOVR</v>
      </c>
      <c r="C85" t="s">
        <v>364</v>
      </c>
      <c r="D85" t="s">
        <v>46</v>
      </c>
      <c r="E85">
        <v>20411454</v>
      </c>
      <c r="F85" t="s">
        <v>1071</v>
      </c>
      <c r="G85" t="s">
        <v>50</v>
      </c>
      <c r="H85" s="1">
        <v>46023</v>
      </c>
      <c r="I85" t="s">
        <v>51</v>
      </c>
      <c r="J85" t="s">
        <v>52</v>
      </c>
      <c r="K85" s="2">
        <v>175</v>
      </c>
      <c r="L85">
        <v>1</v>
      </c>
      <c r="M85" s="3">
        <v>1</v>
      </c>
      <c r="N85" s="2">
        <v>175</v>
      </c>
      <c r="P85" t="s">
        <v>1060</v>
      </c>
    </row>
    <row r="86" spans="1:16" x14ac:dyDescent="0.25">
      <c r="A86" s="11" t="s">
        <v>929</v>
      </c>
      <c r="B86" s="11" t="str">
        <f t="shared" si="1"/>
        <v>00024732248KOVR</v>
      </c>
      <c r="C86" t="s">
        <v>366</v>
      </c>
      <c r="D86" t="s">
        <v>46</v>
      </c>
      <c r="E86">
        <v>20411454</v>
      </c>
      <c r="F86" t="s">
        <v>1071</v>
      </c>
      <c r="G86" t="s">
        <v>50</v>
      </c>
      <c r="H86" s="1">
        <v>46023</v>
      </c>
      <c r="I86" t="s">
        <v>51</v>
      </c>
      <c r="J86" t="s">
        <v>52</v>
      </c>
      <c r="K86" s="2">
        <v>175</v>
      </c>
      <c r="L86">
        <v>1</v>
      </c>
      <c r="M86" s="3">
        <v>1</v>
      </c>
      <c r="N86" s="2">
        <v>175</v>
      </c>
      <c r="P86" t="s">
        <v>1060</v>
      </c>
    </row>
    <row r="87" spans="1:16" x14ac:dyDescent="0.25">
      <c r="A87" s="11" t="s">
        <v>930</v>
      </c>
      <c r="B87" s="11" t="str">
        <f t="shared" si="1"/>
        <v>00024737026KOVR</v>
      </c>
      <c r="C87" t="s">
        <v>368</v>
      </c>
      <c r="D87" t="s">
        <v>46</v>
      </c>
      <c r="E87">
        <v>20411454</v>
      </c>
      <c r="F87" t="s">
        <v>1071</v>
      </c>
      <c r="G87" t="s">
        <v>50</v>
      </c>
      <c r="H87" s="1">
        <v>46023</v>
      </c>
      <c r="I87" t="s">
        <v>51</v>
      </c>
      <c r="J87" t="s">
        <v>52</v>
      </c>
      <c r="K87" s="2">
        <v>175</v>
      </c>
      <c r="L87">
        <v>1</v>
      </c>
      <c r="M87" s="3">
        <v>1</v>
      </c>
      <c r="N87" s="2">
        <v>175</v>
      </c>
      <c r="P87" t="s">
        <v>1060</v>
      </c>
    </row>
    <row r="88" spans="1:16" x14ac:dyDescent="0.25">
      <c r="A88" s="11" t="s">
        <v>932</v>
      </c>
      <c r="B88" s="11" t="str">
        <f t="shared" si="1"/>
        <v>00024738351KOVR</v>
      </c>
      <c r="C88" t="s">
        <v>375</v>
      </c>
      <c r="D88" t="s">
        <v>46</v>
      </c>
      <c r="E88">
        <v>20411454</v>
      </c>
      <c r="F88" t="s">
        <v>1071</v>
      </c>
      <c r="G88" t="s">
        <v>50</v>
      </c>
      <c r="H88" s="1">
        <v>46023</v>
      </c>
      <c r="I88" t="s">
        <v>51</v>
      </c>
      <c r="J88" t="s">
        <v>52</v>
      </c>
      <c r="K88" s="2">
        <v>175</v>
      </c>
      <c r="L88">
        <v>1</v>
      </c>
      <c r="M88" s="3">
        <v>1</v>
      </c>
      <c r="N88" s="2">
        <v>175</v>
      </c>
      <c r="P88" t="s">
        <v>1060</v>
      </c>
    </row>
    <row r="89" spans="1:16" x14ac:dyDescent="0.25">
      <c r="A89" s="11" t="s">
        <v>933</v>
      </c>
      <c r="B89" s="11" t="str">
        <f t="shared" si="1"/>
        <v>00024739227KOVR</v>
      </c>
      <c r="C89" t="s">
        <v>377</v>
      </c>
      <c r="D89" t="s">
        <v>46</v>
      </c>
      <c r="E89">
        <v>20411454</v>
      </c>
      <c r="F89" t="s">
        <v>1071</v>
      </c>
      <c r="G89" t="s">
        <v>50</v>
      </c>
      <c r="H89" s="1">
        <v>46023</v>
      </c>
      <c r="I89" t="s">
        <v>51</v>
      </c>
      <c r="J89" t="s">
        <v>52</v>
      </c>
      <c r="K89" s="2">
        <v>175</v>
      </c>
      <c r="L89">
        <v>1</v>
      </c>
      <c r="M89" s="3">
        <v>1</v>
      </c>
      <c r="N89" s="2">
        <v>175</v>
      </c>
      <c r="P89" t="s">
        <v>1060</v>
      </c>
    </row>
    <row r="90" spans="1:16" x14ac:dyDescent="0.25">
      <c r="A90" s="11" t="s">
        <v>935</v>
      </c>
      <c r="B90" s="11" t="str">
        <f t="shared" si="1"/>
        <v>00024742028KOVR</v>
      </c>
      <c r="C90" t="s">
        <v>384</v>
      </c>
      <c r="D90" t="s">
        <v>46</v>
      </c>
      <c r="E90">
        <v>20411454</v>
      </c>
      <c r="F90" t="s">
        <v>1071</v>
      </c>
      <c r="G90" t="s">
        <v>50</v>
      </c>
      <c r="H90" s="1">
        <v>46023</v>
      </c>
      <c r="I90" t="s">
        <v>51</v>
      </c>
      <c r="J90" t="s">
        <v>52</v>
      </c>
      <c r="K90" s="2">
        <v>175</v>
      </c>
      <c r="L90">
        <v>1</v>
      </c>
      <c r="M90" s="3">
        <v>1</v>
      </c>
      <c r="N90" s="2">
        <v>175</v>
      </c>
      <c r="P90" t="s">
        <v>1060</v>
      </c>
    </row>
    <row r="91" spans="1:16" x14ac:dyDescent="0.25">
      <c r="A91" s="11" t="s">
        <v>936</v>
      </c>
      <c r="B91" s="11" t="str">
        <f t="shared" si="1"/>
        <v>00024742171KOVR</v>
      </c>
      <c r="C91" t="s">
        <v>386</v>
      </c>
      <c r="D91" t="s">
        <v>139</v>
      </c>
      <c r="E91">
        <v>20411454</v>
      </c>
      <c r="F91" t="s">
        <v>1071</v>
      </c>
      <c r="G91" t="s">
        <v>50</v>
      </c>
      <c r="H91" s="1">
        <v>46023</v>
      </c>
      <c r="I91" t="s">
        <v>51</v>
      </c>
      <c r="J91" t="s">
        <v>52</v>
      </c>
      <c r="K91" s="2">
        <v>175</v>
      </c>
      <c r="L91">
        <v>1</v>
      </c>
      <c r="M91" s="3">
        <v>1</v>
      </c>
      <c r="N91" s="2">
        <v>175</v>
      </c>
      <c r="P91" t="s">
        <v>1060</v>
      </c>
    </row>
    <row r="92" spans="1:16" x14ac:dyDescent="0.25">
      <c r="A92" s="11" t="s">
        <v>937</v>
      </c>
      <c r="B92" s="11" t="str">
        <f t="shared" si="1"/>
        <v>00024743893KOVR</v>
      </c>
      <c r="C92" t="s">
        <v>388</v>
      </c>
      <c r="D92" t="s">
        <v>371</v>
      </c>
      <c r="E92">
        <v>20411454</v>
      </c>
      <c r="F92" t="s">
        <v>1071</v>
      </c>
      <c r="G92" t="s">
        <v>50</v>
      </c>
      <c r="H92" s="1">
        <v>46023</v>
      </c>
      <c r="I92" t="s">
        <v>51</v>
      </c>
      <c r="J92" t="s">
        <v>52</v>
      </c>
      <c r="K92" s="2">
        <v>175</v>
      </c>
      <c r="L92">
        <v>1</v>
      </c>
      <c r="M92" s="3">
        <v>1</v>
      </c>
      <c r="N92" s="2">
        <v>175</v>
      </c>
      <c r="P92" t="s">
        <v>1060</v>
      </c>
    </row>
    <row r="93" spans="1:16" x14ac:dyDescent="0.25">
      <c r="A93" s="11" t="s">
        <v>938</v>
      </c>
      <c r="B93" s="11" t="str">
        <f t="shared" si="1"/>
        <v>00024744052KOVR</v>
      </c>
      <c r="C93" t="s">
        <v>390</v>
      </c>
      <c r="D93" t="s">
        <v>46</v>
      </c>
      <c r="E93">
        <v>20411454</v>
      </c>
      <c r="F93" t="s">
        <v>1071</v>
      </c>
      <c r="G93" t="s">
        <v>50</v>
      </c>
      <c r="H93" s="1">
        <v>46023</v>
      </c>
      <c r="I93" t="s">
        <v>51</v>
      </c>
      <c r="J93" t="s">
        <v>52</v>
      </c>
      <c r="K93" s="2">
        <v>175</v>
      </c>
      <c r="L93">
        <v>1</v>
      </c>
      <c r="M93" s="3">
        <v>1</v>
      </c>
      <c r="N93" s="2">
        <v>175</v>
      </c>
      <c r="P93" t="s">
        <v>1060</v>
      </c>
    </row>
    <row r="94" spans="1:16" x14ac:dyDescent="0.25">
      <c r="A94" s="11" t="s">
        <v>939</v>
      </c>
      <c r="B94" s="11" t="str">
        <f t="shared" si="1"/>
        <v>00024745815KOVR</v>
      </c>
      <c r="C94" t="s">
        <v>394</v>
      </c>
      <c r="D94" t="s">
        <v>59</v>
      </c>
      <c r="E94">
        <v>20411454</v>
      </c>
      <c r="F94" t="s">
        <v>1071</v>
      </c>
      <c r="G94" t="s">
        <v>50</v>
      </c>
      <c r="H94" s="1">
        <v>46023</v>
      </c>
      <c r="I94" t="s">
        <v>51</v>
      </c>
      <c r="J94" t="s">
        <v>52</v>
      </c>
      <c r="K94" s="2">
        <v>175</v>
      </c>
      <c r="L94">
        <v>1</v>
      </c>
      <c r="M94" s="3">
        <v>1</v>
      </c>
      <c r="N94" s="2">
        <v>175</v>
      </c>
      <c r="P94" t="s">
        <v>1060</v>
      </c>
    </row>
    <row r="95" spans="1:16" x14ac:dyDescent="0.25">
      <c r="A95" s="11" t="s">
        <v>940</v>
      </c>
      <c r="B95" s="11" t="str">
        <f t="shared" si="1"/>
        <v>00024746858KOVR</v>
      </c>
      <c r="C95" t="s">
        <v>396</v>
      </c>
      <c r="D95" t="s">
        <v>46</v>
      </c>
      <c r="E95">
        <v>20411454</v>
      </c>
      <c r="F95" t="s">
        <v>1071</v>
      </c>
      <c r="G95" t="s">
        <v>50</v>
      </c>
      <c r="H95" s="1">
        <v>46023</v>
      </c>
      <c r="I95" t="s">
        <v>51</v>
      </c>
      <c r="J95" t="s">
        <v>52</v>
      </c>
      <c r="K95" s="2">
        <v>175</v>
      </c>
      <c r="L95">
        <v>1</v>
      </c>
      <c r="M95" s="3">
        <v>1</v>
      </c>
      <c r="N95" s="2">
        <v>175</v>
      </c>
      <c r="P95" t="s">
        <v>1060</v>
      </c>
    </row>
    <row r="96" spans="1:16" x14ac:dyDescent="0.25">
      <c r="A96" s="11" t="s">
        <v>941</v>
      </c>
      <c r="B96" s="11" t="str">
        <f t="shared" si="1"/>
        <v>00024749345KOVR</v>
      </c>
      <c r="C96" t="s">
        <v>398</v>
      </c>
      <c r="D96" t="s">
        <v>46</v>
      </c>
      <c r="E96">
        <v>20411454</v>
      </c>
      <c r="F96" t="s">
        <v>1071</v>
      </c>
      <c r="G96" t="s">
        <v>50</v>
      </c>
      <c r="H96" s="1">
        <v>46023</v>
      </c>
      <c r="I96" t="s">
        <v>51</v>
      </c>
      <c r="J96" t="s">
        <v>52</v>
      </c>
      <c r="K96" s="2">
        <v>175</v>
      </c>
      <c r="L96">
        <v>1</v>
      </c>
      <c r="M96" s="3">
        <v>1</v>
      </c>
      <c r="N96" s="2">
        <v>175</v>
      </c>
      <c r="P96" t="s">
        <v>1060</v>
      </c>
    </row>
    <row r="97" spans="1:16" x14ac:dyDescent="0.25">
      <c r="A97" s="11" t="s">
        <v>942</v>
      </c>
      <c r="B97" s="11" t="str">
        <f t="shared" si="1"/>
        <v>00024755268KOVR</v>
      </c>
      <c r="C97" t="s">
        <v>400</v>
      </c>
      <c r="D97" t="s">
        <v>401</v>
      </c>
      <c r="E97">
        <v>20411454</v>
      </c>
      <c r="F97" t="s">
        <v>1071</v>
      </c>
      <c r="G97" t="s">
        <v>50</v>
      </c>
      <c r="H97" s="1">
        <v>46023</v>
      </c>
      <c r="I97" t="s">
        <v>51</v>
      </c>
      <c r="J97" t="s">
        <v>52</v>
      </c>
      <c r="K97" s="2">
        <v>175</v>
      </c>
      <c r="L97">
        <v>1</v>
      </c>
      <c r="M97" s="3">
        <v>1</v>
      </c>
      <c r="N97" s="2">
        <v>175</v>
      </c>
      <c r="P97" t="s">
        <v>1060</v>
      </c>
    </row>
    <row r="98" spans="1:16" x14ac:dyDescent="0.25">
      <c r="A98" s="11" t="s">
        <v>943</v>
      </c>
      <c r="B98" s="11" t="str">
        <f t="shared" si="1"/>
        <v>00024758895KOVR</v>
      </c>
      <c r="C98" t="s">
        <v>405</v>
      </c>
      <c r="D98" t="s">
        <v>46</v>
      </c>
      <c r="E98">
        <v>20411454</v>
      </c>
      <c r="F98" t="s">
        <v>1071</v>
      </c>
      <c r="G98" t="s">
        <v>50</v>
      </c>
      <c r="H98" s="1">
        <v>46023</v>
      </c>
      <c r="I98" t="s">
        <v>51</v>
      </c>
      <c r="J98" t="s">
        <v>52</v>
      </c>
      <c r="K98" s="2">
        <v>175</v>
      </c>
      <c r="L98">
        <v>1</v>
      </c>
      <c r="M98" s="3">
        <v>1</v>
      </c>
      <c r="N98" s="2">
        <v>175</v>
      </c>
      <c r="P98" t="s">
        <v>1060</v>
      </c>
    </row>
    <row r="99" spans="1:16" x14ac:dyDescent="0.25">
      <c r="A99" s="11" t="s">
        <v>944</v>
      </c>
      <c r="B99" s="11" t="str">
        <f t="shared" si="1"/>
        <v>00024758943KOVR</v>
      </c>
      <c r="C99" t="s">
        <v>407</v>
      </c>
      <c r="D99" t="s">
        <v>46</v>
      </c>
      <c r="E99">
        <v>20411454</v>
      </c>
      <c r="F99" t="s">
        <v>1071</v>
      </c>
      <c r="G99" t="s">
        <v>50</v>
      </c>
      <c r="H99" s="1">
        <v>46023</v>
      </c>
      <c r="I99" t="s">
        <v>51</v>
      </c>
      <c r="J99" t="s">
        <v>52</v>
      </c>
      <c r="K99" s="2">
        <v>175</v>
      </c>
      <c r="L99">
        <v>1</v>
      </c>
      <c r="M99" s="3">
        <v>1</v>
      </c>
      <c r="N99" s="2">
        <v>175</v>
      </c>
      <c r="P99" t="s">
        <v>1060</v>
      </c>
    </row>
    <row r="100" spans="1:16" x14ac:dyDescent="0.25">
      <c r="A100" s="11" t="s">
        <v>945</v>
      </c>
      <c r="B100" s="11" t="str">
        <f t="shared" si="1"/>
        <v>00024760304KOVR</v>
      </c>
      <c r="C100" t="s">
        <v>409</v>
      </c>
      <c r="D100" t="s">
        <v>59</v>
      </c>
      <c r="E100">
        <v>20411454</v>
      </c>
      <c r="F100" t="s">
        <v>1071</v>
      </c>
      <c r="G100" t="s">
        <v>50</v>
      </c>
      <c r="H100" s="1">
        <v>46023</v>
      </c>
      <c r="I100" t="s">
        <v>51</v>
      </c>
      <c r="J100" t="s">
        <v>52</v>
      </c>
      <c r="K100" s="2">
        <v>175</v>
      </c>
      <c r="L100">
        <v>1</v>
      </c>
      <c r="M100" s="3">
        <v>1</v>
      </c>
      <c r="N100" s="2">
        <v>175</v>
      </c>
      <c r="P100" t="s">
        <v>1060</v>
      </c>
    </row>
    <row r="101" spans="1:16" x14ac:dyDescent="0.25">
      <c r="A101" s="11" t="s">
        <v>946</v>
      </c>
      <c r="B101" s="11" t="str">
        <f t="shared" si="1"/>
        <v>00024764952KOVR</v>
      </c>
      <c r="C101" t="s">
        <v>411</v>
      </c>
      <c r="D101" t="s">
        <v>46</v>
      </c>
      <c r="E101">
        <v>20411454</v>
      </c>
      <c r="F101" t="s">
        <v>1071</v>
      </c>
      <c r="G101" t="s">
        <v>50</v>
      </c>
      <c r="H101" s="1">
        <v>46023</v>
      </c>
      <c r="I101" t="s">
        <v>51</v>
      </c>
      <c r="J101" t="s">
        <v>52</v>
      </c>
      <c r="K101" s="2">
        <v>175</v>
      </c>
      <c r="L101">
        <v>1</v>
      </c>
      <c r="M101" s="3">
        <v>1</v>
      </c>
      <c r="N101" s="2">
        <v>175</v>
      </c>
      <c r="P101" t="s">
        <v>1060</v>
      </c>
    </row>
    <row r="102" spans="1:16" x14ac:dyDescent="0.25">
      <c r="A102" s="11" t="s">
        <v>947</v>
      </c>
      <c r="B102" s="11" t="str">
        <f t="shared" si="1"/>
        <v>00024764983KOVR</v>
      </c>
      <c r="C102" t="s">
        <v>413</v>
      </c>
      <c r="D102" t="s">
        <v>192</v>
      </c>
      <c r="E102">
        <v>20411454</v>
      </c>
      <c r="F102" t="s">
        <v>1071</v>
      </c>
      <c r="G102" t="s">
        <v>50</v>
      </c>
      <c r="H102" s="1">
        <v>46023</v>
      </c>
      <c r="I102" t="s">
        <v>51</v>
      </c>
      <c r="J102" t="s">
        <v>52</v>
      </c>
      <c r="K102" s="2">
        <v>175</v>
      </c>
      <c r="L102">
        <v>1</v>
      </c>
      <c r="M102" s="3">
        <v>1</v>
      </c>
      <c r="N102" s="2">
        <v>175</v>
      </c>
      <c r="P102" t="s">
        <v>1060</v>
      </c>
    </row>
    <row r="103" spans="1:16" x14ac:dyDescent="0.25">
      <c r="A103" s="11" t="s">
        <v>948</v>
      </c>
      <c r="B103" s="11" t="str">
        <f t="shared" si="1"/>
        <v>00024765849KOVR</v>
      </c>
      <c r="C103" t="s">
        <v>415</v>
      </c>
      <c r="D103" t="s">
        <v>46</v>
      </c>
      <c r="E103">
        <v>20411454</v>
      </c>
      <c r="F103" t="s">
        <v>1071</v>
      </c>
      <c r="G103" t="s">
        <v>50</v>
      </c>
      <c r="H103" s="1">
        <v>46054</v>
      </c>
      <c r="I103" t="s">
        <v>51</v>
      </c>
      <c r="J103" t="s">
        <v>52</v>
      </c>
      <c r="K103" s="2">
        <v>175</v>
      </c>
      <c r="L103">
        <v>1</v>
      </c>
      <c r="M103" s="3">
        <v>1</v>
      </c>
      <c r="N103" s="2">
        <v>175</v>
      </c>
      <c r="P103" t="s">
        <v>1060</v>
      </c>
    </row>
    <row r="104" spans="1:16" x14ac:dyDescent="0.25">
      <c r="A104" s="11" t="s">
        <v>949</v>
      </c>
      <c r="B104" s="11" t="str">
        <f t="shared" si="1"/>
        <v>00024766498KOVR</v>
      </c>
      <c r="C104" t="s">
        <v>417</v>
      </c>
      <c r="D104" t="s">
        <v>59</v>
      </c>
      <c r="E104">
        <v>20411454</v>
      </c>
      <c r="F104" t="s">
        <v>1071</v>
      </c>
      <c r="G104" t="s">
        <v>50</v>
      </c>
      <c r="H104" s="1">
        <v>46023</v>
      </c>
      <c r="I104" t="s">
        <v>51</v>
      </c>
      <c r="J104" t="s">
        <v>52</v>
      </c>
      <c r="K104" s="2">
        <v>175</v>
      </c>
      <c r="L104">
        <v>1</v>
      </c>
      <c r="M104" s="3">
        <v>1</v>
      </c>
      <c r="N104" s="2">
        <v>175</v>
      </c>
      <c r="P104" t="s">
        <v>1060</v>
      </c>
    </row>
    <row r="105" spans="1:16" x14ac:dyDescent="0.25">
      <c r="A105" s="11" t="s">
        <v>950</v>
      </c>
      <c r="B105" s="11" t="str">
        <f t="shared" si="1"/>
        <v>00024766878KOVR</v>
      </c>
      <c r="C105" t="s">
        <v>419</v>
      </c>
      <c r="D105" t="s">
        <v>420</v>
      </c>
      <c r="E105">
        <v>20411454</v>
      </c>
      <c r="F105" t="s">
        <v>1071</v>
      </c>
      <c r="G105" t="s">
        <v>50</v>
      </c>
      <c r="H105" s="1">
        <v>46023</v>
      </c>
      <c r="I105" t="s">
        <v>51</v>
      </c>
      <c r="J105" t="s">
        <v>52</v>
      </c>
      <c r="K105" s="2">
        <v>175</v>
      </c>
      <c r="L105">
        <v>1</v>
      </c>
      <c r="M105" s="3">
        <v>1</v>
      </c>
      <c r="N105" s="2">
        <v>175</v>
      </c>
      <c r="P105" t="s">
        <v>1060</v>
      </c>
    </row>
    <row r="106" spans="1:16" x14ac:dyDescent="0.25">
      <c r="A106" s="11" t="s">
        <v>951</v>
      </c>
      <c r="B106" s="11" t="str">
        <f t="shared" si="1"/>
        <v>00024767806KOVR</v>
      </c>
      <c r="C106" t="s">
        <v>422</v>
      </c>
      <c r="D106" t="s">
        <v>46</v>
      </c>
      <c r="E106">
        <v>20411454</v>
      </c>
      <c r="F106" t="s">
        <v>1071</v>
      </c>
      <c r="G106" t="s">
        <v>50</v>
      </c>
      <c r="H106" s="1">
        <v>46023</v>
      </c>
      <c r="I106" t="s">
        <v>51</v>
      </c>
      <c r="J106" t="s">
        <v>52</v>
      </c>
      <c r="K106" s="2">
        <v>175</v>
      </c>
      <c r="L106">
        <v>1</v>
      </c>
      <c r="M106" s="3">
        <v>1</v>
      </c>
      <c r="N106" s="2">
        <v>175</v>
      </c>
      <c r="P106" t="s">
        <v>1060</v>
      </c>
    </row>
    <row r="107" spans="1:16" x14ac:dyDescent="0.25">
      <c r="A107" s="11" t="s">
        <v>952</v>
      </c>
      <c r="B107" s="11" t="str">
        <f t="shared" si="1"/>
        <v>00024768851KOVR</v>
      </c>
      <c r="C107" t="s">
        <v>424</v>
      </c>
      <c r="D107" t="s">
        <v>46</v>
      </c>
      <c r="E107">
        <v>20411454</v>
      </c>
      <c r="F107" t="s">
        <v>1071</v>
      </c>
      <c r="G107" t="s">
        <v>50</v>
      </c>
      <c r="H107" s="1">
        <v>46023</v>
      </c>
      <c r="I107" t="s">
        <v>51</v>
      </c>
      <c r="J107" t="s">
        <v>52</v>
      </c>
      <c r="K107" s="2">
        <v>175</v>
      </c>
      <c r="L107">
        <v>1</v>
      </c>
      <c r="M107" s="3">
        <v>1</v>
      </c>
      <c r="N107" s="2">
        <v>175</v>
      </c>
      <c r="P107" t="s">
        <v>1060</v>
      </c>
    </row>
    <row r="108" spans="1:16" x14ac:dyDescent="0.25">
      <c r="A108" s="11" t="s">
        <v>953</v>
      </c>
      <c r="B108" s="11" t="str">
        <f t="shared" si="1"/>
        <v>00024770450KOVR</v>
      </c>
      <c r="C108" t="s">
        <v>426</v>
      </c>
      <c r="D108" t="s">
        <v>401</v>
      </c>
      <c r="E108">
        <v>20411454</v>
      </c>
      <c r="F108" t="s">
        <v>1071</v>
      </c>
      <c r="G108" t="s">
        <v>50</v>
      </c>
      <c r="H108" s="1">
        <v>46023</v>
      </c>
      <c r="I108" t="s">
        <v>51</v>
      </c>
      <c r="J108" t="s">
        <v>52</v>
      </c>
      <c r="K108" s="2">
        <v>175</v>
      </c>
      <c r="L108">
        <v>1</v>
      </c>
      <c r="M108" s="3">
        <v>1</v>
      </c>
      <c r="N108" s="2">
        <v>175</v>
      </c>
      <c r="P108" t="s">
        <v>1060</v>
      </c>
    </row>
    <row r="109" spans="1:16" x14ac:dyDescent="0.25">
      <c r="A109" s="11" t="s">
        <v>954</v>
      </c>
      <c r="B109" s="11" t="str">
        <f t="shared" si="1"/>
        <v>00024772296KOVR</v>
      </c>
      <c r="C109" t="s">
        <v>430</v>
      </c>
      <c r="D109" t="s">
        <v>46</v>
      </c>
      <c r="E109">
        <v>20411454</v>
      </c>
      <c r="F109" t="s">
        <v>1071</v>
      </c>
      <c r="G109" t="s">
        <v>50</v>
      </c>
      <c r="H109" s="1">
        <v>46023</v>
      </c>
      <c r="I109" t="s">
        <v>51</v>
      </c>
      <c r="J109" t="s">
        <v>52</v>
      </c>
      <c r="K109" s="2">
        <v>175</v>
      </c>
      <c r="L109">
        <v>1</v>
      </c>
      <c r="M109" s="3">
        <v>1</v>
      </c>
      <c r="N109" s="2">
        <v>175</v>
      </c>
      <c r="P109" t="s">
        <v>1060</v>
      </c>
    </row>
    <row r="110" spans="1:16" x14ac:dyDescent="0.25">
      <c r="A110" s="11" t="s">
        <v>955</v>
      </c>
      <c r="B110" s="11" t="str">
        <f t="shared" si="1"/>
        <v>00024772712KOVR</v>
      </c>
      <c r="C110" t="s">
        <v>432</v>
      </c>
      <c r="D110" t="s">
        <v>59</v>
      </c>
      <c r="E110">
        <v>20411454</v>
      </c>
      <c r="F110" t="s">
        <v>1071</v>
      </c>
      <c r="G110" t="s">
        <v>50</v>
      </c>
      <c r="H110" s="1">
        <v>46023</v>
      </c>
      <c r="I110" t="s">
        <v>51</v>
      </c>
      <c r="J110" t="s">
        <v>52</v>
      </c>
      <c r="K110" s="2">
        <v>175</v>
      </c>
      <c r="L110">
        <v>1</v>
      </c>
      <c r="M110" s="3">
        <v>1</v>
      </c>
      <c r="N110" s="2">
        <v>175</v>
      </c>
      <c r="P110" t="s">
        <v>1060</v>
      </c>
    </row>
    <row r="111" spans="1:16" x14ac:dyDescent="0.25">
      <c r="A111" s="11" t="s">
        <v>956</v>
      </c>
      <c r="B111" s="11" t="str">
        <f t="shared" si="1"/>
        <v>00024773766KOVR</v>
      </c>
      <c r="C111" t="s">
        <v>434</v>
      </c>
      <c r="D111" t="s">
        <v>59</v>
      </c>
      <c r="E111">
        <v>20411454</v>
      </c>
      <c r="F111" t="s">
        <v>1071</v>
      </c>
      <c r="G111" t="s">
        <v>50</v>
      </c>
      <c r="H111" s="1">
        <v>46023</v>
      </c>
      <c r="I111" t="s">
        <v>51</v>
      </c>
      <c r="J111" t="s">
        <v>52</v>
      </c>
      <c r="K111" s="2">
        <v>175</v>
      </c>
      <c r="L111">
        <v>1</v>
      </c>
      <c r="M111" s="3">
        <v>1</v>
      </c>
      <c r="N111" s="2">
        <v>175</v>
      </c>
      <c r="P111" t="s">
        <v>1060</v>
      </c>
    </row>
    <row r="112" spans="1:16" x14ac:dyDescent="0.25">
      <c r="A112" s="11" t="s">
        <v>957</v>
      </c>
      <c r="B112" s="11" t="str">
        <f t="shared" si="1"/>
        <v>00024775303KOVR</v>
      </c>
      <c r="C112" t="s">
        <v>436</v>
      </c>
      <c r="D112" t="s">
        <v>46</v>
      </c>
      <c r="E112">
        <v>20411454</v>
      </c>
      <c r="F112" t="s">
        <v>1071</v>
      </c>
      <c r="G112" t="s">
        <v>50</v>
      </c>
      <c r="H112" s="1">
        <v>46023</v>
      </c>
      <c r="I112" t="s">
        <v>51</v>
      </c>
      <c r="J112" t="s">
        <v>52</v>
      </c>
      <c r="K112" s="2">
        <v>175</v>
      </c>
      <c r="L112">
        <v>1</v>
      </c>
      <c r="M112" s="3">
        <v>1</v>
      </c>
      <c r="N112" s="2">
        <v>175</v>
      </c>
      <c r="P112" t="s">
        <v>1060</v>
      </c>
    </row>
    <row r="113" spans="1:16" x14ac:dyDescent="0.25">
      <c r="A113" s="11" t="s">
        <v>958</v>
      </c>
      <c r="B113" s="11" t="str">
        <f t="shared" si="1"/>
        <v>00024777491KOVR</v>
      </c>
      <c r="C113" t="s">
        <v>438</v>
      </c>
      <c r="D113" t="s">
        <v>46</v>
      </c>
      <c r="E113">
        <v>20411454</v>
      </c>
      <c r="F113" t="s">
        <v>1071</v>
      </c>
      <c r="G113" t="s">
        <v>50</v>
      </c>
      <c r="H113" s="1">
        <v>46023</v>
      </c>
      <c r="I113" t="s">
        <v>51</v>
      </c>
      <c r="J113" t="s">
        <v>52</v>
      </c>
      <c r="K113" s="2">
        <v>175</v>
      </c>
      <c r="L113">
        <v>1</v>
      </c>
      <c r="M113" s="3">
        <v>1</v>
      </c>
      <c r="N113" s="2">
        <v>175</v>
      </c>
      <c r="P113" t="s">
        <v>1060</v>
      </c>
    </row>
    <row r="114" spans="1:16" x14ac:dyDescent="0.25">
      <c r="A114" s="11" t="s">
        <v>959</v>
      </c>
      <c r="B114" s="11" t="str">
        <f t="shared" si="1"/>
        <v>00024780029KOVR</v>
      </c>
      <c r="C114" t="s">
        <v>440</v>
      </c>
      <c r="D114" t="s">
        <v>46</v>
      </c>
      <c r="E114">
        <v>20411454</v>
      </c>
      <c r="F114" t="s">
        <v>1071</v>
      </c>
      <c r="G114" t="s">
        <v>50</v>
      </c>
      <c r="H114" s="1">
        <v>46023</v>
      </c>
      <c r="I114" t="s">
        <v>51</v>
      </c>
      <c r="J114" t="s">
        <v>52</v>
      </c>
      <c r="K114" s="2">
        <v>175</v>
      </c>
      <c r="L114">
        <v>1</v>
      </c>
      <c r="M114" s="3">
        <v>1</v>
      </c>
      <c r="N114" s="2">
        <v>175</v>
      </c>
      <c r="P114" t="s">
        <v>1060</v>
      </c>
    </row>
    <row r="115" spans="1:16" x14ac:dyDescent="0.25">
      <c r="A115" s="11" t="s">
        <v>960</v>
      </c>
      <c r="B115" s="11" t="str">
        <f t="shared" si="1"/>
        <v>00024780521KOVR</v>
      </c>
      <c r="C115" t="s">
        <v>442</v>
      </c>
      <c r="D115" t="s">
        <v>275</v>
      </c>
      <c r="E115">
        <v>20411454</v>
      </c>
      <c r="F115" t="s">
        <v>1071</v>
      </c>
      <c r="G115" t="s">
        <v>50</v>
      </c>
      <c r="H115" s="1">
        <v>46023</v>
      </c>
      <c r="I115" t="s">
        <v>51</v>
      </c>
      <c r="J115" t="s">
        <v>52</v>
      </c>
      <c r="K115" s="2">
        <v>175</v>
      </c>
      <c r="L115">
        <v>1</v>
      </c>
      <c r="M115" s="3">
        <v>1</v>
      </c>
      <c r="N115" s="2">
        <v>175</v>
      </c>
      <c r="P115" t="s">
        <v>1060</v>
      </c>
    </row>
    <row r="116" spans="1:16" x14ac:dyDescent="0.25">
      <c r="A116" s="11" t="s">
        <v>961</v>
      </c>
      <c r="B116" s="11" t="str">
        <f t="shared" si="1"/>
        <v>00024781637KOVR</v>
      </c>
      <c r="C116" t="s">
        <v>444</v>
      </c>
      <c r="D116" t="s">
        <v>59</v>
      </c>
      <c r="E116">
        <v>20411454</v>
      </c>
      <c r="F116" t="s">
        <v>1071</v>
      </c>
      <c r="G116" t="s">
        <v>50</v>
      </c>
      <c r="H116" s="1">
        <v>46023</v>
      </c>
      <c r="I116" t="s">
        <v>51</v>
      </c>
      <c r="J116" t="s">
        <v>52</v>
      </c>
      <c r="K116" s="2">
        <v>175</v>
      </c>
      <c r="L116">
        <v>1</v>
      </c>
      <c r="M116" s="3">
        <v>1</v>
      </c>
      <c r="N116" s="2">
        <v>175</v>
      </c>
      <c r="P116" t="s">
        <v>1060</v>
      </c>
    </row>
    <row r="117" spans="1:16" x14ac:dyDescent="0.25">
      <c r="A117" s="11" t="s">
        <v>962</v>
      </c>
      <c r="B117" s="11" t="str">
        <f t="shared" si="1"/>
        <v>00024781702KOVR</v>
      </c>
      <c r="C117" t="s">
        <v>446</v>
      </c>
      <c r="D117" t="s">
        <v>46</v>
      </c>
      <c r="E117">
        <v>20411454</v>
      </c>
      <c r="F117" t="s">
        <v>1071</v>
      </c>
      <c r="G117" t="s">
        <v>50</v>
      </c>
      <c r="H117" s="1">
        <v>46023</v>
      </c>
      <c r="I117" t="s">
        <v>51</v>
      </c>
      <c r="J117" t="s">
        <v>52</v>
      </c>
      <c r="K117" s="2">
        <v>175</v>
      </c>
      <c r="L117">
        <v>1</v>
      </c>
      <c r="M117" s="3">
        <v>1</v>
      </c>
      <c r="N117" s="2">
        <v>175</v>
      </c>
      <c r="P117" t="s">
        <v>1060</v>
      </c>
    </row>
    <row r="118" spans="1:16" x14ac:dyDescent="0.25">
      <c r="A118" s="11" t="s">
        <v>963</v>
      </c>
      <c r="B118" s="11" t="str">
        <f t="shared" si="1"/>
        <v>00024785306KOVR</v>
      </c>
      <c r="C118" t="s">
        <v>450</v>
      </c>
      <c r="D118" t="s">
        <v>46</v>
      </c>
      <c r="E118">
        <v>20411454</v>
      </c>
      <c r="F118" t="s">
        <v>1071</v>
      </c>
      <c r="G118" t="s">
        <v>50</v>
      </c>
      <c r="H118" s="1">
        <v>46023</v>
      </c>
      <c r="I118" t="s">
        <v>51</v>
      </c>
      <c r="J118" t="s">
        <v>52</v>
      </c>
      <c r="K118" s="2">
        <v>175</v>
      </c>
      <c r="L118">
        <v>1</v>
      </c>
      <c r="M118" s="3">
        <v>1</v>
      </c>
      <c r="N118" s="2">
        <v>175</v>
      </c>
      <c r="P118" t="s">
        <v>1060</v>
      </c>
    </row>
    <row r="119" spans="1:16" x14ac:dyDescent="0.25">
      <c r="A119" s="11" t="s">
        <v>964</v>
      </c>
      <c r="B119" s="11" t="str">
        <f t="shared" si="1"/>
        <v>00024785465KOVR</v>
      </c>
      <c r="C119" t="s">
        <v>452</v>
      </c>
      <c r="D119" t="s">
        <v>46</v>
      </c>
      <c r="E119">
        <v>20411454</v>
      </c>
      <c r="F119" t="s">
        <v>1071</v>
      </c>
      <c r="G119" t="s">
        <v>50</v>
      </c>
      <c r="H119" s="1">
        <v>46023</v>
      </c>
      <c r="I119" t="s">
        <v>51</v>
      </c>
      <c r="J119" t="s">
        <v>52</v>
      </c>
      <c r="K119" s="2">
        <v>175</v>
      </c>
      <c r="L119">
        <v>1</v>
      </c>
      <c r="M119" s="3">
        <v>1</v>
      </c>
      <c r="N119" s="2">
        <v>175</v>
      </c>
      <c r="P119" t="s">
        <v>1060</v>
      </c>
    </row>
    <row r="120" spans="1:16" x14ac:dyDescent="0.25">
      <c r="A120" s="11" t="s">
        <v>965</v>
      </c>
      <c r="B120" s="11" t="str">
        <f t="shared" si="1"/>
        <v>00024787021KOVR</v>
      </c>
      <c r="C120" t="s">
        <v>454</v>
      </c>
      <c r="D120" t="s">
        <v>46</v>
      </c>
      <c r="E120">
        <v>20411454</v>
      </c>
      <c r="F120" t="s">
        <v>1071</v>
      </c>
      <c r="G120" t="s">
        <v>50</v>
      </c>
      <c r="H120" s="1">
        <v>46023</v>
      </c>
      <c r="I120" t="s">
        <v>51</v>
      </c>
      <c r="J120" t="s">
        <v>52</v>
      </c>
      <c r="K120" s="2">
        <v>175</v>
      </c>
      <c r="L120">
        <v>1</v>
      </c>
      <c r="M120" s="3">
        <v>1</v>
      </c>
      <c r="N120" s="2">
        <v>175</v>
      </c>
      <c r="P120" t="s">
        <v>1060</v>
      </c>
    </row>
    <row r="121" spans="1:16" x14ac:dyDescent="0.25">
      <c r="A121" s="11" t="s">
        <v>966</v>
      </c>
      <c r="B121" s="11" t="str">
        <f t="shared" si="1"/>
        <v>00024787947KOVR</v>
      </c>
      <c r="C121" t="s">
        <v>456</v>
      </c>
      <c r="D121" t="s">
        <v>46</v>
      </c>
      <c r="E121">
        <v>20411454</v>
      </c>
      <c r="F121" t="s">
        <v>1071</v>
      </c>
      <c r="G121" t="s">
        <v>50</v>
      </c>
      <c r="H121" s="1">
        <v>45992</v>
      </c>
      <c r="I121" t="s">
        <v>51</v>
      </c>
      <c r="J121" t="s">
        <v>52</v>
      </c>
      <c r="K121" s="2">
        <v>175</v>
      </c>
      <c r="L121">
        <v>1</v>
      </c>
      <c r="M121" s="3">
        <v>1</v>
      </c>
      <c r="N121" s="2">
        <v>175</v>
      </c>
      <c r="P121" t="s">
        <v>1060</v>
      </c>
    </row>
    <row r="122" spans="1:16" x14ac:dyDescent="0.25">
      <c r="A122" s="11" t="s">
        <v>967</v>
      </c>
      <c r="B122" s="11" t="str">
        <f t="shared" si="1"/>
        <v>00024790178KOVR</v>
      </c>
      <c r="C122" t="s">
        <v>458</v>
      </c>
      <c r="D122" t="s">
        <v>46</v>
      </c>
      <c r="E122">
        <v>20411454</v>
      </c>
      <c r="F122" t="s">
        <v>1071</v>
      </c>
      <c r="G122" t="s">
        <v>50</v>
      </c>
      <c r="H122" s="1">
        <v>46023</v>
      </c>
      <c r="I122" t="s">
        <v>51</v>
      </c>
      <c r="J122" t="s">
        <v>52</v>
      </c>
      <c r="K122" s="2">
        <v>175</v>
      </c>
      <c r="L122">
        <v>1</v>
      </c>
      <c r="M122" s="3">
        <v>1</v>
      </c>
      <c r="N122" s="2">
        <v>175</v>
      </c>
      <c r="P122" t="s">
        <v>1060</v>
      </c>
    </row>
    <row r="123" spans="1:16" x14ac:dyDescent="0.25">
      <c r="A123" s="11" t="s">
        <v>968</v>
      </c>
      <c r="B123" s="11" t="str">
        <f t="shared" si="1"/>
        <v>00024790618KOVR</v>
      </c>
      <c r="C123" t="s">
        <v>460</v>
      </c>
      <c r="D123" t="s">
        <v>46</v>
      </c>
      <c r="E123">
        <v>20411454</v>
      </c>
      <c r="F123" t="s">
        <v>1071</v>
      </c>
      <c r="G123" t="s">
        <v>50</v>
      </c>
      <c r="H123" s="1">
        <v>46023</v>
      </c>
      <c r="I123" t="s">
        <v>51</v>
      </c>
      <c r="J123" t="s">
        <v>52</v>
      </c>
      <c r="K123" s="2">
        <v>175</v>
      </c>
      <c r="L123">
        <v>1</v>
      </c>
      <c r="M123" s="3">
        <v>1</v>
      </c>
      <c r="N123" s="2">
        <v>175</v>
      </c>
      <c r="P123" t="s">
        <v>1060</v>
      </c>
    </row>
    <row r="124" spans="1:16" x14ac:dyDescent="0.25">
      <c r="A124" s="11" t="s">
        <v>969</v>
      </c>
      <c r="B124" s="11" t="str">
        <f t="shared" si="1"/>
        <v>00024790873KOVR</v>
      </c>
      <c r="C124" t="s">
        <v>462</v>
      </c>
      <c r="D124" t="s">
        <v>46</v>
      </c>
      <c r="E124">
        <v>20411454</v>
      </c>
      <c r="F124" t="s">
        <v>1071</v>
      </c>
      <c r="G124" t="s">
        <v>50</v>
      </c>
      <c r="H124" s="1">
        <v>46023</v>
      </c>
      <c r="I124" t="s">
        <v>51</v>
      </c>
      <c r="J124" t="s">
        <v>52</v>
      </c>
      <c r="K124" s="2">
        <v>175</v>
      </c>
      <c r="L124">
        <v>1</v>
      </c>
      <c r="M124" s="3">
        <v>1</v>
      </c>
      <c r="N124" s="2">
        <v>175</v>
      </c>
      <c r="P124" t="s">
        <v>1060</v>
      </c>
    </row>
    <row r="125" spans="1:16" x14ac:dyDescent="0.25">
      <c r="A125" s="11" t="s">
        <v>970</v>
      </c>
      <c r="B125" s="11" t="str">
        <f t="shared" si="1"/>
        <v>00024791232KOVR</v>
      </c>
      <c r="C125" t="s">
        <v>464</v>
      </c>
      <c r="D125" t="s">
        <v>46</v>
      </c>
      <c r="E125">
        <v>20411454</v>
      </c>
      <c r="F125" t="s">
        <v>1071</v>
      </c>
      <c r="G125" t="s">
        <v>50</v>
      </c>
      <c r="H125" s="1">
        <v>46023</v>
      </c>
      <c r="I125" t="s">
        <v>51</v>
      </c>
      <c r="J125" t="s">
        <v>52</v>
      </c>
      <c r="K125" s="2">
        <v>175</v>
      </c>
      <c r="L125">
        <v>1</v>
      </c>
      <c r="M125" s="3">
        <v>1</v>
      </c>
      <c r="N125" s="2">
        <v>175</v>
      </c>
      <c r="P125" t="s">
        <v>1060</v>
      </c>
    </row>
    <row r="126" spans="1:16" x14ac:dyDescent="0.25">
      <c r="A126" s="11" t="s">
        <v>971</v>
      </c>
      <c r="B126" s="11" t="str">
        <f t="shared" si="1"/>
        <v>00024791577KOVR</v>
      </c>
      <c r="C126" t="s">
        <v>466</v>
      </c>
      <c r="D126" t="s">
        <v>46</v>
      </c>
      <c r="E126">
        <v>20411454</v>
      </c>
      <c r="F126" t="s">
        <v>1071</v>
      </c>
      <c r="G126" t="s">
        <v>50</v>
      </c>
      <c r="H126" s="1">
        <v>46023</v>
      </c>
      <c r="I126" t="s">
        <v>51</v>
      </c>
      <c r="J126" t="s">
        <v>52</v>
      </c>
      <c r="K126" s="2">
        <v>175</v>
      </c>
      <c r="L126">
        <v>1</v>
      </c>
      <c r="M126" s="3">
        <v>1</v>
      </c>
      <c r="N126" s="2">
        <v>175</v>
      </c>
      <c r="P126" t="s">
        <v>1060</v>
      </c>
    </row>
    <row r="127" spans="1:16" x14ac:dyDescent="0.25">
      <c r="A127" s="11" t="s">
        <v>972</v>
      </c>
      <c r="B127" s="11" t="str">
        <f t="shared" si="1"/>
        <v>00024793627KOVR</v>
      </c>
      <c r="C127" t="s">
        <v>468</v>
      </c>
      <c r="D127" t="s">
        <v>46</v>
      </c>
      <c r="E127">
        <v>20411454</v>
      </c>
      <c r="F127" t="s">
        <v>1071</v>
      </c>
      <c r="G127" t="s">
        <v>50</v>
      </c>
      <c r="H127" s="1">
        <v>46023</v>
      </c>
      <c r="I127" t="s">
        <v>51</v>
      </c>
      <c r="J127" t="s">
        <v>52</v>
      </c>
      <c r="K127" s="2">
        <v>175</v>
      </c>
      <c r="L127">
        <v>1</v>
      </c>
      <c r="M127" s="3">
        <v>1</v>
      </c>
      <c r="N127" s="2">
        <v>175</v>
      </c>
      <c r="P127" t="s">
        <v>1060</v>
      </c>
    </row>
    <row r="128" spans="1:16" x14ac:dyDescent="0.25">
      <c r="A128" s="11" t="s">
        <v>973</v>
      </c>
      <c r="B128" s="11" t="str">
        <f t="shared" si="1"/>
        <v>00024794949KOVR</v>
      </c>
      <c r="C128" t="s">
        <v>470</v>
      </c>
      <c r="D128" t="s">
        <v>46</v>
      </c>
      <c r="E128">
        <v>20411454</v>
      </c>
      <c r="F128" t="s">
        <v>1071</v>
      </c>
      <c r="G128" t="s">
        <v>50</v>
      </c>
      <c r="H128" s="1">
        <v>46023</v>
      </c>
      <c r="I128" t="s">
        <v>51</v>
      </c>
      <c r="J128" t="s">
        <v>52</v>
      </c>
      <c r="K128" s="2">
        <v>175</v>
      </c>
      <c r="L128">
        <v>1</v>
      </c>
      <c r="M128" s="3">
        <v>1</v>
      </c>
      <c r="N128" s="2">
        <v>175</v>
      </c>
      <c r="P128" t="s">
        <v>1060</v>
      </c>
    </row>
    <row r="129" spans="1:16" x14ac:dyDescent="0.25">
      <c r="A129" s="11" t="s">
        <v>974</v>
      </c>
      <c r="B129" s="11" t="str">
        <f t="shared" si="1"/>
        <v>00024798121KOVR</v>
      </c>
      <c r="C129" t="s">
        <v>472</v>
      </c>
      <c r="D129" t="s">
        <v>344</v>
      </c>
      <c r="E129">
        <v>20411454</v>
      </c>
      <c r="F129" t="s">
        <v>1071</v>
      </c>
      <c r="G129" t="s">
        <v>50</v>
      </c>
      <c r="H129" s="1">
        <v>46023</v>
      </c>
      <c r="I129" t="s">
        <v>51</v>
      </c>
      <c r="J129" t="s">
        <v>52</v>
      </c>
      <c r="K129" s="2">
        <v>175</v>
      </c>
      <c r="L129">
        <v>1</v>
      </c>
      <c r="M129" s="3">
        <v>1</v>
      </c>
      <c r="N129" s="2">
        <v>175</v>
      </c>
      <c r="P129" t="s">
        <v>1060</v>
      </c>
    </row>
    <row r="130" spans="1:16" x14ac:dyDescent="0.25">
      <c r="A130" s="11" t="s">
        <v>975</v>
      </c>
      <c r="B130" s="11" t="str">
        <f t="shared" ref="B130:B193" si="2">CONCATENATE(A130,"OVR")</f>
        <v>00024798574KOVR</v>
      </c>
      <c r="C130" t="s">
        <v>474</v>
      </c>
      <c r="D130" t="s">
        <v>139</v>
      </c>
      <c r="E130">
        <v>20411454</v>
      </c>
      <c r="F130" t="s">
        <v>1071</v>
      </c>
      <c r="G130" t="s">
        <v>50</v>
      </c>
      <c r="H130" s="1">
        <v>45992</v>
      </c>
      <c r="I130" t="s">
        <v>51</v>
      </c>
      <c r="J130" t="s">
        <v>52</v>
      </c>
      <c r="K130" s="2">
        <v>175</v>
      </c>
      <c r="L130">
        <v>1</v>
      </c>
      <c r="M130" s="3">
        <v>1</v>
      </c>
      <c r="N130" s="2">
        <v>175</v>
      </c>
      <c r="P130" t="s">
        <v>1060</v>
      </c>
    </row>
    <row r="131" spans="1:16" x14ac:dyDescent="0.25">
      <c r="A131" s="11" t="s">
        <v>976</v>
      </c>
      <c r="B131" s="11" t="str">
        <f t="shared" si="2"/>
        <v>00024800029KOVR</v>
      </c>
      <c r="C131" t="s">
        <v>476</v>
      </c>
      <c r="D131" t="s">
        <v>344</v>
      </c>
      <c r="E131">
        <v>20411454</v>
      </c>
      <c r="F131" t="s">
        <v>1071</v>
      </c>
      <c r="G131" t="s">
        <v>50</v>
      </c>
      <c r="H131" s="1">
        <v>46023</v>
      </c>
      <c r="I131" t="s">
        <v>51</v>
      </c>
      <c r="J131" t="s">
        <v>52</v>
      </c>
      <c r="K131" s="2">
        <v>175</v>
      </c>
      <c r="L131">
        <v>1</v>
      </c>
      <c r="M131" s="3">
        <v>1</v>
      </c>
      <c r="N131" s="2">
        <v>175</v>
      </c>
      <c r="P131" t="s">
        <v>1060</v>
      </c>
    </row>
    <row r="132" spans="1:16" x14ac:dyDescent="0.25">
      <c r="A132" s="11" t="s">
        <v>977</v>
      </c>
      <c r="B132" s="11" t="str">
        <f t="shared" si="2"/>
        <v>00024803848KOVR</v>
      </c>
      <c r="C132" t="s">
        <v>478</v>
      </c>
      <c r="D132" t="s">
        <v>46</v>
      </c>
      <c r="E132">
        <v>20411454</v>
      </c>
      <c r="F132" t="s">
        <v>1071</v>
      </c>
      <c r="G132" t="s">
        <v>50</v>
      </c>
      <c r="H132" s="1">
        <v>45992</v>
      </c>
      <c r="I132" t="s">
        <v>51</v>
      </c>
      <c r="J132" t="s">
        <v>52</v>
      </c>
      <c r="K132" s="2">
        <v>175</v>
      </c>
      <c r="L132">
        <v>1</v>
      </c>
      <c r="M132" s="3">
        <v>1</v>
      </c>
      <c r="N132" s="2">
        <v>175</v>
      </c>
      <c r="P132" t="s">
        <v>1060</v>
      </c>
    </row>
    <row r="133" spans="1:16" x14ac:dyDescent="0.25">
      <c r="A133" s="11" t="s">
        <v>978</v>
      </c>
      <c r="B133" s="11" t="str">
        <f t="shared" si="2"/>
        <v>00024805690KOVR</v>
      </c>
      <c r="C133" t="s">
        <v>480</v>
      </c>
      <c r="D133" t="s">
        <v>59</v>
      </c>
      <c r="E133">
        <v>20411454</v>
      </c>
      <c r="F133" t="s">
        <v>1071</v>
      </c>
      <c r="G133" t="s">
        <v>50</v>
      </c>
      <c r="H133" s="1">
        <v>46023</v>
      </c>
      <c r="I133" t="s">
        <v>51</v>
      </c>
      <c r="J133" t="s">
        <v>52</v>
      </c>
      <c r="K133" s="2">
        <v>175</v>
      </c>
      <c r="L133">
        <v>1</v>
      </c>
      <c r="M133" s="3">
        <v>1</v>
      </c>
      <c r="N133" s="2">
        <v>175</v>
      </c>
      <c r="P133" t="s">
        <v>1060</v>
      </c>
    </row>
    <row r="134" spans="1:16" x14ac:dyDescent="0.25">
      <c r="A134" s="11" t="s">
        <v>979</v>
      </c>
      <c r="B134" s="11" t="str">
        <f t="shared" si="2"/>
        <v>00024807949KOVR</v>
      </c>
      <c r="C134" t="s">
        <v>482</v>
      </c>
      <c r="D134" t="s">
        <v>46</v>
      </c>
      <c r="E134">
        <v>20411454</v>
      </c>
      <c r="F134" t="s">
        <v>1071</v>
      </c>
      <c r="G134" t="s">
        <v>50</v>
      </c>
      <c r="H134" s="1">
        <v>46023</v>
      </c>
      <c r="I134" t="s">
        <v>51</v>
      </c>
      <c r="J134" t="s">
        <v>52</v>
      </c>
      <c r="K134" s="2">
        <v>175</v>
      </c>
      <c r="L134">
        <v>1</v>
      </c>
      <c r="M134" s="3">
        <v>1</v>
      </c>
      <c r="N134" s="2">
        <v>175</v>
      </c>
      <c r="P134" t="s">
        <v>1060</v>
      </c>
    </row>
    <row r="135" spans="1:16" x14ac:dyDescent="0.25">
      <c r="A135" s="11" t="s">
        <v>980</v>
      </c>
      <c r="B135" s="11" t="str">
        <f t="shared" si="2"/>
        <v>00024812921KOVR</v>
      </c>
      <c r="C135" t="s">
        <v>484</v>
      </c>
      <c r="D135" t="s">
        <v>59</v>
      </c>
      <c r="E135">
        <v>20411454</v>
      </c>
      <c r="F135" t="s">
        <v>1071</v>
      </c>
      <c r="G135" t="s">
        <v>50</v>
      </c>
      <c r="H135" s="1">
        <v>46023</v>
      </c>
      <c r="I135" t="s">
        <v>51</v>
      </c>
      <c r="J135" t="s">
        <v>52</v>
      </c>
      <c r="K135" s="2">
        <v>175</v>
      </c>
      <c r="L135">
        <v>1</v>
      </c>
      <c r="M135" s="3">
        <v>1</v>
      </c>
      <c r="N135" s="2">
        <v>175</v>
      </c>
      <c r="P135" t="s">
        <v>1060</v>
      </c>
    </row>
    <row r="136" spans="1:16" x14ac:dyDescent="0.25">
      <c r="A136" s="11" t="s">
        <v>981</v>
      </c>
      <c r="B136" s="11" t="str">
        <f t="shared" si="2"/>
        <v>00024814837KOVR</v>
      </c>
      <c r="C136" t="s">
        <v>486</v>
      </c>
      <c r="D136" t="s">
        <v>46</v>
      </c>
      <c r="E136">
        <v>20411454</v>
      </c>
      <c r="F136" t="s">
        <v>1071</v>
      </c>
      <c r="G136" t="s">
        <v>50</v>
      </c>
      <c r="H136" s="1">
        <v>46023</v>
      </c>
      <c r="I136" t="s">
        <v>51</v>
      </c>
      <c r="J136" t="s">
        <v>52</v>
      </c>
      <c r="K136" s="2">
        <v>175</v>
      </c>
      <c r="L136">
        <v>1</v>
      </c>
      <c r="M136" s="3">
        <v>1</v>
      </c>
      <c r="N136" s="2">
        <v>175</v>
      </c>
      <c r="P136" t="s">
        <v>1060</v>
      </c>
    </row>
    <row r="137" spans="1:16" x14ac:dyDescent="0.25">
      <c r="A137" s="11" t="s">
        <v>982</v>
      </c>
      <c r="B137" s="11" t="str">
        <f t="shared" si="2"/>
        <v>00024814875KOVR</v>
      </c>
      <c r="C137" t="s">
        <v>488</v>
      </c>
      <c r="D137" t="s">
        <v>420</v>
      </c>
      <c r="E137">
        <v>20411454</v>
      </c>
      <c r="F137" t="s">
        <v>1071</v>
      </c>
      <c r="G137" t="s">
        <v>50</v>
      </c>
      <c r="H137" s="1">
        <v>46023</v>
      </c>
      <c r="I137" t="s">
        <v>51</v>
      </c>
      <c r="J137" t="s">
        <v>52</v>
      </c>
      <c r="K137" s="2">
        <v>175</v>
      </c>
      <c r="L137">
        <v>1</v>
      </c>
      <c r="M137" s="3">
        <v>1</v>
      </c>
      <c r="N137" s="2">
        <v>175</v>
      </c>
      <c r="P137" t="s">
        <v>1060</v>
      </c>
    </row>
    <row r="138" spans="1:16" x14ac:dyDescent="0.25">
      <c r="A138" s="11" t="s">
        <v>983</v>
      </c>
      <c r="B138" s="11" t="str">
        <f t="shared" si="2"/>
        <v>00024816293KOVR</v>
      </c>
      <c r="C138" t="s">
        <v>492</v>
      </c>
      <c r="D138" t="s">
        <v>192</v>
      </c>
      <c r="E138">
        <v>20411454</v>
      </c>
      <c r="F138" t="s">
        <v>1071</v>
      </c>
      <c r="G138" t="s">
        <v>50</v>
      </c>
      <c r="H138" s="1">
        <v>46023</v>
      </c>
      <c r="I138" t="s">
        <v>51</v>
      </c>
      <c r="J138" t="s">
        <v>52</v>
      </c>
      <c r="K138" s="2">
        <v>175</v>
      </c>
      <c r="L138">
        <v>1</v>
      </c>
      <c r="M138" s="3">
        <v>1</v>
      </c>
      <c r="N138" s="2">
        <v>175</v>
      </c>
      <c r="P138" t="s">
        <v>1060</v>
      </c>
    </row>
    <row r="139" spans="1:16" x14ac:dyDescent="0.25">
      <c r="A139" s="11" t="s">
        <v>984</v>
      </c>
      <c r="B139" s="11" t="str">
        <f t="shared" si="2"/>
        <v>00024816985KOVR</v>
      </c>
      <c r="C139" t="s">
        <v>494</v>
      </c>
      <c r="D139" t="s">
        <v>275</v>
      </c>
      <c r="E139">
        <v>20411454</v>
      </c>
      <c r="F139" t="s">
        <v>1071</v>
      </c>
      <c r="G139" t="s">
        <v>50</v>
      </c>
      <c r="H139" s="1">
        <v>46023</v>
      </c>
      <c r="I139" t="s">
        <v>51</v>
      </c>
      <c r="J139" t="s">
        <v>52</v>
      </c>
      <c r="K139" s="2">
        <v>175</v>
      </c>
      <c r="L139">
        <v>1</v>
      </c>
      <c r="M139" s="3">
        <v>1</v>
      </c>
      <c r="N139" s="2">
        <v>175</v>
      </c>
      <c r="P139" t="s">
        <v>1060</v>
      </c>
    </row>
    <row r="140" spans="1:16" x14ac:dyDescent="0.25">
      <c r="A140" s="11" t="s">
        <v>985</v>
      </c>
      <c r="B140" s="11" t="str">
        <f t="shared" si="2"/>
        <v>00024818329KOVR</v>
      </c>
      <c r="C140" t="s">
        <v>496</v>
      </c>
      <c r="D140" t="s">
        <v>46</v>
      </c>
      <c r="E140">
        <v>20411454</v>
      </c>
      <c r="F140" t="s">
        <v>1071</v>
      </c>
      <c r="G140" t="s">
        <v>50</v>
      </c>
      <c r="H140" s="1">
        <v>46023</v>
      </c>
      <c r="I140" t="s">
        <v>51</v>
      </c>
      <c r="J140" t="s">
        <v>52</v>
      </c>
      <c r="K140" s="2">
        <v>175</v>
      </c>
      <c r="L140">
        <v>1</v>
      </c>
      <c r="M140" s="3">
        <v>1</v>
      </c>
      <c r="N140" s="2">
        <v>175</v>
      </c>
      <c r="P140" t="s">
        <v>1060</v>
      </c>
    </row>
    <row r="141" spans="1:16" x14ac:dyDescent="0.25">
      <c r="A141" s="11" t="s">
        <v>986</v>
      </c>
      <c r="B141" s="11" t="str">
        <f t="shared" si="2"/>
        <v>00024820736KOVR</v>
      </c>
      <c r="C141" t="s">
        <v>498</v>
      </c>
      <c r="D141" t="s">
        <v>46</v>
      </c>
      <c r="E141">
        <v>20411454</v>
      </c>
      <c r="F141" t="s">
        <v>1071</v>
      </c>
      <c r="G141" t="s">
        <v>50</v>
      </c>
      <c r="H141" s="1">
        <v>46023</v>
      </c>
      <c r="I141" t="s">
        <v>51</v>
      </c>
      <c r="J141" t="s">
        <v>52</v>
      </c>
      <c r="K141" s="2">
        <v>175</v>
      </c>
      <c r="L141">
        <v>1</v>
      </c>
      <c r="M141" s="3">
        <v>1</v>
      </c>
      <c r="N141" s="2">
        <v>175</v>
      </c>
      <c r="P141" t="s">
        <v>1060</v>
      </c>
    </row>
    <row r="142" spans="1:16" x14ac:dyDescent="0.25">
      <c r="A142" s="11" t="s">
        <v>987</v>
      </c>
      <c r="B142" s="11" t="str">
        <f t="shared" si="2"/>
        <v>00024821466KOVR</v>
      </c>
      <c r="C142" t="s">
        <v>500</v>
      </c>
      <c r="D142" t="s">
        <v>46</v>
      </c>
      <c r="E142">
        <v>20411454</v>
      </c>
      <c r="F142" t="s">
        <v>1071</v>
      </c>
      <c r="G142" t="s">
        <v>50</v>
      </c>
      <c r="H142" s="1">
        <v>46023</v>
      </c>
      <c r="I142" t="s">
        <v>51</v>
      </c>
      <c r="J142" t="s">
        <v>52</v>
      </c>
      <c r="K142" s="2">
        <v>175</v>
      </c>
      <c r="L142">
        <v>1</v>
      </c>
      <c r="M142" s="3">
        <v>1</v>
      </c>
      <c r="N142" s="2">
        <v>175</v>
      </c>
      <c r="P142" t="s">
        <v>1060</v>
      </c>
    </row>
    <row r="143" spans="1:16" x14ac:dyDescent="0.25">
      <c r="A143" s="11" t="s">
        <v>988</v>
      </c>
      <c r="B143" s="11" t="str">
        <f t="shared" si="2"/>
        <v>00024823334KOVR</v>
      </c>
      <c r="C143" t="s">
        <v>502</v>
      </c>
      <c r="D143" t="s">
        <v>46</v>
      </c>
      <c r="E143">
        <v>20411454</v>
      </c>
      <c r="F143" t="s">
        <v>1071</v>
      </c>
      <c r="G143" t="s">
        <v>50</v>
      </c>
      <c r="H143" s="1">
        <v>46023</v>
      </c>
      <c r="I143" t="s">
        <v>51</v>
      </c>
      <c r="J143" t="s">
        <v>52</v>
      </c>
      <c r="K143" s="2">
        <v>175</v>
      </c>
      <c r="L143">
        <v>1</v>
      </c>
      <c r="M143" s="3">
        <v>1</v>
      </c>
      <c r="N143" s="2">
        <v>175</v>
      </c>
      <c r="P143" t="s">
        <v>1060</v>
      </c>
    </row>
    <row r="144" spans="1:16" x14ac:dyDescent="0.25">
      <c r="A144" s="11" t="s">
        <v>989</v>
      </c>
      <c r="B144" s="11" t="str">
        <f t="shared" si="2"/>
        <v>00024824483KOVR</v>
      </c>
      <c r="C144" t="s">
        <v>504</v>
      </c>
      <c r="D144" t="s">
        <v>59</v>
      </c>
      <c r="E144">
        <v>20411454</v>
      </c>
      <c r="F144" t="s">
        <v>1071</v>
      </c>
      <c r="G144" t="s">
        <v>50</v>
      </c>
      <c r="H144" s="1">
        <v>46023</v>
      </c>
      <c r="I144" t="s">
        <v>51</v>
      </c>
      <c r="J144" t="s">
        <v>52</v>
      </c>
      <c r="K144" s="2">
        <v>175</v>
      </c>
      <c r="L144">
        <v>1</v>
      </c>
      <c r="M144" s="3">
        <v>1</v>
      </c>
      <c r="N144" s="2">
        <v>175</v>
      </c>
      <c r="P144" t="s">
        <v>1060</v>
      </c>
    </row>
    <row r="145" spans="1:16" x14ac:dyDescent="0.25">
      <c r="A145" s="11" t="s">
        <v>990</v>
      </c>
      <c r="B145" s="11" t="str">
        <f t="shared" si="2"/>
        <v>00024827694KOVR</v>
      </c>
      <c r="C145" t="s">
        <v>506</v>
      </c>
      <c r="D145" t="s">
        <v>46</v>
      </c>
      <c r="E145">
        <v>20411454</v>
      </c>
      <c r="F145" t="s">
        <v>1071</v>
      </c>
      <c r="G145" t="s">
        <v>50</v>
      </c>
      <c r="H145" s="1">
        <v>46023</v>
      </c>
      <c r="I145" t="s">
        <v>51</v>
      </c>
      <c r="J145" t="s">
        <v>52</v>
      </c>
      <c r="K145" s="2">
        <v>175</v>
      </c>
      <c r="L145">
        <v>1</v>
      </c>
      <c r="M145" s="3">
        <v>1</v>
      </c>
      <c r="N145" s="2">
        <v>175</v>
      </c>
      <c r="P145" t="s">
        <v>1060</v>
      </c>
    </row>
    <row r="146" spans="1:16" x14ac:dyDescent="0.25">
      <c r="A146" s="11" t="s">
        <v>991</v>
      </c>
      <c r="B146" s="11" t="str">
        <f t="shared" si="2"/>
        <v>00024828279KOVR</v>
      </c>
      <c r="C146" t="s">
        <v>508</v>
      </c>
      <c r="D146" t="s">
        <v>46</v>
      </c>
      <c r="E146">
        <v>20411454</v>
      </c>
      <c r="F146" t="s">
        <v>1071</v>
      </c>
      <c r="G146" t="s">
        <v>50</v>
      </c>
      <c r="H146" s="1">
        <v>46023</v>
      </c>
      <c r="I146" t="s">
        <v>51</v>
      </c>
      <c r="J146" t="s">
        <v>52</v>
      </c>
      <c r="K146" s="2">
        <v>175</v>
      </c>
      <c r="L146">
        <v>1</v>
      </c>
      <c r="M146" s="3">
        <v>1</v>
      </c>
      <c r="N146" s="2">
        <v>175</v>
      </c>
      <c r="P146" t="s">
        <v>1060</v>
      </c>
    </row>
    <row r="147" spans="1:16" x14ac:dyDescent="0.25">
      <c r="A147" s="11" t="s">
        <v>992</v>
      </c>
      <c r="B147" s="11" t="str">
        <f t="shared" si="2"/>
        <v>00024829757KOVR</v>
      </c>
      <c r="C147" t="s">
        <v>510</v>
      </c>
      <c r="D147" t="s">
        <v>46</v>
      </c>
      <c r="E147">
        <v>20411454</v>
      </c>
      <c r="F147" t="s">
        <v>1071</v>
      </c>
      <c r="G147" t="s">
        <v>50</v>
      </c>
      <c r="H147" s="1">
        <v>46023</v>
      </c>
      <c r="I147" t="s">
        <v>51</v>
      </c>
      <c r="J147" t="s">
        <v>52</v>
      </c>
      <c r="K147" s="2">
        <v>175</v>
      </c>
      <c r="L147">
        <v>1</v>
      </c>
      <c r="M147" s="3">
        <v>1</v>
      </c>
      <c r="N147" s="2">
        <v>175</v>
      </c>
      <c r="P147" t="s">
        <v>1060</v>
      </c>
    </row>
    <row r="148" spans="1:16" x14ac:dyDescent="0.25">
      <c r="A148" s="11" t="s">
        <v>993</v>
      </c>
      <c r="B148" s="11" t="str">
        <f t="shared" si="2"/>
        <v>00024830366KOVR</v>
      </c>
      <c r="C148" t="s">
        <v>512</v>
      </c>
      <c r="D148" t="s">
        <v>46</v>
      </c>
      <c r="E148">
        <v>20411454</v>
      </c>
      <c r="F148" t="s">
        <v>1071</v>
      </c>
      <c r="G148" t="s">
        <v>50</v>
      </c>
      <c r="H148" s="1">
        <v>46023</v>
      </c>
      <c r="I148" t="s">
        <v>51</v>
      </c>
      <c r="J148" t="s">
        <v>52</v>
      </c>
      <c r="K148" s="2">
        <v>175</v>
      </c>
      <c r="L148">
        <v>1</v>
      </c>
      <c r="M148" s="3">
        <v>1</v>
      </c>
      <c r="N148" s="2">
        <v>175</v>
      </c>
      <c r="P148" t="s">
        <v>1060</v>
      </c>
    </row>
    <row r="149" spans="1:16" x14ac:dyDescent="0.25">
      <c r="A149" s="11" t="s">
        <v>994</v>
      </c>
      <c r="B149" s="11" t="str">
        <f t="shared" si="2"/>
        <v>00024830605KOVR</v>
      </c>
      <c r="C149" t="s">
        <v>514</v>
      </c>
      <c r="D149" t="s">
        <v>71</v>
      </c>
      <c r="E149">
        <v>20411454</v>
      </c>
      <c r="F149" t="s">
        <v>1071</v>
      </c>
      <c r="G149" t="s">
        <v>50</v>
      </c>
      <c r="H149" s="1">
        <v>46023</v>
      </c>
      <c r="I149" t="s">
        <v>51</v>
      </c>
      <c r="J149" t="s">
        <v>52</v>
      </c>
      <c r="K149" s="2">
        <v>175</v>
      </c>
      <c r="L149">
        <v>1</v>
      </c>
      <c r="M149" s="3">
        <v>1</v>
      </c>
      <c r="N149" s="2">
        <v>175</v>
      </c>
      <c r="P149" t="s">
        <v>1060</v>
      </c>
    </row>
    <row r="150" spans="1:16" x14ac:dyDescent="0.25">
      <c r="A150" s="11" t="s">
        <v>995</v>
      </c>
      <c r="B150" s="11" t="str">
        <f t="shared" si="2"/>
        <v>00024832718KOVR</v>
      </c>
      <c r="C150" t="s">
        <v>516</v>
      </c>
      <c r="D150" t="s">
        <v>46</v>
      </c>
      <c r="E150">
        <v>20411454</v>
      </c>
      <c r="F150" t="s">
        <v>1071</v>
      </c>
      <c r="G150" t="s">
        <v>50</v>
      </c>
      <c r="H150" s="1">
        <v>46023</v>
      </c>
      <c r="I150" t="s">
        <v>51</v>
      </c>
      <c r="J150" t="s">
        <v>52</v>
      </c>
      <c r="K150" s="2">
        <v>175</v>
      </c>
      <c r="L150">
        <v>1</v>
      </c>
      <c r="M150" s="3">
        <v>1</v>
      </c>
      <c r="N150" s="2">
        <v>175</v>
      </c>
      <c r="P150" t="s">
        <v>1060</v>
      </c>
    </row>
    <row r="151" spans="1:16" x14ac:dyDescent="0.25">
      <c r="A151" s="11" t="s">
        <v>996</v>
      </c>
      <c r="B151" s="11" t="str">
        <f t="shared" si="2"/>
        <v>00024834769KOVR</v>
      </c>
      <c r="C151" t="s">
        <v>518</v>
      </c>
      <c r="D151" t="s">
        <v>519</v>
      </c>
      <c r="E151">
        <v>20411454</v>
      </c>
      <c r="F151" t="s">
        <v>1071</v>
      </c>
      <c r="G151" t="s">
        <v>50</v>
      </c>
      <c r="H151" s="1">
        <v>46023</v>
      </c>
      <c r="I151" t="s">
        <v>51</v>
      </c>
      <c r="J151" t="s">
        <v>52</v>
      </c>
      <c r="K151" s="2">
        <v>175</v>
      </c>
      <c r="L151">
        <v>1</v>
      </c>
      <c r="M151" s="3">
        <v>1</v>
      </c>
      <c r="N151" s="2">
        <v>175</v>
      </c>
      <c r="P151" t="s">
        <v>1060</v>
      </c>
    </row>
    <row r="152" spans="1:16" x14ac:dyDescent="0.25">
      <c r="A152" s="11" t="s">
        <v>997</v>
      </c>
      <c r="B152" s="11" t="str">
        <f t="shared" si="2"/>
        <v>00024835520KOVR</v>
      </c>
      <c r="C152" t="s">
        <v>521</v>
      </c>
      <c r="D152" t="s">
        <v>519</v>
      </c>
      <c r="E152">
        <v>20411454</v>
      </c>
      <c r="F152" t="s">
        <v>1071</v>
      </c>
      <c r="G152" t="s">
        <v>50</v>
      </c>
      <c r="H152" s="1">
        <v>46023</v>
      </c>
      <c r="I152" t="s">
        <v>51</v>
      </c>
      <c r="J152" t="s">
        <v>52</v>
      </c>
      <c r="K152" s="2">
        <v>175</v>
      </c>
      <c r="L152">
        <v>1</v>
      </c>
      <c r="M152" s="3">
        <v>1</v>
      </c>
      <c r="N152" s="2">
        <v>175</v>
      </c>
      <c r="P152" t="s">
        <v>1060</v>
      </c>
    </row>
    <row r="153" spans="1:16" x14ac:dyDescent="0.25">
      <c r="A153" s="11" t="s">
        <v>998</v>
      </c>
      <c r="B153" s="11" t="str">
        <f t="shared" si="2"/>
        <v>00024835556KOVR</v>
      </c>
      <c r="C153" t="s">
        <v>523</v>
      </c>
      <c r="D153" t="s">
        <v>46</v>
      </c>
      <c r="E153">
        <v>20411454</v>
      </c>
      <c r="F153" t="s">
        <v>1071</v>
      </c>
      <c r="G153" t="s">
        <v>50</v>
      </c>
      <c r="H153" s="1">
        <v>46023</v>
      </c>
      <c r="I153" t="s">
        <v>51</v>
      </c>
      <c r="J153" t="s">
        <v>52</v>
      </c>
      <c r="K153" s="2">
        <v>175</v>
      </c>
      <c r="L153">
        <v>1</v>
      </c>
      <c r="M153" s="3">
        <v>1</v>
      </c>
      <c r="N153" s="2">
        <v>175</v>
      </c>
      <c r="P153" t="s">
        <v>1060</v>
      </c>
    </row>
    <row r="154" spans="1:16" x14ac:dyDescent="0.25">
      <c r="A154" s="11" t="s">
        <v>999</v>
      </c>
      <c r="B154" s="11" t="str">
        <f t="shared" si="2"/>
        <v>00024837075KOVR</v>
      </c>
      <c r="C154" t="s">
        <v>525</v>
      </c>
      <c r="D154" t="s">
        <v>46</v>
      </c>
      <c r="E154">
        <v>20411454</v>
      </c>
      <c r="F154" t="s">
        <v>1071</v>
      </c>
      <c r="G154" t="s">
        <v>50</v>
      </c>
      <c r="H154" s="1">
        <v>46054</v>
      </c>
      <c r="I154" t="s">
        <v>51</v>
      </c>
      <c r="J154" t="s">
        <v>52</v>
      </c>
      <c r="K154" s="2">
        <v>175</v>
      </c>
      <c r="L154">
        <v>1</v>
      </c>
      <c r="M154" s="3">
        <v>1</v>
      </c>
      <c r="N154" s="2">
        <v>175</v>
      </c>
      <c r="P154" t="s">
        <v>1060</v>
      </c>
    </row>
    <row r="155" spans="1:16" x14ac:dyDescent="0.25">
      <c r="A155" s="11" t="s">
        <v>1000</v>
      </c>
      <c r="B155" s="11" t="str">
        <f t="shared" si="2"/>
        <v>00024839668KOVR</v>
      </c>
      <c r="C155" t="s">
        <v>529</v>
      </c>
      <c r="D155" t="s">
        <v>46</v>
      </c>
      <c r="E155">
        <v>20411454</v>
      </c>
      <c r="F155" t="s">
        <v>1071</v>
      </c>
      <c r="G155" t="s">
        <v>50</v>
      </c>
      <c r="H155" s="1">
        <v>46023</v>
      </c>
      <c r="I155" t="s">
        <v>51</v>
      </c>
      <c r="J155" t="s">
        <v>52</v>
      </c>
      <c r="K155" s="2">
        <v>175</v>
      </c>
      <c r="L155">
        <v>1</v>
      </c>
      <c r="M155" s="3">
        <v>1</v>
      </c>
      <c r="N155" s="2">
        <v>175</v>
      </c>
      <c r="P155" t="s">
        <v>1060</v>
      </c>
    </row>
    <row r="156" spans="1:16" x14ac:dyDescent="0.25">
      <c r="A156" s="11" t="s">
        <v>1001</v>
      </c>
      <c r="B156" s="11" t="str">
        <f t="shared" si="2"/>
        <v>00024840234KOVR</v>
      </c>
      <c r="C156" t="s">
        <v>531</v>
      </c>
      <c r="D156" t="s">
        <v>46</v>
      </c>
      <c r="E156">
        <v>20411454</v>
      </c>
      <c r="F156" t="s">
        <v>1071</v>
      </c>
      <c r="G156" t="s">
        <v>50</v>
      </c>
      <c r="H156" s="1">
        <v>46023</v>
      </c>
      <c r="I156" t="s">
        <v>51</v>
      </c>
      <c r="J156" t="s">
        <v>52</v>
      </c>
      <c r="K156" s="2">
        <v>175</v>
      </c>
      <c r="L156">
        <v>1</v>
      </c>
      <c r="M156" s="3">
        <v>1</v>
      </c>
      <c r="N156" s="2">
        <v>175</v>
      </c>
      <c r="P156" t="s">
        <v>1060</v>
      </c>
    </row>
    <row r="157" spans="1:16" x14ac:dyDescent="0.25">
      <c r="A157" s="11" t="s">
        <v>1002</v>
      </c>
      <c r="B157" s="11" t="str">
        <f t="shared" si="2"/>
        <v>00024841501KOVR</v>
      </c>
      <c r="C157" t="s">
        <v>533</v>
      </c>
      <c r="D157" t="s">
        <v>46</v>
      </c>
      <c r="E157">
        <v>20411454</v>
      </c>
      <c r="F157" t="s">
        <v>1071</v>
      </c>
      <c r="G157" t="s">
        <v>50</v>
      </c>
      <c r="H157" s="1">
        <v>46023</v>
      </c>
      <c r="I157" t="s">
        <v>51</v>
      </c>
      <c r="J157" t="s">
        <v>52</v>
      </c>
      <c r="K157" s="2">
        <v>175</v>
      </c>
      <c r="L157">
        <v>1</v>
      </c>
      <c r="M157" s="3">
        <v>1</v>
      </c>
      <c r="N157" s="2">
        <v>175</v>
      </c>
      <c r="P157" t="s">
        <v>1060</v>
      </c>
    </row>
    <row r="158" spans="1:16" x14ac:dyDescent="0.25">
      <c r="A158" s="11" t="s">
        <v>1003</v>
      </c>
      <c r="B158" s="11" t="str">
        <f t="shared" si="2"/>
        <v>00024842390KOVR</v>
      </c>
      <c r="C158" t="s">
        <v>535</v>
      </c>
      <c r="D158" t="s">
        <v>536</v>
      </c>
      <c r="E158">
        <v>20411454</v>
      </c>
      <c r="F158" t="s">
        <v>1071</v>
      </c>
      <c r="G158" t="s">
        <v>50</v>
      </c>
      <c r="H158" s="1">
        <v>46023</v>
      </c>
      <c r="I158" t="s">
        <v>51</v>
      </c>
      <c r="J158" t="s">
        <v>52</v>
      </c>
      <c r="K158" s="2">
        <v>175</v>
      </c>
      <c r="L158">
        <v>1</v>
      </c>
      <c r="M158" s="3">
        <v>1</v>
      </c>
      <c r="N158" s="2">
        <v>175</v>
      </c>
      <c r="P158" t="s">
        <v>1060</v>
      </c>
    </row>
    <row r="159" spans="1:16" x14ac:dyDescent="0.25">
      <c r="A159" s="11" t="s">
        <v>1004</v>
      </c>
      <c r="B159" s="11" t="str">
        <f t="shared" si="2"/>
        <v>00024843418KOVR</v>
      </c>
      <c r="C159" t="s">
        <v>538</v>
      </c>
      <c r="D159" t="s">
        <v>46</v>
      </c>
      <c r="E159">
        <v>20411454</v>
      </c>
      <c r="F159" t="s">
        <v>1071</v>
      </c>
      <c r="G159" t="s">
        <v>50</v>
      </c>
      <c r="H159" s="1">
        <v>46023</v>
      </c>
      <c r="I159" t="s">
        <v>51</v>
      </c>
      <c r="J159" t="s">
        <v>52</v>
      </c>
      <c r="K159" s="2">
        <v>175</v>
      </c>
      <c r="L159">
        <v>1</v>
      </c>
      <c r="M159" s="3">
        <v>1</v>
      </c>
      <c r="N159" s="2">
        <v>175</v>
      </c>
      <c r="P159" t="s">
        <v>1060</v>
      </c>
    </row>
    <row r="160" spans="1:16" x14ac:dyDescent="0.25">
      <c r="A160" s="11" t="s">
        <v>1005</v>
      </c>
      <c r="B160" s="11" t="str">
        <f t="shared" si="2"/>
        <v>00024843428KOVR</v>
      </c>
      <c r="C160" t="s">
        <v>542</v>
      </c>
      <c r="D160" t="s">
        <v>192</v>
      </c>
      <c r="E160">
        <v>20411454</v>
      </c>
      <c r="F160" t="s">
        <v>1071</v>
      </c>
      <c r="G160" t="s">
        <v>50</v>
      </c>
      <c r="H160" s="1">
        <v>46023</v>
      </c>
      <c r="I160" t="s">
        <v>51</v>
      </c>
      <c r="J160" t="s">
        <v>52</v>
      </c>
      <c r="K160" s="2">
        <v>175</v>
      </c>
      <c r="L160">
        <v>1</v>
      </c>
      <c r="M160" s="3">
        <v>1</v>
      </c>
      <c r="N160" s="2">
        <v>175</v>
      </c>
      <c r="P160" t="s">
        <v>1060</v>
      </c>
    </row>
    <row r="161" spans="1:16" x14ac:dyDescent="0.25">
      <c r="A161" s="11" t="s">
        <v>1006</v>
      </c>
      <c r="B161" s="11" t="str">
        <f t="shared" si="2"/>
        <v>00024845676KOVR</v>
      </c>
      <c r="C161" t="s">
        <v>544</v>
      </c>
      <c r="D161" t="s">
        <v>46</v>
      </c>
      <c r="E161">
        <v>20411454</v>
      </c>
      <c r="F161" t="s">
        <v>1071</v>
      </c>
      <c r="G161" t="s">
        <v>50</v>
      </c>
      <c r="H161" s="1">
        <v>46023</v>
      </c>
      <c r="I161" t="s">
        <v>51</v>
      </c>
      <c r="J161" t="s">
        <v>52</v>
      </c>
      <c r="K161" s="2">
        <v>175</v>
      </c>
      <c r="L161">
        <v>1</v>
      </c>
      <c r="M161" s="3">
        <v>1</v>
      </c>
      <c r="N161" s="2">
        <v>175</v>
      </c>
      <c r="P161" t="s">
        <v>1060</v>
      </c>
    </row>
    <row r="162" spans="1:16" x14ac:dyDescent="0.25">
      <c r="A162" s="11" t="s">
        <v>1007</v>
      </c>
      <c r="B162" s="11" t="str">
        <f t="shared" si="2"/>
        <v>00024846786KOVR</v>
      </c>
      <c r="C162" t="s">
        <v>546</v>
      </c>
      <c r="D162" t="s">
        <v>46</v>
      </c>
      <c r="E162">
        <v>20411454</v>
      </c>
      <c r="F162" t="s">
        <v>1071</v>
      </c>
      <c r="G162" t="s">
        <v>50</v>
      </c>
      <c r="H162" s="1">
        <v>45992</v>
      </c>
      <c r="I162" t="s">
        <v>51</v>
      </c>
      <c r="J162" t="s">
        <v>52</v>
      </c>
      <c r="K162" s="2">
        <v>175</v>
      </c>
      <c r="L162">
        <v>1</v>
      </c>
      <c r="M162" s="3">
        <v>1</v>
      </c>
      <c r="N162" s="2">
        <v>175</v>
      </c>
      <c r="P162" t="s">
        <v>1060</v>
      </c>
    </row>
    <row r="163" spans="1:16" x14ac:dyDescent="0.25">
      <c r="A163" s="11" t="s">
        <v>1008</v>
      </c>
      <c r="B163" s="11" t="str">
        <f t="shared" si="2"/>
        <v>00024847287KOVR</v>
      </c>
      <c r="C163" t="s">
        <v>548</v>
      </c>
      <c r="D163" t="s">
        <v>46</v>
      </c>
      <c r="E163">
        <v>20411454</v>
      </c>
      <c r="F163" t="s">
        <v>1071</v>
      </c>
      <c r="G163" t="s">
        <v>50</v>
      </c>
      <c r="H163" s="1">
        <v>46023</v>
      </c>
      <c r="I163" t="s">
        <v>51</v>
      </c>
      <c r="J163" t="s">
        <v>52</v>
      </c>
      <c r="K163" s="2">
        <v>175</v>
      </c>
      <c r="L163">
        <v>1</v>
      </c>
      <c r="M163" s="3">
        <v>1</v>
      </c>
      <c r="N163" s="2">
        <v>175</v>
      </c>
      <c r="P163" t="s">
        <v>1060</v>
      </c>
    </row>
    <row r="164" spans="1:16" x14ac:dyDescent="0.25">
      <c r="A164" s="11" t="s">
        <v>1009</v>
      </c>
      <c r="B164" s="11" t="str">
        <f t="shared" si="2"/>
        <v>00024847886KOVR</v>
      </c>
      <c r="C164" t="s">
        <v>550</v>
      </c>
      <c r="D164" t="s">
        <v>46</v>
      </c>
      <c r="E164">
        <v>20411454</v>
      </c>
      <c r="F164" t="s">
        <v>1071</v>
      </c>
      <c r="G164" t="s">
        <v>50</v>
      </c>
      <c r="H164" s="1">
        <v>46023</v>
      </c>
      <c r="I164" t="s">
        <v>51</v>
      </c>
      <c r="J164" t="s">
        <v>52</v>
      </c>
      <c r="K164" s="2">
        <v>175</v>
      </c>
      <c r="L164">
        <v>1</v>
      </c>
      <c r="M164" s="3">
        <v>1</v>
      </c>
      <c r="N164" s="2">
        <v>175</v>
      </c>
      <c r="P164" t="s">
        <v>1060</v>
      </c>
    </row>
    <row r="165" spans="1:16" x14ac:dyDescent="0.25">
      <c r="A165" s="11" t="s">
        <v>1010</v>
      </c>
      <c r="B165" s="11" t="str">
        <f t="shared" si="2"/>
        <v>00024848882KOVR</v>
      </c>
      <c r="C165" t="s">
        <v>552</v>
      </c>
      <c r="D165" t="s">
        <v>46</v>
      </c>
      <c r="E165">
        <v>20411454</v>
      </c>
      <c r="F165" t="s">
        <v>1071</v>
      </c>
      <c r="G165" t="s">
        <v>50</v>
      </c>
      <c r="H165" s="1">
        <v>46023</v>
      </c>
      <c r="I165" t="s">
        <v>51</v>
      </c>
      <c r="J165" t="s">
        <v>52</v>
      </c>
      <c r="K165" s="2">
        <v>175</v>
      </c>
      <c r="L165">
        <v>1</v>
      </c>
      <c r="M165" s="3">
        <v>1</v>
      </c>
      <c r="N165" s="2">
        <v>175</v>
      </c>
      <c r="P165" t="s">
        <v>1060</v>
      </c>
    </row>
    <row r="166" spans="1:16" x14ac:dyDescent="0.25">
      <c r="A166" s="11" t="s">
        <v>1011</v>
      </c>
      <c r="B166" s="11" t="str">
        <f t="shared" si="2"/>
        <v>00024850573KOVR</v>
      </c>
      <c r="C166" t="s">
        <v>554</v>
      </c>
      <c r="D166" t="s">
        <v>46</v>
      </c>
      <c r="E166">
        <v>20411454</v>
      </c>
      <c r="F166" t="s">
        <v>1071</v>
      </c>
      <c r="G166" t="s">
        <v>50</v>
      </c>
      <c r="H166" s="1">
        <v>46023</v>
      </c>
      <c r="I166" t="s">
        <v>51</v>
      </c>
      <c r="J166" t="s">
        <v>52</v>
      </c>
      <c r="K166" s="2">
        <v>175</v>
      </c>
      <c r="L166">
        <v>1</v>
      </c>
      <c r="M166" s="3">
        <v>1</v>
      </c>
      <c r="N166" s="2">
        <v>175</v>
      </c>
      <c r="P166" t="s">
        <v>1060</v>
      </c>
    </row>
    <row r="167" spans="1:16" x14ac:dyDescent="0.25">
      <c r="A167" s="11" t="s">
        <v>1012</v>
      </c>
      <c r="B167" s="11" t="str">
        <f t="shared" si="2"/>
        <v>00024851311KOVR</v>
      </c>
      <c r="C167" t="s">
        <v>556</v>
      </c>
      <c r="D167" t="s">
        <v>46</v>
      </c>
      <c r="E167">
        <v>20411454</v>
      </c>
      <c r="F167" t="s">
        <v>1071</v>
      </c>
      <c r="G167" t="s">
        <v>50</v>
      </c>
      <c r="H167" s="1">
        <v>46023</v>
      </c>
      <c r="I167" t="s">
        <v>51</v>
      </c>
      <c r="J167" t="s">
        <v>52</v>
      </c>
      <c r="K167" s="2">
        <v>175</v>
      </c>
      <c r="L167">
        <v>1</v>
      </c>
      <c r="M167" s="3">
        <v>1</v>
      </c>
      <c r="N167" s="2">
        <v>175</v>
      </c>
      <c r="P167" t="s">
        <v>1060</v>
      </c>
    </row>
    <row r="168" spans="1:16" x14ac:dyDescent="0.25">
      <c r="A168" s="11" t="s">
        <v>1013</v>
      </c>
      <c r="B168" s="11" t="str">
        <f t="shared" si="2"/>
        <v>00024852223KOVR</v>
      </c>
      <c r="C168" t="s">
        <v>558</v>
      </c>
      <c r="D168" t="s">
        <v>46</v>
      </c>
      <c r="E168">
        <v>20411454</v>
      </c>
      <c r="F168" t="s">
        <v>1071</v>
      </c>
      <c r="G168" t="s">
        <v>50</v>
      </c>
      <c r="H168" s="1">
        <v>46023</v>
      </c>
      <c r="I168" t="s">
        <v>51</v>
      </c>
      <c r="J168" t="s">
        <v>52</v>
      </c>
      <c r="K168" s="2">
        <v>175</v>
      </c>
      <c r="L168">
        <v>1</v>
      </c>
      <c r="M168" s="3">
        <v>1</v>
      </c>
      <c r="N168" s="2">
        <v>175</v>
      </c>
      <c r="P168" t="s">
        <v>1060</v>
      </c>
    </row>
    <row r="169" spans="1:16" x14ac:dyDescent="0.25">
      <c r="A169" s="11" t="s">
        <v>1014</v>
      </c>
      <c r="B169" s="11" t="str">
        <f t="shared" si="2"/>
        <v>00024852233KOVR</v>
      </c>
      <c r="C169" t="s">
        <v>560</v>
      </c>
      <c r="D169" t="s">
        <v>46</v>
      </c>
      <c r="E169">
        <v>20411454</v>
      </c>
      <c r="F169" t="s">
        <v>1071</v>
      </c>
      <c r="G169" t="s">
        <v>50</v>
      </c>
      <c r="H169" s="1">
        <v>46023</v>
      </c>
      <c r="I169" t="s">
        <v>51</v>
      </c>
      <c r="J169" t="s">
        <v>52</v>
      </c>
      <c r="K169" s="2">
        <v>175</v>
      </c>
      <c r="L169">
        <v>1</v>
      </c>
      <c r="M169" s="3">
        <v>1</v>
      </c>
      <c r="N169" s="2">
        <v>175</v>
      </c>
      <c r="P169" t="s">
        <v>1060</v>
      </c>
    </row>
    <row r="170" spans="1:16" x14ac:dyDescent="0.25">
      <c r="A170" s="11" t="s">
        <v>1015</v>
      </c>
      <c r="B170" s="11" t="str">
        <f t="shared" si="2"/>
        <v>00024854538KOVR</v>
      </c>
      <c r="C170" t="s">
        <v>562</v>
      </c>
      <c r="D170" t="s">
        <v>46</v>
      </c>
      <c r="E170">
        <v>20411454</v>
      </c>
      <c r="F170" t="s">
        <v>1071</v>
      </c>
      <c r="G170" t="s">
        <v>50</v>
      </c>
      <c r="H170" s="1">
        <v>45992</v>
      </c>
      <c r="I170" t="s">
        <v>51</v>
      </c>
      <c r="J170" t="s">
        <v>52</v>
      </c>
      <c r="K170" s="2">
        <v>175</v>
      </c>
      <c r="L170">
        <v>1</v>
      </c>
      <c r="M170" s="3">
        <v>1</v>
      </c>
      <c r="N170" s="2">
        <v>175</v>
      </c>
      <c r="P170" t="s">
        <v>1060</v>
      </c>
    </row>
    <row r="171" spans="1:16" x14ac:dyDescent="0.25">
      <c r="A171" s="11" t="s">
        <v>1016</v>
      </c>
      <c r="B171" s="11" t="str">
        <f t="shared" si="2"/>
        <v>00024855174KOVR</v>
      </c>
      <c r="C171" t="s">
        <v>564</v>
      </c>
      <c r="D171" t="s">
        <v>46</v>
      </c>
      <c r="E171">
        <v>20411454</v>
      </c>
      <c r="F171" t="s">
        <v>1071</v>
      </c>
      <c r="G171" t="s">
        <v>50</v>
      </c>
      <c r="H171" s="1">
        <v>46023</v>
      </c>
      <c r="I171" t="s">
        <v>51</v>
      </c>
      <c r="J171" t="s">
        <v>52</v>
      </c>
      <c r="K171" s="2">
        <v>175</v>
      </c>
      <c r="L171">
        <v>1</v>
      </c>
      <c r="M171" s="3">
        <v>1</v>
      </c>
      <c r="N171" s="2">
        <v>175</v>
      </c>
      <c r="P171" t="s">
        <v>1060</v>
      </c>
    </row>
    <row r="172" spans="1:16" x14ac:dyDescent="0.25">
      <c r="A172" s="11" t="s">
        <v>1017</v>
      </c>
      <c r="B172" s="11" t="str">
        <f t="shared" si="2"/>
        <v>00024855255KOVR</v>
      </c>
      <c r="C172" t="s">
        <v>566</v>
      </c>
      <c r="D172" t="s">
        <v>46</v>
      </c>
      <c r="E172">
        <v>20411454</v>
      </c>
      <c r="F172" t="s">
        <v>1071</v>
      </c>
      <c r="G172" t="s">
        <v>50</v>
      </c>
      <c r="H172" s="1">
        <v>46023</v>
      </c>
      <c r="I172" t="s">
        <v>51</v>
      </c>
      <c r="J172" t="s">
        <v>52</v>
      </c>
      <c r="K172" s="2">
        <v>175</v>
      </c>
      <c r="L172">
        <v>1</v>
      </c>
      <c r="M172" s="3">
        <v>1</v>
      </c>
      <c r="N172" s="2">
        <v>175</v>
      </c>
      <c r="P172" t="s">
        <v>1060</v>
      </c>
    </row>
    <row r="173" spans="1:16" x14ac:dyDescent="0.25">
      <c r="A173" s="11" t="s">
        <v>1018</v>
      </c>
      <c r="B173" s="11" t="str">
        <f t="shared" si="2"/>
        <v>00024856642KOVR</v>
      </c>
      <c r="C173" t="s">
        <v>568</v>
      </c>
      <c r="D173" t="s">
        <v>46</v>
      </c>
      <c r="E173">
        <v>20411454</v>
      </c>
      <c r="F173" t="s">
        <v>1071</v>
      </c>
      <c r="G173" t="s">
        <v>50</v>
      </c>
      <c r="H173" s="1">
        <v>46023</v>
      </c>
      <c r="I173" t="s">
        <v>51</v>
      </c>
      <c r="J173" t="s">
        <v>52</v>
      </c>
      <c r="K173" s="2">
        <v>175</v>
      </c>
      <c r="L173">
        <v>1</v>
      </c>
      <c r="M173" s="3">
        <v>1</v>
      </c>
      <c r="N173" s="2">
        <v>175</v>
      </c>
      <c r="P173" t="s">
        <v>1060</v>
      </c>
    </row>
    <row r="174" spans="1:16" x14ac:dyDescent="0.25">
      <c r="A174" s="11" t="s">
        <v>1019</v>
      </c>
      <c r="B174" s="11" t="str">
        <f t="shared" si="2"/>
        <v>00024858265KOVR</v>
      </c>
      <c r="C174" t="s">
        <v>570</v>
      </c>
      <c r="D174" t="s">
        <v>46</v>
      </c>
      <c r="E174">
        <v>20411454</v>
      </c>
      <c r="F174" t="s">
        <v>1071</v>
      </c>
      <c r="G174" t="s">
        <v>50</v>
      </c>
      <c r="H174" s="1">
        <v>46023</v>
      </c>
      <c r="I174" t="s">
        <v>51</v>
      </c>
      <c r="J174" t="s">
        <v>52</v>
      </c>
      <c r="K174" s="2">
        <v>175</v>
      </c>
      <c r="L174">
        <v>1</v>
      </c>
      <c r="M174" s="3">
        <v>1</v>
      </c>
      <c r="N174" s="2">
        <v>175</v>
      </c>
      <c r="P174" t="s">
        <v>1060</v>
      </c>
    </row>
    <row r="175" spans="1:16" x14ac:dyDescent="0.25">
      <c r="A175" s="11" t="s">
        <v>1020</v>
      </c>
      <c r="B175" s="11" t="str">
        <f t="shared" si="2"/>
        <v>00024860266KOVR</v>
      </c>
      <c r="C175" t="s">
        <v>572</v>
      </c>
      <c r="D175" t="s">
        <v>275</v>
      </c>
      <c r="E175">
        <v>20411454</v>
      </c>
      <c r="F175" t="s">
        <v>1071</v>
      </c>
      <c r="G175" t="s">
        <v>50</v>
      </c>
      <c r="H175" s="1">
        <v>46023</v>
      </c>
      <c r="I175" t="s">
        <v>51</v>
      </c>
      <c r="J175" t="s">
        <v>52</v>
      </c>
      <c r="K175" s="2">
        <v>175</v>
      </c>
      <c r="L175">
        <v>1</v>
      </c>
      <c r="M175" s="3">
        <v>1</v>
      </c>
      <c r="N175" s="2">
        <v>175</v>
      </c>
      <c r="P175" t="s">
        <v>1060</v>
      </c>
    </row>
    <row r="176" spans="1:16" x14ac:dyDescent="0.25">
      <c r="A176" s="11" t="s">
        <v>1021</v>
      </c>
      <c r="B176" s="11" t="str">
        <f t="shared" si="2"/>
        <v>00024860538KOVR</v>
      </c>
      <c r="C176" t="s">
        <v>574</v>
      </c>
      <c r="D176" t="s">
        <v>46</v>
      </c>
      <c r="E176">
        <v>20411454</v>
      </c>
      <c r="F176" t="s">
        <v>1071</v>
      </c>
      <c r="G176" t="s">
        <v>50</v>
      </c>
      <c r="H176" s="1">
        <v>46023</v>
      </c>
      <c r="I176" t="s">
        <v>51</v>
      </c>
      <c r="J176" t="s">
        <v>52</v>
      </c>
      <c r="K176" s="2">
        <v>175</v>
      </c>
      <c r="L176">
        <v>1</v>
      </c>
      <c r="M176" s="3">
        <v>1</v>
      </c>
      <c r="N176" s="2">
        <v>175</v>
      </c>
      <c r="P176" t="s">
        <v>1060</v>
      </c>
    </row>
    <row r="177" spans="1:16" x14ac:dyDescent="0.25">
      <c r="A177" s="11" t="s">
        <v>1022</v>
      </c>
      <c r="B177" s="11" t="str">
        <f t="shared" si="2"/>
        <v>00024861668KOVR</v>
      </c>
      <c r="C177" t="s">
        <v>576</v>
      </c>
      <c r="D177" t="s">
        <v>59</v>
      </c>
      <c r="E177">
        <v>20411454</v>
      </c>
      <c r="F177" t="s">
        <v>1071</v>
      </c>
      <c r="G177" t="s">
        <v>50</v>
      </c>
      <c r="H177" s="1">
        <v>46023</v>
      </c>
      <c r="I177" t="s">
        <v>51</v>
      </c>
      <c r="J177" t="s">
        <v>52</v>
      </c>
      <c r="K177" s="2">
        <v>175</v>
      </c>
      <c r="L177">
        <v>1</v>
      </c>
      <c r="M177" s="3">
        <v>1</v>
      </c>
      <c r="N177" s="2">
        <v>175</v>
      </c>
      <c r="P177" t="s">
        <v>1060</v>
      </c>
    </row>
    <row r="178" spans="1:16" x14ac:dyDescent="0.25">
      <c r="A178" s="11" t="s">
        <v>1023</v>
      </c>
      <c r="B178" s="11" t="str">
        <f t="shared" si="2"/>
        <v>00024861722KOVR</v>
      </c>
      <c r="C178" t="s">
        <v>578</v>
      </c>
      <c r="D178" t="s">
        <v>275</v>
      </c>
      <c r="E178">
        <v>20411454</v>
      </c>
      <c r="F178" t="s">
        <v>1071</v>
      </c>
      <c r="G178" t="s">
        <v>50</v>
      </c>
      <c r="H178" s="1">
        <v>46023</v>
      </c>
      <c r="I178" t="s">
        <v>51</v>
      </c>
      <c r="J178" t="s">
        <v>52</v>
      </c>
      <c r="K178" s="2">
        <v>175</v>
      </c>
      <c r="L178">
        <v>1</v>
      </c>
      <c r="M178" s="3">
        <v>1</v>
      </c>
      <c r="N178" s="2">
        <v>175</v>
      </c>
      <c r="P178" t="s">
        <v>1060</v>
      </c>
    </row>
    <row r="179" spans="1:16" x14ac:dyDescent="0.25">
      <c r="A179" s="11" t="s">
        <v>1024</v>
      </c>
      <c r="B179" s="11" t="str">
        <f t="shared" si="2"/>
        <v>00024862089KOVR</v>
      </c>
      <c r="C179" t="s">
        <v>580</v>
      </c>
      <c r="D179" t="s">
        <v>46</v>
      </c>
      <c r="E179">
        <v>20411454</v>
      </c>
      <c r="F179" t="s">
        <v>1071</v>
      </c>
      <c r="G179" t="s">
        <v>50</v>
      </c>
      <c r="H179" s="1">
        <v>45992</v>
      </c>
      <c r="I179" t="s">
        <v>51</v>
      </c>
      <c r="J179" t="s">
        <v>52</v>
      </c>
      <c r="K179" s="2">
        <v>175</v>
      </c>
      <c r="L179">
        <v>1</v>
      </c>
      <c r="M179" s="3">
        <v>1</v>
      </c>
      <c r="N179" s="2">
        <v>175</v>
      </c>
      <c r="P179" t="s">
        <v>1060</v>
      </c>
    </row>
    <row r="180" spans="1:16" x14ac:dyDescent="0.25">
      <c r="A180" s="11" t="s">
        <v>1025</v>
      </c>
      <c r="B180" s="11" t="str">
        <f t="shared" si="2"/>
        <v>00024862095KOVR</v>
      </c>
      <c r="C180" t="s">
        <v>582</v>
      </c>
      <c r="D180" t="s">
        <v>46</v>
      </c>
      <c r="E180">
        <v>20411454</v>
      </c>
      <c r="F180" t="s">
        <v>1071</v>
      </c>
      <c r="G180" t="s">
        <v>50</v>
      </c>
      <c r="H180" s="1">
        <v>46023</v>
      </c>
      <c r="I180" t="s">
        <v>51</v>
      </c>
      <c r="J180" t="s">
        <v>52</v>
      </c>
      <c r="K180" s="2">
        <v>175</v>
      </c>
      <c r="L180">
        <v>1</v>
      </c>
      <c r="M180" s="3">
        <v>1</v>
      </c>
      <c r="N180" s="2">
        <v>175</v>
      </c>
      <c r="P180" t="s">
        <v>1060</v>
      </c>
    </row>
    <row r="181" spans="1:16" x14ac:dyDescent="0.25">
      <c r="A181" s="11" t="s">
        <v>1026</v>
      </c>
      <c r="B181" s="11" t="str">
        <f t="shared" si="2"/>
        <v>00024862288KOVR</v>
      </c>
      <c r="C181" t="s">
        <v>584</v>
      </c>
      <c r="D181" t="s">
        <v>46</v>
      </c>
      <c r="E181">
        <v>20411454</v>
      </c>
      <c r="F181" t="s">
        <v>1071</v>
      </c>
      <c r="G181" t="s">
        <v>50</v>
      </c>
      <c r="H181" s="1">
        <v>46023</v>
      </c>
      <c r="I181" t="s">
        <v>51</v>
      </c>
      <c r="J181" t="s">
        <v>52</v>
      </c>
      <c r="K181" s="2">
        <v>175</v>
      </c>
      <c r="L181">
        <v>1</v>
      </c>
      <c r="M181" s="3">
        <v>1</v>
      </c>
      <c r="N181" s="2">
        <v>175</v>
      </c>
      <c r="P181" t="s">
        <v>1060</v>
      </c>
    </row>
    <row r="182" spans="1:16" x14ac:dyDescent="0.25">
      <c r="A182" s="11" t="s">
        <v>1027</v>
      </c>
      <c r="B182" s="11" t="str">
        <f t="shared" si="2"/>
        <v>00024863190KOVR</v>
      </c>
      <c r="C182" t="s">
        <v>586</v>
      </c>
      <c r="D182" t="s">
        <v>59</v>
      </c>
      <c r="E182">
        <v>20411454</v>
      </c>
      <c r="F182" t="s">
        <v>1071</v>
      </c>
      <c r="G182" t="s">
        <v>50</v>
      </c>
      <c r="H182" s="1">
        <v>46023</v>
      </c>
      <c r="I182" t="s">
        <v>51</v>
      </c>
      <c r="J182" t="s">
        <v>52</v>
      </c>
      <c r="K182" s="2">
        <v>175</v>
      </c>
      <c r="L182">
        <v>1</v>
      </c>
      <c r="M182" s="3">
        <v>1</v>
      </c>
      <c r="N182" s="2">
        <v>175</v>
      </c>
      <c r="P182" t="s">
        <v>1060</v>
      </c>
    </row>
    <row r="183" spans="1:16" x14ac:dyDescent="0.25">
      <c r="A183" s="11" t="s">
        <v>1028</v>
      </c>
      <c r="B183" s="11" t="str">
        <f t="shared" si="2"/>
        <v>00024864113KOVR</v>
      </c>
      <c r="C183" t="s">
        <v>588</v>
      </c>
      <c r="D183" t="s">
        <v>46</v>
      </c>
      <c r="E183">
        <v>20411454</v>
      </c>
      <c r="F183" t="s">
        <v>1071</v>
      </c>
      <c r="G183" t="s">
        <v>50</v>
      </c>
      <c r="H183" s="1">
        <v>46023</v>
      </c>
      <c r="I183" t="s">
        <v>51</v>
      </c>
      <c r="J183" t="s">
        <v>52</v>
      </c>
      <c r="K183" s="2">
        <v>175</v>
      </c>
      <c r="L183">
        <v>1</v>
      </c>
      <c r="M183" s="3">
        <v>1</v>
      </c>
      <c r="N183" s="2">
        <v>175</v>
      </c>
      <c r="P183" t="s">
        <v>1060</v>
      </c>
    </row>
    <row r="184" spans="1:16" x14ac:dyDescent="0.25">
      <c r="A184" s="11" t="s">
        <v>1029</v>
      </c>
      <c r="B184" s="11" t="str">
        <f t="shared" si="2"/>
        <v>00024867322KOVR</v>
      </c>
      <c r="C184" t="s">
        <v>590</v>
      </c>
      <c r="D184" t="s">
        <v>46</v>
      </c>
      <c r="E184">
        <v>20411454</v>
      </c>
      <c r="F184" t="s">
        <v>1071</v>
      </c>
      <c r="G184" t="s">
        <v>50</v>
      </c>
      <c r="H184" s="1">
        <v>46023</v>
      </c>
      <c r="I184" t="s">
        <v>51</v>
      </c>
      <c r="J184" t="s">
        <v>52</v>
      </c>
      <c r="K184" s="2">
        <v>175</v>
      </c>
      <c r="L184">
        <v>1</v>
      </c>
      <c r="M184" s="3">
        <v>1</v>
      </c>
      <c r="N184" s="2">
        <v>175</v>
      </c>
      <c r="P184" t="s">
        <v>1060</v>
      </c>
    </row>
    <row r="185" spans="1:16" x14ac:dyDescent="0.25">
      <c r="A185" s="11" t="s">
        <v>1030</v>
      </c>
      <c r="B185" s="11" t="str">
        <f t="shared" si="2"/>
        <v>00024868285KOVR</v>
      </c>
      <c r="C185" t="s">
        <v>592</v>
      </c>
      <c r="D185" t="s">
        <v>46</v>
      </c>
      <c r="E185">
        <v>20411454</v>
      </c>
      <c r="F185" t="s">
        <v>1071</v>
      </c>
      <c r="G185" t="s">
        <v>50</v>
      </c>
      <c r="H185" s="1">
        <v>46023</v>
      </c>
      <c r="I185" t="s">
        <v>51</v>
      </c>
      <c r="J185" t="s">
        <v>52</v>
      </c>
      <c r="K185" s="2">
        <v>175</v>
      </c>
      <c r="L185">
        <v>1</v>
      </c>
      <c r="M185" s="3">
        <v>1</v>
      </c>
      <c r="N185" s="2">
        <v>175</v>
      </c>
      <c r="P185" t="s">
        <v>1060</v>
      </c>
    </row>
    <row r="186" spans="1:16" x14ac:dyDescent="0.25">
      <c r="A186" s="11" t="s">
        <v>1031</v>
      </c>
      <c r="B186" s="11" t="str">
        <f t="shared" si="2"/>
        <v>00024869293KOVR</v>
      </c>
      <c r="C186" t="s">
        <v>594</v>
      </c>
      <c r="D186" t="s">
        <v>46</v>
      </c>
      <c r="E186">
        <v>20411454</v>
      </c>
      <c r="F186" t="s">
        <v>1071</v>
      </c>
      <c r="G186" t="s">
        <v>50</v>
      </c>
      <c r="H186" s="1">
        <v>46023</v>
      </c>
      <c r="I186" t="s">
        <v>51</v>
      </c>
      <c r="J186" t="s">
        <v>52</v>
      </c>
      <c r="K186" s="2">
        <v>175</v>
      </c>
      <c r="L186">
        <v>1</v>
      </c>
      <c r="M186" s="3">
        <v>1</v>
      </c>
      <c r="N186" s="2">
        <v>175</v>
      </c>
      <c r="P186" t="s">
        <v>1060</v>
      </c>
    </row>
    <row r="187" spans="1:16" x14ac:dyDescent="0.25">
      <c r="A187" s="11" t="s">
        <v>1032</v>
      </c>
      <c r="B187" s="11" t="str">
        <f t="shared" si="2"/>
        <v>00024870055KOVR</v>
      </c>
      <c r="C187" t="s">
        <v>596</v>
      </c>
      <c r="D187" t="s">
        <v>46</v>
      </c>
      <c r="E187">
        <v>20411454</v>
      </c>
      <c r="F187" t="s">
        <v>1071</v>
      </c>
      <c r="G187" t="s">
        <v>50</v>
      </c>
      <c r="H187" s="1">
        <v>46023</v>
      </c>
      <c r="I187" t="s">
        <v>51</v>
      </c>
      <c r="J187" t="s">
        <v>52</v>
      </c>
      <c r="K187" s="2">
        <v>175</v>
      </c>
      <c r="L187">
        <v>1</v>
      </c>
      <c r="M187" s="3">
        <v>1</v>
      </c>
      <c r="N187" s="2">
        <v>175</v>
      </c>
      <c r="P187" t="s">
        <v>1060</v>
      </c>
    </row>
    <row r="188" spans="1:16" x14ac:dyDescent="0.25">
      <c r="A188" s="11" t="s">
        <v>1033</v>
      </c>
      <c r="B188" s="11" t="str">
        <f t="shared" si="2"/>
        <v>00024872183KOVR</v>
      </c>
      <c r="C188" t="s">
        <v>598</v>
      </c>
      <c r="D188" t="s">
        <v>46</v>
      </c>
      <c r="E188">
        <v>20411454</v>
      </c>
      <c r="F188" t="s">
        <v>1071</v>
      </c>
      <c r="G188" t="s">
        <v>50</v>
      </c>
      <c r="H188" s="1">
        <v>45992</v>
      </c>
      <c r="I188" t="s">
        <v>51</v>
      </c>
      <c r="J188" t="s">
        <v>52</v>
      </c>
      <c r="K188" s="2">
        <v>175</v>
      </c>
      <c r="L188">
        <v>1</v>
      </c>
      <c r="M188" s="3">
        <v>1</v>
      </c>
      <c r="N188" s="2">
        <v>175</v>
      </c>
      <c r="P188" t="s">
        <v>1060</v>
      </c>
    </row>
    <row r="189" spans="1:16" x14ac:dyDescent="0.25">
      <c r="A189" s="11" t="s">
        <v>1034</v>
      </c>
      <c r="B189" s="11" t="str">
        <f t="shared" si="2"/>
        <v>00024873552KOVR</v>
      </c>
      <c r="C189" t="s">
        <v>600</v>
      </c>
      <c r="D189" t="s">
        <v>46</v>
      </c>
      <c r="E189">
        <v>20411454</v>
      </c>
      <c r="F189" t="s">
        <v>1071</v>
      </c>
      <c r="G189" t="s">
        <v>50</v>
      </c>
      <c r="H189" s="1">
        <v>46023</v>
      </c>
      <c r="I189" t="s">
        <v>51</v>
      </c>
      <c r="J189" t="s">
        <v>52</v>
      </c>
      <c r="K189" s="2">
        <v>175</v>
      </c>
      <c r="L189">
        <v>1</v>
      </c>
      <c r="M189" s="3">
        <v>1</v>
      </c>
      <c r="N189" s="2">
        <v>175</v>
      </c>
      <c r="P189" t="s">
        <v>1060</v>
      </c>
    </row>
    <row r="190" spans="1:16" x14ac:dyDescent="0.25">
      <c r="A190" s="11" t="s">
        <v>1035</v>
      </c>
      <c r="B190" s="11" t="str">
        <f t="shared" si="2"/>
        <v>00024874733KOVR</v>
      </c>
      <c r="C190" t="s">
        <v>602</v>
      </c>
      <c r="D190" t="s">
        <v>46</v>
      </c>
      <c r="E190">
        <v>20411454</v>
      </c>
      <c r="F190" t="s">
        <v>1071</v>
      </c>
      <c r="G190" t="s">
        <v>50</v>
      </c>
      <c r="H190" s="1">
        <v>46023</v>
      </c>
      <c r="I190" t="s">
        <v>51</v>
      </c>
      <c r="J190" t="s">
        <v>52</v>
      </c>
      <c r="K190" s="2">
        <v>175</v>
      </c>
      <c r="L190">
        <v>1</v>
      </c>
      <c r="M190" s="3">
        <v>1</v>
      </c>
      <c r="N190" s="2">
        <v>175</v>
      </c>
      <c r="P190" t="s">
        <v>1060</v>
      </c>
    </row>
    <row r="191" spans="1:16" x14ac:dyDescent="0.25">
      <c r="A191" s="11" t="s">
        <v>1036</v>
      </c>
      <c r="B191" s="11" t="str">
        <f t="shared" si="2"/>
        <v>00024876715KOVR</v>
      </c>
      <c r="C191" t="s">
        <v>604</v>
      </c>
      <c r="D191" t="s">
        <v>46</v>
      </c>
      <c r="E191">
        <v>20411454</v>
      </c>
      <c r="F191" t="s">
        <v>1071</v>
      </c>
      <c r="G191" t="s">
        <v>50</v>
      </c>
      <c r="H191" s="1">
        <v>46054</v>
      </c>
      <c r="I191" t="s">
        <v>51</v>
      </c>
      <c r="J191" t="s">
        <v>52</v>
      </c>
      <c r="K191" s="2">
        <v>175</v>
      </c>
      <c r="L191">
        <v>1</v>
      </c>
      <c r="M191" s="3">
        <v>1</v>
      </c>
      <c r="N191" s="2">
        <v>175</v>
      </c>
      <c r="P191" t="s">
        <v>1060</v>
      </c>
    </row>
    <row r="192" spans="1:16" x14ac:dyDescent="0.25">
      <c r="A192" s="11" t="s">
        <v>1037</v>
      </c>
      <c r="B192" s="11" t="str">
        <f t="shared" si="2"/>
        <v>00024877830KOVR</v>
      </c>
      <c r="C192" t="s">
        <v>606</v>
      </c>
      <c r="D192" t="s">
        <v>420</v>
      </c>
      <c r="E192">
        <v>20411454</v>
      </c>
      <c r="F192" t="s">
        <v>1071</v>
      </c>
      <c r="G192" t="s">
        <v>50</v>
      </c>
      <c r="H192" s="1">
        <v>46023</v>
      </c>
      <c r="I192" t="s">
        <v>51</v>
      </c>
      <c r="J192" t="s">
        <v>52</v>
      </c>
      <c r="K192" s="2">
        <v>175</v>
      </c>
      <c r="L192">
        <v>1</v>
      </c>
      <c r="M192" s="3">
        <v>1</v>
      </c>
      <c r="N192" s="2">
        <v>175</v>
      </c>
      <c r="P192" t="s">
        <v>1060</v>
      </c>
    </row>
    <row r="193" spans="1:16" x14ac:dyDescent="0.25">
      <c r="A193" s="11" t="s">
        <v>1038</v>
      </c>
      <c r="B193" s="11" t="str">
        <f t="shared" si="2"/>
        <v>00024879617KOVR</v>
      </c>
      <c r="C193" t="s">
        <v>608</v>
      </c>
      <c r="D193" t="s">
        <v>46</v>
      </c>
      <c r="E193">
        <v>20411454</v>
      </c>
      <c r="F193" t="s">
        <v>1071</v>
      </c>
      <c r="G193" t="s">
        <v>50</v>
      </c>
      <c r="H193" s="1">
        <v>46023</v>
      </c>
      <c r="I193" t="s">
        <v>51</v>
      </c>
      <c r="J193" t="s">
        <v>52</v>
      </c>
      <c r="K193" s="2">
        <v>175</v>
      </c>
      <c r="L193">
        <v>1</v>
      </c>
      <c r="M193" s="3">
        <v>1</v>
      </c>
      <c r="N193" s="2">
        <v>175</v>
      </c>
      <c r="P193" t="s">
        <v>1060</v>
      </c>
    </row>
    <row r="194" spans="1:16" x14ac:dyDescent="0.25">
      <c r="A194" s="11" t="s">
        <v>1039</v>
      </c>
      <c r="B194" s="11" t="str">
        <f t="shared" ref="B194:B240" si="3">CONCATENATE(A194,"OVR")</f>
        <v>00024883243KOVR</v>
      </c>
      <c r="C194" t="s">
        <v>610</v>
      </c>
      <c r="D194" t="s">
        <v>46</v>
      </c>
      <c r="E194">
        <v>20411454</v>
      </c>
      <c r="F194" t="s">
        <v>1071</v>
      </c>
      <c r="G194" t="s">
        <v>50</v>
      </c>
      <c r="H194" s="1">
        <v>46023</v>
      </c>
      <c r="I194" t="s">
        <v>51</v>
      </c>
      <c r="J194" t="s">
        <v>52</v>
      </c>
      <c r="K194" s="2">
        <v>175</v>
      </c>
      <c r="L194">
        <v>1</v>
      </c>
      <c r="M194" s="3">
        <v>1</v>
      </c>
      <c r="N194" s="2">
        <v>175</v>
      </c>
      <c r="P194" t="s">
        <v>1060</v>
      </c>
    </row>
    <row r="195" spans="1:16" x14ac:dyDescent="0.25">
      <c r="A195" s="11" t="s">
        <v>1040</v>
      </c>
      <c r="B195" s="11" t="str">
        <f t="shared" si="3"/>
        <v>00024884778KOVR</v>
      </c>
      <c r="C195" t="s">
        <v>612</v>
      </c>
      <c r="D195" t="s">
        <v>613</v>
      </c>
      <c r="E195">
        <v>20411454</v>
      </c>
      <c r="F195" t="s">
        <v>1071</v>
      </c>
      <c r="G195" t="s">
        <v>50</v>
      </c>
      <c r="H195" s="1">
        <v>46054</v>
      </c>
      <c r="I195" t="s">
        <v>51</v>
      </c>
      <c r="J195" t="s">
        <v>52</v>
      </c>
      <c r="K195" s="2">
        <v>175</v>
      </c>
      <c r="L195">
        <v>1</v>
      </c>
      <c r="M195" s="3">
        <v>1</v>
      </c>
      <c r="N195" s="2">
        <v>175</v>
      </c>
      <c r="P195" t="s">
        <v>1060</v>
      </c>
    </row>
    <row r="196" spans="1:16" x14ac:dyDescent="0.25">
      <c r="A196" s="11" t="s">
        <v>1041</v>
      </c>
      <c r="B196" s="11" t="str">
        <f t="shared" si="3"/>
        <v>00024890670KOVR</v>
      </c>
      <c r="C196" t="s">
        <v>615</v>
      </c>
      <c r="D196" t="s">
        <v>46</v>
      </c>
      <c r="E196">
        <v>20411454</v>
      </c>
      <c r="F196" t="s">
        <v>1071</v>
      </c>
      <c r="G196" t="s">
        <v>50</v>
      </c>
      <c r="H196" s="1">
        <v>46023</v>
      </c>
      <c r="I196" t="s">
        <v>51</v>
      </c>
      <c r="J196" t="s">
        <v>52</v>
      </c>
      <c r="K196" s="2">
        <v>175</v>
      </c>
      <c r="L196">
        <v>1</v>
      </c>
      <c r="M196" s="3">
        <v>1</v>
      </c>
      <c r="N196" s="2">
        <v>175</v>
      </c>
      <c r="P196" t="s">
        <v>1060</v>
      </c>
    </row>
    <row r="197" spans="1:16" x14ac:dyDescent="0.25">
      <c r="A197" s="11" t="s">
        <v>1042</v>
      </c>
      <c r="B197" s="11" t="str">
        <f t="shared" si="3"/>
        <v>00024892170KOVR</v>
      </c>
      <c r="C197" t="s">
        <v>617</v>
      </c>
      <c r="D197" t="s">
        <v>71</v>
      </c>
      <c r="E197">
        <v>20411454</v>
      </c>
      <c r="F197" t="s">
        <v>1071</v>
      </c>
      <c r="G197" t="s">
        <v>50</v>
      </c>
      <c r="H197" s="1">
        <v>46023</v>
      </c>
      <c r="I197" t="s">
        <v>51</v>
      </c>
      <c r="J197" t="s">
        <v>52</v>
      </c>
      <c r="K197" s="2">
        <v>175</v>
      </c>
      <c r="L197">
        <v>1</v>
      </c>
      <c r="M197" s="3">
        <v>1</v>
      </c>
      <c r="N197" s="2">
        <v>175</v>
      </c>
      <c r="P197" t="s">
        <v>1060</v>
      </c>
    </row>
    <row r="198" spans="1:16" x14ac:dyDescent="0.25">
      <c r="A198" s="11" t="s">
        <v>1043</v>
      </c>
      <c r="B198" s="11" t="str">
        <f t="shared" si="3"/>
        <v>00024892655KOVR</v>
      </c>
      <c r="C198" t="s">
        <v>619</v>
      </c>
      <c r="D198" t="s">
        <v>46</v>
      </c>
      <c r="E198">
        <v>20411454</v>
      </c>
      <c r="F198" t="s">
        <v>1071</v>
      </c>
      <c r="G198" t="s">
        <v>50</v>
      </c>
      <c r="H198" s="1">
        <v>46023</v>
      </c>
      <c r="I198" t="s">
        <v>51</v>
      </c>
      <c r="J198" t="s">
        <v>52</v>
      </c>
      <c r="K198" s="2">
        <v>175</v>
      </c>
      <c r="L198">
        <v>1</v>
      </c>
      <c r="M198" s="3">
        <v>1</v>
      </c>
      <c r="N198" s="2">
        <v>175</v>
      </c>
      <c r="P198" t="s">
        <v>1060</v>
      </c>
    </row>
    <row r="199" spans="1:16" x14ac:dyDescent="0.25">
      <c r="A199" s="11" t="s">
        <v>1044</v>
      </c>
      <c r="B199" s="11" t="str">
        <f t="shared" si="3"/>
        <v>00024894353KOVR</v>
      </c>
      <c r="C199" t="s">
        <v>621</v>
      </c>
      <c r="D199" t="s">
        <v>46</v>
      </c>
      <c r="E199">
        <v>20411454</v>
      </c>
      <c r="F199" t="s">
        <v>1071</v>
      </c>
      <c r="G199" t="s">
        <v>50</v>
      </c>
      <c r="H199" s="1">
        <v>46023</v>
      </c>
      <c r="I199" t="s">
        <v>51</v>
      </c>
      <c r="J199" t="s">
        <v>52</v>
      </c>
      <c r="K199" s="2">
        <v>175</v>
      </c>
      <c r="L199">
        <v>1</v>
      </c>
      <c r="M199" s="3">
        <v>1</v>
      </c>
      <c r="N199" s="2">
        <v>175</v>
      </c>
      <c r="P199" t="s">
        <v>1060</v>
      </c>
    </row>
    <row r="200" spans="1:16" x14ac:dyDescent="0.25">
      <c r="A200" s="11" t="s">
        <v>1045</v>
      </c>
      <c r="B200" s="11" t="str">
        <f t="shared" si="3"/>
        <v>00024894667KOVR</v>
      </c>
      <c r="C200" t="s">
        <v>623</v>
      </c>
      <c r="D200" t="s">
        <v>46</v>
      </c>
      <c r="E200">
        <v>20411454</v>
      </c>
      <c r="F200" t="s">
        <v>1071</v>
      </c>
      <c r="G200" t="s">
        <v>50</v>
      </c>
      <c r="H200" s="1">
        <v>46023</v>
      </c>
      <c r="I200" t="s">
        <v>51</v>
      </c>
      <c r="J200" t="s">
        <v>52</v>
      </c>
      <c r="K200" s="2">
        <v>175</v>
      </c>
      <c r="L200">
        <v>1</v>
      </c>
      <c r="M200" s="3">
        <v>1</v>
      </c>
      <c r="N200" s="2">
        <v>175</v>
      </c>
      <c r="P200" t="s">
        <v>1060</v>
      </c>
    </row>
    <row r="201" spans="1:16" x14ac:dyDescent="0.25">
      <c r="A201" s="11" t="s">
        <v>1046</v>
      </c>
      <c r="B201" s="11" t="str">
        <f t="shared" si="3"/>
        <v>00024894747KOVR</v>
      </c>
      <c r="C201" t="s">
        <v>625</v>
      </c>
      <c r="D201" t="s">
        <v>46</v>
      </c>
      <c r="E201">
        <v>20411454</v>
      </c>
      <c r="F201" t="s">
        <v>1071</v>
      </c>
      <c r="G201" t="s">
        <v>50</v>
      </c>
      <c r="H201" s="1">
        <v>46023</v>
      </c>
      <c r="I201" t="s">
        <v>51</v>
      </c>
      <c r="J201" t="s">
        <v>52</v>
      </c>
      <c r="K201" s="2">
        <v>175</v>
      </c>
      <c r="L201">
        <v>1</v>
      </c>
      <c r="M201" s="3">
        <v>1</v>
      </c>
      <c r="N201" s="2">
        <v>175</v>
      </c>
      <c r="P201" t="s">
        <v>1060</v>
      </c>
    </row>
    <row r="202" spans="1:16" x14ac:dyDescent="0.25">
      <c r="A202" s="11" t="s">
        <v>1047</v>
      </c>
      <c r="B202" s="11" t="str">
        <f t="shared" si="3"/>
        <v>00024895169KOVR</v>
      </c>
      <c r="C202" t="s">
        <v>627</v>
      </c>
      <c r="D202" t="s">
        <v>46</v>
      </c>
      <c r="E202">
        <v>20411454</v>
      </c>
      <c r="F202" t="s">
        <v>1071</v>
      </c>
      <c r="G202" t="s">
        <v>50</v>
      </c>
      <c r="H202" s="1">
        <v>45992</v>
      </c>
      <c r="I202" t="s">
        <v>51</v>
      </c>
      <c r="J202" t="s">
        <v>52</v>
      </c>
      <c r="K202" s="2">
        <v>175</v>
      </c>
      <c r="L202">
        <v>1</v>
      </c>
      <c r="M202" s="3">
        <v>1</v>
      </c>
      <c r="N202" s="2">
        <v>175</v>
      </c>
      <c r="P202" t="s">
        <v>1060</v>
      </c>
    </row>
    <row r="203" spans="1:16" x14ac:dyDescent="0.25">
      <c r="A203" s="11" t="s">
        <v>819</v>
      </c>
      <c r="B203" s="11" t="str">
        <f t="shared" si="3"/>
        <v>00000781190KOVR</v>
      </c>
      <c r="C203" t="s">
        <v>63</v>
      </c>
      <c r="D203" t="s">
        <v>46</v>
      </c>
      <c r="E203">
        <v>20411454</v>
      </c>
      <c r="F203" t="s">
        <v>1071</v>
      </c>
      <c r="G203" t="s">
        <v>66</v>
      </c>
      <c r="H203" s="1">
        <v>46023</v>
      </c>
      <c r="I203" t="s">
        <v>51</v>
      </c>
      <c r="J203" t="s">
        <v>52</v>
      </c>
      <c r="K203" s="2">
        <v>108</v>
      </c>
      <c r="L203">
        <v>1</v>
      </c>
      <c r="M203" s="3">
        <v>1</v>
      </c>
      <c r="N203" s="2">
        <v>108</v>
      </c>
      <c r="P203" t="s">
        <v>1060</v>
      </c>
    </row>
    <row r="204" spans="1:16" x14ac:dyDescent="0.25">
      <c r="A204" s="11" t="s">
        <v>824</v>
      </c>
      <c r="B204" s="11" t="str">
        <f t="shared" si="3"/>
        <v>00007155782KOVR</v>
      </c>
      <c r="C204" t="s">
        <v>79</v>
      </c>
      <c r="D204" t="s">
        <v>46</v>
      </c>
      <c r="E204">
        <v>20411454</v>
      </c>
      <c r="F204" t="s">
        <v>1071</v>
      </c>
      <c r="G204" t="s">
        <v>66</v>
      </c>
      <c r="H204" s="1">
        <v>46023</v>
      </c>
      <c r="I204" t="s">
        <v>51</v>
      </c>
      <c r="J204" t="s">
        <v>52</v>
      </c>
      <c r="K204" s="2">
        <v>108</v>
      </c>
      <c r="L204">
        <v>1</v>
      </c>
      <c r="M204" s="3">
        <v>1</v>
      </c>
      <c r="N204" s="2">
        <v>108</v>
      </c>
      <c r="P204" t="s">
        <v>1060</v>
      </c>
    </row>
    <row r="205" spans="1:16" x14ac:dyDescent="0.25">
      <c r="A205" s="11" t="s">
        <v>826</v>
      </c>
      <c r="B205" s="11" t="str">
        <f t="shared" si="3"/>
        <v>00007738402KOVR</v>
      </c>
      <c r="C205" t="s">
        <v>87</v>
      </c>
      <c r="D205" t="s">
        <v>46</v>
      </c>
      <c r="E205">
        <v>20411454</v>
      </c>
      <c r="F205" t="s">
        <v>1071</v>
      </c>
      <c r="G205" t="s">
        <v>66</v>
      </c>
      <c r="H205" s="1">
        <v>46023</v>
      </c>
      <c r="I205" t="s">
        <v>51</v>
      </c>
      <c r="J205" t="s">
        <v>52</v>
      </c>
      <c r="K205" s="2">
        <v>108</v>
      </c>
      <c r="L205">
        <v>1</v>
      </c>
      <c r="M205" s="3">
        <v>1</v>
      </c>
      <c r="N205" s="2">
        <v>108</v>
      </c>
      <c r="P205" t="s">
        <v>1060</v>
      </c>
    </row>
    <row r="206" spans="1:16" x14ac:dyDescent="0.25">
      <c r="A206" s="11" t="s">
        <v>827</v>
      </c>
      <c r="B206" s="11" t="str">
        <f t="shared" si="3"/>
        <v>00007832051KOVR</v>
      </c>
      <c r="C206" t="s">
        <v>89</v>
      </c>
      <c r="D206" t="s">
        <v>46</v>
      </c>
      <c r="E206">
        <v>20411454</v>
      </c>
      <c r="F206" t="s">
        <v>1071</v>
      </c>
      <c r="G206" t="s">
        <v>66</v>
      </c>
      <c r="H206" s="1">
        <v>46023</v>
      </c>
      <c r="I206" t="s">
        <v>51</v>
      </c>
      <c r="J206" t="s">
        <v>52</v>
      </c>
      <c r="K206" s="2">
        <v>108</v>
      </c>
      <c r="L206">
        <v>1</v>
      </c>
      <c r="M206" s="3">
        <v>1</v>
      </c>
      <c r="N206" s="2">
        <v>108</v>
      </c>
      <c r="P206" t="s">
        <v>1060</v>
      </c>
    </row>
    <row r="207" spans="1:16" x14ac:dyDescent="0.25">
      <c r="A207" s="11" t="s">
        <v>828</v>
      </c>
      <c r="B207" s="11" t="str">
        <f t="shared" si="3"/>
        <v>00007851058KOVR</v>
      </c>
      <c r="C207" t="s">
        <v>91</v>
      </c>
      <c r="D207" t="s">
        <v>46</v>
      </c>
      <c r="E207">
        <v>20411454</v>
      </c>
      <c r="F207" t="s">
        <v>1071</v>
      </c>
      <c r="G207" t="s">
        <v>66</v>
      </c>
      <c r="H207" s="1">
        <v>46023</v>
      </c>
      <c r="I207" t="s">
        <v>51</v>
      </c>
      <c r="J207" t="s">
        <v>52</v>
      </c>
      <c r="K207" s="2">
        <v>108</v>
      </c>
      <c r="L207">
        <v>1</v>
      </c>
      <c r="M207" s="3">
        <v>1</v>
      </c>
      <c r="N207" s="2">
        <v>108</v>
      </c>
      <c r="P207" t="s">
        <v>1060</v>
      </c>
    </row>
    <row r="208" spans="1:16" x14ac:dyDescent="0.25">
      <c r="A208" s="11" t="s">
        <v>830</v>
      </c>
      <c r="B208" s="11" t="str">
        <f t="shared" si="3"/>
        <v>00008035060KOVR</v>
      </c>
      <c r="C208" t="s">
        <v>99</v>
      </c>
      <c r="D208" t="s">
        <v>46</v>
      </c>
      <c r="E208">
        <v>20411454</v>
      </c>
      <c r="F208" t="s">
        <v>1071</v>
      </c>
      <c r="G208" t="s">
        <v>66</v>
      </c>
      <c r="H208" s="1">
        <v>46023</v>
      </c>
      <c r="I208" t="s">
        <v>51</v>
      </c>
      <c r="J208" t="s">
        <v>52</v>
      </c>
      <c r="K208" s="2">
        <v>108</v>
      </c>
      <c r="L208">
        <v>1</v>
      </c>
      <c r="M208" s="3">
        <v>1</v>
      </c>
      <c r="N208" s="2">
        <v>108</v>
      </c>
      <c r="P208" t="s">
        <v>1060</v>
      </c>
    </row>
    <row r="209" spans="1:16" x14ac:dyDescent="0.25">
      <c r="A209" s="11" t="s">
        <v>831</v>
      </c>
      <c r="B209" s="11" t="str">
        <f t="shared" si="3"/>
        <v>00009083562KOVR</v>
      </c>
      <c r="C209" t="s">
        <v>103</v>
      </c>
      <c r="D209" t="s">
        <v>46</v>
      </c>
      <c r="E209">
        <v>20411454</v>
      </c>
      <c r="F209" t="s">
        <v>1071</v>
      </c>
      <c r="G209" t="s">
        <v>66</v>
      </c>
      <c r="H209" s="1">
        <v>46023</v>
      </c>
      <c r="I209" t="s">
        <v>51</v>
      </c>
      <c r="J209" t="s">
        <v>52</v>
      </c>
      <c r="K209" s="2">
        <v>108</v>
      </c>
      <c r="L209">
        <v>1</v>
      </c>
      <c r="M209" s="3">
        <v>1</v>
      </c>
      <c r="N209" s="2">
        <v>108</v>
      </c>
      <c r="P209" t="s">
        <v>1060</v>
      </c>
    </row>
    <row r="210" spans="1:16" x14ac:dyDescent="0.25">
      <c r="A210" s="11" t="s">
        <v>833</v>
      </c>
      <c r="B210" s="11" t="str">
        <f t="shared" si="3"/>
        <v>00010413776KOVR</v>
      </c>
      <c r="C210" t="s">
        <v>111</v>
      </c>
      <c r="D210" t="s">
        <v>46</v>
      </c>
      <c r="E210">
        <v>20411454</v>
      </c>
      <c r="F210" t="s">
        <v>1071</v>
      </c>
      <c r="G210" t="s">
        <v>66</v>
      </c>
      <c r="H210" s="1">
        <v>46023</v>
      </c>
      <c r="I210" t="s">
        <v>51</v>
      </c>
      <c r="J210" t="s">
        <v>52</v>
      </c>
      <c r="K210" s="2">
        <v>108</v>
      </c>
      <c r="L210">
        <v>1</v>
      </c>
      <c r="M210" s="3">
        <v>1</v>
      </c>
      <c r="N210" s="2">
        <v>108</v>
      </c>
      <c r="P210" t="s">
        <v>1060</v>
      </c>
    </row>
    <row r="211" spans="1:16" x14ac:dyDescent="0.25">
      <c r="A211" s="11" t="s">
        <v>835</v>
      </c>
      <c r="B211" s="11" t="str">
        <f t="shared" si="3"/>
        <v>00011877765KOVR</v>
      </c>
      <c r="C211" t="s">
        <v>117</v>
      </c>
      <c r="D211" t="s">
        <v>46</v>
      </c>
      <c r="E211">
        <v>20411454</v>
      </c>
      <c r="F211" t="s">
        <v>1071</v>
      </c>
      <c r="G211" t="s">
        <v>66</v>
      </c>
      <c r="H211" s="1">
        <v>46023</v>
      </c>
      <c r="I211" t="s">
        <v>51</v>
      </c>
      <c r="J211" t="s">
        <v>52</v>
      </c>
      <c r="K211" s="2">
        <v>108</v>
      </c>
      <c r="L211">
        <v>1</v>
      </c>
      <c r="M211" s="3">
        <v>1</v>
      </c>
      <c r="N211" s="2">
        <v>108</v>
      </c>
      <c r="P211" t="s">
        <v>1060</v>
      </c>
    </row>
    <row r="212" spans="1:16" x14ac:dyDescent="0.25">
      <c r="A212" s="11" t="s">
        <v>836</v>
      </c>
      <c r="B212" s="11" t="str">
        <f t="shared" si="3"/>
        <v>00011956148KOVR</v>
      </c>
      <c r="C212" t="s">
        <v>119</v>
      </c>
      <c r="D212" t="s">
        <v>46</v>
      </c>
      <c r="E212">
        <v>20411454</v>
      </c>
      <c r="F212" t="s">
        <v>1071</v>
      </c>
      <c r="G212" t="s">
        <v>66</v>
      </c>
      <c r="H212" s="1">
        <v>46023</v>
      </c>
      <c r="I212" t="s">
        <v>51</v>
      </c>
      <c r="J212" t="s">
        <v>52</v>
      </c>
      <c r="K212" s="2">
        <v>108</v>
      </c>
      <c r="L212">
        <v>1</v>
      </c>
      <c r="M212" s="3">
        <v>1</v>
      </c>
      <c r="N212" s="2">
        <v>108</v>
      </c>
      <c r="P212" t="s">
        <v>1060</v>
      </c>
    </row>
    <row r="213" spans="1:16" x14ac:dyDescent="0.25">
      <c r="A213" s="11" t="s">
        <v>837</v>
      </c>
      <c r="B213" s="11" t="str">
        <f t="shared" si="3"/>
        <v>00011962409KOVR</v>
      </c>
      <c r="C213" t="s">
        <v>121</v>
      </c>
      <c r="D213" t="s">
        <v>46</v>
      </c>
      <c r="E213">
        <v>20411454</v>
      </c>
      <c r="F213" t="s">
        <v>1071</v>
      </c>
      <c r="G213" t="s">
        <v>66</v>
      </c>
      <c r="H213" s="1">
        <v>46023</v>
      </c>
      <c r="I213" t="s">
        <v>51</v>
      </c>
      <c r="J213" t="s">
        <v>52</v>
      </c>
      <c r="K213" s="2">
        <v>108</v>
      </c>
      <c r="L213">
        <v>1</v>
      </c>
      <c r="M213" s="3">
        <v>1</v>
      </c>
      <c r="N213" s="2">
        <v>108</v>
      </c>
      <c r="P213" t="s">
        <v>1060</v>
      </c>
    </row>
    <row r="214" spans="1:16" x14ac:dyDescent="0.25">
      <c r="A214" s="11" t="s">
        <v>838</v>
      </c>
      <c r="B214" s="11" t="str">
        <f t="shared" si="3"/>
        <v>00012702701KOVR</v>
      </c>
      <c r="C214" t="s">
        <v>123</v>
      </c>
      <c r="D214" t="s">
        <v>46</v>
      </c>
      <c r="E214">
        <v>20411454</v>
      </c>
      <c r="F214" t="s">
        <v>1071</v>
      </c>
      <c r="G214" t="s">
        <v>66</v>
      </c>
      <c r="H214" s="1">
        <v>46023</v>
      </c>
      <c r="I214" t="s">
        <v>51</v>
      </c>
      <c r="J214" t="s">
        <v>52</v>
      </c>
      <c r="K214" s="2">
        <v>108</v>
      </c>
      <c r="L214">
        <v>1</v>
      </c>
      <c r="M214" s="3">
        <v>1</v>
      </c>
      <c r="N214" s="2">
        <v>108</v>
      </c>
      <c r="P214" t="s">
        <v>1060</v>
      </c>
    </row>
    <row r="215" spans="1:16" x14ac:dyDescent="0.25">
      <c r="A215" s="11" t="s">
        <v>842</v>
      </c>
      <c r="B215" s="11" t="str">
        <f t="shared" si="3"/>
        <v>00013573633KOVR</v>
      </c>
      <c r="C215" t="s">
        <v>134</v>
      </c>
      <c r="D215" t="s">
        <v>46</v>
      </c>
      <c r="E215">
        <v>20411454</v>
      </c>
      <c r="F215" t="s">
        <v>1071</v>
      </c>
      <c r="G215" t="s">
        <v>66</v>
      </c>
      <c r="H215" s="1">
        <v>46023</v>
      </c>
      <c r="I215" t="s">
        <v>51</v>
      </c>
      <c r="J215" t="s">
        <v>52</v>
      </c>
      <c r="K215" s="2">
        <v>108</v>
      </c>
      <c r="L215">
        <v>1</v>
      </c>
      <c r="M215" s="3">
        <v>1</v>
      </c>
      <c r="N215" s="2">
        <v>108</v>
      </c>
      <c r="P215" t="s">
        <v>1060</v>
      </c>
    </row>
    <row r="216" spans="1:16" x14ac:dyDescent="0.25">
      <c r="A216" s="11" t="s">
        <v>845</v>
      </c>
      <c r="B216" s="11" t="str">
        <f t="shared" si="3"/>
        <v>00013990336KOVR</v>
      </c>
      <c r="C216" t="s">
        <v>143</v>
      </c>
      <c r="D216" t="s">
        <v>46</v>
      </c>
      <c r="E216">
        <v>20411454</v>
      </c>
      <c r="F216" t="s">
        <v>1071</v>
      </c>
      <c r="G216" t="s">
        <v>66</v>
      </c>
      <c r="H216" s="1">
        <v>46023</v>
      </c>
      <c r="I216" t="s">
        <v>51</v>
      </c>
      <c r="J216" t="s">
        <v>52</v>
      </c>
      <c r="K216" s="2">
        <v>108</v>
      </c>
      <c r="L216">
        <v>1</v>
      </c>
      <c r="M216" s="3">
        <v>1</v>
      </c>
      <c r="N216" s="2">
        <v>108</v>
      </c>
      <c r="P216" t="s">
        <v>1060</v>
      </c>
    </row>
    <row r="217" spans="1:16" x14ac:dyDescent="0.25">
      <c r="A217" s="11" t="s">
        <v>846</v>
      </c>
      <c r="B217" s="11" t="str">
        <f t="shared" si="3"/>
        <v>00015214337KOVR</v>
      </c>
      <c r="C217" t="s">
        <v>147</v>
      </c>
      <c r="D217" t="s">
        <v>59</v>
      </c>
      <c r="E217">
        <v>20411454</v>
      </c>
      <c r="F217" t="s">
        <v>1071</v>
      </c>
      <c r="G217" t="s">
        <v>66</v>
      </c>
      <c r="H217" s="1">
        <v>46023</v>
      </c>
      <c r="I217" t="s">
        <v>51</v>
      </c>
      <c r="J217" t="s">
        <v>52</v>
      </c>
      <c r="K217" s="2">
        <v>108</v>
      </c>
      <c r="L217">
        <v>1</v>
      </c>
      <c r="M217" s="3">
        <v>1</v>
      </c>
      <c r="N217" s="2">
        <v>108</v>
      </c>
      <c r="P217" t="s">
        <v>1060</v>
      </c>
    </row>
    <row r="218" spans="1:16" x14ac:dyDescent="0.25">
      <c r="A218" s="11" t="s">
        <v>847</v>
      </c>
      <c r="B218" s="11" t="str">
        <f t="shared" si="3"/>
        <v>00015770477KOVR</v>
      </c>
      <c r="C218" t="s">
        <v>149</v>
      </c>
      <c r="D218" t="s">
        <v>46</v>
      </c>
      <c r="E218">
        <v>20411454</v>
      </c>
      <c r="F218" t="s">
        <v>1071</v>
      </c>
      <c r="G218" t="s">
        <v>66</v>
      </c>
      <c r="H218" s="1">
        <v>46023</v>
      </c>
      <c r="I218" t="s">
        <v>51</v>
      </c>
      <c r="J218" t="s">
        <v>52</v>
      </c>
      <c r="K218" s="2">
        <v>108</v>
      </c>
      <c r="L218">
        <v>1</v>
      </c>
      <c r="M218" s="3">
        <v>1</v>
      </c>
      <c r="N218" s="2">
        <v>108</v>
      </c>
      <c r="P218" t="s">
        <v>1060</v>
      </c>
    </row>
    <row r="219" spans="1:16" x14ac:dyDescent="0.25">
      <c r="A219" s="11" t="s">
        <v>849</v>
      </c>
      <c r="B219" s="11" t="str">
        <f t="shared" si="3"/>
        <v>00016102805KOVR</v>
      </c>
      <c r="C219" t="s">
        <v>157</v>
      </c>
      <c r="D219" t="s">
        <v>46</v>
      </c>
      <c r="E219">
        <v>20411454</v>
      </c>
      <c r="F219" t="s">
        <v>1071</v>
      </c>
      <c r="G219" t="s">
        <v>66</v>
      </c>
      <c r="H219" s="1">
        <v>46023</v>
      </c>
      <c r="I219" t="s">
        <v>51</v>
      </c>
      <c r="J219" t="s">
        <v>52</v>
      </c>
      <c r="K219" s="2">
        <v>108</v>
      </c>
      <c r="L219">
        <v>1</v>
      </c>
      <c r="M219" s="3">
        <v>1</v>
      </c>
      <c r="N219" s="2">
        <v>108</v>
      </c>
      <c r="P219" t="s">
        <v>1060</v>
      </c>
    </row>
    <row r="220" spans="1:16" x14ac:dyDescent="0.25">
      <c r="A220" s="11" t="s">
        <v>853</v>
      </c>
      <c r="B220" s="11" t="str">
        <f t="shared" si="3"/>
        <v>00018214315KOVR</v>
      </c>
      <c r="C220" t="s">
        <v>169</v>
      </c>
      <c r="D220" t="s">
        <v>46</v>
      </c>
      <c r="E220">
        <v>20411454</v>
      </c>
      <c r="F220" t="s">
        <v>1071</v>
      </c>
      <c r="G220" t="s">
        <v>66</v>
      </c>
      <c r="H220" s="1">
        <v>46023</v>
      </c>
      <c r="I220" t="s">
        <v>51</v>
      </c>
      <c r="J220" t="s">
        <v>52</v>
      </c>
      <c r="K220" s="2">
        <v>108</v>
      </c>
      <c r="L220">
        <v>1</v>
      </c>
      <c r="M220" s="3">
        <v>1</v>
      </c>
      <c r="N220" s="2">
        <v>108</v>
      </c>
      <c r="P220" t="s">
        <v>1060</v>
      </c>
    </row>
    <row r="221" spans="1:16" x14ac:dyDescent="0.25">
      <c r="A221" s="11" t="s">
        <v>858</v>
      </c>
      <c r="B221" s="11" t="str">
        <f t="shared" si="3"/>
        <v>00019292757KOVR</v>
      </c>
      <c r="C221" t="s">
        <v>179</v>
      </c>
      <c r="D221" t="s">
        <v>46</v>
      </c>
      <c r="E221">
        <v>20411454</v>
      </c>
      <c r="F221" t="s">
        <v>1071</v>
      </c>
      <c r="G221" t="s">
        <v>66</v>
      </c>
      <c r="H221" s="1">
        <v>46023</v>
      </c>
      <c r="I221" t="s">
        <v>51</v>
      </c>
      <c r="J221" t="s">
        <v>52</v>
      </c>
      <c r="K221" s="2">
        <v>108</v>
      </c>
      <c r="L221">
        <v>1</v>
      </c>
      <c r="M221" s="3">
        <v>1</v>
      </c>
      <c r="N221" s="2">
        <v>108</v>
      </c>
      <c r="P221" t="s">
        <v>1060</v>
      </c>
    </row>
    <row r="222" spans="1:16" x14ac:dyDescent="0.25">
      <c r="A222" s="11" t="s">
        <v>859</v>
      </c>
      <c r="B222" s="11" t="str">
        <f t="shared" si="3"/>
        <v>00019321108KOVR</v>
      </c>
      <c r="C222" t="s">
        <v>181</v>
      </c>
      <c r="D222" t="s">
        <v>46</v>
      </c>
      <c r="E222">
        <v>20411454</v>
      </c>
      <c r="F222" t="s">
        <v>1071</v>
      </c>
      <c r="G222" t="s">
        <v>66</v>
      </c>
      <c r="H222" s="1">
        <v>46023</v>
      </c>
      <c r="I222" t="s">
        <v>51</v>
      </c>
      <c r="J222" t="s">
        <v>52</v>
      </c>
      <c r="K222" s="2">
        <v>108</v>
      </c>
      <c r="L222">
        <v>1</v>
      </c>
      <c r="M222" s="3">
        <v>1</v>
      </c>
      <c r="N222" s="2">
        <v>108</v>
      </c>
      <c r="P222" t="s">
        <v>1060</v>
      </c>
    </row>
    <row r="223" spans="1:16" x14ac:dyDescent="0.25">
      <c r="A223" s="11" t="s">
        <v>860</v>
      </c>
      <c r="B223" s="11" t="str">
        <f t="shared" si="3"/>
        <v>00019793768KOVR</v>
      </c>
      <c r="C223" t="s">
        <v>183</v>
      </c>
      <c r="D223" t="s">
        <v>46</v>
      </c>
      <c r="E223">
        <v>20411454</v>
      </c>
      <c r="F223" t="s">
        <v>1071</v>
      </c>
      <c r="G223" t="s">
        <v>66</v>
      </c>
      <c r="H223" s="1">
        <v>46023</v>
      </c>
      <c r="I223" t="s">
        <v>51</v>
      </c>
      <c r="J223" t="s">
        <v>52</v>
      </c>
      <c r="K223" s="2">
        <v>108</v>
      </c>
      <c r="L223">
        <v>1</v>
      </c>
      <c r="M223" s="3">
        <v>1</v>
      </c>
      <c r="N223" s="2">
        <v>108</v>
      </c>
      <c r="P223" t="s">
        <v>1060</v>
      </c>
    </row>
    <row r="224" spans="1:16" x14ac:dyDescent="0.25">
      <c r="A224" s="11" t="s">
        <v>861</v>
      </c>
      <c r="B224" s="11" t="str">
        <f t="shared" si="3"/>
        <v>00019967666KOVR</v>
      </c>
      <c r="C224" t="s">
        <v>185</v>
      </c>
      <c r="D224" t="s">
        <v>46</v>
      </c>
      <c r="E224">
        <v>20411454</v>
      </c>
      <c r="F224" t="s">
        <v>1071</v>
      </c>
      <c r="G224" t="s">
        <v>66</v>
      </c>
      <c r="H224" s="1">
        <v>46023</v>
      </c>
      <c r="I224" t="s">
        <v>51</v>
      </c>
      <c r="J224" t="s">
        <v>52</v>
      </c>
      <c r="K224" s="2">
        <v>108</v>
      </c>
      <c r="L224">
        <v>1</v>
      </c>
      <c r="M224" s="3">
        <v>1</v>
      </c>
      <c r="N224" s="2">
        <v>108</v>
      </c>
      <c r="P224" t="s">
        <v>1060</v>
      </c>
    </row>
    <row r="225" spans="1:16" x14ac:dyDescent="0.25">
      <c r="A225" s="11" t="s">
        <v>863</v>
      </c>
      <c r="B225" s="11" t="str">
        <f t="shared" si="3"/>
        <v>00020137453KOVR</v>
      </c>
      <c r="C225" t="s">
        <v>191</v>
      </c>
      <c r="D225" t="s">
        <v>192</v>
      </c>
      <c r="E225">
        <v>20411454</v>
      </c>
      <c r="F225" t="s">
        <v>1071</v>
      </c>
      <c r="G225" t="s">
        <v>66</v>
      </c>
      <c r="H225" s="1">
        <v>46023</v>
      </c>
      <c r="I225" t="s">
        <v>51</v>
      </c>
      <c r="J225" t="s">
        <v>52</v>
      </c>
      <c r="K225" s="2">
        <v>108</v>
      </c>
      <c r="L225">
        <v>1</v>
      </c>
      <c r="M225" s="3">
        <v>1</v>
      </c>
      <c r="N225" s="2">
        <v>108</v>
      </c>
      <c r="P225" t="s">
        <v>1060</v>
      </c>
    </row>
    <row r="226" spans="1:16" x14ac:dyDescent="0.25">
      <c r="A226" s="11" t="s">
        <v>868</v>
      </c>
      <c r="B226" s="11" t="str">
        <f t="shared" si="3"/>
        <v>00021516553KOVR</v>
      </c>
      <c r="C226" t="s">
        <v>209</v>
      </c>
      <c r="D226" t="s">
        <v>46</v>
      </c>
      <c r="E226">
        <v>20411454</v>
      </c>
      <c r="F226" t="s">
        <v>1071</v>
      </c>
      <c r="G226" t="s">
        <v>66</v>
      </c>
      <c r="H226" s="1">
        <v>46023</v>
      </c>
      <c r="I226" t="s">
        <v>51</v>
      </c>
      <c r="J226" t="s">
        <v>52</v>
      </c>
      <c r="K226" s="2">
        <v>108</v>
      </c>
      <c r="L226">
        <v>1</v>
      </c>
      <c r="M226" s="3">
        <v>1</v>
      </c>
      <c r="N226" s="2">
        <v>108</v>
      </c>
      <c r="P226" t="s">
        <v>1060</v>
      </c>
    </row>
    <row r="227" spans="1:16" x14ac:dyDescent="0.25">
      <c r="A227" s="11" t="s">
        <v>870</v>
      </c>
      <c r="B227" s="11" t="str">
        <f t="shared" si="3"/>
        <v>00021710751KOVR</v>
      </c>
      <c r="C227" t="s">
        <v>214</v>
      </c>
      <c r="D227" t="s">
        <v>46</v>
      </c>
      <c r="E227">
        <v>20411454</v>
      </c>
      <c r="F227" t="s">
        <v>1071</v>
      </c>
      <c r="G227" t="s">
        <v>66</v>
      </c>
      <c r="H227" s="1">
        <v>46023</v>
      </c>
      <c r="I227" t="s">
        <v>51</v>
      </c>
      <c r="J227" t="s">
        <v>52</v>
      </c>
      <c r="K227" s="2">
        <v>108</v>
      </c>
      <c r="L227">
        <v>1</v>
      </c>
      <c r="M227" s="3">
        <v>1</v>
      </c>
      <c r="N227" s="2">
        <v>108</v>
      </c>
      <c r="P227" t="s">
        <v>1060</v>
      </c>
    </row>
    <row r="228" spans="1:16" x14ac:dyDescent="0.25">
      <c r="A228" s="11" t="s">
        <v>871</v>
      </c>
      <c r="B228" s="11" t="str">
        <f t="shared" si="3"/>
        <v>00021862985KOVR</v>
      </c>
      <c r="C228" t="s">
        <v>218</v>
      </c>
      <c r="D228" t="s">
        <v>219</v>
      </c>
      <c r="E228">
        <v>20411454</v>
      </c>
      <c r="F228" t="s">
        <v>1071</v>
      </c>
      <c r="G228" t="s">
        <v>66</v>
      </c>
      <c r="H228" s="1">
        <v>46023</v>
      </c>
      <c r="I228" t="s">
        <v>51</v>
      </c>
      <c r="J228" t="s">
        <v>52</v>
      </c>
      <c r="K228" s="2">
        <v>108</v>
      </c>
      <c r="L228">
        <v>1</v>
      </c>
      <c r="M228" s="3">
        <v>1</v>
      </c>
      <c r="N228" s="2">
        <v>108</v>
      </c>
      <c r="P228" t="s">
        <v>1060</v>
      </c>
    </row>
    <row r="229" spans="1:16" x14ac:dyDescent="0.25">
      <c r="A229" s="11" t="s">
        <v>873</v>
      </c>
      <c r="B229" s="11" t="str">
        <f t="shared" si="3"/>
        <v>00022200575KOVR</v>
      </c>
      <c r="C229" t="s">
        <v>225</v>
      </c>
      <c r="D229" t="s">
        <v>46</v>
      </c>
      <c r="E229">
        <v>20411454</v>
      </c>
      <c r="F229" t="s">
        <v>1071</v>
      </c>
      <c r="G229" t="s">
        <v>66</v>
      </c>
      <c r="H229" s="1">
        <v>46023</v>
      </c>
      <c r="I229" t="s">
        <v>51</v>
      </c>
      <c r="J229" t="s">
        <v>52</v>
      </c>
      <c r="K229" s="2">
        <v>108</v>
      </c>
      <c r="L229">
        <v>1</v>
      </c>
      <c r="M229" s="3">
        <v>1</v>
      </c>
      <c r="N229" s="2">
        <v>108</v>
      </c>
      <c r="P229" t="s">
        <v>1060</v>
      </c>
    </row>
    <row r="230" spans="1:16" x14ac:dyDescent="0.25">
      <c r="A230" s="11" t="s">
        <v>874</v>
      </c>
      <c r="B230" s="11" t="str">
        <f t="shared" si="3"/>
        <v>00022203375KOVR</v>
      </c>
      <c r="C230" t="s">
        <v>227</v>
      </c>
      <c r="D230" t="s">
        <v>46</v>
      </c>
      <c r="E230">
        <v>20411454</v>
      </c>
      <c r="F230" t="s">
        <v>1071</v>
      </c>
      <c r="G230" t="s">
        <v>66</v>
      </c>
      <c r="H230" s="1">
        <v>46023</v>
      </c>
      <c r="I230" t="s">
        <v>51</v>
      </c>
      <c r="J230" t="s">
        <v>52</v>
      </c>
      <c r="K230" s="2">
        <v>108</v>
      </c>
      <c r="L230">
        <v>1</v>
      </c>
      <c r="M230" s="3">
        <v>1</v>
      </c>
      <c r="N230" s="2">
        <v>108</v>
      </c>
      <c r="P230" t="s">
        <v>1060</v>
      </c>
    </row>
    <row r="231" spans="1:16" x14ac:dyDescent="0.25">
      <c r="A231" s="11" t="s">
        <v>875</v>
      </c>
      <c r="B231" s="11" t="str">
        <f t="shared" si="3"/>
        <v>00022442515KOVR</v>
      </c>
      <c r="C231" t="s">
        <v>229</v>
      </c>
      <c r="D231" t="s">
        <v>46</v>
      </c>
      <c r="E231">
        <v>20411454</v>
      </c>
      <c r="F231" t="s">
        <v>1071</v>
      </c>
      <c r="G231" t="s">
        <v>66</v>
      </c>
      <c r="H231" s="1">
        <v>46023</v>
      </c>
      <c r="I231" t="s">
        <v>51</v>
      </c>
      <c r="J231" t="s">
        <v>52</v>
      </c>
      <c r="K231" s="2">
        <v>108</v>
      </c>
      <c r="L231">
        <v>1</v>
      </c>
      <c r="M231" s="3">
        <v>1</v>
      </c>
      <c r="N231" s="2">
        <v>108</v>
      </c>
      <c r="P231" t="s">
        <v>1060</v>
      </c>
    </row>
    <row r="232" spans="1:16" x14ac:dyDescent="0.25">
      <c r="A232" s="11" t="s">
        <v>876</v>
      </c>
      <c r="B232" s="11" t="str">
        <f t="shared" si="3"/>
        <v>00022662380KOVR</v>
      </c>
      <c r="C232" t="s">
        <v>231</v>
      </c>
      <c r="D232" t="s">
        <v>46</v>
      </c>
      <c r="E232">
        <v>20411454</v>
      </c>
      <c r="F232" t="s">
        <v>1071</v>
      </c>
      <c r="G232" t="s">
        <v>66</v>
      </c>
      <c r="H232" s="1">
        <v>46023</v>
      </c>
      <c r="I232" t="s">
        <v>51</v>
      </c>
      <c r="J232" t="s">
        <v>52</v>
      </c>
      <c r="K232" s="2">
        <v>108</v>
      </c>
      <c r="L232">
        <v>1</v>
      </c>
      <c r="M232" s="3">
        <v>1</v>
      </c>
      <c r="N232" s="2">
        <v>108</v>
      </c>
      <c r="P232" t="s">
        <v>1060</v>
      </c>
    </row>
    <row r="233" spans="1:16" x14ac:dyDescent="0.25">
      <c r="A233" s="11" t="s">
        <v>877</v>
      </c>
      <c r="B233" s="11" t="str">
        <f t="shared" si="3"/>
        <v>00022985423KOVR</v>
      </c>
      <c r="C233" t="s">
        <v>233</v>
      </c>
      <c r="D233" t="s">
        <v>46</v>
      </c>
      <c r="E233">
        <v>20411454</v>
      </c>
      <c r="F233" t="s">
        <v>1071</v>
      </c>
      <c r="G233" t="s">
        <v>66</v>
      </c>
      <c r="H233" s="1">
        <v>46023</v>
      </c>
      <c r="I233" t="s">
        <v>51</v>
      </c>
      <c r="J233" t="s">
        <v>52</v>
      </c>
      <c r="K233" s="2">
        <v>108</v>
      </c>
      <c r="L233">
        <v>1</v>
      </c>
      <c r="M233" s="3">
        <v>1</v>
      </c>
      <c r="N233" s="2">
        <v>108</v>
      </c>
      <c r="P233" t="s">
        <v>1060</v>
      </c>
    </row>
    <row r="234" spans="1:16" x14ac:dyDescent="0.25">
      <c r="A234" s="11" t="s">
        <v>878</v>
      </c>
      <c r="B234" s="11" t="str">
        <f t="shared" si="3"/>
        <v>00022988358KOVR</v>
      </c>
      <c r="C234" t="s">
        <v>235</v>
      </c>
      <c r="D234" t="s">
        <v>46</v>
      </c>
      <c r="E234">
        <v>20411454</v>
      </c>
      <c r="F234" t="s">
        <v>1071</v>
      </c>
      <c r="G234" t="s">
        <v>66</v>
      </c>
      <c r="H234" s="1">
        <v>46023</v>
      </c>
      <c r="I234" t="s">
        <v>51</v>
      </c>
      <c r="J234" t="s">
        <v>52</v>
      </c>
      <c r="K234" s="2">
        <v>108</v>
      </c>
      <c r="L234">
        <v>1</v>
      </c>
      <c r="M234" s="3">
        <v>1</v>
      </c>
      <c r="N234" s="2">
        <v>108</v>
      </c>
      <c r="P234" t="s">
        <v>1060</v>
      </c>
    </row>
    <row r="235" spans="1:16" x14ac:dyDescent="0.25">
      <c r="A235" s="11" t="s">
        <v>879</v>
      </c>
      <c r="B235" s="11" t="str">
        <f t="shared" si="3"/>
        <v>00023072316KOVR</v>
      </c>
      <c r="C235" t="s">
        <v>237</v>
      </c>
      <c r="D235" t="s">
        <v>46</v>
      </c>
      <c r="E235">
        <v>20411454</v>
      </c>
      <c r="F235" t="s">
        <v>1071</v>
      </c>
      <c r="G235" t="s">
        <v>66</v>
      </c>
      <c r="H235" s="1">
        <v>46023</v>
      </c>
      <c r="I235" t="s">
        <v>51</v>
      </c>
      <c r="J235" t="s">
        <v>52</v>
      </c>
      <c r="K235" s="2">
        <v>108</v>
      </c>
      <c r="L235">
        <v>1</v>
      </c>
      <c r="M235" s="3">
        <v>1</v>
      </c>
      <c r="N235" s="2">
        <v>108</v>
      </c>
      <c r="P235" t="s">
        <v>1060</v>
      </c>
    </row>
    <row r="236" spans="1:16" x14ac:dyDescent="0.25">
      <c r="A236" s="11" t="s">
        <v>881</v>
      </c>
      <c r="B236" s="11" t="str">
        <f t="shared" si="3"/>
        <v>00023114640KOVR</v>
      </c>
      <c r="C236" t="s">
        <v>241</v>
      </c>
      <c r="D236" t="s">
        <v>46</v>
      </c>
      <c r="E236">
        <v>20411454</v>
      </c>
      <c r="F236" t="s">
        <v>1071</v>
      </c>
      <c r="G236" t="s">
        <v>66</v>
      </c>
      <c r="H236" s="1">
        <v>46023</v>
      </c>
      <c r="I236" t="s">
        <v>51</v>
      </c>
      <c r="J236" t="s">
        <v>52</v>
      </c>
      <c r="K236" s="2">
        <v>108</v>
      </c>
      <c r="L236">
        <v>1</v>
      </c>
      <c r="M236" s="3">
        <v>1</v>
      </c>
      <c r="N236" s="2">
        <v>108</v>
      </c>
      <c r="P236" t="s">
        <v>1060</v>
      </c>
    </row>
    <row r="237" spans="1:16" x14ac:dyDescent="0.25">
      <c r="A237" s="11" t="s">
        <v>882</v>
      </c>
      <c r="B237" s="11" t="str">
        <f t="shared" si="3"/>
        <v>00023120301KOVR</v>
      </c>
      <c r="C237" t="s">
        <v>243</v>
      </c>
      <c r="D237" t="s">
        <v>46</v>
      </c>
      <c r="E237">
        <v>20411454</v>
      </c>
      <c r="F237" t="s">
        <v>1071</v>
      </c>
      <c r="G237" t="s">
        <v>66</v>
      </c>
      <c r="H237" s="1">
        <v>46023</v>
      </c>
      <c r="I237" t="s">
        <v>51</v>
      </c>
      <c r="J237" t="s">
        <v>52</v>
      </c>
      <c r="K237" s="2">
        <v>108</v>
      </c>
      <c r="L237">
        <v>1</v>
      </c>
      <c r="M237" s="3">
        <v>1</v>
      </c>
      <c r="N237" s="2">
        <v>108</v>
      </c>
      <c r="P237" t="s">
        <v>1060</v>
      </c>
    </row>
    <row r="238" spans="1:16" x14ac:dyDescent="0.25">
      <c r="A238" s="11" t="s">
        <v>883</v>
      </c>
      <c r="B238" s="11" t="str">
        <f t="shared" si="3"/>
        <v>00023122146KOVR</v>
      </c>
      <c r="C238" t="s">
        <v>245</v>
      </c>
      <c r="D238" t="s">
        <v>46</v>
      </c>
      <c r="E238">
        <v>20411454</v>
      </c>
      <c r="F238" t="s">
        <v>1071</v>
      </c>
      <c r="G238" t="s">
        <v>66</v>
      </c>
      <c r="H238" s="1">
        <v>46023</v>
      </c>
      <c r="I238" t="s">
        <v>51</v>
      </c>
      <c r="J238" t="s">
        <v>52</v>
      </c>
      <c r="K238" s="2">
        <v>108</v>
      </c>
      <c r="L238">
        <v>1</v>
      </c>
      <c r="M238" s="3">
        <v>1</v>
      </c>
      <c r="N238" s="2">
        <v>108</v>
      </c>
      <c r="P238" t="s">
        <v>1060</v>
      </c>
    </row>
    <row r="239" spans="1:16" x14ac:dyDescent="0.25">
      <c r="A239" s="11" t="s">
        <v>884</v>
      </c>
      <c r="B239" s="11" t="str">
        <f t="shared" si="3"/>
        <v>00023482902KOVR</v>
      </c>
      <c r="C239" t="s">
        <v>247</v>
      </c>
      <c r="D239" t="s">
        <v>46</v>
      </c>
      <c r="E239">
        <v>20411454</v>
      </c>
      <c r="F239" t="s">
        <v>1071</v>
      </c>
      <c r="G239" t="s">
        <v>66</v>
      </c>
      <c r="H239" s="1">
        <v>46023</v>
      </c>
      <c r="I239" t="s">
        <v>51</v>
      </c>
      <c r="J239" t="s">
        <v>52</v>
      </c>
      <c r="K239" s="2">
        <v>108</v>
      </c>
      <c r="L239">
        <v>1</v>
      </c>
      <c r="M239" s="3">
        <v>1</v>
      </c>
      <c r="N239" s="2">
        <v>108</v>
      </c>
      <c r="P239" t="s">
        <v>1060</v>
      </c>
    </row>
    <row r="240" spans="1:16" x14ac:dyDescent="0.25">
      <c r="A240" s="11" t="s">
        <v>885</v>
      </c>
      <c r="B240" s="11" t="str">
        <f t="shared" si="3"/>
        <v>00023765948KOVR</v>
      </c>
      <c r="C240" t="s">
        <v>250</v>
      </c>
      <c r="D240" t="s">
        <v>192</v>
      </c>
      <c r="E240">
        <v>20411454</v>
      </c>
      <c r="F240" t="s">
        <v>1071</v>
      </c>
      <c r="G240" t="s">
        <v>66</v>
      </c>
      <c r="H240" s="1">
        <v>46023</v>
      </c>
      <c r="I240" t="s">
        <v>51</v>
      </c>
      <c r="J240" t="s">
        <v>52</v>
      </c>
      <c r="K240" s="2">
        <v>108</v>
      </c>
      <c r="L240">
        <v>1</v>
      </c>
      <c r="M240" s="3">
        <v>1</v>
      </c>
      <c r="N240" s="2">
        <v>108</v>
      </c>
      <c r="P240" t="s">
        <v>1060</v>
      </c>
    </row>
    <row r="241" spans="1:39" s="4" customFormat="1" x14ac:dyDescent="0.25">
      <c r="A241" s="12" t="s">
        <v>907</v>
      </c>
      <c r="B241" s="12" t="s">
        <v>907</v>
      </c>
      <c r="C241" s="4" t="s">
        <v>314</v>
      </c>
      <c r="D241" s="4" t="s">
        <v>46</v>
      </c>
      <c r="E241" s="4">
        <v>16912722</v>
      </c>
      <c r="F241" s="4" t="s">
        <v>316</v>
      </c>
      <c r="G241" s="4" t="s">
        <v>257</v>
      </c>
      <c r="H241" s="5">
        <v>46023</v>
      </c>
      <c r="I241" s="4" t="s">
        <v>51</v>
      </c>
      <c r="J241" s="4" t="s">
        <v>52</v>
      </c>
      <c r="K241" s="6">
        <v>15</v>
      </c>
      <c r="L241" s="4">
        <v>1</v>
      </c>
      <c r="M241" s="7">
        <v>1</v>
      </c>
      <c r="N241" s="6">
        <v>15</v>
      </c>
      <c r="P241" s="4" t="s">
        <v>1061</v>
      </c>
    </row>
    <row r="242" spans="1:39" s="4" customFormat="1" x14ac:dyDescent="0.25">
      <c r="A242" s="12" t="s">
        <v>917</v>
      </c>
      <c r="B242" s="12" t="s">
        <v>917</v>
      </c>
      <c r="C242" s="4" t="s">
        <v>338</v>
      </c>
      <c r="D242" s="4" t="s">
        <v>339</v>
      </c>
      <c r="E242" s="4">
        <v>17425766</v>
      </c>
      <c r="F242" s="4" t="s">
        <v>194</v>
      </c>
      <c r="G242" s="4" t="s">
        <v>257</v>
      </c>
      <c r="H242" s="5">
        <v>46023</v>
      </c>
      <c r="I242" s="4" t="s">
        <v>51</v>
      </c>
      <c r="J242" s="4" t="s">
        <v>52</v>
      </c>
      <c r="K242" s="6">
        <v>15</v>
      </c>
      <c r="L242" s="4">
        <v>1</v>
      </c>
      <c r="M242" s="7">
        <v>1</v>
      </c>
      <c r="N242" s="6">
        <v>15</v>
      </c>
      <c r="P242" s="4" t="s">
        <v>1061</v>
      </c>
    </row>
    <row r="243" spans="1:39" s="4" customFormat="1" x14ac:dyDescent="0.25">
      <c r="A243" s="12" t="s">
        <v>934</v>
      </c>
      <c r="B243" s="12" t="s">
        <v>934</v>
      </c>
      <c r="C243" s="4" t="s">
        <v>379</v>
      </c>
      <c r="D243" s="4" t="s">
        <v>380</v>
      </c>
      <c r="E243" s="4">
        <v>18598357</v>
      </c>
      <c r="F243" s="4" t="s">
        <v>382</v>
      </c>
      <c r="G243" s="4" t="s">
        <v>257</v>
      </c>
      <c r="H243" s="5">
        <v>46023</v>
      </c>
      <c r="I243" s="4" t="s">
        <v>51</v>
      </c>
      <c r="J243" s="4" t="s">
        <v>52</v>
      </c>
      <c r="K243" s="6">
        <v>15</v>
      </c>
      <c r="L243" s="4">
        <v>1</v>
      </c>
      <c r="M243" s="7">
        <v>1</v>
      </c>
      <c r="N243" s="6">
        <v>15</v>
      </c>
      <c r="P243" s="4" t="s">
        <v>1061</v>
      </c>
    </row>
    <row r="244" spans="1:39" s="4" customFormat="1" x14ac:dyDescent="0.25">
      <c r="A244" s="12" t="s">
        <v>887</v>
      </c>
      <c r="B244" s="12" t="s">
        <v>887</v>
      </c>
      <c r="C244" s="4" t="s">
        <v>254</v>
      </c>
      <c r="D244" s="4" t="s">
        <v>130</v>
      </c>
      <c r="E244" s="4">
        <v>16865615</v>
      </c>
      <c r="F244" s="4" t="s">
        <v>256</v>
      </c>
      <c r="G244" s="4" t="s">
        <v>257</v>
      </c>
      <c r="H244" s="5">
        <v>45992</v>
      </c>
      <c r="I244" s="4" t="s">
        <v>51</v>
      </c>
      <c r="J244" s="4" t="s">
        <v>52</v>
      </c>
      <c r="K244" s="6">
        <v>15</v>
      </c>
      <c r="L244" s="4">
        <v>1</v>
      </c>
      <c r="M244" s="7">
        <v>1</v>
      </c>
      <c r="N244" s="6">
        <v>15</v>
      </c>
      <c r="P244" s="4" t="s">
        <v>1061</v>
      </c>
    </row>
    <row r="245" spans="1:39" s="4" customFormat="1" x14ac:dyDescent="0.25">
      <c r="A245" s="12" t="s">
        <v>887</v>
      </c>
      <c r="B245" s="12" t="s">
        <v>887</v>
      </c>
      <c r="C245" s="4" t="s">
        <v>254</v>
      </c>
      <c r="D245" s="4" t="s">
        <v>130</v>
      </c>
      <c r="E245" s="4">
        <v>16865615</v>
      </c>
      <c r="F245" s="4" t="s">
        <v>256</v>
      </c>
      <c r="G245" s="4" t="s">
        <v>257</v>
      </c>
      <c r="H245" s="5">
        <v>46023</v>
      </c>
      <c r="I245" s="4" t="s">
        <v>51</v>
      </c>
      <c r="J245" s="4" t="s">
        <v>52</v>
      </c>
      <c r="N245" s="4">
        <v>-15</v>
      </c>
      <c r="P245" s="4" t="s">
        <v>1061</v>
      </c>
    </row>
    <row r="246" spans="1:39" s="4" customFormat="1" x14ac:dyDescent="0.25">
      <c r="A246" s="12" t="s">
        <v>931</v>
      </c>
      <c r="B246" s="12" t="s">
        <v>931</v>
      </c>
      <c r="C246" s="4" t="s">
        <v>370</v>
      </c>
      <c r="D246" s="4" t="s">
        <v>371</v>
      </c>
      <c r="E246" s="4">
        <v>17859093</v>
      </c>
      <c r="F246" s="4" t="s">
        <v>373</v>
      </c>
      <c r="G246" s="4" t="s">
        <v>257</v>
      </c>
      <c r="H246" s="5">
        <v>45992</v>
      </c>
      <c r="I246" s="4" t="s">
        <v>51</v>
      </c>
      <c r="J246" s="4" t="s">
        <v>52</v>
      </c>
      <c r="K246" s="6">
        <v>15</v>
      </c>
      <c r="L246" s="4">
        <v>1</v>
      </c>
      <c r="M246" s="7">
        <v>1</v>
      </c>
      <c r="N246" s="6">
        <v>15</v>
      </c>
      <c r="P246" s="4" t="s">
        <v>1061</v>
      </c>
    </row>
    <row r="247" spans="1:39" s="4" customFormat="1" x14ac:dyDescent="0.25">
      <c r="A247" s="12" t="s">
        <v>1074</v>
      </c>
      <c r="B247" s="12" t="s">
        <v>1074</v>
      </c>
      <c r="C247" s="4" t="s">
        <v>793</v>
      </c>
      <c r="D247" s="4" t="s">
        <v>401</v>
      </c>
      <c r="E247" s="4">
        <v>16212649</v>
      </c>
      <c r="F247" s="4" t="s">
        <v>403</v>
      </c>
      <c r="G247" s="4" t="s">
        <v>257</v>
      </c>
      <c r="H247" s="5">
        <v>46023</v>
      </c>
      <c r="I247" s="4" t="s">
        <v>51</v>
      </c>
      <c r="J247" s="4" t="s">
        <v>52</v>
      </c>
      <c r="N247" s="4">
        <v>-15</v>
      </c>
      <c r="P247" s="4" t="s">
        <v>1061</v>
      </c>
    </row>
    <row r="248" spans="1:39" s="4" customFormat="1" x14ac:dyDescent="0.25">
      <c r="A248" s="12" t="s">
        <v>896</v>
      </c>
      <c r="B248" s="12" t="s">
        <v>896</v>
      </c>
      <c r="C248" s="4" t="s">
        <v>279</v>
      </c>
      <c r="D248" s="4" t="s">
        <v>207</v>
      </c>
      <c r="E248" s="4">
        <v>17886092</v>
      </c>
      <c r="F248" s="4" t="s">
        <v>281</v>
      </c>
      <c r="G248" s="4" t="s">
        <v>257</v>
      </c>
      <c r="H248" s="5">
        <v>46023</v>
      </c>
      <c r="I248" s="4" t="s">
        <v>51</v>
      </c>
      <c r="J248" s="4" t="s">
        <v>52</v>
      </c>
      <c r="K248" s="6">
        <v>15</v>
      </c>
      <c r="L248" s="4">
        <v>1</v>
      </c>
      <c r="M248" s="7">
        <v>1</v>
      </c>
      <c r="N248" s="6">
        <v>15</v>
      </c>
      <c r="P248" s="4" t="s">
        <v>1061</v>
      </c>
    </row>
    <row r="249" spans="1:39" s="4" customFormat="1" x14ac:dyDescent="0.25">
      <c r="A249" s="12">
        <v>950654690</v>
      </c>
      <c r="B249" s="13" t="str">
        <f>CONCATENATE(A249,98)</f>
        <v>95065469098</v>
      </c>
      <c r="C249" s="4" t="s">
        <v>442</v>
      </c>
      <c r="D249" s="4" t="s">
        <v>275</v>
      </c>
      <c r="E249" s="4">
        <v>20724564</v>
      </c>
      <c r="F249" s="4" t="s">
        <v>633</v>
      </c>
      <c r="G249" s="4" t="s">
        <v>810</v>
      </c>
      <c r="H249" s="5">
        <v>45962</v>
      </c>
      <c r="I249" s="4" t="s">
        <v>51</v>
      </c>
      <c r="J249" s="4" t="s">
        <v>52</v>
      </c>
      <c r="N249" s="4">
        <v>-626</v>
      </c>
      <c r="P249" s="4" t="s">
        <v>1066</v>
      </c>
      <c r="Q249" s="4" t="s">
        <v>1070</v>
      </c>
    </row>
    <row r="250" spans="1:39" s="4" customFormat="1" x14ac:dyDescent="0.25">
      <c r="A250" s="12">
        <v>976643581</v>
      </c>
      <c r="B250" s="13" t="str">
        <f t="shared" ref="B250:B256" si="4">CONCATENATE(A250,1)</f>
        <v>9766435811</v>
      </c>
      <c r="C250" s="4" t="s">
        <v>761</v>
      </c>
      <c r="D250" s="4" t="s">
        <v>207</v>
      </c>
      <c r="E250" s="4" t="s">
        <v>1073</v>
      </c>
      <c r="F250" s="4" t="s">
        <v>651</v>
      </c>
      <c r="G250" s="4" t="s">
        <v>762</v>
      </c>
      <c r="H250" s="5">
        <v>45992</v>
      </c>
      <c r="I250" s="4" t="s">
        <v>51</v>
      </c>
      <c r="J250" s="4" t="s">
        <v>52</v>
      </c>
      <c r="K250" s="6">
        <v>29.42</v>
      </c>
      <c r="L250" s="4">
        <v>1</v>
      </c>
      <c r="M250" s="7">
        <v>1</v>
      </c>
      <c r="N250" s="6">
        <v>29.42</v>
      </c>
      <c r="O250" s="4" t="s">
        <v>644</v>
      </c>
      <c r="P250" s="4" t="s">
        <v>1064</v>
      </c>
      <c r="Q250" s="4" t="s">
        <v>1067</v>
      </c>
    </row>
    <row r="251" spans="1:39" s="4" customFormat="1" x14ac:dyDescent="0.25">
      <c r="A251" s="12" t="s">
        <v>1051</v>
      </c>
      <c r="B251" s="13" t="str">
        <f t="shared" si="4"/>
        <v>A018954801</v>
      </c>
      <c r="C251" s="4" t="s">
        <v>777</v>
      </c>
      <c r="D251" s="4" t="s">
        <v>275</v>
      </c>
      <c r="E251" s="4">
        <v>16849453</v>
      </c>
      <c r="F251" s="4" t="s">
        <v>277</v>
      </c>
      <c r="G251" s="4" t="s">
        <v>778</v>
      </c>
      <c r="H251" s="5">
        <v>46023</v>
      </c>
      <c r="I251" s="4" t="s">
        <v>51</v>
      </c>
      <c r="J251" s="4" t="s">
        <v>52</v>
      </c>
      <c r="K251" s="6">
        <v>31.02</v>
      </c>
      <c r="L251" s="4">
        <v>9</v>
      </c>
      <c r="M251" s="7">
        <v>1</v>
      </c>
      <c r="N251" s="6">
        <v>279.18</v>
      </c>
      <c r="P251" s="4" t="s">
        <v>778</v>
      </c>
    </row>
    <row r="252" spans="1:39" s="4" customFormat="1" x14ac:dyDescent="0.25">
      <c r="A252" s="12" t="s">
        <v>1052</v>
      </c>
      <c r="B252" s="13" t="str">
        <f t="shared" si="4"/>
        <v>A043658071</v>
      </c>
      <c r="C252" s="4" t="s">
        <v>780</v>
      </c>
      <c r="D252" s="4" t="s">
        <v>275</v>
      </c>
      <c r="E252" s="4">
        <v>16849453</v>
      </c>
      <c r="F252" s="4" t="s">
        <v>277</v>
      </c>
      <c r="G252" s="4" t="s">
        <v>778</v>
      </c>
      <c r="H252" s="5">
        <v>46023</v>
      </c>
      <c r="I252" s="4" t="s">
        <v>51</v>
      </c>
      <c r="J252" s="4" t="s">
        <v>52</v>
      </c>
      <c r="K252" s="6">
        <v>31.02</v>
      </c>
      <c r="L252" s="4">
        <v>9</v>
      </c>
      <c r="M252" s="7">
        <v>1</v>
      </c>
      <c r="N252" s="6">
        <v>279.18</v>
      </c>
      <c r="P252" s="4" t="s">
        <v>778</v>
      </c>
    </row>
    <row r="253" spans="1:39" s="8" customFormat="1" x14ac:dyDescent="0.25">
      <c r="A253" s="12" t="s">
        <v>1053</v>
      </c>
      <c r="B253" s="13" t="str">
        <f t="shared" si="4"/>
        <v>A043661481</v>
      </c>
      <c r="C253" s="4" t="s">
        <v>782</v>
      </c>
      <c r="D253" s="4" t="s">
        <v>275</v>
      </c>
      <c r="E253" s="4">
        <v>16849453</v>
      </c>
      <c r="F253" s="4" t="s">
        <v>277</v>
      </c>
      <c r="G253" s="4" t="s">
        <v>778</v>
      </c>
      <c r="H253" s="5">
        <v>46054</v>
      </c>
      <c r="I253" s="4" t="s">
        <v>51</v>
      </c>
      <c r="J253" s="4" t="s">
        <v>52</v>
      </c>
      <c r="K253" s="6">
        <v>31.02</v>
      </c>
      <c r="L253" s="4">
        <v>9</v>
      </c>
      <c r="M253" s="7">
        <v>1</v>
      </c>
      <c r="N253" s="6">
        <v>279.18</v>
      </c>
      <c r="O253" s="4"/>
      <c r="P253" s="4" t="s">
        <v>778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spans="1:39" x14ac:dyDescent="0.25">
      <c r="A254" s="12" t="s">
        <v>1056</v>
      </c>
      <c r="B254" s="13" t="str">
        <f t="shared" si="4"/>
        <v>A043685611</v>
      </c>
      <c r="C254" s="4" t="s">
        <v>790</v>
      </c>
      <c r="D254" s="4" t="s">
        <v>275</v>
      </c>
      <c r="E254" s="4">
        <v>20724564</v>
      </c>
      <c r="F254" s="4" t="s">
        <v>633</v>
      </c>
      <c r="G254" s="4" t="s">
        <v>778</v>
      </c>
      <c r="H254" s="5">
        <v>45992</v>
      </c>
      <c r="I254" s="4" t="s">
        <v>51</v>
      </c>
      <c r="J254" s="4" t="s">
        <v>52</v>
      </c>
      <c r="K254" s="6">
        <v>31.02</v>
      </c>
      <c r="L254" s="4">
        <v>9</v>
      </c>
      <c r="M254" s="7">
        <v>1</v>
      </c>
      <c r="N254" s="6">
        <v>279.18</v>
      </c>
      <c r="O254" s="4"/>
      <c r="P254" s="4" t="s">
        <v>778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spans="1:39" x14ac:dyDescent="0.25">
      <c r="A255" s="12">
        <v>131758294</v>
      </c>
      <c r="B255" s="13" t="str">
        <f t="shared" si="4"/>
        <v>1317582941</v>
      </c>
      <c r="C255" s="4" t="s">
        <v>799</v>
      </c>
      <c r="D255" s="4" t="s">
        <v>59</v>
      </c>
      <c r="E255" s="4">
        <v>18142208</v>
      </c>
      <c r="F255" s="4" t="s">
        <v>61</v>
      </c>
      <c r="G255" s="4" t="s">
        <v>800</v>
      </c>
      <c r="H255" s="5">
        <v>45931</v>
      </c>
      <c r="I255" s="4" t="s">
        <v>51</v>
      </c>
      <c r="J255" s="4" t="s">
        <v>52</v>
      </c>
      <c r="K255" s="4"/>
      <c r="L255" s="4"/>
      <c r="M255" s="4"/>
      <c r="N255" s="4">
        <v>-156.5</v>
      </c>
      <c r="O255" s="4"/>
      <c r="P255" s="4" t="s">
        <v>1065</v>
      </c>
      <c r="Q255" s="4" t="s">
        <v>1068</v>
      </c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spans="1:39" x14ac:dyDescent="0.25">
      <c r="A256" s="12">
        <v>902277837</v>
      </c>
      <c r="B256" s="13" t="str">
        <f t="shared" si="4"/>
        <v>9022778371</v>
      </c>
      <c r="C256" s="4" t="s">
        <v>804</v>
      </c>
      <c r="D256" s="4" t="s">
        <v>192</v>
      </c>
      <c r="E256" s="4">
        <v>2158366</v>
      </c>
      <c r="F256" s="4" t="s">
        <v>115</v>
      </c>
      <c r="G256" s="4" t="s">
        <v>805</v>
      </c>
      <c r="H256" s="5">
        <v>45931</v>
      </c>
      <c r="I256" s="4" t="s">
        <v>51</v>
      </c>
      <c r="J256" s="4" t="s">
        <v>52</v>
      </c>
      <c r="K256" s="4"/>
      <c r="L256" s="4"/>
      <c r="M256" s="4"/>
      <c r="N256" s="4">
        <v>-78.25</v>
      </c>
      <c r="O256" s="4"/>
      <c r="P256" s="4" t="s">
        <v>1065</v>
      </c>
      <c r="Q256" s="4" t="s">
        <v>1069</v>
      </c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spans="1:16" x14ac:dyDescent="0.25">
      <c r="A257" s="11">
        <v>134698577</v>
      </c>
      <c r="B257" s="11" t="str">
        <f t="shared" ref="B257:B300" si="5">CONCATENATE(A257,"OVR")</f>
        <v>134698577OVR</v>
      </c>
      <c r="C257" t="s">
        <v>667</v>
      </c>
      <c r="D257" t="s">
        <v>380</v>
      </c>
      <c r="E257">
        <v>20411454</v>
      </c>
      <c r="F257" t="s">
        <v>1071</v>
      </c>
      <c r="G257" t="s">
        <v>670</v>
      </c>
      <c r="H257" s="1">
        <v>46023</v>
      </c>
      <c r="I257" t="s">
        <v>51</v>
      </c>
      <c r="J257" t="s">
        <v>52</v>
      </c>
      <c r="K257" s="2">
        <v>175</v>
      </c>
      <c r="L257">
        <v>1</v>
      </c>
      <c r="M257" s="3">
        <v>1</v>
      </c>
      <c r="N257" s="2">
        <v>175</v>
      </c>
      <c r="P257" t="s">
        <v>1063</v>
      </c>
    </row>
    <row r="258" spans="1:16" x14ac:dyDescent="0.25">
      <c r="A258" s="11">
        <v>902156178</v>
      </c>
      <c r="B258" s="11" t="str">
        <f t="shared" si="5"/>
        <v>902156178OVR</v>
      </c>
      <c r="C258" t="s">
        <v>689</v>
      </c>
      <c r="D258" t="s">
        <v>46</v>
      </c>
      <c r="E258">
        <v>20411454</v>
      </c>
      <c r="F258" t="s">
        <v>1071</v>
      </c>
      <c r="G258" t="s">
        <v>670</v>
      </c>
      <c r="H258" s="1">
        <v>46023</v>
      </c>
      <c r="I258" t="s">
        <v>51</v>
      </c>
      <c r="J258" t="s">
        <v>52</v>
      </c>
      <c r="K258" s="2">
        <v>175</v>
      </c>
      <c r="L258">
        <v>1</v>
      </c>
      <c r="M258" s="3">
        <v>1</v>
      </c>
      <c r="N258" s="2">
        <v>175</v>
      </c>
      <c r="P258" t="s">
        <v>1063</v>
      </c>
    </row>
    <row r="259" spans="1:16" x14ac:dyDescent="0.25">
      <c r="A259" s="11">
        <v>905009866</v>
      </c>
      <c r="B259" s="11" t="str">
        <f t="shared" si="5"/>
        <v>905009866OVR</v>
      </c>
      <c r="C259" t="s">
        <v>691</v>
      </c>
      <c r="D259" t="s">
        <v>71</v>
      </c>
      <c r="E259">
        <v>20411454</v>
      </c>
      <c r="F259" t="s">
        <v>1071</v>
      </c>
      <c r="G259" t="s">
        <v>670</v>
      </c>
      <c r="H259" s="1">
        <v>46023</v>
      </c>
      <c r="I259" t="s">
        <v>51</v>
      </c>
      <c r="J259" t="s">
        <v>52</v>
      </c>
      <c r="K259" s="2">
        <v>175</v>
      </c>
      <c r="L259">
        <v>1</v>
      </c>
      <c r="M259" s="3">
        <v>1</v>
      </c>
      <c r="N259" s="2">
        <v>175</v>
      </c>
      <c r="P259" t="s">
        <v>1063</v>
      </c>
    </row>
    <row r="260" spans="1:16" x14ac:dyDescent="0.25">
      <c r="A260" s="11">
        <v>905161845</v>
      </c>
      <c r="B260" s="11" t="str">
        <f t="shared" si="5"/>
        <v>905161845OVR</v>
      </c>
      <c r="C260" t="s">
        <v>693</v>
      </c>
      <c r="D260" t="s">
        <v>59</v>
      </c>
      <c r="E260">
        <v>20411454</v>
      </c>
      <c r="F260" t="s">
        <v>1071</v>
      </c>
      <c r="G260" t="s">
        <v>670</v>
      </c>
      <c r="H260" s="1">
        <v>46023</v>
      </c>
      <c r="I260" t="s">
        <v>51</v>
      </c>
      <c r="J260" t="s">
        <v>52</v>
      </c>
      <c r="K260" s="2">
        <v>175</v>
      </c>
      <c r="L260">
        <v>1</v>
      </c>
      <c r="M260" s="3">
        <v>1</v>
      </c>
      <c r="N260" s="2">
        <v>175</v>
      </c>
      <c r="P260" t="s">
        <v>1063</v>
      </c>
    </row>
    <row r="261" spans="1:16" x14ac:dyDescent="0.25">
      <c r="A261" s="11">
        <v>914374312</v>
      </c>
      <c r="B261" s="11" t="str">
        <f t="shared" si="5"/>
        <v>914374312OVR</v>
      </c>
      <c r="C261" t="s">
        <v>703</v>
      </c>
      <c r="D261" t="s">
        <v>371</v>
      </c>
      <c r="E261">
        <v>20411454</v>
      </c>
      <c r="F261" t="s">
        <v>1071</v>
      </c>
      <c r="G261" t="s">
        <v>670</v>
      </c>
      <c r="H261" s="1">
        <v>46023</v>
      </c>
      <c r="I261" t="s">
        <v>51</v>
      </c>
      <c r="J261" t="s">
        <v>52</v>
      </c>
      <c r="K261" s="2">
        <v>175</v>
      </c>
      <c r="L261">
        <v>1</v>
      </c>
      <c r="M261" s="3">
        <v>1</v>
      </c>
      <c r="N261" s="2">
        <v>175</v>
      </c>
      <c r="P261" t="s">
        <v>1063</v>
      </c>
    </row>
    <row r="262" spans="1:16" x14ac:dyDescent="0.25">
      <c r="A262" s="11">
        <v>915280693</v>
      </c>
      <c r="B262" s="11" t="str">
        <f t="shared" si="5"/>
        <v>915280693OVR</v>
      </c>
      <c r="C262" t="s">
        <v>707</v>
      </c>
      <c r="D262" t="s">
        <v>708</v>
      </c>
      <c r="E262">
        <v>20411454</v>
      </c>
      <c r="F262" t="s">
        <v>1071</v>
      </c>
      <c r="G262" t="s">
        <v>670</v>
      </c>
      <c r="H262" s="1">
        <v>46023</v>
      </c>
      <c r="I262" t="s">
        <v>51</v>
      </c>
      <c r="J262" t="s">
        <v>52</v>
      </c>
      <c r="K262" s="2">
        <v>175</v>
      </c>
      <c r="L262">
        <v>1</v>
      </c>
      <c r="M262" s="3">
        <v>1</v>
      </c>
      <c r="N262" s="2">
        <v>175</v>
      </c>
      <c r="P262" t="s">
        <v>1063</v>
      </c>
    </row>
    <row r="263" spans="1:16" x14ac:dyDescent="0.25">
      <c r="A263" s="11">
        <v>917471347</v>
      </c>
      <c r="B263" s="11" t="str">
        <f t="shared" si="5"/>
        <v>917471347OVR</v>
      </c>
      <c r="C263" t="s">
        <v>710</v>
      </c>
      <c r="D263" t="s">
        <v>708</v>
      </c>
      <c r="E263">
        <v>20411454</v>
      </c>
      <c r="F263" t="s">
        <v>1071</v>
      </c>
      <c r="G263" t="s">
        <v>670</v>
      </c>
      <c r="H263" s="1">
        <v>46023</v>
      </c>
      <c r="I263" t="s">
        <v>51</v>
      </c>
      <c r="J263" t="s">
        <v>52</v>
      </c>
      <c r="K263" s="2">
        <v>175</v>
      </c>
      <c r="L263">
        <v>1</v>
      </c>
      <c r="M263" s="3">
        <v>1</v>
      </c>
      <c r="N263" s="2">
        <v>175</v>
      </c>
      <c r="P263" t="s">
        <v>1063</v>
      </c>
    </row>
    <row r="264" spans="1:16" x14ac:dyDescent="0.25">
      <c r="A264" s="11">
        <v>919848005</v>
      </c>
      <c r="B264" s="11" t="str">
        <f t="shared" si="5"/>
        <v>919848005OVR</v>
      </c>
      <c r="C264" t="s">
        <v>712</v>
      </c>
      <c r="D264" t="s">
        <v>46</v>
      </c>
      <c r="E264">
        <v>20411454</v>
      </c>
      <c r="F264" t="s">
        <v>1071</v>
      </c>
      <c r="G264" t="s">
        <v>670</v>
      </c>
      <c r="H264" s="1">
        <v>46023</v>
      </c>
      <c r="I264" t="s">
        <v>51</v>
      </c>
      <c r="J264" t="s">
        <v>52</v>
      </c>
      <c r="K264" s="2">
        <v>175</v>
      </c>
      <c r="L264">
        <v>1</v>
      </c>
      <c r="M264" s="3">
        <v>1</v>
      </c>
      <c r="N264" s="2">
        <v>175</v>
      </c>
      <c r="P264" t="s">
        <v>1063</v>
      </c>
    </row>
    <row r="265" spans="1:16" x14ac:dyDescent="0.25">
      <c r="A265" s="11">
        <v>921081744</v>
      </c>
      <c r="B265" s="11" t="str">
        <f t="shared" si="5"/>
        <v>921081744OVR</v>
      </c>
      <c r="C265" t="s">
        <v>718</v>
      </c>
      <c r="D265" t="s">
        <v>59</v>
      </c>
      <c r="E265">
        <v>20411454</v>
      </c>
      <c r="F265" t="s">
        <v>1071</v>
      </c>
      <c r="G265" t="s">
        <v>670</v>
      </c>
      <c r="H265" s="1">
        <v>46023</v>
      </c>
      <c r="I265" t="s">
        <v>51</v>
      </c>
      <c r="J265" t="s">
        <v>52</v>
      </c>
      <c r="K265" s="2">
        <v>175</v>
      </c>
      <c r="L265">
        <v>1</v>
      </c>
      <c r="M265" s="3">
        <v>1</v>
      </c>
      <c r="N265" s="2">
        <v>175</v>
      </c>
      <c r="P265" t="s">
        <v>1063</v>
      </c>
    </row>
    <row r="266" spans="1:16" x14ac:dyDescent="0.25">
      <c r="A266" s="11">
        <v>924573691</v>
      </c>
      <c r="B266" s="11" t="str">
        <f t="shared" si="5"/>
        <v>924573691OVR</v>
      </c>
      <c r="C266" t="s">
        <v>720</v>
      </c>
      <c r="D266" t="s">
        <v>46</v>
      </c>
      <c r="E266">
        <v>20411454</v>
      </c>
      <c r="F266" t="s">
        <v>1071</v>
      </c>
      <c r="G266" t="s">
        <v>670</v>
      </c>
      <c r="H266" s="1">
        <v>46023</v>
      </c>
      <c r="I266" t="s">
        <v>51</v>
      </c>
      <c r="J266" t="s">
        <v>52</v>
      </c>
      <c r="K266" s="2">
        <v>175</v>
      </c>
      <c r="L266">
        <v>1</v>
      </c>
      <c r="M266" s="3">
        <v>1</v>
      </c>
      <c r="N266" s="2">
        <v>175</v>
      </c>
      <c r="P266" t="s">
        <v>1063</v>
      </c>
    </row>
    <row r="267" spans="1:16" x14ac:dyDescent="0.25">
      <c r="A267" s="11">
        <v>926739998</v>
      </c>
      <c r="B267" s="11" t="str">
        <f t="shared" si="5"/>
        <v>926739998OVR</v>
      </c>
      <c r="C267" t="s">
        <v>722</v>
      </c>
      <c r="D267" t="s">
        <v>46</v>
      </c>
      <c r="E267">
        <v>20411454</v>
      </c>
      <c r="F267" t="s">
        <v>1071</v>
      </c>
      <c r="G267" t="s">
        <v>670</v>
      </c>
      <c r="H267" s="1">
        <v>46023</v>
      </c>
      <c r="I267" t="s">
        <v>51</v>
      </c>
      <c r="J267" t="s">
        <v>52</v>
      </c>
      <c r="K267" s="2">
        <v>175</v>
      </c>
      <c r="L267">
        <v>1</v>
      </c>
      <c r="M267" s="3">
        <v>1</v>
      </c>
      <c r="N267" s="2">
        <v>175</v>
      </c>
      <c r="P267" t="s">
        <v>1063</v>
      </c>
    </row>
    <row r="268" spans="1:16" x14ac:dyDescent="0.25">
      <c r="A268" s="11">
        <v>928559266</v>
      </c>
      <c r="B268" s="11" t="str">
        <f t="shared" si="5"/>
        <v>928559266OVR</v>
      </c>
      <c r="C268" t="s">
        <v>724</v>
      </c>
      <c r="D268" t="s">
        <v>46</v>
      </c>
      <c r="E268">
        <v>20411454</v>
      </c>
      <c r="F268" t="s">
        <v>1071</v>
      </c>
      <c r="G268" t="s">
        <v>670</v>
      </c>
      <c r="H268" s="1">
        <v>46023</v>
      </c>
      <c r="I268" t="s">
        <v>51</v>
      </c>
      <c r="J268" t="s">
        <v>52</v>
      </c>
      <c r="K268" s="2">
        <v>175</v>
      </c>
      <c r="L268">
        <v>1</v>
      </c>
      <c r="M268" s="3">
        <v>1</v>
      </c>
      <c r="N268" s="2">
        <v>175</v>
      </c>
      <c r="P268" t="s">
        <v>1063</v>
      </c>
    </row>
    <row r="269" spans="1:16" x14ac:dyDescent="0.25">
      <c r="A269" s="11">
        <v>947312937</v>
      </c>
      <c r="B269" s="11" t="str">
        <f t="shared" si="5"/>
        <v>947312937OVR</v>
      </c>
      <c r="C269" t="s">
        <v>732</v>
      </c>
      <c r="D269" t="s">
        <v>733</v>
      </c>
      <c r="E269">
        <v>20411454</v>
      </c>
      <c r="F269" t="s">
        <v>1071</v>
      </c>
      <c r="G269" t="s">
        <v>670</v>
      </c>
      <c r="H269" s="1">
        <v>46023</v>
      </c>
      <c r="I269" t="s">
        <v>51</v>
      </c>
      <c r="J269" t="s">
        <v>52</v>
      </c>
      <c r="K269" s="2">
        <v>175</v>
      </c>
      <c r="L269">
        <v>1</v>
      </c>
      <c r="M269" s="3">
        <v>1</v>
      </c>
      <c r="N269" s="2">
        <v>175</v>
      </c>
      <c r="P269" t="s">
        <v>1063</v>
      </c>
    </row>
    <row r="270" spans="1:16" x14ac:dyDescent="0.25">
      <c r="A270" s="11">
        <v>951067902</v>
      </c>
      <c r="B270" s="11" t="str">
        <f t="shared" si="5"/>
        <v>951067902OVR</v>
      </c>
      <c r="C270" t="s">
        <v>735</v>
      </c>
      <c r="D270" t="s">
        <v>130</v>
      </c>
      <c r="E270">
        <v>20411454</v>
      </c>
      <c r="F270" t="s">
        <v>1071</v>
      </c>
      <c r="G270" t="s">
        <v>670</v>
      </c>
      <c r="H270" s="1">
        <v>46023</v>
      </c>
      <c r="I270" t="s">
        <v>51</v>
      </c>
      <c r="J270" t="s">
        <v>52</v>
      </c>
      <c r="K270" s="2">
        <v>175</v>
      </c>
      <c r="L270">
        <v>1</v>
      </c>
      <c r="M270" s="3">
        <v>1</v>
      </c>
      <c r="N270" s="2">
        <v>175</v>
      </c>
      <c r="P270" t="s">
        <v>1063</v>
      </c>
    </row>
    <row r="271" spans="1:16" x14ac:dyDescent="0.25">
      <c r="A271" s="11">
        <v>952857667</v>
      </c>
      <c r="B271" s="11" t="str">
        <f t="shared" si="5"/>
        <v>952857667OVR</v>
      </c>
      <c r="C271" t="s">
        <v>739</v>
      </c>
      <c r="D271" t="s">
        <v>46</v>
      </c>
      <c r="E271">
        <v>20411454</v>
      </c>
      <c r="F271" t="s">
        <v>1071</v>
      </c>
      <c r="G271" t="s">
        <v>670</v>
      </c>
      <c r="H271" s="1">
        <v>46023</v>
      </c>
      <c r="I271" t="s">
        <v>51</v>
      </c>
      <c r="J271" t="s">
        <v>52</v>
      </c>
      <c r="K271" s="2">
        <v>175</v>
      </c>
      <c r="L271">
        <v>1</v>
      </c>
      <c r="M271" s="3">
        <v>1</v>
      </c>
      <c r="N271" s="2">
        <v>175</v>
      </c>
      <c r="P271" t="s">
        <v>1063</v>
      </c>
    </row>
    <row r="272" spans="1:16" x14ac:dyDescent="0.25">
      <c r="A272" s="11">
        <v>954290609</v>
      </c>
      <c r="B272" s="11" t="str">
        <f t="shared" si="5"/>
        <v>954290609OVR</v>
      </c>
      <c r="C272" t="s">
        <v>743</v>
      </c>
      <c r="D272" t="s">
        <v>371</v>
      </c>
      <c r="E272">
        <v>20411454</v>
      </c>
      <c r="F272" t="s">
        <v>1071</v>
      </c>
      <c r="G272" t="s">
        <v>670</v>
      </c>
      <c r="H272" s="1">
        <v>46023</v>
      </c>
      <c r="I272" t="s">
        <v>51</v>
      </c>
      <c r="J272" t="s">
        <v>52</v>
      </c>
      <c r="K272" s="2">
        <v>175</v>
      </c>
      <c r="L272">
        <v>1</v>
      </c>
      <c r="M272" s="3">
        <v>1</v>
      </c>
      <c r="N272" s="2">
        <v>175</v>
      </c>
      <c r="P272" t="s">
        <v>1063</v>
      </c>
    </row>
    <row r="273" spans="1:16" x14ac:dyDescent="0.25">
      <c r="A273" s="11">
        <v>959144340</v>
      </c>
      <c r="B273" s="11" t="str">
        <f t="shared" si="5"/>
        <v>959144340OVR</v>
      </c>
      <c r="C273" t="s">
        <v>747</v>
      </c>
      <c r="D273" t="s">
        <v>275</v>
      </c>
      <c r="E273">
        <v>20411454</v>
      </c>
      <c r="F273" t="s">
        <v>1071</v>
      </c>
      <c r="G273" t="s">
        <v>670</v>
      </c>
      <c r="H273" s="1">
        <v>46023</v>
      </c>
      <c r="I273" t="s">
        <v>51</v>
      </c>
      <c r="J273" t="s">
        <v>52</v>
      </c>
      <c r="K273" s="2">
        <v>175</v>
      </c>
      <c r="L273">
        <v>1</v>
      </c>
      <c r="M273" s="3">
        <v>1</v>
      </c>
      <c r="N273" s="2">
        <v>175</v>
      </c>
      <c r="P273" t="s">
        <v>1063</v>
      </c>
    </row>
    <row r="274" spans="1:16" x14ac:dyDescent="0.25">
      <c r="A274" s="11">
        <v>970254922</v>
      </c>
      <c r="B274" s="11" t="str">
        <f t="shared" si="5"/>
        <v>970254922OVR</v>
      </c>
      <c r="C274" t="s">
        <v>749</v>
      </c>
      <c r="D274" t="s">
        <v>46</v>
      </c>
      <c r="E274">
        <v>20411454</v>
      </c>
      <c r="F274" t="s">
        <v>1071</v>
      </c>
      <c r="G274" t="s">
        <v>670</v>
      </c>
      <c r="H274" s="1">
        <v>46023</v>
      </c>
      <c r="I274" t="s">
        <v>51</v>
      </c>
      <c r="J274" t="s">
        <v>52</v>
      </c>
      <c r="K274" s="2">
        <v>175</v>
      </c>
      <c r="L274">
        <v>1</v>
      </c>
      <c r="M274" s="3">
        <v>1</v>
      </c>
      <c r="N274" s="2">
        <v>175</v>
      </c>
      <c r="P274" t="s">
        <v>1063</v>
      </c>
    </row>
    <row r="275" spans="1:16" x14ac:dyDescent="0.25">
      <c r="A275" s="11">
        <v>972513660</v>
      </c>
      <c r="B275" s="11" t="str">
        <f t="shared" si="5"/>
        <v>972513660OVR</v>
      </c>
      <c r="C275" t="s">
        <v>751</v>
      </c>
      <c r="D275" t="s">
        <v>371</v>
      </c>
      <c r="E275">
        <v>20411454</v>
      </c>
      <c r="F275" t="s">
        <v>1071</v>
      </c>
      <c r="G275" t="s">
        <v>670</v>
      </c>
      <c r="H275" s="1">
        <v>46023</v>
      </c>
      <c r="I275" t="s">
        <v>51</v>
      </c>
      <c r="J275" t="s">
        <v>52</v>
      </c>
      <c r="K275" s="2">
        <v>175</v>
      </c>
      <c r="L275">
        <v>1</v>
      </c>
      <c r="M275" s="3">
        <v>1</v>
      </c>
      <c r="N275" s="2">
        <v>175</v>
      </c>
      <c r="P275" t="s">
        <v>1063</v>
      </c>
    </row>
    <row r="276" spans="1:16" x14ac:dyDescent="0.25">
      <c r="A276" s="11">
        <v>973009221</v>
      </c>
      <c r="B276" s="11" t="str">
        <f t="shared" si="5"/>
        <v>973009221OVR</v>
      </c>
      <c r="C276" t="s">
        <v>755</v>
      </c>
      <c r="D276" t="s">
        <v>46</v>
      </c>
      <c r="E276">
        <v>20411454</v>
      </c>
      <c r="F276" t="s">
        <v>1071</v>
      </c>
      <c r="G276" t="s">
        <v>670</v>
      </c>
      <c r="H276" s="1">
        <v>46023</v>
      </c>
      <c r="I276" t="s">
        <v>51</v>
      </c>
      <c r="J276" t="s">
        <v>52</v>
      </c>
      <c r="K276" s="2">
        <v>175</v>
      </c>
      <c r="L276">
        <v>1</v>
      </c>
      <c r="M276" s="3">
        <v>1</v>
      </c>
      <c r="N276" s="2">
        <v>175</v>
      </c>
      <c r="P276" t="s">
        <v>1063</v>
      </c>
    </row>
    <row r="277" spans="1:16" x14ac:dyDescent="0.25">
      <c r="A277" s="11">
        <v>976643581</v>
      </c>
      <c r="B277" s="11" t="str">
        <f t="shared" si="5"/>
        <v>976643581OVR</v>
      </c>
      <c r="C277" t="s">
        <v>761</v>
      </c>
      <c r="D277" t="s">
        <v>207</v>
      </c>
      <c r="E277">
        <v>20411454</v>
      </c>
      <c r="F277" t="s">
        <v>1071</v>
      </c>
      <c r="G277" t="s">
        <v>670</v>
      </c>
      <c r="H277" s="1">
        <v>45992</v>
      </c>
      <c r="I277" t="s">
        <v>51</v>
      </c>
      <c r="J277" t="s">
        <v>52</v>
      </c>
      <c r="K277" s="2">
        <v>175</v>
      </c>
      <c r="L277">
        <v>1</v>
      </c>
      <c r="M277" s="3">
        <v>1</v>
      </c>
      <c r="N277" s="2">
        <v>175</v>
      </c>
      <c r="P277" t="s">
        <v>1063</v>
      </c>
    </row>
    <row r="278" spans="1:16" x14ac:dyDescent="0.25">
      <c r="A278" s="11">
        <v>979478312</v>
      </c>
      <c r="B278" s="11" t="str">
        <f t="shared" si="5"/>
        <v>979478312OVR</v>
      </c>
      <c r="C278" t="s">
        <v>765</v>
      </c>
      <c r="D278" t="s">
        <v>708</v>
      </c>
      <c r="E278">
        <v>20411454</v>
      </c>
      <c r="F278" t="s">
        <v>1071</v>
      </c>
      <c r="G278" t="s">
        <v>670</v>
      </c>
      <c r="H278" s="1">
        <v>46023</v>
      </c>
      <c r="I278" t="s">
        <v>51</v>
      </c>
      <c r="J278" t="s">
        <v>52</v>
      </c>
      <c r="K278" s="2">
        <v>175</v>
      </c>
      <c r="L278">
        <v>1</v>
      </c>
      <c r="M278" s="3">
        <v>1</v>
      </c>
      <c r="N278" s="2">
        <v>175</v>
      </c>
      <c r="P278" t="s">
        <v>1063</v>
      </c>
    </row>
    <row r="279" spans="1:16" x14ac:dyDescent="0.25">
      <c r="A279" s="11">
        <v>927290651</v>
      </c>
      <c r="B279" s="11" t="str">
        <f t="shared" si="5"/>
        <v>927290651OVR</v>
      </c>
      <c r="C279" t="s">
        <v>808</v>
      </c>
      <c r="D279" t="s">
        <v>46</v>
      </c>
      <c r="E279">
        <v>20411454</v>
      </c>
      <c r="F279" t="s">
        <v>1071</v>
      </c>
      <c r="G279" t="s">
        <v>670</v>
      </c>
      <c r="H279" s="1">
        <v>46023</v>
      </c>
      <c r="I279" t="s">
        <v>51</v>
      </c>
      <c r="J279" t="s">
        <v>52</v>
      </c>
      <c r="N279">
        <v>-175</v>
      </c>
      <c r="P279" t="s">
        <v>1063</v>
      </c>
    </row>
    <row r="280" spans="1:16" x14ac:dyDescent="0.25">
      <c r="A280" s="11">
        <v>908826935</v>
      </c>
      <c r="B280" s="11" t="str">
        <f t="shared" si="5"/>
        <v>908826935OVR</v>
      </c>
      <c r="C280" t="s">
        <v>697</v>
      </c>
      <c r="D280" t="s">
        <v>371</v>
      </c>
      <c r="E280">
        <v>20411454</v>
      </c>
      <c r="F280" t="s">
        <v>1071</v>
      </c>
      <c r="G280" t="s">
        <v>698</v>
      </c>
      <c r="H280" s="1">
        <v>46023</v>
      </c>
      <c r="I280" t="s">
        <v>51</v>
      </c>
      <c r="J280" t="s">
        <v>52</v>
      </c>
      <c r="K280" s="2">
        <v>113</v>
      </c>
      <c r="L280">
        <v>1</v>
      </c>
      <c r="M280" s="3">
        <v>1</v>
      </c>
      <c r="N280" s="2">
        <v>113</v>
      </c>
      <c r="P280" t="s">
        <v>1063</v>
      </c>
    </row>
    <row r="281" spans="1:16" x14ac:dyDescent="0.25">
      <c r="A281" s="11">
        <v>914857307</v>
      </c>
      <c r="B281" s="11" t="str">
        <f t="shared" si="5"/>
        <v>914857307OVR</v>
      </c>
      <c r="C281" t="s">
        <v>705</v>
      </c>
      <c r="D281" t="s">
        <v>207</v>
      </c>
      <c r="E281">
        <v>20411454</v>
      </c>
      <c r="F281" t="s">
        <v>1071</v>
      </c>
      <c r="G281" t="s">
        <v>698</v>
      </c>
      <c r="H281" s="1">
        <v>46023</v>
      </c>
      <c r="I281" t="s">
        <v>51</v>
      </c>
      <c r="J281" t="s">
        <v>52</v>
      </c>
      <c r="K281" s="2">
        <v>113</v>
      </c>
      <c r="L281">
        <v>1</v>
      </c>
      <c r="M281" s="3">
        <v>1</v>
      </c>
      <c r="N281" s="2">
        <v>113</v>
      </c>
      <c r="P281" t="s">
        <v>1063</v>
      </c>
    </row>
    <row r="282" spans="1:16" x14ac:dyDescent="0.25">
      <c r="A282" s="11">
        <v>957051758</v>
      </c>
      <c r="B282" s="11" t="str">
        <f t="shared" si="5"/>
        <v>957051758OVR</v>
      </c>
      <c r="C282" t="s">
        <v>745</v>
      </c>
      <c r="D282" t="s">
        <v>46</v>
      </c>
      <c r="E282">
        <v>20411454</v>
      </c>
      <c r="F282" t="s">
        <v>1071</v>
      </c>
      <c r="G282" t="s">
        <v>698</v>
      </c>
      <c r="H282" s="1">
        <v>46023</v>
      </c>
      <c r="I282" t="s">
        <v>51</v>
      </c>
      <c r="J282" t="s">
        <v>52</v>
      </c>
      <c r="K282" s="2">
        <v>113</v>
      </c>
      <c r="L282">
        <v>1</v>
      </c>
      <c r="M282" s="3">
        <v>1</v>
      </c>
      <c r="N282" s="2">
        <v>113</v>
      </c>
      <c r="P282" t="s">
        <v>1063</v>
      </c>
    </row>
    <row r="283" spans="1:16" x14ac:dyDescent="0.25">
      <c r="A283" s="11">
        <v>975278396</v>
      </c>
      <c r="B283" s="11" t="str">
        <f t="shared" si="5"/>
        <v>975278396OVR</v>
      </c>
      <c r="C283" t="s">
        <v>757</v>
      </c>
      <c r="D283" t="s">
        <v>192</v>
      </c>
      <c r="E283">
        <v>20411454</v>
      </c>
      <c r="F283" t="s">
        <v>1071</v>
      </c>
      <c r="G283" t="s">
        <v>698</v>
      </c>
      <c r="H283" s="1">
        <v>46023</v>
      </c>
      <c r="I283" t="s">
        <v>51</v>
      </c>
      <c r="J283" t="s">
        <v>52</v>
      </c>
      <c r="K283" s="2">
        <v>113</v>
      </c>
      <c r="L283">
        <v>1</v>
      </c>
      <c r="M283" s="3">
        <v>1</v>
      </c>
      <c r="N283" s="2">
        <v>113</v>
      </c>
      <c r="P283" t="s">
        <v>1063</v>
      </c>
    </row>
    <row r="284" spans="1:16" x14ac:dyDescent="0.25">
      <c r="A284" s="11">
        <v>950654690</v>
      </c>
      <c r="B284" s="11" t="str">
        <f t="shared" si="5"/>
        <v>950654690OVR</v>
      </c>
      <c r="C284" t="s">
        <v>442</v>
      </c>
      <c r="D284" t="s">
        <v>275</v>
      </c>
      <c r="E284">
        <v>20411454</v>
      </c>
      <c r="F284" t="s">
        <v>1071</v>
      </c>
      <c r="G284" t="s">
        <v>698</v>
      </c>
      <c r="H284" s="1">
        <v>45962</v>
      </c>
      <c r="I284" t="s">
        <v>51</v>
      </c>
      <c r="J284" t="s">
        <v>52</v>
      </c>
      <c r="N284">
        <v>-113</v>
      </c>
      <c r="P284" t="s">
        <v>1063</v>
      </c>
    </row>
    <row r="285" spans="1:16" x14ac:dyDescent="0.25">
      <c r="A285" s="11">
        <v>958939641</v>
      </c>
      <c r="B285" s="11" t="str">
        <f t="shared" si="5"/>
        <v>958939641OVR</v>
      </c>
      <c r="C285" t="s">
        <v>533</v>
      </c>
      <c r="D285" t="s">
        <v>46</v>
      </c>
      <c r="E285">
        <v>20411454</v>
      </c>
      <c r="F285" t="s">
        <v>1071</v>
      </c>
      <c r="G285" t="s">
        <v>698</v>
      </c>
      <c r="H285" s="1">
        <v>46023</v>
      </c>
      <c r="I285" t="s">
        <v>51</v>
      </c>
      <c r="J285" t="s">
        <v>52</v>
      </c>
      <c r="N285">
        <v>-113</v>
      </c>
      <c r="P285" t="s">
        <v>1063</v>
      </c>
    </row>
    <row r="286" spans="1:16" x14ac:dyDescent="0.25">
      <c r="A286" s="11">
        <v>123531250</v>
      </c>
      <c r="B286" s="11" t="str">
        <f t="shared" si="5"/>
        <v>123531250OVR</v>
      </c>
      <c r="C286" t="s">
        <v>663</v>
      </c>
      <c r="D286" t="s">
        <v>371</v>
      </c>
      <c r="E286">
        <v>20411454</v>
      </c>
      <c r="F286" t="s">
        <v>1071</v>
      </c>
      <c r="G286" t="s">
        <v>664</v>
      </c>
      <c r="H286" s="1">
        <v>46023</v>
      </c>
      <c r="I286" t="s">
        <v>51</v>
      </c>
      <c r="J286" t="s">
        <v>52</v>
      </c>
      <c r="K286" s="2">
        <v>72</v>
      </c>
      <c r="L286">
        <v>1</v>
      </c>
      <c r="M286" s="3">
        <v>1</v>
      </c>
      <c r="N286" s="2">
        <v>72</v>
      </c>
      <c r="O286" t="s">
        <v>665</v>
      </c>
      <c r="P286" t="s">
        <v>1063</v>
      </c>
    </row>
    <row r="287" spans="1:16" x14ac:dyDescent="0.25">
      <c r="A287" s="11">
        <v>920890366</v>
      </c>
      <c r="B287" s="11" t="str">
        <f t="shared" si="5"/>
        <v>920890366OVR</v>
      </c>
      <c r="C287" t="s">
        <v>714</v>
      </c>
      <c r="D287" t="s">
        <v>207</v>
      </c>
      <c r="E287">
        <v>20411454</v>
      </c>
      <c r="F287" t="s">
        <v>1071</v>
      </c>
      <c r="G287" t="s">
        <v>664</v>
      </c>
      <c r="H287" s="1">
        <v>46023</v>
      </c>
      <c r="I287" t="s">
        <v>51</v>
      </c>
      <c r="J287" t="s">
        <v>52</v>
      </c>
      <c r="K287" s="2">
        <v>72</v>
      </c>
      <c r="L287">
        <v>1</v>
      </c>
      <c r="M287" s="3">
        <v>1</v>
      </c>
      <c r="N287" s="2">
        <v>72</v>
      </c>
      <c r="O287" t="s">
        <v>665</v>
      </c>
      <c r="P287" t="s">
        <v>1063</v>
      </c>
    </row>
    <row r="288" spans="1:16" x14ac:dyDescent="0.25">
      <c r="A288" s="11">
        <v>928792726</v>
      </c>
      <c r="B288" s="11" t="str">
        <f t="shared" si="5"/>
        <v>928792726OVR</v>
      </c>
      <c r="C288" t="s">
        <v>726</v>
      </c>
      <c r="D288" t="s">
        <v>275</v>
      </c>
      <c r="E288">
        <v>20411454</v>
      </c>
      <c r="F288" t="s">
        <v>1071</v>
      </c>
      <c r="G288" t="s">
        <v>664</v>
      </c>
      <c r="H288" s="1">
        <v>46023</v>
      </c>
      <c r="I288" t="s">
        <v>51</v>
      </c>
      <c r="J288" t="s">
        <v>52</v>
      </c>
      <c r="K288" s="2">
        <v>72</v>
      </c>
      <c r="L288">
        <v>1</v>
      </c>
      <c r="M288" s="3">
        <v>1</v>
      </c>
      <c r="N288" s="2">
        <v>72</v>
      </c>
      <c r="O288" t="s">
        <v>665</v>
      </c>
      <c r="P288" t="s">
        <v>1063</v>
      </c>
    </row>
    <row r="289" spans="1:39" x14ac:dyDescent="0.25">
      <c r="A289" s="11">
        <v>941505435</v>
      </c>
      <c r="B289" s="11" t="str">
        <f t="shared" si="5"/>
        <v>941505435OVR</v>
      </c>
      <c r="C289" t="s">
        <v>730</v>
      </c>
      <c r="D289" t="s">
        <v>46</v>
      </c>
      <c r="E289">
        <v>20411454</v>
      </c>
      <c r="F289" t="s">
        <v>1071</v>
      </c>
      <c r="G289" t="s">
        <v>664</v>
      </c>
      <c r="H289" s="1">
        <v>46023</v>
      </c>
      <c r="I289" t="s">
        <v>51</v>
      </c>
      <c r="J289" t="s">
        <v>52</v>
      </c>
      <c r="K289" s="2">
        <v>72</v>
      </c>
      <c r="L289">
        <v>1</v>
      </c>
      <c r="M289" s="3">
        <v>1</v>
      </c>
      <c r="N289" s="2">
        <v>72</v>
      </c>
      <c r="O289" t="s">
        <v>665</v>
      </c>
      <c r="P289" t="s">
        <v>1063</v>
      </c>
    </row>
    <row r="290" spans="1:39" x14ac:dyDescent="0.25">
      <c r="A290" s="11">
        <v>951859059</v>
      </c>
      <c r="B290" s="11" t="str">
        <f t="shared" si="5"/>
        <v>951859059OVR</v>
      </c>
      <c r="C290" t="s">
        <v>737</v>
      </c>
      <c r="D290" t="s">
        <v>708</v>
      </c>
      <c r="E290">
        <v>20411454</v>
      </c>
      <c r="F290" t="s">
        <v>1071</v>
      </c>
      <c r="G290" t="s">
        <v>664</v>
      </c>
      <c r="H290" s="1">
        <v>46023</v>
      </c>
      <c r="I290" t="s">
        <v>51</v>
      </c>
      <c r="J290" t="s">
        <v>52</v>
      </c>
      <c r="K290" s="2">
        <v>72</v>
      </c>
      <c r="L290">
        <v>1</v>
      </c>
      <c r="M290" s="3">
        <v>1</v>
      </c>
      <c r="N290" s="2">
        <v>72</v>
      </c>
      <c r="O290" t="s">
        <v>665</v>
      </c>
      <c r="P290" t="s">
        <v>1063</v>
      </c>
    </row>
    <row r="291" spans="1:39" x14ac:dyDescent="0.25">
      <c r="A291" s="11">
        <v>972544206</v>
      </c>
      <c r="B291" s="11" t="str">
        <f t="shared" si="5"/>
        <v>972544206OVR</v>
      </c>
      <c r="C291" t="s">
        <v>753</v>
      </c>
      <c r="D291" t="s">
        <v>708</v>
      </c>
      <c r="E291">
        <v>20411454</v>
      </c>
      <c r="F291" t="s">
        <v>1071</v>
      </c>
      <c r="G291" t="s">
        <v>664</v>
      </c>
      <c r="H291" s="1">
        <v>46023</v>
      </c>
      <c r="I291" t="s">
        <v>51</v>
      </c>
      <c r="J291" t="s">
        <v>52</v>
      </c>
      <c r="K291" s="2">
        <v>72</v>
      </c>
      <c r="L291">
        <v>1</v>
      </c>
      <c r="M291" s="3">
        <v>1</v>
      </c>
      <c r="N291" s="2">
        <v>72</v>
      </c>
      <c r="O291" t="s">
        <v>665</v>
      </c>
      <c r="P291" t="s">
        <v>1063</v>
      </c>
    </row>
    <row r="292" spans="1:39" x14ac:dyDescent="0.25">
      <c r="A292" s="11">
        <v>980349869</v>
      </c>
      <c r="B292" s="11" t="str">
        <f t="shared" si="5"/>
        <v>980349869OVR</v>
      </c>
      <c r="C292" t="s">
        <v>767</v>
      </c>
      <c r="D292" t="s">
        <v>59</v>
      </c>
      <c r="E292">
        <v>20411454</v>
      </c>
      <c r="F292" t="s">
        <v>1071</v>
      </c>
      <c r="G292" t="s">
        <v>664</v>
      </c>
      <c r="H292" s="1">
        <v>46023</v>
      </c>
      <c r="I292" t="s">
        <v>51</v>
      </c>
      <c r="J292" t="s">
        <v>52</v>
      </c>
      <c r="K292" s="2">
        <v>72</v>
      </c>
      <c r="L292">
        <v>1</v>
      </c>
      <c r="M292" s="3">
        <v>1</v>
      </c>
      <c r="N292" s="2">
        <v>72</v>
      </c>
      <c r="O292" t="s">
        <v>665</v>
      </c>
      <c r="P292" t="s">
        <v>1063</v>
      </c>
    </row>
    <row r="293" spans="1:39" x14ac:dyDescent="0.25">
      <c r="A293" s="11">
        <v>990114406</v>
      </c>
      <c r="B293" s="11" t="str">
        <f t="shared" si="5"/>
        <v>990114406OVR</v>
      </c>
      <c r="C293" t="s">
        <v>769</v>
      </c>
      <c r="D293" t="s">
        <v>46</v>
      </c>
      <c r="E293">
        <v>20411454</v>
      </c>
      <c r="F293" t="s">
        <v>1071</v>
      </c>
      <c r="G293" t="s">
        <v>664</v>
      </c>
      <c r="H293" s="1">
        <v>46023</v>
      </c>
      <c r="I293" t="s">
        <v>51</v>
      </c>
      <c r="J293" t="s">
        <v>52</v>
      </c>
      <c r="K293" s="2">
        <v>72</v>
      </c>
      <c r="L293">
        <v>1</v>
      </c>
      <c r="M293" s="3">
        <v>1</v>
      </c>
      <c r="N293" s="2">
        <v>72</v>
      </c>
      <c r="O293" t="s">
        <v>665</v>
      </c>
      <c r="P293" t="s">
        <v>1063</v>
      </c>
    </row>
    <row r="294" spans="1:39" x14ac:dyDescent="0.25">
      <c r="A294" s="11">
        <v>993410662</v>
      </c>
      <c r="B294" s="11" t="str">
        <f t="shared" si="5"/>
        <v>993410662OVR</v>
      </c>
      <c r="C294" t="s">
        <v>771</v>
      </c>
      <c r="D294" t="s">
        <v>371</v>
      </c>
      <c r="E294">
        <v>20411454</v>
      </c>
      <c r="F294" t="s">
        <v>1071</v>
      </c>
      <c r="G294" t="s">
        <v>664</v>
      </c>
      <c r="H294" s="1">
        <v>46023</v>
      </c>
      <c r="I294" t="s">
        <v>51</v>
      </c>
      <c r="J294" t="s">
        <v>52</v>
      </c>
      <c r="K294" s="2">
        <v>72</v>
      </c>
      <c r="L294">
        <v>1</v>
      </c>
      <c r="M294" s="3">
        <v>1</v>
      </c>
      <c r="N294" s="2">
        <v>72</v>
      </c>
      <c r="O294" t="s">
        <v>665</v>
      </c>
      <c r="P294" t="s">
        <v>1063</v>
      </c>
    </row>
    <row r="295" spans="1:39" x14ac:dyDescent="0.25">
      <c r="A295" s="11">
        <v>996928045</v>
      </c>
      <c r="B295" s="11" t="str">
        <f t="shared" si="5"/>
        <v>996928045OVR</v>
      </c>
      <c r="C295" t="s">
        <v>775</v>
      </c>
      <c r="D295" t="s">
        <v>46</v>
      </c>
      <c r="E295">
        <v>20411454</v>
      </c>
      <c r="F295" t="s">
        <v>1071</v>
      </c>
      <c r="G295" t="s">
        <v>664</v>
      </c>
      <c r="H295" s="1">
        <v>46023</v>
      </c>
      <c r="I295" t="s">
        <v>51</v>
      </c>
      <c r="J295" t="s">
        <v>52</v>
      </c>
      <c r="K295" s="2">
        <v>72</v>
      </c>
      <c r="L295">
        <v>1</v>
      </c>
      <c r="M295" s="3">
        <v>1</v>
      </c>
      <c r="N295" s="2">
        <v>72</v>
      </c>
      <c r="O295" t="s">
        <v>665</v>
      </c>
      <c r="P295" t="s">
        <v>1063</v>
      </c>
    </row>
    <row r="296" spans="1:39" x14ac:dyDescent="0.25">
      <c r="A296" s="11">
        <v>902277837</v>
      </c>
      <c r="B296" s="11" t="str">
        <f t="shared" si="5"/>
        <v>902277837OVR</v>
      </c>
      <c r="C296" t="s">
        <v>804</v>
      </c>
      <c r="D296" t="s">
        <v>192</v>
      </c>
      <c r="E296">
        <v>20411454</v>
      </c>
      <c r="F296" t="s">
        <v>1071</v>
      </c>
      <c r="G296" t="s">
        <v>664</v>
      </c>
      <c r="H296" s="1">
        <v>45931</v>
      </c>
      <c r="I296" t="s">
        <v>51</v>
      </c>
      <c r="J296" t="s">
        <v>52</v>
      </c>
      <c r="N296">
        <v>-18</v>
      </c>
      <c r="P296" t="s">
        <v>1063</v>
      </c>
    </row>
    <row r="297" spans="1:39" s="4" customFormat="1" x14ac:dyDescent="0.25">
      <c r="A297" s="11">
        <v>912672491</v>
      </c>
      <c r="B297" s="11" t="str">
        <f t="shared" si="5"/>
        <v>912672491OVR</v>
      </c>
      <c r="C297" t="s">
        <v>700</v>
      </c>
      <c r="D297" t="s">
        <v>371</v>
      </c>
      <c r="E297">
        <v>20411454</v>
      </c>
      <c r="F297" t="s">
        <v>1071</v>
      </c>
      <c r="G297" t="s">
        <v>701</v>
      </c>
      <c r="H297" s="1">
        <v>46023</v>
      </c>
      <c r="I297" t="s">
        <v>51</v>
      </c>
      <c r="J297" t="s">
        <v>52</v>
      </c>
      <c r="K297" s="2">
        <v>50</v>
      </c>
      <c r="L297">
        <v>1</v>
      </c>
      <c r="M297" s="3">
        <v>1</v>
      </c>
      <c r="N297" s="2">
        <v>50</v>
      </c>
      <c r="O297" t="s">
        <v>665</v>
      </c>
      <c r="P297" t="s">
        <v>1063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</row>
    <row r="298" spans="1:39" s="4" customFormat="1" x14ac:dyDescent="0.25">
      <c r="A298" s="11">
        <v>936494692</v>
      </c>
      <c r="B298" s="11" t="str">
        <f t="shared" si="5"/>
        <v>936494692OVR</v>
      </c>
      <c r="C298" t="s">
        <v>728</v>
      </c>
      <c r="D298" t="s">
        <v>46</v>
      </c>
      <c r="E298">
        <v>20411454</v>
      </c>
      <c r="F298" t="s">
        <v>1071</v>
      </c>
      <c r="G298" t="s">
        <v>701</v>
      </c>
      <c r="H298" s="1">
        <v>46023</v>
      </c>
      <c r="I298" t="s">
        <v>51</v>
      </c>
      <c r="J298" t="s">
        <v>52</v>
      </c>
      <c r="K298" s="2">
        <v>50</v>
      </c>
      <c r="L298">
        <v>1</v>
      </c>
      <c r="M298" s="3">
        <v>1</v>
      </c>
      <c r="N298" s="2">
        <v>50</v>
      </c>
      <c r="O298" t="s">
        <v>665</v>
      </c>
      <c r="P298" t="s">
        <v>1063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</row>
    <row r="299" spans="1:39" s="4" customFormat="1" x14ac:dyDescent="0.25">
      <c r="A299" s="11">
        <v>953263323</v>
      </c>
      <c r="B299" s="11" t="str">
        <f t="shared" si="5"/>
        <v>953263323OVR</v>
      </c>
      <c r="C299" t="s">
        <v>741</v>
      </c>
      <c r="D299" t="s">
        <v>46</v>
      </c>
      <c r="E299">
        <v>20411454</v>
      </c>
      <c r="F299" t="s">
        <v>1071</v>
      </c>
      <c r="G299" t="s">
        <v>701</v>
      </c>
      <c r="H299" s="1">
        <v>46023</v>
      </c>
      <c r="I299" t="s">
        <v>51</v>
      </c>
      <c r="J299" t="s">
        <v>52</v>
      </c>
      <c r="K299" s="2">
        <v>50</v>
      </c>
      <c r="L299">
        <v>1</v>
      </c>
      <c r="M299" s="3">
        <v>1</v>
      </c>
      <c r="N299" s="2">
        <v>50</v>
      </c>
      <c r="O299" t="s">
        <v>665</v>
      </c>
      <c r="P299" t="s">
        <v>1063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</row>
    <row r="300" spans="1:39" s="4" customFormat="1" x14ac:dyDescent="0.25">
      <c r="A300" s="11">
        <v>131758294</v>
      </c>
      <c r="B300" s="11" t="str">
        <f t="shared" si="5"/>
        <v>131758294OVR</v>
      </c>
      <c r="C300" t="s">
        <v>799</v>
      </c>
      <c r="D300" t="s">
        <v>59</v>
      </c>
      <c r="E300">
        <v>20411454</v>
      </c>
      <c r="F300" t="s">
        <v>1071</v>
      </c>
      <c r="G300" t="s">
        <v>802</v>
      </c>
      <c r="H300" s="1">
        <v>45931</v>
      </c>
      <c r="I300" t="s">
        <v>51</v>
      </c>
      <c r="J300" t="s">
        <v>52</v>
      </c>
      <c r="K300"/>
      <c r="L300"/>
      <c r="M300"/>
      <c r="N300">
        <v>-43.75</v>
      </c>
      <c r="O300"/>
      <c r="P300" t="s">
        <v>1063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</row>
  </sheetData>
  <sortState xmlns:xlrd2="http://schemas.microsoft.com/office/spreadsheetml/2017/richdata2" ref="A2:AM300">
    <sortCondition ref="P2:P3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053D-4DE6-459C-AFB1-B842A6238CB1}">
  <dimension ref="A1:AM11"/>
  <sheetViews>
    <sheetView tabSelected="1" workbookViewId="0">
      <selection activeCell="I15" sqref="I15"/>
    </sheetView>
  </sheetViews>
  <sheetFormatPr defaultRowHeight="15" x14ac:dyDescent="0.25"/>
  <cols>
    <col min="6" max="6" width="58.28515625" bestFit="1" customWidth="1"/>
    <col min="7" max="7" width="10.140625" bestFit="1" customWidth="1"/>
  </cols>
  <sheetData>
    <row r="1" spans="1:39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17</v>
      </c>
      <c r="G1" t="s">
        <v>18</v>
      </c>
      <c r="H1" t="s">
        <v>20</v>
      </c>
      <c r="I1" t="s">
        <v>23</v>
      </c>
      <c r="J1" t="s">
        <v>25</v>
      </c>
      <c r="K1" t="s">
        <v>26</v>
      </c>
      <c r="L1" t="s">
        <v>27</v>
      </c>
      <c r="M1" t="s">
        <v>28</v>
      </c>
      <c r="N1" t="s">
        <v>37</v>
      </c>
    </row>
    <row r="2" spans="1:39" s="15" customFormat="1" x14ac:dyDescent="0.25">
      <c r="A2" s="14" t="s">
        <v>1055</v>
      </c>
      <c r="B2" s="15" t="s">
        <v>787</v>
      </c>
      <c r="C2" s="15" t="s">
        <v>46</v>
      </c>
      <c r="E2" s="15" t="s">
        <v>81</v>
      </c>
      <c r="F2" s="15" t="s">
        <v>788</v>
      </c>
      <c r="G2" s="16">
        <v>46023</v>
      </c>
      <c r="H2" s="15" t="s">
        <v>51</v>
      </c>
      <c r="I2" s="15" t="s">
        <v>52</v>
      </c>
      <c r="J2" s="17">
        <v>31.5</v>
      </c>
      <c r="K2" s="15">
        <v>9</v>
      </c>
      <c r="L2" s="18">
        <v>1</v>
      </c>
      <c r="M2" s="17">
        <v>283.5</v>
      </c>
    </row>
    <row r="3" spans="1:39" s="15" customFormat="1" x14ac:dyDescent="0.25">
      <c r="A3" s="14" t="s">
        <v>1054</v>
      </c>
      <c r="B3" s="15" t="s">
        <v>784</v>
      </c>
      <c r="C3" s="15" t="s">
        <v>46</v>
      </c>
      <c r="E3" s="15" t="s">
        <v>145</v>
      </c>
      <c r="F3" s="15" t="s">
        <v>785</v>
      </c>
      <c r="G3" s="16">
        <v>46023</v>
      </c>
      <c r="H3" s="15" t="s">
        <v>51</v>
      </c>
      <c r="I3" s="15" t="s">
        <v>52</v>
      </c>
      <c r="J3" s="17">
        <v>9.83</v>
      </c>
      <c r="K3" s="15">
        <v>9</v>
      </c>
      <c r="L3" s="18">
        <v>1</v>
      </c>
      <c r="M3" s="17">
        <v>88.47</v>
      </c>
    </row>
    <row r="4" spans="1:39" x14ac:dyDescent="0.25">
      <c r="A4" s="13" t="s">
        <v>1075</v>
      </c>
      <c r="B4" s="8" t="s">
        <v>814</v>
      </c>
      <c r="C4" s="8" t="s">
        <v>371</v>
      </c>
      <c r="D4" s="8" t="s">
        <v>1072</v>
      </c>
      <c r="E4" s="8" t="s">
        <v>306</v>
      </c>
      <c r="F4" s="8" t="s">
        <v>815</v>
      </c>
      <c r="G4" s="9">
        <v>45870</v>
      </c>
      <c r="H4" s="8" t="s">
        <v>51</v>
      </c>
      <c r="I4" s="8" t="s">
        <v>52</v>
      </c>
      <c r="J4" s="8"/>
      <c r="K4" s="8"/>
      <c r="L4" s="8"/>
      <c r="M4" s="8">
        <v>-4.1100000000000003</v>
      </c>
      <c r="N4" s="8"/>
      <c r="O4" s="8" t="s">
        <v>1062</v>
      </c>
      <c r="P4" s="8"/>
      <c r="Q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8" spans="1:39" x14ac:dyDescent="0.25">
      <c r="I8">
        <v>1</v>
      </c>
      <c r="J8">
        <v>12</v>
      </c>
      <c r="L8">
        <v>21</v>
      </c>
      <c r="M8">
        <v>315</v>
      </c>
      <c r="N8">
        <f>L8*3</f>
        <v>63</v>
      </c>
      <c r="O8">
        <f>N8+M8</f>
        <v>378</v>
      </c>
      <c r="P8">
        <f>O8/12</f>
        <v>31.5</v>
      </c>
      <c r="Q8">
        <f>P8*90%</f>
        <v>28.35</v>
      </c>
    </row>
    <row r="9" spans="1:39" x14ac:dyDescent="0.25">
      <c r="I9">
        <v>13</v>
      </c>
      <c r="J9">
        <v>72</v>
      </c>
      <c r="L9">
        <v>21</v>
      </c>
      <c r="M9">
        <v>315</v>
      </c>
      <c r="N9">
        <f>L9*3</f>
        <v>63</v>
      </c>
      <c r="O9">
        <f>N9+M9</f>
        <v>378</v>
      </c>
      <c r="P9">
        <f>O9/12</f>
        <v>31.5</v>
      </c>
      <c r="Q9">
        <f t="shared" ref="Q9:Q11" si="0">P9*90%</f>
        <v>28.35</v>
      </c>
    </row>
    <row r="10" spans="1:39" x14ac:dyDescent="0.25">
      <c r="I10">
        <v>73</v>
      </c>
      <c r="J10">
        <v>0</v>
      </c>
      <c r="L10">
        <v>10</v>
      </c>
      <c r="M10">
        <v>150</v>
      </c>
      <c r="N10">
        <f>L10*3</f>
        <v>30</v>
      </c>
      <c r="O10">
        <f>N10+M10</f>
        <v>180</v>
      </c>
      <c r="P10">
        <f>O10/12</f>
        <v>15</v>
      </c>
      <c r="Q10">
        <f t="shared" si="0"/>
        <v>13.5</v>
      </c>
    </row>
    <row r="11" spans="1:39" x14ac:dyDescent="0.25">
      <c r="L11">
        <v>2</v>
      </c>
      <c r="M11">
        <v>30</v>
      </c>
      <c r="N11">
        <f>L11*3</f>
        <v>6</v>
      </c>
      <c r="O11">
        <f>N11+M11</f>
        <v>36</v>
      </c>
      <c r="P11">
        <f>O11/12</f>
        <v>3</v>
      </c>
      <c r="Q11">
        <f t="shared" si="0"/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2025-11-26T15:53:06Z</dcterms:created>
  <dcterms:modified xsi:type="dcterms:W3CDTF">2026-01-29T20:21:10Z</dcterms:modified>
</cp:coreProperties>
</file>