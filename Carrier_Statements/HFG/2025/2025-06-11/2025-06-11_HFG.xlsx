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6-11-25\"/>
    </mc:Choice>
  </mc:AlternateContent>
  <xr:revisionPtr revIDLastSave="0" documentId="13_ncr:1_{4077E640-C020-45DC-8AC0-F952350B8B49}" xr6:coauthVersionLast="47" xr6:coauthVersionMax="47" xr10:uidLastSave="{00000000-0000-0000-0000-000000000000}"/>
  <bookViews>
    <workbookView xWindow="28680" yWindow="-120" windowWidth="29040" windowHeight="16440" activeTab="1" xr2:uid="{317875EA-6125-4F28-A69C-3D829A1F0825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1" i="2" l="1"/>
  <c r="B40" i="2"/>
  <c r="B39" i="2"/>
  <c r="B37" i="2"/>
  <c r="B36" i="2"/>
  <c r="B35" i="2"/>
  <c r="B29" i="2"/>
  <c r="B28" i="2"/>
  <c r="B27" i="2"/>
  <c r="B26" i="2"/>
  <c r="B24" i="2"/>
  <c r="B23" i="2"/>
  <c r="B22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<sst xmlns="http://schemas.openxmlformats.org/spreadsheetml/2006/main" count="937" uniqueCount="220">
  <si>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</si>
  <si>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</si>
  <si>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</si>
  <si>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</si>
  <si>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</si>
  <si>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</si>
  <si>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</si>
  <si>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</si>
  <si>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</si>
  <si>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</si>
  <si>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</si>
  <si>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</si>
  <si>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</si>
  <si>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</si>
  <si>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</si>
  <si>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</si>
  <si>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</si>
  <si>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</si>
  <si>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</si>
  <si>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</si>
  <si>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</si>
  <si>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</si>
  <si>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</si>
  <si>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</si>
  <si>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</si>
  <si>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</si>
  <si>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</si>
  <si>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</si>
  <si>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</si>
  <si>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</si>
  <si>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</si>
  <si>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</si>
  <si>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</si>
  <si>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</si>
  <si>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</si>
  <si>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</si>
  <si>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</si>
  <si>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</si>
  <si>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</si>
  <si>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</si>
  <si>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</si>
  <si>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</si>
  <si>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</si>
  <si>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</si>
  <si>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'00010609758K</t>
  </si>
  <si>
    <t>MARIO CASTRO-LOPEZ</t>
  </si>
  <si>
    <t>IL</t>
  </si>
  <si>
    <t>'045709</t>
  </si>
  <si>
    <t>ESTHER HERRERA-LARSEN</t>
  </si>
  <si>
    <t>ACTIVE</t>
  </si>
  <si>
    <t>Humana MA 2019+ Level 15- 175/108 Repl 2024</t>
  </si>
  <si>
    <t>Monthly</t>
  </si>
  <si>
    <t>AV</t>
  </si>
  <si>
    <t>'00011895530K</t>
  </si>
  <si>
    <t>ROGER TYK</t>
  </si>
  <si>
    <t>NA</t>
  </si>
  <si>
    <t>'045605</t>
  </si>
  <si>
    <t>GARY PORTUGAL</t>
  </si>
  <si>
    <t>Active</t>
  </si>
  <si>
    <t>Humana MA Bonus Upload 06-11-2025.xlsx</t>
  </si>
  <si>
    <t>'00014035131K</t>
  </si>
  <si>
    <t>CAMMY DOLL</t>
  </si>
  <si>
    <t>'043682</t>
  </si>
  <si>
    <t>GREGORY TEIPEL</t>
  </si>
  <si>
    <t>'00023375098K</t>
  </si>
  <si>
    <t>ELVIRA SANCHEZ</t>
  </si>
  <si>
    <t>'045612</t>
  </si>
  <si>
    <t>ANTHONY HUNSBERGER</t>
  </si>
  <si>
    <t>Humana MA 2019+ Level 15- 175/108</t>
  </si>
  <si>
    <t>'00023376879K</t>
  </si>
  <si>
    <t>THERESA LOVASIK</t>
  </si>
  <si>
    <t>WI</t>
  </si>
  <si>
    <t>'00023376956K</t>
  </si>
  <si>
    <t>LINDA BERGSTROM</t>
  </si>
  <si>
    <t>'045618</t>
  </si>
  <si>
    <t>STEPHANIE DRAPAC</t>
  </si>
  <si>
    <t>'00023379399K</t>
  </si>
  <si>
    <t>PETR LOVASIK</t>
  </si>
  <si>
    <t>'00023379873KPDP</t>
  </si>
  <si>
    <t>THOMAS DROBYSH</t>
  </si>
  <si>
    <t>Humana PDP 2019+ Level 15- 15/0</t>
  </si>
  <si>
    <t>'00023380372K</t>
  </si>
  <si>
    <t>LINDA KOSAR</t>
  </si>
  <si>
    <t>'045611</t>
  </si>
  <si>
    <t>FRANK LISKOVEC</t>
  </si>
  <si>
    <t>'00023380373K</t>
  </si>
  <si>
    <t>DAVID KOSAR</t>
  </si>
  <si>
    <t>'00023381691K</t>
  </si>
  <si>
    <t>HOWARD BOONE</t>
  </si>
  <si>
    <t>'00023381885K</t>
  </si>
  <si>
    <t>EDWARD WARDA</t>
  </si>
  <si>
    <t>'045638</t>
  </si>
  <si>
    <t>RICHARD YALE</t>
  </si>
  <si>
    <t>'00023385843K</t>
  </si>
  <si>
    <t>RICHARD ANDERSON</t>
  </si>
  <si>
    <t>'045622</t>
  </si>
  <si>
    <t>JACOB YALE</t>
  </si>
  <si>
    <t>'00023387383K</t>
  </si>
  <si>
    <t>JAMES CAREY</t>
  </si>
  <si>
    <t>'043644</t>
  </si>
  <si>
    <t>TIMOTHY HODGMAN</t>
  </si>
  <si>
    <t>'00023387842K</t>
  </si>
  <si>
    <t>CYNTHIA DRAPAC</t>
  </si>
  <si>
    <t>'023095248</t>
  </si>
  <si>
    <t>DONALD BURTON</t>
  </si>
  <si>
    <t>'043705</t>
  </si>
  <si>
    <t>MICHAEL DUNAVANT</t>
  </si>
  <si>
    <t>UHC PDP Street payable to upline - 2025 Replace</t>
  </si>
  <si>
    <t>6/12 PRORATE</t>
  </si>
  <si>
    <t>'023095248OV</t>
  </si>
  <si>
    <t>UHC PDP Direct 2024 New Initial Prorated</t>
  </si>
  <si>
    <t>'023100189</t>
  </si>
  <si>
    <t>ANGELA OHLIG</t>
  </si>
  <si>
    <t>CO</t>
  </si>
  <si>
    <t>'043713</t>
  </si>
  <si>
    <t>JOEL LEE</t>
  </si>
  <si>
    <t>'023100189OV</t>
  </si>
  <si>
    <t>'101068686100</t>
  </si>
  <si>
    <t>JEFFREY SCHUTTE</t>
  </si>
  <si>
    <t>PA</t>
  </si>
  <si>
    <t>'043679</t>
  </si>
  <si>
    <t>DEBORAH INSKIPT</t>
  </si>
  <si>
    <t>Aetna MAPD NMO to GMO - 4-1-23+  Replace E-App</t>
  </si>
  <si>
    <t>Aetna MA Bonus Upload 06-11-2025.xlsx</t>
  </si>
  <si>
    <t>'101095513800</t>
  </si>
  <si>
    <t>DENISE WESTWOOD</t>
  </si>
  <si>
    <t>7/12 PRORATE</t>
  </si>
  <si>
    <t>'102066652900A</t>
  </si>
  <si>
    <t>MARY KWIATKOWSKI</t>
  </si>
  <si>
    <t>'102173389000</t>
  </si>
  <si>
    <t>ROBBY CRANK</t>
  </si>
  <si>
    <t>KS</t>
  </si>
  <si>
    <t>'102173406800</t>
  </si>
  <si>
    <t>PAMELA SIEGEL</t>
  </si>
  <si>
    <t>'102173686600</t>
  </si>
  <si>
    <t>MICHAEL JONES</t>
  </si>
  <si>
    <t>'14F1H6R78</t>
  </si>
  <si>
    <t>RAQUEL RODRIGUEZ</t>
  </si>
  <si>
    <t>'041686</t>
  </si>
  <si>
    <t>DALE WALENGA</t>
  </si>
  <si>
    <t>Cigna MAPD FMO to GA 1-1-19+ - New</t>
  </si>
  <si>
    <t>'39A6F2R92</t>
  </si>
  <si>
    <t>RAUL RODRIGUEZ</t>
  </si>
  <si>
    <t>'913275310</t>
  </si>
  <si>
    <t>DAVID KARCHNER</t>
  </si>
  <si>
    <t>UHC MAPD Street payable to upline- 2025 Replace</t>
  </si>
  <si>
    <t>'913275310OV</t>
  </si>
  <si>
    <t>UHC MA Direct 2024 New Full</t>
  </si>
  <si>
    <t>'932036093</t>
  </si>
  <si>
    <t>JOHN BELL</t>
  </si>
  <si>
    <t>'045613</t>
  </si>
  <si>
    <t>RICARDO SANTOS</t>
  </si>
  <si>
    <t>'932036093OV</t>
  </si>
  <si>
    <t>'954005675</t>
  </si>
  <si>
    <t>NAYYER ALI</t>
  </si>
  <si>
    <t>'954005675OV</t>
  </si>
  <si>
    <t>'961205950</t>
  </si>
  <si>
    <t>ANGELITA RAMIREZ</t>
  </si>
  <si>
    <t>'961205950OV</t>
  </si>
  <si>
    <t>'A04284564</t>
  </si>
  <si>
    <t>UHC AARP Med Supp IL Area 1- Plan  B C F G</t>
  </si>
  <si>
    <t>'A04284614</t>
  </si>
  <si>
    <t>CATHERINE DROBYSH</t>
  </si>
  <si>
    <t>'A04284948</t>
  </si>
  <si>
    <t>UHC AARP Med Supp CO all plans</t>
  </si>
  <si>
    <t>'A04285305</t>
  </si>
  <si>
    <t>MARIA TINARI</t>
  </si>
  <si>
    <t>'043689</t>
  </si>
  <si>
    <t>ANNE MARIE KOZACHECK</t>
  </si>
  <si>
    <t>UHC AARP Med Supp PA Area 1 2024- Plan  N</t>
  </si>
  <si>
    <t>CB</t>
  </si>
  <si>
    <t>'00022126595KPC</t>
  </si>
  <si>
    <t>JOSEFINA APULI</t>
  </si>
  <si>
    <t>CHARGEBACK</t>
  </si>
  <si>
    <t>'926202494OVPC</t>
  </si>
  <si>
    <t>CAROLINE LAGUIMON</t>
  </si>
  <si>
    <t>LA</t>
  </si>
  <si>
    <t>'926202494PC</t>
  </si>
  <si>
    <t>Aetna MAPD OVR 2025</t>
  </si>
  <si>
    <t>Cigna MAPD 2025 Ovr</t>
  </si>
  <si>
    <t>Humana MAPD OVR 2025</t>
  </si>
  <si>
    <t>Humana PDP 2025!</t>
  </si>
  <si>
    <t>UHC MAPD Ovr 2025</t>
  </si>
  <si>
    <t>UHC PDP 2025!</t>
  </si>
  <si>
    <t>UHC AARP MS CO all plans</t>
  </si>
  <si>
    <t>UHC AARP MS IL Area 1 - Plan B C F G</t>
  </si>
  <si>
    <t>UHC AARP MS PA Area 1 2024- Plan N</t>
  </si>
  <si>
    <t>UHC MAPD 2025*</t>
  </si>
  <si>
    <t>102066652900A</t>
  </si>
  <si>
    <t>39A6F2R92</t>
  </si>
  <si>
    <t>14F1H6R78</t>
  </si>
  <si>
    <t>00023387842K</t>
  </si>
  <si>
    <t>00023387383K</t>
  </si>
  <si>
    <t>00023385843K</t>
  </si>
  <si>
    <t>00023381885K</t>
  </si>
  <si>
    <t>00023381691K</t>
  </si>
  <si>
    <t>00023380373K</t>
  </si>
  <si>
    <t>00023380372K</t>
  </si>
  <si>
    <t>00023379399K</t>
  </si>
  <si>
    <t>00023376956K</t>
  </si>
  <si>
    <t>00023376879K</t>
  </si>
  <si>
    <t>00023375098K</t>
  </si>
  <si>
    <t>00022126595KPC</t>
  </si>
  <si>
    <t>00014035131K</t>
  </si>
  <si>
    <t>00011895530K</t>
  </si>
  <si>
    <t>00010609758K</t>
  </si>
  <si>
    <t>00023379873KPDP</t>
  </si>
  <si>
    <t>A04284948</t>
  </si>
  <si>
    <t>A04284614</t>
  </si>
  <si>
    <t>A04284564</t>
  </si>
  <si>
    <t>A04285305</t>
  </si>
  <si>
    <t>961205950OV</t>
  </si>
  <si>
    <t>954005675OV</t>
  </si>
  <si>
    <t>932036093OV</t>
  </si>
  <si>
    <t>926202494OVPC</t>
  </si>
  <si>
    <t>913275310OV</t>
  </si>
  <si>
    <t>926202494PC</t>
  </si>
  <si>
    <t>[%/$=313][prorate=7/12]</t>
  </si>
  <si>
    <t>[%/$=313][prorate=8/12]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</si>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</sst>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17F7-7CDB-431D-87E9-ED6BE433E617}">
  <dimension ref="A1:AL43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45819</v>
      </c>
      <c r="B2" s="1">
        <v>45819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45809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5494141</v>
      </c>
    </row>
    <row r="3" spans="1:38" x14ac:dyDescent="0.25">
      <c r="A3" s="1">
        <v>45819</v>
      </c>
      <c r="B3" s="1">
        <v>45819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58</v>
      </c>
      <c r="R3" t="s">
        <v>50</v>
      </c>
      <c r="S3" s="1">
        <v>45689</v>
      </c>
      <c r="U3" t="s">
        <v>51</v>
      </c>
      <c r="X3" t="s">
        <v>52</v>
      </c>
      <c r="Y3" s="2">
        <v>0</v>
      </c>
      <c r="Z3" s="2">
        <v>72.36</v>
      </c>
      <c r="AA3">
        <v>1</v>
      </c>
      <c r="AB3" s="3">
        <v>1</v>
      </c>
      <c r="AC3" s="2">
        <v>72.36</v>
      </c>
      <c r="AD3" s="3">
        <v>0</v>
      </c>
      <c r="AE3" s="2">
        <v>0</v>
      </c>
      <c r="AF3" s="2">
        <v>72.36</v>
      </c>
      <c r="AK3">
        <v>0</v>
      </c>
      <c r="AL3" t="s">
        <v>59</v>
      </c>
    </row>
    <row r="4" spans="1:38" x14ac:dyDescent="0.25">
      <c r="A4" s="1">
        <v>45819</v>
      </c>
      <c r="B4" s="1">
        <v>45819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49</v>
      </c>
      <c r="R4" t="s">
        <v>50</v>
      </c>
      <c r="S4" s="1">
        <v>45809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5494147</v>
      </c>
    </row>
    <row r="5" spans="1:38" x14ac:dyDescent="0.25">
      <c r="A5" s="1">
        <v>45819</v>
      </c>
      <c r="B5" s="1">
        <v>45819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49</v>
      </c>
      <c r="R5" t="s">
        <v>68</v>
      </c>
      <c r="S5" s="1">
        <v>45839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5494177</v>
      </c>
    </row>
    <row r="6" spans="1:38" x14ac:dyDescent="0.25">
      <c r="A6" s="1">
        <v>45819</v>
      </c>
      <c r="B6" s="1">
        <v>45819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71</v>
      </c>
      <c r="O6" t="s">
        <v>66</v>
      </c>
      <c r="P6" t="s">
        <v>67</v>
      </c>
      <c r="Q6" t="s">
        <v>49</v>
      </c>
      <c r="R6" t="s">
        <v>68</v>
      </c>
      <c r="S6" s="1">
        <v>45809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5494189</v>
      </c>
    </row>
    <row r="7" spans="1:38" x14ac:dyDescent="0.25">
      <c r="A7" s="1">
        <v>45819</v>
      </c>
      <c r="B7" s="1">
        <v>45819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49</v>
      </c>
      <c r="R7" t="s">
        <v>68</v>
      </c>
      <c r="S7" s="1">
        <v>45809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5494191</v>
      </c>
    </row>
    <row r="8" spans="1:38" x14ac:dyDescent="0.25">
      <c r="A8" s="1">
        <v>45819</v>
      </c>
      <c r="B8" s="1">
        <v>45819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71</v>
      </c>
      <c r="O8" t="s">
        <v>66</v>
      </c>
      <c r="P8" t="s">
        <v>67</v>
      </c>
      <c r="Q8" t="s">
        <v>49</v>
      </c>
      <c r="R8" t="s">
        <v>68</v>
      </c>
      <c r="S8" s="1">
        <v>45809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5494207</v>
      </c>
    </row>
    <row r="9" spans="1:38" x14ac:dyDescent="0.25">
      <c r="A9" s="1">
        <v>45819</v>
      </c>
      <c r="B9" s="1">
        <v>45819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56</v>
      </c>
      <c r="P9" t="s">
        <v>57</v>
      </c>
      <c r="Q9" t="s">
        <v>49</v>
      </c>
      <c r="R9" t="s">
        <v>80</v>
      </c>
      <c r="S9" s="1">
        <v>45839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5494211</v>
      </c>
    </row>
    <row r="10" spans="1:38" x14ac:dyDescent="0.25">
      <c r="A10" s="1">
        <v>45819</v>
      </c>
      <c r="B10" s="1">
        <v>45819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68</v>
      </c>
      <c r="S10" s="1">
        <v>45809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5494214</v>
      </c>
    </row>
    <row r="11" spans="1:38" x14ac:dyDescent="0.25">
      <c r="A11" s="1">
        <v>45819</v>
      </c>
      <c r="B11" s="1">
        <v>45819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83</v>
      </c>
      <c r="P11" t="s">
        <v>84</v>
      </c>
      <c r="Q11" t="s">
        <v>49</v>
      </c>
      <c r="R11" t="s">
        <v>68</v>
      </c>
      <c r="S11" s="1">
        <v>45809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5494215</v>
      </c>
    </row>
    <row r="12" spans="1:38" x14ac:dyDescent="0.25">
      <c r="A12" s="1">
        <v>45819</v>
      </c>
      <c r="B12" s="1">
        <v>45819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46</v>
      </c>
      <c r="O12" t="s">
        <v>74</v>
      </c>
      <c r="P12" t="s">
        <v>75</v>
      </c>
      <c r="Q12" t="s">
        <v>49</v>
      </c>
      <c r="R12" t="s">
        <v>68</v>
      </c>
      <c r="S12" s="1">
        <v>45809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5494225</v>
      </c>
    </row>
    <row r="13" spans="1:38" x14ac:dyDescent="0.25">
      <c r="A13" s="1">
        <v>45819</v>
      </c>
      <c r="B13" s="1">
        <v>45819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89</v>
      </c>
      <c r="J13" t="s">
        <v>90</v>
      </c>
      <c r="M13" t="s">
        <v>46</v>
      </c>
      <c r="O13" t="s">
        <v>91</v>
      </c>
      <c r="P13" t="s">
        <v>92</v>
      </c>
      <c r="Q13" t="s">
        <v>49</v>
      </c>
      <c r="R13" t="s">
        <v>68</v>
      </c>
      <c r="S13" s="1">
        <v>45870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5494229</v>
      </c>
    </row>
    <row r="14" spans="1:38" x14ac:dyDescent="0.25">
      <c r="A14" s="1">
        <v>45819</v>
      </c>
      <c r="B14" s="1">
        <v>45819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46</v>
      </c>
      <c r="O14" t="s">
        <v>95</v>
      </c>
      <c r="P14" t="s">
        <v>96</v>
      </c>
      <c r="Q14" t="s">
        <v>49</v>
      </c>
      <c r="R14" t="s">
        <v>68</v>
      </c>
      <c r="S14" s="1">
        <v>45870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5494247</v>
      </c>
    </row>
    <row r="15" spans="1:38" x14ac:dyDescent="0.25">
      <c r="A15" s="1">
        <v>45819</v>
      </c>
      <c r="B15" s="1">
        <v>45819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46</v>
      </c>
      <c r="O15" t="s">
        <v>99</v>
      </c>
      <c r="P15" t="s">
        <v>100</v>
      </c>
      <c r="Q15" t="s">
        <v>49</v>
      </c>
      <c r="R15" t="s">
        <v>68</v>
      </c>
      <c r="S15" s="1">
        <v>45809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5494265</v>
      </c>
    </row>
    <row r="16" spans="1:38" x14ac:dyDescent="0.25">
      <c r="A16" s="1">
        <v>45819</v>
      </c>
      <c r="B16" s="1">
        <v>45819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46</v>
      </c>
      <c r="O16" t="s">
        <v>74</v>
      </c>
      <c r="P16" t="s">
        <v>75</v>
      </c>
      <c r="Q16" t="s">
        <v>49</v>
      </c>
      <c r="R16" t="s">
        <v>68</v>
      </c>
      <c r="S16" s="1">
        <v>45809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5494271</v>
      </c>
    </row>
    <row r="17" spans="1:38" x14ac:dyDescent="0.25">
      <c r="A17" s="1">
        <v>45819</v>
      </c>
      <c r="B17" s="1">
        <v>45819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105</v>
      </c>
      <c r="P17" t="s">
        <v>106</v>
      </c>
      <c r="Q17" t="s">
        <v>49</v>
      </c>
      <c r="R17" t="s">
        <v>107</v>
      </c>
      <c r="S17" s="1">
        <v>45839</v>
      </c>
      <c r="U17" t="s">
        <v>51</v>
      </c>
      <c r="X17" t="s">
        <v>52</v>
      </c>
      <c r="Y17" s="2">
        <v>0</v>
      </c>
      <c r="Z17" s="2">
        <v>27.5</v>
      </c>
      <c r="AA17">
        <v>1</v>
      </c>
      <c r="AB17" s="3">
        <v>1</v>
      </c>
      <c r="AC17" s="2">
        <v>27.5</v>
      </c>
      <c r="AD17" s="3">
        <v>0</v>
      </c>
      <c r="AE17" s="2">
        <v>0</v>
      </c>
      <c r="AF17" s="2">
        <v>27.5</v>
      </c>
      <c r="AK17">
        <v>5494320</v>
      </c>
      <c r="AL17" t="s">
        <v>108</v>
      </c>
    </row>
    <row r="18" spans="1:38" x14ac:dyDescent="0.25">
      <c r="A18" s="1">
        <v>45819</v>
      </c>
      <c r="B18" s="1">
        <v>45819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109</v>
      </c>
      <c r="J18" t="s">
        <v>104</v>
      </c>
      <c r="M18" t="s">
        <v>46</v>
      </c>
      <c r="O18" t="s">
        <v>105</v>
      </c>
      <c r="P18" t="s">
        <v>106</v>
      </c>
      <c r="Q18" t="s">
        <v>49</v>
      </c>
      <c r="R18" t="s">
        <v>110</v>
      </c>
      <c r="S18" s="1">
        <v>45839</v>
      </c>
      <c r="U18" t="s">
        <v>51</v>
      </c>
      <c r="X18" t="s">
        <v>52</v>
      </c>
      <c r="Y18" s="2">
        <v>0</v>
      </c>
      <c r="Z18" s="2">
        <v>0</v>
      </c>
      <c r="AA18">
        <v>1</v>
      </c>
      <c r="AB18" s="3">
        <v>0</v>
      </c>
      <c r="AC18" s="2">
        <v>0</v>
      </c>
      <c r="AD18" s="3">
        <v>0</v>
      </c>
      <c r="AE18" s="2">
        <v>0</v>
      </c>
      <c r="AF18" s="2">
        <v>0</v>
      </c>
      <c r="AK18">
        <v>5494321</v>
      </c>
      <c r="AL18" t="s">
        <v>108</v>
      </c>
    </row>
    <row r="19" spans="1:38" x14ac:dyDescent="0.25">
      <c r="A19" s="1">
        <v>45819</v>
      </c>
      <c r="B19" s="1">
        <v>45819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113</v>
      </c>
      <c r="O19" t="s">
        <v>114</v>
      </c>
      <c r="P19" t="s">
        <v>115</v>
      </c>
      <c r="Q19" t="s">
        <v>49</v>
      </c>
      <c r="R19" t="s">
        <v>107</v>
      </c>
      <c r="S19" s="1">
        <v>45839</v>
      </c>
      <c r="U19" t="s">
        <v>51</v>
      </c>
      <c r="X19" t="s">
        <v>52</v>
      </c>
      <c r="Y19" s="2">
        <v>0</v>
      </c>
      <c r="Z19" s="2">
        <v>27.5</v>
      </c>
      <c r="AA19">
        <v>1</v>
      </c>
      <c r="AB19" s="3">
        <v>1</v>
      </c>
      <c r="AC19" s="2">
        <v>27.5</v>
      </c>
      <c r="AD19" s="3">
        <v>0</v>
      </c>
      <c r="AE19" s="2">
        <v>0</v>
      </c>
      <c r="AF19" s="2">
        <v>27.5</v>
      </c>
      <c r="AK19">
        <v>5494328</v>
      </c>
      <c r="AL19" t="s">
        <v>108</v>
      </c>
    </row>
    <row r="20" spans="1:38" x14ac:dyDescent="0.25">
      <c r="A20" s="1">
        <v>45819</v>
      </c>
      <c r="B20" s="1">
        <v>45819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112</v>
      </c>
      <c r="M20" t="s">
        <v>113</v>
      </c>
      <c r="O20" t="s">
        <v>114</v>
      </c>
      <c r="P20" t="s">
        <v>115</v>
      </c>
      <c r="Q20" t="s">
        <v>49</v>
      </c>
      <c r="R20" t="s">
        <v>110</v>
      </c>
      <c r="S20" s="1">
        <v>45839</v>
      </c>
      <c r="U20" t="s">
        <v>51</v>
      </c>
      <c r="X20" t="s">
        <v>52</v>
      </c>
      <c r="Y20" s="2">
        <v>0</v>
      </c>
      <c r="Z20" s="2">
        <v>0</v>
      </c>
      <c r="AA20">
        <v>1</v>
      </c>
      <c r="AB20" s="3">
        <v>0</v>
      </c>
      <c r="AC20" s="2">
        <v>0</v>
      </c>
      <c r="AD20" s="3">
        <v>0</v>
      </c>
      <c r="AE20" s="2">
        <v>0</v>
      </c>
      <c r="AF20" s="2">
        <v>0</v>
      </c>
      <c r="AK20">
        <v>5494329</v>
      </c>
      <c r="AL20" t="s">
        <v>108</v>
      </c>
    </row>
    <row r="21" spans="1:38" x14ac:dyDescent="0.25">
      <c r="A21" s="1">
        <v>45819</v>
      </c>
      <c r="B21" s="1">
        <v>45819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119</v>
      </c>
      <c r="O21" t="s">
        <v>120</v>
      </c>
      <c r="P21" t="s">
        <v>121</v>
      </c>
      <c r="Q21" t="s">
        <v>58</v>
      </c>
      <c r="R21" t="s">
        <v>122</v>
      </c>
      <c r="S21" s="1">
        <v>45689</v>
      </c>
      <c r="U21" t="s">
        <v>51</v>
      </c>
      <c r="X21" t="s">
        <v>52</v>
      </c>
      <c r="Y21" s="2">
        <v>0</v>
      </c>
      <c r="Z21" s="2">
        <v>29.16</v>
      </c>
      <c r="AA21">
        <v>1</v>
      </c>
      <c r="AB21" s="3">
        <v>1</v>
      </c>
      <c r="AC21" s="2">
        <v>29.16</v>
      </c>
      <c r="AD21" s="3">
        <v>0</v>
      </c>
      <c r="AE21" s="2">
        <v>0</v>
      </c>
      <c r="AF21" s="2">
        <v>29.16</v>
      </c>
      <c r="AK21">
        <v>0</v>
      </c>
      <c r="AL21" t="s">
        <v>123</v>
      </c>
    </row>
    <row r="22" spans="1:38" x14ac:dyDescent="0.25">
      <c r="A22" s="1">
        <v>45819</v>
      </c>
      <c r="B22" s="1">
        <v>45819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119</v>
      </c>
      <c r="O22" t="s">
        <v>120</v>
      </c>
      <c r="P22" t="s">
        <v>121</v>
      </c>
      <c r="Q22" t="s">
        <v>49</v>
      </c>
      <c r="R22" t="s">
        <v>122</v>
      </c>
      <c r="S22" s="1">
        <v>45809</v>
      </c>
      <c r="U22" t="s">
        <v>51</v>
      </c>
      <c r="X22" t="s">
        <v>52</v>
      </c>
      <c r="Y22" s="2">
        <v>0</v>
      </c>
      <c r="Z22" s="2">
        <v>29.17</v>
      </c>
      <c r="AA22">
        <v>1</v>
      </c>
      <c r="AB22" s="3">
        <v>1</v>
      </c>
      <c r="AC22" s="2">
        <v>29.17</v>
      </c>
      <c r="AD22" s="3">
        <v>0</v>
      </c>
      <c r="AE22" s="2">
        <v>0</v>
      </c>
      <c r="AF22" s="2">
        <v>29.17</v>
      </c>
      <c r="AK22">
        <v>5494051</v>
      </c>
      <c r="AL22" t="s">
        <v>126</v>
      </c>
    </row>
    <row r="23" spans="1:38" x14ac:dyDescent="0.25">
      <c r="A23" s="1">
        <v>45819</v>
      </c>
      <c r="B23" s="1">
        <v>45819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127</v>
      </c>
      <c r="J23" t="s">
        <v>128</v>
      </c>
      <c r="M23" t="s">
        <v>119</v>
      </c>
      <c r="O23" t="s">
        <v>120</v>
      </c>
      <c r="P23" t="s">
        <v>121</v>
      </c>
      <c r="Q23" t="s">
        <v>58</v>
      </c>
      <c r="R23" t="s">
        <v>122</v>
      </c>
      <c r="S23" s="1">
        <v>45809</v>
      </c>
      <c r="U23" t="s">
        <v>51</v>
      </c>
      <c r="X23" t="s">
        <v>52</v>
      </c>
      <c r="Y23" s="2">
        <v>0</v>
      </c>
      <c r="Z23" s="2">
        <v>29.17</v>
      </c>
      <c r="AA23">
        <v>1</v>
      </c>
      <c r="AB23" s="3">
        <v>1</v>
      </c>
      <c r="AC23" s="2">
        <v>29.17</v>
      </c>
      <c r="AD23" s="3">
        <v>0</v>
      </c>
      <c r="AE23" s="2">
        <v>0</v>
      </c>
      <c r="AF23" s="2">
        <v>29.17</v>
      </c>
      <c r="AK23">
        <v>5494055</v>
      </c>
      <c r="AL23" t="s">
        <v>126</v>
      </c>
    </row>
    <row r="24" spans="1:38" x14ac:dyDescent="0.25">
      <c r="A24" s="1">
        <v>45819</v>
      </c>
      <c r="B24" s="1">
        <v>45819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129</v>
      </c>
      <c r="J24" t="s">
        <v>130</v>
      </c>
      <c r="M24" t="s">
        <v>131</v>
      </c>
      <c r="O24" t="s">
        <v>62</v>
      </c>
      <c r="P24" t="s">
        <v>63</v>
      </c>
      <c r="Q24" t="s">
        <v>49</v>
      </c>
      <c r="R24" t="s">
        <v>122</v>
      </c>
      <c r="S24" s="1">
        <v>45809</v>
      </c>
      <c r="U24" t="s">
        <v>51</v>
      </c>
      <c r="X24" t="s">
        <v>52</v>
      </c>
      <c r="Y24" s="2">
        <v>0</v>
      </c>
      <c r="Z24" s="2">
        <v>29.17</v>
      </c>
      <c r="AA24">
        <v>1</v>
      </c>
      <c r="AB24" s="3">
        <v>1</v>
      </c>
      <c r="AC24" s="2">
        <v>29.17</v>
      </c>
      <c r="AD24" s="3">
        <v>0</v>
      </c>
      <c r="AE24" s="2">
        <v>0</v>
      </c>
      <c r="AF24" s="2">
        <v>29.17</v>
      </c>
      <c r="AK24">
        <v>5494083</v>
      </c>
      <c r="AL24" t="s">
        <v>126</v>
      </c>
    </row>
    <row r="25" spans="1:38" x14ac:dyDescent="0.25">
      <c r="A25" s="1">
        <v>45819</v>
      </c>
      <c r="B25" s="1">
        <v>45819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132</v>
      </c>
      <c r="J25" t="s">
        <v>133</v>
      </c>
      <c r="M25" t="s">
        <v>119</v>
      </c>
      <c r="O25" t="s">
        <v>120</v>
      </c>
      <c r="P25" t="s">
        <v>121</v>
      </c>
      <c r="Q25" t="s">
        <v>49</v>
      </c>
      <c r="R25" t="s">
        <v>122</v>
      </c>
      <c r="S25" s="1">
        <v>45839</v>
      </c>
      <c r="U25" t="s">
        <v>51</v>
      </c>
      <c r="X25" t="s">
        <v>52</v>
      </c>
      <c r="Y25" s="2">
        <v>0</v>
      </c>
      <c r="Z25" s="2">
        <v>25</v>
      </c>
      <c r="AA25">
        <v>1</v>
      </c>
      <c r="AB25" s="3">
        <v>1</v>
      </c>
      <c r="AC25" s="2">
        <v>25</v>
      </c>
      <c r="AD25" s="3">
        <v>0</v>
      </c>
      <c r="AE25" s="2">
        <v>0</v>
      </c>
      <c r="AF25" s="2">
        <v>25</v>
      </c>
      <c r="AK25">
        <v>5494086</v>
      </c>
      <c r="AL25" t="s">
        <v>108</v>
      </c>
    </row>
    <row r="26" spans="1:38" x14ac:dyDescent="0.25">
      <c r="A26" s="1">
        <v>45819</v>
      </c>
      <c r="B26" s="1">
        <v>45819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55</v>
      </c>
      <c r="O26" t="s">
        <v>114</v>
      </c>
      <c r="P26" t="s">
        <v>115</v>
      </c>
      <c r="Q26" t="s">
        <v>49</v>
      </c>
      <c r="R26" t="s">
        <v>122</v>
      </c>
      <c r="S26" s="1">
        <v>45809</v>
      </c>
      <c r="U26" t="s">
        <v>51</v>
      </c>
      <c r="X26" t="s">
        <v>52</v>
      </c>
      <c r="Y26" s="2">
        <v>0</v>
      </c>
      <c r="Z26" s="2">
        <v>29.17</v>
      </c>
      <c r="AA26">
        <v>1</v>
      </c>
      <c r="AB26" s="3">
        <v>1</v>
      </c>
      <c r="AC26" s="2">
        <v>29.17</v>
      </c>
      <c r="AD26" s="3">
        <v>0</v>
      </c>
      <c r="AE26" s="2">
        <v>0</v>
      </c>
      <c r="AF26" s="2">
        <v>29.17</v>
      </c>
      <c r="AK26">
        <v>5494094</v>
      </c>
      <c r="AL26" t="s">
        <v>126</v>
      </c>
    </row>
    <row r="27" spans="1:38" x14ac:dyDescent="0.25">
      <c r="A27" s="1">
        <v>45819</v>
      </c>
      <c r="B27" s="1">
        <v>45819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46</v>
      </c>
      <c r="O27" t="s">
        <v>138</v>
      </c>
      <c r="P27" t="s">
        <v>139</v>
      </c>
      <c r="Q27" t="s">
        <v>49</v>
      </c>
      <c r="R27" t="s">
        <v>140</v>
      </c>
      <c r="S27" s="1">
        <v>45809</v>
      </c>
      <c r="U27" t="s">
        <v>51</v>
      </c>
      <c r="X27" t="s">
        <v>52</v>
      </c>
      <c r="Y27" s="2">
        <v>0</v>
      </c>
      <c r="Z27" s="2">
        <v>100</v>
      </c>
      <c r="AA27">
        <v>1</v>
      </c>
      <c r="AB27" s="3">
        <v>1</v>
      </c>
      <c r="AC27" s="2">
        <v>100</v>
      </c>
      <c r="AD27" s="3">
        <v>0</v>
      </c>
      <c r="AE27" s="2">
        <v>0</v>
      </c>
      <c r="AF27" s="2">
        <v>100</v>
      </c>
      <c r="AK27">
        <v>5494110</v>
      </c>
    </row>
    <row r="28" spans="1:38" x14ac:dyDescent="0.25">
      <c r="A28" s="1">
        <v>45819</v>
      </c>
      <c r="B28" s="1">
        <v>45819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141</v>
      </c>
      <c r="J28" t="s">
        <v>142</v>
      </c>
      <c r="M28" t="s">
        <v>46</v>
      </c>
      <c r="O28" t="s">
        <v>138</v>
      </c>
      <c r="P28" t="s">
        <v>139</v>
      </c>
      <c r="Q28" t="s">
        <v>49</v>
      </c>
      <c r="R28" t="s">
        <v>140</v>
      </c>
      <c r="S28" s="1">
        <v>45809</v>
      </c>
      <c r="U28" t="s">
        <v>51</v>
      </c>
      <c r="X28" t="s">
        <v>52</v>
      </c>
      <c r="Y28" s="2">
        <v>0</v>
      </c>
      <c r="Z28" s="2">
        <v>100</v>
      </c>
      <c r="AA28">
        <v>1</v>
      </c>
      <c r="AB28" s="3">
        <v>1</v>
      </c>
      <c r="AC28" s="2">
        <v>100</v>
      </c>
      <c r="AD28" s="3">
        <v>0</v>
      </c>
      <c r="AE28" s="2">
        <v>0</v>
      </c>
      <c r="AF28" s="2">
        <v>100</v>
      </c>
      <c r="AK28">
        <v>5494111</v>
      </c>
    </row>
    <row r="29" spans="1:38" x14ac:dyDescent="0.25">
      <c r="A29" s="1">
        <v>45819</v>
      </c>
      <c r="B29" s="1">
        <v>45819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143</v>
      </c>
      <c r="J29" t="s">
        <v>144</v>
      </c>
      <c r="M29" t="s">
        <v>113</v>
      </c>
      <c r="O29" t="s">
        <v>114</v>
      </c>
      <c r="P29" t="s">
        <v>115</v>
      </c>
      <c r="Q29" t="s">
        <v>49</v>
      </c>
      <c r="R29" t="s">
        <v>145</v>
      </c>
      <c r="S29" s="1">
        <v>45809</v>
      </c>
      <c r="U29" t="s">
        <v>51</v>
      </c>
      <c r="X29" t="s">
        <v>52</v>
      </c>
      <c r="Y29" s="2">
        <v>0</v>
      </c>
      <c r="Z29" s="2">
        <v>182.58</v>
      </c>
      <c r="AA29">
        <v>1</v>
      </c>
      <c r="AB29" s="3">
        <v>1</v>
      </c>
      <c r="AC29" s="2">
        <v>182.58</v>
      </c>
      <c r="AD29" s="3">
        <v>0</v>
      </c>
      <c r="AE29" s="2">
        <v>0</v>
      </c>
      <c r="AF29" s="2">
        <v>182.58</v>
      </c>
      <c r="AK29">
        <v>5494428</v>
      </c>
      <c r="AL29" t="s">
        <v>126</v>
      </c>
    </row>
    <row r="30" spans="1:38" x14ac:dyDescent="0.25">
      <c r="A30" s="1">
        <v>45819</v>
      </c>
      <c r="B30" s="1">
        <v>45819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146</v>
      </c>
      <c r="J30" t="s">
        <v>144</v>
      </c>
      <c r="M30" t="s">
        <v>113</v>
      </c>
      <c r="O30" t="s">
        <v>114</v>
      </c>
      <c r="P30" t="s">
        <v>115</v>
      </c>
      <c r="Q30" t="s">
        <v>49</v>
      </c>
      <c r="R30" t="s">
        <v>147</v>
      </c>
      <c r="S30" s="1">
        <v>45809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5494429</v>
      </c>
    </row>
    <row r="31" spans="1:38" x14ac:dyDescent="0.25">
      <c r="A31" s="1">
        <v>45819</v>
      </c>
      <c r="B31" s="1">
        <v>45819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148</v>
      </c>
      <c r="J31" t="s">
        <v>149</v>
      </c>
      <c r="M31" t="s">
        <v>46</v>
      </c>
      <c r="O31" t="s">
        <v>150</v>
      </c>
      <c r="P31" t="s">
        <v>151</v>
      </c>
      <c r="Q31" t="s">
        <v>49</v>
      </c>
      <c r="R31" t="s">
        <v>145</v>
      </c>
      <c r="S31" s="1">
        <v>45809</v>
      </c>
      <c r="U31" t="s">
        <v>51</v>
      </c>
      <c r="X31" t="s">
        <v>52</v>
      </c>
      <c r="Y31" s="2">
        <v>0</v>
      </c>
      <c r="Z31" s="2">
        <v>182.58</v>
      </c>
      <c r="AA31">
        <v>1</v>
      </c>
      <c r="AB31" s="3">
        <v>1</v>
      </c>
      <c r="AC31" s="2">
        <v>182.58</v>
      </c>
      <c r="AD31" s="3">
        <v>0</v>
      </c>
      <c r="AE31" s="2">
        <v>0</v>
      </c>
      <c r="AF31" s="2">
        <v>182.58</v>
      </c>
      <c r="AK31">
        <v>5494475</v>
      </c>
      <c r="AL31" t="s">
        <v>126</v>
      </c>
    </row>
    <row r="32" spans="1:38" x14ac:dyDescent="0.25">
      <c r="A32" s="1">
        <v>45819</v>
      </c>
      <c r="B32" s="1">
        <v>45819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152</v>
      </c>
      <c r="J32" t="s">
        <v>149</v>
      </c>
      <c r="M32" t="s">
        <v>46</v>
      </c>
      <c r="O32" t="s">
        <v>150</v>
      </c>
      <c r="P32" t="s">
        <v>151</v>
      </c>
      <c r="Q32" t="s">
        <v>49</v>
      </c>
      <c r="R32" t="s">
        <v>147</v>
      </c>
      <c r="S32" s="1">
        <v>45809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5494476</v>
      </c>
    </row>
    <row r="33" spans="1:38" x14ac:dyDescent="0.25">
      <c r="A33" s="1">
        <v>45819</v>
      </c>
      <c r="B33" s="1">
        <v>45819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153</v>
      </c>
      <c r="J33" t="s">
        <v>154</v>
      </c>
      <c r="M33" t="s">
        <v>46</v>
      </c>
      <c r="O33" t="s">
        <v>150</v>
      </c>
      <c r="P33" t="s">
        <v>151</v>
      </c>
      <c r="Q33" t="s">
        <v>49</v>
      </c>
      <c r="R33" t="s">
        <v>145</v>
      </c>
      <c r="S33" s="1">
        <v>45809</v>
      </c>
      <c r="U33" t="s">
        <v>51</v>
      </c>
      <c r="X33" t="s">
        <v>52</v>
      </c>
      <c r="Y33" s="2">
        <v>0</v>
      </c>
      <c r="Z33" s="2">
        <v>182.58</v>
      </c>
      <c r="AA33">
        <v>1</v>
      </c>
      <c r="AB33" s="3">
        <v>1</v>
      </c>
      <c r="AC33" s="2">
        <v>182.58</v>
      </c>
      <c r="AD33" s="3">
        <v>0</v>
      </c>
      <c r="AE33" s="2">
        <v>0</v>
      </c>
      <c r="AF33" s="2">
        <v>182.58</v>
      </c>
      <c r="AK33">
        <v>5494537</v>
      </c>
      <c r="AL33" t="s">
        <v>126</v>
      </c>
    </row>
    <row r="34" spans="1:38" x14ac:dyDescent="0.25">
      <c r="A34" s="1">
        <v>45819</v>
      </c>
      <c r="B34" s="1">
        <v>45819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155</v>
      </c>
      <c r="J34" t="s">
        <v>154</v>
      </c>
      <c r="M34" t="s">
        <v>46</v>
      </c>
      <c r="O34" t="s">
        <v>150</v>
      </c>
      <c r="P34" t="s">
        <v>151</v>
      </c>
      <c r="Q34" t="s">
        <v>49</v>
      </c>
      <c r="R34" t="s">
        <v>147</v>
      </c>
      <c r="S34" s="1">
        <v>45809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5494538</v>
      </c>
    </row>
    <row r="35" spans="1:38" x14ac:dyDescent="0.25">
      <c r="A35" s="1">
        <v>45819</v>
      </c>
      <c r="B35" s="1">
        <v>45819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156</v>
      </c>
      <c r="J35" t="s">
        <v>157</v>
      </c>
      <c r="M35" t="s">
        <v>46</v>
      </c>
      <c r="O35" t="s">
        <v>150</v>
      </c>
      <c r="P35" t="s">
        <v>151</v>
      </c>
      <c r="Q35" t="s">
        <v>49</v>
      </c>
      <c r="R35" t="s">
        <v>145</v>
      </c>
      <c r="S35" s="1">
        <v>45809</v>
      </c>
      <c r="U35" t="s">
        <v>51</v>
      </c>
      <c r="X35" t="s">
        <v>52</v>
      </c>
      <c r="Y35" s="2">
        <v>0</v>
      </c>
      <c r="Z35" s="2">
        <v>182.58</v>
      </c>
      <c r="AA35">
        <v>1</v>
      </c>
      <c r="AB35" s="3">
        <v>1</v>
      </c>
      <c r="AC35" s="2">
        <v>182.58</v>
      </c>
      <c r="AD35" s="3">
        <v>0</v>
      </c>
      <c r="AE35" s="2">
        <v>0</v>
      </c>
      <c r="AF35" s="2">
        <v>182.58</v>
      </c>
      <c r="AK35">
        <v>5494560</v>
      </c>
      <c r="AL35" t="s">
        <v>126</v>
      </c>
    </row>
    <row r="36" spans="1:38" x14ac:dyDescent="0.25">
      <c r="A36" s="1">
        <v>45819</v>
      </c>
      <c r="B36" s="1">
        <v>45819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158</v>
      </c>
      <c r="J36" t="s">
        <v>157</v>
      </c>
      <c r="M36" t="s">
        <v>46</v>
      </c>
      <c r="O36" t="s">
        <v>150</v>
      </c>
      <c r="P36" t="s">
        <v>151</v>
      </c>
      <c r="Q36" t="s">
        <v>49</v>
      </c>
      <c r="R36" t="s">
        <v>147</v>
      </c>
      <c r="S36" s="1">
        <v>45809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5494561</v>
      </c>
    </row>
    <row r="37" spans="1:38" x14ac:dyDescent="0.25">
      <c r="A37" s="1">
        <v>45819</v>
      </c>
      <c r="B37" s="1">
        <v>45819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159</v>
      </c>
      <c r="J37" t="s">
        <v>79</v>
      </c>
      <c r="M37" t="s">
        <v>46</v>
      </c>
      <c r="O37" t="s">
        <v>56</v>
      </c>
      <c r="P37" t="s">
        <v>57</v>
      </c>
      <c r="Q37" t="s">
        <v>49</v>
      </c>
      <c r="R37" t="s">
        <v>160</v>
      </c>
      <c r="S37" s="1">
        <v>45839</v>
      </c>
      <c r="U37" t="s">
        <v>51</v>
      </c>
      <c r="X37" t="s">
        <v>52</v>
      </c>
      <c r="Y37" s="2">
        <v>0</v>
      </c>
      <c r="Z37" s="2">
        <v>31.98</v>
      </c>
      <c r="AA37">
        <v>9</v>
      </c>
      <c r="AB37" s="3">
        <v>1</v>
      </c>
      <c r="AC37" s="2">
        <v>287.82</v>
      </c>
      <c r="AD37" s="3">
        <v>0</v>
      </c>
      <c r="AE37" s="2">
        <v>0</v>
      </c>
      <c r="AF37" s="2">
        <v>287.82</v>
      </c>
      <c r="AK37">
        <v>5494315</v>
      </c>
    </row>
    <row r="38" spans="1:38" x14ac:dyDescent="0.25">
      <c r="A38" s="1">
        <v>45819</v>
      </c>
      <c r="B38" s="1">
        <v>45819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161</v>
      </c>
      <c r="J38" t="s">
        <v>162</v>
      </c>
      <c r="M38" t="s">
        <v>46</v>
      </c>
      <c r="O38" t="s">
        <v>56</v>
      </c>
      <c r="P38" t="s">
        <v>57</v>
      </c>
      <c r="Q38" t="s">
        <v>49</v>
      </c>
      <c r="R38" t="s">
        <v>160</v>
      </c>
      <c r="S38" s="1">
        <v>45839</v>
      </c>
      <c r="U38" t="s">
        <v>51</v>
      </c>
      <c r="X38" t="s">
        <v>52</v>
      </c>
      <c r="Y38" s="2">
        <v>0</v>
      </c>
      <c r="Z38" s="2">
        <v>31.98</v>
      </c>
      <c r="AA38">
        <v>9</v>
      </c>
      <c r="AB38" s="3">
        <v>1</v>
      </c>
      <c r="AC38" s="2">
        <v>287.82</v>
      </c>
      <c r="AD38" s="3">
        <v>0</v>
      </c>
      <c r="AE38" s="2">
        <v>0</v>
      </c>
      <c r="AF38" s="2">
        <v>287.82</v>
      </c>
      <c r="AK38">
        <v>5494314</v>
      </c>
    </row>
    <row r="39" spans="1:38" x14ac:dyDescent="0.25">
      <c r="A39" s="1">
        <v>45819</v>
      </c>
      <c r="B39" s="1">
        <v>45819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163</v>
      </c>
      <c r="J39" t="s">
        <v>112</v>
      </c>
      <c r="M39" t="s">
        <v>113</v>
      </c>
      <c r="O39" t="s">
        <v>114</v>
      </c>
      <c r="P39" t="s">
        <v>115</v>
      </c>
      <c r="Q39" t="s">
        <v>49</v>
      </c>
      <c r="R39" t="s">
        <v>164</v>
      </c>
      <c r="S39" s="1">
        <v>45839</v>
      </c>
      <c r="U39" t="s">
        <v>51</v>
      </c>
      <c r="X39" t="s">
        <v>52</v>
      </c>
      <c r="Y39" s="2">
        <v>0</v>
      </c>
      <c r="Z39" s="2">
        <v>28.46</v>
      </c>
      <c r="AA39">
        <v>9</v>
      </c>
      <c r="AB39" s="3">
        <v>1</v>
      </c>
      <c r="AC39" s="2">
        <v>256.14</v>
      </c>
      <c r="AD39" s="3">
        <v>0</v>
      </c>
      <c r="AE39" s="2">
        <v>0</v>
      </c>
      <c r="AF39" s="2">
        <v>256.14</v>
      </c>
      <c r="AK39">
        <v>5494313</v>
      </c>
    </row>
    <row r="40" spans="1:38" x14ac:dyDescent="0.25">
      <c r="A40" s="1">
        <v>45819</v>
      </c>
      <c r="B40" s="1">
        <v>45819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165</v>
      </c>
      <c r="J40" t="s">
        <v>166</v>
      </c>
      <c r="M40" t="s">
        <v>119</v>
      </c>
      <c r="O40" t="s">
        <v>167</v>
      </c>
      <c r="P40" t="s">
        <v>168</v>
      </c>
      <c r="Q40" t="s">
        <v>49</v>
      </c>
      <c r="R40" t="s">
        <v>169</v>
      </c>
      <c r="S40" s="1">
        <v>45809</v>
      </c>
      <c r="U40" t="s">
        <v>51</v>
      </c>
      <c r="X40" t="s">
        <v>52</v>
      </c>
      <c r="Y40" s="2">
        <v>0</v>
      </c>
      <c r="Z40" s="2">
        <v>31.02</v>
      </c>
      <c r="AA40">
        <v>9</v>
      </c>
      <c r="AB40" s="3">
        <v>1</v>
      </c>
      <c r="AC40" s="2">
        <v>279.18</v>
      </c>
      <c r="AD40" s="3">
        <v>0</v>
      </c>
      <c r="AE40" s="2">
        <v>0</v>
      </c>
      <c r="AF40" s="2">
        <v>279.18</v>
      </c>
      <c r="AK40">
        <v>5494312</v>
      </c>
    </row>
    <row r="41" spans="1:38" x14ac:dyDescent="0.25">
      <c r="A41" s="1">
        <v>45819</v>
      </c>
      <c r="B41" s="1">
        <v>45819</v>
      </c>
      <c r="C41" t="s">
        <v>170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171</v>
      </c>
      <c r="J41" t="s">
        <v>172</v>
      </c>
      <c r="M41" t="s">
        <v>55</v>
      </c>
      <c r="O41" t="s">
        <v>150</v>
      </c>
      <c r="P41" t="s">
        <v>151</v>
      </c>
      <c r="Q41" t="s">
        <v>173</v>
      </c>
      <c r="R41" t="s">
        <v>68</v>
      </c>
      <c r="S41" s="1">
        <v>45658</v>
      </c>
      <c r="U41" t="s">
        <v>51</v>
      </c>
      <c r="X41" t="s">
        <v>52</v>
      </c>
      <c r="AF41" s="2">
        <v>175</v>
      </c>
      <c r="AG41" s="2">
        <v>0</v>
      </c>
      <c r="AJ41" s="2">
        <v>101.5</v>
      </c>
    </row>
    <row r="42" spans="1:38" x14ac:dyDescent="0.25">
      <c r="A42" s="1">
        <v>45819</v>
      </c>
      <c r="B42" s="1">
        <v>45819</v>
      </c>
      <c r="C42" t="s">
        <v>170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174</v>
      </c>
      <c r="J42" t="s">
        <v>175</v>
      </c>
      <c r="M42" t="s">
        <v>176</v>
      </c>
      <c r="O42" t="s">
        <v>56</v>
      </c>
      <c r="P42" t="s">
        <v>57</v>
      </c>
      <c r="Q42" t="s">
        <v>173</v>
      </c>
      <c r="R42" t="s">
        <v>147</v>
      </c>
      <c r="S42" s="1">
        <v>45748</v>
      </c>
      <c r="U42" t="s">
        <v>51</v>
      </c>
      <c r="X42" t="s">
        <v>52</v>
      </c>
      <c r="AF42" s="2">
        <v>175</v>
      </c>
      <c r="AG42" s="2">
        <v>0</v>
      </c>
      <c r="AJ42" s="2">
        <v>117.77</v>
      </c>
    </row>
    <row r="43" spans="1:38" x14ac:dyDescent="0.25">
      <c r="A43" s="1">
        <v>45819</v>
      </c>
      <c r="B43" s="1">
        <v>45819</v>
      </c>
      <c r="C43" t="s">
        <v>170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177</v>
      </c>
      <c r="J43" t="s">
        <v>175</v>
      </c>
      <c r="M43" t="s">
        <v>176</v>
      </c>
      <c r="O43" t="s">
        <v>56</v>
      </c>
      <c r="P43" t="s">
        <v>57</v>
      </c>
      <c r="Q43" t="s">
        <v>173</v>
      </c>
      <c r="R43" t="s">
        <v>145</v>
      </c>
      <c r="S43" s="1">
        <v>45748</v>
      </c>
      <c r="U43" t="s">
        <v>51</v>
      </c>
      <c r="X43" t="s">
        <v>52</v>
      </c>
      <c r="AF43" s="2">
        <v>234.75</v>
      </c>
      <c r="AG43" s="2">
        <v>0</v>
      </c>
      <c r="AJ43" s="2">
        <v>210.64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B5F3-BAAF-4EE4-A16D-80145117DFA7}">
  <dimension ref="A1:N41"/>
  <sheetViews>
    <sheetView tabSelected="1" topLeftCell="A10" workbookViewId="0">
      <selection activeCell="L38" sqref="L38"/>
    </sheetView>
  </sheetViews>
  <sheetFormatPr defaultRowHeight="15" x14ac:dyDescent="0.25"/>
  <cols>
    <col min="1" max="1" width="17.42578125" style="5" bestFit="1" customWidth="1"/>
    <col min="2" max="2" width="17.42578125" style="5" customWidth="1"/>
    <col min="3" max="3" width="21" bestFit="1" customWidth="1"/>
    <col min="6" max="6" width="23.7109375" bestFit="1" customWidth="1"/>
    <col min="7" max="7" width="47.140625" bestFit="1" customWidth="1"/>
    <col min="13" max="13" width="37" bestFit="1" customWidth="1"/>
  </cols>
  <sheetData>
    <row r="1" spans="1:13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25</v>
      </c>
      <c r="J1" t="s">
        <v>26</v>
      </c>
      <c r="K1" t="s">
        <v>27</v>
      </c>
      <c r="L1" t="s">
        <v>28</v>
      </c>
      <c r="M1" t="s">
        <v>37</v>
      </c>
    </row>
    <row r="2" spans="1:13" x14ac:dyDescent="0.25">
      <c r="A2" s="6">
        <v>102173686600</v>
      </c>
      <c r="B2" s="6" t="str">
        <f>CONCATENATE(A2,0)</f>
        <v>1021736866000</v>
      </c>
      <c r="C2" t="s">
        <v>135</v>
      </c>
      <c r="D2" t="s">
        <v>55</v>
      </c>
      <c r="E2">
        <v>20411454</v>
      </c>
      <c r="F2" t="s">
        <v>219</v>
      </c>
      <c r="G2" t="s">
        <v>122</v>
      </c>
      <c r="H2" s="1">
        <v>45809</v>
      </c>
      <c r="I2" s="2">
        <v>29.17</v>
      </c>
      <c r="J2">
        <v>1</v>
      </c>
      <c r="K2" s="3">
        <v>1</v>
      </c>
      <c r="L2" s="2">
        <v>29.17</v>
      </c>
      <c r="M2" t="s">
        <v>178</v>
      </c>
    </row>
    <row r="3" spans="1:13" x14ac:dyDescent="0.25">
      <c r="A3" s="6">
        <v>102173406800</v>
      </c>
      <c r="B3" s="6" t="str">
        <f t="shared" ref="B3:B24" si="0">CONCATENATE(A3,0)</f>
        <v>1021734068000</v>
      </c>
      <c r="C3" t="s">
        <v>133</v>
      </c>
      <c r="D3" t="s">
        <v>119</v>
      </c>
      <c r="E3">
        <v>20411454</v>
      </c>
      <c r="F3" t="s">
        <v>219</v>
      </c>
      <c r="G3" t="s">
        <v>122</v>
      </c>
      <c r="H3" s="1">
        <v>45839</v>
      </c>
      <c r="I3" s="2">
        <v>25</v>
      </c>
      <c r="J3">
        <v>1</v>
      </c>
      <c r="K3" s="3">
        <v>1</v>
      </c>
      <c r="L3" s="2">
        <v>25</v>
      </c>
      <c r="M3" t="s">
        <v>178</v>
      </c>
    </row>
    <row r="4" spans="1:13" x14ac:dyDescent="0.25">
      <c r="A4" s="6">
        <v>102173389000</v>
      </c>
      <c r="B4" s="6" t="str">
        <f t="shared" si="0"/>
        <v>1021733890000</v>
      </c>
      <c r="C4" t="s">
        <v>130</v>
      </c>
      <c r="D4" t="s">
        <v>131</v>
      </c>
      <c r="E4">
        <v>20411454</v>
      </c>
      <c r="F4" t="s">
        <v>219</v>
      </c>
      <c r="G4" t="s">
        <v>122</v>
      </c>
      <c r="H4" s="1">
        <v>45809</v>
      </c>
      <c r="I4" s="2">
        <v>29.17</v>
      </c>
      <c r="J4">
        <v>1</v>
      </c>
      <c r="K4" s="3">
        <v>1</v>
      </c>
      <c r="L4" s="2">
        <v>29.17</v>
      </c>
      <c r="M4" t="s">
        <v>178</v>
      </c>
    </row>
    <row r="5" spans="1:13" x14ac:dyDescent="0.25">
      <c r="A5" s="6" t="s">
        <v>188</v>
      </c>
      <c r="B5" s="6" t="str">
        <f t="shared" si="0"/>
        <v>102066652900A0</v>
      </c>
      <c r="C5" t="s">
        <v>128</v>
      </c>
      <c r="D5" t="s">
        <v>119</v>
      </c>
      <c r="E5">
        <v>20411454</v>
      </c>
      <c r="F5" t="s">
        <v>219</v>
      </c>
      <c r="G5" t="s">
        <v>122</v>
      </c>
      <c r="H5" s="1">
        <v>45809</v>
      </c>
      <c r="I5" s="2">
        <v>29.17</v>
      </c>
      <c r="J5">
        <v>1</v>
      </c>
      <c r="K5" s="3">
        <v>1</v>
      </c>
      <c r="L5" s="2">
        <v>29.17</v>
      </c>
      <c r="M5" t="s">
        <v>178</v>
      </c>
    </row>
    <row r="6" spans="1:13" x14ac:dyDescent="0.25">
      <c r="A6" s="6">
        <v>101095513800</v>
      </c>
      <c r="B6" s="6" t="str">
        <f t="shared" si="0"/>
        <v>1010955138000</v>
      </c>
      <c r="C6" t="s">
        <v>125</v>
      </c>
      <c r="D6" t="s">
        <v>119</v>
      </c>
      <c r="E6">
        <v>20411454</v>
      </c>
      <c r="F6" t="s">
        <v>219</v>
      </c>
      <c r="G6" t="s">
        <v>122</v>
      </c>
      <c r="H6" s="1">
        <v>45809</v>
      </c>
      <c r="I6" s="2">
        <v>29.17</v>
      </c>
      <c r="J6">
        <v>1</v>
      </c>
      <c r="K6" s="3">
        <v>1</v>
      </c>
      <c r="L6" s="2">
        <v>29.17</v>
      </c>
      <c r="M6" t="s">
        <v>178</v>
      </c>
    </row>
    <row r="7" spans="1:13" x14ac:dyDescent="0.25">
      <c r="A7" s="6">
        <v>101068686100</v>
      </c>
      <c r="B7" s="6" t="str">
        <f t="shared" si="0"/>
        <v>1010686861000</v>
      </c>
      <c r="C7" t="s">
        <v>118</v>
      </c>
      <c r="D7" t="s">
        <v>119</v>
      </c>
      <c r="E7">
        <v>20411454</v>
      </c>
      <c r="F7" t="s">
        <v>219</v>
      </c>
      <c r="G7" t="s">
        <v>122</v>
      </c>
      <c r="H7" s="1">
        <v>45689</v>
      </c>
      <c r="I7" s="2">
        <v>29.16</v>
      </c>
      <c r="J7">
        <v>1</v>
      </c>
      <c r="K7" s="3">
        <v>1</v>
      </c>
      <c r="L7" s="2">
        <v>29.16</v>
      </c>
      <c r="M7" t="s">
        <v>178</v>
      </c>
    </row>
    <row r="8" spans="1:13" x14ac:dyDescent="0.25">
      <c r="A8" s="6" t="s">
        <v>189</v>
      </c>
      <c r="B8" s="6" t="str">
        <f t="shared" si="0"/>
        <v>39A6F2R920</v>
      </c>
      <c r="C8" t="s">
        <v>142</v>
      </c>
      <c r="D8" t="s">
        <v>46</v>
      </c>
      <c r="E8">
        <v>20411454</v>
      </c>
      <c r="F8" t="s">
        <v>219</v>
      </c>
      <c r="G8" t="s">
        <v>140</v>
      </c>
      <c r="H8" s="1">
        <v>45809</v>
      </c>
      <c r="I8" s="2">
        <v>100</v>
      </c>
      <c r="J8">
        <v>1</v>
      </c>
      <c r="K8" s="3">
        <v>1</v>
      </c>
      <c r="L8" s="2">
        <v>100</v>
      </c>
      <c r="M8" t="s">
        <v>179</v>
      </c>
    </row>
    <row r="9" spans="1:13" x14ac:dyDescent="0.25">
      <c r="A9" s="6" t="s">
        <v>190</v>
      </c>
      <c r="B9" s="6" t="str">
        <f t="shared" si="0"/>
        <v>14F1H6R780</v>
      </c>
      <c r="C9" t="s">
        <v>137</v>
      </c>
      <c r="D9" t="s">
        <v>46</v>
      </c>
      <c r="E9">
        <v>20411454</v>
      </c>
      <c r="F9" t="s">
        <v>219</v>
      </c>
      <c r="G9" t="s">
        <v>140</v>
      </c>
      <c r="H9" s="1">
        <v>45809</v>
      </c>
      <c r="I9" s="2">
        <v>100</v>
      </c>
      <c r="J9">
        <v>1</v>
      </c>
      <c r="K9" s="3">
        <v>1</v>
      </c>
      <c r="L9" s="2">
        <v>100</v>
      </c>
      <c r="M9" t="s">
        <v>179</v>
      </c>
    </row>
    <row r="10" spans="1:13" x14ac:dyDescent="0.25">
      <c r="A10" s="6" t="s">
        <v>191</v>
      </c>
      <c r="B10" s="6" t="str">
        <f t="shared" si="0"/>
        <v>00023387842K0</v>
      </c>
      <c r="C10" t="s">
        <v>102</v>
      </c>
      <c r="D10" t="s">
        <v>46</v>
      </c>
      <c r="E10">
        <v>20411454</v>
      </c>
      <c r="F10" t="s">
        <v>219</v>
      </c>
      <c r="G10" t="s">
        <v>68</v>
      </c>
      <c r="H10" s="1">
        <v>45809</v>
      </c>
      <c r="I10" s="2">
        <v>175</v>
      </c>
      <c r="J10">
        <v>1</v>
      </c>
      <c r="K10" s="3">
        <v>1</v>
      </c>
      <c r="L10" s="2">
        <v>175</v>
      </c>
      <c r="M10" t="s">
        <v>180</v>
      </c>
    </row>
    <row r="11" spans="1:13" x14ac:dyDescent="0.25">
      <c r="A11" s="6" t="s">
        <v>192</v>
      </c>
      <c r="B11" s="6" t="str">
        <f t="shared" si="0"/>
        <v>00023387383K0</v>
      </c>
      <c r="C11" t="s">
        <v>98</v>
      </c>
      <c r="D11" t="s">
        <v>46</v>
      </c>
      <c r="E11">
        <v>20411454</v>
      </c>
      <c r="F11" t="s">
        <v>219</v>
      </c>
      <c r="G11" t="s">
        <v>68</v>
      </c>
      <c r="H11" s="1">
        <v>45809</v>
      </c>
      <c r="I11" s="2">
        <v>175</v>
      </c>
      <c r="J11">
        <v>1</v>
      </c>
      <c r="K11" s="3">
        <v>1</v>
      </c>
      <c r="L11" s="2">
        <v>175</v>
      </c>
      <c r="M11" t="s">
        <v>180</v>
      </c>
    </row>
    <row r="12" spans="1:13" x14ac:dyDescent="0.25">
      <c r="A12" s="6" t="s">
        <v>193</v>
      </c>
      <c r="B12" s="6" t="str">
        <f t="shared" si="0"/>
        <v>00023385843K0</v>
      </c>
      <c r="C12" t="s">
        <v>94</v>
      </c>
      <c r="D12" t="s">
        <v>46</v>
      </c>
      <c r="E12">
        <v>20411454</v>
      </c>
      <c r="F12" t="s">
        <v>219</v>
      </c>
      <c r="G12" t="s">
        <v>68</v>
      </c>
      <c r="H12" s="1">
        <v>45870</v>
      </c>
      <c r="I12" s="2">
        <v>175</v>
      </c>
      <c r="J12">
        <v>1</v>
      </c>
      <c r="K12" s="3">
        <v>1</v>
      </c>
      <c r="L12" s="2">
        <v>175</v>
      </c>
      <c r="M12" t="s">
        <v>180</v>
      </c>
    </row>
    <row r="13" spans="1:13" x14ac:dyDescent="0.25">
      <c r="A13" s="6" t="s">
        <v>194</v>
      </c>
      <c r="B13" s="6" t="str">
        <f t="shared" si="0"/>
        <v>00023381885K0</v>
      </c>
      <c r="C13" t="s">
        <v>90</v>
      </c>
      <c r="D13" t="s">
        <v>46</v>
      </c>
      <c r="E13">
        <v>20411454</v>
      </c>
      <c r="F13" t="s">
        <v>219</v>
      </c>
      <c r="G13" t="s">
        <v>68</v>
      </c>
      <c r="H13" s="1">
        <v>45870</v>
      </c>
      <c r="I13" s="2">
        <v>175</v>
      </c>
      <c r="J13">
        <v>1</v>
      </c>
      <c r="K13" s="3">
        <v>1</v>
      </c>
      <c r="L13" s="2">
        <v>175</v>
      </c>
      <c r="M13" t="s">
        <v>180</v>
      </c>
    </row>
    <row r="14" spans="1:13" x14ac:dyDescent="0.25">
      <c r="A14" s="6" t="s">
        <v>195</v>
      </c>
      <c r="B14" s="6" t="str">
        <f t="shared" si="0"/>
        <v>00023381691K0</v>
      </c>
      <c r="C14" t="s">
        <v>88</v>
      </c>
      <c r="D14" t="s">
        <v>46</v>
      </c>
      <c r="E14">
        <v>20411454</v>
      </c>
      <c r="F14" t="s">
        <v>219</v>
      </c>
      <c r="G14" t="s">
        <v>68</v>
      </c>
      <c r="H14" s="1">
        <v>45809</v>
      </c>
      <c r="I14" s="2">
        <v>175</v>
      </c>
      <c r="J14">
        <v>1</v>
      </c>
      <c r="K14" s="3">
        <v>1</v>
      </c>
      <c r="L14" s="2">
        <v>175</v>
      </c>
      <c r="M14" t="s">
        <v>180</v>
      </c>
    </row>
    <row r="15" spans="1:13" x14ac:dyDescent="0.25">
      <c r="A15" s="6" t="s">
        <v>196</v>
      </c>
      <c r="B15" s="6" t="str">
        <f t="shared" si="0"/>
        <v>00023380373K0</v>
      </c>
      <c r="C15" t="s">
        <v>86</v>
      </c>
      <c r="D15" t="s">
        <v>46</v>
      </c>
      <c r="E15">
        <v>20411454</v>
      </c>
      <c r="F15" t="s">
        <v>219</v>
      </c>
      <c r="G15" t="s">
        <v>68</v>
      </c>
      <c r="H15" s="1">
        <v>45809</v>
      </c>
      <c r="I15" s="2">
        <v>175</v>
      </c>
      <c r="J15">
        <v>1</v>
      </c>
      <c r="K15" s="3">
        <v>1</v>
      </c>
      <c r="L15" s="2">
        <v>175</v>
      </c>
      <c r="M15" t="s">
        <v>180</v>
      </c>
    </row>
    <row r="16" spans="1:13" x14ac:dyDescent="0.25">
      <c r="A16" s="6" t="s">
        <v>197</v>
      </c>
      <c r="B16" s="6" t="str">
        <f t="shared" si="0"/>
        <v>00023380372K0</v>
      </c>
      <c r="C16" t="s">
        <v>82</v>
      </c>
      <c r="D16" t="s">
        <v>46</v>
      </c>
      <c r="E16">
        <v>20411454</v>
      </c>
      <c r="F16" t="s">
        <v>219</v>
      </c>
      <c r="G16" t="s">
        <v>68</v>
      </c>
      <c r="H16" s="1">
        <v>45809</v>
      </c>
      <c r="I16" s="2">
        <v>175</v>
      </c>
      <c r="J16">
        <v>1</v>
      </c>
      <c r="K16" s="3">
        <v>1</v>
      </c>
      <c r="L16" s="2">
        <v>175</v>
      </c>
      <c r="M16" t="s">
        <v>180</v>
      </c>
    </row>
    <row r="17" spans="1:13" x14ac:dyDescent="0.25">
      <c r="A17" s="6" t="s">
        <v>198</v>
      </c>
      <c r="B17" s="6" t="str">
        <f t="shared" si="0"/>
        <v>00023379399K0</v>
      </c>
      <c r="C17" t="s">
        <v>77</v>
      </c>
      <c r="D17" t="s">
        <v>71</v>
      </c>
      <c r="E17">
        <v>20411454</v>
      </c>
      <c r="F17" t="s">
        <v>219</v>
      </c>
      <c r="G17" t="s">
        <v>68</v>
      </c>
      <c r="H17" s="1">
        <v>45809</v>
      </c>
      <c r="I17" s="2">
        <v>175</v>
      </c>
      <c r="J17">
        <v>1</v>
      </c>
      <c r="K17" s="3">
        <v>1</v>
      </c>
      <c r="L17" s="2">
        <v>175</v>
      </c>
      <c r="M17" t="s">
        <v>180</v>
      </c>
    </row>
    <row r="18" spans="1:13" x14ac:dyDescent="0.25">
      <c r="A18" s="6" t="s">
        <v>199</v>
      </c>
      <c r="B18" s="6" t="str">
        <f t="shared" si="0"/>
        <v>00023376956K0</v>
      </c>
      <c r="C18" t="s">
        <v>73</v>
      </c>
      <c r="D18" t="s">
        <v>46</v>
      </c>
      <c r="E18">
        <v>20411454</v>
      </c>
      <c r="F18" t="s">
        <v>219</v>
      </c>
      <c r="G18" t="s">
        <v>68</v>
      </c>
      <c r="H18" s="1">
        <v>45809</v>
      </c>
      <c r="I18" s="2">
        <v>175</v>
      </c>
      <c r="J18">
        <v>1</v>
      </c>
      <c r="K18" s="3">
        <v>1</v>
      </c>
      <c r="L18" s="2">
        <v>175</v>
      </c>
      <c r="M18" t="s">
        <v>180</v>
      </c>
    </row>
    <row r="19" spans="1:13" x14ac:dyDescent="0.25">
      <c r="A19" s="6" t="s">
        <v>200</v>
      </c>
      <c r="B19" s="6" t="str">
        <f t="shared" si="0"/>
        <v>00023376879K0</v>
      </c>
      <c r="C19" t="s">
        <v>70</v>
      </c>
      <c r="D19" t="s">
        <v>71</v>
      </c>
      <c r="E19">
        <v>20411454</v>
      </c>
      <c r="F19" t="s">
        <v>219</v>
      </c>
      <c r="G19" t="s">
        <v>68</v>
      </c>
      <c r="H19" s="1">
        <v>45809</v>
      </c>
      <c r="I19" s="2">
        <v>175</v>
      </c>
      <c r="J19">
        <v>1</v>
      </c>
      <c r="K19" s="3">
        <v>1</v>
      </c>
      <c r="L19" s="2">
        <v>175</v>
      </c>
      <c r="M19" t="s">
        <v>180</v>
      </c>
    </row>
    <row r="20" spans="1:13" x14ac:dyDescent="0.25">
      <c r="A20" s="6" t="s">
        <v>201</v>
      </c>
      <c r="B20" s="6" t="str">
        <f t="shared" si="0"/>
        <v>00023375098K0</v>
      </c>
      <c r="C20" t="s">
        <v>65</v>
      </c>
      <c r="D20" t="s">
        <v>46</v>
      </c>
      <c r="E20">
        <v>20411454</v>
      </c>
      <c r="F20" t="s">
        <v>219</v>
      </c>
      <c r="G20" t="s">
        <v>68</v>
      </c>
      <c r="H20" s="1">
        <v>45839</v>
      </c>
      <c r="I20" s="2">
        <v>175</v>
      </c>
      <c r="J20">
        <v>1</v>
      </c>
      <c r="K20" s="3">
        <v>1</v>
      </c>
      <c r="L20" s="2">
        <v>175</v>
      </c>
      <c r="M20" t="s">
        <v>180</v>
      </c>
    </row>
    <row r="21" spans="1:13" x14ac:dyDescent="0.25">
      <c r="A21" s="6" t="s">
        <v>202</v>
      </c>
      <c r="B21" s="6" t="s">
        <v>202</v>
      </c>
      <c r="C21" t="s">
        <v>172</v>
      </c>
      <c r="D21" t="s">
        <v>55</v>
      </c>
      <c r="E21">
        <v>20411454</v>
      </c>
      <c r="F21" t="s">
        <v>219</v>
      </c>
      <c r="G21" t="s">
        <v>68</v>
      </c>
      <c r="H21" s="1">
        <v>45658</v>
      </c>
      <c r="L21" s="4">
        <v>-101.5</v>
      </c>
      <c r="M21" t="s">
        <v>180</v>
      </c>
    </row>
    <row r="22" spans="1:13" x14ac:dyDescent="0.25">
      <c r="A22" s="6" t="s">
        <v>203</v>
      </c>
      <c r="B22" s="6" t="str">
        <f t="shared" si="0"/>
        <v>00014035131K0</v>
      </c>
      <c r="C22" t="s">
        <v>61</v>
      </c>
      <c r="D22" t="s">
        <v>46</v>
      </c>
      <c r="E22">
        <v>20411454</v>
      </c>
      <c r="F22" t="s">
        <v>219</v>
      </c>
      <c r="G22" t="s">
        <v>50</v>
      </c>
      <c r="H22" s="1">
        <v>45809</v>
      </c>
      <c r="I22" s="2">
        <v>108</v>
      </c>
      <c r="J22">
        <v>1</v>
      </c>
      <c r="K22" s="3">
        <v>1</v>
      </c>
      <c r="L22" s="2">
        <v>108</v>
      </c>
      <c r="M22" t="s">
        <v>180</v>
      </c>
    </row>
    <row r="23" spans="1:13" x14ac:dyDescent="0.25">
      <c r="A23" s="6" t="s">
        <v>204</v>
      </c>
      <c r="B23" s="6" t="str">
        <f t="shared" si="0"/>
        <v>00011895530K0</v>
      </c>
      <c r="C23" t="s">
        <v>54</v>
      </c>
      <c r="D23" t="s">
        <v>55</v>
      </c>
      <c r="E23">
        <v>20411454</v>
      </c>
      <c r="F23" t="s">
        <v>219</v>
      </c>
      <c r="G23" t="s">
        <v>50</v>
      </c>
      <c r="H23" s="1">
        <v>45689</v>
      </c>
      <c r="I23" s="2">
        <v>72.36</v>
      </c>
      <c r="J23">
        <v>1</v>
      </c>
      <c r="K23" s="3">
        <v>1</v>
      </c>
      <c r="L23" s="2">
        <v>72.36</v>
      </c>
      <c r="M23" t="s">
        <v>180</v>
      </c>
    </row>
    <row r="24" spans="1:13" x14ac:dyDescent="0.25">
      <c r="A24" s="6" t="s">
        <v>205</v>
      </c>
      <c r="B24" s="6" t="str">
        <f t="shared" si="0"/>
        <v>00010609758K0</v>
      </c>
      <c r="C24" t="s">
        <v>45</v>
      </c>
      <c r="D24" t="s">
        <v>46</v>
      </c>
      <c r="E24">
        <v>20411454</v>
      </c>
      <c r="F24" t="s">
        <v>219</v>
      </c>
      <c r="G24" t="s">
        <v>50</v>
      </c>
      <c r="H24" s="1">
        <v>45809</v>
      </c>
      <c r="I24" s="2">
        <v>108</v>
      </c>
      <c r="J24">
        <v>1</v>
      </c>
      <c r="K24" s="3">
        <v>1</v>
      </c>
      <c r="L24" s="2">
        <v>108</v>
      </c>
      <c r="M24" t="s">
        <v>180</v>
      </c>
    </row>
    <row r="25" spans="1:13" s="8" customFormat="1" x14ac:dyDescent="0.25">
      <c r="A25" s="7" t="s">
        <v>206</v>
      </c>
      <c r="B25" s="7" t="s">
        <v>206</v>
      </c>
      <c r="C25" s="8" t="s">
        <v>79</v>
      </c>
      <c r="D25" s="8" t="s">
        <v>46</v>
      </c>
      <c r="E25" s="8">
        <v>9213293</v>
      </c>
      <c r="F25" s="8" t="s">
        <v>57</v>
      </c>
      <c r="G25" s="8" t="s">
        <v>80</v>
      </c>
      <c r="H25" s="9">
        <v>45839</v>
      </c>
      <c r="I25" s="10">
        <v>15</v>
      </c>
      <c r="J25" s="8">
        <v>1</v>
      </c>
      <c r="K25" s="11">
        <v>1</v>
      </c>
      <c r="L25" s="10">
        <v>15</v>
      </c>
      <c r="M25" s="8" t="s">
        <v>181</v>
      </c>
    </row>
    <row r="26" spans="1:13" s="8" customFormat="1" x14ac:dyDescent="0.25">
      <c r="A26" s="7" t="s">
        <v>207</v>
      </c>
      <c r="B26" s="6" t="str">
        <f>CONCATENATE(A26,1)</f>
        <v>A042849481</v>
      </c>
      <c r="C26" s="8" t="s">
        <v>112</v>
      </c>
      <c r="D26" s="8" t="s">
        <v>113</v>
      </c>
      <c r="E26" s="8">
        <v>6634327</v>
      </c>
      <c r="F26" s="8" t="s">
        <v>115</v>
      </c>
      <c r="G26" s="8" t="s">
        <v>164</v>
      </c>
      <c r="H26" s="9">
        <v>45839</v>
      </c>
      <c r="I26" s="10">
        <v>28.46</v>
      </c>
      <c r="J26" s="8">
        <v>9</v>
      </c>
      <c r="K26" s="11">
        <v>1</v>
      </c>
      <c r="L26" s="10">
        <v>256.14</v>
      </c>
      <c r="M26" s="8" t="s">
        <v>184</v>
      </c>
    </row>
    <row r="27" spans="1:13" s="8" customFormat="1" x14ac:dyDescent="0.25">
      <c r="A27" s="7" t="s">
        <v>208</v>
      </c>
      <c r="B27" s="6" t="str">
        <f t="shared" ref="B27:B29" si="1">CONCATENATE(A27,1)</f>
        <v>A042846141</v>
      </c>
      <c r="C27" s="8" t="s">
        <v>162</v>
      </c>
      <c r="D27" s="8" t="s">
        <v>46</v>
      </c>
      <c r="E27" s="8">
        <v>9213293</v>
      </c>
      <c r="F27" s="8" t="s">
        <v>57</v>
      </c>
      <c r="G27" s="8" t="s">
        <v>160</v>
      </c>
      <c r="H27" s="9">
        <v>45839</v>
      </c>
      <c r="I27" s="10">
        <v>31.98</v>
      </c>
      <c r="J27" s="8">
        <v>9</v>
      </c>
      <c r="K27" s="11">
        <v>1</v>
      </c>
      <c r="L27" s="10">
        <v>287.82</v>
      </c>
      <c r="M27" s="8" t="s">
        <v>185</v>
      </c>
    </row>
    <row r="28" spans="1:13" s="8" customFormat="1" x14ac:dyDescent="0.25">
      <c r="A28" s="7" t="s">
        <v>209</v>
      </c>
      <c r="B28" s="6" t="str">
        <f t="shared" si="1"/>
        <v>A042845641</v>
      </c>
      <c r="C28" s="8" t="s">
        <v>79</v>
      </c>
      <c r="D28" s="8" t="s">
        <v>46</v>
      </c>
      <c r="E28" s="8">
        <v>9213293</v>
      </c>
      <c r="F28" s="8" t="s">
        <v>57</v>
      </c>
      <c r="G28" s="8" t="s">
        <v>160</v>
      </c>
      <c r="H28" s="9">
        <v>45839</v>
      </c>
      <c r="I28" s="10">
        <v>31.98</v>
      </c>
      <c r="J28" s="8">
        <v>9</v>
      </c>
      <c r="K28" s="11">
        <v>1</v>
      </c>
      <c r="L28" s="10">
        <v>287.82</v>
      </c>
      <c r="M28" s="8" t="s">
        <v>185</v>
      </c>
    </row>
    <row r="29" spans="1:13" s="8" customFormat="1" x14ac:dyDescent="0.25">
      <c r="A29" s="7" t="s">
        <v>210</v>
      </c>
      <c r="B29" s="6" t="str">
        <f t="shared" si="1"/>
        <v>A042853051</v>
      </c>
      <c r="C29" s="8" t="s">
        <v>166</v>
      </c>
      <c r="D29" s="8" t="s">
        <v>119</v>
      </c>
      <c r="E29" s="8">
        <v>19278370</v>
      </c>
      <c r="F29" s="8" t="s">
        <v>168</v>
      </c>
      <c r="G29" s="8" t="s">
        <v>169</v>
      </c>
      <c r="H29" s="9">
        <v>45809</v>
      </c>
      <c r="I29" s="10">
        <v>31.02</v>
      </c>
      <c r="J29" s="8">
        <v>9</v>
      </c>
      <c r="K29" s="11">
        <v>1</v>
      </c>
      <c r="L29" s="10">
        <v>279.18</v>
      </c>
      <c r="M29" s="8" t="s">
        <v>186</v>
      </c>
    </row>
    <row r="30" spans="1:13" x14ac:dyDescent="0.25">
      <c r="A30" s="6" t="s">
        <v>211</v>
      </c>
      <c r="B30" s="6" t="s">
        <v>211</v>
      </c>
      <c r="C30" t="s">
        <v>157</v>
      </c>
      <c r="D30" t="s">
        <v>46</v>
      </c>
      <c r="E30">
        <v>20411454</v>
      </c>
      <c r="F30" t="s">
        <v>219</v>
      </c>
      <c r="G30" t="s">
        <v>147</v>
      </c>
      <c r="H30" s="1">
        <v>45809</v>
      </c>
      <c r="I30" s="2">
        <v>175</v>
      </c>
      <c r="J30">
        <v>1</v>
      </c>
      <c r="K30" s="3">
        <v>1</v>
      </c>
      <c r="L30" s="2">
        <v>175</v>
      </c>
      <c r="M30" t="s">
        <v>182</v>
      </c>
    </row>
    <row r="31" spans="1:13" x14ac:dyDescent="0.25">
      <c r="A31" s="6" t="s">
        <v>212</v>
      </c>
      <c r="B31" s="6" t="s">
        <v>212</v>
      </c>
      <c r="C31" t="s">
        <v>154</v>
      </c>
      <c r="D31" t="s">
        <v>46</v>
      </c>
      <c r="E31">
        <v>20411454</v>
      </c>
      <c r="F31" t="s">
        <v>219</v>
      </c>
      <c r="G31" t="s">
        <v>147</v>
      </c>
      <c r="H31" s="1">
        <v>45809</v>
      </c>
      <c r="I31" s="2">
        <v>175</v>
      </c>
      <c r="J31">
        <v>1</v>
      </c>
      <c r="K31" s="3">
        <v>1</v>
      </c>
      <c r="L31" s="2">
        <v>175</v>
      </c>
      <c r="M31" t="s">
        <v>182</v>
      </c>
    </row>
    <row r="32" spans="1:13" x14ac:dyDescent="0.25">
      <c r="A32" s="6" t="s">
        <v>213</v>
      </c>
      <c r="B32" s="6" t="s">
        <v>213</v>
      </c>
      <c r="C32" t="s">
        <v>149</v>
      </c>
      <c r="D32" t="s">
        <v>46</v>
      </c>
      <c r="E32">
        <v>20411454</v>
      </c>
      <c r="F32" t="s">
        <v>219</v>
      </c>
      <c r="G32" t="s">
        <v>147</v>
      </c>
      <c r="H32" s="1">
        <v>45809</v>
      </c>
      <c r="I32" s="2">
        <v>175</v>
      </c>
      <c r="J32">
        <v>1</v>
      </c>
      <c r="K32" s="3">
        <v>1</v>
      </c>
      <c r="L32" s="2">
        <v>175</v>
      </c>
      <c r="M32" t="s">
        <v>182</v>
      </c>
    </row>
    <row r="33" spans="1:14" x14ac:dyDescent="0.25">
      <c r="A33" s="6" t="s">
        <v>214</v>
      </c>
      <c r="B33" s="6" t="s">
        <v>214</v>
      </c>
      <c r="C33" t="s">
        <v>175</v>
      </c>
      <c r="D33" t="s">
        <v>176</v>
      </c>
      <c r="E33">
        <v>20411454</v>
      </c>
      <c r="F33" t="s">
        <v>219</v>
      </c>
      <c r="G33" t="s">
        <v>147</v>
      </c>
      <c r="H33" s="1">
        <v>45748</v>
      </c>
      <c r="L33" s="4">
        <v>-117.77</v>
      </c>
      <c r="M33" t="s">
        <v>182</v>
      </c>
    </row>
    <row r="34" spans="1:14" x14ac:dyDescent="0.25">
      <c r="A34" s="6" t="s">
        <v>215</v>
      </c>
      <c r="B34" s="6" t="s">
        <v>215</v>
      </c>
      <c r="C34" t="s">
        <v>144</v>
      </c>
      <c r="D34" t="s">
        <v>113</v>
      </c>
      <c r="E34">
        <v>20411454</v>
      </c>
      <c r="F34" t="s">
        <v>219</v>
      </c>
      <c r="G34" t="s">
        <v>147</v>
      </c>
      <c r="H34" s="1">
        <v>45809</v>
      </c>
      <c r="I34" s="2">
        <v>175</v>
      </c>
      <c r="J34">
        <v>1</v>
      </c>
      <c r="K34" s="3">
        <v>1</v>
      </c>
      <c r="L34" s="2">
        <v>175</v>
      </c>
      <c r="M34" t="s">
        <v>182</v>
      </c>
    </row>
    <row r="35" spans="1:14" s="8" customFormat="1" x14ac:dyDescent="0.25">
      <c r="A35" s="7">
        <v>961205950</v>
      </c>
      <c r="B35" s="6" t="str">
        <f t="shared" ref="B35:B37" si="2">CONCATENATE(A35,1)</f>
        <v>9612059501</v>
      </c>
      <c r="C35" s="8" t="s">
        <v>157</v>
      </c>
      <c r="D35" s="8" t="s">
        <v>46</v>
      </c>
      <c r="E35" s="8">
        <v>19200754</v>
      </c>
      <c r="F35" s="8" t="s">
        <v>151</v>
      </c>
      <c r="G35" s="8" t="s">
        <v>145</v>
      </c>
      <c r="H35" s="9">
        <v>45809</v>
      </c>
      <c r="I35" s="10">
        <v>182.58</v>
      </c>
      <c r="J35" s="8">
        <v>1</v>
      </c>
      <c r="K35" s="11">
        <v>1</v>
      </c>
      <c r="L35" s="10">
        <v>182.58</v>
      </c>
      <c r="M35" s="8" t="s">
        <v>187</v>
      </c>
      <c r="N35" s="8" t="s">
        <v>217</v>
      </c>
    </row>
    <row r="36" spans="1:14" s="8" customFormat="1" x14ac:dyDescent="0.25">
      <c r="A36" s="7">
        <v>954005675</v>
      </c>
      <c r="B36" s="6" t="str">
        <f t="shared" si="2"/>
        <v>9540056751</v>
      </c>
      <c r="C36" s="8" t="s">
        <v>154</v>
      </c>
      <c r="D36" s="8" t="s">
        <v>46</v>
      </c>
      <c r="E36" s="8">
        <v>19200754</v>
      </c>
      <c r="F36" s="8" t="s">
        <v>151</v>
      </c>
      <c r="G36" s="8" t="s">
        <v>145</v>
      </c>
      <c r="H36" s="9">
        <v>45809</v>
      </c>
      <c r="I36" s="10">
        <v>182.58</v>
      </c>
      <c r="J36" s="8">
        <v>1</v>
      </c>
      <c r="K36" s="11">
        <v>1</v>
      </c>
      <c r="L36" s="10">
        <v>182.58</v>
      </c>
      <c r="M36" s="8" t="s">
        <v>187</v>
      </c>
      <c r="N36" s="8" t="s">
        <v>217</v>
      </c>
    </row>
    <row r="37" spans="1:14" s="8" customFormat="1" x14ac:dyDescent="0.25">
      <c r="A37" s="7">
        <v>932036093</v>
      </c>
      <c r="B37" s="6" t="str">
        <f t="shared" si="2"/>
        <v>9320360931</v>
      </c>
      <c r="C37" s="8" t="s">
        <v>149</v>
      </c>
      <c r="D37" s="8" t="s">
        <v>46</v>
      </c>
      <c r="E37" s="8">
        <v>19200754</v>
      </c>
      <c r="F37" s="8" t="s">
        <v>151</v>
      </c>
      <c r="G37" s="8" t="s">
        <v>145</v>
      </c>
      <c r="H37" s="9">
        <v>45809</v>
      </c>
      <c r="I37" s="10">
        <v>182.58</v>
      </c>
      <c r="J37" s="8">
        <v>1</v>
      </c>
      <c r="K37" s="11">
        <v>1</v>
      </c>
      <c r="L37" s="10">
        <v>182.58</v>
      </c>
      <c r="M37" s="8" t="s">
        <v>187</v>
      </c>
      <c r="N37" s="8" t="s">
        <v>217</v>
      </c>
    </row>
    <row r="38" spans="1:14" s="8" customFormat="1" x14ac:dyDescent="0.25">
      <c r="A38" s="7" t="s">
        <v>216</v>
      </c>
      <c r="B38" s="7" t="s">
        <v>216</v>
      </c>
      <c r="C38" s="8" t="s">
        <v>175</v>
      </c>
      <c r="D38" s="8" t="s">
        <v>176</v>
      </c>
      <c r="E38" s="8">
        <v>9213293</v>
      </c>
      <c r="F38" s="8" t="s">
        <v>57</v>
      </c>
      <c r="G38" s="8" t="s">
        <v>145</v>
      </c>
      <c r="H38" s="9">
        <v>45748</v>
      </c>
      <c r="L38" s="12">
        <v>-210.64</v>
      </c>
      <c r="M38" s="8" t="s">
        <v>187</v>
      </c>
      <c r="N38" s="8" t="s">
        <v>218</v>
      </c>
    </row>
    <row r="39" spans="1:14" s="8" customFormat="1" x14ac:dyDescent="0.25">
      <c r="A39" s="7">
        <v>913275310</v>
      </c>
      <c r="B39" s="6" t="str">
        <f t="shared" ref="B39:B41" si="3">CONCATENATE(A39,1)</f>
        <v>9132753101</v>
      </c>
      <c r="C39" s="8" t="s">
        <v>144</v>
      </c>
      <c r="D39" s="8" t="s">
        <v>113</v>
      </c>
      <c r="E39" s="8">
        <v>6634327</v>
      </c>
      <c r="F39" s="8" t="s">
        <v>115</v>
      </c>
      <c r="G39" s="8" t="s">
        <v>145</v>
      </c>
      <c r="H39" s="9">
        <v>45809</v>
      </c>
      <c r="I39" s="10">
        <v>182.58</v>
      </c>
      <c r="J39" s="8">
        <v>1</v>
      </c>
      <c r="K39" s="11">
        <v>1</v>
      </c>
      <c r="L39" s="10">
        <v>182.58</v>
      </c>
      <c r="M39" s="8" t="s">
        <v>187</v>
      </c>
      <c r="N39" s="8" t="s">
        <v>217</v>
      </c>
    </row>
    <row r="40" spans="1:14" s="8" customFormat="1" x14ac:dyDescent="0.25">
      <c r="A40" s="7">
        <v>23100189</v>
      </c>
      <c r="B40" s="6" t="str">
        <f t="shared" si="3"/>
        <v>231001891</v>
      </c>
      <c r="C40" s="8" t="s">
        <v>112</v>
      </c>
      <c r="D40" s="8" t="s">
        <v>113</v>
      </c>
      <c r="E40" s="8">
        <v>6634327</v>
      </c>
      <c r="F40" s="8" t="s">
        <v>115</v>
      </c>
      <c r="G40" s="8" t="s">
        <v>107</v>
      </c>
      <c r="H40" s="9">
        <v>45839</v>
      </c>
      <c r="I40" s="10">
        <v>27.5</v>
      </c>
      <c r="J40" s="8">
        <v>1</v>
      </c>
      <c r="K40" s="11">
        <v>1</v>
      </c>
      <c r="L40" s="10">
        <v>27.5</v>
      </c>
      <c r="M40" s="8" t="s">
        <v>183</v>
      </c>
    </row>
    <row r="41" spans="1:14" s="8" customFormat="1" x14ac:dyDescent="0.25">
      <c r="A41" s="7">
        <v>23095248</v>
      </c>
      <c r="B41" s="6" t="str">
        <f t="shared" si="3"/>
        <v>230952481</v>
      </c>
      <c r="C41" s="8" t="s">
        <v>104</v>
      </c>
      <c r="D41" s="8" t="s">
        <v>46</v>
      </c>
      <c r="E41" s="8">
        <v>18828278</v>
      </c>
      <c r="F41" s="8" t="s">
        <v>106</v>
      </c>
      <c r="G41" s="8" t="s">
        <v>107</v>
      </c>
      <c r="H41" s="9">
        <v>45839</v>
      </c>
      <c r="I41" s="10">
        <v>27.5</v>
      </c>
      <c r="J41" s="8">
        <v>1</v>
      </c>
      <c r="K41" s="11">
        <v>1</v>
      </c>
      <c r="L41" s="10">
        <v>27.5</v>
      </c>
      <c r="M41" s="8" t="s">
        <v>183</v>
      </c>
    </row>
  </sheetData>
  <sortState xmlns:xlrd2="http://schemas.microsoft.com/office/spreadsheetml/2017/richdata2" ref="A2:AH41">
    <sortCondition ref="G2:G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2025-06-11T20:05:42Z</dcterms:created>
  <dcterms:modified xsi:type="dcterms:W3CDTF">2025-06-16T14:48:47Z</dcterms:modified>
</cp:coreProperties>
</file>