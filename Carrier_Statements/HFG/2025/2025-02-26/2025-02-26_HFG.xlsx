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2-26-25\"/>
    </mc:Choice>
  </mc:AlternateContent>
  <xr:revisionPtr revIDLastSave="0" documentId="13_ncr:1_{746D45AA-92DD-4821-8C68-0A31281DD1E7}" xr6:coauthVersionLast="47" xr6:coauthVersionMax="47" xr10:uidLastSave="{00000000-0000-0000-0000-000000000000}"/>
  <bookViews>
    <workbookView xWindow="-120" yWindow="-120" windowWidth="29040" windowHeight="16440" xr2:uid="{04CA5C4E-51AE-4D53-B6C7-BCD6855E2614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5" i="2" l="1"/>
  <c r="B74" i="2"/>
  <c r="B73" i="2"/>
  <c r="B72" i="2"/>
  <c r="B71" i="2"/>
  <c r="B70" i="2"/>
  <c r="B69" i="2"/>
  <c r="B68" i="2"/>
  <c r="B67" i="2"/>
  <c r="B66" i="2"/>
  <c r="B64" i="2"/>
  <c r="B65" i="2"/>
  <c r="B63" i="2"/>
  <c r="B50" i="2"/>
  <c r="B51" i="2"/>
  <c r="B52" i="2"/>
  <c r="B49" i="2"/>
  <c r="B62" i="2"/>
  <c r="B61" i="2"/>
  <c r="B60" i="2"/>
  <c r="B59" i="2"/>
  <c r="B58" i="2"/>
  <c r="B57" i="2"/>
  <c r="B56" i="2"/>
  <c r="B55" i="2"/>
  <c r="B54" i="2"/>
  <c r="B53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</calcChain>
</file>

<file path=xl/sharedStrings.xml><?xml version="1.0" encoding="utf-8"?>
<sst xmlns="http://schemas.openxmlformats.org/spreadsheetml/2006/main" count="1717" uniqueCount="340">
  <si>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</si>
  <si>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</si>
  <si>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</si>
  <si>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</si>
  <si>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</si>
  <si>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</si>
  <si>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</si>
  <si>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</si>
  <si>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</si>
  <si>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</si>
  <si>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</si>
  <si>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</si>
  <si>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</si>
  <si>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</si>
  <si>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</si>
  <si>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</si>
  <si>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</si>
  <si>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</si>
  <si>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</si>
  <si>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</si>
  <si>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</si>
  <si>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</si>
  <si>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</si>
  <si>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</si>
  <si>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</si>
  <si>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</si>
  <si>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</si>
  <si>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</si>
  <si>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</si>
  <si>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</si>
  <si>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</si>
  <si>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</si>
  <si>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</si>
  <si>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</si>
  <si>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</si>
  <si>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</si>
  <si>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</si>
  <si>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</si>
  <si>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</si>
  <si>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</si>
  <si>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</si>
  <si>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</si>
  <si>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</si>
  <si>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</si>
  <si>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'00000685145K</t>
  </si>
  <si>
    <t>RODOLFO DEL ROSARIO</t>
  </si>
  <si>
    <t>NA</t>
  </si>
  <si>
    <t>'045603</t>
  </si>
  <si>
    <t>ANDREW CHOI</t>
  </si>
  <si>
    <t>ACTIVE</t>
  </si>
  <si>
    <t>Humana MA 2019+ Level 15- 175/108</t>
  </si>
  <si>
    <t>Monthly</t>
  </si>
  <si>
    <t>AV</t>
  </si>
  <si>
    <t>'00002801445K</t>
  </si>
  <si>
    <t>VERNELL WYETH</t>
  </si>
  <si>
    <t>'045612</t>
  </si>
  <si>
    <t>ANTHONY HUNSBERGER</t>
  </si>
  <si>
    <t>Humana MA 2019+ Level 15- 175/108 Repl 2024</t>
  </si>
  <si>
    <t>'00006061459K</t>
  </si>
  <si>
    <t>SUSAN VANDRE</t>
  </si>
  <si>
    <t>'043682</t>
  </si>
  <si>
    <t>GREGORY TEIPEL</t>
  </si>
  <si>
    <t>'00015745357K</t>
  </si>
  <si>
    <t>MARY GRIFFIN</t>
  </si>
  <si>
    <t>'045605</t>
  </si>
  <si>
    <t>GARY PORTUGAL</t>
  </si>
  <si>
    <t>'00020335929K</t>
  </si>
  <si>
    <t>FERNANDO CHAPARRO-NINO</t>
  </si>
  <si>
    <t>'00022118919K</t>
  </si>
  <si>
    <t>MARIA ROMAN</t>
  </si>
  <si>
    <t>'045709</t>
  </si>
  <si>
    <t>ESTHER HERRERA-LARSEN</t>
  </si>
  <si>
    <t>'00023090788K</t>
  </si>
  <si>
    <t>ROSEMARIE HUANG</t>
  </si>
  <si>
    <t>'045622</t>
  </si>
  <si>
    <t>JACOB YALE</t>
  </si>
  <si>
    <t>'00023094349K</t>
  </si>
  <si>
    <t>CHANG THORPE</t>
  </si>
  <si>
    <t>'043638</t>
  </si>
  <si>
    <t>THOMAS PARDUE</t>
  </si>
  <si>
    <t>'00023094767K</t>
  </si>
  <si>
    <t>STANLEY BUTLER</t>
  </si>
  <si>
    <t>'00023101997K</t>
  </si>
  <si>
    <t>EUGENE MITCHELL</t>
  </si>
  <si>
    <t>'043705</t>
  </si>
  <si>
    <t>MICHAEL DUNAVANT</t>
  </si>
  <si>
    <t>'00023103271K</t>
  </si>
  <si>
    <t>MARILYN BIEGEL</t>
  </si>
  <si>
    <t>'045638</t>
  </si>
  <si>
    <t>RICHARD YALE</t>
  </si>
  <si>
    <t>'00023103392KPDP</t>
  </si>
  <si>
    <t>ANN DELLARCO</t>
  </si>
  <si>
    <t>'043690</t>
  </si>
  <si>
    <t>THOMAS KUCAN</t>
  </si>
  <si>
    <t>Humana PDP 2019+ Level 15- 15/0</t>
  </si>
  <si>
    <t>'00023104807K</t>
  </si>
  <si>
    <t>MARK GROSZ</t>
  </si>
  <si>
    <t>'00023105150K</t>
  </si>
  <si>
    <t>RHONDA ORTEZ</t>
  </si>
  <si>
    <t>'043713</t>
  </si>
  <si>
    <t>JOEL LEE</t>
  </si>
  <si>
    <t>'00023106039K</t>
  </si>
  <si>
    <t>ANGEL COHEN</t>
  </si>
  <si>
    <t>'00023108707K</t>
  </si>
  <si>
    <t>DIANE GREELEY</t>
  </si>
  <si>
    <t>'00023109806K</t>
  </si>
  <si>
    <t>DAWN BUSH</t>
  </si>
  <si>
    <t>'043691</t>
  </si>
  <si>
    <t>MICHELLE MCCORKLE</t>
  </si>
  <si>
    <t>'023033828PDP</t>
  </si>
  <si>
    <t>HARRIET LESSER</t>
  </si>
  <si>
    <t>MD</t>
  </si>
  <si>
    <t>'043692</t>
  </si>
  <si>
    <t>ADAM RICHTER</t>
  </si>
  <si>
    <t>UHC PDP Street payable to upline - 2025 New</t>
  </si>
  <si>
    <t>'023033828PDPOV</t>
  </si>
  <si>
    <t>UHC PDP Direct 2024 New Full</t>
  </si>
  <si>
    <t>'101214580300</t>
  </si>
  <si>
    <t>MICHAEL YOUCHISON</t>
  </si>
  <si>
    <t>IL</t>
  </si>
  <si>
    <t>Aetna MAPD NMO to GMO - 4-1-23+  Replace E-App</t>
  </si>
  <si>
    <t>11/12 PRORATE</t>
  </si>
  <si>
    <t>'101216330400</t>
  </si>
  <si>
    <t>RUSSELL PHILLIP</t>
  </si>
  <si>
    <t>'045611</t>
  </si>
  <si>
    <t>FRANK LISKOVEC</t>
  </si>
  <si>
    <t>'101231388900</t>
  </si>
  <si>
    <t>CAROL MORGAN</t>
  </si>
  <si>
    <t>'101266029500</t>
  </si>
  <si>
    <t>THERESA CLARK</t>
  </si>
  <si>
    <t>'101312016200</t>
  </si>
  <si>
    <t>SUSAN DUPUIS</t>
  </si>
  <si>
    <t>'041686</t>
  </si>
  <si>
    <t>DALE WALENGA</t>
  </si>
  <si>
    <t>'101316005300</t>
  </si>
  <si>
    <t>MICHAELE YOUCHISON</t>
  </si>
  <si>
    <t>'101378708600</t>
  </si>
  <si>
    <t>ANDREA GINSBURG</t>
  </si>
  <si>
    <t>10/12 PRORATE</t>
  </si>
  <si>
    <t>'101470103900</t>
  </si>
  <si>
    <t>RICHARD YENGLEE</t>
  </si>
  <si>
    <t>PA</t>
  </si>
  <si>
    <t>'043743</t>
  </si>
  <si>
    <t>FREDERICK GBASSANA</t>
  </si>
  <si>
    <t>'101508889100</t>
  </si>
  <si>
    <t>RENE SCHUBERT</t>
  </si>
  <si>
    <t>CO</t>
  </si>
  <si>
    <t>'102146276300</t>
  </si>
  <si>
    <t>PAMELA KRUMSEE</t>
  </si>
  <si>
    <t>'045604</t>
  </si>
  <si>
    <t>JEFFREY HORN</t>
  </si>
  <si>
    <t>'102146307700</t>
  </si>
  <si>
    <t>RICHARD KRUMSEE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</si>
  <si>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</si>
  <si>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</si>
  <si>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</si>
  <si>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</si>
  <si>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</si>
  <si>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</si>
  <si>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'043686</t>
  </si>
  <si>
    <t>SCOTT AGUGLIA</t>
  </si>
  <si>
    <t>'132127789</t>
  </si>
  <si>
    <t>JOHN CULLEN</t>
  </si>
  <si>
    <t>'043679</t>
  </si>
  <si>
    <t>DEBORAH INSKIPT</t>
  </si>
  <si>
    <t>UHC MAPD Street payable to upline PA/CT- 2025 New</t>
  </si>
  <si>
    <t>'132127789OV</t>
  </si>
  <si>
    <t>UHC MA Direct 2024 New Full</t>
  </si>
  <si>
    <t>'36A5F5R75</t>
  </si>
  <si>
    <t>NANCY BLAIR</t>
  </si>
  <si>
    <t>TX</t>
  </si>
  <si>
    <t>'043969</t>
  </si>
  <si>
    <t>STACEY PORTUGAL</t>
  </si>
  <si>
    <t>Cigna MAPD FMO to GA 1-1-19+ - New</t>
  </si>
  <si>
    <t>'58L8X4R14</t>
  </si>
  <si>
    <t>MICHAEL OSTER</t>
  </si>
  <si>
    <t>'68X8X9H74</t>
  </si>
  <si>
    <t>MARIA GARIBAY</t>
  </si>
  <si>
    <t>'75U2X9F11</t>
  </si>
  <si>
    <t>ROBIN HINDES</t>
  </si>
  <si>
    <t>'77U7H3F88</t>
  </si>
  <si>
    <t>PHYLLIS OSTER</t>
  </si>
  <si>
    <t>'905795627</t>
  </si>
  <si>
    <t>KATHRYN GARDNER</t>
  </si>
  <si>
    <t>'043623</t>
  </si>
  <si>
    <t>DOLORES DUNBAR</t>
  </si>
  <si>
    <t>UHC MAPD Street payable to upline - 2025 New</t>
  </si>
  <si>
    <t>'918227007</t>
  </si>
  <si>
    <t>RICHARD GARDNER</t>
  </si>
  <si>
    <t>'918227007OV</t>
  </si>
  <si>
    <t>'951850009</t>
  </si>
  <si>
    <t>JON TUBBS</t>
  </si>
  <si>
    <t>'045621</t>
  </si>
  <si>
    <t>HEATHER GESKE</t>
  </si>
  <si>
    <t>UHC MAPD Street payable to upline- 2025 Replace</t>
  </si>
  <si>
    <t>'951850009OV</t>
  </si>
  <si>
    <t>'959030254</t>
  </si>
  <si>
    <t>STACY MAYDEW</t>
  </si>
  <si>
    <t>'959030254OV</t>
  </si>
  <si>
    <t>'A04228662</t>
  </si>
  <si>
    <t>FRANCIS GAMBONY111</t>
  </si>
  <si>
    <t>NJ</t>
  </si>
  <si>
    <t>'045609</t>
  </si>
  <si>
    <t>MURRAY STERNER</t>
  </si>
  <si>
    <t>UHC AARP Med Supp NJ - Plan  B C D F G</t>
  </si>
  <si>
    <t>'A04229974</t>
  </si>
  <si>
    <t>TOM LEMBECK</t>
  </si>
  <si>
    <t>UHC AARP Med Supp IL Area 1- Plan  B C F G</t>
  </si>
  <si>
    <t>'A04230405</t>
  </si>
  <si>
    <t>LESLIE GORMAN</t>
  </si>
  <si>
    <t>UHC AARP Med Supp TX Area 3 2025- Plan F G</t>
  </si>
  <si>
    <t>CB</t>
  </si>
  <si>
    <t>'00010438260KCB</t>
  </si>
  <si>
    <t>VIDOSAVA MAISLINGER</t>
  </si>
  <si>
    <t>CHARGEBACK</t>
  </si>
  <si>
    <t>'00011174708KPC</t>
  </si>
  <si>
    <t>SUSAN HASZ</t>
  </si>
  <si>
    <t>'00014421764KPC</t>
  </si>
  <si>
    <t>MARTIN HENRY</t>
  </si>
  <si>
    <t>'045601</t>
  </si>
  <si>
    <t>CAROL FOLEY</t>
  </si>
  <si>
    <t>'00015917794KPC</t>
  </si>
  <si>
    <t>HEIDI FULLER</t>
  </si>
  <si>
    <t>'043618</t>
  </si>
  <si>
    <t>SAADIA ABDUL</t>
  </si>
  <si>
    <t>'00016065333KPC</t>
  </si>
  <si>
    <t>KARL HASZ</t>
  </si>
  <si>
    <t>'00016407680KPC</t>
  </si>
  <si>
    <t>JAMES TRAVIS</t>
  </si>
  <si>
    <t>'045607</t>
  </si>
  <si>
    <t>PAMELA DEATON</t>
  </si>
  <si>
    <t>'00019704625KPC</t>
  </si>
  <si>
    <t>ALBA BENEDETTI</t>
  </si>
  <si>
    <t>'00022239672KPC</t>
  </si>
  <si>
    <t>CHARLES PARTAIN</t>
  </si>
  <si>
    <t>'00022882289KPC</t>
  </si>
  <si>
    <t>KATHLEEN BABIARZ</t>
  </si>
  <si>
    <t>'102081563000PC</t>
  </si>
  <si>
    <t>RAMESHCHANDRAKA SUTHAR</t>
  </si>
  <si>
    <t>Aetna MAPD NMO to GMO - 4-1-23+  New E-App</t>
  </si>
  <si>
    <t>'102098712000PC</t>
  </si>
  <si>
    <t>DANIEL SEMINERIO</t>
  </si>
  <si>
    <t>'102108055900CB</t>
  </si>
  <si>
    <t>CURTISS PANNELL</t>
  </si>
  <si>
    <t>'045613</t>
  </si>
  <si>
    <t>RICARDO SANTOS</t>
  </si>
  <si>
    <t>'132127789ACB</t>
  </si>
  <si>
    <t>UHC MAPD Street payable to upline PA/CT- 2025 Replace</t>
  </si>
  <si>
    <t>'132127789OVACB</t>
  </si>
  <si>
    <t>'905795627ACB</t>
  </si>
  <si>
    <t>'918227007ACB</t>
  </si>
  <si>
    <t>'918227007OVACB</t>
  </si>
  <si>
    <t>'959938317CB</t>
  </si>
  <si>
    <t>THOMAS DONNELLY</t>
  </si>
  <si>
    <t>'043589</t>
  </si>
  <si>
    <t>JOSE TORRES</t>
  </si>
  <si>
    <t>'959938317OVCB</t>
  </si>
  <si>
    <t>'973502493CB</t>
  </si>
  <si>
    <t>DONNA BURLEIGH</t>
  </si>
  <si>
    <t>LA</t>
  </si>
  <si>
    <t>'973502493OVCB</t>
  </si>
  <si>
    <t>'982139976CB</t>
  </si>
  <si>
    <t>RODOLFO PEREZ</t>
  </si>
  <si>
    <t>'982139976OVCB</t>
  </si>
  <si>
    <t>'992813403CB</t>
  </si>
  <si>
    <t>'992813403OVCB</t>
  </si>
  <si>
    <t>102081563000PC</t>
  </si>
  <si>
    <t>102098712000PC</t>
  </si>
  <si>
    <t>102108055900CB</t>
  </si>
  <si>
    <t>36A5F5R75</t>
  </si>
  <si>
    <t>58L8X4R14</t>
  </si>
  <si>
    <t>68X8X9H74</t>
  </si>
  <si>
    <t>75U2X9F11</t>
  </si>
  <si>
    <t>77U7H3F88</t>
  </si>
  <si>
    <t>00000685145K</t>
  </si>
  <si>
    <t>00006061459K</t>
  </si>
  <si>
    <t>00015745357K</t>
  </si>
  <si>
    <t>00022118919K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</si>
  <si>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</si>
  <si>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</si>
  <si>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</si>
  <si>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</si>
  <si>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</si>
  <si>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</si>
  <si>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</si>
  <si>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</si>
  <si>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</si>
  <si>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</si>
  <si>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00010438260KCB</t>
  </si>
  <si>
    <t>00014421764KPC</t>
  </si>
  <si>
    <t>00015917794KPC</t>
  </si>
  <si>
    <t>00022882289KPC</t>
  </si>
  <si>
    <t>00002801445K</t>
  </si>
  <si>
    <t>00020335929K</t>
  </si>
  <si>
    <t>00011174708KPC</t>
  </si>
  <si>
    <t>00016065333KPC</t>
  </si>
  <si>
    <t>00016407680KPC</t>
  </si>
  <si>
    <t>00019704625KPC</t>
  </si>
  <si>
    <t>00022239672KPC</t>
  </si>
  <si>
    <t>00023103392KPDP</t>
  </si>
  <si>
    <t>A04229974</t>
  </si>
  <si>
    <t>A04228662</t>
  </si>
  <si>
    <t>A04230405</t>
  </si>
  <si>
    <t>132127789OV</t>
  </si>
  <si>
    <t>918227007OV</t>
  </si>
  <si>
    <t>951850009OV</t>
  </si>
  <si>
    <t>959030254OV</t>
  </si>
  <si>
    <t>132127789OVACB</t>
  </si>
  <si>
    <t>918227007OVACB</t>
  </si>
  <si>
    <t>959938317OVCB</t>
  </si>
  <si>
    <t>973502493OVCB</t>
  </si>
  <si>
    <t>982139976OVCB</t>
  </si>
  <si>
    <t>992813403OVCB</t>
  </si>
  <si>
    <t>959938317CB</t>
  </si>
  <si>
    <t>905795627ACB</t>
  </si>
  <si>
    <t>918227007ACB</t>
  </si>
  <si>
    <t>973502493CB</t>
  </si>
  <si>
    <t>982139976CB</t>
  </si>
  <si>
    <t>992813403CB</t>
  </si>
  <si>
    <t>132127789ACB</t>
  </si>
  <si>
    <t>023033828PDP</t>
  </si>
  <si>
    <t>Aetna MAPD OVR</t>
  </si>
  <si>
    <t>Cigna MAPD 2025 Ovr</t>
  </si>
  <si>
    <t>Humana MAPD OVR 2025</t>
  </si>
  <si>
    <t>Humana PDP 2025!</t>
  </si>
  <si>
    <t>UHC AARP MS IL Area 1- Plan B C F G</t>
  </si>
  <si>
    <t>UHC AARP MS NJ - Plan B C D F G</t>
  </si>
  <si>
    <t>UHC plan F G (area 3 TX)</t>
  </si>
  <si>
    <t>UHC MAPD Ovr</t>
  </si>
  <si>
    <t>UHC 2025</t>
  </si>
  <si>
    <t>UHC MAPD 2025*</t>
  </si>
  <si>
    <t>UHC 2025 CT, PA, DC</t>
  </si>
  <si>
    <t>UHC 2025 CT, PA, DC *</t>
  </si>
  <si>
    <t>UHC PDP 2025!</t>
  </si>
  <si>
    <t>[%/$=313][prorate=11/12]</t>
  </si>
  <si>
    <t>[%/$=313][prorate=10/12]</t>
  </si>
  <si>
    <t>[%/$=353][prorate=11/12]</t>
  </si>
  <si>
    <t>[%/$=313][prorate=12/12]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</si>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</sst>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35EC-95A3-4D29-B11C-3AD8C2FFA8B7}">
  <dimension ref="A1:AL76"/>
  <sheetViews>
    <sheetView tabSelected="1" topLeftCell="J46" workbookViewId="0">
      <selection activeCell="J43"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45714</v>
      </c>
      <c r="B2" s="1">
        <v>45714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45717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5150981</v>
      </c>
    </row>
    <row r="3" spans="1:38" x14ac:dyDescent="0.25">
      <c r="A3" s="1">
        <v>45714</v>
      </c>
      <c r="B3" s="1">
        <v>45714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45717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5150936</v>
      </c>
    </row>
    <row r="4" spans="1:38" x14ac:dyDescent="0.25">
      <c r="A4" s="1">
        <v>45714</v>
      </c>
      <c r="B4" s="1">
        <v>45714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60</v>
      </c>
      <c r="P4" t="s">
        <v>61</v>
      </c>
      <c r="Q4" t="s">
        <v>49</v>
      </c>
      <c r="R4" t="s">
        <v>50</v>
      </c>
      <c r="S4" s="1">
        <v>45717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5150984</v>
      </c>
    </row>
    <row r="5" spans="1:38" x14ac:dyDescent="0.25">
      <c r="A5" s="1">
        <v>45714</v>
      </c>
      <c r="B5" s="1">
        <v>45714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46</v>
      </c>
      <c r="O5" t="s">
        <v>64</v>
      </c>
      <c r="P5" t="s">
        <v>65</v>
      </c>
      <c r="Q5" t="s">
        <v>49</v>
      </c>
      <c r="R5" t="s">
        <v>50</v>
      </c>
      <c r="S5" s="1">
        <v>45717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5150994</v>
      </c>
    </row>
    <row r="6" spans="1:38" x14ac:dyDescent="0.25">
      <c r="A6" s="1">
        <v>45714</v>
      </c>
      <c r="B6" s="1">
        <v>45714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46</v>
      </c>
      <c r="O6" t="s">
        <v>64</v>
      </c>
      <c r="P6" t="s">
        <v>65</v>
      </c>
      <c r="Q6" t="s">
        <v>49</v>
      </c>
      <c r="R6" t="s">
        <v>57</v>
      </c>
      <c r="S6" s="1">
        <v>45717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5150971</v>
      </c>
    </row>
    <row r="7" spans="1:38" x14ac:dyDescent="0.25">
      <c r="A7" s="1">
        <v>45714</v>
      </c>
      <c r="B7" s="1">
        <v>45714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46</v>
      </c>
      <c r="O7" t="s">
        <v>70</v>
      </c>
      <c r="P7" t="s">
        <v>71</v>
      </c>
      <c r="Q7" t="s">
        <v>49</v>
      </c>
      <c r="R7" t="s">
        <v>50</v>
      </c>
      <c r="S7" s="1">
        <v>45658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5151013</v>
      </c>
    </row>
    <row r="8" spans="1:38" x14ac:dyDescent="0.25">
      <c r="A8" s="1">
        <v>45714</v>
      </c>
      <c r="B8" s="1">
        <v>45714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50</v>
      </c>
      <c r="S8" s="1">
        <v>45748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5151022</v>
      </c>
    </row>
    <row r="9" spans="1:38" x14ac:dyDescent="0.25">
      <c r="A9" s="1">
        <v>45714</v>
      </c>
      <c r="B9" s="1">
        <v>45714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78</v>
      </c>
      <c r="P9" t="s">
        <v>79</v>
      </c>
      <c r="Q9" t="s">
        <v>49</v>
      </c>
      <c r="R9" t="s">
        <v>50</v>
      </c>
      <c r="S9" s="1">
        <v>45717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5151027</v>
      </c>
    </row>
    <row r="10" spans="1:38" x14ac:dyDescent="0.25">
      <c r="A10" s="1">
        <v>45714</v>
      </c>
      <c r="B10" s="1">
        <v>45714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55</v>
      </c>
      <c r="P10" t="s">
        <v>56</v>
      </c>
      <c r="Q10" t="s">
        <v>49</v>
      </c>
      <c r="R10" t="s">
        <v>50</v>
      </c>
      <c r="S10" s="1">
        <v>45717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5151029</v>
      </c>
    </row>
    <row r="11" spans="1:38" x14ac:dyDescent="0.25">
      <c r="A11" s="1">
        <v>45714</v>
      </c>
      <c r="B11" s="1">
        <v>45714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46</v>
      </c>
      <c r="O11" t="s">
        <v>84</v>
      </c>
      <c r="P11" t="s">
        <v>85</v>
      </c>
      <c r="Q11" t="s">
        <v>49</v>
      </c>
      <c r="R11" t="s">
        <v>50</v>
      </c>
      <c r="S11" s="1">
        <v>45717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5151042</v>
      </c>
    </row>
    <row r="12" spans="1:38" x14ac:dyDescent="0.25">
      <c r="A12" s="1">
        <v>45714</v>
      </c>
      <c r="B12" s="1">
        <v>45714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86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50</v>
      </c>
      <c r="S12" s="1">
        <v>45717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5151044</v>
      </c>
    </row>
    <row r="13" spans="1:38" x14ac:dyDescent="0.25">
      <c r="A13" s="1">
        <v>45714</v>
      </c>
      <c r="B13" s="1">
        <v>45714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92</v>
      </c>
      <c r="P13" t="s">
        <v>93</v>
      </c>
      <c r="Q13" t="s">
        <v>49</v>
      </c>
      <c r="R13" t="s">
        <v>94</v>
      </c>
      <c r="S13" s="1">
        <v>45717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5150922</v>
      </c>
    </row>
    <row r="14" spans="1:38" x14ac:dyDescent="0.25">
      <c r="A14" s="1">
        <v>45714</v>
      </c>
      <c r="B14" s="1">
        <v>45714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64</v>
      </c>
      <c r="P14" t="s">
        <v>65</v>
      </c>
      <c r="Q14" t="s">
        <v>49</v>
      </c>
      <c r="R14" t="s">
        <v>50</v>
      </c>
      <c r="S14" s="1">
        <v>45717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5151051</v>
      </c>
    </row>
    <row r="15" spans="1:38" x14ac:dyDescent="0.25">
      <c r="A15" s="1">
        <v>45714</v>
      </c>
      <c r="B15" s="1">
        <v>45714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46</v>
      </c>
      <c r="O15" t="s">
        <v>99</v>
      </c>
      <c r="P15" t="s">
        <v>100</v>
      </c>
      <c r="Q15" t="s">
        <v>49</v>
      </c>
      <c r="R15" t="s">
        <v>50</v>
      </c>
      <c r="S15" s="1">
        <v>45748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5151052</v>
      </c>
    </row>
    <row r="16" spans="1:38" x14ac:dyDescent="0.25">
      <c r="A16" s="1">
        <v>45714</v>
      </c>
      <c r="B16" s="1">
        <v>45714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46</v>
      </c>
      <c r="O16" t="s">
        <v>55</v>
      </c>
      <c r="P16" t="s">
        <v>56</v>
      </c>
      <c r="Q16" t="s">
        <v>49</v>
      </c>
      <c r="R16" t="s">
        <v>50</v>
      </c>
      <c r="S16" s="1">
        <v>45778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5151053</v>
      </c>
    </row>
    <row r="17" spans="1:38" x14ac:dyDescent="0.25">
      <c r="A17" s="1">
        <v>45714</v>
      </c>
      <c r="B17" s="1">
        <v>45714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64</v>
      </c>
      <c r="P17" t="s">
        <v>65</v>
      </c>
      <c r="Q17" t="s">
        <v>49</v>
      </c>
      <c r="R17" t="s">
        <v>50</v>
      </c>
      <c r="S17" s="1">
        <v>45717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5151057</v>
      </c>
    </row>
    <row r="18" spans="1:38" x14ac:dyDescent="0.25">
      <c r="A18" s="1">
        <v>45714</v>
      </c>
      <c r="B18" s="1">
        <v>45714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105</v>
      </c>
      <c r="J18" t="s">
        <v>106</v>
      </c>
      <c r="M18" t="s">
        <v>46</v>
      </c>
      <c r="O18" t="s">
        <v>107</v>
      </c>
      <c r="P18" t="s">
        <v>108</v>
      </c>
      <c r="Q18" t="s">
        <v>49</v>
      </c>
      <c r="R18" t="s">
        <v>50</v>
      </c>
      <c r="S18" s="1">
        <v>45748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5151061</v>
      </c>
    </row>
    <row r="19" spans="1:38" x14ac:dyDescent="0.25">
      <c r="A19" s="1">
        <v>45714</v>
      </c>
      <c r="B19" s="1">
        <v>45714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109</v>
      </c>
      <c r="J19" t="s">
        <v>110</v>
      </c>
      <c r="M19" t="s">
        <v>111</v>
      </c>
      <c r="O19" t="s">
        <v>112</v>
      </c>
      <c r="P19" t="s">
        <v>113</v>
      </c>
      <c r="Q19" t="s">
        <v>49</v>
      </c>
      <c r="R19" t="s">
        <v>114</v>
      </c>
      <c r="S19" s="1">
        <v>45689</v>
      </c>
      <c r="U19" t="s">
        <v>51</v>
      </c>
      <c r="X19" t="s">
        <v>52</v>
      </c>
      <c r="Y19" s="2">
        <v>0</v>
      </c>
      <c r="Z19" s="2">
        <v>109</v>
      </c>
      <c r="AA19">
        <v>1</v>
      </c>
      <c r="AB19" s="3">
        <v>1</v>
      </c>
      <c r="AC19" s="2">
        <v>109</v>
      </c>
      <c r="AD19" s="3">
        <v>0</v>
      </c>
      <c r="AE19" s="2">
        <v>0</v>
      </c>
      <c r="AF19" s="2">
        <v>109</v>
      </c>
      <c r="AK19">
        <v>5151195</v>
      </c>
    </row>
    <row r="20" spans="1:38" x14ac:dyDescent="0.25">
      <c r="A20" s="1">
        <v>45714</v>
      </c>
      <c r="B20" s="1">
        <v>45714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110</v>
      </c>
      <c r="M20" t="s">
        <v>111</v>
      </c>
      <c r="O20" t="s">
        <v>112</v>
      </c>
      <c r="P20" t="s">
        <v>113</v>
      </c>
      <c r="Q20" t="s">
        <v>49</v>
      </c>
      <c r="R20" t="s">
        <v>116</v>
      </c>
      <c r="S20" s="1">
        <v>45689</v>
      </c>
      <c r="U20" t="s">
        <v>51</v>
      </c>
      <c r="X20" t="s">
        <v>52</v>
      </c>
      <c r="Y20" s="2">
        <v>0</v>
      </c>
      <c r="Z20" s="2">
        <v>0</v>
      </c>
      <c r="AA20">
        <v>1</v>
      </c>
      <c r="AB20" s="3">
        <v>0</v>
      </c>
      <c r="AC20" s="2">
        <v>0</v>
      </c>
      <c r="AD20" s="3">
        <v>0</v>
      </c>
      <c r="AE20" s="2">
        <v>0</v>
      </c>
      <c r="AF20" s="2">
        <v>0</v>
      </c>
      <c r="AK20">
        <v>5151194</v>
      </c>
    </row>
    <row r="21" spans="1:38" x14ac:dyDescent="0.25">
      <c r="A21" s="1">
        <v>45714</v>
      </c>
      <c r="B21" s="1">
        <v>45714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119</v>
      </c>
      <c r="O21" t="s">
        <v>88</v>
      </c>
      <c r="P21" t="s">
        <v>89</v>
      </c>
      <c r="Q21" t="s">
        <v>49</v>
      </c>
      <c r="R21" t="s">
        <v>120</v>
      </c>
      <c r="S21" s="1">
        <v>45689</v>
      </c>
      <c r="U21" t="s">
        <v>51</v>
      </c>
      <c r="X21" t="s">
        <v>52</v>
      </c>
      <c r="Y21" s="2">
        <v>0</v>
      </c>
      <c r="Z21" s="2">
        <v>45.83</v>
      </c>
      <c r="AA21">
        <v>1</v>
      </c>
      <c r="AB21" s="3">
        <v>1</v>
      </c>
      <c r="AC21" s="2">
        <v>45.83</v>
      </c>
      <c r="AD21" s="3">
        <v>0</v>
      </c>
      <c r="AE21" s="2">
        <v>0</v>
      </c>
      <c r="AF21" s="2">
        <v>45.83</v>
      </c>
      <c r="AK21">
        <v>5149692</v>
      </c>
      <c r="AL21" t="s">
        <v>121</v>
      </c>
    </row>
    <row r="22" spans="1:38" x14ac:dyDescent="0.25">
      <c r="A22" s="1">
        <v>45714</v>
      </c>
      <c r="B22" s="1">
        <v>45714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122</v>
      </c>
      <c r="J22" t="s">
        <v>123</v>
      </c>
      <c r="M22" t="s">
        <v>119</v>
      </c>
      <c r="O22" t="s">
        <v>124</v>
      </c>
      <c r="P22" t="s">
        <v>125</v>
      </c>
      <c r="Q22" t="s">
        <v>49</v>
      </c>
      <c r="R22" t="s">
        <v>120</v>
      </c>
      <c r="S22" s="1">
        <v>45689</v>
      </c>
      <c r="U22" t="s">
        <v>51</v>
      </c>
      <c r="X22" t="s">
        <v>52</v>
      </c>
      <c r="Y22" s="2">
        <v>0</v>
      </c>
      <c r="Z22" s="2">
        <v>45.83</v>
      </c>
      <c r="AA22">
        <v>1</v>
      </c>
      <c r="AB22" s="3">
        <v>1</v>
      </c>
      <c r="AC22" s="2">
        <v>45.83</v>
      </c>
      <c r="AD22" s="3">
        <v>0</v>
      </c>
      <c r="AE22" s="2">
        <v>0</v>
      </c>
      <c r="AF22" s="2">
        <v>45.83</v>
      </c>
      <c r="AK22">
        <v>5149693</v>
      </c>
      <c r="AL22" t="s">
        <v>121</v>
      </c>
    </row>
    <row r="23" spans="1:38" x14ac:dyDescent="0.25">
      <c r="A23" s="1">
        <v>45714</v>
      </c>
      <c r="B23" s="1">
        <v>45714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127</v>
      </c>
      <c r="M23" t="s">
        <v>46</v>
      </c>
      <c r="O23" t="s">
        <v>55</v>
      </c>
      <c r="P23" t="s">
        <v>56</v>
      </c>
      <c r="Q23" t="s">
        <v>49</v>
      </c>
      <c r="R23" t="s">
        <v>120</v>
      </c>
      <c r="S23" s="1">
        <v>45689</v>
      </c>
      <c r="U23" t="s">
        <v>51</v>
      </c>
      <c r="X23" t="s">
        <v>52</v>
      </c>
      <c r="Y23" s="2">
        <v>0</v>
      </c>
      <c r="Z23" s="2">
        <v>45.83</v>
      </c>
      <c r="AA23">
        <v>1</v>
      </c>
      <c r="AB23" s="3">
        <v>1</v>
      </c>
      <c r="AC23" s="2">
        <v>45.83</v>
      </c>
      <c r="AD23" s="3">
        <v>0</v>
      </c>
      <c r="AE23" s="2">
        <v>0</v>
      </c>
      <c r="AF23" s="2">
        <v>45.83</v>
      </c>
      <c r="AK23">
        <v>5149695</v>
      </c>
      <c r="AL23" t="s">
        <v>121</v>
      </c>
    </row>
    <row r="24" spans="1:38" x14ac:dyDescent="0.25">
      <c r="A24" s="1">
        <v>45714</v>
      </c>
      <c r="B24" s="1">
        <v>45714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128</v>
      </c>
      <c r="J24" t="s">
        <v>129</v>
      </c>
      <c r="M24" t="s">
        <v>46</v>
      </c>
      <c r="O24" t="s">
        <v>55</v>
      </c>
      <c r="P24" t="s">
        <v>56</v>
      </c>
      <c r="Q24" t="s">
        <v>49</v>
      </c>
      <c r="R24" t="s">
        <v>120</v>
      </c>
      <c r="S24" s="1">
        <v>45689</v>
      </c>
      <c r="U24" t="s">
        <v>51</v>
      </c>
      <c r="X24" t="s">
        <v>52</v>
      </c>
      <c r="Y24" s="2">
        <v>0</v>
      </c>
      <c r="Z24" s="2">
        <v>45.83</v>
      </c>
      <c r="AA24">
        <v>1</v>
      </c>
      <c r="AB24" s="3">
        <v>1</v>
      </c>
      <c r="AC24" s="2">
        <v>45.83</v>
      </c>
      <c r="AD24" s="3">
        <v>0</v>
      </c>
      <c r="AE24" s="2">
        <v>0</v>
      </c>
      <c r="AF24" s="2">
        <v>45.83</v>
      </c>
      <c r="AK24">
        <v>5149697</v>
      </c>
      <c r="AL24" t="s">
        <v>121</v>
      </c>
    </row>
    <row r="25" spans="1:38" x14ac:dyDescent="0.25">
      <c r="A25" s="1">
        <v>45714</v>
      </c>
      <c r="B25" s="1">
        <v>45714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130</v>
      </c>
      <c r="J25" t="s">
        <v>131</v>
      </c>
      <c r="M25" t="s">
        <v>119</v>
      </c>
      <c r="O25" t="s">
        <v>132</v>
      </c>
      <c r="P25" t="s">
        <v>133</v>
      </c>
      <c r="Q25" t="s">
        <v>49</v>
      </c>
      <c r="R25" t="s">
        <v>120</v>
      </c>
      <c r="S25" s="1">
        <v>45689</v>
      </c>
      <c r="U25" t="s">
        <v>51</v>
      </c>
      <c r="X25" t="s">
        <v>52</v>
      </c>
      <c r="Y25" s="2">
        <v>0</v>
      </c>
      <c r="Z25" s="2">
        <v>45.83</v>
      </c>
      <c r="AA25">
        <v>1</v>
      </c>
      <c r="AB25" s="3">
        <v>1</v>
      </c>
      <c r="AC25" s="2">
        <v>45.83</v>
      </c>
      <c r="AD25" s="3">
        <v>0</v>
      </c>
      <c r="AE25" s="2">
        <v>0</v>
      </c>
      <c r="AF25" s="2">
        <v>45.83</v>
      </c>
      <c r="AK25">
        <v>5149698</v>
      </c>
      <c r="AL25" t="s">
        <v>121</v>
      </c>
    </row>
    <row r="26" spans="1:38" x14ac:dyDescent="0.25">
      <c r="A26" s="1">
        <v>45714</v>
      </c>
      <c r="B26" s="1">
        <v>45714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119</v>
      </c>
      <c r="O26" t="s">
        <v>88</v>
      </c>
      <c r="P26" t="s">
        <v>89</v>
      </c>
      <c r="Q26" t="s">
        <v>49</v>
      </c>
      <c r="R26" t="s">
        <v>120</v>
      </c>
      <c r="S26" s="1">
        <v>45689</v>
      </c>
      <c r="U26" t="s">
        <v>51</v>
      </c>
      <c r="X26" t="s">
        <v>52</v>
      </c>
      <c r="Y26" s="2">
        <v>0</v>
      </c>
      <c r="Z26" s="2">
        <v>45.83</v>
      </c>
      <c r="AA26">
        <v>1</v>
      </c>
      <c r="AB26" s="3">
        <v>1</v>
      </c>
      <c r="AC26" s="2">
        <v>45.83</v>
      </c>
      <c r="AD26" s="3">
        <v>0</v>
      </c>
      <c r="AE26" s="2">
        <v>0</v>
      </c>
      <c r="AF26" s="2">
        <v>45.83</v>
      </c>
      <c r="AK26">
        <v>5149699</v>
      </c>
      <c r="AL26" t="s">
        <v>121</v>
      </c>
    </row>
    <row r="27" spans="1:38" x14ac:dyDescent="0.25">
      <c r="A27" s="1">
        <v>45714</v>
      </c>
      <c r="B27" s="1">
        <v>45714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119</v>
      </c>
      <c r="O27" t="s">
        <v>64</v>
      </c>
      <c r="P27" t="s">
        <v>65</v>
      </c>
      <c r="Q27" t="s">
        <v>49</v>
      </c>
      <c r="R27" t="s">
        <v>120</v>
      </c>
      <c r="S27" s="1">
        <v>45717</v>
      </c>
      <c r="U27" t="s">
        <v>51</v>
      </c>
      <c r="X27" t="s">
        <v>52</v>
      </c>
      <c r="Y27" s="2">
        <v>0</v>
      </c>
      <c r="Z27" s="2">
        <v>41.67</v>
      </c>
      <c r="AA27">
        <v>1</v>
      </c>
      <c r="AB27" s="3">
        <v>1</v>
      </c>
      <c r="AC27" s="2">
        <v>41.67</v>
      </c>
      <c r="AD27" s="3">
        <v>0</v>
      </c>
      <c r="AE27" s="2">
        <v>0</v>
      </c>
      <c r="AF27" s="2">
        <v>41.67</v>
      </c>
      <c r="AK27">
        <v>5149702</v>
      </c>
      <c r="AL27" t="s">
        <v>138</v>
      </c>
    </row>
    <row r="28" spans="1:38" x14ac:dyDescent="0.25">
      <c r="A28" s="1">
        <v>45714</v>
      </c>
      <c r="B28" s="1">
        <v>45714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139</v>
      </c>
      <c r="J28" t="s">
        <v>140</v>
      </c>
      <c r="M28" t="s">
        <v>141</v>
      </c>
      <c r="O28" t="s">
        <v>142</v>
      </c>
      <c r="P28" t="s">
        <v>143</v>
      </c>
      <c r="Q28" t="s">
        <v>49</v>
      </c>
      <c r="R28" t="s">
        <v>120</v>
      </c>
      <c r="S28" s="1">
        <v>45689</v>
      </c>
      <c r="U28" t="s">
        <v>51</v>
      </c>
      <c r="X28" t="s">
        <v>52</v>
      </c>
      <c r="Y28" s="2">
        <v>0</v>
      </c>
      <c r="Z28" s="2">
        <v>45.83</v>
      </c>
      <c r="AA28">
        <v>1</v>
      </c>
      <c r="AB28" s="3">
        <v>1</v>
      </c>
      <c r="AC28" s="2">
        <v>45.83</v>
      </c>
      <c r="AD28" s="3">
        <v>0</v>
      </c>
      <c r="AE28" s="2">
        <v>0</v>
      </c>
      <c r="AF28" s="2">
        <v>45.83</v>
      </c>
      <c r="AK28">
        <v>5149706</v>
      </c>
      <c r="AL28" t="s">
        <v>121</v>
      </c>
    </row>
    <row r="29" spans="1:38" x14ac:dyDescent="0.25">
      <c r="A29" s="1">
        <v>45714</v>
      </c>
      <c r="B29" s="1">
        <v>45714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144</v>
      </c>
      <c r="J29" t="s">
        <v>145</v>
      </c>
      <c r="M29" t="s">
        <v>146</v>
      </c>
      <c r="O29" t="s">
        <v>99</v>
      </c>
      <c r="P29" t="s">
        <v>100</v>
      </c>
      <c r="Q29" t="s">
        <v>49</v>
      </c>
      <c r="R29" t="s">
        <v>120</v>
      </c>
      <c r="S29" s="1">
        <v>45689</v>
      </c>
      <c r="U29" t="s">
        <v>51</v>
      </c>
      <c r="X29" t="s">
        <v>52</v>
      </c>
      <c r="Y29" s="2">
        <v>0</v>
      </c>
      <c r="Z29" s="2">
        <v>45.83</v>
      </c>
      <c r="AA29">
        <v>1</v>
      </c>
      <c r="AB29" s="3">
        <v>1</v>
      </c>
      <c r="AC29" s="2">
        <v>45.83</v>
      </c>
      <c r="AD29" s="3">
        <v>0</v>
      </c>
      <c r="AE29" s="2">
        <v>0</v>
      </c>
      <c r="AF29" s="2">
        <v>45.83</v>
      </c>
      <c r="AK29">
        <v>5149710</v>
      </c>
      <c r="AL29" t="s">
        <v>121</v>
      </c>
    </row>
    <row r="30" spans="1:38" x14ac:dyDescent="0.25">
      <c r="A30" s="1">
        <v>45714</v>
      </c>
      <c r="B30" s="1">
        <v>45714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147</v>
      </c>
      <c r="J30" t="s">
        <v>148</v>
      </c>
      <c r="M30" t="s">
        <v>119</v>
      </c>
      <c r="O30" t="s">
        <v>149</v>
      </c>
      <c r="P30" t="s">
        <v>150</v>
      </c>
      <c r="Q30" t="s">
        <v>49</v>
      </c>
      <c r="R30" t="s">
        <v>120</v>
      </c>
      <c r="S30" s="1">
        <v>45689</v>
      </c>
      <c r="U30" t="s">
        <v>51</v>
      </c>
      <c r="X30" t="s">
        <v>52</v>
      </c>
      <c r="Y30" s="2">
        <v>0</v>
      </c>
      <c r="Z30" s="2">
        <v>45.83</v>
      </c>
      <c r="AA30">
        <v>1</v>
      </c>
      <c r="AB30" s="3">
        <v>1</v>
      </c>
      <c r="AC30" s="2">
        <v>45.83</v>
      </c>
      <c r="AD30" s="3">
        <v>0</v>
      </c>
      <c r="AE30" s="2">
        <v>0</v>
      </c>
      <c r="AF30" s="2">
        <v>45.83</v>
      </c>
      <c r="AK30">
        <v>5149774</v>
      </c>
      <c r="AL30" t="s">
        <v>121</v>
      </c>
    </row>
    <row r="31" spans="1:38" x14ac:dyDescent="0.25">
      <c r="A31" s="1">
        <v>45714</v>
      </c>
      <c r="B31" s="1">
        <v>45714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151</v>
      </c>
      <c r="J31" t="s">
        <v>152</v>
      </c>
      <c r="M31" t="s">
        <v>119</v>
      </c>
      <c r="O31" t="s">
        <v>149</v>
      </c>
      <c r="P31" t="s">
        <v>150</v>
      </c>
      <c r="Q31" t="s">
        <v>49</v>
      </c>
      <c r="R31" t="s">
        <v>120</v>
      </c>
      <c r="S31" s="1">
        <v>45689</v>
      </c>
      <c r="U31" t="s">
        <v>51</v>
      </c>
      <c r="X31" t="s">
        <v>52</v>
      </c>
      <c r="Y31" s="2">
        <v>0</v>
      </c>
      <c r="Z31" s="2">
        <v>45.83</v>
      </c>
      <c r="AA31">
        <v>1</v>
      </c>
      <c r="AB31" s="3">
        <v>1</v>
      </c>
      <c r="AC31" s="2">
        <v>45.83</v>
      </c>
      <c r="AD31" s="3">
        <v>0</v>
      </c>
      <c r="AE31" s="2">
        <v>0</v>
      </c>
      <c r="AF31" s="2">
        <v>45.83</v>
      </c>
      <c r="AK31">
        <v>5149778</v>
      </c>
      <c r="AL31" t="s">
        <v>121</v>
      </c>
    </row>
    <row r="32" spans="1:38" x14ac:dyDescent="0.25">
      <c r="A32" s="1">
        <v>45714</v>
      </c>
      <c r="B32" s="1">
        <v>45714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153</v>
      </c>
      <c r="J32" t="s">
        <v>154</v>
      </c>
      <c r="M32" t="s">
        <v>119</v>
      </c>
      <c r="O32" t="s">
        <v>64</v>
      </c>
      <c r="P32" t="s">
        <v>65</v>
      </c>
      <c r="Q32" t="s">
        <v>49</v>
      </c>
      <c r="R32" t="s">
        <v>120</v>
      </c>
      <c r="S32" s="1">
        <v>45689</v>
      </c>
      <c r="U32" t="s">
        <v>51</v>
      </c>
      <c r="X32" t="s">
        <v>52</v>
      </c>
      <c r="Y32" s="2">
        <v>0</v>
      </c>
      <c r="Z32" s="2">
        <v>45.83</v>
      </c>
      <c r="AA32">
        <v>1</v>
      </c>
      <c r="AB32" s="3">
        <v>1</v>
      </c>
      <c r="AC32" s="2">
        <v>45.83</v>
      </c>
      <c r="AD32" s="3">
        <v>0</v>
      </c>
      <c r="AE32" s="2">
        <v>0</v>
      </c>
      <c r="AF32" s="2">
        <v>45.83</v>
      </c>
      <c r="AK32">
        <v>5149793</v>
      </c>
      <c r="AL32" t="s">
        <v>121</v>
      </c>
    </row>
    <row r="33" spans="1:38" x14ac:dyDescent="0.25">
      <c r="A33" s="1">
        <v>45714</v>
      </c>
      <c r="B33" s="1">
        <v>45714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155</v>
      </c>
      <c r="J33" t="s">
        <v>156</v>
      </c>
      <c r="M33" t="s">
        <v>119</v>
      </c>
      <c r="O33" t="s">
        <v>64</v>
      </c>
      <c r="P33" t="s">
        <v>65</v>
      </c>
      <c r="Q33" t="s">
        <v>49</v>
      </c>
      <c r="R33" t="s">
        <v>120</v>
      </c>
      <c r="S33" s="1">
        <v>45717</v>
      </c>
      <c r="U33" t="s">
        <v>51</v>
      </c>
      <c r="X33" t="s">
        <v>52</v>
      </c>
      <c r="Y33" s="2">
        <v>0</v>
      </c>
      <c r="Z33" s="2">
        <v>41.67</v>
      </c>
      <c r="AA33">
        <v>1</v>
      </c>
      <c r="AB33" s="3">
        <v>1</v>
      </c>
      <c r="AC33" s="2">
        <v>41.67</v>
      </c>
      <c r="AD33" s="3">
        <v>0</v>
      </c>
      <c r="AE33" s="2">
        <v>0</v>
      </c>
      <c r="AF33" s="2">
        <v>41.67</v>
      </c>
      <c r="AK33">
        <v>5149809</v>
      </c>
      <c r="AL33" t="s">
        <v>138</v>
      </c>
    </row>
    <row r="34" spans="1:38" x14ac:dyDescent="0.25">
      <c r="A34" s="1">
        <v>45714</v>
      </c>
      <c r="B34" s="1">
        <v>45714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157</v>
      </c>
      <c r="J34" t="s">
        <v>158</v>
      </c>
      <c r="M34" t="s">
        <v>141</v>
      </c>
      <c r="O34" t="s">
        <v>159</v>
      </c>
      <c r="P34" t="s">
        <v>160</v>
      </c>
      <c r="Q34" t="s">
        <v>49</v>
      </c>
      <c r="R34" t="s">
        <v>120</v>
      </c>
      <c r="S34" s="1">
        <v>45689</v>
      </c>
      <c r="U34" t="s">
        <v>51</v>
      </c>
      <c r="X34" t="s">
        <v>52</v>
      </c>
      <c r="Y34" s="2">
        <v>0</v>
      </c>
      <c r="Z34" s="2">
        <v>45.83</v>
      </c>
      <c r="AA34">
        <v>1</v>
      </c>
      <c r="AB34" s="3">
        <v>1</v>
      </c>
      <c r="AC34" s="2">
        <v>45.83</v>
      </c>
      <c r="AD34" s="3">
        <v>0</v>
      </c>
      <c r="AE34" s="2">
        <v>0</v>
      </c>
      <c r="AF34" s="2">
        <v>45.83</v>
      </c>
      <c r="AK34">
        <v>5149814</v>
      </c>
      <c r="AL34" t="s">
        <v>121</v>
      </c>
    </row>
    <row r="35" spans="1:38" x14ac:dyDescent="0.25">
      <c r="A35" s="1">
        <v>45714</v>
      </c>
      <c r="B35" s="1">
        <v>45714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161</v>
      </c>
      <c r="J35" t="s">
        <v>162</v>
      </c>
      <c r="M35" t="s">
        <v>141</v>
      </c>
      <c r="O35" t="s">
        <v>163</v>
      </c>
      <c r="P35" t="s">
        <v>164</v>
      </c>
      <c r="Q35" t="s">
        <v>49</v>
      </c>
      <c r="R35" t="s">
        <v>165</v>
      </c>
      <c r="S35" s="1">
        <v>45689</v>
      </c>
      <c r="U35" t="s">
        <v>51</v>
      </c>
      <c r="X35" t="s">
        <v>52</v>
      </c>
      <c r="Y35" s="2">
        <v>0</v>
      </c>
      <c r="Z35" s="2">
        <v>705</v>
      </c>
      <c r="AA35">
        <v>1</v>
      </c>
      <c r="AB35" s="3">
        <v>1</v>
      </c>
      <c r="AC35" s="2">
        <v>705</v>
      </c>
      <c r="AD35" s="3">
        <v>0</v>
      </c>
      <c r="AE35" s="2">
        <v>0</v>
      </c>
      <c r="AF35" s="2">
        <v>705</v>
      </c>
      <c r="AK35">
        <v>5151199</v>
      </c>
    </row>
    <row r="36" spans="1:38" x14ac:dyDescent="0.25">
      <c r="A36" s="1">
        <v>45714</v>
      </c>
      <c r="B36" s="1">
        <v>45714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166</v>
      </c>
      <c r="J36" t="s">
        <v>162</v>
      </c>
      <c r="M36" t="s">
        <v>141</v>
      </c>
      <c r="O36" t="s">
        <v>163</v>
      </c>
      <c r="P36" t="s">
        <v>164</v>
      </c>
      <c r="Q36" t="s">
        <v>49</v>
      </c>
      <c r="R36" t="s">
        <v>167</v>
      </c>
      <c r="S36" s="1">
        <v>45689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5151200</v>
      </c>
    </row>
    <row r="37" spans="1:38" x14ac:dyDescent="0.25">
      <c r="A37" s="1">
        <v>45714</v>
      </c>
      <c r="B37" s="1">
        <v>45714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168</v>
      </c>
      <c r="J37" t="s">
        <v>169</v>
      </c>
      <c r="M37" t="s">
        <v>170</v>
      </c>
      <c r="O37" t="s">
        <v>171</v>
      </c>
      <c r="P37" t="s">
        <v>172</v>
      </c>
      <c r="Q37" t="s">
        <v>49</v>
      </c>
      <c r="R37" t="s">
        <v>173</v>
      </c>
      <c r="S37" s="1">
        <v>45689</v>
      </c>
      <c r="U37" t="s">
        <v>51</v>
      </c>
      <c r="X37" t="s">
        <v>52</v>
      </c>
      <c r="Y37" s="2">
        <v>0</v>
      </c>
      <c r="Z37" s="2">
        <v>100</v>
      </c>
      <c r="AA37">
        <v>1</v>
      </c>
      <c r="AB37" s="3">
        <v>1</v>
      </c>
      <c r="AC37" s="2">
        <v>100</v>
      </c>
      <c r="AD37" s="3">
        <v>0</v>
      </c>
      <c r="AE37" s="2">
        <v>0</v>
      </c>
      <c r="AF37" s="2">
        <v>100</v>
      </c>
      <c r="AK37">
        <v>5150788</v>
      </c>
    </row>
    <row r="38" spans="1:38" x14ac:dyDescent="0.25">
      <c r="A38" s="1">
        <v>45714</v>
      </c>
      <c r="B38" s="1">
        <v>45714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146</v>
      </c>
      <c r="O38" t="s">
        <v>99</v>
      </c>
      <c r="P38" t="s">
        <v>100</v>
      </c>
      <c r="Q38" t="s">
        <v>49</v>
      </c>
      <c r="R38" t="s">
        <v>173</v>
      </c>
      <c r="S38" s="1">
        <v>45658</v>
      </c>
      <c r="U38" t="s">
        <v>51</v>
      </c>
      <c r="X38" t="s">
        <v>52</v>
      </c>
      <c r="Y38" s="2">
        <v>0</v>
      </c>
      <c r="Z38" s="2">
        <v>100</v>
      </c>
      <c r="AA38">
        <v>1</v>
      </c>
      <c r="AB38" s="3">
        <v>1</v>
      </c>
      <c r="AC38" s="2">
        <v>100</v>
      </c>
      <c r="AD38" s="3">
        <v>0</v>
      </c>
      <c r="AE38" s="2">
        <v>0</v>
      </c>
      <c r="AF38" s="2">
        <v>100</v>
      </c>
      <c r="AK38">
        <v>5150791</v>
      </c>
    </row>
    <row r="39" spans="1:38" x14ac:dyDescent="0.25">
      <c r="A39" s="1">
        <v>45714</v>
      </c>
      <c r="B39" s="1">
        <v>45714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176</v>
      </c>
      <c r="J39" t="s">
        <v>177</v>
      </c>
      <c r="M39" t="s">
        <v>119</v>
      </c>
      <c r="O39" t="s">
        <v>64</v>
      </c>
      <c r="P39" t="s">
        <v>65</v>
      </c>
      <c r="Q39" t="s">
        <v>49</v>
      </c>
      <c r="R39" t="s">
        <v>173</v>
      </c>
      <c r="S39" s="1">
        <v>45689</v>
      </c>
      <c r="U39" t="s">
        <v>51</v>
      </c>
      <c r="X39" t="s">
        <v>52</v>
      </c>
      <c r="Y39" s="2">
        <v>0</v>
      </c>
      <c r="Z39" s="2">
        <v>100</v>
      </c>
      <c r="AA39">
        <v>1</v>
      </c>
      <c r="AB39" s="3">
        <v>1</v>
      </c>
      <c r="AC39" s="2">
        <v>100</v>
      </c>
      <c r="AD39" s="3">
        <v>0</v>
      </c>
      <c r="AE39" s="2">
        <v>0</v>
      </c>
      <c r="AF39" s="2">
        <v>100</v>
      </c>
      <c r="AK39">
        <v>5150792</v>
      </c>
    </row>
    <row r="40" spans="1:38" x14ac:dyDescent="0.25">
      <c r="A40" s="1">
        <v>45714</v>
      </c>
      <c r="B40" s="1">
        <v>45714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178</v>
      </c>
      <c r="J40" t="s">
        <v>179</v>
      </c>
      <c r="M40" t="s">
        <v>141</v>
      </c>
      <c r="O40" t="s">
        <v>163</v>
      </c>
      <c r="P40" t="s">
        <v>164</v>
      </c>
      <c r="Q40" t="s">
        <v>49</v>
      </c>
      <c r="R40" t="s">
        <v>173</v>
      </c>
      <c r="S40" s="1">
        <v>45689</v>
      </c>
      <c r="U40" t="s">
        <v>51</v>
      </c>
      <c r="X40" t="s">
        <v>52</v>
      </c>
      <c r="Y40" s="2">
        <v>0</v>
      </c>
      <c r="Z40" s="2">
        <v>100</v>
      </c>
      <c r="AA40">
        <v>1</v>
      </c>
      <c r="AB40" s="3">
        <v>1</v>
      </c>
      <c r="AC40" s="2">
        <v>100</v>
      </c>
      <c r="AD40" s="3">
        <v>0</v>
      </c>
      <c r="AE40" s="2">
        <v>0</v>
      </c>
      <c r="AF40" s="2">
        <v>100</v>
      </c>
      <c r="AK40">
        <v>5150793</v>
      </c>
    </row>
    <row r="41" spans="1:38" x14ac:dyDescent="0.25">
      <c r="A41" s="1">
        <v>45714</v>
      </c>
      <c r="B41" s="1">
        <v>45714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180</v>
      </c>
      <c r="J41" t="s">
        <v>181</v>
      </c>
      <c r="M41" t="s">
        <v>146</v>
      </c>
      <c r="O41" t="s">
        <v>99</v>
      </c>
      <c r="P41" t="s">
        <v>100</v>
      </c>
      <c r="Q41" t="s">
        <v>49</v>
      </c>
      <c r="R41" t="s">
        <v>173</v>
      </c>
      <c r="S41" s="1">
        <v>45658</v>
      </c>
      <c r="U41" t="s">
        <v>51</v>
      </c>
      <c r="X41" t="s">
        <v>52</v>
      </c>
      <c r="Y41" s="2">
        <v>0</v>
      </c>
      <c r="Z41" s="2">
        <v>100</v>
      </c>
      <c r="AA41">
        <v>1</v>
      </c>
      <c r="AB41" s="3">
        <v>1</v>
      </c>
      <c r="AC41" s="2">
        <v>100</v>
      </c>
      <c r="AD41" s="3">
        <v>0</v>
      </c>
      <c r="AE41" s="2">
        <v>0</v>
      </c>
      <c r="AF41" s="2">
        <v>100</v>
      </c>
      <c r="AK41">
        <v>5150794</v>
      </c>
    </row>
    <row r="42" spans="1:38" x14ac:dyDescent="0.25">
      <c r="A42" s="1">
        <v>45714</v>
      </c>
      <c r="B42" s="1">
        <v>45714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182</v>
      </c>
      <c r="J42" t="s">
        <v>183</v>
      </c>
      <c r="M42" t="s">
        <v>170</v>
      </c>
      <c r="O42" t="s">
        <v>184</v>
      </c>
      <c r="P42" t="s">
        <v>185</v>
      </c>
      <c r="Q42" t="s">
        <v>49</v>
      </c>
      <c r="R42" t="s">
        <v>186</v>
      </c>
      <c r="S42" s="1">
        <v>45689</v>
      </c>
      <c r="U42" t="s">
        <v>51</v>
      </c>
      <c r="X42" t="s">
        <v>52</v>
      </c>
      <c r="Y42" s="2">
        <v>0</v>
      </c>
      <c r="Z42" s="2">
        <v>626</v>
      </c>
      <c r="AA42">
        <v>1</v>
      </c>
      <c r="AB42" s="3">
        <v>1</v>
      </c>
      <c r="AC42" s="2">
        <v>626</v>
      </c>
      <c r="AD42" s="3">
        <v>0</v>
      </c>
      <c r="AE42" s="2">
        <v>0</v>
      </c>
      <c r="AF42" s="2">
        <v>626</v>
      </c>
      <c r="AK42">
        <v>5151202</v>
      </c>
    </row>
    <row r="43" spans="1:38" x14ac:dyDescent="0.25">
      <c r="A43" s="1">
        <v>45714</v>
      </c>
      <c r="B43" s="1">
        <v>45714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187</v>
      </c>
      <c r="J43" t="s">
        <v>188</v>
      </c>
      <c r="M43" t="s">
        <v>170</v>
      </c>
      <c r="O43" t="s">
        <v>184</v>
      </c>
      <c r="P43" t="s">
        <v>185</v>
      </c>
      <c r="Q43" t="s">
        <v>49</v>
      </c>
      <c r="R43" t="s">
        <v>186</v>
      </c>
      <c r="S43" s="1">
        <v>45689</v>
      </c>
      <c r="U43" t="s">
        <v>51</v>
      </c>
      <c r="X43" t="s">
        <v>52</v>
      </c>
      <c r="Y43" s="2">
        <v>0</v>
      </c>
      <c r="Z43" s="2">
        <v>626</v>
      </c>
      <c r="AA43">
        <v>1</v>
      </c>
      <c r="AB43" s="3">
        <v>1</v>
      </c>
      <c r="AC43" s="2">
        <v>626</v>
      </c>
      <c r="AD43" s="3">
        <v>0</v>
      </c>
      <c r="AE43" s="2">
        <v>0</v>
      </c>
      <c r="AF43" s="2">
        <v>626</v>
      </c>
      <c r="AK43">
        <v>5151205</v>
      </c>
    </row>
    <row r="44" spans="1:38" x14ac:dyDescent="0.25">
      <c r="A44" s="1">
        <v>45714</v>
      </c>
      <c r="B44" s="1">
        <v>45714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189</v>
      </c>
      <c r="J44" t="s">
        <v>188</v>
      </c>
      <c r="M44" t="s">
        <v>170</v>
      </c>
      <c r="O44" t="s">
        <v>184</v>
      </c>
      <c r="P44" t="s">
        <v>185</v>
      </c>
      <c r="Q44" t="s">
        <v>49</v>
      </c>
      <c r="R44" t="s">
        <v>167</v>
      </c>
      <c r="S44" s="1">
        <v>45689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5151206</v>
      </c>
    </row>
    <row r="45" spans="1:38" x14ac:dyDescent="0.25">
      <c r="A45" s="1">
        <v>45714</v>
      </c>
      <c r="B45" s="1">
        <v>45714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190</v>
      </c>
      <c r="J45" t="s">
        <v>191</v>
      </c>
      <c r="M45" t="s">
        <v>146</v>
      </c>
      <c r="O45" t="s">
        <v>192</v>
      </c>
      <c r="P45" t="s">
        <v>193</v>
      </c>
      <c r="Q45" t="s">
        <v>49</v>
      </c>
      <c r="R45" t="s">
        <v>194</v>
      </c>
      <c r="S45" s="1">
        <v>45689</v>
      </c>
      <c r="U45" t="s">
        <v>51</v>
      </c>
      <c r="X45" t="s">
        <v>52</v>
      </c>
      <c r="Y45" s="2">
        <v>0</v>
      </c>
      <c r="Z45" s="2">
        <v>286.92</v>
      </c>
      <c r="AA45">
        <v>1</v>
      </c>
      <c r="AB45" s="3">
        <v>1</v>
      </c>
      <c r="AC45" s="2">
        <v>286.92</v>
      </c>
      <c r="AD45" s="3">
        <v>0</v>
      </c>
      <c r="AE45" s="2">
        <v>0</v>
      </c>
      <c r="AF45" s="2">
        <v>286.92</v>
      </c>
      <c r="AK45">
        <v>5151314</v>
      </c>
      <c r="AL45" t="s">
        <v>121</v>
      </c>
    </row>
    <row r="46" spans="1:38" x14ac:dyDescent="0.25">
      <c r="A46" s="1">
        <v>45714</v>
      </c>
      <c r="B46" s="1">
        <v>45714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195</v>
      </c>
      <c r="J46" t="s">
        <v>191</v>
      </c>
      <c r="M46" t="s">
        <v>146</v>
      </c>
      <c r="O46" t="s">
        <v>192</v>
      </c>
      <c r="P46" t="s">
        <v>193</v>
      </c>
      <c r="Q46" t="s">
        <v>49</v>
      </c>
      <c r="R46" t="s">
        <v>167</v>
      </c>
      <c r="S46" s="1">
        <v>45689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5151315</v>
      </c>
    </row>
    <row r="47" spans="1:38" x14ac:dyDescent="0.25">
      <c r="A47" s="1">
        <v>45714</v>
      </c>
      <c r="B47" s="1">
        <v>45714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196</v>
      </c>
      <c r="J47" t="s">
        <v>197</v>
      </c>
      <c r="M47" t="s">
        <v>146</v>
      </c>
      <c r="O47" t="s">
        <v>192</v>
      </c>
      <c r="P47" t="s">
        <v>193</v>
      </c>
      <c r="Q47" t="s">
        <v>49</v>
      </c>
      <c r="R47" t="s">
        <v>194</v>
      </c>
      <c r="S47" s="1">
        <v>45717</v>
      </c>
      <c r="U47" t="s">
        <v>51</v>
      </c>
      <c r="X47" t="s">
        <v>52</v>
      </c>
      <c r="Y47" s="2">
        <v>0</v>
      </c>
      <c r="Z47" s="2">
        <v>260.83</v>
      </c>
      <c r="AA47">
        <v>1</v>
      </c>
      <c r="AB47" s="3">
        <v>1</v>
      </c>
      <c r="AC47" s="2">
        <v>260.83</v>
      </c>
      <c r="AD47" s="3">
        <v>0</v>
      </c>
      <c r="AE47" s="2">
        <v>0</v>
      </c>
      <c r="AF47" s="2">
        <v>260.83</v>
      </c>
      <c r="AK47">
        <v>5151180</v>
      </c>
      <c r="AL47" t="s">
        <v>138</v>
      </c>
    </row>
    <row r="48" spans="1:38" x14ac:dyDescent="0.25">
      <c r="A48" s="1">
        <v>45714</v>
      </c>
      <c r="B48" s="1">
        <v>45714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198</v>
      </c>
      <c r="J48" t="s">
        <v>197</v>
      </c>
      <c r="M48" t="s">
        <v>146</v>
      </c>
      <c r="O48" t="s">
        <v>192</v>
      </c>
      <c r="P48" t="s">
        <v>193</v>
      </c>
      <c r="Q48" t="s">
        <v>49</v>
      </c>
      <c r="R48" t="s">
        <v>167</v>
      </c>
      <c r="S48" s="1">
        <v>45717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5151181</v>
      </c>
    </row>
    <row r="49" spans="1:37" x14ac:dyDescent="0.25">
      <c r="A49" s="1">
        <v>45714</v>
      </c>
      <c r="B49" s="1">
        <v>45714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199</v>
      </c>
      <c r="J49" t="s">
        <v>200</v>
      </c>
      <c r="M49" t="s">
        <v>201</v>
      </c>
      <c r="O49" t="s">
        <v>202</v>
      </c>
      <c r="P49" t="s">
        <v>203</v>
      </c>
      <c r="Q49" t="s">
        <v>49</v>
      </c>
      <c r="R49" t="s">
        <v>204</v>
      </c>
      <c r="S49" s="1">
        <v>45717</v>
      </c>
      <c r="U49" t="s">
        <v>51</v>
      </c>
      <c r="X49" t="s">
        <v>52</v>
      </c>
      <c r="Y49" s="2">
        <v>0</v>
      </c>
      <c r="Z49" s="2">
        <v>42.21</v>
      </c>
      <c r="AA49">
        <v>9</v>
      </c>
      <c r="AB49" s="3">
        <v>1</v>
      </c>
      <c r="AC49" s="2">
        <v>379.89</v>
      </c>
      <c r="AD49" s="3">
        <v>0</v>
      </c>
      <c r="AE49" s="2">
        <v>0</v>
      </c>
      <c r="AF49" s="2">
        <v>379.89</v>
      </c>
      <c r="AK49">
        <v>5151070</v>
      </c>
    </row>
    <row r="50" spans="1:37" x14ac:dyDescent="0.25">
      <c r="A50" s="1">
        <v>45714</v>
      </c>
      <c r="B50" s="1">
        <v>45714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205</v>
      </c>
      <c r="J50" t="s">
        <v>206</v>
      </c>
      <c r="M50" t="s">
        <v>119</v>
      </c>
      <c r="O50" t="s">
        <v>64</v>
      </c>
      <c r="P50" t="s">
        <v>65</v>
      </c>
      <c r="Q50" t="s">
        <v>49</v>
      </c>
      <c r="R50" t="s">
        <v>207</v>
      </c>
      <c r="S50" s="1">
        <v>45748</v>
      </c>
      <c r="U50" t="s">
        <v>51</v>
      </c>
      <c r="X50" t="s">
        <v>52</v>
      </c>
      <c r="Y50" s="2">
        <v>0</v>
      </c>
      <c r="Z50" s="2">
        <v>31.98</v>
      </c>
      <c r="AA50">
        <v>9</v>
      </c>
      <c r="AB50" s="3">
        <v>1</v>
      </c>
      <c r="AC50" s="2">
        <v>287.82</v>
      </c>
      <c r="AD50" s="3">
        <v>0</v>
      </c>
      <c r="AE50" s="2">
        <v>0</v>
      </c>
      <c r="AF50" s="2">
        <v>287.82</v>
      </c>
      <c r="AK50">
        <v>5151069</v>
      </c>
    </row>
    <row r="51" spans="1:37" x14ac:dyDescent="0.25">
      <c r="A51" s="1">
        <v>45714</v>
      </c>
      <c r="B51" s="1">
        <v>45714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208</v>
      </c>
      <c r="J51" t="s">
        <v>209</v>
      </c>
      <c r="M51" t="s">
        <v>170</v>
      </c>
      <c r="O51" t="s">
        <v>184</v>
      </c>
      <c r="P51" t="s">
        <v>185</v>
      </c>
      <c r="Q51" t="s">
        <v>49</v>
      </c>
      <c r="R51" t="s">
        <v>210</v>
      </c>
      <c r="S51" s="1">
        <v>45717</v>
      </c>
      <c r="U51" t="s">
        <v>51</v>
      </c>
      <c r="X51" t="s">
        <v>52</v>
      </c>
      <c r="Y51" s="2">
        <v>0</v>
      </c>
      <c r="Z51" s="2">
        <v>29.7</v>
      </c>
      <c r="AA51">
        <v>9</v>
      </c>
      <c r="AB51" s="3">
        <v>1</v>
      </c>
      <c r="AC51" s="2">
        <v>267.3</v>
      </c>
      <c r="AD51" s="3">
        <v>0</v>
      </c>
      <c r="AE51" s="2">
        <v>0</v>
      </c>
      <c r="AF51" s="2">
        <v>267.3</v>
      </c>
      <c r="AK51">
        <v>5151068</v>
      </c>
    </row>
    <row r="52" spans="1:37" x14ac:dyDescent="0.25">
      <c r="A52" s="1">
        <v>45714</v>
      </c>
      <c r="B52" s="1">
        <v>45714</v>
      </c>
      <c r="C52" t="s">
        <v>211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212</v>
      </c>
      <c r="J52" t="s">
        <v>213</v>
      </c>
      <c r="M52" t="s">
        <v>46</v>
      </c>
      <c r="O52" t="s">
        <v>88</v>
      </c>
      <c r="P52" t="s">
        <v>89</v>
      </c>
      <c r="Q52" t="s">
        <v>214</v>
      </c>
      <c r="R52" t="s">
        <v>50</v>
      </c>
      <c r="S52" s="1">
        <v>45658</v>
      </c>
      <c r="U52" t="s">
        <v>51</v>
      </c>
      <c r="X52" t="s">
        <v>52</v>
      </c>
      <c r="AF52" s="2">
        <v>175</v>
      </c>
      <c r="AG52" s="2">
        <v>0</v>
      </c>
      <c r="AJ52" s="2">
        <v>175</v>
      </c>
    </row>
    <row r="53" spans="1:37" x14ac:dyDescent="0.25">
      <c r="A53" s="1">
        <v>45714</v>
      </c>
      <c r="B53" s="1">
        <v>45714</v>
      </c>
      <c r="C53" t="s">
        <v>211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215</v>
      </c>
      <c r="J53" t="s">
        <v>216</v>
      </c>
      <c r="M53" t="s">
        <v>46</v>
      </c>
      <c r="O53" t="s">
        <v>192</v>
      </c>
      <c r="P53" t="s">
        <v>193</v>
      </c>
      <c r="Q53" t="s">
        <v>214</v>
      </c>
      <c r="R53" t="s">
        <v>57</v>
      </c>
      <c r="S53" s="1">
        <v>45658</v>
      </c>
      <c r="U53" t="s">
        <v>51</v>
      </c>
      <c r="X53" t="s">
        <v>52</v>
      </c>
      <c r="AF53" s="2">
        <v>108</v>
      </c>
      <c r="AG53" s="2">
        <v>0</v>
      </c>
      <c r="AJ53" s="2">
        <v>89.64</v>
      </c>
    </row>
    <row r="54" spans="1:37" x14ac:dyDescent="0.25">
      <c r="A54" s="1">
        <v>45714</v>
      </c>
      <c r="B54" s="1">
        <v>45714</v>
      </c>
      <c r="C54" t="s">
        <v>211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217</v>
      </c>
      <c r="J54" t="s">
        <v>218</v>
      </c>
      <c r="M54" t="s">
        <v>46</v>
      </c>
      <c r="O54" t="s">
        <v>219</v>
      </c>
      <c r="P54" t="s">
        <v>220</v>
      </c>
      <c r="Q54" t="s">
        <v>214</v>
      </c>
      <c r="R54" t="s">
        <v>50</v>
      </c>
      <c r="S54" s="1">
        <v>45658</v>
      </c>
      <c r="U54" t="s">
        <v>51</v>
      </c>
      <c r="X54" t="s">
        <v>52</v>
      </c>
      <c r="AF54" s="2">
        <v>175</v>
      </c>
      <c r="AG54" s="2">
        <v>0</v>
      </c>
      <c r="AJ54" s="2">
        <v>161</v>
      </c>
    </row>
    <row r="55" spans="1:37" x14ac:dyDescent="0.25">
      <c r="A55" s="1">
        <v>45714</v>
      </c>
      <c r="B55" s="1">
        <v>45714</v>
      </c>
      <c r="C55" t="s">
        <v>211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221</v>
      </c>
      <c r="J55" t="s">
        <v>222</v>
      </c>
      <c r="M55" t="s">
        <v>46</v>
      </c>
      <c r="O55" t="s">
        <v>223</v>
      </c>
      <c r="P55" t="s">
        <v>224</v>
      </c>
      <c r="Q55" t="s">
        <v>214</v>
      </c>
      <c r="R55" t="s">
        <v>50</v>
      </c>
      <c r="S55" s="1">
        <v>45689</v>
      </c>
      <c r="U55" t="s">
        <v>51</v>
      </c>
      <c r="X55" t="s">
        <v>52</v>
      </c>
      <c r="AF55" s="2">
        <v>175</v>
      </c>
      <c r="AG55" s="2">
        <v>0</v>
      </c>
      <c r="AJ55" s="2">
        <v>161</v>
      </c>
    </row>
    <row r="56" spans="1:37" x14ac:dyDescent="0.25">
      <c r="A56" s="1">
        <v>45714</v>
      </c>
      <c r="B56" s="1">
        <v>45714</v>
      </c>
      <c r="C56" t="s">
        <v>211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225</v>
      </c>
      <c r="J56" t="s">
        <v>226</v>
      </c>
      <c r="M56" t="s">
        <v>46</v>
      </c>
      <c r="O56" t="s">
        <v>192</v>
      </c>
      <c r="P56" t="s">
        <v>193</v>
      </c>
      <c r="Q56" t="s">
        <v>214</v>
      </c>
      <c r="R56" t="s">
        <v>57</v>
      </c>
      <c r="S56" s="1">
        <v>45658</v>
      </c>
      <c r="U56" t="s">
        <v>51</v>
      </c>
      <c r="X56" t="s">
        <v>52</v>
      </c>
      <c r="AF56" s="2">
        <v>108</v>
      </c>
      <c r="AG56" s="2">
        <v>0</v>
      </c>
      <c r="AJ56" s="2">
        <v>89.64</v>
      </c>
    </row>
    <row r="57" spans="1:37" x14ac:dyDescent="0.25">
      <c r="A57" s="1">
        <v>45714</v>
      </c>
      <c r="B57" s="1">
        <v>45714</v>
      </c>
      <c r="C57" t="s">
        <v>211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227</v>
      </c>
      <c r="J57" t="s">
        <v>228</v>
      </c>
      <c r="M57" t="s">
        <v>46</v>
      </c>
      <c r="O57" t="s">
        <v>229</v>
      </c>
      <c r="P57" t="s">
        <v>230</v>
      </c>
      <c r="Q57" t="s">
        <v>214</v>
      </c>
      <c r="R57" t="s">
        <v>57</v>
      </c>
      <c r="S57" s="1">
        <v>45658</v>
      </c>
      <c r="U57" t="s">
        <v>51</v>
      </c>
      <c r="X57" t="s">
        <v>52</v>
      </c>
      <c r="AF57" s="2">
        <v>108</v>
      </c>
      <c r="AG57" s="2">
        <v>0</v>
      </c>
      <c r="AJ57" s="2">
        <v>89.64</v>
      </c>
    </row>
    <row r="58" spans="1:37" x14ac:dyDescent="0.25">
      <c r="A58" s="1">
        <v>45714</v>
      </c>
      <c r="B58" s="1">
        <v>45714</v>
      </c>
      <c r="C58" t="s">
        <v>211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231</v>
      </c>
      <c r="J58" t="s">
        <v>232</v>
      </c>
      <c r="M58" t="s">
        <v>46</v>
      </c>
      <c r="O58" t="s">
        <v>223</v>
      </c>
      <c r="P58" t="s">
        <v>224</v>
      </c>
      <c r="Q58" t="s">
        <v>214</v>
      </c>
      <c r="R58" t="s">
        <v>57</v>
      </c>
      <c r="S58" s="1">
        <v>45658</v>
      </c>
      <c r="U58" t="s">
        <v>51</v>
      </c>
      <c r="X58" t="s">
        <v>52</v>
      </c>
      <c r="AF58" s="2">
        <v>108</v>
      </c>
      <c r="AG58" s="2">
        <v>0</v>
      </c>
      <c r="AJ58" s="2">
        <v>99.36</v>
      </c>
    </row>
    <row r="59" spans="1:37" x14ac:dyDescent="0.25">
      <c r="A59" s="1">
        <v>45714</v>
      </c>
      <c r="B59" s="1">
        <v>45714</v>
      </c>
      <c r="C59" t="s">
        <v>211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233</v>
      </c>
      <c r="J59" t="s">
        <v>234</v>
      </c>
      <c r="M59" t="s">
        <v>46</v>
      </c>
      <c r="O59" t="s">
        <v>74</v>
      </c>
      <c r="P59" t="s">
        <v>75</v>
      </c>
      <c r="Q59" t="s">
        <v>214</v>
      </c>
      <c r="R59" t="s">
        <v>57</v>
      </c>
      <c r="S59" s="1">
        <v>45658</v>
      </c>
      <c r="U59" t="s">
        <v>51</v>
      </c>
      <c r="X59" t="s">
        <v>52</v>
      </c>
      <c r="AF59" s="2">
        <v>108</v>
      </c>
      <c r="AG59" s="2">
        <v>0</v>
      </c>
      <c r="AJ59" s="2">
        <v>81</v>
      </c>
    </row>
    <row r="60" spans="1:37" x14ac:dyDescent="0.25">
      <c r="A60" s="1">
        <v>45714</v>
      </c>
      <c r="B60" s="1">
        <v>45714</v>
      </c>
      <c r="C60" t="s">
        <v>211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235</v>
      </c>
      <c r="J60" t="s">
        <v>236</v>
      </c>
      <c r="M60" t="s">
        <v>46</v>
      </c>
      <c r="O60" t="s">
        <v>55</v>
      </c>
      <c r="P60" t="s">
        <v>56</v>
      </c>
      <c r="Q60" t="s">
        <v>214</v>
      </c>
      <c r="R60" t="s">
        <v>50</v>
      </c>
      <c r="S60" s="1">
        <v>45658</v>
      </c>
      <c r="U60" t="s">
        <v>51</v>
      </c>
      <c r="X60" t="s">
        <v>52</v>
      </c>
      <c r="AF60" s="2">
        <v>175</v>
      </c>
      <c r="AG60" s="2">
        <v>0</v>
      </c>
      <c r="AJ60" s="2">
        <v>145.25</v>
      </c>
    </row>
    <row r="61" spans="1:37" x14ac:dyDescent="0.25">
      <c r="A61" s="1">
        <v>45714</v>
      </c>
      <c r="B61" s="1">
        <v>45714</v>
      </c>
      <c r="C61" t="s">
        <v>211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237</v>
      </c>
      <c r="J61" t="s">
        <v>238</v>
      </c>
      <c r="M61" t="s">
        <v>119</v>
      </c>
      <c r="O61" t="s">
        <v>223</v>
      </c>
      <c r="P61" t="s">
        <v>224</v>
      </c>
      <c r="Q61" t="s">
        <v>214</v>
      </c>
      <c r="R61" t="s">
        <v>239</v>
      </c>
      <c r="S61" s="1">
        <v>45658</v>
      </c>
      <c r="U61" t="s">
        <v>51</v>
      </c>
      <c r="X61" t="s">
        <v>52</v>
      </c>
      <c r="AF61" s="2">
        <v>50</v>
      </c>
      <c r="AG61" s="2">
        <v>0</v>
      </c>
      <c r="AJ61" s="2">
        <v>33.340000000000003</v>
      </c>
    </row>
    <row r="62" spans="1:37" x14ac:dyDescent="0.25">
      <c r="A62" s="1">
        <v>45714</v>
      </c>
      <c r="B62" s="1">
        <v>45714</v>
      </c>
      <c r="C62" t="s">
        <v>211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240</v>
      </c>
      <c r="J62" t="s">
        <v>241</v>
      </c>
      <c r="M62" t="s">
        <v>119</v>
      </c>
      <c r="O62" t="s">
        <v>64</v>
      </c>
      <c r="P62" t="s">
        <v>65</v>
      </c>
      <c r="Q62" t="s">
        <v>214</v>
      </c>
      <c r="R62" t="s">
        <v>239</v>
      </c>
      <c r="S62" s="1">
        <v>45658</v>
      </c>
      <c r="U62" t="s">
        <v>51</v>
      </c>
      <c r="X62" t="s">
        <v>52</v>
      </c>
      <c r="AF62" s="2">
        <v>50</v>
      </c>
      <c r="AG62" s="2">
        <v>0</v>
      </c>
      <c r="AJ62" s="2">
        <v>33.340000000000003</v>
      </c>
    </row>
    <row r="63" spans="1:37" x14ac:dyDescent="0.25">
      <c r="A63" s="1">
        <v>45714</v>
      </c>
      <c r="B63" s="1">
        <v>45714</v>
      </c>
      <c r="C63" t="s">
        <v>211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242</v>
      </c>
      <c r="J63" t="s">
        <v>243</v>
      </c>
      <c r="M63" t="s">
        <v>119</v>
      </c>
      <c r="O63" t="s">
        <v>244</v>
      </c>
      <c r="P63" t="s">
        <v>245</v>
      </c>
      <c r="Q63" t="s">
        <v>214</v>
      </c>
      <c r="R63" t="s">
        <v>239</v>
      </c>
      <c r="S63" s="1">
        <v>45658</v>
      </c>
      <c r="U63" t="s">
        <v>51</v>
      </c>
      <c r="X63" t="s">
        <v>52</v>
      </c>
      <c r="AF63" s="2">
        <v>50</v>
      </c>
      <c r="AG63" s="2">
        <v>0</v>
      </c>
      <c r="AJ63" s="2">
        <v>50</v>
      </c>
    </row>
    <row r="64" spans="1:37" x14ac:dyDescent="0.25">
      <c r="A64" s="1">
        <v>45714</v>
      </c>
      <c r="B64" s="1">
        <v>45714</v>
      </c>
      <c r="C64" t="s">
        <v>211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246</v>
      </c>
      <c r="J64" t="s">
        <v>162</v>
      </c>
      <c r="M64" t="s">
        <v>141</v>
      </c>
      <c r="O64" t="s">
        <v>163</v>
      </c>
      <c r="P64" t="s">
        <v>164</v>
      </c>
      <c r="Q64" t="s">
        <v>214</v>
      </c>
      <c r="R64" t="s">
        <v>247</v>
      </c>
      <c r="S64" s="1">
        <v>45689</v>
      </c>
      <c r="U64" t="s">
        <v>51</v>
      </c>
      <c r="X64" t="s">
        <v>52</v>
      </c>
      <c r="AF64" s="2">
        <v>323.58</v>
      </c>
      <c r="AG64" s="2">
        <v>0</v>
      </c>
      <c r="AJ64" s="2">
        <v>323.58</v>
      </c>
    </row>
    <row r="65" spans="1:36" x14ac:dyDescent="0.25">
      <c r="A65" s="1">
        <v>45714</v>
      </c>
      <c r="B65" s="1">
        <v>45714</v>
      </c>
      <c r="C65" t="s">
        <v>211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248</v>
      </c>
      <c r="J65" t="s">
        <v>162</v>
      </c>
      <c r="M65" t="s">
        <v>141</v>
      </c>
      <c r="O65" t="s">
        <v>163</v>
      </c>
      <c r="P65" t="s">
        <v>164</v>
      </c>
      <c r="Q65" t="s">
        <v>214</v>
      </c>
      <c r="R65" t="s">
        <v>167</v>
      </c>
      <c r="S65" s="1">
        <v>45689</v>
      </c>
      <c r="U65" t="s">
        <v>51</v>
      </c>
      <c r="X65" t="s">
        <v>52</v>
      </c>
      <c r="AF65" s="2">
        <v>175</v>
      </c>
      <c r="AG65" s="2">
        <v>0</v>
      </c>
      <c r="AJ65" s="2">
        <v>175</v>
      </c>
    </row>
    <row r="66" spans="1:36" x14ac:dyDescent="0.25">
      <c r="A66" s="1">
        <v>45714</v>
      </c>
      <c r="B66" s="1">
        <v>45714</v>
      </c>
      <c r="C66" t="s">
        <v>211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249</v>
      </c>
      <c r="J66" t="s">
        <v>183</v>
      </c>
      <c r="M66" t="s">
        <v>170</v>
      </c>
      <c r="O66" t="s">
        <v>184</v>
      </c>
      <c r="P66" t="s">
        <v>185</v>
      </c>
      <c r="Q66" t="s">
        <v>214</v>
      </c>
      <c r="R66" t="s">
        <v>194</v>
      </c>
      <c r="S66" s="1">
        <v>45689</v>
      </c>
      <c r="U66" t="s">
        <v>51</v>
      </c>
      <c r="X66" t="s">
        <v>52</v>
      </c>
      <c r="AF66" s="2">
        <v>286.92</v>
      </c>
      <c r="AG66" s="2">
        <v>0</v>
      </c>
      <c r="AJ66" s="2">
        <v>286.92</v>
      </c>
    </row>
    <row r="67" spans="1:36" x14ac:dyDescent="0.25">
      <c r="A67" s="1">
        <v>45714</v>
      </c>
      <c r="B67" s="1">
        <v>45714</v>
      </c>
      <c r="C67" t="s">
        <v>211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250</v>
      </c>
      <c r="J67" t="s">
        <v>188</v>
      </c>
      <c r="M67" t="s">
        <v>170</v>
      </c>
      <c r="O67" t="s">
        <v>184</v>
      </c>
      <c r="P67" t="s">
        <v>185</v>
      </c>
      <c r="Q67" t="s">
        <v>214</v>
      </c>
      <c r="R67" t="s">
        <v>194</v>
      </c>
      <c r="S67" s="1">
        <v>45689</v>
      </c>
      <c r="U67" t="s">
        <v>51</v>
      </c>
      <c r="X67" t="s">
        <v>52</v>
      </c>
      <c r="AF67" s="2">
        <v>286.92</v>
      </c>
      <c r="AG67" s="2">
        <v>0</v>
      </c>
      <c r="AJ67" s="2">
        <v>286.92</v>
      </c>
    </row>
    <row r="68" spans="1:36" x14ac:dyDescent="0.25">
      <c r="A68" s="1">
        <v>45714</v>
      </c>
      <c r="B68" s="1">
        <v>45714</v>
      </c>
      <c r="C68" t="s">
        <v>211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251</v>
      </c>
      <c r="J68" t="s">
        <v>188</v>
      </c>
      <c r="M68" t="s">
        <v>170</v>
      </c>
      <c r="O68" t="s">
        <v>184</v>
      </c>
      <c r="P68" t="s">
        <v>185</v>
      </c>
      <c r="Q68" t="s">
        <v>214</v>
      </c>
      <c r="R68" t="s">
        <v>167</v>
      </c>
      <c r="S68" s="1">
        <v>45689</v>
      </c>
      <c r="U68" t="s">
        <v>51</v>
      </c>
      <c r="X68" t="s">
        <v>52</v>
      </c>
      <c r="AF68" s="2">
        <v>175</v>
      </c>
      <c r="AG68" s="2">
        <v>0</v>
      </c>
      <c r="AJ68" s="2">
        <v>175</v>
      </c>
    </row>
    <row r="69" spans="1:36" x14ac:dyDescent="0.25">
      <c r="A69" s="1">
        <v>45714</v>
      </c>
      <c r="B69" s="1">
        <v>45714</v>
      </c>
      <c r="C69" t="s">
        <v>211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252</v>
      </c>
      <c r="J69" t="s">
        <v>253</v>
      </c>
      <c r="M69" t="s">
        <v>119</v>
      </c>
      <c r="O69" t="s">
        <v>254</v>
      </c>
      <c r="P69" t="s">
        <v>255</v>
      </c>
      <c r="Q69" t="s">
        <v>214</v>
      </c>
      <c r="R69" t="s">
        <v>186</v>
      </c>
      <c r="S69" s="1">
        <v>45658</v>
      </c>
      <c r="U69" t="s">
        <v>51</v>
      </c>
      <c r="X69" t="s">
        <v>52</v>
      </c>
      <c r="AF69" s="2">
        <v>626</v>
      </c>
      <c r="AG69" s="2">
        <v>0</v>
      </c>
      <c r="AJ69" s="2">
        <v>626</v>
      </c>
    </row>
    <row r="70" spans="1:36" x14ac:dyDescent="0.25">
      <c r="A70" s="1">
        <v>45714</v>
      </c>
      <c r="B70" s="1">
        <v>45714</v>
      </c>
      <c r="C70" t="s">
        <v>211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256</v>
      </c>
      <c r="J70" t="s">
        <v>253</v>
      </c>
      <c r="M70" t="s">
        <v>119</v>
      </c>
      <c r="O70" t="s">
        <v>254</v>
      </c>
      <c r="P70" t="s">
        <v>255</v>
      </c>
      <c r="Q70" t="s">
        <v>214</v>
      </c>
      <c r="R70" t="s">
        <v>167</v>
      </c>
      <c r="S70" s="1">
        <v>45658</v>
      </c>
      <c r="U70" t="s">
        <v>51</v>
      </c>
      <c r="X70" t="s">
        <v>52</v>
      </c>
      <c r="AF70" s="2">
        <v>175</v>
      </c>
      <c r="AG70" s="2">
        <v>0</v>
      </c>
      <c r="AJ70" s="2">
        <v>175</v>
      </c>
    </row>
    <row r="71" spans="1:36" x14ac:dyDescent="0.25">
      <c r="A71" s="1">
        <v>45714</v>
      </c>
      <c r="B71" s="1">
        <v>45714</v>
      </c>
      <c r="C71" t="s">
        <v>211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257</v>
      </c>
      <c r="J71" t="s">
        <v>258</v>
      </c>
      <c r="M71" t="s">
        <v>259</v>
      </c>
      <c r="O71" t="s">
        <v>244</v>
      </c>
      <c r="P71" t="s">
        <v>245</v>
      </c>
      <c r="Q71" t="s">
        <v>214</v>
      </c>
      <c r="R71" t="s">
        <v>194</v>
      </c>
      <c r="S71" s="1">
        <v>45658</v>
      </c>
      <c r="U71" t="s">
        <v>51</v>
      </c>
      <c r="X71" t="s">
        <v>52</v>
      </c>
      <c r="AF71" s="2">
        <v>313</v>
      </c>
      <c r="AG71" s="2">
        <v>0</v>
      </c>
      <c r="AJ71" s="2">
        <v>313</v>
      </c>
    </row>
    <row r="72" spans="1:36" x14ac:dyDescent="0.25">
      <c r="A72" s="1">
        <v>45714</v>
      </c>
      <c r="B72" s="1">
        <v>45714</v>
      </c>
      <c r="C72" t="s">
        <v>211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260</v>
      </c>
      <c r="J72" t="s">
        <v>258</v>
      </c>
      <c r="M72" t="s">
        <v>259</v>
      </c>
      <c r="O72" t="s">
        <v>244</v>
      </c>
      <c r="P72" t="s">
        <v>245</v>
      </c>
      <c r="Q72" t="s">
        <v>214</v>
      </c>
      <c r="R72" t="s">
        <v>167</v>
      </c>
      <c r="S72" s="1">
        <v>45658</v>
      </c>
      <c r="U72" t="s">
        <v>51</v>
      </c>
      <c r="X72" t="s">
        <v>52</v>
      </c>
      <c r="AF72" s="2">
        <v>175</v>
      </c>
      <c r="AG72" s="2">
        <v>0</v>
      </c>
      <c r="AJ72" s="2">
        <v>175</v>
      </c>
    </row>
    <row r="73" spans="1:36" x14ac:dyDescent="0.25">
      <c r="A73" s="1">
        <v>45714</v>
      </c>
      <c r="B73" s="1">
        <v>45714</v>
      </c>
      <c r="C73" t="s">
        <v>211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261</v>
      </c>
      <c r="J73" t="s">
        <v>262</v>
      </c>
      <c r="M73" t="s">
        <v>119</v>
      </c>
      <c r="O73" t="s">
        <v>254</v>
      </c>
      <c r="P73" t="s">
        <v>255</v>
      </c>
      <c r="Q73" t="s">
        <v>214</v>
      </c>
      <c r="R73" t="s">
        <v>194</v>
      </c>
      <c r="S73" s="1">
        <v>45658</v>
      </c>
      <c r="U73" t="s">
        <v>51</v>
      </c>
      <c r="X73" t="s">
        <v>52</v>
      </c>
      <c r="AF73" s="2">
        <v>313</v>
      </c>
      <c r="AG73" s="2">
        <v>0</v>
      </c>
      <c r="AJ73" s="2">
        <v>313</v>
      </c>
    </row>
    <row r="74" spans="1:36" x14ac:dyDescent="0.25">
      <c r="A74" s="1">
        <v>45714</v>
      </c>
      <c r="B74" s="1">
        <v>45714</v>
      </c>
      <c r="C74" t="s">
        <v>211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263</v>
      </c>
      <c r="J74" t="s">
        <v>262</v>
      </c>
      <c r="M74" t="s">
        <v>119</v>
      </c>
      <c r="O74" t="s">
        <v>254</v>
      </c>
      <c r="P74" t="s">
        <v>255</v>
      </c>
      <c r="Q74" t="s">
        <v>214</v>
      </c>
      <c r="R74" t="s">
        <v>167</v>
      </c>
      <c r="S74" s="1">
        <v>45658</v>
      </c>
      <c r="U74" t="s">
        <v>51</v>
      </c>
      <c r="X74" t="s">
        <v>52</v>
      </c>
      <c r="AF74" s="2">
        <v>175</v>
      </c>
      <c r="AG74" s="2">
        <v>0</v>
      </c>
      <c r="AJ74" s="2">
        <v>175</v>
      </c>
    </row>
    <row r="75" spans="1:36" x14ac:dyDescent="0.25">
      <c r="A75" s="1">
        <v>45714</v>
      </c>
      <c r="B75" s="1">
        <v>45714</v>
      </c>
      <c r="C75" t="s">
        <v>211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264</v>
      </c>
      <c r="J75" t="s">
        <v>96</v>
      </c>
      <c r="M75" t="s">
        <v>119</v>
      </c>
      <c r="O75" t="s">
        <v>64</v>
      </c>
      <c r="P75" t="s">
        <v>65</v>
      </c>
      <c r="Q75" t="s">
        <v>214</v>
      </c>
      <c r="R75" t="s">
        <v>194</v>
      </c>
      <c r="S75" s="1">
        <v>45658</v>
      </c>
      <c r="U75" t="s">
        <v>51</v>
      </c>
      <c r="X75" t="s">
        <v>52</v>
      </c>
      <c r="AF75" s="2">
        <v>313</v>
      </c>
      <c r="AG75" s="2">
        <v>0</v>
      </c>
      <c r="AJ75" s="2">
        <v>313</v>
      </c>
    </row>
    <row r="76" spans="1:36" x14ac:dyDescent="0.25">
      <c r="A76" s="1">
        <v>45714</v>
      </c>
      <c r="B76" s="1">
        <v>45714</v>
      </c>
      <c r="C76" t="s">
        <v>211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265</v>
      </c>
      <c r="J76" t="s">
        <v>96</v>
      </c>
      <c r="M76" t="s">
        <v>119</v>
      </c>
      <c r="O76" t="s">
        <v>64</v>
      </c>
      <c r="P76" t="s">
        <v>65</v>
      </c>
      <c r="Q76" t="s">
        <v>214</v>
      </c>
      <c r="R76" t="s">
        <v>167</v>
      </c>
      <c r="S76" s="1">
        <v>45658</v>
      </c>
      <c r="U76" t="s">
        <v>51</v>
      </c>
      <c r="X76" t="s">
        <v>52</v>
      </c>
      <c r="AF76" s="2">
        <v>175</v>
      </c>
      <c r="AG76" s="2">
        <v>0</v>
      </c>
      <c r="AJ76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F256-2833-4C14-B0F9-379F9B880F90}">
  <dimension ref="A1:P75"/>
  <sheetViews>
    <sheetView topLeftCell="F47" workbookViewId="0">
      <selection activeCell="P2" sqref="P2:P74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7.7109375" bestFit="1" customWidth="1"/>
    <col min="4" max="4" width="5.5703125" bestFit="1" customWidth="1"/>
    <col min="5" max="5" width="15.7109375" style="9" bestFit="1" customWidth="1"/>
    <col min="6" max="6" width="23.7109375" bestFit="1" customWidth="1"/>
    <col min="7" max="7" width="12.85546875" bestFit="1" customWidth="1"/>
    <col min="8" max="8" width="52.140625" bestFit="1" customWidth="1"/>
    <col min="9" max="9" width="10.140625" bestFit="1" customWidth="1"/>
    <col min="10" max="10" width="18.28515625" bestFit="1" customWidth="1"/>
    <col min="11" max="11" width="15.85546875" bestFit="1" customWidth="1"/>
    <col min="12" max="12" width="17" bestFit="1" customWidth="1"/>
    <col min="13" max="13" width="17.42578125" bestFit="1" customWidth="1"/>
    <col min="14" max="14" width="16.140625" bestFit="1" customWidth="1"/>
    <col min="15" max="15" width="33" bestFit="1" customWidth="1"/>
  </cols>
  <sheetData>
    <row r="1" spans="1:15" x14ac:dyDescent="0.25">
      <c r="A1" t="s">
        <v>8</v>
      </c>
      <c r="C1" t="s">
        <v>9</v>
      </c>
      <c r="D1" t="s">
        <v>12</v>
      </c>
      <c r="E1" s="9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28</v>
      </c>
      <c r="N1" t="s">
        <v>37</v>
      </c>
    </row>
    <row r="2" spans="1:15" x14ac:dyDescent="0.25">
      <c r="A2" s="4" t="s">
        <v>266</v>
      </c>
      <c r="B2" s="4" t="str">
        <f>CONCATENATE(A2,9)</f>
        <v>102081563000PC9</v>
      </c>
      <c r="C2" t="s">
        <v>238</v>
      </c>
      <c r="D2" t="s">
        <v>119</v>
      </c>
      <c r="E2" s="9">
        <v>20411454</v>
      </c>
      <c r="F2" t="s">
        <v>338</v>
      </c>
      <c r="G2" t="s">
        <v>214</v>
      </c>
      <c r="H2" t="s">
        <v>239</v>
      </c>
      <c r="I2" s="1">
        <v>45658</v>
      </c>
      <c r="M2">
        <v>-33.340000000000003</v>
      </c>
      <c r="O2" t="s">
        <v>321</v>
      </c>
    </row>
    <row r="3" spans="1:15" x14ac:dyDescent="0.25">
      <c r="A3" s="4" t="s">
        <v>267</v>
      </c>
      <c r="B3" s="4" t="str">
        <f t="shared" ref="B3:B49" si="0">CONCATENATE(A3,9)</f>
        <v>102098712000PC9</v>
      </c>
      <c r="C3" t="s">
        <v>241</v>
      </c>
      <c r="D3" t="s">
        <v>119</v>
      </c>
      <c r="E3" s="9">
        <v>20411454</v>
      </c>
      <c r="F3" t="s">
        <v>338</v>
      </c>
      <c r="G3" t="s">
        <v>214</v>
      </c>
      <c r="H3" t="s">
        <v>239</v>
      </c>
      <c r="I3" s="1">
        <v>45658</v>
      </c>
      <c r="M3">
        <v>-33.340000000000003</v>
      </c>
      <c r="O3" t="s">
        <v>321</v>
      </c>
    </row>
    <row r="4" spans="1:15" x14ac:dyDescent="0.25">
      <c r="A4" s="4" t="s">
        <v>268</v>
      </c>
      <c r="B4" s="4" t="str">
        <f t="shared" si="0"/>
        <v>102108055900CB9</v>
      </c>
      <c r="C4" t="s">
        <v>243</v>
      </c>
      <c r="D4" t="s">
        <v>119</v>
      </c>
      <c r="E4" s="9">
        <v>20411454</v>
      </c>
      <c r="F4" t="s">
        <v>338</v>
      </c>
      <c r="G4" t="s">
        <v>214</v>
      </c>
      <c r="H4" t="s">
        <v>239</v>
      </c>
      <c r="I4" s="1">
        <v>45658</v>
      </c>
      <c r="M4">
        <v>-50</v>
      </c>
      <c r="O4" t="s">
        <v>321</v>
      </c>
    </row>
    <row r="5" spans="1:15" x14ac:dyDescent="0.25">
      <c r="A5" s="4">
        <v>101214580300</v>
      </c>
      <c r="B5" s="4" t="str">
        <f t="shared" si="0"/>
        <v>1012145803009</v>
      </c>
      <c r="C5" t="s">
        <v>118</v>
      </c>
      <c r="D5" t="s">
        <v>119</v>
      </c>
      <c r="E5" s="9">
        <v>20411454</v>
      </c>
      <c r="F5" t="s">
        <v>338</v>
      </c>
      <c r="G5" t="s">
        <v>49</v>
      </c>
      <c r="H5" t="s">
        <v>120</v>
      </c>
      <c r="I5" s="1">
        <v>45689</v>
      </c>
      <c r="J5" s="2">
        <v>0</v>
      </c>
      <c r="K5" s="2">
        <v>45.83</v>
      </c>
      <c r="L5">
        <v>1</v>
      </c>
      <c r="M5">
        <v>45.83</v>
      </c>
      <c r="N5" t="s">
        <v>121</v>
      </c>
      <c r="O5" t="s">
        <v>321</v>
      </c>
    </row>
    <row r="6" spans="1:15" x14ac:dyDescent="0.25">
      <c r="A6" s="4">
        <v>101216330400</v>
      </c>
      <c r="B6" s="4" t="str">
        <f t="shared" si="0"/>
        <v>1012163304009</v>
      </c>
      <c r="C6" t="s">
        <v>123</v>
      </c>
      <c r="D6" t="s">
        <v>119</v>
      </c>
      <c r="E6" s="9">
        <v>20411454</v>
      </c>
      <c r="F6" t="s">
        <v>338</v>
      </c>
      <c r="G6" t="s">
        <v>49</v>
      </c>
      <c r="H6" t="s">
        <v>120</v>
      </c>
      <c r="I6" s="1">
        <v>45689</v>
      </c>
      <c r="J6" s="2">
        <v>0</v>
      </c>
      <c r="K6" s="2">
        <v>45.83</v>
      </c>
      <c r="L6">
        <v>1</v>
      </c>
      <c r="M6">
        <v>45.83</v>
      </c>
      <c r="N6" t="s">
        <v>121</v>
      </c>
      <c r="O6" t="s">
        <v>321</v>
      </c>
    </row>
    <row r="7" spans="1:15" x14ac:dyDescent="0.25">
      <c r="A7" s="4">
        <v>101231388900</v>
      </c>
      <c r="B7" s="4" t="str">
        <f t="shared" si="0"/>
        <v>1012313889009</v>
      </c>
      <c r="C7" t="s">
        <v>127</v>
      </c>
      <c r="D7" t="s">
        <v>46</v>
      </c>
      <c r="E7" s="9">
        <v>20411454</v>
      </c>
      <c r="F7" t="s">
        <v>338</v>
      </c>
      <c r="G7" t="s">
        <v>49</v>
      </c>
      <c r="H7" t="s">
        <v>120</v>
      </c>
      <c r="I7" s="1">
        <v>45689</v>
      </c>
      <c r="J7" s="2">
        <v>0</v>
      </c>
      <c r="K7" s="2">
        <v>45.83</v>
      </c>
      <c r="L7">
        <v>1</v>
      </c>
      <c r="M7">
        <v>45.83</v>
      </c>
      <c r="N7" t="s">
        <v>121</v>
      </c>
      <c r="O7" t="s">
        <v>321</v>
      </c>
    </row>
    <row r="8" spans="1:15" x14ac:dyDescent="0.25">
      <c r="A8" s="4">
        <v>101266029500</v>
      </c>
      <c r="B8" s="4" t="str">
        <f t="shared" si="0"/>
        <v>1012660295009</v>
      </c>
      <c r="C8" t="s">
        <v>129</v>
      </c>
      <c r="D8" t="s">
        <v>46</v>
      </c>
      <c r="E8" s="9">
        <v>20411454</v>
      </c>
      <c r="F8" t="s">
        <v>338</v>
      </c>
      <c r="G8" t="s">
        <v>49</v>
      </c>
      <c r="H8" t="s">
        <v>120</v>
      </c>
      <c r="I8" s="1">
        <v>45689</v>
      </c>
      <c r="J8" s="2">
        <v>0</v>
      </c>
      <c r="K8" s="2">
        <v>45.83</v>
      </c>
      <c r="L8">
        <v>1</v>
      </c>
      <c r="M8">
        <v>45.83</v>
      </c>
      <c r="N8" t="s">
        <v>121</v>
      </c>
      <c r="O8" t="s">
        <v>321</v>
      </c>
    </row>
    <row r="9" spans="1:15" x14ac:dyDescent="0.25">
      <c r="A9" s="4">
        <v>101312016200</v>
      </c>
      <c r="B9" s="4" t="str">
        <f t="shared" si="0"/>
        <v>1013120162009</v>
      </c>
      <c r="C9" t="s">
        <v>131</v>
      </c>
      <c r="D9" t="s">
        <v>119</v>
      </c>
      <c r="E9" s="9">
        <v>20411454</v>
      </c>
      <c r="F9" t="s">
        <v>338</v>
      </c>
      <c r="G9" t="s">
        <v>49</v>
      </c>
      <c r="H9" t="s">
        <v>120</v>
      </c>
      <c r="I9" s="1">
        <v>45689</v>
      </c>
      <c r="J9" s="2">
        <v>0</v>
      </c>
      <c r="K9" s="2">
        <v>45.83</v>
      </c>
      <c r="L9">
        <v>1</v>
      </c>
      <c r="M9">
        <v>45.83</v>
      </c>
      <c r="N9" t="s">
        <v>121</v>
      </c>
      <c r="O9" t="s">
        <v>321</v>
      </c>
    </row>
    <row r="10" spans="1:15" x14ac:dyDescent="0.25">
      <c r="A10" s="4">
        <v>101316005300</v>
      </c>
      <c r="B10" s="4" t="str">
        <f t="shared" si="0"/>
        <v>1013160053009</v>
      </c>
      <c r="C10" t="s">
        <v>135</v>
      </c>
      <c r="D10" t="s">
        <v>119</v>
      </c>
      <c r="E10" s="9">
        <v>20411454</v>
      </c>
      <c r="F10" t="s">
        <v>338</v>
      </c>
      <c r="G10" t="s">
        <v>49</v>
      </c>
      <c r="H10" t="s">
        <v>120</v>
      </c>
      <c r="I10" s="1">
        <v>45689</v>
      </c>
      <c r="J10" s="2">
        <v>0</v>
      </c>
      <c r="K10" s="2">
        <v>45.83</v>
      </c>
      <c r="L10">
        <v>1</v>
      </c>
      <c r="M10">
        <v>45.83</v>
      </c>
      <c r="N10" t="s">
        <v>121</v>
      </c>
      <c r="O10" t="s">
        <v>321</v>
      </c>
    </row>
    <row r="11" spans="1:15" x14ac:dyDescent="0.25">
      <c r="A11" s="4">
        <v>101378708600</v>
      </c>
      <c r="B11" s="4" t="str">
        <f t="shared" si="0"/>
        <v>1013787086009</v>
      </c>
      <c r="C11" t="s">
        <v>137</v>
      </c>
      <c r="D11" t="s">
        <v>119</v>
      </c>
      <c r="E11" s="9">
        <v>20411454</v>
      </c>
      <c r="F11" t="s">
        <v>338</v>
      </c>
      <c r="G11" t="s">
        <v>49</v>
      </c>
      <c r="H11" t="s">
        <v>120</v>
      </c>
      <c r="I11" s="1">
        <v>45717</v>
      </c>
      <c r="J11" s="2">
        <v>0</v>
      </c>
      <c r="K11" s="2">
        <v>41.67</v>
      </c>
      <c r="L11">
        <v>1</v>
      </c>
      <c r="M11">
        <v>41.67</v>
      </c>
      <c r="N11" t="s">
        <v>138</v>
      </c>
      <c r="O11" t="s">
        <v>321</v>
      </c>
    </row>
    <row r="12" spans="1:15" x14ac:dyDescent="0.25">
      <c r="A12" s="4">
        <v>101470103900</v>
      </c>
      <c r="B12" s="4" t="str">
        <f t="shared" si="0"/>
        <v>1014701039009</v>
      </c>
      <c r="C12" t="s">
        <v>140</v>
      </c>
      <c r="D12" t="s">
        <v>141</v>
      </c>
      <c r="E12" s="9">
        <v>20411454</v>
      </c>
      <c r="F12" t="s">
        <v>338</v>
      </c>
      <c r="G12" t="s">
        <v>49</v>
      </c>
      <c r="H12" t="s">
        <v>120</v>
      </c>
      <c r="I12" s="1">
        <v>45689</v>
      </c>
      <c r="J12" s="2">
        <v>0</v>
      </c>
      <c r="K12" s="2">
        <v>45.83</v>
      </c>
      <c r="L12">
        <v>1</v>
      </c>
      <c r="M12">
        <v>45.83</v>
      </c>
      <c r="N12" t="s">
        <v>121</v>
      </c>
      <c r="O12" t="s">
        <v>321</v>
      </c>
    </row>
    <row r="13" spans="1:15" x14ac:dyDescent="0.25">
      <c r="A13" s="4">
        <v>101508889100</v>
      </c>
      <c r="B13" s="4" t="str">
        <f t="shared" si="0"/>
        <v>1015088891009</v>
      </c>
      <c r="C13" t="s">
        <v>145</v>
      </c>
      <c r="D13" t="s">
        <v>146</v>
      </c>
      <c r="E13" s="9">
        <v>20411454</v>
      </c>
      <c r="F13" t="s">
        <v>338</v>
      </c>
      <c r="G13" t="s">
        <v>49</v>
      </c>
      <c r="H13" t="s">
        <v>120</v>
      </c>
      <c r="I13" s="1">
        <v>45689</v>
      </c>
      <c r="J13" s="2">
        <v>0</v>
      </c>
      <c r="K13" s="2">
        <v>45.83</v>
      </c>
      <c r="L13">
        <v>1</v>
      </c>
      <c r="M13">
        <v>45.83</v>
      </c>
      <c r="N13" t="s">
        <v>121</v>
      </c>
      <c r="O13" t="s">
        <v>321</v>
      </c>
    </row>
    <row r="14" spans="1:15" x14ac:dyDescent="0.25">
      <c r="A14" s="4">
        <v>102146276300</v>
      </c>
      <c r="B14" s="4" t="str">
        <f t="shared" si="0"/>
        <v>1021462763009</v>
      </c>
      <c r="C14" t="s">
        <v>148</v>
      </c>
      <c r="D14" t="s">
        <v>119</v>
      </c>
      <c r="E14" s="9">
        <v>20411454</v>
      </c>
      <c r="F14" t="s">
        <v>338</v>
      </c>
      <c r="G14" t="s">
        <v>49</v>
      </c>
      <c r="H14" t="s">
        <v>120</v>
      </c>
      <c r="I14" s="1">
        <v>45689</v>
      </c>
      <c r="J14" s="2">
        <v>0</v>
      </c>
      <c r="K14" s="2">
        <v>45.83</v>
      </c>
      <c r="L14">
        <v>1</v>
      </c>
      <c r="M14">
        <v>45.83</v>
      </c>
      <c r="N14" t="s">
        <v>121</v>
      </c>
      <c r="O14" t="s">
        <v>321</v>
      </c>
    </row>
    <row r="15" spans="1:15" x14ac:dyDescent="0.25">
      <c r="A15" s="4">
        <v>102146307700</v>
      </c>
      <c r="B15" s="4" t="str">
        <f t="shared" si="0"/>
        <v>1021463077009</v>
      </c>
      <c r="C15" t="s">
        <v>152</v>
      </c>
      <c r="D15" t="s">
        <v>119</v>
      </c>
      <c r="E15" s="9">
        <v>20411454</v>
      </c>
      <c r="F15" t="s">
        <v>338</v>
      </c>
      <c r="G15" t="s">
        <v>49</v>
      </c>
      <c r="H15" t="s">
        <v>120</v>
      </c>
      <c r="I15" s="1">
        <v>45689</v>
      </c>
      <c r="J15" s="2">
        <v>0</v>
      </c>
      <c r="K15" s="2">
        <v>45.83</v>
      </c>
      <c r="L15">
        <v>1</v>
      </c>
      <c r="M15">
        <v>45.83</v>
      </c>
      <c r="N15" t="s">
        <v>121</v>
      </c>
      <c r="O15" t="s">
        <v>321</v>
      </c>
    </row>
    <row r="16" spans="1:15" x14ac:dyDescent="0.25">
      <c r="A16" s="4">
        <v>102146612500</v>
      </c>
      <c r="B16" s="4" t="str">
        <f t="shared" si="0"/>
        <v>1021466125009</v>
      </c>
      <c r="C16" t="s">
        <v>154</v>
      </c>
      <c r="D16" t="s">
        <v>119</v>
      </c>
      <c r="E16" s="9">
        <v>20411454</v>
      </c>
      <c r="F16" t="s">
        <v>338</v>
      </c>
      <c r="G16" t="s">
        <v>49</v>
      </c>
      <c r="H16" t="s">
        <v>120</v>
      </c>
      <c r="I16" s="1">
        <v>45689</v>
      </c>
      <c r="J16" s="2">
        <v>0</v>
      </c>
      <c r="K16" s="2">
        <v>45.83</v>
      </c>
      <c r="L16">
        <v>1</v>
      </c>
      <c r="M16">
        <v>45.83</v>
      </c>
      <c r="N16" t="s">
        <v>121</v>
      </c>
      <c r="O16" t="s">
        <v>321</v>
      </c>
    </row>
    <row r="17" spans="1:15" x14ac:dyDescent="0.25">
      <c r="A17" s="4">
        <v>102147171900</v>
      </c>
      <c r="B17" s="4" t="str">
        <f t="shared" si="0"/>
        <v>1021471719009</v>
      </c>
      <c r="C17" t="s">
        <v>156</v>
      </c>
      <c r="D17" t="s">
        <v>119</v>
      </c>
      <c r="E17" s="9">
        <v>20411454</v>
      </c>
      <c r="F17" t="s">
        <v>338</v>
      </c>
      <c r="G17" t="s">
        <v>49</v>
      </c>
      <c r="H17" t="s">
        <v>120</v>
      </c>
      <c r="I17" s="1">
        <v>45717</v>
      </c>
      <c r="J17" s="2">
        <v>0</v>
      </c>
      <c r="K17" s="2">
        <v>41.67</v>
      </c>
      <c r="L17">
        <v>1</v>
      </c>
      <c r="M17">
        <v>41.67</v>
      </c>
      <c r="N17" t="s">
        <v>138</v>
      </c>
      <c r="O17" t="s">
        <v>321</v>
      </c>
    </row>
    <row r="18" spans="1:15" x14ac:dyDescent="0.25">
      <c r="A18" s="4">
        <v>102147412200</v>
      </c>
      <c r="B18" s="4" t="str">
        <f t="shared" si="0"/>
        <v>1021474122009</v>
      </c>
      <c r="C18" t="s">
        <v>158</v>
      </c>
      <c r="D18" t="s">
        <v>141</v>
      </c>
      <c r="E18" s="9">
        <v>20411454</v>
      </c>
      <c r="F18" t="s">
        <v>338</v>
      </c>
      <c r="G18" t="s">
        <v>49</v>
      </c>
      <c r="H18" t="s">
        <v>120</v>
      </c>
      <c r="I18" s="1">
        <v>45689</v>
      </c>
      <c r="J18" s="2">
        <v>0</v>
      </c>
      <c r="K18" s="2">
        <v>45.83</v>
      </c>
      <c r="L18">
        <v>1</v>
      </c>
      <c r="M18">
        <v>45.83</v>
      </c>
      <c r="N18" t="s">
        <v>121</v>
      </c>
      <c r="O18" t="s">
        <v>321</v>
      </c>
    </row>
    <row r="19" spans="1:15" x14ac:dyDescent="0.25">
      <c r="A19" s="4" t="s">
        <v>269</v>
      </c>
      <c r="B19" s="4" t="str">
        <f t="shared" si="0"/>
        <v>36A5F5R759</v>
      </c>
      <c r="C19" t="s">
        <v>169</v>
      </c>
      <c r="D19" t="s">
        <v>170</v>
      </c>
      <c r="E19" s="9">
        <v>20411454</v>
      </c>
      <c r="F19" t="s">
        <v>338</v>
      </c>
      <c r="G19" t="s">
        <v>49</v>
      </c>
      <c r="H19" t="s">
        <v>173</v>
      </c>
      <c r="I19" s="1">
        <v>45689</v>
      </c>
      <c r="J19" s="2">
        <v>0</v>
      </c>
      <c r="K19" s="2">
        <v>100</v>
      </c>
      <c r="L19">
        <v>1</v>
      </c>
      <c r="M19">
        <v>100</v>
      </c>
      <c r="O19" t="s">
        <v>322</v>
      </c>
    </row>
    <row r="20" spans="1:15" x14ac:dyDescent="0.25">
      <c r="A20" s="4" t="s">
        <v>270</v>
      </c>
      <c r="B20" s="4" t="str">
        <f t="shared" si="0"/>
        <v>58L8X4R149</v>
      </c>
      <c r="C20" t="s">
        <v>175</v>
      </c>
      <c r="D20" t="s">
        <v>146</v>
      </c>
      <c r="E20" s="9">
        <v>20411454</v>
      </c>
      <c r="F20" t="s">
        <v>338</v>
      </c>
      <c r="G20" t="s">
        <v>49</v>
      </c>
      <c r="H20" t="s">
        <v>173</v>
      </c>
      <c r="I20" s="1">
        <v>45658</v>
      </c>
      <c r="J20" s="2">
        <v>0</v>
      </c>
      <c r="K20" s="2">
        <v>100</v>
      </c>
      <c r="L20">
        <v>1</v>
      </c>
      <c r="M20">
        <v>100</v>
      </c>
      <c r="O20" t="s">
        <v>322</v>
      </c>
    </row>
    <row r="21" spans="1:15" x14ac:dyDescent="0.25">
      <c r="A21" s="4" t="s">
        <v>271</v>
      </c>
      <c r="B21" s="4" t="str">
        <f t="shared" si="0"/>
        <v>68X8X9H749</v>
      </c>
      <c r="C21" t="s">
        <v>177</v>
      </c>
      <c r="D21" t="s">
        <v>119</v>
      </c>
      <c r="E21" s="9">
        <v>20411454</v>
      </c>
      <c r="F21" t="s">
        <v>338</v>
      </c>
      <c r="G21" t="s">
        <v>49</v>
      </c>
      <c r="H21" t="s">
        <v>173</v>
      </c>
      <c r="I21" s="1">
        <v>45689</v>
      </c>
      <c r="J21" s="2">
        <v>0</v>
      </c>
      <c r="K21" s="2">
        <v>100</v>
      </c>
      <c r="L21">
        <v>1</v>
      </c>
      <c r="M21">
        <v>100</v>
      </c>
      <c r="O21" t="s">
        <v>322</v>
      </c>
    </row>
    <row r="22" spans="1:15" x14ac:dyDescent="0.25">
      <c r="A22" s="4" t="s">
        <v>272</v>
      </c>
      <c r="B22" s="4" t="str">
        <f t="shared" si="0"/>
        <v>75U2X9F119</v>
      </c>
      <c r="C22" t="s">
        <v>179</v>
      </c>
      <c r="D22" t="s">
        <v>141</v>
      </c>
      <c r="E22" s="9">
        <v>20411454</v>
      </c>
      <c r="F22" t="s">
        <v>338</v>
      </c>
      <c r="G22" t="s">
        <v>49</v>
      </c>
      <c r="H22" t="s">
        <v>173</v>
      </c>
      <c r="I22" s="1">
        <v>45689</v>
      </c>
      <c r="J22" s="2">
        <v>0</v>
      </c>
      <c r="K22" s="2">
        <v>100</v>
      </c>
      <c r="L22">
        <v>1</v>
      </c>
      <c r="M22">
        <v>100</v>
      </c>
      <c r="O22" t="s">
        <v>322</v>
      </c>
    </row>
    <row r="23" spans="1:15" x14ac:dyDescent="0.25">
      <c r="A23" s="4" t="s">
        <v>273</v>
      </c>
      <c r="B23" s="4" t="str">
        <f t="shared" si="0"/>
        <v>77U7H3F889</v>
      </c>
      <c r="C23" t="s">
        <v>181</v>
      </c>
      <c r="D23" t="s">
        <v>146</v>
      </c>
      <c r="E23" s="9">
        <v>20411454</v>
      </c>
      <c r="F23" t="s">
        <v>338</v>
      </c>
      <c r="G23" t="s">
        <v>49</v>
      </c>
      <c r="H23" t="s">
        <v>173</v>
      </c>
      <c r="I23" s="1">
        <v>45658</v>
      </c>
      <c r="J23" s="2">
        <v>0</v>
      </c>
      <c r="K23" s="2">
        <v>100</v>
      </c>
      <c r="L23">
        <v>1</v>
      </c>
      <c r="M23">
        <v>100</v>
      </c>
      <c r="O23" t="s">
        <v>322</v>
      </c>
    </row>
    <row r="24" spans="1:15" x14ac:dyDescent="0.25">
      <c r="A24" s="4" t="s">
        <v>274</v>
      </c>
      <c r="B24" s="4" t="str">
        <f t="shared" si="0"/>
        <v>00000685145K9</v>
      </c>
      <c r="C24" t="s">
        <v>45</v>
      </c>
      <c r="D24" t="s">
        <v>46</v>
      </c>
      <c r="E24" s="9">
        <v>20411454</v>
      </c>
      <c r="F24" t="s">
        <v>338</v>
      </c>
      <c r="G24" t="s">
        <v>49</v>
      </c>
      <c r="H24" t="s">
        <v>50</v>
      </c>
      <c r="I24" s="1">
        <v>45717</v>
      </c>
      <c r="J24" s="2">
        <v>0</v>
      </c>
      <c r="K24" s="2">
        <v>175</v>
      </c>
      <c r="L24">
        <v>1</v>
      </c>
      <c r="M24">
        <v>175</v>
      </c>
      <c r="O24" t="s">
        <v>323</v>
      </c>
    </row>
    <row r="25" spans="1:15" x14ac:dyDescent="0.25">
      <c r="A25" s="4" t="s">
        <v>275</v>
      </c>
      <c r="B25" s="4" t="str">
        <f t="shared" si="0"/>
        <v>00006061459K9</v>
      </c>
      <c r="C25" t="s">
        <v>59</v>
      </c>
      <c r="D25" t="s">
        <v>46</v>
      </c>
      <c r="E25" s="9">
        <v>20411454</v>
      </c>
      <c r="F25" t="s">
        <v>338</v>
      </c>
      <c r="G25" t="s">
        <v>49</v>
      </c>
      <c r="H25" t="s">
        <v>50</v>
      </c>
      <c r="I25" s="1">
        <v>45717</v>
      </c>
      <c r="J25" s="2">
        <v>0</v>
      </c>
      <c r="K25" s="2">
        <v>175</v>
      </c>
      <c r="L25">
        <v>1</v>
      </c>
      <c r="M25">
        <v>175</v>
      </c>
      <c r="O25" t="s">
        <v>323</v>
      </c>
    </row>
    <row r="26" spans="1:15" x14ac:dyDescent="0.25">
      <c r="A26" s="4" t="s">
        <v>276</v>
      </c>
      <c r="B26" s="4" t="str">
        <f>CONCATENATE(A26,9)</f>
        <v>00015745357K9</v>
      </c>
      <c r="C26" t="s">
        <v>63</v>
      </c>
      <c r="D26" t="s">
        <v>46</v>
      </c>
      <c r="E26" s="9">
        <v>20411454</v>
      </c>
      <c r="F26" t="s">
        <v>338</v>
      </c>
      <c r="G26" t="s">
        <v>49</v>
      </c>
      <c r="H26" t="s">
        <v>50</v>
      </c>
      <c r="I26" s="1">
        <v>45717</v>
      </c>
      <c r="J26" s="2">
        <v>0</v>
      </c>
      <c r="K26" s="2">
        <v>175</v>
      </c>
      <c r="L26">
        <v>1</v>
      </c>
      <c r="M26">
        <v>175</v>
      </c>
      <c r="O26" t="s">
        <v>323</v>
      </c>
    </row>
    <row r="27" spans="1:15" x14ac:dyDescent="0.25">
      <c r="A27" s="4" t="s">
        <v>277</v>
      </c>
      <c r="B27" s="4" t="str">
        <f t="shared" si="0"/>
        <v>00022118919K9</v>
      </c>
      <c r="C27" t="s">
        <v>69</v>
      </c>
      <c r="D27" t="s">
        <v>46</v>
      </c>
      <c r="E27" s="9">
        <v>20411454</v>
      </c>
      <c r="F27" t="s">
        <v>338</v>
      </c>
      <c r="G27" t="s">
        <v>49</v>
      </c>
      <c r="H27" t="s">
        <v>50</v>
      </c>
      <c r="I27" s="1">
        <v>45658</v>
      </c>
      <c r="J27" s="2">
        <v>0</v>
      </c>
      <c r="K27" s="2">
        <v>175</v>
      </c>
      <c r="L27">
        <v>1</v>
      </c>
      <c r="M27">
        <v>175</v>
      </c>
      <c r="O27" t="s">
        <v>323</v>
      </c>
    </row>
    <row r="28" spans="1:15" x14ac:dyDescent="0.25">
      <c r="A28" s="4" t="s">
        <v>278</v>
      </c>
      <c r="B28" s="4" t="str">
        <f t="shared" si="0"/>
        <v>00023090788K9</v>
      </c>
      <c r="C28" t="s">
        <v>73</v>
      </c>
      <c r="D28" t="s">
        <v>46</v>
      </c>
      <c r="E28" s="9">
        <v>20411454</v>
      </c>
      <c r="F28" t="s">
        <v>338</v>
      </c>
      <c r="G28" t="s">
        <v>49</v>
      </c>
      <c r="H28" t="s">
        <v>50</v>
      </c>
      <c r="I28" s="1">
        <v>45748</v>
      </c>
      <c r="J28" s="2">
        <v>0</v>
      </c>
      <c r="K28" s="2">
        <v>175</v>
      </c>
      <c r="L28">
        <v>1</v>
      </c>
      <c r="M28">
        <v>175</v>
      </c>
      <c r="O28" t="s">
        <v>323</v>
      </c>
    </row>
    <row r="29" spans="1:15" x14ac:dyDescent="0.25">
      <c r="A29" s="4" t="s">
        <v>279</v>
      </c>
      <c r="B29" s="4" t="str">
        <f t="shared" si="0"/>
        <v>00023094349K9</v>
      </c>
      <c r="C29" t="s">
        <v>77</v>
      </c>
      <c r="D29" t="s">
        <v>46</v>
      </c>
      <c r="E29" s="9">
        <v>20411454</v>
      </c>
      <c r="F29" t="s">
        <v>338</v>
      </c>
      <c r="G29" t="s">
        <v>49</v>
      </c>
      <c r="H29" t="s">
        <v>50</v>
      </c>
      <c r="I29" s="1">
        <v>45717</v>
      </c>
      <c r="J29" s="2">
        <v>0</v>
      </c>
      <c r="K29" s="2">
        <v>175</v>
      </c>
      <c r="L29">
        <v>1</v>
      </c>
      <c r="M29">
        <v>175</v>
      </c>
      <c r="O29" t="s">
        <v>323</v>
      </c>
    </row>
    <row r="30" spans="1:15" x14ac:dyDescent="0.25">
      <c r="A30" s="4" t="s">
        <v>280</v>
      </c>
      <c r="B30" s="4" t="str">
        <f t="shared" si="0"/>
        <v>00023094767K9</v>
      </c>
      <c r="C30" t="s">
        <v>81</v>
      </c>
      <c r="D30" t="s">
        <v>46</v>
      </c>
      <c r="E30" s="9">
        <v>20411454</v>
      </c>
      <c r="F30" t="s">
        <v>338</v>
      </c>
      <c r="G30" t="s">
        <v>49</v>
      </c>
      <c r="H30" t="s">
        <v>50</v>
      </c>
      <c r="I30" s="1">
        <v>45717</v>
      </c>
      <c r="J30" s="2">
        <v>0</v>
      </c>
      <c r="K30" s="2">
        <v>175</v>
      </c>
      <c r="L30">
        <v>1</v>
      </c>
      <c r="M30">
        <v>175</v>
      </c>
      <c r="O30" t="s">
        <v>323</v>
      </c>
    </row>
    <row r="31" spans="1:15" x14ac:dyDescent="0.25">
      <c r="A31" s="4" t="s">
        <v>281</v>
      </c>
      <c r="B31" s="4" t="str">
        <f t="shared" si="0"/>
        <v>00023101997K9</v>
      </c>
      <c r="C31" t="s">
        <v>83</v>
      </c>
      <c r="D31" t="s">
        <v>46</v>
      </c>
      <c r="E31" s="9">
        <v>20411454</v>
      </c>
      <c r="F31" t="s">
        <v>338</v>
      </c>
      <c r="G31" t="s">
        <v>49</v>
      </c>
      <c r="H31" t="s">
        <v>50</v>
      </c>
      <c r="I31" s="1">
        <v>45717</v>
      </c>
      <c r="J31" s="2">
        <v>0</v>
      </c>
      <c r="K31" s="2">
        <v>175</v>
      </c>
      <c r="L31">
        <v>1</v>
      </c>
      <c r="M31">
        <v>175</v>
      </c>
      <c r="O31" t="s">
        <v>323</v>
      </c>
    </row>
    <row r="32" spans="1:15" x14ac:dyDescent="0.25">
      <c r="A32" s="4" t="s">
        <v>282</v>
      </c>
      <c r="B32" s="4" t="str">
        <f t="shared" si="0"/>
        <v>00023103271K9</v>
      </c>
      <c r="C32" t="s">
        <v>87</v>
      </c>
      <c r="D32" t="s">
        <v>46</v>
      </c>
      <c r="E32" s="9">
        <v>20411454</v>
      </c>
      <c r="F32" t="s">
        <v>338</v>
      </c>
      <c r="G32" t="s">
        <v>49</v>
      </c>
      <c r="H32" t="s">
        <v>50</v>
      </c>
      <c r="I32" s="1">
        <v>45717</v>
      </c>
      <c r="J32" s="2">
        <v>0</v>
      </c>
      <c r="K32" s="2">
        <v>175</v>
      </c>
      <c r="L32">
        <v>1</v>
      </c>
      <c r="M32">
        <v>175</v>
      </c>
      <c r="O32" t="s">
        <v>323</v>
      </c>
    </row>
    <row r="33" spans="1:15" x14ac:dyDescent="0.25">
      <c r="A33" s="4" t="s">
        <v>283</v>
      </c>
      <c r="B33" s="4" t="str">
        <f t="shared" si="0"/>
        <v>00023104807K9</v>
      </c>
      <c r="C33" t="s">
        <v>96</v>
      </c>
      <c r="D33" t="s">
        <v>46</v>
      </c>
      <c r="E33" s="9">
        <v>20411454</v>
      </c>
      <c r="F33" t="s">
        <v>338</v>
      </c>
      <c r="G33" t="s">
        <v>49</v>
      </c>
      <c r="H33" t="s">
        <v>50</v>
      </c>
      <c r="I33" s="1">
        <v>45717</v>
      </c>
      <c r="J33" s="2">
        <v>0</v>
      </c>
      <c r="K33" s="2">
        <v>175</v>
      </c>
      <c r="L33">
        <v>1</v>
      </c>
      <c r="M33">
        <v>175</v>
      </c>
      <c r="O33" t="s">
        <v>323</v>
      </c>
    </row>
    <row r="34" spans="1:15" x14ac:dyDescent="0.25">
      <c r="A34" s="4" t="s">
        <v>284</v>
      </c>
      <c r="B34" s="4" t="str">
        <f t="shared" si="0"/>
        <v>00023105150K9</v>
      </c>
      <c r="C34" t="s">
        <v>98</v>
      </c>
      <c r="D34" t="s">
        <v>46</v>
      </c>
      <c r="E34" s="9">
        <v>20411454</v>
      </c>
      <c r="F34" t="s">
        <v>338</v>
      </c>
      <c r="G34" t="s">
        <v>49</v>
      </c>
      <c r="H34" t="s">
        <v>50</v>
      </c>
      <c r="I34" s="1">
        <v>45748</v>
      </c>
      <c r="J34" s="2">
        <v>0</v>
      </c>
      <c r="K34" s="2">
        <v>175</v>
      </c>
      <c r="L34">
        <v>1</v>
      </c>
      <c r="M34">
        <v>175</v>
      </c>
      <c r="O34" t="s">
        <v>323</v>
      </c>
    </row>
    <row r="35" spans="1:15" x14ac:dyDescent="0.25">
      <c r="A35" s="4" t="s">
        <v>285</v>
      </c>
      <c r="B35" s="4" t="str">
        <f t="shared" si="0"/>
        <v>00023106039K9</v>
      </c>
      <c r="C35" t="s">
        <v>102</v>
      </c>
      <c r="D35" t="s">
        <v>46</v>
      </c>
      <c r="E35" s="9">
        <v>20411454</v>
      </c>
      <c r="F35" t="s">
        <v>338</v>
      </c>
      <c r="G35" t="s">
        <v>49</v>
      </c>
      <c r="H35" t="s">
        <v>50</v>
      </c>
      <c r="I35" s="1">
        <v>45778</v>
      </c>
      <c r="J35" s="2">
        <v>0</v>
      </c>
      <c r="K35" s="2">
        <v>175</v>
      </c>
      <c r="L35">
        <v>1</v>
      </c>
      <c r="M35">
        <v>175</v>
      </c>
      <c r="O35" t="s">
        <v>323</v>
      </c>
    </row>
    <row r="36" spans="1:15" x14ac:dyDescent="0.25">
      <c r="A36" s="4" t="s">
        <v>286</v>
      </c>
      <c r="B36" s="4" t="str">
        <f t="shared" si="0"/>
        <v>00023108707K9</v>
      </c>
      <c r="C36" t="s">
        <v>104</v>
      </c>
      <c r="D36" t="s">
        <v>46</v>
      </c>
      <c r="E36" s="9">
        <v>20411454</v>
      </c>
      <c r="F36" t="s">
        <v>338</v>
      </c>
      <c r="G36" t="s">
        <v>49</v>
      </c>
      <c r="H36" t="s">
        <v>50</v>
      </c>
      <c r="I36" s="1">
        <v>45717</v>
      </c>
      <c r="J36" s="2">
        <v>0</v>
      </c>
      <c r="K36" s="2">
        <v>175</v>
      </c>
      <c r="L36">
        <v>1</v>
      </c>
      <c r="M36">
        <v>175</v>
      </c>
      <c r="O36" t="s">
        <v>323</v>
      </c>
    </row>
    <row r="37" spans="1:15" x14ac:dyDescent="0.25">
      <c r="A37" s="4" t="s">
        <v>287</v>
      </c>
      <c r="B37" s="4" t="str">
        <f t="shared" si="0"/>
        <v>00023109806K9</v>
      </c>
      <c r="C37" t="s">
        <v>106</v>
      </c>
      <c r="D37" t="s">
        <v>46</v>
      </c>
      <c r="E37" s="9">
        <v>20411454</v>
      </c>
      <c r="F37" t="s">
        <v>338</v>
      </c>
      <c r="G37" t="s">
        <v>49</v>
      </c>
      <c r="H37" t="s">
        <v>50</v>
      </c>
      <c r="I37" s="1">
        <v>45748</v>
      </c>
      <c r="J37" s="2">
        <v>0</v>
      </c>
      <c r="K37" s="2">
        <v>175</v>
      </c>
      <c r="L37">
        <v>1</v>
      </c>
      <c r="M37">
        <v>175</v>
      </c>
      <c r="O37" t="s">
        <v>323</v>
      </c>
    </row>
    <row r="38" spans="1:15" x14ac:dyDescent="0.25">
      <c r="A38" s="4" t="s">
        <v>288</v>
      </c>
      <c r="B38" s="4" t="str">
        <f t="shared" si="0"/>
        <v>00010438260KCB9</v>
      </c>
      <c r="C38" t="s">
        <v>213</v>
      </c>
      <c r="D38" t="s">
        <v>46</v>
      </c>
      <c r="E38" s="9">
        <v>20411454</v>
      </c>
      <c r="F38" t="s">
        <v>338</v>
      </c>
      <c r="G38" t="s">
        <v>214</v>
      </c>
      <c r="H38" t="s">
        <v>50</v>
      </c>
      <c r="I38" s="1">
        <v>45658</v>
      </c>
      <c r="M38">
        <v>-175</v>
      </c>
      <c r="O38" t="s">
        <v>323</v>
      </c>
    </row>
    <row r="39" spans="1:15" x14ac:dyDescent="0.25">
      <c r="A39" s="4" t="s">
        <v>289</v>
      </c>
      <c r="B39" s="4" t="str">
        <f t="shared" si="0"/>
        <v>00014421764KPC9</v>
      </c>
      <c r="C39" t="s">
        <v>218</v>
      </c>
      <c r="D39" t="s">
        <v>46</v>
      </c>
      <c r="E39" s="9">
        <v>20411454</v>
      </c>
      <c r="F39" t="s">
        <v>338</v>
      </c>
      <c r="G39" t="s">
        <v>214</v>
      </c>
      <c r="H39" t="s">
        <v>50</v>
      </c>
      <c r="I39" s="1">
        <v>45658</v>
      </c>
      <c r="M39">
        <v>-161</v>
      </c>
      <c r="O39" t="s">
        <v>323</v>
      </c>
    </row>
    <row r="40" spans="1:15" x14ac:dyDescent="0.25">
      <c r="A40" s="4" t="s">
        <v>290</v>
      </c>
      <c r="B40" s="4" t="str">
        <f t="shared" si="0"/>
        <v>00015917794KPC9</v>
      </c>
      <c r="C40" t="s">
        <v>222</v>
      </c>
      <c r="D40" t="s">
        <v>46</v>
      </c>
      <c r="E40" s="9">
        <v>20411454</v>
      </c>
      <c r="F40" t="s">
        <v>338</v>
      </c>
      <c r="G40" t="s">
        <v>214</v>
      </c>
      <c r="H40" t="s">
        <v>50</v>
      </c>
      <c r="I40" s="1">
        <v>45689</v>
      </c>
      <c r="M40">
        <v>-161</v>
      </c>
      <c r="O40" t="s">
        <v>323</v>
      </c>
    </row>
    <row r="41" spans="1:15" x14ac:dyDescent="0.25">
      <c r="A41" s="4" t="s">
        <v>291</v>
      </c>
      <c r="B41" s="4" t="str">
        <f t="shared" si="0"/>
        <v>00022882289KPC9</v>
      </c>
      <c r="C41" t="s">
        <v>236</v>
      </c>
      <c r="D41" t="s">
        <v>46</v>
      </c>
      <c r="E41" s="9">
        <v>20411454</v>
      </c>
      <c r="F41" t="s">
        <v>338</v>
      </c>
      <c r="G41" t="s">
        <v>214</v>
      </c>
      <c r="H41" t="s">
        <v>50</v>
      </c>
      <c r="I41" s="1">
        <v>45658</v>
      </c>
      <c r="M41">
        <v>-145.25</v>
      </c>
      <c r="O41" t="s">
        <v>323</v>
      </c>
    </row>
    <row r="42" spans="1:15" x14ac:dyDescent="0.25">
      <c r="A42" s="4" t="s">
        <v>292</v>
      </c>
      <c r="B42" s="4" t="str">
        <f t="shared" si="0"/>
        <v>00002801445K9</v>
      </c>
      <c r="C42" t="s">
        <v>54</v>
      </c>
      <c r="D42" t="s">
        <v>46</v>
      </c>
      <c r="E42" s="9">
        <v>20411454</v>
      </c>
      <c r="F42" t="s">
        <v>338</v>
      </c>
      <c r="G42" t="s">
        <v>49</v>
      </c>
      <c r="H42" t="s">
        <v>57</v>
      </c>
      <c r="I42" s="1">
        <v>45717</v>
      </c>
      <c r="J42" s="2">
        <v>0</v>
      </c>
      <c r="K42" s="2">
        <v>108</v>
      </c>
      <c r="L42">
        <v>1</v>
      </c>
      <c r="M42">
        <v>108</v>
      </c>
      <c r="O42" t="s">
        <v>323</v>
      </c>
    </row>
    <row r="43" spans="1:15" x14ac:dyDescent="0.25">
      <c r="A43" s="4" t="s">
        <v>293</v>
      </c>
      <c r="B43" s="4" t="str">
        <f t="shared" si="0"/>
        <v>00020335929K9</v>
      </c>
      <c r="C43" t="s">
        <v>67</v>
      </c>
      <c r="D43" t="s">
        <v>46</v>
      </c>
      <c r="E43" s="9">
        <v>20411454</v>
      </c>
      <c r="F43" t="s">
        <v>338</v>
      </c>
      <c r="G43" t="s">
        <v>49</v>
      </c>
      <c r="H43" t="s">
        <v>57</v>
      </c>
      <c r="I43" s="1">
        <v>45717</v>
      </c>
      <c r="J43" s="2">
        <v>0</v>
      </c>
      <c r="K43" s="2">
        <v>108</v>
      </c>
      <c r="L43">
        <v>1</v>
      </c>
      <c r="M43">
        <v>108</v>
      </c>
      <c r="O43" t="s">
        <v>323</v>
      </c>
    </row>
    <row r="44" spans="1:15" x14ac:dyDescent="0.25">
      <c r="A44" s="4" t="s">
        <v>294</v>
      </c>
      <c r="B44" s="4" t="str">
        <f t="shared" si="0"/>
        <v>00011174708KPC9</v>
      </c>
      <c r="C44" t="s">
        <v>216</v>
      </c>
      <c r="D44" t="s">
        <v>46</v>
      </c>
      <c r="E44" s="9">
        <v>20411454</v>
      </c>
      <c r="F44" t="s">
        <v>338</v>
      </c>
      <c r="G44" t="s">
        <v>214</v>
      </c>
      <c r="H44" t="s">
        <v>57</v>
      </c>
      <c r="I44" s="1">
        <v>45658</v>
      </c>
      <c r="M44">
        <v>-89.64</v>
      </c>
      <c r="O44" t="s">
        <v>323</v>
      </c>
    </row>
    <row r="45" spans="1:15" x14ac:dyDescent="0.25">
      <c r="A45" s="4" t="s">
        <v>295</v>
      </c>
      <c r="B45" s="4" t="str">
        <f t="shared" si="0"/>
        <v>00016065333KPC9</v>
      </c>
      <c r="C45" t="s">
        <v>226</v>
      </c>
      <c r="D45" t="s">
        <v>46</v>
      </c>
      <c r="E45" s="9">
        <v>20411454</v>
      </c>
      <c r="F45" t="s">
        <v>338</v>
      </c>
      <c r="G45" t="s">
        <v>214</v>
      </c>
      <c r="H45" t="s">
        <v>57</v>
      </c>
      <c r="I45" s="1">
        <v>45658</v>
      </c>
      <c r="M45">
        <v>-89.64</v>
      </c>
      <c r="O45" t="s">
        <v>323</v>
      </c>
    </row>
    <row r="46" spans="1:15" x14ac:dyDescent="0.25">
      <c r="A46" s="4" t="s">
        <v>296</v>
      </c>
      <c r="B46" s="4" t="str">
        <f t="shared" si="0"/>
        <v>00016407680KPC9</v>
      </c>
      <c r="C46" t="s">
        <v>228</v>
      </c>
      <c r="D46" t="s">
        <v>46</v>
      </c>
      <c r="E46" s="9">
        <v>20411454</v>
      </c>
      <c r="F46" t="s">
        <v>338</v>
      </c>
      <c r="G46" t="s">
        <v>214</v>
      </c>
      <c r="H46" t="s">
        <v>57</v>
      </c>
      <c r="I46" s="1">
        <v>45658</v>
      </c>
      <c r="M46">
        <v>-89.64</v>
      </c>
      <c r="O46" t="s">
        <v>323</v>
      </c>
    </row>
    <row r="47" spans="1:15" x14ac:dyDescent="0.25">
      <c r="A47" s="4" t="s">
        <v>297</v>
      </c>
      <c r="B47" s="4" t="str">
        <f t="shared" si="0"/>
        <v>00019704625KPC9</v>
      </c>
      <c r="C47" t="s">
        <v>232</v>
      </c>
      <c r="D47" t="s">
        <v>46</v>
      </c>
      <c r="E47" s="9">
        <v>20411454</v>
      </c>
      <c r="F47" t="s">
        <v>338</v>
      </c>
      <c r="G47" t="s">
        <v>214</v>
      </c>
      <c r="H47" t="s">
        <v>57</v>
      </c>
      <c r="I47" s="1">
        <v>45658</v>
      </c>
      <c r="M47">
        <v>-99.36</v>
      </c>
      <c r="O47" t="s">
        <v>323</v>
      </c>
    </row>
    <row r="48" spans="1:15" x14ac:dyDescent="0.25">
      <c r="A48" s="4" t="s">
        <v>298</v>
      </c>
      <c r="B48" s="4" t="str">
        <f t="shared" si="0"/>
        <v>00022239672KPC9</v>
      </c>
      <c r="C48" t="s">
        <v>234</v>
      </c>
      <c r="D48" t="s">
        <v>46</v>
      </c>
      <c r="E48" s="9">
        <v>20411454</v>
      </c>
      <c r="F48" t="s">
        <v>338</v>
      </c>
      <c r="G48" t="s">
        <v>214</v>
      </c>
      <c r="H48" t="s">
        <v>57</v>
      </c>
      <c r="I48" s="1">
        <v>45658</v>
      </c>
      <c r="M48">
        <v>-81</v>
      </c>
      <c r="O48" t="s">
        <v>323</v>
      </c>
    </row>
    <row r="49" spans="1:15" s="6" customFormat="1" x14ac:dyDescent="0.25">
      <c r="A49" s="5" t="s">
        <v>299</v>
      </c>
      <c r="B49" s="4" t="str">
        <f>CONCATENATE(A49,99)</f>
        <v>00023103392KPDP99</v>
      </c>
      <c r="C49" s="6" t="s">
        <v>91</v>
      </c>
      <c r="D49" s="6" t="s">
        <v>46</v>
      </c>
      <c r="E49" s="10">
        <v>16202925</v>
      </c>
      <c r="F49" s="6" t="s">
        <v>93</v>
      </c>
      <c r="G49" s="6" t="s">
        <v>49</v>
      </c>
      <c r="H49" s="6" t="s">
        <v>94</v>
      </c>
      <c r="I49" s="7">
        <v>45717</v>
      </c>
      <c r="J49" s="8">
        <v>0</v>
      </c>
      <c r="K49" s="8">
        <v>15</v>
      </c>
      <c r="L49" s="6">
        <v>1</v>
      </c>
      <c r="M49" s="6">
        <v>15</v>
      </c>
      <c r="O49" s="6" t="s">
        <v>324</v>
      </c>
    </row>
    <row r="50" spans="1:15" s="6" customFormat="1" x14ac:dyDescent="0.25">
      <c r="A50" s="5" t="s">
        <v>300</v>
      </c>
      <c r="B50" s="4" t="str">
        <f t="shared" ref="B50:B52" si="1">CONCATENATE(A50,99)</f>
        <v>A0422997499</v>
      </c>
      <c r="C50" s="6" t="s">
        <v>206</v>
      </c>
      <c r="D50" s="6" t="s">
        <v>119</v>
      </c>
      <c r="E50" s="10">
        <v>9213293</v>
      </c>
      <c r="F50" s="6" t="s">
        <v>65</v>
      </c>
      <c r="G50" s="6" t="s">
        <v>49</v>
      </c>
      <c r="H50" s="6" t="s">
        <v>207</v>
      </c>
      <c r="I50" s="7">
        <v>45748</v>
      </c>
      <c r="J50" s="8">
        <v>0</v>
      </c>
      <c r="K50" s="8">
        <v>31.98</v>
      </c>
      <c r="L50" s="6">
        <v>9</v>
      </c>
      <c r="M50" s="6">
        <v>287.82</v>
      </c>
      <c r="O50" s="6" t="s">
        <v>325</v>
      </c>
    </row>
    <row r="51" spans="1:15" s="6" customFormat="1" x14ac:dyDescent="0.25">
      <c r="A51" s="5" t="s">
        <v>301</v>
      </c>
      <c r="B51" s="4" t="str">
        <f t="shared" si="1"/>
        <v>A0422866299</v>
      </c>
      <c r="C51" s="6" t="s">
        <v>200</v>
      </c>
      <c r="D51" s="6" t="s">
        <v>201</v>
      </c>
      <c r="E51" s="10">
        <v>16212649</v>
      </c>
      <c r="F51" s="6" t="s">
        <v>203</v>
      </c>
      <c r="G51" s="6" t="s">
        <v>49</v>
      </c>
      <c r="H51" s="6" t="s">
        <v>204</v>
      </c>
      <c r="I51" s="7">
        <v>45717</v>
      </c>
      <c r="J51" s="8">
        <v>0</v>
      </c>
      <c r="K51" s="8">
        <v>42.21</v>
      </c>
      <c r="L51" s="6">
        <v>9</v>
      </c>
      <c r="M51" s="6">
        <v>379.89</v>
      </c>
      <c r="O51" s="6" t="s">
        <v>326</v>
      </c>
    </row>
    <row r="52" spans="1:15" s="6" customFormat="1" x14ac:dyDescent="0.25">
      <c r="A52" s="5" t="s">
        <v>302</v>
      </c>
      <c r="B52" s="4" t="str">
        <f t="shared" si="1"/>
        <v>A0423040599</v>
      </c>
      <c r="C52" s="6" t="s">
        <v>209</v>
      </c>
      <c r="D52" s="6" t="s">
        <v>170</v>
      </c>
      <c r="E52" s="10">
        <v>17774994</v>
      </c>
      <c r="F52" s="6" t="s">
        <v>185</v>
      </c>
      <c r="G52" s="6" t="s">
        <v>49</v>
      </c>
      <c r="H52" s="6" t="s">
        <v>210</v>
      </c>
      <c r="I52" s="7">
        <v>45717</v>
      </c>
      <c r="J52" s="8">
        <v>0</v>
      </c>
      <c r="K52" s="8">
        <v>29.7</v>
      </c>
      <c r="L52" s="6">
        <v>9</v>
      </c>
      <c r="M52" s="6">
        <v>267.3</v>
      </c>
      <c r="O52" s="6" t="s">
        <v>327</v>
      </c>
    </row>
    <row r="53" spans="1:15" x14ac:dyDescent="0.25">
      <c r="A53" s="4" t="s">
        <v>303</v>
      </c>
      <c r="B53" s="4" t="str">
        <f t="shared" ref="B53:B63" si="2">CONCATENATE(A53,9)</f>
        <v>132127789OV9</v>
      </c>
      <c r="C53" t="s">
        <v>162</v>
      </c>
      <c r="D53" t="s">
        <v>141</v>
      </c>
      <c r="E53" s="9">
        <v>20411454</v>
      </c>
      <c r="F53" t="s">
        <v>338</v>
      </c>
      <c r="G53" t="s">
        <v>49</v>
      </c>
      <c r="H53" t="s">
        <v>167</v>
      </c>
      <c r="I53" s="1">
        <v>45689</v>
      </c>
      <c r="J53" s="2">
        <v>0</v>
      </c>
      <c r="K53" s="2">
        <v>175</v>
      </c>
      <c r="L53">
        <v>1</v>
      </c>
      <c r="M53">
        <v>175</v>
      </c>
      <c r="O53" t="s">
        <v>328</v>
      </c>
    </row>
    <row r="54" spans="1:15" x14ac:dyDescent="0.25">
      <c r="A54" s="4" t="s">
        <v>304</v>
      </c>
      <c r="B54" s="4" t="str">
        <f t="shared" si="2"/>
        <v>918227007OV9</v>
      </c>
      <c r="C54" t="s">
        <v>188</v>
      </c>
      <c r="D54" t="s">
        <v>170</v>
      </c>
      <c r="E54" s="9">
        <v>20411454</v>
      </c>
      <c r="F54" t="s">
        <v>338</v>
      </c>
      <c r="G54" t="s">
        <v>49</v>
      </c>
      <c r="H54" t="s">
        <v>167</v>
      </c>
      <c r="I54" s="1">
        <v>45689</v>
      </c>
      <c r="J54" s="2">
        <v>0</v>
      </c>
      <c r="K54" s="2">
        <v>175</v>
      </c>
      <c r="L54">
        <v>1</v>
      </c>
      <c r="M54">
        <v>175</v>
      </c>
      <c r="O54" t="s">
        <v>328</v>
      </c>
    </row>
    <row r="55" spans="1:15" x14ac:dyDescent="0.25">
      <c r="A55" s="4" t="s">
        <v>305</v>
      </c>
      <c r="B55" s="4" t="str">
        <f t="shared" si="2"/>
        <v>951850009OV9</v>
      </c>
      <c r="C55" t="s">
        <v>191</v>
      </c>
      <c r="D55" t="s">
        <v>146</v>
      </c>
      <c r="E55" s="9">
        <v>20411454</v>
      </c>
      <c r="F55" t="s">
        <v>338</v>
      </c>
      <c r="G55" t="s">
        <v>49</v>
      </c>
      <c r="H55" t="s">
        <v>167</v>
      </c>
      <c r="I55" s="1">
        <v>45689</v>
      </c>
      <c r="J55" s="2">
        <v>0</v>
      </c>
      <c r="K55" s="2">
        <v>175</v>
      </c>
      <c r="L55">
        <v>1</v>
      </c>
      <c r="M55">
        <v>175</v>
      </c>
      <c r="O55" t="s">
        <v>328</v>
      </c>
    </row>
    <row r="56" spans="1:15" x14ac:dyDescent="0.25">
      <c r="A56" s="4" t="s">
        <v>306</v>
      </c>
      <c r="B56" s="4" t="str">
        <f t="shared" si="2"/>
        <v>959030254OV9</v>
      </c>
      <c r="C56" t="s">
        <v>197</v>
      </c>
      <c r="D56" t="s">
        <v>146</v>
      </c>
      <c r="E56" s="9">
        <v>20411454</v>
      </c>
      <c r="F56" t="s">
        <v>338</v>
      </c>
      <c r="G56" t="s">
        <v>49</v>
      </c>
      <c r="H56" t="s">
        <v>167</v>
      </c>
      <c r="I56" s="1">
        <v>45717</v>
      </c>
      <c r="J56" s="2">
        <v>0</v>
      </c>
      <c r="K56" s="2">
        <v>175</v>
      </c>
      <c r="L56">
        <v>1</v>
      </c>
      <c r="M56">
        <v>175</v>
      </c>
      <c r="O56" t="s">
        <v>328</v>
      </c>
    </row>
    <row r="57" spans="1:15" x14ac:dyDescent="0.25">
      <c r="A57" s="4" t="s">
        <v>307</v>
      </c>
      <c r="B57" s="4" t="str">
        <f t="shared" si="2"/>
        <v>132127789OVACB9</v>
      </c>
      <c r="C57" t="s">
        <v>162</v>
      </c>
      <c r="D57" t="s">
        <v>141</v>
      </c>
      <c r="E57" s="9">
        <v>20411454</v>
      </c>
      <c r="F57" t="s">
        <v>338</v>
      </c>
      <c r="G57" t="s">
        <v>214</v>
      </c>
      <c r="H57" t="s">
        <v>167</v>
      </c>
      <c r="I57" s="1">
        <v>45689</v>
      </c>
      <c r="M57">
        <v>-175</v>
      </c>
      <c r="O57" t="s">
        <v>328</v>
      </c>
    </row>
    <row r="58" spans="1:15" x14ac:dyDescent="0.25">
      <c r="A58" s="4" t="s">
        <v>308</v>
      </c>
      <c r="B58" s="4" t="str">
        <f t="shared" si="2"/>
        <v>918227007OVACB9</v>
      </c>
      <c r="C58" t="s">
        <v>188</v>
      </c>
      <c r="D58" t="s">
        <v>170</v>
      </c>
      <c r="E58" s="9">
        <v>20411454</v>
      </c>
      <c r="F58" t="s">
        <v>338</v>
      </c>
      <c r="G58" t="s">
        <v>214</v>
      </c>
      <c r="H58" t="s">
        <v>167</v>
      </c>
      <c r="I58" s="1">
        <v>45689</v>
      </c>
      <c r="M58">
        <v>-175</v>
      </c>
      <c r="O58" t="s">
        <v>328</v>
      </c>
    </row>
    <row r="59" spans="1:15" x14ac:dyDescent="0.25">
      <c r="A59" s="4" t="s">
        <v>309</v>
      </c>
      <c r="B59" s="4" t="str">
        <f t="shared" si="2"/>
        <v>959938317OVCB9</v>
      </c>
      <c r="C59" t="s">
        <v>253</v>
      </c>
      <c r="D59" t="s">
        <v>119</v>
      </c>
      <c r="E59" s="9">
        <v>20411454</v>
      </c>
      <c r="F59" t="s">
        <v>338</v>
      </c>
      <c r="G59" t="s">
        <v>214</v>
      </c>
      <c r="H59" t="s">
        <v>167</v>
      </c>
      <c r="I59" s="1">
        <v>45658</v>
      </c>
      <c r="M59">
        <v>-175</v>
      </c>
      <c r="O59" t="s">
        <v>328</v>
      </c>
    </row>
    <row r="60" spans="1:15" x14ac:dyDescent="0.25">
      <c r="A60" s="4" t="s">
        <v>310</v>
      </c>
      <c r="B60" s="4" t="str">
        <f t="shared" si="2"/>
        <v>973502493OVCB9</v>
      </c>
      <c r="C60" t="s">
        <v>258</v>
      </c>
      <c r="D60" t="s">
        <v>259</v>
      </c>
      <c r="E60" s="9">
        <v>20411454</v>
      </c>
      <c r="F60" t="s">
        <v>338</v>
      </c>
      <c r="G60" t="s">
        <v>214</v>
      </c>
      <c r="H60" t="s">
        <v>167</v>
      </c>
      <c r="I60" s="1">
        <v>45658</v>
      </c>
      <c r="M60">
        <v>-175</v>
      </c>
      <c r="O60" t="s">
        <v>328</v>
      </c>
    </row>
    <row r="61" spans="1:15" x14ac:dyDescent="0.25">
      <c r="A61" s="4" t="s">
        <v>311</v>
      </c>
      <c r="B61" s="4" t="str">
        <f t="shared" si="2"/>
        <v>982139976OVCB9</v>
      </c>
      <c r="C61" t="s">
        <v>262</v>
      </c>
      <c r="D61" t="s">
        <v>119</v>
      </c>
      <c r="E61" s="9">
        <v>20411454</v>
      </c>
      <c r="F61" t="s">
        <v>338</v>
      </c>
      <c r="G61" t="s">
        <v>214</v>
      </c>
      <c r="H61" t="s">
        <v>167</v>
      </c>
      <c r="I61" s="1">
        <v>45658</v>
      </c>
      <c r="M61">
        <v>-175</v>
      </c>
      <c r="O61" t="s">
        <v>328</v>
      </c>
    </row>
    <row r="62" spans="1:15" x14ac:dyDescent="0.25">
      <c r="A62" s="4" t="s">
        <v>312</v>
      </c>
      <c r="B62" s="4" t="str">
        <f t="shared" si="2"/>
        <v>992813403OVCB9</v>
      </c>
      <c r="C62" t="s">
        <v>96</v>
      </c>
      <c r="D62" t="s">
        <v>119</v>
      </c>
      <c r="E62" s="9">
        <v>20411454</v>
      </c>
      <c r="F62" t="s">
        <v>338</v>
      </c>
      <c r="G62" t="s">
        <v>214</v>
      </c>
      <c r="H62" t="s">
        <v>167</v>
      </c>
      <c r="I62" s="1">
        <v>45658</v>
      </c>
      <c r="M62">
        <v>-175</v>
      </c>
      <c r="O62" t="s">
        <v>328</v>
      </c>
    </row>
    <row r="63" spans="1:15" s="6" customFormat="1" x14ac:dyDescent="0.25">
      <c r="A63" s="5">
        <v>905795627</v>
      </c>
      <c r="B63" s="4" t="str">
        <f>CONCATENATE(A63,98)</f>
        <v>90579562798</v>
      </c>
      <c r="C63" s="6" t="s">
        <v>183</v>
      </c>
      <c r="D63" s="6" t="s">
        <v>170</v>
      </c>
      <c r="E63" s="10">
        <v>17774994</v>
      </c>
      <c r="F63" s="6" t="s">
        <v>185</v>
      </c>
      <c r="G63" s="6" t="s">
        <v>49</v>
      </c>
      <c r="H63" s="6" t="s">
        <v>186</v>
      </c>
      <c r="I63" s="7">
        <v>45689</v>
      </c>
      <c r="J63" s="8">
        <v>0</v>
      </c>
      <c r="K63" s="8">
        <v>626</v>
      </c>
      <c r="L63" s="6">
        <v>1</v>
      </c>
      <c r="M63" s="6">
        <v>626</v>
      </c>
      <c r="O63" s="6" t="s">
        <v>329</v>
      </c>
    </row>
    <row r="64" spans="1:15" s="6" customFormat="1" x14ac:dyDescent="0.25">
      <c r="A64" s="5">
        <v>918227007</v>
      </c>
      <c r="B64" s="4" t="str">
        <f t="shared" ref="B64:B65" si="3">CONCATENATE(A64,98)</f>
        <v>91822700798</v>
      </c>
      <c r="C64" s="6" t="s">
        <v>188</v>
      </c>
      <c r="D64" s="6" t="s">
        <v>170</v>
      </c>
      <c r="E64" s="10">
        <v>17774994</v>
      </c>
      <c r="F64" s="6" t="s">
        <v>185</v>
      </c>
      <c r="G64" s="6" t="s">
        <v>49</v>
      </c>
      <c r="H64" s="6" t="s">
        <v>186</v>
      </c>
      <c r="I64" s="7">
        <v>45689</v>
      </c>
      <c r="J64" s="8">
        <v>0</v>
      </c>
      <c r="K64" s="8">
        <v>626</v>
      </c>
      <c r="L64" s="6">
        <v>1</v>
      </c>
      <c r="M64" s="6">
        <v>626</v>
      </c>
      <c r="O64" s="6" t="s">
        <v>329</v>
      </c>
    </row>
    <row r="65" spans="1:16" s="6" customFormat="1" x14ac:dyDescent="0.25">
      <c r="A65" s="5" t="s">
        <v>313</v>
      </c>
      <c r="B65" s="4" t="str">
        <f t="shared" si="3"/>
        <v>959938317CB98</v>
      </c>
      <c r="C65" s="6" t="s">
        <v>253</v>
      </c>
      <c r="D65" s="6" t="s">
        <v>119</v>
      </c>
      <c r="E65" s="10">
        <v>20212926</v>
      </c>
      <c r="F65" s="6" t="s">
        <v>255</v>
      </c>
      <c r="G65" s="6" t="s">
        <v>214</v>
      </c>
      <c r="H65" s="6" t="s">
        <v>186</v>
      </c>
      <c r="I65" s="7">
        <v>45658</v>
      </c>
      <c r="M65" s="6">
        <v>-626</v>
      </c>
      <c r="O65" s="6" t="s">
        <v>329</v>
      </c>
    </row>
    <row r="66" spans="1:16" s="6" customFormat="1" x14ac:dyDescent="0.25">
      <c r="A66" s="5">
        <v>951850009</v>
      </c>
      <c r="B66" s="4" t="str">
        <f t="shared" ref="B66:B75" si="4">CONCATENATE(A66,99)</f>
        <v>95185000999</v>
      </c>
      <c r="C66" s="6" t="s">
        <v>191</v>
      </c>
      <c r="D66" s="6" t="s">
        <v>146</v>
      </c>
      <c r="E66" s="10">
        <v>16865615</v>
      </c>
      <c r="F66" s="6" t="s">
        <v>193</v>
      </c>
      <c r="G66" s="6" t="s">
        <v>49</v>
      </c>
      <c r="H66" s="6" t="s">
        <v>194</v>
      </c>
      <c r="I66" s="7">
        <v>45689</v>
      </c>
      <c r="J66" s="8">
        <v>0</v>
      </c>
      <c r="K66" s="8">
        <v>286.92</v>
      </c>
      <c r="L66" s="6">
        <v>1</v>
      </c>
      <c r="M66" s="6">
        <v>286.92</v>
      </c>
      <c r="N66" s="6" t="s">
        <v>121</v>
      </c>
      <c r="O66" s="6" t="s">
        <v>330</v>
      </c>
      <c r="P66" s="6" t="s">
        <v>334</v>
      </c>
    </row>
    <row r="67" spans="1:16" s="6" customFormat="1" x14ac:dyDescent="0.25">
      <c r="A67" s="5">
        <v>959030254</v>
      </c>
      <c r="B67" s="4" t="str">
        <f t="shared" si="4"/>
        <v>95903025499</v>
      </c>
      <c r="C67" s="6" t="s">
        <v>197</v>
      </c>
      <c r="D67" s="6" t="s">
        <v>146</v>
      </c>
      <c r="E67" s="10">
        <v>16865615</v>
      </c>
      <c r="F67" s="6" t="s">
        <v>193</v>
      </c>
      <c r="G67" s="6" t="s">
        <v>49</v>
      </c>
      <c r="H67" s="6" t="s">
        <v>194</v>
      </c>
      <c r="I67" s="7">
        <v>45717</v>
      </c>
      <c r="J67" s="8">
        <v>0</v>
      </c>
      <c r="K67" s="8">
        <v>260.83</v>
      </c>
      <c r="L67" s="6">
        <v>1</v>
      </c>
      <c r="M67" s="6">
        <v>260.83</v>
      </c>
      <c r="N67" s="6" t="s">
        <v>138</v>
      </c>
      <c r="O67" s="6" t="s">
        <v>330</v>
      </c>
      <c r="P67" s="6" t="s">
        <v>335</v>
      </c>
    </row>
    <row r="68" spans="1:16" s="6" customFormat="1" x14ac:dyDescent="0.25">
      <c r="A68" s="5" t="s">
        <v>314</v>
      </c>
      <c r="B68" s="4" t="str">
        <f t="shared" si="4"/>
        <v>905795627ACB99</v>
      </c>
      <c r="C68" s="6" t="s">
        <v>183</v>
      </c>
      <c r="D68" s="6" t="s">
        <v>170</v>
      </c>
      <c r="E68" s="10">
        <v>17774994</v>
      </c>
      <c r="F68" s="6" t="s">
        <v>185</v>
      </c>
      <c r="G68" s="6" t="s">
        <v>214</v>
      </c>
      <c r="H68" s="6" t="s">
        <v>194</v>
      </c>
      <c r="I68" s="7">
        <v>45689</v>
      </c>
      <c r="M68" s="6">
        <v>-286.92</v>
      </c>
      <c r="O68" s="6" t="s">
        <v>330</v>
      </c>
      <c r="P68" s="6" t="s">
        <v>334</v>
      </c>
    </row>
    <row r="69" spans="1:16" s="6" customFormat="1" x14ac:dyDescent="0.25">
      <c r="A69" s="5" t="s">
        <v>315</v>
      </c>
      <c r="B69" s="4" t="str">
        <f t="shared" si="4"/>
        <v>918227007ACB99</v>
      </c>
      <c r="C69" s="6" t="s">
        <v>188</v>
      </c>
      <c r="D69" s="6" t="s">
        <v>170</v>
      </c>
      <c r="E69" s="10">
        <v>17774994</v>
      </c>
      <c r="F69" s="6" t="s">
        <v>185</v>
      </c>
      <c r="G69" s="6" t="s">
        <v>214</v>
      </c>
      <c r="H69" s="6" t="s">
        <v>194</v>
      </c>
      <c r="I69" s="7">
        <v>45689</v>
      </c>
      <c r="M69" s="6">
        <v>-286.92</v>
      </c>
      <c r="O69" s="6" t="s">
        <v>330</v>
      </c>
      <c r="P69" s="6" t="s">
        <v>334</v>
      </c>
    </row>
    <row r="70" spans="1:16" s="6" customFormat="1" x14ac:dyDescent="0.25">
      <c r="A70" s="5" t="s">
        <v>316</v>
      </c>
      <c r="B70" s="4" t="str">
        <f t="shared" si="4"/>
        <v>973502493CB99</v>
      </c>
      <c r="C70" s="6" t="s">
        <v>258</v>
      </c>
      <c r="D70" s="6" t="s">
        <v>259</v>
      </c>
      <c r="E70" s="10">
        <v>19200754</v>
      </c>
      <c r="F70" s="6" t="s">
        <v>245</v>
      </c>
      <c r="G70" s="6" t="s">
        <v>214</v>
      </c>
      <c r="H70" s="6" t="s">
        <v>194</v>
      </c>
      <c r="I70" s="7">
        <v>45658</v>
      </c>
      <c r="M70" s="6">
        <v>-313</v>
      </c>
      <c r="O70" s="6" t="s">
        <v>330</v>
      </c>
      <c r="P70" s="6" t="s">
        <v>337</v>
      </c>
    </row>
    <row r="71" spans="1:16" s="6" customFormat="1" x14ac:dyDescent="0.25">
      <c r="A71" s="5" t="s">
        <v>317</v>
      </c>
      <c r="B71" s="4" t="str">
        <f t="shared" si="4"/>
        <v>982139976CB99</v>
      </c>
      <c r="C71" s="6" t="s">
        <v>262</v>
      </c>
      <c r="D71" s="6" t="s">
        <v>119</v>
      </c>
      <c r="E71" s="10">
        <v>20212926</v>
      </c>
      <c r="F71" s="6" t="s">
        <v>255</v>
      </c>
      <c r="G71" s="6" t="s">
        <v>214</v>
      </c>
      <c r="H71" s="6" t="s">
        <v>194</v>
      </c>
      <c r="I71" s="7">
        <v>45658</v>
      </c>
      <c r="M71" s="6">
        <v>-313</v>
      </c>
      <c r="O71" s="6" t="s">
        <v>330</v>
      </c>
      <c r="P71" s="6" t="s">
        <v>337</v>
      </c>
    </row>
    <row r="72" spans="1:16" s="6" customFormat="1" x14ac:dyDescent="0.25">
      <c r="A72" s="5" t="s">
        <v>318</v>
      </c>
      <c r="B72" s="4" t="str">
        <f t="shared" si="4"/>
        <v>992813403CB99</v>
      </c>
      <c r="C72" s="6" t="s">
        <v>96</v>
      </c>
      <c r="D72" s="6" t="s">
        <v>119</v>
      </c>
      <c r="E72" s="10">
        <v>9213293</v>
      </c>
      <c r="F72" s="6" t="s">
        <v>65</v>
      </c>
      <c r="G72" s="6" t="s">
        <v>214</v>
      </c>
      <c r="H72" s="6" t="s">
        <v>194</v>
      </c>
      <c r="I72" s="7">
        <v>45658</v>
      </c>
      <c r="M72" s="6">
        <v>-313</v>
      </c>
      <c r="O72" s="6" t="s">
        <v>330</v>
      </c>
      <c r="P72" s="6" t="s">
        <v>337</v>
      </c>
    </row>
    <row r="73" spans="1:16" s="6" customFormat="1" x14ac:dyDescent="0.25">
      <c r="A73" s="5">
        <v>132127789</v>
      </c>
      <c r="B73" s="4" t="str">
        <f t="shared" si="4"/>
        <v>13212778999</v>
      </c>
      <c r="C73" s="6" t="s">
        <v>162</v>
      </c>
      <c r="D73" s="6" t="s">
        <v>141</v>
      </c>
      <c r="E73" s="10" t="s">
        <v>339</v>
      </c>
      <c r="F73" s="6" t="s">
        <v>164</v>
      </c>
      <c r="G73" s="6" t="s">
        <v>49</v>
      </c>
      <c r="H73" s="6" t="s">
        <v>165</v>
      </c>
      <c r="I73" s="7">
        <v>45689</v>
      </c>
      <c r="J73" s="8">
        <v>0</v>
      </c>
      <c r="K73" s="8">
        <v>705</v>
      </c>
      <c r="L73" s="6">
        <v>1</v>
      </c>
      <c r="M73" s="6">
        <v>705</v>
      </c>
      <c r="O73" s="6" t="s">
        <v>331</v>
      </c>
    </row>
    <row r="74" spans="1:16" s="6" customFormat="1" x14ac:dyDescent="0.25">
      <c r="A74" s="5" t="s">
        <v>319</v>
      </c>
      <c r="B74" s="4" t="str">
        <f t="shared" si="4"/>
        <v>132127789ACB99</v>
      </c>
      <c r="C74" s="6" t="s">
        <v>162</v>
      </c>
      <c r="D74" s="6" t="s">
        <v>141</v>
      </c>
      <c r="E74" s="10" t="s">
        <v>339</v>
      </c>
      <c r="F74" s="6" t="s">
        <v>164</v>
      </c>
      <c r="G74" s="6" t="s">
        <v>214</v>
      </c>
      <c r="H74" s="6" t="s">
        <v>247</v>
      </c>
      <c r="I74" s="7">
        <v>45689</v>
      </c>
      <c r="M74" s="6">
        <v>-323.58</v>
      </c>
      <c r="O74" s="6" t="s">
        <v>332</v>
      </c>
      <c r="P74" s="6" t="s">
        <v>336</v>
      </c>
    </row>
    <row r="75" spans="1:16" s="6" customFormat="1" x14ac:dyDescent="0.25">
      <c r="A75" s="5" t="s">
        <v>320</v>
      </c>
      <c r="B75" s="4" t="str">
        <f t="shared" si="4"/>
        <v>023033828PDP99</v>
      </c>
      <c r="C75" s="6" t="s">
        <v>110</v>
      </c>
      <c r="D75" s="6" t="s">
        <v>111</v>
      </c>
      <c r="E75" s="10">
        <v>9079571</v>
      </c>
      <c r="F75" s="6" t="s">
        <v>113</v>
      </c>
      <c r="G75" s="6" t="s">
        <v>49</v>
      </c>
      <c r="H75" s="6" t="s">
        <v>114</v>
      </c>
      <c r="I75" s="7">
        <v>45689</v>
      </c>
      <c r="J75" s="8">
        <v>0</v>
      </c>
      <c r="K75" s="8">
        <v>109</v>
      </c>
      <c r="L75" s="6">
        <v>1</v>
      </c>
      <c r="M75" s="6">
        <v>109</v>
      </c>
      <c r="O75" s="6" t="s">
        <v>333</v>
      </c>
    </row>
  </sheetData>
  <sortState xmlns:xlrd2="http://schemas.microsoft.com/office/spreadsheetml/2017/richdata2" ref="A2:AE75">
    <sortCondition ref="H2:H7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2025-02-28T20:27:37Z</dcterms:created>
  <dcterms:modified xsi:type="dcterms:W3CDTF">2025-03-03T15:22:19Z</dcterms:modified>
</cp:coreProperties>
</file>