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3-05-25\"/>
    </mc:Choice>
  </mc:AlternateContent>
  <xr:revisionPtr revIDLastSave="0" documentId="13_ncr:9_{827E1106-DA8B-4868-9A0E-58C3CDA3BA4F}" xr6:coauthVersionLast="47" xr6:coauthVersionMax="47" xr10:uidLastSave="{00000000-0000-0000-0000-000000000000}"/>
  <bookViews>
    <workbookView xWindow="33300" yWindow="1095" windowWidth="21600" windowHeight="13230" xr2:uid="{23D4D4E3-55A0-4E43-A319-4A9DBDE06D4F}"/>
  </bookViews>
  <sheets>
    <sheet name="New Business Agent Statement - 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B119" i="2" l="1"/>
  <c r="B118" i="2"/>
  <c r="B117" i="2"/>
  <c r="B116" i="2"/>
  <c r="B115" i="2"/>
  <c r="B109" i="2"/>
  <c r="B120" i="2"/>
  <c r="B114" i="2"/>
  <c r="B113" i="2"/>
  <c r="B112" i="2"/>
  <c r="B111" i="2"/>
  <c r="B110" i="2"/>
  <c r="B101" i="2"/>
  <c r="B102" i="2"/>
  <c r="B103" i="2"/>
  <c r="B104" i="2"/>
  <c r="B105" i="2"/>
  <c r="B106" i="2"/>
  <c r="B107" i="2"/>
  <c r="B108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68" i="2"/>
  <c r="B69" i="2"/>
  <c r="B70" i="2"/>
  <c r="B71" i="2"/>
  <c r="B72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2" i="2"/>
</calcChain>
</file>

<file path=xl/sharedStrings.xml><?xml version="1.0" encoding="utf-8"?>
<sst xmlns="http://schemas.openxmlformats.org/spreadsheetml/2006/main" count="2732" uniqueCount="432">
  <si>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</si>
  <si>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</si>
  <si>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</si>
  <si>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</si>
  <si>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</si>
  <si>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</si>
  <si>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</si>
  <si>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</si>
  <si>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</si>
  <si>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</si>
  <si>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</si>
  <si>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</si>
  <si>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</si>
  <si>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</si>
  <si>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</si>
  <si>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</si>
  <si>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</si>
  <si>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</si>
  <si>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</si>
  <si>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</si>
  <si>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</si>
  <si>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</si>
  <si>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</si>
  <si>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</si>
  <si>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</si>
  <si>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</si>
  <si>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</si>
  <si>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</si>
  <si>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</si>
  <si>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</si>
  <si>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</si>
  <si>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</si>
  <si>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</si>
  <si>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</si>
  <si>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</si>
  <si>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</si>
  <si>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</si>
  <si>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</si>
  <si>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</si>
  <si>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</si>
  <si>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</si>
  <si>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</si>
  <si>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</si>
  <si>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</si>
  <si>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'00001555485K</t>
  </si>
  <si>
    <t>LOREN JONES</t>
  </si>
  <si>
    <t>NA</t>
  </si>
  <si>
    <t>'045607</t>
  </si>
  <si>
    <t>PAMELA DEATON</t>
  </si>
  <si>
    <t>ACTIVE</t>
  </si>
  <si>
    <t>Humana MA 2019+ Level 15- 175/108</t>
  </si>
  <si>
    <t>Monthly</t>
  </si>
  <si>
    <t>AV</t>
  </si>
  <si>
    <t>'00001702994K</t>
  </si>
  <si>
    <t>JOYCE JONES</t>
  </si>
  <si>
    <t>'00008790290KA</t>
  </si>
  <si>
    <t>CONNIE WILLIAMS</t>
  </si>
  <si>
    <t>'045712</t>
  </si>
  <si>
    <t>GREGORY HANSFORD</t>
  </si>
  <si>
    <t>Active</t>
  </si>
  <si>
    <t>Humana MA 2019+ Level 15- 175/108 Repl 2024</t>
  </si>
  <si>
    <t>'00016858919K</t>
  </si>
  <si>
    <t>PRISCILLA HOOVER</t>
  </si>
  <si>
    <t>'00019151670K</t>
  </si>
  <si>
    <t>C PUEBLA DE VILLA</t>
  </si>
  <si>
    <t>'045605</t>
  </si>
  <si>
    <t>GARY PORTUGAL</t>
  </si>
  <si>
    <t>'00019779363K</t>
  </si>
  <si>
    <t>CARLOTTA LAZARZ</t>
  </si>
  <si>
    <t>'045709</t>
  </si>
  <si>
    <t>ESTHER HERRERA-LARSEN</t>
  </si>
  <si>
    <t>'00023089684K</t>
  </si>
  <si>
    <t>KAREN FISHEL</t>
  </si>
  <si>
    <t>'043705</t>
  </si>
  <si>
    <t>MICHAEL DUNAVANT</t>
  </si>
  <si>
    <t>'00023111991K</t>
  </si>
  <si>
    <t>MARK RUSTEMEYER</t>
  </si>
  <si>
    <t>'043637</t>
  </si>
  <si>
    <t>CHRISTIAN TAUGNER</t>
  </si>
  <si>
    <t>'00023112026K</t>
  </si>
  <si>
    <t>BRENDA TROUTMAN</t>
  </si>
  <si>
    <t>'045632</t>
  </si>
  <si>
    <t>BARRY SCHUMANN</t>
  </si>
  <si>
    <t>'00023112046K</t>
  </si>
  <si>
    <t>REGGIE SPEARS</t>
  </si>
  <si>
    <t>'045613</t>
  </si>
  <si>
    <t>RICARDO SANTOS</t>
  </si>
  <si>
    <t>'00023115513K</t>
  </si>
  <si>
    <t>KATHLEEN CARLSON</t>
  </si>
  <si>
    <t>'043623</t>
  </si>
  <si>
    <t>DOLORES DUNBAR</t>
  </si>
  <si>
    <t>Humana MA 2019+ - Direct</t>
  </si>
  <si>
    <t>'00023115671K</t>
  </si>
  <si>
    <t>JAMES BULLOCK</t>
  </si>
  <si>
    <t>'043679</t>
  </si>
  <si>
    <t>DEBORAH INSKIPT</t>
  </si>
  <si>
    <t>'00023116061K</t>
  </si>
  <si>
    <t>SAMPSON HUDSON</t>
  </si>
  <si>
    <t>'00023117631K</t>
  </si>
  <si>
    <t>JOHN LANGSTON</t>
  </si>
  <si>
    <t>'00023119453K</t>
  </si>
  <si>
    <t>JEFFREY PURCELL</t>
  </si>
  <si>
    <t>'045611</t>
  </si>
  <si>
    <t>FRANK LISKOVEC</t>
  </si>
  <si>
    <t>'00023120858K</t>
  </si>
  <si>
    <t>MATTHEW MILLER</t>
  </si>
  <si>
    <t>'00023123072K</t>
  </si>
  <si>
    <t>TERRY HESTER</t>
  </si>
  <si>
    <t>'00023123675K</t>
  </si>
  <si>
    <t>KENNETH WISNIEWSKI</t>
  </si>
  <si>
    <t>IL</t>
  </si>
  <si>
    <t>'045604</t>
  </si>
  <si>
    <t>JEFFREY HORN</t>
  </si>
  <si>
    <t>'00023124079K</t>
  </si>
  <si>
    <t>PEGGY ALLEN</t>
  </si>
  <si>
    <t>'00023126234K</t>
  </si>
  <si>
    <t>MARGUERITE YAKULIS</t>
  </si>
  <si>
    <t>'043682</t>
  </si>
  <si>
    <t>GREGORY TEIPEL</t>
  </si>
  <si>
    <t>'00023128111K</t>
  </si>
  <si>
    <t>ELLEN KAPLAN</t>
  </si>
  <si>
    <t>'022W14511</t>
  </si>
  <si>
    <t>JANICE PUETZER</t>
  </si>
  <si>
    <t>Anthem MA 2023</t>
  </si>
  <si>
    <t>'023W16402</t>
  </si>
  <si>
    <t>MARGARE GRAZIANI</t>
  </si>
  <si>
    <t>'101137736000</t>
  </si>
  <si>
    <t>TERRACE DYER</t>
  </si>
  <si>
    <t>Aetna MAPD NMO to GMO - 4-1-23+  New E-App</t>
  </si>
  <si>
    <t>'101137742600</t>
  </si>
  <si>
    <t>NANCI DYER</t>
  </si>
  <si>
    <t>'101550528200</t>
  </si>
  <si>
    <t>KATHLEEN BABIARZ</t>
  </si>
  <si>
    <t>'045612</t>
  </si>
  <si>
    <t>ANTHONY HUNSBERGER</t>
  </si>
  <si>
    <t>Aetna MAPD NMO to GMO - 4-1-23+  Replace E-App</t>
  </si>
  <si>
    <t>10/12 PRORATE</t>
  </si>
  <si>
    <t>'101873362500</t>
  </si>
  <si>
    <t>ALLEN DARRINGTON</t>
  </si>
  <si>
    <t>CO</t>
  </si>
  <si>
    <t>'043678</t>
  </si>
  <si>
    <t>MATTHEW DAUGHERTY</t>
  </si>
  <si>
    <t>'101880856300</t>
  </si>
  <si>
    <t>CHARLES JOHNSON</t>
  </si>
  <si>
    <t>'101968935100</t>
  </si>
  <si>
    <t>JAMES HAUG</t>
  </si>
  <si>
    <t>PA</t>
  </si>
  <si>
    <t>'102099947600</t>
  </si>
  <si>
    <t>STOJANKA STOJANOVIC</t>
  </si>
  <si>
    <t>FL</t>
  </si>
  <si>
    <t>'043748</t>
  </si>
  <si>
    <t>SCOTT FINE</t>
  </si>
  <si>
    <t>'102135098200</t>
  </si>
  <si>
    <t>CAROLE POWER</t>
  </si>
  <si>
    <t>'102136243000</t>
  </si>
  <si>
    <t>WILLIAM FLEMING</t>
  </si>
  <si>
    <t>AL</t>
  </si>
  <si>
    <t>'102136258200</t>
  </si>
  <si>
    <t>LORETTA OKUNGBOWA</t>
  </si>
  <si>
    <t>TX</t>
  </si>
  <si>
    <t>'043969</t>
  </si>
  <si>
    <t>STACEY PORTUGAL</t>
  </si>
  <si>
    <t>'102136696000</t>
  </si>
  <si>
    <t>LINDA YOUNG</t>
  </si>
  <si>
    <t>'043611</t>
  </si>
  <si>
    <t>TIMOTHY POWERS</t>
  </si>
  <si>
    <t>'102136755100</t>
  </si>
  <si>
    <t>JAMES YOUNG</t>
  </si>
  <si>
    <t>'102136760300</t>
  </si>
  <si>
    <t>JEFFREY NOULLET</t>
  </si>
  <si>
    <t>'102136793200</t>
  </si>
  <si>
    <t>APRIL WINN</t>
  </si>
  <si>
    <t>'102137196000</t>
  </si>
  <si>
    <t>QUEENAH SONYAH</t>
  </si>
  <si>
    <t>'043743</t>
  </si>
  <si>
    <t>FREDERICK GBASSANA</t>
  </si>
  <si>
    <t>'102137272900</t>
  </si>
  <si>
    <t>JOHN GALIOTO</t>
  </si>
  <si>
    <t>'043629</t>
  </si>
  <si>
    <t>PAUL ROBINSON</t>
  </si>
  <si>
    <t>'102138156800</t>
  </si>
  <si>
    <t>GEORGE BRIDGES</t>
  </si>
  <si>
    <t>'102138240500</t>
  </si>
  <si>
    <t>KATARZYNA KOZIOL</t>
  </si>
  <si>
    <t>'041686</t>
  </si>
  <si>
    <t>DALE WALENGA</t>
  </si>
  <si>
    <t>'102138440000</t>
  </si>
  <si>
    <t>JULIE FREY</t>
  </si>
  <si>
    <t>'102138526200</t>
  </si>
  <si>
    <t>LISA WACHOWIAK</t>
  </si>
  <si>
    <t>'102138558200</t>
  </si>
  <si>
    <t>CHRISTY WELSH</t>
  </si>
  <si>
    <t>GA</t>
  </si>
  <si>
    <t>'102138649000</t>
  </si>
  <si>
    <t>JOAN MARCHESE</t>
  </si>
  <si>
    <t>'043618</t>
  </si>
  <si>
    <t>SAADIA ABDUL</t>
  </si>
  <si>
    <t>'102139051700</t>
  </si>
  <si>
    <t>RICHARD LIPINSKI</t>
  </si>
  <si>
    <t>'043686</t>
  </si>
  <si>
    <t>SCOTT AGUGLIA</t>
  </si>
  <si>
    <t>'102141040100</t>
  </si>
  <si>
    <t>AMY WHEELER</t>
  </si>
  <si>
    <t>'102141057700</t>
  </si>
  <si>
    <t>SABINA CHAN</t>
  </si>
  <si>
    <t>'043625</t>
  </si>
  <si>
    <t>PATSAMON THANADABOUTH</t>
  </si>
  <si>
    <t>'102141630900</t>
  </si>
  <si>
    <t>CYNTHIA FIEDLER</t>
  </si>
  <si>
    <t>OH</t>
  </si>
  <si>
    <t>'102142338300</t>
  </si>
  <si>
    <t>RONALD HINTON</t>
  </si>
  <si>
    <t>'102142380900</t>
  </si>
  <si>
    <t>CHERYL HINTON</t>
  </si>
  <si>
    <t>'102142808400</t>
  </si>
  <si>
    <t>WILLIAM SPELICH</t>
  </si>
  <si>
    <t>'102142845300</t>
  </si>
  <si>
    <t>CINDY DICKERSON</t>
  </si>
  <si>
    <t>SD</t>
  </si>
  <si>
    <t>'102142887500</t>
  </si>
  <si>
    <t>JOSE VELASQUEZ LARA</t>
  </si>
  <si>
    <t>'102143800500</t>
  </si>
  <si>
    <t>GRACE HUETT</t>
  </si>
  <si>
    <t>'102144511800</t>
  </si>
  <si>
    <t>SUSAN BUSSE</t>
  </si>
  <si>
    <t>'102148368500</t>
  </si>
  <si>
    <t>BRADLEY BARNEY</t>
  </si>
  <si>
    <t>9/12 PRORATE</t>
  </si>
  <si>
    <t>'102148379700</t>
  </si>
  <si>
    <t>PAMELA FREGOSO</t>
  </si>
  <si>
    <t>'102148711800</t>
  </si>
  <si>
    <t>RAYMOND SELVA</t>
  </si>
  <si>
    <t>11/12 PRORATE</t>
  </si>
  <si>
    <t>'102150214700</t>
  </si>
  <si>
    <t>BARBARA AULERT</t>
  </si>
  <si>
    <t>'045622</t>
  </si>
  <si>
    <t>JACOB YALE</t>
  </si>
  <si>
    <t>'102150220300</t>
  </si>
  <si>
    <t>ALREDA BOSTICK</t>
  </si>
  <si>
    <t>NC</t>
  </si>
  <si>
    <t>'246W21868</t>
  </si>
  <si>
    <t>WILLIAM ROBERTS</t>
  </si>
  <si>
    <t>'246W22457</t>
  </si>
  <si>
    <t>DAVID RITTER</t>
  </si>
  <si>
    <t>'321W21931</t>
  </si>
  <si>
    <t>TAMMY ALBRIGHT</t>
  </si>
  <si>
    <t>'324W22449</t>
  </si>
  <si>
    <t>DIANE TEMPLE</t>
  </si>
  <si>
    <t>'407W22392</t>
  </si>
  <si>
    <t>EDWARD BLASKO</t>
  </si>
  <si>
    <t>'441W21795</t>
  </si>
  <si>
    <t>WILLIAM OSTRANDER</t>
  </si>
  <si>
    <t>'516W22333</t>
  </si>
  <si>
    <t>DANIEL PARENT</t>
  </si>
  <si>
    <t>'545W22479</t>
  </si>
  <si>
    <t>MICHAEL JENNINGS</t>
  </si>
  <si>
    <t>'043714</t>
  </si>
  <si>
    <t>BRIAN STROHMAN</t>
  </si>
  <si>
    <t>'714W22634</t>
  </si>
  <si>
    <t>MICHAEL COHEN</t>
  </si>
  <si>
    <t>'907822980</t>
  </si>
  <si>
    <t>DEBORAH FRIEDEN</t>
  </si>
  <si>
    <t>UHC MAPD Street payable to upline- 2025 Replace</t>
  </si>
  <si>
    <t>'907822980OV</t>
  </si>
  <si>
    <t>UHC MA Direct 2024 New Full</t>
  </si>
  <si>
    <t>'944W21931</t>
  </si>
  <si>
    <t>DAVID ALBRIGHT</t>
  </si>
  <si>
    <t>'975746907</t>
  </si>
  <si>
    <t>DARLINO FUSILERO</t>
  </si>
  <si>
    <t>'975746907OV</t>
  </si>
  <si>
    <t>'979062658</t>
  </si>
  <si>
    <t>JAMES FRIEDEN</t>
  </si>
  <si>
    <t>'979062658OV</t>
  </si>
  <si>
    <t>'987905996</t>
  </si>
  <si>
    <t>IRVING SILVERSTEIN</t>
  </si>
  <si>
    <t>'987905996OV</t>
  </si>
  <si>
    <t>UHC MA Direct 2024 New Initial Prorated</t>
  </si>
  <si>
    <t>'987982162</t>
  </si>
  <si>
    <t>MATTHEW COLLINS</t>
  </si>
  <si>
    <t>'043664</t>
  </si>
  <si>
    <t>JEFFREY SELM</t>
  </si>
  <si>
    <t>UHC MA Bonus Upload 03-05-2025.xlsx</t>
  </si>
  <si>
    <t>'987982162OV</t>
  </si>
  <si>
    <t>'9N29XM6NY59</t>
  </si>
  <si>
    <t>CURTISS PANNELL</t>
  </si>
  <si>
    <t>Wellcare MA 2025 SGA</t>
  </si>
  <si>
    <t>'A04231546</t>
  </si>
  <si>
    <t>VIRGINIA LANGTIM</t>
  </si>
  <si>
    <t>UHC AARP Med Supp IL Area 1- Plan  B C F G</t>
  </si>
  <si>
    <t>CB</t>
  </si>
  <si>
    <t>'00020835806KPC</t>
  </si>
  <si>
    <t>APRIL COX</t>
  </si>
  <si>
    <t>CHARGEBACK</t>
  </si>
  <si>
    <t>'00022146065KPC</t>
  </si>
  <si>
    <t>MARYBLYE KRAMER</t>
  </si>
  <si>
    <t>'045603</t>
  </si>
  <si>
    <t>ANDREW CHOI</t>
  </si>
  <si>
    <t>'00022172080KPC</t>
  </si>
  <si>
    <t>HARLA SCOTT</t>
  </si>
  <si>
    <t>'00022193875KPC</t>
  </si>
  <si>
    <t>CONNIE MYERS</t>
  </si>
  <si>
    <t>'101137736000CB</t>
  </si>
  <si>
    <t>'101137742600CB</t>
  </si>
  <si>
    <t>'101187835500CB</t>
  </si>
  <si>
    <t>LARRY NUGENT</t>
  </si>
  <si>
    <t>'043740</t>
  </si>
  <si>
    <t>RANDY TAPPER</t>
  </si>
  <si>
    <t>'101873362500CB</t>
  </si>
  <si>
    <t>'102096428400PC</t>
  </si>
  <si>
    <t>NANCY COATES</t>
  </si>
  <si>
    <t>'102099947600CB</t>
  </si>
  <si>
    <t>'102119192800CB</t>
  </si>
  <si>
    <t>DAWN ROBINSON</t>
  </si>
  <si>
    <t>'102119193700CB</t>
  </si>
  <si>
    <t>LAWRENCE ROBINSON</t>
  </si>
  <si>
    <t>'102135098200CB</t>
  </si>
  <si>
    <t>'102136243000CB</t>
  </si>
  <si>
    <t>'102136258200CB</t>
  </si>
  <si>
    <t>'102136696000CB</t>
  </si>
  <si>
    <t>'102136755100CB</t>
  </si>
  <si>
    <t>'102136760300CB</t>
  </si>
  <si>
    <t>'102136793200CB</t>
  </si>
  <si>
    <t>'102137196000CB</t>
  </si>
  <si>
    <t>'102137272900CB</t>
  </si>
  <si>
    <t>'102138156800CB</t>
  </si>
  <si>
    <t>'102138240500CB</t>
  </si>
  <si>
    <t>'102138440000CB</t>
  </si>
  <si>
    <t>'102138526200CB</t>
  </si>
  <si>
    <t>'102138558200CB</t>
  </si>
  <si>
    <t>'102138649000CB</t>
  </si>
  <si>
    <t>'102139051700CB</t>
  </si>
  <si>
    <t>'102141040100CB</t>
  </si>
  <si>
    <t>'102141057700CB</t>
  </si>
  <si>
    <t>'102141630900CB</t>
  </si>
  <si>
    <t>'102142338300CB</t>
  </si>
  <si>
    <t>'102142380900CB</t>
  </si>
  <si>
    <t>'102142808400CB</t>
  </si>
  <si>
    <t>'102142845300CB</t>
  </si>
  <si>
    <t>'102143800500CB</t>
  </si>
  <si>
    <t>'102144511800CB</t>
  </si>
  <si>
    <t>'963715239CB</t>
  </si>
  <si>
    <t>JOYCE NORWOOD</t>
  </si>
  <si>
    <t>UHC MAPD Street payable to upline - 2025 New</t>
  </si>
  <si>
    <t>'963715239OVCB</t>
  </si>
  <si>
    <t>00001555485K</t>
  </si>
  <si>
    <t>00001702994K</t>
  </si>
  <si>
    <t>00008790290KA</t>
  </si>
  <si>
    <t>00016858919K</t>
  </si>
  <si>
    <t>00019151670K</t>
  </si>
  <si>
    <t>00019779363K</t>
  </si>
  <si>
    <t>00023089684K</t>
  </si>
  <si>
    <t>00023111991K</t>
  </si>
  <si>
    <t>00023112026K</t>
  </si>
  <si>
    <t>00023112046K</t>
  </si>
  <si>
    <t>00023115671K</t>
  </si>
  <si>
    <t>00023116061K</t>
  </si>
  <si>
    <t>00023117631K</t>
  </si>
  <si>
    <t>00023119453K</t>
  </si>
  <si>
    <t>00023120858K</t>
  </si>
  <si>
    <t>00023123072K</t>
  </si>
  <si>
    <t>00023123675K</t>
  </si>
  <si>
    <t>00023124079K</t>
  </si>
  <si>
    <t>00023126234K</t>
  </si>
  <si>
    <t>00023128111K</t>
  </si>
  <si>
    <t>022W14511</t>
  </si>
  <si>
    <t>023W16402</t>
  </si>
  <si>
    <t>246W21868</t>
  </si>
  <si>
    <t>246W22457</t>
  </si>
  <si>
    <t>321W21931</t>
  </si>
  <si>
    <t>324W22449</t>
  </si>
  <si>
    <t>407W22392</t>
  </si>
  <si>
    <t>441W21795</t>
  </si>
  <si>
    <t>516W22333</t>
  </si>
  <si>
    <t>545W22479</t>
  </si>
  <si>
    <t>714W22634</t>
  </si>
  <si>
    <t>907822980OV</t>
  </si>
  <si>
    <t>944W21931</t>
  </si>
  <si>
    <t>975746907OV</t>
  </si>
  <si>
    <t>979062658OV</t>
  </si>
  <si>
    <t>987905996OV</t>
  </si>
  <si>
    <t>987982162OV</t>
  </si>
  <si>
    <t>9N29XM6NY59</t>
  </si>
  <si>
    <t>A04231546</t>
  </si>
  <si>
    <t>00020835806KPC</t>
  </si>
  <si>
    <t>00022146065KPC</t>
  </si>
  <si>
    <t>00022172080KPC</t>
  </si>
  <si>
    <t>00022193875KPC</t>
  </si>
  <si>
    <t>101137736000CB</t>
  </si>
  <si>
    <t>101137742600CB</t>
  </si>
  <si>
    <t>101187835500CB</t>
  </si>
  <si>
    <t>101873362500CB</t>
  </si>
  <si>
    <t>102096428400PC</t>
  </si>
  <si>
    <t>102099947600CB</t>
  </si>
  <si>
    <t>102119192800CB</t>
  </si>
  <si>
    <t>102119193700CB</t>
  </si>
  <si>
    <t>102135098200CB</t>
  </si>
  <si>
    <t>102136243000CB</t>
  </si>
  <si>
    <t>102136258200CB</t>
  </si>
  <si>
    <t>102136696000CB</t>
  </si>
  <si>
    <t>102136755100CB</t>
  </si>
  <si>
    <t>102136760300CB</t>
  </si>
  <si>
    <t>102136793200CB</t>
  </si>
  <si>
    <t>102137196000CB</t>
  </si>
  <si>
    <t>102137272900CB</t>
  </si>
  <si>
    <t>102138156800CB</t>
  </si>
  <si>
    <t>102138240500CB</t>
  </si>
  <si>
    <t>102138440000CB</t>
  </si>
  <si>
    <t>102138526200CB</t>
  </si>
  <si>
    <t>102138558200CB</t>
  </si>
  <si>
    <t>102138649000CB</t>
  </si>
  <si>
    <t>102139051700CB</t>
  </si>
  <si>
    <t>102141040100CB</t>
  </si>
  <si>
    <t>102141057700CB</t>
  </si>
  <si>
    <t>102141630900CB</t>
  </si>
  <si>
    <t>102142338300CB</t>
  </si>
  <si>
    <t>102142380900CB</t>
  </si>
  <si>
    <t>102142808400CB</t>
  </si>
  <si>
    <t>102142845300CB</t>
  </si>
  <si>
    <t>102143800500CB</t>
  </si>
  <si>
    <t>102144511800CB</t>
  </si>
  <si>
    <t>963715239CB</t>
  </si>
  <si>
    <t>963715239OVCB</t>
  </si>
  <si>
    <t>Aetna MAPD OVR 2025</t>
  </si>
  <si>
    <t>Anthem MAPD 2025 OVR</t>
  </si>
  <si>
    <t>Humana MAPD OVR 2025</t>
  </si>
  <si>
    <t>UHC AARP MS IL Area 1- Plan B C F G</t>
  </si>
  <si>
    <t>UHC MAPD Ovr 2025</t>
  </si>
  <si>
    <t>UHC 2025</t>
  </si>
  <si>
    <t>UHC MAPD 2025*</t>
  </si>
  <si>
    <t>[%/$=313][prorate=10/12]</t>
  </si>
  <si>
    <t>Wellcare MAPD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</si>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</sst>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5AE9-9369-45A8-BE6F-117BF7566811}">
  <dimension ref="A1:AL125"/>
  <sheetViews>
    <sheetView tabSelected="1" topLeftCell="P73" workbookViewId="0">
      <selection activeCell="AC124" sqref="AC124:AJ126"/>
    </sheetView>
  </sheetViews>
  <sheetFormatPr defaultRowHeight="15" x14ac:dyDescent="0.25"/>
  <cols>
    <col min="29" max="29" width="17.42578125" bestFit="1" customWidth="1"/>
    <col min="31" max="31" width="9.85546875" bestFit="1" customWidth="1"/>
    <col min="32" max="32" width="10.85546875" bestFit="1" customWidth="1"/>
    <col min="36" max="36" width="9.855468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45721</v>
      </c>
      <c r="B2" s="1">
        <v>45721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45717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5152700</v>
      </c>
    </row>
    <row r="3" spans="1:38" x14ac:dyDescent="0.25">
      <c r="A3" s="1">
        <v>45721</v>
      </c>
      <c r="B3" s="1">
        <v>45721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47</v>
      </c>
      <c r="P3" t="s">
        <v>48</v>
      </c>
      <c r="Q3" t="s">
        <v>49</v>
      </c>
      <c r="R3" t="s">
        <v>50</v>
      </c>
      <c r="S3" s="1">
        <v>45717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5152701</v>
      </c>
    </row>
    <row r="4" spans="1:38" x14ac:dyDescent="0.25">
      <c r="A4" s="1">
        <v>45721</v>
      </c>
      <c r="B4" s="1">
        <v>45721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55</v>
      </c>
      <c r="J4" t="s">
        <v>56</v>
      </c>
      <c r="M4" t="s">
        <v>46</v>
      </c>
      <c r="O4" t="s">
        <v>57</v>
      </c>
      <c r="P4" t="s">
        <v>58</v>
      </c>
      <c r="Q4" t="s">
        <v>59</v>
      </c>
      <c r="R4" t="s">
        <v>60</v>
      </c>
      <c r="S4" s="1">
        <v>45717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5152663</v>
      </c>
    </row>
    <row r="5" spans="1:38" x14ac:dyDescent="0.25">
      <c r="A5" s="1">
        <v>45721</v>
      </c>
      <c r="B5" s="1">
        <v>45721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61</v>
      </c>
      <c r="J5" t="s">
        <v>62</v>
      </c>
      <c r="M5" t="s">
        <v>46</v>
      </c>
      <c r="O5" t="s">
        <v>57</v>
      </c>
      <c r="P5" t="s">
        <v>58</v>
      </c>
      <c r="Q5" t="s">
        <v>49</v>
      </c>
      <c r="R5" t="s">
        <v>60</v>
      </c>
      <c r="S5" s="1">
        <v>45717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5152674</v>
      </c>
    </row>
    <row r="6" spans="1:38" x14ac:dyDescent="0.25">
      <c r="A6" s="1">
        <v>45721</v>
      </c>
      <c r="B6" s="1">
        <v>45721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63</v>
      </c>
      <c r="J6" t="s">
        <v>64</v>
      </c>
      <c r="M6" t="s">
        <v>46</v>
      </c>
      <c r="O6" t="s">
        <v>65</v>
      </c>
      <c r="P6" t="s">
        <v>66</v>
      </c>
      <c r="Q6" t="s">
        <v>49</v>
      </c>
      <c r="R6" t="s">
        <v>50</v>
      </c>
      <c r="S6" s="1">
        <v>45717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5152734</v>
      </c>
    </row>
    <row r="7" spans="1:38" x14ac:dyDescent="0.25">
      <c r="A7" s="1">
        <v>45721</v>
      </c>
      <c r="B7" s="1">
        <v>45721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67</v>
      </c>
      <c r="J7" t="s">
        <v>68</v>
      </c>
      <c r="M7" t="s">
        <v>46</v>
      </c>
      <c r="O7" t="s">
        <v>69</v>
      </c>
      <c r="P7" t="s">
        <v>70</v>
      </c>
      <c r="Q7" t="s">
        <v>49</v>
      </c>
      <c r="R7" t="s">
        <v>60</v>
      </c>
      <c r="S7" s="1">
        <v>45717</v>
      </c>
      <c r="U7" t="s">
        <v>51</v>
      </c>
      <c r="X7" t="s">
        <v>52</v>
      </c>
      <c r="Y7" s="2">
        <v>0</v>
      </c>
      <c r="Z7" s="2">
        <v>108</v>
      </c>
      <c r="AA7">
        <v>1</v>
      </c>
      <c r="AB7" s="3">
        <v>1</v>
      </c>
      <c r="AC7" s="2">
        <v>108</v>
      </c>
      <c r="AD7" s="3">
        <v>0</v>
      </c>
      <c r="AE7" s="2">
        <v>0</v>
      </c>
      <c r="AF7" s="2">
        <v>108</v>
      </c>
      <c r="AK7">
        <v>5152687</v>
      </c>
    </row>
    <row r="8" spans="1:38" x14ac:dyDescent="0.25">
      <c r="A8" s="1">
        <v>45721</v>
      </c>
      <c r="B8" s="1">
        <v>45721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71</v>
      </c>
      <c r="J8" t="s">
        <v>72</v>
      </c>
      <c r="M8" t="s">
        <v>46</v>
      </c>
      <c r="O8" t="s">
        <v>73</v>
      </c>
      <c r="P8" t="s">
        <v>74</v>
      </c>
      <c r="Q8" t="s">
        <v>49</v>
      </c>
      <c r="R8" t="s">
        <v>50</v>
      </c>
      <c r="S8" s="1">
        <v>45717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5152777</v>
      </c>
    </row>
    <row r="9" spans="1:38" x14ac:dyDescent="0.25">
      <c r="A9" s="1">
        <v>45721</v>
      </c>
      <c r="B9" s="1">
        <v>45721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75</v>
      </c>
      <c r="J9" t="s">
        <v>76</v>
      </c>
      <c r="M9" t="s">
        <v>46</v>
      </c>
      <c r="O9" t="s">
        <v>77</v>
      </c>
      <c r="P9" t="s">
        <v>78</v>
      </c>
      <c r="Q9" t="s">
        <v>49</v>
      </c>
      <c r="R9" t="s">
        <v>50</v>
      </c>
      <c r="S9" s="1">
        <v>45748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5152784</v>
      </c>
    </row>
    <row r="10" spans="1:38" x14ac:dyDescent="0.25">
      <c r="A10" s="1">
        <v>45721</v>
      </c>
      <c r="B10" s="1">
        <v>45721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79</v>
      </c>
      <c r="J10" t="s">
        <v>80</v>
      </c>
      <c r="M10" t="s">
        <v>46</v>
      </c>
      <c r="O10" t="s">
        <v>81</v>
      </c>
      <c r="P10" t="s">
        <v>82</v>
      </c>
      <c r="Q10" t="s">
        <v>49</v>
      </c>
      <c r="R10" t="s">
        <v>50</v>
      </c>
      <c r="S10" s="1">
        <v>45717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5152785</v>
      </c>
    </row>
    <row r="11" spans="1:38" x14ac:dyDescent="0.25">
      <c r="A11" s="1">
        <v>45721</v>
      </c>
      <c r="B11" s="1">
        <v>45721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83</v>
      </c>
      <c r="J11" t="s">
        <v>84</v>
      </c>
      <c r="M11" t="s">
        <v>46</v>
      </c>
      <c r="O11" t="s">
        <v>85</v>
      </c>
      <c r="P11" t="s">
        <v>86</v>
      </c>
      <c r="Q11" t="s">
        <v>49</v>
      </c>
      <c r="R11" t="s">
        <v>50</v>
      </c>
      <c r="S11" s="1">
        <v>45717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5152786</v>
      </c>
    </row>
    <row r="12" spans="1:38" x14ac:dyDescent="0.25">
      <c r="A12" s="1">
        <v>45721</v>
      </c>
      <c r="B12" s="1">
        <v>45721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87</v>
      </c>
      <c r="J12" t="s">
        <v>88</v>
      </c>
      <c r="M12" t="s">
        <v>46</v>
      </c>
      <c r="O12" t="s">
        <v>89</v>
      </c>
      <c r="P12" t="s">
        <v>90</v>
      </c>
      <c r="Q12" t="s">
        <v>49</v>
      </c>
      <c r="R12" t="s">
        <v>91</v>
      </c>
      <c r="S12" s="1">
        <v>45717</v>
      </c>
      <c r="U12" t="s">
        <v>51</v>
      </c>
      <c r="X12" t="s">
        <v>52</v>
      </c>
      <c r="Y12" s="2">
        <v>0</v>
      </c>
      <c r="Z12" s="2">
        <v>0</v>
      </c>
      <c r="AA12">
        <v>1</v>
      </c>
      <c r="AB12" s="3">
        <v>0</v>
      </c>
      <c r="AC12" s="2">
        <v>0</v>
      </c>
      <c r="AD12" s="3">
        <v>0</v>
      </c>
      <c r="AE12" s="2">
        <v>0</v>
      </c>
      <c r="AF12" s="2">
        <v>0</v>
      </c>
      <c r="AK12">
        <v>5152799</v>
      </c>
    </row>
    <row r="13" spans="1:38" x14ac:dyDescent="0.25">
      <c r="A13" s="1">
        <v>45721</v>
      </c>
      <c r="B13" s="1">
        <v>45721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92</v>
      </c>
      <c r="J13" t="s">
        <v>93</v>
      </c>
      <c r="M13" t="s">
        <v>46</v>
      </c>
      <c r="O13" t="s">
        <v>94</v>
      </c>
      <c r="P13" t="s">
        <v>95</v>
      </c>
      <c r="Q13" t="s">
        <v>49</v>
      </c>
      <c r="R13" t="s">
        <v>50</v>
      </c>
      <c r="S13" s="1">
        <v>45717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5152800</v>
      </c>
    </row>
    <row r="14" spans="1:38" x14ac:dyDescent="0.25">
      <c r="A14" s="1">
        <v>45721</v>
      </c>
      <c r="B14" s="1">
        <v>45721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96</v>
      </c>
      <c r="J14" t="s">
        <v>97</v>
      </c>
      <c r="M14" t="s">
        <v>46</v>
      </c>
      <c r="O14" t="s">
        <v>65</v>
      </c>
      <c r="P14" t="s">
        <v>66</v>
      </c>
      <c r="Q14" t="s">
        <v>49</v>
      </c>
      <c r="R14" t="s">
        <v>50</v>
      </c>
      <c r="S14" s="1">
        <v>45717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5152801</v>
      </c>
    </row>
    <row r="15" spans="1:38" x14ac:dyDescent="0.25">
      <c r="A15" s="1">
        <v>45721</v>
      </c>
      <c r="B15" s="1">
        <v>45721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98</v>
      </c>
      <c r="J15" t="s">
        <v>99</v>
      </c>
      <c r="M15" t="s">
        <v>46</v>
      </c>
      <c r="O15" t="s">
        <v>65</v>
      </c>
      <c r="P15" t="s">
        <v>66</v>
      </c>
      <c r="Q15" t="s">
        <v>49</v>
      </c>
      <c r="R15" t="s">
        <v>50</v>
      </c>
      <c r="S15" s="1">
        <v>45717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5152809</v>
      </c>
    </row>
    <row r="16" spans="1:38" x14ac:dyDescent="0.25">
      <c r="A16" s="1">
        <v>45721</v>
      </c>
      <c r="B16" s="1">
        <v>45721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100</v>
      </c>
      <c r="J16" t="s">
        <v>101</v>
      </c>
      <c r="M16" t="s">
        <v>46</v>
      </c>
      <c r="O16" t="s">
        <v>102</v>
      </c>
      <c r="P16" t="s">
        <v>103</v>
      </c>
      <c r="Q16" t="s">
        <v>49</v>
      </c>
      <c r="R16" t="s">
        <v>50</v>
      </c>
      <c r="S16" s="1">
        <v>45717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5152817</v>
      </c>
    </row>
    <row r="17" spans="1:38" x14ac:dyDescent="0.25">
      <c r="A17" s="1">
        <v>45721</v>
      </c>
      <c r="B17" s="1">
        <v>45721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104</v>
      </c>
      <c r="J17" t="s">
        <v>105</v>
      </c>
      <c r="M17" t="s">
        <v>46</v>
      </c>
      <c r="O17" t="s">
        <v>77</v>
      </c>
      <c r="P17" t="s">
        <v>78</v>
      </c>
      <c r="Q17" t="s">
        <v>49</v>
      </c>
      <c r="R17" t="s">
        <v>50</v>
      </c>
      <c r="S17" s="1">
        <v>45717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5152826</v>
      </c>
    </row>
    <row r="18" spans="1:38" x14ac:dyDescent="0.25">
      <c r="A18" s="1">
        <v>45721</v>
      </c>
      <c r="B18" s="1">
        <v>45721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106</v>
      </c>
      <c r="J18" t="s">
        <v>107</v>
      </c>
      <c r="M18" t="s">
        <v>46</v>
      </c>
      <c r="O18" t="s">
        <v>73</v>
      </c>
      <c r="P18" t="s">
        <v>74</v>
      </c>
      <c r="Q18" t="s">
        <v>49</v>
      </c>
      <c r="R18" t="s">
        <v>50</v>
      </c>
      <c r="S18" s="1">
        <v>45717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5152837</v>
      </c>
    </row>
    <row r="19" spans="1:38" x14ac:dyDescent="0.25">
      <c r="A19" s="1">
        <v>45721</v>
      </c>
      <c r="B19" s="1">
        <v>45721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108</v>
      </c>
      <c r="J19" t="s">
        <v>109</v>
      </c>
      <c r="M19" t="s">
        <v>110</v>
      </c>
      <c r="O19" t="s">
        <v>111</v>
      </c>
      <c r="P19" t="s">
        <v>112</v>
      </c>
      <c r="Q19" t="s">
        <v>49</v>
      </c>
      <c r="R19" t="s">
        <v>50</v>
      </c>
      <c r="S19" s="1">
        <v>45717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5152840</v>
      </c>
    </row>
    <row r="20" spans="1:38" x14ac:dyDescent="0.25">
      <c r="A20" s="1">
        <v>45721</v>
      </c>
      <c r="B20" s="1">
        <v>45721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113</v>
      </c>
      <c r="J20" t="s">
        <v>114</v>
      </c>
      <c r="M20" t="s">
        <v>46</v>
      </c>
      <c r="O20" t="s">
        <v>65</v>
      </c>
      <c r="P20" t="s">
        <v>66</v>
      </c>
      <c r="Q20" t="s">
        <v>49</v>
      </c>
      <c r="R20" t="s">
        <v>50</v>
      </c>
      <c r="S20" s="1">
        <v>45717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5152843</v>
      </c>
    </row>
    <row r="21" spans="1:38" x14ac:dyDescent="0.25">
      <c r="A21" s="1">
        <v>45721</v>
      </c>
      <c r="B21" s="1">
        <v>45721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115</v>
      </c>
      <c r="J21" t="s">
        <v>116</v>
      </c>
      <c r="M21" t="s">
        <v>46</v>
      </c>
      <c r="O21" t="s">
        <v>117</v>
      </c>
      <c r="P21" t="s">
        <v>118</v>
      </c>
      <c r="Q21" t="s">
        <v>49</v>
      </c>
      <c r="R21" t="s">
        <v>50</v>
      </c>
      <c r="S21" s="1">
        <v>45717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5152851</v>
      </c>
    </row>
    <row r="22" spans="1:38" x14ac:dyDescent="0.25">
      <c r="A22" s="1">
        <v>45721</v>
      </c>
      <c r="B22" s="1">
        <v>45721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119</v>
      </c>
      <c r="J22" t="s">
        <v>120</v>
      </c>
      <c r="M22" t="s">
        <v>110</v>
      </c>
      <c r="O22" t="s">
        <v>65</v>
      </c>
      <c r="P22" t="s">
        <v>66</v>
      </c>
      <c r="Q22" t="s">
        <v>49</v>
      </c>
      <c r="R22" t="s">
        <v>50</v>
      </c>
      <c r="S22" s="1">
        <v>45717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5152861</v>
      </c>
    </row>
    <row r="23" spans="1:38" x14ac:dyDescent="0.25">
      <c r="A23" s="1">
        <v>45721</v>
      </c>
      <c r="B23" s="1">
        <v>45721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121</v>
      </c>
      <c r="J23" t="s">
        <v>122</v>
      </c>
      <c r="M23" t="s">
        <v>46</v>
      </c>
      <c r="O23" t="s">
        <v>57</v>
      </c>
      <c r="P23" t="s">
        <v>58</v>
      </c>
      <c r="Q23" t="s">
        <v>49</v>
      </c>
      <c r="R23" t="s">
        <v>123</v>
      </c>
      <c r="S23" s="1">
        <v>45658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5151717</v>
      </c>
    </row>
    <row r="24" spans="1:38" x14ac:dyDescent="0.25">
      <c r="A24" s="1">
        <v>45721</v>
      </c>
      <c r="B24" s="1">
        <v>45721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124</v>
      </c>
      <c r="J24" t="s">
        <v>125</v>
      </c>
      <c r="M24" t="s">
        <v>46</v>
      </c>
      <c r="O24" t="s">
        <v>85</v>
      </c>
      <c r="P24" t="s">
        <v>86</v>
      </c>
      <c r="Q24" t="s">
        <v>49</v>
      </c>
      <c r="R24" t="s">
        <v>123</v>
      </c>
      <c r="S24" s="1">
        <v>45658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5151719</v>
      </c>
    </row>
    <row r="25" spans="1:38" x14ac:dyDescent="0.25">
      <c r="A25" s="1">
        <v>45721</v>
      </c>
      <c r="B25" s="1">
        <v>45721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126</v>
      </c>
      <c r="J25" t="s">
        <v>127</v>
      </c>
      <c r="M25" t="s">
        <v>110</v>
      </c>
      <c r="O25" t="s">
        <v>47</v>
      </c>
      <c r="P25" t="s">
        <v>48</v>
      </c>
      <c r="Q25" t="s">
        <v>49</v>
      </c>
      <c r="R25" t="s">
        <v>128</v>
      </c>
      <c r="S25" s="1">
        <v>45689</v>
      </c>
      <c r="U25" t="s">
        <v>51</v>
      </c>
      <c r="X25" t="s">
        <v>52</v>
      </c>
      <c r="Y25" s="2">
        <v>0</v>
      </c>
      <c r="Z25" s="2">
        <v>50</v>
      </c>
      <c r="AA25">
        <v>1</v>
      </c>
      <c r="AB25" s="3">
        <v>1</v>
      </c>
      <c r="AC25" s="2">
        <v>50</v>
      </c>
      <c r="AD25" s="3">
        <v>0</v>
      </c>
      <c r="AE25" s="2">
        <v>0</v>
      </c>
      <c r="AF25" s="2">
        <v>50</v>
      </c>
      <c r="AK25">
        <v>5151516</v>
      </c>
    </row>
    <row r="26" spans="1:38" x14ac:dyDescent="0.25">
      <c r="A26" s="1">
        <v>45721</v>
      </c>
      <c r="B26" s="1">
        <v>45721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129</v>
      </c>
      <c r="J26" t="s">
        <v>130</v>
      </c>
      <c r="M26" t="s">
        <v>110</v>
      </c>
      <c r="O26" t="s">
        <v>47</v>
      </c>
      <c r="P26" t="s">
        <v>48</v>
      </c>
      <c r="Q26" t="s">
        <v>49</v>
      </c>
      <c r="R26" t="s">
        <v>128</v>
      </c>
      <c r="S26" s="1">
        <v>45689</v>
      </c>
      <c r="U26" t="s">
        <v>51</v>
      </c>
      <c r="X26" t="s">
        <v>52</v>
      </c>
      <c r="Y26" s="2">
        <v>0</v>
      </c>
      <c r="Z26" s="2">
        <v>50</v>
      </c>
      <c r="AA26">
        <v>1</v>
      </c>
      <c r="AB26" s="3">
        <v>1</v>
      </c>
      <c r="AC26" s="2">
        <v>50</v>
      </c>
      <c r="AD26" s="3">
        <v>0</v>
      </c>
      <c r="AE26" s="2">
        <v>0</v>
      </c>
      <c r="AF26" s="2">
        <v>50</v>
      </c>
      <c r="AK26">
        <v>5151517</v>
      </c>
    </row>
    <row r="27" spans="1:38" x14ac:dyDescent="0.25">
      <c r="A27" s="1">
        <v>45721</v>
      </c>
      <c r="B27" s="1">
        <v>45721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131</v>
      </c>
      <c r="J27" t="s">
        <v>132</v>
      </c>
      <c r="M27" t="s">
        <v>46</v>
      </c>
      <c r="O27" t="s">
        <v>133</v>
      </c>
      <c r="P27" t="s">
        <v>134</v>
      </c>
      <c r="Q27" t="s">
        <v>49</v>
      </c>
      <c r="R27" t="s">
        <v>135</v>
      </c>
      <c r="S27" s="1">
        <v>45717</v>
      </c>
      <c r="U27" t="s">
        <v>51</v>
      </c>
      <c r="X27" t="s">
        <v>52</v>
      </c>
      <c r="Y27" s="2">
        <v>0</v>
      </c>
      <c r="Z27" s="2">
        <v>41.67</v>
      </c>
      <c r="AA27">
        <v>1</v>
      </c>
      <c r="AB27" s="3">
        <v>1</v>
      </c>
      <c r="AC27" s="2">
        <v>41.67</v>
      </c>
      <c r="AD27" s="3">
        <v>0</v>
      </c>
      <c r="AE27" s="2">
        <v>0</v>
      </c>
      <c r="AF27" s="2">
        <v>41.67</v>
      </c>
      <c r="AK27">
        <v>5151385</v>
      </c>
      <c r="AL27" t="s">
        <v>136</v>
      </c>
    </row>
    <row r="28" spans="1:38" x14ac:dyDescent="0.25">
      <c r="A28" s="1">
        <v>45721</v>
      </c>
      <c r="B28" s="1">
        <v>45721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137</v>
      </c>
      <c r="J28" t="s">
        <v>138</v>
      </c>
      <c r="M28" t="s">
        <v>139</v>
      </c>
      <c r="O28" t="s">
        <v>140</v>
      </c>
      <c r="P28" t="s">
        <v>141</v>
      </c>
      <c r="Q28" t="s">
        <v>49</v>
      </c>
      <c r="R28" t="s">
        <v>128</v>
      </c>
      <c r="S28" s="1">
        <v>45689</v>
      </c>
      <c r="U28" t="s">
        <v>51</v>
      </c>
      <c r="X28" t="s">
        <v>52</v>
      </c>
      <c r="Y28" s="2">
        <v>0</v>
      </c>
      <c r="Z28" s="2">
        <v>50</v>
      </c>
      <c r="AA28">
        <v>1</v>
      </c>
      <c r="AB28" s="3">
        <v>1</v>
      </c>
      <c r="AC28" s="2">
        <v>50</v>
      </c>
      <c r="AD28" s="3">
        <v>0</v>
      </c>
      <c r="AE28" s="2">
        <v>0</v>
      </c>
      <c r="AF28" s="2">
        <v>50</v>
      </c>
      <c r="AK28">
        <v>5151540</v>
      </c>
    </row>
    <row r="29" spans="1:38" x14ac:dyDescent="0.25">
      <c r="A29" s="1">
        <v>45721</v>
      </c>
      <c r="B29" s="1">
        <v>45721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142</v>
      </c>
      <c r="J29" t="s">
        <v>143</v>
      </c>
      <c r="M29" t="s">
        <v>110</v>
      </c>
      <c r="O29" t="s">
        <v>69</v>
      </c>
      <c r="P29" t="s">
        <v>70</v>
      </c>
      <c r="Q29" t="s">
        <v>49</v>
      </c>
      <c r="R29" t="s">
        <v>135</v>
      </c>
      <c r="S29" s="1">
        <v>45717</v>
      </c>
      <c r="U29" t="s">
        <v>51</v>
      </c>
      <c r="X29" t="s">
        <v>52</v>
      </c>
      <c r="Y29" s="2">
        <v>0</v>
      </c>
      <c r="Z29" s="2">
        <v>41.67</v>
      </c>
      <c r="AA29">
        <v>1</v>
      </c>
      <c r="AB29" s="3">
        <v>1</v>
      </c>
      <c r="AC29" s="2">
        <v>41.67</v>
      </c>
      <c r="AD29" s="3">
        <v>0</v>
      </c>
      <c r="AE29" s="2">
        <v>0</v>
      </c>
      <c r="AF29" s="2">
        <v>41.67</v>
      </c>
      <c r="AK29">
        <v>5151446</v>
      </c>
      <c r="AL29" t="s">
        <v>136</v>
      </c>
    </row>
    <row r="30" spans="1:38" x14ac:dyDescent="0.25">
      <c r="A30" s="1">
        <v>45721</v>
      </c>
      <c r="B30" s="1">
        <v>45721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144</v>
      </c>
      <c r="J30" t="s">
        <v>145</v>
      </c>
      <c r="M30" t="s">
        <v>146</v>
      </c>
      <c r="O30" t="s">
        <v>41</v>
      </c>
      <c r="P30" t="s">
        <v>43</v>
      </c>
      <c r="Q30" t="s">
        <v>49</v>
      </c>
      <c r="R30" t="s">
        <v>135</v>
      </c>
      <c r="S30" s="1">
        <v>45717</v>
      </c>
      <c r="U30" t="s">
        <v>51</v>
      </c>
      <c r="X30" t="s">
        <v>52</v>
      </c>
      <c r="Y30" s="2">
        <v>0</v>
      </c>
      <c r="Z30" s="2">
        <v>41.67</v>
      </c>
      <c r="AA30">
        <v>1</v>
      </c>
      <c r="AB30" s="3">
        <v>1</v>
      </c>
      <c r="AC30" s="2">
        <v>41.67</v>
      </c>
      <c r="AD30" s="3">
        <v>0</v>
      </c>
      <c r="AE30" s="2">
        <v>0</v>
      </c>
      <c r="AF30" s="2">
        <v>41.67</v>
      </c>
      <c r="AK30">
        <v>5151432</v>
      </c>
      <c r="AL30" t="s">
        <v>136</v>
      </c>
    </row>
    <row r="31" spans="1:38" x14ac:dyDescent="0.25">
      <c r="A31" s="1">
        <v>45721</v>
      </c>
      <c r="B31" s="1">
        <v>45721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147</v>
      </c>
      <c r="J31" t="s">
        <v>148</v>
      </c>
      <c r="M31" t="s">
        <v>149</v>
      </c>
      <c r="O31" t="s">
        <v>150</v>
      </c>
      <c r="P31" t="s">
        <v>151</v>
      </c>
      <c r="Q31" t="s">
        <v>49</v>
      </c>
      <c r="R31" t="s">
        <v>128</v>
      </c>
      <c r="S31" s="1">
        <v>45689</v>
      </c>
      <c r="U31" t="s">
        <v>51</v>
      </c>
      <c r="X31" t="s">
        <v>52</v>
      </c>
      <c r="Y31" s="2">
        <v>0</v>
      </c>
      <c r="Z31" s="2">
        <v>50</v>
      </c>
      <c r="AA31">
        <v>1</v>
      </c>
      <c r="AB31" s="3">
        <v>1</v>
      </c>
      <c r="AC31" s="2">
        <v>50</v>
      </c>
      <c r="AD31" s="3">
        <v>0</v>
      </c>
      <c r="AE31" s="2">
        <v>0</v>
      </c>
      <c r="AF31" s="2">
        <v>50</v>
      </c>
      <c r="AK31">
        <v>5151556</v>
      </c>
    </row>
    <row r="32" spans="1:38" x14ac:dyDescent="0.25">
      <c r="A32" s="1">
        <v>45721</v>
      </c>
      <c r="B32" s="1">
        <v>45721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152</v>
      </c>
      <c r="J32" t="s">
        <v>153</v>
      </c>
      <c r="M32" t="s">
        <v>110</v>
      </c>
      <c r="O32" t="s">
        <v>117</v>
      </c>
      <c r="P32" t="s">
        <v>118</v>
      </c>
      <c r="Q32" t="s">
        <v>49</v>
      </c>
      <c r="R32" t="s">
        <v>128</v>
      </c>
      <c r="S32" s="1">
        <v>45748</v>
      </c>
      <c r="U32" t="s">
        <v>51</v>
      </c>
      <c r="X32" t="s">
        <v>52</v>
      </c>
      <c r="Y32" s="2">
        <v>0</v>
      </c>
      <c r="Z32" s="2">
        <v>50</v>
      </c>
      <c r="AA32">
        <v>1</v>
      </c>
      <c r="AB32" s="3">
        <v>1</v>
      </c>
      <c r="AC32" s="2">
        <v>50</v>
      </c>
      <c r="AD32" s="3">
        <v>0</v>
      </c>
      <c r="AE32" s="2">
        <v>0</v>
      </c>
      <c r="AF32" s="2">
        <v>50</v>
      </c>
      <c r="AK32">
        <v>5151559</v>
      </c>
    </row>
    <row r="33" spans="1:37" x14ac:dyDescent="0.25">
      <c r="A33" s="1">
        <v>45721</v>
      </c>
      <c r="B33" s="1">
        <v>45721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154</v>
      </c>
      <c r="J33" t="s">
        <v>155</v>
      </c>
      <c r="M33" t="s">
        <v>156</v>
      </c>
      <c r="O33" t="s">
        <v>117</v>
      </c>
      <c r="P33" t="s">
        <v>118</v>
      </c>
      <c r="Q33" t="s">
        <v>49</v>
      </c>
      <c r="R33" t="s">
        <v>128</v>
      </c>
      <c r="S33" s="1">
        <v>45689</v>
      </c>
      <c r="U33" t="s">
        <v>51</v>
      </c>
      <c r="X33" t="s">
        <v>52</v>
      </c>
      <c r="Y33" s="2">
        <v>0</v>
      </c>
      <c r="Z33" s="2">
        <v>50</v>
      </c>
      <c r="AA33">
        <v>1</v>
      </c>
      <c r="AB33" s="3">
        <v>1</v>
      </c>
      <c r="AC33" s="2">
        <v>50</v>
      </c>
      <c r="AD33" s="3">
        <v>0</v>
      </c>
      <c r="AE33" s="2">
        <v>0</v>
      </c>
      <c r="AF33" s="2">
        <v>50</v>
      </c>
      <c r="AK33">
        <v>5151564</v>
      </c>
    </row>
    <row r="34" spans="1:37" x14ac:dyDescent="0.25">
      <c r="A34" s="1">
        <v>45721</v>
      </c>
      <c r="B34" s="1">
        <v>45721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157</v>
      </c>
      <c r="J34" t="s">
        <v>158</v>
      </c>
      <c r="M34" t="s">
        <v>159</v>
      </c>
      <c r="O34" t="s">
        <v>160</v>
      </c>
      <c r="P34" t="s">
        <v>161</v>
      </c>
      <c r="Q34" t="s">
        <v>49</v>
      </c>
      <c r="R34" t="s">
        <v>128</v>
      </c>
      <c r="S34" s="1">
        <v>45689</v>
      </c>
      <c r="U34" t="s">
        <v>51</v>
      </c>
      <c r="X34" t="s">
        <v>52</v>
      </c>
      <c r="Y34" s="2">
        <v>0</v>
      </c>
      <c r="Z34" s="2">
        <v>50</v>
      </c>
      <c r="AA34">
        <v>1</v>
      </c>
      <c r="AB34" s="3">
        <v>1</v>
      </c>
      <c r="AC34" s="2">
        <v>50</v>
      </c>
      <c r="AD34" s="3">
        <v>0</v>
      </c>
      <c r="AE34" s="2">
        <v>0</v>
      </c>
      <c r="AF34" s="2">
        <v>50</v>
      </c>
      <c r="AK34">
        <v>5151565</v>
      </c>
    </row>
    <row r="35" spans="1:37" x14ac:dyDescent="0.25">
      <c r="A35" s="1">
        <v>45721</v>
      </c>
      <c r="B35" s="1">
        <v>45721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162</v>
      </c>
      <c r="J35" t="s">
        <v>163</v>
      </c>
      <c r="M35" t="s">
        <v>146</v>
      </c>
      <c r="O35" t="s">
        <v>164</v>
      </c>
      <c r="P35" t="s">
        <v>165</v>
      </c>
      <c r="Q35" t="s">
        <v>49</v>
      </c>
      <c r="R35" t="s">
        <v>128</v>
      </c>
      <c r="S35" s="1">
        <v>45717</v>
      </c>
      <c r="U35" t="s">
        <v>51</v>
      </c>
      <c r="X35" t="s">
        <v>52</v>
      </c>
      <c r="Y35" s="2">
        <v>0</v>
      </c>
      <c r="Z35" s="2">
        <v>50</v>
      </c>
      <c r="AA35">
        <v>1</v>
      </c>
      <c r="AB35" s="3">
        <v>1</v>
      </c>
      <c r="AC35" s="2">
        <v>50</v>
      </c>
      <c r="AD35" s="3">
        <v>0</v>
      </c>
      <c r="AE35" s="2">
        <v>0</v>
      </c>
      <c r="AF35" s="2">
        <v>50</v>
      </c>
      <c r="AK35">
        <v>5151567</v>
      </c>
    </row>
    <row r="36" spans="1:37" x14ac:dyDescent="0.25">
      <c r="A36" s="1">
        <v>45721</v>
      </c>
      <c r="B36" s="1">
        <v>45721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166</v>
      </c>
      <c r="J36" t="s">
        <v>167</v>
      </c>
      <c r="M36" t="s">
        <v>146</v>
      </c>
      <c r="O36" t="s">
        <v>164</v>
      </c>
      <c r="P36" t="s">
        <v>165</v>
      </c>
      <c r="Q36" t="s">
        <v>49</v>
      </c>
      <c r="R36" t="s">
        <v>128</v>
      </c>
      <c r="S36" s="1">
        <v>45689</v>
      </c>
      <c r="U36" t="s">
        <v>51</v>
      </c>
      <c r="X36" t="s">
        <v>52</v>
      </c>
      <c r="Y36" s="2">
        <v>0</v>
      </c>
      <c r="Z36" s="2">
        <v>50</v>
      </c>
      <c r="AA36">
        <v>1</v>
      </c>
      <c r="AB36" s="3">
        <v>1</v>
      </c>
      <c r="AC36" s="2">
        <v>50</v>
      </c>
      <c r="AD36" s="3">
        <v>0</v>
      </c>
      <c r="AE36" s="2">
        <v>0</v>
      </c>
      <c r="AF36" s="2">
        <v>50</v>
      </c>
      <c r="AK36">
        <v>5151569</v>
      </c>
    </row>
    <row r="37" spans="1:37" x14ac:dyDescent="0.25">
      <c r="A37" s="1">
        <v>45721</v>
      </c>
      <c r="B37" s="1">
        <v>45721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168</v>
      </c>
      <c r="J37" t="s">
        <v>169</v>
      </c>
      <c r="M37" t="s">
        <v>146</v>
      </c>
      <c r="O37" t="s">
        <v>164</v>
      </c>
      <c r="P37" t="s">
        <v>165</v>
      </c>
      <c r="Q37" t="s">
        <v>49</v>
      </c>
      <c r="R37" t="s">
        <v>128</v>
      </c>
      <c r="S37" s="1">
        <v>45717</v>
      </c>
      <c r="U37" t="s">
        <v>51</v>
      </c>
      <c r="X37" t="s">
        <v>52</v>
      </c>
      <c r="Y37" s="2">
        <v>0</v>
      </c>
      <c r="Z37" s="2">
        <v>50</v>
      </c>
      <c r="AA37">
        <v>1</v>
      </c>
      <c r="AB37" s="3">
        <v>1</v>
      </c>
      <c r="AC37" s="2">
        <v>50</v>
      </c>
      <c r="AD37" s="3">
        <v>0</v>
      </c>
      <c r="AE37" s="2">
        <v>0</v>
      </c>
      <c r="AF37" s="2">
        <v>50</v>
      </c>
      <c r="AK37">
        <v>5151570</v>
      </c>
    </row>
    <row r="38" spans="1:37" x14ac:dyDescent="0.25">
      <c r="A38" s="1">
        <v>45721</v>
      </c>
      <c r="B38" s="1">
        <v>45721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170</v>
      </c>
      <c r="J38" t="s">
        <v>171</v>
      </c>
      <c r="M38" t="s">
        <v>159</v>
      </c>
      <c r="O38" t="s">
        <v>117</v>
      </c>
      <c r="P38" t="s">
        <v>118</v>
      </c>
      <c r="Q38" t="s">
        <v>49</v>
      </c>
      <c r="R38" t="s">
        <v>128</v>
      </c>
      <c r="S38" s="1">
        <v>45748</v>
      </c>
      <c r="U38" t="s">
        <v>51</v>
      </c>
      <c r="X38" t="s">
        <v>52</v>
      </c>
      <c r="Y38" s="2">
        <v>0</v>
      </c>
      <c r="Z38" s="2">
        <v>50</v>
      </c>
      <c r="AA38">
        <v>1</v>
      </c>
      <c r="AB38" s="3">
        <v>1</v>
      </c>
      <c r="AC38" s="2">
        <v>50</v>
      </c>
      <c r="AD38" s="3">
        <v>0</v>
      </c>
      <c r="AE38" s="2">
        <v>0</v>
      </c>
      <c r="AF38" s="2">
        <v>50</v>
      </c>
      <c r="AK38">
        <v>5151571</v>
      </c>
    </row>
    <row r="39" spans="1:37" x14ac:dyDescent="0.25">
      <c r="A39" s="1">
        <v>45721</v>
      </c>
      <c r="B39" s="1">
        <v>45721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172</v>
      </c>
      <c r="J39" t="s">
        <v>173</v>
      </c>
      <c r="M39" t="s">
        <v>146</v>
      </c>
      <c r="O39" t="s">
        <v>174</v>
      </c>
      <c r="P39" t="s">
        <v>175</v>
      </c>
      <c r="Q39" t="s">
        <v>49</v>
      </c>
      <c r="R39" t="s">
        <v>128</v>
      </c>
      <c r="S39" s="1">
        <v>45689</v>
      </c>
      <c r="U39" t="s">
        <v>51</v>
      </c>
      <c r="X39" t="s">
        <v>52</v>
      </c>
      <c r="Y39" s="2">
        <v>0</v>
      </c>
      <c r="Z39" s="2">
        <v>50</v>
      </c>
      <c r="AA39">
        <v>1</v>
      </c>
      <c r="AB39" s="3">
        <v>1</v>
      </c>
      <c r="AC39" s="2">
        <v>50</v>
      </c>
      <c r="AD39" s="3">
        <v>0</v>
      </c>
      <c r="AE39" s="2">
        <v>0</v>
      </c>
      <c r="AF39" s="2">
        <v>50</v>
      </c>
      <c r="AK39">
        <v>5151575</v>
      </c>
    </row>
    <row r="40" spans="1:37" x14ac:dyDescent="0.25">
      <c r="A40" s="1">
        <v>45721</v>
      </c>
      <c r="B40" s="1">
        <v>45721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176</v>
      </c>
      <c r="J40" t="s">
        <v>177</v>
      </c>
      <c r="M40" t="s">
        <v>110</v>
      </c>
      <c r="O40" t="s">
        <v>178</v>
      </c>
      <c r="P40" t="s">
        <v>179</v>
      </c>
      <c r="Q40" t="s">
        <v>49</v>
      </c>
      <c r="R40" t="s">
        <v>128</v>
      </c>
      <c r="S40" s="1">
        <v>45689</v>
      </c>
      <c r="U40" t="s">
        <v>51</v>
      </c>
      <c r="X40" t="s">
        <v>52</v>
      </c>
      <c r="Y40" s="2">
        <v>0</v>
      </c>
      <c r="Z40" s="2">
        <v>50</v>
      </c>
      <c r="AA40">
        <v>1</v>
      </c>
      <c r="AB40" s="3">
        <v>1</v>
      </c>
      <c r="AC40" s="2">
        <v>50</v>
      </c>
      <c r="AD40" s="3">
        <v>0</v>
      </c>
      <c r="AE40" s="2">
        <v>0</v>
      </c>
      <c r="AF40" s="2">
        <v>50</v>
      </c>
      <c r="AK40">
        <v>5151580</v>
      </c>
    </row>
    <row r="41" spans="1:37" x14ac:dyDescent="0.25">
      <c r="A41" s="1">
        <v>45721</v>
      </c>
      <c r="B41" s="1">
        <v>45721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180</v>
      </c>
      <c r="J41" t="s">
        <v>181</v>
      </c>
      <c r="M41" t="s">
        <v>149</v>
      </c>
      <c r="O41" t="s">
        <v>117</v>
      </c>
      <c r="P41" t="s">
        <v>118</v>
      </c>
      <c r="Q41" t="s">
        <v>49</v>
      </c>
      <c r="R41" t="s">
        <v>128</v>
      </c>
      <c r="S41" s="1">
        <v>45689</v>
      </c>
      <c r="U41" t="s">
        <v>51</v>
      </c>
      <c r="X41" t="s">
        <v>52</v>
      </c>
      <c r="Y41" s="2">
        <v>0</v>
      </c>
      <c r="Z41" s="2">
        <v>50</v>
      </c>
      <c r="AA41">
        <v>1</v>
      </c>
      <c r="AB41" s="3">
        <v>1</v>
      </c>
      <c r="AC41" s="2">
        <v>50</v>
      </c>
      <c r="AD41" s="3">
        <v>0</v>
      </c>
      <c r="AE41" s="2">
        <v>0</v>
      </c>
      <c r="AF41" s="2">
        <v>50</v>
      </c>
      <c r="AK41">
        <v>5151588</v>
      </c>
    </row>
    <row r="42" spans="1:37" x14ac:dyDescent="0.25">
      <c r="A42" s="1">
        <v>45721</v>
      </c>
      <c r="B42" s="1">
        <v>45721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182</v>
      </c>
      <c r="J42" t="s">
        <v>183</v>
      </c>
      <c r="M42" t="s">
        <v>110</v>
      </c>
      <c r="O42" t="s">
        <v>184</v>
      </c>
      <c r="P42" t="s">
        <v>185</v>
      </c>
      <c r="Q42" t="s">
        <v>49</v>
      </c>
      <c r="R42" t="s">
        <v>128</v>
      </c>
      <c r="S42" s="1">
        <v>45689</v>
      </c>
      <c r="U42" t="s">
        <v>51</v>
      </c>
      <c r="X42" t="s">
        <v>52</v>
      </c>
      <c r="Y42" s="2">
        <v>0</v>
      </c>
      <c r="Z42" s="2">
        <v>50</v>
      </c>
      <c r="AA42">
        <v>1</v>
      </c>
      <c r="AB42" s="3">
        <v>1</v>
      </c>
      <c r="AC42" s="2">
        <v>50</v>
      </c>
      <c r="AD42" s="3">
        <v>0</v>
      </c>
      <c r="AE42" s="2">
        <v>0</v>
      </c>
      <c r="AF42" s="2">
        <v>50</v>
      </c>
      <c r="AK42">
        <v>5151590</v>
      </c>
    </row>
    <row r="43" spans="1:37" x14ac:dyDescent="0.25">
      <c r="A43" s="1">
        <v>45721</v>
      </c>
      <c r="B43" s="1">
        <v>45721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186</v>
      </c>
      <c r="J43" t="s">
        <v>187</v>
      </c>
      <c r="M43" t="s">
        <v>110</v>
      </c>
      <c r="O43" t="s">
        <v>117</v>
      </c>
      <c r="P43" t="s">
        <v>118</v>
      </c>
      <c r="Q43" t="s">
        <v>49</v>
      </c>
      <c r="R43" t="s">
        <v>128</v>
      </c>
      <c r="S43" s="1">
        <v>45689</v>
      </c>
      <c r="U43" t="s">
        <v>51</v>
      </c>
      <c r="X43" t="s">
        <v>52</v>
      </c>
      <c r="Y43" s="2">
        <v>0</v>
      </c>
      <c r="Z43" s="2">
        <v>50</v>
      </c>
      <c r="AA43">
        <v>1</v>
      </c>
      <c r="AB43" s="3">
        <v>1</v>
      </c>
      <c r="AC43" s="2">
        <v>50</v>
      </c>
      <c r="AD43" s="3">
        <v>0</v>
      </c>
      <c r="AE43" s="2">
        <v>0</v>
      </c>
      <c r="AF43" s="2">
        <v>50</v>
      </c>
      <c r="AK43">
        <v>5151595</v>
      </c>
    </row>
    <row r="44" spans="1:37" x14ac:dyDescent="0.25">
      <c r="A44" s="1">
        <v>45721</v>
      </c>
      <c r="B44" s="1">
        <v>45721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188</v>
      </c>
      <c r="J44" t="s">
        <v>189</v>
      </c>
      <c r="M44" t="s">
        <v>110</v>
      </c>
      <c r="O44" t="s">
        <v>69</v>
      </c>
      <c r="P44" t="s">
        <v>70</v>
      </c>
      <c r="Q44" t="s">
        <v>49</v>
      </c>
      <c r="R44" t="s">
        <v>128</v>
      </c>
      <c r="S44" s="1">
        <v>45689</v>
      </c>
      <c r="U44" t="s">
        <v>51</v>
      </c>
      <c r="X44" t="s">
        <v>52</v>
      </c>
      <c r="Y44" s="2">
        <v>0</v>
      </c>
      <c r="Z44" s="2">
        <v>50</v>
      </c>
      <c r="AA44">
        <v>1</v>
      </c>
      <c r="AB44" s="3">
        <v>1</v>
      </c>
      <c r="AC44" s="2">
        <v>50</v>
      </c>
      <c r="AD44" s="3">
        <v>0</v>
      </c>
      <c r="AE44" s="2">
        <v>0</v>
      </c>
      <c r="AF44" s="2">
        <v>50</v>
      </c>
      <c r="AK44">
        <v>5151598</v>
      </c>
    </row>
    <row r="45" spans="1:37" x14ac:dyDescent="0.25">
      <c r="A45" s="1">
        <v>45721</v>
      </c>
      <c r="B45" s="1">
        <v>45721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190</v>
      </c>
      <c r="J45" t="s">
        <v>191</v>
      </c>
      <c r="M45" t="s">
        <v>192</v>
      </c>
      <c r="O45" t="s">
        <v>117</v>
      </c>
      <c r="P45" t="s">
        <v>118</v>
      </c>
      <c r="Q45" t="s">
        <v>49</v>
      </c>
      <c r="R45" t="s">
        <v>128</v>
      </c>
      <c r="S45" s="1">
        <v>45689</v>
      </c>
      <c r="U45" t="s">
        <v>51</v>
      </c>
      <c r="X45" t="s">
        <v>52</v>
      </c>
      <c r="Y45" s="2">
        <v>0</v>
      </c>
      <c r="Z45" s="2">
        <v>50</v>
      </c>
      <c r="AA45">
        <v>1</v>
      </c>
      <c r="AB45" s="3">
        <v>1</v>
      </c>
      <c r="AC45" s="2">
        <v>50</v>
      </c>
      <c r="AD45" s="3">
        <v>0</v>
      </c>
      <c r="AE45" s="2">
        <v>0</v>
      </c>
      <c r="AF45" s="2">
        <v>50</v>
      </c>
      <c r="AK45">
        <v>5151600</v>
      </c>
    </row>
    <row r="46" spans="1:37" x14ac:dyDescent="0.25">
      <c r="A46" s="1">
        <v>45721</v>
      </c>
      <c r="B46" s="1">
        <v>45721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193</v>
      </c>
      <c r="J46" t="s">
        <v>194</v>
      </c>
      <c r="M46" t="s">
        <v>110</v>
      </c>
      <c r="O46" t="s">
        <v>195</v>
      </c>
      <c r="P46" t="s">
        <v>196</v>
      </c>
      <c r="Q46" t="s">
        <v>49</v>
      </c>
      <c r="R46" t="s">
        <v>128</v>
      </c>
      <c r="S46" s="1">
        <v>45689</v>
      </c>
      <c r="U46" t="s">
        <v>51</v>
      </c>
      <c r="X46" t="s">
        <v>52</v>
      </c>
      <c r="Y46" s="2">
        <v>0</v>
      </c>
      <c r="Z46" s="2">
        <v>50</v>
      </c>
      <c r="AA46">
        <v>1</v>
      </c>
      <c r="AB46" s="3">
        <v>1</v>
      </c>
      <c r="AC46" s="2">
        <v>50</v>
      </c>
      <c r="AD46" s="3">
        <v>0</v>
      </c>
      <c r="AE46" s="2">
        <v>0</v>
      </c>
      <c r="AF46" s="2">
        <v>50</v>
      </c>
      <c r="AK46">
        <v>5151603</v>
      </c>
    </row>
    <row r="47" spans="1:37" x14ac:dyDescent="0.25">
      <c r="A47" s="1">
        <v>45721</v>
      </c>
      <c r="B47" s="1">
        <v>45721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197</v>
      </c>
      <c r="J47" t="s">
        <v>198</v>
      </c>
      <c r="M47" t="s">
        <v>146</v>
      </c>
      <c r="O47" t="s">
        <v>199</v>
      </c>
      <c r="P47" t="s">
        <v>200</v>
      </c>
      <c r="Q47" t="s">
        <v>49</v>
      </c>
      <c r="R47" t="s">
        <v>128</v>
      </c>
      <c r="S47" s="1">
        <v>45689</v>
      </c>
      <c r="U47" t="s">
        <v>51</v>
      </c>
      <c r="X47" t="s">
        <v>52</v>
      </c>
      <c r="Y47" s="2">
        <v>0</v>
      </c>
      <c r="Z47" s="2">
        <v>50</v>
      </c>
      <c r="AA47">
        <v>1</v>
      </c>
      <c r="AB47" s="3">
        <v>1</v>
      </c>
      <c r="AC47" s="2">
        <v>50</v>
      </c>
      <c r="AD47" s="3">
        <v>0</v>
      </c>
      <c r="AE47" s="2">
        <v>0</v>
      </c>
      <c r="AF47" s="2">
        <v>50</v>
      </c>
      <c r="AK47">
        <v>5151608</v>
      </c>
    </row>
    <row r="48" spans="1:37" x14ac:dyDescent="0.25">
      <c r="A48" s="1">
        <v>45721</v>
      </c>
      <c r="B48" s="1">
        <v>45721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201</v>
      </c>
      <c r="J48" t="s">
        <v>202</v>
      </c>
      <c r="M48" t="s">
        <v>159</v>
      </c>
      <c r="O48" t="s">
        <v>160</v>
      </c>
      <c r="P48" t="s">
        <v>161</v>
      </c>
      <c r="Q48" t="s">
        <v>49</v>
      </c>
      <c r="R48" t="s">
        <v>128</v>
      </c>
      <c r="S48" s="1">
        <v>45717</v>
      </c>
      <c r="U48" t="s">
        <v>51</v>
      </c>
      <c r="X48" t="s">
        <v>52</v>
      </c>
      <c r="Y48" s="2">
        <v>0</v>
      </c>
      <c r="Z48" s="2">
        <v>50</v>
      </c>
      <c r="AA48">
        <v>1</v>
      </c>
      <c r="AB48" s="3">
        <v>1</v>
      </c>
      <c r="AC48" s="2">
        <v>50</v>
      </c>
      <c r="AD48" s="3">
        <v>0</v>
      </c>
      <c r="AE48" s="2">
        <v>0</v>
      </c>
      <c r="AF48" s="2">
        <v>50</v>
      </c>
      <c r="AK48">
        <v>5151631</v>
      </c>
    </row>
    <row r="49" spans="1:38" x14ac:dyDescent="0.25">
      <c r="A49" s="1">
        <v>45721</v>
      </c>
      <c r="B49" s="1">
        <v>45721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203</v>
      </c>
      <c r="J49" t="s">
        <v>204</v>
      </c>
      <c r="M49" t="s">
        <v>110</v>
      </c>
      <c r="O49" t="s">
        <v>205</v>
      </c>
      <c r="P49" t="s">
        <v>206</v>
      </c>
      <c r="Q49" t="s">
        <v>49</v>
      </c>
      <c r="R49" t="s">
        <v>128</v>
      </c>
      <c r="S49" s="1">
        <v>45689</v>
      </c>
      <c r="U49" t="s">
        <v>51</v>
      </c>
      <c r="X49" t="s">
        <v>52</v>
      </c>
      <c r="Y49" s="2">
        <v>0</v>
      </c>
      <c r="Z49" s="2">
        <v>50</v>
      </c>
      <c r="AA49">
        <v>1</v>
      </c>
      <c r="AB49" s="3">
        <v>1</v>
      </c>
      <c r="AC49" s="2">
        <v>50</v>
      </c>
      <c r="AD49" s="3">
        <v>0</v>
      </c>
      <c r="AE49" s="2">
        <v>0</v>
      </c>
      <c r="AF49" s="2">
        <v>50</v>
      </c>
      <c r="AK49">
        <v>5151632</v>
      </c>
    </row>
    <row r="50" spans="1:38" x14ac:dyDescent="0.25">
      <c r="A50" s="1">
        <v>45721</v>
      </c>
      <c r="B50" s="1">
        <v>45721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207</v>
      </c>
      <c r="J50" t="s">
        <v>208</v>
      </c>
      <c r="M50" t="s">
        <v>209</v>
      </c>
      <c r="O50" t="s">
        <v>81</v>
      </c>
      <c r="P50" t="s">
        <v>82</v>
      </c>
      <c r="Q50" t="s">
        <v>49</v>
      </c>
      <c r="R50" t="s">
        <v>128</v>
      </c>
      <c r="S50" s="1">
        <v>45689</v>
      </c>
      <c r="U50" t="s">
        <v>51</v>
      </c>
      <c r="X50" t="s">
        <v>52</v>
      </c>
      <c r="Y50" s="2">
        <v>0</v>
      </c>
      <c r="Z50" s="2">
        <v>50</v>
      </c>
      <c r="AA50">
        <v>1</v>
      </c>
      <c r="AB50" s="3">
        <v>1</v>
      </c>
      <c r="AC50" s="2">
        <v>50</v>
      </c>
      <c r="AD50" s="3">
        <v>0</v>
      </c>
      <c r="AE50" s="2">
        <v>0</v>
      </c>
      <c r="AF50" s="2">
        <v>50</v>
      </c>
      <c r="AK50">
        <v>5151637</v>
      </c>
    </row>
    <row r="51" spans="1:38" x14ac:dyDescent="0.25">
      <c r="A51" s="1">
        <v>45721</v>
      </c>
      <c r="B51" s="1">
        <v>45721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210</v>
      </c>
      <c r="J51" t="s">
        <v>211</v>
      </c>
      <c r="M51" t="s">
        <v>146</v>
      </c>
      <c r="O51" t="s">
        <v>164</v>
      </c>
      <c r="P51" t="s">
        <v>165</v>
      </c>
      <c r="Q51" t="s">
        <v>49</v>
      </c>
      <c r="R51" t="s">
        <v>128</v>
      </c>
      <c r="S51" s="1">
        <v>45689</v>
      </c>
      <c r="U51" t="s">
        <v>51</v>
      </c>
      <c r="X51" t="s">
        <v>52</v>
      </c>
      <c r="Y51" s="2">
        <v>0</v>
      </c>
      <c r="Z51" s="2">
        <v>50</v>
      </c>
      <c r="AA51">
        <v>1</v>
      </c>
      <c r="AB51" s="3">
        <v>1</v>
      </c>
      <c r="AC51" s="2">
        <v>50</v>
      </c>
      <c r="AD51" s="3">
        <v>0</v>
      </c>
      <c r="AE51" s="2">
        <v>0</v>
      </c>
      <c r="AF51" s="2">
        <v>50</v>
      </c>
      <c r="AK51">
        <v>5151648</v>
      </c>
    </row>
    <row r="52" spans="1:38" x14ac:dyDescent="0.25">
      <c r="A52" s="1">
        <v>45721</v>
      </c>
      <c r="B52" s="1">
        <v>45721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212</v>
      </c>
      <c r="J52" t="s">
        <v>213</v>
      </c>
      <c r="M52" t="s">
        <v>146</v>
      </c>
      <c r="O52" t="s">
        <v>164</v>
      </c>
      <c r="P52" t="s">
        <v>165</v>
      </c>
      <c r="Q52" t="s">
        <v>49</v>
      </c>
      <c r="R52" t="s">
        <v>128</v>
      </c>
      <c r="S52" s="1">
        <v>45689</v>
      </c>
      <c r="U52" t="s">
        <v>51</v>
      </c>
      <c r="X52" t="s">
        <v>52</v>
      </c>
      <c r="Y52" s="2">
        <v>0</v>
      </c>
      <c r="Z52" s="2">
        <v>50</v>
      </c>
      <c r="AA52">
        <v>1</v>
      </c>
      <c r="AB52" s="3">
        <v>1</v>
      </c>
      <c r="AC52" s="2">
        <v>50</v>
      </c>
      <c r="AD52" s="3">
        <v>0</v>
      </c>
      <c r="AE52" s="2">
        <v>0</v>
      </c>
      <c r="AF52" s="2">
        <v>50</v>
      </c>
      <c r="AK52">
        <v>5151649</v>
      </c>
    </row>
    <row r="53" spans="1:38" x14ac:dyDescent="0.25">
      <c r="A53" s="1">
        <v>45721</v>
      </c>
      <c r="B53" s="1">
        <v>45721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214</v>
      </c>
      <c r="J53" t="s">
        <v>215</v>
      </c>
      <c r="M53" t="s">
        <v>110</v>
      </c>
      <c r="O53" t="s">
        <v>133</v>
      </c>
      <c r="P53" t="s">
        <v>134</v>
      </c>
      <c r="Q53" t="s">
        <v>49</v>
      </c>
      <c r="R53" t="s">
        <v>128</v>
      </c>
      <c r="S53" s="1">
        <v>45689</v>
      </c>
      <c r="U53" t="s">
        <v>51</v>
      </c>
      <c r="X53" t="s">
        <v>52</v>
      </c>
      <c r="Y53" s="2">
        <v>0</v>
      </c>
      <c r="Z53" s="2">
        <v>50</v>
      </c>
      <c r="AA53">
        <v>1</v>
      </c>
      <c r="AB53" s="3">
        <v>1</v>
      </c>
      <c r="AC53" s="2">
        <v>50</v>
      </c>
      <c r="AD53" s="3">
        <v>0</v>
      </c>
      <c r="AE53" s="2">
        <v>0</v>
      </c>
      <c r="AF53" s="2">
        <v>50</v>
      </c>
      <c r="AK53">
        <v>5151653</v>
      </c>
    </row>
    <row r="54" spans="1:38" x14ac:dyDescent="0.25">
      <c r="A54" s="1">
        <v>45721</v>
      </c>
      <c r="B54" s="1">
        <v>45721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216</v>
      </c>
      <c r="J54" t="s">
        <v>217</v>
      </c>
      <c r="M54" t="s">
        <v>218</v>
      </c>
      <c r="O54" t="s">
        <v>117</v>
      </c>
      <c r="P54" t="s">
        <v>118</v>
      </c>
      <c r="Q54" t="s">
        <v>49</v>
      </c>
      <c r="R54" t="s">
        <v>128</v>
      </c>
      <c r="S54" s="1">
        <v>45689</v>
      </c>
      <c r="U54" t="s">
        <v>51</v>
      </c>
      <c r="X54" t="s">
        <v>52</v>
      </c>
      <c r="Y54" s="2">
        <v>0</v>
      </c>
      <c r="Z54" s="2">
        <v>50</v>
      </c>
      <c r="AA54">
        <v>1</v>
      </c>
      <c r="AB54" s="3">
        <v>1</v>
      </c>
      <c r="AC54" s="2">
        <v>50</v>
      </c>
      <c r="AD54" s="3">
        <v>0</v>
      </c>
      <c r="AE54" s="2">
        <v>0</v>
      </c>
      <c r="AF54" s="2">
        <v>50</v>
      </c>
      <c r="AK54">
        <v>5151654</v>
      </c>
    </row>
    <row r="55" spans="1:38" x14ac:dyDescent="0.25">
      <c r="A55" s="1">
        <v>45721</v>
      </c>
      <c r="B55" s="1">
        <v>45721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219</v>
      </c>
      <c r="J55" t="s">
        <v>220</v>
      </c>
      <c r="M55" t="s">
        <v>159</v>
      </c>
      <c r="O55" t="s">
        <v>69</v>
      </c>
      <c r="P55" t="s">
        <v>70</v>
      </c>
      <c r="Q55" t="s">
        <v>49</v>
      </c>
      <c r="R55" t="s">
        <v>128</v>
      </c>
      <c r="S55" s="1">
        <v>45689</v>
      </c>
      <c r="U55" t="s">
        <v>51</v>
      </c>
      <c r="X55" t="s">
        <v>52</v>
      </c>
      <c r="Y55" s="2">
        <v>0</v>
      </c>
      <c r="Z55" s="2">
        <v>50</v>
      </c>
      <c r="AA55">
        <v>1</v>
      </c>
      <c r="AB55" s="3">
        <v>1</v>
      </c>
      <c r="AC55" s="2">
        <v>50</v>
      </c>
      <c r="AD55" s="3">
        <v>0</v>
      </c>
      <c r="AE55" s="2">
        <v>0</v>
      </c>
      <c r="AF55" s="2">
        <v>50</v>
      </c>
      <c r="AK55">
        <v>5151501</v>
      </c>
    </row>
    <row r="56" spans="1:38" x14ac:dyDescent="0.25">
      <c r="A56" s="1">
        <v>45721</v>
      </c>
      <c r="B56" s="1">
        <v>45721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221</v>
      </c>
      <c r="J56" t="s">
        <v>222</v>
      </c>
      <c r="M56" t="s">
        <v>146</v>
      </c>
      <c r="O56" t="s">
        <v>164</v>
      </c>
      <c r="P56" t="s">
        <v>165</v>
      </c>
      <c r="Q56" t="s">
        <v>49</v>
      </c>
      <c r="R56" t="s">
        <v>128</v>
      </c>
      <c r="S56" s="1">
        <v>45689</v>
      </c>
      <c r="U56" t="s">
        <v>51</v>
      </c>
      <c r="X56" t="s">
        <v>52</v>
      </c>
      <c r="Y56" s="2">
        <v>0</v>
      </c>
      <c r="Z56" s="2">
        <v>50</v>
      </c>
      <c r="AA56">
        <v>1</v>
      </c>
      <c r="AB56" s="3">
        <v>1</v>
      </c>
      <c r="AC56" s="2">
        <v>50</v>
      </c>
      <c r="AD56" s="3">
        <v>0</v>
      </c>
      <c r="AE56" s="2">
        <v>0</v>
      </c>
      <c r="AF56" s="2">
        <v>50</v>
      </c>
      <c r="AK56">
        <v>5151668</v>
      </c>
    </row>
    <row r="57" spans="1:38" x14ac:dyDescent="0.25">
      <c r="A57" s="1">
        <v>45721</v>
      </c>
      <c r="B57" s="1">
        <v>45721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223</v>
      </c>
      <c r="J57" t="s">
        <v>224</v>
      </c>
      <c r="M57" t="s">
        <v>110</v>
      </c>
      <c r="O57" t="s">
        <v>102</v>
      </c>
      <c r="P57" t="s">
        <v>103</v>
      </c>
      <c r="Q57" t="s">
        <v>49</v>
      </c>
      <c r="R57" t="s">
        <v>128</v>
      </c>
      <c r="S57" s="1">
        <v>45748</v>
      </c>
      <c r="U57" t="s">
        <v>51</v>
      </c>
      <c r="X57" t="s">
        <v>52</v>
      </c>
      <c r="Y57" s="2">
        <v>0</v>
      </c>
      <c r="Z57" s="2">
        <v>50</v>
      </c>
      <c r="AA57">
        <v>1</v>
      </c>
      <c r="AB57" s="3">
        <v>1</v>
      </c>
      <c r="AC57" s="2">
        <v>50</v>
      </c>
      <c r="AD57" s="3">
        <v>0</v>
      </c>
      <c r="AE57" s="2">
        <v>0</v>
      </c>
      <c r="AF57" s="2">
        <v>50</v>
      </c>
      <c r="AK57">
        <v>5151678</v>
      </c>
    </row>
    <row r="58" spans="1:38" x14ac:dyDescent="0.25">
      <c r="A58" s="1">
        <v>45721</v>
      </c>
      <c r="B58" s="1">
        <v>45721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225</v>
      </c>
      <c r="J58" t="s">
        <v>226</v>
      </c>
      <c r="M58" t="s">
        <v>156</v>
      </c>
      <c r="O58" t="s">
        <v>65</v>
      </c>
      <c r="P58" t="s">
        <v>66</v>
      </c>
      <c r="Q58" t="s">
        <v>49</v>
      </c>
      <c r="R58" t="s">
        <v>135</v>
      </c>
      <c r="S58" s="1">
        <v>45748</v>
      </c>
      <c r="U58" t="s">
        <v>51</v>
      </c>
      <c r="X58" t="s">
        <v>52</v>
      </c>
      <c r="Y58" s="2">
        <v>0</v>
      </c>
      <c r="Z58" s="2">
        <v>37.5</v>
      </c>
      <c r="AA58">
        <v>1</v>
      </c>
      <c r="AB58" s="3">
        <v>1</v>
      </c>
      <c r="AC58" s="2">
        <v>37.5</v>
      </c>
      <c r="AD58" s="3">
        <v>0</v>
      </c>
      <c r="AE58" s="2">
        <v>0</v>
      </c>
      <c r="AF58" s="2">
        <v>37.5</v>
      </c>
      <c r="AK58">
        <v>5151387</v>
      </c>
      <c r="AL58" t="s">
        <v>227</v>
      </c>
    </row>
    <row r="59" spans="1:38" x14ac:dyDescent="0.25">
      <c r="A59" s="1">
        <v>45721</v>
      </c>
      <c r="B59" s="1">
        <v>45721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228</v>
      </c>
      <c r="J59" t="s">
        <v>229</v>
      </c>
      <c r="M59" t="s">
        <v>110</v>
      </c>
      <c r="O59" t="s">
        <v>160</v>
      </c>
      <c r="P59" t="s">
        <v>161</v>
      </c>
      <c r="Q59" t="s">
        <v>49</v>
      </c>
      <c r="R59" t="s">
        <v>135</v>
      </c>
      <c r="S59" s="1">
        <v>45717</v>
      </c>
      <c r="U59" t="s">
        <v>51</v>
      </c>
      <c r="X59" t="s">
        <v>52</v>
      </c>
      <c r="Y59" s="2">
        <v>0</v>
      </c>
      <c r="Z59" s="2">
        <v>41.67</v>
      </c>
      <c r="AA59">
        <v>1</v>
      </c>
      <c r="AB59" s="3">
        <v>1</v>
      </c>
      <c r="AC59" s="2">
        <v>41.67</v>
      </c>
      <c r="AD59" s="3">
        <v>0</v>
      </c>
      <c r="AE59" s="2">
        <v>0</v>
      </c>
      <c r="AF59" s="2">
        <v>41.67</v>
      </c>
      <c r="AK59">
        <v>5151416</v>
      </c>
      <c r="AL59" t="s">
        <v>136</v>
      </c>
    </row>
    <row r="60" spans="1:38" x14ac:dyDescent="0.25">
      <c r="A60" s="1">
        <v>45721</v>
      </c>
      <c r="B60" s="1">
        <v>45721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230</v>
      </c>
      <c r="J60" t="s">
        <v>231</v>
      </c>
      <c r="M60" t="s">
        <v>146</v>
      </c>
      <c r="O60" t="s">
        <v>94</v>
      </c>
      <c r="P60" t="s">
        <v>95</v>
      </c>
      <c r="Q60" t="s">
        <v>49</v>
      </c>
      <c r="R60" t="s">
        <v>135</v>
      </c>
      <c r="S60" s="1">
        <v>45689</v>
      </c>
      <c r="U60" t="s">
        <v>51</v>
      </c>
      <c r="X60" t="s">
        <v>52</v>
      </c>
      <c r="Y60" s="2">
        <v>0</v>
      </c>
      <c r="Z60" s="2">
        <v>45.83</v>
      </c>
      <c r="AA60">
        <v>1</v>
      </c>
      <c r="AB60" s="3">
        <v>1</v>
      </c>
      <c r="AC60" s="2">
        <v>45.83</v>
      </c>
      <c r="AD60" s="3">
        <v>0</v>
      </c>
      <c r="AE60" s="2">
        <v>0</v>
      </c>
      <c r="AF60" s="2">
        <v>45.83</v>
      </c>
      <c r="AK60">
        <v>5151482</v>
      </c>
      <c r="AL60" t="s">
        <v>232</v>
      </c>
    </row>
    <row r="61" spans="1:38" x14ac:dyDescent="0.25">
      <c r="A61" s="1">
        <v>45721</v>
      </c>
      <c r="B61" s="1">
        <v>45721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233</v>
      </c>
      <c r="J61" t="s">
        <v>234</v>
      </c>
      <c r="M61" t="s">
        <v>110</v>
      </c>
      <c r="O61" t="s">
        <v>235</v>
      </c>
      <c r="P61" t="s">
        <v>236</v>
      </c>
      <c r="Q61" t="s">
        <v>49</v>
      </c>
      <c r="R61" t="s">
        <v>135</v>
      </c>
      <c r="S61" s="1">
        <v>45717</v>
      </c>
      <c r="U61" t="s">
        <v>51</v>
      </c>
      <c r="X61" t="s">
        <v>52</v>
      </c>
      <c r="Y61" s="2">
        <v>0</v>
      </c>
      <c r="Z61" s="2">
        <v>41.67</v>
      </c>
      <c r="AA61">
        <v>1</v>
      </c>
      <c r="AB61" s="3">
        <v>1</v>
      </c>
      <c r="AC61" s="2">
        <v>41.67</v>
      </c>
      <c r="AD61" s="3">
        <v>0</v>
      </c>
      <c r="AE61" s="2">
        <v>0</v>
      </c>
      <c r="AF61" s="2">
        <v>41.67</v>
      </c>
      <c r="AK61">
        <v>5151383</v>
      </c>
      <c r="AL61" t="s">
        <v>136</v>
      </c>
    </row>
    <row r="62" spans="1:38" x14ac:dyDescent="0.25">
      <c r="A62" s="1">
        <v>45721</v>
      </c>
      <c r="B62" s="1">
        <v>45721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237</v>
      </c>
      <c r="J62" t="s">
        <v>238</v>
      </c>
      <c r="M62" t="s">
        <v>239</v>
      </c>
      <c r="O62" t="s">
        <v>117</v>
      </c>
      <c r="P62" t="s">
        <v>118</v>
      </c>
      <c r="Q62" t="s">
        <v>49</v>
      </c>
      <c r="R62" t="s">
        <v>135</v>
      </c>
      <c r="S62" s="1">
        <v>45748</v>
      </c>
      <c r="U62" t="s">
        <v>51</v>
      </c>
      <c r="X62" t="s">
        <v>52</v>
      </c>
      <c r="Y62" s="2">
        <v>0</v>
      </c>
      <c r="Z62" s="2">
        <v>37.5</v>
      </c>
      <c r="AA62">
        <v>1</v>
      </c>
      <c r="AB62" s="3">
        <v>1</v>
      </c>
      <c r="AC62" s="2">
        <v>37.5</v>
      </c>
      <c r="AD62" s="3">
        <v>0</v>
      </c>
      <c r="AE62" s="2">
        <v>0</v>
      </c>
      <c r="AF62" s="2">
        <v>37.5</v>
      </c>
      <c r="AK62">
        <v>5151393</v>
      </c>
      <c r="AL62" t="s">
        <v>227</v>
      </c>
    </row>
    <row r="63" spans="1:38" x14ac:dyDescent="0.25">
      <c r="A63" s="1">
        <v>45721</v>
      </c>
      <c r="B63" s="1">
        <v>45721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240</v>
      </c>
      <c r="J63" t="s">
        <v>241</v>
      </c>
      <c r="M63" t="s">
        <v>46</v>
      </c>
      <c r="O63" t="s">
        <v>160</v>
      </c>
      <c r="P63" t="s">
        <v>161</v>
      </c>
      <c r="Q63" t="s">
        <v>49</v>
      </c>
      <c r="R63" t="s">
        <v>123</v>
      </c>
      <c r="S63" s="1">
        <v>45658</v>
      </c>
      <c r="U63" t="s">
        <v>51</v>
      </c>
      <c r="X63" t="s">
        <v>52</v>
      </c>
      <c r="Y63" s="2">
        <v>0</v>
      </c>
      <c r="Z63" s="2">
        <v>175</v>
      </c>
      <c r="AA63">
        <v>1</v>
      </c>
      <c r="AB63" s="3">
        <v>1</v>
      </c>
      <c r="AC63" s="2">
        <v>175</v>
      </c>
      <c r="AD63" s="3">
        <v>0</v>
      </c>
      <c r="AE63" s="2">
        <v>0</v>
      </c>
      <c r="AF63" s="2">
        <v>175</v>
      </c>
      <c r="AK63">
        <v>5151899</v>
      </c>
    </row>
    <row r="64" spans="1:38" x14ac:dyDescent="0.25">
      <c r="A64" s="1">
        <v>45721</v>
      </c>
      <c r="B64" s="1">
        <v>45721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242</v>
      </c>
      <c r="J64" t="s">
        <v>243</v>
      </c>
      <c r="M64" t="s">
        <v>46</v>
      </c>
      <c r="O64" t="s">
        <v>85</v>
      </c>
      <c r="P64" t="s">
        <v>86</v>
      </c>
      <c r="Q64" t="s">
        <v>49</v>
      </c>
      <c r="R64" t="s">
        <v>123</v>
      </c>
      <c r="S64" s="1">
        <v>45658</v>
      </c>
      <c r="U64" t="s">
        <v>51</v>
      </c>
      <c r="X64" t="s">
        <v>52</v>
      </c>
      <c r="Y64" s="2">
        <v>0</v>
      </c>
      <c r="Z64" s="2">
        <v>175</v>
      </c>
      <c r="AA64">
        <v>1</v>
      </c>
      <c r="AB64" s="3">
        <v>1</v>
      </c>
      <c r="AC64" s="2">
        <v>175</v>
      </c>
      <c r="AD64" s="3">
        <v>0</v>
      </c>
      <c r="AE64" s="2">
        <v>0</v>
      </c>
      <c r="AF64" s="2">
        <v>175</v>
      </c>
      <c r="AK64">
        <v>5151900</v>
      </c>
    </row>
    <row r="65" spans="1:38" x14ac:dyDescent="0.25">
      <c r="A65" s="1">
        <v>45721</v>
      </c>
      <c r="B65" s="1">
        <v>45721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244</v>
      </c>
      <c r="J65" t="s">
        <v>245</v>
      </c>
      <c r="M65" t="s">
        <v>46</v>
      </c>
      <c r="O65" t="s">
        <v>65</v>
      </c>
      <c r="P65" t="s">
        <v>66</v>
      </c>
      <c r="Q65" t="s">
        <v>49</v>
      </c>
      <c r="R65" t="s">
        <v>123</v>
      </c>
      <c r="S65" s="1">
        <v>45658</v>
      </c>
      <c r="U65" t="s">
        <v>51</v>
      </c>
      <c r="X65" t="s">
        <v>52</v>
      </c>
      <c r="Y65" s="2">
        <v>0</v>
      </c>
      <c r="Z65" s="2">
        <v>175</v>
      </c>
      <c r="AA65">
        <v>1</v>
      </c>
      <c r="AB65" s="3">
        <v>1</v>
      </c>
      <c r="AC65" s="2">
        <v>175</v>
      </c>
      <c r="AD65" s="3">
        <v>0</v>
      </c>
      <c r="AE65" s="2">
        <v>0</v>
      </c>
      <c r="AF65" s="2">
        <v>175</v>
      </c>
      <c r="AK65">
        <v>5151949</v>
      </c>
    </row>
    <row r="66" spans="1:38" x14ac:dyDescent="0.25">
      <c r="A66" s="1">
        <v>45721</v>
      </c>
      <c r="B66" s="1">
        <v>45721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246</v>
      </c>
      <c r="J66" t="s">
        <v>247</v>
      </c>
      <c r="M66" t="s">
        <v>46</v>
      </c>
      <c r="O66" t="s">
        <v>160</v>
      </c>
      <c r="P66" t="s">
        <v>161</v>
      </c>
      <c r="Q66" t="s">
        <v>49</v>
      </c>
      <c r="R66" t="s">
        <v>123</v>
      </c>
      <c r="S66" s="1">
        <v>45658</v>
      </c>
      <c r="U66" t="s">
        <v>51</v>
      </c>
      <c r="X66" t="s">
        <v>52</v>
      </c>
      <c r="Y66" s="2">
        <v>0</v>
      </c>
      <c r="Z66" s="2">
        <v>175</v>
      </c>
      <c r="AA66">
        <v>1</v>
      </c>
      <c r="AB66" s="3">
        <v>1</v>
      </c>
      <c r="AC66" s="2">
        <v>175</v>
      </c>
      <c r="AD66" s="3">
        <v>0</v>
      </c>
      <c r="AE66" s="2">
        <v>0</v>
      </c>
      <c r="AF66" s="2">
        <v>175</v>
      </c>
      <c r="AK66">
        <v>5151953</v>
      </c>
    </row>
    <row r="67" spans="1:38" x14ac:dyDescent="0.25">
      <c r="A67" s="1">
        <v>45721</v>
      </c>
      <c r="B67" s="1">
        <v>45721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248</v>
      </c>
      <c r="J67" t="s">
        <v>249</v>
      </c>
      <c r="M67" t="s">
        <v>46</v>
      </c>
      <c r="O67" t="s">
        <v>160</v>
      </c>
      <c r="P67" t="s">
        <v>161</v>
      </c>
      <c r="Q67" t="s">
        <v>49</v>
      </c>
      <c r="R67" t="s">
        <v>123</v>
      </c>
      <c r="S67" s="1">
        <v>45658</v>
      </c>
      <c r="U67" t="s">
        <v>51</v>
      </c>
      <c r="X67" t="s">
        <v>52</v>
      </c>
      <c r="Y67" s="2">
        <v>0</v>
      </c>
      <c r="Z67" s="2">
        <v>175</v>
      </c>
      <c r="AA67">
        <v>1</v>
      </c>
      <c r="AB67" s="3">
        <v>1</v>
      </c>
      <c r="AC67" s="2">
        <v>175</v>
      </c>
      <c r="AD67" s="3">
        <v>0</v>
      </c>
      <c r="AE67" s="2">
        <v>0</v>
      </c>
      <c r="AF67" s="2">
        <v>175</v>
      </c>
      <c r="AK67">
        <v>5152028</v>
      </c>
    </row>
    <row r="68" spans="1:38" x14ac:dyDescent="0.25">
      <c r="A68" s="1">
        <v>45721</v>
      </c>
      <c r="B68" s="1">
        <v>45721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250</v>
      </c>
      <c r="J68" t="s">
        <v>251</v>
      </c>
      <c r="M68" t="s">
        <v>46</v>
      </c>
      <c r="O68" t="s">
        <v>57</v>
      </c>
      <c r="P68" t="s">
        <v>58</v>
      </c>
      <c r="Q68" t="s">
        <v>49</v>
      </c>
      <c r="R68" t="s">
        <v>123</v>
      </c>
      <c r="S68" s="1">
        <v>45658</v>
      </c>
      <c r="U68" t="s">
        <v>51</v>
      </c>
      <c r="X68" t="s">
        <v>52</v>
      </c>
      <c r="Y68" s="2">
        <v>0</v>
      </c>
      <c r="Z68" s="2">
        <v>175</v>
      </c>
      <c r="AA68">
        <v>1</v>
      </c>
      <c r="AB68" s="3">
        <v>1</v>
      </c>
      <c r="AC68" s="2">
        <v>175</v>
      </c>
      <c r="AD68" s="3">
        <v>0</v>
      </c>
      <c r="AE68" s="2">
        <v>0</v>
      </c>
      <c r="AF68" s="2">
        <v>175</v>
      </c>
      <c r="AK68">
        <v>5152059</v>
      </c>
    </row>
    <row r="69" spans="1:38" x14ac:dyDescent="0.25">
      <c r="A69" s="1">
        <v>45721</v>
      </c>
      <c r="B69" s="1">
        <v>45721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252</v>
      </c>
      <c r="J69" t="s">
        <v>253</v>
      </c>
      <c r="M69" t="s">
        <v>46</v>
      </c>
      <c r="O69" t="s">
        <v>160</v>
      </c>
      <c r="P69" t="s">
        <v>161</v>
      </c>
      <c r="Q69" t="s">
        <v>49</v>
      </c>
      <c r="R69" t="s">
        <v>123</v>
      </c>
      <c r="S69" s="1">
        <v>45658</v>
      </c>
      <c r="U69" t="s">
        <v>51</v>
      </c>
      <c r="X69" t="s">
        <v>52</v>
      </c>
      <c r="Y69" s="2">
        <v>0</v>
      </c>
      <c r="Z69" s="2">
        <v>175</v>
      </c>
      <c r="AA69">
        <v>1</v>
      </c>
      <c r="AB69" s="3">
        <v>1</v>
      </c>
      <c r="AC69" s="2">
        <v>175</v>
      </c>
      <c r="AD69" s="3">
        <v>0</v>
      </c>
      <c r="AE69" s="2">
        <v>0</v>
      </c>
      <c r="AF69" s="2">
        <v>175</v>
      </c>
      <c r="AK69">
        <v>5152121</v>
      </c>
    </row>
    <row r="70" spans="1:38" x14ac:dyDescent="0.25">
      <c r="A70" s="1">
        <v>45721</v>
      </c>
      <c r="B70" s="1">
        <v>45721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254</v>
      </c>
      <c r="J70" t="s">
        <v>255</v>
      </c>
      <c r="M70" t="s">
        <v>46</v>
      </c>
      <c r="O70" t="s">
        <v>256</v>
      </c>
      <c r="P70" t="s">
        <v>257</v>
      </c>
      <c r="Q70" t="s">
        <v>49</v>
      </c>
      <c r="R70" t="s">
        <v>123</v>
      </c>
      <c r="S70" s="1">
        <v>45658</v>
      </c>
      <c r="U70" t="s">
        <v>51</v>
      </c>
      <c r="X70" t="s">
        <v>52</v>
      </c>
      <c r="Y70" s="2">
        <v>0</v>
      </c>
      <c r="Z70" s="2">
        <v>175</v>
      </c>
      <c r="AA70">
        <v>1</v>
      </c>
      <c r="AB70" s="3">
        <v>1</v>
      </c>
      <c r="AC70" s="2">
        <v>175</v>
      </c>
      <c r="AD70" s="3">
        <v>0</v>
      </c>
      <c r="AE70" s="2">
        <v>0</v>
      </c>
      <c r="AF70" s="2">
        <v>175</v>
      </c>
      <c r="AK70">
        <v>5152151</v>
      </c>
    </row>
    <row r="71" spans="1:38" x14ac:dyDescent="0.25">
      <c r="A71" s="1">
        <v>45721</v>
      </c>
      <c r="B71" s="1">
        <v>45721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258</v>
      </c>
      <c r="J71" t="s">
        <v>259</v>
      </c>
      <c r="M71" t="s">
        <v>46</v>
      </c>
      <c r="O71" t="s">
        <v>85</v>
      </c>
      <c r="P71" t="s">
        <v>86</v>
      </c>
      <c r="Q71" t="s">
        <v>49</v>
      </c>
      <c r="R71" t="s">
        <v>123</v>
      </c>
      <c r="S71" s="1">
        <v>45658</v>
      </c>
      <c r="U71" t="s">
        <v>51</v>
      </c>
      <c r="X71" t="s">
        <v>52</v>
      </c>
      <c r="Y71" s="2">
        <v>0</v>
      </c>
      <c r="Z71" s="2">
        <v>175</v>
      </c>
      <c r="AA71">
        <v>1</v>
      </c>
      <c r="AB71" s="3">
        <v>1</v>
      </c>
      <c r="AC71" s="2">
        <v>175</v>
      </c>
      <c r="AD71" s="3">
        <v>0</v>
      </c>
      <c r="AE71" s="2">
        <v>0</v>
      </c>
      <c r="AF71" s="2">
        <v>175</v>
      </c>
      <c r="AK71">
        <v>5152305</v>
      </c>
    </row>
    <row r="72" spans="1:38" x14ac:dyDescent="0.25">
      <c r="A72" s="1">
        <v>45721</v>
      </c>
      <c r="B72" s="1">
        <v>45721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260</v>
      </c>
      <c r="J72" t="s">
        <v>261</v>
      </c>
      <c r="M72" t="s">
        <v>149</v>
      </c>
      <c r="O72" t="s">
        <v>160</v>
      </c>
      <c r="P72" t="s">
        <v>161</v>
      </c>
      <c r="Q72" t="s">
        <v>49</v>
      </c>
      <c r="R72" t="s">
        <v>262</v>
      </c>
      <c r="S72" s="1">
        <v>45717</v>
      </c>
      <c r="U72" t="s">
        <v>51</v>
      </c>
      <c r="X72" t="s">
        <v>52</v>
      </c>
      <c r="Y72" s="2">
        <v>0</v>
      </c>
      <c r="Z72" s="2">
        <v>260.83</v>
      </c>
      <c r="AA72">
        <v>1</v>
      </c>
      <c r="AB72" s="3">
        <v>1</v>
      </c>
      <c r="AC72" s="2">
        <v>260.83</v>
      </c>
      <c r="AD72" s="3">
        <v>0</v>
      </c>
      <c r="AE72" s="2">
        <v>0</v>
      </c>
      <c r="AF72" s="2">
        <v>260.83</v>
      </c>
      <c r="AK72">
        <v>5152953</v>
      </c>
      <c r="AL72" t="s">
        <v>136</v>
      </c>
    </row>
    <row r="73" spans="1:38" x14ac:dyDescent="0.25">
      <c r="A73" s="1">
        <v>45721</v>
      </c>
      <c r="B73" s="1">
        <v>45721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263</v>
      </c>
      <c r="J73" t="s">
        <v>261</v>
      </c>
      <c r="M73" t="s">
        <v>149</v>
      </c>
      <c r="O73" t="s">
        <v>160</v>
      </c>
      <c r="P73" t="s">
        <v>161</v>
      </c>
      <c r="Q73" t="s">
        <v>49</v>
      </c>
      <c r="R73" t="s">
        <v>264</v>
      </c>
      <c r="S73" s="1">
        <v>45717</v>
      </c>
      <c r="U73" t="s">
        <v>51</v>
      </c>
      <c r="X73" t="s">
        <v>52</v>
      </c>
      <c r="Y73" s="2">
        <v>0</v>
      </c>
      <c r="Z73" s="2">
        <v>175</v>
      </c>
      <c r="AA73">
        <v>1</v>
      </c>
      <c r="AB73" s="3">
        <v>1</v>
      </c>
      <c r="AC73" s="2">
        <v>175</v>
      </c>
      <c r="AD73" s="3">
        <v>0</v>
      </c>
      <c r="AE73" s="2">
        <v>0</v>
      </c>
      <c r="AF73" s="2">
        <v>175</v>
      </c>
      <c r="AK73">
        <v>5152954</v>
      </c>
    </row>
    <row r="74" spans="1:38" x14ac:dyDescent="0.25">
      <c r="A74" s="1">
        <v>45721</v>
      </c>
      <c r="B74" s="1">
        <v>45721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265</v>
      </c>
      <c r="J74" t="s">
        <v>266</v>
      </c>
      <c r="M74" t="s">
        <v>46</v>
      </c>
      <c r="O74" t="s">
        <v>65</v>
      </c>
      <c r="P74" t="s">
        <v>66</v>
      </c>
      <c r="Q74" t="s">
        <v>49</v>
      </c>
      <c r="R74" t="s">
        <v>123</v>
      </c>
      <c r="S74" s="1">
        <v>45658</v>
      </c>
      <c r="U74" t="s">
        <v>51</v>
      </c>
      <c r="X74" t="s">
        <v>52</v>
      </c>
      <c r="Y74" s="2">
        <v>0</v>
      </c>
      <c r="Z74" s="2">
        <v>175</v>
      </c>
      <c r="AA74">
        <v>1</v>
      </c>
      <c r="AB74" s="3">
        <v>1</v>
      </c>
      <c r="AC74" s="2">
        <v>175</v>
      </c>
      <c r="AD74" s="3">
        <v>0</v>
      </c>
      <c r="AE74" s="2">
        <v>0</v>
      </c>
      <c r="AF74" s="2">
        <v>175</v>
      </c>
      <c r="AK74">
        <v>5152528</v>
      </c>
    </row>
    <row r="75" spans="1:38" x14ac:dyDescent="0.25">
      <c r="A75" s="1">
        <v>45721</v>
      </c>
      <c r="B75" s="1">
        <v>45721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267</v>
      </c>
      <c r="J75" t="s">
        <v>268</v>
      </c>
      <c r="M75" t="s">
        <v>110</v>
      </c>
      <c r="O75" t="s">
        <v>85</v>
      </c>
      <c r="P75" t="s">
        <v>86</v>
      </c>
      <c r="Q75" t="s">
        <v>49</v>
      </c>
      <c r="R75" t="s">
        <v>262</v>
      </c>
      <c r="S75" s="1">
        <v>45717</v>
      </c>
      <c r="U75" t="s">
        <v>51</v>
      </c>
      <c r="X75" t="s">
        <v>52</v>
      </c>
      <c r="Y75" s="2">
        <v>0</v>
      </c>
      <c r="Z75" s="2">
        <v>260.83</v>
      </c>
      <c r="AA75">
        <v>1</v>
      </c>
      <c r="AB75" s="3">
        <v>1</v>
      </c>
      <c r="AC75" s="2">
        <v>260.83</v>
      </c>
      <c r="AD75" s="3">
        <v>0</v>
      </c>
      <c r="AE75" s="2">
        <v>0</v>
      </c>
      <c r="AF75" s="2">
        <v>260.83</v>
      </c>
      <c r="AK75">
        <v>5152955</v>
      </c>
      <c r="AL75" t="s">
        <v>136</v>
      </c>
    </row>
    <row r="76" spans="1:38" x14ac:dyDescent="0.25">
      <c r="A76" s="1">
        <v>45721</v>
      </c>
      <c r="B76" s="1">
        <v>45721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269</v>
      </c>
      <c r="J76" t="s">
        <v>268</v>
      </c>
      <c r="M76" t="s">
        <v>110</v>
      </c>
      <c r="O76" t="s">
        <v>85</v>
      </c>
      <c r="P76" t="s">
        <v>86</v>
      </c>
      <c r="Q76" t="s">
        <v>49</v>
      </c>
      <c r="R76" t="s">
        <v>264</v>
      </c>
      <c r="S76" s="1">
        <v>45717</v>
      </c>
      <c r="U76" t="s">
        <v>51</v>
      </c>
      <c r="X76" t="s">
        <v>52</v>
      </c>
      <c r="Y76" s="2">
        <v>0</v>
      </c>
      <c r="Z76" s="2">
        <v>175</v>
      </c>
      <c r="AA76">
        <v>1</v>
      </c>
      <c r="AB76" s="3">
        <v>1</v>
      </c>
      <c r="AC76" s="2">
        <v>175</v>
      </c>
      <c r="AD76" s="3">
        <v>0</v>
      </c>
      <c r="AE76" s="2">
        <v>0</v>
      </c>
      <c r="AF76" s="2">
        <v>175</v>
      </c>
      <c r="AK76">
        <v>5152956</v>
      </c>
    </row>
    <row r="77" spans="1:38" x14ac:dyDescent="0.25">
      <c r="A77" s="1">
        <v>45721</v>
      </c>
      <c r="B77" s="1">
        <v>45721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270</v>
      </c>
      <c r="J77" t="s">
        <v>271</v>
      </c>
      <c r="M77" t="s">
        <v>149</v>
      </c>
      <c r="O77" t="s">
        <v>160</v>
      </c>
      <c r="P77" t="s">
        <v>161</v>
      </c>
      <c r="Q77" t="s">
        <v>49</v>
      </c>
      <c r="R77" t="s">
        <v>262</v>
      </c>
      <c r="S77" s="1">
        <v>45717</v>
      </c>
      <c r="U77" t="s">
        <v>51</v>
      </c>
      <c r="X77" t="s">
        <v>52</v>
      </c>
      <c r="Y77" s="2">
        <v>0</v>
      </c>
      <c r="Z77" s="2">
        <v>260.83</v>
      </c>
      <c r="AA77">
        <v>1</v>
      </c>
      <c r="AB77" s="3">
        <v>1</v>
      </c>
      <c r="AC77" s="2">
        <v>260.83</v>
      </c>
      <c r="AD77" s="3">
        <v>0</v>
      </c>
      <c r="AE77" s="2">
        <v>0</v>
      </c>
      <c r="AF77" s="2">
        <v>260.83</v>
      </c>
      <c r="AK77">
        <v>5152957</v>
      </c>
      <c r="AL77" t="s">
        <v>136</v>
      </c>
    </row>
    <row r="78" spans="1:38" x14ac:dyDescent="0.25">
      <c r="A78" s="1">
        <v>45721</v>
      </c>
      <c r="B78" s="1">
        <v>45721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272</v>
      </c>
      <c r="J78" t="s">
        <v>271</v>
      </c>
      <c r="M78" t="s">
        <v>149</v>
      </c>
      <c r="O78" t="s">
        <v>160</v>
      </c>
      <c r="P78" t="s">
        <v>161</v>
      </c>
      <c r="Q78" t="s">
        <v>49</v>
      </c>
      <c r="R78" t="s">
        <v>264</v>
      </c>
      <c r="S78" s="1">
        <v>45717</v>
      </c>
      <c r="U78" t="s">
        <v>51</v>
      </c>
      <c r="X78" t="s">
        <v>52</v>
      </c>
      <c r="Y78" s="2">
        <v>0</v>
      </c>
      <c r="Z78" s="2">
        <v>175</v>
      </c>
      <c r="AA78">
        <v>1</v>
      </c>
      <c r="AB78" s="3">
        <v>1</v>
      </c>
      <c r="AC78" s="2">
        <v>175</v>
      </c>
      <c r="AD78" s="3">
        <v>0</v>
      </c>
      <c r="AE78" s="2">
        <v>0</v>
      </c>
      <c r="AF78" s="2">
        <v>175</v>
      </c>
      <c r="AK78">
        <v>5152958</v>
      </c>
    </row>
    <row r="79" spans="1:38" x14ac:dyDescent="0.25">
      <c r="A79" s="1">
        <v>45721</v>
      </c>
      <c r="B79" s="1">
        <v>45721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273</v>
      </c>
      <c r="J79" t="s">
        <v>274</v>
      </c>
      <c r="M79" t="s">
        <v>110</v>
      </c>
      <c r="O79" t="s">
        <v>65</v>
      </c>
      <c r="P79" t="s">
        <v>66</v>
      </c>
      <c r="Q79" t="s">
        <v>49</v>
      </c>
      <c r="R79" t="s">
        <v>262</v>
      </c>
      <c r="S79" s="1">
        <v>45717</v>
      </c>
      <c r="U79" t="s">
        <v>51</v>
      </c>
      <c r="X79" t="s">
        <v>52</v>
      </c>
      <c r="Y79" s="2">
        <v>0</v>
      </c>
      <c r="Z79" s="2">
        <v>260.83</v>
      </c>
      <c r="AA79">
        <v>1</v>
      </c>
      <c r="AB79" s="3">
        <v>1</v>
      </c>
      <c r="AC79" s="2">
        <v>260.83</v>
      </c>
      <c r="AD79" s="3">
        <v>0</v>
      </c>
      <c r="AE79" s="2">
        <v>0</v>
      </c>
      <c r="AF79" s="2">
        <v>260.83</v>
      </c>
      <c r="AK79">
        <v>5152951</v>
      </c>
      <c r="AL79" t="s">
        <v>136</v>
      </c>
    </row>
    <row r="80" spans="1:38" x14ac:dyDescent="0.25">
      <c r="A80" s="1">
        <v>45721</v>
      </c>
      <c r="B80" s="1">
        <v>45721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275</v>
      </c>
      <c r="J80" t="s">
        <v>274</v>
      </c>
      <c r="M80" t="s">
        <v>110</v>
      </c>
      <c r="O80" t="s">
        <v>65</v>
      </c>
      <c r="P80" t="s">
        <v>66</v>
      </c>
      <c r="Q80" t="s">
        <v>49</v>
      </c>
      <c r="R80" t="s">
        <v>276</v>
      </c>
      <c r="S80" s="1">
        <v>45717</v>
      </c>
      <c r="U80" t="s">
        <v>51</v>
      </c>
      <c r="X80" t="s">
        <v>52</v>
      </c>
      <c r="Y80" s="2">
        <v>0</v>
      </c>
      <c r="Z80" s="2">
        <v>60</v>
      </c>
      <c r="AA80">
        <v>1</v>
      </c>
      <c r="AB80" s="3">
        <v>1</v>
      </c>
      <c r="AC80" s="2">
        <v>60</v>
      </c>
      <c r="AD80" s="3">
        <v>0</v>
      </c>
      <c r="AE80" s="2">
        <v>0</v>
      </c>
      <c r="AF80" s="2">
        <v>60</v>
      </c>
      <c r="AK80">
        <v>5152952</v>
      </c>
      <c r="AL80" t="s">
        <v>136</v>
      </c>
    </row>
    <row r="81" spans="1:38" x14ac:dyDescent="0.25">
      <c r="A81" s="1">
        <v>45721</v>
      </c>
      <c r="B81" s="1">
        <v>45721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277</v>
      </c>
      <c r="J81" t="s">
        <v>278</v>
      </c>
      <c r="M81" t="s">
        <v>209</v>
      </c>
      <c r="O81" t="s">
        <v>279</v>
      </c>
      <c r="P81" t="s">
        <v>280</v>
      </c>
      <c r="Q81" t="s">
        <v>49</v>
      </c>
      <c r="R81" t="s">
        <v>262</v>
      </c>
      <c r="S81" s="1">
        <v>45717</v>
      </c>
      <c r="U81" t="s">
        <v>51</v>
      </c>
      <c r="X81" t="s">
        <v>52</v>
      </c>
      <c r="Y81" s="2">
        <v>0</v>
      </c>
      <c r="Z81" s="2">
        <v>-509.17</v>
      </c>
      <c r="AA81">
        <v>1</v>
      </c>
      <c r="AB81" s="3">
        <v>1</v>
      </c>
      <c r="AC81" s="2">
        <v>-509.17</v>
      </c>
      <c r="AD81" s="3">
        <v>0</v>
      </c>
      <c r="AE81" s="2">
        <v>0</v>
      </c>
      <c r="AF81" s="2">
        <v>-509.17</v>
      </c>
      <c r="AK81">
        <v>0</v>
      </c>
      <c r="AL81" t="s">
        <v>281</v>
      </c>
    </row>
    <row r="82" spans="1:38" x14ac:dyDescent="0.25">
      <c r="A82" s="1">
        <v>45721</v>
      </c>
      <c r="B82" s="1">
        <v>45721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282</v>
      </c>
      <c r="J82" t="s">
        <v>278</v>
      </c>
      <c r="M82" t="s">
        <v>209</v>
      </c>
      <c r="O82" t="s">
        <v>279</v>
      </c>
      <c r="P82" t="s">
        <v>280</v>
      </c>
      <c r="Q82" t="s">
        <v>49</v>
      </c>
      <c r="R82" t="s">
        <v>264</v>
      </c>
      <c r="S82" s="1">
        <v>45717</v>
      </c>
      <c r="U82" t="s">
        <v>51</v>
      </c>
      <c r="X82" t="s">
        <v>52</v>
      </c>
      <c r="Y82" s="2">
        <v>0</v>
      </c>
      <c r="Z82" s="2">
        <v>-145.83000000000001</v>
      </c>
      <c r="AA82">
        <v>1</v>
      </c>
      <c r="AB82" s="3">
        <v>1</v>
      </c>
      <c r="AC82" s="2">
        <v>-145.83000000000001</v>
      </c>
      <c r="AD82" s="3">
        <v>0</v>
      </c>
      <c r="AE82" s="2">
        <v>0</v>
      </c>
      <c r="AF82" s="2">
        <v>-145.83000000000001</v>
      </c>
      <c r="AK82">
        <v>0</v>
      </c>
      <c r="AL82" t="s">
        <v>281</v>
      </c>
    </row>
    <row r="83" spans="1:38" x14ac:dyDescent="0.25">
      <c r="A83" s="1">
        <v>45721</v>
      </c>
      <c r="B83" s="1">
        <v>45721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283</v>
      </c>
      <c r="J83" t="s">
        <v>284</v>
      </c>
      <c r="M83" t="s">
        <v>110</v>
      </c>
      <c r="O83" t="s">
        <v>85</v>
      </c>
      <c r="P83" t="s">
        <v>86</v>
      </c>
      <c r="Q83" t="s">
        <v>49</v>
      </c>
      <c r="R83" t="s">
        <v>285</v>
      </c>
      <c r="S83" s="1">
        <v>45689</v>
      </c>
      <c r="U83" t="s">
        <v>51</v>
      </c>
      <c r="X83" t="s">
        <v>52</v>
      </c>
      <c r="Y83" s="2">
        <v>0</v>
      </c>
      <c r="Z83" s="2">
        <v>150</v>
      </c>
      <c r="AA83">
        <v>1</v>
      </c>
      <c r="AB83" s="3">
        <v>1</v>
      </c>
      <c r="AC83" s="2">
        <v>150</v>
      </c>
      <c r="AD83" s="3">
        <v>0</v>
      </c>
      <c r="AE83" s="2">
        <v>0</v>
      </c>
      <c r="AF83" s="2">
        <v>150</v>
      </c>
      <c r="AK83">
        <v>5153016</v>
      </c>
    </row>
    <row r="84" spans="1:38" x14ac:dyDescent="0.25">
      <c r="A84" s="1">
        <v>45721</v>
      </c>
      <c r="B84" s="1">
        <v>45721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286</v>
      </c>
      <c r="J84" t="s">
        <v>287</v>
      </c>
      <c r="M84" t="s">
        <v>110</v>
      </c>
      <c r="O84" t="s">
        <v>184</v>
      </c>
      <c r="P84" t="s">
        <v>185</v>
      </c>
      <c r="Q84" t="s">
        <v>49</v>
      </c>
      <c r="R84" t="s">
        <v>288</v>
      </c>
      <c r="S84" s="1">
        <v>45717</v>
      </c>
      <c r="U84" t="s">
        <v>51</v>
      </c>
      <c r="X84" t="s">
        <v>52</v>
      </c>
      <c r="Y84" s="2">
        <v>0</v>
      </c>
      <c r="Z84" s="2">
        <v>31.98</v>
      </c>
      <c r="AA84">
        <v>9</v>
      </c>
      <c r="AB84" s="3">
        <v>1</v>
      </c>
      <c r="AC84" s="2">
        <v>287.82</v>
      </c>
      <c r="AD84" s="3">
        <v>0</v>
      </c>
      <c r="AE84" s="2">
        <v>0</v>
      </c>
      <c r="AF84" s="2">
        <v>287.82</v>
      </c>
      <c r="AK84">
        <v>5152879</v>
      </c>
    </row>
    <row r="85" spans="1:38" x14ac:dyDescent="0.25">
      <c r="A85" s="1">
        <v>45721</v>
      </c>
      <c r="B85" s="1">
        <v>45721</v>
      </c>
      <c r="C85" t="s">
        <v>289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290</v>
      </c>
      <c r="J85" t="s">
        <v>291</v>
      </c>
      <c r="M85" t="s">
        <v>46</v>
      </c>
      <c r="O85" t="s">
        <v>117</v>
      </c>
      <c r="P85" t="s">
        <v>118</v>
      </c>
      <c r="Q85" t="s">
        <v>292</v>
      </c>
      <c r="R85" t="s">
        <v>50</v>
      </c>
      <c r="S85" s="1">
        <v>45658</v>
      </c>
      <c r="U85" t="s">
        <v>51</v>
      </c>
      <c r="X85" t="s">
        <v>52</v>
      </c>
      <c r="AF85" s="2">
        <v>175</v>
      </c>
      <c r="AG85" s="2">
        <v>0</v>
      </c>
      <c r="AJ85" s="2">
        <v>145.25</v>
      </c>
    </row>
    <row r="86" spans="1:38" x14ac:dyDescent="0.25">
      <c r="A86" s="1">
        <v>45721</v>
      </c>
      <c r="B86" s="1">
        <v>45721</v>
      </c>
      <c r="C86" t="s">
        <v>289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293</v>
      </c>
      <c r="J86" t="s">
        <v>294</v>
      </c>
      <c r="M86" t="s">
        <v>46</v>
      </c>
      <c r="O86" t="s">
        <v>295</v>
      </c>
      <c r="P86" t="s">
        <v>296</v>
      </c>
      <c r="Q86" t="s">
        <v>292</v>
      </c>
      <c r="R86" t="s">
        <v>50</v>
      </c>
      <c r="S86" s="1">
        <v>45658</v>
      </c>
      <c r="U86" t="s">
        <v>51</v>
      </c>
      <c r="X86" t="s">
        <v>52</v>
      </c>
      <c r="AF86" s="2">
        <v>175</v>
      </c>
      <c r="AG86" s="2">
        <v>0</v>
      </c>
      <c r="AJ86" s="2">
        <v>145.25</v>
      </c>
    </row>
    <row r="87" spans="1:38" x14ac:dyDescent="0.25">
      <c r="A87" s="1">
        <v>45721</v>
      </c>
      <c r="B87" s="1">
        <v>45721</v>
      </c>
      <c r="C87" t="s">
        <v>289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297</v>
      </c>
      <c r="J87" t="s">
        <v>298</v>
      </c>
      <c r="M87" t="s">
        <v>46</v>
      </c>
      <c r="O87" t="s">
        <v>195</v>
      </c>
      <c r="P87" t="s">
        <v>196</v>
      </c>
      <c r="Q87" t="s">
        <v>292</v>
      </c>
      <c r="R87" t="s">
        <v>50</v>
      </c>
      <c r="S87" s="1">
        <v>45658</v>
      </c>
      <c r="U87" t="s">
        <v>51</v>
      </c>
      <c r="X87" t="s">
        <v>52</v>
      </c>
      <c r="AF87" s="2">
        <v>175</v>
      </c>
      <c r="AG87" s="2">
        <v>0</v>
      </c>
      <c r="AJ87" s="2">
        <v>145.25</v>
      </c>
    </row>
    <row r="88" spans="1:38" x14ac:dyDescent="0.25">
      <c r="A88" s="1">
        <v>45721</v>
      </c>
      <c r="B88" s="1">
        <v>45721</v>
      </c>
      <c r="C88" t="s">
        <v>289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299</v>
      </c>
      <c r="J88" t="s">
        <v>300</v>
      </c>
      <c r="M88" t="s">
        <v>46</v>
      </c>
      <c r="O88" t="s">
        <v>117</v>
      </c>
      <c r="P88" t="s">
        <v>118</v>
      </c>
      <c r="Q88" t="s">
        <v>292</v>
      </c>
      <c r="R88" t="s">
        <v>50</v>
      </c>
      <c r="S88" s="1">
        <v>45658</v>
      </c>
      <c r="U88" t="s">
        <v>51</v>
      </c>
      <c r="X88" t="s">
        <v>52</v>
      </c>
      <c r="AF88" s="2">
        <v>175</v>
      </c>
      <c r="AG88" s="2">
        <v>0</v>
      </c>
      <c r="AJ88" s="2">
        <v>145.25</v>
      </c>
    </row>
    <row r="89" spans="1:38" x14ac:dyDescent="0.25">
      <c r="A89" s="1">
        <v>45721</v>
      </c>
      <c r="B89" s="1">
        <v>45721</v>
      </c>
      <c r="C89" t="s">
        <v>289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301</v>
      </c>
      <c r="J89" t="s">
        <v>127</v>
      </c>
      <c r="M89" t="s">
        <v>110</v>
      </c>
      <c r="O89" t="s">
        <v>47</v>
      </c>
      <c r="P89" t="s">
        <v>48</v>
      </c>
      <c r="Q89" t="s">
        <v>292</v>
      </c>
      <c r="R89" t="s">
        <v>135</v>
      </c>
      <c r="S89" s="1">
        <v>45689</v>
      </c>
      <c r="U89" t="s">
        <v>51</v>
      </c>
      <c r="X89" t="s">
        <v>52</v>
      </c>
      <c r="AF89" s="2">
        <v>45.83</v>
      </c>
      <c r="AG89" s="2">
        <v>0</v>
      </c>
      <c r="AJ89" s="2">
        <v>45.83</v>
      </c>
    </row>
    <row r="90" spans="1:38" x14ac:dyDescent="0.25">
      <c r="A90" s="1">
        <v>45721</v>
      </c>
      <c r="B90" s="1">
        <v>45721</v>
      </c>
      <c r="C90" t="s">
        <v>289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302</v>
      </c>
      <c r="J90" t="s">
        <v>130</v>
      </c>
      <c r="M90" t="s">
        <v>110</v>
      </c>
      <c r="O90" t="s">
        <v>47</v>
      </c>
      <c r="P90" t="s">
        <v>48</v>
      </c>
      <c r="Q90" t="s">
        <v>292</v>
      </c>
      <c r="R90" t="s">
        <v>135</v>
      </c>
      <c r="S90" s="1">
        <v>45689</v>
      </c>
      <c r="U90" t="s">
        <v>51</v>
      </c>
      <c r="X90" t="s">
        <v>52</v>
      </c>
      <c r="AF90" s="2">
        <v>45.83</v>
      </c>
      <c r="AG90" s="2">
        <v>0</v>
      </c>
      <c r="AJ90" s="2">
        <v>45.83</v>
      </c>
    </row>
    <row r="91" spans="1:38" x14ac:dyDescent="0.25">
      <c r="A91" s="1">
        <v>45721</v>
      </c>
      <c r="B91" s="1">
        <v>45721</v>
      </c>
      <c r="C91" t="s">
        <v>289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303</v>
      </c>
      <c r="J91" t="s">
        <v>304</v>
      </c>
      <c r="M91" t="s">
        <v>110</v>
      </c>
      <c r="O91" t="s">
        <v>305</v>
      </c>
      <c r="P91" t="s">
        <v>306</v>
      </c>
      <c r="Q91" t="s">
        <v>292</v>
      </c>
      <c r="R91" t="s">
        <v>128</v>
      </c>
      <c r="S91" s="1">
        <v>45658</v>
      </c>
      <c r="U91" t="s">
        <v>51</v>
      </c>
      <c r="X91" t="s">
        <v>52</v>
      </c>
      <c r="AF91" s="2">
        <v>50</v>
      </c>
      <c r="AG91" s="2">
        <v>0</v>
      </c>
      <c r="AJ91" s="2">
        <v>50</v>
      </c>
    </row>
    <row r="92" spans="1:38" x14ac:dyDescent="0.25">
      <c r="A92" s="1">
        <v>45721</v>
      </c>
      <c r="B92" s="1">
        <v>45721</v>
      </c>
      <c r="C92" t="s">
        <v>289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307</v>
      </c>
      <c r="J92" t="s">
        <v>138</v>
      </c>
      <c r="M92" t="s">
        <v>139</v>
      </c>
      <c r="O92" t="s">
        <v>140</v>
      </c>
      <c r="P92" t="s">
        <v>141</v>
      </c>
      <c r="Q92" t="s">
        <v>292</v>
      </c>
      <c r="R92" t="s">
        <v>135</v>
      </c>
      <c r="S92" s="1">
        <v>45689</v>
      </c>
      <c r="U92" t="s">
        <v>51</v>
      </c>
      <c r="X92" t="s">
        <v>52</v>
      </c>
      <c r="AF92" s="2">
        <v>45.83</v>
      </c>
      <c r="AG92" s="2">
        <v>0</v>
      </c>
      <c r="AJ92" s="2">
        <v>45.83</v>
      </c>
    </row>
    <row r="93" spans="1:38" x14ac:dyDescent="0.25">
      <c r="A93" s="1">
        <v>45721</v>
      </c>
      <c r="B93" s="1">
        <v>45721</v>
      </c>
      <c r="C93" t="s">
        <v>289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308</v>
      </c>
      <c r="J93" t="s">
        <v>309</v>
      </c>
      <c r="M93" t="s">
        <v>110</v>
      </c>
      <c r="O93" t="s">
        <v>133</v>
      </c>
      <c r="P93" t="s">
        <v>134</v>
      </c>
      <c r="Q93" t="s">
        <v>292</v>
      </c>
      <c r="R93" t="s">
        <v>128</v>
      </c>
      <c r="S93" s="1">
        <v>45658</v>
      </c>
      <c r="U93" t="s">
        <v>51</v>
      </c>
      <c r="X93" t="s">
        <v>52</v>
      </c>
      <c r="AF93" s="2">
        <v>50</v>
      </c>
      <c r="AG93" s="2">
        <v>0</v>
      </c>
      <c r="AJ93" s="2">
        <v>41.66</v>
      </c>
    </row>
    <row r="94" spans="1:38" x14ac:dyDescent="0.25">
      <c r="A94" s="1">
        <v>45721</v>
      </c>
      <c r="B94" s="1">
        <v>45721</v>
      </c>
      <c r="C94" t="s">
        <v>289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310</v>
      </c>
      <c r="J94" t="s">
        <v>148</v>
      </c>
      <c r="M94" t="s">
        <v>149</v>
      </c>
      <c r="O94" t="s">
        <v>150</v>
      </c>
      <c r="P94" t="s">
        <v>151</v>
      </c>
      <c r="Q94" t="s">
        <v>292</v>
      </c>
      <c r="R94" t="s">
        <v>135</v>
      </c>
      <c r="S94" s="1">
        <v>45689</v>
      </c>
      <c r="U94" t="s">
        <v>51</v>
      </c>
      <c r="X94" t="s">
        <v>52</v>
      </c>
      <c r="AF94" s="2">
        <v>45.83</v>
      </c>
      <c r="AG94" s="2">
        <v>0</v>
      </c>
      <c r="AJ94" s="2">
        <v>45.83</v>
      </c>
    </row>
    <row r="95" spans="1:38" x14ac:dyDescent="0.25">
      <c r="A95" s="1">
        <v>45721</v>
      </c>
      <c r="B95" s="1">
        <v>45721</v>
      </c>
      <c r="C95" t="s">
        <v>289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311</v>
      </c>
      <c r="J95" t="s">
        <v>312</v>
      </c>
      <c r="M95" t="s">
        <v>146</v>
      </c>
      <c r="O95" t="s">
        <v>94</v>
      </c>
      <c r="P95" t="s">
        <v>95</v>
      </c>
      <c r="Q95" t="s">
        <v>292</v>
      </c>
      <c r="R95" t="s">
        <v>128</v>
      </c>
      <c r="S95" s="1">
        <v>45658</v>
      </c>
      <c r="U95" t="s">
        <v>51</v>
      </c>
      <c r="X95" t="s">
        <v>52</v>
      </c>
      <c r="AF95" s="2">
        <v>50</v>
      </c>
      <c r="AG95" s="2">
        <v>0</v>
      </c>
      <c r="AJ95" s="2">
        <v>50</v>
      </c>
    </row>
    <row r="96" spans="1:38" x14ac:dyDescent="0.25">
      <c r="A96" s="1">
        <v>45721</v>
      </c>
      <c r="B96" s="1">
        <v>45721</v>
      </c>
      <c r="C96" t="s">
        <v>289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313</v>
      </c>
      <c r="J96" t="s">
        <v>314</v>
      </c>
      <c r="M96" t="s">
        <v>146</v>
      </c>
      <c r="O96" t="s">
        <v>94</v>
      </c>
      <c r="P96" t="s">
        <v>95</v>
      </c>
      <c r="Q96" t="s">
        <v>292</v>
      </c>
      <c r="R96" t="s">
        <v>128</v>
      </c>
      <c r="S96" s="1">
        <v>45658</v>
      </c>
      <c r="U96" t="s">
        <v>51</v>
      </c>
      <c r="X96" t="s">
        <v>52</v>
      </c>
      <c r="AF96" s="2">
        <v>50</v>
      </c>
      <c r="AG96" s="2">
        <v>0</v>
      </c>
      <c r="AJ96" s="2">
        <v>50</v>
      </c>
    </row>
    <row r="97" spans="1:36" x14ac:dyDescent="0.25">
      <c r="A97" s="1">
        <v>45721</v>
      </c>
      <c r="B97" s="1">
        <v>45721</v>
      </c>
      <c r="C97" t="s">
        <v>289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315</v>
      </c>
      <c r="J97" t="s">
        <v>153</v>
      </c>
      <c r="M97" t="s">
        <v>110</v>
      </c>
      <c r="O97" t="s">
        <v>117</v>
      </c>
      <c r="P97" t="s">
        <v>118</v>
      </c>
      <c r="Q97" t="s">
        <v>292</v>
      </c>
      <c r="R97" t="s">
        <v>135</v>
      </c>
      <c r="S97" s="1">
        <v>45748</v>
      </c>
      <c r="U97" t="s">
        <v>51</v>
      </c>
      <c r="X97" t="s">
        <v>52</v>
      </c>
      <c r="AF97" s="2">
        <v>37.5</v>
      </c>
      <c r="AG97" s="2">
        <v>0</v>
      </c>
      <c r="AJ97" s="2">
        <v>37.5</v>
      </c>
    </row>
    <row r="98" spans="1:36" x14ac:dyDescent="0.25">
      <c r="A98" s="1">
        <v>45721</v>
      </c>
      <c r="B98" s="1">
        <v>45721</v>
      </c>
      <c r="C98" t="s">
        <v>289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316</v>
      </c>
      <c r="J98" t="s">
        <v>155</v>
      </c>
      <c r="M98" t="s">
        <v>156</v>
      </c>
      <c r="O98" t="s">
        <v>117</v>
      </c>
      <c r="P98" t="s">
        <v>118</v>
      </c>
      <c r="Q98" t="s">
        <v>292</v>
      </c>
      <c r="R98" t="s">
        <v>135</v>
      </c>
      <c r="S98" s="1">
        <v>45689</v>
      </c>
      <c r="U98" t="s">
        <v>51</v>
      </c>
      <c r="X98" t="s">
        <v>52</v>
      </c>
      <c r="AF98" s="2">
        <v>45.83</v>
      </c>
      <c r="AG98" s="2">
        <v>0</v>
      </c>
      <c r="AJ98" s="2">
        <v>45.83</v>
      </c>
    </row>
    <row r="99" spans="1:36" x14ac:dyDescent="0.25">
      <c r="A99" s="1">
        <v>45721</v>
      </c>
      <c r="B99" s="1">
        <v>45721</v>
      </c>
      <c r="C99" t="s">
        <v>289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317</v>
      </c>
      <c r="J99" t="s">
        <v>158</v>
      </c>
      <c r="M99" t="s">
        <v>159</v>
      </c>
      <c r="O99" t="s">
        <v>160</v>
      </c>
      <c r="P99" t="s">
        <v>161</v>
      </c>
      <c r="Q99" t="s">
        <v>292</v>
      </c>
      <c r="R99" t="s">
        <v>135</v>
      </c>
      <c r="S99" s="1">
        <v>45689</v>
      </c>
      <c r="U99" t="s">
        <v>51</v>
      </c>
      <c r="X99" t="s">
        <v>52</v>
      </c>
      <c r="AF99" s="2">
        <v>45.83</v>
      </c>
      <c r="AG99" s="2">
        <v>0</v>
      </c>
      <c r="AJ99" s="2">
        <v>45.83</v>
      </c>
    </row>
    <row r="100" spans="1:36" x14ac:dyDescent="0.25">
      <c r="A100" s="1">
        <v>45721</v>
      </c>
      <c r="B100" s="1">
        <v>45721</v>
      </c>
      <c r="C100" t="s">
        <v>289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318</v>
      </c>
      <c r="J100" t="s">
        <v>163</v>
      </c>
      <c r="M100" t="s">
        <v>146</v>
      </c>
      <c r="O100" t="s">
        <v>164</v>
      </c>
      <c r="P100" t="s">
        <v>165</v>
      </c>
      <c r="Q100" t="s">
        <v>292</v>
      </c>
      <c r="R100" t="s">
        <v>135</v>
      </c>
      <c r="S100" s="1">
        <v>45717</v>
      </c>
      <c r="U100" t="s">
        <v>51</v>
      </c>
      <c r="X100" t="s">
        <v>52</v>
      </c>
      <c r="AF100" s="2">
        <v>41.67</v>
      </c>
      <c r="AG100" s="2">
        <v>0</v>
      </c>
      <c r="AJ100" s="2">
        <v>41.67</v>
      </c>
    </row>
    <row r="101" spans="1:36" x14ac:dyDescent="0.25">
      <c r="A101" s="1">
        <v>45721</v>
      </c>
      <c r="B101" s="1">
        <v>45721</v>
      </c>
      <c r="C101" t="s">
        <v>289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319</v>
      </c>
      <c r="J101" t="s">
        <v>167</v>
      </c>
      <c r="M101" t="s">
        <v>146</v>
      </c>
      <c r="O101" t="s">
        <v>164</v>
      </c>
      <c r="P101" t="s">
        <v>165</v>
      </c>
      <c r="Q101" t="s">
        <v>292</v>
      </c>
      <c r="R101" t="s">
        <v>135</v>
      </c>
      <c r="S101" s="1">
        <v>45689</v>
      </c>
      <c r="U101" t="s">
        <v>51</v>
      </c>
      <c r="X101" t="s">
        <v>52</v>
      </c>
      <c r="AF101" s="2">
        <v>45.83</v>
      </c>
      <c r="AG101" s="2">
        <v>0</v>
      </c>
      <c r="AJ101" s="2">
        <v>45.83</v>
      </c>
    </row>
    <row r="102" spans="1:36" x14ac:dyDescent="0.25">
      <c r="A102" s="1">
        <v>45721</v>
      </c>
      <c r="B102" s="1">
        <v>45721</v>
      </c>
      <c r="C102" t="s">
        <v>289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320</v>
      </c>
      <c r="J102" t="s">
        <v>169</v>
      </c>
      <c r="M102" t="s">
        <v>146</v>
      </c>
      <c r="O102" t="s">
        <v>164</v>
      </c>
      <c r="P102" t="s">
        <v>165</v>
      </c>
      <c r="Q102" t="s">
        <v>292</v>
      </c>
      <c r="R102" t="s">
        <v>135</v>
      </c>
      <c r="S102" s="1">
        <v>45717</v>
      </c>
      <c r="U102" t="s">
        <v>51</v>
      </c>
      <c r="X102" t="s">
        <v>52</v>
      </c>
      <c r="AF102" s="2">
        <v>41.67</v>
      </c>
      <c r="AG102" s="2">
        <v>0</v>
      </c>
      <c r="AJ102" s="2">
        <v>41.67</v>
      </c>
    </row>
    <row r="103" spans="1:36" x14ac:dyDescent="0.25">
      <c r="A103" s="1">
        <v>45721</v>
      </c>
      <c r="B103" s="1">
        <v>45721</v>
      </c>
      <c r="C103" t="s">
        <v>289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321</v>
      </c>
      <c r="J103" t="s">
        <v>171</v>
      </c>
      <c r="M103" t="s">
        <v>159</v>
      </c>
      <c r="O103" t="s">
        <v>117</v>
      </c>
      <c r="P103" t="s">
        <v>118</v>
      </c>
      <c r="Q103" t="s">
        <v>292</v>
      </c>
      <c r="R103" t="s">
        <v>135</v>
      </c>
      <c r="S103" s="1">
        <v>45748</v>
      </c>
      <c r="U103" t="s">
        <v>51</v>
      </c>
      <c r="X103" t="s">
        <v>52</v>
      </c>
      <c r="AF103" s="2">
        <v>37.5</v>
      </c>
      <c r="AG103" s="2">
        <v>0</v>
      </c>
      <c r="AJ103" s="2">
        <v>37.5</v>
      </c>
    </row>
    <row r="104" spans="1:36" x14ac:dyDescent="0.25">
      <c r="A104" s="1">
        <v>45721</v>
      </c>
      <c r="B104" s="1">
        <v>45721</v>
      </c>
      <c r="C104" t="s">
        <v>289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322</v>
      </c>
      <c r="J104" t="s">
        <v>173</v>
      </c>
      <c r="M104" t="s">
        <v>146</v>
      </c>
      <c r="O104" t="s">
        <v>174</v>
      </c>
      <c r="P104" t="s">
        <v>175</v>
      </c>
      <c r="Q104" t="s">
        <v>292</v>
      </c>
      <c r="R104" t="s">
        <v>135</v>
      </c>
      <c r="S104" s="1">
        <v>45689</v>
      </c>
      <c r="U104" t="s">
        <v>51</v>
      </c>
      <c r="X104" t="s">
        <v>52</v>
      </c>
      <c r="AF104" s="2">
        <v>45.83</v>
      </c>
      <c r="AG104" s="2">
        <v>0</v>
      </c>
      <c r="AJ104" s="2">
        <v>45.83</v>
      </c>
    </row>
    <row r="105" spans="1:36" x14ac:dyDescent="0.25">
      <c r="A105" s="1">
        <v>45721</v>
      </c>
      <c r="B105" s="1">
        <v>45721</v>
      </c>
      <c r="C105" t="s">
        <v>289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323</v>
      </c>
      <c r="J105" t="s">
        <v>177</v>
      </c>
      <c r="M105" t="s">
        <v>110</v>
      </c>
      <c r="O105" t="s">
        <v>178</v>
      </c>
      <c r="P105" t="s">
        <v>179</v>
      </c>
      <c r="Q105" t="s">
        <v>292</v>
      </c>
      <c r="R105" t="s">
        <v>135</v>
      </c>
      <c r="S105" s="1">
        <v>45689</v>
      </c>
      <c r="U105" t="s">
        <v>51</v>
      </c>
      <c r="X105" t="s">
        <v>52</v>
      </c>
      <c r="AF105" s="2">
        <v>45.83</v>
      </c>
      <c r="AG105" s="2">
        <v>0</v>
      </c>
      <c r="AJ105" s="2">
        <v>45.83</v>
      </c>
    </row>
    <row r="106" spans="1:36" x14ac:dyDescent="0.25">
      <c r="A106" s="1">
        <v>45721</v>
      </c>
      <c r="B106" s="1">
        <v>45721</v>
      </c>
      <c r="C106" t="s">
        <v>289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324</v>
      </c>
      <c r="J106" t="s">
        <v>181</v>
      </c>
      <c r="M106" t="s">
        <v>149</v>
      </c>
      <c r="O106" t="s">
        <v>117</v>
      </c>
      <c r="P106" t="s">
        <v>118</v>
      </c>
      <c r="Q106" t="s">
        <v>292</v>
      </c>
      <c r="R106" t="s">
        <v>135</v>
      </c>
      <c r="S106" s="1">
        <v>45689</v>
      </c>
      <c r="U106" t="s">
        <v>51</v>
      </c>
      <c r="X106" t="s">
        <v>52</v>
      </c>
      <c r="AF106" s="2">
        <v>45.83</v>
      </c>
      <c r="AG106" s="2">
        <v>0</v>
      </c>
      <c r="AJ106" s="2">
        <v>45.83</v>
      </c>
    </row>
    <row r="107" spans="1:36" x14ac:dyDescent="0.25">
      <c r="A107" s="1">
        <v>45721</v>
      </c>
      <c r="B107" s="1">
        <v>45721</v>
      </c>
      <c r="C107" t="s">
        <v>289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325</v>
      </c>
      <c r="J107" t="s">
        <v>183</v>
      </c>
      <c r="M107" t="s">
        <v>110</v>
      </c>
      <c r="O107" t="s">
        <v>184</v>
      </c>
      <c r="P107" t="s">
        <v>185</v>
      </c>
      <c r="Q107" t="s">
        <v>292</v>
      </c>
      <c r="R107" t="s">
        <v>135</v>
      </c>
      <c r="S107" s="1">
        <v>45689</v>
      </c>
      <c r="U107" t="s">
        <v>51</v>
      </c>
      <c r="X107" t="s">
        <v>52</v>
      </c>
      <c r="AF107" s="2">
        <v>45.83</v>
      </c>
      <c r="AG107" s="2">
        <v>0</v>
      </c>
      <c r="AJ107" s="2">
        <v>45.83</v>
      </c>
    </row>
    <row r="108" spans="1:36" x14ac:dyDescent="0.25">
      <c r="A108" s="1">
        <v>45721</v>
      </c>
      <c r="B108" s="1">
        <v>45721</v>
      </c>
      <c r="C108" t="s">
        <v>289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326</v>
      </c>
      <c r="J108" t="s">
        <v>187</v>
      </c>
      <c r="M108" t="s">
        <v>110</v>
      </c>
      <c r="O108" t="s">
        <v>117</v>
      </c>
      <c r="P108" t="s">
        <v>118</v>
      </c>
      <c r="Q108" t="s">
        <v>292</v>
      </c>
      <c r="R108" t="s">
        <v>135</v>
      </c>
      <c r="S108" s="1">
        <v>45689</v>
      </c>
      <c r="U108" t="s">
        <v>51</v>
      </c>
      <c r="X108" t="s">
        <v>52</v>
      </c>
      <c r="AF108" s="2">
        <v>45.83</v>
      </c>
      <c r="AG108" s="2">
        <v>0</v>
      </c>
      <c r="AJ108" s="2">
        <v>45.83</v>
      </c>
    </row>
    <row r="109" spans="1:36" x14ac:dyDescent="0.25">
      <c r="A109" s="1">
        <v>45721</v>
      </c>
      <c r="B109" s="1">
        <v>45721</v>
      </c>
      <c r="C109" t="s">
        <v>289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327</v>
      </c>
      <c r="J109" t="s">
        <v>189</v>
      </c>
      <c r="M109" t="s">
        <v>110</v>
      </c>
      <c r="O109" t="s">
        <v>69</v>
      </c>
      <c r="P109" t="s">
        <v>70</v>
      </c>
      <c r="Q109" t="s">
        <v>292</v>
      </c>
      <c r="R109" t="s">
        <v>135</v>
      </c>
      <c r="S109" s="1">
        <v>45689</v>
      </c>
      <c r="U109" t="s">
        <v>51</v>
      </c>
      <c r="X109" t="s">
        <v>52</v>
      </c>
      <c r="AF109" s="2">
        <v>45.83</v>
      </c>
      <c r="AG109" s="2">
        <v>0</v>
      </c>
      <c r="AJ109" s="2">
        <v>45.83</v>
      </c>
    </row>
    <row r="110" spans="1:36" x14ac:dyDescent="0.25">
      <c r="A110" s="1">
        <v>45721</v>
      </c>
      <c r="B110" s="1">
        <v>45721</v>
      </c>
      <c r="C110" t="s">
        <v>289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328</v>
      </c>
      <c r="J110" t="s">
        <v>191</v>
      </c>
      <c r="M110" t="s">
        <v>192</v>
      </c>
      <c r="O110" t="s">
        <v>117</v>
      </c>
      <c r="P110" t="s">
        <v>118</v>
      </c>
      <c r="Q110" t="s">
        <v>292</v>
      </c>
      <c r="R110" t="s">
        <v>135</v>
      </c>
      <c r="S110" s="1">
        <v>45689</v>
      </c>
      <c r="U110" t="s">
        <v>51</v>
      </c>
      <c r="X110" t="s">
        <v>52</v>
      </c>
      <c r="AF110" s="2">
        <v>45.83</v>
      </c>
      <c r="AG110" s="2">
        <v>0</v>
      </c>
      <c r="AJ110" s="2">
        <v>45.83</v>
      </c>
    </row>
    <row r="111" spans="1:36" x14ac:dyDescent="0.25">
      <c r="A111" s="1">
        <v>45721</v>
      </c>
      <c r="B111" s="1">
        <v>45721</v>
      </c>
      <c r="C111" t="s">
        <v>289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329</v>
      </c>
      <c r="J111" t="s">
        <v>194</v>
      </c>
      <c r="M111" t="s">
        <v>110</v>
      </c>
      <c r="O111" t="s">
        <v>195</v>
      </c>
      <c r="P111" t="s">
        <v>196</v>
      </c>
      <c r="Q111" t="s">
        <v>292</v>
      </c>
      <c r="R111" t="s">
        <v>135</v>
      </c>
      <c r="S111" s="1">
        <v>45689</v>
      </c>
      <c r="U111" t="s">
        <v>51</v>
      </c>
      <c r="X111" t="s">
        <v>52</v>
      </c>
      <c r="AF111" s="2">
        <v>45.83</v>
      </c>
      <c r="AG111" s="2">
        <v>0</v>
      </c>
      <c r="AJ111" s="2">
        <v>45.83</v>
      </c>
    </row>
    <row r="112" spans="1:36" x14ac:dyDescent="0.25">
      <c r="A112" s="1">
        <v>45721</v>
      </c>
      <c r="B112" s="1">
        <v>45721</v>
      </c>
      <c r="C112" t="s">
        <v>289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330</v>
      </c>
      <c r="J112" t="s">
        <v>198</v>
      </c>
      <c r="M112" t="s">
        <v>146</v>
      </c>
      <c r="O112" t="s">
        <v>199</v>
      </c>
      <c r="P112" t="s">
        <v>200</v>
      </c>
      <c r="Q112" t="s">
        <v>292</v>
      </c>
      <c r="R112" t="s">
        <v>135</v>
      </c>
      <c r="S112" s="1">
        <v>45689</v>
      </c>
      <c r="U112" t="s">
        <v>51</v>
      </c>
      <c r="X112" t="s">
        <v>52</v>
      </c>
      <c r="AF112" s="2">
        <v>45.83</v>
      </c>
      <c r="AG112" s="2">
        <v>0</v>
      </c>
      <c r="AJ112" s="2">
        <v>45.83</v>
      </c>
    </row>
    <row r="113" spans="1:36" x14ac:dyDescent="0.25">
      <c r="A113" s="1">
        <v>45721</v>
      </c>
      <c r="B113" s="1">
        <v>45721</v>
      </c>
      <c r="C113" t="s">
        <v>289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331</v>
      </c>
      <c r="J113" t="s">
        <v>202</v>
      </c>
      <c r="M113" t="s">
        <v>159</v>
      </c>
      <c r="O113" t="s">
        <v>160</v>
      </c>
      <c r="P113" t="s">
        <v>161</v>
      </c>
      <c r="Q113" t="s">
        <v>292</v>
      </c>
      <c r="R113" t="s">
        <v>135</v>
      </c>
      <c r="S113" s="1">
        <v>45717</v>
      </c>
      <c r="U113" t="s">
        <v>51</v>
      </c>
      <c r="X113" t="s">
        <v>52</v>
      </c>
      <c r="AF113" s="2">
        <v>41.67</v>
      </c>
      <c r="AG113" s="2">
        <v>0</v>
      </c>
      <c r="AJ113" s="2">
        <v>41.67</v>
      </c>
    </row>
    <row r="114" spans="1:36" x14ac:dyDescent="0.25">
      <c r="A114" s="1">
        <v>45721</v>
      </c>
      <c r="B114" s="1">
        <v>45721</v>
      </c>
      <c r="C114" t="s">
        <v>289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332</v>
      </c>
      <c r="J114" t="s">
        <v>204</v>
      </c>
      <c r="M114" t="s">
        <v>110</v>
      </c>
      <c r="O114" t="s">
        <v>205</v>
      </c>
      <c r="P114" t="s">
        <v>206</v>
      </c>
      <c r="Q114" t="s">
        <v>292</v>
      </c>
      <c r="R114" t="s">
        <v>135</v>
      </c>
      <c r="S114" s="1">
        <v>45689</v>
      </c>
      <c r="U114" t="s">
        <v>51</v>
      </c>
      <c r="X114" t="s">
        <v>52</v>
      </c>
      <c r="AF114" s="2">
        <v>45.83</v>
      </c>
      <c r="AG114" s="2">
        <v>0</v>
      </c>
      <c r="AJ114" s="2">
        <v>45.83</v>
      </c>
    </row>
    <row r="115" spans="1:36" x14ac:dyDescent="0.25">
      <c r="A115" s="1">
        <v>45721</v>
      </c>
      <c r="B115" s="1">
        <v>45721</v>
      </c>
      <c r="C115" t="s">
        <v>289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333</v>
      </c>
      <c r="J115" t="s">
        <v>208</v>
      </c>
      <c r="M115" t="s">
        <v>209</v>
      </c>
      <c r="O115" t="s">
        <v>81</v>
      </c>
      <c r="P115" t="s">
        <v>82</v>
      </c>
      <c r="Q115" t="s">
        <v>292</v>
      </c>
      <c r="R115" t="s">
        <v>135</v>
      </c>
      <c r="S115" s="1">
        <v>45689</v>
      </c>
      <c r="U115" t="s">
        <v>51</v>
      </c>
      <c r="X115" t="s">
        <v>52</v>
      </c>
      <c r="AF115" s="2">
        <v>45.83</v>
      </c>
      <c r="AG115" s="2">
        <v>0</v>
      </c>
      <c r="AJ115" s="2">
        <v>45.83</v>
      </c>
    </row>
    <row r="116" spans="1:36" x14ac:dyDescent="0.25">
      <c r="A116" s="1">
        <v>45721</v>
      </c>
      <c r="B116" s="1">
        <v>45721</v>
      </c>
      <c r="C116" t="s">
        <v>289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334</v>
      </c>
      <c r="J116" t="s">
        <v>211</v>
      </c>
      <c r="M116" t="s">
        <v>146</v>
      </c>
      <c r="O116" t="s">
        <v>164</v>
      </c>
      <c r="P116" t="s">
        <v>165</v>
      </c>
      <c r="Q116" t="s">
        <v>292</v>
      </c>
      <c r="R116" t="s">
        <v>135</v>
      </c>
      <c r="S116" s="1">
        <v>45689</v>
      </c>
      <c r="U116" t="s">
        <v>51</v>
      </c>
      <c r="X116" t="s">
        <v>52</v>
      </c>
      <c r="AF116" s="2">
        <v>45.83</v>
      </c>
      <c r="AG116" s="2">
        <v>0</v>
      </c>
      <c r="AJ116" s="2">
        <v>45.83</v>
      </c>
    </row>
    <row r="117" spans="1:36" x14ac:dyDescent="0.25">
      <c r="A117" s="1">
        <v>45721</v>
      </c>
      <c r="B117" s="1">
        <v>45721</v>
      </c>
      <c r="C117" t="s">
        <v>289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335</v>
      </c>
      <c r="J117" t="s">
        <v>213</v>
      </c>
      <c r="M117" t="s">
        <v>146</v>
      </c>
      <c r="O117" t="s">
        <v>164</v>
      </c>
      <c r="P117" t="s">
        <v>165</v>
      </c>
      <c r="Q117" t="s">
        <v>292</v>
      </c>
      <c r="R117" t="s">
        <v>135</v>
      </c>
      <c r="S117" s="1">
        <v>45689</v>
      </c>
      <c r="U117" t="s">
        <v>51</v>
      </c>
      <c r="X117" t="s">
        <v>52</v>
      </c>
      <c r="AF117" s="2">
        <v>45.83</v>
      </c>
      <c r="AG117" s="2">
        <v>0</v>
      </c>
      <c r="AJ117" s="2">
        <v>45.83</v>
      </c>
    </row>
    <row r="118" spans="1:36" x14ac:dyDescent="0.25">
      <c r="A118" s="1">
        <v>45721</v>
      </c>
      <c r="B118" s="1">
        <v>45721</v>
      </c>
      <c r="C118" t="s">
        <v>289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336</v>
      </c>
      <c r="J118" t="s">
        <v>215</v>
      </c>
      <c r="M118" t="s">
        <v>110</v>
      </c>
      <c r="O118" t="s">
        <v>133</v>
      </c>
      <c r="P118" t="s">
        <v>134</v>
      </c>
      <c r="Q118" t="s">
        <v>292</v>
      </c>
      <c r="R118" t="s">
        <v>135</v>
      </c>
      <c r="S118" s="1">
        <v>45689</v>
      </c>
      <c r="U118" t="s">
        <v>51</v>
      </c>
      <c r="X118" t="s">
        <v>52</v>
      </c>
      <c r="AF118" s="2">
        <v>45.83</v>
      </c>
      <c r="AG118" s="2">
        <v>0</v>
      </c>
      <c r="AJ118" s="2">
        <v>45.83</v>
      </c>
    </row>
    <row r="119" spans="1:36" x14ac:dyDescent="0.25">
      <c r="A119" s="1">
        <v>45721</v>
      </c>
      <c r="B119" s="1">
        <v>45721</v>
      </c>
      <c r="C119" t="s">
        <v>289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337</v>
      </c>
      <c r="J119" t="s">
        <v>217</v>
      </c>
      <c r="M119" t="s">
        <v>218</v>
      </c>
      <c r="O119" t="s">
        <v>117</v>
      </c>
      <c r="P119" t="s">
        <v>118</v>
      </c>
      <c r="Q119" t="s">
        <v>292</v>
      </c>
      <c r="R119" t="s">
        <v>135</v>
      </c>
      <c r="S119" s="1">
        <v>45689</v>
      </c>
      <c r="U119" t="s">
        <v>51</v>
      </c>
      <c r="X119" t="s">
        <v>52</v>
      </c>
      <c r="AF119" s="2">
        <v>45.83</v>
      </c>
      <c r="AG119" s="2">
        <v>0</v>
      </c>
      <c r="AJ119" s="2">
        <v>45.83</v>
      </c>
    </row>
    <row r="120" spans="1:36" x14ac:dyDescent="0.25">
      <c r="A120" s="1">
        <v>45721</v>
      </c>
      <c r="B120" s="1">
        <v>45721</v>
      </c>
      <c r="C120" t="s">
        <v>289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338</v>
      </c>
      <c r="J120" t="s">
        <v>222</v>
      </c>
      <c r="M120" t="s">
        <v>146</v>
      </c>
      <c r="O120" t="s">
        <v>164</v>
      </c>
      <c r="P120" t="s">
        <v>165</v>
      </c>
      <c r="Q120" t="s">
        <v>292</v>
      </c>
      <c r="R120" t="s">
        <v>135</v>
      </c>
      <c r="S120" s="1">
        <v>45689</v>
      </c>
      <c r="U120" t="s">
        <v>51</v>
      </c>
      <c r="X120" t="s">
        <v>52</v>
      </c>
      <c r="AF120" s="2">
        <v>45.83</v>
      </c>
      <c r="AG120" s="2">
        <v>0</v>
      </c>
      <c r="AJ120" s="2">
        <v>45.83</v>
      </c>
    </row>
    <row r="121" spans="1:36" x14ac:dyDescent="0.25">
      <c r="A121" s="1">
        <v>45721</v>
      </c>
      <c r="B121" s="1">
        <v>45721</v>
      </c>
      <c r="C121" t="s">
        <v>289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339</v>
      </c>
      <c r="J121" t="s">
        <v>224</v>
      </c>
      <c r="M121" t="s">
        <v>110</v>
      </c>
      <c r="O121" t="s">
        <v>102</v>
      </c>
      <c r="P121" t="s">
        <v>103</v>
      </c>
      <c r="Q121" t="s">
        <v>292</v>
      </c>
      <c r="R121" t="s">
        <v>135</v>
      </c>
      <c r="S121" s="1">
        <v>45748</v>
      </c>
      <c r="U121" t="s">
        <v>51</v>
      </c>
      <c r="X121" t="s">
        <v>52</v>
      </c>
      <c r="AF121" s="2">
        <v>37.5</v>
      </c>
      <c r="AG121" s="2">
        <v>0</v>
      </c>
      <c r="AJ121" s="2">
        <v>37.5</v>
      </c>
    </row>
    <row r="122" spans="1:36" x14ac:dyDescent="0.25">
      <c r="A122" s="1">
        <v>45721</v>
      </c>
      <c r="B122" s="1">
        <v>45721</v>
      </c>
      <c r="C122" t="s">
        <v>289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340</v>
      </c>
      <c r="J122" t="s">
        <v>341</v>
      </c>
      <c r="M122" t="s">
        <v>192</v>
      </c>
      <c r="O122" t="s">
        <v>160</v>
      </c>
      <c r="P122" t="s">
        <v>161</v>
      </c>
      <c r="Q122" t="s">
        <v>292</v>
      </c>
      <c r="R122" t="s">
        <v>342</v>
      </c>
      <c r="S122" s="1">
        <v>45689</v>
      </c>
      <c r="U122" t="s">
        <v>51</v>
      </c>
      <c r="X122" t="s">
        <v>52</v>
      </c>
      <c r="AF122" s="2">
        <v>626</v>
      </c>
      <c r="AG122" s="2">
        <v>0</v>
      </c>
      <c r="AJ122" s="2">
        <v>626</v>
      </c>
    </row>
    <row r="123" spans="1:36" x14ac:dyDescent="0.25">
      <c r="A123" s="1">
        <v>45721</v>
      </c>
      <c r="B123" s="1">
        <v>45721</v>
      </c>
      <c r="C123" t="s">
        <v>289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343</v>
      </c>
      <c r="J123" t="s">
        <v>341</v>
      </c>
      <c r="M123" t="s">
        <v>192</v>
      </c>
      <c r="O123" t="s">
        <v>160</v>
      </c>
      <c r="P123" t="s">
        <v>161</v>
      </c>
      <c r="Q123" t="s">
        <v>292</v>
      </c>
      <c r="R123" t="s">
        <v>264</v>
      </c>
      <c r="S123" s="1">
        <v>45689</v>
      </c>
      <c r="U123" t="s">
        <v>51</v>
      </c>
      <c r="X123" t="s">
        <v>52</v>
      </c>
      <c r="AF123" s="2">
        <v>175</v>
      </c>
      <c r="AG123" s="2">
        <v>0</v>
      </c>
      <c r="AJ123" s="2">
        <v>175</v>
      </c>
    </row>
    <row r="124" spans="1:36" x14ac:dyDescent="0.25">
      <c r="AC124" s="2"/>
      <c r="AF124" s="2"/>
      <c r="AJ124" s="2"/>
    </row>
    <row r="125" spans="1:36" x14ac:dyDescent="0.25">
      <c r="AE1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6CAE-2476-4ADF-A724-5CA153B22D53}">
  <dimension ref="A1:P121"/>
  <sheetViews>
    <sheetView topLeftCell="I88" workbookViewId="0">
      <selection activeCell="O124" sqref="O124"/>
    </sheetView>
  </sheetViews>
  <sheetFormatPr defaultRowHeight="15" x14ac:dyDescent="0.25"/>
  <cols>
    <col min="1" max="1" width="16" style="5" bestFit="1" customWidth="1"/>
    <col min="2" max="2" width="16" style="5" customWidth="1"/>
    <col min="3" max="3" width="22.42578125" bestFit="1" customWidth="1"/>
    <col min="4" max="4" width="5.5703125" bestFit="1" customWidth="1"/>
    <col min="5" max="5" width="15.7109375" bestFit="1" customWidth="1"/>
    <col min="6" max="6" width="27.28515625" bestFit="1" customWidth="1"/>
    <col min="7" max="7" width="47.140625" bestFit="1" customWidth="1"/>
    <col min="11" max="11" width="15.85546875" bestFit="1" customWidth="1"/>
    <col min="12" max="12" width="16.42578125" bestFit="1" customWidth="1"/>
    <col min="13" max="13" width="17.42578125" bestFit="1" customWidth="1"/>
    <col min="14" max="14" width="35.42578125" bestFit="1" customWidth="1"/>
    <col min="15" max="15" width="33" bestFit="1" customWidth="1"/>
  </cols>
  <sheetData>
    <row r="1" spans="1:15" x14ac:dyDescent="0.25">
      <c r="A1" s="5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20</v>
      </c>
      <c r="J1" t="s">
        <v>24</v>
      </c>
      <c r="K1" t="s">
        <v>25</v>
      </c>
      <c r="L1" t="s">
        <v>27</v>
      </c>
      <c r="M1" t="s">
        <v>28</v>
      </c>
      <c r="N1" t="s">
        <v>37</v>
      </c>
    </row>
    <row r="2" spans="1:15" x14ac:dyDescent="0.25">
      <c r="A2" s="5">
        <v>101137736000</v>
      </c>
      <c r="B2" s="5" t="str">
        <f>CONCATENATE(A2,9)</f>
        <v>1011377360009</v>
      </c>
      <c r="C2" t="s">
        <v>127</v>
      </c>
      <c r="D2" t="s">
        <v>110</v>
      </c>
      <c r="E2">
        <v>20411454</v>
      </c>
      <c r="F2" t="s">
        <v>431</v>
      </c>
      <c r="G2" t="s">
        <v>128</v>
      </c>
      <c r="H2" s="1">
        <v>45689</v>
      </c>
      <c r="I2" t="s">
        <v>51</v>
      </c>
      <c r="J2" s="2">
        <v>0</v>
      </c>
      <c r="K2" s="2">
        <v>50</v>
      </c>
      <c r="L2" s="3">
        <v>1</v>
      </c>
      <c r="M2" s="2">
        <v>50</v>
      </c>
      <c r="O2" t="s">
        <v>422</v>
      </c>
    </row>
    <row r="3" spans="1:15" x14ac:dyDescent="0.25">
      <c r="A3" s="5">
        <v>101137742600</v>
      </c>
      <c r="B3" s="5" t="str">
        <f t="shared" ref="B3:B66" si="0">CONCATENATE(A3,9)</f>
        <v>1011377426009</v>
      </c>
      <c r="C3" t="s">
        <v>130</v>
      </c>
      <c r="D3" t="s">
        <v>110</v>
      </c>
      <c r="E3">
        <v>20411454</v>
      </c>
      <c r="F3" t="s">
        <v>431</v>
      </c>
      <c r="G3" t="s">
        <v>128</v>
      </c>
      <c r="H3" s="1">
        <v>45689</v>
      </c>
      <c r="I3" t="s">
        <v>51</v>
      </c>
      <c r="J3" s="2">
        <v>0</v>
      </c>
      <c r="K3" s="2">
        <v>50</v>
      </c>
      <c r="L3" s="3">
        <v>1</v>
      </c>
      <c r="M3" s="2">
        <v>50</v>
      </c>
      <c r="O3" t="s">
        <v>422</v>
      </c>
    </row>
    <row r="4" spans="1:15" x14ac:dyDescent="0.25">
      <c r="A4" s="5">
        <v>101873362500</v>
      </c>
      <c r="B4" s="5" t="str">
        <f t="shared" si="0"/>
        <v>1018733625009</v>
      </c>
      <c r="C4" t="s">
        <v>138</v>
      </c>
      <c r="D4" t="s">
        <v>139</v>
      </c>
      <c r="E4">
        <v>20411454</v>
      </c>
      <c r="F4" t="s">
        <v>431</v>
      </c>
      <c r="G4" t="s">
        <v>128</v>
      </c>
      <c r="H4" s="1">
        <v>45689</v>
      </c>
      <c r="I4" t="s">
        <v>51</v>
      </c>
      <c r="J4" s="2">
        <v>0</v>
      </c>
      <c r="K4" s="2">
        <v>50</v>
      </c>
      <c r="L4" s="3">
        <v>1</v>
      </c>
      <c r="M4" s="2">
        <v>50</v>
      </c>
      <c r="O4" t="s">
        <v>422</v>
      </c>
    </row>
    <row r="5" spans="1:15" x14ac:dyDescent="0.25">
      <c r="A5" s="5">
        <v>102099947600</v>
      </c>
      <c r="B5" s="5" t="str">
        <f t="shared" si="0"/>
        <v>1020999476009</v>
      </c>
      <c r="C5" t="s">
        <v>148</v>
      </c>
      <c r="D5" t="s">
        <v>149</v>
      </c>
      <c r="E5">
        <v>20411454</v>
      </c>
      <c r="F5" t="s">
        <v>431</v>
      </c>
      <c r="G5" t="s">
        <v>128</v>
      </c>
      <c r="H5" s="1">
        <v>45689</v>
      </c>
      <c r="I5" t="s">
        <v>51</v>
      </c>
      <c r="J5" s="2">
        <v>0</v>
      </c>
      <c r="K5" s="2">
        <v>50</v>
      </c>
      <c r="L5" s="3">
        <v>1</v>
      </c>
      <c r="M5" s="2">
        <v>50</v>
      </c>
      <c r="O5" t="s">
        <v>422</v>
      </c>
    </row>
    <row r="6" spans="1:15" x14ac:dyDescent="0.25">
      <c r="A6" s="5">
        <v>102135098200</v>
      </c>
      <c r="B6" s="5" t="str">
        <f t="shared" si="0"/>
        <v>1021350982009</v>
      </c>
      <c r="C6" t="s">
        <v>153</v>
      </c>
      <c r="D6" t="s">
        <v>110</v>
      </c>
      <c r="E6">
        <v>20411454</v>
      </c>
      <c r="F6" t="s">
        <v>431</v>
      </c>
      <c r="G6" t="s">
        <v>128</v>
      </c>
      <c r="H6" s="1">
        <v>45748</v>
      </c>
      <c r="I6" t="s">
        <v>51</v>
      </c>
      <c r="J6" s="2">
        <v>0</v>
      </c>
      <c r="K6" s="2">
        <v>50</v>
      </c>
      <c r="L6" s="3">
        <v>1</v>
      </c>
      <c r="M6" s="2">
        <v>50</v>
      </c>
      <c r="O6" t="s">
        <v>422</v>
      </c>
    </row>
    <row r="7" spans="1:15" x14ac:dyDescent="0.25">
      <c r="A7" s="5">
        <v>102136243000</v>
      </c>
      <c r="B7" s="5" t="str">
        <f t="shared" si="0"/>
        <v>1021362430009</v>
      </c>
      <c r="C7" t="s">
        <v>155</v>
      </c>
      <c r="D7" t="s">
        <v>156</v>
      </c>
      <c r="E7">
        <v>20411454</v>
      </c>
      <c r="F7" t="s">
        <v>431</v>
      </c>
      <c r="G7" t="s">
        <v>128</v>
      </c>
      <c r="H7" s="1">
        <v>45689</v>
      </c>
      <c r="I7" t="s">
        <v>51</v>
      </c>
      <c r="J7" s="2">
        <v>0</v>
      </c>
      <c r="K7" s="2">
        <v>50</v>
      </c>
      <c r="L7" s="3">
        <v>1</v>
      </c>
      <c r="M7" s="2">
        <v>50</v>
      </c>
      <c r="O7" t="s">
        <v>422</v>
      </c>
    </row>
    <row r="8" spans="1:15" x14ac:dyDescent="0.25">
      <c r="A8" s="5">
        <v>102136258200</v>
      </c>
      <c r="B8" s="5" t="str">
        <f t="shared" si="0"/>
        <v>1021362582009</v>
      </c>
      <c r="C8" t="s">
        <v>158</v>
      </c>
      <c r="D8" t="s">
        <v>159</v>
      </c>
      <c r="E8">
        <v>20411454</v>
      </c>
      <c r="F8" t="s">
        <v>431</v>
      </c>
      <c r="G8" t="s">
        <v>128</v>
      </c>
      <c r="H8" s="1">
        <v>45689</v>
      </c>
      <c r="I8" t="s">
        <v>51</v>
      </c>
      <c r="J8" s="2">
        <v>0</v>
      </c>
      <c r="K8" s="2">
        <v>50</v>
      </c>
      <c r="L8" s="3">
        <v>1</v>
      </c>
      <c r="M8" s="2">
        <v>50</v>
      </c>
      <c r="O8" t="s">
        <v>422</v>
      </c>
    </row>
    <row r="9" spans="1:15" x14ac:dyDescent="0.25">
      <c r="A9" s="5">
        <v>102136696000</v>
      </c>
      <c r="B9" s="5" t="str">
        <f t="shared" si="0"/>
        <v>1021366960009</v>
      </c>
      <c r="C9" t="s">
        <v>163</v>
      </c>
      <c r="D9" t="s">
        <v>146</v>
      </c>
      <c r="E9">
        <v>20411454</v>
      </c>
      <c r="F9" t="s">
        <v>431</v>
      </c>
      <c r="G9" t="s">
        <v>128</v>
      </c>
      <c r="H9" s="1">
        <v>45717</v>
      </c>
      <c r="I9" t="s">
        <v>51</v>
      </c>
      <c r="J9" s="2">
        <v>0</v>
      </c>
      <c r="K9" s="2">
        <v>50</v>
      </c>
      <c r="L9" s="3">
        <v>1</v>
      </c>
      <c r="M9" s="2">
        <v>50</v>
      </c>
      <c r="O9" t="s">
        <v>422</v>
      </c>
    </row>
    <row r="10" spans="1:15" x14ac:dyDescent="0.25">
      <c r="A10" s="5">
        <v>102136755100</v>
      </c>
      <c r="B10" s="5" t="str">
        <f t="shared" si="0"/>
        <v>1021367551009</v>
      </c>
      <c r="C10" t="s">
        <v>167</v>
      </c>
      <c r="D10" t="s">
        <v>146</v>
      </c>
      <c r="E10">
        <v>20411454</v>
      </c>
      <c r="F10" t="s">
        <v>431</v>
      </c>
      <c r="G10" t="s">
        <v>128</v>
      </c>
      <c r="H10" s="1">
        <v>45689</v>
      </c>
      <c r="I10" t="s">
        <v>51</v>
      </c>
      <c r="J10" s="2">
        <v>0</v>
      </c>
      <c r="K10" s="2">
        <v>50</v>
      </c>
      <c r="L10" s="3">
        <v>1</v>
      </c>
      <c r="M10" s="2">
        <v>50</v>
      </c>
      <c r="O10" t="s">
        <v>422</v>
      </c>
    </row>
    <row r="11" spans="1:15" x14ac:dyDescent="0.25">
      <c r="A11" s="5">
        <v>102136760300</v>
      </c>
      <c r="B11" s="5" t="str">
        <f t="shared" si="0"/>
        <v>1021367603009</v>
      </c>
      <c r="C11" t="s">
        <v>169</v>
      </c>
      <c r="D11" t="s">
        <v>146</v>
      </c>
      <c r="E11">
        <v>20411454</v>
      </c>
      <c r="F11" t="s">
        <v>431</v>
      </c>
      <c r="G11" t="s">
        <v>128</v>
      </c>
      <c r="H11" s="1">
        <v>45717</v>
      </c>
      <c r="I11" t="s">
        <v>51</v>
      </c>
      <c r="J11" s="2">
        <v>0</v>
      </c>
      <c r="K11" s="2">
        <v>50</v>
      </c>
      <c r="L11" s="3">
        <v>1</v>
      </c>
      <c r="M11" s="2">
        <v>50</v>
      </c>
      <c r="O11" t="s">
        <v>422</v>
      </c>
    </row>
    <row r="12" spans="1:15" x14ac:dyDescent="0.25">
      <c r="A12" s="5">
        <v>102136793200</v>
      </c>
      <c r="B12" s="5" t="str">
        <f t="shared" si="0"/>
        <v>1021367932009</v>
      </c>
      <c r="C12" t="s">
        <v>171</v>
      </c>
      <c r="D12" t="s">
        <v>159</v>
      </c>
      <c r="E12">
        <v>20411454</v>
      </c>
      <c r="F12" t="s">
        <v>431</v>
      </c>
      <c r="G12" t="s">
        <v>128</v>
      </c>
      <c r="H12" s="1">
        <v>45748</v>
      </c>
      <c r="I12" t="s">
        <v>51</v>
      </c>
      <c r="J12" s="2">
        <v>0</v>
      </c>
      <c r="K12" s="2">
        <v>50</v>
      </c>
      <c r="L12" s="3">
        <v>1</v>
      </c>
      <c r="M12" s="2">
        <v>50</v>
      </c>
      <c r="O12" t="s">
        <v>422</v>
      </c>
    </row>
    <row r="13" spans="1:15" x14ac:dyDescent="0.25">
      <c r="A13" s="5">
        <v>102137196000</v>
      </c>
      <c r="B13" s="5" t="str">
        <f t="shared" si="0"/>
        <v>1021371960009</v>
      </c>
      <c r="C13" t="s">
        <v>173</v>
      </c>
      <c r="D13" t="s">
        <v>146</v>
      </c>
      <c r="E13">
        <v>20411454</v>
      </c>
      <c r="F13" t="s">
        <v>431</v>
      </c>
      <c r="G13" t="s">
        <v>128</v>
      </c>
      <c r="H13" s="1">
        <v>45689</v>
      </c>
      <c r="I13" t="s">
        <v>51</v>
      </c>
      <c r="J13" s="2">
        <v>0</v>
      </c>
      <c r="K13" s="2">
        <v>50</v>
      </c>
      <c r="L13" s="3">
        <v>1</v>
      </c>
      <c r="M13" s="2">
        <v>50</v>
      </c>
      <c r="O13" t="s">
        <v>422</v>
      </c>
    </row>
    <row r="14" spans="1:15" x14ac:dyDescent="0.25">
      <c r="A14" s="5">
        <v>102137272900</v>
      </c>
      <c r="B14" s="5" t="str">
        <f t="shared" si="0"/>
        <v>1021372729009</v>
      </c>
      <c r="C14" t="s">
        <v>177</v>
      </c>
      <c r="D14" t="s">
        <v>110</v>
      </c>
      <c r="E14">
        <v>20411454</v>
      </c>
      <c r="F14" t="s">
        <v>431</v>
      </c>
      <c r="G14" t="s">
        <v>128</v>
      </c>
      <c r="H14" s="1">
        <v>45689</v>
      </c>
      <c r="I14" t="s">
        <v>51</v>
      </c>
      <c r="J14" s="2">
        <v>0</v>
      </c>
      <c r="K14" s="2">
        <v>50</v>
      </c>
      <c r="L14" s="3">
        <v>1</v>
      </c>
      <c r="M14" s="2">
        <v>50</v>
      </c>
      <c r="O14" t="s">
        <v>422</v>
      </c>
    </row>
    <row r="15" spans="1:15" x14ac:dyDescent="0.25">
      <c r="A15" s="5">
        <v>102138156800</v>
      </c>
      <c r="B15" s="5" t="str">
        <f t="shared" si="0"/>
        <v>1021381568009</v>
      </c>
      <c r="C15" t="s">
        <v>181</v>
      </c>
      <c r="D15" t="s">
        <v>149</v>
      </c>
      <c r="E15">
        <v>20411454</v>
      </c>
      <c r="F15" t="s">
        <v>431</v>
      </c>
      <c r="G15" t="s">
        <v>128</v>
      </c>
      <c r="H15" s="1">
        <v>45689</v>
      </c>
      <c r="I15" t="s">
        <v>51</v>
      </c>
      <c r="J15" s="2">
        <v>0</v>
      </c>
      <c r="K15" s="2">
        <v>50</v>
      </c>
      <c r="L15" s="3">
        <v>1</v>
      </c>
      <c r="M15" s="2">
        <v>50</v>
      </c>
      <c r="O15" t="s">
        <v>422</v>
      </c>
    </row>
    <row r="16" spans="1:15" x14ac:dyDescent="0.25">
      <c r="A16" s="5">
        <v>102138240500</v>
      </c>
      <c r="B16" s="5" t="str">
        <f t="shared" si="0"/>
        <v>1021382405009</v>
      </c>
      <c r="C16" t="s">
        <v>183</v>
      </c>
      <c r="D16" t="s">
        <v>110</v>
      </c>
      <c r="E16">
        <v>20411454</v>
      </c>
      <c r="F16" t="s">
        <v>431</v>
      </c>
      <c r="G16" t="s">
        <v>128</v>
      </c>
      <c r="H16" s="1">
        <v>45689</v>
      </c>
      <c r="I16" t="s">
        <v>51</v>
      </c>
      <c r="J16" s="2">
        <v>0</v>
      </c>
      <c r="K16" s="2">
        <v>50</v>
      </c>
      <c r="L16" s="3">
        <v>1</v>
      </c>
      <c r="M16" s="2">
        <v>50</v>
      </c>
      <c r="O16" t="s">
        <v>422</v>
      </c>
    </row>
    <row r="17" spans="1:15" x14ac:dyDescent="0.25">
      <c r="A17" s="5">
        <v>102138440000</v>
      </c>
      <c r="B17" s="5" t="str">
        <f t="shared" si="0"/>
        <v>1021384400009</v>
      </c>
      <c r="C17" t="s">
        <v>187</v>
      </c>
      <c r="D17" t="s">
        <v>110</v>
      </c>
      <c r="E17">
        <v>20411454</v>
      </c>
      <c r="F17" t="s">
        <v>431</v>
      </c>
      <c r="G17" t="s">
        <v>128</v>
      </c>
      <c r="H17" s="1">
        <v>45689</v>
      </c>
      <c r="I17" t="s">
        <v>51</v>
      </c>
      <c r="J17" s="2">
        <v>0</v>
      </c>
      <c r="K17" s="2">
        <v>50</v>
      </c>
      <c r="L17" s="3">
        <v>1</v>
      </c>
      <c r="M17" s="2">
        <v>50</v>
      </c>
      <c r="O17" t="s">
        <v>422</v>
      </c>
    </row>
    <row r="18" spans="1:15" x14ac:dyDescent="0.25">
      <c r="A18" s="5">
        <v>102138526200</v>
      </c>
      <c r="B18" s="5" t="str">
        <f t="shared" si="0"/>
        <v>1021385262009</v>
      </c>
      <c r="C18" t="s">
        <v>189</v>
      </c>
      <c r="D18" t="s">
        <v>110</v>
      </c>
      <c r="E18">
        <v>20411454</v>
      </c>
      <c r="F18" t="s">
        <v>431</v>
      </c>
      <c r="G18" t="s">
        <v>128</v>
      </c>
      <c r="H18" s="1">
        <v>45689</v>
      </c>
      <c r="I18" t="s">
        <v>51</v>
      </c>
      <c r="J18" s="2">
        <v>0</v>
      </c>
      <c r="K18" s="2">
        <v>50</v>
      </c>
      <c r="L18" s="3">
        <v>1</v>
      </c>
      <c r="M18" s="2">
        <v>50</v>
      </c>
      <c r="O18" t="s">
        <v>422</v>
      </c>
    </row>
    <row r="19" spans="1:15" x14ac:dyDescent="0.25">
      <c r="A19" s="5">
        <v>102138558200</v>
      </c>
      <c r="B19" s="5" t="str">
        <f t="shared" si="0"/>
        <v>1021385582009</v>
      </c>
      <c r="C19" t="s">
        <v>191</v>
      </c>
      <c r="D19" t="s">
        <v>192</v>
      </c>
      <c r="E19">
        <v>20411454</v>
      </c>
      <c r="F19" t="s">
        <v>431</v>
      </c>
      <c r="G19" t="s">
        <v>128</v>
      </c>
      <c r="H19" s="1">
        <v>45689</v>
      </c>
      <c r="I19" t="s">
        <v>51</v>
      </c>
      <c r="J19" s="2">
        <v>0</v>
      </c>
      <c r="K19" s="2">
        <v>50</v>
      </c>
      <c r="L19" s="3">
        <v>1</v>
      </c>
      <c r="M19" s="2">
        <v>50</v>
      </c>
      <c r="O19" t="s">
        <v>422</v>
      </c>
    </row>
    <row r="20" spans="1:15" x14ac:dyDescent="0.25">
      <c r="A20" s="5">
        <v>102138649000</v>
      </c>
      <c r="B20" s="5" t="str">
        <f t="shared" si="0"/>
        <v>1021386490009</v>
      </c>
      <c r="C20" t="s">
        <v>194</v>
      </c>
      <c r="D20" t="s">
        <v>110</v>
      </c>
      <c r="E20">
        <v>20411454</v>
      </c>
      <c r="F20" t="s">
        <v>431</v>
      </c>
      <c r="G20" t="s">
        <v>128</v>
      </c>
      <c r="H20" s="1">
        <v>45689</v>
      </c>
      <c r="I20" t="s">
        <v>51</v>
      </c>
      <c r="J20" s="2">
        <v>0</v>
      </c>
      <c r="K20" s="2">
        <v>50</v>
      </c>
      <c r="L20" s="3">
        <v>1</v>
      </c>
      <c r="M20" s="2">
        <v>50</v>
      </c>
      <c r="O20" t="s">
        <v>422</v>
      </c>
    </row>
    <row r="21" spans="1:15" x14ac:dyDescent="0.25">
      <c r="A21" s="5">
        <v>102139051700</v>
      </c>
      <c r="B21" s="5" t="str">
        <f t="shared" si="0"/>
        <v>1021390517009</v>
      </c>
      <c r="C21" t="s">
        <v>198</v>
      </c>
      <c r="D21" t="s">
        <v>146</v>
      </c>
      <c r="E21">
        <v>20411454</v>
      </c>
      <c r="F21" t="s">
        <v>431</v>
      </c>
      <c r="G21" t="s">
        <v>128</v>
      </c>
      <c r="H21" s="1">
        <v>45689</v>
      </c>
      <c r="I21" t="s">
        <v>51</v>
      </c>
      <c r="J21" s="2">
        <v>0</v>
      </c>
      <c r="K21" s="2">
        <v>50</v>
      </c>
      <c r="L21" s="3">
        <v>1</v>
      </c>
      <c r="M21" s="2">
        <v>50</v>
      </c>
      <c r="O21" t="s">
        <v>422</v>
      </c>
    </row>
    <row r="22" spans="1:15" x14ac:dyDescent="0.25">
      <c r="A22" s="5">
        <v>102141040100</v>
      </c>
      <c r="B22" s="5" t="str">
        <f t="shared" si="0"/>
        <v>1021410401009</v>
      </c>
      <c r="C22" t="s">
        <v>202</v>
      </c>
      <c r="D22" t="s">
        <v>159</v>
      </c>
      <c r="E22">
        <v>20411454</v>
      </c>
      <c r="F22" t="s">
        <v>431</v>
      </c>
      <c r="G22" t="s">
        <v>128</v>
      </c>
      <c r="H22" s="1">
        <v>45717</v>
      </c>
      <c r="I22" t="s">
        <v>51</v>
      </c>
      <c r="J22" s="2">
        <v>0</v>
      </c>
      <c r="K22" s="2">
        <v>50</v>
      </c>
      <c r="L22" s="3">
        <v>1</v>
      </c>
      <c r="M22" s="2">
        <v>50</v>
      </c>
      <c r="O22" t="s">
        <v>422</v>
      </c>
    </row>
    <row r="23" spans="1:15" x14ac:dyDescent="0.25">
      <c r="A23" s="5">
        <v>102141057700</v>
      </c>
      <c r="B23" s="5" t="str">
        <f t="shared" si="0"/>
        <v>1021410577009</v>
      </c>
      <c r="C23" t="s">
        <v>204</v>
      </c>
      <c r="D23" t="s">
        <v>110</v>
      </c>
      <c r="E23">
        <v>20411454</v>
      </c>
      <c r="F23" t="s">
        <v>431</v>
      </c>
      <c r="G23" t="s">
        <v>128</v>
      </c>
      <c r="H23" s="1">
        <v>45689</v>
      </c>
      <c r="I23" t="s">
        <v>51</v>
      </c>
      <c r="J23" s="2">
        <v>0</v>
      </c>
      <c r="K23" s="2">
        <v>50</v>
      </c>
      <c r="L23" s="3">
        <v>1</v>
      </c>
      <c r="M23" s="2">
        <v>50</v>
      </c>
      <c r="O23" t="s">
        <v>422</v>
      </c>
    </row>
    <row r="24" spans="1:15" x14ac:dyDescent="0.25">
      <c r="A24" s="5">
        <v>102141630900</v>
      </c>
      <c r="B24" s="5" t="str">
        <f t="shared" si="0"/>
        <v>1021416309009</v>
      </c>
      <c r="C24" t="s">
        <v>208</v>
      </c>
      <c r="D24" t="s">
        <v>209</v>
      </c>
      <c r="E24">
        <v>20411454</v>
      </c>
      <c r="F24" t="s">
        <v>431</v>
      </c>
      <c r="G24" t="s">
        <v>128</v>
      </c>
      <c r="H24" s="1">
        <v>45689</v>
      </c>
      <c r="I24" t="s">
        <v>51</v>
      </c>
      <c r="J24" s="2">
        <v>0</v>
      </c>
      <c r="K24" s="2">
        <v>50</v>
      </c>
      <c r="L24" s="3">
        <v>1</v>
      </c>
      <c r="M24" s="2">
        <v>50</v>
      </c>
      <c r="O24" t="s">
        <v>422</v>
      </c>
    </row>
    <row r="25" spans="1:15" x14ac:dyDescent="0.25">
      <c r="A25" s="5">
        <v>102142338300</v>
      </c>
      <c r="B25" s="5" t="str">
        <f t="shared" si="0"/>
        <v>1021423383009</v>
      </c>
      <c r="C25" t="s">
        <v>211</v>
      </c>
      <c r="D25" t="s">
        <v>146</v>
      </c>
      <c r="E25">
        <v>20411454</v>
      </c>
      <c r="F25" t="s">
        <v>431</v>
      </c>
      <c r="G25" t="s">
        <v>128</v>
      </c>
      <c r="H25" s="1">
        <v>45689</v>
      </c>
      <c r="I25" t="s">
        <v>51</v>
      </c>
      <c r="J25" s="2">
        <v>0</v>
      </c>
      <c r="K25" s="2">
        <v>50</v>
      </c>
      <c r="L25" s="3">
        <v>1</v>
      </c>
      <c r="M25" s="2">
        <v>50</v>
      </c>
      <c r="O25" t="s">
        <v>422</v>
      </c>
    </row>
    <row r="26" spans="1:15" x14ac:dyDescent="0.25">
      <c r="A26" s="5">
        <v>102142380900</v>
      </c>
      <c r="B26" s="5" t="str">
        <f t="shared" si="0"/>
        <v>1021423809009</v>
      </c>
      <c r="C26" t="s">
        <v>213</v>
      </c>
      <c r="D26" t="s">
        <v>146</v>
      </c>
      <c r="E26">
        <v>20411454</v>
      </c>
      <c r="F26" t="s">
        <v>431</v>
      </c>
      <c r="G26" t="s">
        <v>128</v>
      </c>
      <c r="H26" s="1">
        <v>45689</v>
      </c>
      <c r="I26" t="s">
        <v>51</v>
      </c>
      <c r="J26" s="2">
        <v>0</v>
      </c>
      <c r="K26" s="2">
        <v>50</v>
      </c>
      <c r="L26" s="3">
        <v>1</v>
      </c>
      <c r="M26" s="2">
        <v>50</v>
      </c>
      <c r="O26" t="s">
        <v>422</v>
      </c>
    </row>
    <row r="27" spans="1:15" x14ac:dyDescent="0.25">
      <c r="A27" s="5">
        <v>102142808400</v>
      </c>
      <c r="B27" s="5" t="str">
        <f t="shared" si="0"/>
        <v>1021428084009</v>
      </c>
      <c r="C27" t="s">
        <v>215</v>
      </c>
      <c r="D27" t="s">
        <v>110</v>
      </c>
      <c r="E27">
        <v>20411454</v>
      </c>
      <c r="F27" t="s">
        <v>431</v>
      </c>
      <c r="G27" t="s">
        <v>128</v>
      </c>
      <c r="H27" s="1">
        <v>45689</v>
      </c>
      <c r="I27" t="s">
        <v>51</v>
      </c>
      <c r="J27" s="2">
        <v>0</v>
      </c>
      <c r="K27" s="2">
        <v>50</v>
      </c>
      <c r="L27" s="3">
        <v>1</v>
      </c>
      <c r="M27" s="2">
        <v>50</v>
      </c>
      <c r="O27" t="s">
        <v>422</v>
      </c>
    </row>
    <row r="28" spans="1:15" x14ac:dyDescent="0.25">
      <c r="A28" s="5">
        <v>102142845300</v>
      </c>
      <c r="B28" s="5" t="str">
        <f t="shared" si="0"/>
        <v>1021428453009</v>
      </c>
      <c r="C28" t="s">
        <v>217</v>
      </c>
      <c r="D28" t="s">
        <v>218</v>
      </c>
      <c r="E28">
        <v>20411454</v>
      </c>
      <c r="F28" t="s">
        <v>431</v>
      </c>
      <c r="G28" t="s">
        <v>128</v>
      </c>
      <c r="H28" s="1">
        <v>45689</v>
      </c>
      <c r="I28" t="s">
        <v>51</v>
      </c>
      <c r="J28" s="2">
        <v>0</v>
      </c>
      <c r="K28" s="2">
        <v>50</v>
      </c>
      <c r="L28" s="3">
        <v>1</v>
      </c>
      <c r="M28" s="2">
        <v>50</v>
      </c>
      <c r="O28" t="s">
        <v>422</v>
      </c>
    </row>
    <row r="29" spans="1:15" x14ac:dyDescent="0.25">
      <c r="A29" s="5">
        <v>102142887500</v>
      </c>
      <c r="B29" s="5" t="str">
        <f t="shared" si="0"/>
        <v>1021428875009</v>
      </c>
      <c r="C29" t="s">
        <v>220</v>
      </c>
      <c r="D29" t="s">
        <v>159</v>
      </c>
      <c r="E29">
        <v>20411454</v>
      </c>
      <c r="F29" t="s">
        <v>431</v>
      </c>
      <c r="G29" t="s">
        <v>128</v>
      </c>
      <c r="H29" s="1">
        <v>45689</v>
      </c>
      <c r="I29" t="s">
        <v>51</v>
      </c>
      <c r="J29" s="2">
        <v>0</v>
      </c>
      <c r="K29" s="2">
        <v>50</v>
      </c>
      <c r="L29" s="3">
        <v>1</v>
      </c>
      <c r="M29" s="2">
        <v>50</v>
      </c>
      <c r="O29" t="s">
        <v>422</v>
      </c>
    </row>
    <row r="30" spans="1:15" x14ac:dyDescent="0.25">
      <c r="A30" s="5">
        <v>102143800500</v>
      </c>
      <c r="B30" s="5" t="str">
        <f t="shared" si="0"/>
        <v>1021438005009</v>
      </c>
      <c r="C30" t="s">
        <v>222</v>
      </c>
      <c r="D30" t="s">
        <v>146</v>
      </c>
      <c r="E30">
        <v>20411454</v>
      </c>
      <c r="F30" t="s">
        <v>431</v>
      </c>
      <c r="G30" t="s">
        <v>128</v>
      </c>
      <c r="H30" s="1">
        <v>45689</v>
      </c>
      <c r="I30" t="s">
        <v>51</v>
      </c>
      <c r="J30" s="2">
        <v>0</v>
      </c>
      <c r="K30" s="2">
        <v>50</v>
      </c>
      <c r="L30" s="3">
        <v>1</v>
      </c>
      <c r="M30" s="2">
        <v>50</v>
      </c>
      <c r="O30" t="s">
        <v>422</v>
      </c>
    </row>
    <row r="31" spans="1:15" x14ac:dyDescent="0.25">
      <c r="A31" s="5">
        <v>102144511800</v>
      </c>
      <c r="B31" s="5" t="str">
        <f t="shared" si="0"/>
        <v>1021445118009</v>
      </c>
      <c r="C31" t="s">
        <v>224</v>
      </c>
      <c r="D31" t="s">
        <v>110</v>
      </c>
      <c r="E31">
        <v>20411454</v>
      </c>
      <c r="F31" t="s">
        <v>431</v>
      </c>
      <c r="G31" t="s">
        <v>128</v>
      </c>
      <c r="H31" s="1">
        <v>45748</v>
      </c>
      <c r="I31" t="s">
        <v>51</v>
      </c>
      <c r="J31" s="2">
        <v>0</v>
      </c>
      <c r="K31" s="2">
        <v>50</v>
      </c>
      <c r="L31" s="3">
        <v>1</v>
      </c>
      <c r="M31" s="2">
        <v>50</v>
      </c>
      <c r="O31" t="s">
        <v>422</v>
      </c>
    </row>
    <row r="32" spans="1:15" x14ac:dyDescent="0.25">
      <c r="A32" s="5" t="s">
        <v>389</v>
      </c>
      <c r="B32" s="5" t="str">
        <f t="shared" si="0"/>
        <v>101187835500CB9</v>
      </c>
      <c r="C32" t="s">
        <v>304</v>
      </c>
      <c r="D32" t="s">
        <v>110</v>
      </c>
      <c r="E32">
        <v>20411454</v>
      </c>
      <c r="F32" t="s">
        <v>431</v>
      </c>
      <c r="G32" t="s">
        <v>128</v>
      </c>
      <c r="H32" s="1">
        <v>45658</v>
      </c>
      <c r="I32" t="s">
        <v>51</v>
      </c>
      <c r="M32" s="4">
        <v>-50</v>
      </c>
      <c r="O32" t="s">
        <v>422</v>
      </c>
    </row>
    <row r="33" spans="1:15" x14ac:dyDescent="0.25">
      <c r="A33" s="5" t="s">
        <v>391</v>
      </c>
      <c r="B33" s="5" t="str">
        <f t="shared" si="0"/>
        <v>102096428400PC9</v>
      </c>
      <c r="C33" t="s">
        <v>309</v>
      </c>
      <c r="D33" t="s">
        <v>110</v>
      </c>
      <c r="E33">
        <v>20411454</v>
      </c>
      <c r="F33" t="s">
        <v>431</v>
      </c>
      <c r="G33" t="s">
        <v>128</v>
      </c>
      <c r="H33" s="1">
        <v>45658</v>
      </c>
      <c r="I33" t="s">
        <v>51</v>
      </c>
      <c r="M33" s="4">
        <v>-41.66</v>
      </c>
      <c r="O33" t="s">
        <v>422</v>
      </c>
    </row>
    <row r="34" spans="1:15" x14ac:dyDescent="0.25">
      <c r="A34" s="5" t="s">
        <v>393</v>
      </c>
      <c r="B34" s="5" t="str">
        <f t="shared" si="0"/>
        <v>102119192800CB9</v>
      </c>
      <c r="C34" t="s">
        <v>312</v>
      </c>
      <c r="D34" t="s">
        <v>146</v>
      </c>
      <c r="E34">
        <v>20411454</v>
      </c>
      <c r="F34" t="s">
        <v>431</v>
      </c>
      <c r="G34" t="s">
        <v>128</v>
      </c>
      <c r="H34" s="1">
        <v>45658</v>
      </c>
      <c r="I34" t="s">
        <v>51</v>
      </c>
      <c r="M34" s="4">
        <v>-50</v>
      </c>
      <c r="O34" t="s">
        <v>422</v>
      </c>
    </row>
    <row r="35" spans="1:15" x14ac:dyDescent="0.25">
      <c r="A35" s="5" t="s">
        <v>394</v>
      </c>
      <c r="B35" s="5" t="str">
        <f t="shared" si="0"/>
        <v>102119193700CB9</v>
      </c>
      <c r="C35" t="s">
        <v>314</v>
      </c>
      <c r="D35" t="s">
        <v>146</v>
      </c>
      <c r="E35">
        <v>20411454</v>
      </c>
      <c r="F35" t="s">
        <v>431</v>
      </c>
      <c r="G35" t="s">
        <v>128</v>
      </c>
      <c r="H35" s="1">
        <v>45658</v>
      </c>
      <c r="I35" t="s">
        <v>51</v>
      </c>
      <c r="M35" s="4">
        <v>-50</v>
      </c>
      <c r="O35" t="s">
        <v>422</v>
      </c>
    </row>
    <row r="36" spans="1:15" x14ac:dyDescent="0.25">
      <c r="A36" s="5">
        <v>101550528200</v>
      </c>
      <c r="B36" s="5" t="str">
        <f t="shared" si="0"/>
        <v>1015505282009</v>
      </c>
      <c r="C36" t="s">
        <v>132</v>
      </c>
      <c r="D36" t="s">
        <v>46</v>
      </c>
      <c r="E36">
        <v>20411454</v>
      </c>
      <c r="F36" t="s">
        <v>431</v>
      </c>
      <c r="G36" t="s">
        <v>135</v>
      </c>
      <c r="H36" s="1">
        <v>45717</v>
      </c>
      <c r="I36" t="s">
        <v>51</v>
      </c>
      <c r="J36" s="2">
        <v>0</v>
      </c>
      <c r="K36" s="2">
        <v>41.67</v>
      </c>
      <c r="L36" s="3">
        <v>1</v>
      </c>
      <c r="M36" s="2">
        <v>41.67</v>
      </c>
      <c r="N36" t="s">
        <v>136</v>
      </c>
      <c r="O36" t="s">
        <v>422</v>
      </c>
    </row>
    <row r="37" spans="1:15" x14ac:dyDescent="0.25">
      <c r="A37" s="5">
        <v>101880856300</v>
      </c>
      <c r="B37" s="5" t="str">
        <f t="shared" si="0"/>
        <v>1018808563009</v>
      </c>
      <c r="C37" t="s">
        <v>143</v>
      </c>
      <c r="D37" t="s">
        <v>110</v>
      </c>
      <c r="E37">
        <v>20411454</v>
      </c>
      <c r="F37" t="s">
        <v>431</v>
      </c>
      <c r="G37" t="s">
        <v>135</v>
      </c>
      <c r="H37" s="1">
        <v>45717</v>
      </c>
      <c r="I37" t="s">
        <v>51</v>
      </c>
      <c r="J37" s="2">
        <v>0</v>
      </c>
      <c r="K37" s="2">
        <v>41.67</v>
      </c>
      <c r="L37" s="3">
        <v>1</v>
      </c>
      <c r="M37" s="2">
        <v>41.67</v>
      </c>
      <c r="N37" t="s">
        <v>136</v>
      </c>
      <c r="O37" t="s">
        <v>422</v>
      </c>
    </row>
    <row r="38" spans="1:15" x14ac:dyDescent="0.25">
      <c r="A38" s="5">
        <v>101968935100</v>
      </c>
      <c r="B38" s="5" t="str">
        <f t="shared" si="0"/>
        <v>1019689351009</v>
      </c>
      <c r="C38" t="s">
        <v>145</v>
      </c>
      <c r="D38" t="s">
        <v>146</v>
      </c>
      <c r="E38">
        <v>20411454</v>
      </c>
      <c r="F38" t="s">
        <v>431</v>
      </c>
      <c r="G38" t="s">
        <v>135</v>
      </c>
      <c r="H38" s="1">
        <v>45717</v>
      </c>
      <c r="I38" t="s">
        <v>51</v>
      </c>
      <c r="J38" s="2">
        <v>0</v>
      </c>
      <c r="K38" s="2">
        <v>41.67</v>
      </c>
      <c r="L38" s="3">
        <v>1</v>
      </c>
      <c r="M38" s="2">
        <v>41.67</v>
      </c>
      <c r="N38" t="s">
        <v>136</v>
      </c>
      <c r="O38" t="s">
        <v>422</v>
      </c>
    </row>
    <row r="39" spans="1:15" x14ac:dyDescent="0.25">
      <c r="A39" s="5">
        <v>102148368500</v>
      </c>
      <c r="B39" s="5" t="str">
        <f t="shared" si="0"/>
        <v>1021483685009</v>
      </c>
      <c r="C39" t="s">
        <v>226</v>
      </c>
      <c r="D39" t="s">
        <v>156</v>
      </c>
      <c r="E39">
        <v>20411454</v>
      </c>
      <c r="F39" t="s">
        <v>431</v>
      </c>
      <c r="G39" t="s">
        <v>135</v>
      </c>
      <c r="H39" s="1">
        <v>45748</v>
      </c>
      <c r="I39" t="s">
        <v>51</v>
      </c>
      <c r="J39" s="2">
        <v>0</v>
      </c>
      <c r="K39" s="2">
        <v>37.5</v>
      </c>
      <c r="L39" s="3">
        <v>1</v>
      </c>
      <c r="M39" s="2">
        <v>37.5</v>
      </c>
      <c r="N39" t="s">
        <v>227</v>
      </c>
      <c r="O39" t="s">
        <v>422</v>
      </c>
    </row>
    <row r="40" spans="1:15" x14ac:dyDescent="0.25">
      <c r="A40" s="5">
        <v>102148379700</v>
      </c>
      <c r="B40" s="5" t="str">
        <f t="shared" si="0"/>
        <v>1021483797009</v>
      </c>
      <c r="C40" t="s">
        <v>229</v>
      </c>
      <c r="D40" t="s">
        <v>110</v>
      </c>
      <c r="E40">
        <v>20411454</v>
      </c>
      <c r="F40" t="s">
        <v>431</v>
      </c>
      <c r="G40" t="s">
        <v>135</v>
      </c>
      <c r="H40" s="1">
        <v>45717</v>
      </c>
      <c r="I40" t="s">
        <v>51</v>
      </c>
      <c r="J40" s="2">
        <v>0</v>
      </c>
      <c r="K40" s="2">
        <v>41.67</v>
      </c>
      <c r="L40" s="3">
        <v>1</v>
      </c>
      <c r="M40" s="2">
        <v>41.67</v>
      </c>
      <c r="N40" t="s">
        <v>136</v>
      </c>
      <c r="O40" t="s">
        <v>422</v>
      </c>
    </row>
    <row r="41" spans="1:15" x14ac:dyDescent="0.25">
      <c r="A41" s="5">
        <v>102148711800</v>
      </c>
      <c r="B41" s="5" t="str">
        <f>CONCATENATE(A41,9)</f>
        <v>1021487118009</v>
      </c>
      <c r="C41" t="s">
        <v>231</v>
      </c>
      <c r="D41" t="s">
        <v>146</v>
      </c>
      <c r="E41">
        <v>20411454</v>
      </c>
      <c r="F41" t="s">
        <v>431</v>
      </c>
      <c r="G41" t="s">
        <v>135</v>
      </c>
      <c r="H41" s="1">
        <v>45689</v>
      </c>
      <c r="I41" t="s">
        <v>51</v>
      </c>
      <c r="J41" s="2">
        <v>0</v>
      </c>
      <c r="K41" s="2">
        <v>45.83</v>
      </c>
      <c r="L41" s="3">
        <v>1</v>
      </c>
      <c r="M41" s="2">
        <v>45.83</v>
      </c>
      <c r="N41" t="s">
        <v>232</v>
      </c>
      <c r="O41" t="s">
        <v>422</v>
      </c>
    </row>
    <row r="42" spans="1:15" x14ac:dyDescent="0.25">
      <c r="A42" s="5">
        <v>102150214700</v>
      </c>
      <c r="B42" s="5" t="str">
        <f t="shared" si="0"/>
        <v>1021502147009</v>
      </c>
      <c r="C42" t="s">
        <v>234</v>
      </c>
      <c r="D42" t="s">
        <v>110</v>
      </c>
      <c r="E42">
        <v>20411454</v>
      </c>
      <c r="F42" t="s">
        <v>431</v>
      </c>
      <c r="G42" t="s">
        <v>135</v>
      </c>
      <c r="H42" s="1">
        <v>45717</v>
      </c>
      <c r="I42" t="s">
        <v>51</v>
      </c>
      <c r="J42" s="2">
        <v>0</v>
      </c>
      <c r="K42" s="2">
        <v>41.67</v>
      </c>
      <c r="L42" s="3">
        <v>1</v>
      </c>
      <c r="M42" s="2">
        <v>41.67</v>
      </c>
      <c r="N42" t="s">
        <v>136</v>
      </c>
      <c r="O42" t="s">
        <v>422</v>
      </c>
    </row>
    <row r="43" spans="1:15" x14ac:dyDescent="0.25">
      <c r="A43" s="5">
        <v>102150220300</v>
      </c>
      <c r="B43" s="5" t="str">
        <f t="shared" si="0"/>
        <v>1021502203009</v>
      </c>
      <c r="C43" t="s">
        <v>238</v>
      </c>
      <c r="D43" t="s">
        <v>239</v>
      </c>
      <c r="E43">
        <v>20411454</v>
      </c>
      <c r="F43" t="s">
        <v>431</v>
      </c>
      <c r="G43" t="s">
        <v>135</v>
      </c>
      <c r="H43" s="1">
        <v>45748</v>
      </c>
      <c r="I43" t="s">
        <v>51</v>
      </c>
      <c r="J43" s="2">
        <v>0</v>
      </c>
      <c r="K43" s="2">
        <v>37.5</v>
      </c>
      <c r="L43" s="3">
        <v>1</v>
      </c>
      <c r="M43" s="2">
        <v>37.5</v>
      </c>
      <c r="N43" t="s">
        <v>227</v>
      </c>
      <c r="O43" t="s">
        <v>422</v>
      </c>
    </row>
    <row r="44" spans="1:15" x14ac:dyDescent="0.25">
      <c r="A44" s="5" t="s">
        <v>387</v>
      </c>
      <c r="B44" s="5" t="str">
        <f t="shared" si="0"/>
        <v>101137736000CB9</v>
      </c>
      <c r="C44" t="s">
        <v>127</v>
      </c>
      <c r="D44" t="s">
        <v>110</v>
      </c>
      <c r="E44">
        <v>20411454</v>
      </c>
      <c r="F44" t="s">
        <v>431</v>
      </c>
      <c r="G44" t="s">
        <v>135</v>
      </c>
      <c r="H44" s="1">
        <v>45689</v>
      </c>
      <c r="I44" t="s">
        <v>51</v>
      </c>
      <c r="M44" s="4">
        <v>-45.83</v>
      </c>
      <c r="O44" t="s">
        <v>422</v>
      </c>
    </row>
    <row r="45" spans="1:15" x14ac:dyDescent="0.25">
      <c r="A45" s="5" t="s">
        <v>388</v>
      </c>
      <c r="B45" s="5" t="str">
        <f t="shared" si="0"/>
        <v>101137742600CB9</v>
      </c>
      <c r="C45" t="s">
        <v>130</v>
      </c>
      <c r="D45" t="s">
        <v>110</v>
      </c>
      <c r="E45">
        <v>20411454</v>
      </c>
      <c r="F45" t="s">
        <v>431</v>
      </c>
      <c r="G45" t="s">
        <v>135</v>
      </c>
      <c r="H45" s="1">
        <v>45689</v>
      </c>
      <c r="I45" t="s">
        <v>51</v>
      </c>
      <c r="M45" s="4">
        <v>-45.83</v>
      </c>
      <c r="O45" t="s">
        <v>422</v>
      </c>
    </row>
    <row r="46" spans="1:15" x14ac:dyDescent="0.25">
      <c r="A46" s="5" t="s">
        <v>390</v>
      </c>
      <c r="B46" s="5" t="str">
        <f t="shared" si="0"/>
        <v>101873362500CB9</v>
      </c>
      <c r="C46" t="s">
        <v>138</v>
      </c>
      <c r="D46" t="s">
        <v>139</v>
      </c>
      <c r="E46">
        <v>20411454</v>
      </c>
      <c r="F46" t="s">
        <v>431</v>
      </c>
      <c r="G46" t="s">
        <v>135</v>
      </c>
      <c r="H46" s="1">
        <v>45689</v>
      </c>
      <c r="I46" t="s">
        <v>51</v>
      </c>
      <c r="M46" s="4">
        <v>-45.83</v>
      </c>
      <c r="O46" t="s">
        <v>422</v>
      </c>
    </row>
    <row r="47" spans="1:15" x14ac:dyDescent="0.25">
      <c r="A47" s="5" t="s">
        <v>392</v>
      </c>
      <c r="B47" s="5" t="str">
        <f t="shared" si="0"/>
        <v>102099947600CB9</v>
      </c>
      <c r="C47" t="s">
        <v>148</v>
      </c>
      <c r="D47" t="s">
        <v>149</v>
      </c>
      <c r="E47">
        <v>20411454</v>
      </c>
      <c r="F47" t="s">
        <v>431</v>
      </c>
      <c r="G47" t="s">
        <v>135</v>
      </c>
      <c r="H47" s="1">
        <v>45689</v>
      </c>
      <c r="I47" t="s">
        <v>51</v>
      </c>
      <c r="M47" s="4">
        <v>-45.83</v>
      </c>
      <c r="O47" t="s">
        <v>422</v>
      </c>
    </row>
    <row r="48" spans="1:15" x14ac:dyDescent="0.25">
      <c r="A48" s="5" t="s">
        <v>395</v>
      </c>
      <c r="B48" s="5" t="str">
        <f t="shared" si="0"/>
        <v>102135098200CB9</v>
      </c>
      <c r="C48" t="s">
        <v>153</v>
      </c>
      <c r="D48" t="s">
        <v>110</v>
      </c>
      <c r="E48">
        <v>20411454</v>
      </c>
      <c r="F48" t="s">
        <v>431</v>
      </c>
      <c r="G48" t="s">
        <v>135</v>
      </c>
      <c r="H48" s="1">
        <v>45748</v>
      </c>
      <c r="I48" t="s">
        <v>51</v>
      </c>
      <c r="M48" s="4">
        <v>-37.5</v>
      </c>
      <c r="O48" t="s">
        <v>422</v>
      </c>
    </row>
    <row r="49" spans="1:15" x14ac:dyDescent="0.25">
      <c r="A49" s="5" t="s">
        <v>396</v>
      </c>
      <c r="B49" s="5" t="str">
        <f t="shared" si="0"/>
        <v>102136243000CB9</v>
      </c>
      <c r="C49" t="s">
        <v>155</v>
      </c>
      <c r="D49" t="s">
        <v>156</v>
      </c>
      <c r="E49">
        <v>20411454</v>
      </c>
      <c r="F49" t="s">
        <v>431</v>
      </c>
      <c r="G49" t="s">
        <v>135</v>
      </c>
      <c r="H49" s="1">
        <v>45689</v>
      </c>
      <c r="I49" t="s">
        <v>51</v>
      </c>
      <c r="M49" s="4">
        <v>-45.83</v>
      </c>
      <c r="O49" t="s">
        <v>422</v>
      </c>
    </row>
    <row r="50" spans="1:15" x14ac:dyDescent="0.25">
      <c r="A50" s="5" t="s">
        <v>397</v>
      </c>
      <c r="B50" s="5" t="str">
        <f t="shared" si="0"/>
        <v>102136258200CB9</v>
      </c>
      <c r="C50" t="s">
        <v>158</v>
      </c>
      <c r="D50" t="s">
        <v>159</v>
      </c>
      <c r="E50">
        <v>20411454</v>
      </c>
      <c r="F50" t="s">
        <v>431</v>
      </c>
      <c r="G50" t="s">
        <v>135</v>
      </c>
      <c r="H50" s="1">
        <v>45689</v>
      </c>
      <c r="I50" t="s">
        <v>51</v>
      </c>
      <c r="M50" s="4">
        <v>-45.83</v>
      </c>
      <c r="O50" t="s">
        <v>422</v>
      </c>
    </row>
    <row r="51" spans="1:15" x14ac:dyDescent="0.25">
      <c r="A51" s="5" t="s">
        <v>398</v>
      </c>
      <c r="B51" s="5" t="str">
        <f t="shared" si="0"/>
        <v>102136696000CB9</v>
      </c>
      <c r="C51" t="s">
        <v>163</v>
      </c>
      <c r="D51" t="s">
        <v>146</v>
      </c>
      <c r="E51">
        <v>20411454</v>
      </c>
      <c r="F51" t="s">
        <v>431</v>
      </c>
      <c r="G51" t="s">
        <v>135</v>
      </c>
      <c r="H51" s="1">
        <v>45717</v>
      </c>
      <c r="I51" t="s">
        <v>51</v>
      </c>
      <c r="M51" s="4">
        <v>-41.67</v>
      </c>
      <c r="O51" t="s">
        <v>422</v>
      </c>
    </row>
    <row r="52" spans="1:15" x14ac:dyDescent="0.25">
      <c r="A52" s="5" t="s">
        <v>399</v>
      </c>
      <c r="B52" s="5" t="str">
        <f t="shared" si="0"/>
        <v>102136755100CB9</v>
      </c>
      <c r="C52" t="s">
        <v>167</v>
      </c>
      <c r="D52" t="s">
        <v>146</v>
      </c>
      <c r="E52">
        <v>20411454</v>
      </c>
      <c r="F52" t="s">
        <v>431</v>
      </c>
      <c r="G52" t="s">
        <v>135</v>
      </c>
      <c r="H52" s="1">
        <v>45689</v>
      </c>
      <c r="I52" t="s">
        <v>51</v>
      </c>
      <c r="M52" s="4">
        <v>-45.83</v>
      </c>
      <c r="O52" t="s">
        <v>422</v>
      </c>
    </row>
    <row r="53" spans="1:15" x14ac:dyDescent="0.25">
      <c r="A53" s="5" t="s">
        <v>400</v>
      </c>
      <c r="B53" s="5" t="str">
        <f t="shared" si="0"/>
        <v>102136760300CB9</v>
      </c>
      <c r="C53" t="s">
        <v>169</v>
      </c>
      <c r="D53" t="s">
        <v>146</v>
      </c>
      <c r="E53">
        <v>20411454</v>
      </c>
      <c r="F53" t="s">
        <v>431</v>
      </c>
      <c r="G53" t="s">
        <v>135</v>
      </c>
      <c r="H53" s="1">
        <v>45717</v>
      </c>
      <c r="I53" t="s">
        <v>51</v>
      </c>
      <c r="M53" s="4">
        <v>-41.67</v>
      </c>
      <c r="O53" t="s">
        <v>422</v>
      </c>
    </row>
    <row r="54" spans="1:15" x14ac:dyDescent="0.25">
      <c r="A54" s="5" t="s">
        <v>401</v>
      </c>
      <c r="B54" s="5" t="str">
        <f t="shared" si="0"/>
        <v>102136793200CB9</v>
      </c>
      <c r="C54" t="s">
        <v>171</v>
      </c>
      <c r="D54" t="s">
        <v>159</v>
      </c>
      <c r="E54">
        <v>20411454</v>
      </c>
      <c r="F54" t="s">
        <v>431</v>
      </c>
      <c r="G54" t="s">
        <v>135</v>
      </c>
      <c r="H54" s="1">
        <v>45748</v>
      </c>
      <c r="I54" t="s">
        <v>51</v>
      </c>
      <c r="M54" s="4">
        <v>-37.5</v>
      </c>
      <c r="O54" t="s">
        <v>422</v>
      </c>
    </row>
    <row r="55" spans="1:15" x14ac:dyDescent="0.25">
      <c r="A55" s="5" t="s">
        <v>402</v>
      </c>
      <c r="B55" s="5" t="str">
        <f t="shared" si="0"/>
        <v>102137196000CB9</v>
      </c>
      <c r="C55" t="s">
        <v>173</v>
      </c>
      <c r="D55" t="s">
        <v>146</v>
      </c>
      <c r="E55">
        <v>20411454</v>
      </c>
      <c r="F55" t="s">
        <v>431</v>
      </c>
      <c r="G55" t="s">
        <v>135</v>
      </c>
      <c r="H55" s="1">
        <v>45689</v>
      </c>
      <c r="I55" t="s">
        <v>51</v>
      </c>
      <c r="M55" s="4">
        <v>-45.83</v>
      </c>
      <c r="O55" t="s">
        <v>422</v>
      </c>
    </row>
    <row r="56" spans="1:15" x14ac:dyDescent="0.25">
      <c r="A56" s="5" t="s">
        <v>403</v>
      </c>
      <c r="B56" s="5" t="str">
        <f t="shared" si="0"/>
        <v>102137272900CB9</v>
      </c>
      <c r="C56" t="s">
        <v>177</v>
      </c>
      <c r="D56" t="s">
        <v>110</v>
      </c>
      <c r="E56">
        <v>20411454</v>
      </c>
      <c r="F56" t="s">
        <v>431</v>
      </c>
      <c r="G56" t="s">
        <v>135</v>
      </c>
      <c r="H56" s="1">
        <v>45689</v>
      </c>
      <c r="I56" t="s">
        <v>51</v>
      </c>
      <c r="M56" s="4">
        <v>-45.83</v>
      </c>
      <c r="O56" t="s">
        <v>422</v>
      </c>
    </row>
    <row r="57" spans="1:15" x14ac:dyDescent="0.25">
      <c r="A57" s="5" t="s">
        <v>404</v>
      </c>
      <c r="B57" s="5" t="str">
        <f t="shared" si="0"/>
        <v>102138156800CB9</v>
      </c>
      <c r="C57" t="s">
        <v>181</v>
      </c>
      <c r="D57" t="s">
        <v>149</v>
      </c>
      <c r="E57">
        <v>20411454</v>
      </c>
      <c r="F57" t="s">
        <v>431</v>
      </c>
      <c r="G57" t="s">
        <v>135</v>
      </c>
      <c r="H57" s="1">
        <v>45689</v>
      </c>
      <c r="I57" t="s">
        <v>51</v>
      </c>
      <c r="M57" s="4">
        <v>-45.83</v>
      </c>
      <c r="O57" t="s">
        <v>422</v>
      </c>
    </row>
    <row r="58" spans="1:15" x14ac:dyDescent="0.25">
      <c r="A58" s="5" t="s">
        <v>405</v>
      </c>
      <c r="B58" s="5" t="str">
        <f t="shared" si="0"/>
        <v>102138240500CB9</v>
      </c>
      <c r="C58" t="s">
        <v>183</v>
      </c>
      <c r="D58" t="s">
        <v>110</v>
      </c>
      <c r="E58">
        <v>20411454</v>
      </c>
      <c r="F58" t="s">
        <v>431</v>
      </c>
      <c r="G58" t="s">
        <v>135</v>
      </c>
      <c r="H58" s="1">
        <v>45689</v>
      </c>
      <c r="I58" t="s">
        <v>51</v>
      </c>
      <c r="M58" s="4">
        <v>-45.83</v>
      </c>
      <c r="O58" t="s">
        <v>422</v>
      </c>
    </row>
    <row r="59" spans="1:15" x14ac:dyDescent="0.25">
      <c r="A59" s="5" t="s">
        <v>406</v>
      </c>
      <c r="B59" s="5" t="str">
        <f t="shared" si="0"/>
        <v>102138440000CB9</v>
      </c>
      <c r="C59" t="s">
        <v>187</v>
      </c>
      <c r="D59" t="s">
        <v>110</v>
      </c>
      <c r="E59">
        <v>20411454</v>
      </c>
      <c r="F59" t="s">
        <v>431</v>
      </c>
      <c r="G59" t="s">
        <v>135</v>
      </c>
      <c r="H59" s="1">
        <v>45689</v>
      </c>
      <c r="I59" t="s">
        <v>51</v>
      </c>
      <c r="M59" s="4">
        <v>-45.83</v>
      </c>
      <c r="O59" t="s">
        <v>422</v>
      </c>
    </row>
    <row r="60" spans="1:15" x14ac:dyDescent="0.25">
      <c r="A60" s="5" t="s">
        <v>407</v>
      </c>
      <c r="B60" s="5" t="str">
        <f t="shared" si="0"/>
        <v>102138526200CB9</v>
      </c>
      <c r="C60" t="s">
        <v>189</v>
      </c>
      <c r="D60" t="s">
        <v>110</v>
      </c>
      <c r="E60">
        <v>20411454</v>
      </c>
      <c r="F60" t="s">
        <v>431</v>
      </c>
      <c r="G60" t="s">
        <v>135</v>
      </c>
      <c r="H60" s="1">
        <v>45689</v>
      </c>
      <c r="I60" t="s">
        <v>51</v>
      </c>
      <c r="M60" s="4">
        <v>-45.83</v>
      </c>
      <c r="O60" t="s">
        <v>422</v>
      </c>
    </row>
    <row r="61" spans="1:15" x14ac:dyDescent="0.25">
      <c r="A61" s="5" t="s">
        <v>408</v>
      </c>
      <c r="B61" s="5" t="str">
        <f t="shared" si="0"/>
        <v>102138558200CB9</v>
      </c>
      <c r="C61" t="s">
        <v>191</v>
      </c>
      <c r="D61" t="s">
        <v>192</v>
      </c>
      <c r="E61">
        <v>20411454</v>
      </c>
      <c r="F61" t="s">
        <v>431</v>
      </c>
      <c r="G61" t="s">
        <v>135</v>
      </c>
      <c r="H61" s="1">
        <v>45689</v>
      </c>
      <c r="I61" t="s">
        <v>51</v>
      </c>
      <c r="M61" s="4">
        <v>-45.83</v>
      </c>
      <c r="O61" t="s">
        <v>422</v>
      </c>
    </row>
    <row r="62" spans="1:15" x14ac:dyDescent="0.25">
      <c r="A62" s="5" t="s">
        <v>409</v>
      </c>
      <c r="B62" s="5" t="str">
        <f t="shared" si="0"/>
        <v>102138649000CB9</v>
      </c>
      <c r="C62" t="s">
        <v>194</v>
      </c>
      <c r="D62" t="s">
        <v>110</v>
      </c>
      <c r="E62">
        <v>20411454</v>
      </c>
      <c r="F62" t="s">
        <v>431</v>
      </c>
      <c r="G62" t="s">
        <v>135</v>
      </c>
      <c r="H62" s="1">
        <v>45689</v>
      </c>
      <c r="I62" t="s">
        <v>51</v>
      </c>
      <c r="M62" s="4">
        <v>-45.83</v>
      </c>
      <c r="O62" t="s">
        <v>422</v>
      </c>
    </row>
    <row r="63" spans="1:15" x14ac:dyDescent="0.25">
      <c r="A63" s="5" t="s">
        <v>410</v>
      </c>
      <c r="B63" s="5" t="str">
        <f t="shared" si="0"/>
        <v>102139051700CB9</v>
      </c>
      <c r="C63" t="s">
        <v>198</v>
      </c>
      <c r="D63" t="s">
        <v>146</v>
      </c>
      <c r="E63">
        <v>20411454</v>
      </c>
      <c r="F63" t="s">
        <v>431</v>
      </c>
      <c r="G63" t="s">
        <v>135</v>
      </c>
      <c r="H63" s="1">
        <v>45689</v>
      </c>
      <c r="I63" t="s">
        <v>51</v>
      </c>
      <c r="M63" s="4">
        <v>-45.83</v>
      </c>
      <c r="O63" t="s">
        <v>422</v>
      </c>
    </row>
    <row r="64" spans="1:15" x14ac:dyDescent="0.25">
      <c r="A64" s="5" t="s">
        <v>411</v>
      </c>
      <c r="B64" s="5" t="str">
        <f t="shared" si="0"/>
        <v>102141040100CB9</v>
      </c>
      <c r="C64" t="s">
        <v>202</v>
      </c>
      <c r="D64" t="s">
        <v>159</v>
      </c>
      <c r="E64">
        <v>20411454</v>
      </c>
      <c r="F64" t="s">
        <v>431</v>
      </c>
      <c r="G64" t="s">
        <v>135</v>
      </c>
      <c r="H64" s="1">
        <v>45717</v>
      </c>
      <c r="I64" t="s">
        <v>51</v>
      </c>
      <c r="M64" s="4">
        <v>-41.67</v>
      </c>
      <c r="O64" t="s">
        <v>422</v>
      </c>
    </row>
    <row r="65" spans="1:15" x14ac:dyDescent="0.25">
      <c r="A65" s="5" t="s">
        <v>412</v>
      </c>
      <c r="B65" s="5" t="str">
        <f t="shared" si="0"/>
        <v>102141057700CB9</v>
      </c>
      <c r="C65" t="s">
        <v>204</v>
      </c>
      <c r="D65" t="s">
        <v>110</v>
      </c>
      <c r="E65">
        <v>20411454</v>
      </c>
      <c r="F65" t="s">
        <v>431</v>
      </c>
      <c r="G65" t="s">
        <v>135</v>
      </c>
      <c r="H65" s="1">
        <v>45689</v>
      </c>
      <c r="I65" t="s">
        <v>51</v>
      </c>
      <c r="M65" s="4">
        <v>-45.83</v>
      </c>
      <c r="O65" t="s">
        <v>422</v>
      </c>
    </row>
    <row r="66" spans="1:15" x14ac:dyDescent="0.25">
      <c r="A66" s="5" t="s">
        <v>413</v>
      </c>
      <c r="B66" s="5" t="str">
        <f t="shared" si="0"/>
        <v>102141630900CB9</v>
      </c>
      <c r="C66" t="s">
        <v>208</v>
      </c>
      <c r="D66" t="s">
        <v>209</v>
      </c>
      <c r="E66">
        <v>20411454</v>
      </c>
      <c r="F66" t="s">
        <v>431</v>
      </c>
      <c r="G66" t="s">
        <v>135</v>
      </c>
      <c r="H66" s="1">
        <v>45689</v>
      </c>
      <c r="I66" t="s">
        <v>51</v>
      </c>
      <c r="M66" s="4">
        <v>-45.83</v>
      </c>
      <c r="O66" t="s">
        <v>422</v>
      </c>
    </row>
    <row r="67" spans="1:15" x14ac:dyDescent="0.25">
      <c r="A67" s="5" t="s">
        <v>414</v>
      </c>
      <c r="B67" s="5" t="str">
        <f t="shared" ref="B67" si="1">CONCATENATE(A67,9)</f>
        <v>102142338300CB9</v>
      </c>
      <c r="C67" t="s">
        <v>211</v>
      </c>
      <c r="D67" t="s">
        <v>146</v>
      </c>
      <c r="E67">
        <v>20411454</v>
      </c>
      <c r="F67" t="s">
        <v>431</v>
      </c>
      <c r="G67" t="s">
        <v>135</v>
      </c>
      <c r="H67" s="1">
        <v>45689</v>
      </c>
      <c r="I67" t="s">
        <v>51</v>
      </c>
      <c r="M67" s="4">
        <v>-45.83</v>
      </c>
      <c r="O67" t="s">
        <v>422</v>
      </c>
    </row>
    <row r="68" spans="1:15" x14ac:dyDescent="0.25">
      <c r="A68" s="5" t="s">
        <v>415</v>
      </c>
      <c r="B68" s="5" t="str">
        <f>CONCATENATE(A68,9)</f>
        <v>102142380900CB9</v>
      </c>
      <c r="C68" t="s">
        <v>213</v>
      </c>
      <c r="D68" t="s">
        <v>146</v>
      </c>
      <c r="E68">
        <v>20411454</v>
      </c>
      <c r="F68" t="s">
        <v>431</v>
      </c>
      <c r="G68" t="s">
        <v>135</v>
      </c>
      <c r="H68" s="1">
        <v>45689</v>
      </c>
      <c r="I68" t="s">
        <v>51</v>
      </c>
      <c r="M68" s="4">
        <v>-45.83</v>
      </c>
      <c r="O68" t="s">
        <v>422</v>
      </c>
    </row>
    <row r="69" spans="1:15" x14ac:dyDescent="0.25">
      <c r="A69" s="5" t="s">
        <v>416</v>
      </c>
      <c r="B69" s="5" t="str">
        <f t="shared" ref="B69:B72" si="2">CONCATENATE(A69,9)</f>
        <v>102142808400CB9</v>
      </c>
      <c r="C69" t="s">
        <v>215</v>
      </c>
      <c r="D69" t="s">
        <v>110</v>
      </c>
      <c r="E69">
        <v>20411454</v>
      </c>
      <c r="F69" t="s">
        <v>431</v>
      </c>
      <c r="G69" t="s">
        <v>135</v>
      </c>
      <c r="H69" s="1">
        <v>45689</v>
      </c>
      <c r="I69" t="s">
        <v>51</v>
      </c>
      <c r="M69" s="4">
        <v>-45.83</v>
      </c>
      <c r="O69" t="s">
        <v>422</v>
      </c>
    </row>
    <row r="70" spans="1:15" x14ac:dyDescent="0.25">
      <c r="A70" s="5" t="s">
        <v>417</v>
      </c>
      <c r="B70" s="5" t="str">
        <f t="shared" si="2"/>
        <v>102142845300CB9</v>
      </c>
      <c r="C70" t="s">
        <v>217</v>
      </c>
      <c r="D70" t="s">
        <v>218</v>
      </c>
      <c r="E70">
        <v>20411454</v>
      </c>
      <c r="F70" t="s">
        <v>431</v>
      </c>
      <c r="G70" t="s">
        <v>135</v>
      </c>
      <c r="H70" s="1">
        <v>45689</v>
      </c>
      <c r="I70" t="s">
        <v>51</v>
      </c>
      <c r="M70" s="4">
        <v>-45.83</v>
      </c>
      <c r="O70" t="s">
        <v>422</v>
      </c>
    </row>
    <row r="71" spans="1:15" x14ac:dyDescent="0.25">
      <c r="A71" s="5" t="s">
        <v>418</v>
      </c>
      <c r="B71" s="5" t="str">
        <f t="shared" si="2"/>
        <v>102143800500CB9</v>
      </c>
      <c r="C71" t="s">
        <v>222</v>
      </c>
      <c r="D71" t="s">
        <v>146</v>
      </c>
      <c r="E71">
        <v>20411454</v>
      </c>
      <c r="F71" t="s">
        <v>431</v>
      </c>
      <c r="G71" t="s">
        <v>135</v>
      </c>
      <c r="H71" s="1">
        <v>45689</v>
      </c>
      <c r="I71" t="s">
        <v>51</v>
      </c>
      <c r="M71" s="4">
        <v>-45.83</v>
      </c>
      <c r="O71" t="s">
        <v>422</v>
      </c>
    </row>
    <row r="72" spans="1:15" x14ac:dyDescent="0.25">
      <c r="A72" s="5" t="s">
        <v>419</v>
      </c>
      <c r="B72" s="5" t="str">
        <f t="shared" si="2"/>
        <v>102144511800CB9</v>
      </c>
      <c r="C72" t="s">
        <v>224</v>
      </c>
      <c r="D72" t="s">
        <v>110</v>
      </c>
      <c r="E72">
        <v>20411454</v>
      </c>
      <c r="F72" t="s">
        <v>431</v>
      </c>
      <c r="G72" t="s">
        <v>135</v>
      </c>
      <c r="H72" s="1">
        <v>45748</v>
      </c>
      <c r="I72" t="s">
        <v>51</v>
      </c>
      <c r="M72" s="4">
        <v>-37.5</v>
      </c>
      <c r="O72" t="s">
        <v>422</v>
      </c>
    </row>
    <row r="73" spans="1:15" x14ac:dyDescent="0.25">
      <c r="A73" s="5" t="s">
        <v>364</v>
      </c>
      <c r="B73" s="5" t="str">
        <f>CONCATENATE(A73,9)</f>
        <v>022W145119</v>
      </c>
      <c r="C73" t="s">
        <v>122</v>
      </c>
      <c r="D73" t="s">
        <v>46</v>
      </c>
      <c r="E73">
        <v>20411454</v>
      </c>
      <c r="F73" t="s">
        <v>431</v>
      </c>
      <c r="G73" t="s">
        <v>123</v>
      </c>
      <c r="H73" s="1">
        <v>45658</v>
      </c>
      <c r="I73" t="s">
        <v>51</v>
      </c>
      <c r="J73" s="2">
        <v>0</v>
      </c>
      <c r="K73" s="2">
        <v>175</v>
      </c>
      <c r="L73" s="3">
        <v>1</v>
      </c>
      <c r="M73" s="2">
        <v>175</v>
      </c>
      <c r="O73" t="s">
        <v>423</v>
      </c>
    </row>
    <row r="74" spans="1:15" x14ac:dyDescent="0.25">
      <c r="A74" s="5" t="s">
        <v>365</v>
      </c>
      <c r="B74" s="5" t="str">
        <f t="shared" ref="B74:B100" si="3">CONCATENATE(A74,9)</f>
        <v>023W164029</v>
      </c>
      <c r="C74" t="s">
        <v>125</v>
      </c>
      <c r="D74" t="s">
        <v>46</v>
      </c>
      <c r="E74">
        <v>20411454</v>
      </c>
      <c r="F74" t="s">
        <v>431</v>
      </c>
      <c r="G74" t="s">
        <v>123</v>
      </c>
      <c r="H74" s="1">
        <v>45658</v>
      </c>
      <c r="I74" t="s">
        <v>51</v>
      </c>
      <c r="J74" s="2">
        <v>0</v>
      </c>
      <c r="K74" s="2">
        <v>175</v>
      </c>
      <c r="L74" s="3">
        <v>1</v>
      </c>
      <c r="M74" s="2">
        <v>175</v>
      </c>
      <c r="O74" t="s">
        <v>423</v>
      </c>
    </row>
    <row r="75" spans="1:15" x14ac:dyDescent="0.25">
      <c r="A75" s="5" t="s">
        <v>366</v>
      </c>
      <c r="B75" s="5" t="str">
        <f t="shared" si="3"/>
        <v>246W218689</v>
      </c>
      <c r="C75" t="s">
        <v>241</v>
      </c>
      <c r="D75" t="s">
        <v>46</v>
      </c>
      <c r="E75">
        <v>20411454</v>
      </c>
      <c r="F75" t="s">
        <v>431</v>
      </c>
      <c r="G75" t="s">
        <v>123</v>
      </c>
      <c r="H75" s="1">
        <v>45658</v>
      </c>
      <c r="I75" t="s">
        <v>51</v>
      </c>
      <c r="J75" s="2">
        <v>0</v>
      </c>
      <c r="K75" s="2">
        <v>175</v>
      </c>
      <c r="L75" s="3">
        <v>1</v>
      </c>
      <c r="M75" s="2">
        <v>175</v>
      </c>
      <c r="O75" t="s">
        <v>423</v>
      </c>
    </row>
    <row r="76" spans="1:15" x14ac:dyDescent="0.25">
      <c r="A76" s="5" t="s">
        <v>367</v>
      </c>
      <c r="B76" s="5" t="str">
        <f t="shared" si="3"/>
        <v>246W224579</v>
      </c>
      <c r="C76" t="s">
        <v>243</v>
      </c>
      <c r="D76" t="s">
        <v>46</v>
      </c>
      <c r="E76">
        <v>20411454</v>
      </c>
      <c r="F76" t="s">
        <v>431</v>
      </c>
      <c r="G76" t="s">
        <v>123</v>
      </c>
      <c r="H76" s="1">
        <v>45658</v>
      </c>
      <c r="I76" t="s">
        <v>51</v>
      </c>
      <c r="J76" s="2">
        <v>0</v>
      </c>
      <c r="K76" s="2">
        <v>175</v>
      </c>
      <c r="L76" s="3">
        <v>1</v>
      </c>
      <c r="M76" s="2">
        <v>175</v>
      </c>
      <c r="O76" t="s">
        <v>423</v>
      </c>
    </row>
    <row r="77" spans="1:15" x14ac:dyDescent="0.25">
      <c r="A77" s="5" t="s">
        <v>368</v>
      </c>
      <c r="B77" s="5" t="str">
        <f t="shared" si="3"/>
        <v>321W219319</v>
      </c>
      <c r="C77" t="s">
        <v>245</v>
      </c>
      <c r="D77" t="s">
        <v>46</v>
      </c>
      <c r="E77">
        <v>20411454</v>
      </c>
      <c r="F77" t="s">
        <v>431</v>
      </c>
      <c r="G77" t="s">
        <v>123</v>
      </c>
      <c r="H77" s="1">
        <v>45658</v>
      </c>
      <c r="I77" t="s">
        <v>51</v>
      </c>
      <c r="J77" s="2">
        <v>0</v>
      </c>
      <c r="K77" s="2">
        <v>175</v>
      </c>
      <c r="L77" s="3">
        <v>1</v>
      </c>
      <c r="M77" s="2">
        <v>175</v>
      </c>
      <c r="O77" t="s">
        <v>423</v>
      </c>
    </row>
    <row r="78" spans="1:15" x14ac:dyDescent="0.25">
      <c r="A78" s="5" t="s">
        <v>369</v>
      </c>
      <c r="B78" s="5" t="str">
        <f t="shared" si="3"/>
        <v>324W224499</v>
      </c>
      <c r="C78" t="s">
        <v>247</v>
      </c>
      <c r="D78" t="s">
        <v>46</v>
      </c>
      <c r="E78">
        <v>20411454</v>
      </c>
      <c r="F78" t="s">
        <v>431</v>
      </c>
      <c r="G78" t="s">
        <v>123</v>
      </c>
      <c r="H78" s="1">
        <v>45658</v>
      </c>
      <c r="I78" t="s">
        <v>51</v>
      </c>
      <c r="J78" s="2">
        <v>0</v>
      </c>
      <c r="K78" s="2">
        <v>175</v>
      </c>
      <c r="L78" s="3">
        <v>1</v>
      </c>
      <c r="M78" s="2">
        <v>175</v>
      </c>
      <c r="O78" t="s">
        <v>423</v>
      </c>
    </row>
    <row r="79" spans="1:15" x14ac:dyDescent="0.25">
      <c r="A79" s="5" t="s">
        <v>370</v>
      </c>
      <c r="B79" s="5" t="str">
        <f t="shared" si="3"/>
        <v>407W223929</v>
      </c>
      <c r="C79" t="s">
        <v>249</v>
      </c>
      <c r="D79" t="s">
        <v>46</v>
      </c>
      <c r="E79">
        <v>20411454</v>
      </c>
      <c r="F79" t="s">
        <v>431</v>
      </c>
      <c r="G79" t="s">
        <v>123</v>
      </c>
      <c r="H79" s="1">
        <v>45658</v>
      </c>
      <c r="I79" t="s">
        <v>51</v>
      </c>
      <c r="J79" s="2">
        <v>0</v>
      </c>
      <c r="K79" s="2">
        <v>175</v>
      </c>
      <c r="L79" s="3">
        <v>1</v>
      </c>
      <c r="M79" s="2">
        <v>175</v>
      </c>
      <c r="O79" t="s">
        <v>423</v>
      </c>
    </row>
    <row r="80" spans="1:15" x14ac:dyDescent="0.25">
      <c r="A80" s="5" t="s">
        <v>371</v>
      </c>
      <c r="B80" s="5" t="str">
        <f t="shared" si="3"/>
        <v>441W217959</v>
      </c>
      <c r="C80" t="s">
        <v>251</v>
      </c>
      <c r="D80" t="s">
        <v>46</v>
      </c>
      <c r="E80">
        <v>20411454</v>
      </c>
      <c r="F80" t="s">
        <v>431</v>
      </c>
      <c r="G80" t="s">
        <v>123</v>
      </c>
      <c r="H80" s="1">
        <v>45658</v>
      </c>
      <c r="I80" t="s">
        <v>51</v>
      </c>
      <c r="J80" s="2">
        <v>0</v>
      </c>
      <c r="K80" s="2">
        <v>175</v>
      </c>
      <c r="L80" s="3">
        <v>1</v>
      </c>
      <c r="M80" s="2">
        <v>175</v>
      </c>
      <c r="O80" t="s">
        <v>423</v>
      </c>
    </row>
    <row r="81" spans="1:15" x14ac:dyDescent="0.25">
      <c r="A81" s="5" t="s">
        <v>372</v>
      </c>
      <c r="B81" s="5" t="str">
        <f t="shared" si="3"/>
        <v>516W223339</v>
      </c>
      <c r="C81" t="s">
        <v>253</v>
      </c>
      <c r="D81" t="s">
        <v>46</v>
      </c>
      <c r="E81">
        <v>20411454</v>
      </c>
      <c r="F81" t="s">
        <v>431</v>
      </c>
      <c r="G81" t="s">
        <v>123</v>
      </c>
      <c r="H81" s="1">
        <v>45658</v>
      </c>
      <c r="I81" t="s">
        <v>51</v>
      </c>
      <c r="J81" s="2">
        <v>0</v>
      </c>
      <c r="K81" s="2">
        <v>175</v>
      </c>
      <c r="L81" s="3">
        <v>1</v>
      </c>
      <c r="M81" s="2">
        <v>175</v>
      </c>
      <c r="O81" t="s">
        <v>423</v>
      </c>
    </row>
    <row r="82" spans="1:15" x14ac:dyDescent="0.25">
      <c r="A82" s="5" t="s">
        <v>373</v>
      </c>
      <c r="B82" s="5" t="str">
        <f t="shared" si="3"/>
        <v>545W224799</v>
      </c>
      <c r="C82" t="s">
        <v>255</v>
      </c>
      <c r="D82" t="s">
        <v>46</v>
      </c>
      <c r="E82">
        <v>20411454</v>
      </c>
      <c r="F82" t="s">
        <v>431</v>
      </c>
      <c r="G82" t="s">
        <v>123</v>
      </c>
      <c r="H82" s="1">
        <v>45658</v>
      </c>
      <c r="I82" t="s">
        <v>51</v>
      </c>
      <c r="J82" s="2">
        <v>0</v>
      </c>
      <c r="K82" s="2">
        <v>175</v>
      </c>
      <c r="L82" s="3">
        <v>1</v>
      </c>
      <c r="M82" s="2">
        <v>175</v>
      </c>
      <c r="O82" t="s">
        <v>423</v>
      </c>
    </row>
    <row r="83" spans="1:15" x14ac:dyDescent="0.25">
      <c r="A83" s="5" t="s">
        <v>374</v>
      </c>
      <c r="B83" s="5" t="str">
        <f t="shared" si="3"/>
        <v>714W226349</v>
      </c>
      <c r="C83" t="s">
        <v>259</v>
      </c>
      <c r="D83" t="s">
        <v>46</v>
      </c>
      <c r="E83">
        <v>20411454</v>
      </c>
      <c r="F83" t="s">
        <v>431</v>
      </c>
      <c r="G83" t="s">
        <v>123</v>
      </c>
      <c r="H83" s="1">
        <v>45658</v>
      </c>
      <c r="I83" t="s">
        <v>51</v>
      </c>
      <c r="J83" s="2">
        <v>0</v>
      </c>
      <c r="K83" s="2">
        <v>175</v>
      </c>
      <c r="L83" s="3">
        <v>1</v>
      </c>
      <c r="M83" s="2">
        <v>175</v>
      </c>
      <c r="O83" t="s">
        <v>423</v>
      </c>
    </row>
    <row r="84" spans="1:15" x14ac:dyDescent="0.25">
      <c r="A84" s="5" t="s">
        <v>376</v>
      </c>
      <c r="B84" s="5" t="str">
        <f t="shared" si="3"/>
        <v>944W219319</v>
      </c>
      <c r="C84" t="s">
        <v>266</v>
      </c>
      <c r="D84" t="s">
        <v>46</v>
      </c>
      <c r="E84">
        <v>20411454</v>
      </c>
      <c r="F84" t="s">
        <v>431</v>
      </c>
      <c r="G84" t="s">
        <v>123</v>
      </c>
      <c r="H84" s="1">
        <v>45658</v>
      </c>
      <c r="I84" t="s">
        <v>51</v>
      </c>
      <c r="J84" s="2">
        <v>0</v>
      </c>
      <c r="K84" s="2">
        <v>175</v>
      </c>
      <c r="L84" s="3">
        <v>1</v>
      </c>
      <c r="M84" s="2">
        <v>175</v>
      </c>
      <c r="O84" t="s">
        <v>423</v>
      </c>
    </row>
    <row r="85" spans="1:15" x14ac:dyDescent="0.25">
      <c r="A85" s="5" t="s">
        <v>344</v>
      </c>
      <c r="B85" s="5" t="str">
        <f t="shared" si="3"/>
        <v>00001555485K9</v>
      </c>
      <c r="C85" t="s">
        <v>45</v>
      </c>
      <c r="D85" t="s">
        <v>46</v>
      </c>
      <c r="E85">
        <v>20411454</v>
      </c>
      <c r="F85" t="s">
        <v>431</v>
      </c>
      <c r="G85" t="s">
        <v>50</v>
      </c>
      <c r="H85" s="1">
        <v>45717</v>
      </c>
      <c r="I85" t="s">
        <v>51</v>
      </c>
      <c r="J85" s="2">
        <v>0</v>
      </c>
      <c r="K85" s="2">
        <v>175</v>
      </c>
      <c r="L85" s="3">
        <v>1</v>
      </c>
      <c r="M85" s="2">
        <v>175</v>
      </c>
      <c r="O85" t="s">
        <v>424</v>
      </c>
    </row>
    <row r="86" spans="1:15" x14ac:dyDescent="0.25">
      <c r="A86" s="5" t="s">
        <v>345</v>
      </c>
      <c r="B86" s="5" t="str">
        <f t="shared" si="3"/>
        <v>00001702994K9</v>
      </c>
      <c r="C86" t="s">
        <v>54</v>
      </c>
      <c r="D86" t="s">
        <v>46</v>
      </c>
      <c r="E86">
        <v>20411454</v>
      </c>
      <c r="F86" t="s">
        <v>431</v>
      </c>
      <c r="G86" t="s">
        <v>50</v>
      </c>
      <c r="H86" s="1">
        <v>45717</v>
      </c>
      <c r="I86" t="s">
        <v>51</v>
      </c>
      <c r="J86" s="2">
        <v>0</v>
      </c>
      <c r="K86" s="2">
        <v>175</v>
      </c>
      <c r="L86" s="3">
        <v>1</v>
      </c>
      <c r="M86" s="2">
        <v>175</v>
      </c>
      <c r="O86" t="s">
        <v>424</v>
      </c>
    </row>
    <row r="87" spans="1:15" x14ac:dyDescent="0.25">
      <c r="A87" s="5" t="s">
        <v>348</v>
      </c>
      <c r="B87" s="5" t="str">
        <f t="shared" si="3"/>
        <v>00019151670K9</v>
      </c>
      <c r="C87" t="s">
        <v>64</v>
      </c>
      <c r="D87" t="s">
        <v>46</v>
      </c>
      <c r="E87">
        <v>20411454</v>
      </c>
      <c r="F87" t="s">
        <v>431</v>
      </c>
      <c r="G87" t="s">
        <v>50</v>
      </c>
      <c r="H87" s="1">
        <v>45717</v>
      </c>
      <c r="I87" t="s">
        <v>51</v>
      </c>
      <c r="J87" s="2">
        <v>0</v>
      </c>
      <c r="K87" s="2">
        <v>175</v>
      </c>
      <c r="L87" s="3">
        <v>1</v>
      </c>
      <c r="M87" s="2">
        <v>175</v>
      </c>
      <c r="O87" t="s">
        <v>424</v>
      </c>
    </row>
    <row r="88" spans="1:15" x14ac:dyDescent="0.25">
      <c r="A88" s="5" t="s">
        <v>350</v>
      </c>
      <c r="B88" s="5" t="str">
        <f t="shared" si="3"/>
        <v>00023089684K9</v>
      </c>
      <c r="C88" t="s">
        <v>72</v>
      </c>
      <c r="D88" t="s">
        <v>46</v>
      </c>
      <c r="E88">
        <v>20411454</v>
      </c>
      <c r="F88" t="s">
        <v>431</v>
      </c>
      <c r="G88" t="s">
        <v>50</v>
      </c>
      <c r="H88" s="1">
        <v>45717</v>
      </c>
      <c r="I88" t="s">
        <v>51</v>
      </c>
      <c r="J88" s="2">
        <v>0</v>
      </c>
      <c r="K88" s="2">
        <v>175</v>
      </c>
      <c r="L88" s="3">
        <v>1</v>
      </c>
      <c r="M88" s="2">
        <v>175</v>
      </c>
      <c r="O88" t="s">
        <v>424</v>
      </c>
    </row>
    <row r="89" spans="1:15" x14ac:dyDescent="0.25">
      <c r="A89" s="5" t="s">
        <v>351</v>
      </c>
      <c r="B89" s="5" t="str">
        <f t="shared" si="3"/>
        <v>00023111991K9</v>
      </c>
      <c r="C89" t="s">
        <v>76</v>
      </c>
      <c r="D89" t="s">
        <v>46</v>
      </c>
      <c r="E89">
        <v>20411454</v>
      </c>
      <c r="F89" t="s">
        <v>431</v>
      </c>
      <c r="G89" t="s">
        <v>50</v>
      </c>
      <c r="H89" s="1">
        <v>45748</v>
      </c>
      <c r="I89" t="s">
        <v>51</v>
      </c>
      <c r="J89" s="2">
        <v>0</v>
      </c>
      <c r="K89" s="2">
        <v>175</v>
      </c>
      <c r="L89" s="3">
        <v>1</v>
      </c>
      <c r="M89" s="2">
        <v>175</v>
      </c>
      <c r="O89" t="s">
        <v>424</v>
      </c>
    </row>
    <row r="90" spans="1:15" x14ac:dyDescent="0.25">
      <c r="A90" s="5" t="s">
        <v>352</v>
      </c>
      <c r="B90" s="5" t="str">
        <f t="shared" si="3"/>
        <v>00023112026K9</v>
      </c>
      <c r="C90" t="s">
        <v>80</v>
      </c>
      <c r="D90" t="s">
        <v>46</v>
      </c>
      <c r="E90">
        <v>20411454</v>
      </c>
      <c r="F90" t="s">
        <v>431</v>
      </c>
      <c r="G90" t="s">
        <v>50</v>
      </c>
      <c r="H90" s="1">
        <v>45717</v>
      </c>
      <c r="I90" t="s">
        <v>51</v>
      </c>
      <c r="J90" s="2">
        <v>0</v>
      </c>
      <c r="K90" s="2">
        <v>175</v>
      </c>
      <c r="L90" s="3">
        <v>1</v>
      </c>
      <c r="M90" s="2">
        <v>175</v>
      </c>
      <c r="O90" t="s">
        <v>424</v>
      </c>
    </row>
    <row r="91" spans="1:15" x14ac:dyDescent="0.25">
      <c r="A91" s="5" t="s">
        <v>353</v>
      </c>
      <c r="B91" s="5" t="str">
        <f t="shared" si="3"/>
        <v>00023112046K9</v>
      </c>
      <c r="C91" t="s">
        <v>84</v>
      </c>
      <c r="D91" t="s">
        <v>46</v>
      </c>
      <c r="E91">
        <v>20411454</v>
      </c>
      <c r="F91" t="s">
        <v>431</v>
      </c>
      <c r="G91" t="s">
        <v>50</v>
      </c>
      <c r="H91" s="1">
        <v>45717</v>
      </c>
      <c r="I91" t="s">
        <v>51</v>
      </c>
      <c r="J91" s="2">
        <v>0</v>
      </c>
      <c r="K91" s="2">
        <v>175</v>
      </c>
      <c r="L91" s="3">
        <v>1</v>
      </c>
      <c r="M91" s="2">
        <v>175</v>
      </c>
      <c r="O91" t="s">
        <v>424</v>
      </c>
    </row>
    <row r="92" spans="1:15" x14ac:dyDescent="0.25">
      <c r="A92" s="5" t="s">
        <v>354</v>
      </c>
      <c r="B92" s="5" t="str">
        <f t="shared" si="3"/>
        <v>00023115671K9</v>
      </c>
      <c r="C92" t="s">
        <v>93</v>
      </c>
      <c r="D92" t="s">
        <v>46</v>
      </c>
      <c r="E92">
        <v>20411454</v>
      </c>
      <c r="F92" t="s">
        <v>431</v>
      </c>
      <c r="G92" t="s">
        <v>50</v>
      </c>
      <c r="H92" s="1">
        <v>45717</v>
      </c>
      <c r="I92" t="s">
        <v>51</v>
      </c>
      <c r="J92" s="2">
        <v>0</v>
      </c>
      <c r="K92" s="2">
        <v>175</v>
      </c>
      <c r="L92" s="3">
        <v>1</v>
      </c>
      <c r="M92" s="2">
        <v>175</v>
      </c>
      <c r="O92" t="s">
        <v>424</v>
      </c>
    </row>
    <row r="93" spans="1:15" x14ac:dyDescent="0.25">
      <c r="A93" s="5" t="s">
        <v>355</v>
      </c>
      <c r="B93" s="5" t="str">
        <f t="shared" si="3"/>
        <v>00023116061K9</v>
      </c>
      <c r="C93" t="s">
        <v>97</v>
      </c>
      <c r="D93" t="s">
        <v>46</v>
      </c>
      <c r="E93">
        <v>20411454</v>
      </c>
      <c r="F93" t="s">
        <v>431</v>
      </c>
      <c r="G93" t="s">
        <v>50</v>
      </c>
      <c r="H93" s="1">
        <v>45717</v>
      </c>
      <c r="I93" t="s">
        <v>51</v>
      </c>
      <c r="J93" s="2">
        <v>0</v>
      </c>
      <c r="K93" s="2">
        <v>175</v>
      </c>
      <c r="L93" s="3">
        <v>1</v>
      </c>
      <c r="M93" s="2">
        <v>175</v>
      </c>
      <c r="O93" t="s">
        <v>424</v>
      </c>
    </row>
    <row r="94" spans="1:15" x14ac:dyDescent="0.25">
      <c r="A94" s="5" t="s">
        <v>356</v>
      </c>
      <c r="B94" s="5" t="str">
        <f t="shared" si="3"/>
        <v>00023117631K9</v>
      </c>
      <c r="C94" t="s">
        <v>99</v>
      </c>
      <c r="D94" t="s">
        <v>46</v>
      </c>
      <c r="E94">
        <v>20411454</v>
      </c>
      <c r="F94" t="s">
        <v>431</v>
      </c>
      <c r="G94" t="s">
        <v>50</v>
      </c>
      <c r="H94" s="1">
        <v>45717</v>
      </c>
      <c r="I94" t="s">
        <v>51</v>
      </c>
      <c r="J94" s="2">
        <v>0</v>
      </c>
      <c r="K94" s="2">
        <v>175</v>
      </c>
      <c r="L94" s="3">
        <v>1</v>
      </c>
      <c r="M94" s="2">
        <v>175</v>
      </c>
      <c r="O94" t="s">
        <v>424</v>
      </c>
    </row>
    <row r="95" spans="1:15" x14ac:dyDescent="0.25">
      <c r="A95" s="5" t="s">
        <v>357</v>
      </c>
      <c r="B95" s="5" t="str">
        <f t="shared" si="3"/>
        <v>00023119453K9</v>
      </c>
      <c r="C95" t="s">
        <v>101</v>
      </c>
      <c r="D95" t="s">
        <v>46</v>
      </c>
      <c r="E95">
        <v>20411454</v>
      </c>
      <c r="F95" t="s">
        <v>431</v>
      </c>
      <c r="G95" t="s">
        <v>50</v>
      </c>
      <c r="H95" s="1">
        <v>45717</v>
      </c>
      <c r="I95" t="s">
        <v>51</v>
      </c>
      <c r="J95" s="2">
        <v>0</v>
      </c>
      <c r="K95" s="2">
        <v>175</v>
      </c>
      <c r="L95" s="3">
        <v>1</v>
      </c>
      <c r="M95" s="2">
        <v>175</v>
      </c>
      <c r="O95" t="s">
        <v>424</v>
      </c>
    </row>
    <row r="96" spans="1:15" x14ac:dyDescent="0.25">
      <c r="A96" s="5" t="s">
        <v>358</v>
      </c>
      <c r="B96" s="5" t="str">
        <f t="shared" si="3"/>
        <v>00023120858K9</v>
      </c>
      <c r="C96" t="s">
        <v>105</v>
      </c>
      <c r="D96" t="s">
        <v>46</v>
      </c>
      <c r="E96">
        <v>20411454</v>
      </c>
      <c r="F96" t="s">
        <v>431</v>
      </c>
      <c r="G96" t="s">
        <v>50</v>
      </c>
      <c r="H96" s="1">
        <v>45717</v>
      </c>
      <c r="I96" t="s">
        <v>51</v>
      </c>
      <c r="J96" s="2">
        <v>0</v>
      </c>
      <c r="K96" s="2">
        <v>175</v>
      </c>
      <c r="L96" s="3">
        <v>1</v>
      </c>
      <c r="M96" s="2">
        <v>175</v>
      </c>
      <c r="O96" t="s">
        <v>424</v>
      </c>
    </row>
    <row r="97" spans="1:15" x14ac:dyDescent="0.25">
      <c r="A97" s="5" t="s">
        <v>359</v>
      </c>
      <c r="B97" s="5" t="str">
        <f t="shared" si="3"/>
        <v>00023123072K9</v>
      </c>
      <c r="C97" t="s">
        <v>107</v>
      </c>
      <c r="D97" t="s">
        <v>46</v>
      </c>
      <c r="E97">
        <v>20411454</v>
      </c>
      <c r="F97" t="s">
        <v>431</v>
      </c>
      <c r="G97" t="s">
        <v>50</v>
      </c>
      <c r="H97" s="1">
        <v>45717</v>
      </c>
      <c r="I97" t="s">
        <v>51</v>
      </c>
      <c r="J97" s="2">
        <v>0</v>
      </c>
      <c r="K97" s="2">
        <v>175</v>
      </c>
      <c r="L97" s="3">
        <v>1</v>
      </c>
      <c r="M97" s="2">
        <v>175</v>
      </c>
      <c r="O97" t="s">
        <v>424</v>
      </c>
    </row>
    <row r="98" spans="1:15" x14ac:dyDescent="0.25">
      <c r="A98" s="5" t="s">
        <v>360</v>
      </c>
      <c r="B98" s="5" t="str">
        <f t="shared" si="3"/>
        <v>00023123675K9</v>
      </c>
      <c r="C98" t="s">
        <v>109</v>
      </c>
      <c r="D98" t="s">
        <v>110</v>
      </c>
      <c r="E98">
        <v>20411454</v>
      </c>
      <c r="F98" t="s">
        <v>431</v>
      </c>
      <c r="G98" t="s">
        <v>50</v>
      </c>
      <c r="H98" s="1">
        <v>45717</v>
      </c>
      <c r="I98" t="s">
        <v>51</v>
      </c>
      <c r="J98" s="2">
        <v>0</v>
      </c>
      <c r="K98" s="2">
        <v>175</v>
      </c>
      <c r="L98" s="3">
        <v>1</v>
      </c>
      <c r="M98" s="2">
        <v>175</v>
      </c>
      <c r="O98" t="s">
        <v>424</v>
      </c>
    </row>
    <row r="99" spans="1:15" x14ac:dyDescent="0.25">
      <c r="A99" s="5" t="s">
        <v>361</v>
      </c>
      <c r="B99" s="5" t="str">
        <f t="shared" si="3"/>
        <v>00023124079K9</v>
      </c>
      <c r="C99" t="s">
        <v>114</v>
      </c>
      <c r="D99" t="s">
        <v>46</v>
      </c>
      <c r="E99">
        <v>20411454</v>
      </c>
      <c r="F99" t="s">
        <v>431</v>
      </c>
      <c r="G99" t="s">
        <v>50</v>
      </c>
      <c r="H99" s="1">
        <v>45717</v>
      </c>
      <c r="I99" t="s">
        <v>51</v>
      </c>
      <c r="J99" s="2">
        <v>0</v>
      </c>
      <c r="K99" s="2">
        <v>175</v>
      </c>
      <c r="L99" s="3">
        <v>1</v>
      </c>
      <c r="M99" s="2">
        <v>175</v>
      </c>
      <c r="O99" t="s">
        <v>424</v>
      </c>
    </row>
    <row r="100" spans="1:15" x14ac:dyDescent="0.25">
      <c r="A100" s="5" t="s">
        <v>362</v>
      </c>
      <c r="B100" s="5" t="str">
        <f t="shared" si="3"/>
        <v>00023126234K9</v>
      </c>
      <c r="C100" t="s">
        <v>116</v>
      </c>
      <c r="D100" t="s">
        <v>46</v>
      </c>
      <c r="E100">
        <v>20411454</v>
      </c>
      <c r="F100" t="s">
        <v>431</v>
      </c>
      <c r="G100" t="s">
        <v>50</v>
      </c>
      <c r="H100" s="1">
        <v>45717</v>
      </c>
      <c r="I100" t="s">
        <v>51</v>
      </c>
      <c r="J100" s="2">
        <v>0</v>
      </c>
      <c r="K100" s="2">
        <v>175</v>
      </c>
      <c r="L100" s="3">
        <v>1</v>
      </c>
      <c r="M100" s="2">
        <v>175</v>
      </c>
      <c r="O100" t="s">
        <v>424</v>
      </c>
    </row>
    <row r="101" spans="1:15" x14ac:dyDescent="0.25">
      <c r="A101" s="5" t="s">
        <v>363</v>
      </c>
      <c r="B101" s="5" t="str">
        <f>CONCATENATE(A101,9)</f>
        <v>00023128111K9</v>
      </c>
      <c r="C101" t="s">
        <v>120</v>
      </c>
      <c r="D101" t="s">
        <v>110</v>
      </c>
      <c r="E101">
        <v>20411454</v>
      </c>
      <c r="F101" t="s">
        <v>431</v>
      </c>
      <c r="G101" t="s">
        <v>50</v>
      </c>
      <c r="H101" s="1">
        <v>45717</v>
      </c>
      <c r="I101" t="s">
        <v>51</v>
      </c>
      <c r="J101" s="2">
        <v>0</v>
      </c>
      <c r="K101" s="2">
        <v>175</v>
      </c>
      <c r="L101" s="3">
        <v>1</v>
      </c>
      <c r="M101" s="2">
        <v>175</v>
      </c>
      <c r="O101" t="s">
        <v>424</v>
      </c>
    </row>
    <row r="102" spans="1:15" x14ac:dyDescent="0.25">
      <c r="A102" s="5" t="s">
        <v>383</v>
      </c>
      <c r="B102" s="5" t="str">
        <f t="shared" ref="B102:B114" si="4">CONCATENATE(A102,9)</f>
        <v>00020835806KPC9</v>
      </c>
      <c r="C102" t="s">
        <v>291</v>
      </c>
      <c r="D102" t="s">
        <v>46</v>
      </c>
      <c r="E102">
        <v>20411454</v>
      </c>
      <c r="F102" t="s">
        <v>431</v>
      </c>
      <c r="G102" t="s">
        <v>50</v>
      </c>
      <c r="H102" s="1">
        <v>45658</v>
      </c>
      <c r="I102" t="s">
        <v>51</v>
      </c>
      <c r="M102" s="4">
        <v>-145.25</v>
      </c>
      <c r="O102" t="s">
        <v>424</v>
      </c>
    </row>
    <row r="103" spans="1:15" x14ac:dyDescent="0.25">
      <c r="A103" s="5" t="s">
        <v>384</v>
      </c>
      <c r="B103" s="5" t="str">
        <f t="shared" si="4"/>
        <v>00022146065KPC9</v>
      </c>
      <c r="C103" t="s">
        <v>294</v>
      </c>
      <c r="D103" t="s">
        <v>46</v>
      </c>
      <c r="E103">
        <v>20411454</v>
      </c>
      <c r="F103" t="s">
        <v>431</v>
      </c>
      <c r="G103" t="s">
        <v>50</v>
      </c>
      <c r="H103" s="1">
        <v>45658</v>
      </c>
      <c r="I103" t="s">
        <v>51</v>
      </c>
      <c r="M103" s="4">
        <v>-145.25</v>
      </c>
      <c r="O103" t="s">
        <v>424</v>
      </c>
    </row>
    <row r="104" spans="1:15" x14ac:dyDescent="0.25">
      <c r="A104" s="5" t="s">
        <v>385</v>
      </c>
      <c r="B104" s="5" t="str">
        <f t="shared" si="4"/>
        <v>00022172080KPC9</v>
      </c>
      <c r="C104" t="s">
        <v>298</v>
      </c>
      <c r="D104" t="s">
        <v>46</v>
      </c>
      <c r="E104">
        <v>20411454</v>
      </c>
      <c r="F104" t="s">
        <v>431</v>
      </c>
      <c r="G104" t="s">
        <v>50</v>
      </c>
      <c r="H104" s="1">
        <v>45658</v>
      </c>
      <c r="I104" t="s">
        <v>51</v>
      </c>
      <c r="M104" s="4">
        <v>-145.25</v>
      </c>
      <c r="O104" t="s">
        <v>424</v>
      </c>
    </row>
    <row r="105" spans="1:15" x14ac:dyDescent="0.25">
      <c r="A105" s="5" t="s">
        <v>386</v>
      </c>
      <c r="B105" s="5" t="str">
        <f t="shared" si="4"/>
        <v>00022193875KPC9</v>
      </c>
      <c r="C105" t="s">
        <v>300</v>
      </c>
      <c r="D105" t="s">
        <v>46</v>
      </c>
      <c r="E105">
        <v>20411454</v>
      </c>
      <c r="F105" t="s">
        <v>431</v>
      </c>
      <c r="G105" t="s">
        <v>50</v>
      </c>
      <c r="H105" s="1">
        <v>45658</v>
      </c>
      <c r="I105" t="s">
        <v>51</v>
      </c>
      <c r="M105" s="4">
        <v>-145.25</v>
      </c>
      <c r="O105" t="s">
        <v>424</v>
      </c>
    </row>
    <row r="106" spans="1:15" x14ac:dyDescent="0.25">
      <c r="A106" s="5" t="s">
        <v>346</v>
      </c>
      <c r="B106" s="5" t="str">
        <f t="shared" si="4"/>
        <v>00008790290KA9</v>
      </c>
      <c r="C106" t="s">
        <v>56</v>
      </c>
      <c r="D106" t="s">
        <v>46</v>
      </c>
      <c r="E106">
        <v>20411454</v>
      </c>
      <c r="F106" t="s">
        <v>431</v>
      </c>
      <c r="G106" t="s">
        <v>60</v>
      </c>
      <c r="H106" s="1">
        <v>45717</v>
      </c>
      <c r="I106" t="s">
        <v>51</v>
      </c>
      <c r="J106" s="2">
        <v>0</v>
      </c>
      <c r="K106" s="2">
        <v>108</v>
      </c>
      <c r="L106" s="3">
        <v>1</v>
      </c>
      <c r="M106" s="2">
        <v>108</v>
      </c>
      <c r="O106" t="s">
        <v>424</v>
      </c>
    </row>
    <row r="107" spans="1:15" x14ac:dyDescent="0.25">
      <c r="A107" s="5" t="s">
        <v>347</v>
      </c>
      <c r="B107" s="5" t="str">
        <f t="shared" si="4"/>
        <v>00016858919K9</v>
      </c>
      <c r="C107" t="s">
        <v>62</v>
      </c>
      <c r="D107" t="s">
        <v>46</v>
      </c>
      <c r="E107">
        <v>20411454</v>
      </c>
      <c r="F107" t="s">
        <v>431</v>
      </c>
      <c r="G107" t="s">
        <v>60</v>
      </c>
      <c r="H107" s="1">
        <v>45717</v>
      </c>
      <c r="I107" t="s">
        <v>51</v>
      </c>
      <c r="J107" s="2">
        <v>0</v>
      </c>
      <c r="K107" s="2">
        <v>108</v>
      </c>
      <c r="L107" s="3">
        <v>1</v>
      </c>
      <c r="M107" s="2">
        <v>108</v>
      </c>
      <c r="O107" t="s">
        <v>424</v>
      </c>
    </row>
    <row r="108" spans="1:15" x14ac:dyDescent="0.25">
      <c r="A108" s="5" t="s">
        <v>349</v>
      </c>
      <c r="B108" s="5" t="str">
        <f t="shared" si="4"/>
        <v>00019779363K9</v>
      </c>
      <c r="C108" t="s">
        <v>68</v>
      </c>
      <c r="D108" t="s">
        <v>46</v>
      </c>
      <c r="E108">
        <v>20411454</v>
      </c>
      <c r="F108" t="s">
        <v>431</v>
      </c>
      <c r="G108" t="s">
        <v>60</v>
      </c>
      <c r="H108" s="1">
        <v>45717</v>
      </c>
      <c r="I108" t="s">
        <v>51</v>
      </c>
      <c r="J108" s="2">
        <v>0</v>
      </c>
      <c r="K108" s="2">
        <v>108</v>
      </c>
      <c r="L108" s="3">
        <v>1</v>
      </c>
      <c r="M108" s="2">
        <v>108</v>
      </c>
      <c r="O108" t="s">
        <v>424</v>
      </c>
    </row>
    <row r="109" spans="1:15" s="7" customFormat="1" x14ac:dyDescent="0.25">
      <c r="A109" s="6" t="s">
        <v>382</v>
      </c>
      <c r="B109" s="5" t="str">
        <f>CONCATENATE(A109,99)</f>
        <v>A0423154699</v>
      </c>
      <c r="C109" s="7" t="s">
        <v>287</v>
      </c>
      <c r="D109" s="7" t="s">
        <v>110</v>
      </c>
      <c r="E109" s="7">
        <v>8325282</v>
      </c>
      <c r="F109" s="7" t="s">
        <v>185</v>
      </c>
      <c r="G109" s="7" t="s">
        <v>288</v>
      </c>
      <c r="H109" s="8">
        <v>45717</v>
      </c>
      <c r="I109" s="7" t="s">
        <v>51</v>
      </c>
      <c r="J109" s="9">
        <v>0</v>
      </c>
      <c r="K109" s="9">
        <v>31.98</v>
      </c>
      <c r="L109" s="10">
        <v>1</v>
      </c>
      <c r="M109" s="9">
        <v>287.82</v>
      </c>
      <c r="N109" s="11">
        <v>9</v>
      </c>
      <c r="O109" s="7" t="s">
        <v>425</v>
      </c>
    </row>
    <row r="110" spans="1:15" x14ac:dyDescent="0.25">
      <c r="A110" s="5" t="s">
        <v>375</v>
      </c>
      <c r="B110" s="5" t="str">
        <f t="shared" si="4"/>
        <v>907822980OV9</v>
      </c>
      <c r="C110" t="s">
        <v>261</v>
      </c>
      <c r="D110" t="s">
        <v>149</v>
      </c>
      <c r="E110">
        <v>20411454</v>
      </c>
      <c r="F110" t="s">
        <v>431</v>
      </c>
      <c r="G110" t="s">
        <v>264</v>
      </c>
      <c r="H110" s="1">
        <v>45717</v>
      </c>
      <c r="I110" t="s">
        <v>51</v>
      </c>
      <c r="J110" s="2">
        <v>0</v>
      </c>
      <c r="K110" s="2">
        <v>175</v>
      </c>
      <c r="L110" s="3">
        <v>1</v>
      </c>
      <c r="M110" s="2">
        <v>175</v>
      </c>
      <c r="O110" t="s">
        <v>426</v>
      </c>
    </row>
    <row r="111" spans="1:15" x14ac:dyDescent="0.25">
      <c r="A111" s="5" t="s">
        <v>377</v>
      </c>
      <c r="B111" s="5" t="str">
        <f t="shared" si="4"/>
        <v>975746907OV9</v>
      </c>
      <c r="C111" t="s">
        <v>268</v>
      </c>
      <c r="D111" t="s">
        <v>110</v>
      </c>
      <c r="E111">
        <v>20411454</v>
      </c>
      <c r="F111" t="s">
        <v>431</v>
      </c>
      <c r="G111" t="s">
        <v>264</v>
      </c>
      <c r="H111" s="1">
        <v>45717</v>
      </c>
      <c r="I111" t="s">
        <v>51</v>
      </c>
      <c r="J111" s="2">
        <v>0</v>
      </c>
      <c r="K111" s="2">
        <v>175</v>
      </c>
      <c r="L111" s="3">
        <v>1</v>
      </c>
      <c r="M111" s="2">
        <v>175</v>
      </c>
      <c r="O111" t="s">
        <v>426</v>
      </c>
    </row>
    <row r="112" spans="1:15" x14ac:dyDescent="0.25">
      <c r="A112" s="5" t="s">
        <v>378</v>
      </c>
      <c r="B112" s="5" t="str">
        <f t="shared" si="4"/>
        <v>979062658OV9</v>
      </c>
      <c r="C112" t="s">
        <v>271</v>
      </c>
      <c r="D112" t="s">
        <v>149</v>
      </c>
      <c r="E112">
        <v>20411454</v>
      </c>
      <c r="F112" t="s">
        <v>431</v>
      </c>
      <c r="G112" t="s">
        <v>264</v>
      </c>
      <c r="H112" s="1">
        <v>45717</v>
      </c>
      <c r="I112" t="s">
        <v>51</v>
      </c>
      <c r="J112" s="2">
        <v>0</v>
      </c>
      <c r="K112" s="2">
        <v>175</v>
      </c>
      <c r="L112" s="3">
        <v>1</v>
      </c>
      <c r="M112" s="2">
        <v>175</v>
      </c>
      <c r="O112" t="s">
        <v>426</v>
      </c>
    </row>
    <row r="113" spans="1:16" x14ac:dyDescent="0.25">
      <c r="A113" s="5" t="s">
        <v>421</v>
      </c>
      <c r="B113" s="5" t="str">
        <f t="shared" si="4"/>
        <v>963715239OVCB9</v>
      </c>
      <c r="C113" t="s">
        <v>341</v>
      </c>
      <c r="D113" t="s">
        <v>192</v>
      </c>
      <c r="E113">
        <v>20411454</v>
      </c>
      <c r="F113" t="s">
        <v>431</v>
      </c>
      <c r="G113" t="s">
        <v>264</v>
      </c>
      <c r="H113" s="1">
        <v>45689</v>
      </c>
      <c r="I113" t="s">
        <v>51</v>
      </c>
      <c r="M113" s="4">
        <v>-175</v>
      </c>
      <c r="O113" t="s">
        <v>426</v>
      </c>
    </row>
    <row r="114" spans="1:16" x14ac:dyDescent="0.25">
      <c r="A114" s="5" t="s">
        <v>379</v>
      </c>
      <c r="B114" s="5" t="str">
        <f t="shared" si="4"/>
        <v>987905996OV9</v>
      </c>
      <c r="C114" t="s">
        <v>274</v>
      </c>
      <c r="D114" t="s">
        <v>110</v>
      </c>
      <c r="E114">
        <v>20411454</v>
      </c>
      <c r="F114" t="s">
        <v>431</v>
      </c>
      <c r="G114" t="s">
        <v>276</v>
      </c>
      <c r="H114" s="1">
        <v>45717</v>
      </c>
      <c r="I114" t="s">
        <v>51</v>
      </c>
      <c r="J114" s="2">
        <v>0</v>
      </c>
      <c r="K114" s="2">
        <v>60</v>
      </c>
      <c r="L114" s="3">
        <v>1</v>
      </c>
      <c r="M114" s="2">
        <v>60</v>
      </c>
      <c r="N114" t="s">
        <v>136</v>
      </c>
      <c r="O114" t="s">
        <v>426</v>
      </c>
    </row>
    <row r="115" spans="1:16" s="7" customFormat="1" x14ac:dyDescent="0.25">
      <c r="A115" s="6" t="s">
        <v>420</v>
      </c>
      <c r="B115" s="5" t="str">
        <f t="shared" ref="B115:B119" si="5">CONCATENATE(A115,99)</f>
        <v>963715239CB99</v>
      </c>
      <c r="C115" s="7" t="s">
        <v>341</v>
      </c>
      <c r="D115" s="7" t="s">
        <v>192</v>
      </c>
      <c r="E115" s="7">
        <v>19645587</v>
      </c>
      <c r="F115" s="7" t="s">
        <v>161</v>
      </c>
      <c r="G115" s="7" t="s">
        <v>342</v>
      </c>
      <c r="H115" s="8">
        <v>45689</v>
      </c>
      <c r="I115" s="7" t="s">
        <v>51</v>
      </c>
      <c r="M115" s="11">
        <v>-626</v>
      </c>
      <c r="O115" s="7" t="s">
        <v>427</v>
      </c>
    </row>
    <row r="116" spans="1:16" s="7" customFormat="1" x14ac:dyDescent="0.25">
      <c r="A116" s="6">
        <v>907822980</v>
      </c>
      <c r="B116" s="5" t="str">
        <f t="shared" si="5"/>
        <v>90782298099</v>
      </c>
      <c r="C116" s="7" t="s">
        <v>261</v>
      </c>
      <c r="D116" s="7" t="s">
        <v>149</v>
      </c>
      <c r="E116" s="7">
        <v>19645587</v>
      </c>
      <c r="F116" s="7" t="s">
        <v>161</v>
      </c>
      <c r="G116" s="7" t="s">
        <v>262</v>
      </c>
      <c r="H116" s="8">
        <v>45717</v>
      </c>
      <c r="I116" s="7" t="s">
        <v>51</v>
      </c>
      <c r="J116" s="9">
        <v>0</v>
      </c>
      <c r="K116" s="9">
        <v>260.83</v>
      </c>
      <c r="L116" s="10">
        <v>1</v>
      </c>
      <c r="M116" s="9">
        <v>260.83</v>
      </c>
      <c r="N116" s="7" t="s">
        <v>136</v>
      </c>
      <c r="O116" s="7" t="s">
        <v>428</v>
      </c>
      <c r="P116" s="7" t="s">
        <v>429</v>
      </c>
    </row>
    <row r="117" spans="1:16" s="7" customFormat="1" x14ac:dyDescent="0.25">
      <c r="A117" s="6">
        <v>975746907</v>
      </c>
      <c r="B117" s="5" t="str">
        <f t="shared" si="5"/>
        <v>97574690799</v>
      </c>
      <c r="C117" s="7" t="s">
        <v>268</v>
      </c>
      <c r="D117" s="7" t="s">
        <v>110</v>
      </c>
      <c r="E117" s="7">
        <v>19200754</v>
      </c>
      <c r="F117" s="7" t="s">
        <v>86</v>
      </c>
      <c r="G117" s="7" t="s">
        <v>262</v>
      </c>
      <c r="H117" s="8">
        <v>45717</v>
      </c>
      <c r="I117" s="7" t="s">
        <v>51</v>
      </c>
      <c r="J117" s="9">
        <v>0</v>
      </c>
      <c r="K117" s="9">
        <v>260.83</v>
      </c>
      <c r="L117" s="10">
        <v>1</v>
      </c>
      <c r="M117" s="9">
        <v>260.83</v>
      </c>
      <c r="N117" s="7" t="s">
        <v>136</v>
      </c>
      <c r="O117" s="7" t="s">
        <v>428</v>
      </c>
      <c r="P117" s="7" t="s">
        <v>429</v>
      </c>
    </row>
    <row r="118" spans="1:16" s="7" customFormat="1" x14ac:dyDescent="0.25">
      <c r="A118" s="6">
        <v>979062658</v>
      </c>
      <c r="B118" s="5" t="str">
        <f t="shared" si="5"/>
        <v>97906265899</v>
      </c>
      <c r="C118" s="7" t="s">
        <v>271</v>
      </c>
      <c r="D118" s="7" t="s">
        <v>149</v>
      </c>
      <c r="E118" s="7">
        <v>19645587</v>
      </c>
      <c r="F118" s="7" t="s">
        <v>161</v>
      </c>
      <c r="G118" s="7" t="s">
        <v>262</v>
      </c>
      <c r="H118" s="8">
        <v>45717</v>
      </c>
      <c r="I118" s="7" t="s">
        <v>51</v>
      </c>
      <c r="J118" s="9">
        <v>0</v>
      </c>
      <c r="K118" s="9">
        <v>260.83</v>
      </c>
      <c r="L118" s="10">
        <v>1</v>
      </c>
      <c r="M118" s="9">
        <v>260.83</v>
      </c>
      <c r="N118" s="7" t="s">
        <v>136</v>
      </c>
      <c r="O118" s="7" t="s">
        <v>428</v>
      </c>
      <c r="P118" s="7" t="s">
        <v>429</v>
      </c>
    </row>
    <row r="119" spans="1:16" s="7" customFormat="1" x14ac:dyDescent="0.25">
      <c r="A119" s="6">
        <v>987905996</v>
      </c>
      <c r="B119" s="5" t="str">
        <f t="shared" si="5"/>
        <v>98790599699</v>
      </c>
      <c r="C119" s="7" t="s">
        <v>274</v>
      </c>
      <c r="D119" s="7" t="s">
        <v>110</v>
      </c>
      <c r="E119" s="7">
        <v>9213293</v>
      </c>
      <c r="F119" s="7" t="s">
        <v>66</v>
      </c>
      <c r="G119" s="7" t="s">
        <v>262</v>
      </c>
      <c r="H119" s="8">
        <v>45717</v>
      </c>
      <c r="I119" s="7" t="s">
        <v>51</v>
      </c>
      <c r="J119" s="9">
        <v>0</v>
      </c>
      <c r="K119" s="9">
        <v>260.83</v>
      </c>
      <c r="L119" s="10">
        <v>1</v>
      </c>
      <c r="M119" s="9">
        <v>260.83</v>
      </c>
      <c r="N119" s="7" t="s">
        <v>136</v>
      </c>
      <c r="O119" s="7" t="s">
        <v>428</v>
      </c>
      <c r="P119" s="7" t="s">
        <v>429</v>
      </c>
    </row>
    <row r="120" spans="1:16" x14ac:dyDescent="0.25">
      <c r="A120" s="5" t="s">
        <v>381</v>
      </c>
      <c r="B120" s="5" t="str">
        <f t="shared" ref="B120" si="6">CONCATENATE(A120,9)</f>
        <v>9N29XM6NY599</v>
      </c>
      <c r="C120" t="s">
        <v>284</v>
      </c>
      <c r="D120" t="s">
        <v>110</v>
      </c>
      <c r="E120">
        <v>20411454</v>
      </c>
      <c r="F120" t="s">
        <v>431</v>
      </c>
      <c r="G120" t="s">
        <v>285</v>
      </c>
      <c r="H120" s="1">
        <v>45689</v>
      </c>
      <c r="I120" t="s">
        <v>51</v>
      </c>
      <c r="J120" s="2">
        <v>0</v>
      </c>
      <c r="K120" s="2">
        <v>150</v>
      </c>
      <c r="L120" s="3">
        <v>1</v>
      </c>
      <c r="M120" s="2">
        <v>150</v>
      </c>
      <c r="O120" t="s">
        <v>430</v>
      </c>
    </row>
    <row r="121" spans="1:16" x14ac:dyDescent="0.25">
      <c r="M121" s="2"/>
      <c r="N121" s="2"/>
    </row>
  </sheetData>
  <sortState xmlns:xlrd2="http://schemas.microsoft.com/office/spreadsheetml/2017/richdata2" ref="A2:AH120">
    <sortCondition ref="G2:G120"/>
  </sortState>
  <phoneticPr fontId="18" type="noConversion"/>
  <pageMargins left="0.7" right="0.7" top="0.75" bottom="0.75" header="0.3" footer="0.3"/>
  <ignoredErrors>
    <ignoredError sqref="B10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7A44-6FD0-42FA-AEF2-B13195D7337D}">
  <dimension ref="A1:M3"/>
  <sheetViews>
    <sheetView workbookViewId="0">
      <selection activeCell="L7" sqref="L7"/>
    </sheetView>
  </sheetViews>
  <sheetFormatPr defaultRowHeight="15" x14ac:dyDescent="0.25"/>
  <sheetData>
    <row r="1" spans="1:13" x14ac:dyDescent="0.25">
      <c r="A1" s="5" t="s">
        <v>8</v>
      </c>
      <c r="B1" t="s">
        <v>9</v>
      </c>
      <c r="C1" t="s">
        <v>12</v>
      </c>
      <c r="D1" t="s">
        <v>14</v>
      </c>
      <c r="E1" t="s">
        <v>15</v>
      </c>
      <c r="F1" t="s">
        <v>17</v>
      </c>
      <c r="G1" t="s">
        <v>18</v>
      </c>
      <c r="H1" t="s">
        <v>20</v>
      </c>
      <c r="I1" t="s">
        <v>24</v>
      </c>
      <c r="J1" t="s">
        <v>25</v>
      </c>
      <c r="K1" t="s">
        <v>27</v>
      </c>
      <c r="L1" t="s">
        <v>28</v>
      </c>
      <c r="M1" t="s">
        <v>37</v>
      </c>
    </row>
    <row r="2" spans="1:13" x14ac:dyDescent="0.25">
      <c r="A2" s="5" t="s">
        <v>380</v>
      </c>
      <c r="B2" t="s">
        <v>278</v>
      </c>
      <c r="C2" t="s">
        <v>209</v>
      </c>
      <c r="D2" t="s">
        <v>279</v>
      </c>
      <c r="E2" t="s">
        <v>280</v>
      </c>
      <c r="F2" t="s">
        <v>264</v>
      </c>
      <c r="G2" s="1">
        <v>45717</v>
      </c>
      <c r="H2" t="s">
        <v>51</v>
      </c>
      <c r="I2" s="2">
        <v>0</v>
      </c>
      <c r="J2" s="2">
        <v>-145.83000000000001</v>
      </c>
      <c r="K2" s="3">
        <v>1</v>
      </c>
      <c r="L2" s="2">
        <v>-145.83000000000001</v>
      </c>
      <c r="M2" t="s">
        <v>281</v>
      </c>
    </row>
    <row r="3" spans="1:13" x14ac:dyDescent="0.25">
      <c r="A3" s="5">
        <v>987982162</v>
      </c>
      <c r="B3" t="s">
        <v>278</v>
      </c>
      <c r="C3" t="s">
        <v>209</v>
      </c>
      <c r="D3" t="s">
        <v>279</v>
      </c>
      <c r="E3" t="s">
        <v>280</v>
      </c>
      <c r="F3" t="s">
        <v>262</v>
      </c>
      <c r="G3" s="1">
        <v>45717</v>
      </c>
      <c r="H3" t="s">
        <v>51</v>
      </c>
      <c r="I3" s="2">
        <v>0</v>
      </c>
      <c r="J3" s="2">
        <v>-509.17</v>
      </c>
      <c r="K3" s="3">
        <v>1</v>
      </c>
      <c r="L3" s="2">
        <v>-509.17</v>
      </c>
      <c r="M3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2025-03-06T13:35:33Z</dcterms:created>
  <dcterms:modified xsi:type="dcterms:W3CDTF">2025-03-06T15:42:45Z</dcterms:modified>
</cp:coreProperties>
</file>