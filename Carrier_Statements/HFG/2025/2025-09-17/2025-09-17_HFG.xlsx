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9-17-25\"/>
    </mc:Choice>
  </mc:AlternateContent>
  <xr:revisionPtr revIDLastSave="0" documentId="13_ncr:1_{9AF8983D-88B0-4C0F-91EA-33261B01C68E}" xr6:coauthVersionLast="47" xr6:coauthVersionMax="47" xr10:uidLastSave="{00000000-0000-0000-0000-000000000000}"/>
  <bookViews>
    <workbookView xWindow="-28920" yWindow="-120" windowWidth="29040" windowHeight="15720" activeTab="1" xr2:uid="{B527433E-8F86-40E8-96E8-68B4D4C778A4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" l="1"/>
  <c r="B47" i="2"/>
  <c r="B46" i="2"/>
  <c r="B44" i="2"/>
  <c r="B62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60" i="2"/>
  <c r="B59" i="2"/>
  <c r="B58" i="2"/>
  <c r="B57" i="2"/>
  <c r="B56" i="2"/>
  <c r="B54" i="2"/>
  <c r="B53" i="2"/>
  <c r="B52" i="2"/>
  <c r="B51" i="2"/>
  <c r="B50" i="2"/>
  <c r="B49" i="2"/>
  <c r="S63" i="2"/>
  <c r="S56" i="2"/>
</calcChain>
</file>

<file path=xl/sharedStrings.xml><?xml version="1.0" encoding="utf-8"?>
<sst xmlns="http://schemas.openxmlformats.org/spreadsheetml/2006/main" count="1485" uniqueCount="286">
  <si>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</si>
  <si>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</si>
  <si>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</si>
  <si>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</si>
  <si>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</si>
  <si>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</si>
  <si>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</si>
  <si>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</si>
  <si>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</si>
  <si>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</si>
  <si>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</si>
  <si>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</si>
  <si>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</si>
  <si>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</si>
  <si>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</si>
  <si>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</si>
  <si>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</si>
  <si>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</si>
  <si>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</si>
  <si>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</si>
  <si>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</si>
  <si>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</si>
  <si>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</si>
  <si>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</si>
  <si>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</si>
  <si>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</si>
  <si>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</si>
  <si>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</si>
  <si>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</si>
  <si>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</si>
  <si>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</si>
  <si>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</si>
  <si>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</si>
  <si>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</si>
  <si>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</si>
  <si>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</si>
  <si>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</si>
  <si>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</si>
  <si>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</si>
  <si>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</si>
  <si>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</si>
  <si>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</si>
  <si>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</si>
  <si>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</si>
  <si>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'00023601462K</t>
  </si>
  <si>
    <t>MONICA BALDERAS RUSS</t>
  </si>
  <si>
    <t>TX</t>
  </si>
  <si>
    <t>'043682</t>
  </si>
  <si>
    <t>GREGORY TEIPEL</t>
  </si>
  <si>
    <t>ACTIVE</t>
  </si>
  <si>
    <t>Humana MA 2019+ Level 15- 175/108</t>
  </si>
  <si>
    <t>Monthly</t>
  </si>
  <si>
    <t>AV</t>
  </si>
  <si>
    <t>'00023602340K</t>
  </si>
  <si>
    <t>JOSEPH KERNER</t>
  </si>
  <si>
    <t>IL</t>
  </si>
  <si>
    <t>'045607</t>
  </si>
  <si>
    <t>PAMELA DEATON</t>
  </si>
  <si>
    <t>'00023602915K</t>
  </si>
  <si>
    <t>EVA MOSSMAN</t>
  </si>
  <si>
    <t>'041686</t>
  </si>
  <si>
    <t>DALE WALENGA</t>
  </si>
  <si>
    <t>'00023603758K</t>
  </si>
  <si>
    <t>AFSHAN BUTT</t>
  </si>
  <si>
    <t>'043618</t>
  </si>
  <si>
    <t>SAADIA ABDUL</t>
  </si>
  <si>
    <t>'00023603885K</t>
  </si>
  <si>
    <t>KHALID REHMANI</t>
  </si>
  <si>
    <t>'00023607666K</t>
  </si>
  <si>
    <t>DAYNA DREIS</t>
  </si>
  <si>
    <t>WI</t>
  </si>
  <si>
    <t>'00023608437K</t>
  </si>
  <si>
    <t>WANDA FRANKS</t>
  </si>
  <si>
    <t>'045772</t>
  </si>
  <si>
    <t>JASON ROLLER</t>
  </si>
  <si>
    <t>'00023609251KPDP</t>
  </si>
  <si>
    <t>JUSTIN TREADWAY</t>
  </si>
  <si>
    <t>IN</t>
  </si>
  <si>
    <t>'045937</t>
  </si>
  <si>
    <t>MARSHA SANDEROCK</t>
  </si>
  <si>
    <t>Humana PDP 2019+ Level 15- 15/0</t>
  </si>
  <si>
    <t>'00023610218KPDP</t>
  </si>
  <si>
    <t>LINDA TREADWAY</t>
  </si>
  <si>
    <t>'00023610687K</t>
  </si>
  <si>
    <t>TAGHI ALAGHEBAND</t>
  </si>
  <si>
    <t>'045611</t>
  </si>
  <si>
    <t>FRANK LISKOVEC</t>
  </si>
  <si>
    <t>'00023610811KPDP</t>
  </si>
  <si>
    <t>RHONDA HARRIS</t>
  </si>
  <si>
    <t>'00023611146K</t>
  </si>
  <si>
    <t>MICHELLE ENNSMAN</t>
  </si>
  <si>
    <t>'046015</t>
  </si>
  <si>
    <t>SANDRA SENTMAN</t>
  </si>
  <si>
    <t>'00023614406K</t>
  </si>
  <si>
    <t>SCOTT GOODNER</t>
  </si>
  <si>
    <t>'045622</t>
  </si>
  <si>
    <t>JACOB YALE</t>
  </si>
  <si>
    <t>'00023615060K</t>
  </si>
  <si>
    <t>CINDY BERRY</t>
  </si>
  <si>
    <t>FL</t>
  </si>
  <si>
    <t>'043692</t>
  </si>
  <si>
    <t>ADAM RICHTER</t>
  </si>
  <si>
    <t>'101149746900</t>
  </si>
  <si>
    <t>JOHN COMUNALE</t>
  </si>
  <si>
    <t>OH</t>
  </si>
  <si>
    <t>'045684</t>
  </si>
  <si>
    <t>JILL SHEPARD</t>
  </si>
  <si>
    <t>Aetna MAPD NMO to GMO - 4-1-23+  Replace E-App</t>
  </si>
  <si>
    <t>4/12 PRORATE</t>
  </si>
  <si>
    <t>'101377388700</t>
  </si>
  <si>
    <t>TRICIA SLEZAK</t>
  </si>
  <si>
    <t>'045618</t>
  </si>
  <si>
    <t>STEPHANIE DRAPAC</t>
  </si>
  <si>
    <t>'101825784200</t>
  </si>
  <si>
    <t>JULIE HUFF</t>
  </si>
  <si>
    <t>'045632</t>
  </si>
  <si>
    <t>BARRY SCHUMANN</t>
  </si>
  <si>
    <t>3/12 PRORATE</t>
  </si>
  <si>
    <t>'102191441500</t>
  </si>
  <si>
    <t>STEPHEN SMITH</t>
  </si>
  <si>
    <t>'102191654400</t>
  </si>
  <si>
    <t>SCOTT JEPPERSON</t>
  </si>
  <si>
    <t>IA</t>
  </si>
  <si>
    <t>'102191790000</t>
  </si>
  <si>
    <t>TERESA GAHAGAN RUGH</t>
  </si>
  <si>
    <t>PA</t>
  </si>
  <si>
    <t>'043611</t>
  </si>
  <si>
    <t>TIMOTHY POWERS</t>
  </si>
  <si>
    <t>'102192129000</t>
  </si>
  <si>
    <t>STEVEN MINTO</t>
  </si>
  <si>
    <t>'123275022</t>
  </si>
  <si>
    <t>CAROLYN COX</t>
  </si>
  <si>
    <t>OK</t>
  </si>
  <si>
    <t>'045896</t>
  </si>
  <si>
    <t>LENSIE GONZALEZ</t>
  </si>
  <si>
    <t>UHC MAPD Street payable to upline- 2025 Replace</t>
  </si>
  <si>
    <t>'123275022OV</t>
  </si>
  <si>
    <t>UHC MA Direct 2025 New Initial Prorated</t>
  </si>
  <si>
    <t>'131758294</t>
  </si>
  <si>
    <t>SANDRA NOGUERAS SANTANA</t>
  </si>
  <si>
    <t>'131758294OV</t>
  </si>
  <si>
    <t>'134111141</t>
  </si>
  <si>
    <t>ERNESTO GONZALEZ</t>
  </si>
  <si>
    <t>'134111141OV</t>
  </si>
  <si>
    <t>'914839672</t>
  </si>
  <si>
    <t>SOCORRA GARCIA</t>
  </si>
  <si>
    <t>'045605</t>
  </si>
  <si>
    <t>GARY PORTUGAL</t>
  </si>
  <si>
    <t>'914839672OV</t>
  </si>
  <si>
    <t>UHC MA Direct 2025 New Full</t>
  </si>
  <si>
    <t>'916058492</t>
  </si>
  <si>
    <t>DONALD KNAPKE</t>
  </si>
  <si>
    <t>'043969</t>
  </si>
  <si>
    <t>STACEY PORTUGAL</t>
  </si>
  <si>
    <t>'916058492OV</t>
  </si>
  <si>
    <t>'916445670</t>
  </si>
  <si>
    <t>MARGIE ISRAEL-UKPABI</t>
  </si>
  <si>
    <t>SC</t>
  </si>
  <si>
    <t>'045601</t>
  </si>
  <si>
    <t>CAROL FOLEY</t>
  </si>
  <si>
    <t>'916445670OV</t>
  </si>
  <si>
    <t>'925937306</t>
  </si>
  <si>
    <t>JUANITA GARCIA</t>
  </si>
  <si>
    <t>'925937306OV</t>
  </si>
  <si>
    <t>'927312174</t>
  </si>
  <si>
    <t>WILLIAM CARSON</t>
  </si>
  <si>
    <t>CO</t>
  </si>
  <si>
    <t>'045621</t>
  </si>
  <si>
    <t>HEATHER GESKE</t>
  </si>
  <si>
    <t>UHC MAPD Street payable to upline - 2025 New</t>
  </si>
  <si>
    <t>'927312174OV</t>
  </si>
  <si>
    <t>'932906228</t>
  </si>
  <si>
    <t>BONNIE DAVIS</t>
  </si>
  <si>
    <t>'932906228OV</t>
  </si>
  <si>
    <t>'934031732</t>
  </si>
  <si>
    <t>MARIA ESCALERA</t>
  </si>
  <si>
    <t>'934031732OV</t>
  </si>
  <si>
    <t>'934515223</t>
  </si>
  <si>
    <t>CHRISTI BRIDGER</t>
  </si>
  <si>
    <t>'939286577</t>
  </si>
  <si>
    <t>CYNTHIA HILL</t>
  </si>
  <si>
    <t>1/12 PRORATE</t>
  </si>
  <si>
    <t>'939286577OV</t>
  </si>
  <si>
    <t>UHC MA Direct 2025 New Full - Other</t>
  </si>
  <si>
    <t>'945448053</t>
  </si>
  <si>
    <t>WADE JANECEK</t>
  </si>
  <si>
    <t>'043644</t>
  </si>
  <si>
    <t>TIMOTHY HODGMAN</t>
  </si>
  <si>
    <t>'950837863</t>
  </si>
  <si>
    <t>CHUDAMANI DONIPARTHI</t>
  </si>
  <si>
    <t>2/12 PRORATE</t>
  </si>
  <si>
    <t>'950837863OV</t>
  </si>
  <si>
    <t>'970238440</t>
  </si>
  <si>
    <t>TIMOTHY COOPER</t>
  </si>
  <si>
    <t>Active</t>
  </si>
  <si>
    <t>'970238440OV</t>
  </si>
  <si>
    <t>'976044955</t>
  </si>
  <si>
    <t>ARTHUR JORDAN</t>
  </si>
  <si>
    <t>'043713</t>
  </si>
  <si>
    <t>JOEL LEE</t>
  </si>
  <si>
    <t>CB</t>
  </si>
  <si>
    <t>'00010225769KPC</t>
  </si>
  <si>
    <t>ELIA FERRER</t>
  </si>
  <si>
    <t>NA</t>
  </si>
  <si>
    <t>'045709</t>
  </si>
  <si>
    <t>ESTHER HERRERA-LARSEN</t>
  </si>
  <si>
    <t>CHARGEBACK</t>
  </si>
  <si>
    <t>'00022970904KPC</t>
  </si>
  <si>
    <t>RICHARD SCHULD</t>
  </si>
  <si>
    <t>'045603</t>
  </si>
  <si>
    <t>ANDREW CHOI</t>
  </si>
  <si>
    <t>'00023268932KPC</t>
  </si>
  <si>
    <t>PAWEL DUSZCZYK</t>
  </si>
  <si>
    <t>'045612</t>
  </si>
  <si>
    <t>ANTHONY HUNSBERGER</t>
  </si>
  <si>
    <t>'00023271984KPC</t>
  </si>
  <si>
    <t>LAURA DAIDONE</t>
  </si>
  <si>
    <t>'101825784200PC</t>
  </si>
  <si>
    <t>Aetna MAPD NMO to GMO - 4-1-23+  New E-App</t>
  </si>
  <si>
    <t>'102058608300PC</t>
  </si>
  <si>
    <t>DEONTAE CHRISTIAN</t>
  </si>
  <si>
    <t>MD</t>
  </si>
  <si>
    <t>'043690</t>
  </si>
  <si>
    <t>THOMAS KUCAN</t>
  </si>
  <si>
    <t>'102096467800PC</t>
  </si>
  <si>
    <t>ALBERT KJELLESVIK</t>
  </si>
  <si>
    <t>'934515223CB</t>
  </si>
  <si>
    <t>'945448053CB</t>
  </si>
  <si>
    <t>'976044955CB</t>
  </si>
  <si>
    <t>'986658939CB</t>
  </si>
  <si>
    <t>RAMZI ORAHA</t>
  </si>
  <si>
    <t>UHC MAPD Street payable to upline- 2025 Pro New</t>
  </si>
  <si>
    <t>'986658939OVCB</t>
  </si>
  <si>
    <t>UHC MA Direct 2024 New Prorated</t>
  </si>
  <si>
    <t>00023601462K</t>
  </si>
  <si>
    <t>00023602340K</t>
  </si>
  <si>
    <t>00023602915K</t>
  </si>
  <si>
    <t>00023603758K</t>
  </si>
  <si>
    <t>00023603885K</t>
  </si>
  <si>
    <t>00023607666K</t>
  </si>
  <si>
    <t>00023608437K</t>
  </si>
  <si>
    <t>00023609251KPDP</t>
  </si>
  <si>
    <t>00023610218KPDP</t>
  </si>
  <si>
    <t>00023610687K</t>
  </si>
  <si>
    <t>00023610811KPDP</t>
  </si>
  <si>
    <t>00023611146K</t>
  </si>
  <si>
    <t>00023614406K</t>
  </si>
  <si>
    <t>00023615060K</t>
  </si>
  <si>
    <t>123275022OV</t>
  </si>
  <si>
    <t>131758294OV</t>
  </si>
  <si>
    <t>134111141OV</t>
  </si>
  <si>
    <t>914839672OV</t>
  </si>
  <si>
    <t>916058492OV</t>
  </si>
  <si>
    <t>916445670OV</t>
  </si>
  <si>
    <t>925937306OV</t>
  </si>
  <si>
    <t>927312174OV</t>
  </si>
  <si>
    <t>932906228OV</t>
  </si>
  <si>
    <t>934031732OV</t>
  </si>
  <si>
    <t>939286577OV</t>
  </si>
  <si>
    <t>950837863OV</t>
  </si>
  <si>
    <t>970238440OV</t>
  </si>
  <si>
    <t>00010225769KPC</t>
  </si>
  <si>
    <t>00022970904KPC</t>
  </si>
  <si>
    <t>00023268932KPC</t>
  </si>
  <si>
    <t>00023271984KPC</t>
  </si>
  <si>
    <t>101825784200PC</t>
  </si>
  <si>
    <t>102058608300PC</t>
  </si>
  <si>
    <t>102096467800PC</t>
  </si>
  <si>
    <t>934515223CB</t>
  </si>
  <si>
    <t>945448053CB</t>
  </si>
  <si>
    <t>976044955CB</t>
  </si>
  <si>
    <t>986658939CB</t>
  </si>
  <si>
    <t>986658939OVCB</t>
  </si>
  <si>
    <t>Aetna MAPD OVR 2025</t>
  </si>
  <si>
    <t>Humana MAPD OVR 2025</t>
  </si>
  <si>
    <t>Humana PDP 2025!</t>
  </si>
  <si>
    <t>UHC MAPD Ovr 2025</t>
  </si>
  <si>
    <t>UHC 2025</t>
  </si>
  <si>
    <t>UHC MAPD 2025*</t>
  </si>
  <si>
    <t>[%/$=313][prorate=1/12]</t>
  </si>
  <si>
    <t>[%/$=313][prorate=3/12]</t>
  </si>
  <si>
    <t>[%/$=313][prorate=2/12]</t>
  </si>
  <si>
    <t>[%/$=313][prorate=4/12]</t>
  </si>
  <si>
    <t>[%/$=626]</t>
  </si>
  <si>
    <t>[%/$=313][prorate=12/12]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</si>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</sst>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C65E-F70D-48FF-9CD9-EA0CCC503347}">
  <dimension ref="A1:AL63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45917</v>
      </c>
      <c r="B2" s="1">
        <v>45917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45931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5820521</v>
      </c>
    </row>
    <row r="3" spans="1:38" x14ac:dyDescent="0.25">
      <c r="A3" s="1">
        <v>45917</v>
      </c>
      <c r="B3" s="1">
        <v>45917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45901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5820527</v>
      </c>
    </row>
    <row r="4" spans="1:38" x14ac:dyDescent="0.25">
      <c r="A4" s="1">
        <v>45917</v>
      </c>
      <c r="B4" s="1">
        <v>45917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55</v>
      </c>
      <c r="O4" t="s">
        <v>60</v>
      </c>
      <c r="P4" t="s">
        <v>61</v>
      </c>
      <c r="Q4" t="s">
        <v>49</v>
      </c>
      <c r="R4" t="s">
        <v>50</v>
      </c>
      <c r="S4" s="1">
        <v>45931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5820532</v>
      </c>
    </row>
    <row r="5" spans="1:38" x14ac:dyDescent="0.25">
      <c r="A5" s="1">
        <v>45917</v>
      </c>
      <c r="B5" s="1">
        <v>45917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55</v>
      </c>
      <c r="O5" t="s">
        <v>64</v>
      </c>
      <c r="P5" t="s">
        <v>65</v>
      </c>
      <c r="Q5" t="s">
        <v>49</v>
      </c>
      <c r="R5" t="s">
        <v>50</v>
      </c>
      <c r="S5" s="1">
        <v>45931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5820537</v>
      </c>
    </row>
    <row r="6" spans="1:38" x14ac:dyDescent="0.25">
      <c r="A6" s="1">
        <v>45917</v>
      </c>
      <c r="B6" s="1">
        <v>45917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55</v>
      </c>
      <c r="O6" t="s">
        <v>64</v>
      </c>
      <c r="P6" t="s">
        <v>65</v>
      </c>
      <c r="Q6" t="s">
        <v>49</v>
      </c>
      <c r="R6" t="s">
        <v>50</v>
      </c>
      <c r="S6" s="1">
        <v>45931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5820538</v>
      </c>
    </row>
    <row r="7" spans="1:38" x14ac:dyDescent="0.25">
      <c r="A7" s="1">
        <v>45917</v>
      </c>
      <c r="B7" s="1">
        <v>45917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69</v>
      </c>
      <c r="M7" t="s">
        <v>70</v>
      </c>
      <c r="O7" t="s">
        <v>47</v>
      </c>
      <c r="P7" t="s">
        <v>48</v>
      </c>
      <c r="Q7" t="s">
        <v>49</v>
      </c>
      <c r="R7" t="s">
        <v>50</v>
      </c>
      <c r="S7" s="1">
        <v>45931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5820556</v>
      </c>
    </row>
    <row r="8" spans="1:38" x14ac:dyDescent="0.25">
      <c r="A8" s="1">
        <v>45917</v>
      </c>
      <c r="B8" s="1">
        <v>45917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71</v>
      </c>
      <c r="J8" t="s">
        <v>72</v>
      </c>
      <c r="M8" t="s">
        <v>55</v>
      </c>
      <c r="O8" t="s">
        <v>73</v>
      </c>
      <c r="P8" t="s">
        <v>74</v>
      </c>
      <c r="Q8" t="s">
        <v>49</v>
      </c>
      <c r="R8" t="s">
        <v>50</v>
      </c>
      <c r="S8" s="1">
        <v>45992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5820558</v>
      </c>
    </row>
    <row r="9" spans="1:38" x14ac:dyDescent="0.25">
      <c r="A9" s="1">
        <v>45917</v>
      </c>
      <c r="B9" s="1">
        <v>45917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75</v>
      </c>
      <c r="J9" t="s">
        <v>76</v>
      </c>
      <c r="M9" t="s">
        <v>77</v>
      </c>
      <c r="O9" t="s">
        <v>78</v>
      </c>
      <c r="P9" t="s">
        <v>79</v>
      </c>
      <c r="Q9" t="s">
        <v>49</v>
      </c>
      <c r="R9" t="s">
        <v>80</v>
      </c>
      <c r="S9" s="1">
        <v>45931</v>
      </c>
      <c r="U9" t="s">
        <v>51</v>
      </c>
      <c r="X9" t="s">
        <v>52</v>
      </c>
      <c r="Y9" s="2">
        <v>0</v>
      </c>
      <c r="Z9" s="2">
        <v>15</v>
      </c>
      <c r="AA9">
        <v>1</v>
      </c>
      <c r="AB9" s="3">
        <v>1</v>
      </c>
      <c r="AC9" s="2">
        <v>15</v>
      </c>
      <c r="AD9" s="3">
        <v>0</v>
      </c>
      <c r="AE9" s="2">
        <v>0</v>
      </c>
      <c r="AF9" s="2">
        <v>15</v>
      </c>
      <c r="AK9">
        <v>5820418</v>
      </c>
    </row>
    <row r="10" spans="1:38" x14ac:dyDescent="0.25">
      <c r="A10" s="1">
        <v>45917</v>
      </c>
      <c r="B10" s="1">
        <v>45917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77</v>
      </c>
      <c r="O10" t="s">
        <v>78</v>
      </c>
      <c r="P10" t="s">
        <v>79</v>
      </c>
      <c r="Q10" t="s">
        <v>49</v>
      </c>
      <c r="R10" t="s">
        <v>80</v>
      </c>
      <c r="S10" s="1">
        <v>45931</v>
      </c>
      <c r="U10" t="s">
        <v>51</v>
      </c>
      <c r="X10" t="s">
        <v>52</v>
      </c>
      <c r="Y10" s="2">
        <v>0</v>
      </c>
      <c r="Z10" s="2">
        <v>15</v>
      </c>
      <c r="AA10">
        <v>1</v>
      </c>
      <c r="AB10" s="3">
        <v>1</v>
      </c>
      <c r="AC10" s="2">
        <v>15</v>
      </c>
      <c r="AD10" s="3">
        <v>0</v>
      </c>
      <c r="AE10" s="2">
        <v>0</v>
      </c>
      <c r="AF10" s="2">
        <v>15</v>
      </c>
      <c r="AK10">
        <v>5820419</v>
      </c>
    </row>
    <row r="11" spans="1:38" x14ac:dyDescent="0.25">
      <c r="A11" s="1">
        <v>45917</v>
      </c>
      <c r="B11" s="1">
        <v>45917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83</v>
      </c>
      <c r="J11" t="s">
        <v>84</v>
      </c>
      <c r="M11" t="s">
        <v>55</v>
      </c>
      <c r="O11" t="s">
        <v>85</v>
      </c>
      <c r="P11" t="s">
        <v>86</v>
      </c>
      <c r="Q11" t="s">
        <v>49</v>
      </c>
      <c r="R11" t="s">
        <v>50</v>
      </c>
      <c r="S11" s="1">
        <v>45962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5820566</v>
      </c>
    </row>
    <row r="12" spans="1:38" x14ac:dyDescent="0.25">
      <c r="A12" s="1">
        <v>45917</v>
      </c>
      <c r="B12" s="1">
        <v>45917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77</v>
      </c>
      <c r="O12" t="s">
        <v>78</v>
      </c>
      <c r="P12" t="s">
        <v>79</v>
      </c>
      <c r="Q12" t="s">
        <v>49</v>
      </c>
      <c r="R12" t="s">
        <v>80</v>
      </c>
      <c r="S12" s="1">
        <v>45992</v>
      </c>
      <c r="U12" t="s">
        <v>51</v>
      </c>
      <c r="X12" t="s">
        <v>52</v>
      </c>
      <c r="Y12" s="2">
        <v>0</v>
      </c>
      <c r="Z12" s="2">
        <v>15</v>
      </c>
      <c r="AA12">
        <v>1</v>
      </c>
      <c r="AB12" s="3">
        <v>1</v>
      </c>
      <c r="AC12" s="2">
        <v>15</v>
      </c>
      <c r="AD12" s="3">
        <v>0</v>
      </c>
      <c r="AE12" s="2">
        <v>0</v>
      </c>
      <c r="AF12" s="2">
        <v>15</v>
      </c>
      <c r="AK12">
        <v>5820420</v>
      </c>
    </row>
    <row r="13" spans="1:38" x14ac:dyDescent="0.25">
      <c r="A13" s="1">
        <v>45917</v>
      </c>
      <c r="B13" s="1">
        <v>45917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89</v>
      </c>
      <c r="J13" t="s">
        <v>90</v>
      </c>
      <c r="M13" t="s">
        <v>55</v>
      </c>
      <c r="O13" t="s">
        <v>91</v>
      </c>
      <c r="P13" t="s">
        <v>92</v>
      </c>
      <c r="Q13" t="s">
        <v>49</v>
      </c>
      <c r="R13" t="s">
        <v>50</v>
      </c>
      <c r="S13" s="1">
        <v>45931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5820568</v>
      </c>
    </row>
    <row r="14" spans="1:38" x14ac:dyDescent="0.25">
      <c r="A14" s="1">
        <v>45917</v>
      </c>
      <c r="B14" s="1">
        <v>45917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93</v>
      </c>
      <c r="J14" t="s">
        <v>94</v>
      </c>
      <c r="M14" t="s">
        <v>55</v>
      </c>
      <c r="O14" t="s">
        <v>95</v>
      </c>
      <c r="P14" t="s">
        <v>96</v>
      </c>
      <c r="Q14" t="s">
        <v>49</v>
      </c>
      <c r="R14" t="s">
        <v>50</v>
      </c>
      <c r="S14" s="1">
        <v>45992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5820578</v>
      </c>
    </row>
    <row r="15" spans="1:38" x14ac:dyDescent="0.25">
      <c r="A15" s="1">
        <v>45917</v>
      </c>
      <c r="B15" s="1">
        <v>45917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99</v>
      </c>
      <c r="O15" t="s">
        <v>100</v>
      </c>
      <c r="P15" t="s">
        <v>101</v>
      </c>
      <c r="Q15" t="s">
        <v>49</v>
      </c>
      <c r="R15" t="s">
        <v>50</v>
      </c>
      <c r="S15" s="1">
        <v>45931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5820580</v>
      </c>
    </row>
    <row r="16" spans="1:38" x14ac:dyDescent="0.25">
      <c r="A16" s="1">
        <v>45917</v>
      </c>
      <c r="B16" s="1">
        <v>45917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104</v>
      </c>
      <c r="O16" t="s">
        <v>105</v>
      </c>
      <c r="P16" t="s">
        <v>106</v>
      </c>
      <c r="Q16" t="s">
        <v>49</v>
      </c>
      <c r="R16" t="s">
        <v>107</v>
      </c>
      <c r="S16" s="1">
        <v>45901</v>
      </c>
      <c r="U16" t="s">
        <v>51</v>
      </c>
      <c r="X16" t="s">
        <v>52</v>
      </c>
      <c r="Y16" s="2">
        <v>0</v>
      </c>
      <c r="Z16" s="2">
        <v>16.670000000000002</v>
      </c>
      <c r="AA16">
        <v>1</v>
      </c>
      <c r="AB16" s="3">
        <v>1</v>
      </c>
      <c r="AC16" s="2">
        <v>16.670000000000002</v>
      </c>
      <c r="AD16" s="3">
        <v>0</v>
      </c>
      <c r="AE16" s="2">
        <v>0</v>
      </c>
      <c r="AF16" s="2">
        <v>16.670000000000002</v>
      </c>
      <c r="AK16">
        <v>5820251</v>
      </c>
      <c r="AL16" t="s">
        <v>108</v>
      </c>
    </row>
    <row r="17" spans="1:38" x14ac:dyDescent="0.25">
      <c r="A17" s="1">
        <v>45917</v>
      </c>
      <c r="B17" s="1">
        <v>45917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109</v>
      </c>
      <c r="J17" t="s">
        <v>110</v>
      </c>
      <c r="M17" t="s">
        <v>46</v>
      </c>
      <c r="O17" t="s">
        <v>111</v>
      </c>
      <c r="P17" t="s">
        <v>112</v>
      </c>
      <c r="Q17" t="s">
        <v>49</v>
      </c>
      <c r="R17" t="s">
        <v>107</v>
      </c>
      <c r="S17" s="1">
        <v>45901</v>
      </c>
      <c r="U17" t="s">
        <v>51</v>
      </c>
      <c r="X17" t="s">
        <v>52</v>
      </c>
      <c r="Y17" s="2">
        <v>0</v>
      </c>
      <c r="Z17" s="2">
        <v>16.670000000000002</v>
      </c>
      <c r="AA17">
        <v>1</v>
      </c>
      <c r="AB17" s="3">
        <v>1</v>
      </c>
      <c r="AC17" s="2">
        <v>16.670000000000002</v>
      </c>
      <c r="AD17" s="3">
        <v>0</v>
      </c>
      <c r="AE17" s="2">
        <v>0</v>
      </c>
      <c r="AF17" s="2">
        <v>16.670000000000002</v>
      </c>
      <c r="AK17">
        <v>5820255</v>
      </c>
      <c r="AL17" t="s">
        <v>108</v>
      </c>
    </row>
    <row r="18" spans="1:38" x14ac:dyDescent="0.25">
      <c r="A18" s="1">
        <v>45917</v>
      </c>
      <c r="B18" s="1">
        <v>45917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113</v>
      </c>
      <c r="J18" t="s">
        <v>114</v>
      </c>
      <c r="M18" t="s">
        <v>104</v>
      </c>
      <c r="O18" t="s">
        <v>115</v>
      </c>
      <c r="P18" t="s">
        <v>116</v>
      </c>
      <c r="Q18" t="s">
        <v>49</v>
      </c>
      <c r="R18" t="s">
        <v>107</v>
      </c>
      <c r="S18" s="1">
        <v>45931</v>
      </c>
      <c r="U18" t="s">
        <v>51</v>
      </c>
      <c r="X18" t="s">
        <v>52</v>
      </c>
      <c r="Y18" s="2">
        <v>0</v>
      </c>
      <c r="Z18" s="2">
        <v>12.5</v>
      </c>
      <c r="AA18">
        <v>1</v>
      </c>
      <c r="AB18" s="3">
        <v>1</v>
      </c>
      <c r="AC18" s="2">
        <v>12.5</v>
      </c>
      <c r="AD18" s="3">
        <v>0</v>
      </c>
      <c r="AE18" s="2">
        <v>0</v>
      </c>
      <c r="AF18" s="2">
        <v>12.5</v>
      </c>
      <c r="AK18">
        <v>5820363</v>
      </c>
      <c r="AL18" t="s">
        <v>117</v>
      </c>
    </row>
    <row r="19" spans="1:38" x14ac:dyDescent="0.25">
      <c r="A19" s="1">
        <v>45917</v>
      </c>
      <c r="B19" s="1">
        <v>45917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118</v>
      </c>
      <c r="J19" t="s">
        <v>119</v>
      </c>
      <c r="M19" t="s">
        <v>55</v>
      </c>
      <c r="O19" t="s">
        <v>85</v>
      </c>
      <c r="P19" t="s">
        <v>86</v>
      </c>
      <c r="Q19" t="s">
        <v>49</v>
      </c>
      <c r="R19" t="s">
        <v>107</v>
      </c>
      <c r="S19" s="1">
        <v>45901</v>
      </c>
      <c r="U19" t="s">
        <v>51</v>
      </c>
      <c r="X19" t="s">
        <v>52</v>
      </c>
      <c r="Y19" s="2">
        <v>0</v>
      </c>
      <c r="Z19" s="2">
        <v>16.670000000000002</v>
      </c>
      <c r="AA19">
        <v>1</v>
      </c>
      <c r="AB19" s="3">
        <v>1</v>
      </c>
      <c r="AC19" s="2">
        <v>16.670000000000002</v>
      </c>
      <c r="AD19" s="3">
        <v>0</v>
      </c>
      <c r="AE19" s="2">
        <v>0</v>
      </c>
      <c r="AF19" s="2">
        <v>16.670000000000002</v>
      </c>
      <c r="AK19">
        <v>5820304</v>
      </c>
      <c r="AL19" t="s">
        <v>108</v>
      </c>
    </row>
    <row r="20" spans="1:38" x14ac:dyDescent="0.25">
      <c r="A20" s="1">
        <v>45917</v>
      </c>
      <c r="B20" s="1">
        <v>45917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120</v>
      </c>
      <c r="J20" t="s">
        <v>121</v>
      </c>
      <c r="M20" t="s">
        <v>122</v>
      </c>
      <c r="O20" t="s">
        <v>47</v>
      </c>
      <c r="P20" t="s">
        <v>48</v>
      </c>
      <c r="Q20" t="s">
        <v>49</v>
      </c>
      <c r="R20" t="s">
        <v>107</v>
      </c>
      <c r="S20" s="1">
        <v>45931</v>
      </c>
      <c r="U20" t="s">
        <v>51</v>
      </c>
      <c r="X20" t="s">
        <v>52</v>
      </c>
      <c r="Y20" s="2">
        <v>0</v>
      </c>
      <c r="Z20" s="2">
        <v>12.5</v>
      </c>
      <c r="AA20">
        <v>1</v>
      </c>
      <c r="AB20" s="3">
        <v>1</v>
      </c>
      <c r="AC20" s="2">
        <v>12.5</v>
      </c>
      <c r="AD20" s="3">
        <v>0</v>
      </c>
      <c r="AE20" s="2">
        <v>0</v>
      </c>
      <c r="AF20" s="2">
        <v>12.5</v>
      </c>
      <c r="AK20">
        <v>5820313</v>
      </c>
      <c r="AL20" t="s">
        <v>117</v>
      </c>
    </row>
    <row r="21" spans="1:38" x14ac:dyDescent="0.25">
      <c r="A21" s="1">
        <v>45917</v>
      </c>
      <c r="B21" s="1">
        <v>45917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123</v>
      </c>
      <c r="J21" t="s">
        <v>124</v>
      </c>
      <c r="M21" t="s">
        <v>125</v>
      </c>
      <c r="O21" t="s">
        <v>126</v>
      </c>
      <c r="P21" t="s">
        <v>127</v>
      </c>
      <c r="Q21" t="s">
        <v>49</v>
      </c>
      <c r="R21" t="s">
        <v>107</v>
      </c>
      <c r="S21" s="1">
        <v>45901</v>
      </c>
      <c r="U21" t="s">
        <v>51</v>
      </c>
      <c r="X21" t="s">
        <v>52</v>
      </c>
      <c r="Y21" s="2">
        <v>0</v>
      </c>
      <c r="Z21" s="2">
        <v>16.670000000000002</v>
      </c>
      <c r="AA21">
        <v>1</v>
      </c>
      <c r="AB21" s="3">
        <v>1</v>
      </c>
      <c r="AC21" s="2">
        <v>16.670000000000002</v>
      </c>
      <c r="AD21" s="3">
        <v>0</v>
      </c>
      <c r="AE21" s="2">
        <v>0</v>
      </c>
      <c r="AF21" s="2">
        <v>16.670000000000002</v>
      </c>
      <c r="AK21">
        <v>5820323</v>
      </c>
      <c r="AL21" t="s">
        <v>108</v>
      </c>
    </row>
    <row r="22" spans="1:38" x14ac:dyDescent="0.25">
      <c r="A22" s="1">
        <v>45917</v>
      </c>
      <c r="B22" s="1">
        <v>45917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128</v>
      </c>
      <c r="J22" t="s">
        <v>129</v>
      </c>
      <c r="M22" t="s">
        <v>125</v>
      </c>
      <c r="O22" t="s">
        <v>126</v>
      </c>
      <c r="P22" t="s">
        <v>127</v>
      </c>
      <c r="Q22" t="s">
        <v>49</v>
      </c>
      <c r="R22" t="s">
        <v>107</v>
      </c>
      <c r="S22" s="1">
        <v>45901</v>
      </c>
      <c r="U22" t="s">
        <v>51</v>
      </c>
      <c r="X22" t="s">
        <v>52</v>
      </c>
      <c r="Y22" s="2">
        <v>0</v>
      </c>
      <c r="Z22" s="2">
        <v>16.670000000000002</v>
      </c>
      <c r="AA22">
        <v>1</v>
      </c>
      <c r="AB22" s="3">
        <v>1</v>
      </c>
      <c r="AC22" s="2">
        <v>16.670000000000002</v>
      </c>
      <c r="AD22" s="3">
        <v>0</v>
      </c>
      <c r="AE22" s="2">
        <v>0</v>
      </c>
      <c r="AF22" s="2">
        <v>16.670000000000002</v>
      </c>
      <c r="AK22">
        <v>5820353</v>
      </c>
      <c r="AL22" t="s">
        <v>108</v>
      </c>
    </row>
    <row r="23" spans="1:38" x14ac:dyDescent="0.25">
      <c r="A23" s="1">
        <v>45917</v>
      </c>
      <c r="B23" s="1">
        <v>45917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130</v>
      </c>
      <c r="J23" t="s">
        <v>131</v>
      </c>
      <c r="M23" t="s">
        <v>132</v>
      </c>
      <c r="O23" t="s">
        <v>133</v>
      </c>
      <c r="P23" t="s">
        <v>134</v>
      </c>
      <c r="Q23" t="s">
        <v>49</v>
      </c>
      <c r="R23" t="s">
        <v>135</v>
      </c>
      <c r="S23" s="1">
        <v>45931</v>
      </c>
      <c r="U23" t="s">
        <v>51</v>
      </c>
      <c r="X23" t="s">
        <v>52</v>
      </c>
      <c r="Y23" s="2">
        <v>0</v>
      </c>
      <c r="Z23" s="2">
        <v>78.25</v>
      </c>
      <c r="AA23">
        <v>1</v>
      </c>
      <c r="AB23" s="3">
        <v>1</v>
      </c>
      <c r="AC23" s="2">
        <v>78.25</v>
      </c>
      <c r="AD23" s="3">
        <v>0</v>
      </c>
      <c r="AE23" s="2">
        <v>0</v>
      </c>
      <c r="AF23" s="2">
        <v>78.25</v>
      </c>
      <c r="AK23">
        <v>5821192</v>
      </c>
      <c r="AL23" t="s">
        <v>117</v>
      </c>
    </row>
    <row r="24" spans="1:38" x14ac:dyDescent="0.25">
      <c r="A24" s="1">
        <v>45917</v>
      </c>
      <c r="B24" s="1">
        <v>45917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136</v>
      </c>
      <c r="J24" t="s">
        <v>131</v>
      </c>
      <c r="M24" t="s">
        <v>132</v>
      </c>
      <c r="O24" t="s">
        <v>133</v>
      </c>
      <c r="P24" t="s">
        <v>134</v>
      </c>
      <c r="Q24" t="s">
        <v>49</v>
      </c>
      <c r="R24" t="s">
        <v>137</v>
      </c>
      <c r="S24" s="1">
        <v>45931</v>
      </c>
      <c r="U24" t="s">
        <v>51</v>
      </c>
      <c r="X24" t="s">
        <v>52</v>
      </c>
      <c r="Y24" s="2">
        <v>0</v>
      </c>
      <c r="Z24" s="2">
        <v>18</v>
      </c>
      <c r="AA24">
        <v>1</v>
      </c>
      <c r="AB24" s="3">
        <v>1</v>
      </c>
      <c r="AC24" s="2">
        <v>18</v>
      </c>
      <c r="AD24" s="3">
        <v>0</v>
      </c>
      <c r="AE24" s="2">
        <v>0</v>
      </c>
      <c r="AF24" s="2">
        <v>18</v>
      </c>
      <c r="AK24">
        <v>5821005</v>
      </c>
      <c r="AL24" t="s">
        <v>117</v>
      </c>
    </row>
    <row r="25" spans="1:38" x14ac:dyDescent="0.25">
      <c r="A25" s="1">
        <v>45917</v>
      </c>
      <c r="B25" s="1">
        <v>45917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138</v>
      </c>
      <c r="J25" t="s">
        <v>139</v>
      </c>
      <c r="M25" t="s">
        <v>104</v>
      </c>
      <c r="O25" t="s">
        <v>105</v>
      </c>
      <c r="P25" t="s">
        <v>106</v>
      </c>
      <c r="Q25" t="s">
        <v>49</v>
      </c>
      <c r="R25" t="s">
        <v>135</v>
      </c>
      <c r="S25" s="1">
        <v>45931</v>
      </c>
      <c r="U25" t="s">
        <v>51</v>
      </c>
      <c r="X25" t="s">
        <v>52</v>
      </c>
      <c r="Y25" s="2">
        <v>0</v>
      </c>
      <c r="Z25" s="2">
        <v>78.25</v>
      </c>
      <c r="AA25">
        <v>1</v>
      </c>
      <c r="AB25" s="3">
        <v>1</v>
      </c>
      <c r="AC25" s="2">
        <v>78.25</v>
      </c>
      <c r="AD25" s="3">
        <v>0</v>
      </c>
      <c r="AE25" s="2">
        <v>0</v>
      </c>
      <c r="AF25" s="2">
        <v>78.25</v>
      </c>
      <c r="AK25">
        <v>5821191</v>
      </c>
      <c r="AL25" t="s">
        <v>117</v>
      </c>
    </row>
    <row r="26" spans="1:38" x14ac:dyDescent="0.25">
      <c r="A26" s="1">
        <v>45917</v>
      </c>
      <c r="B26" s="1">
        <v>45917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140</v>
      </c>
      <c r="J26" t="s">
        <v>139</v>
      </c>
      <c r="M26" t="s">
        <v>104</v>
      </c>
      <c r="O26" t="s">
        <v>105</v>
      </c>
      <c r="P26" t="s">
        <v>106</v>
      </c>
      <c r="Q26" t="s">
        <v>49</v>
      </c>
      <c r="R26" t="s">
        <v>137</v>
      </c>
      <c r="S26" s="1">
        <v>45931</v>
      </c>
      <c r="U26" t="s">
        <v>51</v>
      </c>
      <c r="X26" t="s">
        <v>52</v>
      </c>
      <c r="Y26" s="2">
        <v>0</v>
      </c>
      <c r="Z26" s="2">
        <v>18</v>
      </c>
      <c r="AA26">
        <v>1</v>
      </c>
      <c r="AB26" s="3">
        <v>1</v>
      </c>
      <c r="AC26" s="2">
        <v>18</v>
      </c>
      <c r="AD26" s="3">
        <v>0</v>
      </c>
      <c r="AE26" s="2">
        <v>0</v>
      </c>
      <c r="AF26" s="2">
        <v>18</v>
      </c>
      <c r="AK26">
        <v>5821004</v>
      </c>
      <c r="AL26" t="s">
        <v>117</v>
      </c>
    </row>
    <row r="27" spans="1:38" x14ac:dyDescent="0.25">
      <c r="A27" s="1">
        <v>45917</v>
      </c>
      <c r="B27" s="1">
        <v>45917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141</v>
      </c>
      <c r="J27" t="s">
        <v>142</v>
      </c>
      <c r="M27" t="s">
        <v>132</v>
      </c>
      <c r="O27" t="s">
        <v>133</v>
      </c>
      <c r="P27" t="s">
        <v>134</v>
      </c>
      <c r="Q27" t="s">
        <v>49</v>
      </c>
      <c r="R27" t="s">
        <v>135</v>
      </c>
      <c r="S27" s="1">
        <v>45931</v>
      </c>
      <c r="U27" t="s">
        <v>51</v>
      </c>
      <c r="X27" t="s">
        <v>52</v>
      </c>
      <c r="Y27" s="2">
        <v>0</v>
      </c>
      <c r="Z27" s="2">
        <v>78.25</v>
      </c>
      <c r="AA27">
        <v>1</v>
      </c>
      <c r="AB27" s="3">
        <v>1</v>
      </c>
      <c r="AC27" s="2">
        <v>78.25</v>
      </c>
      <c r="AD27" s="3">
        <v>0</v>
      </c>
      <c r="AE27" s="2">
        <v>0</v>
      </c>
      <c r="AF27" s="2">
        <v>78.25</v>
      </c>
      <c r="AK27">
        <v>5821193</v>
      </c>
      <c r="AL27" t="s">
        <v>117</v>
      </c>
    </row>
    <row r="28" spans="1:38" x14ac:dyDescent="0.25">
      <c r="A28" s="1">
        <v>45917</v>
      </c>
      <c r="B28" s="1">
        <v>45917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143</v>
      </c>
      <c r="J28" t="s">
        <v>142</v>
      </c>
      <c r="M28" t="s">
        <v>132</v>
      </c>
      <c r="O28" t="s">
        <v>133</v>
      </c>
      <c r="P28" t="s">
        <v>134</v>
      </c>
      <c r="Q28" t="s">
        <v>49</v>
      </c>
      <c r="R28" t="s">
        <v>137</v>
      </c>
      <c r="S28" s="1">
        <v>45931</v>
      </c>
      <c r="U28" t="s">
        <v>51</v>
      </c>
      <c r="X28" t="s">
        <v>52</v>
      </c>
      <c r="Y28" s="2">
        <v>0</v>
      </c>
      <c r="Z28" s="2">
        <v>18</v>
      </c>
      <c r="AA28">
        <v>1</v>
      </c>
      <c r="AB28" s="3">
        <v>1</v>
      </c>
      <c r="AC28" s="2">
        <v>18</v>
      </c>
      <c r="AD28" s="3">
        <v>0</v>
      </c>
      <c r="AE28" s="2">
        <v>0</v>
      </c>
      <c r="AF28" s="2">
        <v>18</v>
      </c>
      <c r="AK28">
        <v>5821007</v>
      </c>
      <c r="AL28" t="s">
        <v>117</v>
      </c>
    </row>
    <row r="29" spans="1:38" x14ac:dyDescent="0.25">
      <c r="A29" s="1">
        <v>45917</v>
      </c>
      <c r="B29" s="1">
        <v>45917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144</v>
      </c>
      <c r="J29" t="s">
        <v>145</v>
      </c>
      <c r="M29" t="s">
        <v>55</v>
      </c>
      <c r="O29" t="s">
        <v>146</v>
      </c>
      <c r="P29" t="s">
        <v>147</v>
      </c>
      <c r="Q29" t="s">
        <v>49</v>
      </c>
      <c r="R29" t="s">
        <v>135</v>
      </c>
      <c r="S29" s="1">
        <v>45931</v>
      </c>
      <c r="U29" t="s">
        <v>51</v>
      </c>
      <c r="X29" t="s">
        <v>52</v>
      </c>
      <c r="Y29" s="2">
        <v>0</v>
      </c>
      <c r="Z29" s="2">
        <v>78.25</v>
      </c>
      <c r="AA29">
        <v>1</v>
      </c>
      <c r="AB29" s="3">
        <v>1</v>
      </c>
      <c r="AC29" s="2">
        <v>78.25</v>
      </c>
      <c r="AD29" s="3">
        <v>0</v>
      </c>
      <c r="AE29" s="2">
        <v>0</v>
      </c>
      <c r="AF29" s="2">
        <v>78.25</v>
      </c>
      <c r="AK29">
        <v>5821198</v>
      </c>
      <c r="AL29" t="s">
        <v>117</v>
      </c>
    </row>
    <row r="30" spans="1:38" x14ac:dyDescent="0.25">
      <c r="A30" s="1">
        <v>45917</v>
      </c>
      <c r="B30" s="1">
        <v>45917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148</v>
      </c>
      <c r="J30" t="s">
        <v>145</v>
      </c>
      <c r="M30" t="s">
        <v>55</v>
      </c>
      <c r="O30" t="s">
        <v>146</v>
      </c>
      <c r="P30" t="s">
        <v>147</v>
      </c>
      <c r="Q30" t="s">
        <v>49</v>
      </c>
      <c r="R30" t="s">
        <v>149</v>
      </c>
      <c r="S30" s="1">
        <v>45931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5821184</v>
      </c>
    </row>
    <row r="31" spans="1:38" x14ac:dyDescent="0.25">
      <c r="A31" s="1">
        <v>45917</v>
      </c>
      <c r="B31" s="1">
        <v>45917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150</v>
      </c>
      <c r="J31" t="s">
        <v>151</v>
      </c>
      <c r="M31" t="s">
        <v>77</v>
      </c>
      <c r="O31" t="s">
        <v>152</v>
      </c>
      <c r="P31" t="s">
        <v>153</v>
      </c>
      <c r="Q31" t="s">
        <v>49</v>
      </c>
      <c r="R31" t="s">
        <v>135</v>
      </c>
      <c r="S31" s="1">
        <v>45931</v>
      </c>
      <c r="U31" t="s">
        <v>51</v>
      </c>
      <c r="X31" t="s">
        <v>52</v>
      </c>
      <c r="Y31" s="2">
        <v>0</v>
      </c>
      <c r="Z31" s="2">
        <v>78.25</v>
      </c>
      <c r="AA31">
        <v>1</v>
      </c>
      <c r="AB31" s="3">
        <v>1</v>
      </c>
      <c r="AC31" s="2">
        <v>78.25</v>
      </c>
      <c r="AD31" s="3">
        <v>0</v>
      </c>
      <c r="AE31" s="2">
        <v>0</v>
      </c>
      <c r="AF31" s="2">
        <v>78.25</v>
      </c>
      <c r="AK31">
        <v>5821199</v>
      </c>
      <c r="AL31" t="s">
        <v>117</v>
      </c>
    </row>
    <row r="32" spans="1:38" x14ac:dyDescent="0.25">
      <c r="A32" s="1">
        <v>45917</v>
      </c>
      <c r="B32" s="1">
        <v>45917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154</v>
      </c>
      <c r="J32" t="s">
        <v>151</v>
      </c>
      <c r="M32" t="s">
        <v>77</v>
      </c>
      <c r="O32" t="s">
        <v>152</v>
      </c>
      <c r="P32" t="s">
        <v>153</v>
      </c>
      <c r="Q32" t="s">
        <v>49</v>
      </c>
      <c r="R32" t="s">
        <v>149</v>
      </c>
      <c r="S32" s="1">
        <v>45931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5821185</v>
      </c>
    </row>
    <row r="33" spans="1:38" x14ac:dyDescent="0.25">
      <c r="A33" s="1">
        <v>45917</v>
      </c>
      <c r="B33" s="1">
        <v>45917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155</v>
      </c>
      <c r="J33" t="s">
        <v>156</v>
      </c>
      <c r="M33" t="s">
        <v>157</v>
      </c>
      <c r="O33" t="s">
        <v>158</v>
      </c>
      <c r="P33" t="s">
        <v>159</v>
      </c>
      <c r="Q33" t="s">
        <v>49</v>
      </c>
      <c r="R33" t="s">
        <v>135</v>
      </c>
      <c r="S33" s="1">
        <v>45931</v>
      </c>
      <c r="U33" t="s">
        <v>51</v>
      </c>
      <c r="X33" t="s">
        <v>52</v>
      </c>
      <c r="Y33" s="2">
        <v>0</v>
      </c>
      <c r="Z33" s="2">
        <v>78.25</v>
      </c>
      <c r="AA33">
        <v>1</v>
      </c>
      <c r="AB33" s="3">
        <v>1</v>
      </c>
      <c r="AC33" s="2">
        <v>78.25</v>
      </c>
      <c r="AD33" s="3">
        <v>0</v>
      </c>
      <c r="AE33" s="2">
        <v>0</v>
      </c>
      <c r="AF33" s="2">
        <v>78.25</v>
      </c>
      <c r="AK33">
        <v>5821200</v>
      </c>
      <c r="AL33" t="s">
        <v>117</v>
      </c>
    </row>
    <row r="34" spans="1:38" x14ac:dyDescent="0.25">
      <c r="A34" s="1">
        <v>45917</v>
      </c>
      <c r="B34" s="1">
        <v>45917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160</v>
      </c>
      <c r="J34" t="s">
        <v>156</v>
      </c>
      <c r="M34" t="s">
        <v>157</v>
      </c>
      <c r="O34" t="s">
        <v>158</v>
      </c>
      <c r="P34" t="s">
        <v>159</v>
      </c>
      <c r="Q34" t="s">
        <v>49</v>
      </c>
      <c r="R34" t="s">
        <v>149</v>
      </c>
      <c r="S34" s="1">
        <v>45931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5821186</v>
      </c>
    </row>
    <row r="35" spans="1:38" x14ac:dyDescent="0.25">
      <c r="A35" s="1">
        <v>45917</v>
      </c>
      <c r="B35" s="1">
        <v>45917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161</v>
      </c>
      <c r="J35" t="s">
        <v>162</v>
      </c>
      <c r="M35" t="s">
        <v>55</v>
      </c>
      <c r="O35" t="s">
        <v>146</v>
      </c>
      <c r="P35" t="s">
        <v>147</v>
      </c>
      <c r="Q35" t="s">
        <v>49</v>
      </c>
      <c r="R35" t="s">
        <v>135</v>
      </c>
      <c r="S35" s="1">
        <v>45931</v>
      </c>
      <c r="U35" t="s">
        <v>51</v>
      </c>
      <c r="X35" t="s">
        <v>52</v>
      </c>
      <c r="Y35" s="2">
        <v>0</v>
      </c>
      <c r="Z35" s="2">
        <v>78.25</v>
      </c>
      <c r="AA35">
        <v>1</v>
      </c>
      <c r="AB35" s="3">
        <v>1</v>
      </c>
      <c r="AC35" s="2">
        <v>78.25</v>
      </c>
      <c r="AD35" s="3">
        <v>0</v>
      </c>
      <c r="AE35" s="2">
        <v>0</v>
      </c>
      <c r="AF35" s="2">
        <v>78.25</v>
      </c>
      <c r="AK35">
        <v>5821201</v>
      </c>
      <c r="AL35" t="s">
        <v>117</v>
      </c>
    </row>
    <row r="36" spans="1:38" x14ac:dyDescent="0.25">
      <c r="A36" s="1">
        <v>45917</v>
      </c>
      <c r="B36" s="1">
        <v>45917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163</v>
      </c>
      <c r="J36" t="s">
        <v>162</v>
      </c>
      <c r="M36" t="s">
        <v>55</v>
      </c>
      <c r="O36" t="s">
        <v>146</v>
      </c>
      <c r="P36" t="s">
        <v>147</v>
      </c>
      <c r="Q36" t="s">
        <v>49</v>
      </c>
      <c r="R36" t="s">
        <v>149</v>
      </c>
      <c r="S36" s="1">
        <v>45931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5821188</v>
      </c>
    </row>
    <row r="37" spans="1:38" x14ac:dyDescent="0.25">
      <c r="A37" s="1">
        <v>45917</v>
      </c>
      <c r="B37" s="1">
        <v>45917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164</v>
      </c>
      <c r="J37" t="s">
        <v>165</v>
      </c>
      <c r="M37" t="s">
        <v>166</v>
      </c>
      <c r="O37" t="s">
        <v>167</v>
      </c>
      <c r="P37" t="s">
        <v>168</v>
      </c>
      <c r="Q37" t="s">
        <v>49</v>
      </c>
      <c r="R37" t="s">
        <v>169</v>
      </c>
      <c r="S37" s="1">
        <v>45901</v>
      </c>
      <c r="U37" t="s">
        <v>51</v>
      </c>
      <c r="X37" t="s">
        <v>52</v>
      </c>
      <c r="Y37" s="2">
        <v>0</v>
      </c>
      <c r="Z37" s="2">
        <v>626</v>
      </c>
      <c r="AA37">
        <v>1</v>
      </c>
      <c r="AB37" s="3">
        <v>1</v>
      </c>
      <c r="AC37" s="2">
        <v>626</v>
      </c>
      <c r="AD37" s="3">
        <v>0</v>
      </c>
      <c r="AE37" s="2">
        <v>0</v>
      </c>
      <c r="AF37" s="2">
        <v>626</v>
      </c>
      <c r="AK37">
        <v>5821215</v>
      </c>
    </row>
    <row r="38" spans="1:38" x14ac:dyDescent="0.25">
      <c r="A38" s="1">
        <v>45917</v>
      </c>
      <c r="B38" s="1">
        <v>45917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170</v>
      </c>
      <c r="J38" t="s">
        <v>165</v>
      </c>
      <c r="M38" t="s">
        <v>166</v>
      </c>
      <c r="O38" t="s">
        <v>167</v>
      </c>
      <c r="P38" t="s">
        <v>168</v>
      </c>
      <c r="Q38" t="s">
        <v>49</v>
      </c>
      <c r="R38" t="s">
        <v>149</v>
      </c>
      <c r="S38" s="1">
        <v>45901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5821216</v>
      </c>
    </row>
    <row r="39" spans="1:38" x14ac:dyDescent="0.25">
      <c r="A39" s="1">
        <v>45917</v>
      </c>
      <c r="B39" s="1">
        <v>45917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171</v>
      </c>
      <c r="J39" t="s">
        <v>172</v>
      </c>
      <c r="M39" t="s">
        <v>77</v>
      </c>
      <c r="O39" t="s">
        <v>146</v>
      </c>
      <c r="P39" t="s">
        <v>147</v>
      </c>
      <c r="Q39" t="s">
        <v>49</v>
      </c>
      <c r="R39" t="s">
        <v>135</v>
      </c>
      <c r="S39" s="1">
        <v>45931</v>
      </c>
      <c r="U39" t="s">
        <v>51</v>
      </c>
      <c r="X39" t="s">
        <v>52</v>
      </c>
      <c r="Y39" s="2">
        <v>0</v>
      </c>
      <c r="Z39" s="2">
        <v>78.25</v>
      </c>
      <c r="AA39">
        <v>1</v>
      </c>
      <c r="AB39" s="3">
        <v>1</v>
      </c>
      <c r="AC39" s="2">
        <v>78.25</v>
      </c>
      <c r="AD39" s="3">
        <v>0</v>
      </c>
      <c r="AE39" s="2">
        <v>0</v>
      </c>
      <c r="AF39" s="2">
        <v>78.25</v>
      </c>
      <c r="AK39">
        <v>5821202</v>
      </c>
      <c r="AL39" t="s">
        <v>117</v>
      </c>
    </row>
    <row r="40" spans="1:38" x14ac:dyDescent="0.25">
      <c r="A40" s="1">
        <v>45917</v>
      </c>
      <c r="B40" s="1">
        <v>45917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173</v>
      </c>
      <c r="J40" t="s">
        <v>172</v>
      </c>
      <c r="M40" t="s">
        <v>77</v>
      </c>
      <c r="O40" t="s">
        <v>146</v>
      </c>
      <c r="P40" t="s">
        <v>147</v>
      </c>
      <c r="Q40" t="s">
        <v>49</v>
      </c>
      <c r="R40" t="s">
        <v>149</v>
      </c>
      <c r="S40" s="1">
        <v>45931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5821189</v>
      </c>
    </row>
    <row r="41" spans="1:38" x14ac:dyDescent="0.25">
      <c r="A41" s="1">
        <v>45917</v>
      </c>
      <c r="B41" s="1">
        <v>45917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174</v>
      </c>
      <c r="J41" t="s">
        <v>175</v>
      </c>
      <c r="M41" t="s">
        <v>46</v>
      </c>
      <c r="O41" t="s">
        <v>133</v>
      </c>
      <c r="P41" t="s">
        <v>134</v>
      </c>
      <c r="Q41" t="s">
        <v>49</v>
      </c>
      <c r="R41" t="s">
        <v>135</v>
      </c>
      <c r="S41" s="1">
        <v>45931</v>
      </c>
      <c r="U41" t="s">
        <v>51</v>
      </c>
      <c r="X41" t="s">
        <v>52</v>
      </c>
      <c r="Y41" s="2">
        <v>0</v>
      </c>
      <c r="Z41" s="2">
        <v>78.25</v>
      </c>
      <c r="AA41">
        <v>1</v>
      </c>
      <c r="AB41" s="3">
        <v>1</v>
      </c>
      <c r="AC41" s="2">
        <v>78.25</v>
      </c>
      <c r="AD41" s="3">
        <v>0</v>
      </c>
      <c r="AE41" s="2">
        <v>0</v>
      </c>
      <c r="AF41" s="2">
        <v>78.25</v>
      </c>
      <c r="AK41">
        <v>5821203</v>
      </c>
      <c r="AL41" t="s">
        <v>117</v>
      </c>
    </row>
    <row r="42" spans="1:38" x14ac:dyDescent="0.25">
      <c r="A42" s="1">
        <v>45917</v>
      </c>
      <c r="B42" s="1">
        <v>45917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176</v>
      </c>
      <c r="J42" t="s">
        <v>175</v>
      </c>
      <c r="M42" t="s">
        <v>46</v>
      </c>
      <c r="O42" t="s">
        <v>133</v>
      </c>
      <c r="P42" t="s">
        <v>134</v>
      </c>
      <c r="Q42" t="s">
        <v>49</v>
      </c>
      <c r="R42" t="s">
        <v>149</v>
      </c>
      <c r="S42" s="1">
        <v>45931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5821190</v>
      </c>
    </row>
    <row r="43" spans="1:38" x14ac:dyDescent="0.25">
      <c r="A43" s="1">
        <v>45917</v>
      </c>
      <c r="B43" s="1">
        <v>45917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177</v>
      </c>
      <c r="J43" t="s">
        <v>178</v>
      </c>
      <c r="M43" t="s">
        <v>77</v>
      </c>
      <c r="O43" t="s">
        <v>78</v>
      </c>
      <c r="P43" t="s">
        <v>79</v>
      </c>
      <c r="Q43" t="s">
        <v>49</v>
      </c>
      <c r="R43" t="s">
        <v>169</v>
      </c>
      <c r="S43" s="1">
        <v>45962</v>
      </c>
      <c r="U43" t="s">
        <v>51</v>
      </c>
      <c r="X43" t="s">
        <v>52</v>
      </c>
      <c r="Y43" s="2">
        <v>0</v>
      </c>
      <c r="Z43" s="2">
        <v>626</v>
      </c>
      <c r="AA43">
        <v>1</v>
      </c>
      <c r="AB43" s="3">
        <v>1</v>
      </c>
      <c r="AC43" s="2">
        <v>626</v>
      </c>
      <c r="AD43" s="3">
        <v>0</v>
      </c>
      <c r="AE43" s="2">
        <v>0</v>
      </c>
      <c r="AF43" s="2">
        <v>626</v>
      </c>
      <c r="AK43">
        <v>5821095</v>
      </c>
    </row>
    <row r="44" spans="1:38" x14ac:dyDescent="0.25">
      <c r="A44" s="1">
        <v>45917</v>
      </c>
      <c r="B44" s="1">
        <v>45917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179</v>
      </c>
      <c r="J44" t="s">
        <v>180</v>
      </c>
      <c r="M44" t="s">
        <v>77</v>
      </c>
      <c r="O44" t="s">
        <v>78</v>
      </c>
      <c r="P44" t="s">
        <v>79</v>
      </c>
      <c r="Q44" t="s">
        <v>49</v>
      </c>
      <c r="R44" t="s">
        <v>135</v>
      </c>
      <c r="S44" s="1">
        <v>45992</v>
      </c>
      <c r="U44" t="s">
        <v>51</v>
      </c>
      <c r="X44" t="s">
        <v>52</v>
      </c>
      <c r="Y44" s="2">
        <v>0</v>
      </c>
      <c r="Z44" s="2">
        <v>26.08</v>
      </c>
      <c r="AA44">
        <v>1</v>
      </c>
      <c r="AB44" s="3">
        <v>1</v>
      </c>
      <c r="AC44" s="2">
        <v>26.08</v>
      </c>
      <c r="AD44" s="3">
        <v>0</v>
      </c>
      <c r="AE44" s="2">
        <v>0</v>
      </c>
      <c r="AF44" s="2">
        <v>26.08</v>
      </c>
      <c r="AK44">
        <v>5821195</v>
      </c>
      <c r="AL44" t="s">
        <v>181</v>
      </c>
    </row>
    <row r="45" spans="1:38" x14ac:dyDescent="0.25">
      <c r="A45" s="1">
        <v>45917</v>
      </c>
      <c r="B45" s="1">
        <v>45917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182</v>
      </c>
      <c r="J45" t="s">
        <v>180</v>
      </c>
      <c r="M45" t="s">
        <v>77</v>
      </c>
      <c r="O45" t="s">
        <v>78</v>
      </c>
      <c r="P45" t="s">
        <v>79</v>
      </c>
      <c r="Q45" t="s">
        <v>49</v>
      </c>
      <c r="R45" t="s">
        <v>183</v>
      </c>
      <c r="S45" s="1">
        <v>45992</v>
      </c>
      <c r="U45" t="s">
        <v>51</v>
      </c>
      <c r="X45" t="s">
        <v>52</v>
      </c>
      <c r="Y45" s="2">
        <v>0</v>
      </c>
      <c r="Z45" s="2">
        <v>113</v>
      </c>
      <c r="AA45">
        <v>1</v>
      </c>
      <c r="AB45" s="3">
        <v>1</v>
      </c>
      <c r="AC45" s="2">
        <v>113</v>
      </c>
      <c r="AD45" s="3">
        <v>0</v>
      </c>
      <c r="AE45" s="2">
        <v>0</v>
      </c>
      <c r="AF45" s="2">
        <v>113</v>
      </c>
      <c r="AK45">
        <v>5821012</v>
      </c>
    </row>
    <row r="46" spans="1:38" x14ac:dyDescent="0.25">
      <c r="A46" s="1">
        <v>45917</v>
      </c>
      <c r="B46" s="1">
        <v>45917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184</v>
      </c>
      <c r="J46" t="s">
        <v>185</v>
      </c>
      <c r="M46" t="s">
        <v>70</v>
      </c>
      <c r="O46" t="s">
        <v>186</v>
      </c>
      <c r="P46" t="s">
        <v>187</v>
      </c>
      <c r="Q46" t="s">
        <v>49</v>
      </c>
      <c r="R46" t="s">
        <v>169</v>
      </c>
      <c r="S46" s="1">
        <v>45901</v>
      </c>
      <c r="U46" t="s">
        <v>51</v>
      </c>
      <c r="X46" t="s">
        <v>52</v>
      </c>
      <c r="Y46" s="2">
        <v>0</v>
      </c>
      <c r="Z46" s="2">
        <v>626</v>
      </c>
      <c r="AA46">
        <v>1</v>
      </c>
      <c r="AB46" s="3">
        <v>1</v>
      </c>
      <c r="AC46" s="2">
        <v>626</v>
      </c>
      <c r="AD46" s="3">
        <v>0</v>
      </c>
      <c r="AE46" s="2">
        <v>0</v>
      </c>
      <c r="AF46" s="2">
        <v>626</v>
      </c>
      <c r="AK46">
        <v>5821096</v>
      </c>
    </row>
    <row r="47" spans="1:38" x14ac:dyDescent="0.25">
      <c r="A47" s="1">
        <v>45917</v>
      </c>
      <c r="B47" s="1">
        <v>45917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188</v>
      </c>
      <c r="J47" t="s">
        <v>189</v>
      </c>
      <c r="M47" t="s">
        <v>55</v>
      </c>
      <c r="O47" t="s">
        <v>146</v>
      </c>
      <c r="P47" t="s">
        <v>147</v>
      </c>
      <c r="Q47" t="s">
        <v>49</v>
      </c>
      <c r="R47" t="s">
        <v>135</v>
      </c>
      <c r="S47" s="1">
        <v>45962</v>
      </c>
      <c r="U47" t="s">
        <v>51</v>
      </c>
      <c r="X47" t="s">
        <v>52</v>
      </c>
      <c r="Y47" s="2">
        <v>0</v>
      </c>
      <c r="Z47" s="2">
        <v>52.17</v>
      </c>
      <c r="AA47">
        <v>1</v>
      </c>
      <c r="AB47" s="3">
        <v>1</v>
      </c>
      <c r="AC47" s="2">
        <v>52.17</v>
      </c>
      <c r="AD47" s="3">
        <v>0</v>
      </c>
      <c r="AE47" s="2">
        <v>0</v>
      </c>
      <c r="AF47" s="2">
        <v>52.17</v>
      </c>
      <c r="AK47">
        <v>5821196</v>
      </c>
      <c r="AL47" t="s">
        <v>190</v>
      </c>
    </row>
    <row r="48" spans="1:38" x14ac:dyDescent="0.25">
      <c r="A48" s="1">
        <v>45917</v>
      </c>
      <c r="B48" s="1">
        <v>45917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191</v>
      </c>
      <c r="J48" t="s">
        <v>189</v>
      </c>
      <c r="M48" t="s">
        <v>55</v>
      </c>
      <c r="O48" t="s">
        <v>146</v>
      </c>
      <c r="P48" t="s">
        <v>147</v>
      </c>
      <c r="Q48" t="s">
        <v>49</v>
      </c>
      <c r="R48" t="s">
        <v>149</v>
      </c>
      <c r="S48" s="1">
        <v>45962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5821183</v>
      </c>
    </row>
    <row r="49" spans="1:38" x14ac:dyDescent="0.25">
      <c r="A49" s="1">
        <v>45917</v>
      </c>
      <c r="B49" s="1">
        <v>45917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192</v>
      </c>
      <c r="J49" t="s">
        <v>193</v>
      </c>
      <c r="M49" t="s">
        <v>77</v>
      </c>
      <c r="O49" t="s">
        <v>78</v>
      </c>
      <c r="P49" t="s">
        <v>79</v>
      </c>
      <c r="Q49" t="s">
        <v>194</v>
      </c>
      <c r="R49" t="s">
        <v>135</v>
      </c>
      <c r="S49" s="1">
        <v>45962</v>
      </c>
      <c r="U49" t="s">
        <v>51</v>
      </c>
      <c r="X49" t="s">
        <v>52</v>
      </c>
      <c r="Y49" s="2">
        <v>0</v>
      </c>
      <c r="Z49" s="2">
        <v>52.17</v>
      </c>
      <c r="AA49">
        <v>1</v>
      </c>
      <c r="AB49" s="3">
        <v>1</v>
      </c>
      <c r="AC49" s="2">
        <v>52.17</v>
      </c>
      <c r="AD49" s="3">
        <v>0</v>
      </c>
      <c r="AE49" s="2">
        <v>0</v>
      </c>
      <c r="AF49" s="2">
        <v>52.17</v>
      </c>
      <c r="AK49">
        <v>5821204</v>
      </c>
      <c r="AL49" t="s">
        <v>190</v>
      </c>
    </row>
    <row r="50" spans="1:38" x14ac:dyDescent="0.25">
      <c r="A50" s="1">
        <v>45917</v>
      </c>
      <c r="B50" s="1">
        <v>45917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195</v>
      </c>
      <c r="J50" t="s">
        <v>193</v>
      </c>
      <c r="M50" t="s">
        <v>77</v>
      </c>
      <c r="O50" t="s">
        <v>78</v>
      </c>
      <c r="P50" t="s">
        <v>79</v>
      </c>
      <c r="Q50" t="s">
        <v>49</v>
      </c>
      <c r="R50" t="s">
        <v>183</v>
      </c>
      <c r="S50" s="1">
        <v>45962</v>
      </c>
      <c r="U50" t="s">
        <v>51</v>
      </c>
      <c r="X50" t="s">
        <v>52</v>
      </c>
      <c r="Y50" s="2">
        <v>0</v>
      </c>
      <c r="Z50" s="2">
        <v>113</v>
      </c>
      <c r="AA50">
        <v>1</v>
      </c>
      <c r="AB50" s="3">
        <v>1</v>
      </c>
      <c r="AC50" s="2">
        <v>113</v>
      </c>
      <c r="AD50" s="3">
        <v>0</v>
      </c>
      <c r="AE50" s="2">
        <v>0</v>
      </c>
      <c r="AF50" s="2">
        <v>113</v>
      </c>
      <c r="AK50">
        <v>5821013</v>
      </c>
    </row>
    <row r="51" spans="1:38" x14ac:dyDescent="0.25">
      <c r="A51" s="1">
        <v>45917</v>
      </c>
      <c r="B51" s="1">
        <v>45917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196</v>
      </c>
      <c r="J51" t="s">
        <v>197</v>
      </c>
      <c r="M51" t="s">
        <v>166</v>
      </c>
      <c r="O51" t="s">
        <v>198</v>
      </c>
      <c r="P51" t="s">
        <v>199</v>
      </c>
      <c r="Q51" t="s">
        <v>49</v>
      </c>
      <c r="R51" t="s">
        <v>169</v>
      </c>
      <c r="S51" s="1">
        <v>45901</v>
      </c>
      <c r="U51" t="s">
        <v>51</v>
      </c>
      <c r="X51" t="s">
        <v>52</v>
      </c>
      <c r="Y51" s="2">
        <v>0</v>
      </c>
      <c r="Z51" s="2">
        <v>626</v>
      </c>
      <c r="AA51">
        <v>1</v>
      </c>
      <c r="AB51" s="3">
        <v>1</v>
      </c>
      <c r="AC51" s="2">
        <v>626</v>
      </c>
      <c r="AD51" s="3">
        <v>0</v>
      </c>
      <c r="AE51" s="2">
        <v>0</v>
      </c>
      <c r="AF51" s="2">
        <v>626</v>
      </c>
      <c r="AK51">
        <v>5821109</v>
      </c>
    </row>
    <row r="52" spans="1:38" x14ac:dyDescent="0.25">
      <c r="A52" s="1">
        <v>45917</v>
      </c>
      <c r="B52" s="1">
        <v>45917</v>
      </c>
      <c r="C52" t="s">
        <v>200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201</v>
      </c>
      <c r="J52" t="s">
        <v>202</v>
      </c>
      <c r="M52" t="s">
        <v>203</v>
      </c>
      <c r="O52" t="s">
        <v>204</v>
      </c>
      <c r="P52" t="s">
        <v>205</v>
      </c>
      <c r="Q52" t="s">
        <v>206</v>
      </c>
      <c r="R52" t="s">
        <v>50</v>
      </c>
      <c r="S52" s="1">
        <v>45717</v>
      </c>
      <c r="U52" t="s">
        <v>51</v>
      </c>
      <c r="X52" t="s">
        <v>52</v>
      </c>
      <c r="AF52" s="2">
        <v>175</v>
      </c>
      <c r="AG52" s="2">
        <v>0</v>
      </c>
      <c r="AJ52" s="2">
        <v>87.5</v>
      </c>
    </row>
    <row r="53" spans="1:38" x14ac:dyDescent="0.25">
      <c r="A53" s="1">
        <v>45917</v>
      </c>
      <c r="B53" s="1">
        <v>45917</v>
      </c>
      <c r="C53" t="s">
        <v>200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207</v>
      </c>
      <c r="J53" t="s">
        <v>208</v>
      </c>
      <c r="M53" t="s">
        <v>203</v>
      </c>
      <c r="O53" t="s">
        <v>209</v>
      </c>
      <c r="P53" t="s">
        <v>210</v>
      </c>
      <c r="Q53" t="s">
        <v>206</v>
      </c>
      <c r="R53" t="s">
        <v>50</v>
      </c>
      <c r="S53" s="1">
        <v>45689</v>
      </c>
      <c r="U53" t="s">
        <v>51</v>
      </c>
      <c r="X53" t="s">
        <v>52</v>
      </c>
      <c r="AF53" s="2">
        <v>175</v>
      </c>
      <c r="AG53" s="2">
        <v>0</v>
      </c>
      <c r="AJ53" s="2">
        <v>87.5</v>
      </c>
    </row>
    <row r="54" spans="1:38" x14ac:dyDescent="0.25">
      <c r="A54" s="1">
        <v>45917</v>
      </c>
      <c r="B54" s="1">
        <v>45917</v>
      </c>
      <c r="C54" t="s">
        <v>200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211</v>
      </c>
      <c r="J54" t="s">
        <v>212</v>
      </c>
      <c r="M54" t="s">
        <v>203</v>
      </c>
      <c r="O54" t="s">
        <v>213</v>
      </c>
      <c r="P54" t="s">
        <v>214</v>
      </c>
      <c r="Q54" t="s">
        <v>206</v>
      </c>
      <c r="R54" t="s">
        <v>50</v>
      </c>
      <c r="S54" s="1">
        <v>45778</v>
      </c>
      <c r="U54" t="s">
        <v>51</v>
      </c>
      <c r="X54" t="s">
        <v>52</v>
      </c>
      <c r="AF54" s="2">
        <v>175</v>
      </c>
      <c r="AG54" s="2">
        <v>0</v>
      </c>
      <c r="AJ54" s="2">
        <v>73.5</v>
      </c>
    </row>
    <row r="55" spans="1:38" x14ac:dyDescent="0.25">
      <c r="A55" s="1">
        <v>45917</v>
      </c>
      <c r="B55" s="1">
        <v>45917</v>
      </c>
      <c r="C55" t="s">
        <v>200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215</v>
      </c>
      <c r="J55" t="s">
        <v>216</v>
      </c>
      <c r="M55" t="s">
        <v>203</v>
      </c>
      <c r="O55" t="s">
        <v>85</v>
      </c>
      <c r="P55" t="s">
        <v>86</v>
      </c>
      <c r="Q55" t="s">
        <v>206</v>
      </c>
      <c r="R55" t="s">
        <v>50</v>
      </c>
      <c r="S55" s="1">
        <v>45809</v>
      </c>
      <c r="U55" t="s">
        <v>51</v>
      </c>
      <c r="X55" t="s">
        <v>52</v>
      </c>
      <c r="AF55" s="2">
        <v>175</v>
      </c>
      <c r="AG55" s="2">
        <v>0</v>
      </c>
      <c r="AJ55" s="2">
        <v>117.25</v>
      </c>
    </row>
    <row r="56" spans="1:38" x14ac:dyDescent="0.25">
      <c r="A56" s="1">
        <v>45917</v>
      </c>
      <c r="B56" s="1">
        <v>45917</v>
      </c>
      <c r="C56" t="s">
        <v>200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217</v>
      </c>
      <c r="J56" t="s">
        <v>114</v>
      </c>
      <c r="M56" t="s">
        <v>104</v>
      </c>
      <c r="O56" t="s">
        <v>115</v>
      </c>
      <c r="P56" t="s">
        <v>116</v>
      </c>
      <c r="Q56" t="s">
        <v>194</v>
      </c>
      <c r="R56" t="s">
        <v>218</v>
      </c>
      <c r="S56" s="1">
        <v>45658</v>
      </c>
      <c r="U56" t="s">
        <v>51</v>
      </c>
      <c r="X56" t="s">
        <v>52</v>
      </c>
      <c r="AF56" s="2">
        <v>50</v>
      </c>
      <c r="AG56" s="2">
        <v>0</v>
      </c>
      <c r="AJ56" s="2">
        <v>12.5</v>
      </c>
    </row>
    <row r="57" spans="1:38" x14ac:dyDescent="0.25">
      <c r="A57" s="1">
        <v>45917</v>
      </c>
      <c r="B57" s="1">
        <v>45917</v>
      </c>
      <c r="C57" t="s">
        <v>200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219</v>
      </c>
      <c r="J57" t="s">
        <v>220</v>
      </c>
      <c r="M57" t="s">
        <v>221</v>
      </c>
      <c r="O57" t="s">
        <v>222</v>
      </c>
      <c r="P57" t="s">
        <v>223</v>
      </c>
      <c r="Q57" t="s">
        <v>206</v>
      </c>
      <c r="R57" t="s">
        <v>218</v>
      </c>
      <c r="S57" s="1">
        <v>45658</v>
      </c>
      <c r="U57" t="s">
        <v>51</v>
      </c>
      <c r="X57" t="s">
        <v>52</v>
      </c>
      <c r="AF57" s="2">
        <v>50</v>
      </c>
      <c r="AG57" s="2">
        <v>0</v>
      </c>
      <c r="AJ57" s="2">
        <v>16.66</v>
      </c>
    </row>
    <row r="58" spans="1:38" x14ac:dyDescent="0.25">
      <c r="A58" s="1">
        <v>45917</v>
      </c>
      <c r="B58" s="1">
        <v>45917</v>
      </c>
      <c r="C58" t="s">
        <v>200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224</v>
      </c>
      <c r="J58" t="s">
        <v>225</v>
      </c>
      <c r="M58" t="s">
        <v>55</v>
      </c>
      <c r="O58" t="s">
        <v>213</v>
      </c>
      <c r="P58" t="s">
        <v>214</v>
      </c>
      <c r="Q58" t="s">
        <v>206</v>
      </c>
      <c r="R58" t="s">
        <v>218</v>
      </c>
      <c r="S58" s="1">
        <v>45658</v>
      </c>
      <c r="U58" t="s">
        <v>51</v>
      </c>
      <c r="X58" t="s">
        <v>52</v>
      </c>
      <c r="AF58" s="2">
        <v>50</v>
      </c>
      <c r="AG58" s="2">
        <v>0</v>
      </c>
      <c r="AJ58" s="2">
        <v>16.670000000000002</v>
      </c>
    </row>
    <row r="59" spans="1:38" x14ac:dyDescent="0.25">
      <c r="A59" s="1">
        <v>45917</v>
      </c>
      <c r="B59" s="1">
        <v>45917</v>
      </c>
      <c r="C59" t="s">
        <v>200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226</v>
      </c>
      <c r="J59" t="s">
        <v>178</v>
      </c>
      <c r="M59" t="s">
        <v>77</v>
      </c>
      <c r="O59" t="s">
        <v>78</v>
      </c>
      <c r="P59" t="s">
        <v>79</v>
      </c>
      <c r="Q59" t="s">
        <v>206</v>
      </c>
      <c r="R59" t="s">
        <v>135</v>
      </c>
      <c r="S59" s="1">
        <v>45962</v>
      </c>
      <c r="U59" t="s">
        <v>51</v>
      </c>
      <c r="X59" t="s">
        <v>52</v>
      </c>
      <c r="AF59" s="2">
        <v>52.17</v>
      </c>
      <c r="AG59" s="2">
        <v>0</v>
      </c>
      <c r="AJ59" s="2">
        <v>52.17</v>
      </c>
    </row>
    <row r="60" spans="1:38" x14ac:dyDescent="0.25">
      <c r="A60" s="1">
        <v>45917</v>
      </c>
      <c r="B60" s="1">
        <v>45917</v>
      </c>
      <c r="C60" t="s">
        <v>200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227</v>
      </c>
      <c r="J60" t="s">
        <v>185</v>
      </c>
      <c r="M60" t="s">
        <v>70</v>
      </c>
      <c r="O60" t="s">
        <v>186</v>
      </c>
      <c r="P60" t="s">
        <v>187</v>
      </c>
      <c r="Q60" t="s">
        <v>206</v>
      </c>
      <c r="R60" t="s">
        <v>135</v>
      </c>
      <c r="S60" s="1">
        <v>45901</v>
      </c>
      <c r="U60" t="s">
        <v>51</v>
      </c>
      <c r="X60" t="s">
        <v>52</v>
      </c>
      <c r="AF60" s="2">
        <v>104.33</v>
      </c>
      <c r="AG60" s="2">
        <v>0</v>
      </c>
      <c r="AJ60" s="2">
        <v>104.33</v>
      </c>
    </row>
    <row r="61" spans="1:38" x14ac:dyDescent="0.25">
      <c r="A61" s="1">
        <v>45917</v>
      </c>
      <c r="B61" s="1">
        <v>45917</v>
      </c>
      <c r="C61" t="s">
        <v>200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228</v>
      </c>
      <c r="J61" t="s">
        <v>197</v>
      </c>
      <c r="M61" t="s">
        <v>166</v>
      </c>
      <c r="O61" t="s">
        <v>198</v>
      </c>
      <c r="P61" t="s">
        <v>199</v>
      </c>
      <c r="Q61" t="s">
        <v>206</v>
      </c>
      <c r="R61" t="s">
        <v>135</v>
      </c>
      <c r="S61" s="1">
        <v>45901</v>
      </c>
      <c r="U61" t="s">
        <v>51</v>
      </c>
      <c r="X61" t="s">
        <v>52</v>
      </c>
      <c r="AF61" s="2">
        <v>104.33</v>
      </c>
      <c r="AG61" s="2">
        <v>0</v>
      </c>
      <c r="AJ61" s="2">
        <v>104.33</v>
      </c>
    </row>
    <row r="62" spans="1:38" x14ac:dyDescent="0.25">
      <c r="A62" s="1">
        <v>45917</v>
      </c>
      <c r="B62" s="1">
        <v>45917</v>
      </c>
      <c r="C62" t="s">
        <v>200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229</v>
      </c>
      <c r="J62" t="s">
        <v>230</v>
      </c>
      <c r="M62" t="s">
        <v>55</v>
      </c>
      <c r="O62" t="s">
        <v>64</v>
      </c>
      <c r="P62" t="s">
        <v>65</v>
      </c>
      <c r="Q62" t="s">
        <v>206</v>
      </c>
      <c r="R62" t="s">
        <v>231</v>
      </c>
      <c r="S62" s="1">
        <v>45839</v>
      </c>
      <c r="U62" t="s">
        <v>51</v>
      </c>
      <c r="X62" t="s">
        <v>52</v>
      </c>
      <c r="AF62" s="2">
        <v>313</v>
      </c>
      <c r="AG62" s="2">
        <v>0</v>
      </c>
      <c r="AJ62" s="2">
        <v>313</v>
      </c>
    </row>
    <row r="63" spans="1:38" x14ac:dyDescent="0.25">
      <c r="A63" s="1">
        <v>45917</v>
      </c>
      <c r="B63" s="1">
        <v>45917</v>
      </c>
      <c r="C63" t="s">
        <v>200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232</v>
      </c>
      <c r="J63" t="s">
        <v>230</v>
      </c>
      <c r="M63" t="s">
        <v>55</v>
      </c>
      <c r="O63" t="s">
        <v>64</v>
      </c>
      <c r="P63" t="s">
        <v>65</v>
      </c>
      <c r="Q63" t="s">
        <v>206</v>
      </c>
      <c r="R63" t="s">
        <v>233</v>
      </c>
      <c r="S63" s="1">
        <v>45839</v>
      </c>
      <c r="U63" t="s">
        <v>51</v>
      </c>
      <c r="X63" t="s">
        <v>52</v>
      </c>
      <c r="AF63" s="2">
        <v>87.5</v>
      </c>
      <c r="AG63" s="2">
        <v>0</v>
      </c>
      <c r="AJ63" s="2">
        <v>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069C-FE02-4B6F-8966-928AF15D080B}">
  <dimension ref="A1:S63"/>
  <sheetViews>
    <sheetView tabSelected="1" topLeftCell="A33" workbookViewId="0">
      <selection activeCell="B61" sqref="B61"/>
    </sheetView>
  </sheetViews>
  <sheetFormatPr defaultRowHeight="15" x14ac:dyDescent="0.25"/>
  <cols>
    <col min="1" max="1" width="15.7109375" style="4" bestFit="1" customWidth="1"/>
    <col min="2" max="2" width="15.7109375" style="4" customWidth="1"/>
    <col min="3" max="3" width="28.42578125" bestFit="1" customWidth="1"/>
    <col min="6" max="6" width="10.7109375" customWidth="1"/>
    <col min="7" max="7" width="20.28515625" bestFit="1" customWidth="1"/>
    <col min="9" max="9" width="47.140625" bestFit="1" customWidth="1"/>
    <col min="10" max="10" width="10.140625" bestFit="1" customWidth="1"/>
    <col min="15" max="15" width="16.140625" bestFit="1" customWidth="1"/>
    <col min="16" max="16" width="23.28515625" bestFit="1" customWidth="1"/>
    <col min="17" max="17" width="23.140625" bestFit="1" customWidth="1"/>
  </cols>
  <sheetData>
    <row r="1" spans="1:16" x14ac:dyDescent="0.25">
      <c r="A1" s="4" t="s">
        <v>8</v>
      </c>
      <c r="C1" t="s">
        <v>9</v>
      </c>
      <c r="D1" t="s">
        <v>10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4" t="s">
        <v>265</v>
      </c>
      <c r="B2" s="4" t="s">
        <v>265</v>
      </c>
      <c r="C2" t="s">
        <v>114</v>
      </c>
      <c r="E2" t="s">
        <v>104</v>
      </c>
      <c r="F2">
        <v>20411454</v>
      </c>
      <c r="G2" t="s">
        <v>285</v>
      </c>
      <c r="H2" t="s">
        <v>194</v>
      </c>
      <c r="I2" t="s">
        <v>218</v>
      </c>
      <c r="J2" s="1">
        <v>45658</v>
      </c>
      <c r="N2">
        <v>-12.5</v>
      </c>
      <c r="P2" t="s">
        <v>273</v>
      </c>
    </row>
    <row r="3" spans="1:16" x14ac:dyDescent="0.25">
      <c r="A3" s="4" t="s">
        <v>266</v>
      </c>
      <c r="B3" s="4" t="s">
        <v>266</v>
      </c>
      <c r="C3" t="s">
        <v>220</v>
      </c>
      <c r="E3" t="s">
        <v>221</v>
      </c>
      <c r="F3">
        <v>20411454</v>
      </c>
      <c r="G3" t="s">
        <v>285</v>
      </c>
      <c r="H3" t="s">
        <v>206</v>
      </c>
      <c r="I3" t="s">
        <v>218</v>
      </c>
      <c r="J3" s="1">
        <v>45658</v>
      </c>
      <c r="N3">
        <v>-16.66</v>
      </c>
      <c r="P3" t="s">
        <v>273</v>
      </c>
    </row>
    <row r="4" spans="1:16" x14ac:dyDescent="0.25">
      <c r="A4" s="4" t="s">
        <v>267</v>
      </c>
      <c r="B4" s="4" t="s">
        <v>267</v>
      </c>
      <c r="C4" t="s">
        <v>225</v>
      </c>
      <c r="E4" t="s">
        <v>55</v>
      </c>
      <c r="F4">
        <v>20411454</v>
      </c>
      <c r="G4" t="s">
        <v>285</v>
      </c>
      <c r="H4" t="s">
        <v>206</v>
      </c>
      <c r="I4" t="s">
        <v>218</v>
      </c>
      <c r="J4" s="1">
        <v>45658</v>
      </c>
      <c r="N4">
        <v>-16.670000000000002</v>
      </c>
      <c r="P4" t="s">
        <v>273</v>
      </c>
    </row>
    <row r="5" spans="1:16" x14ac:dyDescent="0.25">
      <c r="A5" s="4">
        <v>101149746900</v>
      </c>
      <c r="B5" s="4" t="str">
        <f t="shared" ref="B5:B22" si="0">CONCATENATE(A5,0)</f>
        <v>1011497469000</v>
      </c>
      <c r="C5" t="s">
        <v>103</v>
      </c>
      <c r="E5" t="s">
        <v>104</v>
      </c>
      <c r="F5">
        <v>20411454</v>
      </c>
      <c r="G5" t="s">
        <v>285</v>
      </c>
      <c r="H5" t="s">
        <v>49</v>
      </c>
      <c r="I5" t="s">
        <v>107</v>
      </c>
      <c r="J5" s="1">
        <v>45901</v>
      </c>
      <c r="K5" s="2">
        <v>16.670000000000002</v>
      </c>
      <c r="L5">
        <v>1</v>
      </c>
      <c r="M5" s="3">
        <v>1</v>
      </c>
      <c r="N5" s="2">
        <v>16.670000000000002</v>
      </c>
      <c r="O5" t="s">
        <v>108</v>
      </c>
      <c r="P5" t="s">
        <v>273</v>
      </c>
    </row>
    <row r="6" spans="1:16" x14ac:dyDescent="0.25">
      <c r="A6" s="4">
        <v>101377388700</v>
      </c>
      <c r="B6" s="4" t="str">
        <f t="shared" si="0"/>
        <v>1013773887000</v>
      </c>
      <c r="C6" t="s">
        <v>110</v>
      </c>
      <c r="E6" t="s">
        <v>46</v>
      </c>
      <c r="F6">
        <v>20411454</v>
      </c>
      <c r="G6" t="s">
        <v>285</v>
      </c>
      <c r="H6" t="s">
        <v>49</v>
      </c>
      <c r="I6" t="s">
        <v>107</v>
      </c>
      <c r="J6" s="1">
        <v>45901</v>
      </c>
      <c r="K6" s="2">
        <v>16.670000000000002</v>
      </c>
      <c r="L6">
        <v>1</v>
      </c>
      <c r="M6" s="3">
        <v>1</v>
      </c>
      <c r="N6" s="2">
        <v>16.670000000000002</v>
      </c>
      <c r="O6" t="s">
        <v>108</v>
      </c>
      <c r="P6" t="s">
        <v>273</v>
      </c>
    </row>
    <row r="7" spans="1:16" x14ac:dyDescent="0.25">
      <c r="A7" s="4">
        <v>101825784200</v>
      </c>
      <c r="B7" s="4" t="str">
        <f t="shared" si="0"/>
        <v>1018257842000</v>
      </c>
      <c r="C7" t="s">
        <v>114</v>
      </c>
      <c r="E7" t="s">
        <v>104</v>
      </c>
      <c r="F7">
        <v>20411454</v>
      </c>
      <c r="G7" t="s">
        <v>285</v>
      </c>
      <c r="H7" t="s">
        <v>49</v>
      </c>
      <c r="I7" t="s">
        <v>107</v>
      </c>
      <c r="J7" s="1">
        <v>45931</v>
      </c>
      <c r="K7" s="2">
        <v>12.5</v>
      </c>
      <c r="L7">
        <v>1</v>
      </c>
      <c r="M7" s="3">
        <v>1</v>
      </c>
      <c r="N7" s="2">
        <v>12.5</v>
      </c>
      <c r="O7" t="s">
        <v>117</v>
      </c>
      <c r="P7" t="s">
        <v>273</v>
      </c>
    </row>
    <row r="8" spans="1:16" x14ac:dyDescent="0.25">
      <c r="A8" s="4">
        <v>102191441500</v>
      </c>
      <c r="B8" s="4" t="str">
        <f t="shared" si="0"/>
        <v>1021914415000</v>
      </c>
      <c r="C8" t="s">
        <v>119</v>
      </c>
      <c r="E8" t="s">
        <v>55</v>
      </c>
      <c r="F8">
        <v>20411454</v>
      </c>
      <c r="G8" t="s">
        <v>285</v>
      </c>
      <c r="H8" t="s">
        <v>49</v>
      </c>
      <c r="I8" t="s">
        <v>107</v>
      </c>
      <c r="J8" s="1">
        <v>45901</v>
      </c>
      <c r="K8" s="2">
        <v>16.670000000000002</v>
      </c>
      <c r="L8">
        <v>1</v>
      </c>
      <c r="M8" s="3">
        <v>1</v>
      </c>
      <c r="N8" s="2">
        <v>16.670000000000002</v>
      </c>
      <c r="O8" t="s">
        <v>108</v>
      </c>
      <c r="P8" t="s">
        <v>273</v>
      </c>
    </row>
    <row r="9" spans="1:16" x14ac:dyDescent="0.25">
      <c r="A9" s="4">
        <v>102191654400</v>
      </c>
      <c r="B9" s="4" t="str">
        <f t="shared" si="0"/>
        <v>1021916544000</v>
      </c>
      <c r="C9" t="s">
        <v>121</v>
      </c>
      <c r="E9" t="s">
        <v>122</v>
      </c>
      <c r="F9">
        <v>20411454</v>
      </c>
      <c r="G9" t="s">
        <v>285</v>
      </c>
      <c r="H9" t="s">
        <v>49</v>
      </c>
      <c r="I9" t="s">
        <v>107</v>
      </c>
      <c r="J9" s="1">
        <v>45931</v>
      </c>
      <c r="K9" s="2">
        <v>12.5</v>
      </c>
      <c r="L9">
        <v>1</v>
      </c>
      <c r="M9" s="3">
        <v>1</v>
      </c>
      <c r="N9" s="2">
        <v>12.5</v>
      </c>
      <c r="O9" t="s">
        <v>117</v>
      </c>
      <c r="P9" t="s">
        <v>273</v>
      </c>
    </row>
    <row r="10" spans="1:16" x14ac:dyDescent="0.25">
      <c r="A10" s="4">
        <v>102191790000</v>
      </c>
      <c r="B10" s="4" t="str">
        <f t="shared" si="0"/>
        <v>1021917900000</v>
      </c>
      <c r="C10" t="s">
        <v>124</v>
      </c>
      <c r="E10" t="s">
        <v>125</v>
      </c>
      <c r="F10">
        <v>20411454</v>
      </c>
      <c r="G10" t="s">
        <v>285</v>
      </c>
      <c r="H10" t="s">
        <v>49</v>
      </c>
      <c r="I10" t="s">
        <v>107</v>
      </c>
      <c r="J10" s="1">
        <v>45901</v>
      </c>
      <c r="K10" s="2">
        <v>16.670000000000002</v>
      </c>
      <c r="L10">
        <v>1</v>
      </c>
      <c r="M10" s="3">
        <v>1</v>
      </c>
      <c r="N10" s="2">
        <v>16.670000000000002</v>
      </c>
      <c r="O10" t="s">
        <v>108</v>
      </c>
      <c r="P10" t="s">
        <v>273</v>
      </c>
    </row>
    <row r="11" spans="1:16" x14ac:dyDescent="0.25">
      <c r="A11" s="4">
        <v>102192129000</v>
      </c>
      <c r="B11" s="4" t="str">
        <f t="shared" si="0"/>
        <v>1021921290000</v>
      </c>
      <c r="C11" t="s">
        <v>129</v>
      </c>
      <c r="E11" t="s">
        <v>125</v>
      </c>
      <c r="F11">
        <v>20411454</v>
      </c>
      <c r="G11" t="s">
        <v>285</v>
      </c>
      <c r="H11" t="s">
        <v>49</v>
      </c>
      <c r="I11" t="s">
        <v>107</v>
      </c>
      <c r="J11" s="1">
        <v>45901</v>
      </c>
      <c r="K11" s="2">
        <v>16.670000000000002</v>
      </c>
      <c r="L11">
        <v>1</v>
      </c>
      <c r="M11" s="3">
        <v>1</v>
      </c>
      <c r="N11" s="2">
        <v>16.670000000000002</v>
      </c>
      <c r="O11" t="s">
        <v>108</v>
      </c>
      <c r="P11" t="s">
        <v>273</v>
      </c>
    </row>
    <row r="12" spans="1:16" x14ac:dyDescent="0.25">
      <c r="A12" s="4" t="s">
        <v>234</v>
      </c>
      <c r="B12" s="4" t="str">
        <f t="shared" si="0"/>
        <v>00023601462K0</v>
      </c>
      <c r="C12" t="s">
        <v>45</v>
      </c>
      <c r="E12" t="s">
        <v>46</v>
      </c>
      <c r="F12">
        <v>20411454</v>
      </c>
      <c r="G12" t="s">
        <v>285</v>
      </c>
      <c r="H12" t="s">
        <v>49</v>
      </c>
      <c r="I12" t="s">
        <v>50</v>
      </c>
      <c r="J12" s="1">
        <v>45931</v>
      </c>
      <c r="K12" s="2">
        <v>175</v>
      </c>
      <c r="L12">
        <v>1</v>
      </c>
      <c r="M12" s="3">
        <v>1</v>
      </c>
      <c r="N12" s="2">
        <v>175</v>
      </c>
      <c r="P12" t="s">
        <v>274</v>
      </c>
    </row>
    <row r="13" spans="1:16" x14ac:dyDescent="0.25">
      <c r="A13" s="4" t="s">
        <v>235</v>
      </c>
      <c r="B13" s="4" t="str">
        <f t="shared" si="0"/>
        <v>00023602340K0</v>
      </c>
      <c r="C13" t="s">
        <v>54</v>
      </c>
      <c r="E13" t="s">
        <v>55</v>
      </c>
      <c r="F13">
        <v>20411454</v>
      </c>
      <c r="G13" t="s">
        <v>285</v>
      </c>
      <c r="H13" t="s">
        <v>49</v>
      </c>
      <c r="I13" t="s">
        <v>50</v>
      </c>
      <c r="J13" s="1">
        <v>45901</v>
      </c>
      <c r="K13" s="2">
        <v>175</v>
      </c>
      <c r="L13">
        <v>1</v>
      </c>
      <c r="M13" s="3">
        <v>1</v>
      </c>
      <c r="N13" s="2">
        <v>175</v>
      </c>
      <c r="P13" t="s">
        <v>274</v>
      </c>
    </row>
    <row r="14" spans="1:16" x14ac:dyDescent="0.25">
      <c r="A14" s="4" t="s">
        <v>236</v>
      </c>
      <c r="B14" s="4" t="str">
        <f t="shared" si="0"/>
        <v>00023602915K0</v>
      </c>
      <c r="C14" t="s">
        <v>59</v>
      </c>
      <c r="E14" t="s">
        <v>55</v>
      </c>
      <c r="F14">
        <v>20411454</v>
      </c>
      <c r="G14" t="s">
        <v>285</v>
      </c>
      <c r="H14" t="s">
        <v>49</v>
      </c>
      <c r="I14" t="s">
        <v>50</v>
      </c>
      <c r="J14" s="1">
        <v>45931</v>
      </c>
      <c r="K14" s="2">
        <v>175</v>
      </c>
      <c r="L14">
        <v>1</v>
      </c>
      <c r="M14" s="3">
        <v>1</v>
      </c>
      <c r="N14" s="2">
        <v>175</v>
      </c>
      <c r="P14" t="s">
        <v>274</v>
      </c>
    </row>
    <row r="15" spans="1:16" x14ac:dyDescent="0.25">
      <c r="A15" s="4" t="s">
        <v>237</v>
      </c>
      <c r="B15" s="4" t="str">
        <f t="shared" si="0"/>
        <v>00023603758K0</v>
      </c>
      <c r="C15" t="s">
        <v>63</v>
      </c>
      <c r="E15" t="s">
        <v>55</v>
      </c>
      <c r="F15">
        <v>20411454</v>
      </c>
      <c r="G15" t="s">
        <v>285</v>
      </c>
      <c r="H15" t="s">
        <v>49</v>
      </c>
      <c r="I15" t="s">
        <v>50</v>
      </c>
      <c r="J15" s="1">
        <v>45931</v>
      </c>
      <c r="K15" s="2">
        <v>175</v>
      </c>
      <c r="L15">
        <v>1</v>
      </c>
      <c r="M15" s="3">
        <v>1</v>
      </c>
      <c r="N15" s="2">
        <v>175</v>
      </c>
      <c r="P15" t="s">
        <v>274</v>
      </c>
    </row>
    <row r="16" spans="1:16" x14ac:dyDescent="0.25">
      <c r="A16" s="4" t="s">
        <v>238</v>
      </c>
      <c r="B16" s="4" t="str">
        <f t="shared" si="0"/>
        <v>00023603885K0</v>
      </c>
      <c r="C16" t="s">
        <v>67</v>
      </c>
      <c r="E16" t="s">
        <v>55</v>
      </c>
      <c r="F16">
        <v>20411454</v>
      </c>
      <c r="G16" t="s">
        <v>285</v>
      </c>
      <c r="H16" t="s">
        <v>49</v>
      </c>
      <c r="I16" t="s">
        <v>50</v>
      </c>
      <c r="J16" s="1">
        <v>45931</v>
      </c>
      <c r="K16" s="2">
        <v>175</v>
      </c>
      <c r="L16">
        <v>1</v>
      </c>
      <c r="M16" s="3">
        <v>1</v>
      </c>
      <c r="N16" s="2">
        <v>175</v>
      </c>
      <c r="P16" t="s">
        <v>274</v>
      </c>
    </row>
    <row r="17" spans="1:16" x14ac:dyDescent="0.25">
      <c r="A17" s="4" t="s">
        <v>239</v>
      </c>
      <c r="B17" s="4" t="str">
        <f t="shared" si="0"/>
        <v>00023607666K0</v>
      </c>
      <c r="C17" t="s">
        <v>69</v>
      </c>
      <c r="E17" t="s">
        <v>70</v>
      </c>
      <c r="F17">
        <v>20411454</v>
      </c>
      <c r="G17" t="s">
        <v>285</v>
      </c>
      <c r="H17" t="s">
        <v>49</v>
      </c>
      <c r="I17" t="s">
        <v>50</v>
      </c>
      <c r="J17" s="1">
        <v>45931</v>
      </c>
      <c r="K17" s="2">
        <v>175</v>
      </c>
      <c r="L17">
        <v>1</v>
      </c>
      <c r="M17" s="3">
        <v>1</v>
      </c>
      <c r="N17" s="2">
        <v>175</v>
      </c>
      <c r="P17" t="s">
        <v>274</v>
      </c>
    </row>
    <row r="18" spans="1:16" x14ac:dyDescent="0.25">
      <c r="A18" s="4" t="s">
        <v>240</v>
      </c>
      <c r="B18" s="4" t="str">
        <f t="shared" si="0"/>
        <v>00023608437K0</v>
      </c>
      <c r="C18" t="s">
        <v>72</v>
      </c>
      <c r="E18" t="s">
        <v>55</v>
      </c>
      <c r="F18">
        <v>20411454</v>
      </c>
      <c r="G18" t="s">
        <v>285</v>
      </c>
      <c r="H18" t="s">
        <v>49</v>
      </c>
      <c r="I18" t="s">
        <v>50</v>
      </c>
      <c r="J18" s="1">
        <v>45992</v>
      </c>
      <c r="K18" s="2">
        <v>175</v>
      </c>
      <c r="L18">
        <v>1</v>
      </c>
      <c r="M18" s="3">
        <v>1</v>
      </c>
      <c r="N18" s="2">
        <v>175</v>
      </c>
      <c r="P18" t="s">
        <v>274</v>
      </c>
    </row>
    <row r="19" spans="1:16" x14ac:dyDescent="0.25">
      <c r="A19" s="4" t="s">
        <v>243</v>
      </c>
      <c r="B19" s="4" t="str">
        <f t="shared" si="0"/>
        <v>00023610687K0</v>
      </c>
      <c r="C19" t="s">
        <v>84</v>
      </c>
      <c r="E19" t="s">
        <v>55</v>
      </c>
      <c r="F19">
        <v>20411454</v>
      </c>
      <c r="G19" t="s">
        <v>285</v>
      </c>
      <c r="H19" t="s">
        <v>49</v>
      </c>
      <c r="I19" t="s">
        <v>50</v>
      </c>
      <c r="J19" s="1">
        <v>45962</v>
      </c>
      <c r="K19" s="2">
        <v>175</v>
      </c>
      <c r="L19">
        <v>1</v>
      </c>
      <c r="M19" s="3">
        <v>1</v>
      </c>
      <c r="N19" s="2">
        <v>175</v>
      </c>
      <c r="P19" t="s">
        <v>274</v>
      </c>
    </row>
    <row r="20" spans="1:16" x14ac:dyDescent="0.25">
      <c r="A20" s="4" t="s">
        <v>245</v>
      </c>
      <c r="B20" s="4" t="str">
        <f t="shared" si="0"/>
        <v>00023611146K0</v>
      </c>
      <c r="C20" t="s">
        <v>90</v>
      </c>
      <c r="E20" t="s">
        <v>55</v>
      </c>
      <c r="F20">
        <v>20411454</v>
      </c>
      <c r="G20" t="s">
        <v>285</v>
      </c>
      <c r="H20" t="s">
        <v>49</v>
      </c>
      <c r="I20" t="s">
        <v>50</v>
      </c>
      <c r="J20" s="1">
        <v>45931</v>
      </c>
      <c r="K20" s="2">
        <v>175</v>
      </c>
      <c r="L20">
        <v>1</v>
      </c>
      <c r="M20" s="3">
        <v>1</v>
      </c>
      <c r="N20" s="2">
        <v>175</v>
      </c>
      <c r="P20" t="s">
        <v>274</v>
      </c>
    </row>
    <row r="21" spans="1:16" x14ac:dyDescent="0.25">
      <c r="A21" s="4" t="s">
        <v>246</v>
      </c>
      <c r="B21" s="4" t="str">
        <f t="shared" si="0"/>
        <v>00023614406K0</v>
      </c>
      <c r="C21" t="s">
        <v>94</v>
      </c>
      <c r="E21" t="s">
        <v>55</v>
      </c>
      <c r="F21">
        <v>20411454</v>
      </c>
      <c r="G21" t="s">
        <v>285</v>
      </c>
      <c r="H21" t="s">
        <v>49</v>
      </c>
      <c r="I21" t="s">
        <v>50</v>
      </c>
      <c r="J21" s="1">
        <v>45992</v>
      </c>
      <c r="K21" s="2">
        <v>175</v>
      </c>
      <c r="L21">
        <v>1</v>
      </c>
      <c r="M21" s="3">
        <v>1</v>
      </c>
      <c r="N21" s="2">
        <v>175</v>
      </c>
      <c r="P21" t="s">
        <v>274</v>
      </c>
    </row>
    <row r="22" spans="1:16" x14ac:dyDescent="0.25">
      <c r="A22" s="4" t="s">
        <v>247</v>
      </c>
      <c r="B22" s="4" t="str">
        <f t="shared" si="0"/>
        <v>00023615060K0</v>
      </c>
      <c r="C22" t="s">
        <v>98</v>
      </c>
      <c r="E22" t="s">
        <v>99</v>
      </c>
      <c r="F22">
        <v>20411454</v>
      </c>
      <c r="G22" t="s">
        <v>285</v>
      </c>
      <c r="H22" t="s">
        <v>49</v>
      </c>
      <c r="I22" t="s">
        <v>50</v>
      </c>
      <c r="J22" s="1">
        <v>45931</v>
      </c>
      <c r="K22" s="2">
        <v>175</v>
      </c>
      <c r="L22">
        <v>1</v>
      </c>
      <c r="M22" s="3">
        <v>1</v>
      </c>
      <c r="N22" s="2">
        <v>175</v>
      </c>
      <c r="P22" t="s">
        <v>274</v>
      </c>
    </row>
    <row r="23" spans="1:16" x14ac:dyDescent="0.25">
      <c r="A23" s="4" t="s">
        <v>261</v>
      </c>
      <c r="B23" s="4" t="s">
        <v>261</v>
      </c>
      <c r="C23" t="s">
        <v>202</v>
      </c>
      <c r="E23" t="s">
        <v>203</v>
      </c>
      <c r="F23">
        <v>20411454</v>
      </c>
      <c r="G23" t="s">
        <v>285</v>
      </c>
      <c r="H23" t="s">
        <v>206</v>
      </c>
      <c r="I23" t="s">
        <v>50</v>
      </c>
      <c r="J23" s="1">
        <v>45717</v>
      </c>
      <c r="N23">
        <v>-87.5</v>
      </c>
      <c r="P23" t="s">
        <v>274</v>
      </c>
    </row>
    <row r="24" spans="1:16" x14ac:dyDescent="0.25">
      <c r="A24" s="4" t="s">
        <v>262</v>
      </c>
      <c r="B24" s="4" t="s">
        <v>262</v>
      </c>
      <c r="C24" t="s">
        <v>208</v>
      </c>
      <c r="E24" t="s">
        <v>203</v>
      </c>
      <c r="F24">
        <v>20411454</v>
      </c>
      <c r="G24" t="s">
        <v>285</v>
      </c>
      <c r="H24" t="s">
        <v>206</v>
      </c>
      <c r="I24" t="s">
        <v>50</v>
      </c>
      <c r="J24" s="1">
        <v>45689</v>
      </c>
      <c r="N24">
        <v>-87.5</v>
      </c>
      <c r="P24" t="s">
        <v>274</v>
      </c>
    </row>
    <row r="25" spans="1:16" x14ac:dyDescent="0.25">
      <c r="A25" s="4" t="s">
        <v>263</v>
      </c>
      <c r="B25" s="4" t="s">
        <v>263</v>
      </c>
      <c r="C25" t="s">
        <v>212</v>
      </c>
      <c r="E25" t="s">
        <v>203</v>
      </c>
      <c r="F25">
        <v>20411454</v>
      </c>
      <c r="G25" t="s">
        <v>285</v>
      </c>
      <c r="H25" t="s">
        <v>206</v>
      </c>
      <c r="I25" t="s">
        <v>50</v>
      </c>
      <c r="J25" s="1">
        <v>45778</v>
      </c>
      <c r="N25">
        <v>-73.5</v>
      </c>
      <c r="P25" t="s">
        <v>274</v>
      </c>
    </row>
    <row r="26" spans="1:16" x14ac:dyDescent="0.25">
      <c r="A26" s="4" t="s">
        <v>264</v>
      </c>
      <c r="B26" s="4" t="s">
        <v>264</v>
      </c>
      <c r="C26" t="s">
        <v>216</v>
      </c>
      <c r="E26" t="s">
        <v>203</v>
      </c>
      <c r="F26">
        <v>20411454</v>
      </c>
      <c r="G26" t="s">
        <v>285</v>
      </c>
      <c r="H26" t="s">
        <v>206</v>
      </c>
      <c r="I26" t="s">
        <v>50</v>
      </c>
      <c r="J26" s="1">
        <v>45809</v>
      </c>
      <c r="N26">
        <v>-117.25</v>
      </c>
      <c r="P26" t="s">
        <v>274</v>
      </c>
    </row>
    <row r="27" spans="1:16" s="6" customFormat="1" x14ac:dyDescent="0.25">
      <c r="A27" s="5" t="s">
        <v>241</v>
      </c>
      <c r="B27" s="5" t="s">
        <v>241</v>
      </c>
      <c r="C27" s="6" t="s">
        <v>76</v>
      </c>
      <c r="E27" s="6" t="s">
        <v>77</v>
      </c>
      <c r="F27" s="6">
        <v>20724564</v>
      </c>
      <c r="G27" s="6" t="s">
        <v>79</v>
      </c>
      <c r="H27" s="6" t="s">
        <v>49</v>
      </c>
      <c r="I27" s="6" t="s">
        <v>80</v>
      </c>
      <c r="J27" s="7">
        <v>45931</v>
      </c>
      <c r="K27" s="8">
        <v>15</v>
      </c>
      <c r="L27" s="6">
        <v>1</v>
      </c>
      <c r="M27" s="9">
        <v>1</v>
      </c>
      <c r="N27" s="8">
        <v>15</v>
      </c>
      <c r="P27" s="6" t="s">
        <v>275</v>
      </c>
    </row>
    <row r="28" spans="1:16" s="6" customFormat="1" x14ac:dyDescent="0.25">
      <c r="A28" s="5" t="s">
        <v>242</v>
      </c>
      <c r="B28" s="5" t="s">
        <v>242</v>
      </c>
      <c r="C28" s="6" t="s">
        <v>82</v>
      </c>
      <c r="E28" s="6" t="s">
        <v>77</v>
      </c>
      <c r="F28" s="6">
        <v>20724564</v>
      </c>
      <c r="G28" s="6" t="s">
        <v>79</v>
      </c>
      <c r="H28" s="6" t="s">
        <v>49</v>
      </c>
      <c r="I28" s="6" t="s">
        <v>80</v>
      </c>
      <c r="J28" s="7">
        <v>45931</v>
      </c>
      <c r="K28" s="8">
        <v>15</v>
      </c>
      <c r="L28" s="6">
        <v>1</v>
      </c>
      <c r="M28" s="9">
        <v>1</v>
      </c>
      <c r="N28" s="8">
        <v>15</v>
      </c>
      <c r="P28" s="6" t="s">
        <v>275</v>
      </c>
    </row>
    <row r="29" spans="1:16" s="6" customFormat="1" x14ac:dyDescent="0.25">
      <c r="A29" s="5" t="s">
        <v>244</v>
      </c>
      <c r="B29" s="5" t="s">
        <v>244</v>
      </c>
      <c r="C29" s="6" t="s">
        <v>88</v>
      </c>
      <c r="E29" s="6" t="s">
        <v>77</v>
      </c>
      <c r="F29" s="6">
        <v>20724564</v>
      </c>
      <c r="G29" s="6" t="s">
        <v>79</v>
      </c>
      <c r="H29" s="6" t="s">
        <v>49</v>
      </c>
      <c r="I29" s="6" t="s">
        <v>80</v>
      </c>
      <c r="J29" s="7">
        <v>45992</v>
      </c>
      <c r="K29" s="8">
        <v>15</v>
      </c>
      <c r="L29" s="6">
        <v>1</v>
      </c>
      <c r="M29" s="9">
        <v>1</v>
      </c>
      <c r="N29" s="8">
        <v>15</v>
      </c>
      <c r="P29" s="6" t="s">
        <v>275</v>
      </c>
    </row>
    <row r="30" spans="1:16" x14ac:dyDescent="0.25">
      <c r="A30" s="4" t="s">
        <v>272</v>
      </c>
      <c r="B30" s="4" t="s">
        <v>272</v>
      </c>
      <c r="C30" t="s">
        <v>230</v>
      </c>
      <c r="E30" t="s">
        <v>55</v>
      </c>
      <c r="F30">
        <v>20411454</v>
      </c>
      <c r="G30" t="s">
        <v>285</v>
      </c>
      <c r="H30" t="s">
        <v>206</v>
      </c>
      <c r="I30" t="s">
        <v>233</v>
      </c>
      <c r="J30" s="1">
        <v>45839</v>
      </c>
      <c r="N30">
        <v>-87.5</v>
      </c>
      <c r="P30" t="s">
        <v>276</v>
      </c>
    </row>
    <row r="31" spans="1:16" x14ac:dyDescent="0.25">
      <c r="A31" s="4" t="s">
        <v>251</v>
      </c>
      <c r="B31" s="4" t="s">
        <v>251</v>
      </c>
      <c r="C31" t="s">
        <v>145</v>
      </c>
      <c r="E31" t="s">
        <v>55</v>
      </c>
      <c r="F31">
        <v>20411454</v>
      </c>
      <c r="G31" t="s">
        <v>285</v>
      </c>
      <c r="H31" t="s">
        <v>49</v>
      </c>
      <c r="I31" t="s">
        <v>149</v>
      </c>
      <c r="J31" s="1">
        <v>45931</v>
      </c>
      <c r="K31" s="2">
        <v>175</v>
      </c>
      <c r="L31">
        <v>1</v>
      </c>
      <c r="M31" s="3">
        <v>1</v>
      </c>
      <c r="N31" s="2">
        <v>175</v>
      </c>
      <c r="P31" t="s">
        <v>276</v>
      </c>
    </row>
    <row r="32" spans="1:16" x14ac:dyDescent="0.25">
      <c r="A32" s="4" t="s">
        <v>252</v>
      </c>
      <c r="B32" s="4" t="s">
        <v>252</v>
      </c>
      <c r="C32" t="s">
        <v>151</v>
      </c>
      <c r="E32" t="s">
        <v>77</v>
      </c>
      <c r="F32">
        <v>20411454</v>
      </c>
      <c r="G32" t="s">
        <v>285</v>
      </c>
      <c r="H32" t="s">
        <v>49</v>
      </c>
      <c r="I32" t="s">
        <v>149</v>
      </c>
      <c r="J32" s="1">
        <v>45931</v>
      </c>
      <c r="K32" s="2">
        <v>175</v>
      </c>
      <c r="L32">
        <v>1</v>
      </c>
      <c r="M32" s="3">
        <v>1</v>
      </c>
      <c r="N32" s="2">
        <v>175</v>
      </c>
      <c r="P32" t="s">
        <v>276</v>
      </c>
    </row>
    <row r="33" spans="1:17" x14ac:dyDescent="0.25">
      <c r="A33" s="4" t="s">
        <v>253</v>
      </c>
      <c r="B33" s="4" t="s">
        <v>253</v>
      </c>
      <c r="C33" t="s">
        <v>156</v>
      </c>
      <c r="E33" t="s">
        <v>157</v>
      </c>
      <c r="F33">
        <v>20411454</v>
      </c>
      <c r="G33" t="s">
        <v>285</v>
      </c>
      <c r="H33" t="s">
        <v>49</v>
      </c>
      <c r="I33" t="s">
        <v>149</v>
      </c>
      <c r="J33" s="1">
        <v>45931</v>
      </c>
      <c r="K33" s="2">
        <v>175</v>
      </c>
      <c r="L33">
        <v>1</v>
      </c>
      <c r="M33" s="3">
        <v>1</v>
      </c>
      <c r="N33" s="2">
        <v>175</v>
      </c>
      <c r="P33" t="s">
        <v>276</v>
      </c>
    </row>
    <row r="34" spans="1:17" x14ac:dyDescent="0.25">
      <c r="A34" s="4" t="s">
        <v>254</v>
      </c>
      <c r="B34" s="4" t="s">
        <v>254</v>
      </c>
      <c r="C34" t="s">
        <v>162</v>
      </c>
      <c r="E34" t="s">
        <v>55</v>
      </c>
      <c r="F34">
        <v>20411454</v>
      </c>
      <c r="G34" t="s">
        <v>285</v>
      </c>
      <c r="H34" t="s">
        <v>49</v>
      </c>
      <c r="I34" t="s">
        <v>149</v>
      </c>
      <c r="J34" s="1">
        <v>45931</v>
      </c>
      <c r="K34" s="2">
        <v>175</v>
      </c>
      <c r="L34">
        <v>1</v>
      </c>
      <c r="M34" s="3">
        <v>1</v>
      </c>
      <c r="N34" s="2">
        <v>175</v>
      </c>
      <c r="P34" t="s">
        <v>276</v>
      </c>
    </row>
    <row r="35" spans="1:17" x14ac:dyDescent="0.25">
      <c r="A35" s="4" t="s">
        <v>255</v>
      </c>
      <c r="B35" s="4" t="s">
        <v>255</v>
      </c>
      <c r="C35" t="s">
        <v>165</v>
      </c>
      <c r="E35" t="s">
        <v>166</v>
      </c>
      <c r="F35">
        <v>20411454</v>
      </c>
      <c r="G35" t="s">
        <v>285</v>
      </c>
      <c r="H35" t="s">
        <v>49</v>
      </c>
      <c r="I35" t="s">
        <v>149</v>
      </c>
      <c r="J35" s="1">
        <v>45901</v>
      </c>
      <c r="K35" s="2">
        <v>175</v>
      </c>
      <c r="L35">
        <v>1</v>
      </c>
      <c r="M35" s="3">
        <v>1</v>
      </c>
      <c r="N35" s="2">
        <v>175</v>
      </c>
      <c r="P35" t="s">
        <v>276</v>
      </c>
    </row>
    <row r="36" spans="1:17" x14ac:dyDescent="0.25">
      <c r="A36" s="4" t="s">
        <v>256</v>
      </c>
      <c r="B36" s="4" t="s">
        <v>256</v>
      </c>
      <c r="C36" t="s">
        <v>172</v>
      </c>
      <c r="E36" t="s">
        <v>77</v>
      </c>
      <c r="F36">
        <v>20411454</v>
      </c>
      <c r="G36" t="s">
        <v>285</v>
      </c>
      <c r="H36" t="s">
        <v>49</v>
      </c>
      <c r="I36" t="s">
        <v>149</v>
      </c>
      <c r="J36" s="1">
        <v>45931</v>
      </c>
      <c r="K36" s="2">
        <v>175</v>
      </c>
      <c r="L36">
        <v>1</v>
      </c>
      <c r="M36" s="3">
        <v>1</v>
      </c>
      <c r="N36" s="2">
        <v>175</v>
      </c>
      <c r="P36" t="s">
        <v>276</v>
      </c>
    </row>
    <row r="37" spans="1:17" x14ac:dyDescent="0.25">
      <c r="A37" s="4" t="s">
        <v>257</v>
      </c>
      <c r="B37" s="4" t="s">
        <v>257</v>
      </c>
      <c r="C37" t="s">
        <v>175</v>
      </c>
      <c r="E37" t="s">
        <v>46</v>
      </c>
      <c r="F37">
        <v>20411454</v>
      </c>
      <c r="G37" t="s">
        <v>285</v>
      </c>
      <c r="H37" t="s">
        <v>49</v>
      </c>
      <c r="I37" t="s">
        <v>149</v>
      </c>
      <c r="J37" s="1">
        <v>45931</v>
      </c>
      <c r="K37" s="2">
        <v>175</v>
      </c>
      <c r="L37">
        <v>1</v>
      </c>
      <c r="M37" s="3">
        <v>1</v>
      </c>
      <c r="N37" s="2">
        <v>175</v>
      </c>
      <c r="P37" t="s">
        <v>276</v>
      </c>
    </row>
    <row r="38" spans="1:17" x14ac:dyDescent="0.25">
      <c r="A38" s="4" t="s">
        <v>259</v>
      </c>
      <c r="B38" s="4" t="s">
        <v>259</v>
      </c>
      <c r="C38" t="s">
        <v>189</v>
      </c>
      <c r="E38" t="s">
        <v>55</v>
      </c>
      <c r="F38">
        <v>20411454</v>
      </c>
      <c r="G38" t="s">
        <v>285</v>
      </c>
      <c r="H38" t="s">
        <v>49</v>
      </c>
      <c r="I38" t="s">
        <v>149</v>
      </c>
      <c r="J38" s="1">
        <v>45962</v>
      </c>
      <c r="K38" s="2">
        <v>175</v>
      </c>
      <c r="L38">
        <v>1</v>
      </c>
      <c r="M38" s="3">
        <v>1</v>
      </c>
      <c r="N38" s="2">
        <v>175</v>
      </c>
      <c r="P38" t="s">
        <v>276</v>
      </c>
    </row>
    <row r="39" spans="1:17" x14ac:dyDescent="0.25">
      <c r="A39" s="4" t="s">
        <v>258</v>
      </c>
      <c r="B39" s="4" t="s">
        <v>258</v>
      </c>
      <c r="C39" t="s">
        <v>180</v>
      </c>
      <c r="E39" t="s">
        <v>77</v>
      </c>
      <c r="F39">
        <v>20411454</v>
      </c>
      <c r="G39" t="s">
        <v>285</v>
      </c>
      <c r="H39" t="s">
        <v>49</v>
      </c>
      <c r="I39" t="s">
        <v>183</v>
      </c>
      <c r="J39" s="1">
        <v>45992</v>
      </c>
      <c r="K39" s="2">
        <v>113</v>
      </c>
      <c r="L39">
        <v>1</v>
      </c>
      <c r="M39" s="3">
        <v>1</v>
      </c>
      <c r="N39" s="2">
        <v>113</v>
      </c>
      <c r="P39" t="s">
        <v>276</v>
      </c>
    </row>
    <row r="40" spans="1:17" x14ac:dyDescent="0.25">
      <c r="A40" s="4" t="s">
        <v>260</v>
      </c>
      <c r="B40" s="4" t="s">
        <v>260</v>
      </c>
      <c r="C40" t="s">
        <v>193</v>
      </c>
      <c r="E40" t="s">
        <v>77</v>
      </c>
      <c r="F40">
        <v>20411454</v>
      </c>
      <c r="G40" t="s">
        <v>285</v>
      </c>
      <c r="H40" t="s">
        <v>49</v>
      </c>
      <c r="I40" t="s">
        <v>183</v>
      </c>
      <c r="J40" s="1">
        <v>45962</v>
      </c>
      <c r="K40" s="2">
        <v>113</v>
      </c>
      <c r="L40">
        <v>1</v>
      </c>
      <c r="M40" s="3">
        <v>1</v>
      </c>
      <c r="N40" s="2">
        <v>113</v>
      </c>
      <c r="P40" t="s">
        <v>276</v>
      </c>
    </row>
    <row r="41" spans="1:17" x14ac:dyDescent="0.25">
      <c r="A41" s="4" t="s">
        <v>248</v>
      </c>
      <c r="B41" s="4" t="s">
        <v>248</v>
      </c>
      <c r="C41" t="s">
        <v>131</v>
      </c>
      <c r="E41" t="s">
        <v>132</v>
      </c>
      <c r="F41">
        <v>20411454</v>
      </c>
      <c r="G41" t="s">
        <v>285</v>
      </c>
      <c r="H41" t="s">
        <v>49</v>
      </c>
      <c r="I41" t="s">
        <v>137</v>
      </c>
      <c r="J41" s="1">
        <v>45931</v>
      </c>
      <c r="K41" s="2">
        <v>18</v>
      </c>
      <c r="L41">
        <v>1</v>
      </c>
      <c r="M41" s="3">
        <v>1</v>
      </c>
      <c r="N41" s="2">
        <v>18</v>
      </c>
      <c r="O41" t="s">
        <v>117</v>
      </c>
      <c r="P41" t="s">
        <v>276</v>
      </c>
    </row>
    <row r="42" spans="1:17" x14ac:dyDescent="0.25">
      <c r="A42" s="4" t="s">
        <v>249</v>
      </c>
      <c r="B42" s="4" t="s">
        <v>249</v>
      </c>
      <c r="C42" t="s">
        <v>139</v>
      </c>
      <c r="E42" t="s">
        <v>104</v>
      </c>
      <c r="F42">
        <v>20411454</v>
      </c>
      <c r="G42" t="s">
        <v>285</v>
      </c>
      <c r="H42" t="s">
        <v>49</v>
      </c>
      <c r="I42" t="s">
        <v>137</v>
      </c>
      <c r="J42" s="1">
        <v>45931</v>
      </c>
      <c r="K42" s="2">
        <v>18</v>
      </c>
      <c r="L42">
        <v>1</v>
      </c>
      <c r="M42" s="3">
        <v>1</v>
      </c>
      <c r="N42" s="2">
        <v>18</v>
      </c>
      <c r="O42" t="s">
        <v>117</v>
      </c>
      <c r="P42" t="s">
        <v>276</v>
      </c>
    </row>
    <row r="43" spans="1:17" x14ac:dyDescent="0.25">
      <c r="A43" s="4" t="s">
        <v>250</v>
      </c>
      <c r="B43" s="4" t="s">
        <v>250</v>
      </c>
      <c r="C43" t="s">
        <v>142</v>
      </c>
      <c r="E43" t="s">
        <v>132</v>
      </c>
      <c r="F43">
        <v>20411454</v>
      </c>
      <c r="G43" t="s">
        <v>285</v>
      </c>
      <c r="H43" t="s">
        <v>49</v>
      </c>
      <c r="I43" t="s">
        <v>137</v>
      </c>
      <c r="J43" s="1">
        <v>45931</v>
      </c>
      <c r="K43" s="2">
        <v>18</v>
      </c>
      <c r="L43">
        <v>1</v>
      </c>
      <c r="M43" s="3">
        <v>1</v>
      </c>
      <c r="N43" s="2">
        <v>18</v>
      </c>
      <c r="O43" t="s">
        <v>117</v>
      </c>
      <c r="P43" t="s">
        <v>276</v>
      </c>
    </row>
    <row r="44" spans="1:17" s="6" customFormat="1" x14ac:dyDescent="0.25">
      <c r="A44" s="5">
        <v>927312174</v>
      </c>
      <c r="B44" s="4" t="str">
        <f>CONCATENATE(A44,98)</f>
        <v>92731217498</v>
      </c>
      <c r="C44" s="6" t="s">
        <v>165</v>
      </c>
      <c r="E44" s="6" t="s">
        <v>166</v>
      </c>
      <c r="F44" s="6">
        <v>16865615</v>
      </c>
      <c r="G44" s="6" t="s">
        <v>168</v>
      </c>
      <c r="H44" s="6" t="s">
        <v>49</v>
      </c>
      <c r="I44" s="6" t="s">
        <v>169</v>
      </c>
      <c r="J44" s="7">
        <v>45901</v>
      </c>
      <c r="K44" s="8">
        <v>626</v>
      </c>
      <c r="L44" s="6">
        <v>1</v>
      </c>
      <c r="M44" s="9">
        <v>1</v>
      </c>
      <c r="N44" s="8">
        <v>626</v>
      </c>
      <c r="P44" s="6" t="s">
        <v>277</v>
      </c>
      <c r="Q44" s="6" t="s">
        <v>283</v>
      </c>
    </row>
    <row r="45" spans="1:17" s="6" customFormat="1" x14ac:dyDescent="0.25">
      <c r="A45" s="5">
        <v>976044955</v>
      </c>
      <c r="B45" s="4" t="str">
        <f>CONCATENATE(A45,98)</f>
        <v>97604495598</v>
      </c>
      <c r="C45" s="6" t="s">
        <v>197</v>
      </c>
      <c r="E45" s="6" t="s">
        <v>166</v>
      </c>
      <c r="F45" s="6">
        <v>6634327</v>
      </c>
      <c r="G45" s="6" t="s">
        <v>199</v>
      </c>
      <c r="H45" s="6" t="s">
        <v>49</v>
      </c>
      <c r="I45" s="6" t="s">
        <v>169</v>
      </c>
      <c r="J45" s="7">
        <v>45901</v>
      </c>
      <c r="K45" s="8">
        <v>626</v>
      </c>
      <c r="L45" s="6">
        <v>1</v>
      </c>
      <c r="M45" s="9">
        <v>1</v>
      </c>
      <c r="N45" s="8">
        <v>626</v>
      </c>
      <c r="P45" s="6" t="s">
        <v>277</v>
      </c>
      <c r="Q45" s="6" t="s">
        <v>283</v>
      </c>
    </row>
    <row r="46" spans="1:17" s="6" customFormat="1" x14ac:dyDescent="0.25">
      <c r="A46" s="5">
        <v>934515223</v>
      </c>
      <c r="B46" s="4" t="str">
        <f t="shared" ref="B45:B47" si="1">CONCATENATE(A46,98)</f>
        <v>93451522398</v>
      </c>
      <c r="C46" s="6" t="s">
        <v>178</v>
      </c>
      <c r="E46" s="6" t="s">
        <v>77</v>
      </c>
      <c r="F46" s="6">
        <v>20724564</v>
      </c>
      <c r="G46" s="6" t="s">
        <v>79</v>
      </c>
      <c r="H46" s="6" t="s">
        <v>49</v>
      </c>
      <c r="I46" s="6" t="s">
        <v>169</v>
      </c>
      <c r="J46" s="7">
        <v>45962</v>
      </c>
      <c r="K46" s="8">
        <v>626</v>
      </c>
      <c r="L46" s="6">
        <v>1</v>
      </c>
      <c r="M46" s="9">
        <v>1</v>
      </c>
      <c r="N46" s="8">
        <v>626</v>
      </c>
      <c r="P46" s="6" t="s">
        <v>277</v>
      </c>
      <c r="Q46" s="6" t="s">
        <v>283</v>
      </c>
    </row>
    <row r="47" spans="1:17" s="6" customFormat="1" x14ac:dyDescent="0.25">
      <c r="A47" s="5">
        <v>945448053</v>
      </c>
      <c r="B47" s="4" t="str">
        <f t="shared" si="1"/>
        <v>94544805398</v>
      </c>
      <c r="C47" s="6" t="s">
        <v>185</v>
      </c>
      <c r="E47" s="6" t="s">
        <v>70</v>
      </c>
      <c r="F47" s="6">
        <v>18581063</v>
      </c>
      <c r="G47" s="6" t="s">
        <v>187</v>
      </c>
      <c r="H47" s="6" t="s">
        <v>49</v>
      </c>
      <c r="I47" s="6" t="s">
        <v>169</v>
      </c>
      <c r="J47" s="7">
        <v>45901</v>
      </c>
      <c r="K47" s="8">
        <v>626</v>
      </c>
      <c r="L47" s="6">
        <v>1</v>
      </c>
      <c r="M47" s="9">
        <v>1</v>
      </c>
      <c r="N47" s="8">
        <v>626</v>
      </c>
      <c r="P47" s="6" t="s">
        <v>277</v>
      </c>
      <c r="Q47" s="6" t="s">
        <v>283</v>
      </c>
    </row>
    <row r="48" spans="1:17" s="6" customFormat="1" x14ac:dyDescent="0.25">
      <c r="A48" s="5" t="s">
        <v>271</v>
      </c>
      <c r="B48" s="5" t="s">
        <v>271</v>
      </c>
      <c r="C48" s="6" t="s">
        <v>230</v>
      </c>
      <c r="E48" s="6" t="s">
        <v>55</v>
      </c>
      <c r="F48" s="6">
        <v>19396223</v>
      </c>
      <c r="G48" s="6" t="s">
        <v>65</v>
      </c>
      <c r="H48" s="6" t="s">
        <v>206</v>
      </c>
      <c r="I48" s="6" t="s">
        <v>231</v>
      </c>
      <c r="J48" s="7">
        <v>45839</v>
      </c>
      <c r="N48" s="6">
        <v>-313</v>
      </c>
      <c r="P48" s="6" t="s">
        <v>278</v>
      </c>
      <c r="Q48" s="6" t="s">
        <v>284</v>
      </c>
    </row>
    <row r="49" spans="1:19" s="6" customFormat="1" x14ac:dyDescent="0.25">
      <c r="A49" s="5">
        <v>916445670</v>
      </c>
      <c r="B49" s="4" t="str">
        <f t="shared" ref="B49:B54" si="2">CONCATENATE(A49,1)</f>
        <v>9164456701</v>
      </c>
      <c r="C49" s="6" t="s">
        <v>156</v>
      </c>
      <c r="E49" s="6" t="s">
        <v>157</v>
      </c>
      <c r="F49" s="6">
        <v>17425766</v>
      </c>
      <c r="G49" s="6" t="s">
        <v>159</v>
      </c>
      <c r="H49" s="6" t="s">
        <v>49</v>
      </c>
      <c r="I49" s="6" t="s">
        <v>135</v>
      </c>
      <c r="J49" s="7">
        <v>45931</v>
      </c>
      <c r="K49" s="8">
        <v>78.25</v>
      </c>
      <c r="L49" s="6">
        <v>1</v>
      </c>
      <c r="M49" s="9">
        <v>1</v>
      </c>
      <c r="N49" s="8">
        <v>78.25</v>
      </c>
      <c r="O49" s="6" t="s">
        <v>117</v>
      </c>
      <c r="P49" s="6" t="s">
        <v>278</v>
      </c>
      <c r="Q49" s="6" t="s">
        <v>280</v>
      </c>
    </row>
    <row r="50" spans="1:19" s="6" customFormat="1" x14ac:dyDescent="0.25">
      <c r="A50" s="5">
        <v>914839672</v>
      </c>
      <c r="B50" s="4" t="str">
        <f t="shared" si="2"/>
        <v>9148396721</v>
      </c>
      <c r="C50" s="6" t="s">
        <v>145</v>
      </c>
      <c r="E50" s="6" t="s">
        <v>55</v>
      </c>
      <c r="F50" s="6">
        <v>9213293</v>
      </c>
      <c r="G50" s="6" t="s">
        <v>147</v>
      </c>
      <c r="H50" s="6" t="s">
        <v>49</v>
      </c>
      <c r="I50" s="6" t="s">
        <v>135</v>
      </c>
      <c r="J50" s="7">
        <v>45931</v>
      </c>
      <c r="K50" s="8">
        <v>78.25</v>
      </c>
      <c r="L50" s="6">
        <v>1</v>
      </c>
      <c r="M50" s="9">
        <v>1</v>
      </c>
      <c r="N50" s="8">
        <v>78.25</v>
      </c>
      <c r="O50" s="6" t="s">
        <v>117</v>
      </c>
      <c r="P50" s="6" t="s">
        <v>278</v>
      </c>
      <c r="Q50" s="6" t="s">
        <v>280</v>
      </c>
    </row>
    <row r="51" spans="1:19" s="6" customFormat="1" x14ac:dyDescent="0.25">
      <c r="A51" s="5">
        <v>925937306</v>
      </c>
      <c r="B51" s="4" t="str">
        <f t="shared" si="2"/>
        <v>9259373061</v>
      </c>
      <c r="C51" s="6" t="s">
        <v>162</v>
      </c>
      <c r="E51" s="6" t="s">
        <v>55</v>
      </c>
      <c r="F51" s="6">
        <v>9213293</v>
      </c>
      <c r="G51" s="6" t="s">
        <v>147</v>
      </c>
      <c r="H51" s="6" t="s">
        <v>49</v>
      </c>
      <c r="I51" s="6" t="s">
        <v>135</v>
      </c>
      <c r="J51" s="7">
        <v>45931</v>
      </c>
      <c r="K51" s="8">
        <v>78.25</v>
      </c>
      <c r="L51" s="6">
        <v>1</v>
      </c>
      <c r="M51" s="9">
        <v>1</v>
      </c>
      <c r="N51" s="8">
        <v>78.25</v>
      </c>
      <c r="O51" s="6" t="s">
        <v>117</v>
      </c>
      <c r="P51" s="6" t="s">
        <v>278</v>
      </c>
      <c r="Q51" s="6" t="s">
        <v>280</v>
      </c>
    </row>
    <row r="52" spans="1:19" s="6" customFormat="1" x14ac:dyDescent="0.25">
      <c r="A52" s="5">
        <v>932906228</v>
      </c>
      <c r="B52" s="4" t="str">
        <f t="shared" si="2"/>
        <v>9329062281</v>
      </c>
      <c r="C52" s="6" t="s">
        <v>172</v>
      </c>
      <c r="E52" s="6" t="s">
        <v>77</v>
      </c>
      <c r="F52" s="6">
        <v>9213293</v>
      </c>
      <c r="G52" s="6" t="s">
        <v>147</v>
      </c>
      <c r="H52" s="6" t="s">
        <v>49</v>
      </c>
      <c r="I52" s="6" t="s">
        <v>135</v>
      </c>
      <c r="J52" s="7">
        <v>45931</v>
      </c>
      <c r="K52" s="8">
        <v>78.25</v>
      </c>
      <c r="L52" s="6">
        <v>1</v>
      </c>
      <c r="M52" s="9">
        <v>1</v>
      </c>
      <c r="N52" s="8">
        <v>78.25</v>
      </c>
      <c r="O52" s="6" t="s">
        <v>117</v>
      </c>
      <c r="P52" s="6" t="s">
        <v>278</v>
      </c>
      <c r="Q52" s="6" t="s">
        <v>280</v>
      </c>
    </row>
    <row r="53" spans="1:19" s="6" customFormat="1" x14ac:dyDescent="0.25">
      <c r="A53" s="5">
        <v>950837863</v>
      </c>
      <c r="B53" s="4" t="str">
        <f t="shared" si="2"/>
        <v>9508378631</v>
      </c>
      <c r="C53" s="6" t="s">
        <v>189</v>
      </c>
      <c r="E53" s="6" t="s">
        <v>55</v>
      </c>
      <c r="F53" s="6">
        <v>9213293</v>
      </c>
      <c r="G53" s="6" t="s">
        <v>147</v>
      </c>
      <c r="H53" s="6" t="s">
        <v>49</v>
      </c>
      <c r="I53" s="6" t="s">
        <v>135</v>
      </c>
      <c r="J53" s="7">
        <v>45962</v>
      </c>
      <c r="K53" s="8">
        <v>52.17</v>
      </c>
      <c r="L53" s="6">
        <v>1</v>
      </c>
      <c r="M53" s="9">
        <v>1</v>
      </c>
      <c r="N53" s="8">
        <v>52.17</v>
      </c>
      <c r="O53" s="6" t="s">
        <v>190</v>
      </c>
      <c r="P53" s="6" t="s">
        <v>278</v>
      </c>
      <c r="Q53" s="6" t="s">
        <v>281</v>
      </c>
    </row>
    <row r="54" spans="1:19" s="6" customFormat="1" x14ac:dyDescent="0.25">
      <c r="A54" s="5">
        <v>131758294</v>
      </c>
      <c r="B54" s="4" t="str">
        <f t="shared" si="2"/>
        <v>1317582941</v>
      </c>
      <c r="C54" s="6" t="s">
        <v>139</v>
      </c>
      <c r="E54" s="6" t="s">
        <v>104</v>
      </c>
      <c r="F54" s="6">
        <v>18142208</v>
      </c>
      <c r="G54" s="6" t="s">
        <v>106</v>
      </c>
      <c r="H54" s="6" t="s">
        <v>49</v>
      </c>
      <c r="I54" s="6" t="s">
        <v>135</v>
      </c>
      <c r="J54" s="7">
        <v>45931</v>
      </c>
      <c r="K54" s="8">
        <v>78.25</v>
      </c>
      <c r="L54" s="6">
        <v>1</v>
      </c>
      <c r="M54" s="9">
        <v>1</v>
      </c>
      <c r="N54" s="8">
        <v>78.25</v>
      </c>
      <c r="O54" s="6" t="s">
        <v>117</v>
      </c>
      <c r="P54" s="6" t="s">
        <v>278</v>
      </c>
      <c r="Q54" s="6" t="s">
        <v>280</v>
      </c>
    </row>
    <row r="55" spans="1:19" s="6" customFormat="1" x14ac:dyDescent="0.25">
      <c r="A55" s="5" t="s">
        <v>270</v>
      </c>
      <c r="B55" s="5" t="s">
        <v>270</v>
      </c>
      <c r="C55" s="6" t="s">
        <v>197</v>
      </c>
      <c r="E55" s="6" t="s">
        <v>166</v>
      </c>
      <c r="F55" s="6">
        <v>6634327</v>
      </c>
      <c r="G55" s="6" t="s">
        <v>199</v>
      </c>
      <c r="H55" s="6" t="s">
        <v>206</v>
      </c>
      <c r="I55" s="6" t="s">
        <v>135</v>
      </c>
      <c r="J55" s="7">
        <v>45901</v>
      </c>
      <c r="N55" s="6">
        <v>-104.33</v>
      </c>
      <c r="P55" s="6" t="s">
        <v>278</v>
      </c>
      <c r="Q55" s="6" t="s">
        <v>282</v>
      </c>
    </row>
    <row r="56" spans="1:19" s="6" customFormat="1" x14ac:dyDescent="0.25">
      <c r="A56" s="5">
        <v>123275022</v>
      </c>
      <c r="B56" s="4" t="str">
        <f>CONCATENATE(A56,1)</f>
        <v>1232750221</v>
      </c>
      <c r="C56" s="6" t="s">
        <v>131</v>
      </c>
      <c r="E56" s="6" t="s">
        <v>132</v>
      </c>
      <c r="F56" s="6">
        <v>17859093</v>
      </c>
      <c r="G56" s="6" t="s">
        <v>134</v>
      </c>
      <c r="H56" s="6" t="s">
        <v>49</v>
      </c>
      <c r="I56" s="6" t="s">
        <v>135</v>
      </c>
      <c r="J56" s="7">
        <v>45931</v>
      </c>
      <c r="K56" s="8">
        <v>78.25</v>
      </c>
      <c r="L56" s="6">
        <v>1</v>
      </c>
      <c r="M56" s="9">
        <v>1</v>
      </c>
      <c r="N56" s="8">
        <v>78.25</v>
      </c>
      <c r="O56" s="6" t="s">
        <v>117</v>
      </c>
      <c r="P56" s="6" t="s">
        <v>278</v>
      </c>
      <c r="Q56" s="6" t="s">
        <v>280</v>
      </c>
      <c r="S56" s="6">
        <f>313/12*3</f>
        <v>78.25</v>
      </c>
    </row>
    <row r="57" spans="1:19" s="6" customFormat="1" x14ac:dyDescent="0.25">
      <c r="A57" s="5">
        <v>134111141</v>
      </c>
      <c r="B57" s="4" t="str">
        <f>CONCATENATE(A57,1)</f>
        <v>1341111411</v>
      </c>
      <c r="C57" s="6" t="s">
        <v>142</v>
      </c>
      <c r="E57" s="6" t="s">
        <v>132</v>
      </c>
      <c r="F57" s="6">
        <v>17859093</v>
      </c>
      <c r="G57" s="6" t="s">
        <v>134</v>
      </c>
      <c r="H57" s="6" t="s">
        <v>49</v>
      </c>
      <c r="I57" s="6" t="s">
        <v>135</v>
      </c>
      <c r="J57" s="7">
        <v>45931</v>
      </c>
      <c r="K57" s="8">
        <v>78.25</v>
      </c>
      <c r="L57" s="6">
        <v>1</v>
      </c>
      <c r="M57" s="9">
        <v>1</v>
      </c>
      <c r="N57" s="8">
        <v>78.25</v>
      </c>
      <c r="O57" s="6" t="s">
        <v>117</v>
      </c>
      <c r="P57" s="6" t="s">
        <v>278</v>
      </c>
      <c r="Q57" s="6" t="s">
        <v>280</v>
      </c>
    </row>
    <row r="58" spans="1:19" s="6" customFormat="1" x14ac:dyDescent="0.25">
      <c r="A58" s="5">
        <v>934031732</v>
      </c>
      <c r="B58" s="4" t="str">
        <f>CONCATENATE(A58,1)</f>
        <v>9340317321</v>
      </c>
      <c r="C58" s="6" t="s">
        <v>175</v>
      </c>
      <c r="E58" s="6" t="s">
        <v>46</v>
      </c>
      <c r="F58" s="6">
        <v>17859093</v>
      </c>
      <c r="G58" s="6" t="s">
        <v>134</v>
      </c>
      <c r="H58" s="6" t="s">
        <v>49</v>
      </c>
      <c r="I58" s="6" t="s">
        <v>135</v>
      </c>
      <c r="J58" s="7">
        <v>45931</v>
      </c>
      <c r="K58" s="8">
        <v>78.25</v>
      </c>
      <c r="L58" s="6">
        <v>1</v>
      </c>
      <c r="M58" s="9">
        <v>1</v>
      </c>
      <c r="N58" s="8">
        <v>78.25</v>
      </c>
      <c r="O58" s="6" t="s">
        <v>117</v>
      </c>
      <c r="P58" s="6" t="s">
        <v>278</v>
      </c>
      <c r="Q58" s="6" t="s">
        <v>280</v>
      </c>
    </row>
    <row r="59" spans="1:19" s="6" customFormat="1" x14ac:dyDescent="0.25">
      <c r="A59" s="5">
        <v>939286577</v>
      </c>
      <c r="B59" s="4" t="str">
        <f>CONCATENATE(A59,1)</f>
        <v>9392865771</v>
      </c>
      <c r="C59" s="6" t="s">
        <v>180</v>
      </c>
      <c r="E59" s="6" t="s">
        <v>77</v>
      </c>
      <c r="F59" s="6">
        <v>20724564</v>
      </c>
      <c r="G59" s="6" t="s">
        <v>79</v>
      </c>
      <c r="H59" s="6" t="s">
        <v>49</v>
      </c>
      <c r="I59" s="6" t="s">
        <v>135</v>
      </c>
      <c r="J59" s="7">
        <v>45992</v>
      </c>
      <c r="K59" s="8">
        <v>26.08</v>
      </c>
      <c r="L59" s="6">
        <v>1</v>
      </c>
      <c r="M59" s="9">
        <v>1</v>
      </c>
      <c r="N59" s="8">
        <v>26.08</v>
      </c>
      <c r="O59" s="6" t="s">
        <v>181</v>
      </c>
      <c r="P59" s="6" t="s">
        <v>278</v>
      </c>
      <c r="Q59" s="6" t="s">
        <v>279</v>
      </c>
    </row>
    <row r="60" spans="1:19" s="6" customFormat="1" x14ac:dyDescent="0.25">
      <c r="A60" s="5">
        <v>970238440</v>
      </c>
      <c r="B60" s="4" t="str">
        <f>CONCATENATE(A60,1)</f>
        <v>9702384401</v>
      </c>
      <c r="C60" s="6" t="s">
        <v>193</v>
      </c>
      <c r="E60" s="6" t="s">
        <v>77</v>
      </c>
      <c r="F60" s="6">
        <v>20724564</v>
      </c>
      <c r="G60" s="6" t="s">
        <v>79</v>
      </c>
      <c r="H60" s="6" t="s">
        <v>194</v>
      </c>
      <c r="I60" s="6" t="s">
        <v>135</v>
      </c>
      <c r="J60" s="7">
        <v>45962</v>
      </c>
      <c r="K60" s="8">
        <v>52.17</v>
      </c>
      <c r="L60" s="6">
        <v>1</v>
      </c>
      <c r="M60" s="9">
        <v>1</v>
      </c>
      <c r="N60" s="8">
        <v>52.17</v>
      </c>
      <c r="O60" s="6" t="s">
        <v>190</v>
      </c>
      <c r="P60" s="6" t="s">
        <v>278</v>
      </c>
      <c r="Q60" s="6" t="s">
        <v>281</v>
      </c>
    </row>
    <row r="61" spans="1:19" s="6" customFormat="1" x14ac:dyDescent="0.25">
      <c r="A61" s="5" t="s">
        <v>268</v>
      </c>
      <c r="B61" s="5" t="s">
        <v>268</v>
      </c>
      <c r="C61" s="6" t="s">
        <v>178</v>
      </c>
      <c r="E61" s="6" t="s">
        <v>77</v>
      </c>
      <c r="F61" s="6">
        <v>20724564</v>
      </c>
      <c r="G61" s="6" t="s">
        <v>79</v>
      </c>
      <c r="H61" s="6" t="s">
        <v>206</v>
      </c>
      <c r="I61" s="6" t="s">
        <v>135</v>
      </c>
      <c r="J61" s="7">
        <v>45962</v>
      </c>
      <c r="N61" s="6">
        <v>-52.17</v>
      </c>
      <c r="P61" s="6" t="s">
        <v>278</v>
      </c>
      <c r="Q61" s="6" t="s">
        <v>281</v>
      </c>
    </row>
    <row r="62" spans="1:19" s="6" customFormat="1" x14ac:dyDescent="0.25">
      <c r="A62" s="5">
        <v>916058492</v>
      </c>
      <c r="B62" s="4" t="str">
        <f>CONCATENATE(A62,1)</f>
        <v>9160584921</v>
      </c>
      <c r="C62" s="6" t="s">
        <v>151</v>
      </c>
      <c r="E62" s="6" t="s">
        <v>77</v>
      </c>
      <c r="F62" s="6">
        <v>19645587</v>
      </c>
      <c r="G62" s="6" t="s">
        <v>153</v>
      </c>
      <c r="H62" s="6" t="s">
        <v>49</v>
      </c>
      <c r="I62" s="6" t="s">
        <v>135</v>
      </c>
      <c r="J62" s="7">
        <v>45931</v>
      </c>
      <c r="K62" s="8">
        <v>78.25</v>
      </c>
      <c r="L62" s="6">
        <v>1</v>
      </c>
      <c r="M62" s="9">
        <v>1</v>
      </c>
      <c r="N62" s="8">
        <v>78.25</v>
      </c>
      <c r="O62" s="6" t="s">
        <v>117</v>
      </c>
      <c r="P62" s="6" t="s">
        <v>278</v>
      </c>
      <c r="Q62" s="6" t="s">
        <v>280</v>
      </c>
    </row>
    <row r="63" spans="1:19" s="6" customFormat="1" x14ac:dyDescent="0.25">
      <c r="A63" s="5" t="s">
        <v>269</v>
      </c>
      <c r="B63" s="5" t="s">
        <v>269</v>
      </c>
      <c r="C63" s="6" t="s">
        <v>185</v>
      </c>
      <c r="E63" s="6" t="s">
        <v>70</v>
      </c>
      <c r="F63" s="6">
        <v>18581063</v>
      </c>
      <c r="G63" s="6" t="s">
        <v>187</v>
      </c>
      <c r="H63" s="6" t="s">
        <v>206</v>
      </c>
      <c r="I63" s="6" t="s">
        <v>135</v>
      </c>
      <c r="J63" s="7">
        <v>45901</v>
      </c>
      <c r="N63" s="6">
        <v>-104.33</v>
      </c>
      <c r="P63" s="6" t="s">
        <v>278</v>
      </c>
      <c r="Q63" s="6" t="s">
        <v>282</v>
      </c>
      <c r="S63" s="6">
        <f>313/12*4</f>
        <v>104.33333333333333</v>
      </c>
    </row>
  </sheetData>
  <sortState xmlns:xlrd2="http://schemas.microsoft.com/office/spreadsheetml/2017/richdata2" ref="A2:AM63">
    <sortCondition ref="I2:I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2025-09-18T16:54:30Z</dcterms:created>
  <dcterms:modified xsi:type="dcterms:W3CDTF">2025-09-25T13:52:44Z</dcterms:modified>
</cp:coreProperties>
</file>