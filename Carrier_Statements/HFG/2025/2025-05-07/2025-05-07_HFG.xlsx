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5-07-25\"/>
    </mc:Choice>
  </mc:AlternateContent>
  <xr:revisionPtr revIDLastSave="0" documentId="13_ncr:1_{D915FD72-B69A-46A9-ADD2-5B420BB89C91}" xr6:coauthVersionLast="47" xr6:coauthVersionMax="47" xr10:uidLastSave="{00000000-0000-0000-0000-000000000000}"/>
  <bookViews>
    <workbookView xWindow="-57720" yWindow="-45" windowWidth="29040" windowHeight="15720" xr2:uid="{C9B79119-5BC4-492B-9786-8B1680755171}"/>
  </bookViews>
  <sheets>
    <sheet name="New Business Agent Statement - " sheetId="1" r:id="rId1"/>
    <sheet name="Bonus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2" i="2"/>
  <c r="B2" i="2"/>
  <c r="B15" i="2"/>
  <c r="B5" i="2"/>
  <c r="B24" i="2"/>
  <c r="B26" i="2"/>
  <c r="B28" i="2"/>
  <c r="B9" i="2"/>
  <c r="B17" i="2"/>
  <c r="B32" i="2"/>
  <c r="B4" i="2"/>
  <c r="B7" i="2"/>
  <c r="B21" i="2"/>
  <c r="B11" i="2"/>
  <c r="B23" i="2"/>
  <c r="B16" i="2"/>
  <c r="B12" i="2"/>
  <c r="B29" i="2"/>
  <c r="B30" i="2"/>
  <c r="B3" i="2"/>
  <c r="B13" i="2"/>
  <c r="B33" i="2"/>
  <c r="B10" i="2"/>
  <c r="B20" i="2"/>
  <c r="B27" i="2"/>
  <c r="B31" i="2"/>
  <c r="B6" i="2"/>
</calcChain>
</file>

<file path=xl/sharedStrings.xml><?xml version="1.0" encoding="utf-8"?>
<sst xmlns="http://schemas.openxmlformats.org/spreadsheetml/2006/main" count="938" uniqueCount="237">
  <si>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</si>
  <si>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</si>
  <si>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</si>
  <si>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</si>
  <si>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</si>
  <si>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</si>
  <si>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</si>
  <si>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</si>
  <si>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</si>
  <si>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</si>
  <si>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</si>
  <si>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</si>
  <si>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</si>
  <si>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</si>
  <si>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</si>
  <si>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</si>
  <si>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</si>
  <si>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</si>
  <si>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</si>
  <si>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</si>
  <si>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</si>
  <si>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</si>
  <si>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</si>
  <si>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</si>
  <si>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</si>
  <si>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</si>
  <si>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</si>
  <si>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</si>
  <si>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</si>
  <si>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</si>
  <si>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</si>
  <si>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</si>
  <si>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</si>
  <si>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</si>
  <si>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</si>
  <si>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</si>
  <si>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</si>
  <si>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</si>
  <si>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</si>
  <si>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</si>
  <si>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</si>
  <si>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</si>
  <si>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</si>
  <si>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</si>
  <si>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'00009173203K</t>
  </si>
  <si>
    <t>LYNN MALONEY</t>
  </si>
  <si>
    <t>IL</t>
  </si>
  <si>
    <t>'045638</t>
  </si>
  <si>
    <t>RICHARD YALE</t>
  </si>
  <si>
    <t>ACTIVE</t>
  </si>
  <si>
    <t>Humana MA 2019+ Level 15- 175/108</t>
  </si>
  <si>
    <t>Monthly</t>
  </si>
  <si>
    <t>AV</t>
  </si>
  <si>
    <t>'00013199675KPDP</t>
  </si>
  <si>
    <t>FRYDA CASTILLO</t>
  </si>
  <si>
    <t>'045712</t>
  </si>
  <si>
    <t>GREGORY HANSFORD</t>
  </si>
  <si>
    <t>Humana PDP 2019+ Level 15- 15/0</t>
  </si>
  <si>
    <t>'00014663843K</t>
  </si>
  <si>
    <t>RICHARD MALONEY</t>
  </si>
  <si>
    <t>'00023063791K</t>
  </si>
  <si>
    <t>TORRES GALINDO</t>
  </si>
  <si>
    <t>'043589</t>
  </si>
  <si>
    <t>JOSE TORRES</t>
  </si>
  <si>
    <t>'00023295856K</t>
  </si>
  <si>
    <t>KENN WHITTAKER</t>
  </si>
  <si>
    <t>'043682</t>
  </si>
  <si>
    <t>GREGORY TEIPEL</t>
  </si>
  <si>
    <t>'00023298890KPDP</t>
  </si>
  <si>
    <t>TERRY KOLB</t>
  </si>
  <si>
    <t>MD</t>
  </si>
  <si>
    <t>'045717</t>
  </si>
  <si>
    <t>RONALD MAX</t>
  </si>
  <si>
    <t>'00023300360K</t>
  </si>
  <si>
    <t>ANDREA KAPLAN</t>
  </si>
  <si>
    <t>'045639</t>
  </si>
  <si>
    <t>STEVEN WERNER</t>
  </si>
  <si>
    <t>'00023301792K</t>
  </si>
  <si>
    <t>JIM HARRIS</t>
  </si>
  <si>
    <t>TX</t>
  </si>
  <si>
    <t>'043678</t>
  </si>
  <si>
    <t>MATTHEW DAUGHERTY</t>
  </si>
  <si>
    <t>'00023304076K</t>
  </si>
  <si>
    <t>WILLIAM RAKES</t>
  </si>
  <si>
    <t>'043813</t>
  </si>
  <si>
    <t>VICTOR FUENTES</t>
  </si>
  <si>
    <t>'00023305563K</t>
  </si>
  <si>
    <t>FRANCES KERR</t>
  </si>
  <si>
    <t>'045622</t>
  </si>
  <si>
    <t>JACOB YALE</t>
  </si>
  <si>
    <t>'00023307783K</t>
  </si>
  <si>
    <t>ALAN KAPLAN</t>
  </si>
  <si>
    <t>'00023308477KPDP</t>
  </si>
  <si>
    <t>SUSANNE WOOD</t>
  </si>
  <si>
    <t>CO</t>
  </si>
  <si>
    <t>'043713</t>
  </si>
  <si>
    <t>JOEL LEE</t>
  </si>
  <si>
    <t>'00023308495K</t>
  </si>
  <si>
    <t>ANN HOFFMAN</t>
  </si>
  <si>
    <t>PA</t>
  </si>
  <si>
    <t>'045634</t>
  </si>
  <si>
    <t>PATRICIA LONG</t>
  </si>
  <si>
    <t>'023082726</t>
  </si>
  <si>
    <t>ELEFTERIA VRETTOU-GAVARIS</t>
  </si>
  <si>
    <t>'045605</t>
  </si>
  <si>
    <t>GARY PORTUGAL</t>
  </si>
  <si>
    <t>UHC PDP Street payable to upline - 2025 Replace</t>
  </si>
  <si>
    <t>8/12 PRORATE</t>
  </si>
  <si>
    <t>'023082726OV</t>
  </si>
  <si>
    <t>UHC PDP Direct 2024 New Initial Prorated</t>
  </si>
  <si>
    <t>'101677015400</t>
  </si>
  <si>
    <t>HOWARD GRIGGS</t>
  </si>
  <si>
    <t>MN</t>
  </si>
  <si>
    <t>'045603</t>
  </si>
  <si>
    <t>ANDREW CHOI</t>
  </si>
  <si>
    <t>Aetna MAPD NMO to GMO - 4-1-23+  Replace E-App</t>
  </si>
  <si>
    <t>'102081563000</t>
  </si>
  <si>
    <t>RAMESHCHANDRAKA SUTHAR</t>
  </si>
  <si>
    <t>'043618</t>
  </si>
  <si>
    <t>SAADIA ABDUL</t>
  </si>
  <si>
    <t>Active</t>
  </si>
  <si>
    <t>Aetna MAPD NMO to GMO - 4-1-23+  New E-App</t>
  </si>
  <si>
    <t>Aetna MA Bonus Upload 05-07-2025.xlsx</t>
  </si>
  <si>
    <t>'102093861300</t>
  </si>
  <si>
    <t>TIMMY GARCIA</t>
  </si>
  <si>
    <t>'043740</t>
  </si>
  <si>
    <t>RANDY TAPPER</t>
  </si>
  <si>
    <t>'102166131000</t>
  </si>
  <si>
    <t>DEAN BROWN</t>
  </si>
  <si>
    <t>'955775714</t>
  </si>
  <si>
    <t>DAVID MUECKE</t>
  </si>
  <si>
    <t>'043969</t>
  </si>
  <si>
    <t>STACEY PORTUGAL</t>
  </si>
  <si>
    <t>UHC MAPD Street payable to upline- 2025 Replace</t>
  </si>
  <si>
    <t>'955775714OV</t>
  </si>
  <si>
    <t>UHC MA Direct 2024 New Full</t>
  </si>
  <si>
    <t>'A04266816</t>
  </si>
  <si>
    <t>AMY MILLER</t>
  </si>
  <si>
    <t>'043585</t>
  </si>
  <si>
    <t>PETER RICHTER</t>
  </si>
  <si>
    <t>UHC AARP Med Supp PA Area 1 2024- Plan  B F G</t>
  </si>
  <si>
    <t>'A04269504</t>
  </si>
  <si>
    <t>UHC AARP Med Supp CO all plans</t>
  </si>
  <si>
    <t>'OTHER</t>
  </si>
  <si>
    <t>COMMISSIONS OTHER</t>
  </si>
  <si>
    <t>MO</t>
  </si>
  <si>
    <t>'999995</t>
  </si>
  <si>
    <t>OTHER COMMISSIONS</t>
  </si>
  <si>
    <t>BONUS</t>
  </si>
  <si>
    <t>OTHER</t>
  </si>
  <si>
    <t>AE</t>
  </si>
  <si>
    <t>SEP Bonus Upload 05-07-2025.xlsx</t>
  </si>
  <si>
    <t>CB</t>
  </si>
  <si>
    <t>'00019767533KPC</t>
  </si>
  <si>
    <t>LAURA SMITH</t>
  </si>
  <si>
    <t>NA</t>
  </si>
  <si>
    <t>'043633</t>
  </si>
  <si>
    <t>RICHARD WUENSCH</t>
  </si>
  <si>
    <t>CHARGEBACK</t>
  </si>
  <si>
    <t>Humana MA 2019+ Level 15- 175/108 Repl 2024</t>
  </si>
  <si>
    <t>'00022693103KPC</t>
  </si>
  <si>
    <t>MARIA PSARRAKOS</t>
  </si>
  <si>
    <t>'045611</t>
  </si>
  <si>
    <t>FRANK LISKOVEC</t>
  </si>
  <si>
    <t>'00022936899KPC</t>
  </si>
  <si>
    <t>GHEORGHE ZAICA</t>
  </si>
  <si>
    <t>'00022959737KAPC</t>
  </si>
  <si>
    <t>MAURILIO TAPIA</t>
  </si>
  <si>
    <t>'043758</t>
  </si>
  <si>
    <t>NASANDELGER ZANA</t>
  </si>
  <si>
    <t>Humana MAPD Street payable to upline- 2025 Replace</t>
  </si>
  <si>
    <t>'00022959737KOVPC</t>
  </si>
  <si>
    <t>'00022959737KPC</t>
  </si>
  <si>
    <t>'101782981500PC</t>
  </si>
  <si>
    <t>CINDY DEAL</t>
  </si>
  <si>
    <t>'043611</t>
  </si>
  <si>
    <t>TIMOTHY POWERS</t>
  </si>
  <si>
    <t>'102000821100PC</t>
  </si>
  <si>
    <t>LESLIE LUHRSEN</t>
  </si>
  <si>
    <t>'102150220300CB</t>
  </si>
  <si>
    <t>ALREDA BOSTICK</t>
  </si>
  <si>
    <t>NC</t>
  </si>
  <si>
    <t>'7WD6R25AJ48CB</t>
  </si>
  <si>
    <t>THOMAS DONNELLY</t>
  </si>
  <si>
    <t>Wellcare MA 2025 SGA</t>
  </si>
  <si>
    <t>'968607439OVPC</t>
  </si>
  <si>
    <t>MARCO AMAYA</t>
  </si>
  <si>
    <t>'043623</t>
  </si>
  <si>
    <t>DOLORES DUNBAR</t>
  </si>
  <si>
    <t>UHC MA Direct 2024 New Initial Prorated</t>
  </si>
  <si>
    <t>'968607439PC</t>
  </si>
  <si>
    <t>00009173203K</t>
  </si>
  <si>
    <t>00013199675KPDP</t>
  </si>
  <si>
    <t>00014663843K</t>
  </si>
  <si>
    <t>00023063791K</t>
  </si>
  <si>
    <t>00023295856K</t>
  </si>
  <si>
    <t>00023298890KPDP</t>
  </si>
  <si>
    <t>00023300360K</t>
  </si>
  <si>
    <t>00023301792K</t>
  </si>
  <si>
    <t>00023304076K</t>
  </si>
  <si>
    <t>00023305563K</t>
  </si>
  <si>
    <t>00023307783K</t>
  </si>
  <si>
    <t>00023308477KPDP</t>
  </si>
  <si>
    <t>00023308495K</t>
  </si>
  <si>
    <t>955775714OV</t>
  </si>
  <si>
    <t>A04266816</t>
  </si>
  <si>
    <t>A04269504</t>
  </si>
  <si>
    <t>00022959737KAPC</t>
  </si>
  <si>
    <t>00022959737KPC</t>
  </si>
  <si>
    <t>968607439PC</t>
  </si>
  <si>
    <t>Aetna MAPD OVR 2025</t>
  </si>
  <si>
    <t>Humana MAPD OVR 2025</t>
  </si>
  <si>
    <t>00022959737K99</t>
  </si>
  <si>
    <t>Humana MAPD 2025*</t>
  </si>
  <si>
    <t>[%/$=313][prorate=8/12]</t>
  </si>
  <si>
    <t>UHC AARP MS CO all plans</t>
  </si>
  <si>
    <t>UHC AARP MS PA Area 1 2024- Plan B F G</t>
  </si>
  <si>
    <t>UHC MAPD Ovr 2025</t>
  </si>
  <si>
    <t>UHC PDP 2025!</t>
  </si>
  <si>
    <t>Wellcare MAPD Ovr</t>
  </si>
  <si>
    <t>UHC MAPD 2025*</t>
  </si>
  <si>
    <t>00022693103K</t>
  </si>
  <si>
    <t>00022936899K</t>
  </si>
  <si>
    <t>00019767533K</t>
  </si>
  <si>
    <t>Humana PDP 2025!</t>
  </si>
  <si>
    <t>968607439OV</t>
  </si>
  <si>
    <t>7WD6R25AJ48</t>
  </si>
  <si>
    <t>00022959737KOV</t>
  </si>
  <si>
    <t>00019767533KPC</t>
  </si>
  <si>
    <t>00022693103KPC</t>
  </si>
  <si>
    <t>00022936899KPC</t>
  </si>
  <si>
    <t>00022959737KOVPC</t>
  </si>
  <si>
    <t>101782981500PC</t>
  </si>
  <si>
    <t>102000821100PC</t>
  </si>
  <si>
    <t>102150220300CB</t>
  </si>
  <si>
    <t>7WD6R25AJ48CB</t>
  </si>
  <si>
    <t>968607439OVPC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</si>
</sst>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E1C0-5430-404E-92CF-A893EBBD30C1}">
  <dimension ref="A1:AL37"/>
  <sheetViews>
    <sheetView tabSelected="1" topLeftCell="R1" workbookViewId="0">
      <selection activeCell="AB32" sqref="AB32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8.85546875" bestFit="1" customWidth="1"/>
    <col min="10" max="10" width="27.71093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1.5703125" bestFit="1" customWidth="1"/>
    <col min="17" max="17" width="12.85546875" bestFit="1" customWidth="1"/>
    <col min="18" max="18" width="49.71093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10.855468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7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45784</v>
      </c>
      <c r="B2" s="1">
        <v>45784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45778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5380406</v>
      </c>
    </row>
    <row r="3" spans="1:38" x14ac:dyDescent="0.25">
      <c r="A3" s="1">
        <v>45784</v>
      </c>
      <c r="B3" s="1">
        <v>45784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57</v>
      </c>
      <c r="S3" s="1">
        <v>45778</v>
      </c>
      <c r="U3" t="s">
        <v>51</v>
      </c>
      <c r="X3" t="s">
        <v>52</v>
      </c>
      <c r="Y3" s="2">
        <v>0</v>
      </c>
      <c r="Z3" s="2">
        <v>15</v>
      </c>
      <c r="AA3">
        <v>1</v>
      </c>
      <c r="AB3" s="3">
        <v>1</v>
      </c>
      <c r="AC3" s="2">
        <v>15</v>
      </c>
      <c r="AD3" s="3">
        <v>0</v>
      </c>
      <c r="AE3" s="2">
        <v>0</v>
      </c>
      <c r="AF3" s="2">
        <v>15</v>
      </c>
      <c r="AK3">
        <v>5380377</v>
      </c>
    </row>
    <row r="4" spans="1:38" x14ac:dyDescent="0.25">
      <c r="A4" s="1">
        <v>45784</v>
      </c>
      <c r="B4" s="1">
        <v>45784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46</v>
      </c>
      <c r="O4" t="s">
        <v>47</v>
      </c>
      <c r="P4" t="s">
        <v>48</v>
      </c>
      <c r="Q4" t="s">
        <v>49</v>
      </c>
      <c r="R4" t="s">
        <v>50</v>
      </c>
      <c r="S4" s="1">
        <v>45778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5380411</v>
      </c>
    </row>
    <row r="5" spans="1:38" x14ac:dyDescent="0.25">
      <c r="A5" s="1">
        <v>45784</v>
      </c>
      <c r="B5" s="1">
        <v>45784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46</v>
      </c>
      <c r="O5" t="s">
        <v>62</v>
      </c>
      <c r="P5" t="s">
        <v>63</v>
      </c>
      <c r="Q5" t="s">
        <v>49</v>
      </c>
      <c r="R5" t="s">
        <v>50</v>
      </c>
      <c r="S5" s="1">
        <v>45778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5380421</v>
      </c>
    </row>
    <row r="6" spans="1:38" x14ac:dyDescent="0.25">
      <c r="A6" s="1">
        <v>45784</v>
      </c>
      <c r="B6" s="1">
        <v>45784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M6" t="s">
        <v>46</v>
      </c>
      <c r="O6" t="s">
        <v>66</v>
      </c>
      <c r="P6" t="s">
        <v>67</v>
      </c>
      <c r="Q6" t="s">
        <v>49</v>
      </c>
      <c r="R6" t="s">
        <v>50</v>
      </c>
      <c r="S6" s="1">
        <v>45839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5380443</v>
      </c>
    </row>
    <row r="7" spans="1:38" x14ac:dyDescent="0.25">
      <c r="A7" s="1">
        <v>45784</v>
      </c>
      <c r="B7" s="1">
        <v>45784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68</v>
      </c>
      <c r="J7" t="s">
        <v>69</v>
      </c>
      <c r="M7" t="s">
        <v>70</v>
      </c>
      <c r="O7" t="s">
        <v>71</v>
      </c>
      <c r="P7" t="s">
        <v>72</v>
      </c>
      <c r="Q7" t="s">
        <v>49</v>
      </c>
      <c r="R7" t="s">
        <v>57</v>
      </c>
      <c r="S7" s="1">
        <v>45809</v>
      </c>
      <c r="U7" t="s">
        <v>51</v>
      </c>
      <c r="X7" t="s">
        <v>52</v>
      </c>
      <c r="Y7" s="2">
        <v>0</v>
      </c>
      <c r="Z7" s="2">
        <v>15</v>
      </c>
      <c r="AA7">
        <v>1</v>
      </c>
      <c r="AB7" s="3">
        <v>1</v>
      </c>
      <c r="AC7" s="2">
        <v>15</v>
      </c>
      <c r="AD7" s="3">
        <v>0</v>
      </c>
      <c r="AE7" s="2">
        <v>0</v>
      </c>
      <c r="AF7" s="2">
        <v>15</v>
      </c>
      <c r="AK7">
        <v>5380382</v>
      </c>
    </row>
    <row r="8" spans="1:38" x14ac:dyDescent="0.25">
      <c r="A8" s="1">
        <v>45784</v>
      </c>
      <c r="B8" s="1">
        <v>45784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46</v>
      </c>
      <c r="O8" t="s">
        <v>75</v>
      </c>
      <c r="P8" t="s">
        <v>76</v>
      </c>
      <c r="Q8" t="s">
        <v>49</v>
      </c>
      <c r="R8" t="s">
        <v>50</v>
      </c>
      <c r="S8" s="1">
        <v>45809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5380462</v>
      </c>
    </row>
    <row r="9" spans="1:38" x14ac:dyDescent="0.25">
      <c r="A9" s="1">
        <v>45784</v>
      </c>
      <c r="B9" s="1">
        <v>45784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77</v>
      </c>
      <c r="J9" t="s">
        <v>78</v>
      </c>
      <c r="M9" t="s">
        <v>79</v>
      </c>
      <c r="O9" t="s">
        <v>80</v>
      </c>
      <c r="P9" t="s">
        <v>81</v>
      </c>
      <c r="Q9" t="s">
        <v>49</v>
      </c>
      <c r="R9" t="s">
        <v>50</v>
      </c>
      <c r="S9" s="1">
        <v>45839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5380471</v>
      </c>
    </row>
    <row r="10" spans="1:38" x14ac:dyDescent="0.25">
      <c r="A10" s="1">
        <v>45784</v>
      </c>
      <c r="B10" s="1">
        <v>45784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83</v>
      </c>
      <c r="M10" t="s">
        <v>46</v>
      </c>
      <c r="O10" t="s">
        <v>84</v>
      </c>
      <c r="P10" t="s">
        <v>85</v>
      </c>
      <c r="Q10" t="s">
        <v>49</v>
      </c>
      <c r="R10" t="s">
        <v>50</v>
      </c>
      <c r="S10" s="1">
        <v>45778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5380481</v>
      </c>
    </row>
    <row r="11" spans="1:38" x14ac:dyDescent="0.25">
      <c r="A11" s="1">
        <v>45784</v>
      </c>
      <c r="B11" s="1">
        <v>45784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86</v>
      </c>
      <c r="J11" t="s">
        <v>87</v>
      </c>
      <c r="M11" t="s">
        <v>46</v>
      </c>
      <c r="O11" t="s">
        <v>88</v>
      </c>
      <c r="P11" t="s">
        <v>89</v>
      </c>
      <c r="Q11" t="s">
        <v>49</v>
      </c>
      <c r="R11" t="s">
        <v>50</v>
      </c>
      <c r="S11" s="1">
        <v>45778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5380492</v>
      </c>
    </row>
    <row r="12" spans="1:38" x14ac:dyDescent="0.25">
      <c r="A12" s="1">
        <v>45784</v>
      </c>
      <c r="B12" s="1">
        <v>45784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90</v>
      </c>
      <c r="J12" t="s">
        <v>91</v>
      </c>
      <c r="M12" t="s">
        <v>46</v>
      </c>
      <c r="O12" t="s">
        <v>47</v>
      </c>
      <c r="P12" t="s">
        <v>48</v>
      </c>
      <c r="Q12" t="s">
        <v>49</v>
      </c>
      <c r="R12" t="s">
        <v>50</v>
      </c>
      <c r="S12" s="1">
        <v>45778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5380513</v>
      </c>
    </row>
    <row r="13" spans="1:38" x14ac:dyDescent="0.25">
      <c r="A13" s="1">
        <v>45784</v>
      </c>
      <c r="B13" s="1">
        <v>45784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92</v>
      </c>
      <c r="J13" t="s">
        <v>93</v>
      </c>
      <c r="M13" t="s">
        <v>94</v>
      </c>
      <c r="O13" t="s">
        <v>95</v>
      </c>
      <c r="P13" t="s">
        <v>96</v>
      </c>
      <c r="Q13" t="s">
        <v>49</v>
      </c>
      <c r="R13" t="s">
        <v>57</v>
      </c>
      <c r="S13" s="1">
        <v>45778</v>
      </c>
      <c r="U13" t="s">
        <v>51</v>
      </c>
      <c r="X13" t="s">
        <v>52</v>
      </c>
      <c r="Y13" s="2">
        <v>0</v>
      </c>
      <c r="Z13" s="2">
        <v>15</v>
      </c>
      <c r="AA13">
        <v>1</v>
      </c>
      <c r="AB13" s="3">
        <v>1</v>
      </c>
      <c r="AC13" s="2">
        <v>15</v>
      </c>
      <c r="AD13" s="3">
        <v>0</v>
      </c>
      <c r="AE13" s="2">
        <v>0</v>
      </c>
      <c r="AF13" s="2">
        <v>15</v>
      </c>
      <c r="AK13">
        <v>5380388</v>
      </c>
    </row>
    <row r="14" spans="1:38" x14ac:dyDescent="0.25">
      <c r="A14" s="1">
        <v>45784</v>
      </c>
      <c r="B14" s="1">
        <v>45784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97</v>
      </c>
      <c r="J14" t="s">
        <v>98</v>
      </c>
      <c r="M14" t="s">
        <v>99</v>
      </c>
      <c r="O14" t="s">
        <v>100</v>
      </c>
      <c r="P14" t="s">
        <v>101</v>
      </c>
      <c r="Q14" t="s">
        <v>49</v>
      </c>
      <c r="R14" t="s">
        <v>50</v>
      </c>
      <c r="S14" s="1">
        <v>45778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5380516</v>
      </c>
    </row>
    <row r="15" spans="1:38" x14ac:dyDescent="0.25">
      <c r="A15" s="1">
        <v>45784</v>
      </c>
      <c r="B15" s="1">
        <v>45784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102</v>
      </c>
      <c r="J15" t="s">
        <v>103</v>
      </c>
      <c r="M15" t="s">
        <v>46</v>
      </c>
      <c r="O15" t="s">
        <v>104</v>
      </c>
      <c r="P15" t="s">
        <v>105</v>
      </c>
      <c r="Q15" t="s">
        <v>49</v>
      </c>
      <c r="R15" t="s">
        <v>106</v>
      </c>
      <c r="S15" s="1">
        <v>45778</v>
      </c>
      <c r="U15" t="s">
        <v>51</v>
      </c>
      <c r="X15" t="s">
        <v>52</v>
      </c>
      <c r="Y15" s="2">
        <v>0</v>
      </c>
      <c r="Z15" s="2">
        <v>36.67</v>
      </c>
      <c r="AA15">
        <v>1</v>
      </c>
      <c r="AB15" s="3">
        <v>1</v>
      </c>
      <c r="AC15" s="2">
        <v>36.67</v>
      </c>
      <c r="AD15" s="3">
        <v>0</v>
      </c>
      <c r="AE15" s="2">
        <v>0</v>
      </c>
      <c r="AF15" s="2">
        <v>36.67</v>
      </c>
      <c r="AK15">
        <v>5380560</v>
      </c>
      <c r="AL15" t="s">
        <v>107</v>
      </c>
    </row>
    <row r="16" spans="1:38" x14ac:dyDescent="0.25">
      <c r="A16" s="1">
        <v>45784</v>
      </c>
      <c r="B16" s="1">
        <v>45784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108</v>
      </c>
      <c r="J16" t="s">
        <v>103</v>
      </c>
      <c r="M16" t="s">
        <v>46</v>
      </c>
      <c r="O16" t="s">
        <v>104</v>
      </c>
      <c r="P16" t="s">
        <v>105</v>
      </c>
      <c r="Q16" t="s">
        <v>49</v>
      </c>
      <c r="R16" t="s">
        <v>109</v>
      </c>
      <c r="S16" s="1">
        <v>45778</v>
      </c>
      <c r="U16" t="s">
        <v>51</v>
      </c>
      <c r="X16" t="s">
        <v>52</v>
      </c>
      <c r="Y16" s="2">
        <v>0</v>
      </c>
      <c r="Z16" s="2">
        <v>0</v>
      </c>
      <c r="AA16">
        <v>1</v>
      </c>
      <c r="AB16" s="3">
        <v>0</v>
      </c>
      <c r="AC16" s="2">
        <v>0</v>
      </c>
      <c r="AD16" s="3">
        <v>0</v>
      </c>
      <c r="AE16" s="2">
        <v>0</v>
      </c>
      <c r="AF16" s="2">
        <v>0</v>
      </c>
      <c r="AK16">
        <v>5380561</v>
      </c>
      <c r="AL16" t="s">
        <v>107</v>
      </c>
    </row>
    <row r="17" spans="1:38" x14ac:dyDescent="0.25">
      <c r="A17" s="1">
        <v>45784</v>
      </c>
      <c r="B17" s="1">
        <v>45784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110</v>
      </c>
      <c r="J17" t="s">
        <v>111</v>
      </c>
      <c r="M17" t="s">
        <v>112</v>
      </c>
      <c r="O17" t="s">
        <v>113</v>
      </c>
      <c r="P17" t="s">
        <v>114</v>
      </c>
      <c r="Q17" t="s">
        <v>49</v>
      </c>
      <c r="R17" t="s">
        <v>115</v>
      </c>
      <c r="S17" s="1">
        <v>45778</v>
      </c>
      <c r="U17" t="s">
        <v>51</v>
      </c>
      <c r="X17" t="s">
        <v>52</v>
      </c>
      <c r="Y17" s="2">
        <v>0</v>
      </c>
      <c r="Z17" s="2">
        <v>33.33</v>
      </c>
      <c r="AA17">
        <v>1</v>
      </c>
      <c r="AB17" s="3">
        <v>1</v>
      </c>
      <c r="AC17" s="2">
        <v>33.33</v>
      </c>
      <c r="AD17" s="3">
        <v>0</v>
      </c>
      <c r="AE17" s="2">
        <v>0</v>
      </c>
      <c r="AF17" s="2">
        <v>33.33</v>
      </c>
      <c r="AK17">
        <v>5380264</v>
      </c>
      <c r="AL17" t="s">
        <v>107</v>
      </c>
    </row>
    <row r="18" spans="1:38" x14ac:dyDescent="0.25">
      <c r="A18" s="1">
        <v>45784</v>
      </c>
      <c r="B18" s="1">
        <v>45784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116</v>
      </c>
      <c r="J18" t="s">
        <v>117</v>
      </c>
      <c r="M18" t="s">
        <v>46</v>
      </c>
      <c r="O18" t="s">
        <v>118</v>
      </c>
      <c r="P18" t="s">
        <v>119</v>
      </c>
      <c r="Q18" t="s">
        <v>120</v>
      </c>
      <c r="R18" t="s">
        <v>121</v>
      </c>
      <c r="S18" s="1">
        <v>45658</v>
      </c>
      <c r="U18" t="s">
        <v>51</v>
      </c>
      <c r="X18" t="s">
        <v>52</v>
      </c>
      <c r="Y18" s="2">
        <v>0</v>
      </c>
      <c r="Z18" s="2">
        <v>33.340000000000003</v>
      </c>
      <c r="AA18">
        <v>1</v>
      </c>
      <c r="AB18" s="3">
        <v>1</v>
      </c>
      <c r="AC18" s="2">
        <v>33.340000000000003</v>
      </c>
      <c r="AD18" s="3">
        <v>0</v>
      </c>
      <c r="AE18" s="2">
        <v>0</v>
      </c>
      <c r="AF18" s="2">
        <v>33.340000000000003</v>
      </c>
      <c r="AK18">
        <v>0</v>
      </c>
      <c r="AL18" t="s">
        <v>122</v>
      </c>
    </row>
    <row r="19" spans="1:38" x14ac:dyDescent="0.25">
      <c r="A19" s="1">
        <v>45784</v>
      </c>
      <c r="B19" s="1">
        <v>45784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123</v>
      </c>
      <c r="J19" t="s">
        <v>124</v>
      </c>
      <c r="M19" t="s">
        <v>79</v>
      </c>
      <c r="O19" t="s">
        <v>125</v>
      </c>
      <c r="P19" t="s">
        <v>126</v>
      </c>
      <c r="Q19" t="s">
        <v>49</v>
      </c>
      <c r="R19" t="s">
        <v>115</v>
      </c>
      <c r="S19" s="1">
        <v>45778</v>
      </c>
      <c r="U19" t="s">
        <v>51</v>
      </c>
      <c r="X19" t="s">
        <v>52</v>
      </c>
      <c r="Y19" s="2">
        <v>0</v>
      </c>
      <c r="Z19" s="2">
        <v>33.33</v>
      </c>
      <c r="AA19">
        <v>1</v>
      </c>
      <c r="AB19" s="3">
        <v>1</v>
      </c>
      <c r="AC19" s="2">
        <v>33.33</v>
      </c>
      <c r="AD19" s="3">
        <v>0</v>
      </c>
      <c r="AE19" s="2">
        <v>0</v>
      </c>
      <c r="AF19" s="2">
        <v>33.33</v>
      </c>
      <c r="AK19">
        <v>5380271</v>
      </c>
      <c r="AL19" t="s">
        <v>107</v>
      </c>
    </row>
    <row r="20" spans="1:38" x14ac:dyDescent="0.25">
      <c r="A20" s="1">
        <v>45784</v>
      </c>
      <c r="B20" s="1">
        <v>45784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127</v>
      </c>
      <c r="J20" t="s">
        <v>128</v>
      </c>
      <c r="M20" t="s">
        <v>99</v>
      </c>
      <c r="O20" t="s">
        <v>66</v>
      </c>
      <c r="P20" t="s">
        <v>67</v>
      </c>
      <c r="Q20" t="s">
        <v>49</v>
      </c>
      <c r="R20" t="s">
        <v>115</v>
      </c>
      <c r="S20" s="1">
        <v>45778</v>
      </c>
      <c r="U20" t="s">
        <v>51</v>
      </c>
      <c r="X20" t="s">
        <v>52</v>
      </c>
      <c r="Y20" s="2">
        <v>0</v>
      </c>
      <c r="Z20" s="2">
        <v>33.33</v>
      </c>
      <c r="AA20">
        <v>1</v>
      </c>
      <c r="AB20" s="3">
        <v>1</v>
      </c>
      <c r="AC20" s="2">
        <v>33.33</v>
      </c>
      <c r="AD20" s="3">
        <v>0</v>
      </c>
      <c r="AE20" s="2">
        <v>0</v>
      </c>
      <c r="AF20" s="2">
        <v>33.33</v>
      </c>
      <c r="AK20">
        <v>5380295</v>
      </c>
      <c r="AL20" t="s">
        <v>107</v>
      </c>
    </row>
    <row r="21" spans="1:38" x14ac:dyDescent="0.25">
      <c r="A21" s="1">
        <v>45784</v>
      </c>
      <c r="B21" s="1">
        <v>45784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129</v>
      </c>
      <c r="J21" t="s">
        <v>130</v>
      </c>
      <c r="M21" t="s">
        <v>79</v>
      </c>
      <c r="O21" t="s">
        <v>131</v>
      </c>
      <c r="P21" t="s">
        <v>132</v>
      </c>
      <c r="Q21" t="s">
        <v>49</v>
      </c>
      <c r="R21" t="s">
        <v>133</v>
      </c>
      <c r="S21" s="1">
        <v>45778</v>
      </c>
      <c r="U21" t="s">
        <v>51</v>
      </c>
      <c r="X21" t="s">
        <v>52</v>
      </c>
      <c r="Y21" s="2">
        <v>0</v>
      </c>
      <c r="Z21" s="2">
        <v>208.67</v>
      </c>
      <c r="AA21">
        <v>1</v>
      </c>
      <c r="AB21" s="3">
        <v>1</v>
      </c>
      <c r="AC21" s="2">
        <v>208.67</v>
      </c>
      <c r="AD21" s="3">
        <v>0</v>
      </c>
      <c r="AE21" s="2">
        <v>0</v>
      </c>
      <c r="AF21" s="2">
        <v>208.67</v>
      </c>
      <c r="AK21">
        <v>5380589</v>
      </c>
      <c r="AL21" t="s">
        <v>107</v>
      </c>
    </row>
    <row r="22" spans="1:38" x14ac:dyDescent="0.25">
      <c r="A22" s="1">
        <v>45784</v>
      </c>
      <c r="B22" s="1">
        <v>45784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134</v>
      </c>
      <c r="J22" t="s">
        <v>130</v>
      </c>
      <c r="M22" t="s">
        <v>79</v>
      </c>
      <c r="O22" t="s">
        <v>131</v>
      </c>
      <c r="P22" t="s">
        <v>132</v>
      </c>
      <c r="Q22" t="s">
        <v>49</v>
      </c>
      <c r="R22" t="s">
        <v>135</v>
      </c>
      <c r="S22" s="1">
        <v>45778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5380590</v>
      </c>
    </row>
    <row r="23" spans="1:38" x14ac:dyDescent="0.25">
      <c r="A23" s="1">
        <v>45784</v>
      </c>
      <c r="B23" s="1">
        <v>45784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136</v>
      </c>
      <c r="J23" t="s">
        <v>137</v>
      </c>
      <c r="M23" t="s">
        <v>99</v>
      </c>
      <c r="O23" t="s">
        <v>138</v>
      </c>
      <c r="P23" t="s">
        <v>139</v>
      </c>
      <c r="Q23" t="s">
        <v>49</v>
      </c>
      <c r="R23" t="s">
        <v>140</v>
      </c>
      <c r="S23" s="1">
        <v>45778</v>
      </c>
      <c r="U23" t="s">
        <v>51</v>
      </c>
      <c r="X23" t="s">
        <v>52</v>
      </c>
      <c r="Y23" s="2">
        <v>0</v>
      </c>
      <c r="Z23" s="2">
        <v>37.5</v>
      </c>
      <c r="AA23">
        <v>9</v>
      </c>
      <c r="AB23" s="3">
        <v>1</v>
      </c>
      <c r="AC23" s="2">
        <v>337.5</v>
      </c>
      <c r="AD23" s="3">
        <v>0</v>
      </c>
      <c r="AE23" s="2">
        <v>0</v>
      </c>
      <c r="AF23" s="2">
        <v>337.5</v>
      </c>
      <c r="AK23">
        <v>5380519</v>
      </c>
    </row>
    <row r="24" spans="1:38" x14ac:dyDescent="0.25">
      <c r="A24" s="1">
        <v>45784</v>
      </c>
      <c r="B24" s="1">
        <v>45784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141</v>
      </c>
      <c r="J24" t="s">
        <v>93</v>
      </c>
      <c r="M24" t="s">
        <v>94</v>
      </c>
      <c r="O24" t="s">
        <v>95</v>
      </c>
      <c r="P24" t="s">
        <v>96</v>
      </c>
      <c r="Q24" t="s">
        <v>49</v>
      </c>
      <c r="R24" t="s">
        <v>142</v>
      </c>
      <c r="S24" s="1">
        <v>45778</v>
      </c>
      <c r="U24" t="s">
        <v>51</v>
      </c>
      <c r="X24" t="s">
        <v>52</v>
      </c>
      <c r="Y24" s="2">
        <v>0</v>
      </c>
      <c r="Z24" s="2">
        <v>28.46</v>
      </c>
      <c r="AA24">
        <v>9</v>
      </c>
      <c r="AB24" s="3">
        <v>1</v>
      </c>
      <c r="AC24" s="2">
        <v>256.14</v>
      </c>
      <c r="AD24" s="3">
        <v>0</v>
      </c>
      <c r="AE24" s="2">
        <v>0</v>
      </c>
      <c r="AF24" s="2">
        <v>256.14</v>
      </c>
      <c r="AK24">
        <v>5380520</v>
      </c>
    </row>
    <row r="25" spans="1:38" s="5" customFormat="1" x14ac:dyDescent="0.25">
      <c r="A25" s="4">
        <v>45784</v>
      </c>
      <c r="B25" s="4">
        <v>45784</v>
      </c>
      <c r="C25" s="5" t="s">
        <v>38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143</v>
      </c>
      <c r="J25" s="5" t="s">
        <v>144</v>
      </c>
      <c r="M25" s="5" t="s">
        <v>145</v>
      </c>
      <c r="O25" s="5" t="s">
        <v>146</v>
      </c>
      <c r="P25" s="5" t="s">
        <v>147</v>
      </c>
      <c r="Q25" s="5" t="s">
        <v>120</v>
      </c>
      <c r="R25" s="5" t="s">
        <v>148</v>
      </c>
      <c r="U25" s="5" t="s">
        <v>149</v>
      </c>
      <c r="X25" s="5" t="s">
        <v>150</v>
      </c>
      <c r="Y25" s="6">
        <v>0</v>
      </c>
      <c r="Z25" s="6">
        <v>30000</v>
      </c>
      <c r="AA25" s="5">
        <v>1</v>
      </c>
      <c r="AB25" s="7">
        <v>1</v>
      </c>
      <c r="AC25" s="6">
        <v>30000</v>
      </c>
      <c r="AD25" s="7">
        <v>0</v>
      </c>
      <c r="AE25" s="6">
        <v>0</v>
      </c>
      <c r="AF25" s="6">
        <v>30000</v>
      </c>
      <c r="AK25" s="5">
        <v>0</v>
      </c>
      <c r="AL25" s="5" t="s">
        <v>151</v>
      </c>
    </row>
    <row r="26" spans="1:38" x14ac:dyDescent="0.25">
      <c r="A26" s="1">
        <v>45784</v>
      </c>
      <c r="B26" s="1">
        <v>45784</v>
      </c>
      <c r="C26" t="s">
        <v>152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153</v>
      </c>
      <c r="J26" t="s">
        <v>154</v>
      </c>
      <c r="M26" t="s">
        <v>155</v>
      </c>
      <c r="O26" t="s">
        <v>156</v>
      </c>
      <c r="P26" t="s">
        <v>157</v>
      </c>
      <c r="Q26" t="s">
        <v>158</v>
      </c>
      <c r="R26" t="s">
        <v>159</v>
      </c>
      <c r="S26" s="1">
        <v>45658</v>
      </c>
      <c r="U26" t="s">
        <v>51</v>
      </c>
      <c r="X26" t="s">
        <v>52</v>
      </c>
      <c r="AF26" s="2">
        <v>108</v>
      </c>
      <c r="AG26" s="2">
        <v>0</v>
      </c>
      <c r="AJ26" s="2">
        <v>72.36</v>
      </c>
    </row>
    <row r="27" spans="1:38" x14ac:dyDescent="0.25">
      <c r="A27" s="1">
        <v>45784</v>
      </c>
      <c r="B27" s="1">
        <v>45784</v>
      </c>
      <c r="C27" t="s">
        <v>152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160</v>
      </c>
      <c r="J27" t="s">
        <v>161</v>
      </c>
      <c r="M27" t="s">
        <v>155</v>
      </c>
      <c r="O27" t="s">
        <v>162</v>
      </c>
      <c r="P27" t="s">
        <v>163</v>
      </c>
      <c r="Q27" t="s">
        <v>158</v>
      </c>
      <c r="R27" t="s">
        <v>50</v>
      </c>
      <c r="S27" s="1">
        <v>45658</v>
      </c>
      <c r="U27" t="s">
        <v>51</v>
      </c>
      <c r="X27" t="s">
        <v>52</v>
      </c>
      <c r="AF27" s="2">
        <v>175</v>
      </c>
      <c r="AG27" s="2">
        <v>0</v>
      </c>
      <c r="AJ27" s="2">
        <v>117.25</v>
      </c>
    </row>
    <row r="28" spans="1:38" x14ac:dyDescent="0.25">
      <c r="A28" s="1">
        <v>45784</v>
      </c>
      <c r="B28" s="1">
        <v>45784</v>
      </c>
      <c r="C28" t="s">
        <v>152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164</v>
      </c>
      <c r="J28" t="s">
        <v>165</v>
      </c>
      <c r="M28" t="s">
        <v>155</v>
      </c>
      <c r="O28" t="s">
        <v>47</v>
      </c>
      <c r="P28" t="s">
        <v>48</v>
      </c>
      <c r="Q28" t="s">
        <v>158</v>
      </c>
      <c r="R28" t="s">
        <v>50</v>
      </c>
      <c r="S28" s="1">
        <v>45658</v>
      </c>
      <c r="U28" t="s">
        <v>51</v>
      </c>
      <c r="X28" t="s">
        <v>52</v>
      </c>
      <c r="AF28" s="2">
        <v>175</v>
      </c>
      <c r="AG28" s="2">
        <v>0</v>
      </c>
      <c r="AJ28" s="2">
        <v>117.25</v>
      </c>
    </row>
    <row r="29" spans="1:38" x14ac:dyDescent="0.25">
      <c r="A29" s="1">
        <v>45784</v>
      </c>
      <c r="B29" s="1">
        <v>45784</v>
      </c>
      <c r="C29" t="s">
        <v>152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166</v>
      </c>
      <c r="J29" t="s">
        <v>167</v>
      </c>
      <c r="M29" t="s">
        <v>155</v>
      </c>
      <c r="O29" t="s">
        <v>168</v>
      </c>
      <c r="P29" t="s">
        <v>169</v>
      </c>
      <c r="Q29" t="s">
        <v>158</v>
      </c>
      <c r="R29" t="s">
        <v>170</v>
      </c>
      <c r="S29" s="1">
        <v>45658</v>
      </c>
      <c r="U29" t="s">
        <v>51</v>
      </c>
      <c r="X29" t="s">
        <v>52</v>
      </c>
      <c r="AF29" s="2">
        <v>313</v>
      </c>
      <c r="AG29" s="2">
        <v>0</v>
      </c>
      <c r="AJ29" s="2">
        <v>208.67</v>
      </c>
    </row>
    <row r="30" spans="1:38" x14ac:dyDescent="0.25">
      <c r="A30" s="1">
        <v>45784</v>
      </c>
      <c r="B30" s="1">
        <v>45784</v>
      </c>
      <c r="C30" t="s">
        <v>152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171</v>
      </c>
      <c r="J30" t="s">
        <v>167</v>
      </c>
      <c r="M30" t="s">
        <v>155</v>
      </c>
      <c r="O30" t="s">
        <v>168</v>
      </c>
      <c r="P30" t="s">
        <v>169</v>
      </c>
      <c r="Q30" t="s">
        <v>158</v>
      </c>
      <c r="R30" t="s">
        <v>50</v>
      </c>
      <c r="S30" s="1">
        <v>45658</v>
      </c>
      <c r="U30" t="s">
        <v>51</v>
      </c>
      <c r="X30" t="s">
        <v>52</v>
      </c>
      <c r="AF30" s="2">
        <v>175</v>
      </c>
      <c r="AG30" s="2">
        <v>0</v>
      </c>
      <c r="AJ30" s="2">
        <v>117.25</v>
      </c>
    </row>
    <row r="31" spans="1:38" x14ac:dyDescent="0.25">
      <c r="A31" s="1">
        <v>45784</v>
      </c>
      <c r="B31" s="1">
        <v>45784</v>
      </c>
      <c r="C31" t="s">
        <v>152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172</v>
      </c>
      <c r="J31" t="s">
        <v>167</v>
      </c>
      <c r="M31" t="s">
        <v>155</v>
      </c>
      <c r="O31" t="s">
        <v>168</v>
      </c>
      <c r="P31" t="s">
        <v>169</v>
      </c>
      <c r="Q31" t="s">
        <v>158</v>
      </c>
      <c r="R31" t="s">
        <v>170</v>
      </c>
      <c r="S31" s="1">
        <v>45658</v>
      </c>
      <c r="U31" t="s">
        <v>51</v>
      </c>
      <c r="X31" t="s">
        <v>52</v>
      </c>
      <c r="AF31" s="2">
        <v>313</v>
      </c>
      <c r="AG31" s="2">
        <v>0</v>
      </c>
      <c r="AJ31" s="2">
        <v>208.66</v>
      </c>
    </row>
    <row r="32" spans="1:38" x14ac:dyDescent="0.25">
      <c r="A32" s="1">
        <v>45784</v>
      </c>
      <c r="B32" s="1">
        <v>45784</v>
      </c>
      <c r="C32" t="s">
        <v>152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173</v>
      </c>
      <c r="J32" t="s">
        <v>174</v>
      </c>
      <c r="M32" t="s">
        <v>99</v>
      </c>
      <c r="O32" t="s">
        <v>175</v>
      </c>
      <c r="P32" t="s">
        <v>176</v>
      </c>
      <c r="Q32" t="s">
        <v>158</v>
      </c>
      <c r="R32" t="s">
        <v>121</v>
      </c>
      <c r="S32" s="1">
        <v>45658</v>
      </c>
      <c r="U32" t="s">
        <v>51</v>
      </c>
      <c r="X32" t="s">
        <v>52</v>
      </c>
      <c r="AF32" s="2">
        <v>50</v>
      </c>
      <c r="AG32" s="2">
        <v>0</v>
      </c>
      <c r="AJ32" s="2">
        <v>33.33</v>
      </c>
    </row>
    <row r="33" spans="1:36" x14ac:dyDescent="0.25">
      <c r="A33" s="1">
        <v>45784</v>
      </c>
      <c r="B33" s="1">
        <v>45784</v>
      </c>
      <c r="C33" t="s">
        <v>152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177</v>
      </c>
      <c r="J33" t="s">
        <v>178</v>
      </c>
      <c r="M33" t="s">
        <v>46</v>
      </c>
      <c r="O33" t="s">
        <v>104</v>
      </c>
      <c r="P33" t="s">
        <v>105</v>
      </c>
      <c r="Q33" t="s">
        <v>158</v>
      </c>
      <c r="R33" t="s">
        <v>121</v>
      </c>
      <c r="S33" s="1">
        <v>45658</v>
      </c>
      <c r="U33" t="s">
        <v>51</v>
      </c>
      <c r="X33" t="s">
        <v>52</v>
      </c>
      <c r="AF33" s="2">
        <v>50</v>
      </c>
      <c r="AG33" s="2">
        <v>0</v>
      </c>
      <c r="AJ33" s="2">
        <v>25</v>
      </c>
    </row>
    <row r="34" spans="1:36" x14ac:dyDescent="0.25">
      <c r="A34" s="1">
        <v>45784</v>
      </c>
      <c r="B34" s="1">
        <v>45784</v>
      </c>
      <c r="C34" t="s">
        <v>152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179</v>
      </c>
      <c r="J34" t="s">
        <v>180</v>
      </c>
      <c r="M34" t="s">
        <v>181</v>
      </c>
      <c r="O34" t="s">
        <v>66</v>
      </c>
      <c r="P34" t="s">
        <v>67</v>
      </c>
      <c r="Q34" t="s">
        <v>158</v>
      </c>
      <c r="R34" t="s">
        <v>121</v>
      </c>
      <c r="S34" s="1">
        <v>45748</v>
      </c>
      <c r="U34" t="s">
        <v>51</v>
      </c>
      <c r="X34" t="s">
        <v>52</v>
      </c>
      <c r="AF34" s="2">
        <v>50</v>
      </c>
      <c r="AG34" s="2">
        <v>0</v>
      </c>
      <c r="AJ34" s="2">
        <v>50</v>
      </c>
    </row>
    <row r="35" spans="1:36" x14ac:dyDescent="0.25">
      <c r="A35" s="1">
        <v>45784</v>
      </c>
      <c r="B35" s="1">
        <v>45784</v>
      </c>
      <c r="C35" t="s">
        <v>152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182</v>
      </c>
      <c r="J35" t="s">
        <v>183</v>
      </c>
      <c r="M35" t="s">
        <v>46</v>
      </c>
      <c r="O35" t="s">
        <v>62</v>
      </c>
      <c r="P35" t="s">
        <v>63</v>
      </c>
      <c r="Q35" t="s">
        <v>158</v>
      </c>
      <c r="R35" t="s">
        <v>184</v>
      </c>
      <c r="S35" s="1">
        <v>45717</v>
      </c>
      <c r="U35" t="s">
        <v>51</v>
      </c>
      <c r="X35" t="s">
        <v>52</v>
      </c>
      <c r="AF35" s="2">
        <v>150</v>
      </c>
      <c r="AG35" s="2">
        <v>0</v>
      </c>
      <c r="AJ35" s="2">
        <v>150</v>
      </c>
    </row>
    <row r="36" spans="1:36" x14ac:dyDescent="0.25">
      <c r="A36" s="1">
        <v>45784</v>
      </c>
      <c r="B36" s="1">
        <v>45784</v>
      </c>
      <c r="C36" t="s">
        <v>152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185</v>
      </c>
      <c r="J36" t="s">
        <v>186</v>
      </c>
      <c r="M36" t="s">
        <v>79</v>
      </c>
      <c r="O36" t="s">
        <v>187</v>
      </c>
      <c r="P36" t="s">
        <v>188</v>
      </c>
      <c r="Q36" t="s">
        <v>158</v>
      </c>
      <c r="R36" t="s">
        <v>189</v>
      </c>
      <c r="S36" s="1">
        <v>45748</v>
      </c>
      <c r="U36" t="s">
        <v>51</v>
      </c>
      <c r="X36" t="s">
        <v>52</v>
      </c>
      <c r="AF36" s="2">
        <v>54</v>
      </c>
      <c r="AG36" s="2">
        <v>0</v>
      </c>
      <c r="AJ36" s="2">
        <v>48</v>
      </c>
    </row>
    <row r="37" spans="1:36" x14ac:dyDescent="0.25">
      <c r="A37" s="1">
        <v>45784</v>
      </c>
      <c r="B37" s="1">
        <v>45784</v>
      </c>
      <c r="C37" t="s">
        <v>152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190</v>
      </c>
      <c r="J37" t="s">
        <v>186</v>
      </c>
      <c r="M37" t="s">
        <v>79</v>
      </c>
      <c r="O37" t="s">
        <v>187</v>
      </c>
      <c r="P37" t="s">
        <v>188</v>
      </c>
      <c r="Q37" t="s">
        <v>158</v>
      </c>
      <c r="R37" t="s">
        <v>133</v>
      </c>
      <c r="S37" s="1">
        <v>45748</v>
      </c>
      <c r="U37" t="s">
        <v>51</v>
      </c>
      <c r="X37" t="s">
        <v>52</v>
      </c>
      <c r="AF37" s="2">
        <v>234.75</v>
      </c>
      <c r="AG37" s="2">
        <v>0</v>
      </c>
      <c r="AJ37" s="2">
        <v>208.66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F9B3-6871-4972-8C40-FAC67E60288F}">
  <dimension ref="A1:AB12"/>
  <sheetViews>
    <sheetView topLeftCell="B1" workbookViewId="0">
      <selection activeCell="H4" sqref="H4"/>
    </sheetView>
  </sheetViews>
  <sheetFormatPr defaultRowHeight="15" x14ac:dyDescent="0.25"/>
  <cols>
    <col min="1" max="1" width="18.85546875" bestFit="1" customWidth="1"/>
    <col min="2" max="2" width="20.5703125" bestFit="1" customWidth="1"/>
    <col min="5" max="5" width="4.140625" bestFit="1" customWidth="1"/>
    <col min="7" max="7" width="9" bestFit="1" customWidth="1"/>
    <col min="8" max="8" width="20.5703125" bestFit="1" customWidth="1"/>
    <col min="9" max="9" width="12.85546875" bestFit="1" customWidth="1"/>
    <col min="10" max="10" width="49.7109375" bestFit="1" customWidth="1"/>
    <col min="11" max="11" width="8.7109375" bestFit="1" customWidth="1"/>
    <col min="12" max="12" width="10.85546875" bestFit="1" customWidth="1"/>
    <col min="14" max="14" width="8.42578125" bestFit="1" customWidth="1"/>
    <col min="17" max="17" width="3.5703125" bestFit="1" customWidth="1"/>
    <col min="18" max="18" width="6.28515625" bestFit="1" customWidth="1"/>
    <col min="19" max="19" width="10.85546875" bestFit="1" customWidth="1"/>
    <col min="20" max="20" width="2" bestFit="1" customWidth="1"/>
    <col min="21" max="21" width="8.140625" bestFit="1" customWidth="1"/>
    <col min="22" max="22" width="10.85546875" bestFit="1" customWidth="1"/>
    <col min="23" max="23" width="6.140625" bestFit="1" customWidth="1"/>
    <col min="24" max="25" width="6.28515625" bestFit="1" customWidth="1"/>
    <col min="28" max="28" width="8.28515625" bestFit="1" customWidth="1"/>
    <col min="29" max="29" width="2" bestFit="1" customWidth="1"/>
    <col min="30" max="30" width="31.28515625" bestFit="1" customWidth="1"/>
  </cols>
  <sheetData>
    <row r="1" spans="1:28" x14ac:dyDescent="0.25">
      <c r="A1" t="s">
        <v>228</v>
      </c>
      <c r="B1" t="s">
        <v>154</v>
      </c>
      <c r="E1" t="s">
        <v>155</v>
      </c>
      <c r="G1">
        <v>17774994</v>
      </c>
      <c r="H1" t="s">
        <v>188</v>
      </c>
      <c r="I1" t="s">
        <v>158</v>
      </c>
      <c r="J1" t="s">
        <v>189</v>
      </c>
      <c r="K1" s="1">
        <v>45748</v>
      </c>
      <c r="L1" s="2">
        <v>108</v>
      </c>
      <c r="N1" t="s">
        <v>51</v>
      </c>
      <c r="Q1" t="s">
        <v>52</v>
      </c>
      <c r="Y1" s="2">
        <v>0</v>
      </c>
      <c r="AB1" s="2">
        <v>72.36</v>
      </c>
    </row>
    <row r="2" spans="1:28" x14ac:dyDescent="0.25">
      <c r="A2" t="s">
        <v>229</v>
      </c>
      <c r="B2" t="s">
        <v>161</v>
      </c>
      <c r="E2" t="s">
        <v>155</v>
      </c>
      <c r="G2">
        <v>17774994</v>
      </c>
      <c r="H2" t="s">
        <v>188</v>
      </c>
      <c r="I2" t="s">
        <v>158</v>
      </c>
      <c r="J2" t="s">
        <v>133</v>
      </c>
      <c r="K2" s="1">
        <v>45748</v>
      </c>
      <c r="L2" s="2">
        <v>175</v>
      </c>
      <c r="N2" t="s">
        <v>51</v>
      </c>
      <c r="Q2" t="s">
        <v>52</v>
      </c>
      <c r="Y2" s="2">
        <v>0</v>
      </c>
      <c r="AB2" s="2">
        <v>117.25</v>
      </c>
    </row>
    <row r="3" spans="1:28" x14ac:dyDescent="0.25">
      <c r="A3" t="s">
        <v>230</v>
      </c>
      <c r="B3" t="s">
        <v>165</v>
      </c>
      <c r="E3" t="s">
        <v>155</v>
      </c>
      <c r="G3">
        <v>8814784</v>
      </c>
      <c r="H3" t="s">
        <v>163</v>
      </c>
      <c r="I3" t="s">
        <v>158</v>
      </c>
      <c r="J3" t="s">
        <v>50</v>
      </c>
      <c r="K3" s="1">
        <v>45658</v>
      </c>
      <c r="L3" s="2">
        <v>175</v>
      </c>
      <c r="N3" t="s">
        <v>51</v>
      </c>
      <c r="Q3" t="s">
        <v>52</v>
      </c>
      <c r="Y3" s="2">
        <v>0</v>
      </c>
      <c r="AB3" s="2">
        <v>117.25</v>
      </c>
    </row>
    <row r="4" spans="1:28" x14ac:dyDescent="0.25">
      <c r="A4" t="s">
        <v>207</v>
      </c>
      <c r="B4" t="s">
        <v>167</v>
      </c>
      <c r="E4" t="s">
        <v>155</v>
      </c>
      <c r="G4">
        <v>9213293</v>
      </c>
      <c r="H4" t="s">
        <v>105</v>
      </c>
      <c r="I4" t="s">
        <v>158</v>
      </c>
      <c r="J4" t="s">
        <v>121</v>
      </c>
      <c r="K4" s="1">
        <v>45658</v>
      </c>
      <c r="L4" s="2">
        <v>313</v>
      </c>
      <c r="N4" t="s">
        <v>51</v>
      </c>
      <c r="Q4" t="s">
        <v>52</v>
      </c>
      <c r="Y4" s="2">
        <v>0</v>
      </c>
      <c r="AB4" s="2">
        <v>208.67</v>
      </c>
    </row>
    <row r="5" spans="1:28" x14ac:dyDescent="0.25">
      <c r="A5" t="s">
        <v>231</v>
      </c>
      <c r="B5" t="s">
        <v>167</v>
      </c>
      <c r="E5" t="s">
        <v>155</v>
      </c>
      <c r="G5">
        <v>8307933</v>
      </c>
      <c r="H5" t="s">
        <v>67</v>
      </c>
      <c r="I5" t="s">
        <v>158</v>
      </c>
      <c r="J5" t="s">
        <v>121</v>
      </c>
      <c r="K5" s="1">
        <v>45748</v>
      </c>
      <c r="L5" s="2">
        <v>175</v>
      </c>
      <c r="N5" t="s">
        <v>51</v>
      </c>
      <c r="Q5" t="s">
        <v>52</v>
      </c>
      <c r="Y5" s="2">
        <v>0</v>
      </c>
      <c r="AB5" s="2">
        <v>117.25</v>
      </c>
    </row>
    <row r="6" spans="1:28" x14ac:dyDescent="0.25">
      <c r="A6" t="s">
        <v>208</v>
      </c>
      <c r="B6" t="s">
        <v>167</v>
      </c>
      <c r="E6" t="s">
        <v>155</v>
      </c>
      <c r="G6">
        <v>20212926</v>
      </c>
      <c r="H6" t="s">
        <v>63</v>
      </c>
      <c r="I6" t="s">
        <v>158</v>
      </c>
      <c r="J6" t="s">
        <v>184</v>
      </c>
      <c r="K6" s="1">
        <v>45717</v>
      </c>
      <c r="L6" s="2">
        <v>313</v>
      </c>
      <c r="N6" t="s">
        <v>51</v>
      </c>
      <c r="Q6" t="s">
        <v>52</v>
      </c>
      <c r="Y6" s="2">
        <v>0</v>
      </c>
      <c r="AB6" s="2">
        <v>208.66</v>
      </c>
    </row>
    <row r="7" spans="1:28" x14ac:dyDescent="0.25">
      <c r="A7" t="s">
        <v>232</v>
      </c>
      <c r="B7" t="s">
        <v>174</v>
      </c>
      <c r="E7" t="s">
        <v>99</v>
      </c>
      <c r="G7">
        <v>20220688</v>
      </c>
      <c r="H7" t="s">
        <v>169</v>
      </c>
      <c r="I7" t="s">
        <v>158</v>
      </c>
      <c r="J7" t="s">
        <v>170</v>
      </c>
      <c r="K7" s="1">
        <v>45658</v>
      </c>
      <c r="L7" s="2">
        <v>50</v>
      </c>
      <c r="N7" t="s">
        <v>51</v>
      </c>
      <c r="Q7" t="s">
        <v>52</v>
      </c>
      <c r="Y7" s="2">
        <v>0</v>
      </c>
      <c r="AB7" s="2">
        <v>33.33</v>
      </c>
    </row>
    <row r="8" spans="1:28" x14ac:dyDescent="0.25">
      <c r="A8" t="s">
        <v>233</v>
      </c>
      <c r="B8" t="s">
        <v>178</v>
      </c>
      <c r="E8" t="s">
        <v>46</v>
      </c>
      <c r="G8">
        <v>20220688</v>
      </c>
      <c r="H8" t="s">
        <v>169</v>
      </c>
      <c r="I8" t="s">
        <v>158</v>
      </c>
      <c r="J8" t="s">
        <v>50</v>
      </c>
      <c r="K8" s="1">
        <v>45658</v>
      </c>
      <c r="L8" s="2">
        <v>50</v>
      </c>
      <c r="N8" t="s">
        <v>51</v>
      </c>
      <c r="Q8" t="s">
        <v>52</v>
      </c>
      <c r="Y8" s="2">
        <v>0</v>
      </c>
      <c r="AB8" s="2">
        <v>25</v>
      </c>
    </row>
    <row r="9" spans="1:28" x14ac:dyDescent="0.25">
      <c r="A9" t="s">
        <v>234</v>
      </c>
      <c r="B9" t="s">
        <v>180</v>
      </c>
      <c r="E9" t="s">
        <v>181</v>
      </c>
      <c r="G9">
        <v>20220688</v>
      </c>
      <c r="H9" t="s">
        <v>169</v>
      </c>
      <c r="I9" t="s">
        <v>158</v>
      </c>
      <c r="J9" t="s">
        <v>170</v>
      </c>
      <c r="K9" s="1">
        <v>45658</v>
      </c>
      <c r="L9" s="2">
        <v>50</v>
      </c>
      <c r="N9" t="s">
        <v>51</v>
      </c>
      <c r="Q9" t="s">
        <v>52</v>
      </c>
      <c r="Y9" s="2">
        <v>0</v>
      </c>
      <c r="AB9" s="2">
        <v>50</v>
      </c>
    </row>
    <row r="10" spans="1:28" x14ac:dyDescent="0.25">
      <c r="A10" t="s">
        <v>235</v>
      </c>
      <c r="B10" t="s">
        <v>183</v>
      </c>
      <c r="E10" t="s">
        <v>46</v>
      </c>
      <c r="G10">
        <v>19615078</v>
      </c>
      <c r="H10" t="s">
        <v>157</v>
      </c>
      <c r="I10" t="s">
        <v>158</v>
      </c>
      <c r="J10" t="s">
        <v>159</v>
      </c>
      <c r="K10" s="1">
        <v>45658</v>
      </c>
      <c r="L10" s="2">
        <v>150</v>
      </c>
      <c r="N10" t="s">
        <v>51</v>
      </c>
      <c r="Q10" t="s">
        <v>52</v>
      </c>
      <c r="Y10" s="2">
        <v>0</v>
      </c>
      <c r="AB10" s="2">
        <v>150</v>
      </c>
    </row>
    <row r="11" spans="1:28" x14ac:dyDescent="0.25">
      <c r="A11" t="s">
        <v>236</v>
      </c>
      <c r="B11" t="s">
        <v>186</v>
      </c>
      <c r="E11" t="s">
        <v>79</v>
      </c>
      <c r="G11">
        <v>16633294</v>
      </c>
      <c r="H11" t="s">
        <v>48</v>
      </c>
      <c r="I11" t="s">
        <v>158</v>
      </c>
      <c r="J11" t="s">
        <v>50</v>
      </c>
      <c r="K11" s="1">
        <v>45658</v>
      </c>
      <c r="L11" s="2">
        <v>54</v>
      </c>
      <c r="N11" t="s">
        <v>51</v>
      </c>
      <c r="Q11" t="s">
        <v>52</v>
      </c>
      <c r="Y11" s="2">
        <v>0</v>
      </c>
      <c r="AB11" s="2">
        <v>48</v>
      </c>
    </row>
    <row r="12" spans="1:28" x14ac:dyDescent="0.25">
      <c r="A12" t="s">
        <v>209</v>
      </c>
      <c r="B12" t="s">
        <v>186</v>
      </c>
      <c r="E12" t="s">
        <v>79</v>
      </c>
      <c r="G12">
        <v>17886092</v>
      </c>
      <c r="H12" t="s">
        <v>176</v>
      </c>
      <c r="I12" t="s">
        <v>158</v>
      </c>
      <c r="J12" t="s">
        <v>121</v>
      </c>
      <c r="K12" s="1">
        <v>45658</v>
      </c>
      <c r="L12" s="2">
        <v>234.75</v>
      </c>
      <c r="N12" t="s">
        <v>51</v>
      </c>
      <c r="Q12" t="s">
        <v>52</v>
      </c>
      <c r="Y12" s="2">
        <v>0</v>
      </c>
      <c r="AB12" s="2">
        <v>208.66</v>
      </c>
    </row>
  </sheetData>
  <sortState xmlns:xlrd2="http://schemas.microsoft.com/office/spreadsheetml/2017/richdata2" ref="G2:K12">
    <sortCondition ref="H1:H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D001-6340-4A60-AAC1-7D692C5FFC1B}">
  <dimension ref="A1:O35"/>
  <sheetViews>
    <sheetView topLeftCell="D1" workbookViewId="0">
      <selection activeCell="O2" sqref="O2:O22"/>
    </sheetView>
  </sheetViews>
  <sheetFormatPr defaultRowHeight="15" x14ac:dyDescent="0.25"/>
  <cols>
    <col min="1" max="1" width="15.7109375" bestFit="1" customWidth="1"/>
    <col min="2" max="2" width="15.7109375" customWidth="1"/>
    <col min="3" max="3" width="27.7109375" bestFit="1" customWidth="1"/>
    <col min="6" max="6" width="21.5703125" bestFit="1" customWidth="1"/>
    <col min="7" max="7" width="49.7109375" bestFit="1" customWidth="1"/>
    <col min="9" max="9" width="14.5703125" bestFit="1" customWidth="1"/>
    <col min="10" max="10" width="15.85546875" bestFit="1" customWidth="1"/>
    <col min="12" max="12" width="17.42578125" bestFit="1" customWidth="1"/>
    <col min="13" max="13" width="19.85546875" customWidth="1"/>
    <col min="14" max="14" width="23.28515625" bestFit="1" customWidth="1"/>
    <col min="15" max="15" width="23.140625" bestFit="1" customWidth="1"/>
  </cols>
  <sheetData>
    <row r="1" spans="1:15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20</v>
      </c>
      <c r="J1" t="s">
        <v>25</v>
      </c>
      <c r="K1" t="s">
        <v>26</v>
      </c>
      <c r="L1" t="s">
        <v>28</v>
      </c>
      <c r="M1" t="s">
        <v>37</v>
      </c>
    </row>
    <row r="2" spans="1:15" x14ac:dyDescent="0.25">
      <c r="A2" s="8" t="s">
        <v>205</v>
      </c>
      <c r="B2" s="8" t="str">
        <f>CONCATENATE(A2,1)</f>
        <v>A042668161</v>
      </c>
      <c r="C2" t="s">
        <v>137</v>
      </c>
      <c r="D2" t="s">
        <v>99</v>
      </c>
      <c r="E2">
        <v>16509456</v>
      </c>
      <c r="F2" t="s">
        <v>139</v>
      </c>
      <c r="G2" t="s">
        <v>140</v>
      </c>
      <c r="H2" s="1">
        <v>45778</v>
      </c>
      <c r="I2" t="s">
        <v>51</v>
      </c>
      <c r="J2" s="2">
        <v>37.5</v>
      </c>
      <c r="K2">
        <v>9</v>
      </c>
      <c r="L2" s="2">
        <v>337.5</v>
      </c>
      <c r="N2" t="s">
        <v>216</v>
      </c>
    </row>
    <row r="3" spans="1:15" x14ac:dyDescent="0.25">
      <c r="A3" s="8" t="s">
        <v>194</v>
      </c>
      <c r="B3" s="8" t="str">
        <f>CONCATENATE(A3,0)</f>
        <v>00023063791K0</v>
      </c>
      <c r="C3" t="s">
        <v>61</v>
      </c>
      <c r="D3" t="s">
        <v>46</v>
      </c>
      <c r="E3">
        <v>20212926</v>
      </c>
      <c r="F3" t="s">
        <v>63</v>
      </c>
      <c r="G3" t="s">
        <v>50</v>
      </c>
      <c r="H3" s="1">
        <v>45778</v>
      </c>
      <c r="I3" t="s">
        <v>51</v>
      </c>
      <c r="J3" s="2">
        <v>175</v>
      </c>
      <c r="K3">
        <v>1</v>
      </c>
      <c r="L3" s="2">
        <v>175</v>
      </c>
      <c r="N3" t="s">
        <v>211</v>
      </c>
    </row>
    <row r="4" spans="1:15" x14ac:dyDescent="0.25">
      <c r="A4" s="8" t="s">
        <v>226</v>
      </c>
      <c r="B4" s="8" t="str">
        <f>CONCATENATE(A4,0)</f>
        <v>7WD6R25AJ480</v>
      </c>
      <c r="C4" t="s">
        <v>183</v>
      </c>
      <c r="D4" t="s">
        <v>46</v>
      </c>
      <c r="E4">
        <v>20212926</v>
      </c>
      <c r="F4" t="s">
        <v>63</v>
      </c>
      <c r="G4" t="s">
        <v>184</v>
      </c>
      <c r="H4" s="1">
        <v>45717</v>
      </c>
      <c r="I4" t="s">
        <v>51</v>
      </c>
      <c r="L4">
        <v>-150</v>
      </c>
      <c r="N4" t="s">
        <v>219</v>
      </c>
    </row>
    <row r="5" spans="1:15" x14ac:dyDescent="0.25">
      <c r="A5" s="8">
        <v>101782981500</v>
      </c>
      <c r="B5" s="8" t="str">
        <f>CONCATENATE(A5,9)</f>
        <v>1017829815009</v>
      </c>
      <c r="C5" t="s">
        <v>174</v>
      </c>
      <c r="D5" t="s">
        <v>99</v>
      </c>
      <c r="E5">
        <v>17886092</v>
      </c>
      <c r="F5" t="s">
        <v>176</v>
      </c>
      <c r="G5" t="s">
        <v>121</v>
      </c>
      <c r="H5" s="1">
        <v>45658</v>
      </c>
      <c r="I5" t="s">
        <v>51</v>
      </c>
      <c r="L5">
        <v>-33.33</v>
      </c>
      <c r="N5" t="s">
        <v>210</v>
      </c>
    </row>
    <row r="6" spans="1:15" x14ac:dyDescent="0.25">
      <c r="A6" s="8">
        <v>102081563000</v>
      </c>
      <c r="B6" s="8" t="str">
        <f>CONCATENATE(A6,0)</f>
        <v>1020815630000</v>
      </c>
      <c r="C6" t="s">
        <v>117</v>
      </c>
      <c r="D6" t="s">
        <v>46</v>
      </c>
      <c r="E6">
        <v>19396223</v>
      </c>
      <c r="F6" t="s">
        <v>119</v>
      </c>
      <c r="G6" t="s">
        <v>121</v>
      </c>
      <c r="H6" s="1">
        <v>45658</v>
      </c>
      <c r="I6" t="s">
        <v>51</v>
      </c>
      <c r="J6" s="2">
        <v>33.340000000000003</v>
      </c>
      <c r="K6">
        <v>1</v>
      </c>
      <c r="L6" s="2">
        <v>33.340000000000003</v>
      </c>
      <c r="M6" t="s">
        <v>122</v>
      </c>
      <c r="N6" t="s">
        <v>210</v>
      </c>
    </row>
    <row r="7" spans="1:15" x14ac:dyDescent="0.25">
      <c r="A7" s="8" t="s">
        <v>225</v>
      </c>
      <c r="B7" s="8" t="str">
        <f>CONCATENATE(A7,0)</f>
        <v>968607439OV0</v>
      </c>
      <c r="C7" t="s">
        <v>186</v>
      </c>
      <c r="D7" t="s">
        <v>79</v>
      </c>
      <c r="E7">
        <v>17774994</v>
      </c>
      <c r="F7" t="s">
        <v>188</v>
      </c>
      <c r="G7" t="s">
        <v>189</v>
      </c>
      <c r="H7" s="1">
        <v>45748</v>
      </c>
      <c r="I7" t="s">
        <v>51</v>
      </c>
      <c r="L7">
        <v>-48</v>
      </c>
      <c r="N7" t="s">
        <v>217</v>
      </c>
    </row>
    <row r="8" spans="1:15" x14ac:dyDescent="0.25">
      <c r="A8" s="8" t="s">
        <v>209</v>
      </c>
      <c r="B8" s="8">
        <v>9686074391</v>
      </c>
      <c r="C8" t="s">
        <v>186</v>
      </c>
      <c r="D8" t="s">
        <v>79</v>
      </c>
      <c r="E8">
        <v>17774994</v>
      </c>
      <c r="F8" t="s">
        <v>188</v>
      </c>
      <c r="G8" t="s">
        <v>133</v>
      </c>
      <c r="H8" s="1">
        <v>45748</v>
      </c>
      <c r="I8" t="s">
        <v>51</v>
      </c>
      <c r="L8">
        <v>-208.66</v>
      </c>
      <c r="N8" t="s">
        <v>220</v>
      </c>
      <c r="O8" t="s">
        <v>214</v>
      </c>
    </row>
    <row r="9" spans="1:15" x14ac:dyDescent="0.25">
      <c r="A9" s="8" t="s">
        <v>223</v>
      </c>
      <c r="B9" s="8" t="str">
        <f>CONCATENATE(A9,9)</f>
        <v>00019767533K9</v>
      </c>
      <c r="C9" t="s">
        <v>154</v>
      </c>
      <c r="D9" t="s">
        <v>155</v>
      </c>
      <c r="E9">
        <v>19615078</v>
      </c>
      <c r="F9" t="s">
        <v>157</v>
      </c>
      <c r="G9" t="s">
        <v>159</v>
      </c>
      <c r="H9" s="1">
        <v>45658</v>
      </c>
      <c r="I9" t="s">
        <v>51</v>
      </c>
      <c r="L9">
        <v>-72.36</v>
      </c>
      <c r="N9" t="s">
        <v>211</v>
      </c>
    </row>
    <row r="10" spans="1:15" x14ac:dyDescent="0.25">
      <c r="A10" s="8" t="s">
        <v>198</v>
      </c>
      <c r="B10" s="8" t="str">
        <f>CONCATENATE(A10,0)</f>
        <v>00023301792K0</v>
      </c>
      <c r="C10" t="s">
        <v>78</v>
      </c>
      <c r="D10" t="s">
        <v>79</v>
      </c>
      <c r="E10">
        <v>1706194</v>
      </c>
      <c r="F10" t="s">
        <v>81</v>
      </c>
      <c r="G10" t="s">
        <v>50</v>
      </c>
      <c r="H10" s="1">
        <v>45839</v>
      </c>
      <c r="I10" t="s">
        <v>51</v>
      </c>
      <c r="J10" s="2">
        <v>175</v>
      </c>
      <c r="K10">
        <v>1</v>
      </c>
      <c r="L10" s="2">
        <v>175</v>
      </c>
      <c r="N10" t="s">
        <v>211</v>
      </c>
    </row>
    <row r="11" spans="1:15" x14ac:dyDescent="0.25">
      <c r="A11" s="8">
        <v>102150220300</v>
      </c>
      <c r="B11" s="8" t="str">
        <f>CONCATENATE(A11,0)</f>
        <v>1021502203000</v>
      </c>
      <c r="C11" t="s">
        <v>180</v>
      </c>
      <c r="D11" t="s">
        <v>181</v>
      </c>
      <c r="E11">
        <v>8307933</v>
      </c>
      <c r="F11" t="s">
        <v>67</v>
      </c>
      <c r="G11" t="s">
        <v>121</v>
      </c>
      <c r="H11" s="1">
        <v>45748</v>
      </c>
      <c r="I11" t="s">
        <v>51</v>
      </c>
      <c r="L11">
        <v>-50</v>
      </c>
      <c r="N11" t="s">
        <v>210</v>
      </c>
    </row>
    <row r="12" spans="1:15" x14ac:dyDescent="0.25">
      <c r="A12" s="8">
        <v>102166131000</v>
      </c>
      <c r="B12" s="8" t="str">
        <f>CONCATENATE(A12,0)</f>
        <v>1021661310000</v>
      </c>
      <c r="C12" t="s">
        <v>128</v>
      </c>
      <c r="D12" t="s">
        <v>99</v>
      </c>
      <c r="E12">
        <v>8307933</v>
      </c>
      <c r="F12" t="s">
        <v>67</v>
      </c>
      <c r="G12" t="s">
        <v>115</v>
      </c>
      <c r="H12" s="1">
        <v>45778</v>
      </c>
      <c r="I12" t="s">
        <v>51</v>
      </c>
      <c r="J12" s="2">
        <v>33.33</v>
      </c>
      <c r="K12">
        <v>1</v>
      </c>
      <c r="L12" s="2">
        <v>33.33</v>
      </c>
      <c r="M12" t="s">
        <v>107</v>
      </c>
      <c r="N12" t="s">
        <v>210</v>
      </c>
    </row>
    <row r="13" spans="1:15" x14ac:dyDescent="0.25">
      <c r="A13" s="8" t="s">
        <v>195</v>
      </c>
      <c r="B13" s="8" t="str">
        <f>CONCATENATE(A13,0)</f>
        <v>00023295856K0</v>
      </c>
      <c r="C13" t="s">
        <v>65</v>
      </c>
      <c r="D13" t="s">
        <v>46</v>
      </c>
      <c r="E13">
        <v>8307933</v>
      </c>
      <c r="F13" t="s">
        <v>67</v>
      </c>
      <c r="G13" t="s">
        <v>50</v>
      </c>
      <c r="H13" s="1">
        <v>45839</v>
      </c>
      <c r="I13" t="s">
        <v>51</v>
      </c>
      <c r="J13" s="2">
        <v>175</v>
      </c>
      <c r="K13">
        <v>1</v>
      </c>
      <c r="L13" s="2">
        <v>175</v>
      </c>
      <c r="N13" t="s">
        <v>211</v>
      </c>
    </row>
    <row r="14" spans="1:15" x14ac:dyDescent="0.25">
      <c r="A14" s="8" t="s">
        <v>202</v>
      </c>
      <c r="B14" s="8" t="s">
        <v>202</v>
      </c>
      <c r="C14" t="s">
        <v>93</v>
      </c>
      <c r="D14" t="s">
        <v>94</v>
      </c>
      <c r="E14">
        <v>6634327</v>
      </c>
      <c r="F14" t="s">
        <v>96</v>
      </c>
      <c r="G14" t="s">
        <v>57</v>
      </c>
      <c r="H14" s="1">
        <v>45778</v>
      </c>
      <c r="I14" t="s">
        <v>51</v>
      </c>
      <c r="J14" s="2">
        <v>15</v>
      </c>
      <c r="K14">
        <v>1</v>
      </c>
      <c r="L14" s="2">
        <v>15</v>
      </c>
      <c r="N14" t="s">
        <v>224</v>
      </c>
    </row>
    <row r="15" spans="1:15" x14ac:dyDescent="0.25">
      <c r="A15" s="8" t="s">
        <v>206</v>
      </c>
      <c r="B15" s="8" t="str">
        <f>CONCATENATE(A15,1)</f>
        <v>A042695041</v>
      </c>
      <c r="C15" t="s">
        <v>93</v>
      </c>
      <c r="D15" t="s">
        <v>94</v>
      </c>
      <c r="E15">
        <v>6634327</v>
      </c>
      <c r="F15" t="s">
        <v>96</v>
      </c>
      <c r="G15" t="s">
        <v>142</v>
      </c>
      <c r="H15" s="1">
        <v>45778</v>
      </c>
      <c r="I15" t="s">
        <v>51</v>
      </c>
      <c r="J15" s="2">
        <v>28.46</v>
      </c>
      <c r="K15">
        <v>9</v>
      </c>
      <c r="L15" s="2">
        <v>256.14</v>
      </c>
      <c r="N15" t="s">
        <v>215</v>
      </c>
    </row>
    <row r="16" spans="1:15" x14ac:dyDescent="0.25">
      <c r="A16" s="8">
        <v>102093861300</v>
      </c>
      <c r="B16" s="8" t="str">
        <f>CONCATENATE(A16,0)</f>
        <v>1020938613000</v>
      </c>
      <c r="C16" t="s">
        <v>124</v>
      </c>
      <c r="D16" t="s">
        <v>79</v>
      </c>
      <c r="E16">
        <v>18935660</v>
      </c>
      <c r="F16" t="s">
        <v>126</v>
      </c>
      <c r="G16" t="s">
        <v>115</v>
      </c>
      <c r="H16" s="1">
        <v>45778</v>
      </c>
      <c r="I16" t="s">
        <v>51</v>
      </c>
      <c r="J16" s="2">
        <v>33.33</v>
      </c>
      <c r="K16">
        <v>1</v>
      </c>
      <c r="L16" s="2">
        <v>33.33</v>
      </c>
      <c r="M16" t="s">
        <v>107</v>
      </c>
      <c r="N16" t="s">
        <v>210</v>
      </c>
    </row>
    <row r="17" spans="1:15" x14ac:dyDescent="0.25">
      <c r="A17" s="8" t="s">
        <v>227</v>
      </c>
      <c r="B17" s="8" t="str">
        <f>CONCATENATE(A17,9)</f>
        <v>00022959737KOV9</v>
      </c>
      <c r="C17" t="s">
        <v>167</v>
      </c>
      <c r="D17" t="s">
        <v>155</v>
      </c>
      <c r="E17">
        <v>20220688</v>
      </c>
      <c r="F17" t="s">
        <v>169</v>
      </c>
      <c r="G17" t="s">
        <v>50</v>
      </c>
      <c r="H17" s="1">
        <v>45658</v>
      </c>
      <c r="I17" t="s">
        <v>51</v>
      </c>
      <c r="L17">
        <v>-117.25</v>
      </c>
      <c r="N17" t="s">
        <v>211</v>
      </c>
    </row>
    <row r="18" spans="1:15" x14ac:dyDescent="0.25">
      <c r="A18" s="8" t="s">
        <v>207</v>
      </c>
      <c r="B18" s="8" t="s">
        <v>212</v>
      </c>
      <c r="C18" t="s">
        <v>167</v>
      </c>
      <c r="D18" t="s">
        <v>155</v>
      </c>
      <c r="E18">
        <v>20220688</v>
      </c>
      <c r="F18" t="s">
        <v>169</v>
      </c>
      <c r="G18" t="s">
        <v>170</v>
      </c>
      <c r="H18" s="1">
        <v>45658</v>
      </c>
      <c r="I18" t="s">
        <v>51</v>
      </c>
      <c r="L18">
        <v>-208.67</v>
      </c>
      <c r="N18" t="s">
        <v>213</v>
      </c>
      <c r="O18" t="s">
        <v>214</v>
      </c>
    </row>
    <row r="19" spans="1:15" x14ac:dyDescent="0.25">
      <c r="A19" s="8" t="s">
        <v>208</v>
      </c>
      <c r="B19" s="8" t="s">
        <v>212</v>
      </c>
      <c r="C19" t="s">
        <v>167</v>
      </c>
      <c r="D19" t="s">
        <v>155</v>
      </c>
      <c r="E19">
        <v>20220688</v>
      </c>
      <c r="F19" t="s">
        <v>169</v>
      </c>
      <c r="G19" t="s">
        <v>170</v>
      </c>
      <c r="H19" s="1">
        <v>45658</v>
      </c>
      <c r="I19" t="s">
        <v>51</v>
      </c>
      <c r="L19">
        <v>-208.66</v>
      </c>
      <c r="N19" t="s">
        <v>213</v>
      </c>
      <c r="O19" t="s">
        <v>214</v>
      </c>
    </row>
    <row r="20" spans="1:15" x14ac:dyDescent="0.25">
      <c r="A20" s="8" t="s">
        <v>199</v>
      </c>
      <c r="B20" s="8" t="str">
        <f>CONCATENATE(A20,0)</f>
        <v>00023304076K0</v>
      </c>
      <c r="C20" t="s">
        <v>83</v>
      </c>
      <c r="D20" t="s">
        <v>46</v>
      </c>
      <c r="E20">
        <v>21283956</v>
      </c>
      <c r="F20" t="s">
        <v>85</v>
      </c>
      <c r="G20" t="s">
        <v>50</v>
      </c>
      <c r="H20" s="1">
        <v>45778</v>
      </c>
      <c r="I20" t="s">
        <v>51</v>
      </c>
      <c r="J20" s="2">
        <v>175</v>
      </c>
      <c r="K20">
        <v>1</v>
      </c>
      <c r="L20" s="2">
        <v>175</v>
      </c>
      <c r="N20" t="s">
        <v>211</v>
      </c>
    </row>
    <row r="21" spans="1:15" x14ac:dyDescent="0.25">
      <c r="A21" s="8" t="s">
        <v>204</v>
      </c>
      <c r="B21" s="8" t="str">
        <f>CONCATENATE(A21,0)</f>
        <v>955775714OV0</v>
      </c>
      <c r="C21" t="s">
        <v>130</v>
      </c>
      <c r="D21" t="s">
        <v>79</v>
      </c>
      <c r="E21">
        <v>19645587</v>
      </c>
      <c r="F21" t="s">
        <v>132</v>
      </c>
      <c r="G21" t="s">
        <v>135</v>
      </c>
      <c r="H21" s="1">
        <v>45778</v>
      </c>
      <c r="I21" t="s">
        <v>51</v>
      </c>
      <c r="J21" s="2">
        <v>175</v>
      </c>
      <c r="K21">
        <v>1</v>
      </c>
      <c r="L21" s="2">
        <v>175</v>
      </c>
      <c r="N21" t="s">
        <v>217</v>
      </c>
    </row>
    <row r="22" spans="1:15" x14ac:dyDescent="0.25">
      <c r="A22" s="8">
        <v>955775714</v>
      </c>
      <c r="B22" s="8" t="str">
        <f>CONCATENATE(A22,1)</f>
        <v>9557757141</v>
      </c>
      <c r="C22" t="s">
        <v>130</v>
      </c>
      <c r="D22" t="s">
        <v>79</v>
      </c>
      <c r="E22">
        <v>19645587</v>
      </c>
      <c r="F22" t="s">
        <v>132</v>
      </c>
      <c r="G22" t="s">
        <v>133</v>
      </c>
      <c r="H22" s="1">
        <v>45778</v>
      </c>
      <c r="I22" t="s">
        <v>51</v>
      </c>
      <c r="J22" s="2">
        <v>208.67</v>
      </c>
      <c r="K22">
        <v>1</v>
      </c>
      <c r="L22" s="2">
        <v>208.67</v>
      </c>
      <c r="M22" t="s">
        <v>107</v>
      </c>
      <c r="N22" t="s">
        <v>220</v>
      </c>
      <c r="O22" t="s">
        <v>214</v>
      </c>
    </row>
    <row r="23" spans="1:15" x14ac:dyDescent="0.25">
      <c r="A23" s="8">
        <v>101677015400</v>
      </c>
      <c r="B23" s="8" t="str">
        <f>CONCATENATE(A23,0)</f>
        <v>1016770154000</v>
      </c>
      <c r="C23" t="s">
        <v>111</v>
      </c>
      <c r="D23" t="s">
        <v>112</v>
      </c>
      <c r="E23">
        <v>7470776</v>
      </c>
      <c r="F23" t="s">
        <v>114</v>
      </c>
      <c r="G23" t="s">
        <v>115</v>
      </c>
      <c r="H23" s="1">
        <v>45778</v>
      </c>
      <c r="I23" t="s">
        <v>51</v>
      </c>
      <c r="J23" s="2">
        <v>33.33</v>
      </c>
      <c r="K23">
        <v>1</v>
      </c>
      <c r="L23" s="2">
        <v>33.33</v>
      </c>
      <c r="M23" t="s">
        <v>107</v>
      </c>
      <c r="N23" t="s">
        <v>210</v>
      </c>
    </row>
    <row r="24" spans="1:15" x14ac:dyDescent="0.25">
      <c r="A24" s="8">
        <v>102000821100</v>
      </c>
      <c r="B24" s="8" t="str">
        <f>CONCATENATE(A24,9)</f>
        <v>1020008211009</v>
      </c>
      <c r="C24" t="s">
        <v>178</v>
      </c>
      <c r="D24" t="s">
        <v>46</v>
      </c>
      <c r="E24">
        <v>9213293</v>
      </c>
      <c r="F24" t="s">
        <v>105</v>
      </c>
      <c r="G24" t="s">
        <v>121</v>
      </c>
      <c r="H24" s="1">
        <v>45658</v>
      </c>
      <c r="I24" t="s">
        <v>51</v>
      </c>
      <c r="L24">
        <v>-25</v>
      </c>
      <c r="N24" t="s">
        <v>210</v>
      </c>
    </row>
    <row r="25" spans="1:15" x14ac:dyDescent="0.25">
      <c r="A25" s="8">
        <v>23082726</v>
      </c>
      <c r="B25" s="8" t="str">
        <f>CONCATENATE(A25,1)</f>
        <v>230827261</v>
      </c>
      <c r="C25" t="s">
        <v>103</v>
      </c>
      <c r="D25" t="s">
        <v>46</v>
      </c>
      <c r="E25">
        <v>9213293</v>
      </c>
      <c r="F25" t="s">
        <v>105</v>
      </c>
      <c r="G25" t="s">
        <v>106</v>
      </c>
      <c r="H25" s="1">
        <v>45778</v>
      </c>
      <c r="I25" t="s">
        <v>51</v>
      </c>
      <c r="J25" s="2">
        <v>36.67</v>
      </c>
      <c r="K25">
        <v>1</v>
      </c>
      <c r="L25" s="2">
        <v>36.67</v>
      </c>
      <c r="M25" t="s">
        <v>107</v>
      </c>
      <c r="N25" t="s">
        <v>218</v>
      </c>
    </row>
    <row r="26" spans="1:15" x14ac:dyDescent="0.25">
      <c r="A26" s="8" t="s">
        <v>221</v>
      </c>
      <c r="B26" s="8" t="str">
        <f>CONCATENATE(A26,9)</f>
        <v>00022693103K9</v>
      </c>
      <c r="C26" t="s">
        <v>161</v>
      </c>
      <c r="D26" t="s">
        <v>155</v>
      </c>
      <c r="E26">
        <v>8814784</v>
      </c>
      <c r="F26" t="s">
        <v>163</v>
      </c>
      <c r="G26" t="s">
        <v>50</v>
      </c>
      <c r="H26" s="1">
        <v>45658</v>
      </c>
      <c r="I26" t="s">
        <v>51</v>
      </c>
      <c r="L26">
        <v>-117.25</v>
      </c>
      <c r="N26" t="s">
        <v>211</v>
      </c>
    </row>
    <row r="27" spans="1:15" x14ac:dyDescent="0.25">
      <c r="A27" s="8" t="s">
        <v>200</v>
      </c>
      <c r="B27" s="8" t="str">
        <f>CONCATENATE(A27,0)</f>
        <v>00023305563K0</v>
      </c>
      <c r="C27" t="s">
        <v>87</v>
      </c>
      <c r="D27" t="s">
        <v>46</v>
      </c>
      <c r="E27">
        <v>18754354</v>
      </c>
      <c r="F27" t="s">
        <v>89</v>
      </c>
      <c r="G27" t="s">
        <v>50</v>
      </c>
      <c r="H27" s="1">
        <v>45778</v>
      </c>
      <c r="I27" t="s">
        <v>51</v>
      </c>
      <c r="J27" s="2">
        <v>175</v>
      </c>
      <c r="K27">
        <v>1</v>
      </c>
      <c r="L27" s="2">
        <v>175</v>
      </c>
      <c r="N27" t="s">
        <v>211</v>
      </c>
    </row>
    <row r="28" spans="1:15" x14ac:dyDescent="0.25">
      <c r="A28" s="8" t="s">
        <v>203</v>
      </c>
      <c r="B28" s="8" t="str">
        <f>CONCATENATE(A28,0)</f>
        <v>00023308495K0</v>
      </c>
      <c r="C28" t="s">
        <v>98</v>
      </c>
      <c r="D28" t="s">
        <v>99</v>
      </c>
      <c r="E28">
        <v>18794740</v>
      </c>
      <c r="F28" t="s">
        <v>101</v>
      </c>
      <c r="G28" t="s">
        <v>50</v>
      </c>
      <c r="H28" s="1">
        <v>45778</v>
      </c>
      <c r="I28" t="s">
        <v>51</v>
      </c>
      <c r="J28" s="2">
        <v>175</v>
      </c>
      <c r="K28">
        <v>1</v>
      </c>
      <c r="L28" s="2">
        <v>175</v>
      </c>
      <c r="N28" t="s">
        <v>211</v>
      </c>
    </row>
    <row r="29" spans="1:15" x14ac:dyDescent="0.25">
      <c r="A29" s="8" t="s">
        <v>191</v>
      </c>
      <c r="B29" s="8" t="str">
        <f>CONCATENATE(A29,0)</f>
        <v>00009173203K0</v>
      </c>
      <c r="C29" t="s">
        <v>45</v>
      </c>
      <c r="D29" t="s">
        <v>46</v>
      </c>
      <c r="E29">
        <v>16633294</v>
      </c>
      <c r="F29" t="s">
        <v>48</v>
      </c>
      <c r="G29" t="s">
        <v>50</v>
      </c>
      <c r="H29" s="1">
        <v>45778</v>
      </c>
      <c r="I29" t="s">
        <v>51</v>
      </c>
      <c r="J29" s="2">
        <v>175</v>
      </c>
      <c r="K29">
        <v>1</v>
      </c>
      <c r="L29" s="2">
        <v>175</v>
      </c>
      <c r="N29" t="s">
        <v>211</v>
      </c>
    </row>
    <row r="30" spans="1:15" x14ac:dyDescent="0.25">
      <c r="A30" s="8" t="s">
        <v>193</v>
      </c>
      <c r="B30" s="8" t="str">
        <f>CONCATENATE(A30,0)</f>
        <v>00014663843K0</v>
      </c>
      <c r="C30" t="s">
        <v>59</v>
      </c>
      <c r="D30" t="s">
        <v>46</v>
      </c>
      <c r="E30">
        <v>16633294</v>
      </c>
      <c r="F30" t="s">
        <v>48</v>
      </c>
      <c r="G30" t="s">
        <v>50</v>
      </c>
      <c r="H30" s="1">
        <v>45778</v>
      </c>
      <c r="I30" t="s">
        <v>51</v>
      </c>
      <c r="J30" s="2">
        <v>175</v>
      </c>
      <c r="K30">
        <v>1</v>
      </c>
      <c r="L30" s="2">
        <v>175</v>
      </c>
      <c r="N30" t="s">
        <v>211</v>
      </c>
    </row>
    <row r="31" spans="1:15" x14ac:dyDescent="0.25">
      <c r="A31" s="8" t="s">
        <v>201</v>
      </c>
      <c r="B31" s="8" t="str">
        <f>CONCATENATE(A31,0)</f>
        <v>00023307783K0</v>
      </c>
      <c r="C31" t="s">
        <v>91</v>
      </c>
      <c r="D31" t="s">
        <v>46</v>
      </c>
      <c r="E31">
        <v>16633294</v>
      </c>
      <c r="F31" t="s">
        <v>48</v>
      </c>
      <c r="G31" t="s">
        <v>50</v>
      </c>
      <c r="H31" s="1">
        <v>45778</v>
      </c>
      <c r="I31" t="s">
        <v>51</v>
      </c>
      <c r="J31" s="2">
        <v>175</v>
      </c>
      <c r="K31">
        <v>1</v>
      </c>
      <c r="L31" s="2">
        <v>175</v>
      </c>
      <c r="N31" t="s">
        <v>211</v>
      </c>
    </row>
    <row r="32" spans="1:15" x14ac:dyDescent="0.25">
      <c r="A32" s="8" t="s">
        <v>222</v>
      </c>
      <c r="B32" s="8" t="str">
        <f>CONCATENATE(A32,9)</f>
        <v>00022936899K9</v>
      </c>
      <c r="C32" t="s">
        <v>165</v>
      </c>
      <c r="D32" t="s">
        <v>155</v>
      </c>
      <c r="E32">
        <v>16633294</v>
      </c>
      <c r="F32" t="s">
        <v>48</v>
      </c>
      <c r="G32" t="s">
        <v>50</v>
      </c>
      <c r="H32" s="1">
        <v>45658</v>
      </c>
      <c r="I32" t="s">
        <v>51</v>
      </c>
      <c r="L32">
        <v>-117.25</v>
      </c>
      <c r="N32" t="s">
        <v>211</v>
      </c>
    </row>
    <row r="33" spans="1:14" x14ac:dyDescent="0.25">
      <c r="A33" s="8" t="s">
        <v>197</v>
      </c>
      <c r="B33" s="8" t="str">
        <f>CONCATENATE(A33,0)</f>
        <v>00023300360K0</v>
      </c>
      <c r="C33" t="s">
        <v>74</v>
      </c>
      <c r="D33" t="s">
        <v>46</v>
      </c>
      <c r="E33">
        <v>19481808</v>
      </c>
      <c r="F33" t="s">
        <v>76</v>
      </c>
      <c r="G33" t="s">
        <v>50</v>
      </c>
      <c r="H33" s="1">
        <v>45809</v>
      </c>
      <c r="I33" t="s">
        <v>51</v>
      </c>
      <c r="J33" s="2">
        <v>175</v>
      </c>
      <c r="K33">
        <v>1</v>
      </c>
      <c r="L33" s="2">
        <v>175</v>
      </c>
      <c r="N33" t="s">
        <v>211</v>
      </c>
    </row>
    <row r="34" spans="1:14" x14ac:dyDescent="0.25">
      <c r="A34" s="8" t="s">
        <v>192</v>
      </c>
      <c r="B34" s="8" t="s">
        <v>192</v>
      </c>
      <c r="C34" t="s">
        <v>54</v>
      </c>
      <c r="D34" t="s">
        <v>46</v>
      </c>
      <c r="E34">
        <v>17094718</v>
      </c>
      <c r="F34" t="s">
        <v>56</v>
      </c>
      <c r="G34" t="s">
        <v>57</v>
      </c>
      <c r="H34" s="1">
        <v>45778</v>
      </c>
      <c r="I34" t="s">
        <v>51</v>
      </c>
      <c r="J34" s="2">
        <v>15</v>
      </c>
      <c r="K34">
        <v>1</v>
      </c>
      <c r="L34" s="2">
        <v>15</v>
      </c>
      <c r="N34" t="s">
        <v>224</v>
      </c>
    </row>
    <row r="35" spans="1:14" x14ac:dyDescent="0.25">
      <c r="A35" s="8" t="s">
        <v>196</v>
      </c>
      <c r="B35" s="8" t="s">
        <v>196</v>
      </c>
      <c r="C35" t="s">
        <v>69</v>
      </c>
      <c r="D35" t="s">
        <v>70</v>
      </c>
      <c r="E35">
        <v>5442438</v>
      </c>
      <c r="F35" t="s">
        <v>72</v>
      </c>
      <c r="G35" t="s">
        <v>57</v>
      </c>
      <c r="H35" s="1">
        <v>45809</v>
      </c>
      <c r="I35" t="s">
        <v>51</v>
      </c>
      <c r="J35" s="2">
        <v>15</v>
      </c>
      <c r="K35">
        <v>1</v>
      </c>
      <c r="L35" s="2">
        <v>15</v>
      </c>
      <c r="N35" t="s">
        <v>224</v>
      </c>
    </row>
  </sheetData>
  <sortState xmlns:xlrd2="http://schemas.microsoft.com/office/spreadsheetml/2017/richdata2" ref="A2:AM35">
    <sortCondition ref="E2:E35"/>
  </sortState>
  <pageMargins left="0.7" right="0.7" top="0.75" bottom="0.75" header="0.3" footer="0.3"/>
  <ignoredErrors>
    <ignoredError sqref="B5:B3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Bonus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2025-05-07T16:01:23Z</dcterms:created>
  <dcterms:modified xsi:type="dcterms:W3CDTF">2025-05-13T14:10:59Z</dcterms:modified>
</cp:coreProperties>
</file>