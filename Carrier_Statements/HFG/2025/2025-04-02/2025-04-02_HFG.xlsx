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4-2-25\"/>
    </mc:Choice>
  </mc:AlternateContent>
  <xr:revisionPtr revIDLastSave="0" documentId="13_ncr:1_{EE70DA9B-D966-46C4-804F-21E43C01C3EC}" xr6:coauthVersionLast="47" xr6:coauthVersionMax="47" xr10:uidLastSave="{00000000-0000-0000-0000-000000000000}"/>
  <bookViews>
    <workbookView xWindow="28680" yWindow="-2520" windowWidth="29040" windowHeight="16440" activeTab="2" xr2:uid="{69446A22-2775-4500-91A4-146975B38546}"/>
  </bookViews>
  <sheets>
    <sheet name="New Business Agent Statement - " sheetId="1" r:id="rId1"/>
    <sheet name="Sheet1" sheetId="2" r:id="rId2"/>
    <sheet name="On 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0" i="2" l="1"/>
  <c r="B99" i="2"/>
  <c r="B96" i="2"/>
  <c r="B9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7" i="2"/>
  <c r="B98" i="2"/>
  <c r="B2" i="2"/>
</calcChain>
</file>

<file path=xl/sharedStrings.xml><?xml version="1.0" encoding="utf-8"?>
<sst xmlns="http://schemas.openxmlformats.org/spreadsheetml/2006/main" count="2068" uniqueCount="390">
  <si>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</si>
  <si>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</si>
  <si>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</si>
  <si>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</si>
  <si>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</si>
  <si>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</si>
  <si>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</si>
  <si>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</si>
  <si>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</si>
  <si>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</si>
  <si>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</si>
  <si>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</si>
  <si>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</si>
  <si>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</si>
  <si>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</si>
  <si>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</si>
  <si>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</si>
  <si>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</si>
  <si>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</si>
  <si>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</si>
  <si>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</si>
  <si>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</si>
  <si>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</si>
  <si>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</si>
  <si>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</si>
  <si>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</si>
  <si>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</si>
  <si>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</si>
  <si>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</si>
  <si>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</si>
  <si>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</si>
  <si>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</si>
  <si>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</si>
  <si>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</si>
  <si>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</si>
  <si>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</si>
  <si>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</si>
  <si>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</si>
  <si>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</si>
  <si>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</si>
  <si>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</si>
  <si>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</si>
  <si>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</si>
  <si>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</si>
  <si>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'00002045751K</t>
  </si>
  <si>
    <t>TONY HOUSTON</t>
  </si>
  <si>
    <t>NA</t>
  </si>
  <si>
    <t>'045605</t>
  </si>
  <si>
    <t>GARY PORTUGAL</t>
  </si>
  <si>
    <t>ACTIVE</t>
  </si>
  <si>
    <t>Humana MA 2019+ Level 15- 175/108</t>
  </si>
  <si>
    <t>Monthly</t>
  </si>
  <si>
    <t>AV</t>
  </si>
  <si>
    <t>'00015132666K</t>
  </si>
  <si>
    <t>ELIA GONZALEZ</t>
  </si>
  <si>
    <t>'045709</t>
  </si>
  <si>
    <t>ESTHER HERRERA-LARSEN</t>
  </si>
  <si>
    <t>'00017407420K</t>
  </si>
  <si>
    <t>WILLIAM HUTMACHER</t>
  </si>
  <si>
    <t>'043644</t>
  </si>
  <si>
    <t>TIMOTHY HODGMAN</t>
  </si>
  <si>
    <t>Humana MA 2019+ Level 15- 175/108 Repl 2024</t>
  </si>
  <si>
    <t>'00018370093K</t>
  </si>
  <si>
    <t>MICHAEL ROMIG</t>
  </si>
  <si>
    <t>'00018884961K</t>
  </si>
  <si>
    <t>CYNTHIA LACEY</t>
  </si>
  <si>
    <t>'045621</t>
  </si>
  <si>
    <t>HEATHER GESKE</t>
  </si>
  <si>
    <t>'00023200099K</t>
  </si>
  <si>
    <t>SUSANA CHUA</t>
  </si>
  <si>
    <t>'045638</t>
  </si>
  <si>
    <t>RICHARD YALE</t>
  </si>
  <si>
    <t>'00023200313K</t>
  </si>
  <si>
    <t>RICHARD DEHN</t>
  </si>
  <si>
    <t>'041686</t>
  </si>
  <si>
    <t>DALE WALENGA</t>
  </si>
  <si>
    <t>'00023200368K</t>
  </si>
  <si>
    <t>MICHAEL MELCHERT</t>
  </si>
  <si>
    <t>'045612</t>
  </si>
  <si>
    <t>ANTHONY HUNSBERGER</t>
  </si>
  <si>
    <t>'00023200476K</t>
  </si>
  <si>
    <t>JODY SUSMAN</t>
  </si>
  <si>
    <t>'043637</t>
  </si>
  <si>
    <t>CHRISTIAN TAUGNER</t>
  </si>
  <si>
    <t>'00023202122K</t>
  </si>
  <si>
    <t>STEVEN SETRON</t>
  </si>
  <si>
    <t>'045601</t>
  </si>
  <si>
    <t>CAROL FOLEY</t>
  </si>
  <si>
    <t>'00023203793K</t>
  </si>
  <si>
    <t>DON BLACKER</t>
  </si>
  <si>
    <t>'043682</t>
  </si>
  <si>
    <t>GREGORY TEIPEL</t>
  </si>
  <si>
    <t>'00023203836K</t>
  </si>
  <si>
    <t>LEE DO</t>
  </si>
  <si>
    <t>'00023204136K</t>
  </si>
  <si>
    <t>SUSAN HICKMAN</t>
  </si>
  <si>
    <t>'043713</t>
  </si>
  <si>
    <t>JOEL LEE</t>
  </si>
  <si>
    <t>'00023208350K</t>
  </si>
  <si>
    <t>HARRY RICHER</t>
  </si>
  <si>
    <t>'043714</t>
  </si>
  <si>
    <t>BRIAN STROHMAN</t>
  </si>
  <si>
    <t>'00023212957K</t>
  </si>
  <si>
    <t>LARRY WILKENS</t>
  </si>
  <si>
    <t>'00023213469K</t>
  </si>
  <si>
    <t>DONALD THOMAS</t>
  </si>
  <si>
    <t>'043689</t>
  </si>
  <si>
    <t>ANNE MARIE KOZACHECK</t>
  </si>
  <si>
    <t>'00023213919KPDP</t>
  </si>
  <si>
    <t>SANDRA BOWIE</t>
  </si>
  <si>
    <t>'043701</t>
  </si>
  <si>
    <t>ARNOLD ALOFF</t>
  </si>
  <si>
    <t>Humana PDP 2019+ Level 15- 15/0</t>
  </si>
  <si>
    <t>'101048016300</t>
  </si>
  <si>
    <t>DENNIS ORBIN</t>
  </si>
  <si>
    <t>PA</t>
  </si>
  <si>
    <t>'043768</t>
  </si>
  <si>
    <t>BRAIN RAUGHTER</t>
  </si>
  <si>
    <t>Aetna MAPD NMO to GMO - 4-1-23+  Replace E-App</t>
  </si>
  <si>
    <t>9/12 PRORATE</t>
  </si>
  <si>
    <t>'101453540800</t>
  </si>
  <si>
    <t>ROBERT DHUSE</t>
  </si>
  <si>
    <t>IL</t>
  </si>
  <si>
    <t>'101463901900</t>
  </si>
  <si>
    <t>TETE SORMALAH</t>
  </si>
  <si>
    <t>'043743</t>
  </si>
  <si>
    <t>FREDERICK GBASSANA</t>
  </si>
  <si>
    <t>'101500585100</t>
  </si>
  <si>
    <t>ROBERT KRAMER</t>
  </si>
  <si>
    <t>'045603</t>
  </si>
  <si>
    <t>ANDREW CHOI</t>
  </si>
  <si>
    <t>'101508889100</t>
  </si>
  <si>
    <t>RENE SCHUBERT</t>
  </si>
  <si>
    <t>CO</t>
  </si>
  <si>
    <t>Aetna MAPD NMO to GMO - 4-1-23+  New E-App</t>
  </si>
  <si>
    <t>'101930278400</t>
  </si>
  <si>
    <t>MARK SHAUGHNESSY</t>
  </si>
  <si>
    <t>SC</t>
  </si>
  <si>
    <t>'101968935100</t>
  </si>
  <si>
    <t>JAMES HAUG</t>
  </si>
  <si>
    <t>'102146276300</t>
  </si>
  <si>
    <t>PAMELA KRUMSEE</t>
  </si>
  <si>
    <t>'045604</t>
  </si>
  <si>
    <t>JEFFREY HORN</t>
  </si>
  <si>
    <t>'102146307700</t>
  </si>
  <si>
    <t>RICHARD KRUMSEE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</si>
  <si>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</si>
  <si>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</si>
  <si>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</si>
  <si>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</si>
  <si>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</si>
  <si>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</si>
  <si>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'043686</t>
  </si>
  <si>
    <t>SCOTT AGUGLIA</t>
  </si>
  <si>
    <t>'102148368500</t>
  </si>
  <si>
    <t>BRADLEY BARNEY</t>
  </si>
  <si>
    <t>AL</t>
  </si>
  <si>
    <t>'102148379700</t>
  </si>
  <si>
    <t>PAMELA FREGOSO</t>
  </si>
  <si>
    <t>'043969</t>
  </si>
  <si>
    <t>STACEY PORTUGAL</t>
  </si>
  <si>
    <t>'102148711800</t>
  </si>
  <si>
    <t>RAYMOND SELVA</t>
  </si>
  <si>
    <t>'043679</t>
  </si>
  <si>
    <t>DEBORAH INSKIPT</t>
  </si>
  <si>
    <t>'102150214700</t>
  </si>
  <si>
    <t>BARBARA AULERT</t>
  </si>
  <si>
    <t>'045622</t>
  </si>
  <si>
    <t>JACOB YALE</t>
  </si>
  <si>
    <t>'102150220300</t>
  </si>
  <si>
    <t>ALREDA BOSTICK</t>
  </si>
  <si>
    <t>NC</t>
  </si>
  <si>
    <t>'102150493500</t>
  </si>
  <si>
    <t>TODD PAYNTER</t>
  </si>
  <si>
    <t>FL</t>
  </si>
  <si>
    <t>'102150535500</t>
  </si>
  <si>
    <t>ROBERT SLANEY</t>
  </si>
  <si>
    <t>'102150541300</t>
  </si>
  <si>
    <t>TONY BURKS</t>
  </si>
  <si>
    <t>TX</t>
  </si>
  <si>
    <t>'102151195700</t>
  </si>
  <si>
    <t>PAMELA MONTGOMERY</t>
  </si>
  <si>
    <t>KS</t>
  </si>
  <si>
    <t>'102151874000</t>
  </si>
  <si>
    <t>RHODA GWION</t>
  </si>
  <si>
    <t>'102152260000</t>
  </si>
  <si>
    <t>SEINAH KOLLIE</t>
  </si>
  <si>
    <t>DE</t>
  </si>
  <si>
    <t>'102152552400</t>
  </si>
  <si>
    <t>KEVIN WILKER</t>
  </si>
  <si>
    <t>'102152554700</t>
  </si>
  <si>
    <t>LAURIE CARLSON</t>
  </si>
  <si>
    <t>'102152584900</t>
  </si>
  <si>
    <t>PAULA STONE BOND</t>
  </si>
  <si>
    <t>GA</t>
  </si>
  <si>
    <t>'102152902400</t>
  </si>
  <si>
    <t>DARLA DAVIS</t>
  </si>
  <si>
    <t>'043786</t>
  </si>
  <si>
    <t>MARGARET SMITH</t>
  </si>
  <si>
    <t>'102153409000</t>
  </si>
  <si>
    <t>HOBART KENTON</t>
  </si>
  <si>
    <t>'102153840400</t>
  </si>
  <si>
    <t>SUZANNE BRADLEY</t>
  </si>
  <si>
    <t>MI</t>
  </si>
  <si>
    <t>'102156720800</t>
  </si>
  <si>
    <t>DONALD JOHNSON</t>
  </si>
  <si>
    <t>WI</t>
  </si>
  <si>
    <t>7/12 PRORATE</t>
  </si>
  <si>
    <t>'102157190800</t>
  </si>
  <si>
    <t>RICHARD BERGER</t>
  </si>
  <si>
    <t>'102157214200</t>
  </si>
  <si>
    <t>STEPHANIE SMITH</t>
  </si>
  <si>
    <t>'045632</t>
  </si>
  <si>
    <t>BARRY SCHUMANN</t>
  </si>
  <si>
    <t>'102157543300</t>
  </si>
  <si>
    <t>TONI DHUSE</t>
  </si>
  <si>
    <t>'102157554700</t>
  </si>
  <si>
    <t>CONNIE EPLIN</t>
  </si>
  <si>
    <t>'102157613500</t>
  </si>
  <si>
    <t>BARBARA BEIL</t>
  </si>
  <si>
    <t>'102157692500</t>
  </si>
  <si>
    <t>FATUMATA KABA</t>
  </si>
  <si>
    <t>'102157885300</t>
  </si>
  <si>
    <t>RAJKA RADOVANCEV</t>
  </si>
  <si>
    <t>'21X7R9U97</t>
  </si>
  <si>
    <t>LISA PLANCHE</t>
  </si>
  <si>
    <t>Cigna MAPD FMO to GA 1-1-19+ - New</t>
  </si>
  <si>
    <t>'915582834</t>
  </si>
  <si>
    <t>ELIZABETH PERKINS</t>
  </si>
  <si>
    <t>UHC MAPD Street payable to upline- 2025 Replace</t>
  </si>
  <si>
    <t>'915582834OV</t>
  </si>
  <si>
    <t>UHC MA Direct 2024 New Initial Prorated</t>
  </si>
  <si>
    <t>'A04236116</t>
  </si>
  <si>
    <t>GLEN GHISELLI</t>
  </si>
  <si>
    <t>UHC AARP Med Supp IL Area 1- Plan  B C F G</t>
  </si>
  <si>
    <t>'A04248221</t>
  </si>
  <si>
    <t>MEREDITH WALTERS</t>
  </si>
  <si>
    <t>'A04248777</t>
  </si>
  <si>
    <t>MICHAEL HANILY</t>
  </si>
  <si>
    <t>NJ</t>
  </si>
  <si>
    <t>'045609</t>
  </si>
  <si>
    <t>MURRAY STERNER</t>
  </si>
  <si>
    <t>UHC AARP Med Supp NJ 2025- Plan C D F G</t>
  </si>
  <si>
    <t>'UHC MBI</t>
  </si>
  <si>
    <t>UHC MBI</t>
  </si>
  <si>
    <t>'TBD</t>
  </si>
  <si>
    <t>Active</t>
  </si>
  <si>
    <t>OTHER</t>
  </si>
  <si>
    <t>UHC MBI Bonus Upload 04-02-2025.xlsx</t>
  </si>
  <si>
    <t>CB</t>
  </si>
  <si>
    <t>'00005232205KPC</t>
  </si>
  <si>
    <t>CLAIRE FEAR</t>
  </si>
  <si>
    <t>CHARGEBACK</t>
  </si>
  <si>
    <t>'00005661676KPC</t>
  </si>
  <si>
    <t>TAHERA KHAN</t>
  </si>
  <si>
    <t>'043618</t>
  </si>
  <si>
    <t>SAADIA ABDUL</t>
  </si>
  <si>
    <t>'00014364251KPC</t>
  </si>
  <si>
    <t>VEENA SHAH</t>
  </si>
  <si>
    <t>'00018884961KPC</t>
  </si>
  <si>
    <t>'00020112096KPC</t>
  </si>
  <si>
    <t>LAURA DICICCO</t>
  </si>
  <si>
    <t>'00022090243KAPC</t>
  </si>
  <si>
    <t>PATRICIA JOHNSON</t>
  </si>
  <si>
    <t>'00022502430KPC</t>
  </si>
  <si>
    <t>ROBERT BRANSTETTER</t>
  </si>
  <si>
    <t>'006W23128PC</t>
  </si>
  <si>
    <t>TIMOTHY BEHAN</t>
  </si>
  <si>
    <t>Anthem MA 2025</t>
  </si>
  <si>
    <t>'101508889100CB</t>
  </si>
  <si>
    <t>'101930278400CB</t>
  </si>
  <si>
    <t>'101968935100CB</t>
  </si>
  <si>
    <t>'102117366400CB</t>
  </si>
  <si>
    <t>JENNY AGUILERA</t>
  </si>
  <si>
    <t>'102132809400CB</t>
  </si>
  <si>
    <t>JANICE COHEN</t>
  </si>
  <si>
    <t>MD</t>
  </si>
  <si>
    <t>'045717</t>
  </si>
  <si>
    <t>RONALD MAX</t>
  </si>
  <si>
    <t>Aetna MAPD NMO to GMO - 4-1-23+  New Paper</t>
  </si>
  <si>
    <t>'102146276300CB</t>
  </si>
  <si>
    <t>'102146307700CB</t>
  </si>
  <si>
    <t>'102146612500CB</t>
  </si>
  <si>
    <t>'102147171900CB</t>
  </si>
  <si>
    <t>'102147412200CB</t>
  </si>
  <si>
    <t>'102148368500CB</t>
  </si>
  <si>
    <t>'102148379700CB</t>
  </si>
  <si>
    <t>'102148711800CB</t>
  </si>
  <si>
    <t>'102150214700CB</t>
  </si>
  <si>
    <t>'102150220300CB</t>
  </si>
  <si>
    <t>'102150493500CB</t>
  </si>
  <si>
    <t>'102150535500CB</t>
  </si>
  <si>
    <t>'102150541300CB</t>
  </si>
  <si>
    <t>'102151195700CB</t>
  </si>
  <si>
    <t>'102151874000CB</t>
  </si>
  <si>
    <t>'102152260000CB</t>
  </si>
  <si>
    <t>'102152552400CB</t>
  </si>
  <si>
    <t>'102152554700CB</t>
  </si>
  <si>
    <t>'102152584900CB</t>
  </si>
  <si>
    <t>'102152902400CB</t>
  </si>
  <si>
    <t>'102153409000CB</t>
  </si>
  <si>
    <t>'102153840400CB</t>
  </si>
  <si>
    <t>'102156088300CB</t>
  </si>
  <si>
    <t>PRISCILLA WILSON</t>
  </si>
  <si>
    <t>'043740</t>
  </si>
  <si>
    <t>RANDY TAPPER</t>
  </si>
  <si>
    <t>'246W21868PC</t>
  </si>
  <si>
    <t>WILLIAM ROBERTS</t>
  </si>
  <si>
    <t>'246W22457PC</t>
  </si>
  <si>
    <t>DAVID RITTER</t>
  </si>
  <si>
    <t>'045613</t>
  </si>
  <si>
    <t>RICARDO SANTOS</t>
  </si>
  <si>
    <t>'927293887CB</t>
  </si>
  <si>
    <t>SANDRA BURDETTE</t>
  </si>
  <si>
    <t>IN</t>
  </si>
  <si>
    <t>'927293887OVCB</t>
  </si>
  <si>
    <t>UHC MA Direct 2024 New Full</t>
  </si>
  <si>
    <t>00002045751K</t>
  </si>
  <si>
    <t>00015132666K</t>
  </si>
  <si>
    <t>00017407420K</t>
  </si>
  <si>
    <t>00018370093K</t>
  </si>
  <si>
    <t>00018884961K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</si>
  <si>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</si>
  <si>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</si>
  <si>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</si>
  <si>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</si>
  <si>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</si>
  <si>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</si>
  <si>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</si>
  <si>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</si>
  <si>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</si>
  <si>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00023212957K</t>
  </si>
  <si>
    <t>00023213469K</t>
  </si>
  <si>
    <t>00023213919KPDP</t>
  </si>
  <si>
    <t>21X7R9U97</t>
  </si>
  <si>
    <t>915582834OV</t>
  </si>
  <si>
    <t>A04236116</t>
  </si>
  <si>
    <t>A04248221</t>
  </si>
  <si>
    <t>A04248777</t>
  </si>
  <si>
    <t>00005232205KPC</t>
  </si>
  <si>
    <t>00005661676KPC</t>
  </si>
  <si>
    <t>00014364251KPC</t>
  </si>
  <si>
    <t>00018884961KPC</t>
  </si>
  <si>
    <t>00020112096KPC</t>
  </si>
  <si>
    <t>00022090243KAPC</t>
  </si>
  <si>
    <t>00022502430KPC</t>
  </si>
  <si>
    <t>006W23128PC</t>
  </si>
  <si>
    <t>101508889100CB</t>
  </si>
  <si>
    <t>101930278400CB</t>
  </si>
  <si>
    <t>101968935100CB</t>
  </si>
  <si>
    <t>102117366400CB</t>
  </si>
  <si>
    <t>102132809400CB</t>
  </si>
  <si>
    <t>102146276300CB</t>
  </si>
  <si>
    <t>102146307700CB</t>
  </si>
  <si>
    <t>102146612500CB</t>
  </si>
  <si>
    <t>102147171900CB</t>
  </si>
  <si>
    <t>102147412200CB</t>
  </si>
  <si>
    <t>102148368500CB</t>
  </si>
  <si>
    <t>102148379700CB</t>
  </si>
  <si>
    <t>102148711800CB</t>
  </si>
  <si>
    <t>102150214700CB</t>
  </si>
  <si>
    <t>102150220300CB</t>
  </si>
  <si>
    <t>102150493500CB</t>
  </si>
  <si>
    <t>102150535500CB</t>
  </si>
  <si>
    <t>102150541300CB</t>
  </si>
  <si>
    <t>102151195700CB</t>
  </si>
  <si>
    <t>102151874000CB</t>
  </si>
  <si>
    <t>102152260000CB</t>
  </si>
  <si>
    <t>102152552400CB</t>
  </si>
  <si>
    <t>102152554700CB</t>
  </si>
  <si>
    <t>102152584900CB</t>
  </si>
  <si>
    <t>102152902400CB</t>
  </si>
  <si>
    <t>102153409000CB</t>
  </si>
  <si>
    <t>102153840400CB</t>
  </si>
  <si>
    <t>102156088300CB</t>
  </si>
  <si>
    <t>246W21868PC</t>
  </si>
  <si>
    <t>246W22457PC</t>
  </si>
  <si>
    <t>927293887CB</t>
  </si>
  <si>
    <t>927293887OVCB</t>
  </si>
  <si>
    <t>Aetna MAPD OVR 2025</t>
  </si>
  <si>
    <t>Anthem MAPD 2025 OVR</t>
  </si>
  <si>
    <t>Cigna MAPD 2025 Ovr</t>
  </si>
  <si>
    <t>Humana MAPD OVR 2025</t>
  </si>
  <si>
    <t>UHC AARP MS IL Area 1 - Plan B C F G</t>
  </si>
  <si>
    <t>UHC MAPD Ovr 2025</t>
  </si>
  <si>
    <t>UHC MAPD 2025*</t>
  </si>
  <si>
    <t>[%/$=313][prorate=7/12]</t>
  </si>
  <si>
    <t>Main Line Benefits</t>
  </si>
  <si>
    <t>[%/$=313][prorate=9/12]</t>
  </si>
  <si>
    <t>UHC Plans C,D,F,G (NJ)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</si>
</sst>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12529"/>
      <name val="Roboto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0" fontId="18" fillId="33" borderId="10" xfId="0" applyFont="1" applyFill="1" applyBorder="1" applyAlignment="1">
      <alignment horizontal="left" vertical="center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7348-200E-4D6F-B186-0172248C67F2}">
  <dimension ref="A1:AL102"/>
  <sheetViews>
    <sheetView topLeftCell="S1" workbookViewId="0">
      <pane ySplit="1" topLeftCell="A45" activePane="bottomLeft" state="frozen"/>
      <selection activeCell="J1" sqref="J1"/>
      <selection pane="bottomLeft" activeCell="AF61" sqref="AF61"/>
    </sheetView>
  </sheetViews>
  <sheetFormatPr defaultRowHeight="14.4" x14ac:dyDescent="0.3"/>
  <cols>
    <col min="1" max="1" width="10.33203125" bestFit="1" customWidth="1"/>
    <col min="2" max="2" width="16.109375" bestFit="1" customWidth="1"/>
    <col min="3" max="3" width="15.109375" bestFit="1" customWidth="1"/>
    <col min="4" max="4" width="11.5546875" bestFit="1" customWidth="1"/>
    <col min="5" max="5" width="29.44140625" bestFit="1" customWidth="1"/>
    <col min="6" max="6" width="8.5546875" bestFit="1" customWidth="1"/>
    <col min="7" max="7" width="6.44140625" bestFit="1" customWidth="1"/>
    <col min="8" max="8" width="18.109375" bestFit="1" customWidth="1"/>
    <col min="9" max="9" width="17.44140625" bestFit="1" customWidth="1"/>
    <col min="10" max="10" width="22.33203125" bestFit="1" customWidth="1"/>
    <col min="11" max="11" width="8.109375" bestFit="1" customWidth="1"/>
    <col min="12" max="12" width="4.44140625" bestFit="1" customWidth="1"/>
    <col min="13" max="13" width="5.5546875" bestFit="1" customWidth="1"/>
    <col min="14" max="14" width="8.6640625" bestFit="1" customWidth="1"/>
    <col min="15" max="15" width="15.6640625" bestFit="1" customWidth="1"/>
    <col min="16" max="16" width="23.6640625" bestFit="1" customWidth="1"/>
    <col min="17" max="17" width="12.88671875" bestFit="1" customWidth="1"/>
    <col min="18" max="18" width="47.109375" bestFit="1" customWidth="1"/>
    <col min="19" max="19" width="10.109375" bestFit="1" customWidth="1"/>
    <col min="20" max="20" width="12.33203125" bestFit="1" customWidth="1"/>
    <col min="21" max="21" width="14.5546875" bestFit="1" customWidth="1"/>
    <col min="22" max="22" width="12" bestFit="1" customWidth="1"/>
    <col min="23" max="23" width="15.88671875" bestFit="1" customWidth="1"/>
    <col min="25" max="25" width="18.33203125" bestFit="1" customWidth="1"/>
    <col min="26" max="26" width="15.88671875" bestFit="1" customWidth="1"/>
    <col min="27" max="27" width="17" bestFit="1" customWidth="1"/>
    <col min="28" max="28" width="16.44140625" bestFit="1" customWidth="1"/>
    <col min="29" max="29" width="17.44140625" bestFit="1" customWidth="1"/>
    <col min="30" max="30" width="11.5546875" bestFit="1" customWidth="1"/>
    <col min="31" max="31" width="14.88671875" bestFit="1" customWidth="1"/>
    <col min="32" max="32" width="9.6640625" bestFit="1" customWidth="1"/>
    <col min="33" max="33" width="13.109375" bestFit="1" customWidth="1"/>
    <col min="34" max="34" width="18.6640625" bestFit="1" customWidth="1"/>
    <col min="35" max="35" width="18.33203125" bestFit="1" customWidth="1"/>
    <col min="36" max="36" width="11.109375" bestFit="1" customWidth="1"/>
    <col min="37" max="37" width="13.5546875" bestFit="1" customWidth="1"/>
    <col min="38" max="38" width="35.88671875" bestFit="1" customWidth="1"/>
  </cols>
  <sheetData>
    <row r="1" spans="1:38" s="11" customForma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</row>
    <row r="2" spans="1:38" x14ac:dyDescent="0.3">
      <c r="A2" s="1">
        <v>45749</v>
      </c>
      <c r="B2" s="1">
        <v>45749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45748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5290910</v>
      </c>
    </row>
    <row r="3" spans="1:38" x14ac:dyDescent="0.3">
      <c r="A3" s="1">
        <v>45749</v>
      </c>
      <c r="B3" s="1">
        <v>45749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46</v>
      </c>
      <c r="O3" t="s">
        <v>55</v>
      </c>
      <c r="P3" t="s">
        <v>56</v>
      </c>
      <c r="Q3" t="s">
        <v>49</v>
      </c>
      <c r="R3" t="s">
        <v>50</v>
      </c>
      <c r="S3" s="1">
        <v>45748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5290932</v>
      </c>
    </row>
    <row r="4" spans="1:38" x14ac:dyDescent="0.3">
      <c r="A4" s="1">
        <v>45749</v>
      </c>
      <c r="B4" s="1">
        <v>45749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57</v>
      </c>
      <c r="J4" t="s">
        <v>58</v>
      </c>
      <c r="M4" t="s">
        <v>46</v>
      </c>
      <c r="O4" t="s">
        <v>59</v>
      </c>
      <c r="P4" t="s">
        <v>60</v>
      </c>
      <c r="Q4" t="s">
        <v>49</v>
      </c>
      <c r="R4" t="s">
        <v>61</v>
      </c>
      <c r="S4" s="1">
        <v>45748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5290944</v>
      </c>
    </row>
    <row r="5" spans="1:38" x14ac:dyDescent="0.3">
      <c r="A5" s="1">
        <v>45749</v>
      </c>
      <c r="B5" s="1">
        <v>45749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46</v>
      </c>
      <c r="O5" t="s">
        <v>47</v>
      </c>
      <c r="P5" t="s">
        <v>48</v>
      </c>
      <c r="Q5" t="s">
        <v>49</v>
      </c>
      <c r="R5" t="s">
        <v>50</v>
      </c>
      <c r="S5" s="1">
        <v>45748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5290945</v>
      </c>
    </row>
    <row r="6" spans="1:38" x14ac:dyDescent="0.3">
      <c r="A6" s="1">
        <v>45749</v>
      </c>
      <c r="B6" s="1">
        <v>45749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46</v>
      </c>
      <c r="O6" t="s">
        <v>66</v>
      </c>
      <c r="P6" t="s">
        <v>67</v>
      </c>
      <c r="Q6" t="s">
        <v>49</v>
      </c>
      <c r="R6" t="s">
        <v>61</v>
      </c>
      <c r="S6" s="1">
        <v>45748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5290947</v>
      </c>
    </row>
    <row r="7" spans="1:38" x14ac:dyDescent="0.3">
      <c r="A7" s="1">
        <v>45749</v>
      </c>
      <c r="B7" s="1">
        <v>45749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68</v>
      </c>
      <c r="J7" t="s">
        <v>69</v>
      </c>
      <c r="M7" t="s">
        <v>46</v>
      </c>
      <c r="O7" t="s">
        <v>70</v>
      </c>
      <c r="P7" t="s">
        <v>71</v>
      </c>
      <c r="Q7" t="s">
        <v>49</v>
      </c>
      <c r="R7" t="s">
        <v>50</v>
      </c>
      <c r="S7" s="1">
        <v>45748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5290972</v>
      </c>
    </row>
    <row r="8" spans="1:38" x14ac:dyDescent="0.3">
      <c r="A8" s="1">
        <v>45749</v>
      </c>
      <c r="B8" s="1">
        <v>45749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72</v>
      </c>
      <c r="J8" t="s">
        <v>73</v>
      </c>
      <c r="M8" t="s">
        <v>46</v>
      </c>
      <c r="O8" t="s">
        <v>74</v>
      </c>
      <c r="P8" t="s">
        <v>75</v>
      </c>
      <c r="Q8" t="s">
        <v>49</v>
      </c>
      <c r="R8" t="s">
        <v>50</v>
      </c>
      <c r="S8" s="1">
        <v>45748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5290976</v>
      </c>
    </row>
    <row r="9" spans="1:38" x14ac:dyDescent="0.3">
      <c r="A9" s="1">
        <v>45749</v>
      </c>
      <c r="B9" s="1">
        <v>45749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76</v>
      </c>
      <c r="J9" t="s">
        <v>77</v>
      </c>
      <c r="M9" t="s">
        <v>46</v>
      </c>
      <c r="O9" t="s">
        <v>78</v>
      </c>
      <c r="P9" t="s">
        <v>79</v>
      </c>
      <c r="Q9" t="s">
        <v>49</v>
      </c>
      <c r="R9" t="s">
        <v>50</v>
      </c>
      <c r="S9" s="1">
        <v>45748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5290977</v>
      </c>
    </row>
    <row r="10" spans="1:38" x14ac:dyDescent="0.3">
      <c r="A10" s="1">
        <v>45749</v>
      </c>
      <c r="B10" s="1">
        <v>45749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80</v>
      </c>
      <c r="J10" t="s">
        <v>81</v>
      </c>
      <c r="M10" t="s">
        <v>46</v>
      </c>
      <c r="O10" t="s">
        <v>82</v>
      </c>
      <c r="P10" t="s">
        <v>83</v>
      </c>
      <c r="Q10" t="s">
        <v>49</v>
      </c>
      <c r="R10" t="s">
        <v>50</v>
      </c>
      <c r="S10" s="1">
        <v>45748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5290979</v>
      </c>
    </row>
    <row r="11" spans="1:38" x14ac:dyDescent="0.3">
      <c r="A11" s="1">
        <v>45749</v>
      </c>
      <c r="B11" s="1">
        <v>45749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84</v>
      </c>
      <c r="J11" t="s">
        <v>85</v>
      </c>
      <c r="M11" t="s">
        <v>46</v>
      </c>
      <c r="O11" t="s">
        <v>86</v>
      </c>
      <c r="P11" t="s">
        <v>87</v>
      </c>
      <c r="Q11" t="s">
        <v>49</v>
      </c>
      <c r="R11" t="s">
        <v>50</v>
      </c>
      <c r="S11" s="1">
        <v>45748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5290983</v>
      </c>
    </row>
    <row r="12" spans="1:38" x14ac:dyDescent="0.3">
      <c r="A12" s="1">
        <v>45749</v>
      </c>
      <c r="B12" s="1">
        <v>45749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46</v>
      </c>
      <c r="O12" t="s">
        <v>90</v>
      </c>
      <c r="P12" t="s">
        <v>91</v>
      </c>
      <c r="Q12" t="s">
        <v>49</v>
      </c>
      <c r="R12" t="s">
        <v>50</v>
      </c>
      <c r="S12" s="1">
        <v>45748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5290985</v>
      </c>
    </row>
    <row r="13" spans="1:38" x14ac:dyDescent="0.3">
      <c r="A13" s="1">
        <v>45749</v>
      </c>
      <c r="B13" s="1">
        <v>45749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92</v>
      </c>
      <c r="J13" t="s">
        <v>93</v>
      </c>
      <c r="M13" t="s">
        <v>46</v>
      </c>
      <c r="O13" t="s">
        <v>47</v>
      </c>
      <c r="P13" t="s">
        <v>48</v>
      </c>
      <c r="Q13" t="s">
        <v>49</v>
      </c>
      <c r="R13" t="s">
        <v>50</v>
      </c>
      <c r="S13" s="1">
        <v>45748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5290986</v>
      </c>
    </row>
    <row r="14" spans="1:38" x14ac:dyDescent="0.3">
      <c r="A14" s="1">
        <v>45749</v>
      </c>
      <c r="B14" s="1">
        <v>45749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94</v>
      </c>
      <c r="J14" t="s">
        <v>95</v>
      </c>
      <c r="M14" t="s">
        <v>46</v>
      </c>
      <c r="O14" t="s">
        <v>96</v>
      </c>
      <c r="P14" t="s">
        <v>97</v>
      </c>
      <c r="Q14" t="s">
        <v>49</v>
      </c>
      <c r="R14" t="s">
        <v>50</v>
      </c>
      <c r="S14" s="1">
        <v>45748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5290987</v>
      </c>
    </row>
    <row r="15" spans="1:38" x14ac:dyDescent="0.3">
      <c r="A15" s="1">
        <v>45749</v>
      </c>
      <c r="B15" s="1">
        <v>45749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46</v>
      </c>
      <c r="O15" t="s">
        <v>100</v>
      </c>
      <c r="P15" t="s">
        <v>101</v>
      </c>
      <c r="Q15" t="s">
        <v>49</v>
      </c>
      <c r="R15" t="s">
        <v>50</v>
      </c>
      <c r="S15" s="1">
        <v>45748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5290999</v>
      </c>
    </row>
    <row r="16" spans="1:38" x14ac:dyDescent="0.3">
      <c r="A16" s="1">
        <v>45749</v>
      </c>
      <c r="B16" s="1">
        <v>45749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M16" t="s">
        <v>46</v>
      </c>
      <c r="O16" t="s">
        <v>47</v>
      </c>
      <c r="P16" t="s">
        <v>48</v>
      </c>
      <c r="Q16" t="s">
        <v>49</v>
      </c>
      <c r="R16" t="s">
        <v>50</v>
      </c>
      <c r="S16" s="1">
        <v>45748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5291015</v>
      </c>
    </row>
    <row r="17" spans="1:38" x14ac:dyDescent="0.3">
      <c r="A17" s="1">
        <v>45749</v>
      </c>
      <c r="B17" s="1">
        <v>45749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104</v>
      </c>
      <c r="J17" t="s">
        <v>105</v>
      </c>
      <c r="M17" t="s">
        <v>46</v>
      </c>
      <c r="O17" t="s">
        <v>106</v>
      </c>
      <c r="P17" t="s">
        <v>107</v>
      </c>
      <c r="Q17" t="s">
        <v>49</v>
      </c>
      <c r="R17" t="s">
        <v>50</v>
      </c>
      <c r="S17" s="1">
        <v>45778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5291019</v>
      </c>
    </row>
    <row r="18" spans="1:38" x14ac:dyDescent="0.3">
      <c r="A18" s="1">
        <v>45749</v>
      </c>
      <c r="B18" s="1">
        <v>45749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46</v>
      </c>
      <c r="O18" t="s">
        <v>110</v>
      </c>
      <c r="P18" t="s">
        <v>111</v>
      </c>
      <c r="Q18" t="s">
        <v>49</v>
      </c>
      <c r="R18" t="s">
        <v>112</v>
      </c>
      <c r="S18" s="1">
        <v>45748</v>
      </c>
      <c r="U18" t="s">
        <v>51</v>
      </c>
      <c r="X18" t="s">
        <v>52</v>
      </c>
      <c r="Y18" s="2">
        <v>0</v>
      </c>
      <c r="Z18" s="2">
        <v>15</v>
      </c>
      <c r="AA18">
        <v>1</v>
      </c>
      <c r="AB18" s="3">
        <v>1</v>
      </c>
      <c r="AC18" s="2">
        <v>15</v>
      </c>
      <c r="AD18" s="3">
        <v>0</v>
      </c>
      <c r="AE18" s="2">
        <v>0</v>
      </c>
      <c r="AF18" s="2">
        <v>15</v>
      </c>
      <c r="AK18">
        <v>5291025</v>
      </c>
    </row>
    <row r="19" spans="1:38" x14ac:dyDescent="0.3">
      <c r="A19" s="1">
        <v>45749</v>
      </c>
      <c r="B19" s="1">
        <v>45749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113</v>
      </c>
      <c r="J19" t="s">
        <v>114</v>
      </c>
      <c r="M19" t="s">
        <v>115</v>
      </c>
      <c r="O19" t="s">
        <v>116</v>
      </c>
      <c r="P19" t="s">
        <v>117</v>
      </c>
      <c r="Q19" t="s">
        <v>49</v>
      </c>
      <c r="R19" t="s">
        <v>118</v>
      </c>
      <c r="S19" s="1">
        <v>45748</v>
      </c>
      <c r="U19" t="s">
        <v>51</v>
      </c>
      <c r="X19" t="s">
        <v>52</v>
      </c>
      <c r="Y19" s="2">
        <v>0</v>
      </c>
      <c r="Z19" s="2">
        <v>37.5</v>
      </c>
      <c r="AA19">
        <v>1</v>
      </c>
      <c r="AB19" s="3">
        <v>1</v>
      </c>
      <c r="AC19" s="2">
        <v>37.5</v>
      </c>
      <c r="AD19" s="3">
        <v>0</v>
      </c>
      <c r="AE19" s="2">
        <v>0</v>
      </c>
      <c r="AF19" s="2">
        <v>37.5</v>
      </c>
      <c r="AK19">
        <v>5290525</v>
      </c>
      <c r="AL19" t="s">
        <v>119</v>
      </c>
    </row>
    <row r="20" spans="1:38" x14ac:dyDescent="0.3">
      <c r="A20" s="1">
        <v>45749</v>
      </c>
      <c r="B20" s="1">
        <v>45749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120</v>
      </c>
      <c r="J20" t="s">
        <v>121</v>
      </c>
      <c r="M20" t="s">
        <v>122</v>
      </c>
      <c r="O20" t="s">
        <v>78</v>
      </c>
      <c r="P20" t="s">
        <v>79</v>
      </c>
      <c r="Q20" t="s">
        <v>49</v>
      </c>
      <c r="R20" t="s">
        <v>118</v>
      </c>
      <c r="S20" s="1">
        <v>45748</v>
      </c>
      <c r="U20" t="s">
        <v>51</v>
      </c>
      <c r="X20" t="s">
        <v>52</v>
      </c>
      <c r="Y20" s="2">
        <v>0</v>
      </c>
      <c r="Z20" s="2">
        <v>37.5</v>
      </c>
      <c r="AA20">
        <v>1</v>
      </c>
      <c r="AB20" s="3">
        <v>1</v>
      </c>
      <c r="AC20" s="2">
        <v>37.5</v>
      </c>
      <c r="AD20" s="3">
        <v>0</v>
      </c>
      <c r="AE20" s="2">
        <v>0</v>
      </c>
      <c r="AF20" s="2">
        <v>37.5</v>
      </c>
      <c r="AK20">
        <v>5290529</v>
      </c>
      <c r="AL20" t="s">
        <v>119</v>
      </c>
    </row>
    <row r="21" spans="1:38" x14ac:dyDescent="0.3">
      <c r="A21" s="1">
        <v>45749</v>
      </c>
      <c r="B21" s="1">
        <v>45749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123</v>
      </c>
      <c r="J21" t="s">
        <v>124</v>
      </c>
      <c r="M21" t="s">
        <v>115</v>
      </c>
      <c r="O21" t="s">
        <v>125</v>
      </c>
      <c r="P21" t="s">
        <v>126</v>
      </c>
      <c r="Q21" t="s">
        <v>49</v>
      </c>
      <c r="R21" t="s">
        <v>118</v>
      </c>
      <c r="S21" s="1">
        <v>45748</v>
      </c>
      <c r="U21" t="s">
        <v>51</v>
      </c>
      <c r="X21" t="s">
        <v>52</v>
      </c>
      <c r="Y21" s="2">
        <v>0</v>
      </c>
      <c r="Z21" s="2">
        <v>37.5</v>
      </c>
      <c r="AA21">
        <v>1</v>
      </c>
      <c r="AB21" s="3">
        <v>1</v>
      </c>
      <c r="AC21" s="2">
        <v>37.5</v>
      </c>
      <c r="AD21" s="3">
        <v>0</v>
      </c>
      <c r="AE21" s="2">
        <v>0</v>
      </c>
      <c r="AF21" s="2">
        <v>37.5</v>
      </c>
      <c r="AK21">
        <v>5290530</v>
      </c>
      <c r="AL21" t="s">
        <v>119</v>
      </c>
    </row>
    <row r="22" spans="1:38" x14ac:dyDescent="0.3">
      <c r="A22" s="1">
        <v>45749</v>
      </c>
      <c r="B22" s="1">
        <v>45749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127</v>
      </c>
      <c r="J22" t="s">
        <v>128</v>
      </c>
      <c r="M22" t="s">
        <v>46</v>
      </c>
      <c r="O22" t="s">
        <v>129</v>
      </c>
      <c r="P22" t="s">
        <v>130</v>
      </c>
      <c r="Q22" t="s">
        <v>49</v>
      </c>
      <c r="R22" t="s">
        <v>118</v>
      </c>
      <c r="S22" s="1">
        <v>45748</v>
      </c>
      <c r="U22" t="s">
        <v>51</v>
      </c>
      <c r="X22" t="s">
        <v>52</v>
      </c>
      <c r="Y22" s="2">
        <v>0</v>
      </c>
      <c r="Z22" s="2">
        <v>37.5</v>
      </c>
      <c r="AA22">
        <v>1</v>
      </c>
      <c r="AB22" s="3">
        <v>1</v>
      </c>
      <c r="AC22" s="2">
        <v>37.5</v>
      </c>
      <c r="AD22" s="3">
        <v>0</v>
      </c>
      <c r="AE22" s="2">
        <v>0</v>
      </c>
      <c r="AF22" s="2">
        <v>37.5</v>
      </c>
      <c r="AK22">
        <v>5290532</v>
      </c>
      <c r="AL22" t="s">
        <v>119</v>
      </c>
    </row>
    <row r="23" spans="1:38" x14ac:dyDescent="0.3">
      <c r="A23" s="1">
        <v>45749</v>
      </c>
      <c r="B23" s="1">
        <v>45749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131</v>
      </c>
      <c r="J23" t="s">
        <v>132</v>
      </c>
      <c r="M23" t="s">
        <v>133</v>
      </c>
      <c r="O23" t="s">
        <v>96</v>
      </c>
      <c r="P23" t="s">
        <v>97</v>
      </c>
      <c r="Q23" t="s">
        <v>49</v>
      </c>
      <c r="R23" t="s">
        <v>134</v>
      </c>
      <c r="S23" s="1">
        <v>45689</v>
      </c>
      <c r="U23" t="s">
        <v>51</v>
      </c>
      <c r="X23" t="s">
        <v>52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5290612</v>
      </c>
    </row>
    <row r="24" spans="1:38" x14ac:dyDescent="0.3">
      <c r="A24" s="1">
        <v>45749</v>
      </c>
      <c r="B24" s="1">
        <v>45749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137</v>
      </c>
      <c r="O24" t="s">
        <v>70</v>
      </c>
      <c r="P24" t="s">
        <v>71</v>
      </c>
      <c r="Q24" t="s">
        <v>49</v>
      </c>
      <c r="R24" t="s">
        <v>134</v>
      </c>
      <c r="S24" s="1">
        <v>45717</v>
      </c>
      <c r="U24" t="s">
        <v>51</v>
      </c>
      <c r="X24" t="s">
        <v>52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5290623</v>
      </c>
    </row>
    <row r="25" spans="1:38" x14ac:dyDescent="0.3">
      <c r="A25" s="1">
        <v>45749</v>
      </c>
      <c r="B25" s="1">
        <v>45749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138</v>
      </c>
      <c r="J25" t="s">
        <v>139</v>
      </c>
      <c r="M25" t="s">
        <v>115</v>
      </c>
      <c r="O25" t="s">
        <v>41</v>
      </c>
      <c r="P25" t="s">
        <v>43</v>
      </c>
      <c r="Q25" t="s">
        <v>49</v>
      </c>
      <c r="R25" t="s">
        <v>134</v>
      </c>
      <c r="S25" s="1">
        <v>45717</v>
      </c>
      <c r="U25" t="s">
        <v>51</v>
      </c>
      <c r="X25" t="s">
        <v>52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5290624</v>
      </c>
    </row>
    <row r="26" spans="1:38" x14ac:dyDescent="0.3">
      <c r="A26" s="1">
        <v>45749</v>
      </c>
      <c r="B26" s="1">
        <v>45749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141</v>
      </c>
      <c r="M26" t="s">
        <v>122</v>
      </c>
      <c r="O26" t="s">
        <v>142</v>
      </c>
      <c r="P26" t="s">
        <v>143</v>
      </c>
      <c r="Q26" t="s">
        <v>49</v>
      </c>
      <c r="R26" t="s">
        <v>134</v>
      </c>
      <c r="S26" s="1">
        <v>45689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5290635</v>
      </c>
    </row>
    <row r="27" spans="1:38" x14ac:dyDescent="0.3">
      <c r="A27" s="1">
        <v>45749</v>
      </c>
      <c r="B27" s="1">
        <v>45749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145</v>
      </c>
      <c r="M27" t="s">
        <v>122</v>
      </c>
      <c r="O27" t="s">
        <v>142</v>
      </c>
      <c r="P27" t="s">
        <v>143</v>
      </c>
      <c r="Q27" t="s">
        <v>49</v>
      </c>
      <c r="R27" t="s">
        <v>134</v>
      </c>
      <c r="S27" s="1">
        <v>45689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5290636</v>
      </c>
    </row>
    <row r="28" spans="1:38" x14ac:dyDescent="0.3">
      <c r="A28" s="1">
        <v>45749</v>
      </c>
      <c r="B28" s="1">
        <v>45749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146</v>
      </c>
      <c r="J28" t="s">
        <v>147</v>
      </c>
      <c r="M28" t="s">
        <v>122</v>
      </c>
      <c r="O28" t="s">
        <v>47</v>
      </c>
      <c r="P28" t="s">
        <v>48</v>
      </c>
      <c r="Q28" t="s">
        <v>49</v>
      </c>
      <c r="R28" t="s">
        <v>134</v>
      </c>
      <c r="S28" s="1">
        <v>45689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5290640</v>
      </c>
    </row>
    <row r="29" spans="1:38" x14ac:dyDescent="0.3">
      <c r="A29" s="1">
        <v>45749</v>
      </c>
      <c r="B29" s="1">
        <v>45749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148</v>
      </c>
      <c r="J29" t="s">
        <v>149</v>
      </c>
      <c r="M29" t="s">
        <v>122</v>
      </c>
      <c r="O29" t="s">
        <v>47</v>
      </c>
      <c r="P29" t="s">
        <v>48</v>
      </c>
      <c r="Q29" t="s">
        <v>49</v>
      </c>
      <c r="R29" t="s">
        <v>134</v>
      </c>
      <c r="S29" s="1">
        <v>45717</v>
      </c>
      <c r="U29" t="s">
        <v>51</v>
      </c>
      <c r="X29" t="s">
        <v>52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5290646</v>
      </c>
    </row>
    <row r="30" spans="1:38" x14ac:dyDescent="0.3">
      <c r="A30" s="1">
        <v>45749</v>
      </c>
      <c r="B30" s="1">
        <v>45749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150</v>
      </c>
      <c r="J30" t="s">
        <v>151</v>
      </c>
      <c r="M30" t="s">
        <v>115</v>
      </c>
      <c r="O30" t="s">
        <v>152</v>
      </c>
      <c r="P30" t="s">
        <v>153</v>
      </c>
      <c r="Q30" t="s">
        <v>49</v>
      </c>
      <c r="R30" t="s">
        <v>134</v>
      </c>
      <c r="S30" s="1">
        <v>45689</v>
      </c>
      <c r="U30" t="s">
        <v>51</v>
      </c>
      <c r="X30" t="s">
        <v>52</v>
      </c>
      <c r="Y30" s="2">
        <v>0</v>
      </c>
      <c r="Z30" s="2">
        <v>50</v>
      </c>
      <c r="AA30">
        <v>1</v>
      </c>
      <c r="AB30" s="3">
        <v>1</v>
      </c>
      <c r="AC30" s="2">
        <v>50</v>
      </c>
      <c r="AD30" s="3">
        <v>0</v>
      </c>
      <c r="AE30" s="2">
        <v>0</v>
      </c>
      <c r="AF30" s="2">
        <v>50</v>
      </c>
      <c r="AK30">
        <v>5290650</v>
      </c>
    </row>
    <row r="31" spans="1:38" x14ac:dyDescent="0.3">
      <c r="A31" s="1">
        <v>45749</v>
      </c>
      <c r="B31" s="1">
        <v>45749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155</v>
      </c>
      <c r="M31" t="s">
        <v>156</v>
      </c>
      <c r="O31" t="s">
        <v>47</v>
      </c>
      <c r="P31" t="s">
        <v>48</v>
      </c>
      <c r="Q31" t="s">
        <v>49</v>
      </c>
      <c r="R31" t="s">
        <v>134</v>
      </c>
      <c r="S31" s="1">
        <v>45748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5290664</v>
      </c>
    </row>
    <row r="32" spans="1:38" x14ac:dyDescent="0.3">
      <c r="A32" s="1">
        <v>45749</v>
      </c>
      <c r="B32" s="1">
        <v>45749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157</v>
      </c>
      <c r="J32" t="s">
        <v>158</v>
      </c>
      <c r="M32" t="s">
        <v>122</v>
      </c>
      <c r="O32" t="s">
        <v>159</v>
      </c>
      <c r="P32" t="s">
        <v>160</v>
      </c>
      <c r="Q32" t="s">
        <v>49</v>
      </c>
      <c r="R32" t="s">
        <v>134</v>
      </c>
      <c r="S32" s="1">
        <v>45717</v>
      </c>
      <c r="U32" t="s">
        <v>51</v>
      </c>
      <c r="X32" t="s">
        <v>52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5290665</v>
      </c>
    </row>
    <row r="33" spans="1:38" x14ac:dyDescent="0.3">
      <c r="A33" s="1">
        <v>45749</v>
      </c>
      <c r="B33" s="1">
        <v>45749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161</v>
      </c>
      <c r="J33" t="s">
        <v>162</v>
      </c>
      <c r="M33" t="s">
        <v>115</v>
      </c>
      <c r="O33" t="s">
        <v>163</v>
      </c>
      <c r="P33" t="s">
        <v>164</v>
      </c>
      <c r="Q33" t="s">
        <v>49</v>
      </c>
      <c r="R33" t="s">
        <v>134</v>
      </c>
      <c r="S33" s="1">
        <v>45689</v>
      </c>
      <c r="U33" t="s">
        <v>51</v>
      </c>
      <c r="X33" t="s">
        <v>52</v>
      </c>
      <c r="Y33" s="2">
        <v>0</v>
      </c>
      <c r="Z33" s="2">
        <v>50</v>
      </c>
      <c r="AA33">
        <v>1</v>
      </c>
      <c r="AB33" s="3">
        <v>1</v>
      </c>
      <c r="AC33" s="2">
        <v>50</v>
      </c>
      <c r="AD33" s="3">
        <v>0</v>
      </c>
      <c r="AE33" s="2">
        <v>0</v>
      </c>
      <c r="AF33" s="2">
        <v>50</v>
      </c>
      <c r="AK33">
        <v>5290671</v>
      </c>
    </row>
    <row r="34" spans="1:38" x14ac:dyDescent="0.3">
      <c r="A34" s="1">
        <v>45749</v>
      </c>
      <c r="B34" s="1">
        <v>45749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166</v>
      </c>
      <c r="M34" t="s">
        <v>122</v>
      </c>
      <c r="O34" t="s">
        <v>167</v>
      </c>
      <c r="P34" t="s">
        <v>168</v>
      </c>
      <c r="Q34" t="s">
        <v>49</v>
      </c>
      <c r="R34" t="s">
        <v>134</v>
      </c>
      <c r="S34" s="1">
        <v>45717</v>
      </c>
      <c r="U34" t="s">
        <v>51</v>
      </c>
      <c r="X34" t="s">
        <v>52</v>
      </c>
      <c r="Y34" s="2">
        <v>0</v>
      </c>
      <c r="Z34" s="2">
        <v>50</v>
      </c>
      <c r="AA34">
        <v>1</v>
      </c>
      <c r="AB34" s="3">
        <v>1</v>
      </c>
      <c r="AC34" s="2">
        <v>50</v>
      </c>
      <c r="AD34" s="3">
        <v>0</v>
      </c>
      <c r="AE34" s="2">
        <v>0</v>
      </c>
      <c r="AF34" s="2">
        <v>50</v>
      </c>
      <c r="AK34">
        <v>5290688</v>
      </c>
    </row>
    <row r="35" spans="1:38" x14ac:dyDescent="0.3">
      <c r="A35" s="1">
        <v>45749</v>
      </c>
      <c r="B35" s="1">
        <v>45749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169</v>
      </c>
      <c r="J35" t="s">
        <v>170</v>
      </c>
      <c r="M35" t="s">
        <v>171</v>
      </c>
      <c r="O35" t="s">
        <v>90</v>
      </c>
      <c r="P35" t="s">
        <v>91</v>
      </c>
      <c r="Q35" t="s">
        <v>49</v>
      </c>
      <c r="R35" t="s">
        <v>134</v>
      </c>
      <c r="S35" s="1">
        <v>45748</v>
      </c>
      <c r="U35" t="s">
        <v>51</v>
      </c>
      <c r="X35" t="s">
        <v>52</v>
      </c>
      <c r="Y35" s="2">
        <v>0</v>
      </c>
      <c r="Z35" s="2">
        <v>50</v>
      </c>
      <c r="AA35">
        <v>1</v>
      </c>
      <c r="AB35" s="3">
        <v>1</v>
      </c>
      <c r="AC35" s="2">
        <v>50</v>
      </c>
      <c r="AD35" s="3">
        <v>0</v>
      </c>
      <c r="AE35" s="2">
        <v>0</v>
      </c>
      <c r="AF35" s="2">
        <v>50</v>
      </c>
      <c r="AK35">
        <v>5290689</v>
      </c>
    </row>
    <row r="36" spans="1:38" x14ac:dyDescent="0.3">
      <c r="A36" s="1">
        <v>45749</v>
      </c>
      <c r="B36" s="1">
        <v>45749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172</v>
      </c>
      <c r="J36" t="s">
        <v>173</v>
      </c>
      <c r="M36" t="s">
        <v>174</v>
      </c>
      <c r="O36" t="s">
        <v>41</v>
      </c>
      <c r="P36" t="s">
        <v>43</v>
      </c>
      <c r="Q36" t="s">
        <v>49</v>
      </c>
      <c r="R36" t="s">
        <v>134</v>
      </c>
      <c r="S36" s="1">
        <v>45717</v>
      </c>
      <c r="U36" t="s">
        <v>51</v>
      </c>
      <c r="X36" t="s">
        <v>52</v>
      </c>
      <c r="Y36" s="2">
        <v>0</v>
      </c>
      <c r="Z36" s="2">
        <v>50</v>
      </c>
      <c r="AA36">
        <v>1</v>
      </c>
      <c r="AB36" s="3">
        <v>1</v>
      </c>
      <c r="AC36" s="2">
        <v>50</v>
      </c>
      <c r="AD36" s="3">
        <v>0</v>
      </c>
      <c r="AE36" s="2">
        <v>0</v>
      </c>
      <c r="AF36" s="2">
        <v>50</v>
      </c>
      <c r="AK36">
        <v>5290693</v>
      </c>
    </row>
    <row r="37" spans="1:38" x14ac:dyDescent="0.3">
      <c r="A37" s="1">
        <v>45749</v>
      </c>
      <c r="B37" s="1">
        <v>45749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175</v>
      </c>
      <c r="J37" t="s">
        <v>176</v>
      </c>
      <c r="M37" t="s">
        <v>115</v>
      </c>
      <c r="O37" t="s">
        <v>163</v>
      </c>
      <c r="P37" t="s">
        <v>164</v>
      </c>
      <c r="Q37" t="s">
        <v>49</v>
      </c>
      <c r="R37" t="s">
        <v>134</v>
      </c>
      <c r="S37" s="1">
        <v>45778</v>
      </c>
      <c r="U37" t="s">
        <v>51</v>
      </c>
      <c r="X37" t="s">
        <v>52</v>
      </c>
      <c r="Y37" s="2">
        <v>0</v>
      </c>
      <c r="Z37" s="2">
        <v>50</v>
      </c>
      <c r="AA37">
        <v>1</v>
      </c>
      <c r="AB37" s="3">
        <v>1</v>
      </c>
      <c r="AC37" s="2">
        <v>50</v>
      </c>
      <c r="AD37" s="3">
        <v>0</v>
      </c>
      <c r="AE37" s="2">
        <v>0</v>
      </c>
      <c r="AF37" s="2">
        <v>50</v>
      </c>
      <c r="AK37">
        <v>5290697</v>
      </c>
    </row>
    <row r="38" spans="1:38" x14ac:dyDescent="0.3">
      <c r="A38" s="1">
        <v>45749</v>
      </c>
      <c r="B38" s="1">
        <v>45749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177</v>
      </c>
      <c r="J38" t="s">
        <v>178</v>
      </c>
      <c r="M38" t="s">
        <v>179</v>
      </c>
      <c r="O38" t="s">
        <v>90</v>
      </c>
      <c r="P38" t="s">
        <v>91</v>
      </c>
      <c r="Q38" t="s">
        <v>49</v>
      </c>
      <c r="R38" t="s">
        <v>134</v>
      </c>
      <c r="S38" s="1">
        <v>45778</v>
      </c>
      <c r="U38" t="s">
        <v>51</v>
      </c>
      <c r="X38" t="s">
        <v>52</v>
      </c>
      <c r="Y38" s="2">
        <v>0</v>
      </c>
      <c r="Z38" s="2">
        <v>50</v>
      </c>
      <c r="AA38">
        <v>1</v>
      </c>
      <c r="AB38" s="3">
        <v>1</v>
      </c>
      <c r="AC38" s="2">
        <v>50</v>
      </c>
      <c r="AD38" s="3">
        <v>0</v>
      </c>
      <c r="AE38" s="2">
        <v>0</v>
      </c>
      <c r="AF38" s="2">
        <v>50</v>
      </c>
      <c r="AK38">
        <v>5290698</v>
      </c>
    </row>
    <row r="39" spans="1:38" x14ac:dyDescent="0.3">
      <c r="A39" s="1">
        <v>45749</v>
      </c>
      <c r="B39" s="1">
        <v>45749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180</v>
      </c>
      <c r="J39" t="s">
        <v>181</v>
      </c>
      <c r="M39" t="s">
        <v>182</v>
      </c>
      <c r="O39" t="s">
        <v>90</v>
      </c>
      <c r="P39" t="s">
        <v>91</v>
      </c>
      <c r="Q39" t="s">
        <v>49</v>
      </c>
      <c r="R39" t="s">
        <v>134</v>
      </c>
      <c r="S39" s="1">
        <v>45717</v>
      </c>
      <c r="U39" t="s">
        <v>51</v>
      </c>
      <c r="X39" t="s">
        <v>52</v>
      </c>
      <c r="Y39" s="2">
        <v>0</v>
      </c>
      <c r="Z39" s="2">
        <v>50</v>
      </c>
      <c r="AA39">
        <v>1</v>
      </c>
      <c r="AB39" s="3">
        <v>1</v>
      </c>
      <c r="AC39" s="2">
        <v>50</v>
      </c>
      <c r="AD39" s="3">
        <v>0</v>
      </c>
      <c r="AE39" s="2">
        <v>0</v>
      </c>
      <c r="AF39" s="2">
        <v>50</v>
      </c>
      <c r="AK39">
        <v>5290708</v>
      </c>
    </row>
    <row r="40" spans="1:38" x14ac:dyDescent="0.3">
      <c r="A40" s="1">
        <v>45749</v>
      </c>
      <c r="B40" s="1">
        <v>45749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183</v>
      </c>
      <c r="J40" t="s">
        <v>184</v>
      </c>
      <c r="M40" t="s">
        <v>115</v>
      </c>
      <c r="O40" t="s">
        <v>125</v>
      </c>
      <c r="P40" t="s">
        <v>126</v>
      </c>
      <c r="Q40" t="s">
        <v>49</v>
      </c>
      <c r="R40" t="s">
        <v>134</v>
      </c>
      <c r="S40" s="1">
        <v>45689</v>
      </c>
      <c r="U40" t="s">
        <v>51</v>
      </c>
      <c r="X40" t="s">
        <v>52</v>
      </c>
      <c r="Y40" s="2">
        <v>0</v>
      </c>
      <c r="Z40" s="2">
        <v>50</v>
      </c>
      <c r="AA40">
        <v>1</v>
      </c>
      <c r="AB40" s="3">
        <v>1</v>
      </c>
      <c r="AC40" s="2">
        <v>50</v>
      </c>
      <c r="AD40" s="3">
        <v>0</v>
      </c>
      <c r="AE40" s="2">
        <v>0</v>
      </c>
      <c r="AF40" s="2">
        <v>50</v>
      </c>
      <c r="AK40">
        <v>5290722</v>
      </c>
    </row>
    <row r="41" spans="1:38" x14ac:dyDescent="0.3">
      <c r="A41" s="1">
        <v>45749</v>
      </c>
      <c r="B41" s="1">
        <v>45749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186</v>
      </c>
      <c r="M41" t="s">
        <v>187</v>
      </c>
      <c r="O41" t="s">
        <v>125</v>
      </c>
      <c r="P41" t="s">
        <v>126</v>
      </c>
      <c r="Q41" t="s">
        <v>49</v>
      </c>
      <c r="R41" t="s">
        <v>134</v>
      </c>
      <c r="S41" s="1">
        <v>45717</v>
      </c>
      <c r="U41" t="s">
        <v>51</v>
      </c>
      <c r="X41" t="s">
        <v>52</v>
      </c>
      <c r="Y41" s="2">
        <v>0</v>
      </c>
      <c r="Z41" s="2">
        <v>50</v>
      </c>
      <c r="AA41">
        <v>1</v>
      </c>
      <c r="AB41" s="3">
        <v>1</v>
      </c>
      <c r="AC41" s="2">
        <v>50</v>
      </c>
      <c r="AD41" s="3">
        <v>0</v>
      </c>
      <c r="AE41" s="2">
        <v>0</v>
      </c>
      <c r="AF41" s="2">
        <v>50</v>
      </c>
      <c r="AK41">
        <v>5290727</v>
      </c>
    </row>
    <row r="42" spans="1:38" x14ac:dyDescent="0.3">
      <c r="A42" s="1">
        <v>45749</v>
      </c>
      <c r="B42" s="1">
        <v>45749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188</v>
      </c>
      <c r="J42" t="s">
        <v>189</v>
      </c>
      <c r="M42" t="s">
        <v>115</v>
      </c>
      <c r="O42" t="s">
        <v>163</v>
      </c>
      <c r="P42" t="s">
        <v>164</v>
      </c>
      <c r="Q42" t="s">
        <v>49</v>
      </c>
      <c r="R42" t="s">
        <v>134</v>
      </c>
      <c r="S42" s="1">
        <v>45717</v>
      </c>
      <c r="U42" t="s">
        <v>51</v>
      </c>
      <c r="X42" t="s">
        <v>52</v>
      </c>
      <c r="Y42" s="2">
        <v>0</v>
      </c>
      <c r="Z42" s="2">
        <v>50</v>
      </c>
      <c r="AA42">
        <v>1</v>
      </c>
      <c r="AB42" s="3">
        <v>1</v>
      </c>
      <c r="AC42" s="2">
        <v>50</v>
      </c>
      <c r="AD42" s="3">
        <v>0</v>
      </c>
      <c r="AE42" s="2">
        <v>0</v>
      </c>
      <c r="AF42" s="2">
        <v>50</v>
      </c>
      <c r="AK42">
        <v>5290731</v>
      </c>
    </row>
    <row r="43" spans="1:38" x14ac:dyDescent="0.3">
      <c r="A43" s="1">
        <v>45749</v>
      </c>
      <c r="B43" s="1">
        <v>45749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191</v>
      </c>
      <c r="M43" t="s">
        <v>179</v>
      </c>
      <c r="O43" t="s">
        <v>47</v>
      </c>
      <c r="P43" t="s">
        <v>48</v>
      </c>
      <c r="Q43" t="s">
        <v>49</v>
      </c>
      <c r="R43" t="s">
        <v>134</v>
      </c>
      <c r="S43" s="1">
        <v>45778</v>
      </c>
      <c r="U43" t="s">
        <v>51</v>
      </c>
      <c r="X43" t="s">
        <v>52</v>
      </c>
      <c r="Y43" s="2">
        <v>0</v>
      </c>
      <c r="Z43" s="2">
        <v>50</v>
      </c>
      <c r="AA43">
        <v>1</v>
      </c>
      <c r="AB43" s="3">
        <v>1</v>
      </c>
      <c r="AC43" s="2">
        <v>50</v>
      </c>
      <c r="AD43" s="3">
        <v>0</v>
      </c>
      <c r="AE43" s="2">
        <v>0</v>
      </c>
      <c r="AF43" s="2">
        <v>50</v>
      </c>
      <c r="AK43">
        <v>5290732</v>
      </c>
    </row>
    <row r="44" spans="1:38" x14ac:dyDescent="0.3">
      <c r="A44" s="1">
        <v>45749</v>
      </c>
      <c r="B44" s="1">
        <v>45749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192</v>
      </c>
      <c r="J44" t="s">
        <v>193</v>
      </c>
      <c r="M44" t="s">
        <v>194</v>
      </c>
      <c r="O44" t="s">
        <v>47</v>
      </c>
      <c r="P44" t="s">
        <v>48</v>
      </c>
      <c r="Q44" t="s">
        <v>49</v>
      </c>
      <c r="R44" t="s">
        <v>134</v>
      </c>
      <c r="S44" s="1">
        <v>45748</v>
      </c>
      <c r="U44" t="s">
        <v>51</v>
      </c>
      <c r="X44" t="s">
        <v>52</v>
      </c>
      <c r="Y44" s="2">
        <v>0</v>
      </c>
      <c r="Z44" s="2">
        <v>50</v>
      </c>
      <c r="AA44">
        <v>1</v>
      </c>
      <c r="AB44" s="3">
        <v>1</v>
      </c>
      <c r="AC44" s="2">
        <v>50</v>
      </c>
      <c r="AD44" s="3">
        <v>0</v>
      </c>
      <c r="AE44" s="2">
        <v>0</v>
      </c>
      <c r="AF44" s="2">
        <v>50</v>
      </c>
      <c r="AK44">
        <v>5290733</v>
      </c>
    </row>
    <row r="45" spans="1:38" x14ac:dyDescent="0.3">
      <c r="A45" s="1">
        <v>45749</v>
      </c>
      <c r="B45" s="1">
        <v>45749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196</v>
      </c>
      <c r="M45" t="s">
        <v>115</v>
      </c>
      <c r="O45" t="s">
        <v>197</v>
      </c>
      <c r="P45" t="s">
        <v>198</v>
      </c>
      <c r="Q45" t="s">
        <v>49</v>
      </c>
      <c r="R45" t="s">
        <v>134</v>
      </c>
      <c r="S45" s="1">
        <v>45778</v>
      </c>
      <c r="U45" t="s">
        <v>51</v>
      </c>
      <c r="X45" t="s">
        <v>52</v>
      </c>
      <c r="Y45" s="2">
        <v>0</v>
      </c>
      <c r="Z45" s="2">
        <v>50</v>
      </c>
      <c r="AA45">
        <v>1</v>
      </c>
      <c r="AB45" s="3">
        <v>1</v>
      </c>
      <c r="AC45" s="2">
        <v>50</v>
      </c>
      <c r="AD45" s="3">
        <v>0</v>
      </c>
      <c r="AE45" s="2">
        <v>0</v>
      </c>
      <c r="AF45" s="2">
        <v>50</v>
      </c>
      <c r="AK45">
        <v>5290738</v>
      </c>
    </row>
    <row r="46" spans="1:38" x14ac:dyDescent="0.3">
      <c r="A46" s="1">
        <v>45749</v>
      </c>
      <c r="B46" s="1">
        <v>45749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199</v>
      </c>
      <c r="J46" t="s">
        <v>200</v>
      </c>
      <c r="M46" t="s">
        <v>115</v>
      </c>
      <c r="O46" t="s">
        <v>197</v>
      </c>
      <c r="P46" t="s">
        <v>198</v>
      </c>
      <c r="Q46" t="s">
        <v>49</v>
      </c>
      <c r="R46" t="s">
        <v>134</v>
      </c>
      <c r="S46" s="1">
        <v>45778</v>
      </c>
      <c r="U46" t="s">
        <v>51</v>
      </c>
      <c r="X46" t="s">
        <v>52</v>
      </c>
      <c r="Y46" s="2">
        <v>0</v>
      </c>
      <c r="Z46" s="2">
        <v>50</v>
      </c>
      <c r="AA46">
        <v>1</v>
      </c>
      <c r="AB46" s="3">
        <v>1</v>
      </c>
      <c r="AC46" s="2">
        <v>50</v>
      </c>
      <c r="AD46" s="3">
        <v>0</v>
      </c>
      <c r="AE46" s="2">
        <v>0</v>
      </c>
      <c r="AF46" s="2">
        <v>50</v>
      </c>
      <c r="AK46">
        <v>5290740</v>
      </c>
    </row>
    <row r="47" spans="1:38" x14ac:dyDescent="0.3">
      <c r="A47" s="1">
        <v>45749</v>
      </c>
      <c r="B47" s="1">
        <v>45749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201</v>
      </c>
      <c r="J47" t="s">
        <v>202</v>
      </c>
      <c r="M47" t="s">
        <v>203</v>
      </c>
      <c r="O47" t="s">
        <v>74</v>
      </c>
      <c r="P47" t="s">
        <v>75</v>
      </c>
      <c r="Q47" t="s">
        <v>49</v>
      </c>
      <c r="R47" t="s">
        <v>134</v>
      </c>
      <c r="S47" s="1">
        <v>45717</v>
      </c>
      <c r="U47" t="s">
        <v>51</v>
      </c>
      <c r="X47" t="s">
        <v>52</v>
      </c>
      <c r="Y47" s="2">
        <v>0</v>
      </c>
      <c r="Z47" s="2">
        <v>50</v>
      </c>
      <c r="AA47">
        <v>1</v>
      </c>
      <c r="AB47" s="3">
        <v>1</v>
      </c>
      <c r="AC47" s="2">
        <v>50</v>
      </c>
      <c r="AD47" s="3">
        <v>0</v>
      </c>
      <c r="AE47" s="2">
        <v>0</v>
      </c>
      <c r="AF47" s="2">
        <v>50</v>
      </c>
      <c r="AK47">
        <v>5290745</v>
      </c>
    </row>
    <row r="48" spans="1:38" x14ac:dyDescent="0.3">
      <c r="A48" s="1">
        <v>45749</v>
      </c>
      <c r="B48" s="1">
        <v>45749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204</v>
      </c>
      <c r="J48" t="s">
        <v>205</v>
      </c>
      <c r="M48" t="s">
        <v>206</v>
      </c>
      <c r="O48" t="s">
        <v>159</v>
      </c>
      <c r="P48" t="s">
        <v>160</v>
      </c>
      <c r="Q48" t="s">
        <v>49</v>
      </c>
      <c r="R48" t="s">
        <v>118</v>
      </c>
      <c r="S48" s="1">
        <v>45809</v>
      </c>
      <c r="U48" t="s">
        <v>51</v>
      </c>
      <c r="X48" t="s">
        <v>52</v>
      </c>
      <c r="Y48" s="2">
        <v>0</v>
      </c>
      <c r="Z48" s="2">
        <v>29.17</v>
      </c>
      <c r="AA48">
        <v>1</v>
      </c>
      <c r="AB48" s="3">
        <v>1</v>
      </c>
      <c r="AC48" s="2">
        <v>29.17</v>
      </c>
      <c r="AD48" s="3">
        <v>0</v>
      </c>
      <c r="AE48" s="2">
        <v>0</v>
      </c>
      <c r="AF48" s="2">
        <v>29.17</v>
      </c>
      <c r="AK48">
        <v>5290553</v>
      </c>
      <c r="AL48" t="s">
        <v>207</v>
      </c>
    </row>
    <row r="49" spans="1:38" x14ac:dyDescent="0.3">
      <c r="A49" s="1">
        <v>45749</v>
      </c>
      <c r="B49" s="1">
        <v>45749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208</v>
      </c>
      <c r="J49" t="s">
        <v>209</v>
      </c>
      <c r="M49" t="s">
        <v>115</v>
      </c>
      <c r="O49" t="s">
        <v>197</v>
      </c>
      <c r="P49" t="s">
        <v>198</v>
      </c>
      <c r="Q49" t="s">
        <v>49</v>
      </c>
      <c r="R49" t="s">
        <v>118</v>
      </c>
      <c r="S49" s="1">
        <v>45748</v>
      </c>
      <c r="U49" t="s">
        <v>51</v>
      </c>
      <c r="X49" t="s">
        <v>52</v>
      </c>
      <c r="Y49" s="2">
        <v>0</v>
      </c>
      <c r="Z49" s="2">
        <v>37.5</v>
      </c>
      <c r="AA49">
        <v>1</v>
      </c>
      <c r="AB49" s="3">
        <v>1</v>
      </c>
      <c r="AC49" s="2">
        <v>37.5</v>
      </c>
      <c r="AD49" s="3">
        <v>0</v>
      </c>
      <c r="AE49" s="2">
        <v>0</v>
      </c>
      <c r="AF49" s="2">
        <v>37.5</v>
      </c>
      <c r="AK49">
        <v>5290565</v>
      </c>
      <c r="AL49" t="s">
        <v>119</v>
      </c>
    </row>
    <row r="50" spans="1:38" x14ac:dyDescent="0.3">
      <c r="A50" s="1">
        <v>45749</v>
      </c>
      <c r="B50" s="1">
        <v>45749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210</v>
      </c>
      <c r="J50" t="s">
        <v>211</v>
      </c>
      <c r="M50" t="s">
        <v>122</v>
      </c>
      <c r="O50" t="s">
        <v>212</v>
      </c>
      <c r="P50" t="s">
        <v>213</v>
      </c>
      <c r="Q50" t="s">
        <v>49</v>
      </c>
      <c r="R50" t="s">
        <v>118</v>
      </c>
      <c r="S50" s="1">
        <v>45748</v>
      </c>
      <c r="U50" t="s">
        <v>51</v>
      </c>
      <c r="X50" t="s">
        <v>52</v>
      </c>
      <c r="Y50" s="2">
        <v>0</v>
      </c>
      <c r="Z50" s="2">
        <v>37.5</v>
      </c>
      <c r="AA50">
        <v>1</v>
      </c>
      <c r="AB50" s="3">
        <v>1</v>
      </c>
      <c r="AC50" s="2">
        <v>37.5</v>
      </c>
      <c r="AD50" s="3">
        <v>0</v>
      </c>
      <c r="AE50" s="2">
        <v>0</v>
      </c>
      <c r="AF50" s="2">
        <v>37.5</v>
      </c>
      <c r="AK50">
        <v>5290566</v>
      </c>
      <c r="AL50" t="s">
        <v>119</v>
      </c>
    </row>
    <row r="51" spans="1:38" x14ac:dyDescent="0.3">
      <c r="A51" s="1">
        <v>45749</v>
      </c>
      <c r="B51" s="1">
        <v>45749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214</v>
      </c>
      <c r="J51" t="s">
        <v>215</v>
      </c>
      <c r="M51" t="s">
        <v>122</v>
      </c>
      <c r="O51" t="s">
        <v>78</v>
      </c>
      <c r="P51" t="s">
        <v>79</v>
      </c>
      <c r="Q51" t="s">
        <v>49</v>
      </c>
      <c r="R51" t="s">
        <v>118</v>
      </c>
      <c r="S51" s="1">
        <v>45748</v>
      </c>
      <c r="U51" t="s">
        <v>51</v>
      </c>
      <c r="X51" t="s">
        <v>52</v>
      </c>
      <c r="Y51" s="2">
        <v>0</v>
      </c>
      <c r="Z51" s="2">
        <v>37.5</v>
      </c>
      <c r="AA51">
        <v>1</v>
      </c>
      <c r="AB51" s="3">
        <v>1</v>
      </c>
      <c r="AC51" s="2">
        <v>37.5</v>
      </c>
      <c r="AD51" s="3">
        <v>0</v>
      </c>
      <c r="AE51" s="2">
        <v>0</v>
      </c>
      <c r="AF51" s="2">
        <v>37.5</v>
      </c>
      <c r="AK51">
        <v>5290574</v>
      </c>
      <c r="AL51" t="s">
        <v>119</v>
      </c>
    </row>
    <row r="52" spans="1:38" x14ac:dyDescent="0.3">
      <c r="A52" s="1">
        <v>45749</v>
      </c>
      <c r="B52" s="1">
        <v>45749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216</v>
      </c>
      <c r="J52" t="s">
        <v>217</v>
      </c>
      <c r="M52" t="s">
        <v>122</v>
      </c>
      <c r="O52" t="s">
        <v>90</v>
      </c>
      <c r="P52" t="s">
        <v>91</v>
      </c>
      <c r="Q52" t="s">
        <v>49</v>
      </c>
      <c r="R52" t="s">
        <v>118</v>
      </c>
      <c r="S52" s="1">
        <v>45748</v>
      </c>
      <c r="U52" t="s">
        <v>51</v>
      </c>
      <c r="X52" t="s">
        <v>52</v>
      </c>
      <c r="Y52" s="2">
        <v>0</v>
      </c>
      <c r="Z52" s="2">
        <v>37.5</v>
      </c>
      <c r="AA52">
        <v>1</v>
      </c>
      <c r="AB52" s="3">
        <v>1</v>
      </c>
      <c r="AC52" s="2">
        <v>37.5</v>
      </c>
      <c r="AD52" s="3">
        <v>0</v>
      </c>
      <c r="AE52" s="2">
        <v>0</v>
      </c>
      <c r="AF52" s="2">
        <v>37.5</v>
      </c>
      <c r="AK52">
        <v>5290577</v>
      </c>
      <c r="AL52" t="s">
        <v>119</v>
      </c>
    </row>
    <row r="53" spans="1:38" x14ac:dyDescent="0.3">
      <c r="A53" s="1">
        <v>45749</v>
      </c>
      <c r="B53" s="1">
        <v>45749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218</v>
      </c>
      <c r="J53" t="s">
        <v>219</v>
      </c>
      <c r="M53" t="s">
        <v>122</v>
      </c>
      <c r="O53" t="s">
        <v>59</v>
      </c>
      <c r="P53" t="s">
        <v>60</v>
      </c>
      <c r="Q53" t="s">
        <v>49</v>
      </c>
      <c r="R53" t="s">
        <v>118</v>
      </c>
      <c r="S53" s="1">
        <v>45748</v>
      </c>
      <c r="U53" t="s">
        <v>51</v>
      </c>
      <c r="X53" t="s">
        <v>52</v>
      </c>
      <c r="Y53" s="2">
        <v>0</v>
      </c>
      <c r="Z53" s="2">
        <v>37.5</v>
      </c>
      <c r="AA53">
        <v>1</v>
      </c>
      <c r="AB53" s="3">
        <v>1</v>
      </c>
      <c r="AC53" s="2">
        <v>37.5</v>
      </c>
      <c r="AD53" s="3">
        <v>0</v>
      </c>
      <c r="AE53" s="2">
        <v>0</v>
      </c>
      <c r="AF53" s="2">
        <v>37.5</v>
      </c>
      <c r="AK53">
        <v>5290582</v>
      </c>
      <c r="AL53" t="s">
        <v>119</v>
      </c>
    </row>
    <row r="54" spans="1:38" x14ac:dyDescent="0.3">
      <c r="A54" s="1">
        <v>45749</v>
      </c>
      <c r="B54" s="1">
        <v>45749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220</v>
      </c>
      <c r="J54" t="s">
        <v>221</v>
      </c>
      <c r="M54" t="s">
        <v>115</v>
      </c>
      <c r="O54" t="s">
        <v>125</v>
      </c>
      <c r="P54" t="s">
        <v>126</v>
      </c>
      <c r="Q54" t="s">
        <v>49</v>
      </c>
      <c r="R54" t="s">
        <v>118</v>
      </c>
      <c r="S54" s="1">
        <v>45748</v>
      </c>
      <c r="U54" t="s">
        <v>51</v>
      </c>
      <c r="X54" t="s">
        <v>52</v>
      </c>
      <c r="Y54" s="2">
        <v>0</v>
      </c>
      <c r="Z54" s="2">
        <v>37.5</v>
      </c>
      <c r="AA54">
        <v>1</v>
      </c>
      <c r="AB54" s="3">
        <v>1</v>
      </c>
      <c r="AC54" s="2">
        <v>37.5</v>
      </c>
      <c r="AD54" s="3">
        <v>0</v>
      </c>
      <c r="AE54" s="2">
        <v>0</v>
      </c>
      <c r="AF54" s="2">
        <v>37.5</v>
      </c>
      <c r="AK54">
        <v>5290583</v>
      </c>
      <c r="AL54" t="s">
        <v>119</v>
      </c>
    </row>
    <row r="55" spans="1:38" x14ac:dyDescent="0.3">
      <c r="A55" s="1">
        <v>45749</v>
      </c>
      <c r="B55" s="1">
        <v>45749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222</v>
      </c>
      <c r="J55" t="s">
        <v>223</v>
      </c>
      <c r="M55" t="s">
        <v>122</v>
      </c>
      <c r="O55" t="s">
        <v>74</v>
      </c>
      <c r="P55" t="s">
        <v>75</v>
      </c>
      <c r="Q55" t="s">
        <v>49</v>
      </c>
      <c r="R55" t="s">
        <v>118</v>
      </c>
      <c r="S55" s="1">
        <v>45748</v>
      </c>
      <c r="U55" t="s">
        <v>51</v>
      </c>
      <c r="X55" t="s">
        <v>52</v>
      </c>
      <c r="Y55" s="2">
        <v>0</v>
      </c>
      <c r="Z55" s="2">
        <v>37.5</v>
      </c>
      <c r="AA55">
        <v>1</v>
      </c>
      <c r="AB55" s="3">
        <v>1</v>
      </c>
      <c r="AC55" s="2">
        <v>37.5</v>
      </c>
      <c r="AD55" s="3">
        <v>0</v>
      </c>
      <c r="AE55" s="2">
        <v>0</v>
      </c>
      <c r="AF55" s="2">
        <v>37.5</v>
      </c>
      <c r="AK55">
        <v>5290586</v>
      </c>
      <c r="AL55" t="s">
        <v>119</v>
      </c>
    </row>
    <row r="56" spans="1:38" x14ac:dyDescent="0.3">
      <c r="A56" s="1">
        <v>45749</v>
      </c>
      <c r="B56" s="1">
        <v>45749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224</v>
      </c>
      <c r="J56" t="s">
        <v>225</v>
      </c>
      <c r="M56" t="s">
        <v>133</v>
      </c>
      <c r="O56" t="s">
        <v>96</v>
      </c>
      <c r="P56" t="s">
        <v>97</v>
      </c>
      <c r="Q56" t="s">
        <v>49</v>
      </c>
      <c r="R56" t="s">
        <v>226</v>
      </c>
      <c r="S56" s="1">
        <v>45717</v>
      </c>
      <c r="U56" t="s">
        <v>51</v>
      </c>
      <c r="X56" t="s">
        <v>52</v>
      </c>
      <c r="Y56" s="2">
        <v>0</v>
      </c>
      <c r="Z56" s="2">
        <v>100</v>
      </c>
      <c r="AA56">
        <v>1</v>
      </c>
      <c r="AB56" s="3">
        <v>1</v>
      </c>
      <c r="AC56" s="2">
        <v>100</v>
      </c>
      <c r="AD56" s="3">
        <v>0</v>
      </c>
      <c r="AE56" s="2">
        <v>0</v>
      </c>
      <c r="AF56" s="2">
        <v>100</v>
      </c>
      <c r="AK56">
        <v>5290831</v>
      </c>
    </row>
    <row r="57" spans="1:38" x14ac:dyDescent="0.3">
      <c r="A57" s="1">
        <v>45749</v>
      </c>
      <c r="B57" s="1">
        <v>45749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227</v>
      </c>
      <c r="J57" t="s">
        <v>228</v>
      </c>
      <c r="M57" t="s">
        <v>133</v>
      </c>
      <c r="O57" t="s">
        <v>96</v>
      </c>
      <c r="P57" t="s">
        <v>97</v>
      </c>
      <c r="Q57" t="s">
        <v>49</v>
      </c>
      <c r="R57" t="s">
        <v>229</v>
      </c>
      <c r="S57" s="1">
        <v>45748</v>
      </c>
      <c r="U57" t="s">
        <v>51</v>
      </c>
      <c r="X57" t="s">
        <v>52</v>
      </c>
      <c r="Y57" s="2">
        <v>0</v>
      </c>
      <c r="Z57" s="2">
        <v>234.75</v>
      </c>
      <c r="AA57">
        <v>1</v>
      </c>
      <c r="AB57" s="3">
        <v>1</v>
      </c>
      <c r="AC57" s="2">
        <v>234.75</v>
      </c>
      <c r="AD57" s="3">
        <v>0</v>
      </c>
      <c r="AE57" s="2">
        <v>0</v>
      </c>
      <c r="AF57" s="2">
        <v>234.75</v>
      </c>
      <c r="AK57">
        <v>5291154</v>
      </c>
      <c r="AL57" t="s">
        <v>119</v>
      </c>
    </row>
    <row r="58" spans="1:38" x14ac:dyDescent="0.3">
      <c r="A58" s="1">
        <v>45749</v>
      </c>
      <c r="B58" s="1">
        <v>45749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230</v>
      </c>
      <c r="J58" t="s">
        <v>228</v>
      </c>
      <c r="M58" t="s">
        <v>133</v>
      </c>
      <c r="O58" t="s">
        <v>96</v>
      </c>
      <c r="P58" t="s">
        <v>97</v>
      </c>
      <c r="Q58" t="s">
        <v>49</v>
      </c>
      <c r="R58" t="s">
        <v>231</v>
      </c>
      <c r="S58" s="1">
        <v>45748</v>
      </c>
      <c r="U58" t="s">
        <v>51</v>
      </c>
      <c r="X58" t="s">
        <v>52</v>
      </c>
      <c r="Y58" s="2">
        <v>0</v>
      </c>
      <c r="Z58" s="2">
        <v>54</v>
      </c>
      <c r="AA58">
        <v>1</v>
      </c>
      <c r="AB58" s="3">
        <v>1</v>
      </c>
      <c r="AC58" s="2">
        <v>54</v>
      </c>
      <c r="AD58" s="3">
        <v>0</v>
      </c>
      <c r="AE58" s="2">
        <v>0</v>
      </c>
      <c r="AF58" s="2">
        <v>54</v>
      </c>
      <c r="AK58">
        <v>5291155</v>
      </c>
      <c r="AL58" t="s">
        <v>119</v>
      </c>
    </row>
    <row r="59" spans="1:38" x14ac:dyDescent="0.3">
      <c r="A59" s="1">
        <v>45749</v>
      </c>
      <c r="B59" s="1">
        <v>45749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232</v>
      </c>
      <c r="J59" t="s">
        <v>233</v>
      </c>
      <c r="M59" t="s">
        <v>122</v>
      </c>
      <c r="O59" t="s">
        <v>142</v>
      </c>
      <c r="P59" t="s">
        <v>143</v>
      </c>
      <c r="Q59" t="s">
        <v>49</v>
      </c>
      <c r="R59" t="s">
        <v>234</v>
      </c>
      <c r="S59" s="1">
        <v>45809</v>
      </c>
      <c r="U59" t="s">
        <v>51</v>
      </c>
      <c r="X59" t="s">
        <v>52</v>
      </c>
      <c r="Y59" s="2">
        <v>0</v>
      </c>
      <c r="Z59" s="2">
        <v>31.98</v>
      </c>
      <c r="AA59">
        <v>9</v>
      </c>
      <c r="AB59" s="3">
        <v>1</v>
      </c>
      <c r="AC59" s="2">
        <v>287.82</v>
      </c>
      <c r="AD59" s="3">
        <v>0</v>
      </c>
      <c r="AE59" s="2">
        <v>0</v>
      </c>
      <c r="AF59" s="2">
        <v>287.82</v>
      </c>
      <c r="AK59">
        <v>5291067</v>
      </c>
    </row>
    <row r="60" spans="1:38" x14ac:dyDescent="0.3">
      <c r="A60" s="1">
        <v>45749</v>
      </c>
      <c r="B60" s="1">
        <v>45749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235</v>
      </c>
      <c r="J60" t="s">
        <v>236</v>
      </c>
      <c r="M60" t="s">
        <v>122</v>
      </c>
      <c r="O60" t="s">
        <v>47</v>
      </c>
      <c r="P60" t="s">
        <v>48</v>
      </c>
      <c r="Q60" t="s">
        <v>49</v>
      </c>
      <c r="R60" t="s">
        <v>234</v>
      </c>
      <c r="S60" s="1">
        <v>45748</v>
      </c>
      <c r="U60" t="s">
        <v>51</v>
      </c>
      <c r="X60" t="s">
        <v>52</v>
      </c>
      <c r="Y60" s="2">
        <v>0</v>
      </c>
      <c r="Z60" s="2">
        <v>31.98</v>
      </c>
      <c r="AA60">
        <v>9</v>
      </c>
      <c r="AB60" s="3">
        <v>1</v>
      </c>
      <c r="AC60" s="2">
        <v>287.82</v>
      </c>
      <c r="AD60" s="3">
        <v>0</v>
      </c>
      <c r="AE60" s="2">
        <v>0</v>
      </c>
      <c r="AF60" s="2">
        <v>287.82</v>
      </c>
      <c r="AK60">
        <v>5291066</v>
      </c>
    </row>
    <row r="61" spans="1:38" s="7" customFormat="1" x14ac:dyDescent="0.3">
      <c r="A61" s="8">
        <v>45749</v>
      </c>
      <c r="B61" s="8">
        <v>45749</v>
      </c>
      <c r="C61" s="7" t="s">
        <v>38</v>
      </c>
      <c r="D61" s="7" t="s">
        <v>39</v>
      </c>
      <c r="E61" s="7" t="s">
        <v>40</v>
      </c>
      <c r="F61" s="7" t="s">
        <v>41</v>
      </c>
      <c r="G61" s="7" t="s">
        <v>42</v>
      </c>
      <c r="H61" s="7" t="s">
        <v>43</v>
      </c>
      <c r="I61" s="7" t="s">
        <v>237</v>
      </c>
      <c r="J61" s="7" t="s">
        <v>238</v>
      </c>
      <c r="M61" s="7" t="s">
        <v>239</v>
      </c>
      <c r="O61" s="7" t="s">
        <v>240</v>
      </c>
      <c r="P61" s="7" t="s">
        <v>241</v>
      </c>
      <c r="Q61" s="7" t="s">
        <v>49</v>
      </c>
      <c r="R61" s="7" t="s">
        <v>242</v>
      </c>
      <c r="S61" s="8">
        <v>45748</v>
      </c>
      <c r="U61" s="7" t="s">
        <v>51</v>
      </c>
      <c r="X61" s="7" t="s">
        <v>52</v>
      </c>
      <c r="Y61" s="9">
        <v>0</v>
      </c>
      <c r="Z61" s="9">
        <v>40.020000000000003</v>
      </c>
      <c r="AA61" s="7">
        <v>9</v>
      </c>
      <c r="AB61" s="10">
        <v>1</v>
      </c>
      <c r="AC61" s="9">
        <v>360.18</v>
      </c>
      <c r="AD61" s="10">
        <v>0</v>
      </c>
      <c r="AE61" s="9">
        <v>0</v>
      </c>
      <c r="AF61" s="9">
        <v>360.18</v>
      </c>
      <c r="AK61" s="7">
        <v>5291068</v>
      </c>
    </row>
    <row r="62" spans="1:38" s="7" customFormat="1" x14ac:dyDescent="0.3">
      <c r="A62" s="8">
        <v>45749</v>
      </c>
      <c r="B62" s="8">
        <v>45749</v>
      </c>
      <c r="C62" s="7" t="s">
        <v>38</v>
      </c>
      <c r="D62" s="7" t="s">
        <v>39</v>
      </c>
      <c r="E62" s="7" t="s">
        <v>40</v>
      </c>
      <c r="F62" s="7" t="s">
        <v>41</v>
      </c>
      <c r="G62" s="7" t="s">
        <v>42</v>
      </c>
      <c r="H62" s="7" t="s">
        <v>43</v>
      </c>
      <c r="I62" s="7" t="s">
        <v>243</v>
      </c>
      <c r="J62" s="7" t="s">
        <v>244</v>
      </c>
      <c r="O62" s="7" t="s">
        <v>245</v>
      </c>
      <c r="Q62" s="7" t="s">
        <v>246</v>
      </c>
      <c r="R62" s="7" t="s">
        <v>244</v>
      </c>
      <c r="S62" s="8">
        <v>44927</v>
      </c>
      <c r="U62" s="7" t="s">
        <v>247</v>
      </c>
      <c r="X62" s="7" t="s">
        <v>52</v>
      </c>
      <c r="Y62" s="9">
        <v>0</v>
      </c>
      <c r="Z62" s="9">
        <v>-50</v>
      </c>
      <c r="AA62" s="7">
        <v>1</v>
      </c>
      <c r="AB62" s="10">
        <v>1</v>
      </c>
      <c r="AC62" s="9">
        <v>-50</v>
      </c>
      <c r="AD62" s="10">
        <v>0</v>
      </c>
      <c r="AE62" s="9">
        <v>0</v>
      </c>
      <c r="AF62" s="9">
        <v>-50</v>
      </c>
      <c r="AK62" s="7">
        <v>0</v>
      </c>
      <c r="AL62" s="7" t="s">
        <v>248</v>
      </c>
    </row>
    <row r="63" spans="1:38" x14ac:dyDescent="0.3">
      <c r="A63" s="1">
        <v>45749</v>
      </c>
      <c r="B63" s="1">
        <v>45749</v>
      </c>
      <c r="C63" t="s">
        <v>249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250</v>
      </c>
      <c r="J63" t="s">
        <v>251</v>
      </c>
      <c r="M63" t="s">
        <v>46</v>
      </c>
      <c r="O63" t="s">
        <v>129</v>
      </c>
      <c r="P63" t="s">
        <v>130</v>
      </c>
      <c r="Q63" t="s">
        <v>252</v>
      </c>
      <c r="R63" t="s">
        <v>50</v>
      </c>
      <c r="S63" s="1">
        <v>45658</v>
      </c>
      <c r="U63" t="s">
        <v>51</v>
      </c>
      <c r="X63" t="s">
        <v>52</v>
      </c>
      <c r="AF63" s="2">
        <v>175</v>
      </c>
      <c r="AG63" s="2">
        <v>0</v>
      </c>
      <c r="AJ63" s="2">
        <v>131.25</v>
      </c>
    </row>
    <row r="64" spans="1:38" x14ac:dyDescent="0.3">
      <c r="A64" s="1">
        <v>45749</v>
      </c>
      <c r="B64" s="1">
        <v>45749</v>
      </c>
      <c r="C64" t="s">
        <v>249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253</v>
      </c>
      <c r="J64" t="s">
        <v>254</v>
      </c>
      <c r="M64" t="s">
        <v>46</v>
      </c>
      <c r="O64" t="s">
        <v>255</v>
      </c>
      <c r="P64" t="s">
        <v>256</v>
      </c>
      <c r="Q64" t="s">
        <v>252</v>
      </c>
      <c r="R64" t="s">
        <v>50</v>
      </c>
      <c r="S64" s="1">
        <v>45658</v>
      </c>
      <c r="U64" t="s">
        <v>51</v>
      </c>
      <c r="X64" t="s">
        <v>52</v>
      </c>
      <c r="AF64" s="2">
        <v>175</v>
      </c>
      <c r="AG64" s="2">
        <v>0</v>
      </c>
      <c r="AJ64" s="2">
        <v>131.25</v>
      </c>
    </row>
    <row r="65" spans="1:36" x14ac:dyDescent="0.3">
      <c r="A65" s="1">
        <v>45749</v>
      </c>
      <c r="B65" s="1">
        <v>45749</v>
      </c>
      <c r="C65" t="s">
        <v>249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257</v>
      </c>
      <c r="J65" t="s">
        <v>258</v>
      </c>
      <c r="M65" t="s">
        <v>46</v>
      </c>
      <c r="O65" t="s">
        <v>255</v>
      </c>
      <c r="P65" t="s">
        <v>256</v>
      </c>
      <c r="Q65" t="s">
        <v>252</v>
      </c>
      <c r="R65" t="s">
        <v>50</v>
      </c>
      <c r="S65" s="1">
        <v>45658</v>
      </c>
      <c r="U65" t="s">
        <v>51</v>
      </c>
      <c r="X65" t="s">
        <v>52</v>
      </c>
      <c r="AF65" s="2">
        <v>175</v>
      </c>
      <c r="AG65" s="2">
        <v>0</v>
      </c>
      <c r="AJ65" s="2">
        <v>131.25</v>
      </c>
    </row>
    <row r="66" spans="1:36" x14ac:dyDescent="0.3">
      <c r="A66" s="1">
        <v>45749</v>
      </c>
      <c r="B66" s="1">
        <v>45749</v>
      </c>
      <c r="C66" t="s">
        <v>249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259</v>
      </c>
      <c r="J66" t="s">
        <v>65</v>
      </c>
      <c r="M66" t="s">
        <v>46</v>
      </c>
      <c r="O66" t="s">
        <v>66</v>
      </c>
      <c r="P66" t="s">
        <v>67</v>
      </c>
      <c r="Q66" t="s">
        <v>252</v>
      </c>
      <c r="R66" t="s">
        <v>61</v>
      </c>
      <c r="S66" s="1">
        <v>45658</v>
      </c>
      <c r="U66" t="s">
        <v>51</v>
      </c>
      <c r="X66" t="s">
        <v>52</v>
      </c>
      <c r="AF66" s="2">
        <v>108</v>
      </c>
      <c r="AG66" s="2">
        <v>0</v>
      </c>
      <c r="AJ66" s="2">
        <v>81</v>
      </c>
    </row>
    <row r="67" spans="1:36" x14ac:dyDescent="0.3">
      <c r="A67" s="1">
        <v>45749</v>
      </c>
      <c r="B67" s="1">
        <v>45749</v>
      </c>
      <c r="C67" t="s">
        <v>249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260</v>
      </c>
      <c r="J67" t="s">
        <v>261</v>
      </c>
      <c r="M67" t="s">
        <v>46</v>
      </c>
      <c r="O67" t="s">
        <v>255</v>
      </c>
      <c r="P67" t="s">
        <v>256</v>
      </c>
      <c r="Q67" t="s">
        <v>252</v>
      </c>
      <c r="R67" t="s">
        <v>50</v>
      </c>
      <c r="S67" s="1">
        <v>45658</v>
      </c>
      <c r="U67" t="s">
        <v>51</v>
      </c>
      <c r="X67" t="s">
        <v>52</v>
      </c>
      <c r="AF67" s="2">
        <v>175</v>
      </c>
      <c r="AG67" s="2">
        <v>0</v>
      </c>
      <c r="AJ67" s="2">
        <v>131.25</v>
      </c>
    </row>
    <row r="68" spans="1:36" x14ac:dyDescent="0.3">
      <c r="A68" s="1">
        <v>45749</v>
      </c>
      <c r="B68" s="1">
        <v>45749</v>
      </c>
      <c r="C68" t="s">
        <v>249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262</v>
      </c>
      <c r="J68" t="s">
        <v>263</v>
      </c>
      <c r="M68" t="s">
        <v>46</v>
      </c>
      <c r="O68" t="s">
        <v>90</v>
      </c>
      <c r="P68" t="s">
        <v>91</v>
      </c>
      <c r="Q68" t="s">
        <v>252</v>
      </c>
      <c r="R68" t="s">
        <v>61</v>
      </c>
      <c r="S68" s="1">
        <v>45658</v>
      </c>
      <c r="U68" t="s">
        <v>51</v>
      </c>
      <c r="X68" t="s">
        <v>52</v>
      </c>
      <c r="AF68" s="2">
        <v>108</v>
      </c>
      <c r="AG68" s="2">
        <v>0</v>
      </c>
      <c r="AJ68" s="2">
        <v>81</v>
      </c>
    </row>
    <row r="69" spans="1:36" x14ac:dyDescent="0.3">
      <c r="A69" s="1">
        <v>45749</v>
      </c>
      <c r="B69" s="1">
        <v>45749</v>
      </c>
      <c r="C69" t="s">
        <v>249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264</v>
      </c>
      <c r="J69" t="s">
        <v>265</v>
      </c>
      <c r="M69" t="s">
        <v>46</v>
      </c>
      <c r="O69" t="s">
        <v>90</v>
      </c>
      <c r="P69" t="s">
        <v>91</v>
      </c>
      <c r="Q69" t="s">
        <v>252</v>
      </c>
      <c r="R69" t="s">
        <v>50</v>
      </c>
      <c r="S69" s="1">
        <v>45689</v>
      </c>
      <c r="U69" t="s">
        <v>51</v>
      </c>
      <c r="X69" t="s">
        <v>52</v>
      </c>
      <c r="AF69" s="2">
        <v>175</v>
      </c>
      <c r="AG69" s="2">
        <v>0</v>
      </c>
      <c r="AJ69" s="2">
        <v>131.25</v>
      </c>
    </row>
    <row r="70" spans="1:36" x14ac:dyDescent="0.3">
      <c r="A70" s="1">
        <v>45749</v>
      </c>
      <c r="B70" s="1">
        <v>45749</v>
      </c>
      <c r="C70" t="s">
        <v>249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266</v>
      </c>
      <c r="J70" t="s">
        <v>267</v>
      </c>
      <c r="M70" t="s">
        <v>46</v>
      </c>
      <c r="O70" t="s">
        <v>159</v>
      </c>
      <c r="P70" t="s">
        <v>160</v>
      </c>
      <c r="Q70" t="s">
        <v>252</v>
      </c>
      <c r="R70" t="s">
        <v>268</v>
      </c>
      <c r="S70" s="1">
        <v>45689</v>
      </c>
      <c r="U70" t="s">
        <v>51</v>
      </c>
      <c r="X70" t="s">
        <v>52</v>
      </c>
      <c r="AF70" s="2">
        <v>175</v>
      </c>
      <c r="AG70" s="2">
        <v>0</v>
      </c>
      <c r="AJ70" s="2">
        <v>19.46</v>
      </c>
    </row>
    <row r="71" spans="1:36" x14ac:dyDescent="0.3">
      <c r="A71" s="1">
        <v>45749</v>
      </c>
      <c r="B71" s="1">
        <v>45749</v>
      </c>
      <c r="C71" t="s">
        <v>249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269</v>
      </c>
      <c r="J71" t="s">
        <v>132</v>
      </c>
      <c r="M71" t="s">
        <v>133</v>
      </c>
      <c r="O71" t="s">
        <v>96</v>
      </c>
      <c r="P71" t="s">
        <v>97</v>
      </c>
      <c r="Q71" t="s">
        <v>252</v>
      </c>
      <c r="R71" t="s">
        <v>118</v>
      </c>
      <c r="S71" s="1">
        <v>45689</v>
      </c>
      <c r="U71" t="s">
        <v>51</v>
      </c>
      <c r="X71" t="s">
        <v>52</v>
      </c>
      <c r="AF71" s="2">
        <v>45.83</v>
      </c>
      <c r="AG71" s="2">
        <v>0</v>
      </c>
      <c r="AJ71" s="2">
        <v>45.83</v>
      </c>
    </row>
    <row r="72" spans="1:36" x14ac:dyDescent="0.3">
      <c r="A72" s="1">
        <v>45749</v>
      </c>
      <c r="B72" s="1">
        <v>45749</v>
      </c>
      <c r="C72" t="s">
        <v>249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270</v>
      </c>
      <c r="J72" t="s">
        <v>136</v>
      </c>
      <c r="M72" t="s">
        <v>137</v>
      </c>
      <c r="O72" t="s">
        <v>70</v>
      </c>
      <c r="P72" t="s">
        <v>71</v>
      </c>
      <c r="Q72" t="s">
        <v>252</v>
      </c>
      <c r="R72" t="s">
        <v>118</v>
      </c>
      <c r="S72" s="1">
        <v>45717</v>
      </c>
      <c r="U72" t="s">
        <v>51</v>
      </c>
      <c r="X72" t="s">
        <v>52</v>
      </c>
      <c r="AF72" s="2">
        <v>41.67</v>
      </c>
      <c r="AG72" s="2">
        <v>0</v>
      </c>
      <c r="AJ72" s="2">
        <v>41.67</v>
      </c>
    </row>
    <row r="73" spans="1:36" x14ac:dyDescent="0.3">
      <c r="A73" s="1">
        <v>45749</v>
      </c>
      <c r="B73" s="1">
        <v>45749</v>
      </c>
      <c r="C73" t="s">
        <v>249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271</v>
      </c>
      <c r="J73" t="s">
        <v>139</v>
      </c>
      <c r="M73" t="s">
        <v>115</v>
      </c>
      <c r="O73" t="s">
        <v>41</v>
      </c>
      <c r="P73" t="s">
        <v>43</v>
      </c>
      <c r="Q73" t="s">
        <v>252</v>
      </c>
      <c r="R73" t="s">
        <v>118</v>
      </c>
      <c r="S73" s="1">
        <v>45717</v>
      </c>
      <c r="U73" t="s">
        <v>51</v>
      </c>
      <c r="X73" t="s">
        <v>52</v>
      </c>
      <c r="AF73" s="2">
        <v>41.67</v>
      </c>
      <c r="AG73" s="2">
        <v>0</v>
      </c>
      <c r="AJ73" s="2">
        <v>41.67</v>
      </c>
    </row>
    <row r="74" spans="1:36" x14ac:dyDescent="0.3">
      <c r="A74" s="1">
        <v>45749</v>
      </c>
      <c r="B74" s="1">
        <v>45749</v>
      </c>
      <c r="C74" t="s">
        <v>249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272</v>
      </c>
      <c r="J74" t="s">
        <v>273</v>
      </c>
      <c r="M74" t="s">
        <v>122</v>
      </c>
      <c r="O74" t="s">
        <v>55</v>
      </c>
      <c r="P74" t="s">
        <v>56</v>
      </c>
      <c r="Q74" t="s">
        <v>252</v>
      </c>
      <c r="R74" t="s">
        <v>134</v>
      </c>
      <c r="S74" s="1">
        <v>45658</v>
      </c>
      <c r="U74" t="s">
        <v>51</v>
      </c>
      <c r="X74" t="s">
        <v>52</v>
      </c>
      <c r="AF74" s="2">
        <v>50</v>
      </c>
      <c r="AG74" s="2">
        <v>0</v>
      </c>
      <c r="AJ74" s="2">
        <v>50</v>
      </c>
    </row>
    <row r="75" spans="1:36" x14ac:dyDescent="0.3">
      <c r="A75" s="1">
        <v>45749</v>
      </c>
      <c r="B75" s="1">
        <v>45749</v>
      </c>
      <c r="C75" t="s">
        <v>249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274</v>
      </c>
      <c r="J75" t="s">
        <v>275</v>
      </c>
      <c r="M75" t="s">
        <v>276</v>
      </c>
      <c r="O75" t="s">
        <v>277</v>
      </c>
      <c r="P75" t="s">
        <v>278</v>
      </c>
      <c r="Q75" t="s">
        <v>252</v>
      </c>
      <c r="R75" t="s">
        <v>279</v>
      </c>
      <c r="S75" s="1">
        <v>45658</v>
      </c>
      <c r="U75" t="s">
        <v>51</v>
      </c>
      <c r="X75" t="s">
        <v>52</v>
      </c>
      <c r="AF75" s="2">
        <v>40</v>
      </c>
      <c r="AG75" s="2">
        <v>0</v>
      </c>
      <c r="AJ75" s="2">
        <v>40</v>
      </c>
    </row>
    <row r="76" spans="1:36" x14ac:dyDescent="0.3">
      <c r="A76" s="1">
        <v>45749</v>
      </c>
      <c r="B76" s="1">
        <v>45749</v>
      </c>
      <c r="C76" t="s">
        <v>249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280</v>
      </c>
      <c r="J76" t="s">
        <v>141</v>
      </c>
      <c r="M76" t="s">
        <v>122</v>
      </c>
      <c r="O76" t="s">
        <v>142</v>
      </c>
      <c r="P76" t="s">
        <v>143</v>
      </c>
      <c r="Q76" t="s">
        <v>252</v>
      </c>
      <c r="R76" t="s">
        <v>118</v>
      </c>
      <c r="S76" s="1">
        <v>45689</v>
      </c>
      <c r="U76" t="s">
        <v>51</v>
      </c>
      <c r="X76" t="s">
        <v>52</v>
      </c>
      <c r="AF76" s="2">
        <v>45.83</v>
      </c>
      <c r="AG76" s="2">
        <v>0</v>
      </c>
      <c r="AJ76" s="2">
        <v>45.83</v>
      </c>
    </row>
    <row r="77" spans="1:36" x14ac:dyDescent="0.3">
      <c r="A77" s="1">
        <v>45749</v>
      </c>
      <c r="B77" s="1">
        <v>45749</v>
      </c>
      <c r="C77" t="s">
        <v>249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281</v>
      </c>
      <c r="J77" t="s">
        <v>145</v>
      </c>
      <c r="M77" t="s">
        <v>122</v>
      </c>
      <c r="O77" t="s">
        <v>142</v>
      </c>
      <c r="P77" t="s">
        <v>143</v>
      </c>
      <c r="Q77" t="s">
        <v>252</v>
      </c>
      <c r="R77" t="s">
        <v>118</v>
      </c>
      <c r="S77" s="1">
        <v>45689</v>
      </c>
      <c r="U77" t="s">
        <v>51</v>
      </c>
      <c r="X77" t="s">
        <v>52</v>
      </c>
      <c r="AF77" s="2">
        <v>45.83</v>
      </c>
      <c r="AG77" s="2">
        <v>0</v>
      </c>
      <c r="AJ77" s="2">
        <v>45.83</v>
      </c>
    </row>
    <row r="78" spans="1:36" x14ac:dyDescent="0.3">
      <c r="A78" s="1">
        <v>45749</v>
      </c>
      <c r="B78" s="1">
        <v>45749</v>
      </c>
      <c r="C78" t="s">
        <v>249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282</v>
      </c>
      <c r="J78" t="s">
        <v>147</v>
      </c>
      <c r="M78" t="s">
        <v>122</v>
      </c>
      <c r="O78" t="s">
        <v>47</v>
      </c>
      <c r="P78" t="s">
        <v>48</v>
      </c>
      <c r="Q78" t="s">
        <v>252</v>
      </c>
      <c r="R78" t="s">
        <v>118</v>
      </c>
      <c r="S78" s="1">
        <v>45689</v>
      </c>
      <c r="U78" t="s">
        <v>51</v>
      </c>
      <c r="X78" t="s">
        <v>52</v>
      </c>
      <c r="AF78" s="2">
        <v>45.83</v>
      </c>
      <c r="AG78" s="2">
        <v>0</v>
      </c>
      <c r="AJ78" s="2">
        <v>45.83</v>
      </c>
    </row>
    <row r="79" spans="1:36" x14ac:dyDescent="0.3">
      <c r="A79" s="1">
        <v>45749</v>
      </c>
      <c r="B79" s="1">
        <v>45749</v>
      </c>
      <c r="C79" t="s">
        <v>249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283</v>
      </c>
      <c r="J79" t="s">
        <v>149</v>
      </c>
      <c r="M79" t="s">
        <v>122</v>
      </c>
      <c r="O79" t="s">
        <v>47</v>
      </c>
      <c r="P79" t="s">
        <v>48</v>
      </c>
      <c r="Q79" t="s">
        <v>252</v>
      </c>
      <c r="R79" t="s">
        <v>118</v>
      </c>
      <c r="S79" s="1">
        <v>45717</v>
      </c>
      <c r="U79" t="s">
        <v>51</v>
      </c>
      <c r="X79" t="s">
        <v>52</v>
      </c>
      <c r="AF79" s="2">
        <v>41.67</v>
      </c>
      <c r="AG79" s="2">
        <v>0</v>
      </c>
      <c r="AJ79" s="2">
        <v>41.67</v>
      </c>
    </row>
    <row r="80" spans="1:36" x14ac:dyDescent="0.3">
      <c r="A80" s="1">
        <v>45749</v>
      </c>
      <c r="B80" s="1">
        <v>45749</v>
      </c>
      <c r="C80" t="s">
        <v>249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284</v>
      </c>
      <c r="J80" t="s">
        <v>151</v>
      </c>
      <c r="M80" t="s">
        <v>115</v>
      </c>
      <c r="O80" t="s">
        <v>152</v>
      </c>
      <c r="P80" t="s">
        <v>153</v>
      </c>
      <c r="Q80" t="s">
        <v>252</v>
      </c>
      <c r="R80" t="s">
        <v>118</v>
      </c>
      <c r="S80" s="1">
        <v>45689</v>
      </c>
      <c r="U80" t="s">
        <v>51</v>
      </c>
      <c r="X80" t="s">
        <v>52</v>
      </c>
      <c r="AF80" s="2">
        <v>45.83</v>
      </c>
      <c r="AG80" s="2">
        <v>0</v>
      </c>
      <c r="AJ80" s="2">
        <v>45.83</v>
      </c>
    </row>
    <row r="81" spans="1:36" x14ac:dyDescent="0.3">
      <c r="A81" s="1">
        <v>45749</v>
      </c>
      <c r="B81" s="1">
        <v>45749</v>
      </c>
      <c r="C81" t="s">
        <v>249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285</v>
      </c>
      <c r="J81" t="s">
        <v>155</v>
      </c>
      <c r="M81" t="s">
        <v>156</v>
      </c>
      <c r="O81" t="s">
        <v>47</v>
      </c>
      <c r="P81" t="s">
        <v>48</v>
      </c>
      <c r="Q81" t="s">
        <v>252</v>
      </c>
      <c r="R81" t="s">
        <v>118</v>
      </c>
      <c r="S81" s="1">
        <v>45748</v>
      </c>
      <c r="U81" t="s">
        <v>51</v>
      </c>
      <c r="X81" t="s">
        <v>52</v>
      </c>
      <c r="AF81" s="2">
        <v>37.5</v>
      </c>
      <c r="AG81" s="2">
        <v>0</v>
      </c>
      <c r="AJ81" s="2">
        <v>37.5</v>
      </c>
    </row>
    <row r="82" spans="1:36" x14ac:dyDescent="0.3">
      <c r="A82" s="1">
        <v>45749</v>
      </c>
      <c r="B82" s="1">
        <v>45749</v>
      </c>
      <c r="C82" t="s">
        <v>249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286</v>
      </c>
      <c r="J82" t="s">
        <v>158</v>
      </c>
      <c r="M82" t="s">
        <v>122</v>
      </c>
      <c r="O82" t="s">
        <v>159</v>
      </c>
      <c r="P82" t="s">
        <v>160</v>
      </c>
      <c r="Q82" t="s">
        <v>252</v>
      </c>
      <c r="R82" t="s">
        <v>118</v>
      </c>
      <c r="S82" s="1">
        <v>45717</v>
      </c>
      <c r="U82" t="s">
        <v>51</v>
      </c>
      <c r="X82" t="s">
        <v>52</v>
      </c>
      <c r="AF82" s="2">
        <v>41.67</v>
      </c>
      <c r="AG82" s="2">
        <v>0</v>
      </c>
      <c r="AJ82" s="2">
        <v>41.67</v>
      </c>
    </row>
    <row r="83" spans="1:36" x14ac:dyDescent="0.3">
      <c r="A83" s="1">
        <v>45749</v>
      </c>
      <c r="B83" s="1">
        <v>45749</v>
      </c>
      <c r="C83" t="s">
        <v>249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287</v>
      </c>
      <c r="J83" t="s">
        <v>162</v>
      </c>
      <c r="M83" t="s">
        <v>115</v>
      </c>
      <c r="O83" t="s">
        <v>163</v>
      </c>
      <c r="P83" t="s">
        <v>164</v>
      </c>
      <c r="Q83" t="s">
        <v>252</v>
      </c>
      <c r="R83" t="s">
        <v>118</v>
      </c>
      <c r="S83" s="1">
        <v>45689</v>
      </c>
      <c r="U83" t="s">
        <v>51</v>
      </c>
      <c r="X83" t="s">
        <v>52</v>
      </c>
      <c r="AF83" s="2">
        <v>45.83</v>
      </c>
      <c r="AG83" s="2">
        <v>0</v>
      </c>
      <c r="AJ83" s="2">
        <v>45.83</v>
      </c>
    </row>
    <row r="84" spans="1:36" x14ac:dyDescent="0.3">
      <c r="A84" s="1">
        <v>45749</v>
      </c>
      <c r="B84" s="1">
        <v>45749</v>
      </c>
      <c r="C84" t="s">
        <v>249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288</v>
      </c>
      <c r="J84" t="s">
        <v>166</v>
      </c>
      <c r="M84" t="s">
        <v>122</v>
      </c>
      <c r="O84" t="s">
        <v>167</v>
      </c>
      <c r="P84" t="s">
        <v>168</v>
      </c>
      <c r="Q84" t="s">
        <v>252</v>
      </c>
      <c r="R84" t="s">
        <v>118</v>
      </c>
      <c r="S84" s="1">
        <v>45717</v>
      </c>
      <c r="U84" t="s">
        <v>51</v>
      </c>
      <c r="X84" t="s">
        <v>52</v>
      </c>
      <c r="AF84" s="2">
        <v>41.67</v>
      </c>
      <c r="AG84" s="2">
        <v>0</v>
      </c>
      <c r="AJ84" s="2">
        <v>41.67</v>
      </c>
    </row>
    <row r="85" spans="1:36" x14ac:dyDescent="0.3">
      <c r="A85" s="1">
        <v>45749</v>
      </c>
      <c r="B85" s="1">
        <v>45749</v>
      </c>
      <c r="C85" t="s">
        <v>249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289</v>
      </c>
      <c r="J85" t="s">
        <v>170</v>
      </c>
      <c r="M85" t="s">
        <v>171</v>
      </c>
      <c r="O85" t="s">
        <v>90</v>
      </c>
      <c r="P85" t="s">
        <v>91</v>
      </c>
      <c r="Q85" t="s">
        <v>252</v>
      </c>
      <c r="R85" t="s">
        <v>118</v>
      </c>
      <c r="S85" s="1">
        <v>45748</v>
      </c>
      <c r="U85" t="s">
        <v>51</v>
      </c>
      <c r="X85" t="s">
        <v>52</v>
      </c>
      <c r="AF85" s="2">
        <v>37.5</v>
      </c>
      <c r="AG85" s="2">
        <v>0</v>
      </c>
      <c r="AJ85" s="2">
        <v>37.5</v>
      </c>
    </row>
    <row r="86" spans="1:36" x14ac:dyDescent="0.3">
      <c r="A86" s="1">
        <v>45749</v>
      </c>
      <c r="B86" s="1">
        <v>45749</v>
      </c>
      <c r="C86" t="s">
        <v>249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290</v>
      </c>
      <c r="J86" t="s">
        <v>173</v>
      </c>
      <c r="M86" t="s">
        <v>174</v>
      </c>
      <c r="O86" t="s">
        <v>41</v>
      </c>
      <c r="P86" t="s">
        <v>43</v>
      </c>
      <c r="Q86" t="s">
        <v>252</v>
      </c>
      <c r="R86" t="s">
        <v>118</v>
      </c>
      <c r="S86" s="1">
        <v>45717</v>
      </c>
      <c r="U86" t="s">
        <v>51</v>
      </c>
      <c r="X86" t="s">
        <v>52</v>
      </c>
      <c r="AF86" s="2">
        <v>41.67</v>
      </c>
      <c r="AG86" s="2">
        <v>0</v>
      </c>
      <c r="AJ86" s="2">
        <v>41.67</v>
      </c>
    </row>
    <row r="87" spans="1:36" x14ac:dyDescent="0.3">
      <c r="A87" s="1">
        <v>45749</v>
      </c>
      <c r="B87" s="1">
        <v>45749</v>
      </c>
      <c r="C87" t="s">
        <v>249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291</v>
      </c>
      <c r="J87" t="s">
        <v>176</v>
      </c>
      <c r="M87" t="s">
        <v>115</v>
      </c>
      <c r="O87" t="s">
        <v>163</v>
      </c>
      <c r="P87" t="s">
        <v>164</v>
      </c>
      <c r="Q87" t="s">
        <v>252</v>
      </c>
      <c r="R87" t="s">
        <v>118</v>
      </c>
      <c r="S87" s="1">
        <v>45778</v>
      </c>
      <c r="U87" t="s">
        <v>51</v>
      </c>
      <c r="X87" t="s">
        <v>52</v>
      </c>
      <c r="AF87" s="2">
        <v>33.33</v>
      </c>
      <c r="AG87" s="2">
        <v>0</v>
      </c>
      <c r="AJ87" s="2">
        <v>33.33</v>
      </c>
    </row>
    <row r="88" spans="1:36" x14ac:dyDescent="0.3">
      <c r="A88" s="1">
        <v>45749</v>
      </c>
      <c r="B88" s="1">
        <v>45749</v>
      </c>
      <c r="C88" t="s">
        <v>249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292</v>
      </c>
      <c r="J88" t="s">
        <v>178</v>
      </c>
      <c r="M88" t="s">
        <v>179</v>
      </c>
      <c r="O88" t="s">
        <v>90</v>
      </c>
      <c r="P88" t="s">
        <v>91</v>
      </c>
      <c r="Q88" t="s">
        <v>252</v>
      </c>
      <c r="R88" t="s">
        <v>118</v>
      </c>
      <c r="S88" s="1">
        <v>45778</v>
      </c>
      <c r="U88" t="s">
        <v>51</v>
      </c>
      <c r="X88" t="s">
        <v>52</v>
      </c>
      <c r="AF88" s="2">
        <v>33.33</v>
      </c>
      <c r="AG88" s="2">
        <v>0</v>
      </c>
      <c r="AJ88" s="2">
        <v>33.33</v>
      </c>
    </row>
    <row r="89" spans="1:36" x14ac:dyDescent="0.3">
      <c r="A89" s="1">
        <v>45749</v>
      </c>
      <c r="B89" s="1">
        <v>45749</v>
      </c>
      <c r="C89" t="s">
        <v>249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293</v>
      </c>
      <c r="J89" t="s">
        <v>181</v>
      </c>
      <c r="M89" t="s">
        <v>182</v>
      </c>
      <c r="O89" t="s">
        <v>90</v>
      </c>
      <c r="P89" t="s">
        <v>91</v>
      </c>
      <c r="Q89" t="s">
        <v>252</v>
      </c>
      <c r="R89" t="s">
        <v>118</v>
      </c>
      <c r="S89" s="1">
        <v>45717</v>
      </c>
      <c r="U89" t="s">
        <v>51</v>
      </c>
      <c r="X89" t="s">
        <v>52</v>
      </c>
      <c r="AF89" s="2">
        <v>41.67</v>
      </c>
      <c r="AG89" s="2">
        <v>0</v>
      </c>
      <c r="AJ89" s="2">
        <v>41.67</v>
      </c>
    </row>
    <row r="90" spans="1:36" x14ac:dyDescent="0.3">
      <c r="A90" s="1">
        <v>45749</v>
      </c>
      <c r="B90" s="1">
        <v>45749</v>
      </c>
      <c r="C90" t="s">
        <v>249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294</v>
      </c>
      <c r="J90" t="s">
        <v>184</v>
      </c>
      <c r="M90" t="s">
        <v>115</v>
      </c>
      <c r="O90" t="s">
        <v>125</v>
      </c>
      <c r="P90" t="s">
        <v>126</v>
      </c>
      <c r="Q90" t="s">
        <v>252</v>
      </c>
      <c r="R90" t="s">
        <v>118</v>
      </c>
      <c r="S90" s="1">
        <v>45689</v>
      </c>
      <c r="U90" t="s">
        <v>51</v>
      </c>
      <c r="X90" t="s">
        <v>52</v>
      </c>
      <c r="AF90" s="2">
        <v>45.83</v>
      </c>
      <c r="AG90" s="2">
        <v>0</v>
      </c>
      <c r="AJ90" s="2">
        <v>45.83</v>
      </c>
    </row>
    <row r="91" spans="1:36" x14ac:dyDescent="0.3">
      <c r="A91" s="1">
        <v>45749</v>
      </c>
      <c r="B91" s="1">
        <v>45749</v>
      </c>
      <c r="C91" t="s">
        <v>249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295</v>
      </c>
      <c r="J91" t="s">
        <v>186</v>
      </c>
      <c r="M91" t="s">
        <v>187</v>
      </c>
      <c r="O91" t="s">
        <v>125</v>
      </c>
      <c r="P91" t="s">
        <v>126</v>
      </c>
      <c r="Q91" t="s">
        <v>252</v>
      </c>
      <c r="R91" t="s">
        <v>118</v>
      </c>
      <c r="S91" s="1">
        <v>45717</v>
      </c>
      <c r="U91" t="s">
        <v>51</v>
      </c>
      <c r="X91" t="s">
        <v>52</v>
      </c>
      <c r="AF91" s="2">
        <v>41.67</v>
      </c>
      <c r="AG91" s="2">
        <v>0</v>
      </c>
      <c r="AJ91" s="2">
        <v>41.67</v>
      </c>
    </row>
    <row r="92" spans="1:36" x14ac:dyDescent="0.3">
      <c r="A92" s="1">
        <v>45749</v>
      </c>
      <c r="B92" s="1">
        <v>45749</v>
      </c>
      <c r="C92" t="s">
        <v>249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296</v>
      </c>
      <c r="J92" t="s">
        <v>189</v>
      </c>
      <c r="M92" t="s">
        <v>115</v>
      </c>
      <c r="O92" t="s">
        <v>163</v>
      </c>
      <c r="P92" t="s">
        <v>164</v>
      </c>
      <c r="Q92" t="s">
        <v>252</v>
      </c>
      <c r="R92" t="s">
        <v>118</v>
      </c>
      <c r="S92" s="1">
        <v>45717</v>
      </c>
      <c r="U92" t="s">
        <v>51</v>
      </c>
      <c r="X92" t="s">
        <v>52</v>
      </c>
      <c r="AF92" s="2">
        <v>41.67</v>
      </c>
      <c r="AG92" s="2">
        <v>0</v>
      </c>
      <c r="AJ92" s="2">
        <v>41.67</v>
      </c>
    </row>
    <row r="93" spans="1:36" x14ac:dyDescent="0.3">
      <c r="A93" s="1">
        <v>45749</v>
      </c>
      <c r="B93" s="1">
        <v>45749</v>
      </c>
      <c r="C93" t="s">
        <v>249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297</v>
      </c>
      <c r="J93" t="s">
        <v>191</v>
      </c>
      <c r="M93" t="s">
        <v>179</v>
      </c>
      <c r="O93" t="s">
        <v>47</v>
      </c>
      <c r="P93" t="s">
        <v>48</v>
      </c>
      <c r="Q93" t="s">
        <v>252</v>
      </c>
      <c r="R93" t="s">
        <v>118</v>
      </c>
      <c r="S93" s="1">
        <v>45778</v>
      </c>
      <c r="U93" t="s">
        <v>51</v>
      </c>
      <c r="X93" t="s">
        <v>52</v>
      </c>
      <c r="AF93" s="2">
        <v>33.33</v>
      </c>
      <c r="AG93" s="2">
        <v>0</v>
      </c>
      <c r="AJ93" s="2">
        <v>33.33</v>
      </c>
    </row>
    <row r="94" spans="1:36" x14ac:dyDescent="0.3">
      <c r="A94" s="1">
        <v>45749</v>
      </c>
      <c r="B94" s="1">
        <v>45749</v>
      </c>
      <c r="C94" t="s">
        <v>249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298</v>
      </c>
      <c r="J94" t="s">
        <v>193</v>
      </c>
      <c r="M94" t="s">
        <v>194</v>
      </c>
      <c r="O94" t="s">
        <v>47</v>
      </c>
      <c r="P94" t="s">
        <v>48</v>
      </c>
      <c r="Q94" t="s">
        <v>252</v>
      </c>
      <c r="R94" t="s">
        <v>118</v>
      </c>
      <c r="S94" s="1">
        <v>45748</v>
      </c>
      <c r="U94" t="s">
        <v>51</v>
      </c>
      <c r="X94" t="s">
        <v>52</v>
      </c>
      <c r="AF94" s="2">
        <v>37.5</v>
      </c>
      <c r="AG94" s="2">
        <v>0</v>
      </c>
      <c r="AJ94" s="2">
        <v>37.5</v>
      </c>
    </row>
    <row r="95" spans="1:36" x14ac:dyDescent="0.3">
      <c r="A95" s="1">
        <v>45749</v>
      </c>
      <c r="B95" s="1">
        <v>45749</v>
      </c>
      <c r="C95" t="s">
        <v>249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299</v>
      </c>
      <c r="J95" t="s">
        <v>196</v>
      </c>
      <c r="M95" t="s">
        <v>115</v>
      </c>
      <c r="O95" t="s">
        <v>197</v>
      </c>
      <c r="P95" t="s">
        <v>198</v>
      </c>
      <c r="Q95" t="s">
        <v>252</v>
      </c>
      <c r="R95" t="s">
        <v>118</v>
      </c>
      <c r="S95" s="1">
        <v>45778</v>
      </c>
      <c r="U95" t="s">
        <v>51</v>
      </c>
      <c r="X95" t="s">
        <v>52</v>
      </c>
      <c r="AF95" s="2">
        <v>33.33</v>
      </c>
      <c r="AG95" s="2">
        <v>0</v>
      </c>
      <c r="AJ95" s="2">
        <v>33.33</v>
      </c>
    </row>
    <row r="96" spans="1:36" x14ac:dyDescent="0.3">
      <c r="A96" s="1">
        <v>45749</v>
      </c>
      <c r="B96" s="1">
        <v>45749</v>
      </c>
      <c r="C96" t="s">
        <v>249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300</v>
      </c>
      <c r="J96" t="s">
        <v>200</v>
      </c>
      <c r="M96" t="s">
        <v>115</v>
      </c>
      <c r="O96" t="s">
        <v>197</v>
      </c>
      <c r="P96" t="s">
        <v>198</v>
      </c>
      <c r="Q96" t="s">
        <v>252</v>
      </c>
      <c r="R96" t="s">
        <v>118</v>
      </c>
      <c r="S96" s="1">
        <v>45778</v>
      </c>
      <c r="U96" t="s">
        <v>51</v>
      </c>
      <c r="X96" t="s">
        <v>52</v>
      </c>
      <c r="AF96" s="2">
        <v>33.33</v>
      </c>
      <c r="AG96" s="2">
        <v>0</v>
      </c>
      <c r="AJ96" s="2">
        <v>33.33</v>
      </c>
    </row>
    <row r="97" spans="1:36" x14ac:dyDescent="0.3">
      <c r="A97" s="1">
        <v>45749</v>
      </c>
      <c r="B97" s="1">
        <v>45749</v>
      </c>
      <c r="C97" t="s">
        <v>249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301</v>
      </c>
      <c r="J97" t="s">
        <v>202</v>
      </c>
      <c r="M97" t="s">
        <v>203</v>
      </c>
      <c r="O97" t="s">
        <v>74</v>
      </c>
      <c r="P97" t="s">
        <v>75</v>
      </c>
      <c r="Q97" t="s">
        <v>252</v>
      </c>
      <c r="R97" t="s">
        <v>118</v>
      </c>
      <c r="S97" s="1">
        <v>45717</v>
      </c>
      <c r="U97" t="s">
        <v>51</v>
      </c>
      <c r="X97" t="s">
        <v>52</v>
      </c>
      <c r="AF97" s="2">
        <v>41.67</v>
      </c>
      <c r="AG97" s="2">
        <v>0</v>
      </c>
      <c r="AJ97" s="2">
        <v>41.67</v>
      </c>
    </row>
    <row r="98" spans="1:36" x14ac:dyDescent="0.3">
      <c r="A98" s="1">
        <v>45749</v>
      </c>
      <c r="B98" s="1">
        <v>45749</v>
      </c>
      <c r="C98" t="s">
        <v>249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302</v>
      </c>
      <c r="J98" t="s">
        <v>303</v>
      </c>
      <c r="M98" t="s">
        <v>179</v>
      </c>
      <c r="O98" t="s">
        <v>304</v>
      </c>
      <c r="P98" t="s">
        <v>305</v>
      </c>
      <c r="Q98" t="s">
        <v>252</v>
      </c>
      <c r="R98" t="s">
        <v>118</v>
      </c>
      <c r="S98" s="1">
        <v>45717</v>
      </c>
      <c r="U98" t="s">
        <v>51</v>
      </c>
      <c r="X98" t="s">
        <v>52</v>
      </c>
      <c r="AF98" s="2">
        <v>41.67</v>
      </c>
      <c r="AG98" s="2">
        <v>0</v>
      </c>
      <c r="AJ98" s="2">
        <v>41.67</v>
      </c>
    </row>
    <row r="99" spans="1:36" x14ac:dyDescent="0.3">
      <c r="A99" s="1">
        <v>45749</v>
      </c>
      <c r="B99" s="1">
        <v>45749</v>
      </c>
      <c r="C99" t="s">
        <v>249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306</v>
      </c>
      <c r="J99" t="s">
        <v>307</v>
      </c>
      <c r="M99" t="s">
        <v>46</v>
      </c>
      <c r="O99" t="s">
        <v>159</v>
      </c>
      <c r="P99" t="s">
        <v>160</v>
      </c>
      <c r="Q99" t="s">
        <v>252</v>
      </c>
      <c r="R99" t="s">
        <v>268</v>
      </c>
      <c r="S99" s="1">
        <v>45658</v>
      </c>
      <c r="U99" t="s">
        <v>51</v>
      </c>
      <c r="X99" t="s">
        <v>52</v>
      </c>
      <c r="AF99" s="2">
        <v>175</v>
      </c>
      <c r="AG99" s="2">
        <v>0</v>
      </c>
      <c r="AJ99" s="2">
        <v>145.91</v>
      </c>
    </row>
    <row r="100" spans="1:36" x14ac:dyDescent="0.3">
      <c r="A100" s="1">
        <v>45749</v>
      </c>
      <c r="B100" s="1">
        <v>45749</v>
      </c>
      <c r="C100" t="s">
        <v>249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308</v>
      </c>
      <c r="J100" t="s">
        <v>309</v>
      </c>
      <c r="M100" t="s">
        <v>46</v>
      </c>
      <c r="O100" t="s">
        <v>310</v>
      </c>
      <c r="P100" t="s">
        <v>311</v>
      </c>
      <c r="Q100" t="s">
        <v>252</v>
      </c>
      <c r="R100" t="s">
        <v>268</v>
      </c>
      <c r="S100" s="1">
        <v>45658</v>
      </c>
      <c r="U100" t="s">
        <v>51</v>
      </c>
      <c r="X100" t="s">
        <v>52</v>
      </c>
      <c r="AF100" s="2">
        <v>175</v>
      </c>
      <c r="AG100" s="2">
        <v>0</v>
      </c>
      <c r="AJ100" s="2">
        <v>160.5</v>
      </c>
    </row>
    <row r="101" spans="1:36" x14ac:dyDescent="0.3">
      <c r="A101" s="1">
        <v>45749</v>
      </c>
      <c r="B101" s="1">
        <v>45749</v>
      </c>
      <c r="C101" t="s">
        <v>249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312</v>
      </c>
      <c r="J101" t="s">
        <v>313</v>
      </c>
      <c r="M101" t="s">
        <v>314</v>
      </c>
      <c r="O101" t="s">
        <v>159</v>
      </c>
      <c r="P101" t="s">
        <v>160</v>
      </c>
      <c r="Q101" t="s">
        <v>252</v>
      </c>
      <c r="R101" t="s">
        <v>229</v>
      </c>
      <c r="S101" s="1">
        <v>45809</v>
      </c>
      <c r="U101" t="s">
        <v>51</v>
      </c>
      <c r="X101" t="s">
        <v>52</v>
      </c>
      <c r="AF101" s="2">
        <v>182.58</v>
      </c>
      <c r="AG101" s="2">
        <v>0</v>
      </c>
      <c r="AJ101" s="2">
        <v>182.58</v>
      </c>
    </row>
    <row r="102" spans="1:36" x14ac:dyDescent="0.3">
      <c r="A102" s="1">
        <v>45749</v>
      </c>
      <c r="B102" s="1">
        <v>45749</v>
      </c>
      <c r="C102" t="s">
        <v>249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315</v>
      </c>
      <c r="J102" t="s">
        <v>313</v>
      </c>
      <c r="M102" t="s">
        <v>314</v>
      </c>
      <c r="O102" t="s">
        <v>159</v>
      </c>
      <c r="P102" t="s">
        <v>160</v>
      </c>
      <c r="Q102" t="s">
        <v>252</v>
      </c>
      <c r="R102" t="s">
        <v>316</v>
      </c>
      <c r="S102" s="1">
        <v>45809</v>
      </c>
      <c r="U102" t="s">
        <v>51</v>
      </c>
      <c r="X102" t="s">
        <v>52</v>
      </c>
      <c r="AF102" s="2">
        <v>175</v>
      </c>
      <c r="AG102" s="2">
        <v>0</v>
      </c>
      <c r="AJ102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56BB-458C-4F85-8F59-963CDA8B0338}">
  <dimension ref="A1:M100"/>
  <sheetViews>
    <sheetView topLeftCell="A63" workbookViewId="0">
      <selection activeCell="A95" sqref="A95:XFD96"/>
    </sheetView>
  </sheetViews>
  <sheetFormatPr defaultRowHeight="14.4" x14ac:dyDescent="0.3"/>
  <cols>
    <col min="1" max="1" width="16.33203125" style="4" bestFit="1" customWidth="1"/>
    <col min="2" max="2" width="16.33203125" style="4" customWidth="1"/>
    <col min="3" max="3" width="21.6640625" bestFit="1" customWidth="1"/>
    <col min="4" max="4" width="15.33203125" bestFit="1" customWidth="1"/>
    <col min="5" max="5" width="23" bestFit="1" customWidth="1"/>
    <col min="6" max="6" width="45.6640625" bestFit="1" customWidth="1"/>
    <col min="7" max="7" width="9.88671875" bestFit="1" customWidth="1"/>
    <col min="8" max="8" width="15.44140625" bestFit="1" customWidth="1"/>
    <col min="9" max="9" width="16.5546875" bestFit="1" customWidth="1"/>
    <col min="10" max="10" width="16.88671875" bestFit="1" customWidth="1"/>
    <col min="11" max="11" width="16.33203125" customWidth="1"/>
    <col min="12" max="12" width="32.44140625" bestFit="1" customWidth="1"/>
  </cols>
  <sheetData>
    <row r="1" spans="1:12" x14ac:dyDescent="0.3">
      <c r="A1" s="4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25</v>
      </c>
      <c r="I1" t="s">
        <v>26</v>
      </c>
      <c r="J1" t="s">
        <v>28</v>
      </c>
      <c r="K1" t="s">
        <v>37</v>
      </c>
    </row>
    <row r="2" spans="1:12" x14ac:dyDescent="0.3">
      <c r="A2" s="4">
        <v>101508889100</v>
      </c>
      <c r="B2" s="4" t="str">
        <f>_xlfn.CONCAT(A2,0)</f>
        <v>1015088891000</v>
      </c>
      <c r="C2" t="s">
        <v>132</v>
      </c>
      <c r="D2">
        <v>20411454</v>
      </c>
      <c r="E2" t="s">
        <v>387</v>
      </c>
      <c r="F2" t="s">
        <v>134</v>
      </c>
      <c r="G2" s="1">
        <v>45689</v>
      </c>
      <c r="H2" s="2">
        <v>50</v>
      </c>
      <c r="I2">
        <v>1</v>
      </c>
      <c r="J2" s="2">
        <v>50</v>
      </c>
      <c r="L2" t="s">
        <v>379</v>
      </c>
    </row>
    <row r="3" spans="1:12" x14ac:dyDescent="0.3">
      <c r="A3" s="4">
        <v>101930278400</v>
      </c>
      <c r="B3" s="4" t="str">
        <f t="shared" ref="B3:B66" si="0">_xlfn.CONCAT(A3,0)</f>
        <v>1019302784000</v>
      </c>
      <c r="C3" t="s">
        <v>136</v>
      </c>
      <c r="D3">
        <v>20411454</v>
      </c>
      <c r="E3" t="s">
        <v>387</v>
      </c>
      <c r="F3" t="s">
        <v>134</v>
      </c>
      <c r="G3" s="1">
        <v>45717</v>
      </c>
      <c r="H3" s="2">
        <v>50</v>
      </c>
      <c r="I3">
        <v>1</v>
      </c>
      <c r="J3" s="2">
        <v>50</v>
      </c>
      <c r="L3" t="s">
        <v>379</v>
      </c>
    </row>
    <row r="4" spans="1:12" x14ac:dyDescent="0.3">
      <c r="A4" s="4">
        <v>101968935100</v>
      </c>
      <c r="B4" s="4" t="str">
        <f t="shared" si="0"/>
        <v>1019689351000</v>
      </c>
      <c r="C4" t="s">
        <v>139</v>
      </c>
      <c r="D4">
        <v>20411454</v>
      </c>
      <c r="E4" t="s">
        <v>387</v>
      </c>
      <c r="F4" t="s">
        <v>134</v>
      </c>
      <c r="G4" s="1">
        <v>45717</v>
      </c>
      <c r="H4" s="2">
        <v>50</v>
      </c>
      <c r="I4">
        <v>1</v>
      </c>
      <c r="J4" s="2">
        <v>50</v>
      </c>
      <c r="L4" t="s">
        <v>379</v>
      </c>
    </row>
    <row r="5" spans="1:12" x14ac:dyDescent="0.3">
      <c r="A5" s="4">
        <v>102146276300</v>
      </c>
      <c r="B5" s="4" t="str">
        <f t="shared" si="0"/>
        <v>1021462763000</v>
      </c>
      <c r="C5" t="s">
        <v>141</v>
      </c>
      <c r="D5">
        <v>20411454</v>
      </c>
      <c r="E5" t="s">
        <v>387</v>
      </c>
      <c r="F5" t="s">
        <v>134</v>
      </c>
      <c r="G5" s="1">
        <v>45689</v>
      </c>
      <c r="H5" s="2">
        <v>50</v>
      </c>
      <c r="I5">
        <v>1</v>
      </c>
      <c r="J5" s="2">
        <v>50</v>
      </c>
      <c r="L5" t="s">
        <v>379</v>
      </c>
    </row>
    <row r="6" spans="1:12" x14ac:dyDescent="0.3">
      <c r="A6" s="4">
        <v>102146307700</v>
      </c>
      <c r="B6" s="4" t="str">
        <f t="shared" si="0"/>
        <v>1021463077000</v>
      </c>
      <c r="C6" t="s">
        <v>145</v>
      </c>
      <c r="D6">
        <v>20411454</v>
      </c>
      <c r="E6" t="s">
        <v>387</v>
      </c>
      <c r="F6" t="s">
        <v>134</v>
      </c>
      <c r="G6" s="1">
        <v>45689</v>
      </c>
      <c r="H6" s="2">
        <v>50</v>
      </c>
      <c r="I6">
        <v>1</v>
      </c>
      <c r="J6" s="2">
        <v>50</v>
      </c>
      <c r="L6" t="s">
        <v>379</v>
      </c>
    </row>
    <row r="7" spans="1:12" x14ac:dyDescent="0.3">
      <c r="A7" s="4">
        <v>102146612500</v>
      </c>
      <c r="B7" s="4" t="str">
        <f t="shared" si="0"/>
        <v>1021466125000</v>
      </c>
      <c r="C7" t="s">
        <v>147</v>
      </c>
      <c r="D7">
        <v>20411454</v>
      </c>
      <c r="E7" t="s">
        <v>387</v>
      </c>
      <c r="F7" t="s">
        <v>134</v>
      </c>
      <c r="G7" s="1">
        <v>45689</v>
      </c>
      <c r="H7" s="2">
        <v>50</v>
      </c>
      <c r="I7">
        <v>1</v>
      </c>
      <c r="J7" s="2">
        <v>50</v>
      </c>
      <c r="L7" t="s">
        <v>379</v>
      </c>
    </row>
    <row r="8" spans="1:12" x14ac:dyDescent="0.3">
      <c r="A8" s="4">
        <v>102147171900</v>
      </c>
      <c r="B8" s="4" t="str">
        <f t="shared" si="0"/>
        <v>1021471719000</v>
      </c>
      <c r="C8" t="s">
        <v>149</v>
      </c>
      <c r="D8">
        <v>20411454</v>
      </c>
      <c r="E8" t="s">
        <v>387</v>
      </c>
      <c r="F8" t="s">
        <v>134</v>
      </c>
      <c r="G8" s="1">
        <v>45717</v>
      </c>
      <c r="H8" s="2">
        <v>50</v>
      </c>
      <c r="I8">
        <v>1</v>
      </c>
      <c r="J8" s="2">
        <v>50</v>
      </c>
      <c r="L8" t="s">
        <v>379</v>
      </c>
    </row>
    <row r="9" spans="1:12" x14ac:dyDescent="0.3">
      <c r="A9" s="4">
        <v>102147412200</v>
      </c>
      <c r="B9" s="4" t="str">
        <f t="shared" si="0"/>
        <v>1021474122000</v>
      </c>
      <c r="C9" t="s">
        <v>151</v>
      </c>
      <c r="D9">
        <v>20411454</v>
      </c>
      <c r="E9" t="s">
        <v>387</v>
      </c>
      <c r="F9" t="s">
        <v>134</v>
      </c>
      <c r="G9" s="1">
        <v>45689</v>
      </c>
      <c r="H9" s="2">
        <v>50</v>
      </c>
      <c r="I9">
        <v>1</v>
      </c>
      <c r="J9" s="2">
        <v>50</v>
      </c>
      <c r="L9" t="s">
        <v>379</v>
      </c>
    </row>
    <row r="10" spans="1:12" x14ac:dyDescent="0.3">
      <c r="A10" s="4">
        <v>102148368500</v>
      </c>
      <c r="B10" s="4" t="str">
        <f t="shared" si="0"/>
        <v>1021483685000</v>
      </c>
      <c r="C10" t="s">
        <v>155</v>
      </c>
      <c r="D10">
        <v>20411454</v>
      </c>
      <c r="E10" t="s">
        <v>387</v>
      </c>
      <c r="F10" t="s">
        <v>134</v>
      </c>
      <c r="G10" s="1">
        <v>45748</v>
      </c>
      <c r="H10" s="2">
        <v>50</v>
      </c>
      <c r="I10">
        <v>1</v>
      </c>
      <c r="J10" s="2">
        <v>50</v>
      </c>
      <c r="L10" t="s">
        <v>379</v>
      </c>
    </row>
    <row r="11" spans="1:12" x14ac:dyDescent="0.3">
      <c r="A11" s="4">
        <v>102148379700</v>
      </c>
      <c r="B11" s="4" t="str">
        <f t="shared" si="0"/>
        <v>1021483797000</v>
      </c>
      <c r="C11" t="s">
        <v>158</v>
      </c>
      <c r="D11">
        <v>20411454</v>
      </c>
      <c r="E11" t="s">
        <v>387</v>
      </c>
      <c r="F11" t="s">
        <v>134</v>
      </c>
      <c r="G11" s="1">
        <v>45717</v>
      </c>
      <c r="H11" s="2">
        <v>50</v>
      </c>
      <c r="I11">
        <v>1</v>
      </c>
      <c r="J11" s="2">
        <v>50</v>
      </c>
      <c r="L11" t="s">
        <v>379</v>
      </c>
    </row>
    <row r="12" spans="1:12" x14ac:dyDescent="0.3">
      <c r="A12" s="4">
        <v>102148711800</v>
      </c>
      <c r="B12" s="4" t="str">
        <f t="shared" si="0"/>
        <v>1021487118000</v>
      </c>
      <c r="C12" t="s">
        <v>162</v>
      </c>
      <c r="D12">
        <v>20411454</v>
      </c>
      <c r="E12" t="s">
        <v>387</v>
      </c>
      <c r="F12" t="s">
        <v>134</v>
      </c>
      <c r="G12" s="1">
        <v>45689</v>
      </c>
      <c r="H12" s="2">
        <v>50</v>
      </c>
      <c r="I12">
        <v>1</v>
      </c>
      <c r="J12" s="2">
        <v>50</v>
      </c>
      <c r="L12" t="s">
        <v>379</v>
      </c>
    </row>
    <row r="13" spans="1:12" x14ac:dyDescent="0.3">
      <c r="A13" s="4">
        <v>102150214700</v>
      </c>
      <c r="B13" s="4" t="str">
        <f t="shared" si="0"/>
        <v>1021502147000</v>
      </c>
      <c r="C13" t="s">
        <v>166</v>
      </c>
      <c r="D13">
        <v>20411454</v>
      </c>
      <c r="E13" t="s">
        <v>387</v>
      </c>
      <c r="F13" t="s">
        <v>134</v>
      </c>
      <c r="G13" s="1">
        <v>45717</v>
      </c>
      <c r="H13" s="2">
        <v>50</v>
      </c>
      <c r="I13">
        <v>1</v>
      </c>
      <c r="J13" s="2">
        <v>50</v>
      </c>
      <c r="L13" t="s">
        <v>379</v>
      </c>
    </row>
    <row r="14" spans="1:12" x14ac:dyDescent="0.3">
      <c r="A14" s="4">
        <v>102150220300</v>
      </c>
      <c r="B14" s="4" t="str">
        <f t="shared" si="0"/>
        <v>1021502203000</v>
      </c>
      <c r="C14" t="s">
        <v>170</v>
      </c>
      <c r="D14">
        <v>20411454</v>
      </c>
      <c r="E14" t="s">
        <v>387</v>
      </c>
      <c r="F14" t="s">
        <v>134</v>
      </c>
      <c r="G14" s="1">
        <v>45748</v>
      </c>
      <c r="H14" s="2">
        <v>50</v>
      </c>
      <c r="I14">
        <v>1</v>
      </c>
      <c r="J14" s="2">
        <v>50</v>
      </c>
      <c r="L14" t="s">
        <v>379</v>
      </c>
    </row>
    <row r="15" spans="1:12" x14ac:dyDescent="0.3">
      <c r="A15" s="4">
        <v>102150493500</v>
      </c>
      <c r="B15" s="4" t="str">
        <f t="shared" si="0"/>
        <v>1021504935000</v>
      </c>
      <c r="C15" t="s">
        <v>173</v>
      </c>
      <c r="D15">
        <v>20411454</v>
      </c>
      <c r="E15" t="s">
        <v>387</v>
      </c>
      <c r="F15" t="s">
        <v>134</v>
      </c>
      <c r="G15" s="1">
        <v>45717</v>
      </c>
      <c r="H15" s="2">
        <v>50</v>
      </c>
      <c r="I15">
        <v>1</v>
      </c>
      <c r="J15" s="2">
        <v>50</v>
      </c>
      <c r="L15" t="s">
        <v>379</v>
      </c>
    </row>
    <row r="16" spans="1:12" x14ac:dyDescent="0.3">
      <c r="A16" s="4">
        <v>102150535500</v>
      </c>
      <c r="B16" s="4" t="str">
        <f t="shared" si="0"/>
        <v>1021505355000</v>
      </c>
      <c r="C16" t="s">
        <v>176</v>
      </c>
      <c r="D16">
        <v>20411454</v>
      </c>
      <c r="E16" t="s">
        <v>387</v>
      </c>
      <c r="F16" t="s">
        <v>134</v>
      </c>
      <c r="G16" s="1">
        <v>45778</v>
      </c>
      <c r="H16" s="2">
        <v>50</v>
      </c>
      <c r="I16">
        <v>1</v>
      </c>
      <c r="J16" s="2">
        <v>50</v>
      </c>
      <c r="L16" t="s">
        <v>379</v>
      </c>
    </row>
    <row r="17" spans="1:12" x14ac:dyDescent="0.3">
      <c r="A17" s="4">
        <v>102150541300</v>
      </c>
      <c r="B17" s="4" t="str">
        <f t="shared" si="0"/>
        <v>1021505413000</v>
      </c>
      <c r="C17" t="s">
        <v>178</v>
      </c>
      <c r="D17">
        <v>20411454</v>
      </c>
      <c r="E17" t="s">
        <v>387</v>
      </c>
      <c r="F17" t="s">
        <v>134</v>
      </c>
      <c r="G17" s="1">
        <v>45778</v>
      </c>
      <c r="H17" s="2">
        <v>50</v>
      </c>
      <c r="I17">
        <v>1</v>
      </c>
      <c r="J17" s="2">
        <v>50</v>
      </c>
      <c r="L17" t="s">
        <v>379</v>
      </c>
    </row>
    <row r="18" spans="1:12" x14ac:dyDescent="0.3">
      <c r="A18" s="4">
        <v>102151195700</v>
      </c>
      <c r="B18" s="4" t="str">
        <f t="shared" si="0"/>
        <v>1021511957000</v>
      </c>
      <c r="C18" t="s">
        <v>181</v>
      </c>
      <c r="D18">
        <v>20411454</v>
      </c>
      <c r="E18" t="s">
        <v>387</v>
      </c>
      <c r="F18" t="s">
        <v>134</v>
      </c>
      <c r="G18" s="1">
        <v>45717</v>
      </c>
      <c r="H18" s="2">
        <v>50</v>
      </c>
      <c r="I18">
        <v>1</v>
      </c>
      <c r="J18" s="2">
        <v>50</v>
      </c>
      <c r="L18" t="s">
        <v>379</v>
      </c>
    </row>
    <row r="19" spans="1:12" x14ac:dyDescent="0.3">
      <c r="A19" s="4">
        <v>102151874000</v>
      </c>
      <c r="B19" s="4" t="str">
        <f t="shared" si="0"/>
        <v>1021518740000</v>
      </c>
      <c r="C19" t="s">
        <v>184</v>
      </c>
      <c r="D19">
        <v>20411454</v>
      </c>
      <c r="E19" t="s">
        <v>387</v>
      </c>
      <c r="F19" t="s">
        <v>134</v>
      </c>
      <c r="G19" s="1">
        <v>45689</v>
      </c>
      <c r="H19" s="2">
        <v>50</v>
      </c>
      <c r="I19">
        <v>1</v>
      </c>
      <c r="J19" s="2">
        <v>50</v>
      </c>
      <c r="L19" t="s">
        <v>379</v>
      </c>
    </row>
    <row r="20" spans="1:12" x14ac:dyDescent="0.3">
      <c r="A20" s="4">
        <v>102152260000</v>
      </c>
      <c r="B20" s="4" t="str">
        <f t="shared" si="0"/>
        <v>1021522600000</v>
      </c>
      <c r="C20" t="s">
        <v>186</v>
      </c>
      <c r="D20">
        <v>20411454</v>
      </c>
      <c r="E20" t="s">
        <v>387</v>
      </c>
      <c r="F20" t="s">
        <v>134</v>
      </c>
      <c r="G20" s="1">
        <v>45717</v>
      </c>
      <c r="H20" s="2">
        <v>50</v>
      </c>
      <c r="I20">
        <v>1</v>
      </c>
      <c r="J20" s="2">
        <v>50</v>
      </c>
      <c r="L20" t="s">
        <v>379</v>
      </c>
    </row>
    <row r="21" spans="1:12" x14ac:dyDescent="0.3">
      <c r="A21" s="4">
        <v>102152552400</v>
      </c>
      <c r="B21" s="4" t="str">
        <f t="shared" si="0"/>
        <v>1021525524000</v>
      </c>
      <c r="C21" t="s">
        <v>189</v>
      </c>
      <c r="D21">
        <v>20411454</v>
      </c>
      <c r="E21" t="s">
        <v>387</v>
      </c>
      <c r="F21" t="s">
        <v>134</v>
      </c>
      <c r="G21" s="1">
        <v>45717</v>
      </c>
      <c r="H21" s="2">
        <v>50</v>
      </c>
      <c r="I21">
        <v>1</v>
      </c>
      <c r="J21" s="2">
        <v>50</v>
      </c>
      <c r="L21" t="s">
        <v>379</v>
      </c>
    </row>
    <row r="22" spans="1:12" x14ac:dyDescent="0.3">
      <c r="A22" s="4">
        <v>102152554700</v>
      </c>
      <c r="B22" s="4" t="str">
        <f t="shared" si="0"/>
        <v>1021525547000</v>
      </c>
      <c r="C22" t="s">
        <v>191</v>
      </c>
      <c r="D22">
        <v>20411454</v>
      </c>
      <c r="E22" t="s">
        <v>387</v>
      </c>
      <c r="F22" t="s">
        <v>134</v>
      </c>
      <c r="G22" s="1">
        <v>45778</v>
      </c>
      <c r="H22" s="2">
        <v>50</v>
      </c>
      <c r="I22">
        <v>1</v>
      </c>
      <c r="J22" s="2">
        <v>50</v>
      </c>
      <c r="L22" t="s">
        <v>379</v>
      </c>
    </row>
    <row r="23" spans="1:12" x14ac:dyDescent="0.3">
      <c r="A23" s="4">
        <v>102152584900</v>
      </c>
      <c r="B23" s="4" t="str">
        <f t="shared" si="0"/>
        <v>1021525849000</v>
      </c>
      <c r="C23" t="s">
        <v>193</v>
      </c>
      <c r="D23">
        <v>20411454</v>
      </c>
      <c r="E23" t="s">
        <v>387</v>
      </c>
      <c r="F23" t="s">
        <v>134</v>
      </c>
      <c r="G23" s="1">
        <v>45748</v>
      </c>
      <c r="H23" s="2">
        <v>50</v>
      </c>
      <c r="I23">
        <v>1</v>
      </c>
      <c r="J23" s="2">
        <v>50</v>
      </c>
      <c r="L23" t="s">
        <v>379</v>
      </c>
    </row>
    <row r="24" spans="1:12" x14ac:dyDescent="0.3">
      <c r="A24" s="4">
        <v>102152902400</v>
      </c>
      <c r="B24" s="4" t="str">
        <f t="shared" si="0"/>
        <v>1021529024000</v>
      </c>
      <c r="C24" t="s">
        <v>196</v>
      </c>
      <c r="D24">
        <v>20411454</v>
      </c>
      <c r="E24" t="s">
        <v>387</v>
      </c>
      <c r="F24" t="s">
        <v>134</v>
      </c>
      <c r="G24" s="1">
        <v>45778</v>
      </c>
      <c r="H24" s="2">
        <v>50</v>
      </c>
      <c r="I24">
        <v>1</v>
      </c>
      <c r="J24" s="2">
        <v>50</v>
      </c>
      <c r="L24" t="s">
        <v>379</v>
      </c>
    </row>
    <row r="25" spans="1:12" x14ac:dyDescent="0.3">
      <c r="A25" s="4">
        <v>102153409000</v>
      </c>
      <c r="B25" s="4" t="str">
        <f t="shared" si="0"/>
        <v>1021534090000</v>
      </c>
      <c r="C25" t="s">
        <v>200</v>
      </c>
      <c r="D25">
        <v>20411454</v>
      </c>
      <c r="E25" t="s">
        <v>387</v>
      </c>
      <c r="F25" t="s">
        <v>134</v>
      </c>
      <c r="G25" s="1">
        <v>45778</v>
      </c>
      <c r="H25" s="2">
        <v>50</v>
      </c>
      <c r="I25">
        <v>1</v>
      </c>
      <c r="J25" s="2">
        <v>50</v>
      </c>
      <c r="L25" t="s">
        <v>379</v>
      </c>
    </row>
    <row r="26" spans="1:12" x14ac:dyDescent="0.3">
      <c r="A26" s="4">
        <v>102153840400</v>
      </c>
      <c r="B26" s="4" t="str">
        <f t="shared" si="0"/>
        <v>1021538404000</v>
      </c>
      <c r="C26" t="s">
        <v>202</v>
      </c>
      <c r="D26">
        <v>20411454</v>
      </c>
      <c r="E26" t="s">
        <v>387</v>
      </c>
      <c r="F26" t="s">
        <v>134</v>
      </c>
      <c r="G26" s="1">
        <v>45717</v>
      </c>
      <c r="H26" s="2">
        <v>50</v>
      </c>
      <c r="I26">
        <v>1</v>
      </c>
      <c r="J26" s="2">
        <v>50</v>
      </c>
      <c r="L26" t="s">
        <v>379</v>
      </c>
    </row>
    <row r="27" spans="1:12" x14ac:dyDescent="0.3">
      <c r="A27" s="4" t="s">
        <v>350</v>
      </c>
      <c r="B27" s="4" t="str">
        <f t="shared" si="0"/>
        <v>102117366400CB0</v>
      </c>
      <c r="C27" t="s">
        <v>273</v>
      </c>
      <c r="D27">
        <v>20411454</v>
      </c>
      <c r="E27" t="s">
        <v>387</v>
      </c>
      <c r="F27" t="s">
        <v>134</v>
      </c>
      <c r="G27" s="1">
        <v>45658</v>
      </c>
      <c r="J27">
        <v>-50</v>
      </c>
      <c r="L27" t="s">
        <v>379</v>
      </c>
    </row>
    <row r="28" spans="1:12" x14ac:dyDescent="0.3">
      <c r="A28" s="4" t="s">
        <v>351</v>
      </c>
      <c r="B28" s="4" t="str">
        <f t="shared" si="0"/>
        <v>102132809400CB0</v>
      </c>
      <c r="C28" t="s">
        <v>275</v>
      </c>
      <c r="D28">
        <v>20411454</v>
      </c>
      <c r="E28" t="s">
        <v>387</v>
      </c>
      <c r="F28" t="s">
        <v>279</v>
      </c>
      <c r="G28" s="1">
        <v>45658</v>
      </c>
      <c r="J28">
        <v>-40</v>
      </c>
      <c r="L28" t="s">
        <v>379</v>
      </c>
    </row>
    <row r="29" spans="1:12" x14ac:dyDescent="0.3">
      <c r="A29" s="4">
        <v>101048016300</v>
      </c>
      <c r="B29" s="4" t="str">
        <f t="shared" si="0"/>
        <v>1010480163000</v>
      </c>
      <c r="C29" t="s">
        <v>114</v>
      </c>
      <c r="D29">
        <v>20411454</v>
      </c>
      <c r="E29" t="s">
        <v>387</v>
      </c>
      <c r="F29" t="s">
        <v>118</v>
      </c>
      <c r="G29" s="1">
        <v>45748</v>
      </c>
      <c r="H29" s="2">
        <v>37.5</v>
      </c>
      <c r="I29">
        <v>1</v>
      </c>
      <c r="J29" s="2">
        <v>37.5</v>
      </c>
      <c r="K29" t="s">
        <v>119</v>
      </c>
      <c r="L29" t="s">
        <v>379</v>
      </c>
    </row>
    <row r="30" spans="1:12" x14ac:dyDescent="0.3">
      <c r="A30" s="4">
        <v>101453540800</v>
      </c>
      <c r="B30" s="4" t="str">
        <f t="shared" si="0"/>
        <v>1014535408000</v>
      </c>
      <c r="C30" t="s">
        <v>121</v>
      </c>
      <c r="D30">
        <v>20411454</v>
      </c>
      <c r="E30" t="s">
        <v>387</v>
      </c>
      <c r="F30" t="s">
        <v>118</v>
      </c>
      <c r="G30" s="1">
        <v>45748</v>
      </c>
      <c r="H30" s="2">
        <v>37.5</v>
      </c>
      <c r="I30">
        <v>1</v>
      </c>
      <c r="J30" s="2">
        <v>37.5</v>
      </c>
      <c r="K30" t="s">
        <v>119</v>
      </c>
      <c r="L30" t="s">
        <v>379</v>
      </c>
    </row>
    <row r="31" spans="1:12" x14ac:dyDescent="0.3">
      <c r="A31" s="4">
        <v>101463901900</v>
      </c>
      <c r="B31" s="4" t="str">
        <f t="shared" si="0"/>
        <v>1014639019000</v>
      </c>
      <c r="C31" t="s">
        <v>124</v>
      </c>
      <c r="D31">
        <v>20411454</v>
      </c>
      <c r="E31" t="s">
        <v>387</v>
      </c>
      <c r="F31" t="s">
        <v>118</v>
      </c>
      <c r="G31" s="1">
        <v>45748</v>
      </c>
      <c r="H31" s="2">
        <v>37.5</v>
      </c>
      <c r="I31">
        <v>1</v>
      </c>
      <c r="J31" s="2">
        <v>37.5</v>
      </c>
      <c r="K31" t="s">
        <v>119</v>
      </c>
      <c r="L31" t="s">
        <v>379</v>
      </c>
    </row>
    <row r="32" spans="1:12" x14ac:dyDescent="0.3">
      <c r="A32" s="4">
        <v>101500585100</v>
      </c>
      <c r="B32" s="4" t="str">
        <f t="shared" si="0"/>
        <v>1015005851000</v>
      </c>
      <c r="C32" t="s">
        <v>128</v>
      </c>
      <c r="D32">
        <v>20411454</v>
      </c>
      <c r="E32" t="s">
        <v>387</v>
      </c>
      <c r="F32" t="s">
        <v>118</v>
      </c>
      <c r="G32" s="1">
        <v>45748</v>
      </c>
      <c r="H32" s="2">
        <v>37.5</v>
      </c>
      <c r="I32">
        <v>1</v>
      </c>
      <c r="J32" s="2">
        <v>37.5</v>
      </c>
      <c r="K32" t="s">
        <v>119</v>
      </c>
      <c r="L32" t="s">
        <v>379</v>
      </c>
    </row>
    <row r="33" spans="1:12" x14ac:dyDescent="0.3">
      <c r="A33" s="4">
        <v>102156720800</v>
      </c>
      <c r="B33" s="4" t="str">
        <f t="shared" si="0"/>
        <v>1021567208000</v>
      </c>
      <c r="C33" t="s">
        <v>205</v>
      </c>
      <c r="D33">
        <v>20411454</v>
      </c>
      <c r="E33" t="s">
        <v>387</v>
      </c>
      <c r="F33" t="s">
        <v>118</v>
      </c>
      <c r="G33" s="1">
        <v>45809</v>
      </c>
      <c r="H33" s="2">
        <v>29.17</v>
      </c>
      <c r="I33">
        <v>1</v>
      </c>
      <c r="J33" s="2">
        <v>29.17</v>
      </c>
      <c r="K33" t="s">
        <v>207</v>
      </c>
      <c r="L33" t="s">
        <v>379</v>
      </c>
    </row>
    <row r="34" spans="1:12" x14ac:dyDescent="0.3">
      <c r="A34" s="4">
        <v>102157190800</v>
      </c>
      <c r="B34" s="4" t="str">
        <f t="shared" si="0"/>
        <v>1021571908000</v>
      </c>
      <c r="C34" t="s">
        <v>209</v>
      </c>
      <c r="D34">
        <v>20411454</v>
      </c>
      <c r="E34" t="s">
        <v>387</v>
      </c>
      <c r="F34" t="s">
        <v>118</v>
      </c>
      <c r="G34" s="1">
        <v>45748</v>
      </c>
      <c r="H34" s="2">
        <v>37.5</v>
      </c>
      <c r="I34">
        <v>1</v>
      </c>
      <c r="J34" s="2">
        <v>37.5</v>
      </c>
      <c r="K34" t="s">
        <v>119</v>
      </c>
      <c r="L34" t="s">
        <v>379</v>
      </c>
    </row>
    <row r="35" spans="1:12" x14ac:dyDescent="0.3">
      <c r="A35" s="4">
        <v>102157214200</v>
      </c>
      <c r="B35" s="4" t="str">
        <f t="shared" si="0"/>
        <v>1021572142000</v>
      </c>
      <c r="C35" t="s">
        <v>211</v>
      </c>
      <c r="D35">
        <v>20411454</v>
      </c>
      <c r="E35" t="s">
        <v>387</v>
      </c>
      <c r="F35" t="s">
        <v>118</v>
      </c>
      <c r="G35" s="1">
        <v>45748</v>
      </c>
      <c r="H35" s="2">
        <v>37.5</v>
      </c>
      <c r="I35">
        <v>1</v>
      </c>
      <c r="J35" s="2">
        <v>37.5</v>
      </c>
      <c r="K35" t="s">
        <v>119</v>
      </c>
      <c r="L35" t="s">
        <v>379</v>
      </c>
    </row>
    <row r="36" spans="1:12" x14ac:dyDescent="0.3">
      <c r="A36" s="4">
        <v>102157543300</v>
      </c>
      <c r="B36" s="4" t="str">
        <f t="shared" si="0"/>
        <v>1021575433000</v>
      </c>
      <c r="C36" t="s">
        <v>215</v>
      </c>
      <c r="D36">
        <v>20411454</v>
      </c>
      <c r="E36" t="s">
        <v>387</v>
      </c>
      <c r="F36" t="s">
        <v>118</v>
      </c>
      <c r="G36" s="1">
        <v>45748</v>
      </c>
      <c r="H36" s="2">
        <v>37.5</v>
      </c>
      <c r="I36">
        <v>1</v>
      </c>
      <c r="J36" s="2">
        <v>37.5</v>
      </c>
      <c r="K36" t="s">
        <v>119</v>
      </c>
      <c r="L36" t="s">
        <v>379</v>
      </c>
    </row>
    <row r="37" spans="1:12" x14ac:dyDescent="0.3">
      <c r="A37" s="4">
        <v>102157554700</v>
      </c>
      <c r="B37" s="4" t="str">
        <f t="shared" si="0"/>
        <v>1021575547000</v>
      </c>
      <c r="C37" t="s">
        <v>217</v>
      </c>
      <c r="D37">
        <v>20411454</v>
      </c>
      <c r="E37" t="s">
        <v>387</v>
      </c>
      <c r="F37" t="s">
        <v>118</v>
      </c>
      <c r="G37" s="1">
        <v>45748</v>
      </c>
      <c r="H37" s="2">
        <v>37.5</v>
      </c>
      <c r="I37">
        <v>1</v>
      </c>
      <c r="J37" s="2">
        <v>37.5</v>
      </c>
      <c r="K37" t="s">
        <v>119</v>
      </c>
      <c r="L37" t="s">
        <v>379</v>
      </c>
    </row>
    <row r="38" spans="1:12" x14ac:dyDescent="0.3">
      <c r="A38" s="4">
        <v>102157613500</v>
      </c>
      <c r="B38" s="4" t="str">
        <f t="shared" si="0"/>
        <v>1021576135000</v>
      </c>
      <c r="C38" t="s">
        <v>219</v>
      </c>
      <c r="D38">
        <v>20411454</v>
      </c>
      <c r="E38" t="s">
        <v>387</v>
      </c>
      <c r="F38" t="s">
        <v>118</v>
      </c>
      <c r="G38" s="1">
        <v>45748</v>
      </c>
      <c r="H38" s="2">
        <v>37.5</v>
      </c>
      <c r="I38">
        <v>1</v>
      </c>
      <c r="J38" s="2">
        <v>37.5</v>
      </c>
      <c r="K38" t="s">
        <v>119</v>
      </c>
      <c r="L38" t="s">
        <v>379</v>
      </c>
    </row>
    <row r="39" spans="1:12" x14ac:dyDescent="0.3">
      <c r="A39" s="4">
        <v>102157692500</v>
      </c>
      <c r="B39" s="4" t="str">
        <f t="shared" si="0"/>
        <v>1021576925000</v>
      </c>
      <c r="C39" t="s">
        <v>221</v>
      </c>
      <c r="D39">
        <v>20411454</v>
      </c>
      <c r="E39" t="s">
        <v>387</v>
      </c>
      <c r="F39" t="s">
        <v>118</v>
      </c>
      <c r="G39" s="1">
        <v>45748</v>
      </c>
      <c r="H39" s="2">
        <v>37.5</v>
      </c>
      <c r="I39">
        <v>1</v>
      </c>
      <c r="J39" s="2">
        <v>37.5</v>
      </c>
      <c r="K39" t="s">
        <v>119</v>
      </c>
      <c r="L39" t="s">
        <v>379</v>
      </c>
    </row>
    <row r="40" spans="1:12" x14ac:dyDescent="0.3">
      <c r="A40" s="4">
        <v>102157885300</v>
      </c>
      <c r="B40" s="4" t="str">
        <f t="shared" si="0"/>
        <v>1021578853000</v>
      </c>
      <c r="C40" t="s">
        <v>223</v>
      </c>
      <c r="D40">
        <v>20411454</v>
      </c>
      <c r="E40" t="s">
        <v>387</v>
      </c>
      <c r="F40" t="s">
        <v>118</v>
      </c>
      <c r="G40" s="1">
        <v>45748</v>
      </c>
      <c r="H40" s="2">
        <v>37.5</v>
      </c>
      <c r="I40">
        <v>1</v>
      </c>
      <c r="J40" s="2">
        <v>37.5</v>
      </c>
      <c r="K40" t="s">
        <v>119</v>
      </c>
      <c r="L40" t="s">
        <v>379</v>
      </c>
    </row>
    <row r="41" spans="1:12" x14ac:dyDescent="0.3">
      <c r="A41" s="4" t="s">
        <v>347</v>
      </c>
      <c r="B41" s="4" t="str">
        <f t="shared" si="0"/>
        <v>101508889100CB0</v>
      </c>
      <c r="C41" t="s">
        <v>132</v>
      </c>
      <c r="D41">
        <v>20411454</v>
      </c>
      <c r="E41" t="s">
        <v>387</v>
      </c>
      <c r="F41" t="s">
        <v>118</v>
      </c>
      <c r="G41" s="1">
        <v>45689</v>
      </c>
      <c r="J41">
        <v>-45.83</v>
      </c>
      <c r="L41" t="s">
        <v>379</v>
      </c>
    </row>
    <row r="42" spans="1:12" x14ac:dyDescent="0.3">
      <c r="A42" s="4" t="s">
        <v>348</v>
      </c>
      <c r="B42" s="4" t="str">
        <f t="shared" si="0"/>
        <v>101930278400CB0</v>
      </c>
      <c r="C42" t="s">
        <v>136</v>
      </c>
      <c r="D42">
        <v>20411454</v>
      </c>
      <c r="E42" t="s">
        <v>387</v>
      </c>
      <c r="F42" t="s">
        <v>118</v>
      </c>
      <c r="G42" s="1">
        <v>45717</v>
      </c>
      <c r="J42">
        <v>-41.67</v>
      </c>
      <c r="L42" t="s">
        <v>379</v>
      </c>
    </row>
    <row r="43" spans="1:12" x14ac:dyDescent="0.3">
      <c r="A43" s="4" t="s">
        <v>349</v>
      </c>
      <c r="B43" s="4" t="str">
        <f t="shared" si="0"/>
        <v>101968935100CB0</v>
      </c>
      <c r="C43" t="s">
        <v>139</v>
      </c>
      <c r="D43">
        <v>20411454</v>
      </c>
      <c r="E43" t="s">
        <v>387</v>
      </c>
      <c r="F43" t="s">
        <v>118</v>
      </c>
      <c r="G43" s="1">
        <v>45717</v>
      </c>
      <c r="J43">
        <v>-41.67</v>
      </c>
      <c r="L43" t="s">
        <v>379</v>
      </c>
    </row>
    <row r="44" spans="1:12" x14ac:dyDescent="0.3">
      <c r="A44" s="4" t="s">
        <v>352</v>
      </c>
      <c r="B44" s="4" t="str">
        <f t="shared" si="0"/>
        <v>102146276300CB0</v>
      </c>
      <c r="C44" t="s">
        <v>141</v>
      </c>
      <c r="D44">
        <v>20411454</v>
      </c>
      <c r="E44" t="s">
        <v>387</v>
      </c>
      <c r="F44" t="s">
        <v>118</v>
      </c>
      <c r="G44" s="1">
        <v>45689</v>
      </c>
      <c r="J44">
        <v>-45.83</v>
      </c>
      <c r="L44" t="s">
        <v>379</v>
      </c>
    </row>
    <row r="45" spans="1:12" x14ac:dyDescent="0.3">
      <c r="A45" s="4" t="s">
        <v>353</v>
      </c>
      <c r="B45" s="4" t="str">
        <f t="shared" si="0"/>
        <v>102146307700CB0</v>
      </c>
      <c r="C45" t="s">
        <v>145</v>
      </c>
      <c r="D45">
        <v>20411454</v>
      </c>
      <c r="E45" t="s">
        <v>387</v>
      </c>
      <c r="F45" t="s">
        <v>118</v>
      </c>
      <c r="G45" s="1">
        <v>45689</v>
      </c>
      <c r="J45">
        <v>-45.83</v>
      </c>
      <c r="L45" t="s">
        <v>379</v>
      </c>
    </row>
    <row r="46" spans="1:12" x14ac:dyDescent="0.3">
      <c r="A46" s="4" t="s">
        <v>354</v>
      </c>
      <c r="B46" s="4" t="str">
        <f t="shared" si="0"/>
        <v>102146612500CB0</v>
      </c>
      <c r="C46" t="s">
        <v>147</v>
      </c>
      <c r="D46">
        <v>20411454</v>
      </c>
      <c r="E46" t="s">
        <v>387</v>
      </c>
      <c r="F46" t="s">
        <v>118</v>
      </c>
      <c r="G46" s="1">
        <v>45689</v>
      </c>
      <c r="J46">
        <v>-45.83</v>
      </c>
      <c r="L46" t="s">
        <v>379</v>
      </c>
    </row>
    <row r="47" spans="1:12" x14ac:dyDescent="0.3">
      <c r="A47" s="4" t="s">
        <v>355</v>
      </c>
      <c r="B47" s="4" t="str">
        <f t="shared" si="0"/>
        <v>102147171900CB0</v>
      </c>
      <c r="C47" t="s">
        <v>149</v>
      </c>
      <c r="D47">
        <v>20411454</v>
      </c>
      <c r="E47" t="s">
        <v>387</v>
      </c>
      <c r="F47" t="s">
        <v>118</v>
      </c>
      <c r="G47" s="1">
        <v>45717</v>
      </c>
      <c r="J47">
        <v>-41.67</v>
      </c>
      <c r="L47" t="s">
        <v>379</v>
      </c>
    </row>
    <row r="48" spans="1:12" x14ac:dyDescent="0.3">
      <c r="A48" s="4" t="s">
        <v>356</v>
      </c>
      <c r="B48" s="4" t="str">
        <f t="shared" si="0"/>
        <v>102147412200CB0</v>
      </c>
      <c r="C48" t="s">
        <v>151</v>
      </c>
      <c r="D48">
        <v>20411454</v>
      </c>
      <c r="E48" t="s">
        <v>387</v>
      </c>
      <c r="F48" t="s">
        <v>118</v>
      </c>
      <c r="G48" s="1">
        <v>45689</v>
      </c>
      <c r="J48">
        <v>-45.83</v>
      </c>
      <c r="L48" t="s">
        <v>379</v>
      </c>
    </row>
    <row r="49" spans="1:12" x14ac:dyDescent="0.3">
      <c r="A49" s="4" t="s">
        <v>357</v>
      </c>
      <c r="B49" s="4" t="str">
        <f t="shared" si="0"/>
        <v>102148368500CB0</v>
      </c>
      <c r="C49" t="s">
        <v>155</v>
      </c>
      <c r="D49">
        <v>20411454</v>
      </c>
      <c r="E49" t="s">
        <v>387</v>
      </c>
      <c r="F49" t="s">
        <v>118</v>
      </c>
      <c r="G49" s="1">
        <v>45748</v>
      </c>
      <c r="J49">
        <v>-37.5</v>
      </c>
      <c r="L49" t="s">
        <v>379</v>
      </c>
    </row>
    <row r="50" spans="1:12" x14ac:dyDescent="0.3">
      <c r="A50" s="4" t="s">
        <v>358</v>
      </c>
      <c r="B50" s="4" t="str">
        <f t="shared" si="0"/>
        <v>102148379700CB0</v>
      </c>
      <c r="C50" t="s">
        <v>158</v>
      </c>
      <c r="D50">
        <v>20411454</v>
      </c>
      <c r="E50" t="s">
        <v>387</v>
      </c>
      <c r="F50" t="s">
        <v>118</v>
      </c>
      <c r="G50" s="1">
        <v>45717</v>
      </c>
      <c r="J50">
        <v>-41.67</v>
      </c>
      <c r="L50" t="s">
        <v>379</v>
      </c>
    </row>
    <row r="51" spans="1:12" x14ac:dyDescent="0.3">
      <c r="A51" s="4" t="s">
        <v>359</v>
      </c>
      <c r="B51" s="4" t="str">
        <f t="shared" si="0"/>
        <v>102148711800CB0</v>
      </c>
      <c r="C51" t="s">
        <v>162</v>
      </c>
      <c r="D51">
        <v>20411454</v>
      </c>
      <c r="E51" t="s">
        <v>387</v>
      </c>
      <c r="F51" t="s">
        <v>118</v>
      </c>
      <c r="G51" s="1">
        <v>45689</v>
      </c>
      <c r="J51">
        <v>-45.83</v>
      </c>
      <c r="L51" t="s">
        <v>379</v>
      </c>
    </row>
    <row r="52" spans="1:12" x14ac:dyDescent="0.3">
      <c r="A52" s="4" t="s">
        <v>360</v>
      </c>
      <c r="B52" s="4" t="str">
        <f t="shared" si="0"/>
        <v>102150214700CB0</v>
      </c>
      <c r="C52" t="s">
        <v>166</v>
      </c>
      <c r="D52">
        <v>20411454</v>
      </c>
      <c r="E52" t="s">
        <v>387</v>
      </c>
      <c r="F52" t="s">
        <v>118</v>
      </c>
      <c r="G52" s="1">
        <v>45717</v>
      </c>
      <c r="J52">
        <v>-41.67</v>
      </c>
      <c r="L52" t="s">
        <v>379</v>
      </c>
    </row>
    <row r="53" spans="1:12" x14ac:dyDescent="0.3">
      <c r="A53" s="4" t="s">
        <v>361</v>
      </c>
      <c r="B53" s="4" t="str">
        <f t="shared" si="0"/>
        <v>102150220300CB0</v>
      </c>
      <c r="C53" t="s">
        <v>170</v>
      </c>
      <c r="D53">
        <v>20411454</v>
      </c>
      <c r="E53" t="s">
        <v>387</v>
      </c>
      <c r="F53" t="s">
        <v>118</v>
      </c>
      <c r="G53" s="1">
        <v>45748</v>
      </c>
      <c r="J53">
        <v>-37.5</v>
      </c>
      <c r="L53" t="s">
        <v>379</v>
      </c>
    </row>
    <row r="54" spans="1:12" x14ac:dyDescent="0.3">
      <c r="A54" s="4" t="s">
        <v>362</v>
      </c>
      <c r="B54" s="4" t="str">
        <f t="shared" si="0"/>
        <v>102150493500CB0</v>
      </c>
      <c r="C54" t="s">
        <v>173</v>
      </c>
      <c r="D54">
        <v>20411454</v>
      </c>
      <c r="E54" t="s">
        <v>387</v>
      </c>
      <c r="F54" t="s">
        <v>118</v>
      </c>
      <c r="G54" s="1">
        <v>45717</v>
      </c>
      <c r="J54">
        <v>-41.67</v>
      </c>
      <c r="L54" t="s">
        <v>379</v>
      </c>
    </row>
    <row r="55" spans="1:12" x14ac:dyDescent="0.3">
      <c r="A55" s="4" t="s">
        <v>363</v>
      </c>
      <c r="B55" s="4" t="str">
        <f t="shared" si="0"/>
        <v>102150535500CB0</v>
      </c>
      <c r="C55" t="s">
        <v>176</v>
      </c>
      <c r="D55">
        <v>20411454</v>
      </c>
      <c r="E55" t="s">
        <v>387</v>
      </c>
      <c r="F55" t="s">
        <v>118</v>
      </c>
      <c r="G55" s="1">
        <v>45778</v>
      </c>
      <c r="J55">
        <v>-33.33</v>
      </c>
      <c r="L55" t="s">
        <v>379</v>
      </c>
    </row>
    <row r="56" spans="1:12" x14ac:dyDescent="0.3">
      <c r="A56" s="4" t="s">
        <v>364</v>
      </c>
      <c r="B56" s="4" t="str">
        <f t="shared" si="0"/>
        <v>102150541300CB0</v>
      </c>
      <c r="C56" t="s">
        <v>178</v>
      </c>
      <c r="D56">
        <v>20411454</v>
      </c>
      <c r="E56" t="s">
        <v>387</v>
      </c>
      <c r="F56" t="s">
        <v>118</v>
      </c>
      <c r="G56" s="1">
        <v>45778</v>
      </c>
      <c r="J56">
        <v>-33.33</v>
      </c>
      <c r="L56" t="s">
        <v>379</v>
      </c>
    </row>
    <row r="57" spans="1:12" x14ac:dyDescent="0.3">
      <c r="A57" s="4" t="s">
        <v>365</v>
      </c>
      <c r="B57" s="4" t="str">
        <f t="shared" si="0"/>
        <v>102151195700CB0</v>
      </c>
      <c r="C57" t="s">
        <v>181</v>
      </c>
      <c r="D57">
        <v>20411454</v>
      </c>
      <c r="E57" t="s">
        <v>387</v>
      </c>
      <c r="F57" t="s">
        <v>118</v>
      </c>
      <c r="G57" s="1">
        <v>45717</v>
      </c>
      <c r="J57">
        <v>-41.67</v>
      </c>
      <c r="L57" t="s">
        <v>379</v>
      </c>
    </row>
    <row r="58" spans="1:12" x14ac:dyDescent="0.3">
      <c r="A58" s="4" t="s">
        <v>366</v>
      </c>
      <c r="B58" s="4" t="str">
        <f t="shared" si="0"/>
        <v>102151874000CB0</v>
      </c>
      <c r="C58" t="s">
        <v>184</v>
      </c>
      <c r="D58">
        <v>20411454</v>
      </c>
      <c r="E58" t="s">
        <v>387</v>
      </c>
      <c r="F58" t="s">
        <v>118</v>
      </c>
      <c r="G58" s="1">
        <v>45689</v>
      </c>
      <c r="J58">
        <v>-45.83</v>
      </c>
      <c r="L58" t="s">
        <v>379</v>
      </c>
    </row>
    <row r="59" spans="1:12" x14ac:dyDescent="0.3">
      <c r="A59" s="4" t="s">
        <v>367</v>
      </c>
      <c r="B59" s="4" t="str">
        <f t="shared" si="0"/>
        <v>102152260000CB0</v>
      </c>
      <c r="C59" t="s">
        <v>186</v>
      </c>
      <c r="D59">
        <v>20411454</v>
      </c>
      <c r="E59" t="s">
        <v>387</v>
      </c>
      <c r="F59" t="s">
        <v>118</v>
      </c>
      <c r="G59" s="1">
        <v>45717</v>
      </c>
      <c r="J59">
        <v>-41.67</v>
      </c>
      <c r="L59" t="s">
        <v>379</v>
      </c>
    </row>
    <row r="60" spans="1:12" x14ac:dyDescent="0.3">
      <c r="A60" s="4" t="s">
        <v>368</v>
      </c>
      <c r="B60" s="4" t="str">
        <f t="shared" si="0"/>
        <v>102152552400CB0</v>
      </c>
      <c r="C60" t="s">
        <v>189</v>
      </c>
      <c r="D60">
        <v>20411454</v>
      </c>
      <c r="E60" t="s">
        <v>387</v>
      </c>
      <c r="F60" t="s">
        <v>118</v>
      </c>
      <c r="G60" s="1">
        <v>45717</v>
      </c>
      <c r="J60">
        <v>-41.67</v>
      </c>
      <c r="L60" t="s">
        <v>379</v>
      </c>
    </row>
    <row r="61" spans="1:12" x14ac:dyDescent="0.3">
      <c r="A61" s="4" t="s">
        <v>369</v>
      </c>
      <c r="B61" s="4" t="str">
        <f t="shared" si="0"/>
        <v>102152554700CB0</v>
      </c>
      <c r="C61" t="s">
        <v>191</v>
      </c>
      <c r="D61">
        <v>20411454</v>
      </c>
      <c r="E61" t="s">
        <v>387</v>
      </c>
      <c r="F61" t="s">
        <v>118</v>
      </c>
      <c r="G61" s="1">
        <v>45778</v>
      </c>
      <c r="J61">
        <v>-33.33</v>
      </c>
      <c r="L61" t="s">
        <v>379</v>
      </c>
    </row>
    <row r="62" spans="1:12" x14ac:dyDescent="0.3">
      <c r="A62" s="4" t="s">
        <v>370</v>
      </c>
      <c r="B62" s="4" t="str">
        <f t="shared" si="0"/>
        <v>102152584900CB0</v>
      </c>
      <c r="C62" t="s">
        <v>193</v>
      </c>
      <c r="D62">
        <v>20411454</v>
      </c>
      <c r="E62" t="s">
        <v>387</v>
      </c>
      <c r="F62" t="s">
        <v>118</v>
      </c>
      <c r="G62" s="1">
        <v>45748</v>
      </c>
      <c r="J62">
        <v>-37.5</v>
      </c>
      <c r="L62" t="s">
        <v>379</v>
      </c>
    </row>
    <row r="63" spans="1:12" x14ac:dyDescent="0.3">
      <c r="A63" s="4" t="s">
        <v>371</v>
      </c>
      <c r="B63" s="4" t="str">
        <f t="shared" si="0"/>
        <v>102152902400CB0</v>
      </c>
      <c r="C63" t="s">
        <v>196</v>
      </c>
      <c r="D63">
        <v>20411454</v>
      </c>
      <c r="E63" t="s">
        <v>387</v>
      </c>
      <c r="F63" t="s">
        <v>118</v>
      </c>
      <c r="G63" s="1">
        <v>45778</v>
      </c>
      <c r="J63">
        <v>-33.33</v>
      </c>
      <c r="L63" t="s">
        <v>379</v>
      </c>
    </row>
    <row r="64" spans="1:12" x14ac:dyDescent="0.3">
      <c r="A64" s="4" t="s">
        <v>372</v>
      </c>
      <c r="B64" s="4" t="str">
        <f t="shared" si="0"/>
        <v>102153409000CB0</v>
      </c>
      <c r="C64" t="s">
        <v>200</v>
      </c>
      <c r="D64">
        <v>20411454</v>
      </c>
      <c r="E64" t="s">
        <v>387</v>
      </c>
      <c r="F64" t="s">
        <v>118</v>
      </c>
      <c r="G64" s="1">
        <v>45778</v>
      </c>
      <c r="J64">
        <v>-33.33</v>
      </c>
      <c r="L64" t="s">
        <v>379</v>
      </c>
    </row>
    <row r="65" spans="1:13" x14ac:dyDescent="0.3">
      <c r="A65" s="4" t="s">
        <v>373</v>
      </c>
      <c r="B65" s="4" t="str">
        <f t="shared" si="0"/>
        <v>102153840400CB0</v>
      </c>
      <c r="C65" t="s">
        <v>202</v>
      </c>
      <c r="D65">
        <v>20411454</v>
      </c>
      <c r="E65" t="s">
        <v>387</v>
      </c>
      <c r="F65" t="s">
        <v>118</v>
      </c>
      <c r="G65" s="1">
        <v>45717</v>
      </c>
      <c r="J65">
        <v>-41.67</v>
      </c>
      <c r="L65" t="s">
        <v>379</v>
      </c>
    </row>
    <row r="66" spans="1:13" ht="15" thickBot="1" x14ac:dyDescent="0.35">
      <c r="A66" s="4" t="s">
        <v>374</v>
      </c>
      <c r="B66" s="4" t="str">
        <f t="shared" si="0"/>
        <v>102156088300CB0</v>
      </c>
      <c r="C66" t="s">
        <v>303</v>
      </c>
      <c r="D66">
        <v>20411454</v>
      </c>
      <c r="E66" t="s">
        <v>387</v>
      </c>
      <c r="F66" t="s">
        <v>118</v>
      </c>
      <c r="G66" s="1">
        <v>45717</v>
      </c>
      <c r="J66">
        <v>-41.67</v>
      </c>
      <c r="L66" t="s">
        <v>379</v>
      </c>
    </row>
    <row r="67" spans="1:13" ht="16.2" thickBot="1" x14ac:dyDescent="0.35">
      <c r="A67" s="4" t="s">
        <v>346</v>
      </c>
      <c r="B67" s="4" t="str">
        <f t="shared" ref="B67:B98" si="1">_xlfn.CONCAT(A67,0)</f>
        <v>006W23128PC0</v>
      </c>
      <c r="C67" t="s">
        <v>267</v>
      </c>
      <c r="D67">
        <v>20411454</v>
      </c>
      <c r="E67" t="s">
        <v>387</v>
      </c>
      <c r="F67" t="s">
        <v>268</v>
      </c>
      <c r="G67" s="1">
        <v>45689</v>
      </c>
      <c r="J67">
        <v>-19.46</v>
      </c>
      <c r="L67" s="5" t="s">
        <v>380</v>
      </c>
      <c r="M67" s="5"/>
    </row>
    <row r="68" spans="1:13" ht="16.2" thickBot="1" x14ac:dyDescent="0.35">
      <c r="A68" s="4" t="s">
        <v>375</v>
      </c>
      <c r="B68" s="4" t="str">
        <f t="shared" si="1"/>
        <v>246W21868PC0</v>
      </c>
      <c r="C68" t="s">
        <v>307</v>
      </c>
      <c r="D68">
        <v>20411454</v>
      </c>
      <c r="E68" t="s">
        <v>387</v>
      </c>
      <c r="F68" t="s">
        <v>268</v>
      </c>
      <c r="G68" s="1">
        <v>45658</v>
      </c>
      <c r="J68">
        <v>-145.91</v>
      </c>
      <c r="L68" s="5" t="s">
        <v>380</v>
      </c>
    </row>
    <row r="69" spans="1:13" ht="16.2" thickBot="1" x14ac:dyDescent="0.35">
      <c r="A69" s="4" t="s">
        <v>376</v>
      </c>
      <c r="B69" s="4" t="str">
        <f t="shared" si="1"/>
        <v>246W22457PC0</v>
      </c>
      <c r="C69" t="s">
        <v>309</v>
      </c>
      <c r="D69">
        <v>20411454</v>
      </c>
      <c r="E69" t="s">
        <v>387</v>
      </c>
      <c r="F69" t="s">
        <v>268</v>
      </c>
      <c r="G69" s="1">
        <v>45658</v>
      </c>
      <c r="J69">
        <v>-160.5</v>
      </c>
      <c r="L69" s="5" t="s">
        <v>380</v>
      </c>
    </row>
    <row r="70" spans="1:13" x14ac:dyDescent="0.3">
      <c r="A70" s="4" t="s">
        <v>334</v>
      </c>
      <c r="B70" s="4" t="str">
        <f t="shared" si="1"/>
        <v>21X7R9U970</v>
      </c>
      <c r="C70" t="s">
        <v>225</v>
      </c>
      <c r="D70">
        <v>20411454</v>
      </c>
      <c r="E70" t="s">
        <v>387</v>
      </c>
      <c r="F70" t="s">
        <v>226</v>
      </c>
      <c r="G70" s="1">
        <v>45717</v>
      </c>
      <c r="H70" s="2">
        <v>100</v>
      </c>
      <c r="I70">
        <v>1</v>
      </c>
      <c r="J70" s="2">
        <v>100</v>
      </c>
      <c r="L70" t="s">
        <v>381</v>
      </c>
    </row>
    <row r="71" spans="1:13" x14ac:dyDescent="0.3">
      <c r="A71" s="4" t="s">
        <v>317</v>
      </c>
      <c r="B71" s="4" t="str">
        <f t="shared" si="1"/>
        <v>00002045751K0</v>
      </c>
      <c r="C71" t="s">
        <v>45</v>
      </c>
      <c r="D71">
        <v>20411454</v>
      </c>
      <c r="E71" t="s">
        <v>387</v>
      </c>
      <c r="F71" t="s">
        <v>50</v>
      </c>
      <c r="G71" s="1">
        <v>45748</v>
      </c>
      <c r="H71" s="2">
        <v>175</v>
      </c>
      <c r="I71">
        <v>1</v>
      </c>
      <c r="J71" s="2">
        <v>175</v>
      </c>
      <c r="L71" t="s">
        <v>382</v>
      </c>
    </row>
    <row r="72" spans="1:13" x14ac:dyDescent="0.3">
      <c r="A72" s="4" t="s">
        <v>318</v>
      </c>
      <c r="B72" s="4" t="str">
        <f t="shared" si="1"/>
        <v>00015132666K0</v>
      </c>
      <c r="C72" t="s">
        <v>54</v>
      </c>
      <c r="D72">
        <v>20411454</v>
      </c>
      <c r="E72" t="s">
        <v>387</v>
      </c>
      <c r="F72" t="s">
        <v>50</v>
      </c>
      <c r="G72" s="1">
        <v>45748</v>
      </c>
      <c r="H72" s="2">
        <v>175</v>
      </c>
      <c r="I72">
        <v>1</v>
      </c>
      <c r="J72" s="2">
        <v>175</v>
      </c>
      <c r="L72" t="s">
        <v>382</v>
      </c>
    </row>
    <row r="73" spans="1:13" x14ac:dyDescent="0.3">
      <c r="A73" s="4" t="s">
        <v>320</v>
      </c>
      <c r="B73" s="4" t="str">
        <f t="shared" si="1"/>
        <v>00018370093K0</v>
      </c>
      <c r="C73" t="s">
        <v>63</v>
      </c>
      <c r="D73">
        <v>20411454</v>
      </c>
      <c r="E73" t="s">
        <v>387</v>
      </c>
      <c r="F73" t="s">
        <v>50</v>
      </c>
      <c r="G73" s="1">
        <v>45748</v>
      </c>
      <c r="H73" s="2">
        <v>175</v>
      </c>
      <c r="I73">
        <v>1</v>
      </c>
      <c r="J73" s="2">
        <v>175</v>
      </c>
      <c r="L73" t="s">
        <v>382</v>
      </c>
    </row>
    <row r="74" spans="1:13" x14ac:dyDescent="0.3">
      <c r="A74" s="4" t="s">
        <v>322</v>
      </c>
      <c r="B74" s="4" t="str">
        <f t="shared" si="1"/>
        <v>00023200099K0</v>
      </c>
      <c r="C74" t="s">
        <v>69</v>
      </c>
      <c r="D74">
        <v>20411454</v>
      </c>
      <c r="E74" t="s">
        <v>387</v>
      </c>
      <c r="F74" t="s">
        <v>50</v>
      </c>
      <c r="G74" s="1">
        <v>45748</v>
      </c>
      <c r="H74" s="2">
        <v>175</v>
      </c>
      <c r="I74">
        <v>1</v>
      </c>
      <c r="J74" s="2">
        <v>175</v>
      </c>
      <c r="L74" t="s">
        <v>382</v>
      </c>
    </row>
    <row r="75" spans="1:13" x14ac:dyDescent="0.3">
      <c r="A75" s="4" t="s">
        <v>323</v>
      </c>
      <c r="B75" s="4" t="str">
        <f t="shared" si="1"/>
        <v>00023200313K0</v>
      </c>
      <c r="C75" t="s">
        <v>73</v>
      </c>
      <c r="D75">
        <v>20411454</v>
      </c>
      <c r="E75" t="s">
        <v>387</v>
      </c>
      <c r="F75" t="s">
        <v>50</v>
      </c>
      <c r="G75" s="1">
        <v>45748</v>
      </c>
      <c r="H75" s="2">
        <v>175</v>
      </c>
      <c r="I75">
        <v>1</v>
      </c>
      <c r="J75" s="2">
        <v>175</v>
      </c>
      <c r="L75" t="s">
        <v>382</v>
      </c>
    </row>
    <row r="76" spans="1:13" x14ac:dyDescent="0.3">
      <c r="A76" s="4" t="s">
        <v>324</v>
      </c>
      <c r="B76" s="4" t="str">
        <f t="shared" si="1"/>
        <v>00023200368K0</v>
      </c>
      <c r="C76" t="s">
        <v>77</v>
      </c>
      <c r="D76">
        <v>20411454</v>
      </c>
      <c r="E76" t="s">
        <v>387</v>
      </c>
      <c r="F76" t="s">
        <v>50</v>
      </c>
      <c r="G76" s="1">
        <v>45748</v>
      </c>
      <c r="H76" s="2">
        <v>175</v>
      </c>
      <c r="I76">
        <v>1</v>
      </c>
      <c r="J76" s="2">
        <v>175</v>
      </c>
      <c r="L76" t="s">
        <v>382</v>
      </c>
    </row>
    <row r="77" spans="1:13" x14ac:dyDescent="0.3">
      <c r="A77" s="4" t="s">
        <v>325</v>
      </c>
      <c r="B77" s="4" t="str">
        <f t="shared" si="1"/>
        <v>00023200476K0</v>
      </c>
      <c r="C77" t="s">
        <v>81</v>
      </c>
      <c r="D77">
        <v>20411454</v>
      </c>
      <c r="E77" t="s">
        <v>387</v>
      </c>
      <c r="F77" t="s">
        <v>50</v>
      </c>
      <c r="G77" s="1">
        <v>45748</v>
      </c>
      <c r="H77" s="2">
        <v>175</v>
      </c>
      <c r="I77">
        <v>1</v>
      </c>
      <c r="J77" s="2">
        <v>175</v>
      </c>
      <c r="L77" t="s">
        <v>382</v>
      </c>
    </row>
    <row r="78" spans="1:13" x14ac:dyDescent="0.3">
      <c r="A78" s="4" t="s">
        <v>326</v>
      </c>
      <c r="B78" s="4" t="str">
        <f t="shared" si="1"/>
        <v>00023202122K0</v>
      </c>
      <c r="C78" t="s">
        <v>85</v>
      </c>
      <c r="D78">
        <v>20411454</v>
      </c>
      <c r="E78" t="s">
        <v>387</v>
      </c>
      <c r="F78" t="s">
        <v>50</v>
      </c>
      <c r="G78" s="1">
        <v>45748</v>
      </c>
      <c r="H78" s="2">
        <v>175</v>
      </c>
      <c r="I78">
        <v>1</v>
      </c>
      <c r="J78" s="2">
        <v>175</v>
      </c>
      <c r="L78" t="s">
        <v>382</v>
      </c>
    </row>
    <row r="79" spans="1:13" x14ac:dyDescent="0.3">
      <c r="A79" s="4" t="s">
        <v>327</v>
      </c>
      <c r="B79" s="4" t="str">
        <f t="shared" si="1"/>
        <v>00023203793K0</v>
      </c>
      <c r="C79" t="s">
        <v>89</v>
      </c>
      <c r="D79">
        <v>20411454</v>
      </c>
      <c r="E79" t="s">
        <v>387</v>
      </c>
      <c r="F79" t="s">
        <v>50</v>
      </c>
      <c r="G79" s="1">
        <v>45748</v>
      </c>
      <c r="H79" s="2">
        <v>175</v>
      </c>
      <c r="I79">
        <v>1</v>
      </c>
      <c r="J79" s="2">
        <v>175</v>
      </c>
      <c r="L79" t="s">
        <v>382</v>
      </c>
    </row>
    <row r="80" spans="1:13" x14ac:dyDescent="0.3">
      <c r="A80" s="4" t="s">
        <v>328</v>
      </c>
      <c r="B80" s="4" t="str">
        <f t="shared" si="1"/>
        <v>00023203836K0</v>
      </c>
      <c r="C80" t="s">
        <v>93</v>
      </c>
      <c r="D80">
        <v>20411454</v>
      </c>
      <c r="E80" t="s">
        <v>387</v>
      </c>
      <c r="F80" t="s">
        <v>50</v>
      </c>
      <c r="G80" s="1">
        <v>45748</v>
      </c>
      <c r="H80" s="2">
        <v>175</v>
      </c>
      <c r="I80">
        <v>1</v>
      </c>
      <c r="J80" s="2">
        <v>175</v>
      </c>
      <c r="L80" t="s">
        <v>382</v>
      </c>
    </row>
    <row r="81" spans="1:12" x14ac:dyDescent="0.3">
      <c r="A81" s="4" t="s">
        <v>329</v>
      </c>
      <c r="B81" s="4" t="str">
        <f t="shared" si="1"/>
        <v>00023204136K0</v>
      </c>
      <c r="C81" t="s">
        <v>95</v>
      </c>
      <c r="D81">
        <v>20411454</v>
      </c>
      <c r="E81" t="s">
        <v>387</v>
      </c>
      <c r="F81" t="s">
        <v>50</v>
      </c>
      <c r="G81" s="1">
        <v>45748</v>
      </c>
      <c r="H81" s="2">
        <v>175</v>
      </c>
      <c r="I81">
        <v>1</v>
      </c>
      <c r="J81" s="2">
        <v>175</v>
      </c>
      <c r="L81" t="s">
        <v>382</v>
      </c>
    </row>
    <row r="82" spans="1:12" x14ac:dyDescent="0.3">
      <c r="A82" s="4" t="s">
        <v>330</v>
      </c>
      <c r="B82" s="4" t="str">
        <f t="shared" si="1"/>
        <v>00023208350K0</v>
      </c>
      <c r="C82" t="s">
        <v>99</v>
      </c>
      <c r="D82">
        <v>20411454</v>
      </c>
      <c r="E82" t="s">
        <v>387</v>
      </c>
      <c r="F82" t="s">
        <v>50</v>
      </c>
      <c r="G82" s="1">
        <v>45748</v>
      </c>
      <c r="H82" s="2">
        <v>175</v>
      </c>
      <c r="I82">
        <v>1</v>
      </c>
      <c r="J82" s="2">
        <v>175</v>
      </c>
      <c r="L82" t="s">
        <v>382</v>
      </c>
    </row>
    <row r="83" spans="1:12" x14ac:dyDescent="0.3">
      <c r="A83" s="4" t="s">
        <v>331</v>
      </c>
      <c r="B83" s="4" t="str">
        <f t="shared" si="1"/>
        <v>00023212957K0</v>
      </c>
      <c r="C83" t="s">
        <v>103</v>
      </c>
      <c r="D83">
        <v>20411454</v>
      </c>
      <c r="E83" t="s">
        <v>387</v>
      </c>
      <c r="F83" t="s">
        <v>50</v>
      </c>
      <c r="G83" s="1">
        <v>45748</v>
      </c>
      <c r="H83" s="2">
        <v>175</v>
      </c>
      <c r="I83">
        <v>1</v>
      </c>
      <c r="J83" s="2">
        <v>175</v>
      </c>
      <c r="L83" t="s">
        <v>382</v>
      </c>
    </row>
    <row r="84" spans="1:12" x14ac:dyDescent="0.3">
      <c r="A84" s="4" t="s">
        <v>332</v>
      </c>
      <c r="B84" s="4" t="str">
        <f t="shared" si="1"/>
        <v>00023213469K0</v>
      </c>
      <c r="C84" t="s">
        <v>105</v>
      </c>
      <c r="D84">
        <v>20411454</v>
      </c>
      <c r="E84" t="s">
        <v>387</v>
      </c>
      <c r="F84" t="s">
        <v>50</v>
      </c>
      <c r="G84" s="1">
        <v>45778</v>
      </c>
      <c r="H84" s="2">
        <v>175</v>
      </c>
      <c r="I84">
        <v>1</v>
      </c>
      <c r="J84" s="2">
        <v>175</v>
      </c>
      <c r="L84" t="s">
        <v>382</v>
      </c>
    </row>
    <row r="85" spans="1:12" x14ac:dyDescent="0.3">
      <c r="A85" s="4" t="s">
        <v>339</v>
      </c>
      <c r="B85" s="4" t="str">
        <f t="shared" si="1"/>
        <v>00005232205KPC0</v>
      </c>
      <c r="C85" t="s">
        <v>251</v>
      </c>
      <c r="D85">
        <v>20411454</v>
      </c>
      <c r="E85" t="s">
        <v>387</v>
      </c>
      <c r="F85" t="s">
        <v>50</v>
      </c>
      <c r="G85" s="1">
        <v>45658</v>
      </c>
      <c r="J85">
        <v>-131.25</v>
      </c>
      <c r="L85" t="s">
        <v>382</v>
      </c>
    </row>
    <row r="86" spans="1:12" x14ac:dyDescent="0.3">
      <c r="A86" s="4" t="s">
        <v>340</v>
      </c>
      <c r="B86" s="4" t="str">
        <f t="shared" si="1"/>
        <v>00005661676KPC0</v>
      </c>
      <c r="C86" t="s">
        <v>254</v>
      </c>
      <c r="D86">
        <v>20411454</v>
      </c>
      <c r="E86" t="s">
        <v>387</v>
      </c>
      <c r="F86" t="s">
        <v>50</v>
      </c>
      <c r="G86" s="1">
        <v>45658</v>
      </c>
      <c r="J86">
        <v>-131.25</v>
      </c>
      <c r="L86" t="s">
        <v>382</v>
      </c>
    </row>
    <row r="87" spans="1:12" x14ac:dyDescent="0.3">
      <c r="A87" s="4" t="s">
        <v>341</v>
      </c>
      <c r="B87" s="4" t="str">
        <f t="shared" si="1"/>
        <v>00014364251KPC0</v>
      </c>
      <c r="C87" t="s">
        <v>258</v>
      </c>
      <c r="D87">
        <v>20411454</v>
      </c>
      <c r="E87" t="s">
        <v>387</v>
      </c>
      <c r="F87" t="s">
        <v>50</v>
      </c>
      <c r="G87" s="1">
        <v>45658</v>
      </c>
      <c r="J87">
        <v>-131.25</v>
      </c>
      <c r="L87" t="s">
        <v>382</v>
      </c>
    </row>
    <row r="88" spans="1:12" x14ac:dyDescent="0.3">
      <c r="A88" s="4" t="s">
        <v>343</v>
      </c>
      <c r="B88" s="4" t="str">
        <f t="shared" si="1"/>
        <v>00020112096KPC0</v>
      </c>
      <c r="C88" t="s">
        <v>261</v>
      </c>
      <c r="D88">
        <v>20411454</v>
      </c>
      <c r="E88" t="s">
        <v>387</v>
      </c>
      <c r="F88" t="s">
        <v>50</v>
      </c>
      <c r="G88" s="1">
        <v>45658</v>
      </c>
      <c r="J88">
        <v>-131.25</v>
      </c>
      <c r="L88" t="s">
        <v>382</v>
      </c>
    </row>
    <row r="89" spans="1:12" x14ac:dyDescent="0.3">
      <c r="A89" s="4" t="s">
        <v>345</v>
      </c>
      <c r="B89" s="4" t="str">
        <f t="shared" si="1"/>
        <v>00022502430KPC0</v>
      </c>
      <c r="C89" t="s">
        <v>265</v>
      </c>
      <c r="D89">
        <v>20411454</v>
      </c>
      <c r="E89" t="s">
        <v>387</v>
      </c>
      <c r="F89" t="s">
        <v>50</v>
      </c>
      <c r="G89" s="1">
        <v>45689</v>
      </c>
      <c r="J89">
        <v>-131.25</v>
      </c>
      <c r="L89" t="s">
        <v>382</v>
      </c>
    </row>
    <row r="90" spans="1:12" x14ac:dyDescent="0.3">
      <c r="A90" s="4" t="s">
        <v>319</v>
      </c>
      <c r="B90" s="4" t="str">
        <f t="shared" si="1"/>
        <v>00017407420K0</v>
      </c>
      <c r="C90" t="s">
        <v>58</v>
      </c>
      <c r="D90">
        <v>20411454</v>
      </c>
      <c r="E90" t="s">
        <v>387</v>
      </c>
      <c r="F90" t="s">
        <v>61</v>
      </c>
      <c r="G90" s="1">
        <v>45748</v>
      </c>
      <c r="H90" s="2">
        <v>108</v>
      </c>
      <c r="I90">
        <v>1</v>
      </c>
      <c r="J90" s="2">
        <v>108</v>
      </c>
      <c r="L90" t="s">
        <v>382</v>
      </c>
    </row>
    <row r="91" spans="1:12" x14ac:dyDescent="0.3">
      <c r="A91" s="4" t="s">
        <v>321</v>
      </c>
      <c r="B91" s="4" t="str">
        <f t="shared" si="1"/>
        <v>00018884961K0</v>
      </c>
      <c r="C91" t="s">
        <v>65</v>
      </c>
      <c r="D91">
        <v>20411454</v>
      </c>
      <c r="E91" t="s">
        <v>387</v>
      </c>
      <c r="F91" t="s">
        <v>61</v>
      </c>
      <c r="G91" s="1">
        <v>45748</v>
      </c>
      <c r="H91" s="2">
        <v>108</v>
      </c>
      <c r="I91">
        <v>1</v>
      </c>
      <c r="J91" s="2">
        <v>108</v>
      </c>
      <c r="L91" t="s">
        <v>382</v>
      </c>
    </row>
    <row r="92" spans="1:12" x14ac:dyDescent="0.3">
      <c r="A92" s="4" t="s">
        <v>342</v>
      </c>
      <c r="B92" s="4" t="str">
        <f t="shared" si="1"/>
        <v>00018884961KPC0</v>
      </c>
      <c r="C92" t="s">
        <v>65</v>
      </c>
      <c r="D92">
        <v>20411454</v>
      </c>
      <c r="E92" t="s">
        <v>387</v>
      </c>
      <c r="F92" t="s">
        <v>61</v>
      </c>
      <c r="G92" s="1">
        <v>45658</v>
      </c>
      <c r="J92">
        <v>-81</v>
      </c>
      <c r="L92" t="s">
        <v>382</v>
      </c>
    </row>
    <row r="93" spans="1:12" x14ac:dyDescent="0.3">
      <c r="A93" s="4" t="s">
        <v>344</v>
      </c>
      <c r="B93" s="4" t="str">
        <f t="shared" si="1"/>
        <v>00022090243KAPC0</v>
      </c>
      <c r="C93" t="s">
        <v>263</v>
      </c>
      <c r="D93">
        <v>20411454</v>
      </c>
      <c r="E93" t="s">
        <v>387</v>
      </c>
      <c r="F93" t="s">
        <v>61</v>
      </c>
      <c r="G93" s="1">
        <v>45658</v>
      </c>
      <c r="J93">
        <v>-81</v>
      </c>
      <c r="L93" t="s">
        <v>382</v>
      </c>
    </row>
    <row r="94" spans="1:12" x14ac:dyDescent="0.3">
      <c r="A94" s="4" t="s">
        <v>333</v>
      </c>
      <c r="B94" s="4" t="str">
        <f t="shared" si="1"/>
        <v>00023213919KPDP0</v>
      </c>
      <c r="C94" t="s">
        <v>109</v>
      </c>
      <c r="D94">
        <v>20411454</v>
      </c>
      <c r="E94" t="s">
        <v>387</v>
      </c>
      <c r="F94" t="s">
        <v>112</v>
      </c>
      <c r="G94" s="1">
        <v>45748</v>
      </c>
      <c r="H94" s="2">
        <v>15</v>
      </c>
      <c r="I94">
        <v>1</v>
      </c>
      <c r="J94" s="2">
        <v>15</v>
      </c>
      <c r="L94" t="s">
        <v>382</v>
      </c>
    </row>
    <row r="95" spans="1:12" x14ac:dyDescent="0.3">
      <c r="A95" s="4" t="s">
        <v>336</v>
      </c>
      <c r="B95" s="4" t="str">
        <f>_xlfn.CONCAT(A95,1)</f>
        <v>A042361161</v>
      </c>
      <c r="C95" t="s">
        <v>233</v>
      </c>
      <c r="D95">
        <v>2158366</v>
      </c>
      <c r="E95" t="s">
        <v>143</v>
      </c>
      <c r="F95" t="s">
        <v>234</v>
      </c>
      <c r="G95" s="1">
        <v>45809</v>
      </c>
      <c r="H95" s="2">
        <v>31.98</v>
      </c>
      <c r="I95">
        <v>9</v>
      </c>
      <c r="J95" s="2">
        <v>287.82</v>
      </c>
      <c r="L95" t="s">
        <v>383</v>
      </c>
    </row>
    <row r="96" spans="1:12" x14ac:dyDescent="0.3">
      <c r="A96" s="4" t="s">
        <v>337</v>
      </c>
      <c r="B96" s="4" t="str">
        <f>_xlfn.CONCAT(A96,1)</f>
        <v>A042482211</v>
      </c>
      <c r="C96" t="s">
        <v>236</v>
      </c>
      <c r="D96">
        <v>9213293</v>
      </c>
      <c r="E96" t="s">
        <v>48</v>
      </c>
      <c r="F96" t="s">
        <v>234</v>
      </c>
      <c r="G96" s="1">
        <v>45748</v>
      </c>
      <c r="H96" s="2">
        <v>31.98</v>
      </c>
      <c r="I96">
        <v>9</v>
      </c>
      <c r="J96" s="2">
        <v>287.82</v>
      </c>
      <c r="L96" t="s">
        <v>383</v>
      </c>
    </row>
    <row r="97" spans="1:13" x14ac:dyDescent="0.3">
      <c r="A97" s="4" t="s">
        <v>378</v>
      </c>
      <c r="B97" s="4" t="str">
        <f t="shared" si="1"/>
        <v>927293887OVCB0</v>
      </c>
      <c r="C97" t="s">
        <v>313</v>
      </c>
      <c r="D97">
        <v>20411454</v>
      </c>
      <c r="E97" t="s">
        <v>387</v>
      </c>
      <c r="F97" t="s">
        <v>316</v>
      </c>
      <c r="G97" s="1">
        <v>45809</v>
      </c>
      <c r="J97">
        <v>-175</v>
      </c>
      <c r="L97" t="s">
        <v>384</v>
      </c>
    </row>
    <row r="98" spans="1:13" x14ac:dyDescent="0.3">
      <c r="A98" s="4" t="s">
        <v>335</v>
      </c>
      <c r="B98" s="4" t="str">
        <f t="shared" si="1"/>
        <v>915582834OV0</v>
      </c>
      <c r="C98" t="s">
        <v>228</v>
      </c>
      <c r="D98">
        <v>20411454</v>
      </c>
      <c r="E98" t="s">
        <v>387</v>
      </c>
      <c r="F98" t="s">
        <v>231</v>
      </c>
      <c r="G98" s="1">
        <v>45748</v>
      </c>
      <c r="H98" s="2">
        <v>54</v>
      </c>
      <c r="I98">
        <v>1</v>
      </c>
      <c r="J98" s="2">
        <v>54</v>
      </c>
      <c r="K98" t="s">
        <v>119</v>
      </c>
      <c r="L98" t="s">
        <v>384</v>
      </c>
    </row>
    <row r="99" spans="1:13" x14ac:dyDescent="0.3">
      <c r="A99" s="4">
        <v>915582834</v>
      </c>
      <c r="B99" s="4" t="str">
        <f t="shared" ref="B99:B100" si="2">_xlfn.CONCAT(A99,1)</f>
        <v>9155828341</v>
      </c>
      <c r="C99" t="s">
        <v>228</v>
      </c>
      <c r="D99">
        <v>6634327</v>
      </c>
      <c r="E99" t="s">
        <v>97</v>
      </c>
      <c r="F99" t="s">
        <v>229</v>
      </c>
      <c r="G99" s="1">
        <v>45748</v>
      </c>
      <c r="H99" s="2">
        <v>234.75</v>
      </c>
      <c r="I99">
        <v>1</v>
      </c>
      <c r="J99" s="2">
        <v>234.75</v>
      </c>
      <c r="K99" t="s">
        <v>119</v>
      </c>
      <c r="L99" t="s">
        <v>385</v>
      </c>
      <c r="M99" t="s">
        <v>388</v>
      </c>
    </row>
    <row r="100" spans="1:13" x14ac:dyDescent="0.3">
      <c r="A100" s="4" t="s">
        <v>377</v>
      </c>
      <c r="B100" s="4" t="str">
        <f t="shared" si="2"/>
        <v>927293887CB1</v>
      </c>
      <c r="C100" t="s">
        <v>313</v>
      </c>
      <c r="D100">
        <v>19645587</v>
      </c>
      <c r="E100" t="s">
        <v>160</v>
      </c>
      <c r="F100" t="s">
        <v>229</v>
      </c>
      <c r="G100" s="1">
        <v>45809</v>
      </c>
      <c r="J100">
        <v>-182.58</v>
      </c>
      <c r="L100" t="s">
        <v>385</v>
      </c>
      <c r="M100" t="s">
        <v>386</v>
      </c>
    </row>
  </sheetData>
  <sortState xmlns:xlrd2="http://schemas.microsoft.com/office/spreadsheetml/2017/richdata2" ref="A2:AK101">
    <sortCondition ref="F2:F101"/>
  </sortState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1ADD-DC76-402B-A2F7-460E7E5FFBFA}">
  <dimension ref="A2:J4"/>
  <sheetViews>
    <sheetView tabSelected="1" workbookViewId="0">
      <selection activeCell="N3" sqref="N3"/>
    </sheetView>
  </sheetViews>
  <sheetFormatPr defaultRowHeight="14.4" x14ac:dyDescent="0.3"/>
  <cols>
    <col min="1" max="1" width="13.77734375" bestFit="1" customWidth="1"/>
    <col min="2" max="2" width="17.6640625" bestFit="1" customWidth="1"/>
    <col min="4" max="4" width="18.77734375" bestFit="1" customWidth="1"/>
    <col min="5" max="5" width="37.6640625" bestFit="1" customWidth="1"/>
  </cols>
  <sheetData>
    <row r="2" spans="1:10" x14ac:dyDescent="0.3">
      <c r="A2" s="4" t="s">
        <v>8</v>
      </c>
      <c r="B2" t="s">
        <v>9</v>
      </c>
      <c r="C2" t="s">
        <v>14</v>
      </c>
      <c r="D2" t="s">
        <v>15</v>
      </c>
      <c r="E2" t="s">
        <v>17</v>
      </c>
      <c r="F2" t="s">
        <v>18</v>
      </c>
      <c r="G2" t="s">
        <v>25</v>
      </c>
      <c r="H2" t="s">
        <v>26</v>
      </c>
      <c r="I2" t="s">
        <v>28</v>
      </c>
      <c r="J2" t="s">
        <v>37</v>
      </c>
    </row>
    <row r="3" spans="1:10" s="7" customFormat="1" x14ac:dyDescent="0.3">
      <c r="A3" s="6" t="s">
        <v>338</v>
      </c>
      <c r="B3" s="7" t="s">
        <v>238</v>
      </c>
      <c r="D3" s="7" t="s">
        <v>241</v>
      </c>
      <c r="E3" s="7" t="s">
        <v>242</v>
      </c>
      <c r="F3" s="8">
        <v>45748</v>
      </c>
      <c r="G3" s="9">
        <v>40.020000000000003</v>
      </c>
      <c r="H3" s="7">
        <v>9</v>
      </c>
      <c r="I3" s="9">
        <v>360.18</v>
      </c>
      <c r="J3" s="7" t="s">
        <v>389</v>
      </c>
    </row>
    <row r="4" spans="1:10" s="7" customFormat="1" x14ac:dyDescent="0.3">
      <c r="A4" s="6" t="s">
        <v>244</v>
      </c>
      <c r="B4" s="7" t="s">
        <v>244</v>
      </c>
      <c r="E4" s="7" t="s">
        <v>244</v>
      </c>
      <c r="F4" s="8">
        <v>44927</v>
      </c>
      <c r="G4" s="9">
        <v>-50</v>
      </c>
      <c r="H4" s="7">
        <v>1</v>
      </c>
      <c r="I4" s="9">
        <v>-50</v>
      </c>
      <c r="J4" s="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</cp:lastModifiedBy>
  <dcterms:created xsi:type="dcterms:W3CDTF">2025-04-09T18:58:56Z</dcterms:created>
  <dcterms:modified xsi:type="dcterms:W3CDTF">2025-04-15T20:36:09Z</dcterms:modified>
</cp:coreProperties>
</file>