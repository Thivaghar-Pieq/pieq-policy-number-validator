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4-23-25\"/>
    </mc:Choice>
  </mc:AlternateContent>
  <xr:revisionPtr revIDLastSave="0" documentId="13_ncr:1_{32972579-B22C-4762-B3A4-8149305B406D}" xr6:coauthVersionLast="47" xr6:coauthVersionMax="47" xr10:uidLastSave="{00000000-0000-0000-0000-000000000000}"/>
  <bookViews>
    <workbookView xWindow="30180" yWindow="1545" windowWidth="21600" windowHeight="13230" xr2:uid="{8B0EE81D-37B9-48E1-88E0-11889ABD6451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45" i="2" l="1"/>
  <c r="B44" i="2"/>
  <c r="B41" i="2"/>
  <c r="B40" i="2"/>
  <c r="B43" i="2"/>
  <c r="B4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" i="2"/>
</calcChain>
</file>

<file path=xl/sharedStrings.xml><?xml version="1.0" encoding="utf-8"?>
<sst xmlns="http://schemas.openxmlformats.org/spreadsheetml/2006/main" count="1086" uniqueCount="250">
  <si>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</si>
  <si>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</si>
  <si>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</si>
  <si>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</si>
  <si>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</si>
  <si>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</si>
  <si>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</si>
  <si>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</si>
  <si>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</si>
  <si>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</si>
  <si>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</si>
  <si>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</si>
  <si>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</si>
  <si>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</si>
  <si>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</si>
  <si>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</si>
  <si>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</si>
  <si>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</si>
  <si>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</si>
  <si>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</si>
  <si>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</si>
  <si>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</si>
  <si>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</si>
  <si>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</si>
  <si>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</si>
  <si>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</si>
  <si>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</si>
  <si>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</si>
  <si>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</si>
  <si>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</si>
  <si>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</si>
  <si>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</si>
  <si>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</si>
  <si>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</si>
  <si>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</si>
  <si>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</si>
  <si>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</si>
  <si>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</si>
  <si>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</si>
  <si>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</si>
  <si>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</si>
  <si>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</si>
  <si>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</si>
  <si>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</si>
  <si>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'00012639611K</t>
  </si>
  <si>
    <t>PANNA SHAH</t>
  </si>
  <si>
    <t>NA</t>
  </si>
  <si>
    <t>'045611</t>
  </si>
  <si>
    <t>FRANK LISKOVEC</t>
  </si>
  <si>
    <t>ACTIVE</t>
  </si>
  <si>
    <t>Humana MA 2019+ Level 15- 175/108 Repl 2024</t>
  </si>
  <si>
    <t>Monthly</t>
  </si>
  <si>
    <t>AV</t>
  </si>
  <si>
    <t>'00017933721K</t>
  </si>
  <si>
    <t>FRANCES BOOZE</t>
  </si>
  <si>
    <t>'043690</t>
  </si>
  <si>
    <t>THOMAS KUCAN</t>
  </si>
  <si>
    <t>Humana MA 2019+ Level 15- 175/108</t>
  </si>
  <si>
    <t>TODORKA STAMOVA</t>
  </si>
  <si>
    <t>'045613</t>
  </si>
  <si>
    <t>RICARDO SANTOS</t>
  </si>
  <si>
    <t>Active</t>
  </si>
  <si>
    <t>Humana MA Bonus Upload 04-23-2025.xlsx</t>
  </si>
  <si>
    <t>'00023260992K</t>
  </si>
  <si>
    <t>LINDA KINNEY</t>
  </si>
  <si>
    <t>'045607</t>
  </si>
  <si>
    <t>PAMELA DEATON</t>
  </si>
  <si>
    <t>'00023263393K</t>
  </si>
  <si>
    <t>VALERIE GOSS</t>
  </si>
  <si>
    <t>'045601</t>
  </si>
  <si>
    <t>CAROL FOLEY</t>
  </si>
  <si>
    <t>'00023267662K</t>
  </si>
  <si>
    <t>NADA LATIF</t>
  </si>
  <si>
    <t>'045605</t>
  </si>
  <si>
    <t>GARY PORTUGAL</t>
  </si>
  <si>
    <t>'00023267754K</t>
  </si>
  <si>
    <t>BONNIE CHATEL</t>
  </si>
  <si>
    <t>'043618</t>
  </si>
  <si>
    <t>SAADIA ABDUL</t>
  </si>
  <si>
    <t>'00023268051K</t>
  </si>
  <si>
    <t>MICHAEL LIBA</t>
  </si>
  <si>
    <t>'043679</t>
  </si>
  <si>
    <t>DEBORAH INSKIPT</t>
  </si>
  <si>
    <t>'00023268721KPDP</t>
  </si>
  <si>
    <t>KEITH AURAND</t>
  </si>
  <si>
    <t>'043714</t>
  </si>
  <si>
    <t>BRIAN STROHMAN</t>
  </si>
  <si>
    <t>Humana PDP 2019+ Level 15- 15/0</t>
  </si>
  <si>
    <t>'00023268932K</t>
  </si>
  <si>
    <t>PAWEL DUSZCZYK</t>
  </si>
  <si>
    <t>'045612</t>
  </si>
  <si>
    <t>ANTHONY HUNSBERGER</t>
  </si>
  <si>
    <t>'00023271984K</t>
  </si>
  <si>
    <t>LAURA DAIDONE</t>
  </si>
  <si>
    <t>'00023272328K</t>
  </si>
  <si>
    <t>VIOLETA SHAHINI</t>
  </si>
  <si>
    <t>'043682</t>
  </si>
  <si>
    <t>GREGORY TEIPEL</t>
  </si>
  <si>
    <t>'00023274538K</t>
  </si>
  <si>
    <t>VIVIAN TOOMEY</t>
  </si>
  <si>
    <t>'045661</t>
  </si>
  <si>
    <t>BRITTANY OLIVER</t>
  </si>
  <si>
    <t>'101521310700</t>
  </si>
  <si>
    <t>BEVERLY SPEER</t>
  </si>
  <si>
    <t>PA</t>
  </si>
  <si>
    <t>Aetna MAPD NMO to GMO - 4-1-23+  Replace E-App</t>
  </si>
  <si>
    <t>9/12 PRORATE</t>
  </si>
  <si>
    <t>'101861054800</t>
  </si>
  <si>
    <t>SANDRA TUJO</t>
  </si>
  <si>
    <t>IL</t>
  </si>
  <si>
    <t>'045618</t>
  </si>
  <si>
    <t>STEPHANIE DRAPAC</t>
  </si>
  <si>
    <t>8/12 PRORATE</t>
  </si>
  <si>
    <t>'101861059800</t>
  </si>
  <si>
    <t>THOMAS TUJO</t>
  </si>
  <si>
    <t>'101877929000</t>
  </si>
  <si>
    <t>JANET MURPHY RYAN</t>
  </si>
  <si>
    <t>'043637</t>
  </si>
  <si>
    <t>CHRISTIAN TAUGNER</t>
  </si>
  <si>
    <t>DANIEL SEMINERIO</t>
  </si>
  <si>
    <t>Aetna MAPD NMO to GMO - 4-1-23+  New E-App</t>
  </si>
  <si>
    <t>Aetna MA Bonus Upload 04-23-2025.xlsx</t>
  </si>
  <si>
    <t>'102162259700</t>
  </si>
  <si>
    <t>JAY METCALF</t>
  </si>
  <si>
    <t>WI</t>
  </si>
  <si>
    <t>'043969</t>
  </si>
  <si>
    <t>STACEY PORTUGAL</t>
  </si>
  <si>
    <t>7/12 PRORATE</t>
  </si>
  <si>
    <t>'102162335400</t>
  </si>
  <si>
    <t>FRANK DARNLEY STEVENSON</t>
  </si>
  <si>
    <t>'102162344100</t>
  </si>
  <si>
    <t>SCOTT JINDRA</t>
  </si>
  <si>
    <t>'045622</t>
  </si>
  <si>
    <t>JACOB YALE</t>
  </si>
  <si>
    <t>'102162347700</t>
  </si>
  <si>
    <t>DALE HEATH</t>
  </si>
  <si>
    <t>'043736</t>
  </si>
  <si>
    <t>DENNIS HOLYN</t>
  </si>
  <si>
    <t>'102163213000</t>
  </si>
  <si>
    <t>LORI HAGLER</t>
  </si>
  <si>
    <t>'102163400200</t>
  </si>
  <si>
    <t>DIANNA PAUL</t>
  </si>
  <si>
    <t>'102163976800</t>
  </si>
  <si>
    <t>ROBERT KOPFER</t>
  </si>
  <si>
    <t>'102164266800</t>
  </si>
  <si>
    <t>LISA RATLIFF</t>
  </si>
  <si>
    <t>KY</t>
  </si>
  <si>
    <t>'045712</t>
  </si>
  <si>
    <t>GREGORY HANSFORD</t>
  </si>
  <si>
    <t>6/12 PRORATE</t>
  </si>
  <si>
    <t>'102164311600</t>
  </si>
  <si>
    <t>JOHN SMOGUR</t>
  </si>
  <si>
    <t>'896M54994</t>
  </si>
  <si>
    <t>Anthem MA 2025</t>
  </si>
  <si>
    <t>'935134529</t>
  </si>
  <si>
    <t>DIANNA STILWILL</t>
  </si>
  <si>
    <t>'041686</t>
  </si>
  <si>
    <t>DALE WALENGA</t>
  </si>
  <si>
    <t>UHC MAPD Street payable to upline- 2025 Replace</t>
  </si>
  <si>
    <t>'935134529OV</t>
  </si>
  <si>
    <t>UHC MA Direct 2024 New Full</t>
  </si>
  <si>
    <t>'968761209</t>
  </si>
  <si>
    <t>HOLLY STANTON</t>
  </si>
  <si>
    <t>TX</t>
  </si>
  <si>
    <t>'968761209OV</t>
  </si>
  <si>
    <t>UHC MA Direct 2024 New Initial Prorated</t>
  </si>
  <si>
    <t>'A04259325</t>
  </si>
  <si>
    <t>CARMEN RODRIGUEZMEDINA</t>
  </si>
  <si>
    <t>'043689</t>
  </si>
  <si>
    <t>ANNE MARIE KOZACHECK</t>
  </si>
  <si>
    <t>UHC AARP Med Supp PA Area 1 2024- Plan  B F G</t>
  </si>
  <si>
    <t>'A04260182</t>
  </si>
  <si>
    <t>BARRY BRENNER</t>
  </si>
  <si>
    <t>'043800</t>
  </si>
  <si>
    <t>UHC AARP Med Supp IL Area 1- Plan  B C F G</t>
  </si>
  <si>
    <t>CB</t>
  </si>
  <si>
    <t>'00014035213KPC</t>
  </si>
  <si>
    <t>MARY RARICK</t>
  </si>
  <si>
    <t>CHARGEBACK</t>
  </si>
  <si>
    <t>'00022112846KPC</t>
  </si>
  <si>
    <t>WILLIAM RICHAE</t>
  </si>
  <si>
    <t>'045604</t>
  </si>
  <si>
    <t>JEFFREY HORN</t>
  </si>
  <si>
    <t>'00023187920KCB</t>
  </si>
  <si>
    <t>MARY DERDA</t>
  </si>
  <si>
    <t>'043629</t>
  </si>
  <si>
    <t>PAUL ROBINSON</t>
  </si>
  <si>
    <t>'101867787200PC</t>
  </si>
  <si>
    <t>KATHRYN KUNSTMAN</t>
  </si>
  <si>
    <t>'102012084600CB</t>
  </si>
  <si>
    <t>THERESA BUTLER</t>
  </si>
  <si>
    <t>MD</t>
  </si>
  <si>
    <t>'045627</t>
  </si>
  <si>
    <t>CATHY LEMON</t>
  </si>
  <si>
    <t>'102065679400CB</t>
  </si>
  <si>
    <t>MARIBETH KIMBER</t>
  </si>
  <si>
    <t>IA</t>
  </si>
  <si>
    <t>'102073448700PC</t>
  </si>
  <si>
    <t>MICHAEL ANDRE</t>
  </si>
  <si>
    <t>'102080377300PC</t>
  </si>
  <si>
    <t>HELEN RUMBAUGH</t>
  </si>
  <si>
    <t>'043611</t>
  </si>
  <si>
    <t>TIMOTHY POWERS</t>
  </si>
  <si>
    <t>'102139232400CB</t>
  </si>
  <si>
    <t>MAGGIE JOHNSON</t>
  </si>
  <si>
    <t>'043743</t>
  </si>
  <si>
    <t>FREDERICK GBASSANA</t>
  </si>
  <si>
    <t>'A04209376PC</t>
  </si>
  <si>
    <t>ROBERT NICKEL</t>
  </si>
  <si>
    <t>FL</t>
  </si>
  <si>
    <t>UHC AARP Med Supp FL Area 2 2024- Plan  BC F G</t>
  </si>
  <si>
    <t>00012639611K</t>
  </si>
  <si>
    <t>00017933721K</t>
  </si>
  <si>
    <t>00022377740K</t>
  </si>
  <si>
    <t>00023260992K</t>
  </si>
  <si>
    <t>00023263393K</t>
  </si>
  <si>
    <t>00023267662K</t>
  </si>
  <si>
    <t>00023267754K</t>
  </si>
  <si>
    <t>00023268051K</t>
  </si>
  <si>
    <t>00023268721KPDP</t>
  </si>
  <si>
    <t>00023268932K</t>
  </si>
  <si>
    <t>00023271984K</t>
  </si>
  <si>
    <t>00023272328K</t>
  </si>
  <si>
    <t>00023274538K</t>
  </si>
  <si>
    <t>896M54994</t>
  </si>
  <si>
    <t>935134529OV</t>
  </si>
  <si>
    <t>968761209OV</t>
  </si>
  <si>
    <t>A04259325</t>
  </si>
  <si>
    <t>A04260182</t>
  </si>
  <si>
    <t>00014035213KPC</t>
  </si>
  <si>
    <t>00022112846KPC</t>
  </si>
  <si>
    <t>00023187920KCB</t>
  </si>
  <si>
    <t>101867787200PC</t>
  </si>
  <si>
    <t>102012084600CB</t>
  </si>
  <si>
    <t>102065679400CB</t>
  </si>
  <si>
    <t>102073448700PC</t>
  </si>
  <si>
    <t>102080377300PC</t>
  </si>
  <si>
    <t>102139232400CB</t>
  </si>
  <si>
    <t>A04209376PC</t>
  </si>
  <si>
    <t>Aetna MAPD OVR 2025</t>
  </si>
  <si>
    <t>Anthem MAPD 2025 OVR</t>
  </si>
  <si>
    <t>Humana MAPD OVR 2025</t>
  </si>
  <si>
    <t>UHC AARP MS FL Area 2 2024- Plan B C F G</t>
  </si>
  <si>
    <t>UHC AARP MS IL Area 1 - Plan B C F G</t>
  </si>
  <si>
    <t>UHC AARP MS PA Area 1 2024- Plan B F G</t>
  </si>
  <si>
    <t>UHC MAPD Ovr 2025</t>
  </si>
  <si>
    <t>UHC MAPD 2025*</t>
  </si>
  <si>
    <t>[%/$=313][prorate=8/12]</t>
  </si>
  <si>
    <t>A04209376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</si>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</sst>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1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E06B-3B6A-450A-B40C-A5F329EB92FC}">
  <dimension ref="A1:AL45"/>
  <sheetViews>
    <sheetView tabSelected="1" topLeftCell="S1" workbookViewId="0">
      <selection activeCell="I4" sqref="I4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7.42578125" bestFit="1" customWidth="1"/>
    <col min="10" max="10" width="27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3.7109375" bestFit="1" customWidth="1"/>
    <col min="17" max="17" width="12.85546875" bestFit="1" customWidth="1"/>
    <col min="18" max="18" width="47.140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9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45770</v>
      </c>
      <c r="B2" s="1">
        <v>45770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45778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5378783</v>
      </c>
    </row>
    <row r="3" spans="1:38" x14ac:dyDescent="0.25">
      <c r="A3" s="1">
        <v>45770</v>
      </c>
      <c r="B3" s="1">
        <v>45770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57</v>
      </c>
      <c r="S3" s="1">
        <v>45778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5378811</v>
      </c>
    </row>
    <row r="4" spans="1:38" s="6" customFormat="1" x14ac:dyDescent="0.25">
      <c r="A4" s="5">
        <v>45770</v>
      </c>
      <c r="B4" s="5">
        <v>45770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 t="s">
        <v>213</v>
      </c>
      <c r="J4" s="6" t="s">
        <v>58</v>
      </c>
      <c r="M4" s="6" t="s">
        <v>46</v>
      </c>
      <c r="O4" s="6" t="s">
        <v>59</v>
      </c>
      <c r="P4" s="6" t="s">
        <v>60</v>
      </c>
      <c r="Q4" s="6" t="s">
        <v>61</v>
      </c>
      <c r="R4" s="6" t="s">
        <v>57</v>
      </c>
      <c r="S4" s="5">
        <v>45658</v>
      </c>
      <c r="U4" s="6" t="s">
        <v>51</v>
      </c>
      <c r="X4" s="6" t="s">
        <v>52</v>
      </c>
      <c r="Y4" s="7">
        <v>0</v>
      </c>
      <c r="Z4" s="7">
        <v>131.25</v>
      </c>
      <c r="AA4" s="6">
        <v>1</v>
      </c>
      <c r="AB4" s="8">
        <v>1</v>
      </c>
      <c r="AC4" s="7">
        <v>131.25</v>
      </c>
      <c r="AD4" s="8">
        <v>0</v>
      </c>
      <c r="AE4" s="7">
        <v>0</v>
      </c>
      <c r="AF4" s="7">
        <v>131.25</v>
      </c>
      <c r="AK4" s="6">
        <v>0</v>
      </c>
      <c r="AL4" s="6" t="s">
        <v>62</v>
      </c>
    </row>
    <row r="5" spans="1:38" x14ac:dyDescent="0.25">
      <c r="A5" s="1">
        <v>45770</v>
      </c>
      <c r="B5" s="1">
        <v>45770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46</v>
      </c>
      <c r="O5" t="s">
        <v>65</v>
      </c>
      <c r="P5" t="s">
        <v>66</v>
      </c>
      <c r="Q5" t="s">
        <v>49</v>
      </c>
      <c r="R5" t="s">
        <v>57</v>
      </c>
      <c r="S5" s="1">
        <v>45778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5378833</v>
      </c>
    </row>
    <row r="6" spans="1:38" x14ac:dyDescent="0.25">
      <c r="A6" s="1">
        <v>45770</v>
      </c>
      <c r="B6" s="1">
        <v>45770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46</v>
      </c>
      <c r="O6" t="s">
        <v>69</v>
      </c>
      <c r="P6" t="s">
        <v>70</v>
      </c>
      <c r="Q6" t="s">
        <v>49</v>
      </c>
      <c r="R6" t="s">
        <v>57</v>
      </c>
      <c r="S6" s="1">
        <v>45778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5378838</v>
      </c>
    </row>
    <row r="7" spans="1:38" x14ac:dyDescent="0.25">
      <c r="A7" s="1">
        <v>45770</v>
      </c>
      <c r="B7" s="1">
        <v>45770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72</v>
      </c>
      <c r="M7" t="s">
        <v>46</v>
      </c>
      <c r="O7" t="s">
        <v>73</v>
      </c>
      <c r="P7" t="s">
        <v>74</v>
      </c>
      <c r="Q7" t="s">
        <v>49</v>
      </c>
      <c r="R7" t="s">
        <v>57</v>
      </c>
      <c r="S7" s="1">
        <v>45778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5378855</v>
      </c>
    </row>
    <row r="8" spans="1:38" x14ac:dyDescent="0.25">
      <c r="A8" s="1">
        <v>45770</v>
      </c>
      <c r="B8" s="1">
        <v>45770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75</v>
      </c>
      <c r="J8" t="s">
        <v>76</v>
      </c>
      <c r="M8" t="s">
        <v>46</v>
      </c>
      <c r="O8" t="s">
        <v>77</v>
      </c>
      <c r="P8" t="s">
        <v>78</v>
      </c>
      <c r="Q8" t="s">
        <v>49</v>
      </c>
      <c r="R8" t="s">
        <v>57</v>
      </c>
      <c r="S8" s="1">
        <v>45778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5378856</v>
      </c>
    </row>
    <row r="9" spans="1:38" x14ac:dyDescent="0.25">
      <c r="A9" s="1">
        <v>45770</v>
      </c>
      <c r="B9" s="1">
        <v>45770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79</v>
      </c>
      <c r="J9" t="s">
        <v>80</v>
      </c>
      <c r="M9" t="s">
        <v>46</v>
      </c>
      <c r="O9" t="s">
        <v>81</v>
      </c>
      <c r="P9" t="s">
        <v>82</v>
      </c>
      <c r="Q9" t="s">
        <v>49</v>
      </c>
      <c r="R9" t="s">
        <v>57</v>
      </c>
      <c r="S9" s="1">
        <v>45809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5378858</v>
      </c>
    </row>
    <row r="10" spans="1:38" x14ac:dyDescent="0.25">
      <c r="A10" s="1">
        <v>45770</v>
      </c>
      <c r="B10" s="1">
        <v>45770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83</v>
      </c>
      <c r="J10" t="s">
        <v>84</v>
      </c>
      <c r="M10" t="s">
        <v>46</v>
      </c>
      <c r="O10" t="s">
        <v>85</v>
      </c>
      <c r="P10" t="s">
        <v>86</v>
      </c>
      <c r="Q10" t="s">
        <v>49</v>
      </c>
      <c r="R10" t="s">
        <v>87</v>
      </c>
      <c r="S10" s="1">
        <v>45778</v>
      </c>
      <c r="U10" t="s">
        <v>51</v>
      </c>
      <c r="X10" t="s">
        <v>52</v>
      </c>
      <c r="Y10" s="2">
        <v>0</v>
      </c>
      <c r="Z10" s="2">
        <v>15</v>
      </c>
      <c r="AA10">
        <v>1</v>
      </c>
      <c r="AB10" s="3">
        <v>1</v>
      </c>
      <c r="AC10" s="2">
        <v>15</v>
      </c>
      <c r="AD10" s="3">
        <v>0</v>
      </c>
      <c r="AE10" s="2">
        <v>0</v>
      </c>
      <c r="AF10" s="2">
        <v>15</v>
      </c>
      <c r="AK10">
        <v>5378774</v>
      </c>
    </row>
    <row r="11" spans="1:38" x14ac:dyDescent="0.25">
      <c r="A11" s="1">
        <v>45770</v>
      </c>
      <c r="B11" s="1">
        <v>45770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88</v>
      </c>
      <c r="J11" t="s">
        <v>89</v>
      </c>
      <c r="M11" t="s">
        <v>46</v>
      </c>
      <c r="O11" t="s">
        <v>90</v>
      </c>
      <c r="P11" t="s">
        <v>91</v>
      </c>
      <c r="Q11" t="s">
        <v>49</v>
      </c>
      <c r="R11" t="s">
        <v>57</v>
      </c>
      <c r="S11" s="1">
        <v>45778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5378869</v>
      </c>
    </row>
    <row r="12" spans="1:38" x14ac:dyDescent="0.25">
      <c r="A12" s="1">
        <v>45770</v>
      </c>
      <c r="B12" s="1">
        <v>45770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92</v>
      </c>
      <c r="J12" t="s">
        <v>93</v>
      </c>
      <c r="M12" t="s">
        <v>46</v>
      </c>
      <c r="O12" t="s">
        <v>47</v>
      </c>
      <c r="P12" t="s">
        <v>48</v>
      </c>
      <c r="Q12" t="s">
        <v>49</v>
      </c>
      <c r="R12" t="s">
        <v>57</v>
      </c>
      <c r="S12" s="1">
        <v>45809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5378885</v>
      </c>
    </row>
    <row r="13" spans="1:38" x14ac:dyDescent="0.25">
      <c r="A13" s="1">
        <v>45770</v>
      </c>
      <c r="B13" s="1">
        <v>45770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94</v>
      </c>
      <c r="J13" t="s">
        <v>95</v>
      </c>
      <c r="M13" t="s">
        <v>46</v>
      </c>
      <c r="O13" t="s">
        <v>96</v>
      </c>
      <c r="P13" t="s">
        <v>97</v>
      </c>
      <c r="Q13" t="s">
        <v>49</v>
      </c>
      <c r="R13" t="s">
        <v>57</v>
      </c>
      <c r="S13" s="1">
        <v>45809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5378887</v>
      </c>
    </row>
    <row r="14" spans="1:38" x14ac:dyDescent="0.25">
      <c r="A14" s="1">
        <v>45770</v>
      </c>
      <c r="B14" s="1">
        <v>45770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98</v>
      </c>
      <c r="J14" t="s">
        <v>99</v>
      </c>
      <c r="M14" t="s">
        <v>46</v>
      </c>
      <c r="O14" t="s">
        <v>100</v>
      </c>
      <c r="P14" t="s">
        <v>101</v>
      </c>
      <c r="Q14" t="s">
        <v>49</v>
      </c>
      <c r="R14" t="s">
        <v>57</v>
      </c>
      <c r="S14" s="1">
        <v>45778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5378895</v>
      </c>
    </row>
    <row r="15" spans="1:38" x14ac:dyDescent="0.25">
      <c r="A15" s="1">
        <v>45770</v>
      </c>
      <c r="B15" s="1">
        <v>45770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102</v>
      </c>
      <c r="J15" t="s">
        <v>103</v>
      </c>
      <c r="M15" t="s">
        <v>104</v>
      </c>
      <c r="O15" t="s">
        <v>81</v>
      </c>
      <c r="P15" t="s">
        <v>82</v>
      </c>
      <c r="Q15" t="s">
        <v>49</v>
      </c>
      <c r="R15" t="s">
        <v>105</v>
      </c>
      <c r="S15" s="1">
        <v>45748</v>
      </c>
      <c r="U15" t="s">
        <v>51</v>
      </c>
      <c r="X15" t="s">
        <v>52</v>
      </c>
      <c r="Y15" s="2">
        <v>0</v>
      </c>
      <c r="Z15" s="2">
        <v>37.5</v>
      </c>
      <c r="AA15">
        <v>1</v>
      </c>
      <c r="AB15" s="3">
        <v>1</v>
      </c>
      <c r="AC15" s="2">
        <v>37.5</v>
      </c>
      <c r="AD15" s="3">
        <v>0</v>
      </c>
      <c r="AE15" s="2">
        <v>0</v>
      </c>
      <c r="AF15" s="2">
        <v>37.5</v>
      </c>
      <c r="AK15">
        <v>5378181</v>
      </c>
      <c r="AL15" t="s">
        <v>106</v>
      </c>
    </row>
    <row r="16" spans="1:38" x14ac:dyDescent="0.25">
      <c r="A16" s="1">
        <v>45770</v>
      </c>
      <c r="B16" s="1">
        <v>45770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107</v>
      </c>
      <c r="J16" t="s">
        <v>108</v>
      </c>
      <c r="M16" t="s">
        <v>109</v>
      </c>
      <c r="O16" t="s">
        <v>110</v>
      </c>
      <c r="P16" t="s">
        <v>111</v>
      </c>
      <c r="Q16" t="s">
        <v>49</v>
      </c>
      <c r="R16" t="s">
        <v>105</v>
      </c>
      <c r="S16" s="1">
        <v>45778</v>
      </c>
      <c r="U16" t="s">
        <v>51</v>
      </c>
      <c r="X16" t="s">
        <v>52</v>
      </c>
      <c r="Y16" s="2">
        <v>0</v>
      </c>
      <c r="Z16" s="2">
        <v>33.33</v>
      </c>
      <c r="AA16">
        <v>1</v>
      </c>
      <c r="AB16" s="3">
        <v>1</v>
      </c>
      <c r="AC16" s="2">
        <v>33.33</v>
      </c>
      <c r="AD16" s="3">
        <v>0</v>
      </c>
      <c r="AE16" s="2">
        <v>0</v>
      </c>
      <c r="AF16" s="2">
        <v>33.33</v>
      </c>
      <c r="AK16">
        <v>5378193</v>
      </c>
      <c r="AL16" t="s">
        <v>112</v>
      </c>
    </row>
    <row r="17" spans="1:38" x14ac:dyDescent="0.25">
      <c r="A17" s="1">
        <v>45770</v>
      </c>
      <c r="B17" s="1">
        <v>45770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113</v>
      </c>
      <c r="J17" t="s">
        <v>114</v>
      </c>
      <c r="M17" t="s">
        <v>109</v>
      </c>
      <c r="O17" t="s">
        <v>110</v>
      </c>
      <c r="P17" t="s">
        <v>111</v>
      </c>
      <c r="Q17" t="s">
        <v>49</v>
      </c>
      <c r="R17" t="s">
        <v>105</v>
      </c>
      <c r="S17" s="1">
        <v>45778</v>
      </c>
      <c r="U17" t="s">
        <v>51</v>
      </c>
      <c r="X17" t="s">
        <v>52</v>
      </c>
      <c r="Y17" s="2">
        <v>0</v>
      </c>
      <c r="Z17" s="2">
        <v>33.33</v>
      </c>
      <c r="AA17">
        <v>1</v>
      </c>
      <c r="AB17" s="3">
        <v>1</v>
      </c>
      <c r="AC17" s="2">
        <v>33.33</v>
      </c>
      <c r="AD17" s="3">
        <v>0</v>
      </c>
      <c r="AE17" s="2">
        <v>0</v>
      </c>
      <c r="AF17" s="2">
        <v>33.33</v>
      </c>
      <c r="AK17">
        <v>5378194</v>
      </c>
      <c r="AL17" t="s">
        <v>112</v>
      </c>
    </row>
    <row r="18" spans="1:38" x14ac:dyDescent="0.25">
      <c r="A18" s="1">
        <v>45770</v>
      </c>
      <c r="B18" s="1">
        <v>45770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115</v>
      </c>
      <c r="J18" t="s">
        <v>116</v>
      </c>
      <c r="M18" t="s">
        <v>109</v>
      </c>
      <c r="O18" t="s">
        <v>117</v>
      </c>
      <c r="P18" t="s">
        <v>118</v>
      </c>
      <c r="Q18" t="s">
        <v>49</v>
      </c>
      <c r="R18" t="s">
        <v>105</v>
      </c>
      <c r="S18" s="1">
        <v>45748</v>
      </c>
      <c r="U18" t="s">
        <v>51</v>
      </c>
      <c r="X18" t="s">
        <v>52</v>
      </c>
      <c r="Y18" s="2">
        <v>0</v>
      </c>
      <c r="Z18" s="2">
        <v>37.5</v>
      </c>
      <c r="AA18">
        <v>1</v>
      </c>
      <c r="AB18" s="3">
        <v>1</v>
      </c>
      <c r="AC18" s="2">
        <v>37.5</v>
      </c>
      <c r="AD18" s="3">
        <v>0</v>
      </c>
      <c r="AE18" s="2">
        <v>0</v>
      </c>
      <c r="AF18" s="2">
        <v>37.5</v>
      </c>
      <c r="AK18">
        <v>5378195</v>
      </c>
      <c r="AL18" t="s">
        <v>106</v>
      </c>
    </row>
    <row r="19" spans="1:38" s="6" customFormat="1" x14ac:dyDescent="0.25">
      <c r="A19" s="5">
        <v>45770</v>
      </c>
      <c r="B19" s="5">
        <v>45770</v>
      </c>
      <c r="C19" s="6" t="s">
        <v>38</v>
      </c>
      <c r="D19" s="6" t="s">
        <v>39</v>
      </c>
      <c r="E19" s="6" t="s">
        <v>40</v>
      </c>
      <c r="F19" s="6" t="s">
        <v>41</v>
      </c>
      <c r="G19" s="6" t="s">
        <v>42</v>
      </c>
      <c r="H19" s="6" t="s">
        <v>43</v>
      </c>
      <c r="I19" s="9">
        <v>102098712000</v>
      </c>
      <c r="J19" s="6" t="s">
        <v>119</v>
      </c>
      <c r="M19" s="6" t="s">
        <v>109</v>
      </c>
      <c r="O19" s="6" t="s">
        <v>73</v>
      </c>
      <c r="P19" s="6" t="s">
        <v>74</v>
      </c>
      <c r="Q19" s="6" t="s">
        <v>61</v>
      </c>
      <c r="R19" s="6" t="s">
        <v>120</v>
      </c>
      <c r="S19" s="5">
        <v>45658</v>
      </c>
      <c r="U19" s="6" t="s">
        <v>51</v>
      </c>
      <c r="X19" s="6" t="s">
        <v>52</v>
      </c>
      <c r="Y19" s="7">
        <v>0</v>
      </c>
      <c r="Z19" s="7">
        <v>33.340000000000003</v>
      </c>
      <c r="AA19" s="6">
        <v>1</v>
      </c>
      <c r="AB19" s="8">
        <v>1</v>
      </c>
      <c r="AC19" s="7">
        <v>33.340000000000003</v>
      </c>
      <c r="AD19" s="8">
        <v>0</v>
      </c>
      <c r="AE19" s="7">
        <v>0</v>
      </c>
      <c r="AF19" s="7">
        <v>33.340000000000003</v>
      </c>
      <c r="AK19" s="6">
        <v>0</v>
      </c>
      <c r="AL19" s="6" t="s">
        <v>121</v>
      </c>
    </row>
    <row r="20" spans="1:38" x14ac:dyDescent="0.25">
      <c r="A20" s="1">
        <v>45770</v>
      </c>
      <c r="B20" s="1">
        <v>45770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122</v>
      </c>
      <c r="J20" t="s">
        <v>123</v>
      </c>
      <c r="M20" t="s">
        <v>124</v>
      </c>
      <c r="O20" t="s">
        <v>125</v>
      </c>
      <c r="P20" t="s">
        <v>126</v>
      </c>
      <c r="Q20" t="s">
        <v>49</v>
      </c>
      <c r="R20" t="s">
        <v>105</v>
      </c>
      <c r="S20" s="1">
        <v>45809</v>
      </c>
      <c r="U20" t="s">
        <v>51</v>
      </c>
      <c r="X20" t="s">
        <v>52</v>
      </c>
      <c r="Y20" s="2">
        <v>0</v>
      </c>
      <c r="Z20" s="2">
        <v>29.17</v>
      </c>
      <c r="AA20">
        <v>1</v>
      </c>
      <c r="AB20" s="3">
        <v>1</v>
      </c>
      <c r="AC20" s="2">
        <v>29.17</v>
      </c>
      <c r="AD20" s="3">
        <v>0</v>
      </c>
      <c r="AE20" s="2">
        <v>0</v>
      </c>
      <c r="AF20" s="2">
        <v>29.17</v>
      </c>
      <c r="AK20">
        <v>5378205</v>
      </c>
      <c r="AL20" t="s">
        <v>127</v>
      </c>
    </row>
    <row r="21" spans="1:38" x14ac:dyDescent="0.25">
      <c r="A21" s="1">
        <v>45770</v>
      </c>
      <c r="B21" s="1">
        <v>45770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128</v>
      </c>
      <c r="J21" t="s">
        <v>129</v>
      </c>
      <c r="M21" t="s">
        <v>104</v>
      </c>
      <c r="O21" t="s">
        <v>81</v>
      </c>
      <c r="P21" t="s">
        <v>82</v>
      </c>
      <c r="Q21" t="s">
        <v>49</v>
      </c>
      <c r="R21" t="s">
        <v>105</v>
      </c>
      <c r="S21" s="1">
        <v>45778</v>
      </c>
      <c r="U21" t="s">
        <v>51</v>
      </c>
      <c r="X21" t="s">
        <v>52</v>
      </c>
      <c r="Y21" s="2">
        <v>0</v>
      </c>
      <c r="Z21" s="2">
        <v>33.33</v>
      </c>
      <c r="AA21">
        <v>1</v>
      </c>
      <c r="AB21" s="3">
        <v>1</v>
      </c>
      <c r="AC21" s="2">
        <v>33.33</v>
      </c>
      <c r="AD21" s="3">
        <v>0</v>
      </c>
      <c r="AE21" s="2">
        <v>0</v>
      </c>
      <c r="AF21" s="2">
        <v>33.33</v>
      </c>
      <c r="AK21">
        <v>5378210</v>
      </c>
      <c r="AL21" t="s">
        <v>112</v>
      </c>
    </row>
    <row r="22" spans="1:38" x14ac:dyDescent="0.25">
      <c r="A22" s="1">
        <v>45770</v>
      </c>
      <c r="B22" s="1">
        <v>45770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130</v>
      </c>
      <c r="J22" t="s">
        <v>131</v>
      </c>
      <c r="M22" t="s">
        <v>109</v>
      </c>
      <c r="O22" t="s">
        <v>132</v>
      </c>
      <c r="P22" t="s">
        <v>133</v>
      </c>
      <c r="Q22" t="s">
        <v>49</v>
      </c>
      <c r="R22" t="s">
        <v>105</v>
      </c>
      <c r="S22" s="1">
        <v>45748</v>
      </c>
      <c r="U22" t="s">
        <v>51</v>
      </c>
      <c r="X22" t="s">
        <v>52</v>
      </c>
      <c r="Y22" s="2">
        <v>0</v>
      </c>
      <c r="Z22" s="2">
        <v>37.5</v>
      </c>
      <c r="AA22">
        <v>1</v>
      </c>
      <c r="AB22" s="3">
        <v>1</v>
      </c>
      <c r="AC22" s="2">
        <v>37.5</v>
      </c>
      <c r="AD22" s="3">
        <v>0</v>
      </c>
      <c r="AE22" s="2">
        <v>0</v>
      </c>
      <c r="AF22" s="2">
        <v>37.5</v>
      </c>
      <c r="AK22">
        <v>5378211</v>
      </c>
      <c r="AL22" t="s">
        <v>106</v>
      </c>
    </row>
    <row r="23" spans="1:38" x14ac:dyDescent="0.25">
      <c r="A23" s="1">
        <v>45770</v>
      </c>
      <c r="B23" s="1">
        <v>45770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134</v>
      </c>
      <c r="J23" t="s">
        <v>135</v>
      </c>
      <c r="M23" t="s">
        <v>109</v>
      </c>
      <c r="O23" t="s">
        <v>136</v>
      </c>
      <c r="P23" t="s">
        <v>137</v>
      </c>
      <c r="Q23" t="s">
        <v>49</v>
      </c>
      <c r="R23" t="s">
        <v>105</v>
      </c>
      <c r="S23" s="1">
        <v>45748</v>
      </c>
      <c r="U23" t="s">
        <v>51</v>
      </c>
      <c r="X23" t="s">
        <v>52</v>
      </c>
      <c r="Y23" s="2">
        <v>0</v>
      </c>
      <c r="Z23" s="2">
        <v>37.5</v>
      </c>
      <c r="AA23">
        <v>1</v>
      </c>
      <c r="AB23" s="3">
        <v>1</v>
      </c>
      <c r="AC23" s="2">
        <v>37.5</v>
      </c>
      <c r="AD23" s="3">
        <v>0</v>
      </c>
      <c r="AE23" s="2">
        <v>0</v>
      </c>
      <c r="AF23" s="2">
        <v>37.5</v>
      </c>
      <c r="AK23">
        <v>5378212</v>
      </c>
      <c r="AL23" t="s">
        <v>106</v>
      </c>
    </row>
    <row r="24" spans="1:38" x14ac:dyDescent="0.25">
      <c r="A24" s="1">
        <v>45770</v>
      </c>
      <c r="B24" s="1">
        <v>45770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138</v>
      </c>
      <c r="J24" t="s">
        <v>139</v>
      </c>
      <c r="M24" t="s">
        <v>109</v>
      </c>
      <c r="O24" t="s">
        <v>125</v>
      </c>
      <c r="P24" t="s">
        <v>126</v>
      </c>
      <c r="Q24" t="s">
        <v>49</v>
      </c>
      <c r="R24" t="s">
        <v>105</v>
      </c>
      <c r="S24" s="1">
        <v>45748</v>
      </c>
      <c r="U24" t="s">
        <v>51</v>
      </c>
      <c r="X24" t="s">
        <v>52</v>
      </c>
      <c r="Y24" s="2">
        <v>0</v>
      </c>
      <c r="Z24" s="2">
        <v>37.5</v>
      </c>
      <c r="AA24">
        <v>1</v>
      </c>
      <c r="AB24" s="3">
        <v>1</v>
      </c>
      <c r="AC24" s="2">
        <v>37.5</v>
      </c>
      <c r="AD24" s="3">
        <v>0</v>
      </c>
      <c r="AE24" s="2">
        <v>0</v>
      </c>
      <c r="AF24" s="2">
        <v>37.5</v>
      </c>
      <c r="AK24">
        <v>5378247</v>
      </c>
      <c r="AL24" t="s">
        <v>106</v>
      </c>
    </row>
    <row r="25" spans="1:38" x14ac:dyDescent="0.25">
      <c r="A25" s="1">
        <v>45770</v>
      </c>
      <c r="B25" s="1">
        <v>45770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140</v>
      </c>
      <c r="J25" t="s">
        <v>141</v>
      </c>
      <c r="M25" t="s">
        <v>104</v>
      </c>
      <c r="O25" t="s">
        <v>81</v>
      </c>
      <c r="P25" t="s">
        <v>82</v>
      </c>
      <c r="Q25" t="s">
        <v>49</v>
      </c>
      <c r="R25" t="s">
        <v>105</v>
      </c>
      <c r="S25" s="1">
        <v>45748</v>
      </c>
      <c r="U25" t="s">
        <v>51</v>
      </c>
      <c r="X25" t="s">
        <v>52</v>
      </c>
      <c r="Y25" s="2">
        <v>0</v>
      </c>
      <c r="Z25" s="2">
        <v>37.5</v>
      </c>
      <c r="AA25">
        <v>1</v>
      </c>
      <c r="AB25" s="3">
        <v>1</v>
      </c>
      <c r="AC25" s="2">
        <v>37.5</v>
      </c>
      <c r="AD25" s="3">
        <v>0</v>
      </c>
      <c r="AE25" s="2">
        <v>0</v>
      </c>
      <c r="AF25" s="2">
        <v>37.5</v>
      </c>
      <c r="AK25">
        <v>5378255</v>
      </c>
      <c r="AL25" t="s">
        <v>106</v>
      </c>
    </row>
    <row r="26" spans="1:38" x14ac:dyDescent="0.25">
      <c r="A26" s="1">
        <v>45770</v>
      </c>
      <c r="B26" s="1">
        <v>45770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142</v>
      </c>
      <c r="J26" t="s">
        <v>143</v>
      </c>
      <c r="M26" t="s">
        <v>109</v>
      </c>
      <c r="O26" t="s">
        <v>90</v>
      </c>
      <c r="P26" t="s">
        <v>91</v>
      </c>
      <c r="Q26" t="s">
        <v>49</v>
      </c>
      <c r="R26" t="s">
        <v>105</v>
      </c>
      <c r="S26" s="1">
        <v>45778</v>
      </c>
      <c r="U26" t="s">
        <v>51</v>
      </c>
      <c r="X26" t="s">
        <v>52</v>
      </c>
      <c r="Y26" s="2">
        <v>0</v>
      </c>
      <c r="Z26" s="2">
        <v>33.33</v>
      </c>
      <c r="AA26">
        <v>1</v>
      </c>
      <c r="AB26" s="3">
        <v>1</v>
      </c>
      <c r="AC26" s="2">
        <v>33.33</v>
      </c>
      <c r="AD26" s="3">
        <v>0</v>
      </c>
      <c r="AE26" s="2">
        <v>0</v>
      </c>
      <c r="AF26" s="2">
        <v>33.33</v>
      </c>
      <c r="AK26">
        <v>5378276</v>
      </c>
      <c r="AL26" t="s">
        <v>112</v>
      </c>
    </row>
    <row r="27" spans="1:38" x14ac:dyDescent="0.25">
      <c r="A27" s="1">
        <v>45770</v>
      </c>
      <c r="B27" s="1">
        <v>45770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144</v>
      </c>
      <c r="J27" t="s">
        <v>145</v>
      </c>
      <c r="M27" t="s">
        <v>146</v>
      </c>
      <c r="O27" t="s">
        <v>147</v>
      </c>
      <c r="P27" t="s">
        <v>148</v>
      </c>
      <c r="Q27" t="s">
        <v>49</v>
      </c>
      <c r="R27" t="s">
        <v>105</v>
      </c>
      <c r="S27" s="1">
        <v>45839</v>
      </c>
      <c r="U27" t="s">
        <v>51</v>
      </c>
      <c r="X27" t="s">
        <v>52</v>
      </c>
      <c r="Y27" s="2">
        <v>0</v>
      </c>
      <c r="Z27" s="2">
        <v>25</v>
      </c>
      <c r="AA27">
        <v>1</v>
      </c>
      <c r="AB27" s="3">
        <v>1</v>
      </c>
      <c r="AC27" s="2">
        <v>25</v>
      </c>
      <c r="AD27" s="3">
        <v>0</v>
      </c>
      <c r="AE27" s="2">
        <v>0</v>
      </c>
      <c r="AF27" s="2">
        <v>25</v>
      </c>
      <c r="AK27">
        <v>5378283</v>
      </c>
      <c r="AL27" t="s">
        <v>149</v>
      </c>
    </row>
    <row r="28" spans="1:38" x14ac:dyDescent="0.25">
      <c r="A28" s="1">
        <v>45770</v>
      </c>
      <c r="B28" s="1">
        <v>45770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150</v>
      </c>
      <c r="J28" t="s">
        <v>151</v>
      </c>
      <c r="M28" t="s">
        <v>109</v>
      </c>
      <c r="O28" t="s">
        <v>117</v>
      </c>
      <c r="P28" t="s">
        <v>118</v>
      </c>
      <c r="Q28" t="s">
        <v>49</v>
      </c>
      <c r="R28" t="s">
        <v>105</v>
      </c>
      <c r="S28" s="1">
        <v>45778</v>
      </c>
      <c r="U28" t="s">
        <v>51</v>
      </c>
      <c r="X28" t="s">
        <v>52</v>
      </c>
      <c r="Y28" s="2">
        <v>0</v>
      </c>
      <c r="Z28" s="2">
        <v>33.33</v>
      </c>
      <c r="AA28">
        <v>1</v>
      </c>
      <c r="AB28" s="3">
        <v>1</v>
      </c>
      <c r="AC28" s="2">
        <v>33.33</v>
      </c>
      <c r="AD28" s="3">
        <v>0</v>
      </c>
      <c r="AE28" s="2">
        <v>0</v>
      </c>
      <c r="AF28" s="2">
        <v>33.33</v>
      </c>
      <c r="AK28">
        <v>5378289</v>
      </c>
      <c r="AL28" t="s">
        <v>112</v>
      </c>
    </row>
    <row r="29" spans="1:38" x14ac:dyDescent="0.25">
      <c r="A29" s="1">
        <v>45770</v>
      </c>
      <c r="B29" s="1">
        <v>45770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152</v>
      </c>
      <c r="J29" t="s">
        <v>148</v>
      </c>
      <c r="M29" t="s">
        <v>46</v>
      </c>
      <c r="O29" t="s">
        <v>147</v>
      </c>
      <c r="P29" t="s">
        <v>148</v>
      </c>
      <c r="Q29" t="s">
        <v>49</v>
      </c>
      <c r="R29" t="s">
        <v>153</v>
      </c>
      <c r="S29" s="1">
        <v>45717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5378704</v>
      </c>
    </row>
    <row r="30" spans="1:38" x14ac:dyDescent="0.25">
      <c r="A30" s="1">
        <v>45770</v>
      </c>
      <c r="B30" s="1">
        <v>45770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154</v>
      </c>
      <c r="J30" t="s">
        <v>155</v>
      </c>
      <c r="M30" t="s">
        <v>146</v>
      </c>
      <c r="O30" t="s">
        <v>156</v>
      </c>
      <c r="P30" t="s">
        <v>157</v>
      </c>
      <c r="Q30" t="s">
        <v>49</v>
      </c>
      <c r="R30" t="s">
        <v>158</v>
      </c>
      <c r="S30" s="1">
        <v>45778</v>
      </c>
      <c r="U30" t="s">
        <v>51</v>
      </c>
      <c r="X30" t="s">
        <v>52</v>
      </c>
      <c r="Y30" s="2">
        <v>0</v>
      </c>
      <c r="Z30" s="2">
        <v>208.67</v>
      </c>
      <c r="AA30">
        <v>1</v>
      </c>
      <c r="AB30" s="3">
        <v>1</v>
      </c>
      <c r="AC30" s="2">
        <v>208.67</v>
      </c>
      <c r="AD30" s="3">
        <v>0</v>
      </c>
      <c r="AE30" s="2">
        <v>0</v>
      </c>
      <c r="AF30" s="2">
        <v>208.67</v>
      </c>
      <c r="AK30">
        <v>5379056</v>
      </c>
      <c r="AL30" t="s">
        <v>112</v>
      </c>
    </row>
    <row r="31" spans="1:38" x14ac:dyDescent="0.25">
      <c r="A31" s="1">
        <v>45770</v>
      </c>
      <c r="B31" s="1">
        <v>45770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159</v>
      </c>
      <c r="J31" t="s">
        <v>155</v>
      </c>
      <c r="M31" t="s">
        <v>146</v>
      </c>
      <c r="O31" t="s">
        <v>156</v>
      </c>
      <c r="P31" t="s">
        <v>157</v>
      </c>
      <c r="Q31" t="s">
        <v>49</v>
      </c>
      <c r="R31" t="s">
        <v>160</v>
      </c>
      <c r="S31" s="1">
        <v>45778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5379057</v>
      </c>
    </row>
    <row r="32" spans="1:38" x14ac:dyDescent="0.25">
      <c r="A32" s="1">
        <v>45770</v>
      </c>
      <c r="B32" s="1">
        <v>45770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161</v>
      </c>
      <c r="J32" t="s">
        <v>162</v>
      </c>
      <c r="M32" t="s">
        <v>163</v>
      </c>
      <c r="O32" t="s">
        <v>59</v>
      </c>
      <c r="P32" t="s">
        <v>60</v>
      </c>
      <c r="Q32" t="s">
        <v>49</v>
      </c>
      <c r="R32" t="s">
        <v>158</v>
      </c>
      <c r="S32" s="1">
        <v>45778</v>
      </c>
      <c r="U32" t="s">
        <v>51</v>
      </c>
      <c r="X32" t="s">
        <v>52</v>
      </c>
      <c r="Y32" s="2">
        <v>0</v>
      </c>
      <c r="Z32" s="2">
        <v>208.67</v>
      </c>
      <c r="AA32">
        <v>1</v>
      </c>
      <c r="AB32" s="3">
        <v>1</v>
      </c>
      <c r="AC32" s="2">
        <v>208.67</v>
      </c>
      <c r="AD32" s="3">
        <v>0</v>
      </c>
      <c r="AE32" s="2">
        <v>0</v>
      </c>
      <c r="AF32" s="2">
        <v>208.67</v>
      </c>
      <c r="AK32">
        <v>5379052</v>
      </c>
      <c r="AL32" t="s">
        <v>112</v>
      </c>
    </row>
    <row r="33" spans="1:38" x14ac:dyDescent="0.25">
      <c r="A33" s="1">
        <v>45770</v>
      </c>
      <c r="B33" s="1">
        <v>45770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164</v>
      </c>
      <c r="J33" t="s">
        <v>162</v>
      </c>
      <c r="M33" t="s">
        <v>163</v>
      </c>
      <c r="O33" t="s">
        <v>59</v>
      </c>
      <c r="P33" t="s">
        <v>60</v>
      </c>
      <c r="Q33" t="s">
        <v>49</v>
      </c>
      <c r="R33" t="s">
        <v>165</v>
      </c>
      <c r="S33" s="1">
        <v>45778</v>
      </c>
      <c r="U33" t="s">
        <v>51</v>
      </c>
      <c r="X33" t="s">
        <v>52</v>
      </c>
      <c r="Y33" s="2">
        <v>0</v>
      </c>
      <c r="Z33" s="2">
        <v>48</v>
      </c>
      <c r="AA33">
        <v>1</v>
      </c>
      <c r="AB33" s="3">
        <v>1</v>
      </c>
      <c r="AC33" s="2">
        <v>48</v>
      </c>
      <c r="AD33" s="3">
        <v>0</v>
      </c>
      <c r="AE33" s="2">
        <v>0</v>
      </c>
      <c r="AF33" s="2">
        <v>48</v>
      </c>
      <c r="AK33">
        <v>5379053</v>
      </c>
      <c r="AL33" t="s">
        <v>112</v>
      </c>
    </row>
    <row r="34" spans="1:38" x14ac:dyDescent="0.25">
      <c r="A34" s="1">
        <v>45770</v>
      </c>
      <c r="B34" s="1">
        <v>45770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166</v>
      </c>
      <c r="J34" t="s">
        <v>167</v>
      </c>
      <c r="M34" t="s">
        <v>104</v>
      </c>
      <c r="O34" t="s">
        <v>168</v>
      </c>
      <c r="P34" t="s">
        <v>169</v>
      </c>
      <c r="Q34" t="s">
        <v>49</v>
      </c>
      <c r="R34" t="s">
        <v>170</v>
      </c>
      <c r="S34" s="1">
        <v>45778</v>
      </c>
      <c r="U34" t="s">
        <v>51</v>
      </c>
      <c r="X34" t="s">
        <v>52</v>
      </c>
      <c r="Y34" s="2">
        <v>0</v>
      </c>
      <c r="Z34" s="2">
        <v>37.5</v>
      </c>
      <c r="AA34">
        <v>9</v>
      </c>
      <c r="AB34" s="3">
        <v>1</v>
      </c>
      <c r="AC34" s="2">
        <v>337.5</v>
      </c>
      <c r="AD34" s="3">
        <v>0</v>
      </c>
      <c r="AE34" s="2">
        <v>0</v>
      </c>
      <c r="AF34" s="2">
        <v>337.5</v>
      </c>
      <c r="AK34">
        <v>5378929</v>
      </c>
    </row>
    <row r="35" spans="1:38" x14ac:dyDescent="0.25">
      <c r="A35" s="1">
        <v>45770</v>
      </c>
      <c r="B35" s="1">
        <v>45770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171</v>
      </c>
      <c r="J35" t="s">
        <v>172</v>
      </c>
      <c r="M35" t="s">
        <v>109</v>
      </c>
      <c r="O35" t="s">
        <v>173</v>
      </c>
      <c r="P35" t="s">
        <v>172</v>
      </c>
      <c r="Q35" t="s">
        <v>49</v>
      </c>
      <c r="R35" t="s">
        <v>174</v>
      </c>
      <c r="S35" s="1">
        <v>45778</v>
      </c>
      <c r="U35" t="s">
        <v>51</v>
      </c>
      <c r="X35" t="s">
        <v>52</v>
      </c>
      <c r="Y35" s="2">
        <v>0</v>
      </c>
      <c r="Z35" s="2">
        <v>31.98</v>
      </c>
      <c r="AA35">
        <v>9</v>
      </c>
      <c r="AB35" s="3">
        <v>1</v>
      </c>
      <c r="AC35" s="2">
        <v>287.82</v>
      </c>
      <c r="AD35" s="3">
        <v>0</v>
      </c>
      <c r="AE35" s="2">
        <v>0</v>
      </c>
      <c r="AF35" s="2">
        <v>287.82</v>
      </c>
      <c r="AK35">
        <v>5378930</v>
      </c>
    </row>
    <row r="36" spans="1:38" x14ac:dyDescent="0.25">
      <c r="A36" s="1">
        <v>45770</v>
      </c>
      <c r="B36" s="1">
        <v>45770</v>
      </c>
      <c r="C36" t="s">
        <v>175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176</v>
      </c>
      <c r="J36" t="s">
        <v>177</v>
      </c>
      <c r="M36" t="s">
        <v>46</v>
      </c>
      <c r="O36" t="s">
        <v>147</v>
      </c>
      <c r="P36" t="s">
        <v>148</v>
      </c>
      <c r="Q36" t="s">
        <v>178</v>
      </c>
      <c r="R36" t="s">
        <v>50</v>
      </c>
      <c r="S36" s="1">
        <v>45658</v>
      </c>
      <c r="U36" t="s">
        <v>51</v>
      </c>
      <c r="X36" t="s">
        <v>52</v>
      </c>
      <c r="AF36" s="2">
        <v>108</v>
      </c>
      <c r="AG36" s="2">
        <v>0</v>
      </c>
      <c r="AJ36" s="2">
        <v>72.36</v>
      </c>
    </row>
    <row r="37" spans="1:38" x14ac:dyDescent="0.25">
      <c r="A37" s="1">
        <v>45770</v>
      </c>
      <c r="B37" s="1">
        <v>45770</v>
      </c>
      <c r="C37" t="s">
        <v>175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179</v>
      </c>
      <c r="J37" t="s">
        <v>180</v>
      </c>
      <c r="M37" t="s">
        <v>46</v>
      </c>
      <c r="O37" t="s">
        <v>181</v>
      </c>
      <c r="P37" t="s">
        <v>182</v>
      </c>
      <c r="Q37" t="s">
        <v>178</v>
      </c>
      <c r="R37" t="s">
        <v>57</v>
      </c>
      <c r="S37" s="1">
        <v>45658</v>
      </c>
      <c r="U37" t="s">
        <v>51</v>
      </c>
      <c r="X37" t="s">
        <v>52</v>
      </c>
      <c r="AF37" s="2">
        <v>175</v>
      </c>
      <c r="AG37" s="2">
        <v>0</v>
      </c>
      <c r="AJ37" s="2">
        <v>117.25</v>
      </c>
    </row>
    <row r="38" spans="1:38" x14ac:dyDescent="0.25">
      <c r="A38" s="1">
        <v>45770</v>
      </c>
      <c r="B38" s="1">
        <v>45770</v>
      </c>
      <c r="C38" t="s">
        <v>175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183</v>
      </c>
      <c r="J38" t="s">
        <v>184</v>
      </c>
      <c r="M38" t="s">
        <v>46</v>
      </c>
      <c r="O38" t="s">
        <v>185</v>
      </c>
      <c r="P38" t="s">
        <v>186</v>
      </c>
      <c r="Q38" t="s">
        <v>178</v>
      </c>
      <c r="R38" t="s">
        <v>57</v>
      </c>
      <c r="S38" s="1">
        <v>45778</v>
      </c>
      <c r="U38" t="s">
        <v>51</v>
      </c>
      <c r="X38" t="s">
        <v>52</v>
      </c>
      <c r="AF38" s="2">
        <v>175</v>
      </c>
      <c r="AG38" s="2">
        <v>0</v>
      </c>
      <c r="AJ38" s="2">
        <v>175</v>
      </c>
    </row>
    <row r="39" spans="1:38" x14ac:dyDescent="0.25">
      <c r="A39" s="1">
        <v>45770</v>
      </c>
      <c r="B39" s="1">
        <v>45770</v>
      </c>
      <c r="C39" t="s">
        <v>175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187</v>
      </c>
      <c r="J39" t="s">
        <v>188</v>
      </c>
      <c r="M39" t="s">
        <v>109</v>
      </c>
      <c r="O39" t="s">
        <v>90</v>
      </c>
      <c r="P39" t="s">
        <v>91</v>
      </c>
      <c r="Q39" t="s">
        <v>178</v>
      </c>
      <c r="R39" t="s">
        <v>120</v>
      </c>
      <c r="S39" s="1">
        <v>45658</v>
      </c>
      <c r="U39" t="s">
        <v>51</v>
      </c>
      <c r="X39" t="s">
        <v>52</v>
      </c>
      <c r="AF39" s="2">
        <v>50</v>
      </c>
      <c r="AG39" s="2">
        <v>0</v>
      </c>
      <c r="AJ39" s="2">
        <v>37.5</v>
      </c>
    </row>
    <row r="40" spans="1:38" x14ac:dyDescent="0.25">
      <c r="A40" s="1">
        <v>45770</v>
      </c>
      <c r="B40" s="1">
        <v>45770</v>
      </c>
      <c r="C40" t="s">
        <v>175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189</v>
      </c>
      <c r="J40" t="s">
        <v>190</v>
      </c>
      <c r="M40" t="s">
        <v>191</v>
      </c>
      <c r="O40" t="s">
        <v>192</v>
      </c>
      <c r="P40" t="s">
        <v>193</v>
      </c>
      <c r="Q40" t="s">
        <v>178</v>
      </c>
      <c r="R40" t="s">
        <v>120</v>
      </c>
      <c r="S40" s="1">
        <v>45658</v>
      </c>
      <c r="U40" t="s">
        <v>51</v>
      </c>
      <c r="X40" t="s">
        <v>52</v>
      </c>
      <c r="AF40" s="2">
        <v>50</v>
      </c>
      <c r="AG40" s="2">
        <v>0</v>
      </c>
      <c r="AJ40" s="2">
        <v>50</v>
      </c>
    </row>
    <row r="41" spans="1:38" x14ac:dyDescent="0.25">
      <c r="A41" s="1">
        <v>45770</v>
      </c>
      <c r="B41" s="1">
        <v>45770</v>
      </c>
      <c r="C41" t="s">
        <v>175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194</v>
      </c>
      <c r="J41" t="s">
        <v>195</v>
      </c>
      <c r="M41" t="s">
        <v>196</v>
      </c>
      <c r="O41" t="s">
        <v>73</v>
      </c>
      <c r="P41" t="s">
        <v>74</v>
      </c>
      <c r="Q41" t="s">
        <v>178</v>
      </c>
      <c r="R41" t="s">
        <v>120</v>
      </c>
      <c r="S41" s="1">
        <v>45658</v>
      </c>
      <c r="U41" t="s">
        <v>51</v>
      </c>
      <c r="X41" t="s">
        <v>52</v>
      </c>
      <c r="AF41" s="2">
        <v>50</v>
      </c>
      <c r="AG41" s="2">
        <v>0</v>
      </c>
      <c r="AJ41" s="2">
        <v>50</v>
      </c>
    </row>
    <row r="42" spans="1:38" x14ac:dyDescent="0.25">
      <c r="A42" s="1">
        <v>45770</v>
      </c>
      <c r="B42" s="1">
        <v>45770</v>
      </c>
      <c r="C42" t="s">
        <v>175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197</v>
      </c>
      <c r="J42" t="s">
        <v>198</v>
      </c>
      <c r="M42" t="s">
        <v>109</v>
      </c>
      <c r="O42" t="s">
        <v>156</v>
      </c>
      <c r="P42" t="s">
        <v>157</v>
      </c>
      <c r="Q42" t="s">
        <v>178</v>
      </c>
      <c r="R42" t="s">
        <v>120</v>
      </c>
      <c r="S42" s="1">
        <v>45658</v>
      </c>
      <c r="U42" t="s">
        <v>51</v>
      </c>
      <c r="X42" t="s">
        <v>52</v>
      </c>
      <c r="AF42" s="2">
        <v>50</v>
      </c>
      <c r="AG42" s="2">
        <v>0</v>
      </c>
      <c r="AJ42" s="2">
        <v>37.5</v>
      </c>
    </row>
    <row r="43" spans="1:38" x14ac:dyDescent="0.25">
      <c r="A43" s="1">
        <v>45770</v>
      </c>
      <c r="B43" s="1">
        <v>45770</v>
      </c>
      <c r="C43" t="s">
        <v>175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199</v>
      </c>
      <c r="J43" t="s">
        <v>200</v>
      </c>
      <c r="M43" t="s">
        <v>104</v>
      </c>
      <c r="O43" t="s">
        <v>201</v>
      </c>
      <c r="P43" t="s">
        <v>202</v>
      </c>
      <c r="Q43" t="s">
        <v>178</v>
      </c>
      <c r="R43" t="s">
        <v>120</v>
      </c>
      <c r="S43" s="1">
        <v>45658</v>
      </c>
      <c r="U43" t="s">
        <v>51</v>
      </c>
      <c r="X43" t="s">
        <v>52</v>
      </c>
      <c r="AF43" s="2">
        <v>50</v>
      </c>
      <c r="AG43" s="2">
        <v>0</v>
      </c>
      <c r="AJ43" s="2">
        <v>37.5</v>
      </c>
    </row>
    <row r="44" spans="1:38" x14ac:dyDescent="0.25">
      <c r="A44" s="1">
        <v>45770</v>
      </c>
      <c r="B44" s="1">
        <v>45770</v>
      </c>
      <c r="C44" t="s">
        <v>175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203</v>
      </c>
      <c r="J44" t="s">
        <v>204</v>
      </c>
      <c r="M44" t="s">
        <v>104</v>
      </c>
      <c r="O44" t="s">
        <v>205</v>
      </c>
      <c r="P44" t="s">
        <v>206</v>
      </c>
      <c r="Q44" t="s">
        <v>178</v>
      </c>
      <c r="R44" t="s">
        <v>105</v>
      </c>
      <c r="S44" s="1">
        <v>45689</v>
      </c>
      <c r="U44" t="s">
        <v>51</v>
      </c>
      <c r="X44" t="s">
        <v>52</v>
      </c>
      <c r="AF44" s="2">
        <v>45.83</v>
      </c>
      <c r="AG44" s="2">
        <v>0</v>
      </c>
      <c r="AJ44" s="2">
        <v>45.83</v>
      </c>
    </row>
    <row r="45" spans="1:38" x14ac:dyDescent="0.25">
      <c r="A45" s="1">
        <v>45770</v>
      </c>
      <c r="B45" s="1">
        <v>45770</v>
      </c>
      <c r="C45" t="s">
        <v>175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207</v>
      </c>
      <c r="J45" t="s">
        <v>208</v>
      </c>
      <c r="M45" t="s">
        <v>209</v>
      </c>
      <c r="O45" t="s">
        <v>125</v>
      </c>
      <c r="P45" t="s">
        <v>126</v>
      </c>
      <c r="Q45" t="s">
        <v>178</v>
      </c>
      <c r="R45" t="s">
        <v>210</v>
      </c>
      <c r="S45" s="1">
        <v>45689</v>
      </c>
      <c r="U45" t="s">
        <v>51</v>
      </c>
      <c r="X45" t="s">
        <v>52</v>
      </c>
      <c r="AF45" s="2">
        <v>421.47</v>
      </c>
      <c r="AG45" s="2">
        <v>0</v>
      </c>
      <c r="AJ45" s="2">
        <v>327.82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01C5-01FE-4743-8ED7-AFAF574B4821}">
  <dimension ref="A1:R45"/>
  <sheetViews>
    <sheetView workbookViewId="0">
      <selection activeCell="K30" sqref="K30"/>
    </sheetView>
  </sheetViews>
  <sheetFormatPr defaultRowHeight="15" x14ac:dyDescent="0.25"/>
  <cols>
    <col min="1" max="1" width="17.42578125" bestFit="1" customWidth="1"/>
    <col min="2" max="2" width="17.42578125" customWidth="1"/>
    <col min="3" max="3" width="27.140625" bestFit="1" customWidth="1"/>
    <col min="4" max="4" width="5.5703125" bestFit="1" customWidth="1"/>
    <col min="5" max="5" width="11.85546875" customWidth="1"/>
    <col min="6" max="6" width="23.7109375" bestFit="1" customWidth="1"/>
    <col min="7" max="7" width="47.140625" bestFit="1" customWidth="1"/>
    <col min="16" max="16" width="39.140625" bestFit="1" customWidth="1"/>
    <col min="17" max="17" width="38.140625" bestFit="1" customWidth="1"/>
  </cols>
  <sheetData>
    <row r="1" spans="1:17" x14ac:dyDescent="0.25">
      <c r="A1" t="s">
        <v>8</v>
      </c>
      <c r="C1" t="s">
        <v>9</v>
      </c>
      <c r="D1" t="s">
        <v>12</v>
      </c>
      <c r="F1" t="s">
        <v>15</v>
      </c>
      <c r="G1" t="s">
        <v>17</v>
      </c>
      <c r="H1" t="s">
        <v>18</v>
      </c>
      <c r="I1" t="s">
        <v>20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37</v>
      </c>
    </row>
    <row r="2" spans="1:17" x14ac:dyDescent="0.25">
      <c r="A2" s="4">
        <v>102098712000</v>
      </c>
      <c r="B2" s="4" t="str">
        <f>CONCATENATE(A2,0)</f>
        <v>1020987120000</v>
      </c>
      <c r="C2" t="s">
        <v>119</v>
      </c>
      <c r="D2" t="s">
        <v>109</v>
      </c>
      <c r="E2">
        <v>20411454</v>
      </c>
      <c r="F2" t="s">
        <v>249</v>
      </c>
      <c r="G2" t="s">
        <v>120</v>
      </c>
      <c r="H2" s="1">
        <v>45658</v>
      </c>
      <c r="I2" t="s">
        <v>51</v>
      </c>
      <c r="J2" t="s">
        <v>52</v>
      </c>
      <c r="K2" s="2">
        <v>0</v>
      </c>
      <c r="L2" s="2">
        <v>33.340000000000003</v>
      </c>
      <c r="M2">
        <v>1</v>
      </c>
      <c r="N2" s="3">
        <v>1</v>
      </c>
      <c r="O2" s="2">
        <v>33.340000000000003</v>
      </c>
      <c r="P2" t="s">
        <v>121</v>
      </c>
      <c r="Q2" t="s">
        <v>239</v>
      </c>
    </row>
    <row r="3" spans="1:17" x14ac:dyDescent="0.25">
      <c r="A3" s="4" t="s">
        <v>232</v>
      </c>
      <c r="B3" s="4" t="str">
        <f t="shared" ref="B3:B38" si="0">CONCATENATE(A3,0)</f>
        <v>101867787200PC0</v>
      </c>
      <c r="C3" t="s">
        <v>188</v>
      </c>
      <c r="D3" t="s">
        <v>109</v>
      </c>
      <c r="E3">
        <v>20411454</v>
      </c>
      <c r="F3" t="s">
        <v>249</v>
      </c>
      <c r="G3" t="s">
        <v>120</v>
      </c>
      <c r="H3" s="1">
        <v>45658</v>
      </c>
      <c r="I3" t="s">
        <v>51</v>
      </c>
      <c r="J3" t="s">
        <v>52</v>
      </c>
      <c r="O3">
        <v>-37.5</v>
      </c>
      <c r="Q3" t="s">
        <v>239</v>
      </c>
    </row>
    <row r="4" spans="1:17" x14ac:dyDescent="0.25">
      <c r="A4" s="4" t="s">
        <v>233</v>
      </c>
      <c r="B4" s="4" t="str">
        <f t="shared" si="0"/>
        <v>102012084600CB0</v>
      </c>
      <c r="C4" t="s">
        <v>190</v>
      </c>
      <c r="D4" t="s">
        <v>191</v>
      </c>
      <c r="E4">
        <v>20411454</v>
      </c>
      <c r="F4" t="s">
        <v>249</v>
      </c>
      <c r="G4" t="s">
        <v>120</v>
      </c>
      <c r="H4" s="1">
        <v>45658</v>
      </c>
      <c r="I4" t="s">
        <v>51</v>
      </c>
      <c r="J4" t="s">
        <v>52</v>
      </c>
      <c r="O4">
        <v>-50</v>
      </c>
      <c r="Q4" t="s">
        <v>239</v>
      </c>
    </row>
    <row r="5" spans="1:17" x14ac:dyDescent="0.25">
      <c r="A5" s="4" t="s">
        <v>234</v>
      </c>
      <c r="B5" s="4" t="str">
        <f t="shared" si="0"/>
        <v>102065679400CB0</v>
      </c>
      <c r="C5" t="s">
        <v>195</v>
      </c>
      <c r="D5" t="s">
        <v>196</v>
      </c>
      <c r="E5">
        <v>20411454</v>
      </c>
      <c r="F5" t="s">
        <v>249</v>
      </c>
      <c r="G5" t="s">
        <v>120</v>
      </c>
      <c r="H5" s="1">
        <v>45658</v>
      </c>
      <c r="I5" t="s">
        <v>51</v>
      </c>
      <c r="J5" t="s">
        <v>52</v>
      </c>
      <c r="O5">
        <v>-50</v>
      </c>
      <c r="Q5" t="s">
        <v>239</v>
      </c>
    </row>
    <row r="6" spans="1:17" x14ac:dyDescent="0.25">
      <c r="A6" s="4" t="s">
        <v>235</v>
      </c>
      <c r="B6" s="4" t="str">
        <f t="shared" si="0"/>
        <v>102073448700PC0</v>
      </c>
      <c r="C6" t="s">
        <v>198</v>
      </c>
      <c r="D6" t="s">
        <v>109</v>
      </c>
      <c r="E6">
        <v>20411454</v>
      </c>
      <c r="F6" t="s">
        <v>249</v>
      </c>
      <c r="G6" t="s">
        <v>120</v>
      </c>
      <c r="H6" s="1">
        <v>45658</v>
      </c>
      <c r="I6" t="s">
        <v>51</v>
      </c>
      <c r="J6" t="s">
        <v>52</v>
      </c>
      <c r="O6">
        <v>-37.5</v>
      </c>
      <c r="Q6" t="s">
        <v>239</v>
      </c>
    </row>
    <row r="7" spans="1:17" x14ac:dyDescent="0.25">
      <c r="A7" s="4" t="s">
        <v>236</v>
      </c>
      <c r="B7" s="4" t="str">
        <f t="shared" si="0"/>
        <v>102080377300PC0</v>
      </c>
      <c r="C7" t="s">
        <v>200</v>
      </c>
      <c r="D7" t="s">
        <v>104</v>
      </c>
      <c r="E7">
        <v>20411454</v>
      </c>
      <c r="F7" t="s">
        <v>249</v>
      </c>
      <c r="G7" t="s">
        <v>120</v>
      </c>
      <c r="H7" s="1">
        <v>45658</v>
      </c>
      <c r="I7" t="s">
        <v>51</v>
      </c>
      <c r="J7" t="s">
        <v>52</v>
      </c>
      <c r="O7">
        <v>-37.5</v>
      </c>
      <c r="Q7" t="s">
        <v>239</v>
      </c>
    </row>
    <row r="8" spans="1:17" x14ac:dyDescent="0.25">
      <c r="A8" s="4">
        <v>101521310700</v>
      </c>
      <c r="B8" s="4" t="str">
        <f t="shared" si="0"/>
        <v>1015213107000</v>
      </c>
      <c r="C8" t="s">
        <v>103</v>
      </c>
      <c r="D8" t="s">
        <v>104</v>
      </c>
      <c r="E8">
        <v>20411454</v>
      </c>
      <c r="F8" t="s">
        <v>249</v>
      </c>
      <c r="G8" t="s">
        <v>105</v>
      </c>
      <c r="H8" s="1">
        <v>45748</v>
      </c>
      <c r="I8" t="s">
        <v>51</v>
      </c>
      <c r="J8" t="s">
        <v>52</v>
      </c>
      <c r="K8" s="2">
        <v>0</v>
      </c>
      <c r="L8" s="2">
        <v>37.5</v>
      </c>
      <c r="M8">
        <v>1</v>
      </c>
      <c r="N8" s="3">
        <v>1</v>
      </c>
      <c r="O8" s="2">
        <v>37.5</v>
      </c>
      <c r="P8" t="s">
        <v>106</v>
      </c>
      <c r="Q8" t="s">
        <v>239</v>
      </c>
    </row>
    <row r="9" spans="1:17" x14ac:dyDescent="0.25">
      <c r="A9" s="4">
        <v>101861054800</v>
      </c>
      <c r="B9" s="4" t="str">
        <f t="shared" si="0"/>
        <v>1018610548000</v>
      </c>
      <c r="C9" t="s">
        <v>108</v>
      </c>
      <c r="D9" t="s">
        <v>109</v>
      </c>
      <c r="E9">
        <v>20411454</v>
      </c>
      <c r="F9" t="s">
        <v>249</v>
      </c>
      <c r="G9" t="s">
        <v>105</v>
      </c>
      <c r="H9" s="1">
        <v>45778</v>
      </c>
      <c r="I9" t="s">
        <v>51</v>
      </c>
      <c r="J9" t="s">
        <v>52</v>
      </c>
      <c r="K9" s="2">
        <v>0</v>
      </c>
      <c r="L9" s="2">
        <v>33.33</v>
      </c>
      <c r="M9">
        <v>1</v>
      </c>
      <c r="N9" s="3">
        <v>1</v>
      </c>
      <c r="O9" s="2">
        <v>33.33</v>
      </c>
      <c r="P9" t="s">
        <v>112</v>
      </c>
      <c r="Q9" t="s">
        <v>239</v>
      </c>
    </row>
    <row r="10" spans="1:17" x14ac:dyDescent="0.25">
      <c r="A10" s="4">
        <v>101861059800</v>
      </c>
      <c r="B10" s="4" t="str">
        <f t="shared" si="0"/>
        <v>1018610598000</v>
      </c>
      <c r="C10" t="s">
        <v>114</v>
      </c>
      <c r="D10" t="s">
        <v>109</v>
      </c>
      <c r="E10">
        <v>20411454</v>
      </c>
      <c r="F10" t="s">
        <v>249</v>
      </c>
      <c r="G10" t="s">
        <v>105</v>
      </c>
      <c r="H10" s="1">
        <v>45778</v>
      </c>
      <c r="I10" t="s">
        <v>51</v>
      </c>
      <c r="J10" t="s">
        <v>52</v>
      </c>
      <c r="K10" s="2">
        <v>0</v>
      </c>
      <c r="L10" s="2">
        <v>33.33</v>
      </c>
      <c r="M10">
        <v>1</v>
      </c>
      <c r="N10" s="3">
        <v>1</v>
      </c>
      <c r="O10" s="2">
        <v>33.33</v>
      </c>
      <c r="P10" t="s">
        <v>112</v>
      </c>
      <c r="Q10" t="s">
        <v>239</v>
      </c>
    </row>
    <row r="11" spans="1:17" x14ac:dyDescent="0.25">
      <c r="A11" s="4">
        <v>101877929000</v>
      </c>
      <c r="B11" s="4" t="str">
        <f t="shared" si="0"/>
        <v>1018779290000</v>
      </c>
      <c r="C11" t="s">
        <v>116</v>
      </c>
      <c r="D11" t="s">
        <v>109</v>
      </c>
      <c r="E11">
        <v>20411454</v>
      </c>
      <c r="F11" t="s">
        <v>249</v>
      </c>
      <c r="G11" t="s">
        <v>105</v>
      </c>
      <c r="H11" s="1">
        <v>45748</v>
      </c>
      <c r="I11" t="s">
        <v>51</v>
      </c>
      <c r="J11" t="s">
        <v>52</v>
      </c>
      <c r="K11" s="2">
        <v>0</v>
      </c>
      <c r="L11" s="2">
        <v>37.5</v>
      </c>
      <c r="M11">
        <v>1</v>
      </c>
      <c r="N11" s="3">
        <v>1</v>
      </c>
      <c r="O11" s="2">
        <v>37.5</v>
      </c>
      <c r="P11" t="s">
        <v>106</v>
      </c>
      <c r="Q11" t="s">
        <v>239</v>
      </c>
    </row>
    <row r="12" spans="1:17" x14ac:dyDescent="0.25">
      <c r="A12" s="4">
        <v>102162259700</v>
      </c>
      <c r="B12" s="4" t="str">
        <f t="shared" si="0"/>
        <v>1021622597000</v>
      </c>
      <c r="C12" t="s">
        <v>123</v>
      </c>
      <c r="D12" t="s">
        <v>124</v>
      </c>
      <c r="E12">
        <v>20411454</v>
      </c>
      <c r="F12" t="s">
        <v>249</v>
      </c>
      <c r="G12" t="s">
        <v>105</v>
      </c>
      <c r="H12" s="1">
        <v>45809</v>
      </c>
      <c r="I12" t="s">
        <v>51</v>
      </c>
      <c r="J12" t="s">
        <v>52</v>
      </c>
      <c r="K12" s="2">
        <v>0</v>
      </c>
      <c r="L12" s="2">
        <v>29.17</v>
      </c>
      <c r="M12">
        <v>1</v>
      </c>
      <c r="N12" s="3">
        <v>1</v>
      </c>
      <c r="O12" s="2">
        <v>29.17</v>
      </c>
      <c r="P12" t="s">
        <v>127</v>
      </c>
      <c r="Q12" t="s">
        <v>239</v>
      </c>
    </row>
    <row r="13" spans="1:17" x14ac:dyDescent="0.25">
      <c r="A13" s="4">
        <v>102162335400</v>
      </c>
      <c r="B13" s="4" t="str">
        <f t="shared" si="0"/>
        <v>1021623354000</v>
      </c>
      <c r="C13" t="s">
        <v>129</v>
      </c>
      <c r="D13" t="s">
        <v>104</v>
      </c>
      <c r="E13">
        <v>20411454</v>
      </c>
      <c r="F13" t="s">
        <v>249</v>
      </c>
      <c r="G13" t="s">
        <v>105</v>
      </c>
      <c r="H13" s="1">
        <v>45778</v>
      </c>
      <c r="I13" t="s">
        <v>51</v>
      </c>
      <c r="J13" t="s">
        <v>52</v>
      </c>
      <c r="K13" s="2">
        <v>0</v>
      </c>
      <c r="L13" s="2">
        <v>33.33</v>
      </c>
      <c r="M13">
        <v>1</v>
      </c>
      <c r="N13" s="3">
        <v>1</v>
      </c>
      <c r="O13" s="2">
        <v>33.33</v>
      </c>
      <c r="P13" t="s">
        <v>112</v>
      </c>
      <c r="Q13" t="s">
        <v>239</v>
      </c>
    </row>
    <row r="14" spans="1:17" x14ac:dyDescent="0.25">
      <c r="A14" s="4">
        <v>102162344100</v>
      </c>
      <c r="B14" s="4" t="str">
        <f t="shared" si="0"/>
        <v>1021623441000</v>
      </c>
      <c r="C14" t="s">
        <v>131</v>
      </c>
      <c r="D14" t="s">
        <v>109</v>
      </c>
      <c r="E14">
        <v>20411454</v>
      </c>
      <c r="F14" t="s">
        <v>249</v>
      </c>
      <c r="G14" t="s">
        <v>105</v>
      </c>
      <c r="H14" s="1">
        <v>45748</v>
      </c>
      <c r="I14" t="s">
        <v>51</v>
      </c>
      <c r="J14" t="s">
        <v>52</v>
      </c>
      <c r="K14" s="2">
        <v>0</v>
      </c>
      <c r="L14" s="2">
        <v>37.5</v>
      </c>
      <c r="M14">
        <v>1</v>
      </c>
      <c r="N14" s="3">
        <v>1</v>
      </c>
      <c r="O14" s="2">
        <v>37.5</v>
      </c>
      <c r="P14" t="s">
        <v>106</v>
      </c>
      <c r="Q14" t="s">
        <v>239</v>
      </c>
    </row>
    <row r="15" spans="1:17" x14ac:dyDescent="0.25">
      <c r="A15" s="4">
        <v>102162347700</v>
      </c>
      <c r="B15" s="4" t="str">
        <f t="shared" si="0"/>
        <v>1021623477000</v>
      </c>
      <c r="C15" t="s">
        <v>135</v>
      </c>
      <c r="D15" t="s">
        <v>109</v>
      </c>
      <c r="E15">
        <v>20411454</v>
      </c>
      <c r="F15" t="s">
        <v>249</v>
      </c>
      <c r="G15" t="s">
        <v>105</v>
      </c>
      <c r="H15" s="1">
        <v>45748</v>
      </c>
      <c r="I15" t="s">
        <v>51</v>
      </c>
      <c r="J15" t="s">
        <v>52</v>
      </c>
      <c r="K15" s="2">
        <v>0</v>
      </c>
      <c r="L15" s="2">
        <v>37.5</v>
      </c>
      <c r="M15">
        <v>1</v>
      </c>
      <c r="N15" s="3">
        <v>1</v>
      </c>
      <c r="O15" s="2">
        <v>37.5</v>
      </c>
      <c r="P15" t="s">
        <v>106</v>
      </c>
      <c r="Q15" t="s">
        <v>239</v>
      </c>
    </row>
    <row r="16" spans="1:17" x14ac:dyDescent="0.25">
      <c r="A16" s="4">
        <v>102163213000</v>
      </c>
      <c r="B16" s="4" t="str">
        <f t="shared" si="0"/>
        <v>1021632130000</v>
      </c>
      <c r="C16" t="s">
        <v>139</v>
      </c>
      <c r="D16" t="s">
        <v>109</v>
      </c>
      <c r="E16">
        <v>20411454</v>
      </c>
      <c r="F16" t="s">
        <v>249</v>
      </c>
      <c r="G16" t="s">
        <v>105</v>
      </c>
      <c r="H16" s="1">
        <v>45748</v>
      </c>
      <c r="I16" t="s">
        <v>51</v>
      </c>
      <c r="J16" t="s">
        <v>52</v>
      </c>
      <c r="K16" s="2">
        <v>0</v>
      </c>
      <c r="L16" s="2">
        <v>37.5</v>
      </c>
      <c r="M16">
        <v>1</v>
      </c>
      <c r="N16" s="3">
        <v>1</v>
      </c>
      <c r="O16" s="2">
        <v>37.5</v>
      </c>
      <c r="P16" t="s">
        <v>106</v>
      </c>
      <c r="Q16" t="s">
        <v>239</v>
      </c>
    </row>
    <row r="17" spans="1:17" x14ac:dyDescent="0.25">
      <c r="A17" s="4">
        <v>102163400200</v>
      </c>
      <c r="B17" s="4" t="str">
        <f t="shared" si="0"/>
        <v>1021634002000</v>
      </c>
      <c r="C17" t="s">
        <v>141</v>
      </c>
      <c r="D17" t="s">
        <v>104</v>
      </c>
      <c r="E17">
        <v>20411454</v>
      </c>
      <c r="F17" t="s">
        <v>249</v>
      </c>
      <c r="G17" t="s">
        <v>105</v>
      </c>
      <c r="H17" s="1">
        <v>45748</v>
      </c>
      <c r="I17" t="s">
        <v>51</v>
      </c>
      <c r="J17" t="s">
        <v>52</v>
      </c>
      <c r="K17" s="2">
        <v>0</v>
      </c>
      <c r="L17" s="2">
        <v>37.5</v>
      </c>
      <c r="M17">
        <v>1</v>
      </c>
      <c r="N17" s="3">
        <v>1</v>
      </c>
      <c r="O17" s="2">
        <v>37.5</v>
      </c>
      <c r="P17" t="s">
        <v>106</v>
      </c>
      <c r="Q17" t="s">
        <v>239</v>
      </c>
    </row>
    <row r="18" spans="1:17" x14ac:dyDescent="0.25">
      <c r="A18" s="4">
        <v>102163976800</v>
      </c>
      <c r="B18" s="4" t="str">
        <f t="shared" si="0"/>
        <v>1021639768000</v>
      </c>
      <c r="C18" t="s">
        <v>143</v>
      </c>
      <c r="D18" t="s">
        <v>109</v>
      </c>
      <c r="E18">
        <v>20411454</v>
      </c>
      <c r="F18" t="s">
        <v>249</v>
      </c>
      <c r="G18" t="s">
        <v>105</v>
      </c>
      <c r="H18" s="1">
        <v>45778</v>
      </c>
      <c r="I18" t="s">
        <v>51</v>
      </c>
      <c r="J18" t="s">
        <v>52</v>
      </c>
      <c r="K18" s="2">
        <v>0</v>
      </c>
      <c r="L18" s="2">
        <v>33.33</v>
      </c>
      <c r="M18">
        <v>1</v>
      </c>
      <c r="N18" s="3">
        <v>1</v>
      </c>
      <c r="O18" s="2">
        <v>33.33</v>
      </c>
      <c r="P18" t="s">
        <v>112</v>
      </c>
      <c r="Q18" t="s">
        <v>239</v>
      </c>
    </row>
    <row r="19" spans="1:17" x14ac:dyDescent="0.25">
      <c r="A19" s="4">
        <v>102164266800</v>
      </c>
      <c r="B19" s="4" t="str">
        <f t="shared" si="0"/>
        <v>1021642668000</v>
      </c>
      <c r="C19" t="s">
        <v>145</v>
      </c>
      <c r="D19" t="s">
        <v>146</v>
      </c>
      <c r="E19">
        <v>20411454</v>
      </c>
      <c r="F19" t="s">
        <v>249</v>
      </c>
      <c r="G19" t="s">
        <v>105</v>
      </c>
      <c r="H19" s="1">
        <v>45839</v>
      </c>
      <c r="I19" t="s">
        <v>51</v>
      </c>
      <c r="J19" t="s">
        <v>52</v>
      </c>
      <c r="K19" s="2">
        <v>0</v>
      </c>
      <c r="L19" s="2">
        <v>25</v>
      </c>
      <c r="M19">
        <v>1</v>
      </c>
      <c r="N19" s="3">
        <v>1</v>
      </c>
      <c r="O19" s="2">
        <v>25</v>
      </c>
      <c r="P19" t="s">
        <v>149</v>
      </c>
      <c r="Q19" t="s">
        <v>239</v>
      </c>
    </row>
    <row r="20" spans="1:17" x14ac:dyDescent="0.25">
      <c r="A20" s="4">
        <v>102164311600</v>
      </c>
      <c r="B20" s="4" t="str">
        <f t="shared" si="0"/>
        <v>1021643116000</v>
      </c>
      <c r="C20" t="s">
        <v>151</v>
      </c>
      <c r="D20" t="s">
        <v>109</v>
      </c>
      <c r="E20">
        <v>20411454</v>
      </c>
      <c r="F20" t="s">
        <v>249</v>
      </c>
      <c r="G20" t="s">
        <v>105</v>
      </c>
      <c r="H20" s="1">
        <v>45778</v>
      </c>
      <c r="I20" t="s">
        <v>51</v>
      </c>
      <c r="J20" t="s">
        <v>52</v>
      </c>
      <c r="K20" s="2">
        <v>0</v>
      </c>
      <c r="L20" s="2">
        <v>33.33</v>
      </c>
      <c r="M20">
        <v>1</v>
      </c>
      <c r="N20" s="3">
        <v>1</v>
      </c>
      <c r="O20" s="2">
        <v>33.33</v>
      </c>
      <c r="P20" t="s">
        <v>112</v>
      </c>
      <c r="Q20" t="s">
        <v>239</v>
      </c>
    </row>
    <row r="21" spans="1:17" x14ac:dyDescent="0.25">
      <c r="A21" s="4" t="s">
        <v>237</v>
      </c>
      <c r="B21" s="4" t="str">
        <f t="shared" si="0"/>
        <v>102139232400CB0</v>
      </c>
      <c r="C21" t="s">
        <v>204</v>
      </c>
      <c r="D21" t="s">
        <v>104</v>
      </c>
      <c r="E21">
        <v>20411454</v>
      </c>
      <c r="F21" t="s">
        <v>249</v>
      </c>
      <c r="G21" t="s">
        <v>105</v>
      </c>
      <c r="H21" s="1">
        <v>45689</v>
      </c>
      <c r="I21" t="s">
        <v>51</v>
      </c>
      <c r="J21" t="s">
        <v>52</v>
      </c>
      <c r="O21">
        <v>-45.83</v>
      </c>
      <c r="Q21" t="s">
        <v>239</v>
      </c>
    </row>
    <row r="22" spans="1:17" x14ac:dyDescent="0.25">
      <c r="A22" s="4" t="s">
        <v>224</v>
      </c>
      <c r="B22" s="4" t="str">
        <f t="shared" si="0"/>
        <v>896M549940</v>
      </c>
      <c r="C22" t="s">
        <v>148</v>
      </c>
      <c r="D22" t="s">
        <v>46</v>
      </c>
      <c r="E22">
        <v>20411454</v>
      </c>
      <c r="F22" t="s">
        <v>249</v>
      </c>
      <c r="G22" t="s">
        <v>153</v>
      </c>
      <c r="H22" s="1">
        <v>45717</v>
      </c>
      <c r="I22" t="s">
        <v>51</v>
      </c>
      <c r="J22" t="s">
        <v>52</v>
      </c>
      <c r="K22" s="2">
        <v>0</v>
      </c>
      <c r="L22" s="2">
        <v>175</v>
      </c>
      <c r="M22">
        <v>1</v>
      </c>
      <c r="N22" s="3">
        <v>1</v>
      </c>
      <c r="O22" s="2">
        <v>175</v>
      </c>
      <c r="Q22" t="s">
        <v>240</v>
      </c>
    </row>
    <row r="23" spans="1:17" x14ac:dyDescent="0.25">
      <c r="A23" s="4" t="s">
        <v>212</v>
      </c>
      <c r="B23" s="4" t="str">
        <f t="shared" si="0"/>
        <v>00017933721K0</v>
      </c>
      <c r="C23" t="s">
        <v>54</v>
      </c>
      <c r="D23" t="s">
        <v>46</v>
      </c>
      <c r="E23">
        <v>20411454</v>
      </c>
      <c r="F23" t="s">
        <v>249</v>
      </c>
      <c r="G23" t="s">
        <v>57</v>
      </c>
      <c r="H23" s="1">
        <v>45778</v>
      </c>
      <c r="I23" t="s">
        <v>51</v>
      </c>
      <c r="J23" t="s">
        <v>52</v>
      </c>
      <c r="K23" s="2">
        <v>0</v>
      </c>
      <c r="L23" s="2">
        <v>175</v>
      </c>
      <c r="M23">
        <v>1</v>
      </c>
      <c r="N23" s="3">
        <v>1</v>
      </c>
      <c r="O23" s="2">
        <v>175</v>
      </c>
      <c r="Q23" t="s">
        <v>241</v>
      </c>
    </row>
    <row r="24" spans="1:17" x14ac:dyDescent="0.25">
      <c r="A24" s="4" t="s">
        <v>213</v>
      </c>
      <c r="B24" s="4" t="str">
        <f t="shared" si="0"/>
        <v>00022377740K0</v>
      </c>
      <c r="C24" t="s">
        <v>58</v>
      </c>
      <c r="D24" t="s">
        <v>46</v>
      </c>
      <c r="E24">
        <v>20411454</v>
      </c>
      <c r="F24" t="s">
        <v>249</v>
      </c>
      <c r="G24" t="s">
        <v>57</v>
      </c>
      <c r="H24" s="1">
        <v>45658</v>
      </c>
      <c r="I24" t="s">
        <v>51</v>
      </c>
      <c r="J24" t="s">
        <v>52</v>
      </c>
      <c r="K24" s="2">
        <v>0</v>
      </c>
      <c r="L24" s="2">
        <v>131.25</v>
      </c>
      <c r="M24">
        <v>1</v>
      </c>
      <c r="N24" s="3">
        <v>1</v>
      </c>
      <c r="O24" s="2">
        <v>131.25</v>
      </c>
      <c r="P24" t="s">
        <v>62</v>
      </c>
      <c r="Q24" t="s">
        <v>241</v>
      </c>
    </row>
    <row r="25" spans="1:17" x14ac:dyDescent="0.25">
      <c r="A25" s="4" t="s">
        <v>214</v>
      </c>
      <c r="B25" s="4" t="str">
        <f t="shared" si="0"/>
        <v>00023260992K0</v>
      </c>
      <c r="C25" t="s">
        <v>64</v>
      </c>
      <c r="D25" t="s">
        <v>46</v>
      </c>
      <c r="E25">
        <v>20411454</v>
      </c>
      <c r="F25" t="s">
        <v>249</v>
      </c>
      <c r="G25" t="s">
        <v>57</v>
      </c>
      <c r="H25" s="1">
        <v>45778</v>
      </c>
      <c r="I25" t="s">
        <v>51</v>
      </c>
      <c r="J25" t="s">
        <v>52</v>
      </c>
      <c r="K25" s="2">
        <v>0</v>
      </c>
      <c r="L25" s="2">
        <v>175</v>
      </c>
      <c r="M25">
        <v>1</v>
      </c>
      <c r="N25" s="3">
        <v>1</v>
      </c>
      <c r="O25" s="2">
        <v>175</v>
      </c>
      <c r="Q25" t="s">
        <v>241</v>
      </c>
    </row>
    <row r="26" spans="1:17" x14ac:dyDescent="0.25">
      <c r="A26" s="4" t="s">
        <v>215</v>
      </c>
      <c r="B26" s="4" t="str">
        <f t="shared" si="0"/>
        <v>00023263393K0</v>
      </c>
      <c r="C26" t="s">
        <v>68</v>
      </c>
      <c r="D26" t="s">
        <v>46</v>
      </c>
      <c r="E26">
        <v>20411454</v>
      </c>
      <c r="F26" t="s">
        <v>249</v>
      </c>
      <c r="G26" t="s">
        <v>57</v>
      </c>
      <c r="H26" s="1">
        <v>45778</v>
      </c>
      <c r="I26" t="s">
        <v>51</v>
      </c>
      <c r="J26" t="s">
        <v>52</v>
      </c>
      <c r="K26" s="2">
        <v>0</v>
      </c>
      <c r="L26" s="2">
        <v>175</v>
      </c>
      <c r="M26">
        <v>1</v>
      </c>
      <c r="N26" s="3">
        <v>1</v>
      </c>
      <c r="O26" s="2">
        <v>175</v>
      </c>
      <c r="Q26" t="s">
        <v>241</v>
      </c>
    </row>
    <row r="27" spans="1:17" x14ac:dyDescent="0.25">
      <c r="A27" s="4" t="s">
        <v>216</v>
      </c>
      <c r="B27" s="4" t="str">
        <f t="shared" si="0"/>
        <v>00023267662K0</v>
      </c>
      <c r="C27" t="s">
        <v>72</v>
      </c>
      <c r="D27" t="s">
        <v>46</v>
      </c>
      <c r="E27">
        <v>20411454</v>
      </c>
      <c r="F27" t="s">
        <v>249</v>
      </c>
      <c r="G27" t="s">
        <v>57</v>
      </c>
      <c r="H27" s="1">
        <v>45778</v>
      </c>
      <c r="I27" t="s">
        <v>51</v>
      </c>
      <c r="J27" t="s">
        <v>52</v>
      </c>
      <c r="K27" s="2">
        <v>0</v>
      </c>
      <c r="L27" s="2">
        <v>175</v>
      </c>
      <c r="M27">
        <v>1</v>
      </c>
      <c r="N27" s="3">
        <v>1</v>
      </c>
      <c r="O27" s="2">
        <v>175</v>
      </c>
      <c r="Q27" t="s">
        <v>241</v>
      </c>
    </row>
    <row r="28" spans="1:17" x14ac:dyDescent="0.25">
      <c r="A28" s="4" t="s">
        <v>217</v>
      </c>
      <c r="B28" s="4" t="str">
        <f t="shared" si="0"/>
        <v>00023267754K0</v>
      </c>
      <c r="C28" t="s">
        <v>76</v>
      </c>
      <c r="D28" t="s">
        <v>46</v>
      </c>
      <c r="E28">
        <v>20411454</v>
      </c>
      <c r="F28" t="s">
        <v>249</v>
      </c>
      <c r="G28" t="s">
        <v>57</v>
      </c>
      <c r="H28" s="1">
        <v>45778</v>
      </c>
      <c r="I28" t="s">
        <v>51</v>
      </c>
      <c r="J28" t="s">
        <v>52</v>
      </c>
      <c r="K28" s="2">
        <v>0</v>
      </c>
      <c r="L28" s="2">
        <v>175</v>
      </c>
      <c r="M28">
        <v>1</v>
      </c>
      <c r="N28" s="3">
        <v>1</v>
      </c>
      <c r="O28" s="2">
        <v>175</v>
      </c>
      <c r="Q28" t="s">
        <v>241</v>
      </c>
    </row>
    <row r="29" spans="1:17" x14ac:dyDescent="0.25">
      <c r="A29" s="4" t="s">
        <v>218</v>
      </c>
      <c r="B29" s="4" t="str">
        <f t="shared" si="0"/>
        <v>00023268051K0</v>
      </c>
      <c r="C29" t="s">
        <v>80</v>
      </c>
      <c r="D29" t="s">
        <v>46</v>
      </c>
      <c r="E29">
        <v>20411454</v>
      </c>
      <c r="F29" t="s">
        <v>249</v>
      </c>
      <c r="G29" t="s">
        <v>57</v>
      </c>
      <c r="H29" s="1">
        <v>45809</v>
      </c>
      <c r="I29" t="s">
        <v>51</v>
      </c>
      <c r="J29" t="s">
        <v>52</v>
      </c>
      <c r="K29" s="2">
        <v>0</v>
      </c>
      <c r="L29" s="2">
        <v>175</v>
      </c>
      <c r="M29">
        <v>1</v>
      </c>
      <c r="N29" s="3">
        <v>1</v>
      </c>
      <c r="O29" s="2">
        <v>175</v>
      </c>
      <c r="Q29" t="s">
        <v>241</v>
      </c>
    </row>
    <row r="30" spans="1:17" x14ac:dyDescent="0.25">
      <c r="A30" s="4" t="s">
        <v>220</v>
      </c>
      <c r="B30" s="4" t="str">
        <f t="shared" si="0"/>
        <v>00023268932K0</v>
      </c>
      <c r="C30" t="s">
        <v>89</v>
      </c>
      <c r="D30" t="s">
        <v>46</v>
      </c>
      <c r="E30">
        <v>20411454</v>
      </c>
      <c r="F30" t="s">
        <v>249</v>
      </c>
      <c r="G30" t="s">
        <v>57</v>
      </c>
      <c r="H30" s="1">
        <v>45778</v>
      </c>
      <c r="I30" t="s">
        <v>51</v>
      </c>
      <c r="J30" t="s">
        <v>52</v>
      </c>
      <c r="K30" s="2">
        <v>0</v>
      </c>
      <c r="L30" s="2">
        <v>175</v>
      </c>
      <c r="M30">
        <v>1</v>
      </c>
      <c r="N30" s="3">
        <v>1</v>
      </c>
      <c r="O30" s="2">
        <v>175</v>
      </c>
      <c r="Q30" t="s">
        <v>241</v>
      </c>
    </row>
    <row r="31" spans="1:17" x14ac:dyDescent="0.25">
      <c r="A31" s="4" t="s">
        <v>221</v>
      </c>
      <c r="B31" s="4" t="str">
        <f t="shared" si="0"/>
        <v>00023271984K0</v>
      </c>
      <c r="C31" t="s">
        <v>93</v>
      </c>
      <c r="D31" t="s">
        <v>46</v>
      </c>
      <c r="E31">
        <v>20411454</v>
      </c>
      <c r="F31" t="s">
        <v>249</v>
      </c>
      <c r="G31" t="s">
        <v>57</v>
      </c>
      <c r="H31" s="1">
        <v>45809</v>
      </c>
      <c r="I31" t="s">
        <v>51</v>
      </c>
      <c r="J31" t="s">
        <v>52</v>
      </c>
      <c r="K31" s="2">
        <v>0</v>
      </c>
      <c r="L31" s="2">
        <v>175</v>
      </c>
      <c r="M31">
        <v>1</v>
      </c>
      <c r="N31" s="3">
        <v>1</v>
      </c>
      <c r="O31" s="2">
        <v>175</v>
      </c>
      <c r="Q31" t="s">
        <v>241</v>
      </c>
    </row>
    <row r="32" spans="1:17" x14ac:dyDescent="0.25">
      <c r="A32" s="4" t="s">
        <v>222</v>
      </c>
      <c r="B32" s="4" t="str">
        <f t="shared" si="0"/>
        <v>00023272328K0</v>
      </c>
      <c r="C32" t="s">
        <v>95</v>
      </c>
      <c r="D32" t="s">
        <v>46</v>
      </c>
      <c r="E32">
        <v>20411454</v>
      </c>
      <c r="F32" t="s">
        <v>249</v>
      </c>
      <c r="G32" t="s">
        <v>57</v>
      </c>
      <c r="H32" s="1">
        <v>45809</v>
      </c>
      <c r="I32" t="s">
        <v>51</v>
      </c>
      <c r="J32" t="s">
        <v>52</v>
      </c>
      <c r="K32" s="2">
        <v>0</v>
      </c>
      <c r="L32" s="2">
        <v>175</v>
      </c>
      <c r="M32">
        <v>1</v>
      </c>
      <c r="N32" s="3">
        <v>1</v>
      </c>
      <c r="O32" s="2">
        <v>175</v>
      </c>
      <c r="Q32" t="s">
        <v>241</v>
      </c>
    </row>
    <row r="33" spans="1:18" x14ac:dyDescent="0.25">
      <c r="A33" s="4" t="s">
        <v>223</v>
      </c>
      <c r="B33" s="4" t="str">
        <f t="shared" si="0"/>
        <v>00023274538K0</v>
      </c>
      <c r="C33" t="s">
        <v>99</v>
      </c>
      <c r="D33" t="s">
        <v>46</v>
      </c>
      <c r="E33">
        <v>20411454</v>
      </c>
      <c r="F33" t="s">
        <v>249</v>
      </c>
      <c r="G33" t="s">
        <v>57</v>
      </c>
      <c r="H33" s="1">
        <v>45778</v>
      </c>
      <c r="I33" t="s">
        <v>51</v>
      </c>
      <c r="J33" t="s">
        <v>52</v>
      </c>
      <c r="K33" s="2">
        <v>0</v>
      </c>
      <c r="L33" s="2">
        <v>175</v>
      </c>
      <c r="M33">
        <v>1</v>
      </c>
      <c r="N33" s="3">
        <v>1</v>
      </c>
      <c r="O33" s="2">
        <v>175</v>
      </c>
      <c r="Q33" t="s">
        <v>241</v>
      </c>
    </row>
    <row r="34" spans="1:18" x14ac:dyDescent="0.25">
      <c r="A34" s="4" t="s">
        <v>230</v>
      </c>
      <c r="B34" s="4" t="str">
        <f t="shared" si="0"/>
        <v>00022112846KPC0</v>
      </c>
      <c r="C34" t="s">
        <v>180</v>
      </c>
      <c r="D34" t="s">
        <v>46</v>
      </c>
      <c r="E34">
        <v>20411454</v>
      </c>
      <c r="F34" t="s">
        <v>249</v>
      </c>
      <c r="G34" t="s">
        <v>57</v>
      </c>
      <c r="H34" s="1">
        <v>45658</v>
      </c>
      <c r="I34" t="s">
        <v>51</v>
      </c>
      <c r="J34" t="s">
        <v>52</v>
      </c>
      <c r="O34">
        <v>-117.25</v>
      </c>
      <c r="Q34" t="s">
        <v>241</v>
      </c>
    </row>
    <row r="35" spans="1:18" x14ac:dyDescent="0.25">
      <c r="A35" s="4" t="s">
        <v>231</v>
      </c>
      <c r="B35" s="4" t="str">
        <f t="shared" si="0"/>
        <v>00023187920KCB0</v>
      </c>
      <c r="C35" t="s">
        <v>184</v>
      </c>
      <c r="D35" t="s">
        <v>46</v>
      </c>
      <c r="E35">
        <v>20411454</v>
      </c>
      <c r="F35" t="s">
        <v>249</v>
      </c>
      <c r="G35" t="s">
        <v>57</v>
      </c>
      <c r="H35" s="1">
        <v>45778</v>
      </c>
      <c r="I35" t="s">
        <v>51</v>
      </c>
      <c r="J35" t="s">
        <v>52</v>
      </c>
      <c r="O35">
        <v>-175</v>
      </c>
      <c r="Q35" t="s">
        <v>241</v>
      </c>
    </row>
    <row r="36" spans="1:18" x14ac:dyDescent="0.25">
      <c r="A36" s="4" t="s">
        <v>211</v>
      </c>
      <c r="B36" s="4" t="str">
        <f t="shared" si="0"/>
        <v>00012639611K0</v>
      </c>
      <c r="C36" t="s">
        <v>45</v>
      </c>
      <c r="D36" t="s">
        <v>46</v>
      </c>
      <c r="E36">
        <v>20411454</v>
      </c>
      <c r="F36" t="s">
        <v>249</v>
      </c>
      <c r="G36" t="s">
        <v>50</v>
      </c>
      <c r="H36" s="1">
        <v>45778</v>
      </c>
      <c r="I36" t="s">
        <v>51</v>
      </c>
      <c r="J36" t="s">
        <v>52</v>
      </c>
      <c r="K36" s="2">
        <v>0</v>
      </c>
      <c r="L36" s="2">
        <v>108</v>
      </c>
      <c r="M36">
        <v>1</v>
      </c>
      <c r="N36" s="3">
        <v>1</v>
      </c>
      <c r="O36" s="2">
        <v>108</v>
      </c>
      <c r="Q36" t="s">
        <v>241</v>
      </c>
    </row>
    <row r="37" spans="1:18" x14ac:dyDescent="0.25">
      <c r="A37" s="4" t="s">
        <v>229</v>
      </c>
      <c r="B37" s="4" t="str">
        <f t="shared" si="0"/>
        <v>00014035213KPC0</v>
      </c>
      <c r="C37" t="s">
        <v>177</v>
      </c>
      <c r="D37" t="s">
        <v>46</v>
      </c>
      <c r="E37">
        <v>20411454</v>
      </c>
      <c r="F37" t="s">
        <v>249</v>
      </c>
      <c r="G37" t="s">
        <v>50</v>
      </c>
      <c r="H37" s="1">
        <v>45658</v>
      </c>
      <c r="I37" t="s">
        <v>51</v>
      </c>
      <c r="J37" t="s">
        <v>52</v>
      </c>
      <c r="O37">
        <v>-72.36</v>
      </c>
      <c r="Q37" t="s">
        <v>241</v>
      </c>
    </row>
    <row r="38" spans="1:18" x14ac:dyDescent="0.25">
      <c r="A38" s="4" t="s">
        <v>219</v>
      </c>
      <c r="B38" s="4" t="str">
        <f t="shared" si="0"/>
        <v>00023268721KPDP0</v>
      </c>
      <c r="C38" t="s">
        <v>84</v>
      </c>
      <c r="D38" t="s">
        <v>46</v>
      </c>
      <c r="E38">
        <v>20411454</v>
      </c>
      <c r="F38" t="s">
        <v>249</v>
      </c>
      <c r="G38" t="s">
        <v>87</v>
      </c>
      <c r="H38" s="1">
        <v>45778</v>
      </c>
      <c r="I38" t="s">
        <v>51</v>
      </c>
      <c r="J38" t="s">
        <v>52</v>
      </c>
      <c r="K38" s="2">
        <v>0</v>
      </c>
      <c r="L38" s="2">
        <v>15</v>
      </c>
      <c r="M38">
        <v>1</v>
      </c>
      <c r="N38" s="3">
        <v>1</v>
      </c>
      <c r="O38" s="2">
        <v>15</v>
      </c>
      <c r="Q38" t="s">
        <v>241</v>
      </c>
    </row>
    <row r="39" spans="1:18" s="6" customFormat="1" x14ac:dyDescent="0.25">
      <c r="A39" s="9" t="s">
        <v>238</v>
      </c>
      <c r="B39" s="9" t="s">
        <v>248</v>
      </c>
      <c r="C39" s="6" t="s">
        <v>208</v>
      </c>
      <c r="D39" s="6" t="s">
        <v>209</v>
      </c>
      <c r="E39" s="6">
        <v>19645587</v>
      </c>
      <c r="F39" s="6" t="s">
        <v>126</v>
      </c>
      <c r="G39" s="6" t="s">
        <v>210</v>
      </c>
      <c r="H39" s="5">
        <v>45689</v>
      </c>
      <c r="I39" s="6" t="s">
        <v>51</v>
      </c>
      <c r="J39" s="6" t="s">
        <v>52</v>
      </c>
      <c r="O39" s="6">
        <v>-327.82</v>
      </c>
      <c r="Q39" s="6" t="s">
        <v>242</v>
      </c>
    </row>
    <row r="40" spans="1:18" s="6" customFormat="1" x14ac:dyDescent="0.25">
      <c r="A40" s="9" t="s">
        <v>228</v>
      </c>
      <c r="B40" s="9" t="str">
        <f t="shared" ref="B40:B41" si="1">CONCATENATE(A40,1)</f>
        <v>A042601821</v>
      </c>
      <c r="C40" s="6" t="s">
        <v>172</v>
      </c>
      <c r="D40" s="6" t="s">
        <v>109</v>
      </c>
      <c r="E40" s="6">
        <v>21348299</v>
      </c>
      <c r="F40" s="6" t="s">
        <v>172</v>
      </c>
      <c r="G40" s="6" t="s">
        <v>174</v>
      </c>
      <c r="H40" s="5">
        <v>45778</v>
      </c>
      <c r="I40" s="6" t="s">
        <v>51</v>
      </c>
      <c r="J40" s="6" t="s">
        <v>52</v>
      </c>
      <c r="K40" s="7">
        <v>0</v>
      </c>
      <c r="L40" s="7">
        <v>31.98</v>
      </c>
      <c r="M40" s="6">
        <v>9</v>
      </c>
      <c r="N40" s="8">
        <v>1</v>
      </c>
      <c r="O40" s="7">
        <v>287.82</v>
      </c>
      <c r="Q40" s="6" t="s">
        <v>243</v>
      </c>
    </row>
    <row r="41" spans="1:18" s="6" customFormat="1" x14ac:dyDescent="0.25">
      <c r="A41" s="9" t="s">
        <v>227</v>
      </c>
      <c r="B41" s="9" t="str">
        <f t="shared" si="1"/>
        <v>A042593251</v>
      </c>
      <c r="C41" s="6" t="s">
        <v>167</v>
      </c>
      <c r="D41" s="6" t="s">
        <v>104</v>
      </c>
      <c r="E41" s="6">
        <v>19278370</v>
      </c>
      <c r="F41" s="6" t="s">
        <v>169</v>
      </c>
      <c r="G41" s="6" t="s">
        <v>170</v>
      </c>
      <c r="H41" s="5">
        <v>45778</v>
      </c>
      <c r="I41" s="6" t="s">
        <v>51</v>
      </c>
      <c r="J41" s="6" t="s">
        <v>52</v>
      </c>
      <c r="K41" s="7">
        <v>0</v>
      </c>
      <c r="L41" s="7">
        <v>37.5</v>
      </c>
      <c r="M41" s="6">
        <v>9</v>
      </c>
      <c r="N41" s="8">
        <v>1</v>
      </c>
      <c r="O41" s="7">
        <v>337.5</v>
      </c>
      <c r="Q41" s="6" t="s">
        <v>244</v>
      </c>
    </row>
    <row r="42" spans="1:18" x14ac:dyDescent="0.25">
      <c r="A42" s="4" t="s">
        <v>225</v>
      </c>
      <c r="B42" s="4" t="str">
        <f t="shared" ref="B42:B43" si="2">CONCATENATE(A42,0)</f>
        <v>935134529OV0</v>
      </c>
      <c r="C42" t="s">
        <v>155</v>
      </c>
      <c r="D42" t="s">
        <v>146</v>
      </c>
      <c r="E42">
        <v>20411454</v>
      </c>
      <c r="F42" t="s">
        <v>249</v>
      </c>
      <c r="G42" t="s">
        <v>160</v>
      </c>
      <c r="H42" s="1">
        <v>45778</v>
      </c>
      <c r="I42" t="s">
        <v>51</v>
      </c>
      <c r="J42" t="s">
        <v>52</v>
      </c>
      <c r="K42" s="2">
        <v>0</v>
      </c>
      <c r="L42" s="2">
        <v>175</v>
      </c>
      <c r="M42">
        <v>1</v>
      </c>
      <c r="N42" s="3">
        <v>1</v>
      </c>
      <c r="O42" s="2">
        <v>175</v>
      </c>
      <c r="Q42" t="s">
        <v>245</v>
      </c>
    </row>
    <row r="43" spans="1:18" x14ac:dyDescent="0.25">
      <c r="A43" s="4" t="s">
        <v>226</v>
      </c>
      <c r="B43" s="4" t="str">
        <f t="shared" si="2"/>
        <v>968761209OV0</v>
      </c>
      <c r="C43" t="s">
        <v>162</v>
      </c>
      <c r="D43" t="s">
        <v>163</v>
      </c>
      <c r="E43">
        <v>20411454</v>
      </c>
      <c r="F43" t="s">
        <v>249</v>
      </c>
      <c r="G43" t="s">
        <v>165</v>
      </c>
      <c r="H43" s="1">
        <v>45778</v>
      </c>
      <c r="I43" t="s">
        <v>51</v>
      </c>
      <c r="J43" t="s">
        <v>52</v>
      </c>
      <c r="K43" s="2">
        <v>0</v>
      </c>
      <c r="L43" s="2">
        <v>48</v>
      </c>
      <c r="M43">
        <v>1</v>
      </c>
      <c r="N43" s="3">
        <v>1</v>
      </c>
      <c r="O43" s="2">
        <v>48</v>
      </c>
      <c r="P43" t="s">
        <v>112</v>
      </c>
      <c r="Q43" t="s">
        <v>245</v>
      </c>
    </row>
    <row r="44" spans="1:18" s="6" customFormat="1" x14ac:dyDescent="0.25">
      <c r="A44" s="9">
        <v>935134529</v>
      </c>
      <c r="B44" s="9" t="str">
        <f t="shared" ref="B44:B45" si="3">CONCATENATE(A44,1)</f>
        <v>9351345291</v>
      </c>
      <c r="C44" s="6" t="s">
        <v>155</v>
      </c>
      <c r="D44" s="6" t="s">
        <v>146</v>
      </c>
      <c r="E44" s="6">
        <v>8325282</v>
      </c>
      <c r="F44" s="6" t="s">
        <v>157</v>
      </c>
      <c r="G44" s="6" t="s">
        <v>158</v>
      </c>
      <c r="H44" s="5">
        <v>45778</v>
      </c>
      <c r="I44" s="6" t="s">
        <v>51</v>
      </c>
      <c r="J44" s="6" t="s">
        <v>52</v>
      </c>
      <c r="K44" s="7">
        <v>0</v>
      </c>
      <c r="L44" s="7">
        <v>208.67</v>
      </c>
      <c r="M44" s="6">
        <v>1</v>
      </c>
      <c r="N44" s="8">
        <v>1</v>
      </c>
      <c r="O44" s="7">
        <v>208.67</v>
      </c>
      <c r="P44" s="6" t="s">
        <v>112</v>
      </c>
      <c r="Q44" s="6" t="s">
        <v>246</v>
      </c>
      <c r="R44" s="6" t="s">
        <v>247</v>
      </c>
    </row>
    <row r="45" spans="1:18" s="6" customFormat="1" x14ac:dyDescent="0.25">
      <c r="A45" s="9">
        <v>968761209</v>
      </c>
      <c r="B45" s="9" t="str">
        <f t="shared" si="3"/>
        <v>9687612091</v>
      </c>
      <c r="C45" s="6" t="s">
        <v>162</v>
      </c>
      <c r="D45" s="6" t="s">
        <v>163</v>
      </c>
      <c r="E45" s="6">
        <v>19200754</v>
      </c>
      <c r="F45" s="6" t="s">
        <v>60</v>
      </c>
      <c r="G45" s="6" t="s">
        <v>158</v>
      </c>
      <c r="H45" s="5">
        <v>45778</v>
      </c>
      <c r="I45" s="6" t="s">
        <v>51</v>
      </c>
      <c r="J45" s="6" t="s">
        <v>52</v>
      </c>
      <c r="K45" s="7">
        <v>0</v>
      </c>
      <c r="L45" s="7">
        <v>208.67</v>
      </c>
      <c r="M45" s="6">
        <v>1</v>
      </c>
      <c r="N45" s="8">
        <v>1</v>
      </c>
      <c r="O45" s="7">
        <v>208.67</v>
      </c>
      <c r="P45" s="6" t="s">
        <v>112</v>
      </c>
      <c r="Q45" s="6" t="s">
        <v>246</v>
      </c>
      <c r="R45" s="6" t="s">
        <v>247</v>
      </c>
    </row>
  </sheetData>
  <sortState xmlns:xlrd2="http://schemas.microsoft.com/office/spreadsheetml/2017/richdata2" ref="A2:AN45">
    <sortCondition ref="G2:G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2025-04-24T14:48:52Z</dcterms:created>
  <dcterms:modified xsi:type="dcterms:W3CDTF">2025-04-29T20:23:32Z</dcterms:modified>
</cp:coreProperties>
</file>