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HFG\2025\2025-10-01\"/>
    </mc:Choice>
  </mc:AlternateContent>
  <xr:revisionPtr revIDLastSave="0" documentId="13_ncr:1_{CBF659FC-10E4-4603-9FA9-CFBDE9E283EF}" xr6:coauthVersionLast="47" xr6:coauthVersionMax="47" xr10:uidLastSave="{00000000-0000-0000-0000-000000000000}"/>
  <bookViews>
    <workbookView xWindow="-120" yWindow="-120" windowWidth="29040" windowHeight="15720" xr2:uid="{8B115653-6430-41ED-90A0-02DB96F7B240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2" l="1"/>
  <c r="C85" i="2"/>
  <c r="C84" i="2"/>
  <c r="C83" i="2"/>
  <c r="C82" i="2"/>
  <c r="C81" i="2"/>
  <c r="C80" i="2"/>
  <c r="C79" i="2"/>
  <c r="C78" i="2"/>
  <c r="C91" i="2"/>
  <c r="C90" i="2"/>
  <c r="B76" i="2"/>
  <c r="B75" i="2"/>
  <c r="B74" i="2"/>
  <c r="B89" i="2"/>
  <c r="C89" i="2" s="1"/>
  <c r="B88" i="2"/>
  <c r="C88" i="2" s="1"/>
  <c r="B87" i="2"/>
  <c r="C87" i="2" s="1"/>
  <c r="C111" i="2"/>
  <c r="C110" i="2"/>
  <c r="C109" i="2"/>
  <c r="C108" i="2"/>
  <c r="C107" i="2"/>
  <c r="B112" i="2"/>
  <c r="C112" i="2" s="1"/>
  <c r="B106" i="2"/>
  <c r="C106" i="2" s="1"/>
  <c r="C99" i="2"/>
  <c r="C105" i="2"/>
  <c r="C104" i="2"/>
  <c r="C103" i="2"/>
  <c r="C102" i="2"/>
  <c r="C101" i="2"/>
  <c r="C100" i="2"/>
  <c r="C9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111" i="2"/>
  <c r="B110" i="2"/>
  <c r="B109" i="2"/>
  <c r="B108" i="2"/>
  <c r="B107" i="2"/>
  <c r="B97" i="2"/>
  <c r="C97" i="2" s="1"/>
  <c r="B96" i="2"/>
  <c r="C96" i="2" s="1"/>
  <c r="B95" i="2"/>
  <c r="C95" i="2" s="1"/>
  <c r="B94" i="2"/>
  <c r="C94" i="2" s="1"/>
  <c r="B93" i="2"/>
  <c r="C93" i="2" s="1"/>
  <c r="B77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99" i="2"/>
  <c r="B98" i="2"/>
  <c r="R107" i="2"/>
</calcChain>
</file>

<file path=xl/sharedStrings.xml><?xml version="1.0" encoding="utf-8"?>
<sst xmlns="http://schemas.openxmlformats.org/spreadsheetml/2006/main" count="2362" uniqueCount="383">
  <si>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</si>
  <si>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</si>
  <si>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</si>
  <si>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</si>
  <si>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</si>
  <si>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</si>
  <si>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</si>
  <si>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</si>
  <si>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</si>
  <si>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</si>
  <si>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</si>
  <si>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</si>
  <si>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</si>
  <si>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</si>
  <si>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</si>
  <si>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</si>
  <si>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</si>
  <si>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</si>
  <si>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</si>
  <si>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</si>
  <si>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</si>
  <si>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</si>
  <si>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</si>
  <si>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</si>
  <si>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</si>
  <si>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</si>
  <si>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</si>
  <si>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</si>
  <si>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</si>
  <si>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</si>
  <si>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</si>
  <si>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</si>
  <si>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</si>
  <si>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</si>
  <si>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</si>
  <si>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</si>
  <si>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</si>
  <si>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</si>
  <si>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</si>
  <si>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</si>
  <si>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</si>
  <si>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</si>
  <si>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</si>
  <si>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</si>
  <si>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'00018927296K</t>
  </si>
  <si>
    <t>VALERIE MILLER</t>
  </si>
  <si>
    <t>NA</t>
  </si>
  <si>
    <t>Active</t>
  </si>
  <si>
    <t>Humana MA 2019+ Level 15- 175/108 Repl 2024</t>
  </si>
  <si>
    <t>Monthly</t>
  </si>
  <si>
    <t>AV</t>
  </si>
  <si>
    <t>Humana MA Bonus Upload 10-01-2025.xlsx</t>
  </si>
  <si>
    <t>'00022944911K</t>
  </si>
  <si>
    <t>DIANNE SIMPSON</t>
  </si>
  <si>
    <t>FL</t>
  </si>
  <si>
    <t>'045613</t>
  </si>
  <si>
    <t>RICARDO SANTOS</t>
  </si>
  <si>
    <t>ACTIVE</t>
  </si>
  <si>
    <t>'00023268932K</t>
  </si>
  <si>
    <t>PAWEL DUSZCZYK</t>
  </si>
  <si>
    <t>'045612</t>
  </si>
  <si>
    <t>ANTHONY HUNSBERGER</t>
  </si>
  <si>
    <t>Humana MA 2019+ Level 15- 175/108</t>
  </si>
  <si>
    <t>'00023641247K</t>
  </si>
  <si>
    <t>CARLETT OWENS</t>
  </si>
  <si>
    <t>DE</t>
  </si>
  <si>
    <t>'045601</t>
  </si>
  <si>
    <t>CAROL FOLEY</t>
  </si>
  <si>
    <t>'00023649753K</t>
  </si>
  <si>
    <t>JOSEPH WALKER</t>
  </si>
  <si>
    <t>IL</t>
  </si>
  <si>
    <t>'041686</t>
  </si>
  <si>
    <t>DALE WALENGA</t>
  </si>
  <si>
    <t>'00023652054KPDP</t>
  </si>
  <si>
    <t>TYRONE HANLINE</t>
  </si>
  <si>
    <t>OH</t>
  </si>
  <si>
    <t>'045670</t>
  </si>
  <si>
    <t>STEVEN BRANDT</t>
  </si>
  <si>
    <t>Humana PDP 2019+ Level 15- 15/0</t>
  </si>
  <si>
    <t>'00023655018K</t>
  </si>
  <si>
    <t>ROGER POLONSKY</t>
  </si>
  <si>
    <t>'043618</t>
  </si>
  <si>
    <t>SAADIA ABDUL</t>
  </si>
  <si>
    <t>'00023657141K</t>
  </si>
  <si>
    <t>MICHAEL SIMPSON</t>
  </si>
  <si>
    <t>'00023675107K</t>
  </si>
  <si>
    <t>VIRGINIA GRAYSON</t>
  </si>
  <si>
    <t>VA</t>
  </si>
  <si>
    <t>'045904</t>
  </si>
  <si>
    <t>BRITTANY OLIVER</t>
  </si>
  <si>
    <t>'00023678081K</t>
  </si>
  <si>
    <t>DEBORAH DOUCETTE</t>
  </si>
  <si>
    <t>WI</t>
  </si>
  <si>
    <t>'045638</t>
  </si>
  <si>
    <t>RICHARD YALE</t>
  </si>
  <si>
    <t>'00023678319K</t>
  </si>
  <si>
    <t>MARIA GUZMAN</t>
  </si>
  <si>
    <t>'045605</t>
  </si>
  <si>
    <t>GARY PORTUGAL</t>
  </si>
  <si>
    <t>'00023678785K</t>
  </si>
  <si>
    <t>MICHAEL KATZ</t>
  </si>
  <si>
    <t>'101626509000</t>
  </si>
  <si>
    <t>MATTHEW DAVIS</t>
  </si>
  <si>
    <t>'043832</t>
  </si>
  <si>
    <t>CAROL FRITZ</t>
  </si>
  <si>
    <t>Aetna MAPD NMO to GMO - 4-1-23+  Replace E-App</t>
  </si>
  <si>
    <t>3/12 PRORATE</t>
  </si>
  <si>
    <t>'102116172700</t>
  </si>
  <si>
    <t>RICHARD SCHRENZEL</t>
  </si>
  <si>
    <t>4/12 PRORATE</t>
  </si>
  <si>
    <t>'102187630800</t>
  </si>
  <si>
    <t>DONNY CLARK</t>
  </si>
  <si>
    <t>TN</t>
  </si>
  <si>
    <t>'043682</t>
  </si>
  <si>
    <t>GREGORY TEIPEL</t>
  </si>
  <si>
    <t>Aetna MAPD NMO to GMO - 4-1-23+  New E-App</t>
  </si>
  <si>
    <t>'102188291300</t>
  </si>
  <si>
    <t>PATRICK DOWDLE</t>
  </si>
  <si>
    <t>'102188496900</t>
  </si>
  <si>
    <t>WILLIAM DUDDY</t>
  </si>
  <si>
    <t>'043691</t>
  </si>
  <si>
    <t>MICHELLE MCCORKLE</t>
  </si>
  <si>
    <t>'102188520000</t>
  </si>
  <si>
    <t>THERESA PARKS</t>
  </si>
  <si>
    <t>'102189347200</t>
  </si>
  <si>
    <t>TRACEY HODGE</t>
  </si>
  <si>
    <t>PA</t>
  </si>
  <si>
    <t>'045637</t>
  </si>
  <si>
    <t>ALISON LUSE</t>
  </si>
  <si>
    <t>Aetna MAPD NMO to GMO - 4-1-23+  New Paper</t>
  </si>
  <si>
    <t>'102189582400</t>
  </si>
  <si>
    <t>REBECCA FERTIG</t>
  </si>
  <si>
    <t>SC</t>
  </si>
  <si>
    <t>'102189713800</t>
  </si>
  <si>
    <t>TAMMY LAPIER</t>
  </si>
  <si>
    <t>'043637</t>
  </si>
  <si>
    <t>CHRISTIAN TAUGNER</t>
  </si>
  <si>
    <t>'102189788900</t>
  </si>
  <si>
    <t>MICHAEL DAUGHERTY</t>
  </si>
  <si>
    <t>'102189954200</t>
  </si>
  <si>
    <t>LAURA LOPEZ</t>
  </si>
  <si>
    <t>'102190026200</t>
  </si>
  <si>
    <t>CHARLOTTE FARLEY</t>
  </si>
  <si>
    <t>'043718</t>
  </si>
  <si>
    <t>CHAD YALE</t>
  </si>
  <si>
    <t>'102190030600</t>
  </si>
  <si>
    <t>BARBARA MEISSNER-PLEGGE</t>
  </si>
  <si>
    <t>'045684</t>
  </si>
  <si>
    <t>JILL SHEPARD</t>
  </si>
  <si>
    <t>'102190156500</t>
  </si>
  <si>
    <t>JOELLEN CONEY</t>
  </si>
  <si>
    <t>'102190169900</t>
  </si>
  <si>
    <t>JOHN RAMANIO</t>
  </si>
  <si>
    <t>'102190173100</t>
  </si>
  <si>
    <t>THERESA PAYNE-PRICE</t>
  </si>
  <si>
    <t>'043679</t>
  </si>
  <si>
    <t>DEBORAH INSKIPT</t>
  </si>
  <si>
    <t>'102190223100</t>
  </si>
  <si>
    <t>JUNE SMITH</t>
  </si>
  <si>
    <t>'045611</t>
  </si>
  <si>
    <t>FRANK LISKOVEC</t>
  </si>
  <si>
    <t>'102190247800</t>
  </si>
  <si>
    <t>EARL SCHULTE</t>
  </si>
  <si>
    <t>'102190262300</t>
  </si>
  <si>
    <t>JAMIE MCDONALD</t>
  </si>
  <si>
    <t>'102190732500</t>
  </si>
  <si>
    <t>MARVIN FOSTER</t>
  </si>
  <si>
    <t>KS</t>
  </si>
  <si>
    <t>'102190771300</t>
  </si>
  <si>
    <t>MARCY MEEHAN</t>
  </si>
  <si>
    <t>'102190926800</t>
  </si>
  <si>
    <t>MICHAEL LUNDIN</t>
  </si>
  <si>
    <t>'102190934800</t>
  </si>
  <si>
    <t>LISA BUCKLEY</t>
  </si>
  <si>
    <t>'102190996400</t>
  </si>
  <si>
    <t>GREGG HAVEL</t>
  </si>
  <si>
    <t>AR</t>
  </si>
  <si>
    <t>'102191007700</t>
  </si>
  <si>
    <t>CHERYL HACKATHORN</t>
  </si>
  <si>
    <t>'102191010500</t>
  </si>
  <si>
    <t>LORI DUDEK</t>
  </si>
  <si>
    <t>'043786</t>
  </si>
  <si>
    <t>MARGARET SMITH</t>
  </si>
  <si>
    <t>'102191441500</t>
  </si>
  <si>
    <t>STEPHEN SMITH</t>
  </si>
  <si>
    <t>'102191654400</t>
  </si>
  <si>
    <t>SCOTT JEPPERSON</t>
  </si>
  <si>
    <t>IA</t>
  </si>
  <si>
    <t>'102191790000</t>
  </si>
  <si>
    <t>TERESA GAHAGAN RUGH</t>
  </si>
  <si>
    <t>'043611</t>
  </si>
  <si>
    <t>TIMOTHY POWERS</t>
  </si>
  <si>
    <t>'102192129000</t>
  </si>
  <si>
    <t>STEVEN MINTO</t>
  </si>
  <si>
    <t>'102192327300</t>
  </si>
  <si>
    <t>MARK DYE</t>
  </si>
  <si>
    <t>'102192330700</t>
  </si>
  <si>
    <t>LEE BABIC</t>
  </si>
  <si>
    <t>'102193141200</t>
  </si>
  <si>
    <t>JANE GOLD</t>
  </si>
  <si>
    <t>'102193815600</t>
  </si>
  <si>
    <t>PEGGY EULER</t>
  </si>
  <si>
    <t>Aetna MAPD NMO to GMO - 4-1-23+  Replace Paper</t>
  </si>
  <si>
    <t>'102193872700</t>
  </si>
  <si>
    <t>JESSE BARNET</t>
  </si>
  <si>
    <t>1/12 PRORATE</t>
  </si>
  <si>
    <t>'102194086500</t>
  </si>
  <si>
    <t>MARGARET ANGERT</t>
  </si>
  <si>
    <t>'102194308100</t>
  </si>
  <si>
    <t>BARBARA BOWDEN</t>
  </si>
  <si>
    <t>'045609</t>
  </si>
  <si>
    <t>MURRAY STERNER</t>
  </si>
  <si>
    <t>'23A9F4R86</t>
  </si>
  <si>
    <t>KAREN JOHNSON</t>
  </si>
  <si>
    <t>TX</t>
  </si>
  <si>
    <t>'043969</t>
  </si>
  <si>
    <t>STACEY PORTUGAL</t>
  </si>
  <si>
    <t>Cigna MAPD FMO to GA 1-1-19+ - Replacement</t>
  </si>
  <si>
    <t>'31F4H3F56</t>
  </si>
  <si>
    <t>CHRISTINE THOMPSON</t>
  </si>
  <si>
    <t>Cigna MAPD FMO to GA 1-1-19+ - New</t>
  </si>
  <si>
    <t>'37A1R7X45</t>
  </si>
  <si>
    <t>MASROOR KHAN</t>
  </si>
  <si>
    <t>'58R5A1U71</t>
  </si>
  <si>
    <t>ALAN SEIZYS</t>
  </si>
  <si>
    <t>'926230943</t>
  </si>
  <si>
    <t>MARANDA DARRIN</t>
  </si>
  <si>
    <t>UHC MAPD Street payable to upline- 2025 Replace</t>
  </si>
  <si>
    <t>'926230943OV</t>
  </si>
  <si>
    <t>UHC MA Direct 2025 New Initial Prorated - Other</t>
  </si>
  <si>
    <t>'927044797</t>
  </si>
  <si>
    <t>JONATHAN WILLIAMS</t>
  </si>
  <si>
    <t>IN</t>
  </si>
  <si>
    <t>'045937</t>
  </si>
  <si>
    <t>MARSHA SANDEROCK</t>
  </si>
  <si>
    <t>'927044797OV</t>
  </si>
  <si>
    <t>UHC MA Direct 2025 New Full - Other</t>
  </si>
  <si>
    <t>'942914416</t>
  </si>
  <si>
    <t>SUSAN BROWN</t>
  </si>
  <si>
    <t>'942914416OV</t>
  </si>
  <si>
    <t>UHC MA Direct 2025 New Full</t>
  </si>
  <si>
    <t>'950654690</t>
  </si>
  <si>
    <t>TERESA RAGSDALE</t>
  </si>
  <si>
    <t>2/12 PRORATE</t>
  </si>
  <si>
    <t>'950654690OV</t>
  </si>
  <si>
    <t>'968579080</t>
  </si>
  <si>
    <t>MARY WILLIAMS</t>
  </si>
  <si>
    <t>'968579080OV</t>
  </si>
  <si>
    <t>'A04221809</t>
  </si>
  <si>
    <t>TERRIE BURGARD</t>
  </si>
  <si>
    <t>UHC AARP Med Supp PA Area 3 2024- Plan  B F G</t>
  </si>
  <si>
    <t>'A04332336</t>
  </si>
  <si>
    <t>JESUS VALIDO</t>
  </si>
  <si>
    <t>UHC AARP Med Supp 2025+ FL Area 1 Plan B C F G</t>
  </si>
  <si>
    <t>'A04332711</t>
  </si>
  <si>
    <t>ROBERT BLESI</t>
  </si>
  <si>
    <t>CO</t>
  </si>
  <si>
    <t>'045621</t>
  </si>
  <si>
    <t>HEATHER GESKE</t>
  </si>
  <si>
    <t>UHC AARP Med Supp 2025+ CO All Plans</t>
  </si>
  <si>
    <t>'A04333015</t>
  </si>
  <si>
    <t>CHERYL PETTY</t>
  </si>
  <si>
    <t>UHC AARP Med Supp 2025+ IN All Plans</t>
  </si>
  <si>
    <t>'A04333170</t>
  </si>
  <si>
    <t>THERESE BLESI</t>
  </si>
  <si>
    <t>CB</t>
  </si>
  <si>
    <t>'00008668104KPC</t>
  </si>
  <si>
    <t>ROBERT NEHRT</t>
  </si>
  <si>
    <t>'043705</t>
  </si>
  <si>
    <t>MICHAEL DUNAVANT</t>
  </si>
  <si>
    <t>CHARGEBACK</t>
  </si>
  <si>
    <t>'00023244763KPC</t>
  </si>
  <si>
    <t>MARK CARR</t>
  </si>
  <si>
    <t>'00023286702KPC</t>
  </si>
  <si>
    <t>MITCHELL WIGGINS</t>
  </si>
  <si>
    <t>'045712</t>
  </si>
  <si>
    <t>GREGORY HANSFORD</t>
  </si>
  <si>
    <t>'023082726PDPPC</t>
  </si>
  <si>
    <t>ELEFTERIA VRETTOU-GAVARIS</t>
  </si>
  <si>
    <t>UHC PDP Street payable to upline - 2025 New</t>
  </si>
  <si>
    <t>'102086397800CB</t>
  </si>
  <si>
    <t>MARY FINGER</t>
  </si>
  <si>
    <t>'102187630800CB</t>
  </si>
  <si>
    <t>'102188291300CB</t>
  </si>
  <si>
    <t>'102188496900CB</t>
  </si>
  <si>
    <t>'102188520000CB</t>
  </si>
  <si>
    <t>'102189347200CB</t>
  </si>
  <si>
    <t>'102189582400CB</t>
  </si>
  <si>
    <t>'102189713800CB</t>
  </si>
  <si>
    <t>'102189788900CB</t>
  </si>
  <si>
    <t>'102189954200CB</t>
  </si>
  <si>
    <t>'102190026200CB</t>
  </si>
  <si>
    <t>'102190030600CB</t>
  </si>
  <si>
    <t>'045940</t>
  </si>
  <si>
    <t>'102190156500CB</t>
  </si>
  <si>
    <t>'102190169900CB</t>
  </si>
  <si>
    <t>'102190173100CB</t>
  </si>
  <si>
    <t>'102190223100CB</t>
  </si>
  <si>
    <t>'102190247800CB</t>
  </si>
  <si>
    <t>'102190262300CB</t>
  </si>
  <si>
    <t>'102190732500CB</t>
  </si>
  <si>
    <t>'102190771300CB</t>
  </si>
  <si>
    <t>'102190926800CB</t>
  </si>
  <si>
    <t>'102190934800CB</t>
  </si>
  <si>
    <t>'102190996400CB</t>
  </si>
  <si>
    <t>'102191007700CB</t>
  </si>
  <si>
    <t>'102191010500CB</t>
  </si>
  <si>
    <t>'102191441500CB</t>
  </si>
  <si>
    <t>'102191654400CB</t>
  </si>
  <si>
    <t>'102191790000CB</t>
  </si>
  <si>
    <t>'102192129000CB</t>
  </si>
  <si>
    <t>'102192327300CB</t>
  </si>
  <si>
    <t>'102192330700CB</t>
  </si>
  <si>
    <t>'102193141200CB</t>
  </si>
  <si>
    <t>'132275463OVPC</t>
  </si>
  <si>
    <t>AARON STEELE</t>
  </si>
  <si>
    <t>'043633</t>
  </si>
  <si>
    <t>RICHARD WUENSCH</t>
  </si>
  <si>
    <t>UHC MA Direct 2024 New Initial Prorated</t>
  </si>
  <si>
    <t>'132275463PC</t>
  </si>
  <si>
    <t>'37079098CB</t>
  </si>
  <si>
    <t>KENNETH WISNIEWSKI</t>
  </si>
  <si>
    <t>'045604</t>
  </si>
  <si>
    <t>JEFFREY HORN</t>
  </si>
  <si>
    <t>'37110313CB</t>
  </si>
  <si>
    <t>IRVING SILVERSTEIN</t>
  </si>
  <si>
    <t>'37122916CB</t>
  </si>
  <si>
    <t>MARIBETH WALENGA</t>
  </si>
  <si>
    <t>'959030254OVPC</t>
  </si>
  <si>
    <t>STACY MAYDEW</t>
  </si>
  <si>
    <t>UHC MA Direct 2024 New Full</t>
  </si>
  <si>
    <t>'959030254PC</t>
  </si>
  <si>
    <t>UHC MAPD Street payable to upline - 2025 New</t>
  </si>
  <si>
    <t>'980161460PC</t>
  </si>
  <si>
    <t>KATHLEEN CURRY-PENROD</t>
  </si>
  <si>
    <t>00018927296K</t>
  </si>
  <si>
    <t>00022944911K</t>
  </si>
  <si>
    <t>00023268932K</t>
  </si>
  <si>
    <t>00023641247K</t>
  </si>
  <si>
    <t>00023649753K</t>
  </si>
  <si>
    <t>00023652054KPDP</t>
  </si>
  <si>
    <t>00023655018K</t>
  </si>
  <si>
    <t>00023657141K</t>
  </si>
  <si>
    <t>00023675107K</t>
  </si>
  <si>
    <t>00023678081K</t>
  </si>
  <si>
    <t>00023678319K</t>
  </si>
  <si>
    <t>00023678785K</t>
  </si>
  <si>
    <t>23A9F4R86</t>
  </si>
  <si>
    <t>31F4H3F56</t>
  </si>
  <si>
    <t>37A1R7X45</t>
  </si>
  <si>
    <t>58R5A1U71</t>
  </si>
  <si>
    <t>926230943OV</t>
  </si>
  <si>
    <t>927044797OV</t>
  </si>
  <si>
    <t>942914416OV</t>
  </si>
  <si>
    <t>950654690OV</t>
  </si>
  <si>
    <t>968579080OV</t>
  </si>
  <si>
    <t>A04221809</t>
  </si>
  <si>
    <t>A04332336</t>
  </si>
  <si>
    <t>A04332711</t>
  </si>
  <si>
    <t>A04333015</t>
  </si>
  <si>
    <t>A04333170</t>
  </si>
  <si>
    <t>023082726PDPPC</t>
  </si>
  <si>
    <t>Aetna MAPD OVR 2025</t>
  </si>
  <si>
    <t>Cigna MAPD 2025 Ovr</t>
  </si>
  <si>
    <t>Humana MAPD OVR 2025</t>
  </si>
  <si>
    <t>Humana PDP 2025!</t>
  </si>
  <si>
    <t>UHC AARP MS CO all plans</t>
  </si>
  <si>
    <t>UHC AARP MS FL Area 1- Plan B C F G</t>
  </si>
  <si>
    <t>UHC AARP MS PA Area 1 2024- Plan N</t>
  </si>
  <si>
    <t>UHC AARP Med Supp PA Area 3 2024- Plan B F G</t>
  </si>
  <si>
    <t>UHC PDP 2025!</t>
  </si>
  <si>
    <t>UHC MAPD Ovr 2025</t>
  </si>
  <si>
    <t>UHC MAPD 2025*</t>
  </si>
  <si>
    <t>[%/$=313][prorate=10/12]</t>
  </si>
  <si>
    <t>[%/$=313][prorate=3/12]</t>
  </si>
  <si>
    <t>[%/$=313][prorate=2/12]</t>
  </si>
  <si>
    <t>Main Line Benefits</t>
  </si>
  <si>
    <t>00008668104K</t>
  </si>
  <si>
    <t>00023244763K</t>
  </si>
  <si>
    <t>00023286702K</t>
  </si>
  <si>
    <t>959030254OV</t>
  </si>
  <si>
    <t>132275463OV</t>
  </si>
  <si>
    <t>023082726PDP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</si>
</sst>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EE0C-F875-4A23-AB8E-CFC533C9876B}">
  <dimension ref="A1:AL113"/>
  <sheetViews>
    <sheetView tabSelected="1" topLeftCell="N47" workbookViewId="0">
      <selection activeCell="Q59" sqref="Q59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7.42578125" bestFit="1" customWidth="1"/>
    <col min="10" max="10" width="27.5703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2.42578125" bestFit="1" customWidth="1"/>
    <col min="17" max="17" width="12.85546875" bestFit="1" customWidth="1"/>
    <col min="18" max="18" width="47.140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9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45931</v>
      </c>
      <c r="B2" s="1">
        <v>45931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41</v>
      </c>
      <c r="P2" t="s">
        <v>43</v>
      </c>
      <c r="Q2" t="s">
        <v>47</v>
      </c>
      <c r="R2" t="s">
        <v>48</v>
      </c>
      <c r="S2" s="1">
        <v>45658</v>
      </c>
      <c r="U2" t="s">
        <v>49</v>
      </c>
      <c r="X2" t="s">
        <v>50</v>
      </c>
      <c r="Y2" s="2">
        <v>0</v>
      </c>
      <c r="Z2" s="2">
        <v>27</v>
      </c>
      <c r="AA2">
        <v>1</v>
      </c>
      <c r="AB2" s="3">
        <v>1</v>
      </c>
      <c r="AC2" s="2">
        <v>27</v>
      </c>
      <c r="AD2" s="3">
        <v>0</v>
      </c>
      <c r="AE2" s="2">
        <v>0</v>
      </c>
      <c r="AF2" s="2">
        <v>27</v>
      </c>
      <c r="AK2">
        <v>0</v>
      </c>
      <c r="AL2" t="s">
        <v>51</v>
      </c>
    </row>
    <row r="3" spans="1:38" x14ac:dyDescent="0.25">
      <c r="A3" s="1">
        <v>45931</v>
      </c>
      <c r="B3" s="1">
        <v>45931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52</v>
      </c>
      <c r="J3" t="s">
        <v>53</v>
      </c>
      <c r="M3" t="s">
        <v>54</v>
      </c>
      <c r="O3" t="s">
        <v>55</v>
      </c>
      <c r="P3" t="s">
        <v>56</v>
      </c>
      <c r="Q3" t="s">
        <v>57</v>
      </c>
      <c r="R3" t="s">
        <v>48</v>
      </c>
      <c r="S3" s="1">
        <v>45931</v>
      </c>
      <c r="U3" t="s">
        <v>49</v>
      </c>
      <c r="X3" t="s">
        <v>50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5868539</v>
      </c>
    </row>
    <row r="4" spans="1:38" x14ac:dyDescent="0.25">
      <c r="A4" s="1">
        <v>45931</v>
      </c>
      <c r="B4" s="1">
        <v>45931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46</v>
      </c>
      <c r="O4" t="s">
        <v>60</v>
      </c>
      <c r="P4" t="s">
        <v>61</v>
      </c>
      <c r="Q4" t="s">
        <v>47</v>
      </c>
      <c r="R4" t="s">
        <v>62</v>
      </c>
      <c r="S4" s="1">
        <v>45778</v>
      </c>
      <c r="U4" t="s">
        <v>49</v>
      </c>
      <c r="X4" t="s">
        <v>50</v>
      </c>
      <c r="Y4" s="2">
        <v>0</v>
      </c>
      <c r="Z4" s="2">
        <v>73.5</v>
      </c>
      <c r="AA4">
        <v>1</v>
      </c>
      <c r="AB4" s="3">
        <v>1</v>
      </c>
      <c r="AC4" s="2">
        <v>73.5</v>
      </c>
      <c r="AD4" s="3">
        <v>0</v>
      </c>
      <c r="AE4" s="2">
        <v>0</v>
      </c>
      <c r="AF4" s="2">
        <v>73.5</v>
      </c>
      <c r="AK4">
        <v>0</v>
      </c>
      <c r="AL4" t="s">
        <v>51</v>
      </c>
    </row>
    <row r="5" spans="1:38" x14ac:dyDescent="0.25">
      <c r="A5" s="1">
        <v>45931</v>
      </c>
      <c r="B5" s="1">
        <v>45931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65</v>
      </c>
      <c r="O5" t="s">
        <v>66</v>
      </c>
      <c r="P5" t="s">
        <v>67</v>
      </c>
      <c r="Q5" t="s">
        <v>57</v>
      </c>
      <c r="R5" t="s">
        <v>62</v>
      </c>
      <c r="S5" s="1">
        <v>45931</v>
      </c>
      <c r="U5" t="s">
        <v>49</v>
      </c>
      <c r="X5" t="s">
        <v>50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5868653</v>
      </c>
    </row>
    <row r="6" spans="1:38" x14ac:dyDescent="0.25">
      <c r="A6" s="1">
        <v>45931</v>
      </c>
      <c r="B6" s="1">
        <v>45931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70</v>
      </c>
      <c r="O6" t="s">
        <v>71</v>
      </c>
      <c r="P6" t="s">
        <v>72</v>
      </c>
      <c r="Q6" t="s">
        <v>57</v>
      </c>
      <c r="R6" t="s">
        <v>62</v>
      </c>
      <c r="S6" s="1">
        <v>45931</v>
      </c>
      <c r="U6" t="s">
        <v>49</v>
      </c>
      <c r="X6" t="s">
        <v>50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5868657</v>
      </c>
    </row>
    <row r="7" spans="1:38" x14ac:dyDescent="0.25">
      <c r="A7" s="1">
        <v>45931</v>
      </c>
      <c r="B7" s="1">
        <v>45931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73</v>
      </c>
      <c r="J7" t="s">
        <v>74</v>
      </c>
      <c r="M7" t="s">
        <v>75</v>
      </c>
      <c r="O7" t="s">
        <v>76</v>
      </c>
      <c r="P7" t="s">
        <v>77</v>
      </c>
      <c r="Q7" t="s">
        <v>57</v>
      </c>
      <c r="R7" t="s">
        <v>78</v>
      </c>
      <c r="S7" s="1">
        <v>45931</v>
      </c>
      <c r="U7" t="s">
        <v>49</v>
      </c>
      <c r="X7" t="s">
        <v>50</v>
      </c>
      <c r="Y7" s="2">
        <v>0</v>
      </c>
      <c r="Z7" s="2">
        <v>15</v>
      </c>
      <c r="AA7">
        <v>1</v>
      </c>
      <c r="AB7" s="3">
        <v>1</v>
      </c>
      <c r="AC7" s="2">
        <v>15</v>
      </c>
      <c r="AD7" s="3">
        <v>0</v>
      </c>
      <c r="AE7" s="2">
        <v>0</v>
      </c>
      <c r="AF7" s="2">
        <v>15</v>
      </c>
      <c r="AK7">
        <v>5868529</v>
      </c>
    </row>
    <row r="8" spans="1:38" x14ac:dyDescent="0.25">
      <c r="A8" s="1">
        <v>45931</v>
      </c>
      <c r="B8" s="1">
        <v>45931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79</v>
      </c>
      <c r="J8" t="s">
        <v>80</v>
      </c>
      <c r="M8" t="s">
        <v>70</v>
      </c>
      <c r="O8" t="s">
        <v>81</v>
      </c>
      <c r="P8" t="s">
        <v>82</v>
      </c>
      <c r="Q8" t="s">
        <v>57</v>
      </c>
      <c r="R8" t="s">
        <v>62</v>
      </c>
      <c r="S8" s="1">
        <v>45962</v>
      </c>
      <c r="U8" t="s">
        <v>49</v>
      </c>
      <c r="X8" t="s">
        <v>50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5868661</v>
      </c>
    </row>
    <row r="9" spans="1:38" x14ac:dyDescent="0.25">
      <c r="A9" s="1">
        <v>45931</v>
      </c>
      <c r="B9" s="1">
        <v>45931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83</v>
      </c>
      <c r="J9" t="s">
        <v>84</v>
      </c>
      <c r="M9" t="s">
        <v>54</v>
      </c>
      <c r="O9" t="s">
        <v>55</v>
      </c>
      <c r="P9" t="s">
        <v>56</v>
      </c>
      <c r="Q9" t="s">
        <v>57</v>
      </c>
      <c r="R9" t="s">
        <v>62</v>
      </c>
      <c r="S9" s="1">
        <v>45931</v>
      </c>
      <c r="U9" t="s">
        <v>49</v>
      </c>
      <c r="X9" t="s">
        <v>50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5868666</v>
      </c>
    </row>
    <row r="10" spans="1:38" x14ac:dyDescent="0.25">
      <c r="A10" s="1">
        <v>45931</v>
      </c>
      <c r="B10" s="1">
        <v>45931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85</v>
      </c>
      <c r="J10" t="s">
        <v>86</v>
      </c>
      <c r="M10" t="s">
        <v>87</v>
      </c>
      <c r="O10" t="s">
        <v>88</v>
      </c>
      <c r="P10" t="s">
        <v>89</v>
      </c>
      <c r="Q10" t="s">
        <v>57</v>
      </c>
      <c r="R10" t="s">
        <v>62</v>
      </c>
      <c r="S10" s="1">
        <v>45992</v>
      </c>
      <c r="U10" t="s">
        <v>49</v>
      </c>
      <c r="X10" t="s">
        <v>50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5868671</v>
      </c>
    </row>
    <row r="11" spans="1:38" x14ac:dyDescent="0.25">
      <c r="A11" s="1">
        <v>45931</v>
      </c>
      <c r="B11" s="1">
        <v>45931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90</v>
      </c>
      <c r="J11" t="s">
        <v>91</v>
      </c>
      <c r="M11" t="s">
        <v>92</v>
      </c>
      <c r="O11" t="s">
        <v>93</v>
      </c>
      <c r="P11" t="s">
        <v>94</v>
      </c>
      <c r="Q11" t="s">
        <v>57</v>
      </c>
      <c r="R11" t="s">
        <v>62</v>
      </c>
      <c r="S11" s="1">
        <v>45931</v>
      </c>
      <c r="U11" t="s">
        <v>49</v>
      </c>
      <c r="X11" t="s">
        <v>50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5868673</v>
      </c>
    </row>
    <row r="12" spans="1:38" x14ac:dyDescent="0.25">
      <c r="A12" s="1">
        <v>45931</v>
      </c>
      <c r="B12" s="1">
        <v>45931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95</v>
      </c>
      <c r="J12" t="s">
        <v>96</v>
      </c>
      <c r="M12" t="s">
        <v>70</v>
      </c>
      <c r="O12" t="s">
        <v>97</v>
      </c>
      <c r="P12" t="s">
        <v>98</v>
      </c>
      <c r="Q12" t="s">
        <v>57</v>
      </c>
      <c r="R12" t="s">
        <v>62</v>
      </c>
      <c r="S12" s="1">
        <v>45931</v>
      </c>
      <c r="U12" t="s">
        <v>49</v>
      </c>
      <c r="X12" t="s">
        <v>50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5868675</v>
      </c>
    </row>
    <row r="13" spans="1:38" x14ac:dyDescent="0.25">
      <c r="A13" s="1">
        <v>45931</v>
      </c>
      <c r="B13" s="1">
        <v>45931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99</v>
      </c>
      <c r="J13" t="s">
        <v>100</v>
      </c>
      <c r="M13" t="s">
        <v>54</v>
      </c>
      <c r="O13" t="s">
        <v>66</v>
      </c>
      <c r="P13" t="s">
        <v>67</v>
      </c>
      <c r="Q13" t="s">
        <v>57</v>
      </c>
      <c r="R13" t="s">
        <v>62</v>
      </c>
      <c r="S13" s="1">
        <v>45931</v>
      </c>
      <c r="U13" t="s">
        <v>49</v>
      </c>
      <c r="X13" t="s">
        <v>50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5868678</v>
      </c>
    </row>
    <row r="14" spans="1:38" x14ac:dyDescent="0.25">
      <c r="A14" s="1">
        <v>45931</v>
      </c>
      <c r="B14" s="1">
        <v>45931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101</v>
      </c>
      <c r="J14" t="s">
        <v>102</v>
      </c>
      <c r="M14" t="s">
        <v>70</v>
      </c>
      <c r="O14" t="s">
        <v>103</v>
      </c>
      <c r="P14" t="s">
        <v>104</v>
      </c>
      <c r="Q14" t="s">
        <v>57</v>
      </c>
      <c r="R14" t="s">
        <v>105</v>
      </c>
      <c r="S14" s="1">
        <v>45931</v>
      </c>
      <c r="U14" t="s">
        <v>49</v>
      </c>
      <c r="X14" t="s">
        <v>50</v>
      </c>
      <c r="Y14" s="2">
        <v>0</v>
      </c>
      <c r="Z14" s="2">
        <v>12.5</v>
      </c>
      <c r="AA14">
        <v>1</v>
      </c>
      <c r="AB14" s="3">
        <v>1</v>
      </c>
      <c r="AC14" s="2">
        <v>12.5</v>
      </c>
      <c r="AD14" s="3">
        <v>0</v>
      </c>
      <c r="AE14" s="2">
        <v>0</v>
      </c>
      <c r="AF14" s="2">
        <v>12.5</v>
      </c>
      <c r="AK14">
        <v>5867864</v>
      </c>
      <c r="AL14" t="s">
        <v>106</v>
      </c>
    </row>
    <row r="15" spans="1:38" x14ac:dyDescent="0.25">
      <c r="A15" s="1">
        <v>45931</v>
      </c>
      <c r="B15" s="1">
        <v>45931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107</v>
      </c>
      <c r="J15" t="s">
        <v>108</v>
      </c>
      <c r="M15" t="s">
        <v>70</v>
      </c>
      <c r="O15" t="s">
        <v>97</v>
      </c>
      <c r="P15" t="s">
        <v>98</v>
      </c>
      <c r="Q15" t="s">
        <v>57</v>
      </c>
      <c r="R15" t="s">
        <v>105</v>
      </c>
      <c r="S15" s="1">
        <v>45901</v>
      </c>
      <c r="U15" t="s">
        <v>49</v>
      </c>
      <c r="X15" t="s">
        <v>50</v>
      </c>
      <c r="Y15" s="2">
        <v>0</v>
      </c>
      <c r="Z15" s="2">
        <v>16.670000000000002</v>
      </c>
      <c r="AA15">
        <v>1</v>
      </c>
      <c r="AB15" s="3">
        <v>1</v>
      </c>
      <c r="AC15" s="2">
        <v>16.670000000000002</v>
      </c>
      <c r="AD15" s="3">
        <v>0</v>
      </c>
      <c r="AE15" s="2">
        <v>0</v>
      </c>
      <c r="AF15" s="2">
        <v>16.670000000000002</v>
      </c>
      <c r="AK15">
        <v>5868017</v>
      </c>
      <c r="AL15" t="s">
        <v>109</v>
      </c>
    </row>
    <row r="16" spans="1:38" x14ac:dyDescent="0.25">
      <c r="A16" s="1">
        <v>45931</v>
      </c>
      <c r="B16" s="1">
        <v>45931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110</v>
      </c>
      <c r="J16" t="s">
        <v>111</v>
      </c>
      <c r="M16" t="s">
        <v>112</v>
      </c>
      <c r="O16" t="s">
        <v>113</v>
      </c>
      <c r="P16" t="s">
        <v>114</v>
      </c>
      <c r="Q16" t="s">
        <v>57</v>
      </c>
      <c r="R16" t="s">
        <v>115</v>
      </c>
      <c r="S16" s="1">
        <v>45901</v>
      </c>
      <c r="U16" t="s">
        <v>49</v>
      </c>
      <c r="X16" t="s">
        <v>50</v>
      </c>
      <c r="Y16" s="2">
        <v>0</v>
      </c>
      <c r="Z16" s="2">
        <v>50</v>
      </c>
      <c r="AA16">
        <v>1</v>
      </c>
      <c r="AB16" s="3">
        <v>1</v>
      </c>
      <c r="AC16" s="2">
        <v>50</v>
      </c>
      <c r="AD16" s="3">
        <v>0</v>
      </c>
      <c r="AE16" s="2">
        <v>0</v>
      </c>
      <c r="AF16" s="2">
        <v>50</v>
      </c>
      <c r="AK16">
        <v>5868091</v>
      </c>
    </row>
    <row r="17" spans="1:37" x14ac:dyDescent="0.25">
      <c r="A17" s="1">
        <v>45931</v>
      </c>
      <c r="B17" s="1">
        <v>45931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116</v>
      </c>
      <c r="J17" t="s">
        <v>117</v>
      </c>
      <c r="M17" t="s">
        <v>70</v>
      </c>
      <c r="O17" t="s">
        <v>113</v>
      </c>
      <c r="P17" t="s">
        <v>114</v>
      </c>
      <c r="Q17" t="s">
        <v>57</v>
      </c>
      <c r="R17" t="s">
        <v>115</v>
      </c>
      <c r="S17" s="1">
        <v>45901</v>
      </c>
      <c r="U17" t="s">
        <v>49</v>
      </c>
      <c r="X17" t="s">
        <v>50</v>
      </c>
      <c r="Y17" s="2">
        <v>0</v>
      </c>
      <c r="Z17" s="2">
        <v>50</v>
      </c>
      <c r="AA17">
        <v>1</v>
      </c>
      <c r="AB17" s="3">
        <v>1</v>
      </c>
      <c r="AC17" s="2">
        <v>50</v>
      </c>
      <c r="AD17" s="3">
        <v>0</v>
      </c>
      <c r="AE17" s="2">
        <v>0</v>
      </c>
      <c r="AF17" s="2">
        <v>50</v>
      </c>
      <c r="AK17">
        <v>5868105</v>
      </c>
    </row>
    <row r="18" spans="1:37" x14ac:dyDescent="0.25">
      <c r="A18" s="1">
        <v>45931</v>
      </c>
      <c r="B18" s="1">
        <v>45931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118</v>
      </c>
      <c r="J18" t="s">
        <v>119</v>
      </c>
      <c r="M18" t="s">
        <v>54</v>
      </c>
      <c r="O18" t="s">
        <v>120</v>
      </c>
      <c r="P18" t="s">
        <v>121</v>
      </c>
      <c r="Q18" t="s">
        <v>57</v>
      </c>
      <c r="R18" t="s">
        <v>115</v>
      </c>
      <c r="S18" s="1">
        <v>45901</v>
      </c>
      <c r="U18" t="s">
        <v>49</v>
      </c>
      <c r="X18" t="s">
        <v>50</v>
      </c>
      <c r="Y18" s="2">
        <v>0</v>
      </c>
      <c r="Z18" s="2">
        <v>50</v>
      </c>
      <c r="AA18">
        <v>1</v>
      </c>
      <c r="AB18" s="3">
        <v>1</v>
      </c>
      <c r="AC18" s="2">
        <v>50</v>
      </c>
      <c r="AD18" s="3">
        <v>0</v>
      </c>
      <c r="AE18" s="2">
        <v>0</v>
      </c>
      <c r="AF18" s="2">
        <v>50</v>
      </c>
      <c r="AK18">
        <v>5868113</v>
      </c>
    </row>
    <row r="19" spans="1:37" x14ac:dyDescent="0.25">
      <c r="A19" s="1">
        <v>45931</v>
      </c>
      <c r="B19" s="1">
        <v>45931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122</v>
      </c>
      <c r="J19" t="s">
        <v>123</v>
      </c>
      <c r="M19" t="s">
        <v>70</v>
      </c>
      <c r="O19" t="s">
        <v>97</v>
      </c>
      <c r="P19" t="s">
        <v>98</v>
      </c>
      <c r="Q19" t="s">
        <v>57</v>
      </c>
      <c r="R19" t="s">
        <v>115</v>
      </c>
      <c r="S19" s="1">
        <v>45962</v>
      </c>
      <c r="U19" t="s">
        <v>49</v>
      </c>
      <c r="X19" t="s">
        <v>50</v>
      </c>
      <c r="Y19" s="2">
        <v>0</v>
      </c>
      <c r="Z19" s="2">
        <v>50</v>
      </c>
      <c r="AA19">
        <v>1</v>
      </c>
      <c r="AB19" s="3">
        <v>1</v>
      </c>
      <c r="AC19" s="2">
        <v>50</v>
      </c>
      <c r="AD19" s="3">
        <v>0</v>
      </c>
      <c r="AE19" s="2">
        <v>0</v>
      </c>
      <c r="AF19" s="2">
        <v>50</v>
      </c>
      <c r="AK19">
        <v>5868115</v>
      </c>
    </row>
    <row r="20" spans="1:37" x14ac:dyDescent="0.25">
      <c r="A20" s="1">
        <v>45931</v>
      </c>
      <c r="B20" s="1">
        <v>45931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124</v>
      </c>
      <c r="J20" t="s">
        <v>125</v>
      </c>
      <c r="M20" t="s">
        <v>126</v>
      </c>
      <c r="O20" t="s">
        <v>127</v>
      </c>
      <c r="P20" t="s">
        <v>128</v>
      </c>
      <c r="Q20" t="s">
        <v>57</v>
      </c>
      <c r="R20" t="s">
        <v>129</v>
      </c>
      <c r="S20" s="1">
        <v>45870</v>
      </c>
      <c r="U20" t="s">
        <v>49</v>
      </c>
      <c r="X20" t="s">
        <v>50</v>
      </c>
      <c r="Y20" s="2">
        <v>0</v>
      </c>
      <c r="Z20" s="2">
        <v>40</v>
      </c>
      <c r="AA20">
        <v>1</v>
      </c>
      <c r="AB20" s="3">
        <v>1</v>
      </c>
      <c r="AC20" s="2">
        <v>40</v>
      </c>
      <c r="AD20" s="3">
        <v>0</v>
      </c>
      <c r="AE20" s="2">
        <v>0</v>
      </c>
      <c r="AF20" s="2">
        <v>40</v>
      </c>
      <c r="AK20">
        <v>5868129</v>
      </c>
    </row>
    <row r="21" spans="1:37" x14ac:dyDescent="0.25">
      <c r="A21" s="1">
        <v>45931</v>
      </c>
      <c r="B21" s="1">
        <v>45931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130</v>
      </c>
      <c r="J21" t="s">
        <v>131</v>
      </c>
      <c r="M21" t="s">
        <v>132</v>
      </c>
      <c r="O21" t="s">
        <v>113</v>
      </c>
      <c r="P21" t="s">
        <v>114</v>
      </c>
      <c r="Q21" t="s">
        <v>57</v>
      </c>
      <c r="R21" t="s">
        <v>115</v>
      </c>
      <c r="S21" s="1">
        <v>45931</v>
      </c>
      <c r="U21" t="s">
        <v>49</v>
      </c>
      <c r="X21" t="s">
        <v>50</v>
      </c>
      <c r="Y21" s="2">
        <v>0</v>
      </c>
      <c r="Z21" s="2">
        <v>50</v>
      </c>
      <c r="AA21">
        <v>1</v>
      </c>
      <c r="AB21" s="3">
        <v>1</v>
      </c>
      <c r="AC21" s="2">
        <v>50</v>
      </c>
      <c r="AD21" s="3">
        <v>0</v>
      </c>
      <c r="AE21" s="2">
        <v>0</v>
      </c>
      <c r="AF21" s="2">
        <v>50</v>
      </c>
      <c r="AK21">
        <v>5868141</v>
      </c>
    </row>
    <row r="22" spans="1:37" x14ac:dyDescent="0.25">
      <c r="A22" s="1">
        <v>45931</v>
      </c>
      <c r="B22" s="1">
        <v>45931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133</v>
      </c>
      <c r="J22" t="s">
        <v>134</v>
      </c>
      <c r="M22" t="s">
        <v>70</v>
      </c>
      <c r="O22" t="s">
        <v>135</v>
      </c>
      <c r="P22" t="s">
        <v>136</v>
      </c>
      <c r="Q22" t="s">
        <v>57</v>
      </c>
      <c r="R22" t="s">
        <v>129</v>
      </c>
      <c r="S22" s="1">
        <v>45901</v>
      </c>
      <c r="U22" t="s">
        <v>49</v>
      </c>
      <c r="X22" t="s">
        <v>50</v>
      </c>
      <c r="Y22" s="2">
        <v>0</v>
      </c>
      <c r="Z22" s="2">
        <v>40</v>
      </c>
      <c r="AA22">
        <v>1</v>
      </c>
      <c r="AB22" s="3">
        <v>1</v>
      </c>
      <c r="AC22" s="2">
        <v>40</v>
      </c>
      <c r="AD22" s="3">
        <v>0</v>
      </c>
      <c r="AE22" s="2">
        <v>0</v>
      </c>
      <c r="AF22" s="2">
        <v>40</v>
      </c>
      <c r="AK22">
        <v>5868143</v>
      </c>
    </row>
    <row r="23" spans="1:37" x14ac:dyDescent="0.25">
      <c r="A23" s="1">
        <v>45931</v>
      </c>
      <c r="B23" s="1">
        <v>45931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137</v>
      </c>
      <c r="J23" t="s">
        <v>138</v>
      </c>
      <c r="M23" t="s">
        <v>75</v>
      </c>
      <c r="O23" t="s">
        <v>113</v>
      </c>
      <c r="P23" t="s">
        <v>114</v>
      </c>
      <c r="Q23" t="s">
        <v>57</v>
      </c>
      <c r="R23" t="s">
        <v>115</v>
      </c>
      <c r="S23" s="1">
        <v>45931</v>
      </c>
      <c r="U23" t="s">
        <v>49</v>
      </c>
      <c r="X23" t="s">
        <v>50</v>
      </c>
      <c r="Y23" s="2">
        <v>0</v>
      </c>
      <c r="Z23" s="2">
        <v>50</v>
      </c>
      <c r="AA23">
        <v>1</v>
      </c>
      <c r="AB23" s="3">
        <v>1</v>
      </c>
      <c r="AC23" s="2">
        <v>50</v>
      </c>
      <c r="AD23" s="3">
        <v>0</v>
      </c>
      <c r="AE23" s="2">
        <v>0</v>
      </c>
      <c r="AF23" s="2">
        <v>50</v>
      </c>
      <c r="AK23">
        <v>5868146</v>
      </c>
    </row>
    <row r="24" spans="1:37" x14ac:dyDescent="0.25">
      <c r="A24" s="1">
        <v>45931</v>
      </c>
      <c r="B24" s="1">
        <v>45931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139</v>
      </c>
      <c r="J24" t="s">
        <v>140</v>
      </c>
      <c r="M24" t="s">
        <v>70</v>
      </c>
      <c r="O24" t="s">
        <v>97</v>
      </c>
      <c r="P24" t="s">
        <v>98</v>
      </c>
      <c r="Q24" t="s">
        <v>57</v>
      </c>
      <c r="R24" t="s">
        <v>115</v>
      </c>
      <c r="S24" s="1">
        <v>45931</v>
      </c>
      <c r="U24" t="s">
        <v>49</v>
      </c>
      <c r="X24" t="s">
        <v>50</v>
      </c>
      <c r="Y24" s="2">
        <v>0</v>
      </c>
      <c r="Z24" s="2">
        <v>50</v>
      </c>
      <c r="AA24">
        <v>1</v>
      </c>
      <c r="AB24" s="3">
        <v>1</v>
      </c>
      <c r="AC24" s="2">
        <v>50</v>
      </c>
      <c r="AD24" s="3">
        <v>0</v>
      </c>
      <c r="AE24" s="2">
        <v>0</v>
      </c>
      <c r="AF24" s="2">
        <v>50</v>
      </c>
      <c r="AK24">
        <v>5868153</v>
      </c>
    </row>
    <row r="25" spans="1:37" x14ac:dyDescent="0.25">
      <c r="A25" s="1">
        <v>45931</v>
      </c>
      <c r="B25" s="1">
        <v>45931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141</v>
      </c>
      <c r="J25" t="s">
        <v>142</v>
      </c>
      <c r="M25" t="s">
        <v>70</v>
      </c>
      <c r="O25" t="s">
        <v>143</v>
      </c>
      <c r="P25" t="s">
        <v>144</v>
      </c>
      <c r="Q25" t="s">
        <v>57</v>
      </c>
      <c r="R25" t="s">
        <v>115</v>
      </c>
      <c r="S25" s="1">
        <v>45962</v>
      </c>
      <c r="U25" t="s">
        <v>49</v>
      </c>
      <c r="X25" t="s">
        <v>50</v>
      </c>
      <c r="Y25" s="2">
        <v>0</v>
      </c>
      <c r="Z25" s="2">
        <v>50</v>
      </c>
      <c r="AA25">
        <v>1</v>
      </c>
      <c r="AB25" s="3">
        <v>1</v>
      </c>
      <c r="AC25" s="2">
        <v>50</v>
      </c>
      <c r="AD25" s="3">
        <v>0</v>
      </c>
      <c r="AE25" s="2">
        <v>0</v>
      </c>
      <c r="AF25" s="2">
        <v>50</v>
      </c>
      <c r="AK25">
        <v>5868158</v>
      </c>
    </row>
    <row r="26" spans="1:37" x14ac:dyDescent="0.25">
      <c r="A26" s="1">
        <v>45931</v>
      </c>
      <c r="B26" s="1">
        <v>45931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145</v>
      </c>
      <c r="J26" t="s">
        <v>146</v>
      </c>
      <c r="M26" t="s">
        <v>75</v>
      </c>
      <c r="O26" t="s">
        <v>147</v>
      </c>
      <c r="P26" t="s">
        <v>148</v>
      </c>
      <c r="Q26" t="s">
        <v>57</v>
      </c>
      <c r="R26" t="s">
        <v>115</v>
      </c>
      <c r="S26" s="1">
        <v>45962</v>
      </c>
      <c r="U26" t="s">
        <v>49</v>
      </c>
      <c r="X26" t="s">
        <v>50</v>
      </c>
      <c r="Y26" s="2">
        <v>0</v>
      </c>
      <c r="Z26" s="2">
        <v>50</v>
      </c>
      <c r="AA26">
        <v>1</v>
      </c>
      <c r="AB26" s="3">
        <v>1</v>
      </c>
      <c r="AC26" s="2">
        <v>50</v>
      </c>
      <c r="AD26" s="3">
        <v>0</v>
      </c>
      <c r="AE26" s="2">
        <v>0</v>
      </c>
      <c r="AF26" s="2">
        <v>50</v>
      </c>
      <c r="AK26">
        <v>5868160</v>
      </c>
    </row>
    <row r="27" spans="1:37" x14ac:dyDescent="0.25">
      <c r="A27" s="1">
        <v>45931</v>
      </c>
      <c r="B27" s="1">
        <v>45931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149</v>
      </c>
      <c r="J27" t="s">
        <v>150</v>
      </c>
      <c r="M27" t="s">
        <v>70</v>
      </c>
      <c r="O27" t="s">
        <v>71</v>
      </c>
      <c r="P27" t="s">
        <v>72</v>
      </c>
      <c r="Q27" t="s">
        <v>57</v>
      </c>
      <c r="R27" t="s">
        <v>115</v>
      </c>
      <c r="S27" s="1">
        <v>45870</v>
      </c>
      <c r="U27" t="s">
        <v>49</v>
      </c>
      <c r="X27" t="s">
        <v>50</v>
      </c>
      <c r="Y27" s="2">
        <v>0</v>
      </c>
      <c r="Z27" s="2">
        <v>50</v>
      </c>
      <c r="AA27">
        <v>1</v>
      </c>
      <c r="AB27" s="3">
        <v>1</v>
      </c>
      <c r="AC27" s="2">
        <v>50</v>
      </c>
      <c r="AD27" s="3">
        <v>0</v>
      </c>
      <c r="AE27" s="2">
        <v>0</v>
      </c>
      <c r="AF27" s="2">
        <v>50</v>
      </c>
      <c r="AK27">
        <v>5868161</v>
      </c>
    </row>
    <row r="28" spans="1:37" x14ac:dyDescent="0.25">
      <c r="A28" s="1">
        <v>45931</v>
      </c>
      <c r="B28" s="1">
        <v>45931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151</v>
      </c>
      <c r="J28" t="s">
        <v>152</v>
      </c>
      <c r="M28" t="s">
        <v>92</v>
      </c>
      <c r="O28" t="s">
        <v>71</v>
      </c>
      <c r="P28" t="s">
        <v>72</v>
      </c>
      <c r="Q28" t="s">
        <v>57</v>
      </c>
      <c r="R28" t="s">
        <v>129</v>
      </c>
      <c r="S28" s="1">
        <v>45901</v>
      </c>
      <c r="U28" t="s">
        <v>49</v>
      </c>
      <c r="X28" t="s">
        <v>50</v>
      </c>
      <c r="Y28" s="2">
        <v>0</v>
      </c>
      <c r="Z28" s="2">
        <v>40</v>
      </c>
      <c r="AA28">
        <v>1</v>
      </c>
      <c r="AB28" s="3">
        <v>1</v>
      </c>
      <c r="AC28" s="2">
        <v>40</v>
      </c>
      <c r="AD28" s="3">
        <v>0</v>
      </c>
      <c r="AE28" s="2">
        <v>0</v>
      </c>
      <c r="AF28" s="2">
        <v>40</v>
      </c>
      <c r="AK28">
        <v>5868162</v>
      </c>
    </row>
    <row r="29" spans="1:37" x14ac:dyDescent="0.25">
      <c r="A29" s="1">
        <v>45931</v>
      </c>
      <c r="B29" s="1">
        <v>45931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153</v>
      </c>
      <c r="J29" t="s">
        <v>154</v>
      </c>
      <c r="M29" t="s">
        <v>126</v>
      </c>
      <c r="O29" t="s">
        <v>155</v>
      </c>
      <c r="P29" t="s">
        <v>156</v>
      </c>
      <c r="Q29" t="s">
        <v>57</v>
      </c>
      <c r="R29" t="s">
        <v>115</v>
      </c>
      <c r="S29" s="1">
        <v>45901</v>
      </c>
      <c r="U29" t="s">
        <v>49</v>
      </c>
      <c r="X29" t="s">
        <v>50</v>
      </c>
      <c r="Y29" s="2">
        <v>0</v>
      </c>
      <c r="Z29" s="2">
        <v>50</v>
      </c>
      <c r="AA29">
        <v>1</v>
      </c>
      <c r="AB29" s="3">
        <v>1</v>
      </c>
      <c r="AC29" s="2">
        <v>50</v>
      </c>
      <c r="AD29" s="3">
        <v>0</v>
      </c>
      <c r="AE29" s="2">
        <v>0</v>
      </c>
      <c r="AF29" s="2">
        <v>50</v>
      </c>
      <c r="AK29">
        <v>5868164</v>
      </c>
    </row>
    <row r="30" spans="1:37" x14ac:dyDescent="0.25">
      <c r="A30" s="1">
        <v>45931</v>
      </c>
      <c r="B30" s="1">
        <v>45931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157</v>
      </c>
      <c r="J30" t="s">
        <v>158</v>
      </c>
      <c r="M30" t="s">
        <v>70</v>
      </c>
      <c r="O30" t="s">
        <v>159</v>
      </c>
      <c r="P30" t="s">
        <v>160</v>
      </c>
      <c r="Q30" t="s">
        <v>57</v>
      </c>
      <c r="R30" t="s">
        <v>115</v>
      </c>
      <c r="S30" s="1">
        <v>45901</v>
      </c>
      <c r="U30" t="s">
        <v>49</v>
      </c>
      <c r="X30" t="s">
        <v>50</v>
      </c>
      <c r="Y30" s="2">
        <v>0</v>
      </c>
      <c r="Z30" s="2">
        <v>50</v>
      </c>
      <c r="AA30">
        <v>1</v>
      </c>
      <c r="AB30" s="3">
        <v>1</v>
      </c>
      <c r="AC30" s="2">
        <v>50</v>
      </c>
      <c r="AD30" s="3">
        <v>0</v>
      </c>
      <c r="AE30" s="2">
        <v>0</v>
      </c>
      <c r="AF30" s="2">
        <v>50</v>
      </c>
      <c r="AK30">
        <v>5868167</v>
      </c>
    </row>
    <row r="31" spans="1:37" x14ac:dyDescent="0.25">
      <c r="A31" s="1">
        <v>45931</v>
      </c>
      <c r="B31" s="1">
        <v>45931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161</v>
      </c>
      <c r="J31" t="s">
        <v>162</v>
      </c>
      <c r="M31" t="s">
        <v>75</v>
      </c>
      <c r="O31" t="s">
        <v>147</v>
      </c>
      <c r="P31" t="s">
        <v>148</v>
      </c>
      <c r="Q31" t="s">
        <v>57</v>
      </c>
      <c r="R31" t="s">
        <v>115</v>
      </c>
      <c r="S31" s="1">
        <v>45901</v>
      </c>
      <c r="U31" t="s">
        <v>49</v>
      </c>
      <c r="X31" t="s">
        <v>50</v>
      </c>
      <c r="Y31" s="2">
        <v>0</v>
      </c>
      <c r="Z31" s="2">
        <v>50</v>
      </c>
      <c r="AA31">
        <v>1</v>
      </c>
      <c r="AB31" s="3">
        <v>1</v>
      </c>
      <c r="AC31" s="2">
        <v>50</v>
      </c>
      <c r="AD31" s="3">
        <v>0</v>
      </c>
      <c r="AE31" s="2">
        <v>0</v>
      </c>
      <c r="AF31" s="2">
        <v>50</v>
      </c>
      <c r="AK31">
        <v>5868168</v>
      </c>
    </row>
    <row r="32" spans="1:37" x14ac:dyDescent="0.25">
      <c r="A32" s="1">
        <v>45931</v>
      </c>
      <c r="B32" s="1">
        <v>45931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163</v>
      </c>
      <c r="J32" t="s">
        <v>164</v>
      </c>
      <c r="M32" t="s">
        <v>70</v>
      </c>
      <c r="O32" t="s">
        <v>60</v>
      </c>
      <c r="P32" t="s">
        <v>61</v>
      </c>
      <c r="Q32" t="s">
        <v>57</v>
      </c>
      <c r="R32" t="s">
        <v>115</v>
      </c>
      <c r="S32" s="1">
        <v>45901</v>
      </c>
      <c r="U32" t="s">
        <v>49</v>
      </c>
      <c r="X32" t="s">
        <v>50</v>
      </c>
      <c r="Y32" s="2">
        <v>0</v>
      </c>
      <c r="Z32" s="2">
        <v>50</v>
      </c>
      <c r="AA32">
        <v>1</v>
      </c>
      <c r="AB32" s="3">
        <v>1</v>
      </c>
      <c r="AC32" s="2">
        <v>50</v>
      </c>
      <c r="AD32" s="3">
        <v>0</v>
      </c>
      <c r="AE32" s="2">
        <v>0</v>
      </c>
      <c r="AF32" s="2">
        <v>50</v>
      </c>
      <c r="AK32">
        <v>5868169</v>
      </c>
    </row>
    <row r="33" spans="1:38" x14ac:dyDescent="0.25">
      <c r="A33" s="1">
        <v>45931</v>
      </c>
      <c r="B33" s="1">
        <v>45931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165</v>
      </c>
      <c r="J33" t="s">
        <v>166</v>
      </c>
      <c r="M33" t="s">
        <v>167</v>
      </c>
      <c r="O33" t="s">
        <v>113</v>
      </c>
      <c r="P33" t="s">
        <v>114</v>
      </c>
      <c r="Q33" t="s">
        <v>57</v>
      </c>
      <c r="R33" t="s">
        <v>115</v>
      </c>
      <c r="S33" s="1">
        <v>45931</v>
      </c>
      <c r="U33" t="s">
        <v>49</v>
      </c>
      <c r="X33" t="s">
        <v>50</v>
      </c>
      <c r="Y33" s="2">
        <v>0</v>
      </c>
      <c r="Z33" s="2">
        <v>50</v>
      </c>
      <c r="AA33">
        <v>1</v>
      </c>
      <c r="AB33" s="3">
        <v>1</v>
      </c>
      <c r="AC33" s="2">
        <v>50</v>
      </c>
      <c r="AD33" s="3">
        <v>0</v>
      </c>
      <c r="AE33" s="2">
        <v>0</v>
      </c>
      <c r="AF33" s="2">
        <v>50</v>
      </c>
      <c r="AK33">
        <v>5868177</v>
      </c>
    </row>
    <row r="34" spans="1:38" x14ac:dyDescent="0.25">
      <c r="A34" s="1">
        <v>45931</v>
      </c>
      <c r="B34" s="1">
        <v>45931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168</v>
      </c>
      <c r="J34" t="s">
        <v>169</v>
      </c>
      <c r="M34" t="s">
        <v>126</v>
      </c>
      <c r="O34" t="s">
        <v>155</v>
      </c>
      <c r="P34" t="s">
        <v>156</v>
      </c>
      <c r="Q34" t="s">
        <v>57</v>
      </c>
      <c r="R34" t="s">
        <v>115</v>
      </c>
      <c r="S34" s="1">
        <v>45901</v>
      </c>
      <c r="U34" t="s">
        <v>49</v>
      </c>
      <c r="X34" t="s">
        <v>50</v>
      </c>
      <c r="Y34" s="2">
        <v>0</v>
      </c>
      <c r="Z34" s="2">
        <v>50</v>
      </c>
      <c r="AA34">
        <v>1</v>
      </c>
      <c r="AB34" s="3">
        <v>1</v>
      </c>
      <c r="AC34" s="2">
        <v>50</v>
      </c>
      <c r="AD34" s="3">
        <v>0</v>
      </c>
      <c r="AE34" s="2">
        <v>0</v>
      </c>
      <c r="AF34" s="2">
        <v>50</v>
      </c>
      <c r="AK34">
        <v>5868178</v>
      </c>
    </row>
    <row r="35" spans="1:38" x14ac:dyDescent="0.25">
      <c r="A35" s="1">
        <v>45931</v>
      </c>
      <c r="B35" s="1">
        <v>45931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170</v>
      </c>
      <c r="J35" t="s">
        <v>171</v>
      </c>
      <c r="M35" t="s">
        <v>70</v>
      </c>
      <c r="O35" t="s">
        <v>159</v>
      </c>
      <c r="P35" t="s">
        <v>160</v>
      </c>
      <c r="Q35" t="s">
        <v>57</v>
      </c>
      <c r="R35" t="s">
        <v>129</v>
      </c>
      <c r="S35" s="1">
        <v>45901</v>
      </c>
      <c r="U35" t="s">
        <v>49</v>
      </c>
      <c r="X35" t="s">
        <v>50</v>
      </c>
      <c r="Y35" s="2">
        <v>0</v>
      </c>
      <c r="Z35" s="2">
        <v>40</v>
      </c>
      <c r="AA35">
        <v>1</v>
      </c>
      <c r="AB35" s="3">
        <v>1</v>
      </c>
      <c r="AC35" s="2">
        <v>40</v>
      </c>
      <c r="AD35" s="3">
        <v>0</v>
      </c>
      <c r="AE35" s="2">
        <v>0</v>
      </c>
      <c r="AF35" s="2">
        <v>40</v>
      </c>
      <c r="AK35">
        <v>5868180</v>
      </c>
    </row>
    <row r="36" spans="1:38" x14ac:dyDescent="0.25">
      <c r="A36" s="1">
        <v>45931</v>
      </c>
      <c r="B36" s="1">
        <v>45931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172</v>
      </c>
      <c r="J36" t="s">
        <v>173</v>
      </c>
      <c r="M36" t="s">
        <v>126</v>
      </c>
      <c r="O36" t="s">
        <v>155</v>
      </c>
      <c r="P36" t="s">
        <v>156</v>
      </c>
      <c r="Q36" t="s">
        <v>57</v>
      </c>
      <c r="R36" t="s">
        <v>115</v>
      </c>
      <c r="S36" s="1">
        <v>45901</v>
      </c>
      <c r="U36" t="s">
        <v>49</v>
      </c>
      <c r="X36" t="s">
        <v>50</v>
      </c>
      <c r="Y36" s="2">
        <v>0</v>
      </c>
      <c r="Z36" s="2">
        <v>50</v>
      </c>
      <c r="AA36">
        <v>1</v>
      </c>
      <c r="AB36" s="3">
        <v>1</v>
      </c>
      <c r="AC36" s="2">
        <v>50</v>
      </c>
      <c r="AD36" s="3">
        <v>0</v>
      </c>
      <c r="AE36" s="2">
        <v>0</v>
      </c>
      <c r="AF36" s="2">
        <v>50</v>
      </c>
      <c r="AK36">
        <v>5868181</v>
      </c>
    </row>
    <row r="37" spans="1:38" x14ac:dyDescent="0.25">
      <c r="A37" s="1">
        <v>45931</v>
      </c>
      <c r="B37" s="1">
        <v>45931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174</v>
      </c>
      <c r="J37" t="s">
        <v>175</v>
      </c>
      <c r="M37" t="s">
        <v>176</v>
      </c>
      <c r="O37" t="s">
        <v>113</v>
      </c>
      <c r="P37" t="s">
        <v>114</v>
      </c>
      <c r="Q37" t="s">
        <v>57</v>
      </c>
      <c r="R37" t="s">
        <v>115</v>
      </c>
      <c r="S37" s="1">
        <v>45901</v>
      </c>
      <c r="U37" t="s">
        <v>49</v>
      </c>
      <c r="X37" t="s">
        <v>50</v>
      </c>
      <c r="Y37" s="2">
        <v>0</v>
      </c>
      <c r="Z37" s="2">
        <v>50</v>
      </c>
      <c r="AA37">
        <v>1</v>
      </c>
      <c r="AB37" s="3">
        <v>1</v>
      </c>
      <c r="AC37" s="2">
        <v>50</v>
      </c>
      <c r="AD37" s="3">
        <v>0</v>
      </c>
      <c r="AE37" s="2">
        <v>0</v>
      </c>
      <c r="AF37" s="2">
        <v>50</v>
      </c>
      <c r="AK37">
        <v>5868186</v>
      </c>
    </row>
    <row r="38" spans="1:38" x14ac:dyDescent="0.25">
      <c r="A38" s="1">
        <v>45931</v>
      </c>
      <c r="B38" s="1">
        <v>45931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177</v>
      </c>
      <c r="J38" t="s">
        <v>178</v>
      </c>
      <c r="M38" t="s">
        <v>75</v>
      </c>
      <c r="O38" t="s">
        <v>147</v>
      </c>
      <c r="P38" t="s">
        <v>148</v>
      </c>
      <c r="Q38" t="s">
        <v>57</v>
      </c>
      <c r="R38" t="s">
        <v>115</v>
      </c>
      <c r="S38" s="1">
        <v>45901</v>
      </c>
      <c r="U38" t="s">
        <v>49</v>
      </c>
      <c r="X38" t="s">
        <v>50</v>
      </c>
      <c r="Y38" s="2">
        <v>0</v>
      </c>
      <c r="Z38" s="2">
        <v>50</v>
      </c>
      <c r="AA38">
        <v>1</v>
      </c>
      <c r="AB38" s="3">
        <v>1</v>
      </c>
      <c r="AC38" s="2">
        <v>50</v>
      </c>
      <c r="AD38" s="3">
        <v>0</v>
      </c>
      <c r="AE38" s="2">
        <v>0</v>
      </c>
      <c r="AF38" s="2">
        <v>50</v>
      </c>
      <c r="AK38">
        <v>5868188</v>
      </c>
    </row>
    <row r="39" spans="1:38" x14ac:dyDescent="0.25">
      <c r="A39" s="1">
        <v>45931</v>
      </c>
      <c r="B39" s="1">
        <v>45931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179</v>
      </c>
      <c r="J39" t="s">
        <v>180</v>
      </c>
      <c r="M39" t="s">
        <v>126</v>
      </c>
      <c r="O39" t="s">
        <v>181</v>
      </c>
      <c r="P39" t="s">
        <v>182</v>
      </c>
      <c r="Q39" t="s">
        <v>57</v>
      </c>
      <c r="R39" t="s">
        <v>115</v>
      </c>
      <c r="S39" s="1">
        <v>45931</v>
      </c>
      <c r="U39" t="s">
        <v>49</v>
      </c>
      <c r="X39" t="s">
        <v>50</v>
      </c>
      <c r="Y39" s="2">
        <v>0</v>
      </c>
      <c r="Z39" s="2">
        <v>50</v>
      </c>
      <c r="AA39">
        <v>1</v>
      </c>
      <c r="AB39" s="3">
        <v>1</v>
      </c>
      <c r="AC39" s="2">
        <v>50</v>
      </c>
      <c r="AD39" s="3">
        <v>0</v>
      </c>
      <c r="AE39" s="2">
        <v>0</v>
      </c>
      <c r="AF39" s="2">
        <v>50</v>
      </c>
      <c r="AK39">
        <v>5868189</v>
      </c>
    </row>
    <row r="40" spans="1:38" x14ac:dyDescent="0.25">
      <c r="A40" s="1">
        <v>45931</v>
      </c>
      <c r="B40" s="1">
        <v>45931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183</v>
      </c>
      <c r="J40" t="s">
        <v>184</v>
      </c>
      <c r="M40" t="s">
        <v>70</v>
      </c>
      <c r="O40" t="s">
        <v>159</v>
      </c>
      <c r="P40" t="s">
        <v>160</v>
      </c>
      <c r="Q40" t="s">
        <v>57</v>
      </c>
      <c r="R40" t="s">
        <v>115</v>
      </c>
      <c r="S40" s="1">
        <v>45901</v>
      </c>
      <c r="U40" t="s">
        <v>49</v>
      </c>
      <c r="X40" t="s">
        <v>50</v>
      </c>
      <c r="Y40" s="2">
        <v>0</v>
      </c>
      <c r="Z40" s="2">
        <v>50</v>
      </c>
      <c r="AA40">
        <v>1</v>
      </c>
      <c r="AB40" s="3">
        <v>1</v>
      </c>
      <c r="AC40" s="2">
        <v>50</v>
      </c>
      <c r="AD40" s="3">
        <v>0</v>
      </c>
      <c r="AE40" s="2">
        <v>0</v>
      </c>
      <c r="AF40" s="2">
        <v>50</v>
      </c>
      <c r="AK40">
        <v>5868204</v>
      </c>
    </row>
    <row r="41" spans="1:38" x14ac:dyDescent="0.25">
      <c r="A41" s="1">
        <v>45931</v>
      </c>
      <c r="B41" s="1">
        <v>45931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185</v>
      </c>
      <c r="J41" t="s">
        <v>186</v>
      </c>
      <c r="M41" t="s">
        <v>187</v>
      </c>
      <c r="O41" t="s">
        <v>113</v>
      </c>
      <c r="P41" t="s">
        <v>114</v>
      </c>
      <c r="Q41" t="s">
        <v>57</v>
      </c>
      <c r="R41" t="s">
        <v>115</v>
      </c>
      <c r="S41" s="1">
        <v>45931</v>
      </c>
      <c r="U41" t="s">
        <v>49</v>
      </c>
      <c r="X41" t="s">
        <v>50</v>
      </c>
      <c r="Y41" s="2">
        <v>0</v>
      </c>
      <c r="Z41" s="2">
        <v>50</v>
      </c>
      <c r="AA41">
        <v>1</v>
      </c>
      <c r="AB41" s="3">
        <v>1</v>
      </c>
      <c r="AC41" s="2">
        <v>50</v>
      </c>
      <c r="AD41" s="3">
        <v>0</v>
      </c>
      <c r="AE41" s="2">
        <v>0</v>
      </c>
      <c r="AF41" s="2">
        <v>50</v>
      </c>
      <c r="AK41">
        <v>5868210</v>
      </c>
    </row>
    <row r="42" spans="1:38" x14ac:dyDescent="0.25">
      <c r="A42" s="1">
        <v>45931</v>
      </c>
      <c r="B42" s="1">
        <v>45931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188</v>
      </c>
      <c r="J42" t="s">
        <v>189</v>
      </c>
      <c r="M42" t="s">
        <v>126</v>
      </c>
      <c r="O42" t="s">
        <v>190</v>
      </c>
      <c r="P42" t="s">
        <v>191</v>
      </c>
      <c r="Q42" t="s">
        <v>57</v>
      </c>
      <c r="R42" t="s">
        <v>115</v>
      </c>
      <c r="S42" s="1">
        <v>45901</v>
      </c>
      <c r="U42" t="s">
        <v>49</v>
      </c>
      <c r="X42" t="s">
        <v>50</v>
      </c>
      <c r="Y42" s="2">
        <v>0</v>
      </c>
      <c r="Z42" s="2">
        <v>50</v>
      </c>
      <c r="AA42">
        <v>1</v>
      </c>
      <c r="AB42" s="3">
        <v>1</v>
      </c>
      <c r="AC42" s="2">
        <v>50</v>
      </c>
      <c r="AD42" s="3">
        <v>0</v>
      </c>
      <c r="AE42" s="2">
        <v>0</v>
      </c>
      <c r="AF42" s="2">
        <v>50</v>
      </c>
      <c r="AK42">
        <v>5868218</v>
      </c>
    </row>
    <row r="43" spans="1:38" x14ac:dyDescent="0.25">
      <c r="A43" s="1">
        <v>45931</v>
      </c>
      <c r="B43" s="1">
        <v>45931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192</v>
      </c>
      <c r="J43" t="s">
        <v>193</v>
      </c>
      <c r="M43" t="s">
        <v>126</v>
      </c>
      <c r="O43" t="s">
        <v>190</v>
      </c>
      <c r="P43" t="s">
        <v>191</v>
      </c>
      <c r="Q43" t="s">
        <v>57</v>
      </c>
      <c r="R43" t="s">
        <v>115</v>
      </c>
      <c r="S43" s="1">
        <v>45901</v>
      </c>
      <c r="U43" t="s">
        <v>49</v>
      </c>
      <c r="X43" t="s">
        <v>50</v>
      </c>
      <c r="Y43" s="2">
        <v>0</v>
      </c>
      <c r="Z43" s="2">
        <v>50</v>
      </c>
      <c r="AA43">
        <v>1</v>
      </c>
      <c r="AB43" s="3">
        <v>1</v>
      </c>
      <c r="AC43" s="2">
        <v>50</v>
      </c>
      <c r="AD43" s="3">
        <v>0</v>
      </c>
      <c r="AE43" s="2">
        <v>0</v>
      </c>
      <c r="AF43" s="2">
        <v>50</v>
      </c>
      <c r="AK43">
        <v>5868232</v>
      </c>
    </row>
    <row r="44" spans="1:38" x14ac:dyDescent="0.25">
      <c r="A44" s="1">
        <v>45931</v>
      </c>
      <c r="B44" s="1">
        <v>45931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194</v>
      </c>
      <c r="J44" t="s">
        <v>195</v>
      </c>
      <c r="M44" t="s">
        <v>75</v>
      </c>
      <c r="O44" t="s">
        <v>147</v>
      </c>
      <c r="P44" t="s">
        <v>148</v>
      </c>
      <c r="Q44" t="s">
        <v>57</v>
      </c>
      <c r="R44" t="s">
        <v>115</v>
      </c>
      <c r="S44" s="1">
        <v>45962</v>
      </c>
      <c r="U44" t="s">
        <v>49</v>
      </c>
      <c r="X44" t="s">
        <v>50</v>
      </c>
      <c r="Y44" s="2">
        <v>0</v>
      </c>
      <c r="Z44" s="2">
        <v>50</v>
      </c>
      <c r="AA44">
        <v>1</v>
      </c>
      <c r="AB44" s="3">
        <v>1</v>
      </c>
      <c r="AC44" s="2">
        <v>50</v>
      </c>
      <c r="AD44" s="3">
        <v>0</v>
      </c>
      <c r="AE44" s="2">
        <v>0</v>
      </c>
      <c r="AF44" s="2">
        <v>50</v>
      </c>
      <c r="AK44">
        <v>5868239</v>
      </c>
    </row>
    <row r="45" spans="1:38" x14ac:dyDescent="0.25">
      <c r="A45" s="1">
        <v>45931</v>
      </c>
      <c r="B45" s="1">
        <v>45931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196</v>
      </c>
      <c r="J45" t="s">
        <v>197</v>
      </c>
      <c r="M45" t="s">
        <v>75</v>
      </c>
      <c r="O45" t="s">
        <v>147</v>
      </c>
      <c r="P45" t="s">
        <v>148</v>
      </c>
      <c r="Q45" t="s">
        <v>57</v>
      </c>
      <c r="R45" t="s">
        <v>115</v>
      </c>
      <c r="S45" s="1">
        <v>45901</v>
      </c>
      <c r="U45" t="s">
        <v>49</v>
      </c>
      <c r="X45" t="s">
        <v>50</v>
      </c>
      <c r="Y45" s="2">
        <v>0</v>
      </c>
      <c r="Z45" s="2">
        <v>50</v>
      </c>
      <c r="AA45">
        <v>1</v>
      </c>
      <c r="AB45" s="3">
        <v>1</v>
      </c>
      <c r="AC45" s="2">
        <v>50</v>
      </c>
      <c r="AD45" s="3">
        <v>0</v>
      </c>
      <c r="AE45" s="2">
        <v>0</v>
      </c>
      <c r="AF45" s="2">
        <v>50</v>
      </c>
      <c r="AK45">
        <v>5868240</v>
      </c>
    </row>
    <row r="46" spans="1:38" x14ac:dyDescent="0.25">
      <c r="A46" s="1">
        <v>45931</v>
      </c>
      <c r="B46" s="1">
        <v>45931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198</v>
      </c>
      <c r="J46" t="s">
        <v>199</v>
      </c>
      <c r="M46" t="s">
        <v>70</v>
      </c>
      <c r="O46" t="s">
        <v>103</v>
      </c>
      <c r="P46" t="s">
        <v>104</v>
      </c>
      <c r="Q46" t="s">
        <v>57</v>
      </c>
      <c r="R46" t="s">
        <v>115</v>
      </c>
      <c r="S46" s="1">
        <v>45901</v>
      </c>
      <c r="U46" t="s">
        <v>49</v>
      </c>
      <c r="X46" t="s">
        <v>50</v>
      </c>
      <c r="Y46" s="2">
        <v>0</v>
      </c>
      <c r="Z46" s="2">
        <v>50</v>
      </c>
      <c r="AA46">
        <v>1</v>
      </c>
      <c r="AB46" s="3">
        <v>1</v>
      </c>
      <c r="AC46" s="2">
        <v>50</v>
      </c>
      <c r="AD46" s="3">
        <v>0</v>
      </c>
      <c r="AE46" s="2">
        <v>0</v>
      </c>
      <c r="AF46" s="2">
        <v>50</v>
      </c>
      <c r="AK46">
        <v>5868259</v>
      </c>
    </row>
    <row r="47" spans="1:38" x14ac:dyDescent="0.25">
      <c r="A47" s="1">
        <v>45931</v>
      </c>
      <c r="B47" s="1">
        <v>45931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200</v>
      </c>
      <c r="J47" t="s">
        <v>201</v>
      </c>
      <c r="M47" t="s">
        <v>70</v>
      </c>
      <c r="O47" t="s">
        <v>135</v>
      </c>
      <c r="P47" t="s">
        <v>136</v>
      </c>
      <c r="Q47" t="s">
        <v>57</v>
      </c>
      <c r="R47" t="s">
        <v>202</v>
      </c>
      <c r="S47" s="1">
        <v>45931</v>
      </c>
      <c r="U47" t="s">
        <v>49</v>
      </c>
      <c r="X47" t="s">
        <v>50</v>
      </c>
      <c r="Y47" s="2">
        <v>0</v>
      </c>
      <c r="Z47" s="2">
        <v>10</v>
      </c>
      <c r="AA47">
        <v>1</v>
      </c>
      <c r="AB47" s="3">
        <v>1</v>
      </c>
      <c r="AC47" s="2">
        <v>10</v>
      </c>
      <c r="AD47" s="3">
        <v>0</v>
      </c>
      <c r="AE47" s="2">
        <v>0</v>
      </c>
      <c r="AF47" s="2">
        <v>10</v>
      </c>
      <c r="AK47">
        <v>5867876</v>
      </c>
      <c r="AL47" t="s">
        <v>106</v>
      </c>
    </row>
    <row r="48" spans="1:38" x14ac:dyDescent="0.25">
      <c r="A48" s="1">
        <v>45931</v>
      </c>
      <c r="B48" s="1">
        <v>45931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203</v>
      </c>
      <c r="J48" t="s">
        <v>204</v>
      </c>
      <c r="M48" t="s">
        <v>70</v>
      </c>
      <c r="O48" t="s">
        <v>97</v>
      </c>
      <c r="P48" t="s">
        <v>98</v>
      </c>
      <c r="Q48" t="s">
        <v>57</v>
      </c>
      <c r="R48" t="s">
        <v>202</v>
      </c>
      <c r="S48" s="1">
        <v>45992</v>
      </c>
      <c r="U48" t="s">
        <v>49</v>
      </c>
      <c r="X48" t="s">
        <v>50</v>
      </c>
      <c r="Y48" s="2">
        <v>0</v>
      </c>
      <c r="Z48" s="2">
        <v>3.33</v>
      </c>
      <c r="AA48">
        <v>1</v>
      </c>
      <c r="AB48" s="3">
        <v>1</v>
      </c>
      <c r="AC48" s="2">
        <v>3.33</v>
      </c>
      <c r="AD48" s="3">
        <v>0</v>
      </c>
      <c r="AE48" s="2">
        <v>0</v>
      </c>
      <c r="AF48" s="2">
        <v>3.33</v>
      </c>
      <c r="AK48">
        <v>5867815</v>
      </c>
      <c r="AL48" t="s">
        <v>205</v>
      </c>
    </row>
    <row r="49" spans="1:38" x14ac:dyDescent="0.25">
      <c r="A49" s="1">
        <v>45931</v>
      </c>
      <c r="B49" s="1">
        <v>45931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206</v>
      </c>
      <c r="J49" t="s">
        <v>207</v>
      </c>
      <c r="M49" t="s">
        <v>126</v>
      </c>
      <c r="O49" t="s">
        <v>190</v>
      </c>
      <c r="P49" t="s">
        <v>191</v>
      </c>
      <c r="Q49" t="s">
        <v>57</v>
      </c>
      <c r="R49" t="s">
        <v>105</v>
      </c>
      <c r="S49" s="1">
        <v>45931</v>
      </c>
      <c r="U49" t="s">
        <v>49</v>
      </c>
      <c r="X49" t="s">
        <v>50</v>
      </c>
      <c r="Y49" s="2">
        <v>0</v>
      </c>
      <c r="Z49" s="2">
        <v>12.5</v>
      </c>
      <c r="AA49">
        <v>1</v>
      </c>
      <c r="AB49" s="3">
        <v>1</v>
      </c>
      <c r="AC49" s="2">
        <v>12.5</v>
      </c>
      <c r="AD49" s="3">
        <v>0</v>
      </c>
      <c r="AE49" s="2">
        <v>0</v>
      </c>
      <c r="AF49" s="2">
        <v>12.5</v>
      </c>
      <c r="AK49">
        <v>5867804</v>
      </c>
      <c r="AL49" t="s">
        <v>106</v>
      </c>
    </row>
    <row r="50" spans="1:38" x14ac:dyDescent="0.25">
      <c r="A50" s="1">
        <v>45931</v>
      </c>
      <c r="B50" s="1">
        <v>45931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208</v>
      </c>
      <c r="J50" t="s">
        <v>209</v>
      </c>
      <c r="M50" t="s">
        <v>126</v>
      </c>
      <c r="O50" t="s">
        <v>210</v>
      </c>
      <c r="P50" t="s">
        <v>211</v>
      </c>
      <c r="Q50" t="s">
        <v>57</v>
      </c>
      <c r="R50" t="s">
        <v>105</v>
      </c>
      <c r="S50" s="1">
        <v>45931</v>
      </c>
      <c r="U50" t="s">
        <v>49</v>
      </c>
      <c r="X50" t="s">
        <v>50</v>
      </c>
      <c r="Y50" s="2">
        <v>0</v>
      </c>
      <c r="Z50" s="2">
        <v>12.5</v>
      </c>
      <c r="AA50">
        <v>1</v>
      </c>
      <c r="AB50" s="3">
        <v>1</v>
      </c>
      <c r="AC50" s="2">
        <v>12.5</v>
      </c>
      <c r="AD50" s="3">
        <v>0</v>
      </c>
      <c r="AE50" s="2">
        <v>0</v>
      </c>
      <c r="AF50" s="2">
        <v>12.5</v>
      </c>
      <c r="AK50">
        <v>5867830</v>
      </c>
      <c r="AL50" t="s">
        <v>106</v>
      </c>
    </row>
    <row r="51" spans="1:38" x14ac:dyDescent="0.25">
      <c r="A51" s="1">
        <v>45931</v>
      </c>
      <c r="B51" s="1">
        <v>45931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212</v>
      </c>
      <c r="J51" t="s">
        <v>213</v>
      </c>
      <c r="M51" t="s">
        <v>214</v>
      </c>
      <c r="O51" t="s">
        <v>215</v>
      </c>
      <c r="P51" t="s">
        <v>216</v>
      </c>
      <c r="Q51" t="s">
        <v>57</v>
      </c>
      <c r="R51" t="s">
        <v>217</v>
      </c>
      <c r="S51" s="1">
        <v>45901</v>
      </c>
      <c r="U51" t="s">
        <v>49</v>
      </c>
      <c r="X51" t="s">
        <v>50</v>
      </c>
      <c r="Y51" s="2">
        <v>0</v>
      </c>
      <c r="Z51" s="2">
        <v>50</v>
      </c>
      <c r="AA51">
        <v>1</v>
      </c>
      <c r="AB51" s="3">
        <v>1</v>
      </c>
      <c r="AC51" s="2">
        <v>50</v>
      </c>
      <c r="AD51" s="3">
        <v>0</v>
      </c>
      <c r="AE51" s="2">
        <v>0</v>
      </c>
      <c r="AF51" s="2">
        <v>50</v>
      </c>
      <c r="AK51">
        <v>5868357</v>
      </c>
    </row>
    <row r="52" spans="1:38" x14ac:dyDescent="0.25">
      <c r="A52" s="1">
        <v>45931</v>
      </c>
      <c r="B52" s="1">
        <v>45931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218</v>
      </c>
      <c r="J52" t="s">
        <v>219</v>
      </c>
      <c r="M52" t="s">
        <v>126</v>
      </c>
      <c r="O52" t="s">
        <v>120</v>
      </c>
      <c r="P52" t="s">
        <v>121</v>
      </c>
      <c r="Q52" t="s">
        <v>57</v>
      </c>
      <c r="R52" t="s">
        <v>220</v>
      </c>
      <c r="S52" s="1">
        <v>45839</v>
      </c>
      <c r="U52" t="s">
        <v>49</v>
      </c>
      <c r="X52" t="s">
        <v>50</v>
      </c>
      <c r="Y52" s="2">
        <v>0</v>
      </c>
      <c r="Z52" s="2">
        <v>100</v>
      </c>
      <c r="AA52">
        <v>1</v>
      </c>
      <c r="AB52" s="3">
        <v>1</v>
      </c>
      <c r="AC52" s="2">
        <v>100</v>
      </c>
      <c r="AD52" s="3">
        <v>0</v>
      </c>
      <c r="AE52" s="2">
        <v>0</v>
      </c>
      <c r="AF52" s="2">
        <v>100</v>
      </c>
      <c r="AK52">
        <v>5868455</v>
      </c>
    </row>
    <row r="53" spans="1:38" x14ac:dyDescent="0.25">
      <c r="A53" s="1">
        <v>45931</v>
      </c>
      <c r="B53" s="1">
        <v>45931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221</v>
      </c>
      <c r="J53" t="s">
        <v>222</v>
      </c>
      <c r="M53" t="s">
        <v>70</v>
      </c>
      <c r="O53" t="s">
        <v>135</v>
      </c>
      <c r="P53" t="s">
        <v>136</v>
      </c>
      <c r="Q53" t="s">
        <v>57</v>
      </c>
      <c r="R53" t="s">
        <v>220</v>
      </c>
      <c r="S53" s="1">
        <v>45870</v>
      </c>
      <c r="U53" t="s">
        <v>49</v>
      </c>
      <c r="X53" t="s">
        <v>50</v>
      </c>
      <c r="Y53" s="2">
        <v>0</v>
      </c>
      <c r="Z53" s="2">
        <v>100</v>
      </c>
      <c r="AA53">
        <v>1</v>
      </c>
      <c r="AB53" s="3">
        <v>1</v>
      </c>
      <c r="AC53" s="2">
        <v>100</v>
      </c>
      <c r="AD53" s="3">
        <v>0</v>
      </c>
      <c r="AE53" s="2">
        <v>0</v>
      </c>
      <c r="AF53" s="2">
        <v>100</v>
      </c>
      <c r="AK53">
        <v>5868456</v>
      </c>
    </row>
    <row r="54" spans="1:38" x14ac:dyDescent="0.25">
      <c r="A54" s="1">
        <v>45931</v>
      </c>
      <c r="B54" s="1">
        <v>45931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223</v>
      </c>
      <c r="J54" t="s">
        <v>224</v>
      </c>
      <c r="M54" t="s">
        <v>70</v>
      </c>
      <c r="O54" t="s">
        <v>215</v>
      </c>
      <c r="P54" t="s">
        <v>216</v>
      </c>
      <c r="Q54" t="s">
        <v>57</v>
      </c>
      <c r="R54" t="s">
        <v>220</v>
      </c>
      <c r="S54" s="1">
        <v>45931</v>
      </c>
      <c r="U54" t="s">
        <v>49</v>
      </c>
      <c r="X54" t="s">
        <v>50</v>
      </c>
      <c r="Y54" s="2">
        <v>0</v>
      </c>
      <c r="Z54" s="2">
        <v>100</v>
      </c>
      <c r="AA54">
        <v>1</v>
      </c>
      <c r="AB54" s="3">
        <v>1</v>
      </c>
      <c r="AC54" s="2">
        <v>100</v>
      </c>
      <c r="AD54" s="3">
        <v>0</v>
      </c>
      <c r="AE54" s="2">
        <v>0</v>
      </c>
      <c r="AF54" s="2">
        <v>100</v>
      </c>
      <c r="AK54">
        <v>5868461</v>
      </c>
    </row>
    <row r="55" spans="1:38" x14ac:dyDescent="0.25">
      <c r="A55" s="1">
        <v>45931</v>
      </c>
      <c r="B55" s="1">
        <v>45931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225</v>
      </c>
      <c r="J55" t="s">
        <v>226</v>
      </c>
      <c r="M55" t="s">
        <v>70</v>
      </c>
      <c r="O55" t="s">
        <v>97</v>
      </c>
      <c r="P55" t="s">
        <v>98</v>
      </c>
      <c r="Q55" t="s">
        <v>57</v>
      </c>
      <c r="R55" t="s">
        <v>227</v>
      </c>
      <c r="S55" s="1">
        <v>45931</v>
      </c>
      <c r="U55" t="s">
        <v>49</v>
      </c>
      <c r="X55" t="s">
        <v>50</v>
      </c>
      <c r="Y55" s="2">
        <v>0</v>
      </c>
      <c r="Z55" s="2">
        <v>78.25</v>
      </c>
      <c r="AA55">
        <v>1</v>
      </c>
      <c r="AB55" s="3">
        <v>1</v>
      </c>
      <c r="AC55" s="2">
        <v>78.25</v>
      </c>
      <c r="AD55" s="3">
        <v>0</v>
      </c>
      <c r="AE55" s="2">
        <v>0</v>
      </c>
      <c r="AF55" s="2">
        <v>78.25</v>
      </c>
      <c r="AK55">
        <v>5868962</v>
      </c>
      <c r="AL55" t="s">
        <v>106</v>
      </c>
    </row>
    <row r="56" spans="1:38" x14ac:dyDescent="0.25">
      <c r="A56" s="1">
        <v>45931</v>
      </c>
      <c r="B56" s="1">
        <v>45931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228</v>
      </c>
      <c r="J56" t="s">
        <v>226</v>
      </c>
      <c r="M56" t="s">
        <v>70</v>
      </c>
      <c r="O56" t="s">
        <v>97</v>
      </c>
      <c r="P56" t="s">
        <v>98</v>
      </c>
      <c r="Q56" t="s">
        <v>57</v>
      </c>
      <c r="R56" t="s">
        <v>229</v>
      </c>
      <c r="S56" s="1">
        <v>45931</v>
      </c>
      <c r="U56" t="s">
        <v>49</v>
      </c>
      <c r="X56" t="s">
        <v>50</v>
      </c>
      <c r="Y56" s="2">
        <v>0</v>
      </c>
      <c r="Z56" s="2">
        <v>12.5</v>
      </c>
      <c r="AA56">
        <v>1</v>
      </c>
      <c r="AB56" s="3">
        <v>1</v>
      </c>
      <c r="AC56" s="2">
        <v>12.5</v>
      </c>
      <c r="AD56" s="3">
        <v>0</v>
      </c>
      <c r="AE56" s="2">
        <v>0</v>
      </c>
      <c r="AF56" s="2">
        <v>12.5</v>
      </c>
      <c r="AK56">
        <v>5868963</v>
      </c>
      <c r="AL56" t="s">
        <v>106</v>
      </c>
    </row>
    <row r="57" spans="1:38" x14ac:dyDescent="0.25">
      <c r="A57" s="1">
        <v>45931</v>
      </c>
      <c r="B57" s="1">
        <v>45931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230</v>
      </c>
      <c r="J57" t="s">
        <v>231</v>
      </c>
      <c r="M57" t="s">
        <v>232</v>
      </c>
      <c r="O57" t="s">
        <v>233</v>
      </c>
      <c r="P57" t="s">
        <v>234</v>
      </c>
      <c r="Q57" t="s">
        <v>57</v>
      </c>
      <c r="R57" t="s">
        <v>227</v>
      </c>
      <c r="S57" s="1">
        <v>45931</v>
      </c>
      <c r="U57" t="s">
        <v>49</v>
      </c>
      <c r="X57" t="s">
        <v>50</v>
      </c>
      <c r="Y57" s="2">
        <v>0</v>
      </c>
      <c r="Z57" s="2">
        <v>78.25</v>
      </c>
      <c r="AA57">
        <v>1</v>
      </c>
      <c r="AB57" s="3">
        <v>1</v>
      </c>
      <c r="AC57" s="2">
        <v>78.25</v>
      </c>
      <c r="AD57" s="3">
        <v>0</v>
      </c>
      <c r="AE57" s="2">
        <v>0</v>
      </c>
      <c r="AF57" s="2">
        <v>78.25</v>
      </c>
      <c r="AK57">
        <v>5868879</v>
      </c>
      <c r="AL57" t="s">
        <v>106</v>
      </c>
    </row>
    <row r="58" spans="1:38" x14ac:dyDescent="0.25">
      <c r="A58" s="1">
        <v>45931</v>
      </c>
      <c r="B58" s="1">
        <v>45931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235</v>
      </c>
      <c r="J58" t="s">
        <v>231</v>
      </c>
      <c r="M58" t="s">
        <v>232</v>
      </c>
      <c r="O58" t="s">
        <v>233</v>
      </c>
      <c r="P58" t="s">
        <v>234</v>
      </c>
      <c r="Q58" t="s">
        <v>57</v>
      </c>
      <c r="R58" t="s">
        <v>236</v>
      </c>
      <c r="S58" s="1">
        <v>45931</v>
      </c>
      <c r="U58" t="s">
        <v>49</v>
      </c>
      <c r="X58" t="s">
        <v>50</v>
      </c>
      <c r="Y58" s="2">
        <v>0</v>
      </c>
      <c r="Z58" s="2">
        <v>113</v>
      </c>
      <c r="AA58">
        <v>1</v>
      </c>
      <c r="AB58" s="3">
        <v>1</v>
      </c>
      <c r="AC58" s="2">
        <v>113</v>
      </c>
      <c r="AD58" s="3">
        <v>0</v>
      </c>
      <c r="AE58" s="2">
        <v>0</v>
      </c>
      <c r="AF58" s="2">
        <v>113</v>
      </c>
      <c r="AK58">
        <v>5868841</v>
      </c>
    </row>
    <row r="59" spans="1:38" x14ac:dyDescent="0.25">
      <c r="A59" s="1">
        <v>45931</v>
      </c>
      <c r="B59" s="1">
        <v>45931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237</v>
      </c>
      <c r="J59" t="s">
        <v>238</v>
      </c>
      <c r="M59" t="s">
        <v>54</v>
      </c>
      <c r="O59" t="s">
        <v>215</v>
      </c>
      <c r="P59" t="s">
        <v>216</v>
      </c>
      <c r="Q59" t="s">
        <v>57</v>
      </c>
      <c r="R59" t="s">
        <v>227</v>
      </c>
      <c r="S59" s="1">
        <v>45931</v>
      </c>
      <c r="U59" t="s">
        <v>49</v>
      </c>
      <c r="X59" t="s">
        <v>50</v>
      </c>
      <c r="Y59" s="2">
        <v>0</v>
      </c>
      <c r="Z59" s="2">
        <v>78.25</v>
      </c>
      <c r="AA59">
        <v>1</v>
      </c>
      <c r="AB59" s="3">
        <v>1</v>
      </c>
      <c r="AC59" s="2">
        <v>78.25</v>
      </c>
      <c r="AD59" s="3">
        <v>0</v>
      </c>
      <c r="AE59" s="2">
        <v>0</v>
      </c>
      <c r="AF59" s="2">
        <v>78.25</v>
      </c>
      <c r="AK59">
        <v>5868881</v>
      </c>
      <c r="AL59" t="s">
        <v>106</v>
      </c>
    </row>
    <row r="60" spans="1:38" x14ac:dyDescent="0.25">
      <c r="A60" s="1">
        <v>45931</v>
      </c>
      <c r="B60" s="1">
        <v>45931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239</v>
      </c>
      <c r="J60" t="s">
        <v>238</v>
      </c>
      <c r="M60" t="s">
        <v>54</v>
      </c>
      <c r="O60" t="s">
        <v>215</v>
      </c>
      <c r="P60" t="s">
        <v>216</v>
      </c>
      <c r="Q60" t="s">
        <v>57</v>
      </c>
      <c r="R60" t="s">
        <v>240</v>
      </c>
      <c r="S60" s="1">
        <v>45931</v>
      </c>
      <c r="U60" t="s">
        <v>49</v>
      </c>
      <c r="X60" t="s">
        <v>50</v>
      </c>
      <c r="Y60" s="2">
        <v>0</v>
      </c>
      <c r="Z60" s="2">
        <v>175</v>
      </c>
      <c r="AA60">
        <v>1</v>
      </c>
      <c r="AB60" s="3">
        <v>1</v>
      </c>
      <c r="AC60" s="2">
        <v>175</v>
      </c>
      <c r="AD60" s="3">
        <v>0</v>
      </c>
      <c r="AE60" s="2">
        <v>0</v>
      </c>
      <c r="AF60" s="2">
        <v>175</v>
      </c>
      <c r="AK60">
        <v>5868878</v>
      </c>
    </row>
    <row r="61" spans="1:38" x14ac:dyDescent="0.25">
      <c r="A61" s="1">
        <v>45931</v>
      </c>
      <c r="B61" s="1">
        <v>45931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241</v>
      </c>
      <c r="J61" t="s">
        <v>242</v>
      </c>
      <c r="M61" t="s">
        <v>232</v>
      </c>
      <c r="O61" t="s">
        <v>233</v>
      </c>
      <c r="P61" t="s">
        <v>234</v>
      </c>
      <c r="Q61" t="s">
        <v>57</v>
      </c>
      <c r="R61" t="s">
        <v>227</v>
      </c>
      <c r="S61" s="1">
        <v>45962</v>
      </c>
      <c r="U61" t="s">
        <v>49</v>
      </c>
      <c r="X61" t="s">
        <v>50</v>
      </c>
      <c r="Y61" s="2">
        <v>0</v>
      </c>
      <c r="Z61" s="2">
        <v>52.17</v>
      </c>
      <c r="AA61">
        <v>1</v>
      </c>
      <c r="AB61" s="3">
        <v>1</v>
      </c>
      <c r="AC61" s="2">
        <v>52.17</v>
      </c>
      <c r="AD61" s="3">
        <v>0</v>
      </c>
      <c r="AE61" s="2">
        <v>0</v>
      </c>
      <c r="AF61" s="2">
        <v>52.17</v>
      </c>
      <c r="AK61">
        <v>5868882</v>
      </c>
      <c r="AL61" t="s">
        <v>243</v>
      </c>
    </row>
    <row r="62" spans="1:38" x14ac:dyDescent="0.25">
      <c r="A62" s="1">
        <v>45931</v>
      </c>
      <c r="B62" s="1">
        <v>45931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244</v>
      </c>
      <c r="J62" t="s">
        <v>242</v>
      </c>
      <c r="M62" t="s">
        <v>232</v>
      </c>
      <c r="O62" t="s">
        <v>233</v>
      </c>
      <c r="P62" t="s">
        <v>234</v>
      </c>
      <c r="Q62" t="s">
        <v>57</v>
      </c>
      <c r="R62" t="s">
        <v>236</v>
      </c>
      <c r="S62" s="1">
        <v>45962</v>
      </c>
      <c r="U62" t="s">
        <v>49</v>
      </c>
      <c r="X62" t="s">
        <v>50</v>
      </c>
      <c r="Y62" s="2">
        <v>0</v>
      </c>
      <c r="Z62" s="2">
        <v>113</v>
      </c>
      <c r="AA62">
        <v>1</v>
      </c>
      <c r="AB62" s="3">
        <v>1</v>
      </c>
      <c r="AC62" s="2">
        <v>113</v>
      </c>
      <c r="AD62" s="3">
        <v>0</v>
      </c>
      <c r="AE62" s="2">
        <v>0</v>
      </c>
      <c r="AF62" s="2">
        <v>113</v>
      </c>
      <c r="AK62">
        <v>5868883</v>
      </c>
    </row>
    <row r="63" spans="1:38" x14ac:dyDescent="0.25">
      <c r="A63" s="1">
        <v>45931</v>
      </c>
      <c r="B63" s="1">
        <v>45931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245</v>
      </c>
      <c r="J63" t="s">
        <v>246</v>
      </c>
      <c r="M63" t="s">
        <v>232</v>
      </c>
      <c r="O63" t="s">
        <v>233</v>
      </c>
      <c r="P63" t="s">
        <v>234</v>
      </c>
      <c r="Q63" t="s">
        <v>57</v>
      </c>
      <c r="R63" t="s">
        <v>227</v>
      </c>
      <c r="S63" s="1">
        <v>45931</v>
      </c>
      <c r="U63" t="s">
        <v>49</v>
      </c>
      <c r="X63" t="s">
        <v>50</v>
      </c>
      <c r="Y63" s="2">
        <v>0</v>
      </c>
      <c r="Z63" s="2">
        <v>78.25</v>
      </c>
      <c r="AA63">
        <v>1</v>
      </c>
      <c r="AB63" s="3">
        <v>1</v>
      </c>
      <c r="AC63" s="2">
        <v>78.25</v>
      </c>
      <c r="AD63" s="3">
        <v>0</v>
      </c>
      <c r="AE63" s="2">
        <v>0</v>
      </c>
      <c r="AF63" s="2">
        <v>78.25</v>
      </c>
      <c r="AK63">
        <v>5868880</v>
      </c>
      <c r="AL63" t="s">
        <v>106</v>
      </c>
    </row>
    <row r="64" spans="1:38" x14ac:dyDescent="0.25">
      <c r="A64" s="1">
        <v>45931</v>
      </c>
      <c r="B64" s="1">
        <v>45931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247</v>
      </c>
      <c r="J64" t="s">
        <v>246</v>
      </c>
      <c r="M64" t="s">
        <v>232</v>
      </c>
      <c r="O64" t="s">
        <v>233</v>
      </c>
      <c r="P64" t="s">
        <v>234</v>
      </c>
      <c r="Q64" t="s">
        <v>57</v>
      </c>
      <c r="R64" t="s">
        <v>236</v>
      </c>
      <c r="S64" s="1">
        <v>45931</v>
      </c>
      <c r="U64" t="s">
        <v>49</v>
      </c>
      <c r="X64" t="s">
        <v>50</v>
      </c>
      <c r="Y64" s="2">
        <v>0</v>
      </c>
      <c r="Z64" s="2">
        <v>113</v>
      </c>
      <c r="AA64">
        <v>1</v>
      </c>
      <c r="AB64" s="3">
        <v>1</v>
      </c>
      <c r="AC64" s="2">
        <v>113</v>
      </c>
      <c r="AD64" s="3">
        <v>0</v>
      </c>
      <c r="AE64" s="2">
        <v>0</v>
      </c>
      <c r="AF64" s="2">
        <v>113</v>
      </c>
      <c r="AK64">
        <v>5868842</v>
      </c>
    </row>
    <row r="65" spans="1:37" s="4" customFormat="1" x14ac:dyDescent="0.25">
      <c r="A65" s="5">
        <v>45931</v>
      </c>
      <c r="B65" s="5">
        <v>45931</v>
      </c>
      <c r="C65" s="4" t="s">
        <v>38</v>
      </c>
      <c r="D65" s="4" t="s">
        <v>39</v>
      </c>
      <c r="E65" s="4" t="s">
        <v>40</v>
      </c>
      <c r="F65" s="4" t="s">
        <v>41</v>
      </c>
      <c r="G65" s="4" t="s">
        <v>42</v>
      </c>
      <c r="H65" s="4" t="s">
        <v>43</v>
      </c>
      <c r="I65" s="4" t="s">
        <v>248</v>
      </c>
      <c r="J65" s="4" t="s">
        <v>249</v>
      </c>
      <c r="M65" s="4" t="s">
        <v>126</v>
      </c>
      <c r="O65" s="4" t="s">
        <v>181</v>
      </c>
      <c r="P65" s="4" t="s">
        <v>182</v>
      </c>
      <c r="Q65" s="4" t="s">
        <v>57</v>
      </c>
      <c r="R65" s="4" t="s">
        <v>250</v>
      </c>
      <c r="S65" s="5">
        <v>45748</v>
      </c>
      <c r="U65" s="4" t="s">
        <v>49</v>
      </c>
      <c r="X65" s="4" t="s">
        <v>50</v>
      </c>
      <c r="Y65" s="6">
        <v>0</v>
      </c>
      <c r="Z65" s="6">
        <v>29.52</v>
      </c>
      <c r="AA65" s="4">
        <v>9</v>
      </c>
      <c r="AB65" s="7">
        <v>1</v>
      </c>
      <c r="AC65" s="6">
        <v>265.68</v>
      </c>
      <c r="AD65" s="7">
        <v>0</v>
      </c>
      <c r="AE65" s="6">
        <v>0</v>
      </c>
      <c r="AF65" s="6">
        <v>265.68</v>
      </c>
      <c r="AK65" s="4">
        <v>5868968</v>
      </c>
    </row>
    <row r="66" spans="1:37" x14ac:dyDescent="0.25">
      <c r="A66" s="1">
        <v>45931</v>
      </c>
      <c r="B66" s="1">
        <v>45931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251</v>
      </c>
      <c r="J66" t="s">
        <v>252</v>
      </c>
      <c r="M66" t="s">
        <v>54</v>
      </c>
      <c r="O66" t="s">
        <v>66</v>
      </c>
      <c r="P66" t="s">
        <v>67</v>
      </c>
      <c r="Q66" t="s">
        <v>57</v>
      </c>
      <c r="R66" t="s">
        <v>253</v>
      </c>
      <c r="S66" s="1">
        <v>45931</v>
      </c>
      <c r="U66" t="s">
        <v>49</v>
      </c>
      <c r="X66" t="s">
        <v>50</v>
      </c>
      <c r="Y66" s="2">
        <v>0</v>
      </c>
      <c r="Z66" s="2">
        <v>58.19</v>
      </c>
      <c r="AA66">
        <v>9</v>
      </c>
      <c r="AB66" s="3">
        <v>1</v>
      </c>
      <c r="AC66" s="2">
        <v>523.71</v>
      </c>
      <c r="AD66" s="3">
        <v>0</v>
      </c>
      <c r="AE66" s="2">
        <v>0</v>
      </c>
      <c r="AF66" s="2">
        <v>523.71</v>
      </c>
      <c r="AK66">
        <v>5868964</v>
      </c>
    </row>
    <row r="67" spans="1:37" x14ac:dyDescent="0.25">
      <c r="A67" s="1">
        <v>45931</v>
      </c>
      <c r="B67" s="1">
        <v>45931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254</v>
      </c>
      <c r="J67" t="s">
        <v>255</v>
      </c>
      <c r="M67" t="s">
        <v>256</v>
      </c>
      <c r="O67" t="s">
        <v>257</v>
      </c>
      <c r="P67" t="s">
        <v>258</v>
      </c>
      <c r="Q67" t="s">
        <v>57</v>
      </c>
      <c r="R67" t="s">
        <v>259</v>
      </c>
      <c r="S67" s="1">
        <v>45962</v>
      </c>
      <c r="U67" t="s">
        <v>49</v>
      </c>
      <c r="X67" t="s">
        <v>50</v>
      </c>
      <c r="Y67" s="2">
        <v>0</v>
      </c>
      <c r="Z67" s="2">
        <v>28.46</v>
      </c>
      <c r="AA67">
        <v>9</v>
      </c>
      <c r="AB67" s="3">
        <v>1</v>
      </c>
      <c r="AC67" s="2">
        <v>256.14</v>
      </c>
      <c r="AD67" s="3">
        <v>0</v>
      </c>
      <c r="AE67" s="2">
        <v>0</v>
      </c>
      <c r="AF67" s="2">
        <v>256.14</v>
      </c>
      <c r="AK67">
        <v>5868965</v>
      </c>
    </row>
    <row r="68" spans="1:37" x14ac:dyDescent="0.25">
      <c r="A68" s="1">
        <v>45931</v>
      </c>
      <c r="B68" s="1">
        <v>45931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260</v>
      </c>
      <c r="J68" t="s">
        <v>261</v>
      </c>
      <c r="M68" t="s">
        <v>232</v>
      </c>
      <c r="O68" t="s">
        <v>233</v>
      </c>
      <c r="P68" t="s">
        <v>234</v>
      </c>
      <c r="Q68" t="s">
        <v>57</v>
      </c>
      <c r="R68" t="s">
        <v>262</v>
      </c>
      <c r="S68" s="1">
        <v>45931</v>
      </c>
      <c r="U68" t="s">
        <v>49</v>
      </c>
      <c r="X68" t="s">
        <v>50</v>
      </c>
      <c r="Y68" s="2">
        <v>0</v>
      </c>
      <c r="Z68" s="2">
        <v>31.02</v>
      </c>
      <c r="AA68">
        <v>9</v>
      </c>
      <c r="AB68" s="3">
        <v>1</v>
      </c>
      <c r="AC68" s="2">
        <v>279.18</v>
      </c>
      <c r="AD68" s="3">
        <v>0</v>
      </c>
      <c r="AE68" s="2">
        <v>0</v>
      </c>
      <c r="AF68" s="2">
        <v>279.18</v>
      </c>
      <c r="AK68">
        <v>5868966</v>
      </c>
    </row>
    <row r="69" spans="1:37" x14ac:dyDescent="0.25">
      <c r="A69" s="1">
        <v>45931</v>
      </c>
      <c r="B69" s="1">
        <v>45931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263</v>
      </c>
      <c r="J69" t="s">
        <v>264</v>
      </c>
      <c r="M69" t="s">
        <v>256</v>
      </c>
      <c r="O69" t="s">
        <v>257</v>
      </c>
      <c r="P69" t="s">
        <v>258</v>
      </c>
      <c r="Q69" t="s">
        <v>57</v>
      </c>
      <c r="R69" t="s">
        <v>259</v>
      </c>
      <c r="S69" s="1">
        <v>45962</v>
      </c>
      <c r="U69" t="s">
        <v>49</v>
      </c>
      <c r="X69" t="s">
        <v>50</v>
      </c>
      <c r="Y69" s="2">
        <v>0</v>
      </c>
      <c r="Z69" s="2">
        <v>28.46</v>
      </c>
      <c r="AA69">
        <v>9</v>
      </c>
      <c r="AB69" s="3">
        <v>1</v>
      </c>
      <c r="AC69" s="2">
        <v>256.14</v>
      </c>
      <c r="AD69" s="3">
        <v>0</v>
      </c>
      <c r="AE69" s="2">
        <v>0</v>
      </c>
      <c r="AF69" s="2">
        <v>256.14</v>
      </c>
      <c r="AK69">
        <v>5868967</v>
      </c>
    </row>
    <row r="70" spans="1:37" x14ac:dyDescent="0.25">
      <c r="A70" s="1">
        <v>45931</v>
      </c>
      <c r="B70" s="1">
        <v>45931</v>
      </c>
      <c r="C70" t="s">
        <v>265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266</v>
      </c>
      <c r="J70" t="s">
        <v>267</v>
      </c>
      <c r="M70" t="s">
        <v>46</v>
      </c>
      <c r="O70" t="s">
        <v>268</v>
      </c>
      <c r="P70" t="s">
        <v>269</v>
      </c>
      <c r="Q70" t="s">
        <v>270</v>
      </c>
      <c r="R70" t="s">
        <v>62</v>
      </c>
      <c r="S70" s="1">
        <v>45658</v>
      </c>
      <c r="U70" t="s">
        <v>49</v>
      </c>
      <c r="X70" t="s">
        <v>50</v>
      </c>
      <c r="AF70" s="2">
        <v>175</v>
      </c>
      <c r="AG70" s="2">
        <v>0</v>
      </c>
      <c r="AJ70" s="2">
        <v>43.75</v>
      </c>
    </row>
    <row r="71" spans="1:37" x14ac:dyDescent="0.25">
      <c r="A71" s="1">
        <v>45931</v>
      </c>
      <c r="B71" s="1">
        <v>45931</v>
      </c>
      <c r="C71" t="s">
        <v>265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271</v>
      </c>
      <c r="J71" t="s">
        <v>272</v>
      </c>
      <c r="M71" t="s">
        <v>46</v>
      </c>
      <c r="O71" t="s">
        <v>97</v>
      </c>
      <c r="P71" t="s">
        <v>98</v>
      </c>
      <c r="Q71" t="s">
        <v>270</v>
      </c>
      <c r="R71" t="s">
        <v>62</v>
      </c>
      <c r="S71" s="1">
        <v>45839</v>
      </c>
      <c r="U71" t="s">
        <v>49</v>
      </c>
      <c r="X71" t="s">
        <v>50</v>
      </c>
      <c r="AF71" s="2">
        <v>175</v>
      </c>
      <c r="AG71" s="2">
        <v>0</v>
      </c>
      <c r="AJ71" s="2">
        <v>43.75</v>
      </c>
    </row>
    <row r="72" spans="1:37" x14ac:dyDescent="0.25">
      <c r="A72" s="1">
        <v>45931</v>
      </c>
      <c r="B72" s="1">
        <v>45931</v>
      </c>
      <c r="C72" t="s">
        <v>265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273</v>
      </c>
      <c r="J72" t="s">
        <v>274</v>
      </c>
      <c r="M72" t="s">
        <v>46</v>
      </c>
      <c r="O72" t="s">
        <v>275</v>
      </c>
      <c r="P72" t="s">
        <v>276</v>
      </c>
      <c r="Q72" t="s">
        <v>270</v>
      </c>
      <c r="R72" t="s">
        <v>62</v>
      </c>
      <c r="S72" s="1">
        <v>45778</v>
      </c>
      <c r="U72" t="s">
        <v>49</v>
      </c>
      <c r="X72" t="s">
        <v>50</v>
      </c>
      <c r="AF72" s="2">
        <v>175</v>
      </c>
      <c r="AG72" s="2">
        <v>0</v>
      </c>
      <c r="AJ72" s="2">
        <v>101.5</v>
      </c>
    </row>
    <row r="73" spans="1:37" x14ac:dyDescent="0.25">
      <c r="A73" s="1">
        <v>45931</v>
      </c>
      <c r="B73" s="1">
        <v>45931</v>
      </c>
      <c r="C73" t="s">
        <v>265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277</v>
      </c>
      <c r="J73" t="s">
        <v>278</v>
      </c>
      <c r="M73" t="s">
        <v>70</v>
      </c>
      <c r="O73" t="s">
        <v>97</v>
      </c>
      <c r="P73" t="s">
        <v>98</v>
      </c>
      <c r="Q73" t="s">
        <v>270</v>
      </c>
      <c r="R73" t="s">
        <v>279</v>
      </c>
      <c r="S73" s="1">
        <v>45778</v>
      </c>
      <c r="U73" t="s">
        <v>49</v>
      </c>
      <c r="X73" t="s">
        <v>50</v>
      </c>
      <c r="AF73" s="2">
        <v>109</v>
      </c>
      <c r="AG73" s="2">
        <v>0</v>
      </c>
      <c r="AJ73" s="2">
        <v>90.83</v>
      </c>
    </row>
    <row r="74" spans="1:37" x14ac:dyDescent="0.25">
      <c r="A74" s="1">
        <v>45931</v>
      </c>
      <c r="B74" s="1">
        <v>45931</v>
      </c>
      <c r="C74" t="s">
        <v>265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280</v>
      </c>
      <c r="J74" t="s">
        <v>281</v>
      </c>
      <c r="M74" t="s">
        <v>70</v>
      </c>
      <c r="O74" t="s">
        <v>159</v>
      </c>
      <c r="P74" t="s">
        <v>160</v>
      </c>
      <c r="Q74" t="s">
        <v>270</v>
      </c>
      <c r="R74" t="s">
        <v>115</v>
      </c>
      <c r="S74" s="1">
        <v>45658</v>
      </c>
      <c r="U74" t="s">
        <v>49</v>
      </c>
      <c r="X74" t="s">
        <v>50</v>
      </c>
      <c r="AF74" s="2">
        <v>50</v>
      </c>
      <c r="AG74" s="2">
        <v>0</v>
      </c>
      <c r="AJ74" s="2">
        <v>50</v>
      </c>
    </row>
    <row r="75" spans="1:37" x14ac:dyDescent="0.25">
      <c r="A75" s="1">
        <v>45931</v>
      </c>
      <c r="B75" s="1">
        <v>45931</v>
      </c>
      <c r="C75" t="s">
        <v>265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282</v>
      </c>
      <c r="J75" t="s">
        <v>111</v>
      </c>
      <c r="M75" t="s">
        <v>112</v>
      </c>
      <c r="O75" t="s">
        <v>113</v>
      </c>
      <c r="P75" t="s">
        <v>114</v>
      </c>
      <c r="Q75" t="s">
        <v>270</v>
      </c>
      <c r="R75" t="s">
        <v>105</v>
      </c>
      <c r="S75" s="1">
        <v>45901</v>
      </c>
      <c r="U75" t="s">
        <v>49</v>
      </c>
      <c r="X75" t="s">
        <v>50</v>
      </c>
      <c r="AF75" s="2">
        <v>16.670000000000002</v>
      </c>
      <c r="AG75" s="2">
        <v>0</v>
      </c>
      <c r="AJ75" s="2">
        <v>16.670000000000002</v>
      </c>
    </row>
    <row r="76" spans="1:37" x14ac:dyDescent="0.25">
      <c r="A76" s="1">
        <v>45931</v>
      </c>
      <c r="B76" s="1">
        <v>45931</v>
      </c>
      <c r="C76" t="s">
        <v>265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283</v>
      </c>
      <c r="J76" t="s">
        <v>117</v>
      </c>
      <c r="M76" t="s">
        <v>70</v>
      </c>
      <c r="O76" t="s">
        <v>113</v>
      </c>
      <c r="P76" t="s">
        <v>114</v>
      </c>
      <c r="Q76" t="s">
        <v>270</v>
      </c>
      <c r="R76" t="s">
        <v>105</v>
      </c>
      <c r="S76" s="1">
        <v>45901</v>
      </c>
      <c r="U76" t="s">
        <v>49</v>
      </c>
      <c r="X76" t="s">
        <v>50</v>
      </c>
      <c r="AF76" s="2">
        <v>16.670000000000002</v>
      </c>
      <c r="AG76" s="2">
        <v>0</v>
      </c>
      <c r="AJ76" s="2">
        <v>16.670000000000002</v>
      </c>
    </row>
    <row r="77" spans="1:37" x14ac:dyDescent="0.25">
      <c r="A77" s="1">
        <v>45931</v>
      </c>
      <c r="B77" s="1">
        <v>45931</v>
      </c>
      <c r="C77" t="s">
        <v>265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284</v>
      </c>
      <c r="J77" t="s">
        <v>119</v>
      </c>
      <c r="M77" t="s">
        <v>54</v>
      </c>
      <c r="O77" t="s">
        <v>120</v>
      </c>
      <c r="P77" t="s">
        <v>121</v>
      </c>
      <c r="Q77" t="s">
        <v>270</v>
      </c>
      <c r="R77" t="s">
        <v>105</v>
      </c>
      <c r="S77" s="1">
        <v>45901</v>
      </c>
      <c r="U77" t="s">
        <v>49</v>
      </c>
      <c r="X77" t="s">
        <v>50</v>
      </c>
      <c r="AF77" s="2">
        <v>16.670000000000002</v>
      </c>
      <c r="AG77" s="2">
        <v>0</v>
      </c>
      <c r="AJ77" s="2">
        <v>16.670000000000002</v>
      </c>
    </row>
    <row r="78" spans="1:37" x14ac:dyDescent="0.25">
      <c r="A78" s="1">
        <v>45931</v>
      </c>
      <c r="B78" s="1">
        <v>45931</v>
      </c>
      <c r="C78" t="s">
        <v>265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285</v>
      </c>
      <c r="J78" t="s">
        <v>123</v>
      </c>
      <c r="M78" t="s">
        <v>70</v>
      </c>
      <c r="O78" t="s">
        <v>97</v>
      </c>
      <c r="P78" t="s">
        <v>98</v>
      </c>
      <c r="Q78" t="s">
        <v>270</v>
      </c>
      <c r="R78" t="s">
        <v>105</v>
      </c>
      <c r="S78" s="1">
        <v>45962</v>
      </c>
      <c r="U78" t="s">
        <v>49</v>
      </c>
      <c r="X78" t="s">
        <v>50</v>
      </c>
      <c r="AF78" s="2">
        <v>8.33</v>
      </c>
      <c r="AG78" s="2">
        <v>0</v>
      </c>
      <c r="AJ78" s="2">
        <v>8.33</v>
      </c>
    </row>
    <row r="79" spans="1:37" x14ac:dyDescent="0.25">
      <c r="A79" s="1">
        <v>45931</v>
      </c>
      <c r="B79" s="1">
        <v>45931</v>
      </c>
      <c r="C79" t="s">
        <v>265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286</v>
      </c>
      <c r="J79" t="s">
        <v>125</v>
      </c>
      <c r="M79" t="s">
        <v>126</v>
      </c>
      <c r="O79" t="s">
        <v>127</v>
      </c>
      <c r="P79" t="s">
        <v>128</v>
      </c>
      <c r="Q79" t="s">
        <v>270</v>
      </c>
      <c r="R79" t="s">
        <v>202</v>
      </c>
      <c r="S79" s="1">
        <v>45870</v>
      </c>
      <c r="U79" t="s">
        <v>49</v>
      </c>
      <c r="X79" t="s">
        <v>50</v>
      </c>
      <c r="AF79" s="2">
        <v>16.670000000000002</v>
      </c>
      <c r="AG79" s="2">
        <v>0</v>
      </c>
      <c r="AJ79" s="2">
        <v>16.670000000000002</v>
      </c>
    </row>
    <row r="80" spans="1:37" x14ac:dyDescent="0.25">
      <c r="A80" s="1">
        <v>45931</v>
      </c>
      <c r="B80" s="1">
        <v>45931</v>
      </c>
      <c r="C80" t="s">
        <v>265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287</v>
      </c>
      <c r="J80" t="s">
        <v>131</v>
      </c>
      <c r="M80" t="s">
        <v>132</v>
      </c>
      <c r="O80" t="s">
        <v>113</v>
      </c>
      <c r="P80" t="s">
        <v>114</v>
      </c>
      <c r="Q80" t="s">
        <v>270</v>
      </c>
      <c r="R80" t="s">
        <v>105</v>
      </c>
      <c r="S80" s="1">
        <v>45931</v>
      </c>
      <c r="U80" t="s">
        <v>49</v>
      </c>
      <c r="X80" t="s">
        <v>50</v>
      </c>
      <c r="AF80" s="2">
        <v>12.5</v>
      </c>
      <c r="AG80" s="2">
        <v>0</v>
      </c>
      <c r="AJ80" s="2">
        <v>12.5</v>
      </c>
    </row>
    <row r="81" spans="1:36" x14ac:dyDescent="0.25">
      <c r="A81" s="1">
        <v>45931</v>
      </c>
      <c r="B81" s="1">
        <v>45931</v>
      </c>
      <c r="C81" t="s">
        <v>265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288</v>
      </c>
      <c r="J81" t="s">
        <v>134</v>
      </c>
      <c r="M81" t="s">
        <v>70</v>
      </c>
      <c r="O81" t="s">
        <v>135</v>
      </c>
      <c r="P81" t="s">
        <v>136</v>
      </c>
      <c r="Q81" t="s">
        <v>270</v>
      </c>
      <c r="R81" t="s">
        <v>202</v>
      </c>
      <c r="S81" s="1">
        <v>45901</v>
      </c>
      <c r="U81" t="s">
        <v>49</v>
      </c>
      <c r="X81" t="s">
        <v>50</v>
      </c>
      <c r="AF81" s="2">
        <v>13.33</v>
      </c>
      <c r="AG81" s="2">
        <v>0</v>
      </c>
      <c r="AJ81" s="2">
        <v>13.33</v>
      </c>
    </row>
    <row r="82" spans="1:36" x14ac:dyDescent="0.25">
      <c r="A82" s="1">
        <v>45931</v>
      </c>
      <c r="B82" s="1">
        <v>45931</v>
      </c>
      <c r="C82" t="s">
        <v>265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289</v>
      </c>
      <c r="J82" t="s">
        <v>138</v>
      </c>
      <c r="M82" t="s">
        <v>75</v>
      </c>
      <c r="O82" t="s">
        <v>113</v>
      </c>
      <c r="P82" t="s">
        <v>114</v>
      </c>
      <c r="Q82" t="s">
        <v>270</v>
      </c>
      <c r="R82" t="s">
        <v>105</v>
      </c>
      <c r="S82" s="1">
        <v>45931</v>
      </c>
      <c r="U82" t="s">
        <v>49</v>
      </c>
      <c r="X82" t="s">
        <v>50</v>
      </c>
      <c r="AF82" s="2">
        <v>12.5</v>
      </c>
      <c r="AG82" s="2">
        <v>0</v>
      </c>
      <c r="AJ82" s="2">
        <v>12.5</v>
      </c>
    </row>
    <row r="83" spans="1:36" x14ac:dyDescent="0.25">
      <c r="A83" s="1">
        <v>45931</v>
      </c>
      <c r="B83" s="1">
        <v>45931</v>
      </c>
      <c r="C83" t="s">
        <v>265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290</v>
      </c>
      <c r="J83" t="s">
        <v>140</v>
      </c>
      <c r="M83" t="s">
        <v>70</v>
      </c>
      <c r="O83" t="s">
        <v>97</v>
      </c>
      <c r="P83" t="s">
        <v>98</v>
      </c>
      <c r="Q83" t="s">
        <v>270</v>
      </c>
      <c r="R83" t="s">
        <v>105</v>
      </c>
      <c r="S83" s="1">
        <v>45931</v>
      </c>
      <c r="U83" t="s">
        <v>49</v>
      </c>
      <c r="X83" t="s">
        <v>50</v>
      </c>
      <c r="AF83" s="2">
        <v>12.5</v>
      </c>
      <c r="AG83" s="2">
        <v>0</v>
      </c>
      <c r="AJ83" s="2">
        <v>12.5</v>
      </c>
    </row>
    <row r="84" spans="1:36" x14ac:dyDescent="0.25">
      <c r="A84" s="1">
        <v>45931</v>
      </c>
      <c r="B84" s="1">
        <v>45931</v>
      </c>
      <c r="C84" t="s">
        <v>265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291</v>
      </c>
      <c r="J84" t="s">
        <v>142</v>
      </c>
      <c r="M84" t="s">
        <v>70</v>
      </c>
      <c r="O84" t="s">
        <v>143</v>
      </c>
      <c r="P84" t="s">
        <v>144</v>
      </c>
      <c r="Q84" t="s">
        <v>270</v>
      </c>
      <c r="R84" t="s">
        <v>105</v>
      </c>
      <c r="S84" s="1">
        <v>45962</v>
      </c>
      <c r="U84" t="s">
        <v>49</v>
      </c>
      <c r="X84" t="s">
        <v>50</v>
      </c>
      <c r="AF84" s="2">
        <v>8.33</v>
      </c>
      <c r="AG84" s="2">
        <v>0</v>
      </c>
      <c r="AJ84" s="2">
        <v>8.33</v>
      </c>
    </row>
    <row r="85" spans="1:36" x14ac:dyDescent="0.25">
      <c r="A85" s="1">
        <v>45931</v>
      </c>
      <c r="B85" s="1">
        <v>45931</v>
      </c>
      <c r="C85" t="s">
        <v>265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292</v>
      </c>
      <c r="J85" t="s">
        <v>146</v>
      </c>
      <c r="M85" t="s">
        <v>75</v>
      </c>
      <c r="O85" t="s">
        <v>293</v>
      </c>
      <c r="P85" t="s">
        <v>148</v>
      </c>
      <c r="Q85" t="s">
        <v>270</v>
      </c>
      <c r="R85" t="s">
        <v>105</v>
      </c>
      <c r="S85" s="1">
        <v>45962</v>
      </c>
      <c r="U85" t="s">
        <v>49</v>
      </c>
      <c r="X85" t="s">
        <v>50</v>
      </c>
      <c r="AF85" s="2">
        <v>8.33</v>
      </c>
      <c r="AG85" s="2">
        <v>0</v>
      </c>
      <c r="AJ85" s="2">
        <v>8.33</v>
      </c>
    </row>
    <row r="86" spans="1:36" x14ac:dyDescent="0.25">
      <c r="A86" s="1">
        <v>45931</v>
      </c>
      <c r="B86" s="1">
        <v>45931</v>
      </c>
      <c r="C86" t="s">
        <v>265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294</v>
      </c>
      <c r="J86" t="s">
        <v>150</v>
      </c>
      <c r="M86" t="s">
        <v>70</v>
      </c>
      <c r="O86" t="s">
        <v>71</v>
      </c>
      <c r="P86" t="s">
        <v>72</v>
      </c>
      <c r="Q86" t="s">
        <v>270</v>
      </c>
      <c r="R86" t="s">
        <v>105</v>
      </c>
      <c r="S86" s="1">
        <v>45870</v>
      </c>
      <c r="U86" t="s">
        <v>49</v>
      </c>
      <c r="X86" t="s">
        <v>50</v>
      </c>
      <c r="AF86" s="2">
        <v>20.83</v>
      </c>
      <c r="AG86" s="2">
        <v>0</v>
      </c>
      <c r="AJ86" s="2">
        <v>20.83</v>
      </c>
    </row>
    <row r="87" spans="1:36" x14ac:dyDescent="0.25">
      <c r="A87" s="1">
        <v>45931</v>
      </c>
      <c r="B87" s="1">
        <v>45931</v>
      </c>
      <c r="C87" t="s">
        <v>265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295</v>
      </c>
      <c r="J87" t="s">
        <v>152</v>
      </c>
      <c r="M87" t="s">
        <v>92</v>
      </c>
      <c r="O87" t="s">
        <v>71</v>
      </c>
      <c r="P87" t="s">
        <v>72</v>
      </c>
      <c r="Q87" t="s">
        <v>270</v>
      </c>
      <c r="R87" t="s">
        <v>202</v>
      </c>
      <c r="S87" s="1">
        <v>45901</v>
      </c>
      <c r="U87" t="s">
        <v>49</v>
      </c>
      <c r="X87" t="s">
        <v>50</v>
      </c>
      <c r="AF87" s="2">
        <v>13.33</v>
      </c>
      <c r="AG87" s="2">
        <v>0</v>
      </c>
      <c r="AJ87" s="2">
        <v>13.33</v>
      </c>
    </row>
    <row r="88" spans="1:36" x14ac:dyDescent="0.25">
      <c r="A88" s="1">
        <v>45931</v>
      </c>
      <c r="B88" s="1">
        <v>45931</v>
      </c>
      <c r="C88" t="s">
        <v>265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296</v>
      </c>
      <c r="J88" t="s">
        <v>154</v>
      </c>
      <c r="M88" t="s">
        <v>126</v>
      </c>
      <c r="O88" t="s">
        <v>155</v>
      </c>
      <c r="P88" t="s">
        <v>156</v>
      </c>
      <c r="Q88" t="s">
        <v>270</v>
      </c>
      <c r="R88" t="s">
        <v>105</v>
      </c>
      <c r="S88" s="1">
        <v>45901</v>
      </c>
      <c r="U88" t="s">
        <v>49</v>
      </c>
      <c r="X88" t="s">
        <v>50</v>
      </c>
      <c r="AF88" s="2">
        <v>16.670000000000002</v>
      </c>
      <c r="AG88" s="2">
        <v>0</v>
      </c>
      <c r="AJ88" s="2">
        <v>16.670000000000002</v>
      </c>
    </row>
    <row r="89" spans="1:36" x14ac:dyDescent="0.25">
      <c r="A89" s="1">
        <v>45931</v>
      </c>
      <c r="B89" s="1">
        <v>45931</v>
      </c>
      <c r="C89" t="s">
        <v>265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297</v>
      </c>
      <c r="J89" t="s">
        <v>158</v>
      </c>
      <c r="M89" t="s">
        <v>70</v>
      </c>
      <c r="O89" t="s">
        <v>159</v>
      </c>
      <c r="P89" t="s">
        <v>160</v>
      </c>
      <c r="Q89" t="s">
        <v>270</v>
      </c>
      <c r="R89" t="s">
        <v>105</v>
      </c>
      <c r="S89" s="1">
        <v>45901</v>
      </c>
      <c r="U89" t="s">
        <v>49</v>
      </c>
      <c r="X89" t="s">
        <v>50</v>
      </c>
      <c r="AF89" s="2">
        <v>16.670000000000002</v>
      </c>
      <c r="AG89" s="2">
        <v>0</v>
      </c>
      <c r="AJ89" s="2">
        <v>16.670000000000002</v>
      </c>
    </row>
    <row r="90" spans="1:36" x14ac:dyDescent="0.25">
      <c r="A90" s="1">
        <v>45931</v>
      </c>
      <c r="B90" s="1">
        <v>45931</v>
      </c>
      <c r="C90" t="s">
        <v>265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298</v>
      </c>
      <c r="J90" t="s">
        <v>162</v>
      </c>
      <c r="M90" t="s">
        <v>75</v>
      </c>
      <c r="O90" t="s">
        <v>293</v>
      </c>
      <c r="P90" t="s">
        <v>148</v>
      </c>
      <c r="Q90" t="s">
        <v>270</v>
      </c>
      <c r="R90" t="s">
        <v>105</v>
      </c>
      <c r="S90" s="1">
        <v>45901</v>
      </c>
      <c r="U90" t="s">
        <v>49</v>
      </c>
      <c r="X90" t="s">
        <v>50</v>
      </c>
      <c r="AF90" s="2">
        <v>16.670000000000002</v>
      </c>
      <c r="AG90" s="2">
        <v>0</v>
      </c>
      <c r="AJ90" s="2">
        <v>16.670000000000002</v>
      </c>
    </row>
    <row r="91" spans="1:36" x14ac:dyDescent="0.25">
      <c r="A91" s="1">
        <v>45931</v>
      </c>
      <c r="B91" s="1">
        <v>45931</v>
      </c>
      <c r="C91" t="s">
        <v>265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299</v>
      </c>
      <c r="J91" t="s">
        <v>164</v>
      </c>
      <c r="M91" t="s">
        <v>70</v>
      </c>
      <c r="O91" t="s">
        <v>60</v>
      </c>
      <c r="P91" t="s">
        <v>61</v>
      </c>
      <c r="Q91" t="s">
        <v>270</v>
      </c>
      <c r="R91" t="s">
        <v>105</v>
      </c>
      <c r="S91" s="1">
        <v>45901</v>
      </c>
      <c r="U91" t="s">
        <v>49</v>
      </c>
      <c r="X91" t="s">
        <v>50</v>
      </c>
      <c r="AF91" s="2">
        <v>16.670000000000002</v>
      </c>
      <c r="AG91" s="2">
        <v>0</v>
      </c>
      <c r="AJ91" s="2">
        <v>16.670000000000002</v>
      </c>
    </row>
    <row r="92" spans="1:36" x14ac:dyDescent="0.25">
      <c r="A92" s="1">
        <v>45931</v>
      </c>
      <c r="B92" s="1">
        <v>45931</v>
      </c>
      <c r="C92" t="s">
        <v>265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300</v>
      </c>
      <c r="J92" t="s">
        <v>166</v>
      </c>
      <c r="M92" t="s">
        <v>167</v>
      </c>
      <c r="O92" t="s">
        <v>113</v>
      </c>
      <c r="P92" t="s">
        <v>114</v>
      </c>
      <c r="Q92" t="s">
        <v>270</v>
      </c>
      <c r="R92" t="s">
        <v>105</v>
      </c>
      <c r="S92" s="1">
        <v>45931</v>
      </c>
      <c r="U92" t="s">
        <v>49</v>
      </c>
      <c r="X92" t="s">
        <v>50</v>
      </c>
      <c r="AF92" s="2">
        <v>12.5</v>
      </c>
      <c r="AG92" s="2">
        <v>0</v>
      </c>
      <c r="AJ92" s="2">
        <v>12.5</v>
      </c>
    </row>
    <row r="93" spans="1:36" x14ac:dyDescent="0.25">
      <c r="A93" s="1">
        <v>45931</v>
      </c>
      <c r="B93" s="1">
        <v>45931</v>
      </c>
      <c r="C93" t="s">
        <v>265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301</v>
      </c>
      <c r="J93" t="s">
        <v>169</v>
      </c>
      <c r="M93" t="s">
        <v>126</v>
      </c>
      <c r="O93" t="s">
        <v>155</v>
      </c>
      <c r="P93" t="s">
        <v>156</v>
      </c>
      <c r="Q93" t="s">
        <v>270</v>
      </c>
      <c r="R93" t="s">
        <v>105</v>
      </c>
      <c r="S93" s="1">
        <v>45901</v>
      </c>
      <c r="U93" t="s">
        <v>49</v>
      </c>
      <c r="X93" t="s">
        <v>50</v>
      </c>
      <c r="AF93" s="2">
        <v>16.670000000000002</v>
      </c>
      <c r="AG93" s="2">
        <v>0</v>
      </c>
      <c r="AJ93" s="2">
        <v>16.670000000000002</v>
      </c>
    </row>
    <row r="94" spans="1:36" x14ac:dyDescent="0.25">
      <c r="A94" s="1">
        <v>45931</v>
      </c>
      <c r="B94" s="1">
        <v>45931</v>
      </c>
      <c r="C94" t="s">
        <v>265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302</v>
      </c>
      <c r="J94" t="s">
        <v>171</v>
      </c>
      <c r="M94" t="s">
        <v>70</v>
      </c>
      <c r="O94" t="s">
        <v>159</v>
      </c>
      <c r="P94" t="s">
        <v>160</v>
      </c>
      <c r="Q94" t="s">
        <v>270</v>
      </c>
      <c r="R94" t="s">
        <v>202</v>
      </c>
      <c r="S94" s="1">
        <v>45901</v>
      </c>
      <c r="U94" t="s">
        <v>49</v>
      </c>
      <c r="X94" t="s">
        <v>50</v>
      </c>
      <c r="AF94" s="2">
        <v>13.33</v>
      </c>
      <c r="AG94" s="2">
        <v>0</v>
      </c>
      <c r="AJ94" s="2">
        <v>13.33</v>
      </c>
    </row>
    <row r="95" spans="1:36" x14ac:dyDescent="0.25">
      <c r="A95" s="1">
        <v>45931</v>
      </c>
      <c r="B95" s="1">
        <v>45931</v>
      </c>
      <c r="C95" t="s">
        <v>265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303</v>
      </c>
      <c r="J95" t="s">
        <v>173</v>
      </c>
      <c r="M95" t="s">
        <v>126</v>
      </c>
      <c r="O95" t="s">
        <v>155</v>
      </c>
      <c r="P95" t="s">
        <v>156</v>
      </c>
      <c r="Q95" t="s">
        <v>270</v>
      </c>
      <c r="R95" t="s">
        <v>105</v>
      </c>
      <c r="S95" s="1">
        <v>45901</v>
      </c>
      <c r="U95" t="s">
        <v>49</v>
      </c>
      <c r="X95" t="s">
        <v>50</v>
      </c>
      <c r="AF95" s="2">
        <v>16.670000000000002</v>
      </c>
      <c r="AG95" s="2">
        <v>0</v>
      </c>
      <c r="AJ95" s="2">
        <v>16.670000000000002</v>
      </c>
    </row>
    <row r="96" spans="1:36" x14ac:dyDescent="0.25">
      <c r="A96" s="1">
        <v>45931</v>
      </c>
      <c r="B96" s="1">
        <v>45931</v>
      </c>
      <c r="C96" t="s">
        <v>265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304</v>
      </c>
      <c r="J96" t="s">
        <v>175</v>
      </c>
      <c r="M96" t="s">
        <v>176</v>
      </c>
      <c r="O96" t="s">
        <v>113</v>
      </c>
      <c r="P96" t="s">
        <v>114</v>
      </c>
      <c r="Q96" t="s">
        <v>270</v>
      </c>
      <c r="R96" t="s">
        <v>105</v>
      </c>
      <c r="S96" s="1">
        <v>45901</v>
      </c>
      <c r="U96" t="s">
        <v>49</v>
      </c>
      <c r="X96" t="s">
        <v>50</v>
      </c>
      <c r="AF96" s="2">
        <v>16.670000000000002</v>
      </c>
      <c r="AG96" s="2">
        <v>0</v>
      </c>
      <c r="AJ96" s="2">
        <v>16.670000000000002</v>
      </c>
    </row>
    <row r="97" spans="1:36" x14ac:dyDescent="0.25">
      <c r="A97" s="1">
        <v>45931</v>
      </c>
      <c r="B97" s="1">
        <v>45931</v>
      </c>
      <c r="C97" t="s">
        <v>265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305</v>
      </c>
      <c r="J97" t="s">
        <v>178</v>
      </c>
      <c r="M97" t="s">
        <v>75</v>
      </c>
      <c r="O97" t="s">
        <v>293</v>
      </c>
      <c r="P97" t="s">
        <v>148</v>
      </c>
      <c r="Q97" t="s">
        <v>270</v>
      </c>
      <c r="R97" t="s">
        <v>105</v>
      </c>
      <c r="S97" s="1">
        <v>45901</v>
      </c>
      <c r="U97" t="s">
        <v>49</v>
      </c>
      <c r="X97" t="s">
        <v>50</v>
      </c>
      <c r="AF97" s="2">
        <v>16.670000000000002</v>
      </c>
      <c r="AG97" s="2">
        <v>0</v>
      </c>
      <c r="AJ97" s="2">
        <v>16.670000000000002</v>
      </c>
    </row>
    <row r="98" spans="1:36" x14ac:dyDescent="0.25">
      <c r="A98" s="1">
        <v>45931</v>
      </c>
      <c r="B98" s="1">
        <v>45931</v>
      </c>
      <c r="C98" t="s">
        <v>265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306</v>
      </c>
      <c r="J98" t="s">
        <v>180</v>
      </c>
      <c r="M98" t="s">
        <v>126</v>
      </c>
      <c r="O98" t="s">
        <v>181</v>
      </c>
      <c r="P98" t="s">
        <v>182</v>
      </c>
      <c r="Q98" t="s">
        <v>270</v>
      </c>
      <c r="R98" t="s">
        <v>105</v>
      </c>
      <c r="S98" s="1">
        <v>45931</v>
      </c>
      <c r="U98" t="s">
        <v>49</v>
      </c>
      <c r="X98" t="s">
        <v>50</v>
      </c>
      <c r="AF98" s="2">
        <v>12.5</v>
      </c>
      <c r="AG98" s="2">
        <v>0</v>
      </c>
      <c r="AJ98" s="2">
        <v>12.5</v>
      </c>
    </row>
    <row r="99" spans="1:36" x14ac:dyDescent="0.25">
      <c r="A99" s="1">
        <v>45931</v>
      </c>
      <c r="B99" s="1">
        <v>45931</v>
      </c>
      <c r="C99" t="s">
        <v>265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307</v>
      </c>
      <c r="J99" t="s">
        <v>184</v>
      </c>
      <c r="M99" t="s">
        <v>70</v>
      </c>
      <c r="O99" t="s">
        <v>159</v>
      </c>
      <c r="P99" t="s">
        <v>160</v>
      </c>
      <c r="Q99" t="s">
        <v>270</v>
      </c>
      <c r="R99" t="s">
        <v>105</v>
      </c>
      <c r="S99" s="1">
        <v>45901</v>
      </c>
      <c r="U99" t="s">
        <v>49</v>
      </c>
      <c r="X99" t="s">
        <v>50</v>
      </c>
      <c r="AF99" s="2">
        <v>16.670000000000002</v>
      </c>
      <c r="AG99" s="2">
        <v>0</v>
      </c>
      <c r="AJ99" s="2">
        <v>16.670000000000002</v>
      </c>
    </row>
    <row r="100" spans="1:36" x14ac:dyDescent="0.25">
      <c r="A100" s="1">
        <v>45931</v>
      </c>
      <c r="B100" s="1">
        <v>45931</v>
      </c>
      <c r="C100" t="s">
        <v>265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308</v>
      </c>
      <c r="J100" t="s">
        <v>186</v>
      </c>
      <c r="M100" t="s">
        <v>187</v>
      </c>
      <c r="O100" t="s">
        <v>113</v>
      </c>
      <c r="P100" t="s">
        <v>114</v>
      </c>
      <c r="Q100" t="s">
        <v>270</v>
      </c>
      <c r="R100" t="s">
        <v>105</v>
      </c>
      <c r="S100" s="1">
        <v>45931</v>
      </c>
      <c r="U100" t="s">
        <v>49</v>
      </c>
      <c r="X100" t="s">
        <v>50</v>
      </c>
      <c r="AF100" s="2">
        <v>12.5</v>
      </c>
      <c r="AG100" s="2">
        <v>0</v>
      </c>
      <c r="AJ100" s="2">
        <v>12.5</v>
      </c>
    </row>
    <row r="101" spans="1:36" x14ac:dyDescent="0.25">
      <c r="A101" s="1">
        <v>45931</v>
      </c>
      <c r="B101" s="1">
        <v>45931</v>
      </c>
      <c r="C101" t="s">
        <v>265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309</v>
      </c>
      <c r="J101" t="s">
        <v>189</v>
      </c>
      <c r="M101" t="s">
        <v>126</v>
      </c>
      <c r="O101" t="s">
        <v>190</v>
      </c>
      <c r="P101" t="s">
        <v>191</v>
      </c>
      <c r="Q101" t="s">
        <v>270</v>
      </c>
      <c r="R101" t="s">
        <v>105</v>
      </c>
      <c r="S101" s="1">
        <v>45901</v>
      </c>
      <c r="U101" t="s">
        <v>49</v>
      </c>
      <c r="X101" t="s">
        <v>50</v>
      </c>
      <c r="AF101" s="2">
        <v>16.670000000000002</v>
      </c>
      <c r="AG101" s="2">
        <v>0</v>
      </c>
      <c r="AJ101" s="2">
        <v>16.670000000000002</v>
      </c>
    </row>
    <row r="102" spans="1:36" x14ac:dyDescent="0.25">
      <c r="A102" s="1">
        <v>45931</v>
      </c>
      <c r="B102" s="1">
        <v>45931</v>
      </c>
      <c r="C102" t="s">
        <v>265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310</v>
      </c>
      <c r="J102" t="s">
        <v>193</v>
      </c>
      <c r="M102" t="s">
        <v>126</v>
      </c>
      <c r="O102" t="s">
        <v>190</v>
      </c>
      <c r="P102" t="s">
        <v>191</v>
      </c>
      <c r="Q102" t="s">
        <v>270</v>
      </c>
      <c r="R102" t="s">
        <v>105</v>
      </c>
      <c r="S102" s="1">
        <v>45901</v>
      </c>
      <c r="U102" t="s">
        <v>49</v>
      </c>
      <c r="X102" t="s">
        <v>50</v>
      </c>
      <c r="AF102" s="2">
        <v>16.670000000000002</v>
      </c>
      <c r="AG102" s="2">
        <v>0</v>
      </c>
      <c r="AJ102" s="2">
        <v>16.670000000000002</v>
      </c>
    </row>
    <row r="103" spans="1:36" x14ac:dyDescent="0.25">
      <c r="A103" s="1">
        <v>45931</v>
      </c>
      <c r="B103" s="1">
        <v>45931</v>
      </c>
      <c r="C103" t="s">
        <v>265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311</v>
      </c>
      <c r="J103" t="s">
        <v>195</v>
      </c>
      <c r="M103" t="s">
        <v>75</v>
      </c>
      <c r="O103" t="s">
        <v>147</v>
      </c>
      <c r="P103" t="s">
        <v>148</v>
      </c>
      <c r="Q103" t="s">
        <v>270</v>
      </c>
      <c r="R103" t="s">
        <v>105</v>
      </c>
      <c r="S103" s="1">
        <v>45962</v>
      </c>
      <c r="U103" t="s">
        <v>49</v>
      </c>
      <c r="X103" t="s">
        <v>50</v>
      </c>
      <c r="AF103" s="2">
        <v>8.33</v>
      </c>
      <c r="AG103" s="2">
        <v>0</v>
      </c>
      <c r="AJ103" s="2">
        <v>8.33</v>
      </c>
    </row>
    <row r="104" spans="1:36" x14ac:dyDescent="0.25">
      <c r="A104" s="1">
        <v>45931</v>
      </c>
      <c r="B104" s="1">
        <v>45931</v>
      </c>
      <c r="C104" t="s">
        <v>265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312</v>
      </c>
      <c r="J104" t="s">
        <v>197</v>
      </c>
      <c r="M104" t="s">
        <v>75</v>
      </c>
      <c r="O104" t="s">
        <v>147</v>
      </c>
      <c r="P104" t="s">
        <v>148</v>
      </c>
      <c r="Q104" t="s">
        <v>270</v>
      </c>
      <c r="R104" t="s">
        <v>105</v>
      </c>
      <c r="S104" s="1">
        <v>45901</v>
      </c>
      <c r="U104" t="s">
        <v>49</v>
      </c>
      <c r="X104" t="s">
        <v>50</v>
      </c>
      <c r="AF104" s="2">
        <v>16.670000000000002</v>
      </c>
      <c r="AG104" s="2">
        <v>0</v>
      </c>
      <c r="AJ104" s="2">
        <v>16.670000000000002</v>
      </c>
    </row>
    <row r="105" spans="1:36" x14ac:dyDescent="0.25">
      <c r="A105" s="1">
        <v>45931</v>
      </c>
      <c r="B105" s="1">
        <v>45931</v>
      </c>
      <c r="C105" t="s">
        <v>265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313</v>
      </c>
      <c r="J105" t="s">
        <v>199</v>
      </c>
      <c r="M105" t="s">
        <v>70</v>
      </c>
      <c r="O105" t="s">
        <v>103</v>
      </c>
      <c r="P105" t="s">
        <v>104</v>
      </c>
      <c r="Q105" t="s">
        <v>270</v>
      </c>
      <c r="R105" t="s">
        <v>105</v>
      </c>
      <c r="S105" s="1">
        <v>45901</v>
      </c>
      <c r="U105" t="s">
        <v>49</v>
      </c>
      <c r="X105" t="s">
        <v>50</v>
      </c>
      <c r="AF105" s="2">
        <v>16.670000000000002</v>
      </c>
      <c r="AG105" s="2">
        <v>0</v>
      </c>
      <c r="AJ105" s="2">
        <v>16.670000000000002</v>
      </c>
    </row>
    <row r="106" spans="1:36" x14ac:dyDescent="0.25">
      <c r="A106" s="1">
        <v>45931</v>
      </c>
      <c r="B106" s="1">
        <v>45931</v>
      </c>
      <c r="C106" t="s">
        <v>265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314</v>
      </c>
      <c r="J106" t="s">
        <v>315</v>
      </c>
      <c r="M106" t="s">
        <v>232</v>
      </c>
      <c r="O106" t="s">
        <v>316</v>
      </c>
      <c r="P106" t="s">
        <v>317</v>
      </c>
      <c r="Q106" t="s">
        <v>270</v>
      </c>
      <c r="R106" t="s">
        <v>318</v>
      </c>
      <c r="S106" s="1">
        <v>45689</v>
      </c>
      <c r="U106" t="s">
        <v>49</v>
      </c>
      <c r="X106" t="s">
        <v>50</v>
      </c>
      <c r="AF106" s="2">
        <v>66</v>
      </c>
      <c r="AG106" s="2">
        <v>0</v>
      </c>
      <c r="AJ106" s="2">
        <v>18</v>
      </c>
    </row>
    <row r="107" spans="1:36" x14ac:dyDescent="0.25">
      <c r="A107" s="1">
        <v>45931</v>
      </c>
      <c r="B107" s="1">
        <v>45931</v>
      </c>
      <c r="C107" t="s">
        <v>265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319</v>
      </c>
      <c r="J107" t="s">
        <v>315</v>
      </c>
      <c r="M107" t="s">
        <v>232</v>
      </c>
      <c r="O107" t="s">
        <v>316</v>
      </c>
      <c r="P107" t="s">
        <v>317</v>
      </c>
      <c r="Q107" t="s">
        <v>270</v>
      </c>
      <c r="R107" t="s">
        <v>227</v>
      </c>
      <c r="S107" s="1">
        <v>45689</v>
      </c>
      <c r="U107" t="s">
        <v>49</v>
      </c>
      <c r="X107" t="s">
        <v>50</v>
      </c>
      <c r="AF107" s="2">
        <v>286.92</v>
      </c>
      <c r="AG107" s="2">
        <v>0</v>
      </c>
      <c r="AJ107" s="2">
        <v>78.25</v>
      </c>
    </row>
    <row r="108" spans="1:36" x14ac:dyDescent="0.25">
      <c r="A108" s="1">
        <v>45931</v>
      </c>
      <c r="B108" s="1">
        <v>45931</v>
      </c>
      <c r="C108" t="s">
        <v>265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320</v>
      </c>
      <c r="J108" t="s">
        <v>321</v>
      </c>
      <c r="M108" t="s">
        <v>70</v>
      </c>
      <c r="O108" t="s">
        <v>322</v>
      </c>
      <c r="P108" t="s">
        <v>323</v>
      </c>
      <c r="Q108" t="s">
        <v>270</v>
      </c>
      <c r="R108" t="s">
        <v>220</v>
      </c>
      <c r="S108" s="1">
        <v>45658</v>
      </c>
      <c r="U108" t="s">
        <v>49</v>
      </c>
      <c r="X108" t="s">
        <v>50</v>
      </c>
      <c r="AF108" s="2">
        <v>100</v>
      </c>
      <c r="AG108" s="2">
        <v>0</v>
      </c>
      <c r="AJ108" s="2">
        <v>100</v>
      </c>
    </row>
    <row r="109" spans="1:36" x14ac:dyDescent="0.25">
      <c r="A109" s="1">
        <v>45931</v>
      </c>
      <c r="B109" s="1">
        <v>45931</v>
      </c>
      <c r="C109" t="s">
        <v>265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324</v>
      </c>
      <c r="J109" t="s">
        <v>325</v>
      </c>
      <c r="M109" t="s">
        <v>70</v>
      </c>
      <c r="O109" t="s">
        <v>97</v>
      </c>
      <c r="P109" t="s">
        <v>98</v>
      </c>
      <c r="Q109" t="s">
        <v>270</v>
      </c>
      <c r="R109" t="s">
        <v>220</v>
      </c>
      <c r="S109" s="1">
        <v>45658</v>
      </c>
      <c r="U109" t="s">
        <v>49</v>
      </c>
      <c r="X109" t="s">
        <v>50</v>
      </c>
      <c r="AF109" s="2">
        <v>100</v>
      </c>
      <c r="AG109" s="2">
        <v>0</v>
      </c>
      <c r="AJ109" s="2">
        <v>100</v>
      </c>
    </row>
    <row r="110" spans="1:36" x14ac:dyDescent="0.25">
      <c r="A110" s="1">
        <v>45931</v>
      </c>
      <c r="B110" s="1">
        <v>45931</v>
      </c>
      <c r="C110" t="s">
        <v>265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326</v>
      </c>
      <c r="J110" t="s">
        <v>327</v>
      </c>
      <c r="M110" t="s">
        <v>70</v>
      </c>
      <c r="O110" t="s">
        <v>316</v>
      </c>
      <c r="P110" t="s">
        <v>317</v>
      </c>
      <c r="Q110" t="s">
        <v>270</v>
      </c>
      <c r="R110" t="s">
        <v>220</v>
      </c>
      <c r="S110" s="1">
        <v>45658</v>
      </c>
      <c r="U110" t="s">
        <v>49</v>
      </c>
      <c r="X110" t="s">
        <v>50</v>
      </c>
      <c r="AF110" s="2">
        <v>100</v>
      </c>
      <c r="AG110" s="2">
        <v>0</v>
      </c>
      <c r="AJ110" s="2">
        <v>100</v>
      </c>
    </row>
    <row r="111" spans="1:36" x14ac:dyDescent="0.25">
      <c r="A111" s="1">
        <v>45931</v>
      </c>
      <c r="B111" s="1">
        <v>45931</v>
      </c>
      <c r="C111" t="s">
        <v>265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328</v>
      </c>
      <c r="J111" t="s">
        <v>329</v>
      </c>
      <c r="M111" t="s">
        <v>256</v>
      </c>
      <c r="O111" t="s">
        <v>257</v>
      </c>
      <c r="P111" t="s">
        <v>258</v>
      </c>
      <c r="Q111" t="s">
        <v>270</v>
      </c>
      <c r="R111" t="s">
        <v>330</v>
      </c>
      <c r="S111" s="1">
        <v>45717</v>
      </c>
      <c r="U111" t="s">
        <v>49</v>
      </c>
      <c r="X111" t="s">
        <v>50</v>
      </c>
      <c r="AF111" s="2">
        <v>175</v>
      </c>
      <c r="AG111" s="2">
        <v>0</v>
      </c>
      <c r="AJ111" s="2">
        <v>72.92</v>
      </c>
    </row>
    <row r="112" spans="1:36" x14ac:dyDescent="0.25">
      <c r="A112" s="1">
        <v>45931</v>
      </c>
      <c r="B112" s="1">
        <v>45931</v>
      </c>
      <c r="C112" t="s">
        <v>265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331</v>
      </c>
      <c r="J112" t="s">
        <v>329</v>
      </c>
      <c r="M112" t="s">
        <v>256</v>
      </c>
      <c r="O112" t="s">
        <v>257</v>
      </c>
      <c r="P112" t="s">
        <v>258</v>
      </c>
      <c r="Q112" t="s">
        <v>270</v>
      </c>
      <c r="R112" t="s">
        <v>332</v>
      </c>
      <c r="S112" s="1">
        <v>45717</v>
      </c>
      <c r="U112" t="s">
        <v>49</v>
      </c>
      <c r="X112" t="s">
        <v>50</v>
      </c>
      <c r="AF112" s="2">
        <v>626</v>
      </c>
      <c r="AG112" s="2">
        <v>0</v>
      </c>
      <c r="AJ112" s="2">
        <v>260.83</v>
      </c>
    </row>
    <row r="113" spans="1:36" x14ac:dyDescent="0.25">
      <c r="A113" s="1">
        <v>45931</v>
      </c>
      <c r="B113" s="1">
        <v>45931</v>
      </c>
      <c r="C113" t="s">
        <v>265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333</v>
      </c>
      <c r="J113" t="s">
        <v>334</v>
      </c>
      <c r="M113" t="s">
        <v>126</v>
      </c>
      <c r="O113" t="s">
        <v>190</v>
      </c>
      <c r="P113" t="s">
        <v>191</v>
      </c>
      <c r="Q113" t="s">
        <v>270</v>
      </c>
      <c r="R113" t="s">
        <v>330</v>
      </c>
      <c r="S113" s="1">
        <v>45658</v>
      </c>
      <c r="U113" t="s">
        <v>49</v>
      </c>
      <c r="X113" t="s">
        <v>50</v>
      </c>
      <c r="AF113" s="2">
        <v>175</v>
      </c>
      <c r="AG113" s="2">
        <v>0</v>
      </c>
      <c r="AJ113" s="2">
        <v>43.75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E016-5AEC-43F1-9831-AC4F4463E5DC}">
  <dimension ref="A1:R113"/>
  <sheetViews>
    <sheetView topLeftCell="A82" workbookViewId="0">
      <selection activeCell="E116" sqref="E116"/>
    </sheetView>
  </sheetViews>
  <sheetFormatPr defaultRowHeight="15" x14ac:dyDescent="0.25"/>
  <cols>
    <col min="1" max="1" width="16.85546875" style="8" bestFit="1" customWidth="1"/>
    <col min="2" max="2" width="16.85546875" style="8" customWidth="1"/>
    <col min="3" max="3" width="17" style="8" bestFit="1" customWidth="1"/>
    <col min="4" max="4" width="27.5703125" bestFit="1" customWidth="1"/>
    <col min="5" max="5" width="13" customWidth="1"/>
    <col min="8" max="8" width="47.140625" bestFit="1" customWidth="1"/>
    <col min="9" max="9" width="10.140625" bestFit="1" customWidth="1"/>
    <col min="15" max="15" width="39.140625" bestFit="1" customWidth="1"/>
    <col min="16" max="16" width="43.42578125" bestFit="1" customWidth="1"/>
    <col min="17" max="17" width="24.140625" bestFit="1" customWidth="1"/>
  </cols>
  <sheetData>
    <row r="1" spans="1:16" x14ac:dyDescent="0.25">
      <c r="A1" s="8" t="s">
        <v>8</v>
      </c>
      <c r="D1" t="s">
        <v>9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6" x14ac:dyDescent="0.25">
      <c r="A2" s="8">
        <v>102187630800</v>
      </c>
      <c r="B2" s="8" t="str">
        <f>CONCATENATE(A2,0)</f>
        <v>1021876308000</v>
      </c>
      <c r="C2" s="8" t="str">
        <f>CONCATENATE(A2,"OVR")</f>
        <v>102187630800OVR</v>
      </c>
      <c r="D2" t="s">
        <v>111</v>
      </c>
      <c r="E2">
        <v>20411454</v>
      </c>
      <c r="F2" t="s">
        <v>376</v>
      </c>
      <c r="G2" t="s">
        <v>57</v>
      </c>
      <c r="H2" t="s">
        <v>115</v>
      </c>
      <c r="I2" s="1">
        <v>45901</v>
      </c>
      <c r="J2" s="2">
        <v>0</v>
      </c>
      <c r="K2" s="2">
        <v>50</v>
      </c>
      <c r="L2">
        <v>1</v>
      </c>
      <c r="M2" s="3">
        <v>1</v>
      </c>
      <c r="N2" s="2">
        <v>50</v>
      </c>
      <c r="P2" t="s">
        <v>362</v>
      </c>
    </row>
    <row r="3" spans="1:16" x14ac:dyDescent="0.25">
      <c r="A3" s="8">
        <v>102188291300</v>
      </c>
      <c r="B3" s="8" t="str">
        <f t="shared" ref="B3:B66" si="0">CONCATENATE(A3,0)</f>
        <v>1021882913000</v>
      </c>
      <c r="C3" s="8" t="str">
        <f t="shared" ref="C3:C66" si="1">CONCATENATE(A3,"OVR")</f>
        <v>102188291300OVR</v>
      </c>
      <c r="D3" t="s">
        <v>117</v>
      </c>
      <c r="E3">
        <v>20411454</v>
      </c>
      <c r="F3" t="s">
        <v>376</v>
      </c>
      <c r="G3" t="s">
        <v>57</v>
      </c>
      <c r="H3" t="s">
        <v>115</v>
      </c>
      <c r="I3" s="1">
        <v>45901</v>
      </c>
      <c r="J3" s="2">
        <v>0</v>
      </c>
      <c r="K3" s="2">
        <v>50</v>
      </c>
      <c r="L3">
        <v>1</v>
      </c>
      <c r="M3" s="3">
        <v>1</v>
      </c>
      <c r="N3" s="2">
        <v>50</v>
      </c>
      <c r="P3" t="s">
        <v>362</v>
      </c>
    </row>
    <row r="4" spans="1:16" x14ac:dyDescent="0.25">
      <c r="A4" s="8">
        <v>102188496900</v>
      </c>
      <c r="B4" s="8" t="str">
        <f t="shared" si="0"/>
        <v>1021884969000</v>
      </c>
      <c r="C4" s="8" t="str">
        <f t="shared" si="1"/>
        <v>102188496900OVR</v>
      </c>
      <c r="D4" t="s">
        <v>119</v>
      </c>
      <c r="E4">
        <v>20411454</v>
      </c>
      <c r="F4" t="s">
        <v>376</v>
      </c>
      <c r="G4" t="s">
        <v>57</v>
      </c>
      <c r="H4" t="s">
        <v>115</v>
      </c>
      <c r="I4" s="1">
        <v>45901</v>
      </c>
      <c r="J4" s="2">
        <v>0</v>
      </c>
      <c r="K4" s="2">
        <v>50</v>
      </c>
      <c r="L4">
        <v>1</v>
      </c>
      <c r="M4" s="3">
        <v>1</v>
      </c>
      <c r="N4" s="2">
        <v>50</v>
      </c>
      <c r="P4" t="s">
        <v>362</v>
      </c>
    </row>
    <row r="5" spans="1:16" x14ac:dyDescent="0.25">
      <c r="A5" s="8">
        <v>102188520000</v>
      </c>
      <c r="B5" s="8" t="str">
        <f t="shared" si="0"/>
        <v>1021885200000</v>
      </c>
      <c r="C5" s="8" t="str">
        <f t="shared" si="1"/>
        <v>102188520000OVR</v>
      </c>
      <c r="D5" t="s">
        <v>123</v>
      </c>
      <c r="E5">
        <v>20411454</v>
      </c>
      <c r="F5" t="s">
        <v>376</v>
      </c>
      <c r="G5" t="s">
        <v>57</v>
      </c>
      <c r="H5" t="s">
        <v>115</v>
      </c>
      <c r="I5" s="1">
        <v>45962</v>
      </c>
      <c r="J5" s="2">
        <v>0</v>
      </c>
      <c r="K5" s="2">
        <v>50</v>
      </c>
      <c r="L5">
        <v>1</v>
      </c>
      <c r="M5" s="3">
        <v>1</v>
      </c>
      <c r="N5" s="2">
        <v>50</v>
      </c>
      <c r="P5" t="s">
        <v>362</v>
      </c>
    </row>
    <row r="6" spans="1:16" x14ac:dyDescent="0.25">
      <c r="A6" s="8">
        <v>102189582400</v>
      </c>
      <c r="B6" s="8" t="str">
        <f t="shared" si="0"/>
        <v>1021895824000</v>
      </c>
      <c r="C6" s="8" t="str">
        <f t="shared" si="1"/>
        <v>102189582400OVR</v>
      </c>
      <c r="D6" t="s">
        <v>131</v>
      </c>
      <c r="E6">
        <v>20411454</v>
      </c>
      <c r="F6" t="s">
        <v>376</v>
      </c>
      <c r="G6" t="s">
        <v>57</v>
      </c>
      <c r="H6" t="s">
        <v>115</v>
      </c>
      <c r="I6" s="1">
        <v>45931</v>
      </c>
      <c r="J6" s="2">
        <v>0</v>
      </c>
      <c r="K6" s="2">
        <v>50</v>
      </c>
      <c r="L6">
        <v>1</v>
      </c>
      <c r="M6" s="3">
        <v>1</v>
      </c>
      <c r="N6" s="2">
        <v>50</v>
      </c>
      <c r="P6" t="s">
        <v>362</v>
      </c>
    </row>
    <row r="7" spans="1:16" x14ac:dyDescent="0.25">
      <c r="A7" s="8">
        <v>102189788900</v>
      </c>
      <c r="B7" s="8" t="str">
        <f t="shared" si="0"/>
        <v>1021897889000</v>
      </c>
      <c r="C7" s="8" t="str">
        <f t="shared" si="1"/>
        <v>102189788900OVR</v>
      </c>
      <c r="D7" t="s">
        <v>138</v>
      </c>
      <c r="E7">
        <v>20411454</v>
      </c>
      <c r="F7" t="s">
        <v>376</v>
      </c>
      <c r="G7" t="s">
        <v>57</v>
      </c>
      <c r="H7" t="s">
        <v>115</v>
      </c>
      <c r="I7" s="1">
        <v>45931</v>
      </c>
      <c r="J7" s="2">
        <v>0</v>
      </c>
      <c r="K7" s="2">
        <v>50</v>
      </c>
      <c r="L7">
        <v>1</v>
      </c>
      <c r="M7" s="3">
        <v>1</v>
      </c>
      <c r="N7" s="2">
        <v>50</v>
      </c>
      <c r="P7" t="s">
        <v>362</v>
      </c>
    </row>
    <row r="8" spans="1:16" x14ac:dyDescent="0.25">
      <c r="A8" s="8">
        <v>102189954200</v>
      </c>
      <c r="B8" s="8" t="str">
        <f t="shared" si="0"/>
        <v>1021899542000</v>
      </c>
      <c r="C8" s="8" t="str">
        <f t="shared" si="1"/>
        <v>102189954200OVR</v>
      </c>
      <c r="D8" t="s">
        <v>140</v>
      </c>
      <c r="E8">
        <v>20411454</v>
      </c>
      <c r="F8" t="s">
        <v>376</v>
      </c>
      <c r="G8" t="s">
        <v>57</v>
      </c>
      <c r="H8" t="s">
        <v>115</v>
      </c>
      <c r="I8" s="1">
        <v>45931</v>
      </c>
      <c r="J8" s="2">
        <v>0</v>
      </c>
      <c r="K8" s="2">
        <v>50</v>
      </c>
      <c r="L8">
        <v>1</v>
      </c>
      <c r="M8" s="3">
        <v>1</v>
      </c>
      <c r="N8" s="2">
        <v>50</v>
      </c>
      <c r="P8" t="s">
        <v>362</v>
      </c>
    </row>
    <row r="9" spans="1:16" x14ac:dyDescent="0.25">
      <c r="A9" s="8">
        <v>102190026200</v>
      </c>
      <c r="B9" s="8" t="str">
        <f t="shared" si="0"/>
        <v>1021900262000</v>
      </c>
      <c r="C9" s="8" t="str">
        <f t="shared" si="1"/>
        <v>102190026200OVR</v>
      </c>
      <c r="D9" t="s">
        <v>142</v>
      </c>
      <c r="E9">
        <v>20411454</v>
      </c>
      <c r="F9" t="s">
        <v>376</v>
      </c>
      <c r="G9" t="s">
        <v>57</v>
      </c>
      <c r="H9" t="s">
        <v>115</v>
      </c>
      <c r="I9" s="1">
        <v>45962</v>
      </c>
      <c r="J9" s="2">
        <v>0</v>
      </c>
      <c r="K9" s="2">
        <v>50</v>
      </c>
      <c r="L9">
        <v>1</v>
      </c>
      <c r="M9" s="3">
        <v>1</v>
      </c>
      <c r="N9" s="2">
        <v>50</v>
      </c>
      <c r="P9" t="s">
        <v>362</v>
      </c>
    </row>
    <row r="10" spans="1:16" x14ac:dyDescent="0.25">
      <c r="A10" s="8">
        <v>102190030600</v>
      </c>
      <c r="B10" s="8" t="str">
        <f t="shared" si="0"/>
        <v>1021900306000</v>
      </c>
      <c r="C10" s="8" t="str">
        <f t="shared" si="1"/>
        <v>102190030600OVR</v>
      </c>
      <c r="D10" t="s">
        <v>146</v>
      </c>
      <c r="E10">
        <v>20411454</v>
      </c>
      <c r="F10" t="s">
        <v>376</v>
      </c>
      <c r="G10" t="s">
        <v>57</v>
      </c>
      <c r="H10" t="s">
        <v>115</v>
      </c>
      <c r="I10" s="1">
        <v>45962</v>
      </c>
      <c r="J10" s="2">
        <v>0</v>
      </c>
      <c r="K10" s="2">
        <v>50</v>
      </c>
      <c r="L10">
        <v>1</v>
      </c>
      <c r="M10" s="3">
        <v>1</v>
      </c>
      <c r="N10" s="2">
        <v>50</v>
      </c>
      <c r="P10" t="s">
        <v>362</v>
      </c>
    </row>
    <row r="11" spans="1:16" x14ac:dyDescent="0.25">
      <c r="A11" s="8">
        <v>102190156500</v>
      </c>
      <c r="B11" s="8" t="str">
        <f t="shared" si="0"/>
        <v>1021901565000</v>
      </c>
      <c r="C11" s="8" t="str">
        <f t="shared" si="1"/>
        <v>102190156500OVR</v>
      </c>
      <c r="D11" t="s">
        <v>150</v>
      </c>
      <c r="E11">
        <v>20411454</v>
      </c>
      <c r="F11" t="s">
        <v>376</v>
      </c>
      <c r="G11" t="s">
        <v>57</v>
      </c>
      <c r="H11" t="s">
        <v>115</v>
      </c>
      <c r="I11" s="1">
        <v>45870</v>
      </c>
      <c r="J11" s="2">
        <v>0</v>
      </c>
      <c r="K11" s="2">
        <v>50</v>
      </c>
      <c r="L11">
        <v>1</v>
      </c>
      <c r="M11" s="3">
        <v>1</v>
      </c>
      <c r="N11" s="2">
        <v>50</v>
      </c>
      <c r="P11" t="s">
        <v>362</v>
      </c>
    </row>
    <row r="12" spans="1:16" x14ac:dyDescent="0.25">
      <c r="A12" s="8">
        <v>102190173100</v>
      </c>
      <c r="B12" s="8" t="str">
        <f t="shared" si="0"/>
        <v>1021901731000</v>
      </c>
      <c r="C12" s="8" t="str">
        <f t="shared" si="1"/>
        <v>102190173100OVR</v>
      </c>
      <c r="D12" t="s">
        <v>154</v>
      </c>
      <c r="E12">
        <v>20411454</v>
      </c>
      <c r="F12" t="s">
        <v>376</v>
      </c>
      <c r="G12" t="s">
        <v>57</v>
      </c>
      <c r="H12" t="s">
        <v>115</v>
      </c>
      <c r="I12" s="1">
        <v>45901</v>
      </c>
      <c r="J12" s="2">
        <v>0</v>
      </c>
      <c r="K12" s="2">
        <v>50</v>
      </c>
      <c r="L12">
        <v>1</v>
      </c>
      <c r="M12" s="3">
        <v>1</v>
      </c>
      <c r="N12" s="2">
        <v>50</v>
      </c>
      <c r="P12" t="s">
        <v>362</v>
      </c>
    </row>
    <row r="13" spans="1:16" x14ac:dyDescent="0.25">
      <c r="A13" s="8">
        <v>102190223100</v>
      </c>
      <c r="B13" s="8" t="str">
        <f t="shared" si="0"/>
        <v>1021902231000</v>
      </c>
      <c r="C13" s="8" t="str">
        <f t="shared" si="1"/>
        <v>102190223100OVR</v>
      </c>
      <c r="D13" t="s">
        <v>158</v>
      </c>
      <c r="E13">
        <v>20411454</v>
      </c>
      <c r="F13" t="s">
        <v>376</v>
      </c>
      <c r="G13" t="s">
        <v>57</v>
      </c>
      <c r="H13" t="s">
        <v>115</v>
      </c>
      <c r="I13" s="1">
        <v>45901</v>
      </c>
      <c r="J13" s="2">
        <v>0</v>
      </c>
      <c r="K13" s="2">
        <v>50</v>
      </c>
      <c r="L13">
        <v>1</v>
      </c>
      <c r="M13" s="3">
        <v>1</v>
      </c>
      <c r="N13" s="2">
        <v>50</v>
      </c>
      <c r="P13" t="s">
        <v>362</v>
      </c>
    </row>
    <row r="14" spans="1:16" x14ac:dyDescent="0.25">
      <c r="A14" s="8">
        <v>102190247800</v>
      </c>
      <c r="B14" s="8" t="str">
        <f t="shared" si="0"/>
        <v>1021902478000</v>
      </c>
      <c r="C14" s="8" t="str">
        <f t="shared" si="1"/>
        <v>102190247800OVR</v>
      </c>
      <c r="D14" t="s">
        <v>162</v>
      </c>
      <c r="E14">
        <v>20411454</v>
      </c>
      <c r="F14" t="s">
        <v>376</v>
      </c>
      <c r="G14" t="s">
        <v>57</v>
      </c>
      <c r="H14" t="s">
        <v>115</v>
      </c>
      <c r="I14" s="1">
        <v>45901</v>
      </c>
      <c r="J14" s="2">
        <v>0</v>
      </c>
      <c r="K14" s="2">
        <v>50</v>
      </c>
      <c r="L14">
        <v>1</v>
      </c>
      <c r="M14" s="3">
        <v>1</v>
      </c>
      <c r="N14" s="2">
        <v>50</v>
      </c>
      <c r="P14" t="s">
        <v>362</v>
      </c>
    </row>
    <row r="15" spans="1:16" x14ac:dyDescent="0.25">
      <c r="A15" s="8">
        <v>102190262300</v>
      </c>
      <c r="B15" s="8" t="str">
        <f t="shared" si="0"/>
        <v>1021902623000</v>
      </c>
      <c r="C15" s="8" t="str">
        <f t="shared" si="1"/>
        <v>102190262300OVR</v>
      </c>
      <c r="D15" t="s">
        <v>164</v>
      </c>
      <c r="E15">
        <v>20411454</v>
      </c>
      <c r="F15" t="s">
        <v>376</v>
      </c>
      <c r="G15" t="s">
        <v>57</v>
      </c>
      <c r="H15" t="s">
        <v>115</v>
      </c>
      <c r="I15" s="1">
        <v>45901</v>
      </c>
      <c r="J15" s="2">
        <v>0</v>
      </c>
      <c r="K15" s="2">
        <v>50</v>
      </c>
      <c r="L15">
        <v>1</v>
      </c>
      <c r="M15" s="3">
        <v>1</v>
      </c>
      <c r="N15" s="2">
        <v>50</v>
      </c>
      <c r="P15" t="s">
        <v>362</v>
      </c>
    </row>
    <row r="16" spans="1:16" x14ac:dyDescent="0.25">
      <c r="A16" s="8">
        <v>102190732500</v>
      </c>
      <c r="B16" s="8" t="str">
        <f t="shared" si="0"/>
        <v>1021907325000</v>
      </c>
      <c r="C16" s="8" t="str">
        <f t="shared" si="1"/>
        <v>102190732500OVR</v>
      </c>
      <c r="D16" t="s">
        <v>166</v>
      </c>
      <c r="E16">
        <v>20411454</v>
      </c>
      <c r="F16" t="s">
        <v>376</v>
      </c>
      <c r="G16" t="s">
        <v>57</v>
      </c>
      <c r="H16" t="s">
        <v>115</v>
      </c>
      <c r="I16" s="1">
        <v>45931</v>
      </c>
      <c r="J16" s="2">
        <v>0</v>
      </c>
      <c r="K16" s="2">
        <v>50</v>
      </c>
      <c r="L16">
        <v>1</v>
      </c>
      <c r="M16" s="3">
        <v>1</v>
      </c>
      <c r="N16" s="2">
        <v>50</v>
      </c>
      <c r="P16" t="s">
        <v>362</v>
      </c>
    </row>
    <row r="17" spans="1:16" x14ac:dyDescent="0.25">
      <c r="A17" s="8">
        <v>102190771300</v>
      </c>
      <c r="B17" s="8" t="str">
        <f t="shared" si="0"/>
        <v>1021907713000</v>
      </c>
      <c r="C17" s="8" t="str">
        <f t="shared" si="1"/>
        <v>102190771300OVR</v>
      </c>
      <c r="D17" t="s">
        <v>169</v>
      </c>
      <c r="E17">
        <v>20411454</v>
      </c>
      <c r="F17" t="s">
        <v>376</v>
      </c>
      <c r="G17" t="s">
        <v>57</v>
      </c>
      <c r="H17" t="s">
        <v>115</v>
      </c>
      <c r="I17" s="1">
        <v>45901</v>
      </c>
      <c r="J17" s="2">
        <v>0</v>
      </c>
      <c r="K17" s="2">
        <v>50</v>
      </c>
      <c r="L17">
        <v>1</v>
      </c>
      <c r="M17" s="3">
        <v>1</v>
      </c>
      <c r="N17" s="2">
        <v>50</v>
      </c>
      <c r="P17" t="s">
        <v>362</v>
      </c>
    </row>
    <row r="18" spans="1:16" x14ac:dyDescent="0.25">
      <c r="A18" s="8">
        <v>102190934800</v>
      </c>
      <c r="B18" s="8" t="str">
        <f t="shared" si="0"/>
        <v>1021909348000</v>
      </c>
      <c r="C18" s="8" t="str">
        <f t="shared" si="1"/>
        <v>102190934800OVR</v>
      </c>
      <c r="D18" t="s">
        <v>173</v>
      </c>
      <c r="E18">
        <v>20411454</v>
      </c>
      <c r="F18" t="s">
        <v>376</v>
      </c>
      <c r="G18" t="s">
        <v>57</v>
      </c>
      <c r="H18" t="s">
        <v>115</v>
      </c>
      <c r="I18" s="1">
        <v>45901</v>
      </c>
      <c r="J18" s="2">
        <v>0</v>
      </c>
      <c r="K18" s="2">
        <v>50</v>
      </c>
      <c r="L18">
        <v>1</v>
      </c>
      <c r="M18" s="3">
        <v>1</v>
      </c>
      <c r="N18" s="2">
        <v>50</v>
      </c>
      <c r="P18" t="s">
        <v>362</v>
      </c>
    </row>
    <row r="19" spans="1:16" x14ac:dyDescent="0.25">
      <c r="A19" s="8">
        <v>102190996400</v>
      </c>
      <c r="B19" s="8" t="str">
        <f t="shared" si="0"/>
        <v>1021909964000</v>
      </c>
      <c r="C19" s="8" t="str">
        <f t="shared" si="1"/>
        <v>102190996400OVR</v>
      </c>
      <c r="D19" t="s">
        <v>175</v>
      </c>
      <c r="E19">
        <v>20411454</v>
      </c>
      <c r="F19" t="s">
        <v>376</v>
      </c>
      <c r="G19" t="s">
        <v>57</v>
      </c>
      <c r="H19" t="s">
        <v>115</v>
      </c>
      <c r="I19" s="1">
        <v>45901</v>
      </c>
      <c r="J19" s="2">
        <v>0</v>
      </c>
      <c r="K19" s="2">
        <v>50</v>
      </c>
      <c r="L19">
        <v>1</v>
      </c>
      <c r="M19" s="3">
        <v>1</v>
      </c>
      <c r="N19" s="2">
        <v>50</v>
      </c>
      <c r="P19" t="s">
        <v>362</v>
      </c>
    </row>
    <row r="20" spans="1:16" x14ac:dyDescent="0.25">
      <c r="A20" s="8">
        <v>102191007700</v>
      </c>
      <c r="B20" s="8" t="str">
        <f t="shared" si="0"/>
        <v>1021910077000</v>
      </c>
      <c r="C20" s="8" t="str">
        <f t="shared" si="1"/>
        <v>102191007700OVR</v>
      </c>
      <c r="D20" t="s">
        <v>178</v>
      </c>
      <c r="E20">
        <v>20411454</v>
      </c>
      <c r="F20" t="s">
        <v>376</v>
      </c>
      <c r="G20" t="s">
        <v>57</v>
      </c>
      <c r="H20" t="s">
        <v>115</v>
      </c>
      <c r="I20" s="1">
        <v>45901</v>
      </c>
      <c r="J20" s="2">
        <v>0</v>
      </c>
      <c r="K20" s="2">
        <v>50</v>
      </c>
      <c r="L20">
        <v>1</v>
      </c>
      <c r="M20" s="3">
        <v>1</v>
      </c>
      <c r="N20" s="2">
        <v>50</v>
      </c>
      <c r="P20" t="s">
        <v>362</v>
      </c>
    </row>
    <row r="21" spans="1:16" x14ac:dyDescent="0.25">
      <c r="A21" s="8">
        <v>102191010500</v>
      </c>
      <c r="B21" s="8" t="str">
        <f t="shared" si="0"/>
        <v>1021910105000</v>
      </c>
      <c r="C21" s="8" t="str">
        <f t="shared" si="1"/>
        <v>102191010500OVR</v>
      </c>
      <c r="D21" t="s">
        <v>180</v>
      </c>
      <c r="E21">
        <v>20411454</v>
      </c>
      <c r="F21" t="s">
        <v>376</v>
      </c>
      <c r="G21" t="s">
        <v>57</v>
      </c>
      <c r="H21" t="s">
        <v>115</v>
      </c>
      <c r="I21" s="1">
        <v>45931</v>
      </c>
      <c r="J21" s="2">
        <v>0</v>
      </c>
      <c r="K21" s="2">
        <v>50</v>
      </c>
      <c r="L21">
        <v>1</v>
      </c>
      <c r="M21" s="3">
        <v>1</v>
      </c>
      <c r="N21" s="2">
        <v>50</v>
      </c>
      <c r="P21" t="s">
        <v>362</v>
      </c>
    </row>
    <row r="22" spans="1:16" x14ac:dyDescent="0.25">
      <c r="A22" s="8">
        <v>102191441500</v>
      </c>
      <c r="B22" s="8" t="str">
        <f t="shared" si="0"/>
        <v>1021914415000</v>
      </c>
      <c r="C22" s="8" t="str">
        <f t="shared" si="1"/>
        <v>102191441500OVR</v>
      </c>
      <c r="D22" t="s">
        <v>184</v>
      </c>
      <c r="E22">
        <v>20411454</v>
      </c>
      <c r="F22" t="s">
        <v>376</v>
      </c>
      <c r="G22" t="s">
        <v>57</v>
      </c>
      <c r="H22" t="s">
        <v>115</v>
      </c>
      <c r="I22" s="1">
        <v>45901</v>
      </c>
      <c r="J22" s="2">
        <v>0</v>
      </c>
      <c r="K22" s="2">
        <v>50</v>
      </c>
      <c r="L22">
        <v>1</v>
      </c>
      <c r="M22" s="3">
        <v>1</v>
      </c>
      <c r="N22" s="2">
        <v>50</v>
      </c>
      <c r="P22" t="s">
        <v>362</v>
      </c>
    </row>
    <row r="23" spans="1:16" x14ac:dyDescent="0.25">
      <c r="A23" s="8">
        <v>102191654400</v>
      </c>
      <c r="B23" s="8" t="str">
        <f t="shared" si="0"/>
        <v>1021916544000</v>
      </c>
      <c r="C23" s="8" t="str">
        <f t="shared" si="1"/>
        <v>102191654400OVR</v>
      </c>
      <c r="D23" t="s">
        <v>186</v>
      </c>
      <c r="E23">
        <v>20411454</v>
      </c>
      <c r="F23" t="s">
        <v>376</v>
      </c>
      <c r="G23" t="s">
        <v>57</v>
      </c>
      <c r="H23" t="s">
        <v>115</v>
      </c>
      <c r="I23" s="1">
        <v>45931</v>
      </c>
      <c r="J23" s="2">
        <v>0</v>
      </c>
      <c r="K23" s="2">
        <v>50</v>
      </c>
      <c r="L23">
        <v>1</v>
      </c>
      <c r="M23" s="3">
        <v>1</v>
      </c>
      <c r="N23" s="2">
        <v>50</v>
      </c>
      <c r="P23" t="s">
        <v>362</v>
      </c>
    </row>
    <row r="24" spans="1:16" x14ac:dyDescent="0.25">
      <c r="A24" s="8">
        <v>102191790000</v>
      </c>
      <c r="B24" s="8" t="str">
        <f t="shared" si="0"/>
        <v>1021917900000</v>
      </c>
      <c r="C24" s="8" t="str">
        <f t="shared" si="1"/>
        <v>102191790000OVR</v>
      </c>
      <c r="D24" t="s">
        <v>189</v>
      </c>
      <c r="E24">
        <v>20411454</v>
      </c>
      <c r="F24" t="s">
        <v>376</v>
      </c>
      <c r="G24" t="s">
        <v>57</v>
      </c>
      <c r="H24" t="s">
        <v>115</v>
      </c>
      <c r="I24" s="1">
        <v>45901</v>
      </c>
      <c r="J24" s="2">
        <v>0</v>
      </c>
      <c r="K24" s="2">
        <v>50</v>
      </c>
      <c r="L24">
        <v>1</v>
      </c>
      <c r="M24" s="3">
        <v>1</v>
      </c>
      <c r="N24" s="2">
        <v>50</v>
      </c>
      <c r="P24" t="s">
        <v>362</v>
      </c>
    </row>
    <row r="25" spans="1:16" x14ac:dyDescent="0.25">
      <c r="A25" s="8">
        <v>102192129000</v>
      </c>
      <c r="B25" s="8" t="str">
        <f t="shared" si="0"/>
        <v>1021921290000</v>
      </c>
      <c r="C25" s="8" t="str">
        <f t="shared" si="1"/>
        <v>102192129000OVR</v>
      </c>
      <c r="D25" t="s">
        <v>193</v>
      </c>
      <c r="E25">
        <v>20411454</v>
      </c>
      <c r="F25" t="s">
        <v>376</v>
      </c>
      <c r="G25" t="s">
        <v>57</v>
      </c>
      <c r="H25" t="s">
        <v>115</v>
      </c>
      <c r="I25" s="1">
        <v>45901</v>
      </c>
      <c r="J25" s="2">
        <v>0</v>
      </c>
      <c r="K25" s="2">
        <v>50</v>
      </c>
      <c r="L25">
        <v>1</v>
      </c>
      <c r="M25" s="3">
        <v>1</v>
      </c>
      <c r="N25" s="2">
        <v>50</v>
      </c>
      <c r="P25" t="s">
        <v>362</v>
      </c>
    </row>
    <row r="26" spans="1:16" x14ac:dyDescent="0.25">
      <c r="A26" s="8">
        <v>102192327300</v>
      </c>
      <c r="B26" s="8" t="str">
        <f t="shared" si="0"/>
        <v>1021923273000</v>
      </c>
      <c r="C26" s="8" t="str">
        <f t="shared" si="1"/>
        <v>102192327300OVR</v>
      </c>
      <c r="D26" t="s">
        <v>195</v>
      </c>
      <c r="E26">
        <v>20411454</v>
      </c>
      <c r="F26" t="s">
        <v>376</v>
      </c>
      <c r="G26" t="s">
        <v>57</v>
      </c>
      <c r="H26" t="s">
        <v>115</v>
      </c>
      <c r="I26" s="1">
        <v>45962</v>
      </c>
      <c r="J26" s="2">
        <v>0</v>
      </c>
      <c r="K26" s="2">
        <v>50</v>
      </c>
      <c r="L26">
        <v>1</v>
      </c>
      <c r="M26" s="3">
        <v>1</v>
      </c>
      <c r="N26" s="2">
        <v>50</v>
      </c>
      <c r="P26" t="s">
        <v>362</v>
      </c>
    </row>
    <row r="27" spans="1:16" x14ac:dyDescent="0.25">
      <c r="A27" s="8">
        <v>102192330700</v>
      </c>
      <c r="B27" s="8" t="str">
        <f t="shared" si="0"/>
        <v>1021923307000</v>
      </c>
      <c r="C27" s="8" t="str">
        <f t="shared" si="1"/>
        <v>102192330700OVR</v>
      </c>
      <c r="D27" t="s">
        <v>197</v>
      </c>
      <c r="E27">
        <v>20411454</v>
      </c>
      <c r="F27" t="s">
        <v>376</v>
      </c>
      <c r="G27" t="s">
        <v>57</v>
      </c>
      <c r="H27" t="s">
        <v>115</v>
      </c>
      <c r="I27" s="1">
        <v>45901</v>
      </c>
      <c r="J27" s="2">
        <v>0</v>
      </c>
      <c r="K27" s="2">
        <v>50</v>
      </c>
      <c r="L27">
        <v>1</v>
      </c>
      <c r="M27" s="3">
        <v>1</v>
      </c>
      <c r="N27" s="2">
        <v>50</v>
      </c>
      <c r="P27" t="s">
        <v>362</v>
      </c>
    </row>
    <row r="28" spans="1:16" x14ac:dyDescent="0.25">
      <c r="A28" s="8">
        <v>102193141200</v>
      </c>
      <c r="B28" s="8" t="str">
        <f t="shared" si="0"/>
        <v>1021931412000</v>
      </c>
      <c r="C28" s="8" t="str">
        <f t="shared" si="1"/>
        <v>102193141200OVR</v>
      </c>
      <c r="D28" t="s">
        <v>199</v>
      </c>
      <c r="E28">
        <v>20411454</v>
      </c>
      <c r="F28" t="s">
        <v>376</v>
      </c>
      <c r="G28" t="s">
        <v>57</v>
      </c>
      <c r="H28" t="s">
        <v>115</v>
      </c>
      <c r="I28" s="1">
        <v>45901</v>
      </c>
      <c r="J28" s="2">
        <v>0</v>
      </c>
      <c r="K28" s="2">
        <v>50</v>
      </c>
      <c r="L28">
        <v>1</v>
      </c>
      <c r="M28" s="3">
        <v>1</v>
      </c>
      <c r="N28" s="2">
        <v>50</v>
      </c>
      <c r="P28" t="s">
        <v>362</v>
      </c>
    </row>
    <row r="29" spans="1:16" x14ac:dyDescent="0.25">
      <c r="A29" s="8">
        <v>102086397800</v>
      </c>
      <c r="B29" s="8" t="str">
        <f t="shared" si="0"/>
        <v>1020863978000</v>
      </c>
      <c r="C29" s="8" t="str">
        <f t="shared" si="1"/>
        <v>102086397800OVR</v>
      </c>
      <c r="D29" t="s">
        <v>281</v>
      </c>
      <c r="E29">
        <v>20411454</v>
      </c>
      <c r="F29" t="s">
        <v>376</v>
      </c>
      <c r="G29" t="s">
        <v>270</v>
      </c>
      <c r="H29" t="s">
        <v>115</v>
      </c>
      <c r="I29" s="1">
        <v>45658</v>
      </c>
      <c r="N29">
        <v>-50</v>
      </c>
      <c r="P29" t="s">
        <v>362</v>
      </c>
    </row>
    <row r="30" spans="1:16" x14ac:dyDescent="0.25">
      <c r="A30" s="8">
        <v>102189347200</v>
      </c>
      <c r="B30" s="8" t="str">
        <f t="shared" si="0"/>
        <v>1021893472000</v>
      </c>
      <c r="C30" s="8" t="str">
        <f t="shared" si="1"/>
        <v>102189347200OVR</v>
      </c>
      <c r="D30" t="s">
        <v>125</v>
      </c>
      <c r="E30">
        <v>20411454</v>
      </c>
      <c r="F30" t="s">
        <v>376</v>
      </c>
      <c r="G30" t="s">
        <v>57</v>
      </c>
      <c r="H30" t="s">
        <v>129</v>
      </c>
      <c r="I30" s="1">
        <v>45870</v>
      </c>
      <c r="J30" s="2">
        <v>0</v>
      </c>
      <c r="K30" s="2">
        <v>40</v>
      </c>
      <c r="L30">
        <v>1</v>
      </c>
      <c r="M30" s="3">
        <v>1</v>
      </c>
      <c r="N30" s="2">
        <v>40</v>
      </c>
      <c r="P30" t="s">
        <v>362</v>
      </c>
    </row>
    <row r="31" spans="1:16" x14ac:dyDescent="0.25">
      <c r="A31" s="8">
        <v>102189713800</v>
      </c>
      <c r="B31" s="8" t="str">
        <f t="shared" si="0"/>
        <v>1021897138000</v>
      </c>
      <c r="C31" s="8" t="str">
        <f t="shared" si="1"/>
        <v>102189713800OVR</v>
      </c>
      <c r="D31" t="s">
        <v>134</v>
      </c>
      <c r="E31">
        <v>20411454</v>
      </c>
      <c r="F31" t="s">
        <v>376</v>
      </c>
      <c r="G31" t="s">
        <v>57</v>
      </c>
      <c r="H31" t="s">
        <v>129</v>
      </c>
      <c r="I31" s="1">
        <v>45901</v>
      </c>
      <c r="J31" s="2">
        <v>0</v>
      </c>
      <c r="K31" s="2">
        <v>40</v>
      </c>
      <c r="L31">
        <v>1</v>
      </c>
      <c r="M31" s="3">
        <v>1</v>
      </c>
      <c r="N31" s="2">
        <v>40</v>
      </c>
      <c r="P31" t="s">
        <v>362</v>
      </c>
    </row>
    <row r="32" spans="1:16" x14ac:dyDescent="0.25">
      <c r="A32" s="8">
        <v>102190169900</v>
      </c>
      <c r="B32" s="8" t="str">
        <f t="shared" si="0"/>
        <v>1021901699000</v>
      </c>
      <c r="C32" s="8" t="str">
        <f t="shared" si="1"/>
        <v>102190169900OVR</v>
      </c>
      <c r="D32" t="s">
        <v>152</v>
      </c>
      <c r="E32">
        <v>20411454</v>
      </c>
      <c r="F32" t="s">
        <v>376</v>
      </c>
      <c r="G32" t="s">
        <v>57</v>
      </c>
      <c r="H32" t="s">
        <v>129</v>
      </c>
      <c r="I32" s="1">
        <v>45901</v>
      </c>
      <c r="J32" s="2">
        <v>0</v>
      </c>
      <c r="K32" s="2">
        <v>40</v>
      </c>
      <c r="L32">
        <v>1</v>
      </c>
      <c r="M32" s="3">
        <v>1</v>
      </c>
      <c r="N32" s="2">
        <v>40</v>
      </c>
      <c r="P32" t="s">
        <v>362</v>
      </c>
    </row>
    <row r="33" spans="1:16" x14ac:dyDescent="0.25">
      <c r="A33" s="8">
        <v>102190926800</v>
      </c>
      <c r="B33" s="8" t="str">
        <f t="shared" si="0"/>
        <v>1021909268000</v>
      </c>
      <c r="C33" s="8" t="str">
        <f t="shared" si="1"/>
        <v>102190926800OVR</v>
      </c>
      <c r="D33" t="s">
        <v>171</v>
      </c>
      <c r="E33">
        <v>20411454</v>
      </c>
      <c r="F33" t="s">
        <v>376</v>
      </c>
      <c r="G33" t="s">
        <v>57</v>
      </c>
      <c r="H33" t="s">
        <v>129</v>
      </c>
      <c r="I33" s="1">
        <v>45901</v>
      </c>
      <c r="J33" s="2">
        <v>0</v>
      </c>
      <c r="K33" s="2">
        <v>40</v>
      </c>
      <c r="L33">
        <v>1</v>
      </c>
      <c r="M33" s="3">
        <v>1</v>
      </c>
      <c r="N33" s="2">
        <v>40</v>
      </c>
      <c r="P33" t="s">
        <v>362</v>
      </c>
    </row>
    <row r="34" spans="1:16" x14ac:dyDescent="0.25">
      <c r="A34" s="8">
        <v>101626509000</v>
      </c>
      <c r="B34" s="8" t="str">
        <f t="shared" si="0"/>
        <v>1016265090000</v>
      </c>
      <c r="C34" s="8" t="str">
        <f t="shared" si="1"/>
        <v>101626509000OVR</v>
      </c>
      <c r="D34" t="s">
        <v>102</v>
      </c>
      <c r="E34">
        <v>20411454</v>
      </c>
      <c r="F34" t="s">
        <v>376</v>
      </c>
      <c r="G34" t="s">
        <v>57</v>
      </c>
      <c r="H34" t="s">
        <v>105</v>
      </c>
      <c r="I34" s="1">
        <v>45931</v>
      </c>
      <c r="J34" s="2">
        <v>0</v>
      </c>
      <c r="K34" s="2">
        <v>12.5</v>
      </c>
      <c r="L34">
        <v>1</v>
      </c>
      <c r="M34" s="3">
        <v>1</v>
      </c>
      <c r="N34" s="2">
        <v>12.5</v>
      </c>
      <c r="O34" t="s">
        <v>106</v>
      </c>
      <c r="P34" t="s">
        <v>362</v>
      </c>
    </row>
    <row r="35" spans="1:16" x14ac:dyDescent="0.25">
      <c r="A35" s="8">
        <v>102116172700</v>
      </c>
      <c r="B35" s="8" t="str">
        <f t="shared" si="0"/>
        <v>1021161727000</v>
      </c>
      <c r="C35" s="8" t="str">
        <f t="shared" si="1"/>
        <v>102116172700OVR</v>
      </c>
      <c r="D35" t="s">
        <v>108</v>
      </c>
      <c r="E35">
        <v>20411454</v>
      </c>
      <c r="F35" t="s">
        <v>376</v>
      </c>
      <c r="G35" t="s">
        <v>57</v>
      </c>
      <c r="H35" t="s">
        <v>105</v>
      </c>
      <c r="I35" s="1">
        <v>45901</v>
      </c>
      <c r="J35" s="2">
        <v>0</v>
      </c>
      <c r="K35" s="2">
        <v>16.670000000000002</v>
      </c>
      <c r="L35">
        <v>1</v>
      </c>
      <c r="M35" s="3">
        <v>1</v>
      </c>
      <c r="N35" s="2">
        <v>16.670000000000002</v>
      </c>
      <c r="O35" t="s">
        <v>109</v>
      </c>
      <c r="P35" t="s">
        <v>362</v>
      </c>
    </row>
    <row r="36" spans="1:16" x14ac:dyDescent="0.25">
      <c r="A36" s="8">
        <v>102194086500</v>
      </c>
      <c r="B36" s="8" t="str">
        <f t="shared" si="0"/>
        <v>1021940865000</v>
      </c>
      <c r="C36" s="8" t="str">
        <f t="shared" si="1"/>
        <v>102194086500OVR</v>
      </c>
      <c r="D36" t="s">
        <v>207</v>
      </c>
      <c r="E36">
        <v>20411454</v>
      </c>
      <c r="F36" t="s">
        <v>376</v>
      </c>
      <c r="G36" t="s">
        <v>57</v>
      </c>
      <c r="H36" t="s">
        <v>105</v>
      </c>
      <c r="I36" s="1">
        <v>45931</v>
      </c>
      <c r="J36" s="2">
        <v>0</v>
      </c>
      <c r="K36" s="2">
        <v>12.5</v>
      </c>
      <c r="L36">
        <v>1</v>
      </c>
      <c r="M36" s="3">
        <v>1</v>
      </c>
      <c r="N36" s="2">
        <v>12.5</v>
      </c>
      <c r="O36" t="s">
        <v>106</v>
      </c>
      <c r="P36" t="s">
        <v>362</v>
      </c>
    </row>
    <row r="37" spans="1:16" x14ac:dyDescent="0.25">
      <c r="A37" s="8">
        <v>102194308100</v>
      </c>
      <c r="B37" s="8" t="str">
        <f t="shared" si="0"/>
        <v>1021943081000</v>
      </c>
      <c r="C37" s="8" t="str">
        <f t="shared" si="1"/>
        <v>102194308100OVR</v>
      </c>
      <c r="D37" t="s">
        <v>209</v>
      </c>
      <c r="E37">
        <v>20411454</v>
      </c>
      <c r="F37" t="s">
        <v>376</v>
      </c>
      <c r="G37" t="s">
        <v>57</v>
      </c>
      <c r="H37" t="s">
        <v>105</v>
      </c>
      <c r="I37" s="1">
        <v>45931</v>
      </c>
      <c r="J37" s="2">
        <v>0</v>
      </c>
      <c r="K37" s="2">
        <v>12.5</v>
      </c>
      <c r="L37">
        <v>1</v>
      </c>
      <c r="M37" s="3">
        <v>1</v>
      </c>
      <c r="N37" s="2">
        <v>12.5</v>
      </c>
      <c r="O37" t="s">
        <v>106</v>
      </c>
      <c r="P37" t="s">
        <v>362</v>
      </c>
    </row>
    <row r="38" spans="1:16" x14ac:dyDescent="0.25">
      <c r="A38" s="8">
        <v>102187630800</v>
      </c>
      <c r="B38" s="8" t="str">
        <f t="shared" si="0"/>
        <v>1021876308000</v>
      </c>
      <c r="C38" s="8" t="str">
        <f t="shared" si="1"/>
        <v>102187630800OVR</v>
      </c>
      <c r="D38" t="s">
        <v>111</v>
      </c>
      <c r="E38">
        <v>20411454</v>
      </c>
      <c r="F38" t="s">
        <v>376</v>
      </c>
      <c r="G38" t="s">
        <v>270</v>
      </c>
      <c r="H38" t="s">
        <v>105</v>
      </c>
      <c r="I38" s="1">
        <v>45901</v>
      </c>
      <c r="N38">
        <v>-16.670000000000002</v>
      </c>
      <c r="P38" t="s">
        <v>362</v>
      </c>
    </row>
    <row r="39" spans="1:16" x14ac:dyDescent="0.25">
      <c r="A39" s="8">
        <v>102188291300</v>
      </c>
      <c r="B39" s="8" t="str">
        <f t="shared" si="0"/>
        <v>1021882913000</v>
      </c>
      <c r="C39" s="8" t="str">
        <f t="shared" si="1"/>
        <v>102188291300OVR</v>
      </c>
      <c r="D39" t="s">
        <v>117</v>
      </c>
      <c r="E39">
        <v>20411454</v>
      </c>
      <c r="F39" t="s">
        <v>376</v>
      </c>
      <c r="G39" t="s">
        <v>270</v>
      </c>
      <c r="H39" t="s">
        <v>105</v>
      </c>
      <c r="I39" s="1">
        <v>45901</v>
      </c>
      <c r="N39">
        <v>-16.670000000000002</v>
      </c>
      <c r="P39" t="s">
        <v>362</v>
      </c>
    </row>
    <row r="40" spans="1:16" x14ac:dyDescent="0.25">
      <c r="A40" s="8">
        <v>102188496900</v>
      </c>
      <c r="B40" s="8" t="str">
        <f t="shared" si="0"/>
        <v>1021884969000</v>
      </c>
      <c r="C40" s="8" t="str">
        <f t="shared" si="1"/>
        <v>102188496900OVR</v>
      </c>
      <c r="D40" t="s">
        <v>119</v>
      </c>
      <c r="E40">
        <v>20411454</v>
      </c>
      <c r="F40" t="s">
        <v>376</v>
      </c>
      <c r="G40" t="s">
        <v>270</v>
      </c>
      <c r="H40" t="s">
        <v>105</v>
      </c>
      <c r="I40" s="1">
        <v>45901</v>
      </c>
      <c r="N40">
        <v>-16.670000000000002</v>
      </c>
      <c r="P40" t="s">
        <v>362</v>
      </c>
    </row>
    <row r="41" spans="1:16" x14ac:dyDescent="0.25">
      <c r="A41" s="8">
        <v>102188520000</v>
      </c>
      <c r="B41" s="8" t="str">
        <f t="shared" si="0"/>
        <v>1021885200000</v>
      </c>
      <c r="C41" s="8" t="str">
        <f t="shared" si="1"/>
        <v>102188520000OVR</v>
      </c>
      <c r="D41" t="s">
        <v>123</v>
      </c>
      <c r="E41">
        <v>20411454</v>
      </c>
      <c r="F41" t="s">
        <v>376</v>
      </c>
      <c r="G41" t="s">
        <v>270</v>
      </c>
      <c r="H41" t="s">
        <v>105</v>
      </c>
      <c r="I41" s="1">
        <v>45962</v>
      </c>
      <c r="N41">
        <v>-8.33</v>
      </c>
      <c r="P41" t="s">
        <v>362</v>
      </c>
    </row>
    <row r="42" spans="1:16" x14ac:dyDescent="0.25">
      <c r="A42" s="8">
        <v>102189582400</v>
      </c>
      <c r="B42" s="8" t="str">
        <f t="shared" si="0"/>
        <v>1021895824000</v>
      </c>
      <c r="C42" s="8" t="str">
        <f t="shared" si="1"/>
        <v>102189582400OVR</v>
      </c>
      <c r="D42" t="s">
        <v>131</v>
      </c>
      <c r="E42">
        <v>20411454</v>
      </c>
      <c r="F42" t="s">
        <v>376</v>
      </c>
      <c r="G42" t="s">
        <v>270</v>
      </c>
      <c r="H42" t="s">
        <v>105</v>
      </c>
      <c r="I42" s="1">
        <v>45931</v>
      </c>
      <c r="N42">
        <v>-12.5</v>
      </c>
      <c r="P42" t="s">
        <v>362</v>
      </c>
    </row>
    <row r="43" spans="1:16" x14ac:dyDescent="0.25">
      <c r="A43" s="8">
        <v>102189788900</v>
      </c>
      <c r="B43" s="8" t="str">
        <f t="shared" si="0"/>
        <v>1021897889000</v>
      </c>
      <c r="C43" s="8" t="str">
        <f t="shared" si="1"/>
        <v>102189788900OVR</v>
      </c>
      <c r="D43" t="s">
        <v>138</v>
      </c>
      <c r="E43">
        <v>20411454</v>
      </c>
      <c r="F43" t="s">
        <v>376</v>
      </c>
      <c r="G43" t="s">
        <v>270</v>
      </c>
      <c r="H43" t="s">
        <v>105</v>
      </c>
      <c r="I43" s="1">
        <v>45931</v>
      </c>
      <c r="N43">
        <v>-12.5</v>
      </c>
      <c r="P43" t="s">
        <v>362</v>
      </c>
    </row>
    <row r="44" spans="1:16" x14ac:dyDescent="0.25">
      <c r="A44" s="8">
        <v>102189954200</v>
      </c>
      <c r="B44" s="8" t="str">
        <f t="shared" si="0"/>
        <v>1021899542000</v>
      </c>
      <c r="C44" s="8" t="str">
        <f t="shared" si="1"/>
        <v>102189954200OVR</v>
      </c>
      <c r="D44" t="s">
        <v>140</v>
      </c>
      <c r="E44">
        <v>20411454</v>
      </c>
      <c r="F44" t="s">
        <v>376</v>
      </c>
      <c r="G44" t="s">
        <v>270</v>
      </c>
      <c r="H44" t="s">
        <v>105</v>
      </c>
      <c r="I44" s="1">
        <v>45931</v>
      </c>
      <c r="N44">
        <v>-12.5</v>
      </c>
      <c r="P44" t="s">
        <v>362</v>
      </c>
    </row>
    <row r="45" spans="1:16" x14ac:dyDescent="0.25">
      <c r="A45" s="8">
        <v>102190026200</v>
      </c>
      <c r="B45" s="8" t="str">
        <f t="shared" si="0"/>
        <v>1021900262000</v>
      </c>
      <c r="C45" s="8" t="str">
        <f t="shared" si="1"/>
        <v>102190026200OVR</v>
      </c>
      <c r="D45" t="s">
        <v>142</v>
      </c>
      <c r="E45">
        <v>20411454</v>
      </c>
      <c r="F45" t="s">
        <v>376</v>
      </c>
      <c r="G45" t="s">
        <v>270</v>
      </c>
      <c r="H45" t="s">
        <v>105</v>
      </c>
      <c r="I45" s="1">
        <v>45962</v>
      </c>
      <c r="N45">
        <v>-8.33</v>
      </c>
      <c r="P45" t="s">
        <v>362</v>
      </c>
    </row>
    <row r="46" spans="1:16" x14ac:dyDescent="0.25">
      <c r="A46" s="8">
        <v>102190030600</v>
      </c>
      <c r="B46" s="8" t="str">
        <f t="shared" si="0"/>
        <v>1021900306000</v>
      </c>
      <c r="C46" s="8" t="str">
        <f t="shared" si="1"/>
        <v>102190030600OVR</v>
      </c>
      <c r="D46" t="s">
        <v>146</v>
      </c>
      <c r="E46">
        <v>20411454</v>
      </c>
      <c r="F46" t="s">
        <v>376</v>
      </c>
      <c r="G46" t="s">
        <v>270</v>
      </c>
      <c r="H46" t="s">
        <v>105</v>
      </c>
      <c r="I46" s="1">
        <v>45962</v>
      </c>
      <c r="N46">
        <v>-8.33</v>
      </c>
      <c r="P46" t="s">
        <v>362</v>
      </c>
    </row>
    <row r="47" spans="1:16" x14ac:dyDescent="0.25">
      <c r="A47" s="8">
        <v>102190156500</v>
      </c>
      <c r="B47" s="8" t="str">
        <f t="shared" si="0"/>
        <v>1021901565000</v>
      </c>
      <c r="C47" s="8" t="str">
        <f t="shared" si="1"/>
        <v>102190156500OVR</v>
      </c>
      <c r="D47" t="s">
        <v>150</v>
      </c>
      <c r="E47">
        <v>20411454</v>
      </c>
      <c r="F47" t="s">
        <v>376</v>
      </c>
      <c r="G47" t="s">
        <v>270</v>
      </c>
      <c r="H47" t="s">
        <v>105</v>
      </c>
      <c r="I47" s="1">
        <v>45870</v>
      </c>
      <c r="N47">
        <v>-20.83</v>
      </c>
      <c r="P47" t="s">
        <v>362</v>
      </c>
    </row>
    <row r="48" spans="1:16" x14ac:dyDescent="0.25">
      <c r="A48" s="8">
        <v>102190173100</v>
      </c>
      <c r="B48" s="8" t="str">
        <f t="shared" si="0"/>
        <v>1021901731000</v>
      </c>
      <c r="C48" s="8" t="str">
        <f t="shared" si="1"/>
        <v>102190173100OVR</v>
      </c>
      <c r="D48" t="s">
        <v>154</v>
      </c>
      <c r="E48">
        <v>20411454</v>
      </c>
      <c r="F48" t="s">
        <v>376</v>
      </c>
      <c r="G48" t="s">
        <v>270</v>
      </c>
      <c r="H48" t="s">
        <v>105</v>
      </c>
      <c r="I48" s="1">
        <v>45901</v>
      </c>
      <c r="N48">
        <v>-16.670000000000002</v>
      </c>
      <c r="P48" t="s">
        <v>362</v>
      </c>
    </row>
    <row r="49" spans="1:16" x14ac:dyDescent="0.25">
      <c r="A49" s="8">
        <v>102190223100</v>
      </c>
      <c r="B49" s="8" t="str">
        <f t="shared" si="0"/>
        <v>1021902231000</v>
      </c>
      <c r="C49" s="8" t="str">
        <f t="shared" si="1"/>
        <v>102190223100OVR</v>
      </c>
      <c r="D49" t="s">
        <v>158</v>
      </c>
      <c r="E49">
        <v>20411454</v>
      </c>
      <c r="F49" t="s">
        <v>376</v>
      </c>
      <c r="G49" t="s">
        <v>270</v>
      </c>
      <c r="H49" t="s">
        <v>105</v>
      </c>
      <c r="I49" s="1">
        <v>45901</v>
      </c>
      <c r="N49">
        <v>-16.670000000000002</v>
      </c>
      <c r="P49" t="s">
        <v>362</v>
      </c>
    </row>
    <row r="50" spans="1:16" x14ac:dyDescent="0.25">
      <c r="A50" s="8">
        <v>102190247800</v>
      </c>
      <c r="B50" s="8" t="str">
        <f t="shared" si="0"/>
        <v>1021902478000</v>
      </c>
      <c r="C50" s="8" t="str">
        <f t="shared" si="1"/>
        <v>102190247800OVR</v>
      </c>
      <c r="D50" t="s">
        <v>162</v>
      </c>
      <c r="E50">
        <v>20411454</v>
      </c>
      <c r="F50" t="s">
        <v>376</v>
      </c>
      <c r="G50" t="s">
        <v>270</v>
      </c>
      <c r="H50" t="s">
        <v>105</v>
      </c>
      <c r="I50" s="1">
        <v>45901</v>
      </c>
      <c r="N50">
        <v>-16.670000000000002</v>
      </c>
      <c r="P50" t="s">
        <v>362</v>
      </c>
    </row>
    <row r="51" spans="1:16" x14ac:dyDescent="0.25">
      <c r="A51" s="8">
        <v>102190262300</v>
      </c>
      <c r="B51" s="8" t="str">
        <f t="shared" si="0"/>
        <v>1021902623000</v>
      </c>
      <c r="C51" s="8" t="str">
        <f t="shared" si="1"/>
        <v>102190262300OVR</v>
      </c>
      <c r="D51" t="s">
        <v>164</v>
      </c>
      <c r="E51">
        <v>20411454</v>
      </c>
      <c r="F51" t="s">
        <v>376</v>
      </c>
      <c r="G51" t="s">
        <v>270</v>
      </c>
      <c r="H51" t="s">
        <v>105</v>
      </c>
      <c r="I51" s="1">
        <v>45901</v>
      </c>
      <c r="N51">
        <v>-16.670000000000002</v>
      </c>
      <c r="P51" t="s">
        <v>362</v>
      </c>
    </row>
    <row r="52" spans="1:16" x14ac:dyDescent="0.25">
      <c r="A52" s="8">
        <v>102190732500</v>
      </c>
      <c r="B52" s="8" t="str">
        <f t="shared" si="0"/>
        <v>1021907325000</v>
      </c>
      <c r="C52" s="8" t="str">
        <f t="shared" si="1"/>
        <v>102190732500OVR</v>
      </c>
      <c r="D52" t="s">
        <v>166</v>
      </c>
      <c r="E52">
        <v>20411454</v>
      </c>
      <c r="F52" t="s">
        <v>376</v>
      </c>
      <c r="G52" t="s">
        <v>270</v>
      </c>
      <c r="H52" t="s">
        <v>105</v>
      </c>
      <c r="I52" s="1">
        <v>45931</v>
      </c>
      <c r="N52">
        <v>-12.5</v>
      </c>
      <c r="P52" t="s">
        <v>362</v>
      </c>
    </row>
    <row r="53" spans="1:16" x14ac:dyDescent="0.25">
      <c r="A53" s="8">
        <v>102190771300</v>
      </c>
      <c r="B53" s="8" t="str">
        <f t="shared" si="0"/>
        <v>1021907713000</v>
      </c>
      <c r="C53" s="8" t="str">
        <f t="shared" si="1"/>
        <v>102190771300OVR</v>
      </c>
      <c r="D53" t="s">
        <v>169</v>
      </c>
      <c r="E53">
        <v>20411454</v>
      </c>
      <c r="F53" t="s">
        <v>376</v>
      </c>
      <c r="G53" t="s">
        <v>270</v>
      </c>
      <c r="H53" t="s">
        <v>105</v>
      </c>
      <c r="I53" s="1">
        <v>45901</v>
      </c>
      <c r="N53">
        <v>-16.670000000000002</v>
      </c>
      <c r="P53" t="s">
        <v>362</v>
      </c>
    </row>
    <row r="54" spans="1:16" x14ac:dyDescent="0.25">
      <c r="A54" s="8">
        <v>102190934800</v>
      </c>
      <c r="B54" s="8" t="str">
        <f t="shared" si="0"/>
        <v>1021909348000</v>
      </c>
      <c r="C54" s="8" t="str">
        <f t="shared" si="1"/>
        <v>102190934800OVR</v>
      </c>
      <c r="D54" t="s">
        <v>173</v>
      </c>
      <c r="E54">
        <v>20411454</v>
      </c>
      <c r="F54" t="s">
        <v>376</v>
      </c>
      <c r="G54" t="s">
        <v>270</v>
      </c>
      <c r="H54" t="s">
        <v>105</v>
      </c>
      <c r="I54" s="1">
        <v>45901</v>
      </c>
      <c r="N54">
        <v>-16.670000000000002</v>
      </c>
      <c r="P54" t="s">
        <v>362</v>
      </c>
    </row>
    <row r="55" spans="1:16" x14ac:dyDescent="0.25">
      <c r="A55" s="8">
        <v>102190996400</v>
      </c>
      <c r="B55" s="8" t="str">
        <f t="shared" si="0"/>
        <v>1021909964000</v>
      </c>
      <c r="C55" s="8" t="str">
        <f t="shared" si="1"/>
        <v>102190996400OVR</v>
      </c>
      <c r="D55" t="s">
        <v>175</v>
      </c>
      <c r="E55">
        <v>20411454</v>
      </c>
      <c r="F55" t="s">
        <v>376</v>
      </c>
      <c r="G55" t="s">
        <v>270</v>
      </c>
      <c r="H55" t="s">
        <v>105</v>
      </c>
      <c r="I55" s="1">
        <v>45901</v>
      </c>
      <c r="N55">
        <v>-16.670000000000002</v>
      </c>
      <c r="P55" t="s">
        <v>362</v>
      </c>
    </row>
    <row r="56" spans="1:16" x14ac:dyDescent="0.25">
      <c r="A56" s="8">
        <v>102191007700</v>
      </c>
      <c r="B56" s="8" t="str">
        <f t="shared" si="0"/>
        <v>1021910077000</v>
      </c>
      <c r="C56" s="8" t="str">
        <f t="shared" si="1"/>
        <v>102191007700OVR</v>
      </c>
      <c r="D56" t="s">
        <v>178</v>
      </c>
      <c r="E56">
        <v>20411454</v>
      </c>
      <c r="F56" t="s">
        <v>376</v>
      </c>
      <c r="G56" t="s">
        <v>270</v>
      </c>
      <c r="H56" t="s">
        <v>105</v>
      </c>
      <c r="I56" s="1">
        <v>45901</v>
      </c>
      <c r="N56">
        <v>-16.670000000000002</v>
      </c>
      <c r="P56" t="s">
        <v>362</v>
      </c>
    </row>
    <row r="57" spans="1:16" x14ac:dyDescent="0.25">
      <c r="A57" s="8">
        <v>102191010500</v>
      </c>
      <c r="B57" s="8" t="str">
        <f t="shared" si="0"/>
        <v>1021910105000</v>
      </c>
      <c r="C57" s="8" t="str">
        <f t="shared" si="1"/>
        <v>102191010500OVR</v>
      </c>
      <c r="D57" t="s">
        <v>180</v>
      </c>
      <c r="E57">
        <v>20411454</v>
      </c>
      <c r="F57" t="s">
        <v>376</v>
      </c>
      <c r="G57" t="s">
        <v>270</v>
      </c>
      <c r="H57" t="s">
        <v>105</v>
      </c>
      <c r="I57" s="1">
        <v>45931</v>
      </c>
      <c r="N57">
        <v>-12.5</v>
      </c>
      <c r="P57" t="s">
        <v>362</v>
      </c>
    </row>
    <row r="58" spans="1:16" x14ac:dyDescent="0.25">
      <c r="A58" s="8">
        <v>102191441500</v>
      </c>
      <c r="B58" s="8" t="str">
        <f t="shared" si="0"/>
        <v>1021914415000</v>
      </c>
      <c r="C58" s="8" t="str">
        <f t="shared" si="1"/>
        <v>102191441500OVR</v>
      </c>
      <c r="D58" t="s">
        <v>184</v>
      </c>
      <c r="E58">
        <v>20411454</v>
      </c>
      <c r="F58" t="s">
        <v>376</v>
      </c>
      <c r="G58" t="s">
        <v>270</v>
      </c>
      <c r="H58" t="s">
        <v>105</v>
      </c>
      <c r="I58" s="1">
        <v>45901</v>
      </c>
      <c r="N58">
        <v>-16.670000000000002</v>
      </c>
      <c r="P58" t="s">
        <v>362</v>
      </c>
    </row>
    <row r="59" spans="1:16" x14ac:dyDescent="0.25">
      <c r="A59" s="8">
        <v>102191654400</v>
      </c>
      <c r="B59" s="8" t="str">
        <f t="shared" si="0"/>
        <v>1021916544000</v>
      </c>
      <c r="C59" s="8" t="str">
        <f t="shared" si="1"/>
        <v>102191654400OVR</v>
      </c>
      <c r="D59" t="s">
        <v>186</v>
      </c>
      <c r="E59">
        <v>20411454</v>
      </c>
      <c r="F59" t="s">
        <v>376</v>
      </c>
      <c r="G59" t="s">
        <v>270</v>
      </c>
      <c r="H59" t="s">
        <v>105</v>
      </c>
      <c r="I59" s="1">
        <v>45931</v>
      </c>
      <c r="N59">
        <v>-12.5</v>
      </c>
      <c r="P59" t="s">
        <v>362</v>
      </c>
    </row>
    <row r="60" spans="1:16" x14ac:dyDescent="0.25">
      <c r="A60" s="8">
        <v>102191790000</v>
      </c>
      <c r="B60" s="8" t="str">
        <f t="shared" si="0"/>
        <v>1021917900000</v>
      </c>
      <c r="C60" s="8" t="str">
        <f t="shared" si="1"/>
        <v>102191790000OVR</v>
      </c>
      <c r="D60" t="s">
        <v>189</v>
      </c>
      <c r="E60">
        <v>20411454</v>
      </c>
      <c r="F60" t="s">
        <v>376</v>
      </c>
      <c r="G60" t="s">
        <v>270</v>
      </c>
      <c r="H60" t="s">
        <v>105</v>
      </c>
      <c r="I60" s="1">
        <v>45901</v>
      </c>
      <c r="N60">
        <v>-16.670000000000002</v>
      </c>
      <c r="P60" t="s">
        <v>362</v>
      </c>
    </row>
    <row r="61" spans="1:16" x14ac:dyDescent="0.25">
      <c r="A61" s="8">
        <v>102192129000</v>
      </c>
      <c r="B61" s="8" t="str">
        <f t="shared" si="0"/>
        <v>1021921290000</v>
      </c>
      <c r="C61" s="8" t="str">
        <f t="shared" si="1"/>
        <v>102192129000OVR</v>
      </c>
      <c r="D61" t="s">
        <v>193</v>
      </c>
      <c r="E61">
        <v>20411454</v>
      </c>
      <c r="F61" t="s">
        <v>376</v>
      </c>
      <c r="G61" t="s">
        <v>270</v>
      </c>
      <c r="H61" t="s">
        <v>105</v>
      </c>
      <c r="I61" s="1">
        <v>45901</v>
      </c>
      <c r="N61">
        <v>-16.670000000000002</v>
      </c>
      <c r="P61" t="s">
        <v>362</v>
      </c>
    </row>
    <row r="62" spans="1:16" x14ac:dyDescent="0.25">
      <c r="A62" s="8">
        <v>102192327300</v>
      </c>
      <c r="B62" s="8" t="str">
        <f t="shared" si="0"/>
        <v>1021923273000</v>
      </c>
      <c r="C62" s="8" t="str">
        <f t="shared" si="1"/>
        <v>102192327300OVR</v>
      </c>
      <c r="D62" t="s">
        <v>195</v>
      </c>
      <c r="E62">
        <v>20411454</v>
      </c>
      <c r="F62" t="s">
        <v>376</v>
      </c>
      <c r="G62" t="s">
        <v>270</v>
      </c>
      <c r="H62" t="s">
        <v>105</v>
      </c>
      <c r="I62" s="1">
        <v>45962</v>
      </c>
      <c r="N62">
        <v>-8.33</v>
      </c>
      <c r="P62" t="s">
        <v>362</v>
      </c>
    </row>
    <row r="63" spans="1:16" x14ac:dyDescent="0.25">
      <c r="A63" s="8">
        <v>102192330700</v>
      </c>
      <c r="B63" s="8" t="str">
        <f t="shared" si="0"/>
        <v>1021923307000</v>
      </c>
      <c r="C63" s="8" t="str">
        <f t="shared" si="1"/>
        <v>102192330700OVR</v>
      </c>
      <c r="D63" t="s">
        <v>197</v>
      </c>
      <c r="E63">
        <v>20411454</v>
      </c>
      <c r="F63" t="s">
        <v>376</v>
      </c>
      <c r="G63" t="s">
        <v>270</v>
      </c>
      <c r="H63" t="s">
        <v>105</v>
      </c>
      <c r="I63" s="1">
        <v>45901</v>
      </c>
      <c r="N63">
        <v>-16.670000000000002</v>
      </c>
      <c r="P63" t="s">
        <v>362</v>
      </c>
    </row>
    <row r="64" spans="1:16" x14ac:dyDescent="0.25">
      <c r="A64" s="8">
        <v>102193141200</v>
      </c>
      <c r="B64" s="8" t="str">
        <f t="shared" si="0"/>
        <v>1021931412000</v>
      </c>
      <c r="C64" s="8" t="str">
        <f t="shared" si="1"/>
        <v>102193141200OVR</v>
      </c>
      <c r="D64" t="s">
        <v>199</v>
      </c>
      <c r="E64">
        <v>20411454</v>
      </c>
      <c r="F64" t="s">
        <v>376</v>
      </c>
      <c r="G64" t="s">
        <v>270</v>
      </c>
      <c r="H64" t="s">
        <v>105</v>
      </c>
      <c r="I64" s="1">
        <v>45901</v>
      </c>
      <c r="N64">
        <v>-16.670000000000002</v>
      </c>
      <c r="P64" t="s">
        <v>362</v>
      </c>
    </row>
    <row r="65" spans="1:16" x14ac:dyDescent="0.25">
      <c r="A65" s="8">
        <v>102193815600</v>
      </c>
      <c r="B65" s="8" t="str">
        <f t="shared" si="0"/>
        <v>1021938156000</v>
      </c>
      <c r="C65" s="8" t="str">
        <f t="shared" si="1"/>
        <v>102193815600OVR</v>
      </c>
      <c r="D65" t="s">
        <v>201</v>
      </c>
      <c r="E65">
        <v>20411454</v>
      </c>
      <c r="F65" t="s">
        <v>376</v>
      </c>
      <c r="G65" t="s">
        <v>57</v>
      </c>
      <c r="H65" t="s">
        <v>202</v>
      </c>
      <c r="I65" s="1">
        <v>45931</v>
      </c>
      <c r="J65" s="2">
        <v>0</v>
      </c>
      <c r="K65" s="2">
        <v>10</v>
      </c>
      <c r="L65">
        <v>1</v>
      </c>
      <c r="M65" s="3">
        <v>1</v>
      </c>
      <c r="N65" s="2">
        <v>10</v>
      </c>
      <c r="O65" t="s">
        <v>106</v>
      </c>
      <c r="P65" t="s">
        <v>362</v>
      </c>
    </row>
    <row r="66" spans="1:16" x14ac:dyDescent="0.25">
      <c r="A66" s="8">
        <v>102193872700</v>
      </c>
      <c r="B66" s="8" t="str">
        <f t="shared" si="0"/>
        <v>1021938727000</v>
      </c>
      <c r="C66" s="8" t="str">
        <f t="shared" si="1"/>
        <v>102193872700OVR</v>
      </c>
      <c r="D66" t="s">
        <v>204</v>
      </c>
      <c r="E66">
        <v>20411454</v>
      </c>
      <c r="F66" t="s">
        <v>376</v>
      </c>
      <c r="G66" t="s">
        <v>57</v>
      </c>
      <c r="H66" t="s">
        <v>202</v>
      </c>
      <c r="I66" s="1">
        <v>45992</v>
      </c>
      <c r="J66" s="2">
        <v>0</v>
      </c>
      <c r="K66" s="2">
        <v>3.33</v>
      </c>
      <c r="L66">
        <v>1</v>
      </c>
      <c r="M66" s="3">
        <v>1</v>
      </c>
      <c r="N66" s="2">
        <v>3.33</v>
      </c>
      <c r="O66" t="s">
        <v>205</v>
      </c>
      <c r="P66" t="s">
        <v>362</v>
      </c>
    </row>
    <row r="67" spans="1:16" x14ac:dyDescent="0.25">
      <c r="A67" s="8">
        <v>102189347200</v>
      </c>
      <c r="B67" s="8" t="str">
        <f t="shared" ref="B67:B77" si="2">CONCATENATE(A67,0)</f>
        <v>1021893472000</v>
      </c>
      <c r="C67" s="8" t="str">
        <f t="shared" ref="C67:C86" si="3">CONCATENATE(A67,"OVR")</f>
        <v>102189347200OVR</v>
      </c>
      <c r="D67" t="s">
        <v>125</v>
      </c>
      <c r="E67">
        <v>20411454</v>
      </c>
      <c r="F67" t="s">
        <v>376</v>
      </c>
      <c r="G67" t="s">
        <v>270</v>
      </c>
      <c r="H67" t="s">
        <v>202</v>
      </c>
      <c r="I67" s="1">
        <v>45870</v>
      </c>
      <c r="N67">
        <v>-16.670000000000002</v>
      </c>
      <c r="P67" t="s">
        <v>362</v>
      </c>
    </row>
    <row r="68" spans="1:16" x14ac:dyDescent="0.25">
      <c r="A68" s="8">
        <v>102189713800</v>
      </c>
      <c r="B68" s="8" t="str">
        <f t="shared" si="2"/>
        <v>1021897138000</v>
      </c>
      <c r="C68" s="8" t="str">
        <f t="shared" si="3"/>
        <v>102189713800OVR</v>
      </c>
      <c r="D68" t="s">
        <v>134</v>
      </c>
      <c r="E68">
        <v>20411454</v>
      </c>
      <c r="F68" t="s">
        <v>376</v>
      </c>
      <c r="G68" t="s">
        <v>270</v>
      </c>
      <c r="H68" t="s">
        <v>202</v>
      </c>
      <c r="I68" s="1">
        <v>45901</v>
      </c>
      <c r="N68">
        <v>-13.33</v>
      </c>
      <c r="P68" t="s">
        <v>362</v>
      </c>
    </row>
    <row r="69" spans="1:16" x14ac:dyDescent="0.25">
      <c r="A69" s="8">
        <v>102190169900</v>
      </c>
      <c r="B69" s="8" t="str">
        <f t="shared" si="2"/>
        <v>1021901699000</v>
      </c>
      <c r="C69" s="8" t="str">
        <f t="shared" si="3"/>
        <v>102190169900OVR</v>
      </c>
      <c r="D69" t="s">
        <v>152</v>
      </c>
      <c r="E69">
        <v>20411454</v>
      </c>
      <c r="F69" t="s">
        <v>376</v>
      </c>
      <c r="G69" t="s">
        <v>270</v>
      </c>
      <c r="H69" t="s">
        <v>202</v>
      </c>
      <c r="I69" s="1">
        <v>45901</v>
      </c>
      <c r="N69">
        <v>-13.33</v>
      </c>
      <c r="P69" t="s">
        <v>362</v>
      </c>
    </row>
    <row r="70" spans="1:16" x14ac:dyDescent="0.25">
      <c r="A70" s="8">
        <v>102190926800</v>
      </c>
      <c r="B70" s="8" t="str">
        <f t="shared" si="2"/>
        <v>1021909268000</v>
      </c>
      <c r="C70" s="8" t="str">
        <f t="shared" si="3"/>
        <v>102190926800OVR</v>
      </c>
      <c r="D70" t="s">
        <v>171</v>
      </c>
      <c r="E70">
        <v>20411454</v>
      </c>
      <c r="F70" t="s">
        <v>376</v>
      </c>
      <c r="G70" t="s">
        <v>270</v>
      </c>
      <c r="H70" t="s">
        <v>202</v>
      </c>
      <c r="I70" s="1">
        <v>45901</v>
      </c>
      <c r="N70">
        <v>-13.33</v>
      </c>
      <c r="P70" t="s">
        <v>362</v>
      </c>
    </row>
    <row r="71" spans="1:16" x14ac:dyDescent="0.25">
      <c r="A71" s="8" t="s">
        <v>348</v>
      </c>
      <c r="C71" s="8" t="str">
        <f t="shared" si="3"/>
        <v>31F4H3F56OVR</v>
      </c>
      <c r="D71" t="s">
        <v>219</v>
      </c>
      <c r="E71">
        <v>20411454</v>
      </c>
      <c r="F71" t="s">
        <v>376</v>
      </c>
      <c r="G71" t="s">
        <v>57</v>
      </c>
      <c r="H71" t="s">
        <v>220</v>
      </c>
      <c r="I71" s="1">
        <v>45839</v>
      </c>
      <c r="J71" s="2">
        <v>0</v>
      </c>
      <c r="K71" s="2">
        <v>100</v>
      </c>
      <c r="L71">
        <v>1</v>
      </c>
      <c r="M71" s="3">
        <v>1</v>
      </c>
      <c r="N71" s="2">
        <v>100</v>
      </c>
      <c r="P71" t="s">
        <v>363</v>
      </c>
    </row>
    <row r="72" spans="1:16" x14ac:dyDescent="0.25">
      <c r="A72" s="8" t="s">
        <v>349</v>
      </c>
      <c r="C72" s="8" t="str">
        <f t="shared" si="3"/>
        <v>37A1R7X45OVR</v>
      </c>
      <c r="D72" t="s">
        <v>222</v>
      </c>
      <c r="E72">
        <v>20411454</v>
      </c>
      <c r="F72" t="s">
        <v>376</v>
      </c>
      <c r="G72" t="s">
        <v>57</v>
      </c>
      <c r="H72" t="s">
        <v>220</v>
      </c>
      <c r="I72" s="1">
        <v>45870</v>
      </c>
      <c r="J72" s="2">
        <v>0</v>
      </c>
      <c r="K72" s="2">
        <v>100</v>
      </c>
      <c r="L72">
        <v>1</v>
      </c>
      <c r="M72" s="3">
        <v>1</v>
      </c>
      <c r="N72" s="2">
        <v>100</v>
      </c>
      <c r="P72" t="s">
        <v>363</v>
      </c>
    </row>
    <row r="73" spans="1:16" x14ac:dyDescent="0.25">
      <c r="A73" s="8" t="s">
        <v>350</v>
      </c>
      <c r="C73" s="8" t="str">
        <f t="shared" si="3"/>
        <v>58R5A1U71OVR</v>
      </c>
      <c r="D73" t="s">
        <v>224</v>
      </c>
      <c r="E73">
        <v>20411454</v>
      </c>
      <c r="F73" t="s">
        <v>376</v>
      </c>
      <c r="G73" t="s">
        <v>57</v>
      </c>
      <c r="H73" t="s">
        <v>220</v>
      </c>
      <c r="I73" s="1">
        <v>45931</v>
      </c>
      <c r="J73" s="2">
        <v>0</v>
      </c>
      <c r="K73" s="2">
        <v>100</v>
      </c>
      <c r="L73">
        <v>1</v>
      </c>
      <c r="M73" s="3">
        <v>1</v>
      </c>
      <c r="N73" s="2">
        <v>100</v>
      </c>
      <c r="P73" t="s">
        <v>363</v>
      </c>
    </row>
    <row r="74" spans="1:16" x14ac:dyDescent="0.25">
      <c r="A74" s="8">
        <v>37079098</v>
      </c>
      <c r="B74" s="8" t="str">
        <f>CONCATENATE(A74,9)</f>
        <v>370790989</v>
      </c>
      <c r="C74" s="8" t="str">
        <f t="shared" si="3"/>
        <v>37079098OVR</v>
      </c>
      <c r="D74" t="s">
        <v>321</v>
      </c>
      <c r="E74">
        <v>20411454</v>
      </c>
      <c r="F74" t="s">
        <v>376</v>
      </c>
      <c r="G74" t="s">
        <v>270</v>
      </c>
      <c r="H74" t="s">
        <v>220</v>
      </c>
      <c r="I74" s="1">
        <v>45658</v>
      </c>
      <c r="N74">
        <v>-100</v>
      </c>
      <c r="P74" t="s">
        <v>363</v>
      </c>
    </row>
    <row r="75" spans="1:16" x14ac:dyDescent="0.25">
      <c r="A75" s="8">
        <v>37110313</v>
      </c>
      <c r="B75" s="8" t="str">
        <f>CONCATENATE(A75,9)</f>
        <v>371103139</v>
      </c>
      <c r="C75" s="8" t="str">
        <f t="shared" si="3"/>
        <v>37110313OVR</v>
      </c>
      <c r="D75" t="s">
        <v>325</v>
      </c>
      <c r="E75">
        <v>20411454</v>
      </c>
      <c r="F75" t="s">
        <v>376</v>
      </c>
      <c r="G75" t="s">
        <v>270</v>
      </c>
      <c r="H75" t="s">
        <v>220</v>
      </c>
      <c r="I75" s="1">
        <v>45658</v>
      </c>
      <c r="N75">
        <v>-100</v>
      </c>
      <c r="P75" t="s">
        <v>363</v>
      </c>
    </row>
    <row r="76" spans="1:16" x14ac:dyDescent="0.25">
      <c r="A76" s="8">
        <v>37122916</v>
      </c>
      <c r="B76" s="8" t="str">
        <f>CONCATENATE(A76,9)</f>
        <v>371229169</v>
      </c>
      <c r="C76" s="8" t="str">
        <f t="shared" si="3"/>
        <v>37122916OVR</v>
      </c>
      <c r="D76" t="s">
        <v>327</v>
      </c>
      <c r="E76">
        <v>20411454</v>
      </c>
      <c r="F76" t="s">
        <v>376</v>
      </c>
      <c r="G76" t="s">
        <v>270</v>
      </c>
      <c r="H76" t="s">
        <v>220</v>
      </c>
      <c r="I76" s="1">
        <v>45658</v>
      </c>
      <c r="N76">
        <v>-100</v>
      </c>
      <c r="P76" t="s">
        <v>363</v>
      </c>
    </row>
    <row r="77" spans="1:16" x14ac:dyDescent="0.25">
      <c r="A77" s="8" t="s">
        <v>347</v>
      </c>
      <c r="B77" s="8" t="str">
        <f t="shared" si="2"/>
        <v>23A9F4R860</v>
      </c>
      <c r="C77" s="8" t="str">
        <f t="shared" si="3"/>
        <v>23A9F4R86OVR</v>
      </c>
      <c r="D77" t="s">
        <v>213</v>
      </c>
      <c r="E77">
        <v>20411454</v>
      </c>
      <c r="F77" t="s">
        <v>376</v>
      </c>
      <c r="G77" t="s">
        <v>57</v>
      </c>
      <c r="H77" t="s">
        <v>217</v>
      </c>
      <c r="I77" s="1">
        <v>45901</v>
      </c>
      <c r="J77" s="2">
        <v>0</v>
      </c>
      <c r="K77" s="2">
        <v>50</v>
      </c>
      <c r="L77">
        <v>1</v>
      </c>
      <c r="M77" s="3">
        <v>1</v>
      </c>
      <c r="N77" s="2">
        <v>50</v>
      </c>
      <c r="P77" t="s">
        <v>363</v>
      </c>
    </row>
    <row r="78" spans="1:16" x14ac:dyDescent="0.25">
      <c r="A78" s="8" t="s">
        <v>337</v>
      </c>
      <c r="C78" s="8" t="str">
        <f t="shared" si="3"/>
        <v>00023268932KOVR</v>
      </c>
      <c r="D78" t="s">
        <v>59</v>
      </c>
      <c r="E78">
        <v>20411454</v>
      </c>
      <c r="F78" t="s">
        <v>376</v>
      </c>
      <c r="G78" t="s">
        <v>47</v>
      </c>
      <c r="H78" t="s">
        <v>62</v>
      </c>
      <c r="I78" s="1">
        <v>45778</v>
      </c>
      <c r="J78" s="2">
        <v>0</v>
      </c>
      <c r="K78" s="2">
        <v>73.5</v>
      </c>
      <c r="L78">
        <v>1</v>
      </c>
      <c r="M78" s="3">
        <v>1</v>
      </c>
      <c r="N78" s="2">
        <v>73.5</v>
      </c>
      <c r="O78" t="s">
        <v>51</v>
      </c>
      <c r="P78" t="s">
        <v>364</v>
      </c>
    </row>
    <row r="79" spans="1:16" x14ac:dyDescent="0.25">
      <c r="A79" s="8" t="s">
        <v>338</v>
      </c>
      <c r="C79" s="8" t="str">
        <f t="shared" si="3"/>
        <v>00023641247KOVR</v>
      </c>
      <c r="D79" t="s">
        <v>64</v>
      </c>
      <c r="E79">
        <v>20411454</v>
      </c>
      <c r="F79" t="s">
        <v>376</v>
      </c>
      <c r="G79" t="s">
        <v>57</v>
      </c>
      <c r="H79" t="s">
        <v>62</v>
      </c>
      <c r="I79" s="1">
        <v>45931</v>
      </c>
      <c r="J79" s="2">
        <v>0</v>
      </c>
      <c r="K79" s="2">
        <v>175</v>
      </c>
      <c r="L79">
        <v>1</v>
      </c>
      <c r="M79" s="3">
        <v>1</v>
      </c>
      <c r="N79" s="2">
        <v>175</v>
      </c>
      <c r="P79" t="s">
        <v>364</v>
      </c>
    </row>
    <row r="80" spans="1:16" x14ac:dyDescent="0.25">
      <c r="A80" s="8" t="s">
        <v>339</v>
      </c>
      <c r="C80" s="8" t="str">
        <f t="shared" si="3"/>
        <v>00023649753KOVR</v>
      </c>
      <c r="D80" t="s">
        <v>69</v>
      </c>
      <c r="E80">
        <v>20411454</v>
      </c>
      <c r="F80" t="s">
        <v>376</v>
      </c>
      <c r="G80" t="s">
        <v>57</v>
      </c>
      <c r="H80" t="s">
        <v>62</v>
      </c>
      <c r="I80" s="1">
        <v>45931</v>
      </c>
      <c r="J80" s="2">
        <v>0</v>
      </c>
      <c r="K80" s="2">
        <v>175</v>
      </c>
      <c r="L80">
        <v>1</v>
      </c>
      <c r="M80" s="3">
        <v>1</v>
      </c>
      <c r="N80" s="2">
        <v>175</v>
      </c>
      <c r="P80" t="s">
        <v>364</v>
      </c>
    </row>
    <row r="81" spans="1:16" x14ac:dyDescent="0.25">
      <c r="A81" s="8" t="s">
        <v>341</v>
      </c>
      <c r="C81" s="8" t="str">
        <f t="shared" si="3"/>
        <v>00023655018KOVR</v>
      </c>
      <c r="D81" t="s">
        <v>80</v>
      </c>
      <c r="E81">
        <v>20411454</v>
      </c>
      <c r="F81" t="s">
        <v>376</v>
      </c>
      <c r="G81" t="s">
        <v>57</v>
      </c>
      <c r="H81" t="s">
        <v>62</v>
      </c>
      <c r="I81" s="1">
        <v>45962</v>
      </c>
      <c r="J81" s="2">
        <v>0</v>
      </c>
      <c r="K81" s="2">
        <v>175</v>
      </c>
      <c r="L81">
        <v>1</v>
      </c>
      <c r="M81" s="3">
        <v>1</v>
      </c>
      <c r="N81" s="2">
        <v>175</v>
      </c>
      <c r="P81" t="s">
        <v>364</v>
      </c>
    </row>
    <row r="82" spans="1:16" x14ac:dyDescent="0.25">
      <c r="A82" s="8" t="s">
        <v>342</v>
      </c>
      <c r="C82" s="8" t="str">
        <f t="shared" si="3"/>
        <v>00023657141KOVR</v>
      </c>
      <c r="D82" t="s">
        <v>84</v>
      </c>
      <c r="E82">
        <v>20411454</v>
      </c>
      <c r="F82" t="s">
        <v>376</v>
      </c>
      <c r="G82" t="s">
        <v>57</v>
      </c>
      <c r="H82" t="s">
        <v>62</v>
      </c>
      <c r="I82" s="1">
        <v>45931</v>
      </c>
      <c r="J82" s="2">
        <v>0</v>
      </c>
      <c r="K82" s="2">
        <v>175</v>
      </c>
      <c r="L82">
        <v>1</v>
      </c>
      <c r="M82" s="3">
        <v>1</v>
      </c>
      <c r="N82" s="2">
        <v>175</v>
      </c>
      <c r="P82" t="s">
        <v>364</v>
      </c>
    </row>
    <row r="83" spans="1:16" x14ac:dyDescent="0.25">
      <c r="A83" s="8" t="s">
        <v>343</v>
      </c>
      <c r="C83" s="8" t="str">
        <f t="shared" si="3"/>
        <v>00023675107KOVR</v>
      </c>
      <c r="D83" t="s">
        <v>86</v>
      </c>
      <c r="E83">
        <v>20411454</v>
      </c>
      <c r="F83" t="s">
        <v>376</v>
      </c>
      <c r="G83" t="s">
        <v>57</v>
      </c>
      <c r="H83" t="s">
        <v>62</v>
      </c>
      <c r="I83" s="1">
        <v>45992</v>
      </c>
      <c r="J83" s="2">
        <v>0</v>
      </c>
      <c r="K83" s="2">
        <v>175</v>
      </c>
      <c r="L83">
        <v>1</v>
      </c>
      <c r="M83" s="3">
        <v>1</v>
      </c>
      <c r="N83" s="2">
        <v>175</v>
      </c>
      <c r="P83" t="s">
        <v>364</v>
      </c>
    </row>
    <row r="84" spans="1:16" x14ac:dyDescent="0.25">
      <c r="A84" s="8" t="s">
        <v>344</v>
      </c>
      <c r="C84" s="8" t="str">
        <f t="shared" si="3"/>
        <v>00023678081KOVR</v>
      </c>
      <c r="D84" t="s">
        <v>91</v>
      </c>
      <c r="E84">
        <v>20411454</v>
      </c>
      <c r="F84" t="s">
        <v>376</v>
      </c>
      <c r="G84" t="s">
        <v>57</v>
      </c>
      <c r="H84" t="s">
        <v>62</v>
      </c>
      <c r="I84" s="1">
        <v>45931</v>
      </c>
      <c r="J84" s="2">
        <v>0</v>
      </c>
      <c r="K84" s="2">
        <v>175</v>
      </c>
      <c r="L84">
        <v>1</v>
      </c>
      <c r="M84" s="3">
        <v>1</v>
      </c>
      <c r="N84" s="2">
        <v>175</v>
      </c>
      <c r="P84" t="s">
        <v>364</v>
      </c>
    </row>
    <row r="85" spans="1:16" x14ac:dyDescent="0.25">
      <c r="A85" s="8" t="s">
        <v>345</v>
      </c>
      <c r="C85" s="8" t="str">
        <f t="shared" si="3"/>
        <v>00023678319KOVR</v>
      </c>
      <c r="D85" t="s">
        <v>96</v>
      </c>
      <c r="E85">
        <v>20411454</v>
      </c>
      <c r="F85" t="s">
        <v>376</v>
      </c>
      <c r="G85" t="s">
        <v>57</v>
      </c>
      <c r="H85" t="s">
        <v>62</v>
      </c>
      <c r="I85" s="1">
        <v>45931</v>
      </c>
      <c r="J85" s="2">
        <v>0</v>
      </c>
      <c r="K85" s="2">
        <v>175</v>
      </c>
      <c r="L85">
        <v>1</v>
      </c>
      <c r="M85" s="3">
        <v>1</v>
      </c>
      <c r="N85" s="2">
        <v>175</v>
      </c>
      <c r="P85" t="s">
        <v>364</v>
      </c>
    </row>
    <row r="86" spans="1:16" x14ac:dyDescent="0.25">
      <c r="A86" s="8" t="s">
        <v>346</v>
      </c>
      <c r="C86" s="8" t="str">
        <f t="shared" si="3"/>
        <v>00023678785KOVR</v>
      </c>
      <c r="D86" t="s">
        <v>100</v>
      </c>
      <c r="E86">
        <v>20411454</v>
      </c>
      <c r="F86" t="s">
        <v>376</v>
      </c>
      <c r="G86" t="s">
        <v>57</v>
      </c>
      <c r="H86" t="s">
        <v>62</v>
      </c>
      <c r="I86" s="1">
        <v>45931</v>
      </c>
      <c r="J86" s="2">
        <v>0</v>
      </c>
      <c r="K86" s="2">
        <v>175</v>
      </c>
      <c r="L86">
        <v>1</v>
      </c>
      <c r="M86" s="3">
        <v>1</v>
      </c>
      <c r="N86" s="2">
        <v>175</v>
      </c>
      <c r="P86" t="s">
        <v>364</v>
      </c>
    </row>
    <row r="87" spans="1:16" x14ac:dyDescent="0.25">
      <c r="A87" s="8" t="s">
        <v>377</v>
      </c>
      <c r="B87" s="8" t="str">
        <f>CONCATENATE(A87,"9")</f>
        <v>00008668104K9</v>
      </c>
      <c r="C87" s="8" t="str">
        <f t="shared" ref="C87:C89" si="4">CONCATENATE(B87,"OVR")</f>
        <v>00008668104K9OVR</v>
      </c>
      <c r="D87" t="s">
        <v>267</v>
      </c>
      <c r="E87">
        <v>20411454</v>
      </c>
      <c r="F87" t="s">
        <v>376</v>
      </c>
      <c r="G87" t="s">
        <v>270</v>
      </c>
      <c r="H87" t="s">
        <v>62</v>
      </c>
      <c r="I87" s="1">
        <v>45658</v>
      </c>
      <c r="N87">
        <v>-43.75</v>
      </c>
      <c r="P87" t="s">
        <v>364</v>
      </c>
    </row>
    <row r="88" spans="1:16" x14ac:dyDescent="0.25">
      <c r="A88" s="8" t="s">
        <v>378</v>
      </c>
      <c r="B88" s="8" t="str">
        <f>CONCATENATE(A88,0)</f>
        <v>00023244763K0</v>
      </c>
      <c r="C88" s="8" t="str">
        <f t="shared" si="4"/>
        <v>00023244763K0OVR</v>
      </c>
      <c r="D88" t="s">
        <v>272</v>
      </c>
      <c r="E88">
        <v>20411454</v>
      </c>
      <c r="F88" t="s">
        <v>376</v>
      </c>
      <c r="G88" t="s">
        <v>270</v>
      </c>
      <c r="H88" t="s">
        <v>62</v>
      </c>
      <c r="I88" s="1">
        <v>45839</v>
      </c>
      <c r="N88">
        <v>-43.75</v>
      </c>
      <c r="P88" t="s">
        <v>364</v>
      </c>
    </row>
    <row r="89" spans="1:16" x14ac:dyDescent="0.25">
      <c r="A89" s="8" t="s">
        <v>379</v>
      </c>
      <c r="B89" s="8" t="str">
        <f>CONCATENATE(A89,0)</f>
        <v>00023286702K0</v>
      </c>
      <c r="C89" s="8" t="str">
        <f t="shared" si="4"/>
        <v>00023286702K0OVR</v>
      </c>
      <c r="D89" t="s">
        <v>274</v>
      </c>
      <c r="E89">
        <v>20411454</v>
      </c>
      <c r="F89" t="s">
        <v>376</v>
      </c>
      <c r="G89" t="s">
        <v>270</v>
      </c>
      <c r="H89" t="s">
        <v>62</v>
      </c>
      <c r="I89" s="1">
        <v>45778</v>
      </c>
      <c r="N89">
        <v>-101.5</v>
      </c>
      <c r="P89" t="s">
        <v>364</v>
      </c>
    </row>
    <row r="90" spans="1:16" x14ac:dyDescent="0.25">
      <c r="A90" s="8" t="s">
        <v>335</v>
      </c>
      <c r="C90" s="8" t="str">
        <f>CONCATENATE(A90,"OVR")</f>
        <v>00018927296KOVR</v>
      </c>
      <c r="D90" t="s">
        <v>45</v>
      </c>
      <c r="E90">
        <v>20411454</v>
      </c>
      <c r="F90" t="s">
        <v>376</v>
      </c>
      <c r="G90" t="s">
        <v>47</v>
      </c>
      <c r="H90" t="s">
        <v>48</v>
      </c>
      <c r="I90" s="1">
        <v>45658</v>
      </c>
      <c r="J90" s="2">
        <v>0</v>
      </c>
      <c r="K90" s="2">
        <v>27</v>
      </c>
      <c r="L90">
        <v>1</v>
      </c>
      <c r="M90" s="3">
        <v>1</v>
      </c>
      <c r="N90" s="2">
        <v>27</v>
      </c>
      <c r="O90" t="s">
        <v>51</v>
      </c>
      <c r="P90" t="s">
        <v>364</v>
      </c>
    </row>
    <row r="91" spans="1:16" x14ac:dyDescent="0.25">
      <c r="A91" s="8" t="s">
        <v>336</v>
      </c>
      <c r="C91" s="8" t="str">
        <f>CONCATENATE(A91,"OVR")</f>
        <v>00022944911KOVR</v>
      </c>
      <c r="D91" t="s">
        <v>53</v>
      </c>
      <c r="E91">
        <v>20411454</v>
      </c>
      <c r="F91" t="s">
        <v>376</v>
      </c>
      <c r="G91" t="s">
        <v>57</v>
      </c>
      <c r="H91" t="s">
        <v>48</v>
      </c>
      <c r="I91" s="1">
        <v>45931</v>
      </c>
      <c r="J91" s="2">
        <v>0</v>
      </c>
      <c r="K91" s="2">
        <v>108</v>
      </c>
      <c r="L91">
        <v>1</v>
      </c>
      <c r="M91" s="3">
        <v>1</v>
      </c>
      <c r="N91" s="2">
        <v>108</v>
      </c>
      <c r="P91" t="s">
        <v>364</v>
      </c>
    </row>
    <row r="92" spans="1:16" s="4" customFormat="1" x14ac:dyDescent="0.25">
      <c r="A92" s="9" t="s">
        <v>340</v>
      </c>
      <c r="B92" s="9" t="s">
        <v>340</v>
      </c>
      <c r="C92" s="9" t="s">
        <v>340</v>
      </c>
      <c r="D92" s="4" t="s">
        <v>74</v>
      </c>
      <c r="E92" s="4">
        <v>19491313</v>
      </c>
      <c r="F92" s="4" t="s">
        <v>77</v>
      </c>
      <c r="G92" s="4" t="s">
        <v>57</v>
      </c>
      <c r="H92" s="4" t="s">
        <v>78</v>
      </c>
      <c r="I92" s="5">
        <v>45931</v>
      </c>
      <c r="J92" s="6">
        <v>0</v>
      </c>
      <c r="K92" s="6">
        <v>15</v>
      </c>
      <c r="L92" s="4">
        <v>1</v>
      </c>
      <c r="M92" s="7">
        <v>1</v>
      </c>
      <c r="N92" s="6">
        <v>15</v>
      </c>
      <c r="P92" s="4" t="s">
        <v>365</v>
      </c>
    </row>
    <row r="93" spans="1:16" s="4" customFormat="1" x14ac:dyDescent="0.25">
      <c r="A93" s="9" t="s">
        <v>358</v>
      </c>
      <c r="B93" s="9" t="str">
        <f>CONCATENATE(A93,1)</f>
        <v>A043327111</v>
      </c>
      <c r="C93" s="9" t="str">
        <f>CONCATENATE(B93,1)</f>
        <v>A0433271111</v>
      </c>
      <c r="D93" s="4" t="s">
        <v>255</v>
      </c>
      <c r="E93" s="4">
        <v>16865615</v>
      </c>
      <c r="F93" s="4" t="s">
        <v>258</v>
      </c>
      <c r="G93" s="4" t="s">
        <v>57</v>
      </c>
      <c r="H93" s="4" t="s">
        <v>259</v>
      </c>
      <c r="I93" s="5">
        <v>45962</v>
      </c>
      <c r="J93" s="6">
        <v>0</v>
      </c>
      <c r="K93" s="6">
        <v>28.46</v>
      </c>
      <c r="L93" s="4">
        <v>9</v>
      </c>
      <c r="M93" s="7">
        <v>1</v>
      </c>
      <c r="N93" s="6">
        <v>256.14</v>
      </c>
      <c r="P93" s="4" t="s">
        <v>366</v>
      </c>
    </row>
    <row r="94" spans="1:16" s="4" customFormat="1" x14ac:dyDescent="0.25">
      <c r="A94" s="9" t="s">
        <v>360</v>
      </c>
      <c r="B94" s="9" t="str">
        <f t="shared" ref="B94:C97" si="5">CONCATENATE(A94,1)</f>
        <v>A043331701</v>
      </c>
      <c r="C94" s="9" t="str">
        <f t="shared" si="5"/>
        <v>A0433317011</v>
      </c>
      <c r="D94" s="4" t="s">
        <v>264</v>
      </c>
      <c r="E94" s="4">
        <v>16865615</v>
      </c>
      <c r="F94" s="4" t="s">
        <v>258</v>
      </c>
      <c r="G94" s="4" t="s">
        <v>57</v>
      </c>
      <c r="H94" s="4" t="s">
        <v>259</v>
      </c>
      <c r="I94" s="5">
        <v>45962</v>
      </c>
      <c r="J94" s="6">
        <v>0</v>
      </c>
      <c r="K94" s="6">
        <v>28.46</v>
      </c>
      <c r="L94" s="4">
        <v>9</v>
      </c>
      <c r="M94" s="7">
        <v>1</v>
      </c>
      <c r="N94" s="6">
        <v>256.14</v>
      </c>
      <c r="P94" s="4" t="s">
        <v>366</v>
      </c>
    </row>
    <row r="95" spans="1:16" s="4" customFormat="1" x14ac:dyDescent="0.25">
      <c r="A95" s="9" t="s">
        <v>357</v>
      </c>
      <c r="B95" s="9" t="str">
        <f t="shared" si="5"/>
        <v>A043323361</v>
      </c>
      <c r="C95" s="9" t="str">
        <f t="shared" si="5"/>
        <v>A0433233611</v>
      </c>
      <c r="D95" s="4" t="s">
        <v>252</v>
      </c>
      <c r="E95" s="4">
        <v>17425766</v>
      </c>
      <c r="F95" s="4" t="s">
        <v>67</v>
      </c>
      <c r="G95" s="4" t="s">
        <v>57</v>
      </c>
      <c r="H95" s="4" t="s">
        <v>253</v>
      </c>
      <c r="I95" s="5">
        <v>45931</v>
      </c>
      <c r="J95" s="6">
        <v>0</v>
      </c>
      <c r="K95" s="6">
        <v>58.19</v>
      </c>
      <c r="L95" s="4">
        <v>9</v>
      </c>
      <c r="M95" s="7">
        <v>1</v>
      </c>
      <c r="N95" s="6">
        <v>523.71</v>
      </c>
      <c r="P95" s="4" t="s">
        <v>367</v>
      </c>
    </row>
    <row r="96" spans="1:16" s="4" customFormat="1" x14ac:dyDescent="0.25">
      <c r="A96" s="9" t="s">
        <v>359</v>
      </c>
      <c r="B96" s="9" t="str">
        <f t="shared" si="5"/>
        <v>A043330151</v>
      </c>
      <c r="C96" s="9" t="str">
        <f t="shared" si="5"/>
        <v>A0433301511</v>
      </c>
      <c r="D96" s="4" t="s">
        <v>261</v>
      </c>
      <c r="E96" s="4">
        <v>20724564</v>
      </c>
      <c r="F96" s="4" t="s">
        <v>234</v>
      </c>
      <c r="G96" s="4" t="s">
        <v>57</v>
      </c>
      <c r="H96" s="4" t="s">
        <v>262</v>
      </c>
      <c r="I96" s="5">
        <v>45931</v>
      </c>
      <c r="J96" s="6">
        <v>0</v>
      </c>
      <c r="K96" s="6">
        <v>31.02</v>
      </c>
      <c r="L96" s="4">
        <v>9</v>
      </c>
      <c r="M96" s="7">
        <v>1</v>
      </c>
      <c r="N96" s="6">
        <v>279.18</v>
      </c>
      <c r="P96" s="4" t="s">
        <v>368</v>
      </c>
    </row>
    <row r="97" spans="1:18" s="4" customFormat="1" x14ac:dyDescent="0.25">
      <c r="A97" s="9" t="s">
        <v>356</v>
      </c>
      <c r="B97" s="9" t="str">
        <f t="shared" si="5"/>
        <v>A042218091</v>
      </c>
      <c r="C97" s="9" t="str">
        <f t="shared" si="5"/>
        <v>A0422180911</v>
      </c>
      <c r="D97" s="4" t="s">
        <v>249</v>
      </c>
      <c r="E97" s="4">
        <v>20253958</v>
      </c>
      <c r="F97" s="4" t="s">
        <v>182</v>
      </c>
      <c r="G97" s="4" t="s">
        <v>57</v>
      </c>
      <c r="H97" s="4" t="s">
        <v>250</v>
      </c>
      <c r="I97" s="5">
        <v>45748</v>
      </c>
      <c r="J97" s="6">
        <v>0</v>
      </c>
      <c r="K97" s="6">
        <v>29.52</v>
      </c>
      <c r="L97" s="4">
        <v>9</v>
      </c>
      <c r="M97" s="7">
        <v>1</v>
      </c>
      <c r="N97" s="6">
        <v>265.68</v>
      </c>
      <c r="P97" s="4" t="s">
        <v>369</v>
      </c>
    </row>
    <row r="98" spans="1:18" x14ac:dyDescent="0.25">
      <c r="A98" s="8" t="s">
        <v>380</v>
      </c>
      <c r="B98" s="8" t="str">
        <f>CONCATENATE(A98,9)</f>
        <v>959030254OV9</v>
      </c>
      <c r="C98" s="8" t="str">
        <f>CONCATENATE(A98,"R")</f>
        <v>959030254OVR</v>
      </c>
      <c r="D98" t="s">
        <v>329</v>
      </c>
      <c r="E98">
        <v>20411454</v>
      </c>
      <c r="F98" t="s">
        <v>376</v>
      </c>
      <c r="G98" t="s">
        <v>270</v>
      </c>
      <c r="H98" t="s">
        <v>330</v>
      </c>
      <c r="I98" s="1">
        <v>45717</v>
      </c>
      <c r="N98">
        <v>-72.92</v>
      </c>
      <c r="P98" t="s">
        <v>371</v>
      </c>
    </row>
    <row r="99" spans="1:18" x14ac:dyDescent="0.25">
      <c r="A99" s="8">
        <v>980161460</v>
      </c>
      <c r="B99" s="8" t="str">
        <f>CONCATENATE(A99,)</f>
        <v>980161460</v>
      </c>
      <c r="C99" s="8" t="str">
        <f>CONCATENATE(A99,"OVR")</f>
        <v>980161460OVR</v>
      </c>
      <c r="D99" t="s">
        <v>334</v>
      </c>
      <c r="E99">
        <v>20411454</v>
      </c>
      <c r="F99" t="s">
        <v>376</v>
      </c>
      <c r="G99" t="s">
        <v>270</v>
      </c>
      <c r="H99" t="s">
        <v>330</v>
      </c>
      <c r="I99" s="1">
        <v>45658</v>
      </c>
      <c r="N99">
        <v>-43.75</v>
      </c>
      <c r="P99" t="s">
        <v>371</v>
      </c>
    </row>
    <row r="100" spans="1:18" x14ac:dyDescent="0.25">
      <c r="A100" s="8" t="s">
        <v>381</v>
      </c>
      <c r="C100" s="8" t="str">
        <f t="shared" ref="C100:C105" si="6">CONCATENATE(A100,"R")</f>
        <v>132275463OVR</v>
      </c>
      <c r="D100" t="s">
        <v>315</v>
      </c>
      <c r="E100">
        <v>20411454</v>
      </c>
      <c r="F100" t="s">
        <v>376</v>
      </c>
      <c r="G100" t="s">
        <v>270</v>
      </c>
      <c r="H100" t="s">
        <v>318</v>
      </c>
      <c r="I100" s="1">
        <v>45689</v>
      </c>
      <c r="N100">
        <v>-18</v>
      </c>
      <c r="P100" t="s">
        <v>371</v>
      </c>
    </row>
    <row r="101" spans="1:18" x14ac:dyDescent="0.25">
      <c r="A101" s="8" t="s">
        <v>353</v>
      </c>
      <c r="C101" s="8" t="str">
        <f t="shared" si="6"/>
        <v>942914416OVR</v>
      </c>
      <c r="D101" t="s">
        <v>238</v>
      </c>
      <c r="E101">
        <v>20411454</v>
      </c>
      <c r="F101" t="s">
        <v>376</v>
      </c>
      <c r="G101" t="s">
        <v>57</v>
      </c>
      <c r="H101" t="s">
        <v>240</v>
      </c>
      <c r="I101" s="1">
        <v>45931</v>
      </c>
      <c r="J101" s="2">
        <v>0</v>
      </c>
      <c r="K101" s="2">
        <v>175</v>
      </c>
      <c r="L101">
        <v>1</v>
      </c>
      <c r="M101" s="3">
        <v>1</v>
      </c>
      <c r="N101" s="2">
        <v>175</v>
      </c>
      <c r="P101" t="s">
        <v>371</v>
      </c>
    </row>
    <row r="102" spans="1:18" x14ac:dyDescent="0.25">
      <c r="A102" s="8" t="s">
        <v>352</v>
      </c>
      <c r="C102" s="8" t="str">
        <f t="shared" si="6"/>
        <v>927044797OVR</v>
      </c>
      <c r="D102" t="s">
        <v>231</v>
      </c>
      <c r="E102">
        <v>20411454</v>
      </c>
      <c r="F102" t="s">
        <v>376</v>
      </c>
      <c r="G102" t="s">
        <v>57</v>
      </c>
      <c r="H102" t="s">
        <v>236</v>
      </c>
      <c r="I102" s="1">
        <v>45931</v>
      </c>
      <c r="J102" s="2">
        <v>0</v>
      </c>
      <c r="K102" s="2">
        <v>113</v>
      </c>
      <c r="L102">
        <v>1</v>
      </c>
      <c r="M102" s="3">
        <v>1</v>
      </c>
      <c r="N102" s="2">
        <v>113</v>
      </c>
      <c r="P102" t="s">
        <v>371</v>
      </c>
    </row>
    <row r="103" spans="1:18" x14ac:dyDescent="0.25">
      <c r="A103" s="8" t="s">
        <v>354</v>
      </c>
      <c r="C103" s="8" t="str">
        <f t="shared" si="6"/>
        <v>950654690OVR</v>
      </c>
      <c r="D103" t="s">
        <v>242</v>
      </c>
      <c r="E103">
        <v>20411454</v>
      </c>
      <c r="F103" t="s">
        <v>376</v>
      </c>
      <c r="G103" t="s">
        <v>57</v>
      </c>
      <c r="H103" t="s">
        <v>236</v>
      </c>
      <c r="I103" s="1">
        <v>45962</v>
      </c>
      <c r="J103" s="2">
        <v>0</v>
      </c>
      <c r="K103" s="2">
        <v>113</v>
      </c>
      <c r="L103">
        <v>1</v>
      </c>
      <c r="M103" s="3">
        <v>1</v>
      </c>
      <c r="N103" s="2">
        <v>113</v>
      </c>
      <c r="P103" t="s">
        <v>371</v>
      </c>
    </row>
    <row r="104" spans="1:18" x14ac:dyDescent="0.25">
      <c r="A104" s="8" t="s">
        <v>355</v>
      </c>
      <c r="C104" s="8" t="str">
        <f t="shared" si="6"/>
        <v>968579080OVR</v>
      </c>
      <c r="D104" t="s">
        <v>246</v>
      </c>
      <c r="E104">
        <v>20411454</v>
      </c>
      <c r="F104" t="s">
        <v>376</v>
      </c>
      <c r="G104" t="s">
        <v>57</v>
      </c>
      <c r="H104" t="s">
        <v>236</v>
      </c>
      <c r="I104" s="1">
        <v>45931</v>
      </c>
      <c r="J104" s="2">
        <v>0</v>
      </c>
      <c r="K104" s="2">
        <v>113</v>
      </c>
      <c r="L104">
        <v>1</v>
      </c>
      <c r="M104" s="3">
        <v>1</v>
      </c>
      <c r="N104" s="2">
        <v>113</v>
      </c>
      <c r="P104" t="s">
        <v>371</v>
      </c>
    </row>
    <row r="105" spans="1:18" x14ac:dyDescent="0.25">
      <c r="A105" s="8" t="s">
        <v>351</v>
      </c>
      <c r="C105" s="8" t="str">
        <f t="shared" si="6"/>
        <v>926230943OVR</v>
      </c>
      <c r="D105" t="s">
        <v>226</v>
      </c>
      <c r="E105">
        <v>20411454</v>
      </c>
      <c r="F105" t="s">
        <v>376</v>
      </c>
      <c r="G105" t="s">
        <v>57</v>
      </c>
      <c r="H105" t="s">
        <v>229</v>
      </c>
      <c r="I105" s="1">
        <v>45931</v>
      </c>
      <c r="J105" s="2">
        <v>0</v>
      </c>
      <c r="K105" s="2">
        <v>12.5</v>
      </c>
      <c r="L105">
        <v>1</v>
      </c>
      <c r="M105" s="3">
        <v>1</v>
      </c>
      <c r="N105" s="2">
        <v>12.5</v>
      </c>
      <c r="O105" t="s">
        <v>106</v>
      </c>
      <c r="P105" t="s">
        <v>371</v>
      </c>
    </row>
    <row r="106" spans="1:18" s="4" customFormat="1" x14ac:dyDescent="0.25">
      <c r="A106" s="9">
        <v>95903025499</v>
      </c>
      <c r="B106" s="9" t="str">
        <f>CONCATENATE(A106,1)</f>
        <v>959030254991</v>
      </c>
      <c r="C106" s="9" t="str">
        <f>CONCATENATE(B106,1)</f>
        <v>9590302549911</v>
      </c>
      <c r="D106" s="4" t="s">
        <v>329</v>
      </c>
      <c r="E106" s="4">
        <v>16865615</v>
      </c>
      <c r="F106" s="4" t="s">
        <v>258</v>
      </c>
      <c r="G106" s="4" t="s">
        <v>270</v>
      </c>
      <c r="H106" s="4" t="s">
        <v>332</v>
      </c>
      <c r="I106" s="5">
        <v>45717</v>
      </c>
      <c r="N106" s="4">
        <v>-260.83</v>
      </c>
      <c r="P106" s="4" t="s">
        <v>372</v>
      </c>
      <c r="Q106" s="4" t="s">
        <v>373</v>
      </c>
    </row>
    <row r="107" spans="1:18" s="4" customFormat="1" x14ac:dyDescent="0.25">
      <c r="A107" s="9">
        <v>926230943</v>
      </c>
      <c r="B107" s="9" t="str">
        <f t="shared" ref="B107:C111" si="7">CONCATENATE(A107,1)</f>
        <v>9262309431</v>
      </c>
      <c r="C107" s="9" t="str">
        <f t="shared" si="7"/>
        <v>92623094311</v>
      </c>
      <c r="D107" s="4" t="s">
        <v>226</v>
      </c>
      <c r="E107" s="4">
        <v>9213293</v>
      </c>
      <c r="F107" s="4" t="s">
        <v>98</v>
      </c>
      <c r="G107" s="4" t="s">
        <v>57</v>
      </c>
      <c r="H107" s="4" t="s">
        <v>227</v>
      </c>
      <c r="I107" s="5">
        <v>45931</v>
      </c>
      <c r="J107" s="6">
        <v>0</v>
      </c>
      <c r="K107" s="6">
        <v>78.25</v>
      </c>
      <c r="L107" s="4">
        <v>1</v>
      </c>
      <c r="M107" s="7">
        <v>1</v>
      </c>
      <c r="N107" s="6">
        <v>78.25</v>
      </c>
      <c r="O107" s="4" t="s">
        <v>106</v>
      </c>
      <c r="P107" s="4" t="s">
        <v>372</v>
      </c>
      <c r="Q107" s="4" t="s">
        <v>374</v>
      </c>
      <c r="R107" s="4">
        <f>313/12*3</f>
        <v>78.25</v>
      </c>
    </row>
    <row r="108" spans="1:18" s="4" customFormat="1" x14ac:dyDescent="0.25">
      <c r="A108" s="9">
        <v>927044797</v>
      </c>
      <c r="B108" s="9" t="str">
        <f t="shared" si="7"/>
        <v>9270447971</v>
      </c>
      <c r="C108" s="9" t="str">
        <f t="shared" si="7"/>
        <v>92704479711</v>
      </c>
      <c r="D108" s="4" t="s">
        <v>231</v>
      </c>
      <c r="E108" s="4">
        <v>20724564</v>
      </c>
      <c r="F108" s="4" t="s">
        <v>234</v>
      </c>
      <c r="G108" s="4" t="s">
        <v>57</v>
      </c>
      <c r="H108" s="4" t="s">
        <v>227</v>
      </c>
      <c r="I108" s="5">
        <v>45931</v>
      </c>
      <c r="J108" s="6">
        <v>0</v>
      </c>
      <c r="K108" s="6">
        <v>78.25</v>
      </c>
      <c r="L108" s="4">
        <v>1</v>
      </c>
      <c r="M108" s="7">
        <v>1</v>
      </c>
      <c r="N108" s="6">
        <v>78.25</v>
      </c>
      <c r="O108" s="4" t="s">
        <v>106</v>
      </c>
      <c r="P108" s="4" t="s">
        <v>372</v>
      </c>
      <c r="Q108" s="4" t="s">
        <v>374</v>
      </c>
    </row>
    <row r="109" spans="1:18" s="4" customFormat="1" x14ac:dyDescent="0.25">
      <c r="A109" s="9">
        <v>942914416</v>
      </c>
      <c r="B109" s="9" t="str">
        <f t="shared" si="7"/>
        <v>9429144161</v>
      </c>
      <c r="C109" s="9" t="str">
        <f t="shared" si="7"/>
        <v>94291441611</v>
      </c>
      <c r="D109" s="4" t="s">
        <v>238</v>
      </c>
      <c r="E109" s="4">
        <v>19645587</v>
      </c>
      <c r="F109" s="4" t="s">
        <v>216</v>
      </c>
      <c r="G109" s="4" t="s">
        <v>57</v>
      </c>
      <c r="H109" s="4" t="s">
        <v>227</v>
      </c>
      <c r="I109" s="5">
        <v>45931</v>
      </c>
      <c r="J109" s="6">
        <v>0</v>
      </c>
      <c r="K109" s="6">
        <v>78.25</v>
      </c>
      <c r="L109" s="4">
        <v>1</v>
      </c>
      <c r="M109" s="7">
        <v>1</v>
      </c>
      <c r="N109" s="6">
        <v>78.25</v>
      </c>
      <c r="O109" s="4" t="s">
        <v>106</v>
      </c>
      <c r="P109" s="4" t="s">
        <v>372</v>
      </c>
      <c r="Q109" s="4" t="s">
        <v>374</v>
      </c>
    </row>
    <row r="110" spans="1:18" s="4" customFormat="1" x14ac:dyDescent="0.25">
      <c r="A110" s="9">
        <v>950654690</v>
      </c>
      <c r="B110" s="9" t="str">
        <f t="shared" si="7"/>
        <v>9506546901</v>
      </c>
      <c r="C110" s="9" t="str">
        <f t="shared" si="7"/>
        <v>95065469011</v>
      </c>
      <c r="D110" s="4" t="s">
        <v>242</v>
      </c>
      <c r="E110" s="4">
        <v>20724564</v>
      </c>
      <c r="F110" s="4" t="s">
        <v>234</v>
      </c>
      <c r="G110" s="4" t="s">
        <v>57</v>
      </c>
      <c r="H110" s="4" t="s">
        <v>227</v>
      </c>
      <c r="I110" s="5">
        <v>45962</v>
      </c>
      <c r="J110" s="6">
        <v>0</v>
      </c>
      <c r="K110" s="6">
        <v>52.17</v>
      </c>
      <c r="L110" s="4">
        <v>1</v>
      </c>
      <c r="M110" s="7">
        <v>1</v>
      </c>
      <c r="N110" s="6">
        <v>52.17</v>
      </c>
      <c r="O110" s="4" t="s">
        <v>243</v>
      </c>
      <c r="P110" s="4" t="s">
        <v>372</v>
      </c>
      <c r="Q110" s="4" t="s">
        <v>375</v>
      </c>
    </row>
    <row r="111" spans="1:18" s="4" customFormat="1" x14ac:dyDescent="0.25">
      <c r="A111" s="9">
        <v>968579080</v>
      </c>
      <c r="B111" s="9" t="str">
        <f t="shared" si="7"/>
        <v>9685790801</v>
      </c>
      <c r="C111" s="9" t="str">
        <f t="shared" si="7"/>
        <v>96857908011</v>
      </c>
      <c r="D111" s="4" t="s">
        <v>246</v>
      </c>
      <c r="E111" s="4">
        <v>20724564</v>
      </c>
      <c r="F111" s="4" t="s">
        <v>234</v>
      </c>
      <c r="G111" s="4" t="s">
        <v>57</v>
      </c>
      <c r="H111" s="4" t="s">
        <v>227</v>
      </c>
      <c r="I111" s="5">
        <v>45931</v>
      </c>
      <c r="J111" s="6">
        <v>0</v>
      </c>
      <c r="K111" s="6">
        <v>78.25</v>
      </c>
      <c r="L111" s="4">
        <v>1</v>
      </c>
      <c r="M111" s="7">
        <v>1</v>
      </c>
      <c r="N111" s="6">
        <v>78.25</v>
      </c>
      <c r="O111" s="4" t="s">
        <v>106</v>
      </c>
      <c r="P111" s="4" t="s">
        <v>372</v>
      </c>
      <c r="Q111" s="4" t="s">
        <v>374</v>
      </c>
    </row>
    <row r="112" spans="1:18" s="4" customFormat="1" x14ac:dyDescent="0.25">
      <c r="A112" s="9">
        <v>13227546399</v>
      </c>
      <c r="B112" s="9" t="str">
        <f>CONCATENATE(A112,1)</f>
        <v>132275463991</v>
      </c>
      <c r="C112" s="9" t="str">
        <f>CONCATENATE(B112,1)</f>
        <v>1322754639911</v>
      </c>
      <c r="D112" s="4" t="s">
        <v>315</v>
      </c>
      <c r="E112" s="4">
        <v>19615078</v>
      </c>
      <c r="F112" s="4" t="s">
        <v>317</v>
      </c>
      <c r="G112" s="4" t="s">
        <v>270</v>
      </c>
      <c r="H112" s="4" t="s">
        <v>227</v>
      </c>
      <c r="I112" s="5">
        <v>45689</v>
      </c>
      <c r="N112" s="4">
        <v>-78.25</v>
      </c>
      <c r="P112" s="4" t="s">
        <v>372</v>
      </c>
      <c r="Q112" s="4" t="s">
        <v>374</v>
      </c>
    </row>
    <row r="113" spans="1:16" s="4" customFormat="1" x14ac:dyDescent="0.25">
      <c r="A113" s="9" t="s">
        <v>361</v>
      </c>
      <c r="B113" s="9" t="s">
        <v>382</v>
      </c>
      <c r="C113" s="9" t="s">
        <v>382</v>
      </c>
      <c r="D113" s="4" t="s">
        <v>278</v>
      </c>
      <c r="E113" s="4">
        <v>9213293</v>
      </c>
      <c r="F113" s="4" t="s">
        <v>98</v>
      </c>
      <c r="G113" s="4" t="s">
        <v>270</v>
      </c>
      <c r="H113" s="4" t="s">
        <v>279</v>
      </c>
      <c r="I113" s="5">
        <v>45778</v>
      </c>
      <c r="N113" s="4">
        <v>-90.83</v>
      </c>
      <c r="P113" s="4" t="s">
        <v>370</v>
      </c>
    </row>
  </sheetData>
  <sortState xmlns:xlrd2="http://schemas.microsoft.com/office/spreadsheetml/2017/richdata2" ref="A2:AN113">
    <sortCondition ref="H2:H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2025-10-02T17:55:55Z</dcterms:created>
  <dcterms:modified xsi:type="dcterms:W3CDTF">2026-05-19T12:55:41Z</dcterms:modified>
</cp:coreProperties>
</file>