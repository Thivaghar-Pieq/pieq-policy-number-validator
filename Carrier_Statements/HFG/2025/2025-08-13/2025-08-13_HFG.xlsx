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8-13-25\"/>
    </mc:Choice>
  </mc:AlternateContent>
  <xr:revisionPtr revIDLastSave="0" documentId="13_ncr:1_{11F09A4A-96FA-4B54-B929-A8E682861394}" xr6:coauthVersionLast="47" xr6:coauthVersionMax="47" xr10:uidLastSave="{00000000-0000-0000-0000-000000000000}"/>
  <bookViews>
    <workbookView xWindow="28680" yWindow="-120" windowWidth="29040" windowHeight="16440" activeTab="1" xr2:uid="{73006871-7060-45D1-9ACC-6F96A1BD61DE}"/>
  </bookViews>
  <sheets>
    <sheet name="HFG 2025-08-13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B45" i="2" l="1"/>
  <c r="B44" i="2"/>
  <c r="B56" i="2"/>
  <c r="B55" i="2"/>
  <c r="B54" i="2"/>
  <c r="B53" i="2"/>
  <c r="B52" i="2"/>
  <c r="B51" i="2"/>
  <c r="B50" i="2"/>
  <c r="B49" i="2"/>
  <c r="B48" i="2"/>
  <c r="B47" i="2"/>
  <c r="B46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16" i="2"/>
  <c r="B15" i="2"/>
  <c r="B14" i="2"/>
  <c r="B12" i="2"/>
  <c r="B11" i="2"/>
  <c r="B10" i="2"/>
  <c r="B9" i="2"/>
  <c r="B8" i="2"/>
  <c r="B7" i="2"/>
  <c r="B6" i="2"/>
  <c r="B5" i="2"/>
  <c r="B4" i="2"/>
  <c r="B3" i="2"/>
  <c r="B2" i="2"/>
  <c r="R64" i="2"/>
  <c r="S61" i="2"/>
  <c r="S56" i="2"/>
  <c r="R45" i="2"/>
  <c r="N65" i="2"/>
</calcChain>
</file>

<file path=xl/sharedStrings.xml><?xml version="1.0" encoding="utf-8"?>
<sst xmlns="http://schemas.openxmlformats.org/spreadsheetml/2006/main" count="1543" uniqueCount="339">
  <si>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</si>
  <si>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</si>
  <si>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</si>
  <si>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</si>
  <si>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</si>
  <si>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</si>
  <si>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</si>
  <si>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</si>
  <si>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</si>
  <si>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</si>
  <si>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</si>
  <si>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</si>
  <si>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</si>
  <si>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</si>
  <si>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</si>
  <si>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</si>
  <si>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</si>
  <si>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</si>
  <si>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</si>
  <si>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</si>
  <si>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</si>
  <si>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</si>
  <si>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</si>
  <si>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</si>
  <si>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</si>
  <si>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</si>
  <si>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</si>
  <si>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</si>
  <si>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</si>
  <si>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</si>
  <si>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</si>
  <si>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</si>
  <si>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</si>
  <si>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</si>
  <si>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</si>
  <si>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</si>
  <si>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</si>
  <si>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</si>
  <si>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</si>
  <si>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</si>
  <si>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</si>
  <si>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</si>
  <si>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</si>
  <si>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</si>
  <si>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'00021899965KPC</t>
  </si>
  <si>
    <t>DOUGLAS MILLER</t>
  </si>
  <si>
    <t>NA</t>
  </si>
  <si>
    <t>'047637</t>
  </si>
  <si>
    <t>DIANA SEIFFERT</t>
  </si>
  <si>
    <t>Active</t>
  </si>
  <si>
    <t>Humana MA 2019+ Level 15- 175/108</t>
  </si>
  <si>
    <t>Monthly</t>
  </si>
  <si>
    <t>AV</t>
  </si>
  <si>
    <t>Humana MA Bonus Upload 08-13-2025.xlsx</t>
  </si>
  <si>
    <t>'00023486977K</t>
  </si>
  <si>
    <t>JACKI BIRCKELBAW</t>
  </si>
  <si>
    <t>IL</t>
  </si>
  <si>
    <t>'043705</t>
  </si>
  <si>
    <t>MICHAEL DUNAVANT</t>
  </si>
  <si>
    <t>ACTIVE</t>
  </si>
  <si>
    <t>'00023519847K</t>
  </si>
  <si>
    <t>KATHLEEN KAPPELMAN</t>
  </si>
  <si>
    <t>'045603</t>
  </si>
  <si>
    <t>ANDREW CHOI</t>
  </si>
  <si>
    <t>'00023520146K</t>
  </si>
  <si>
    <t>KATHERINE SCHULTZ-DUNK</t>
  </si>
  <si>
    <t>'00023520489K</t>
  </si>
  <si>
    <t>CRAIG HARRISON</t>
  </si>
  <si>
    <t>'045639</t>
  </si>
  <si>
    <t>STEVEN WERNER</t>
  </si>
  <si>
    <t>'00023520783K</t>
  </si>
  <si>
    <t>DEBORAH MARZANO</t>
  </si>
  <si>
    <t>'045618</t>
  </si>
  <si>
    <t>STEPHANIE DRAPAC</t>
  </si>
  <si>
    <t>'00023521051K</t>
  </si>
  <si>
    <t>MICHAEL MCCLELLAN</t>
  </si>
  <si>
    <t>OH</t>
  </si>
  <si>
    <t>'045670</t>
  </si>
  <si>
    <t>STEVEN BRANDT</t>
  </si>
  <si>
    <t>Humana PDP 2019+ Level 15- 15/0</t>
  </si>
  <si>
    <t>'00023521262K</t>
  </si>
  <si>
    <t>FRANK MATOS</t>
  </si>
  <si>
    <t>'045612</t>
  </si>
  <si>
    <t>ANTHONY HUNSBERGER</t>
  </si>
  <si>
    <t>'00023521324K</t>
  </si>
  <si>
    <t>DOUGLAS DUKE</t>
  </si>
  <si>
    <t>AZ</t>
  </si>
  <si>
    <t>'043682</t>
  </si>
  <si>
    <t>GREGORY TEIPEL</t>
  </si>
  <si>
    <t>'00023521488K</t>
  </si>
  <si>
    <t>MANJIT MEHTA</t>
  </si>
  <si>
    <t>'045611</t>
  </si>
  <si>
    <t>FRANK LISKOVEC</t>
  </si>
  <si>
    <t>'00023521930K</t>
  </si>
  <si>
    <t>MEG DHAMER</t>
  </si>
  <si>
    <t>'00023522226K</t>
  </si>
  <si>
    <t>DINA CUCUNATO</t>
  </si>
  <si>
    <t>WI</t>
  </si>
  <si>
    <t>'043637</t>
  </si>
  <si>
    <t>CHRISTIAN TAUGNER</t>
  </si>
  <si>
    <t>'00023526983K</t>
  </si>
  <si>
    <t>EDWARD HOWARD</t>
  </si>
  <si>
    <t>'00023529402K</t>
  </si>
  <si>
    <t>ROSE COSSYLEON-VALENZUELA</t>
  </si>
  <si>
    <t>'045709</t>
  </si>
  <si>
    <t>ESTHER HERRERA-LARSEN</t>
  </si>
  <si>
    <t>'00023529795K</t>
  </si>
  <si>
    <t>GILBERT CALZONZI</t>
  </si>
  <si>
    <t>'00023531138K</t>
  </si>
  <si>
    <t>MARY TRETT</t>
  </si>
  <si>
    <t>'045671</t>
  </si>
  <si>
    <t>ROBERT SHAPIRO</t>
  </si>
  <si>
    <t>'00023531495K</t>
  </si>
  <si>
    <t>FRANCISCO GARCIA</t>
  </si>
  <si>
    <t>'101117303700</t>
  </si>
  <si>
    <t>FRANK MIHELIC</t>
  </si>
  <si>
    <t>PA</t>
  </si>
  <si>
    <t>'043679</t>
  </si>
  <si>
    <t>DEBORAH INSKIPT</t>
  </si>
  <si>
    <t>Aetna MAPD NMO to GMO - 4-1-23+  Replace E-App</t>
  </si>
  <si>
    <t>5/12 PRORATE</t>
  </si>
  <si>
    <t>'101497408000</t>
  </si>
  <si>
    <t>DEBORAH STUDEBAKER</t>
  </si>
  <si>
    <t>CA</t>
  </si>
  <si>
    <t>'043678</t>
  </si>
  <si>
    <t>MATTHEW DAUGHERTY</t>
  </si>
  <si>
    <t>Aetna MAPD NMO to GMO 4-1-23+  -CA NJ - Replace E-App</t>
  </si>
  <si>
    <t>'101683202900</t>
  </si>
  <si>
    <t>JIM FOLTZ</t>
  </si>
  <si>
    <t>'101706129600</t>
  </si>
  <si>
    <t>KATHERINE FOLTZ</t>
  </si>
  <si>
    <t>'102184690900</t>
  </si>
  <si>
    <t>NANCY MASCHMEYER</t>
  </si>
  <si>
    <t>4/12 PRORATE</t>
  </si>
  <si>
    <t>'102184907800</t>
  </si>
  <si>
    <t>GINGER PHILLIPS</t>
  </si>
  <si>
    <t>OK</t>
  </si>
  <si>
    <t>'102185121400</t>
  </si>
  <si>
    <t>CHERYL BELLAVIA</t>
  </si>
  <si>
    <t>'041686</t>
  </si>
  <si>
    <t>DALE WALENGA</t>
  </si>
  <si>
    <t>'102185144300</t>
  </si>
  <si>
    <t>DIANNE BALOUGH</t>
  </si>
  <si>
    <t>'047621</t>
  </si>
  <si>
    <t>TOM SERIO</t>
  </si>
  <si>
    <t>'102185649000</t>
  </si>
  <si>
    <t>DIXIE MORLEY</t>
  </si>
  <si>
    <t>'043867</t>
  </si>
  <si>
    <t>RYAN STOCKER</t>
  </si>
  <si>
    <t>'102185649100</t>
  </si>
  <si>
    <t>BARBARA DAWSON</t>
  </si>
  <si>
    <t>'043691</t>
  </si>
  <si>
    <t>MICHELLE MCCORKLE</t>
  </si>
  <si>
    <t>'102185749400</t>
  </si>
  <si>
    <t>JOHN MARTIN</t>
  </si>
  <si>
    <t>'133726021</t>
  </si>
  <si>
    <t>CHRISTINE THOMPSON</t>
  </si>
  <si>
    <t>UHC MAPD Street payable to upline PA/CT- 2025 Pro New</t>
  </si>
  <si>
    <t>'133751757</t>
  </si>
  <si>
    <t>MICHAEL BUSH</t>
  </si>
  <si>
    <t>MD</t>
  </si>
  <si>
    <t>'045717</t>
  </si>
  <si>
    <t>RONALD MAX</t>
  </si>
  <si>
    <t>UHC MAPD Street payable to upline - 2025 New</t>
  </si>
  <si>
    <t>'31F5L5L79</t>
  </si>
  <si>
    <t>SHARON PICHE</t>
  </si>
  <si>
    <t>Cigna MAPD FMO to GA 1-1-19+ - New</t>
  </si>
  <si>
    <t>'43U9A2L89</t>
  </si>
  <si>
    <t>ROBERT MARTIN</t>
  </si>
  <si>
    <t>CO</t>
  </si>
  <si>
    <t>'043713</t>
  </si>
  <si>
    <t>JOEL LEE</t>
  </si>
  <si>
    <t>'77X5L4L64</t>
  </si>
  <si>
    <t>WADE BEST</t>
  </si>
  <si>
    <t>NM</t>
  </si>
  <si>
    <t>'045605</t>
  </si>
  <si>
    <t>GARY PORTUGAL</t>
  </si>
  <si>
    <t>'906934810</t>
  </si>
  <si>
    <t>JOHN FELL</t>
  </si>
  <si>
    <t>'045601</t>
  </si>
  <si>
    <t>CAROL FOLEY</t>
  </si>
  <si>
    <t>'939536888</t>
  </si>
  <si>
    <t>ELIZABETH VIRELLA</t>
  </si>
  <si>
    <t>'939536888OV</t>
  </si>
  <si>
    <t>UHC MA GA 2024 New Full - CA</t>
  </si>
  <si>
    <t>'939556187</t>
  </si>
  <si>
    <t>JOHN KLEINE</t>
  </si>
  <si>
    <t>'043748</t>
  </si>
  <si>
    <t>SCOTT FINE</t>
  </si>
  <si>
    <t>'944163894</t>
  </si>
  <si>
    <t>JAMES MERCER</t>
  </si>
  <si>
    <t>IN</t>
  </si>
  <si>
    <t>'045937</t>
  </si>
  <si>
    <t>MARSHA SANDEROCK</t>
  </si>
  <si>
    <t>'944163894OV</t>
  </si>
  <si>
    <t>'950076252</t>
  </si>
  <si>
    <t>TEENA ROSS</t>
  </si>
  <si>
    <t>UHC MAPD Street payable to upline- 2025 Replace</t>
  </si>
  <si>
    <t>6/12 PRORATE</t>
  </si>
  <si>
    <t>'971115971</t>
  </si>
  <si>
    <t>MIGUEL MIRANDA</t>
  </si>
  <si>
    <t>'043969</t>
  </si>
  <si>
    <t>STACEY PORTUGAL</t>
  </si>
  <si>
    <t>'973050889</t>
  </si>
  <si>
    <t>GAYLE WASINACK</t>
  </si>
  <si>
    <t>'A04305020</t>
  </si>
  <si>
    <t>WILLIAM MARCULIS</t>
  </si>
  <si>
    <t>FL</t>
  </si>
  <si>
    <t>UHC AARP Med Supp 2025+ FL Area 4 Plan B C F G</t>
  </si>
  <si>
    <t>'A04305120</t>
  </si>
  <si>
    <t>DELYN BYERLY</t>
  </si>
  <si>
    <t>'043689</t>
  </si>
  <si>
    <t>ANNE MARIE KOZACHECK</t>
  </si>
  <si>
    <t>UHC AARP Med Supp 2025+ PA Area 1 Plan B C F G</t>
  </si>
  <si>
    <t>'A04306789</t>
  </si>
  <si>
    <t>JAMAL HADIEH</t>
  </si>
  <si>
    <t>UHC AARP Med Supp 2025+ FL Area 1 Plan B C F G</t>
  </si>
  <si>
    <t>'A04306994</t>
  </si>
  <si>
    <t>SUSAN ADAMS</t>
  </si>
  <si>
    <t>UHC AARP Med Supp 2025+ IN All Plans</t>
  </si>
  <si>
    <t>'A04308427</t>
  </si>
  <si>
    <t>DONNA FELTMAN</t>
  </si>
  <si>
    <t>UHC AARP Med Supp 2025+ PA Area 1 Plan N</t>
  </si>
  <si>
    <t>'A04309699</t>
  </si>
  <si>
    <t>ANITA HELM</t>
  </si>
  <si>
    <t>'043690</t>
  </si>
  <si>
    <t>THOMAS KUCAN</t>
  </si>
  <si>
    <t>UHC AARP Med Supp 2025+ MD Plan B C F G</t>
  </si>
  <si>
    <t>'A04310008</t>
  </si>
  <si>
    <t>JONATHAN KROEHLER</t>
  </si>
  <si>
    <t>'A04311025</t>
  </si>
  <si>
    <t>LISA SEARS</t>
  </si>
  <si>
    <t>'A04311093</t>
  </si>
  <si>
    <t>NORMAND DUNLAP</t>
  </si>
  <si>
    <t>'A04314015</t>
  </si>
  <si>
    <t>SERAFINO TINARI</t>
  </si>
  <si>
    <t>'A04315554</t>
  </si>
  <si>
    <t>CYNTHIA STEPHENS</t>
  </si>
  <si>
    <t>LA</t>
  </si>
  <si>
    <t>'043585</t>
  </si>
  <si>
    <t>PETER RICHTER</t>
  </si>
  <si>
    <t>UHC AARP Med Supp 2025+ AL LA NH Plan B C F G</t>
  </si>
  <si>
    <t>CB</t>
  </si>
  <si>
    <t>'00011747317KPC</t>
  </si>
  <si>
    <t>KEVIN CONNOLLY</t>
  </si>
  <si>
    <t>CHARGEBACK</t>
  </si>
  <si>
    <t>'00023184274KPC</t>
  </si>
  <si>
    <t>MATTHEW LENHART</t>
  </si>
  <si>
    <t>'00023224834KPC</t>
  </si>
  <si>
    <t>IULIANA ACHIMAS</t>
  </si>
  <si>
    <t>'045638</t>
  </si>
  <si>
    <t>RICHARD YALE</t>
  </si>
  <si>
    <t>'101355592100PC</t>
  </si>
  <si>
    <t>BARRY WALTERS</t>
  </si>
  <si>
    <t>Aetna MAPD NMO to GMO - 4-1-23+  New E-App</t>
  </si>
  <si>
    <t>'133726021CB</t>
  </si>
  <si>
    <t>UHC MAPD Street payable to upline PA/CT- 2025 Replace</t>
  </si>
  <si>
    <t>'133751757CB</t>
  </si>
  <si>
    <t>'906934810CB</t>
  </si>
  <si>
    <t>'907035743PC</t>
  </si>
  <si>
    <t>CECILIA HOWARD</t>
  </si>
  <si>
    <t>TX</t>
  </si>
  <si>
    <t>'043623</t>
  </si>
  <si>
    <t>DOLORES DUNBAR</t>
  </si>
  <si>
    <t>'939556187CB</t>
  </si>
  <si>
    <t>'950076252CB</t>
  </si>
  <si>
    <t>'971115971CB</t>
  </si>
  <si>
    <t>'973050889CB</t>
  </si>
  <si>
    <t>'A04248777PC</t>
  </si>
  <si>
    <t>MICHAEL HANILY</t>
  </si>
  <si>
    <t>NJ</t>
  </si>
  <si>
    <t>'045609</t>
  </si>
  <si>
    <t>MURRAY STERNER</t>
  </si>
  <si>
    <t>UHC AARP Med Supp NJ 2025- Plan C D F G</t>
  </si>
  <si>
    <t>101355592100PC</t>
  </si>
  <si>
    <t>31F5L5L79</t>
  </si>
  <si>
    <t>43U9A2L89</t>
  </si>
  <si>
    <t>77X5L4L64</t>
  </si>
  <si>
    <t>00021899965KPC</t>
  </si>
  <si>
    <t>00023486977K</t>
  </si>
  <si>
    <t>00023519847K</t>
  </si>
  <si>
    <t>00023520146K</t>
  </si>
  <si>
    <t>00023520489K</t>
  </si>
  <si>
    <t>00023520783K</t>
  </si>
  <si>
    <t>00023521262K</t>
  </si>
  <si>
    <t>00023521324K</t>
  </si>
  <si>
    <t>00023521488K</t>
  </si>
  <si>
    <t>00023521930K</t>
  </si>
  <si>
    <t>00023522226K</t>
  </si>
  <si>
    <t>00023526983K</t>
  </si>
  <si>
    <t>00023529402K</t>
  </si>
  <si>
    <t>00023529795K</t>
  </si>
  <si>
    <t>00023531138K</t>
  </si>
  <si>
    <t>00023531495K</t>
  </si>
  <si>
    <t>00011747317KPC</t>
  </si>
  <si>
    <t>00023184274KPC</t>
  </si>
  <si>
    <t>00023224834KPC</t>
  </si>
  <si>
    <t>00023521051K</t>
  </si>
  <si>
    <t>A04315554</t>
  </si>
  <si>
    <t>A04306789</t>
  </si>
  <si>
    <t>A04305020</t>
  </si>
  <si>
    <t>A04306994</t>
  </si>
  <si>
    <t>A04310008</t>
  </si>
  <si>
    <t>A04311025</t>
  </si>
  <si>
    <t>A04311093</t>
  </si>
  <si>
    <t>A04309699</t>
  </si>
  <si>
    <t>A04305120</t>
  </si>
  <si>
    <t>A04308427</t>
  </si>
  <si>
    <t>A04314015</t>
  </si>
  <si>
    <t>A04248777PC</t>
  </si>
  <si>
    <t>133751757CB</t>
  </si>
  <si>
    <t>907035743PC</t>
  </si>
  <si>
    <t>939556187CB</t>
  </si>
  <si>
    <t>950076252CB</t>
  </si>
  <si>
    <t>971115971CB</t>
  </si>
  <si>
    <t>973050889CB</t>
  </si>
  <si>
    <t>133726021CB</t>
  </si>
  <si>
    <t>906934810CB</t>
  </si>
  <si>
    <t>Aetna MAPD OVR 2025</t>
  </si>
  <si>
    <t>Cigna MAPD 2025 Ovr</t>
  </si>
  <si>
    <t>Humana MAPD OVR 2025</t>
  </si>
  <si>
    <t>Humana PDP 2025!</t>
  </si>
  <si>
    <t>UHC AARP MS FL Area 1- Plan B C F G</t>
  </si>
  <si>
    <t>UHC AARP MS FL Area 4- Plan B C F G</t>
  </si>
  <si>
    <t>UHC AARP MS PA Area 1 2024- Plan N</t>
  </si>
  <si>
    <t>UHC AARP MS MD - Plan B C D F G</t>
  </si>
  <si>
    <t>UHC AARP MS PA Area 1- Plan B C F G 2024</t>
  </si>
  <si>
    <t>UHC Plans C,D,F,G (NJ)</t>
  </si>
  <si>
    <t>UHC 2025</t>
  </si>
  <si>
    <t>UHC MAPD 2025*</t>
  </si>
  <si>
    <t>UHC 2025 CT, PA, DC</t>
  </si>
  <si>
    <t>[%/$=313][prorate=5/12]</t>
  </si>
  <si>
    <t>[%/$=313][prorate=6/12]</t>
  </si>
  <si>
    <t>[%/$=313][prorate=3/12]</t>
  </si>
  <si>
    <t>[%/$=353][prorate=5/12]</t>
  </si>
  <si>
    <t>[%/$=705][prorate=5/12]</t>
  </si>
  <si>
    <t>[%/$=626]</t>
  </si>
  <si>
    <t>Main Line Benefits</t>
  </si>
  <si>
    <t>UHC 2025 AL LA NH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</si>
</sst>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C894-6F88-444F-858B-8C9E1301DB13}">
  <dimension ref="A1:AL67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45882</v>
      </c>
      <c r="B2" s="1">
        <v>45882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45689</v>
      </c>
      <c r="U2" t="s">
        <v>51</v>
      </c>
      <c r="X2" t="s">
        <v>52</v>
      </c>
      <c r="Y2" s="2">
        <v>0</v>
      </c>
      <c r="Z2" s="2">
        <v>14</v>
      </c>
      <c r="AA2">
        <v>1</v>
      </c>
      <c r="AB2" s="3">
        <v>1</v>
      </c>
      <c r="AC2" s="2">
        <v>14</v>
      </c>
      <c r="AD2" s="3">
        <v>0</v>
      </c>
      <c r="AE2" s="2">
        <v>0</v>
      </c>
      <c r="AF2" s="2">
        <v>14</v>
      </c>
      <c r="AK2">
        <v>0</v>
      </c>
      <c r="AL2" t="s">
        <v>53</v>
      </c>
    </row>
    <row r="3" spans="1:38" x14ac:dyDescent="0.25">
      <c r="A3" s="1">
        <v>45882</v>
      </c>
      <c r="B3" s="1">
        <v>45882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59</v>
      </c>
      <c r="R3" t="s">
        <v>50</v>
      </c>
      <c r="S3" s="1">
        <v>45901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5667615</v>
      </c>
    </row>
    <row r="4" spans="1:38" x14ac:dyDescent="0.25">
      <c r="A4" s="1">
        <v>45882</v>
      </c>
      <c r="B4" s="1">
        <v>45882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56</v>
      </c>
      <c r="O4" t="s">
        <v>62</v>
      </c>
      <c r="P4" t="s">
        <v>63</v>
      </c>
      <c r="Q4" t="s">
        <v>59</v>
      </c>
      <c r="R4" t="s">
        <v>50</v>
      </c>
      <c r="S4" s="1">
        <v>45901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5667621</v>
      </c>
    </row>
    <row r="5" spans="1:38" x14ac:dyDescent="0.25">
      <c r="A5" s="1">
        <v>45882</v>
      </c>
      <c r="B5" s="1">
        <v>45882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56</v>
      </c>
      <c r="O5" t="s">
        <v>62</v>
      </c>
      <c r="P5" t="s">
        <v>63</v>
      </c>
      <c r="Q5" t="s">
        <v>59</v>
      </c>
      <c r="R5" t="s">
        <v>50</v>
      </c>
      <c r="S5" s="1">
        <v>45901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5667622</v>
      </c>
    </row>
    <row r="6" spans="1:38" x14ac:dyDescent="0.25">
      <c r="A6" s="1">
        <v>45882</v>
      </c>
      <c r="B6" s="1">
        <v>45882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56</v>
      </c>
      <c r="O6" t="s">
        <v>68</v>
      </c>
      <c r="P6" t="s">
        <v>69</v>
      </c>
      <c r="Q6" t="s">
        <v>59</v>
      </c>
      <c r="R6" t="s">
        <v>50</v>
      </c>
      <c r="S6" s="1">
        <v>45901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5667625</v>
      </c>
    </row>
    <row r="7" spans="1:38" x14ac:dyDescent="0.25">
      <c r="A7" s="1">
        <v>45882</v>
      </c>
      <c r="B7" s="1">
        <v>45882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56</v>
      </c>
      <c r="O7" t="s">
        <v>72</v>
      </c>
      <c r="P7" t="s">
        <v>73</v>
      </c>
      <c r="Q7" t="s">
        <v>59</v>
      </c>
      <c r="R7" t="s">
        <v>50</v>
      </c>
      <c r="S7" s="1">
        <v>45931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5667626</v>
      </c>
    </row>
    <row r="8" spans="1:38" x14ac:dyDescent="0.25">
      <c r="A8" s="1">
        <v>45882</v>
      </c>
      <c r="B8" s="1">
        <v>45882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76</v>
      </c>
      <c r="O8" t="s">
        <v>77</v>
      </c>
      <c r="P8" t="s">
        <v>78</v>
      </c>
      <c r="Q8" t="s">
        <v>59</v>
      </c>
      <c r="R8" t="s">
        <v>79</v>
      </c>
      <c r="S8" s="1">
        <v>45870</v>
      </c>
      <c r="U8" t="s">
        <v>51</v>
      </c>
      <c r="X8" t="s">
        <v>52</v>
      </c>
      <c r="Y8" s="2">
        <v>0</v>
      </c>
      <c r="Z8" s="2">
        <v>15</v>
      </c>
      <c r="AA8">
        <v>1</v>
      </c>
      <c r="AB8" s="3">
        <v>1</v>
      </c>
      <c r="AC8" s="2">
        <v>15</v>
      </c>
      <c r="AD8" s="3">
        <v>0</v>
      </c>
      <c r="AE8" s="2">
        <v>0</v>
      </c>
      <c r="AF8" s="2">
        <v>15</v>
      </c>
      <c r="AK8">
        <v>5667589</v>
      </c>
    </row>
    <row r="9" spans="1:38" x14ac:dyDescent="0.25">
      <c r="A9" s="1">
        <v>45882</v>
      </c>
      <c r="B9" s="1">
        <v>45882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56</v>
      </c>
      <c r="O9" t="s">
        <v>82</v>
      </c>
      <c r="P9" t="s">
        <v>83</v>
      </c>
      <c r="Q9" t="s">
        <v>59</v>
      </c>
      <c r="R9" t="s">
        <v>50</v>
      </c>
      <c r="S9" s="1">
        <v>45870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5667629</v>
      </c>
    </row>
    <row r="10" spans="1:38" x14ac:dyDescent="0.25">
      <c r="A10" s="1">
        <v>45882</v>
      </c>
      <c r="B10" s="1">
        <v>45882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84</v>
      </c>
      <c r="J10" t="s">
        <v>85</v>
      </c>
      <c r="M10" t="s">
        <v>86</v>
      </c>
      <c r="O10" t="s">
        <v>87</v>
      </c>
      <c r="P10" t="s">
        <v>88</v>
      </c>
      <c r="Q10" t="s">
        <v>59</v>
      </c>
      <c r="R10" t="s">
        <v>50</v>
      </c>
      <c r="S10" s="1">
        <v>45870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5667630</v>
      </c>
    </row>
    <row r="11" spans="1:38" x14ac:dyDescent="0.25">
      <c r="A11" s="1">
        <v>45882</v>
      </c>
      <c r="B11" s="1">
        <v>45882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89</v>
      </c>
      <c r="J11" t="s">
        <v>90</v>
      </c>
      <c r="M11" t="s">
        <v>56</v>
      </c>
      <c r="O11" t="s">
        <v>91</v>
      </c>
      <c r="P11" t="s">
        <v>92</v>
      </c>
      <c r="Q11" t="s">
        <v>59</v>
      </c>
      <c r="R11" t="s">
        <v>50</v>
      </c>
      <c r="S11" s="1">
        <v>45870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5667631</v>
      </c>
    </row>
    <row r="12" spans="1:38" x14ac:dyDescent="0.25">
      <c r="A12" s="1">
        <v>45882</v>
      </c>
      <c r="B12" s="1">
        <v>45882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93</v>
      </c>
      <c r="J12" t="s">
        <v>94</v>
      </c>
      <c r="M12" t="s">
        <v>56</v>
      </c>
      <c r="O12" t="s">
        <v>91</v>
      </c>
      <c r="P12" t="s">
        <v>92</v>
      </c>
      <c r="Q12" t="s">
        <v>59</v>
      </c>
      <c r="R12" t="s">
        <v>50</v>
      </c>
      <c r="S12" s="1">
        <v>45870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5667632</v>
      </c>
    </row>
    <row r="13" spans="1:38" x14ac:dyDescent="0.25">
      <c r="A13" s="1">
        <v>45882</v>
      </c>
      <c r="B13" s="1">
        <v>45882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95</v>
      </c>
      <c r="J13" t="s">
        <v>96</v>
      </c>
      <c r="M13" t="s">
        <v>97</v>
      </c>
      <c r="O13" t="s">
        <v>98</v>
      </c>
      <c r="P13" t="s">
        <v>99</v>
      </c>
      <c r="Q13" t="s">
        <v>59</v>
      </c>
      <c r="R13" t="s">
        <v>50</v>
      </c>
      <c r="S13" s="1">
        <v>45870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5667633</v>
      </c>
    </row>
    <row r="14" spans="1:38" x14ac:dyDescent="0.25">
      <c r="A14" s="1">
        <v>45882</v>
      </c>
      <c r="B14" s="1">
        <v>45882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86</v>
      </c>
      <c r="O14" t="s">
        <v>87</v>
      </c>
      <c r="P14" t="s">
        <v>88</v>
      </c>
      <c r="Q14" t="s">
        <v>59</v>
      </c>
      <c r="R14" t="s">
        <v>50</v>
      </c>
      <c r="S14" s="1">
        <v>45931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5667640</v>
      </c>
    </row>
    <row r="15" spans="1:38" x14ac:dyDescent="0.25">
      <c r="A15" s="1">
        <v>45882</v>
      </c>
      <c r="B15" s="1">
        <v>45882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102</v>
      </c>
      <c r="J15" t="s">
        <v>103</v>
      </c>
      <c r="M15" t="s">
        <v>56</v>
      </c>
      <c r="O15" t="s">
        <v>104</v>
      </c>
      <c r="P15" t="s">
        <v>105</v>
      </c>
      <c r="Q15" t="s">
        <v>59</v>
      </c>
      <c r="R15" t="s">
        <v>50</v>
      </c>
      <c r="S15" s="1">
        <v>45870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5667647</v>
      </c>
    </row>
    <row r="16" spans="1:38" x14ac:dyDescent="0.25">
      <c r="A16" s="1">
        <v>45882</v>
      </c>
      <c r="B16" s="1">
        <v>45882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106</v>
      </c>
      <c r="J16" t="s">
        <v>107</v>
      </c>
      <c r="M16" t="s">
        <v>56</v>
      </c>
      <c r="O16" t="s">
        <v>104</v>
      </c>
      <c r="P16" t="s">
        <v>105</v>
      </c>
      <c r="Q16" t="s">
        <v>59</v>
      </c>
      <c r="R16" t="s">
        <v>50</v>
      </c>
      <c r="S16" s="1">
        <v>45870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5667649</v>
      </c>
    </row>
    <row r="17" spans="1:38" x14ac:dyDescent="0.25">
      <c r="A17" s="1">
        <v>45882</v>
      </c>
      <c r="B17" s="1">
        <v>45882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56</v>
      </c>
      <c r="O17" t="s">
        <v>110</v>
      </c>
      <c r="P17" t="s">
        <v>111</v>
      </c>
      <c r="Q17" t="s">
        <v>59</v>
      </c>
      <c r="R17" t="s">
        <v>50</v>
      </c>
      <c r="S17" s="1">
        <v>45931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5667641</v>
      </c>
    </row>
    <row r="18" spans="1:38" x14ac:dyDescent="0.25">
      <c r="A18" s="1">
        <v>45882</v>
      </c>
      <c r="B18" s="1">
        <v>45882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56</v>
      </c>
      <c r="O18" t="s">
        <v>104</v>
      </c>
      <c r="P18" t="s">
        <v>105</v>
      </c>
      <c r="Q18" t="s">
        <v>59</v>
      </c>
      <c r="R18" t="s">
        <v>50</v>
      </c>
      <c r="S18" s="1">
        <v>45870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5667653</v>
      </c>
    </row>
    <row r="19" spans="1:38" x14ac:dyDescent="0.25">
      <c r="A19" s="1">
        <v>45882</v>
      </c>
      <c r="B19" s="1">
        <v>45882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116</v>
      </c>
      <c r="O19" t="s">
        <v>117</v>
      </c>
      <c r="P19" t="s">
        <v>118</v>
      </c>
      <c r="Q19" t="s">
        <v>59</v>
      </c>
      <c r="R19" t="s">
        <v>119</v>
      </c>
      <c r="S19" s="1">
        <v>45870</v>
      </c>
      <c r="U19" t="s">
        <v>51</v>
      </c>
      <c r="X19" t="s">
        <v>52</v>
      </c>
      <c r="Y19" s="2">
        <v>0</v>
      </c>
      <c r="Z19" s="2">
        <v>20.83</v>
      </c>
      <c r="AA19">
        <v>1</v>
      </c>
      <c r="AB19" s="3">
        <v>1</v>
      </c>
      <c r="AC19" s="2">
        <v>20.83</v>
      </c>
      <c r="AD19" s="3">
        <v>0</v>
      </c>
      <c r="AE19" s="2">
        <v>0</v>
      </c>
      <c r="AF19" s="2">
        <v>20.83</v>
      </c>
      <c r="AK19">
        <v>5667196</v>
      </c>
      <c r="AL19" t="s">
        <v>120</v>
      </c>
    </row>
    <row r="20" spans="1:38" x14ac:dyDescent="0.25">
      <c r="A20" s="1">
        <v>45882</v>
      </c>
      <c r="B20" s="1">
        <v>45882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121</v>
      </c>
      <c r="J20" t="s">
        <v>122</v>
      </c>
      <c r="M20" t="s">
        <v>123</v>
      </c>
      <c r="O20" t="s">
        <v>124</v>
      </c>
      <c r="P20" t="s">
        <v>125</v>
      </c>
      <c r="Q20" t="s">
        <v>59</v>
      </c>
      <c r="R20" t="s">
        <v>126</v>
      </c>
      <c r="S20" s="1">
        <v>45870</v>
      </c>
      <c r="U20" t="s">
        <v>51</v>
      </c>
      <c r="X20" t="s">
        <v>52</v>
      </c>
      <c r="Y20" s="2">
        <v>0</v>
      </c>
      <c r="Z20" s="2">
        <v>20.83</v>
      </c>
      <c r="AA20">
        <v>1</v>
      </c>
      <c r="AB20" s="3">
        <v>1</v>
      </c>
      <c r="AC20" s="2">
        <v>20.83</v>
      </c>
      <c r="AD20" s="3">
        <v>0</v>
      </c>
      <c r="AE20" s="2">
        <v>0</v>
      </c>
      <c r="AF20" s="2">
        <v>20.83</v>
      </c>
      <c r="AK20">
        <v>5667199</v>
      </c>
      <c r="AL20" t="s">
        <v>120</v>
      </c>
    </row>
    <row r="21" spans="1:38" x14ac:dyDescent="0.25">
      <c r="A21" s="1">
        <v>45882</v>
      </c>
      <c r="B21" s="1">
        <v>45882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127</v>
      </c>
      <c r="J21" t="s">
        <v>128</v>
      </c>
      <c r="M21" t="s">
        <v>46</v>
      </c>
      <c r="O21" t="s">
        <v>87</v>
      </c>
      <c r="P21" t="s">
        <v>88</v>
      </c>
      <c r="Q21" t="s">
        <v>59</v>
      </c>
      <c r="R21" t="s">
        <v>119</v>
      </c>
      <c r="S21" s="1">
        <v>45870</v>
      </c>
      <c r="U21" t="s">
        <v>51</v>
      </c>
      <c r="X21" t="s">
        <v>52</v>
      </c>
      <c r="Y21" s="2">
        <v>0</v>
      </c>
      <c r="Z21" s="2">
        <v>20.83</v>
      </c>
      <c r="AA21">
        <v>1</v>
      </c>
      <c r="AB21" s="3">
        <v>1</v>
      </c>
      <c r="AC21" s="2">
        <v>20.83</v>
      </c>
      <c r="AD21" s="3">
        <v>0</v>
      </c>
      <c r="AE21" s="2">
        <v>0</v>
      </c>
      <c r="AF21" s="2">
        <v>20.83</v>
      </c>
      <c r="AK21">
        <v>5667201</v>
      </c>
      <c r="AL21" t="s">
        <v>120</v>
      </c>
    </row>
    <row r="22" spans="1:38" x14ac:dyDescent="0.25">
      <c r="A22" s="1">
        <v>45882</v>
      </c>
      <c r="B22" s="1">
        <v>45882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129</v>
      </c>
      <c r="J22" t="s">
        <v>130</v>
      </c>
      <c r="M22" t="s">
        <v>46</v>
      </c>
      <c r="O22" t="s">
        <v>87</v>
      </c>
      <c r="P22" t="s">
        <v>88</v>
      </c>
      <c r="Q22" t="s">
        <v>59</v>
      </c>
      <c r="R22" t="s">
        <v>119</v>
      </c>
      <c r="S22" s="1">
        <v>45870</v>
      </c>
      <c r="U22" t="s">
        <v>51</v>
      </c>
      <c r="X22" t="s">
        <v>52</v>
      </c>
      <c r="Y22" s="2">
        <v>0</v>
      </c>
      <c r="Z22" s="2">
        <v>20.83</v>
      </c>
      <c r="AA22">
        <v>1</v>
      </c>
      <c r="AB22" s="3">
        <v>1</v>
      </c>
      <c r="AC22" s="2">
        <v>20.83</v>
      </c>
      <c r="AD22" s="3">
        <v>0</v>
      </c>
      <c r="AE22" s="2">
        <v>0</v>
      </c>
      <c r="AF22" s="2">
        <v>20.83</v>
      </c>
      <c r="AK22">
        <v>5667202</v>
      </c>
      <c r="AL22" t="s">
        <v>120</v>
      </c>
    </row>
    <row r="23" spans="1:38" x14ac:dyDescent="0.25">
      <c r="A23" s="1">
        <v>45882</v>
      </c>
      <c r="B23" s="1">
        <v>45882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131</v>
      </c>
      <c r="J23" t="s">
        <v>132</v>
      </c>
      <c r="M23" t="s">
        <v>97</v>
      </c>
      <c r="O23" t="s">
        <v>91</v>
      </c>
      <c r="P23" t="s">
        <v>92</v>
      </c>
      <c r="Q23" t="s">
        <v>59</v>
      </c>
      <c r="R23" t="s">
        <v>119</v>
      </c>
      <c r="S23" s="1">
        <v>45901</v>
      </c>
      <c r="U23" t="s">
        <v>51</v>
      </c>
      <c r="X23" t="s">
        <v>52</v>
      </c>
      <c r="Y23" s="2">
        <v>0</v>
      </c>
      <c r="Z23" s="2">
        <v>16.670000000000002</v>
      </c>
      <c r="AA23">
        <v>1</v>
      </c>
      <c r="AB23" s="3">
        <v>1</v>
      </c>
      <c r="AC23" s="2">
        <v>16.670000000000002</v>
      </c>
      <c r="AD23" s="3">
        <v>0</v>
      </c>
      <c r="AE23" s="2">
        <v>0</v>
      </c>
      <c r="AF23" s="2">
        <v>16.670000000000002</v>
      </c>
      <c r="AK23">
        <v>5667224</v>
      </c>
      <c r="AL23" t="s">
        <v>133</v>
      </c>
    </row>
    <row r="24" spans="1:38" x14ac:dyDescent="0.25">
      <c r="A24" s="1">
        <v>45882</v>
      </c>
      <c r="B24" s="1">
        <v>45882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134</v>
      </c>
      <c r="J24" t="s">
        <v>135</v>
      </c>
      <c r="M24" t="s">
        <v>136</v>
      </c>
      <c r="O24" t="s">
        <v>87</v>
      </c>
      <c r="P24" t="s">
        <v>88</v>
      </c>
      <c r="Q24" t="s">
        <v>59</v>
      </c>
      <c r="R24" t="s">
        <v>119</v>
      </c>
      <c r="S24" s="1">
        <v>45870</v>
      </c>
      <c r="U24" t="s">
        <v>51</v>
      </c>
      <c r="X24" t="s">
        <v>52</v>
      </c>
      <c r="Y24" s="2">
        <v>0</v>
      </c>
      <c r="Z24" s="2">
        <v>20.83</v>
      </c>
      <c r="AA24">
        <v>1</v>
      </c>
      <c r="AB24" s="3">
        <v>1</v>
      </c>
      <c r="AC24" s="2">
        <v>20.83</v>
      </c>
      <c r="AD24" s="3">
        <v>0</v>
      </c>
      <c r="AE24" s="2">
        <v>0</v>
      </c>
      <c r="AF24" s="2">
        <v>20.83</v>
      </c>
      <c r="AK24">
        <v>5667233</v>
      </c>
      <c r="AL24" t="s">
        <v>120</v>
      </c>
    </row>
    <row r="25" spans="1:38" x14ac:dyDescent="0.25">
      <c r="A25" s="1">
        <v>45882</v>
      </c>
      <c r="B25" s="1">
        <v>45882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137</v>
      </c>
      <c r="J25" t="s">
        <v>138</v>
      </c>
      <c r="M25" t="s">
        <v>56</v>
      </c>
      <c r="O25" t="s">
        <v>139</v>
      </c>
      <c r="P25" t="s">
        <v>140</v>
      </c>
      <c r="Q25" t="s">
        <v>59</v>
      </c>
      <c r="R25" t="s">
        <v>119</v>
      </c>
      <c r="S25" s="1">
        <v>45901</v>
      </c>
      <c r="U25" t="s">
        <v>51</v>
      </c>
      <c r="X25" t="s">
        <v>52</v>
      </c>
      <c r="Y25" s="2">
        <v>0</v>
      </c>
      <c r="Z25" s="2">
        <v>16.670000000000002</v>
      </c>
      <c r="AA25">
        <v>1</v>
      </c>
      <c r="AB25" s="3">
        <v>1</v>
      </c>
      <c r="AC25" s="2">
        <v>16.670000000000002</v>
      </c>
      <c r="AD25" s="3">
        <v>0</v>
      </c>
      <c r="AE25" s="2">
        <v>0</v>
      </c>
      <c r="AF25" s="2">
        <v>16.670000000000002</v>
      </c>
      <c r="AK25">
        <v>5667242</v>
      </c>
      <c r="AL25" t="s">
        <v>133</v>
      </c>
    </row>
    <row r="26" spans="1:38" x14ac:dyDescent="0.25">
      <c r="A26" s="1">
        <v>45882</v>
      </c>
      <c r="B26" s="1">
        <v>45882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141</v>
      </c>
      <c r="J26" t="s">
        <v>142</v>
      </c>
      <c r="M26" t="s">
        <v>56</v>
      </c>
      <c r="O26" t="s">
        <v>143</v>
      </c>
      <c r="P26" t="s">
        <v>144</v>
      </c>
      <c r="Q26" t="s">
        <v>59</v>
      </c>
      <c r="R26" t="s">
        <v>119</v>
      </c>
      <c r="S26" s="1">
        <v>45870</v>
      </c>
      <c r="U26" t="s">
        <v>51</v>
      </c>
      <c r="X26" t="s">
        <v>52</v>
      </c>
      <c r="Y26" s="2">
        <v>0</v>
      </c>
      <c r="Z26" s="2">
        <v>20.83</v>
      </c>
      <c r="AA26">
        <v>1</v>
      </c>
      <c r="AB26" s="3">
        <v>1</v>
      </c>
      <c r="AC26" s="2">
        <v>20.83</v>
      </c>
      <c r="AD26" s="3">
        <v>0</v>
      </c>
      <c r="AE26" s="2">
        <v>0</v>
      </c>
      <c r="AF26" s="2">
        <v>20.83</v>
      </c>
      <c r="AK26">
        <v>5667247</v>
      </c>
      <c r="AL26" t="s">
        <v>120</v>
      </c>
    </row>
    <row r="27" spans="1:38" x14ac:dyDescent="0.25">
      <c r="A27" s="1">
        <v>45882</v>
      </c>
      <c r="B27" s="1">
        <v>45882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145</v>
      </c>
      <c r="J27" t="s">
        <v>146</v>
      </c>
      <c r="M27" t="s">
        <v>116</v>
      </c>
      <c r="O27" t="s">
        <v>147</v>
      </c>
      <c r="P27" t="s">
        <v>148</v>
      </c>
      <c r="Q27" t="s">
        <v>59</v>
      </c>
      <c r="R27" t="s">
        <v>119</v>
      </c>
      <c r="S27" s="1">
        <v>45870</v>
      </c>
      <c r="U27" t="s">
        <v>51</v>
      </c>
      <c r="X27" t="s">
        <v>52</v>
      </c>
      <c r="Y27" s="2">
        <v>0</v>
      </c>
      <c r="Z27" s="2">
        <v>20.83</v>
      </c>
      <c r="AA27">
        <v>1</v>
      </c>
      <c r="AB27" s="3">
        <v>1</v>
      </c>
      <c r="AC27" s="2">
        <v>20.83</v>
      </c>
      <c r="AD27" s="3">
        <v>0</v>
      </c>
      <c r="AE27" s="2">
        <v>0</v>
      </c>
      <c r="AF27" s="2">
        <v>20.83</v>
      </c>
      <c r="AK27">
        <v>5667272</v>
      </c>
      <c r="AL27" t="s">
        <v>120</v>
      </c>
    </row>
    <row r="28" spans="1:38" x14ac:dyDescent="0.25">
      <c r="A28" s="1">
        <v>45882</v>
      </c>
      <c r="B28" s="1">
        <v>45882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149</v>
      </c>
      <c r="J28" t="s">
        <v>150</v>
      </c>
      <c r="M28" t="s">
        <v>116</v>
      </c>
      <c r="O28" t="s">
        <v>151</v>
      </c>
      <c r="P28" t="s">
        <v>152</v>
      </c>
      <c r="Q28" t="s">
        <v>59</v>
      </c>
      <c r="R28" t="s">
        <v>119</v>
      </c>
      <c r="S28" s="1">
        <v>45870</v>
      </c>
      <c r="U28" t="s">
        <v>51</v>
      </c>
      <c r="X28" t="s">
        <v>52</v>
      </c>
      <c r="Y28" s="2">
        <v>0</v>
      </c>
      <c r="Z28" s="2">
        <v>20.83</v>
      </c>
      <c r="AA28">
        <v>1</v>
      </c>
      <c r="AB28" s="3">
        <v>1</v>
      </c>
      <c r="AC28" s="2">
        <v>20.83</v>
      </c>
      <c r="AD28" s="3">
        <v>0</v>
      </c>
      <c r="AE28" s="2">
        <v>0</v>
      </c>
      <c r="AF28" s="2">
        <v>20.83</v>
      </c>
      <c r="AK28">
        <v>5667273</v>
      </c>
      <c r="AL28" t="s">
        <v>120</v>
      </c>
    </row>
    <row r="29" spans="1:38" x14ac:dyDescent="0.25">
      <c r="A29" s="1">
        <v>45882</v>
      </c>
      <c r="B29" s="1">
        <v>45882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153</v>
      </c>
      <c r="J29" t="s">
        <v>154</v>
      </c>
      <c r="M29" t="s">
        <v>116</v>
      </c>
      <c r="O29" t="s">
        <v>117</v>
      </c>
      <c r="P29" t="s">
        <v>118</v>
      </c>
      <c r="Q29" t="s">
        <v>59</v>
      </c>
      <c r="R29" t="s">
        <v>119</v>
      </c>
      <c r="S29" s="1">
        <v>45870</v>
      </c>
      <c r="U29" t="s">
        <v>51</v>
      </c>
      <c r="X29" t="s">
        <v>52</v>
      </c>
      <c r="Y29" s="2">
        <v>0</v>
      </c>
      <c r="Z29" s="2">
        <v>20.83</v>
      </c>
      <c r="AA29">
        <v>1</v>
      </c>
      <c r="AB29" s="3">
        <v>1</v>
      </c>
      <c r="AC29" s="2">
        <v>20.83</v>
      </c>
      <c r="AD29" s="3">
        <v>0</v>
      </c>
      <c r="AE29" s="2">
        <v>0</v>
      </c>
      <c r="AF29" s="2">
        <v>20.83</v>
      </c>
      <c r="AK29">
        <v>5667283</v>
      </c>
      <c r="AL29" t="s">
        <v>120</v>
      </c>
    </row>
    <row r="30" spans="1:38" x14ac:dyDescent="0.25">
      <c r="A30" s="1">
        <v>45882</v>
      </c>
      <c r="B30" s="1">
        <v>45882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155</v>
      </c>
      <c r="J30" t="s">
        <v>156</v>
      </c>
      <c r="M30" t="s">
        <v>116</v>
      </c>
      <c r="O30" t="s">
        <v>151</v>
      </c>
      <c r="P30" t="s">
        <v>152</v>
      </c>
      <c r="Q30" t="s">
        <v>59</v>
      </c>
      <c r="R30" t="s">
        <v>157</v>
      </c>
      <c r="S30" s="1">
        <v>45870</v>
      </c>
      <c r="U30" t="s">
        <v>51</v>
      </c>
      <c r="X30" t="s">
        <v>52</v>
      </c>
      <c r="Y30" s="2">
        <v>0</v>
      </c>
      <c r="Z30" s="2">
        <v>293.75</v>
      </c>
      <c r="AA30">
        <v>1</v>
      </c>
      <c r="AB30" s="3">
        <v>1</v>
      </c>
      <c r="AC30" s="2">
        <v>293.75</v>
      </c>
      <c r="AD30" s="3">
        <v>0</v>
      </c>
      <c r="AE30" s="2">
        <v>0</v>
      </c>
      <c r="AF30" s="2">
        <v>293.75</v>
      </c>
      <c r="AK30">
        <v>5668224</v>
      </c>
      <c r="AL30" t="s">
        <v>120</v>
      </c>
    </row>
    <row r="31" spans="1:38" x14ac:dyDescent="0.25">
      <c r="A31" s="1">
        <v>45882</v>
      </c>
      <c r="B31" s="1">
        <v>45882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158</v>
      </c>
      <c r="J31" t="s">
        <v>159</v>
      </c>
      <c r="M31" t="s">
        <v>160</v>
      </c>
      <c r="O31" t="s">
        <v>161</v>
      </c>
      <c r="P31" t="s">
        <v>162</v>
      </c>
      <c r="Q31" t="s">
        <v>59</v>
      </c>
      <c r="R31" t="s">
        <v>163</v>
      </c>
      <c r="S31" s="1">
        <v>45870</v>
      </c>
      <c r="U31" t="s">
        <v>51</v>
      </c>
      <c r="X31" t="s">
        <v>52</v>
      </c>
      <c r="Y31" s="2">
        <v>0</v>
      </c>
      <c r="Z31" s="2">
        <v>626</v>
      </c>
      <c r="AA31">
        <v>1</v>
      </c>
      <c r="AB31" s="3">
        <v>1</v>
      </c>
      <c r="AC31" s="2">
        <v>626</v>
      </c>
      <c r="AD31" s="3">
        <v>0</v>
      </c>
      <c r="AE31" s="2">
        <v>0</v>
      </c>
      <c r="AF31" s="2">
        <v>626</v>
      </c>
      <c r="AK31">
        <v>5668230</v>
      </c>
    </row>
    <row r="32" spans="1:38" x14ac:dyDescent="0.25">
      <c r="A32" s="1">
        <v>45882</v>
      </c>
      <c r="B32" s="1">
        <v>45882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164</v>
      </c>
      <c r="J32" t="s">
        <v>165</v>
      </c>
      <c r="M32" t="s">
        <v>56</v>
      </c>
      <c r="O32" t="s">
        <v>98</v>
      </c>
      <c r="P32" t="s">
        <v>99</v>
      </c>
      <c r="Q32" t="s">
        <v>59</v>
      </c>
      <c r="R32" t="s">
        <v>166</v>
      </c>
      <c r="S32" s="1">
        <v>45839</v>
      </c>
      <c r="U32" t="s">
        <v>51</v>
      </c>
      <c r="X32" t="s">
        <v>52</v>
      </c>
      <c r="Y32" s="2">
        <v>0</v>
      </c>
      <c r="Z32" s="2">
        <v>100</v>
      </c>
      <c r="AA32">
        <v>1</v>
      </c>
      <c r="AB32" s="3">
        <v>1</v>
      </c>
      <c r="AC32" s="2">
        <v>100</v>
      </c>
      <c r="AD32" s="3">
        <v>0</v>
      </c>
      <c r="AE32" s="2">
        <v>0</v>
      </c>
      <c r="AF32" s="2">
        <v>100</v>
      </c>
      <c r="AK32">
        <v>5667505</v>
      </c>
    </row>
    <row r="33" spans="1:38" x14ac:dyDescent="0.25">
      <c r="A33" s="1">
        <v>45882</v>
      </c>
      <c r="B33" s="1">
        <v>45882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167</v>
      </c>
      <c r="J33" t="s">
        <v>168</v>
      </c>
      <c r="M33" t="s">
        <v>169</v>
      </c>
      <c r="O33" t="s">
        <v>170</v>
      </c>
      <c r="P33" t="s">
        <v>171</v>
      </c>
      <c r="Q33" t="s">
        <v>59</v>
      </c>
      <c r="R33" t="s">
        <v>166</v>
      </c>
      <c r="S33" s="1">
        <v>45809</v>
      </c>
      <c r="U33" t="s">
        <v>51</v>
      </c>
      <c r="X33" t="s">
        <v>52</v>
      </c>
      <c r="Y33" s="2">
        <v>0</v>
      </c>
      <c r="Z33" s="2">
        <v>100</v>
      </c>
      <c r="AA33">
        <v>1</v>
      </c>
      <c r="AB33" s="3">
        <v>1</v>
      </c>
      <c r="AC33" s="2">
        <v>100</v>
      </c>
      <c r="AD33" s="3">
        <v>0</v>
      </c>
      <c r="AE33" s="2">
        <v>0</v>
      </c>
      <c r="AF33" s="2">
        <v>100</v>
      </c>
      <c r="AK33">
        <v>5667508</v>
      </c>
    </row>
    <row r="34" spans="1:38" x14ac:dyDescent="0.25">
      <c r="A34" s="1">
        <v>45882</v>
      </c>
      <c r="B34" s="1">
        <v>45882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172</v>
      </c>
      <c r="J34" t="s">
        <v>173</v>
      </c>
      <c r="M34" t="s">
        <v>174</v>
      </c>
      <c r="O34" t="s">
        <v>175</v>
      </c>
      <c r="P34" t="s">
        <v>176</v>
      </c>
      <c r="Q34" t="s">
        <v>59</v>
      </c>
      <c r="R34" t="s">
        <v>166</v>
      </c>
      <c r="S34" s="1">
        <v>45870</v>
      </c>
      <c r="U34" t="s">
        <v>51</v>
      </c>
      <c r="X34" t="s">
        <v>52</v>
      </c>
      <c r="Y34" s="2">
        <v>0</v>
      </c>
      <c r="Z34" s="2">
        <v>100</v>
      </c>
      <c r="AA34">
        <v>1</v>
      </c>
      <c r="AB34" s="3">
        <v>1</v>
      </c>
      <c r="AC34" s="2">
        <v>100</v>
      </c>
      <c r="AD34" s="3">
        <v>0</v>
      </c>
      <c r="AE34" s="2">
        <v>0</v>
      </c>
      <c r="AF34" s="2">
        <v>100</v>
      </c>
      <c r="AK34">
        <v>5667511</v>
      </c>
    </row>
    <row r="35" spans="1:38" x14ac:dyDescent="0.25">
      <c r="A35" s="1">
        <v>45882</v>
      </c>
      <c r="B35" s="1">
        <v>45882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177</v>
      </c>
      <c r="J35" t="s">
        <v>178</v>
      </c>
      <c r="M35" t="s">
        <v>116</v>
      </c>
      <c r="O35" t="s">
        <v>179</v>
      </c>
      <c r="P35" t="s">
        <v>180</v>
      </c>
      <c r="Q35" t="s">
        <v>59</v>
      </c>
      <c r="R35" t="s">
        <v>157</v>
      </c>
      <c r="S35" s="1">
        <v>45870</v>
      </c>
      <c r="U35" t="s">
        <v>51</v>
      </c>
      <c r="X35" t="s">
        <v>52</v>
      </c>
      <c r="Y35" s="2">
        <v>0</v>
      </c>
      <c r="Z35" s="2">
        <v>293.75</v>
      </c>
      <c r="AA35">
        <v>1</v>
      </c>
      <c r="AB35" s="3">
        <v>1</v>
      </c>
      <c r="AC35" s="2">
        <v>293.75</v>
      </c>
      <c r="AD35" s="3">
        <v>0</v>
      </c>
      <c r="AE35" s="2">
        <v>0</v>
      </c>
      <c r="AF35" s="2">
        <v>293.75</v>
      </c>
      <c r="AK35">
        <v>5668229</v>
      </c>
      <c r="AL35" t="s">
        <v>120</v>
      </c>
    </row>
    <row r="36" spans="1:38" x14ac:dyDescent="0.25">
      <c r="A36" s="1">
        <v>45882</v>
      </c>
      <c r="B36" s="1">
        <v>45882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181</v>
      </c>
      <c r="J36" t="s">
        <v>182</v>
      </c>
      <c r="M36" t="s">
        <v>56</v>
      </c>
      <c r="O36" t="s">
        <v>175</v>
      </c>
      <c r="P36" t="s">
        <v>176</v>
      </c>
      <c r="Q36" t="s">
        <v>59</v>
      </c>
      <c r="R36" t="s">
        <v>163</v>
      </c>
      <c r="S36" s="1">
        <v>45870</v>
      </c>
      <c r="U36" t="s">
        <v>51</v>
      </c>
      <c r="X36" t="s">
        <v>52</v>
      </c>
      <c r="Y36" s="2">
        <v>0</v>
      </c>
      <c r="Z36" s="2">
        <v>626</v>
      </c>
      <c r="AA36">
        <v>1</v>
      </c>
      <c r="AB36" s="3">
        <v>1</v>
      </c>
      <c r="AC36" s="2">
        <v>626</v>
      </c>
      <c r="AD36" s="3">
        <v>0</v>
      </c>
      <c r="AE36" s="2">
        <v>0</v>
      </c>
      <c r="AF36" s="2">
        <v>626</v>
      </c>
      <c r="AK36">
        <v>5668225</v>
      </c>
    </row>
    <row r="37" spans="1:38" x14ac:dyDescent="0.25">
      <c r="A37" s="1">
        <v>45882</v>
      </c>
      <c r="B37" s="1">
        <v>45882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183</v>
      </c>
      <c r="J37" t="s">
        <v>182</v>
      </c>
      <c r="M37" t="s">
        <v>56</v>
      </c>
      <c r="O37" t="s">
        <v>175</v>
      </c>
      <c r="P37" t="s">
        <v>176</v>
      </c>
      <c r="Q37" t="s">
        <v>59</v>
      </c>
      <c r="R37" t="s">
        <v>184</v>
      </c>
      <c r="S37" s="1">
        <v>45870</v>
      </c>
      <c r="U37" t="s">
        <v>51</v>
      </c>
      <c r="X37" t="s">
        <v>52</v>
      </c>
      <c r="Y37" s="2">
        <v>0</v>
      </c>
      <c r="Z37" s="2">
        <v>0</v>
      </c>
      <c r="AA37">
        <v>1</v>
      </c>
      <c r="AB37" s="3">
        <v>0</v>
      </c>
      <c r="AC37" s="2">
        <v>0</v>
      </c>
      <c r="AD37" s="3">
        <v>0</v>
      </c>
      <c r="AE37" s="2">
        <v>0</v>
      </c>
      <c r="AF37" s="2">
        <v>0</v>
      </c>
      <c r="AK37">
        <v>5668226</v>
      </c>
    </row>
    <row r="38" spans="1:38" x14ac:dyDescent="0.25">
      <c r="A38" s="1">
        <v>45882</v>
      </c>
      <c r="B38" s="1">
        <v>45882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185</v>
      </c>
      <c r="J38" t="s">
        <v>186</v>
      </c>
      <c r="M38" t="s">
        <v>56</v>
      </c>
      <c r="O38" t="s">
        <v>187</v>
      </c>
      <c r="P38" t="s">
        <v>188</v>
      </c>
      <c r="Q38" t="s">
        <v>49</v>
      </c>
      <c r="R38" t="s">
        <v>163</v>
      </c>
      <c r="S38" s="1">
        <v>45839</v>
      </c>
      <c r="U38" t="s">
        <v>51</v>
      </c>
      <c r="X38" t="s">
        <v>52</v>
      </c>
      <c r="Y38" s="2">
        <v>0</v>
      </c>
      <c r="Z38" s="2">
        <v>626</v>
      </c>
      <c r="AA38">
        <v>1</v>
      </c>
      <c r="AB38" s="3">
        <v>1</v>
      </c>
      <c r="AC38" s="2">
        <v>626</v>
      </c>
      <c r="AD38" s="3">
        <v>0</v>
      </c>
      <c r="AE38" s="2">
        <v>0</v>
      </c>
      <c r="AF38" s="2">
        <v>626</v>
      </c>
      <c r="AK38">
        <v>5668221</v>
      </c>
    </row>
    <row r="39" spans="1:38" x14ac:dyDescent="0.25">
      <c r="A39" s="1">
        <v>45882</v>
      </c>
      <c r="B39" s="1">
        <v>45882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189</v>
      </c>
      <c r="J39" t="s">
        <v>190</v>
      </c>
      <c r="M39" t="s">
        <v>191</v>
      </c>
      <c r="O39" t="s">
        <v>192</v>
      </c>
      <c r="P39" t="s">
        <v>193</v>
      </c>
      <c r="Q39" t="s">
        <v>59</v>
      </c>
      <c r="R39" t="s">
        <v>163</v>
      </c>
      <c r="S39" s="1">
        <v>45901</v>
      </c>
      <c r="U39" t="s">
        <v>51</v>
      </c>
      <c r="X39" t="s">
        <v>52</v>
      </c>
      <c r="Y39" s="2">
        <v>0</v>
      </c>
      <c r="Z39" s="2">
        <v>626</v>
      </c>
      <c r="AA39">
        <v>1</v>
      </c>
      <c r="AB39" s="3">
        <v>1</v>
      </c>
      <c r="AC39" s="2">
        <v>626</v>
      </c>
      <c r="AD39" s="3">
        <v>0</v>
      </c>
      <c r="AE39" s="2">
        <v>0</v>
      </c>
      <c r="AF39" s="2">
        <v>626</v>
      </c>
      <c r="AK39">
        <v>5668227</v>
      </c>
    </row>
    <row r="40" spans="1:38" x14ac:dyDescent="0.25">
      <c r="A40" s="1">
        <v>45882</v>
      </c>
      <c r="B40" s="1">
        <v>45882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194</v>
      </c>
      <c r="J40" t="s">
        <v>190</v>
      </c>
      <c r="M40" t="s">
        <v>191</v>
      </c>
      <c r="O40" t="s">
        <v>192</v>
      </c>
      <c r="P40" t="s">
        <v>193</v>
      </c>
      <c r="Q40" t="s">
        <v>59</v>
      </c>
      <c r="R40" t="s">
        <v>184</v>
      </c>
      <c r="S40" s="1">
        <v>45901</v>
      </c>
      <c r="U40" t="s">
        <v>51</v>
      </c>
      <c r="X40" t="s">
        <v>52</v>
      </c>
      <c r="Y40" s="2">
        <v>0</v>
      </c>
      <c r="Z40" s="2">
        <v>0</v>
      </c>
      <c r="AA40">
        <v>1</v>
      </c>
      <c r="AB40" s="3">
        <v>0</v>
      </c>
      <c r="AC40" s="2">
        <v>0</v>
      </c>
      <c r="AD40" s="3">
        <v>0</v>
      </c>
      <c r="AE40" s="2">
        <v>0</v>
      </c>
      <c r="AF40" s="2">
        <v>0</v>
      </c>
      <c r="AK40">
        <v>5668228</v>
      </c>
    </row>
    <row r="41" spans="1:38" x14ac:dyDescent="0.25">
      <c r="A41" s="1">
        <v>45882</v>
      </c>
      <c r="B41" s="1">
        <v>45882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195</v>
      </c>
      <c r="J41" t="s">
        <v>196</v>
      </c>
      <c r="M41" t="s">
        <v>46</v>
      </c>
      <c r="O41" t="s">
        <v>179</v>
      </c>
      <c r="P41" t="s">
        <v>180</v>
      </c>
      <c r="Q41" t="s">
        <v>59</v>
      </c>
      <c r="R41" t="s">
        <v>197</v>
      </c>
      <c r="S41" s="1">
        <v>45839</v>
      </c>
      <c r="U41" t="s">
        <v>51</v>
      </c>
      <c r="X41" t="s">
        <v>52</v>
      </c>
      <c r="Y41" s="2">
        <v>0</v>
      </c>
      <c r="Z41" s="2">
        <v>156.5</v>
      </c>
      <c r="AA41">
        <v>1</v>
      </c>
      <c r="AB41" s="3">
        <v>1</v>
      </c>
      <c r="AC41" s="2">
        <v>156.5</v>
      </c>
      <c r="AD41" s="3">
        <v>0</v>
      </c>
      <c r="AE41" s="2">
        <v>0</v>
      </c>
      <c r="AF41" s="2">
        <v>156.5</v>
      </c>
      <c r="AK41">
        <v>5668220</v>
      </c>
      <c r="AL41" t="s">
        <v>198</v>
      </c>
    </row>
    <row r="42" spans="1:38" x14ac:dyDescent="0.25">
      <c r="A42" s="1">
        <v>45882</v>
      </c>
      <c r="B42" s="1">
        <v>45882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199</v>
      </c>
      <c r="J42" t="s">
        <v>200</v>
      </c>
      <c r="M42" t="s">
        <v>56</v>
      </c>
      <c r="O42" t="s">
        <v>201</v>
      </c>
      <c r="P42" t="s">
        <v>202</v>
      </c>
      <c r="Q42" t="s">
        <v>49</v>
      </c>
      <c r="R42" t="s">
        <v>163</v>
      </c>
      <c r="S42" s="1">
        <v>45931</v>
      </c>
      <c r="U42" t="s">
        <v>51</v>
      </c>
      <c r="X42" t="s">
        <v>52</v>
      </c>
      <c r="Y42" s="2">
        <v>0</v>
      </c>
      <c r="Z42" s="2">
        <v>626</v>
      </c>
      <c r="AA42">
        <v>1</v>
      </c>
      <c r="AB42" s="3">
        <v>1</v>
      </c>
      <c r="AC42" s="2">
        <v>626</v>
      </c>
      <c r="AD42" s="3">
        <v>0</v>
      </c>
      <c r="AE42" s="2">
        <v>0</v>
      </c>
      <c r="AF42" s="2">
        <v>626</v>
      </c>
      <c r="AK42">
        <v>5668222</v>
      </c>
    </row>
    <row r="43" spans="1:38" x14ac:dyDescent="0.25">
      <c r="A43" s="1">
        <v>45882</v>
      </c>
      <c r="B43" s="1">
        <v>45882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203</v>
      </c>
      <c r="J43" t="s">
        <v>204</v>
      </c>
      <c r="M43" t="s">
        <v>97</v>
      </c>
      <c r="O43" t="s">
        <v>98</v>
      </c>
      <c r="P43" t="s">
        <v>99</v>
      </c>
      <c r="Q43" t="s">
        <v>49</v>
      </c>
      <c r="R43" t="s">
        <v>163</v>
      </c>
      <c r="S43" s="1">
        <v>45931</v>
      </c>
      <c r="U43" t="s">
        <v>51</v>
      </c>
      <c r="X43" t="s">
        <v>52</v>
      </c>
      <c r="Y43" s="2">
        <v>0</v>
      </c>
      <c r="Z43" s="2">
        <v>626</v>
      </c>
      <c r="AA43">
        <v>1</v>
      </c>
      <c r="AB43" s="3">
        <v>1</v>
      </c>
      <c r="AC43" s="2">
        <v>626</v>
      </c>
      <c r="AD43" s="3">
        <v>0</v>
      </c>
      <c r="AE43" s="2">
        <v>0</v>
      </c>
      <c r="AF43" s="2">
        <v>626</v>
      </c>
      <c r="AK43">
        <v>5668223</v>
      </c>
    </row>
    <row r="44" spans="1:38" x14ac:dyDescent="0.25">
      <c r="A44" s="1">
        <v>45882</v>
      </c>
      <c r="B44" s="1">
        <v>45882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205</v>
      </c>
      <c r="J44" t="s">
        <v>206</v>
      </c>
      <c r="M44" t="s">
        <v>207</v>
      </c>
      <c r="O44" t="s">
        <v>175</v>
      </c>
      <c r="P44" t="s">
        <v>176</v>
      </c>
      <c r="Q44" t="s">
        <v>59</v>
      </c>
      <c r="R44" t="s">
        <v>208</v>
      </c>
      <c r="S44" s="1">
        <v>45901</v>
      </c>
      <c r="U44" t="s">
        <v>51</v>
      </c>
      <c r="X44" t="s">
        <v>52</v>
      </c>
      <c r="Y44" s="2">
        <v>0</v>
      </c>
      <c r="Z44" s="2">
        <v>44.31</v>
      </c>
      <c r="AA44">
        <v>9</v>
      </c>
      <c r="AB44" s="3">
        <v>1</v>
      </c>
      <c r="AC44" s="2">
        <v>398.79</v>
      </c>
      <c r="AD44" s="3">
        <v>0</v>
      </c>
      <c r="AE44" s="2">
        <v>0</v>
      </c>
      <c r="AF44" s="2">
        <v>398.79</v>
      </c>
      <c r="AK44">
        <v>5667663</v>
      </c>
    </row>
    <row r="45" spans="1:38" x14ac:dyDescent="0.25">
      <c r="A45" s="1">
        <v>45882</v>
      </c>
      <c r="B45" s="1">
        <v>45882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209</v>
      </c>
      <c r="J45" t="s">
        <v>210</v>
      </c>
      <c r="M45" t="s">
        <v>116</v>
      </c>
      <c r="O45" t="s">
        <v>211</v>
      </c>
      <c r="P45" t="s">
        <v>212</v>
      </c>
      <c r="Q45" t="s">
        <v>59</v>
      </c>
      <c r="R45" t="s">
        <v>213</v>
      </c>
      <c r="S45" s="1">
        <v>45931</v>
      </c>
      <c r="U45" t="s">
        <v>51</v>
      </c>
      <c r="X45" t="s">
        <v>52</v>
      </c>
      <c r="Y45" s="2">
        <v>0</v>
      </c>
      <c r="Z45" s="2">
        <v>36.479999999999997</v>
      </c>
      <c r="AA45">
        <v>9</v>
      </c>
      <c r="AB45" s="3">
        <v>1</v>
      </c>
      <c r="AC45" s="2">
        <v>328.32</v>
      </c>
      <c r="AD45" s="3">
        <v>0</v>
      </c>
      <c r="AE45" s="2">
        <v>0</v>
      </c>
      <c r="AF45" s="2">
        <v>328.32</v>
      </c>
      <c r="AK45">
        <v>5667662</v>
      </c>
    </row>
    <row r="46" spans="1:38" x14ac:dyDescent="0.25">
      <c r="A46" s="1">
        <v>45882</v>
      </c>
      <c r="B46" s="1">
        <v>45882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214</v>
      </c>
      <c r="J46" t="s">
        <v>215</v>
      </c>
      <c r="M46" t="s">
        <v>207</v>
      </c>
      <c r="O46" t="s">
        <v>179</v>
      </c>
      <c r="P46" t="s">
        <v>180</v>
      </c>
      <c r="Q46" t="s">
        <v>59</v>
      </c>
      <c r="R46" t="s">
        <v>216</v>
      </c>
      <c r="S46" s="1">
        <v>45901</v>
      </c>
      <c r="U46" t="s">
        <v>51</v>
      </c>
      <c r="X46" t="s">
        <v>52</v>
      </c>
      <c r="Y46" s="2">
        <v>0</v>
      </c>
      <c r="Z46" s="2">
        <v>58.19</v>
      </c>
      <c r="AA46">
        <v>9</v>
      </c>
      <c r="AB46" s="3">
        <v>1</v>
      </c>
      <c r="AC46" s="2">
        <v>523.71</v>
      </c>
      <c r="AD46" s="3">
        <v>0</v>
      </c>
      <c r="AE46" s="2">
        <v>0</v>
      </c>
      <c r="AF46" s="2">
        <v>523.71</v>
      </c>
      <c r="AK46">
        <v>5667661</v>
      </c>
    </row>
    <row r="47" spans="1:38" x14ac:dyDescent="0.25">
      <c r="A47" s="1">
        <v>45882</v>
      </c>
      <c r="B47" s="1">
        <v>45882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217</v>
      </c>
      <c r="J47" t="s">
        <v>218</v>
      </c>
      <c r="M47" t="s">
        <v>191</v>
      </c>
      <c r="O47" t="s">
        <v>192</v>
      </c>
      <c r="P47" t="s">
        <v>193</v>
      </c>
      <c r="Q47" t="s">
        <v>59</v>
      </c>
      <c r="R47" t="s">
        <v>219</v>
      </c>
      <c r="S47" s="1">
        <v>45870</v>
      </c>
      <c r="U47" t="s">
        <v>51</v>
      </c>
      <c r="X47" t="s">
        <v>52</v>
      </c>
      <c r="Y47" s="2">
        <v>0</v>
      </c>
      <c r="Z47" s="2">
        <v>31.02</v>
      </c>
      <c r="AA47">
        <v>9</v>
      </c>
      <c r="AB47" s="3">
        <v>1</v>
      </c>
      <c r="AC47" s="2">
        <v>279.18</v>
      </c>
      <c r="AD47" s="3">
        <v>0</v>
      </c>
      <c r="AE47" s="2">
        <v>0</v>
      </c>
      <c r="AF47" s="2">
        <v>279.18</v>
      </c>
      <c r="AK47">
        <v>5667665</v>
      </c>
    </row>
    <row r="48" spans="1:38" x14ac:dyDescent="0.25">
      <c r="A48" s="1">
        <v>45882</v>
      </c>
      <c r="B48" s="1">
        <v>45882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220</v>
      </c>
      <c r="J48" t="s">
        <v>221</v>
      </c>
      <c r="M48" t="s">
        <v>116</v>
      </c>
      <c r="O48" t="s">
        <v>211</v>
      </c>
      <c r="P48" t="s">
        <v>212</v>
      </c>
      <c r="Q48" t="s">
        <v>59</v>
      </c>
      <c r="R48" t="s">
        <v>222</v>
      </c>
      <c r="S48" s="1">
        <v>45870</v>
      </c>
      <c r="U48" t="s">
        <v>51</v>
      </c>
      <c r="X48" t="s">
        <v>52</v>
      </c>
      <c r="Y48" s="2">
        <v>0</v>
      </c>
      <c r="Z48" s="2">
        <v>31.02</v>
      </c>
      <c r="AA48">
        <v>9</v>
      </c>
      <c r="AB48" s="3">
        <v>1</v>
      </c>
      <c r="AC48" s="2">
        <v>279.18</v>
      </c>
      <c r="AD48" s="3">
        <v>0</v>
      </c>
      <c r="AE48" s="2">
        <v>0</v>
      </c>
      <c r="AF48" s="2">
        <v>279.18</v>
      </c>
      <c r="AK48">
        <v>5667664</v>
      </c>
    </row>
    <row r="49" spans="1:37" x14ac:dyDescent="0.25">
      <c r="A49" s="1">
        <v>45882</v>
      </c>
      <c r="B49" s="1">
        <v>45882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223</v>
      </c>
      <c r="J49" t="s">
        <v>224</v>
      </c>
      <c r="M49" t="s">
        <v>160</v>
      </c>
      <c r="O49" t="s">
        <v>225</v>
      </c>
      <c r="P49" t="s">
        <v>226</v>
      </c>
      <c r="Q49" t="s">
        <v>59</v>
      </c>
      <c r="R49" t="s">
        <v>227</v>
      </c>
      <c r="S49" s="1">
        <v>45870</v>
      </c>
      <c r="U49" t="s">
        <v>51</v>
      </c>
      <c r="X49" t="s">
        <v>52</v>
      </c>
      <c r="Y49" s="2">
        <v>0</v>
      </c>
      <c r="Z49" s="2">
        <v>36</v>
      </c>
      <c r="AA49">
        <v>9</v>
      </c>
      <c r="AB49" s="3">
        <v>1</v>
      </c>
      <c r="AC49" s="2">
        <v>324</v>
      </c>
      <c r="AD49" s="3">
        <v>0</v>
      </c>
      <c r="AE49" s="2">
        <v>0</v>
      </c>
      <c r="AF49" s="2">
        <v>324</v>
      </c>
      <c r="AK49">
        <v>5667669</v>
      </c>
    </row>
    <row r="50" spans="1:37" x14ac:dyDescent="0.25">
      <c r="A50" s="1">
        <v>45882</v>
      </c>
      <c r="B50" s="1">
        <v>45882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228</v>
      </c>
      <c r="J50" t="s">
        <v>229</v>
      </c>
      <c r="M50" t="s">
        <v>191</v>
      </c>
      <c r="O50" t="s">
        <v>192</v>
      </c>
      <c r="P50" t="s">
        <v>193</v>
      </c>
      <c r="Q50" t="s">
        <v>59</v>
      </c>
      <c r="R50" t="s">
        <v>219</v>
      </c>
      <c r="S50" s="1">
        <v>45901</v>
      </c>
      <c r="U50" t="s">
        <v>51</v>
      </c>
      <c r="X50" t="s">
        <v>52</v>
      </c>
      <c r="Y50" s="2">
        <v>0</v>
      </c>
      <c r="Z50" s="2">
        <v>31.02</v>
      </c>
      <c r="AA50">
        <v>9</v>
      </c>
      <c r="AB50" s="3">
        <v>1</v>
      </c>
      <c r="AC50" s="2">
        <v>279.18</v>
      </c>
      <c r="AD50" s="3">
        <v>0</v>
      </c>
      <c r="AE50" s="2">
        <v>0</v>
      </c>
      <c r="AF50" s="2">
        <v>279.18</v>
      </c>
      <c r="AK50">
        <v>5667667</v>
      </c>
    </row>
    <row r="51" spans="1:37" x14ac:dyDescent="0.25">
      <c r="A51" s="1">
        <v>45882</v>
      </c>
      <c r="B51" s="1">
        <v>45882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230</v>
      </c>
      <c r="J51" t="s">
        <v>231</v>
      </c>
      <c r="M51" t="s">
        <v>191</v>
      </c>
      <c r="O51" t="s">
        <v>192</v>
      </c>
      <c r="P51" t="s">
        <v>193</v>
      </c>
      <c r="Q51" t="s">
        <v>59</v>
      </c>
      <c r="R51" t="s">
        <v>219</v>
      </c>
      <c r="S51" s="1">
        <v>45870</v>
      </c>
      <c r="U51" t="s">
        <v>51</v>
      </c>
      <c r="X51" t="s">
        <v>52</v>
      </c>
      <c r="Y51" s="2">
        <v>0</v>
      </c>
      <c r="Z51" s="2">
        <v>31.02</v>
      </c>
      <c r="AA51">
        <v>9</v>
      </c>
      <c r="AB51" s="3">
        <v>1</v>
      </c>
      <c r="AC51" s="2">
        <v>279.18</v>
      </c>
      <c r="AD51" s="3">
        <v>0</v>
      </c>
      <c r="AE51" s="2">
        <v>0</v>
      </c>
      <c r="AF51" s="2">
        <v>279.18</v>
      </c>
      <c r="AK51">
        <v>5667668</v>
      </c>
    </row>
    <row r="52" spans="1:37" x14ac:dyDescent="0.25">
      <c r="A52" s="1">
        <v>45882</v>
      </c>
      <c r="B52" s="1">
        <v>45882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232</v>
      </c>
      <c r="J52" t="s">
        <v>233</v>
      </c>
      <c r="M52" t="s">
        <v>191</v>
      </c>
      <c r="O52" t="s">
        <v>192</v>
      </c>
      <c r="P52" t="s">
        <v>193</v>
      </c>
      <c r="Q52" t="s">
        <v>59</v>
      </c>
      <c r="R52" t="s">
        <v>219</v>
      </c>
      <c r="S52" s="1">
        <v>45931</v>
      </c>
      <c r="U52" t="s">
        <v>51</v>
      </c>
      <c r="X52" t="s">
        <v>52</v>
      </c>
      <c r="Y52" s="2">
        <v>0</v>
      </c>
      <c r="Z52" s="2">
        <v>31.02</v>
      </c>
      <c r="AA52">
        <v>9</v>
      </c>
      <c r="AB52" s="3">
        <v>1</v>
      </c>
      <c r="AC52" s="2">
        <v>279.18</v>
      </c>
      <c r="AD52" s="3">
        <v>0</v>
      </c>
      <c r="AE52" s="2">
        <v>0</v>
      </c>
      <c r="AF52" s="2">
        <v>279.18</v>
      </c>
      <c r="AK52">
        <v>5667666</v>
      </c>
    </row>
    <row r="53" spans="1:37" x14ac:dyDescent="0.25">
      <c r="A53" s="1">
        <v>45882</v>
      </c>
      <c r="B53" s="1">
        <v>45882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234</v>
      </c>
      <c r="J53" t="s">
        <v>235</v>
      </c>
      <c r="M53" t="s">
        <v>116</v>
      </c>
      <c r="O53" t="s">
        <v>211</v>
      </c>
      <c r="P53" t="s">
        <v>212</v>
      </c>
      <c r="Q53" t="s">
        <v>59</v>
      </c>
      <c r="R53" t="s">
        <v>222</v>
      </c>
      <c r="S53" s="1">
        <v>45870</v>
      </c>
      <c r="U53" t="s">
        <v>51</v>
      </c>
      <c r="X53" t="s">
        <v>52</v>
      </c>
      <c r="Y53" s="2">
        <v>0</v>
      </c>
      <c r="Z53" s="2">
        <v>31.02</v>
      </c>
      <c r="AA53">
        <v>9</v>
      </c>
      <c r="AB53" s="3">
        <v>1</v>
      </c>
      <c r="AC53" s="2">
        <v>279.18</v>
      </c>
      <c r="AD53" s="3">
        <v>0</v>
      </c>
      <c r="AE53" s="2">
        <v>0</v>
      </c>
      <c r="AF53" s="2">
        <v>279.18</v>
      </c>
      <c r="AK53">
        <v>5667671</v>
      </c>
    </row>
    <row r="54" spans="1:37" x14ac:dyDescent="0.25">
      <c r="A54" s="1">
        <v>45882</v>
      </c>
      <c r="B54" s="1">
        <v>45882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236</v>
      </c>
      <c r="J54" t="s">
        <v>237</v>
      </c>
      <c r="M54" t="s">
        <v>238</v>
      </c>
      <c r="O54" t="s">
        <v>239</v>
      </c>
      <c r="P54" t="s">
        <v>240</v>
      </c>
      <c r="Q54" t="s">
        <v>59</v>
      </c>
      <c r="R54" t="s">
        <v>241</v>
      </c>
      <c r="S54" s="1">
        <v>45931</v>
      </c>
      <c r="U54" t="s">
        <v>51</v>
      </c>
      <c r="X54" t="s">
        <v>52</v>
      </c>
      <c r="Y54" s="2">
        <v>0</v>
      </c>
      <c r="Z54" s="2">
        <v>24.17</v>
      </c>
      <c r="AA54">
        <v>9</v>
      </c>
      <c r="AB54" s="3">
        <v>1</v>
      </c>
      <c r="AC54" s="2">
        <v>217.53</v>
      </c>
      <c r="AD54" s="3">
        <v>0</v>
      </c>
      <c r="AE54" s="2">
        <v>0</v>
      </c>
      <c r="AF54" s="2">
        <v>217.53</v>
      </c>
      <c r="AK54">
        <v>5667670</v>
      </c>
    </row>
    <row r="55" spans="1:37" x14ac:dyDescent="0.25">
      <c r="A55" s="1">
        <v>45882</v>
      </c>
      <c r="B55" s="1">
        <v>45882</v>
      </c>
      <c r="C55" t="s">
        <v>242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243</v>
      </c>
      <c r="J55" t="s">
        <v>244</v>
      </c>
      <c r="M55" t="s">
        <v>46</v>
      </c>
      <c r="O55" t="s">
        <v>62</v>
      </c>
      <c r="P55" t="s">
        <v>63</v>
      </c>
      <c r="Q55" t="s">
        <v>245</v>
      </c>
      <c r="R55" t="s">
        <v>50</v>
      </c>
      <c r="S55" s="1">
        <v>45689</v>
      </c>
      <c r="U55" t="s">
        <v>51</v>
      </c>
      <c r="X55" t="s">
        <v>52</v>
      </c>
      <c r="AF55" s="2">
        <v>175</v>
      </c>
      <c r="AG55" s="2">
        <v>0</v>
      </c>
      <c r="AJ55" s="2">
        <v>87.5</v>
      </c>
    </row>
    <row r="56" spans="1:37" x14ac:dyDescent="0.25">
      <c r="A56" s="1">
        <v>45882</v>
      </c>
      <c r="B56" s="1">
        <v>45882</v>
      </c>
      <c r="C56" t="s">
        <v>242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246</v>
      </c>
      <c r="J56" t="s">
        <v>247</v>
      </c>
      <c r="M56" t="s">
        <v>46</v>
      </c>
      <c r="O56" t="s">
        <v>201</v>
      </c>
      <c r="P56" t="s">
        <v>202</v>
      </c>
      <c r="Q56" t="s">
        <v>245</v>
      </c>
      <c r="R56" t="s">
        <v>50</v>
      </c>
      <c r="S56" s="1">
        <v>45748</v>
      </c>
      <c r="U56" t="s">
        <v>51</v>
      </c>
      <c r="X56" t="s">
        <v>52</v>
      </c>
      <c r="AF56" s="2">
        <v>175</v>
      </c>
      <c r="AG56" s="2">
        <v>0</v>
      </c>
      <c r="AJ56" s="2">
        <v>117.25</v>
      </c>
    </row>
    <row r="57" spans="1:37" x14ac:dyDescent="0.25">
      <c r="A57" s="1">
        <v>45882</v>
      </c>
      <c r="B57" s="1">
        <v>45882</v>
      </c>
      <c r="C57" t="s">
        <v>242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248</v>
      </c>
      <c r="J57" t="s">
        <v>249</v>
      </c>
      <c r="M57" t="s">
        <v>46</v>
      </c>
      <c r="O57" t="s">
        <v>250</v>
      </c>
      <c r="P57" t="s">
        <v>251</v>
      </c>
      <c r="Q57" t="s">
        <v>245</v>
      </c>
      <c r="R57" t="s">
        <v>50</v>
      </c>
      <c r="S57" s="1">
        <v>45748</v>
      </c>
      <c r="U57" t="s">
        <v>51</v>
      </c>
      <c r="X57" t="s">
        <v>52</v>
      </c>
      <c r="AF57" s="2">
        <v>175</v>
      </c>
      <c r="AG57" s="2">
        <v>0</v>
      </c>
      <c r="AJ57" s="2">
        <v>87.5</v>
      </c>
    </row>
    <row r="58" spans="1:37" x14ac:dyDescent="0.25">
      <c r="A58" s="1">
        <v>45882</v>
      </c>
      <c r="B58" s="1">
        <v>45882</v>
      </c>
      <c r="C58" t="s">
        <v>242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252</v>
      </c>
      <c r="J58" t="s">
        <v>253</v>
      </c>
      <c r="M58" t="s">
        <v>86</v>
      </c>
      <c r="O58" t="s">
        <v>62</v>
      </c>
      <c r="P58" t="s">
        <v>63</v>
      </c>
      <c r="Q58" t="s">
        <v>245</v>
      </c>
      <c r="R58" t="s">
        <v>254</v>
      </c>
      <c r="S58" s="1">
        <v>45658</v>
      </c>
      <c r="U58" t="s">
        <v>51</v>
      </c>
      <c r="X58" t="s">
        <v>52</v>
      </c>
      <c r="AF58" s="2">
        <v>50</v>
      </c>
      <c r="AG58" s="2">
        <v>0</v>
      </c>
      <c r="AJ58" s="2">
        <v>20.84</v>
      </c>
    </row>
    <row r="59" spans="1:37" x14ac:dyDescent="0.25">
      <c r="A59" s="1">
        <v>45882</v>
      </c>
      <c r="B59" s="1">
        <v>45882</v>
      </c>
      <c r="C59" t="s">
        <v>242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255</v>
      </c>
      <c r="J59" t="s">
        <v>156</v>
      </c>
      <c r="M59" t="s">
        <v>116</v>
      </c>
      <c r="O59" t="s">
        <v>151</v>
      </c>
      <c r="P59" t="s">
        <v>152</v>
      </c>
      <c r="Q59" t="s">
        <v>245</v>
      </c>
      <c r="R59" t="s">
        <v>256</v>
      </c>
      <c r="S59" s="1">
        <v>45870</v>
      </c>
      <c r="U59" t="s">
        <v>51</v>
      </c>
      <c r="X59" t="s">
        <v>52</v>
      </c>
      <c r="AF59" s="2">
        <v>147.08000000000001</v>
      </c>
      <c r="AG59" s="2">
        <v>0</v>
      </c>
      <c r="AJ59" s="2">
        <v>147.08000000000001</v>
      </c>
    </row>
    <row r="60" spans="1:37" x14ac:dyDescent="0.25">
      <c r="A60" s="1">
        <v>45882</v>
      </c>
      <c r="B60" s="1">
        <v>45882</v>
      </c>
      <c r="C60" t="s">
        <v>242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257</v>
      </c>
      <c r="J60" t="s">
        <v>159</v>
      </c>
      <c r="M60" t="s">
        <v>160</v>
      </c>
      <c r="O60" t="s">
        <v>161</v>
      </c>
      <c r="P60" t="s">
        <v>162</v>
      </c>
      <c r="Q60" t="s">
        <v>245</v>
      </c>
      <c r="R60" t="s">
        <v>197</v>
      </c>
      <c r="S60" s="1">
        <v>45870</v>
      </c>
      <c r="U60" t="s">
        <v>51</v>
      </c>
      <c r="X60" t="s">
        <v>52</v>
      </c>
      <c r="AF60" s="2">
        <v>130.41999999999999</v>
      </c>
      <c r="AG60" s="2">
        <v>0</v>
      </c>
      <c r="AJ60" s="2">
        <v>130.41999999999999</v>
      </c>
    </row>
    <row r="61" spans="1:37" x14ac:dyDescent="0.25">
      <c r="A61" s="1">
        <v>45882</v>
      </c>
      <c r="B61" s="1">
        <v>45882</v>
      </c>
      <c r="C61" t="s">
        <v>242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258</v>
      </c>
      <c r="J61" t="s">
        <v>178</v>
      </c>
      <c r="M61" t="s">
        <v>116</v>
      </c>
      <c r="O61" t="s">
        <v>179</v>
      </c>
      <c r="P61" t="s">
        <v>180</v>
      </c>
      <c r="Q61" t="s">
        <v>245</v>
      </c>
      <c r="R61" t="s">
        <v>256</v>
      </c>
      <c r="S61" s="1">
        <v>45870</v>
      </c>
      <c r="U61" t="s">
        <v>51</v>
      </c>
      <c r="X61" t="s">
        <v>52</v>
      </c>
      <c r="AF61" s="2">
        <v>147.08000000000001</v>
      </c>
      <c r="AG61" s="2">
        <v>0</v>
      </c>
      <c r="AJ61" s="2">
        <v>147.08000000000001</v>
      </c>
    </row>
    <row r="62" spans="1:37" x14ac:dyDescent="0.25">
      <c r="A62" s="1">
        <v>45882</v>
      </c>
      <c r="B62" s="1">
        <v>45882</v>
      </c>
      <c r="C62" t="s">
        <v>242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259</v>
      </c>
      <c r="J62" t="s">
        <v>260</v>
      </c>
      <c r="M62" t="s">
        <v>261</v>
      </c>
      <c r="O62" t="s">
        <v>262</v>
      </c>
      <c r="P62" t="s">
        <v>263</v>
      </c>
      <c r="Q62" t="s">
        <v>245</v>
      </c>
      <c r="R62" t="s">
        <v>197</v>
      </c>
      <c r="S62" s="1">
        <v>45658</v>
      </c>
      <c r="U62" t="s">
        <v>51</v>
      </c>
      <c r="X62" t="s">
        <v>52</v>
      </c>
      <c r="AF62" s="2">
        <v>313</v>
      </c>
      <c r="AG62" s="2">
        <v>0</v>
      </c>
      <c r="AJ62" s="2">
        <v>130.41</v>
      </c>
    </row>
    <row r="63" spans="1:37" x14ac:dyDescent="0.25">
      <c r="A63" s="1">
        <v>45882</v>
      </c>
      <c r="B63" s="1">
        <v>45882</v>
      </c>
      <c r="C63" t="s">
        <v>242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264</v>
      </c>
      <c r="J63" t="s">
        <v>186</v>
      </c>
      <c r="M63" t="s">
        <v>56</v>
      </c>
      <c r="O63" t="s">
        <v>187</v>
      </c>
      <c r="P63" t="s">
        <v>188</v>
      </c>
      <c r="Q63" t="s">
        <v>245</v>
      </c>
      <c r="R63" t="s">
        <v>197</v>
      </c>
      <c r="S63" s="1">
        <v>45839</v>
      </c>
      <c r="U63" t="s">
        <v>51</v>
      </c>
      <c r="X63" t="s">
        <v>52</v>
      </c>
      <c r="AF63" s="2">
        <v>156.5</v>
      </c>
      <c r="AG63" s="2">
        <v>0</v>
      </c>
      <c r="AJ63" s="2">
        <v>156.5</v>
      </c>
    </row>
    <row r="64" spans="1:37" x14ac:dyDescent="0.25">
      <c r="A64" s="1">
        <v>45882</v>
      </c>
      <c r="B64" s="1">
        <v>45882</v>
      </c>
      <c r="C64" t="s">
        <v>242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265</v>
      </c>
      <c r="J64" t="s">
        <v>196</v>
      </c>
      <c r="M64" t="s">
        <v>46</v>
      </c>
      <c r="O64" t="s">
        <v>179</v>
      </c>
      <c r="P64" t="s">
        <v>180</v>
      </c>
      <c r="Q64" t="s">
        <v>245</v>
      </c>
      <c r="R64" t="s">
        <v>197</v>
      </c>
      <c r="S64" s="1">
        <v>45839</v>
      </c>
      <c r="U64" t="s">
        <v>51</v>
      </c>
      <c r="X64" t="s">
        <v>52</v>
      </c>
      <c r="AF64" s="2">
        <v>156.5</v>
      </c>
      <c r="AG64" s="2">
        <v>0</v>
      </c>
      <c r="AJ64" s="2">
        <v>156.5</v>
      </c>
    </row>
    <row r="65" spans="1:36" x14ac:dyDescent="0.25">
      <c r="A65" s="1">
        <v>45882</v>
      </c>
      <c r="B65" s="1">
        <v>45882</v>
      </c>
      <c r="C65" t="s">
        <v>242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266</v>
      </c>
      <c r="J65" t="s">
        <v>200</v>
      </c>
      <c r="M65" t="s">
        <v>56</v>
      </c>
      <c r="O65" t="s">
        <v>201</v>
      </c>
      <c r="P65" t="s">
        <v>202</v>
      </c>
      <c r="Q65" t="s">
        <v>245</v>
      </c>
      <c r="R65" t="s">
        <v>197</v>
      </c>
      <c r="S65" s="1">
        <v>45931</v>
      </c>
      <c r="U65" t="s">
        <v>51</v>
      </c>
      <c r="X65" t="s">
        <v>52</v>
      </c>
      <c r="AF65" s="2">
        <v>78.25</v>
      </c>
      <c r="AG65" s="2">
        <v>0</v>
      </c>
      <c r="AJ65" s="2">
        <v>78.25</v>
      </c>
    </row>
    <row r="66" spans="1:36" x14ac:dyDescent="0.25">
      <c r="A66" s="1">
        <v>45882</v>
      </c>
      <c r="B66" s="1">
        <v>45882</v>
      </c>
      <c r="C66" t="s">
        <v>242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267</v>
      </c>
      <c r="J66" t="s">
        <v>204</v>
      </c>
      <c r="M66" t="s">
        <v>97</v>
      </c>
      <c r="O66" t="s">
        <v>98</v>
      </c>
      <c r="P66" t="s">
        <v>99</v>
      </c>
      <c r="Q66" t="s">
        <v>245</v>
      </c>
      <c r="R66" t="s">
        <v>197</v>
      </c>
      <c r="S66" s="1">
        <v>45931</v>
      </c>
      <c r="U66" t="s">
        <v>51</v>
      </c>
      <c r="X66" t="s">
        <v>52</v>
      </c>
      <c r="AF66" s="2">
        <v>78.25</v>
      </c>
      <c r="AG66" s="2">
        <v>0</v>
      </c>
      <c r="AJ66" s="2">
        <v>78.25</v>
      </c>
    </row>
    <row r="67" spans="1:36" x14ac:dyDescent="0.25">
      <c r="A67" s="1">
        <v>45882</v>
      </c>
      <c r="B67" s="1">
        <v>45882</v>
      </c>
      <c r="C67" t="s">
        <v>242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268</v>
      </c>
      <c r="J67" t="s">
        <v>269</v>
      </c>
      <c r="M67" t="s">
        <v>270</v>
      </c>
      <c r="O67" t="s">
        <v>271</v>
      </c>
      <c r="P67" t="s">
        <v>272</v>
      </c>
      <c r="Q67" t="s">
        <v>245</v>
      </c>
      <c r="R67" t="s">
        <v>273</v>
      </c>
      <c r="S67" s="1">
        <v>45748</v>
      </c>
      <c r="U67" t="s">
        <v>51</v>
      </c>
      <c r="X67" t="s">
        <v>52</v>
      </c>
      <c r="AF67" s="2">
        <v>360.18</v>
      </c>
      <c r="AG67" s="2">
        <v>0</v>
      </c>
      <c r="AJ67" s="2">
        <v>200.12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BA41-670E-4E31-9734-B4A142A4C8A1}">
  <dimension ref="A1:S65"/>
  <sheetViews>
    <sheetView tabSelected="1" topLeftCell="A34" workbookViewId="0">
      <selection activeCell="A58" sqref="A58:XFD58"/>
    </sheetView>
  </sheetViews>
  <sheetFormatPr defaultRowHeight="15" x14ac:dyDescent="0.25"/>
  <cols>
    <col min="1" max="1" width="16" bestFit="1" customWidth="1"/>
    <col min="2" max="2" width="16" customWidth="1"/>
    <col min="3" max="3" width="28.85546875" bestFit="1" customWidth="1"/>
    <col min="5" max="5" width="11.85546875" customWidth="1"/>
    <col min="6" max="6" width="23.7109375" bestFit="1" customWidth="1"/>
    <col min="8" max="8" width="53.42578125" bestFit="1" customWidth="1"/>
    <col min="9" max="9" width="10.140625" bestFit="1" customWidth="1"/>
    <col min="14" max="14" width="17" customWidth="1"/>
    <col min="15" max="15" width="38.7109375" bestFit="1" customWidth="1"/>
    <col min="16" max="16" width="23.140625" bestFit="1" customWidth="1"/>
  </cols>
  <sheetData>
    <row r="1" spans="1:15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</row>
    <row r="2" spans="1:15" x14ac:dyDescent="0.25">
      <c r="A2" s="5">
        <v>101117303700</v>
      </c>
      <c r="B2" s="5" t="str">
        <f>CONCATENATE(A2,0)</f>
        <v>1011173037000</v>
      </c>
      <c r="C2" t="s">
        <v>115</v>
      </c>
      <c r="D2" t="s">
        <v>116</v>
      </c>
      <c r="E2">
        <v>20411454</v>
      </c>
      <c r="F2" t="s">
        <v>337</v>
      </c>
      <c r="G2" t="s">
        <v>59</v>
      </c>
      <c r="H2" t="s">
        <v>119</v>
      </c>
      <c r="I2" s="1">
        <v>45870</v>
      </c>
      <c r="J2" s="2">
        <v>20.83</v>
      </c>
      <c r="K2">
        <v>1</v>
      </c>
      <c r="L2" s="3">
        <v>1</v>
      </c>
      <c r="M2" s="2">
        <v>20.83</v>
      </c>
      <c r="N2" t="s">
        <v>120</v>
      </c>
      <c r="O2" t="s">
        <v>318</v>
      </c>
    </row>
    <row r="3" spans="1:15" x14ac:dyDescent="0.25">
      <c r="A3" s="5">
        <v>101497408000</v>
      </c>
      <c r="B3" s="5" t="str">
        <f t="shared" ref="B3:B12" si="0">CONCATENATE(A3,0)</f>
        <v>1014974080000</v>
      </c>
      <c r="C3" t="s">
        <v>122</v>
      </c>
      <c r="D3" t="s">
        <v>123</v>
      </c>
      <c r="E3">
        <v>20411454</v>
      </c>
      <c r="F3" t="s">
        <v>337</v>
      </c>
      <c r="G3" t="s">
        <v>59</v>
      </c>
      <c r="H3" t="s">
        <v>126</v>
      </c>
      <c r="I3" s="1">
        <v>45870</v>
      </c>
      <c r="J3" s="2">
        <v>20.83</v>
      </c>
      <c r="K3">
        <v>1</v>
      </c>
      <c r="L3" s="3">
        <v>1</v>
      </c>
      <c r="M3" s="2">
        <v>20.83</v>
      </c>
      <c r="N3" t="s">
        <v>120</v>
      </c>
      <c r="O3" t="s">
        <v>318</v>
      </c>
    </row>
    <row r="4" spans="1:15" x14ac:dyDescent="0.25">
      <c r="A4" s="5">
        <v>101683202900</v>
      </c>
      <c r="B4" s="5" t="str">
        <f t="shared" si="0"/>
        <v>1016832029000</v>
      </c>
      <c r="C4" t="s">
        <v>128</v>
      </c>
      <c r="D4" t="s">
        <v>46</v>
      </c>
      <c r="E4">
        <v>20411454</v>
      </c>
      <c r="F4" t="s">
        <v>337</v>
      </c>
      <c r="G4" t="s">
        <v>59</v>
      </c>
      <c r="H4" t="s">
        <v>119</v>
      </c>
      <c r="I4" s="1">
        <v>45870</v>
      </c>
      <c r="J4" s="2">
        <v>20.83</v>
      </c>
      <c r="K4">
        <v>1</v>
      </c>
      <c r="L4" s="3">
        <v>1</v>
      </c>
      <c r="M4" s="2">
        <v>20.83</v>
      </c>
      <c r="N4" t="s">
        <v>120</v>
      </c>
      <c r="O4" t="s">
        <v>318</v>
      </c>
    </row>
    <row r="5" spans="1:15" x14ac:dyDescent="0.25">
      <c r="A5" s="5">
        <v>101706129600</v>
      </c>
      <c r="B5" s="5" t="str">
        <f t="shared" si="0"/>
        <v>1017061296000</v>
      </c>
      <c r="C5" t="s">
        <v>130</v>
      </c>
      <c r="D5" t="s">
        <v>46</v>
      </c>
      <c r="E5">
        <v>20411454</v>
      </c>
      <c r="F5" t="s">
        <v>337</v>
      </c>
      <c r="G5" t="s">
        <v>59</v>
      </c>
      <c r="H5" t="s">
        <v>119</v>
      </c>
      <c r="I5" s="1">
        <v>45870</v>
      </c>
      <c r="J5" s="2">
        <v>20.83</v>
      </c>
      <c r="K5">
        <v>1</v>
      </c>
      <c r="L5" s="3">
        <v>1</v>
      </c>
      <c r="M5" s="2">
        <v>20.83</v>
      </c>
      <c r="N5" t="s">
        <v>120</v>
      </c>
      <c r="O5" t="s">
        <v>318</v>
      </c>
    </row>
    <row r="6" spans="1:15" x14ac:dyDescent="0.25">
      <c r="A6" s="5">
        <v>102184690900</v>
      </c>
      <c r="B6" s="5" t="str">
        <f t="shared" si="0"/>
        <v>1021846909000</v>
      </c>
      <c r="C6" t="s">
        <v>132</v>
      </c>
      <c r="D6" t="s">
        <v>97</v>
      </c>
      <c r="E6">
        <v>20411454</v>
      </c>
      <c r="F6" t="s">
        <v>337</v>
      </c>
      <c r="G6" t="s">
        <v>59</v>
      </c>
      <c r="H6" t="s">
        <v>119</v>
      </c>
      <c r="I6" s="1">
        <v>45901</v>
      </c>
      <c r="J6" s="2">
        <v>16.670000000000002</v>
      </c>
      <c r="K6">
        <v>1</v>
      </c>
      <c r="L6" s="3">
        <v>1</v>
      </c>
      <c r="M6" s="2">
        <v>16.670000000000002</v>
      </c>
      <c r="N6" t="s">
        <v>133</v>
      </c>
      <c r="O6" t="s">
        <v>318</v>
      </c>
    </row>
    <row r="7" spans="1:15" x14ac:dyDescent="0.25">
      <c r="A7" s="5">
        <v>102184907800</v>
      </c>
      <c r="B7" s="5" t="str">
        <f t="shared" si="0"/>
        <v>1021849078000</v>
      </c>
      <c r="C7" t="s">
        <v>135</v>
      </c>
      <c r="D7" t="s">
        <v>136</v>
      </c>
      <c r="E7">
        <v>20411454</v>
      </c>
      <c r="F7" t="s">
        <v>337</v>
      </c>
      <c r="G7" t="s">
        <v>59</v>
      </c>
      <c r="H7" t="s">
        <v>119</v>
      </c>
      <c r="I7" s="1">
        <v>45870</v>
      </c>
      <c r="J7" s="2">
        <v>20.83</v>
      </c>
      <c r="K7">
        <v>1</v>
      </c>
      <c r="L7" s="3">
        <v>1</v>
      </c>
      <c r="M7" s="2">
        <v>20.83</v>
      </c>
      <c r="N7" t="s">
        <v>120</v>
      </c>
      <c r="O7" t="s">
        <v>318</v>
      </c>
    </row>
    <row r="8" spans="1:15" x14ac:dyDescent="0.25">
      <c r="A8" s="5">
        <v>102185121400</v>
      </c>
      <c r="B8" s="5" t="str">
        <f t="shared" si="0"/>
        <v>1021851214000</v>
      </c>
      <c r="C8" t="s">
        <v>138</v>
      </c>
      <c r="D8" t="s">
        <v>56</v>
      </c>
      <c r="E8">
        <v>20411454</v>
      </c>
      <c r="F8" t="s">
        <v>337</v>
      </c>
      <c r="G8" t="s">
        <v>59</v>
      </c>
      <c r="H8" t="s">
        <v>119</v>
      </c>
      <c r="I8" s="1">
        <v>45901</v>
      </c>
      <c r="J8" s="2">
        <v>16.670000000000002</v>
      </c>
      <c r="K8">
        <v>1</v>
      </c>
      <c r="L8" s="3">
        <v>1</v>
      </c>
      <c r="M8" s="2">
        <v>16.670000000000002</v>
      </c>
      <c r="N8" t="s">
        <v>133</v>
      </c>
      <c r="O8" t="s">
        <v>318</v>
      </c>
    </row>
    <row r="9" spans="1:15" x14ac:dyDescent="0.25">
      <c r="A9" s="5">
        <v>102185144300</v>
      </c>
      <c r="B9" s="5" t="str">
        <f t="shared" si="0"/>
        <v>1021851443000</v>
      </c>
      <c r="C9" t="s">
        <v>142</v>
      </c>
      <c r="D9" t="s">
        <v>56</v>
      </c>
      <c r="E9">
        <v>20411454</v>
      </c>
      <c r="F9" t="s">
        <v>337</v>
      </c>
      <c r="G9" t="s">
        <v>59</v>
      </c>
      <c r="H9" t="s">
        <v>119</v>
      </c>
      <c r="I9" s="1">
        <v>45870</v>
      </c>
      <c r="J9" s="2">
        <v>20.83</v>
      </c>
      <c r="K9">
        <v>1</v>
      </c>
      <c r="L9" s="3">
        <v>1</v>
      </c>
      <c r="M9" s="2">
        <v>20.83</v>
      </c>
      <c r="N9" t="s">
        <v>120</v>
      </c>
      <c r="O9" t="s">
        <v>318</v>
      </c>
    </row>
    <row r="10" spans="1:15" x14ac:dyDescent="0.25">
      <c r="A10" s="5">
        <v>102185649000</v>
      </c>
      <c r="B10" s="5" t="str">
        <f t="shared" si="0"/>
        <v>1021856490000</v>
      </c>
      <c r="C10" t="s">
        <v>146</v>
      </c>
      <c r="D10" t="s">
        <v>116</v>
      </c>
      <c r="E10">
        <v>20411454</v>
      </c>
      <c r="F10" t="s">
        <v>337</v>
      </c>
      <c r="G10" t="s">
        <v>59</v>
      </c>
      <c r="H10" t="s">
        <v>119</v>
      </c>
      <c r="I10" s="1">
        <v>45870</v>
      </c>
      <c r="J10" s="2">
        <v>20.83</v>
      </c>
      <c r="K10">
        <v>1</v>
      </c>
      <c r="L10" s="3">
        <v>1</v>
      </c>
      <c r="M10" s="2">
        <v>20.83</v>
      </c>
      <c r="N10" t="s">
        <v>120</v>
      </c>
      <c r="O10" t="s">
        <v>318</v>
      </c>
    </row>
    <row r="11" spans="1:15" x14ac:dyDescent="0.25">
      <c r="A11" s="5">
        <v>102185649100</v>
      </c>
      <c r="B11" s="5" t="str">
        <f t="shared" si="0"/>
        <v>1021856491000</v>
      </c>
      <c r="C11" t="s">
        <v>150</v>
      </c>
      <c r="D11" t="s">
        <v>116</v>
      </c>
      <c r="E11">
        <v>20411454</v>
      </c>
      <c r="F11" t="s">
        <v>337</v>
      </c>
      <c r="G11" t="s">
        <v>59</v>
      </c>
      <c r="H11" t="s">
        <v>119</v>
      </c>
      <c r="I11" s="1">
        <v>45870</v>
      </c>
      <c r="J11" s="2">
        <v>20.83</v>
      </c>
      <c r="K11">
        <v>1</v>
      </c>
      <c r="L11" s="3">
        <v>1</v>
      </c>
      <c r="M11" s="2">
        <v>20.83</v>
      </c>
      <c r="N11" t="s">
        <v>120</v>
      </c>
      <c r="O11" t="s">
        <v>318</v>
      </c>
    </row>
    <row r="12" spans="1:15" x14ac:dyDescent="0.25">
      <c r="A12" s="5">
        <v>102185749400</v>
      </c>
      <c r="B12" s="5" t="str">
        <f t="shared" si="0"/>
        <v>1021857494000</v>
      </c>
      <c r="C12" t="s">
        <v>154</v>
      </c>
      <c r="D12" t="s">
        <v>116</v>
      </c>
      <c r="E12">
        <v>20411454</v>
      </c>
      <c r="F12" t="s">
        <v>337</v>
      </c>
      <c r="G12" t="s">
        <v>59</v>
      </c>
      <c r="H12" t="s">
        <v>119</v>
      </c>
      <c r="I12" s="1">
        <v>45870</v>
      </c>
      <c r="J12" s="2">
        <v>20.83</v>
      </c>
      <c r="K12">
        <v>1</v>
      </c>
      <c r="L12" s="3">
        <v>1</v>
      </c>
      <c r="M12" s="2">
        <v>20.83</v>
      </c>
      <c r="N12" t="s">
        <v>120</v>
      </c>
      <c r="O12" t="s">
        <v>318</v>
      </c>
    </row>
    <row r="13" spans="1:15" x14ac:dyDescent="0.25">
      <c r="A13" s="5" t="s">
        <v>274</v>
      </c>
      <c r="B13" s="5" t="s">
        <v>274</v>
      </c>
      <c r="C13" t="s">
        <v>253</v>
      </c>
      <c r="D13" t="s">
        <v>86</v>
      </c>
      <c r="E13">
        <v>20411454</v>
      </c>
      <c r="F13" t="s">
        <v>337</v>
      </c>
      <c r="G13" t="s">
        <v>245</v>
      </c>
      <c r="H13" t="s">
        <v>254</v>
      </c>
      <c r="I13" s="1">
        <v>45658</v>
      </c>
      <c r="M13" s="4">
        <v>-20.84</v>
      </c>
      <c r="O13" t="s">
        <v>318</v>
      </c>
    </row>
    <row r="14" spans="1:15" x14ac:dyDescent="0.25">
      <c r="A14" s="5" t="s">
        <v>275</v>
      </c>
      <c r="B14" s="5" t="str">
        <f t="shared" ref="B14:B16" si="1">CONCATENATE(A14,0)</f>
        <v>31F5L5L790</v>
      </c>
      <c r="C14" t="s">
        <v>165</v>
      </c>
      <c r="D14" t="s">
        <v>56</v>
      </c>
      <c r="E14">
        <v>20411454</v>
      </c>
      <c r="F14" t="s">
        <v>337</v>
      </c>
      <c r="G14" t="s">
        <v>59</v>
      </c>
      <c r="H14" t="s">
        <v>166</v>
      </c>
      <c r="I14" s="1">
        <v>45839</v>
      </c>
      <c r="J14" s="2">
        <v>100</v>
      </c>
      <c r="K14">
        <v>1</v>
      </c>
      <c r="L14" s="3">
        <v>1</v>
      </c>
      <c r="M14" s="2">
        <v>100</v>
      </c>
      <c r="O14" t="s">
        <v>319</v>
      </c>
    </row>
    <row r="15" spans="1:15" x14ac:dyDescent="0.25">
      <c r="A15" s="5" t="s">
        <v>276</v>
      </c>
      <c r="B15" s="5" t="str">
        <f t="shared" si="1"/>
        <v>43U9A2L890</v>
      </c>
      <c r="C15" t="s">
        <v>168</v>
      </c>
      <c r="D15" t="s">
        <v>169</v>
      </c>
      <c r="E15">
        <v>20411454</v>
      </c>
      <c r="F15" t="s">
        <v>337</v>
      </c>
      <c r="G15" t="s">
        <v>59</v>
      </c>
      <c r="H15" t="s">
        <v>166</v>
      </c>
      <c r="I15" s="1">
        <v>45809</v>
      </c>
      <c r="J15" s="2">
        <v>100</v>
      </c>
      <c r="K15">
        <v>1</v>
      </c>
      <c r="L15" s="3">
        <v>1</v>
      </c>
      <c r="M15" s="2">
        <v>100</v>
      </c>
      <c r="O15" t="s">
        <v>319</v>
      </c>
    </row>
    <row r="16" spans="1:15" x14ac:dyDescent="0.25">
      <c r="A16" s="5" t="s">
        <v>277</v>
      </c>
      <c r="B16" s="5" t="str">
        <f t="shared" si="1"/>
        <v>77X5L4L640</v>
      </c>
      <c r="C16" t="s">
        <v>173</v>
      </c>
      <c r="D16" t="s">
        <v>174</v>
      </c>
      <c r="E16">
        <v>20411454</v>
      </c>
      <c r="F16" t="s">
        <v>337</v>
      </c>
      <c r="G16" t="s">
        <v>59</v>
      </c>
      <c r="H16" t="s">
        <v>166</v>
      </c>
      <c r="I16" s="1">
        <v>45870</v>
      </c>
      <c r="J16" s="2">
        <v>100</v>
      </c>
      <c r="K16">
        <v>1</v>
      </c>
      <c r="L16" s="3">
        <v>1</v>
      </c>
      <c r="M16" s="2">
        <v>100</v>
      </c>
      <c r="O16" t="s">
        <v>319</v>
      </c>
    </row>
    <row r="17" spans="1:15" x14ac:dyDescent="0.25">
      <c r="A17" s="5" t="s">
        <v>294</v>
      </c>
      <c r="B17" s="5" t="s">
        <v>294</v>
      </c>
      <c r="C17" t="s">
        <v>244</v>
      </c>
      <c r="D17" t="s">
        <v>46</v>
      </c>
      <c r="E17">
        <v>20411454</v>
      </c>
      <c r="F17" t="s">
        <v>337</v>
      </c>
      <c r="G17" t="s">
        <v>245</v>
      </c>
      <c r="H17" t="s">
        <v>50</v>
      </c>
      <c r="I17" s="1">
        <v>45689</v>
      </c>
      <c r="M17" s="4">
        <v>-87.5</v>
      </c>
      <c r="O17" t="s">
        <v>320</v>
      </c>
    </row>
    <row r="18" spans="1:15" x14ac:dyDescent="0.25">
      <c r="A18" s="5" t="s">
        <v>278</v>
      </c>
      <c r="B18" s="5" t="s">
        <v>278</v>
      </c>
      <c r="C18" t="s">
        <v>45</v>
      </c>
      <c r="D18" t="s">
        <v>46</v>
      </c>
      <c r="E18">
        <v>20411454</v>
      </c>
      <c r="F18" t="s">
        <v>337</v>
      </c>
      <c r="G18" t="s">
        <v>49</v>
      </c>
      <c r="H18" t="s">
        <v>50</v>
      </c>
      <c r="I18" s="1">
        <v>45689</v>
      </c>
      <c r="J18" s="2">
        <v>14</v>
      </c>
      <c r="K18">
        <v>1</v>
      </c>
      <c r="L18" s="3">
        <v>1</v>
      </c>
      <c r="M18" s="2">
        <v>14</v>
      </c>
      <c r="N18" t="s">
        <v>53</v>
      </c>
      <c r="O18" t="s">
        <v>320</v>
      </c>
    </row>
    <row r="19" spans="1:15" x14ac:dyDescent="0.25">
      <c r="A19" s="5" t="s">
        <v>295</v>
      </c>
      <c r="B19" s="5" t="s">
        <v>295</v>
      </c>
      <c r="C19" t="s">
        <v>247</v>
      </c>
      <c r="D19" t="s">
        <v>46</v>
      </c>
      <c r="E19">
        <v>20411454</v>
      </c>
      <c r="F19" t="s">
        <v>337</v>
      </c>
      <c r="G19" t="s">
        <v>245</v>
      </c>
      <c r="H19" t="s">
        <v>50</v>
      </c>
      <c r="I19" s="1">
        <v>45748</v>
      </c>
      <c r="M19" s="4">
        <v>-117.25</v>
      </c>
      <c r="O19" t="s">
        <v>320</v>
      </c>
    </row>
    <row r="20" spans="1:15" x14ac:dyDescent="0.25">
      <c r="A20" s="5" t="s">
        <v>296</v>
      </c>
      <c r="B20" s="5" t="s">
        <v>296</v>
      </c>
      <c r="C20" t="s">
        <v>249</v>
      </c>
      <c r="D20" t="s">
        <v>46</v>
      </c>
      <c r="E20">
        <v>20411454</v>
      </c>
      <c r="F20" t="s">
        <v>337</v>
      </c>
      <c r="G20" t="s">
        <v>245</v>
      </c>
      <c r="H20" t="s">
        <v>50</v>
      </c>
      <c r="I20" s="1">
        <v>45748</v>
      </c>
      <c r="M20" s="4">
        <v>-87.5</v>
      </c>
      <c r="O20" t="s">
        <v>320</v>
      </c>
    </row>
    <row r="21" spans="1:15" x14ac:dyDescent="0.25">
      <c r="A21" s="5" t="s">
        <v>279</v>
      </c>
      <c r="B21" s="5" t="str">
        <f t="shared" ref="B21:B35" si="2">CONCATENATE(A21,0)</f>
        <v>00023486977K0</v>
      </c>
      <c r="C21" t="s">
        <v>55</v>
      </c>
      <c r="D21" t="s">
        <v>56</v>
      </c>
      <c r="E21">
        <v>20411454</v>
      </c>
      <c r="F21" t="s">
        <v>337</v>
      </c>
      <c r="G21" t="s">
        <v>59</v>
      </c>
      <c r="H21" t="s">
        <v>50</v>
      </c>
      <c r="I21" s="1">
        <v>45901</v>
      </c>
      <c r="J21" s="2">
        <v>175</v>
      </c>
      <c r="K21">
        <v>1</v>
      </c>
      <c r="L21" s="3">
        <v>1</v>
      </c>
      <c r="M21" s="2">
        <v>175</v>
      </c>
      <c r="O21" t="s">
        <v>320</v>
      </c>
    </row>
    <row r="22" spans="1:15" x14ac:dyDescent="0.25">
      <c r="A22" s="5" t="s">
        <v>280</v>
      </c>
      <c r="B22" s="5" t="str">
        <f t="shared" si="2"/>
        <v>00023519847K0</v>
      </c>
      <c r="C22" t="s">
        <v>61</v>
      </c>
      <c r="D22" t="s">
        <v>56</v>
      </c>
      <c r="E22">
        <v>20411454</v>
      </c>
      <c r="F22" t="s">
        <v>337</v>
      </c>
      <c r="G22" t="s">
        <v>59</v>
      </c>
      <c r="H22" t="s">
        <v>50</v>
      </c>
      <c r="I22" s="1">
        <v>45901</v>
      </c>
      <c r="J22" s="2">
        <v>175</v>
      </c>
      <c r="K22">
        <v>1</v>
      </c>
      <c r="L22" s="3">
        <v>1</v>
      </c>
      <c r="M22" s="2">
        <v>175</v>
      </c>
      <c r="O22" t="s">
        <v>320</v>
      </c>
    </row>
    <row r="23" spans="1:15" x14ac:dyDescent="0.25">
      <c r="A23" s="5" t="s">
        <v>281</v>
      </c>
      <c r="B23" s="5" t="str">
        <f t="shared" si="2"/>
        <v>00023520146K0</v>
      </c>
      <c r="C23" t="s">
        <v>65</v>
      </c>
      <c r="D23" t="s">
        <v>56</v>
      </c>
      <c r="E23">
        <v>20411454</v>
      </c>
      <c r="F23" t="s">
        <v>337</v>
      </c>
      <c r="G23" t="s">
        <v>59</v>
      </c>
      <c r="H23" t="s">
        <v>50</v>
      </c>
      <c r="I23" s="1">
        <v>45901</v>
      </c>
      <c r="J23" s="2">
        <v>175</v>
      </c>
      <c r="K23">
        <v>1</v>
      </c>
      <c r="L23" s="3">
        <v>1</v>
      </c>
      <c r="M23" s="2">
        <v>175</v>
      </c>
      <c r="O23" t="s">
        <v>320</v>
      </c>
    </row>
    <row r="24" spans="1:15" x14ac:dyDescent="0.25">
      <c r="A24" s="5" t="s">
        <v>282</v>
      </c>
      <c r="B24" s="5" t="str">
        <f t="shared" si="2"/>
        <v>00023520489K0</v>
      </c>
      <c r="C24" t="s">
        <v>67</v>
      </c>
      <c r="D24" t="s">
        <v>56</v>
      </c>
      <c r="E24">
        <v>20411454</v>
      </c>
      <c r="F24" t="s">
        <v>337</v>
      </c>
      <c r="G24" t="s">
        <v>59</v>
      </c>
      <c r="H24" t="s">
        <v>50</v>
      </c>
      <c r="I24" s="1">
        <v>45901</v>
      </c>
      <c r="J24" s="2">
        <v>175</v>
      </c>
      <c r="K24">
        <v>1</v>
      </c>
      <c r="L24" s="3">
        <v>1</v>
      </c>
      <c r="M24" s="2">
        <v>175</v>
      </c>
      <c r="O24" t="s">
        <v>320</v>
      </c>
    </row>
    <row r="25" spans="1:15" x14ac:dyDescent="0.25">
      <c r="A25" s="5" t="s">
        <v>283</v>
      </c>
      <c r="B25" s="5" t="str">
        <f t="shared" si="2"/>
        <v>00023520783K0</v>
      </c>
      <c r="C25" t="s">
        <v>71</v>
      </c>
      <c r="D25" t="s">
        <v>56</v>
      </c>
      <c r="E25">
        <v>20411454</v>
      </c>
      <c r="F25" t="s">
        <v>337</v>
      </c>
      <c r="G25" t="s">
        <v>59</v>
      </c>
      <c r="H25" t="s">
        <v>50</v>
      </c>
      <c r="I25" s="1">
        <v>45931</v>
      </c>
      <c r="J25" s="2">
        <v>175</v>
      </c>
      <c r="K25">
        <v>1</v>
      </c>
      <c r="L25" s="3">
        <v>1</v>
      </c>
      <c r="M25" s="2">
        <v>175</v>
      </c>
      <c r="O25" t="s">
        <v>320</v>
      </c>
    </row>
    <row r="26" spans="1:15" x14ac:dyDescent="0.25">
      <c r="A26" s="5" t="s">
        <v>284</v>
      </c>
      <c r="B26" s="5" t="str">
        <f t="shared" si="2"/>
        <v>00023521262K0</v>
      </c>
      <c r="C26" t="s">
        <v>81</v>
      </c>
      <c r="D26" t="s">
        <v>56</v>
      </c>
      <c r="E26">
        <v>20411454</v>
      </c>
      <c r="F26" t="s">
        <v>337</v>
      </c>
      <c r="G26" t="s">
        <v>59</v>
      </c>
      <c r="H26" t="s">
        <v>50</v>
      </c>
      <c r="I26" s="1">
        <v>45870</v>
      </c>
      <c r="J26" s="2">
        <v>175</v>
      </c>
      <c r="K26">
        <v>1</v>
      </c>
      <c r="L26" s="3">
        <v>1</v>
      </c>
      <c r="M26" s="2">
        <v>175</v>
      </c>
      <c r="O26" t="s">
        <v>320</v>
      </c>
    </row>
    <row r="27" spans="1:15" x14ac:dyDescent="0.25">
      <c r="A27" s="5" t="s">
        <v>285</v>
      </c>
      <c r="B27" s="5" t="str">
        <f t="shared" si="2"/>
        <v>00023521324K0</v>
      </c>
      <c r="C27" t="s">
        <v>85</v>
      </c>
      <c r="D27" t="s">
        <v>86</v>
      </c>
      <c r="E27">
        <v>20411454</v>
      </c>
      <c r="F27" t="s">
        <v>337</v>
      </c>
      <c r="G27" t="s">
        <v>59</v>
      </c>
      <c r="H27" t="s">
        <v>50</v>
      </c>
      <c r="I27" s="1">
        <v>45870</v>
      </c>
      <c r="J27" s="2">
        <v>175</v>
      </c>
      <c r="K27">
        <v>1</v>
      </c>
      <c r="L27" s="3">
        <v>1</v>
      </c>
      <c r="M27" s="2">
        <v>175</v>
      </c>
      <c r="O27" t="s">
        <v>320</v>
      </c>
    </row>
    <row r="28" spans="1:15" x14ac:dyDescent="0.25">
      <c r="A28" s="5" t="s">
        <v>286</v>
      </c>
      <c r="B28" s="5" t="str">
        <f t="shared" si="2"/>
        <v>00023521488K0</v>
      </c>
      <c r="C28" t="s">
        <v>90</v>
      </c>
      <c r="D28" t="s">
        <v>56</v>
      </c>
      <c r="E28">
        <v>20411454</v>
      </c>
      <c r="F28" t="s">
        <v>337</v>
      </c>
      <c r="G28" t="s">
        <v>59</v>
      </c>
      <c r="H28" t="s">
        <v>50</v>
      </c>
      <c r="I28" s="1">
        <v>45870</v>
      </c>
      <c r="J28" s="2">
        <v>175</v>
      </c>
      <c r="K28">
        <v>1</v>
      </c>
      <c r="L28" s="3">
        <v>1</v>
      </c>
      <c r="M28" s="2">
        <v>175</v>
      </c>
      <c r="O28" t="s">
        <v>320</v>
      </c>
    </row>
    <row r="29" spans="1:15" x14ac:dyDescent="0.25">
      <c r="A29" s="5" t="s">
        <v>287</v>
      </c>
      <c r="B29" s="5" t="str">
        <f t="shared" si="2"/>
        <v>00023521930K0</v>
      </c>
      <c r="C29" t="s">
        <v>94</v>
      </c>
      <c r="D29" t="s">
        <v>56</v>
      </c>
      <c r="E29">
        <v>20411454</v>
      </c>
      <c r="F29" t="s">
        <v>337</v>
      </c>
      <c r="G29" t="s">
        <v>59</v>
      </c>
      <c r="H29" t="s">
        <v>50</v>
      </c>
      <c r="I29" s="1">
        <v>45870</v>
      </c>
      <c r="J29" s="2">
        <v>175</v>
      </c>
      <c r="K29">
        <v>1</v>
      </c>
      <c r="L29" s="3">
        <v>1</v>
      </c>
      <c r="M29" s="2">
        <v>175</v>
      </c>
      <c r="O29" t="s">
        <v>320</v>
      </c>
    </row>
    <row r="30" spans="1:15" x14ac:dyDescent="0.25">
      <c r="A30" s="5" t="s">
        <v>288</v>
      </c>
      <c r="B30" s="5" t="str">
        <f t="shared" si="2"/>
        <v>00023522226K0</v>
      </c>
      <c r="C30" t="s">
        <v>96</v>
      </c>
      <c r="D30" t="s">
        <v>97</v>
      </c>
      <c r="E30">
        <v>20411454</v>
      </c>
      <c r="F30" t="s">
        <v>337</v>
      </c>
      <c r="G30" t="s">
        <v>59</v>
      </c>
      <c r="H30" t="s">
        <v>50</v>
      </c>
      <c r="I30" s="1">
        <v>45870</v>
      </c>
      <c r="J30" s="2">
        <v>175</v>
      </c>
      <c r="K30">
        <v>1</v>
      </c>
      <c r="L30" s="3">
        <v>1</v>
      </c>
      <c r="M30" s="2">
        <v>175</v>
      </c>
      <c r="O30" t="s">
        <v>320</v>
      </c>
    </row>
    <row r="31" spans="1:15" x14ac:dyDescent="0.25">
      <c r="A31" s="5" t="s">
        <v>289</v>
      </c>
      <c r="B31" s="5" t="str">
        <f t="shared" si="2"/>
        <v>00023526983K0</v>
      </c>
      <c r="C31" t="s">
        <v>101</v>
      </c>
      <c r="D31" t="s">
        <v>86</v>
      </c>
      <c r="E31">
        <v>20411454</v>
      </c>
      <c r="F31" t="s">
        <v>337</v>
      </c>
      <c r="G31" t="s">
        <v>59</v>
      </c>
      <c r="H31" t="s">
        <v>50</v>
      </c>
      <c r="I31" s="1">
        <v>45931</v>
      </c>
      <c r="J31" s="2">
        <v>175</v>
      </c>
      <c r="K31">
        <v>1</v>
      </c>
      <c r="L31" s="3">
        <v>1</v>
      </c>
      <c r="M31" s="2">
        <v>175</v>
      </c>
      <c r="O31" t="s">
        <v>320</v>
      </c>
    </row>
    <row r="32" spans="1:15" x14ac:dyDescent="0.25">
      <c r="A32" s="5" t="s">
        <v>290</v>
      </c>
      <c r="B32" s="5" t="str">
        <f t="shared" si="2"/>
        <v>00023529402K0</v>
      </c>
      <c r="C32" t="s">
        <v>103</v>
      </c>
      <c r="D32" t="s">
        <v>56</v>
      </c>
      <c r="E32">
        <v>20411454</v>
      </c>
      <c r="F32" t="s">
        <v>337</v>
      </c>
      <c r="G32" t="s">
        <v>59</v>
      </c>
      <c r="H32" t="s">
        <v>50</v>
      </c>
      <c r="I32" s="1">
        <v>45870</v>
      </c>
      <c r="J32" s="2">
        <v>175</v>
      </c>
      <c r="K32">
        <v>1</v>
      </c>
      <c r="L32" s="3">
        <v>1</v>
      </c>
      <c r="M32" s="2">
        <v>175</v>
      </c>
      <c r="O32" t="s">
        <v>320</v>
      </c>
    </row>
    <row r="33" spans="1:18" x14ac:dyDescent="0.25">
      <c r="A33" s="5" t="s">
        <v>291</v>
      </c>
      <c r="B33" s="5" t="str">
        <f t="shared" si="2"/>
        <v>00023529795K0</v>
      </c>
      <c r="C33" t="s">
        <v>107</v>
      </c>
      <c r="D33" t="s">
        <v>56</v>
      </c>
      <c r="E33">
        <v>20411454</v>
      </c>
      <c r="F33" t="s">
        <v>337</v>
      </c>
      <c r="G33" t="s">
        <v>59</v>
      </c>
      <c r="H33" t="s">
        <v>50</v>
      </c>
      <c r="I33" s="1">
        <v>45870</v>
      </c>
      <c r="J33" s="2">
        <v>175</v>
      </c>
      <c r="K33">
        <v>1</v>
      </c>
      <c r="L33" s="3">
        <v>1</v>
      </c>
      <c r="M33" s="2">
        <v>175</v>
      </c>
      <c r="O33" t="s">
        <v>320</v>
      </c>
    </row>
    <row r="34" spans="1:18" x14ac:dyDescent="0.25">
      <c r="A34" s="5" t="s">
        <v>292</v>
      </c>
      <c r="B34" s="5" t="str">
        <f t="shared" si="2"/>
        <v>00023531138K0</v>
      </c>
      <c r="C34" t="s">
        <v>109</v>
      </c>
      <c r="D34" t="s">
        <v>56</v>
      </c>
      <c r="E34">
        <v>20411454</v>
      </c>
      <c r="F34" t="s">
        <v>337</v>
      </c>
      <c r="G34" t="s">
        <v>59</v>
      </c>
      <c r="H34" t="s">
        <v>50</v>
      </c>
      <c r="I34" s="1">
        <v>45931</v>
      </c>
      <c r="J34" s="2">
        <v>175</v>
      </c>
      <c r="K34">
        <v>1</v>
      </c>
      <c r="L34" s="3">
        <v>1</v>
      </c>
      <c r="M34" s="2">
        <v>175</v>
      </c>
      <c r="O34" t="s">
        <v>320</v>
      </c>
    </row>
    <row r="35" spans="1:18" x14ac:dyDescent="0.25">
      <c r="A35" s="5" t="s">
        <v>293</v>
      </c>
      <c r="B35" s="5" t="str">
        <f t="shared" si="2"/>
        <v>00023531495K0</v>
      </c>
      <c r="C35" t="s">
        <v>113</v>
      </c>
      <c r="D35" t="s">
        <v>56</v>
      </c>
      <c r="E35">
        <v>20411454</v>
      </c>
      <c r="F35" t="s">
        <v>337</v>
      </c>
      <c r="G35" t="s">
        <v>59</v>
      </c>
      <c r="H35" t="s">
        <v>50</v>
      </c>
      <c r="I35" s="1">
        <v>45870</v>
      </c>
      <c r="J35" s="2">
        <v>175</v>
      </c>
      <c r="K35">
        <v>1</v>
      </c>
      <c r="L35" s="3">
        <v>1</v>
      </c>
      <c r="M35" s="2">
        <v>175</v>
      </c>
      <c r="O35" t="s">
        <v>320</v>
      </c>
    </row>
    <row r="36" spans="1:18" s="7" customFormat="1" x14ac:dyDescent="0.25">
      <c r="A36" s="6" t="s">
        <v>297</v>
      </c>
      <c r="B36" s="6" t="str">
        <f>CONCATENATE(A36,1)</f>
        <v>00023521051K1</v>
      </c>
      <c r="C36" s="7" t="s">
        <v>75</v>
      </c>
      <c r="D36" s="7" t="s">
        <v>76</v>
      </c>
      <c r="E36" s="7">
        <v>19491313</v>
      </c>
      <c r="F36" s="7" t="s">
        <v>78</v>
      </c>
      <c r="G36" s="7" t="s">
        <v>59</v>
      </c>
      <c r="H36" s="7" t="s">
        <v>79</v>
      </c>
      <c r="I36" s="8">
        <v>45870</v>
      </c>
      <c r="J36" s="9">
        <v>15</v>
      </c>
      <c r="K36" s="7">
        <v>1</v>
      </c>
      <c r="L36" s="10">
        <v>1</v>
      </c>
      <c r="M36" s="9">
        <v>15</v>
      </c>
      <c r="O36" s="7" t="s">
        <v>321</v>
      </c>
    </row>
    <row r="37" spans="1:18" s="7" customFormat="1" x14ac:dyDescent="0.25">
      <c r="A37" s="6">
        <v>973050889</v>
      </c>
      <c r="B37" s="6" t="str">
        <f>CONCATENATE(A37,98)</f>
        <v>97305088998</v>
      </c>
      <c r="C37" s="7" t="s">
        <v>204</v>
      </c>
      <c r="D37" s="7" t="s">
        <v>97</v>
      </c>
      <c r="E37" s="7">
        <v>19681796</v>
      </c>
      <c r="F37" s="7" t="s">
        <v>99</v>
      </c>
      <c r="G37" s="7" t="s">
        <v>49</v>
      </c>
      <c r="H37" s="7" t="s">
        <v>163</v>
      </c>
      <c r="I37" s="8">
        <v>45931</v>
      </c>
      <c r="J37" s="9">
        <v>626</v>
      </c>
      <c r="K37" s="7">
        <v>1</v>
      </c>
      <c r="L37" s="10">
        <v>1</v>
      </c>
      <c r="M37" s="9">
        <v>626</v>
      </c>
      <c r="O37" s="7" t="s">
        <v>328</v>
      </c>
      <c r="P37" s="7" t="s">
        <v>336</v>
      </c>
    </row>
    <row r="38" spans="1:18" s="7" customFormat="1" x14ac:dyDescent="0.25">
      <c r="A38" s="6">
        <v>939536888</v>
      </c>
      <c r="B38" s="6" t="str">
        <f t="shared" ref="B38:B45" si="3">CONCATENATE(A38,98)</f>
        <v>93953688898</v>
      </c>
      <c r="C38" s="7" t="s">
        <v>182</v>
      </c>
      <c r="D38" s="7" t="s">
        <v>56</v>
      </c>
      <c r="E38" s="7">
        <v>9213293</v>
      </c>
      <c r="F38" s="7" t="s">
        <v>176</v>
      </c>
      <c r="G38" s="7" t="s">
        <v>59</v>
      </c>
      <c r="H38" s="7" t="s">
        <v>163</v>
      </c>
      <c r="I38" s="8">
        <v>45870</v>
      </c>
      <c r="J38" s="9">
        <v>626</v>
      </c>
      <c r="K38" s="7">
        <v>1</v>
      </c>
      <c r="L38" s="10">
        <v>1</v>
      </c>
      <c r="M38" s="9">
        <v>626</v>
      </c>
      <c r="O38" s="7" t="s">
        <v>328</v>
      </c>
      <c r="P38" s="7" t="s">
        <v>336</v>
      </c>
    </row>
    <row r="39" spans="1:18" s="7" customFormat="1" x14ac:dyDescent="0.25">
      <c r="A39" s="6">
        <v>944163894</v>
      </c>
      <c r="B39" s="6" t="str">
        <f t="shared" si="3"/>
        <v>94416389498</v>
      </c>
      <c r="C39" s="7" t="s">
        <v>190</v>
      </c>
      <c r="D39" s="7" t="s">
        <v>191</v>
      </c>
      <c r="E39" s="7">
        <v>20724564</v>
      </c>
      <c r="F39" s="7" t="s">
        <v>193</v>
      </c>
      <c r="G39" s="7" t="s">
        <v>59</v>
      </c>
      <c r="H39" s="7" t="s">
        <v>163</v>
      </c>
      <c r="I39" s="8">
        <v>45901</v>
      </c>
      <c r="J39" s="9">
        <v>626</v>
      </c>
      <c r="K39" s="7">
        <v>1</v>
      </c>
      <c r="L39" s="10">
        <v>1</v>
      </c>
      <c r="M39" s="9">
        <v>626</v>
      </c>
      <c r="O39" s="7" t="s">
        <v>328</v>
      </c>
      <c r="P39" s="7" t="s">
        <v>336</v>
      </c>
    </row>
    <row r="40" spans="1:18" s="7" customFormat="1" x14ac:dyDescent="0.25">
      <c r="A40" s="6">
        <v>133751757</v>
      </c>
      <c r="B40" s="6" t="str">
        <f t="shared" si="3"/>
        <v>13375175798</v>
      </c>
      <c r="C40" s="7" t="s">
        <v>159</v>
      </c>
      <c r="D40" s="7" t="s">
        <v>160</v>
      </c>
      <c r="E40" s="7">
        <v>5442438</v>
      </c>
      <c r="F40" s="7" t="s">
        <v>162</v>
      </c>
      <c r="G40" s="7" t="s">
        <v>59</v>
      </c>
      <c r="H40" s="7" t="s">
        <v>163</v>
      </c>
      <c r="I40" s="8">
        <v>45870</v>
      </c>
      <c r="J40" s="9">
        <v>626</v>
      </c>
      <c r="K40" s="7">
        <v>1</v>
      </c>
      <c r="L40" s="10">
        <v>1</v>
      </c>
      <c r="M40" s="9">
        <v>626</v>
      </c>
      <c r="O40" s="7" t="s">
        <v>328</v>
      </c>
      <c r="P40" s="7" t="s">
        <v>336</v>
      </c>
    </row>
    <row r="41" spans="1:18" s="7" customFormat="1" x14ac:dyDescent="0.25">
      <c r="A41" s="6">
        <v>939556187</v>
      </c>
      <c r="B41" s="6" t="str">
        <f t="shared" si="3"/>
        <v>93955618798</v>
      </c>
      <c r="C41" s="7" t="s">
        <v>186</v>
      </c>
      <c r="D41" s="7" t="s">
        <v>56</v>
      </c>
      <c r="E41" s="7">
        <v>19106640</v>
      </c>
      <c r="F41" s="7" t="s">
        <v>188</v>
      </c>
      <c r="G41" s="7" t="s">
        <v>49</v>
      </c>
      <c r="H41" s="7" t="s">
        <v>163</v>
      </c>
      <c r="I41" s="8">
        <v>45839</v>
      </c>
      <c r="J41" s="9">
        <v>626</v>
      </c>
      <c r="K41" s="7">
        <v>1</v>
      </c>
      <c r="L41" s="10">
        <v>1</v>
      </c>
      <c r="M41" s="9">
        <v>626</v>
      </c>
      <c r="O41" s="7" t="s">
        <v>328</v>
      </c>
      <c r="P41" s="7" t="s">
        <v>336</v>
      </c>
    </row>
    <row r="42" spans="1:18" s="7" customFormat="1" x14ac:dyDescent="0.25">
      <c r="A42" s="6">
        <v>971115971</v>
      </c>
      <c r="B42" s="6" t="str">
        <f t="shared" si="3"/>
        <v>97111597198</v>
      </c>
      <c r="C42" s="7" t="s">
        <v>200</v>
      </c>
      <c r="D42" s="7" t="s">
        <v>56</v>
      </c>
      <c r="E42" s="7">
        <v>19645587</v>
      </c>
      <c r="F42" s="7" t="s">
        <v>202</v>
      </c>
      <c r="G42" s="7" t="s">
        <v>49</v>
      </c>
      <c r="H42" s="7" t="s">
        <v>163</v>
      </c>
      <c r="I42" s="8">
        <v>45931</v>
      </c>
      <c r="J42" s="9">
        <v>626</v>
      </c>
      <c r="K42" s="7">
        <v>1</v>
      </c>
      <c r="L42" s="10">
        <v>1</v>
      </c>
      <c r="M42" s="9">
        <v>626</v>
      </c>
      <c r="O42" s="7" t="s">
        <v>328</v>
      </c>
      <c r="P42" s="7" t="s">
        <v>336</v>
      </c>
    </row>
    <row r="43" spans="1:18" s="7" customFormat="1" x14ac:dyDescent="0.25">
      <c r="A43" s="6" t="s">
        <v>298</v>
      </c>
      <c r="B43" s="6" t="str">
        <f>CONCATENATE(A43,1)</f>
        <v>A043155541</v>
      </c>
      <c r="C43" s="7" t="s">
        <v>237</v>
      </c>
      <c r="D43" s="7" t="s">
        <v>238</v>
      </c>
      <c r="E43" s="7">
        <v>16509456</v>
      </c>
      <c r="F43" s="7" t="s">
        <v>240</v>
      </c>
      <c r="G43" s="7" t="s">
        <v>59</v>
      </c>
      <c r="H43" s="7" t="s">
        <v>241</v>
      </c>
      <c r="I43" s="8">
        <v>45931</v>
      </c>
      <c r="J43" s="9">
        <v>24.17</v>
      </c>
      <c r="K43" s="7">
        <v>9</v>
      </c>
      <c r="L43" s="10">
        <v>1</v>
      </c>
      <c r="M43" s="9">
        <v>217.53</v>
      </c>
      <c r="O43" s="7" t="s">
        <v>338</v>
      </c>
    </row>
    <row r="44" spans="1:18" s="7" customFormat="1" x14ac:dyDescent="0.25">
      <c r="A44" s="6">
        <v>906934810</v>
      </c>
      <c r="B44" s="6" t="str">
        <f t="shared" si="3"/>
        <v>90693481098</v>
      </c>
      <c r="C44" s="7" t="s">
        <v>178</v>
      </c>
      <c r="D44" s="7" t="s">
        <v>116</v>
      </c>
      <c r="E44" s="7">
        <v>17425766</v>
      </c>
      <c r="F44" s="7" t="s">
        <v>180</v>
      </c>
      <c r="G44" s="7" t="s">
        <v>59</v>
      </c>
      <c r="H44" s="7" t="s">
        <v>157</v>
      </c>
      <c r="I44" s="8">
        <v>45870</v>
      </c>
      <c r="J44" s="9">
        <v>293.75</v>
      </c>
      <c r="K44" s="7">
        <v>1</v>
      </c>
      <c r="L44" s="10">
        <v>1</v>
      </c>
      <c r="M44" s="9">
        <v>293.75</v>
      </c>
      <c r="N44" s="7" t="s">
        <v>120</v>
      </c>
      <c r="O44" s="7" t="s">
        <v>330</v>
      </c>
      <c r="P44" s="7" t="s">
        <v>335</v>
      </c>
    </row>
    <row r="45" spans="1:18" s="7" customFormat="1" x14ac:dyDescent="0.25">
      <c r="A45" s="6">
        <v>133726021</v>
      </c>
      <c r="B45" s="6" t="str">
        <f t="shared" si="3"/>
        <v>13372602198</v>
      </c>
      <c r="C45" s="7" t="s">
        <v>156</v>
      </c>
      <c r="D45" s="7" t="s">
        <v>116</v>
      </c>
      <c r="E45" s="7">
        <v>18710070</v>
      </c>
      <c r="F45" s="7" t="s">
        <v>152</v>
      </c>
      <c r="G45" s="7" t="s">
        <v>59</v>
      </c>
      <c r="H45" s="7" t="s">
        <v>157</v>
      </c>
      <c r="I45" s="8">
        <v>45870</v>
      </c>
      <c r="J45" s="9">
        <v>293.75</v>
      </c>
      <c r="K45" s="7">
        <v>1</v>
      </c>
      <c r="L45" s="10">
        <v>1</v>
      </c>
      <c r="M45" s="9">
        <v>293.75</v>
      </c>
      <c r="N45" s="7" t="s">
        <v>120</v>
      </c>
      <c r="O45" s="7" t="s">
        <v>330</v>
      </c>
      <c r="P45" s="7" t="s">
        <v>335</v>
      </c>
      <c r="R45" s="7">
        <f>705/12*5</f>
        <v>293.75</v>
      </c>
    </row>
    <row r="46" spans="1:18" s="7" customFormat="1" x14ac:dyDescent="0.25">
      <c r="A46" s="6" t="s">
        <v>299</v>
      </c>
      <c r="B46" s="6" t="str">
        <f t="shared" ref="B44:B65" si="4">CONCATENATE(A46,1)</f>
        <v>A043067891</v>
      </c>
      <c r="C46" s="7" t="s">
        <v>215</v>
      </c>
      <c r="D46" s="7" t="s">
        <v>207</v>
      </c>
      <c r="E46" s="7">
        <v>17425766</v>
      </c>
      <c r="F46" s="7" t="s">
        <v>180</v>
      </c>
      <c r="G46" s="7" t="s">
        <v>59</v>
      </c>
      <c r="H46" s="7" t="s">
        <v>216</v>
      </c>
      <c r="I46" s="8">
        <v>45901</v>
      </c>
      <c r="J46" s="9">
        <v>58.19</v>
      </c>
      <c r="K46" s="7">
        <v>9</v>
      </c>
      <c r="L46" s="10">
        <v>1</v>
      </c>
      <c r="M46" s="9">
        <v>523.71</v>
      </c>
      <c r="O46" s="7" t="s">
        <v>322</v>
      </c>
    </row>
    <row r="47" spans="1:18" s="7" customFormat="1" x14ac:dyDescent="0.25">
      <c r="A47" s="6" t="s">
        <v>300</v>
      </c>
      <c r="B47" s="6" t="str">
        <f t="shared" si="4"/>
        <v>A043050201</v>
      </c>
      <c r="C47" s="7" t="s">
        <v>206</v>
      </c>
      <c r="D47" s="7" t="s">
        <v>207</v>
      </c>
      <c r="E47" s="7">
        <v>9213293</v>
      </c>
      <c r="F47" s="7" t="s">
        <v>176</v>
      </c>
      <c r="G47" s="7" t="s">
        <v>59</v>
      </c>
      <c r="H47" s="7" t="s">
        <v>208</v>
      </c>
      <c r="I47" s="8">
        <v>45901</v>
      </c>
      <c r="J47" s="9">
        <v>44.31</v>
      </c>
      <c r="K47" s="7">
        <v>9</v>
      </c>
      <c r="L47" s="10">
        <v>1</v>
      </c>
      <c r="M47" s="9">
        <v>398.79</v>
      </c>
      <c r="O47" s="7" t="s">
        <v>323</v>
      </c>
    </row>
    <row r="48" spans="1:18" s="7" customFormat="1" x14ac:dyDescent="0.25">
      <c r="A48" s="6" t="s">
        <v>305</v>
      </c>
      <c r="B48" s="6" t="str">
        <f t="shared" si="4"/>
        <v>A043096991</v>
      </c>
      <c r="C48" s="7" t="s">
        <v>224</v>
      </c>
      <c r="D48" s="7" t="s">
        <v>160</v>
      </c>
      <c r="E48" s="7">
        <v>16202925</v>
      </c>
      <c r="F48" s="7" t="s">
        <v>226</v>
      </c>
      <c r="G48" s="7" t="s">
        <v>59</v>
      </c>
      <c r="H48" s="7" t="s">
        <v>227</v>
      </c>
      <c r="I48" s="8">
        <v>45870</v>
      </c>
      <c r="J48" s="9">
        <v>36</v>
      </c>
      <c r="K48" s="7">
        <v>9</v>
      </c>
      <c r="L48" s="10">
        <v>1</v>
      </c>
      <c r="M48" s="9">
        <v>324</v>
      </c>
      <c r="O48" s="7" t="s">
        <v>325</v>
      </c>
    </row>
    <row r="49" spans="1:19" s="7" customFormat="1" x14ac:dyDescent="0.25">
      <c r="A49" s="6" t="s">
        <v>307</v>
      </c>
      <c r="B49" s="6" t="str">
        <f t="shared" si="4"/>
        <v>A043084271</v>
      </c>
      <c r="C49" s="7" t="s">
        <v>221</v>
      </c>
      <c r="D49" s="7" t="s">
        <v>116</v>
      </c>
      <c r="E49" s="7">
        <v>19278370</v>
      </c>
      <c r="F49" s="7" t="s">
        <v>212</v>
      </c>
      <c r="G49" s="7" t="s">
        <v>59</v>
      </c>
      <c r="H49" s="7" t="s">
        <v>222</v>
      </c>
      <c r="I49" s="8">
        <v>45870</v>
      </c>
      <c r="J49" s="9">
        <v>31.02</v>
      </c>
      <c r="K49" s="7">
        <v>9</v>
      </c>
      <c r="L49" s="10">
        <v>1</v>
      </c>
      <c r="M49" s="9">
        <v>279.18</v>
      </c>
      <c r="O49" s="7" t="s">
        <v>324</v>
      </c>
    </row>
    <row r="50" spans="1:19" s="7" customFormat="1" x14ac:dyDescent="0.25">
      <c r="A50" s="6" t="s">
        <v>308</v>
      </c>
      <c r="B50" s="6" t="str">
        <f t="shared" si="4"/>
        <v>A043140151</v>
      </c>
      <c r="C50" s="7" t="s">
        <v>235</v>
      </c>
      <c r="D50" s="7" t="s">
        <v>116</v>
      </c>
      <c r="E50" s="7">
        <v>19278370</v>
      </c>
      <c r="F50" s="7" t="s">
        <v>212</v>
      </c>
      <c r="G50" s="7" t="s">
        <v>59</v>
      </c>
      <c r="H50" s="7" t="s">
        <v>222</v>
      </c>
      <c r="I50" s="8">
        <v>45870</v>
      </c>
      <c r="J50" s="9">
        <v>31.02</v>
      </c>
      <c r="K50" s="7">
        <v>9</v>
      </c>
      <c r="L50" s="10">
        <v>1</v>
      </c>
      <c r="M50" s="9">
        <v>279.18</v>
      </c>
      <c r="O50" s="7" t="s">
        <v>324</v>
      </c>
    </row>
    <row r="51" spans="1:19" s="7" customFormat="1" x14ac:dyDescent="0.25">
      <c r="A51" s="6" t="s">
        <v>301</v>
      </c>
      <c r="B51" s="6" t="str">
        <f t="shared" si="4"/>
        <v>A043069941</v>
      </c>
      <c r="C51" s="7" t="s">
        <v>218</v>
      </c>
      <c r="D51" s="7" t="s">
        <v>191</v>
      </c>
      <c r="E51" s="7">
        <v>20724564</v>
      </c>
      <c r="F51" s="7" t="s">
        <v>193</v>
      </c>
      <c r="G51" s="7" t="s">
        <v>59</v>
      </c>
      <c r="H51" s="7" t="s">
        <v>219</v>
      </c>
      <c r="I51" s="8">
        <v>45870</v>
      </c>
      <c r="J51" s="9">
        <v>31.02</v>
      </c>
      <c r="K51" s="7">
        <v>9</v>
      </c>
      <c r="L51" s="10">
        <v>1</v>
      </c>
      <c r="M51" s="9">
        <v>279.18</v>
      </c>
      <c r="O51" s="7" t="s">
        <v>324</v>
      </c>
    </row>
    <row r="52" spans="1:19" s="7" customFormat="1" x14ac:dyDescent="0.25">
      <c r="A52" s="6" t="s">
        <v>302</v>
      </c>
      <c r="B52" s="6" t="str">
        <f t="shared" si="4"/>
        <v>A043100081</v>
      </c>
      <c r="C52" s="7" t="s">
        <v>229</v>
      </c>
      <c r="D52" s="7" t="s">
        <v>191</v>
      </c>
      <c r="E52" s="7">
        <v>20724564</v>
      </c>
      <c r="F52" s="7" t="s">
        <v>193</v>
      </c>
      <c r="G52" s="7" t="s">
        <v>59</v>
      </c>
      <c r="H52" s="7" t="s">
        <v>219</v>
      </c>
      <c r="I52" s="8">
        <v>45901</v>
      </c>
      <c r="J52" s="9">
        <v>31.02</v>
      </c>
      <c r="K52" s="7">
        <v>9</v>
      </c>
      <c r="L52" s="10">
        <v>1</v>
      </c>
      <c r="M52" s="9">
        <v>279.18</v>
      </c>
      <c r="O52" s="7" t="s">
        <v>324</v>
      </c>
    </row>
    <row r="53" spans="1:19" s="7" customFormat="1" x14ac:dyDescent="0.25">
      <c r="A53" s="6" t="s">
        <v>303</v>
      </c>
      <c r="B53" s="6" t="str">
        <f t="shared" si="4"/>
        <v>A043110251</v>
      </c>
      <c r="C53" s="7" t="s">
        <v>231</v>
      </c>
      <c r="D53" s="7" t="s">
        <v>191</v>
      </c>
      <c r="E53" s="7">
        <v>20724564</v>
      </c>
      <c r="F53" s="7" t="s">
        <v>193</v>
      </c>
      <c r="G53" s="7" t="s">
        <v>59</v>
      </c>
      <c r="H53" s="7" t="s">
        <v>219</v>
      </c>
      <c r="I53" s="8">
        <v>45870</v>
      </c>
      <c r="J53" s="9">
        <v>31.02</v>
      </c>
      <c r="K53" s="7">
        <v>9</v>
      </c>
      <c r="L53" s="10">
        <v>1</v>
      </c>
      <c r="M53" s="9">
        <v>279.18</v>
      </c>
      <c r="O53" s="7" t="s">
        <v>324</v>
      </c>
    </row>
    <row r="54" spans="1:19" s="7" customFormat="1" x14ac:dyDescent="0.25">
      <c r="A54" s="6" t="s">
        <v>304</v>
      </c>
      <c r="B54" s="6" t="str">
        <f t="shared" si="4"/>
        <v>A043110931</v>
      </c>
      <c r="C54" s="7" t="s">
        <v>233</v>
      </c>
      <c r="D54" s="7" t="s">
        <v>191</v>
      </c>
      <c r="E54" s="7">
        <v>20724564</v>
      </c>
      <c r="F54" s="7" t="s">
        <v>193</v>
      </c>
      <c r="G54" s="7" t="s">
        <v>59</v>
      </c>
      <c r="H54" s="7" t="s">
        <v>219</v>
      </c>
      <c r="I54" s="8">
        <v>45931</v>
      </c>
      <c r="J54" s="9">
        <v>31.02</v>
      </c>
      <c r="K54" s="7">
        <v>9</v>
      </c>
      <c r="L54" s="10">
        <v>1</v>
      </c>
      <c r="M54" s="9">
        <v>279.18</v>
      </c>
      <c r="O54" s="7" t="s">
        <v>324</v>
      </c>
    </row>
    <row r="55" spans="1:19" s="7" customFormat="1" x14ac:dyDescent="0.25">
      <c r="A55" s="6" t="s">
        <v>306</v>
      </c>
      <c r="B55" s="6" t="str">
        <f t="shared" si="4"/>
        <v>A043051201</v>
      </c>
      <c r="C55" s="7" t="s">
        <v>210</v>
      </c>
      <c r="D55" s="7" t="s">
        <v>116</v>
      </c>
      <c r="E55" s="7">
        <v>19278370</v>
      </c>
      <c r="F55" s="7" t="s">
        <v>212</v>
      </c>
      <c r="G55" s="7" t="s">
        <v>59</v>
      </c>
      <c r="H55" s="7" t="s">
        <v>213</v>
      </c>
      <c r="I55" s="8">
        <v>45931</v>
      </c>
      <c r="J55" s="9">
        <v>36.479999999999997</v>
      </c>
      <c r="K55" s="7">
        <v>9</v>
      </c>
      <c r="L55" s="10">
        <v>1</v>
      </c>
      <c r="M55" s="9">
        <v>328.32</v>
      </c>
      <c r="O55" s="7" t="s">
        <v>326</v>
      </c>
    </row>
    <row r="56" spans="1:19" s="7" customFormat="1" x14ac:dyDescent="0.25">
      <c r="A56" s="6">
        <v>950076252</v>
      </c>
      <c r="B56" s="6" t="str">
        <f t="shared" si="4"/>
        <v>9500762521</v>
      </c>
      <c r="C56" s="7" t="s">
        <v>196</v>
      </c>
      <c r="D56" s="7" t="s">
        <v>46</v>
      </c>
      <c r="E56" s="7">
        <v>17425766</v>
      </c>
      <c r="F56" s="7" t="s">
        <v>180</v>
      </c>
      <c r="G56" s="7" t="s">
        <v>59</v>
      </c>
      <c r="H56" s="7" t="s">
        <v>197</v>
      </c>
      <c r="I56" s="8">
        <v>45839</v>
      </c>
      <c r="J56" s="9">
        <v>156.5</v>
      </c>
      <c r="K56" s="7">
        <v>1</v>
      </c>
      <c r="L56" s="10">
        <v>1</v>
      </c>
      <c r="M56" s="9">
        <v>156.5</v>
      </c>
      <c r="N56" s="7" t="s">
        <v>198</v>
      </c>
      <c r="O56" s="7" t="s">
        <v>329</v>
      </c>
      <c r="P56" s="7" t="s">
        <v>332</v>
      </c>
      <c r="S56" s="7">
        <f>313/12*6</f>
        <v>156.5</v>
      </c>
    </row>
    <row r="57" spans="1:19" s="7" customFormat="1" x14ac:dyDescent="0.25">
      <c r="A57" s="6" t="s">
        <v>317</v>
      </c>
      <c r="B57" s="6" t="s">
        <v>317</v>
      </c>
      <c r="C57" s="7" t="s">
        <v>178</v>
      </c>
      <c r="D57" s="7" t="s">
        <v>116</v>
      </c>
      <c r="E57" s="7">
        <v>17425766</v>
      </c>
      <c r="F57" s="7" t="s">
        <v>180</v>
      </c>
      <c r="G57" s="7" t="s">
        <v>245</v>
      </c>
      <c r="H57" s="7" t="s">
        <v>256</v>
      </c>
      <c r="I57" s="8">
        <v>45870</v>
      </c>
      <c r="M57" s="11">
        <v>-147.08000000000001</v>
      </c>
      <c r="O57" s="7" t="s">
        <v>329</v>
      </c>
      <c r="P57" s="7" t="s">
        <v>334</v>
      </c>
    </row>
    <row r="58" spans="1:19" s="7" customFormat="1" x14ac:dyDescent="0.25">
      <c r="A58" s="6" t="s">
        <v>313</v>
      </c>
      <c r="B58" s="6" t="s">
        <v>313</v>
      </c>
      <c r="C58" s="7" t="s">
        <v>196</v>
      </c>
      <c r="D58" s="7" t="s">
        <v>46</v>
      </c>
      <c r="E58" s="7">
        <v>17425766</v>
      </c>
      <c r="F58" s="7" t="s">
        <v>180</v>
      </c>
      <c r="G58" s="7" t="s">
        <v>245</v>
      </c>
      <c r="H58" s="7" t="s">
        <v>197</v>
      </c>
      <c r="I58" s="8">
        <v>45839</v>
      </c>
      <c r="M58" s="11">
        <v>-156.5</v>
      </c>
      <c r="O58" s="7" t="s">
        <v>329</v>
      </c>
      <c r="P58" s="7" t="s">
        <v>332</v>
      </c>
    </row>
    <row r="59" spans="1:19" s="7" customFormat="1" x14ac:dyDescent="0.25">
      <c r="A59" s="6" t="s">
        <v>315</v>
      </c>
      <c r="B59" s="6" t="s">
        <v>315</v>
      </c>
      <c r="C59" s="7" t="s">
        <v>204</v>
      </c>
      <c r="D59" s="7" t="s">
        <v>97</v>
      </c>
      <c r="E59" s="7">
        <v>19681796</v>
      </c>
      <c r="F59" s="7" t="s">
        <v>99</v>
      </c>
      <c r="G59" s="7" t="s">
        <v>245</v>
      </c>
      <c r="H59" s="7" t="s">
        <v>197</v>
      </c>
      <c r="I59" s="8">
        <v>45931</v>
      </c>
      <c r="M59" s="11">
        <v>-78.25</v>
      </c>
      <c r="O59" s="7" t="s">
        <v>329</v>
      </c>
      <c r="P59" s="7" t="s">
        <v>333</v>
      </c>
    </row>
    <row r="60" spans="1:19" s="7" customFormat="1" x14ac:dyDescent="0.25">
      <c r="A60" s="6" t="s">
        <v>311</v>
      </c>
      <c r="B60" s="6" t="s">
        <v>311</v>
      </c>
      <c r="C60" s="7" t="s">
        <v>260</v>
      </c>
      <c r="D60" s="7" t="s">
        <v>261</v>
      </c>
      <c r="E60" s="7">
        <v>17774994</v>
      </c>
      <c r="F60" s="7" t="s">
        <v>263</v>
      </c>
      <c r="G60" s="7" t="s">
        <v>245</v>
      </c>
      <c r="H60" s="7" t="s">
        <v>197</v>
      </c>
      <c r="I60" s="8">
        <v>45658</v>
      </c>
      <c r="M60" s="11">
        <v>-130.41</v>
      </c>
      <c r="O60" s="7" t="s">
        <v>329</v>
      </c>
      <c r="P60" s="7" t="s">
        <v>331</v>
      </c>
    </row>
    <row r="61" spans="1:19" s="7" customFormat="1" x14ac:dyDescent="0.25">
      <c r="A61" s="6" t="s">
        <v>316</v>
      </c>
      <c r="B61" s="6" t="s">
        <v>316</v>
      </c>
      <c r="C61" s="7" t="s">
        <v>156</v>
      </c>
      <c r="D61" s="7" t="s">
        <v>116</v>
      </c>
      <c r="E61" s="7">
        <v>18710070</v>
      </c>
      <c r="F61" s="7" t="s">
        <v>152</v>
      </c>
      <c r="G61" s="7" t="s">
        <v>245</v>
      </c>
      <c r="H61" s="7" t="s">
        <v>256</v>
      </c>
      <c r="I61" s="8">
        <v>45870</v>
      </c>
      <c r="M61" s="11">
        <v>-147.08000000000001</v>
      </c>
      <c r="O61" s="7" t="s">
        <v>329</v>
      </c>
      <c r="P61" s="7" t="s">
        <v>334</v>
      </c>
      <c r="S61" s="7">
        <f>353/12*5</f>
        <v>147.08333333333334</v>
      </c>
    </row>
    <row r="62" spans="1:19" s="7" customFormat="1" x14ac:dyDescent="0.25">
      <c r="A62" s="6" t="s">
        <v>310</v>
      </c>
      <c r="B62" s="6" t="s">
        <v>310</v>
      </c>
      <c r="C62" s="7" t="s">
        <v>159</v>
      </c>
      <c r="D62" s="7" t="s">
        <v>160</v>
      </c>
      <c r="E62" s="7">
        <v>5442438</v>
      </c>
      <c r="F62" s="7" t="s">
        <v>162</v>
      </c>
      <c r="G62" s="7" t="s">
        <v>245</v>
      </c>
      <c r="H62" s="7" t="s">
        <v>197</v>
      </c>
      <c r="I62" s="8">
        <v>45870</v>
      </c>
      <c r="M62" s="11">
        <v>-130.41999999999999</v>
      </c>
      <c r="O62" s="7" t="s">
        <v>329</v>
      </c>
      <c r="P62" s="7" t="s">
        <v>331</v>
      </c>
    </row>
    <row r="63" spans="1:19" s="7" customFormat="1" x14ac:dyDescent="0.25">
      <c r="A63" s="6" t="s">
        <v>312</v>
      </c>
      <c r="B63" s="6" t="s">
        <v>312</v>
      </c>
      <c r="C63" s="7" t="s">
        <v>186</v>
      </c>
      <c r="D63" s="7" t="s">
        <v>56</v>
      </c>
      <c r="E63" s="7">
        <v>19106640</v>
      </c>
      <c r="F63" s="7" t="s">
        <v>188</v>
      </c>
      <c r="G63" s="7" t="s">
        <v>245</v>
      </c>
      <c r="H63" s="7" t="s">
        <v>197</v>
      </c>
      <c r="I63" s="8">
        <v>45839</v>
      </c>
      <c r="M63" s="11">
        <v>-156.5</v>
      </c>
      <c r="O63" s="7" t="s">
        <v>329</v>
      </c>
      <c r="P63" s="7" t="s">
        <v>332</v>
      </c>
    </row>
    <row r="64" spans="1:19" s="7" customFormat="1" x14ac:dyDescent="0.25">
      <c r="A64" s="6" t="s">
        <v>314</v>
      </c>
      <c r="B64" s="6" t="s">
        <v>314</v>
      </c>
      <c r="C64" s="7" t="s">
        <v>200</v>
      </c>
      <c r="D64" s="7" t="s">
        <v>56</v>
      </c>
      <c r="E64" s="7">
        <v>19645587</v>
      </c>
      <c r="F64" s="7" t="s">
        <v>202</v>
      </c>
      <c r="G64" s="7" t="s">
        <v>245</v>
      </c>
      <c r="H64" s="7" t="s">
        <v>197</v>
      </c>
      <c r="I64" s="8">
        <v>45931</v>
      </c>
      <c r="M64" s="11">
        <v>-78.25</v>
      </c>
      <c r="O64" s="7" t="s">
        <v>329</v>
      </c>
      <c r="P64" s="7" t="s">
        <v>333</v>
      </c>
      <c r="R64" s="7">
        <f>313/12*3</f>
        <v>78.25</v>
      </c>
    </row>
    <row r="65" spans="1:15" s="7" customFormat="1" x14ac:dyDescent="0.25">
      <c r="A65" s="6" t="s">
        <v>309</v>
      </c>
      <c r="B65" s="6" t="s">
        <v>309</v>
      </c>
      <c r="C65" s="7" t="s">
        <v>269</v>
      </c>
      <c r="D65" s="7" t="s">
        <v>270</v>
      </c>
      <c r="E65" s="7">
        <v>16212649</v>
      </c>
      <c r="F65" s="7" t="s">
        <v>272</v>
      </c>
      <c r="G65" s="7" t="s">
        <v>245</v>
      </c>
      <c r="H65" s="7" t="s">
        <v>273</v>
      </c>
      <c r="I65" s="8">
        <v>45748</v>
      </c>
      <c r="M65" s="11">
        <v>-200.12</v>
      </c>
      <c r="N65" s="7">
        <f>200.12/40.02</f>
        <v>5.0004997501249369</v>
      </c>
      <c r="O65" s="7" t="s">
        <v>327</v>
      </c>
    </row>
  </sheetData>
  <sortState xmlns:xlrd2="http://schemas.microsoft.com/office/spreadsheetml/2017/richdata2" ref="A2:AM65">
    <sortCondition ref="O2:O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AEA2-F980-43B7-AD01-7E7B09E10CF0}">
  <dimension ref="A1:M1"/>
  <sheetViews>
    <sheetView workbookViewId="0">
      <selection activeCell="A2" sqref="A2:XFD2"/>
    </sheetView>
  </sheetViews>
  <sheetFormatPr defaultRowHeight="15" x14ac:dyDescent="0.25"/>
  <sheetData>
    <row r="1" spans="1:13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25</v>
      </c>
      <c r="J1" t="s">
        <v>26</v>
      </c>
      <c r="K1" t="s">
        <v>27</v>
      </c>
      <c r="L1" t="s">
        <v>28</v>
      </c>
      <c r="M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HFG 2025-08-13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2025-08-14T16:20:49Z</dcterms:created>
  <dcterms:modified xsi:type="dcterms:W3CDTF">2025-08-15T16:35:20Z</dcterms:modified>
</cp:coreProperties>
</file>