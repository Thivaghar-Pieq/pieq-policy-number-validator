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8-06-25\"/>
    </mc:Choice>
  </mc:AlternateContent>
  <xr:revisionPtr revIDLastSave="0" documentId="13_ncr:1_{1481A696-05F6-4512-9A5B-BFD89209E050}" xr6:coauthVersionLast="47" xr6:coauthVersionMax="47" xr10:uidLastSave="{00000000-0000-0000-0000-000000000000}"/>
  <bookViews>
    <workbookView xWindow="28680" yWindow="-120" windowWidth="29040" windowHeight="16440" activeTab="1" xr2:uid="{496A6DF7-368E-43AA-9E79-CD209244A903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42" i="2" l="1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6" i="2"/>
  <c r="B15" i="2"/>
  <c r="B14" i="2"/>
  <c r="B13" i="2"/>
  <c r="B12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<sst xmlns="http://schemas.openxmlformats.org/spreadsheetml/2006/main" count="997" uniqueCount="241">
  <si>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</si>
  <si>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</si>
  <si>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</si>
  <si>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</si>
  <si>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</si>
  <si>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</si>
  <si>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</si>
  <si>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</si>
  <si>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</si>
  <si>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</si>
  <si>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</si>
  <si>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</si>
  <si>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</si>
  <si>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</si>
  <si>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</si>
  <si>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</si>
  <si>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</si>
  <si>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</si>
  <si>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</si>
  <si>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</si>
  <si>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</si>
  <si>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</si>
  <si>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</si>
  <si>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</si>
  <si>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</si>
  <si>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</si>
  <si>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</si>
  <si>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</si>
  <si>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</si>
  <si>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</si>
  <si>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</si>
  <si>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</si>
  <si>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</si>
  <si>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</si>
  <si>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</si>
  <si>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</si>
  <si>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</si>
  <si>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</si>
  <si>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</si>
  <si>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</si>
  <si>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</si>
  <si>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</si>
  <si>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</si>
  <si>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</si>
  <si>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'00012982278K</t>
  </si>
  <si>
    <t>FRANK BILLER</t>
  </si>
  <si>
    <t>IL</t>
  </si>
  <si>
    <t>'045612</t>
  </si>
  <si>
    <t>ANTHONY HUNSBERGER</t>
  </si>
  <si>
    <t>ACTIVE</t>
  </si>
  <si>
    <t>Humana MA 2019+ Level 15- 175/108</t>
  </si>
  <si>
    <t>Monthly</t>
  </si>
  <si>
    <t>AV</t>
  </si>
  <si>
    <t>'00022064220K</t>
  </si>
  <si>
    <t>VICKI COOKE</t>
  </si>
  <si>
    <t>OH</t>
  </si>
  <si>
    <t>'045670</t>
  </si>
  <si>
    <t>STEVEN BRANDT</t>
  </si>
  <si>
    <t>HU MA 2022+ New Structure Repl 2024</t>
  </si>
  <si>
    <t>'00022971348K</t>
  </si>
  <si>
    <t>EDWIN TORRES-ORTIZ</t>
  </si>
  <si>
    <t>NA</t>
  </si>
  <si>
    <t>'045605</t>
  </si>
  <si>
    <t>GARY PORTUGAL</t>
  </si>
  <si>
    <t>Active</t>
  </si>
  <si>
    <t>Humana MA Bonus Upload 08-06-2025.xlsx</t>
  </si>
  <si>
    <t>'00023503807K</t>
  </si>
  <si>
    <t>DAWN HEDERMAN</t>
  </si>
  <si>
    <t>'00023504093K</t>
  </si>
  <si>
    <t>SHIRLEY BROWN</t>
  </si>
  <si>
    <t>'045638</t>
  </si>
  <si>
    <t>RICHARD YALE</t>
  </si>
  <si>
    <t>'00023505772K</t>
  </si>
  <si>
    <t>MARK DENOFRIO</t>
  </si>
  <si>
    <t>'045671</t>
  </si>
  <si>
    <t>ROBERT SHAPIRO</t>
  </si>
  <si>
    <t>'00023506048KPDP</t>
  </si>
  <si>
    <t>LISA SEARS</t>
  </si>
  <si>
    <t>IN</t>
  </si>
  <si>
    <t>'045937</t>
  </si>
  <si>
    <t>MARSHA SANDEROCK</t>
  </si>
  <si>
    <t>Humana PDP 2019+ Level 15- 15/0</t>
  </si>
  <si>
    <t>'00023507629K</t>
  </si>
  <si>
    <t>KENNETH HANLEY</t>
  </si>
  <si>
    <t>'00023507776K</t>
  </si>
  <si>
    <t>DWAYNE DIGBY</t>
  </si>
  <si>
    <t>'043969</t>
  </si>
  <si>
    <t>STACEY PORTUGAL</t>
  </si>
  <si>
    <t>'00023509197K</t>
  </si>
  <si>
    <t>RICHARD GALASINSKI</t>
  </si>
  <si>
    <t>'00023509231KPDP</t>
  </si>
  <si>
    <t>MARC ZITIN</t>
  </si>
  <si>
    <t>PA</t>
  </si>
  <si>
    <t>'045673</t>
  </si>
  <si>
    <t>MARK ROCCIA</t>
  </si>
  <si>
    <t>'00023509347KPDP</t>
  </si>
  <si>
    <t>RHONDA KUDRNA</t>
  </si>
  <si>
    <t>NV</t>
  </si>
  <si>
    <t>'045603</t>
  </si>
  <si>
    <t>ANDREW CHOI</t>
  </si>
  <si>
    <t>'00023509374K</t>
  </si>
  <si>
    <t>LAURA KEZDI-HAMZELOO</t>
  </si>
  <si>
    <t>'043682</t>
  </si>
  <si>
    <t>GREGORY TEIPEL</t>
  </si>
  <si>
    <t>'00023509465K</t>
  </si>
  <si>
    <t>SANDRA KRAMER</t>
  </si>
  <si>
    <t>'00023510694K</t>
  </si>
  <si>
    <t>JORGE CISNEROS</t>
  </si>
  <si>
    <t>TX</t>
  </si>
  <si>
    <t>'043623</t>
  </si>
  <si>
    <t>DOLORES DUNBAR</t>
  </si>
  <si>
    <t>Humana MA 2019+ - Direct</t>
  </si>
  <si>
    <t>'00023510938K</t>
  </si>
  <si>
    <t>TAMARA RICHARDS</t>
  </si>
  <si>
    <t>MT</t>
  </si>
  <si>
    <t>'00023511525KPDP</t>
  </si>
  <si>
    <t>JONATHAN KROEHLER</t>
  </si>
  <si>
    <t>'00023513017K</t>
  </si>
  <si>
    <t>MIHIR PATEL</t>
  </si>
  <si>
    <t>'045611</t>
  </si>
  <si>
    <t>FRANK LISKOVEC</t>
  </si>
  <si>
    <t>'00023513462K</t>
  </si>
  <si>
    <t>MARINELLA PAVLATOS</t>
  </si>
  <si>
    <t>'00023515836K</t>
  </si>
  <si>
    <t>CYNTHIA XEROGIANES</t>
  </si>
  <si>
    <t>'043800</t>
  </si>
  <si>
    <t>BARRY BRENNER</t>
  </si>
  <si>
    <t>'102102295100</t>
  </si>
  <si>
    <t>LOURDES MIKRUT</t>
  </si>
  <si>
    <t>AZ</t>
  </si>
  <si>
    <t>'043705</t>
  </si>
  <si>
    <t>MICHAEL DUNAVANT</t>
  </si>
  <si>
    <t>Aetna MAPD NMO to GMO - 4-1-23+  Replace E-App</t>
  </si>
  <si>
    <t>4/12 PRORATE</t>
  </si>
  <si>
    <t>'102183716700</t>
  </si>
  <si>
    <t>EDWARD JONES</t>
  </si>
  <si>
    <t>'043679</t>
  </si>
  <si>
    <t>DEBORAH INSKIPT</t>
  </si>
  <si>
    <t>5/12 PRORATE</t>
  </si>
  <si>
    <t>'102183764700</t>
  </si>
  <si>
    <t>THOMAS VONBERG</t>
  </si>
  <si>
    <t>'102183996200</t>
  </si>
  <si>
    <t>DEVEN DICKSON</t>
  </si>
  <si>
    <t>'043611</t>
  </si>
  <si>
    <t>TIMOTHY POWERS</t>
  </si>
  <si>
    <t>'102184098400</t>
  </si>
  <si>
    <t>TERRIE PALAZZO</t>
  </si>
  <si>
    <t>WI</t>
  </si>
  <si>
    <t>'043644</t>
  </si>
  <si>
    <t>TIMOTHY HODGMAN</t>
  </si>
  <si>
    <t>'102184099700</t>
  </si>
  <si>
    <t>DOREEN WALKER</t>
  </si>
  <si>
    <t>'043691</t>
  </si>
  <si>
    <t>MICHELLE MCCORKLE</t>
  </si>
  <si>
    <t>'102184194300</t>
  </si>
  <si>
    <t>JOHN HANCHOSKY</t>
  </si>
  <si>
    <t>'043786</t>
  </si>
  <si>
    <t>MARGARET SMITH</t>
  </si>
  <si>
    <t>'102184276900</t>
  </si>
  <si>
    <t>THOMAS DANIELS</t>
  </si>
  <si>
    <t>CO</t>
  </si>
  <si>
    <t>'045621</t>
  </si>
  <si>
    <t>HEATHER GESKE</t>
  </si>
  <si>
    <t>'102184427100</t>
  </si>
  <si>
    <t>DAVID FRY</t>
  </si>
  <si>
    <t>MO</t>
  </si>
  <si>
    <t>'102184438000</t>
  </si>
  <si>
    <t>DONNA REBOLETTI</t>
  </si>
  <si>
    <t>'041686</t>
  </si>
  <si>
    <t>DALE WALENGA</t>
  </si>
  <si>
    <t>'102184490600</t>
  </si>
  <si>
    <t>NOEL SPASO</t>
  </si>
  <si>
    <t>'102184515800</t>
  </si>
  <si>
    <t>RAYMOND SPASO</t>
  </si>
  <si>
    <t>'922137888</t>
  </si>
  <si>
    <t>PETER PATTISON</t>
  </si>
  <si>
    <t>'043713</t>
  </si>
  <si>
    <t>JOEL LEE</t>
  </si>
  <si>
    <t>UHC MAPD Street payable to upline- 2025 Replace</t>
  </si>
  <si>
    <t>'922137888OV</t>
  </si>
  <si>
    <t>UHC MA Direct 2025 New Initial Prorated - PPO</t>
  </si>
  <si>
    <t>CB</t>
  </si>
  <si>
    <t>'00017933721KPC</t>
  </si>
  <si>
    <t>FRANCES BOOZE</t>
  </si>
  <si>
    <t>'043690</t>
  </si>
  <si>
    <t>THOMAS KUCAN</t>
  </si>
  <si>
    <t>CHARGEBACK</t>
  </si>
  <si>
    <t>'00022397306KPC</t>
  </si>
  <si>
    <t>KATHERINE FOLTZ</t>
  </si>
  <si>
    <t>'00022402277KPC</t>
  </si>
  <si>
    <t>JIM FOLTZ</t>
  </si>
  <si>
    <t>Humana MA 2019+ Level 15- 175/108 Repl 2024</t>
  </si>
  <si>
    <t>'101058563500PC</t>
  </si>
  <si>
    <t>JACK MCKAIN</t>
  </si>
  <si>
    <t>Aetna MAPD NMO to GMO - 4-1-23+  New E-App</t>
  </si>
  <si>
    <t>'101117303700CB</t>
  </si>
  <si>
    <t>FRANK MIHELIC</t>
  </si>
  <si>
    <t>'101580286400PC</t>
  </si>
  <si>
    <t>PHYLLIS BENTLEY</t>
  </si>
  <si>
    <t>'102093861300CB</t>
  </si>
  <si>
    <t>TIMMY GARCIA</t>
  </si>
  <si>
    <t>'043740</t>
  </si>
  <si>
    <t>RANDY TAPPER</t>
  </si>
  <si>
    <t>'102177242000CB</t>
  </si>
  <si>
    <t>KEITH SNOOK</t>
  </si>
  <si>
    <t>'043689</t>
  </si>
  <si>
    <t>ANNE MARIE KOZACHECK</t>
  </si>
  <si>
    <t>00012982278K</t>
  </si>
  <si>
    <t>00022064220K</t>
  </si>
  <si>
    <t>00022971348K</t>
  </si>
  <si>
    <t>00023503807K</t>
  </si>
  <si>
    <t>00023504093K</t>
  </si>
  <si>
    <t>00023505772K</t>
  </si>
  <si>
    <t>00023506048KPDP</t>
  </si>
  <si>
    <t>00023507629K</t>
  </si>
  <si>
    <t>00023507776K</t>
  </si>
  <si>
    <t>00023509197K</t>
  </si>
  <si>
    <t>00023509231KPDP</t>
  </si>
  <si>
    <t>00023509347KPDP</t>
  </si>
  <si>
    <t>00023509374K</t>
  </si>
  <si>
    <t>00023509465K</t>
  </si>
  <si>
    <t>00023510694K</t>
  </si>
  <si>
    <t>00023510938K</t>
  </si>
  <si>
    <t>00023511525KPDP</t>
  </si>
  <si>
    <t>00023513017K</t>
  </si>
  <si>
    <t>00023513462K</t>
  </si>
  <si>
    <t>00023515836K</t>
  </si>
  <si>
    <t>00017933721KPC</t>
  </si>
  <si>
    <t>00022397306KPC</t>
  </si>
  <si>
    <t>00022402277KPC</t>
  </si>
  <si>
    <t>101058563500PC</t>
  </si>
  <si>
    <t>101117303700CB</t>
  </si>
  <si>
    <t>101580286400PC</t>
  </si>
  <si>
    <t>102093861300CB</t>
  </si>
  <si>
    <t>102177242000CB</t>
  </si>
  <si>
    <t>Aetna MAPD OVR 2025</t>
  </si>
  <si>
    <t>Humana MAPD OVR 2025</t>
  </si>
  <si>
    <t>Humana PDP 2025!</t>
  </si>
  <si>
    <t>UHC MAPD 2025*</t>
  </si>
  <si>
    <t>[%/$=313][prorate=5/12]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</si>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</sst>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C8D3-88D8-4205-9CF9-EABEBEAFA5F3}">
  <dimension ref="A1:AL43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45875</v>
      </c>
      <c r="B2" s="1">
        <v>45875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45870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5654363</v>
      </c>
    </row>
    <row r="3" spans="1:38" x14ac:dyDescent="0.25">
      <c r="A3" s="1">
        <v>45875</v>
      </c>
      <c r="B3" s="1">
        <v>45875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58</v>
      </c>
      <c r="S3" s="1">
        <v>45870</v>
      </c>
      <c r="U3" t="s">
        <v>51</v>
      </c>
      <c r="X3" t="s">
        <v>52</v>
      </c>
      <c r="Y3" s="2">
        <v>0</v>
      </c>
      <c r="Z3" s="2">
        <v>96</v>
      </c>
      <c r="AA3">
        <v>1</v>
      </c>
      <c r="AB3" s="3">
        <v>1</v>
      </c>
      <c r="AC3" s="2">
        <v>96</v>
      </c>
      <c r="AD3" s="3">
        <v>0</v>
      </c>
      <c r="AE3" s="2">
        <v>0</v>
      </c>
      <c r="AF3" s="2">
        <v>96</v>
      </c>
      <c r="AK3">
        <v>5654346</v>
      </c>
    </row>
    <row r="4" spans="1:38" x14ac:dyDescent="0.25">
      <c r="A4" s="1">
        <v>45875</v>
      </c>
      <c r="B4" s="1">
        <v>45875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61</v>
      </c>
      <c r="O4" t="s">
        <v>62</v>
      </c>
      <c r="P4" t="s">
        <v>63</v>
      </c>
      <c r="Q4" t="s">
        <v>64</v>
      </c>
      <c r="R4" t="s">
        <v>50</v>
      </c>
      <c r="S4" s="1">
        <v>45689</v>
      </c>
      <c r="U4" t="s">
        <v>51</v>
      </c>
      <c r="X4" t="s">
        <v>52</v>
      </c>
      <c r="Y4" s="2">
        <v>0</v>
      </c>
      <c r="Z4" s="2">
        <v>87.5</v>
      </c>
      <c r="AA4">
        <v>1</v>
      </c>
      <c r="AB4" s="3">
        <v>1</v>
      </c>
      <c r="AC4" s="2">
        <v>87.5</v>
      </c>
      <c r="AD4" s="3">
        <v>0</v>
      </c>
      <c r="AE4" s="2">
        <v>0</v>
      </c>
      <c r="AF4" s="2">
        <v>87.5</v>
      </c>
      <c r="AK4">
        <v>0</v>
      </c>
      <c r="AL4" t="s">
        <v>65</v>
      </c>
    </row>
    <row r="5" spans="1:38" x14ac:dyDescent="0.25">
      <c r="A5" s="1">
        <v>45875</v>
      </c>
      <c r="B5" s="1">
        <v>45875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66</v>
      </c>
      <c r="J5" t="s">
        <v>67</v>
      </c>
      <c r="M5" t="s">
        <v>46</v>
      </c>
      <c r="O5" t="s">
        <v>47</v>
      </c>
      <c r="P5" t="s">
        <v>48</v>
      </c>
      <c r="Q5" t="s">
        <v>49</v>
      </c>
      <c r="R5" t="s">
        <v>50</v>
      </c>
      <c r="S5" s="1">
        <v>45870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5654374</v>
      </c>
    </row>
    <row r="6" spans="1:38" x14ac:dyDescent="0.25">
      <c r="A6" s="1">
        <v>45875</v>
      </c>
      <c r="B6" s="1">
        <v>45875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45870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5654375</v>
      </c>
    </row>
    <row r="7" spans="1:38" x14ac:dyDescent="0.25">
      <c r="A7" s="1">
        <v>45875</v>
      </c>
      <c r="B7" s="1">
        <v>45875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74</v>
      </c>
      <c r="P7" t="s">
        <v>75</v>
      </c>
      <c r="Q7" t="s">
        <v>49</v>
      </c>
      <c r="R7" t="s">
        <v>50</v>
      </c>
      <c r="S7" s="1">
        <v>45870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5654403</v>
      </c>
    </row>
    <row r="8" spans="1:38" x14ac:dyDescent="0.25">
      <c r="A8" s="1">
        <v>45875</v>
      </c>
      <c r="B8" s="1">
        <v>45875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77</v>
      </c>
      <c r="M8" t="s">
        <v>78</v>
      </c>
      <c r="O8" t="s">
        <v>79</v>
      </c>
      <c r="P8" t="s">
        <v>80</v>
      </c>
      <c r="Q8" t="s">
        <v>49</v>
      </c>
      <c r="R8" t="s">
        <v>81</v>
      </c>
      <c r="S8" s="1">
        <v>45870</v>
      </c>
      <c r="U8" t="s">
        <v>51</v>
      </c>
      <c r="X8" t="s">
        <v>52</v>
      </c>
      <c r="Y8" s="2">
        <v>0</v>
      </c>
      <c r="Z8" s="2">
        <v>15</v>
      </c>
      <c r="AA8">
        <v>1</v>
      </c>
      <c r="AB8" s="3">
        <v>1</v>
      </c>
      <c r="AC8" s="2">
        <v>15</v>
      </c>
      <c r="AD8" s="3">
        <v>0</v>
      </c>
      <c r="AE8" s="2">
        <v>0</v>
      </c>
      <c r="AF8" s="2">
        <v>15</v>
      </c>
      <c r="AK8">
        <v>5654326</v>
      </c>
    </row>
    <row r="9" spans="1:38" x14ac:dyDescent="0.25">
      <c r="A9" s="1">
        <v>45875</v>
      </c>
      <c r="B9" s="1">
        <v>45875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82</v>
      </c>
      <c r="J9" t="s">
        <v>83</v>
      </c>
      <c r="M9" t="s">
        <v>46</v>
      </c>
      <c r="O9" t="s">
        <v>70</v>
      </c>
      <c r="P9" t="s">
        <v>71</v>
      </c>
      <c r="Q9" t="s">
        <v>49</v>
      </c>
      <c r="R9" t="s">
        <v>50</v>
      </c>
      <c r="S9" s="1">
        <v>45870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5654393</v>
      </c>
    </row>
    <row r="10" spans="1:38" x14ac:dyDescent="0.25">
      <c r="A10" s="1">
        <v>45875</v>
      </c>
      <c r="B10" s="1">
        <v>45875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84</v>
      </c>
      <c r="J10" t="s">
        <v>85</v>
      </c>
      <c r="M10" t="s">
        <v>46</v>
      </c>
      <c r="O10" t="s">
        <v>86</v>
      </c>
      <c r="P10" t="s">
        <v>87</v>
      </c>
      <c r="Q10" t="s">
        <v>49</v>
      </c>
      <c r="R10" t="s">
        <v>50</v>
      </c>
      <c r="S10" s="1">
        <v>45870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5654395</v>
      </c>
    </row>
    <row r="11" spans="1:38" x14ac:dyDescent="0.25">
      <c r="A11" s="1">
        <v>45875</v>
      </c>
      <c r="B11" s="1">
        <v>45875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88</v>
      </c>
      <c r="J11" t="s">
        <v>89</v>
      </c>
      <c r="M11" t="s">
        <v>46</v>
      </c>
      <c r="O11" t="s">
        <v>74</v>
      </c>
      <c r="P11" t="s">
        <v>75</v>
      </c>
      <c r="Q11" t="s">
        <v>49</v>
      </c>
      <c r="R11" t="s">
        <v>50</v>
      </c>
      <c r="S11" s="1">
        <v>45901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5654417</v>
      </c>
    </row>
    <row r="12" spans="1:38" x14ac:dyDescent="0.25">
      <c r="A12" s="1">
        <v>45875</v>
      </c>
      <c r="B12" s="1">
        <v>45875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90</v>
      </c>
      <c r="J12" t="s">
        <v>91</v>
      </c>
      <c r="M12" t="s">
        <v>92</v>
      </c>
      <c r="O12" t="s">
        <v>93</v>
      </c>
      <c r="P12" t="s">
        <v>94</v>
      </c>
      <c r="Q12" t="s">
        <v>49</v>
      </c>
      <c r="R12" t="s">
        <v>81</v>
      </c>
      <c r="S12" s="1">
        <v>45870</v>
      </c>
      <c r="U12" t="s">
        <v>51</v>
      </c>
      <c r="X12" t="s">
        <v>52</v>
      </c>
      <c r="Y12" s="2">
        <v>0</v>
      </c>
      <c r="Z12" s="2">
        <v>15</v>
      </c>
      <c r="AA12">
        <v>1</v>
      </c>
      <c r="AB12" s="3">
        <v>1</v>
      </c>
      <c r="AC12" s="2">
        <v>15</v>
      </c>
      <c r="AD12" s="3">
        <v>0</v>
      </c>
      <c r="AE12" s="2">
        <v>0</v>
      </c>
      <c r="AF12" s="2">
        <v>15</v>
      </c>
      <c r="AK12">
        <v>5654333</v>
      </c>
    </row>
    <row r="13" spans="1:38" x14ac:dyDescent="0.25">
      <c r="A13" s="1">
        <v>45875</v>
      </c>
      <c r="B13" s="1">
        <v>45875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95</v>
      </c>
      <c r="J13" t="s">
        <v>96</v>
      </c>
      <c r="M13" t="s">
        <v>97</v>
      </c>
      <c r="O13" t="s">
        <v>98</v>
      </c>
      <c r="P13" t="s">
        <v>99</v>
      </c>
      <c r="Q13" t="s">
        <v>49</v>
      </c>
      <c r="R13" t="s">
        <v>81</v>
      </c>
      <c r="S13" s="1">
        <v>45870</v>
      </c>
      <c r="U13" t="s">
        <v>51</v>
      </c>
      <c r="X13" t="s">
        <v>52</v>
      </c>
      <c r="Y13" s="2">
        <v>0</v>
      </c>
      <c r="Z13" s="2">
        <v>15</v>
      </c>
      <c r="AA13">
        <v>1</v>
      </c>
      <c r="AB13" s="3">
        <v>1</v>
      </c>
      <c r="AC13" s="2">
        <v>15</v>
      </c>
      <c r="AD13" s="3">
        <v>0</v>
      </c>
      <c r="AE13" s="2">
        <v>0</v>
      </c>
      <c r="AF13" s="2">
        <v>15</v>
      </c>
      <c r="AK13">
        <v>5654328</v>
      </c>
    </row>
    <row r="14" spans="1:38" x14ac:dyDescent="0.25">
      <c r="A14" s="1">
        <v>45875</v>
      </c>
      <c r="B14" s="1">
        <v>45875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100</v>
      </c>
      <c r="J14" t="s">
        <v>101</v>
      </c>
      <c r="M14" t="s">
        <v>46</v>
      </c>
      <c r="O14" t="s">
        <v>102</v>
      </c>
      <c r="P14" t="s">
        <v>103</v>
      </c>
      <c r="Q14" t="s">
        <v>49</v>
      </c>
      <c r="R14" t="s">
        <v>50</v>
      </c>
      <c r="S14" s="1">
        <v>45901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5654404</v>
      </c>
    </row>
    <row r="15" spans="1:38" x14ac:dyDescent="0.25">
      <c r="A15" s="1">
        <v>45875</v>
      </c>
      <c r="B15" s="1">
        <v>45875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104</v>
      </c>
      <c r="J15" t="s">
        <v>105</v>
      </c>
      <c r="M15" t="s">
        <v>97</v>
      </c>
      <c r="O15" t="s">
        <v>98</v>
      </c>
      <c r="P15" t="s">
        <v>99</v>
      </c>
      <c r="Q15" t="s">
        <v>49</v>
      </c>
      <c r="R15" t="s">
        <v>50</v>
      </c>
      <c r="S15" s="1">
        <v>45870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5654405</v>
      </c>
    </row>
    <row r="16" spans="1:38" x14ac:dyDescent="0.25">
      <c r="A16" s="1">
        <v>45875</v>
      </c>
      <c r="B16" s="1">
        <v>45875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106</v>
      </c>
      <c r="J16" t="s">
        <v>107</v>
      </c>
      <c r="M16" t="s">
        <v>108</v>
      </c>
      <c r="O16" t="s">
        <v>109</v>
      </c>
      <c r="P16" t="s">
        <v>110</v>
      </c>
      <c r="Q16" t="s">
        <v>49</v>
      </c>
      <c r="R16" t="s">
        <v>111</v>
      </c>
      <c r="S16" s="1">
        <v>45870</v>
      </c>
      <c r="U16" t="s">
        <v>51</v>
      </c>
      <c r="X16" t="s">
        <v>52</v>
      </c>
      <c r="Y16" s="2">
        <v>0</v>
      </c>
      <c r="Z16" s="2">
        <v>0</v>
      </c>
      <c r="AA16">
        <v>1</v>
      </c>
      <c r="AB16" s="3">
        <v>0</v>
      </c>
      <c r="AC16" s="2">
        <v>0</v>
      </c>
      <c r="AD16" s="3">
        <v>0</v>
      </c>
      <c r="AE16" s="2">
        <v>0</v>
      </c>
      <c r="AF16" s="2">
        <v>0</v>
      </c>
      <c r="AK16">
        <v>5654408</v>
      </c>
    </row>
    <row r="17" spans="1:38" x14ac:dyDescent="0.25">
      <c r="A17" s="1">
        <v>45875</v>
      </c>
      <c r="B17" s="1">
        <v>45875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112</v>
      </c>
      <c r="J17" t="s">
        <v>113</v>
      </c>
      <c r="M17" t="s">
        <v>114</v>
      </c>
      <c r="O17" t="s">
        <v>102</v>
      </c>
      <c r="P17" t="s">
        <v>103</v>
      </c>
      <c r="Q17" t="s">
        <v>49</v>
      </c>
      <c r="R17" t="s">
        <v>50</v>
      </c>
      <c r="S17" s="1">
        <v>45901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5654409</v>
      </c>
    </row>
    <row r="18" spans="1:38" x14ac:dyDescent="0.25">
      <c r="A18" s="1">
        <v>45875</v>
      </c>
      <c r="B18" s="1">
        <v>45875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115</v>
      </c>
      <c r="J18" t="s">
        <v>116</v>
      </c>
      <c r="M18" t="s">
        <v>78</v>
      </c>
      <c r="O18" t="s">
        <v>79</v>
      </c>
      <c r="P18" t="s">
        <v>80</v>
      </c>
      <c r="Q18" t="s">
        <v>49</v>
      </c>
      <c r="R18" t="s">
        <v>81</v>
      </c>
      <c r="S18" s="1">
        <v>45901</v>
      </c>
      <c r="U18" t="s">
        <v>51</v>
      </c>
      <c r="X18" t="s">
        <v>52</v>
      </c>
      <c r="Y18" s="2">
        <v>0</v>
      </c>
      <c r="Z18" s="2">
        <v>15</v>
      </c>
      <c r="AA18">
        <v>1</v>
      </c>
      <c r="AB18" s="3">
        <v>1</v>
      </c>
      <c r="AC18" s="2">
        <v>15</v>
      </c>
      <c r="AD18" s="3">
        <v>0</v>
      </c>
      <c r="AE18" s="2">
        <v>0</v>
      </c>
      <c r="AF18" s="2">
        <v>15</v>
      </c>
      <c r="AK18">
        <v>5654330</v>
      </c>
    </row>
    <row r="19" spans="1:38" x14ac:dyDescent="0.25">
      <c r="A19" s="1">
        <v>45875</v>
      </c>
      <c r="B19" s="1">
        <v>45875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117</v>
      </c>
      <c r="J19" t="s">
        <v>118</v>
      </c>
      <c r="M19" t="s">
        <v>46</v>
      </c>
      <c r="O19" t="s">
        <v>119</v>
      </c>
      <c r="P19" t="s">
        <v>120</v>
      </c>
      <c r="Q19" t="s">
        <v>49</v>
      </c>
      <c r="R19" t="s">
        <v>50</v>
      </c>
      <c r="S19" s="1">
        <v>45870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5654413</v>
      </c>
    </row>
    <row r="20" spans="1:38" x14ac:dyDescent="0.25">
      <c r="A20" s="1">
        <v>45875</v>
      </c>
      <c r="B20" s="1">
        <v>45875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121</v>
      </c>
      <c r="J20" t="s">
        <v>122</v>
      </c>
      <c r="M20" t="s">
        <v>46</v>
      </c>
      <c r="O20" t="s">
        <v>70</v>
      </c>
      <c r="P20" t="s">
        <v>71</v>
      </c>
      <c r="Q20" t="s">
        <v>49</v>
      </c>
      <c r="R20" t="s">
        <v>50</v>
      </c>
      <c r="S20" s="1">
        <v>45870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5654414</v>
      </c>
    </row>
    <row r="21" spans="1:38" x14ac:dyDescent="0.25">
      <c r="A21" s="1">
        <v>45875</v>
      </c>
      <c r="B21" s="1">
        <v>45875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123</v>
      </c>
      <c r="J21" t="s">
        <v>124</v>
      </c>
      <c r="M21" t="s">
        <v>46</v>
      </c>
      <c r="O21" t="s">
        <v>125</v>
      </c>
      <c r="P21" t="s">
        <v>126</v>
      </c>
      <c r="Q21" t="s">
        <v>49</v>
      </c>
      <c r="R21" t="s">
        <v>50</v>
      </c>
      <c r="S21" s="1">
        <v>45870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5654421</v>
      </c>
    </row>
    <row r="22" spans="1:38" x14ac:dyDescent="0.25">
      <c r="A22" s="1">
        <v>45875</v>
      </c>
      <c r="B22" s="1">
        <v>45875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127</v>
      </c>
      <c r="J22" t="s">
        <v>128</v>
      </c>
      <c r="M22" t="s">
        <v>129</v>
      </c>
      <c r="O22" t="s">
        <v>130</v>
      </c>
      <c r="P22" t="s">
        <v>131</v>
      </c>
      <c r="Q22" t="s">
        <v>49</v>
      </c>
      <c r="R22" t="s">
        <v>132</v>
      </c>
      <c r="S22" s="1">
        <v>45901</v>
      </c>
      <c r="U22" t="s">
        <v>51</v>
      </c>
      <c r="X22" t="s">
        <v>52</v>
      </c>
      <c r="Y22" s="2">
        <v>0</v>
      </c>
      <c r="Z22" s="2">
        <v>16.670000000000002</v>
      </c>
      <c r="AA22">
        <v>1</v>
      </c>
      <c r="AB22" s="3">
        <v>1</v>
      </c>
      <c r="AC22" s="2">
        <v>16.670000000000002</v>
      </c>
      <c r="AD22" s="3">
        <v>0</v>
      </c>
      <c r="AE22" s="2">
        <v>0</v>
      </c>
      <c r="AF22" s="2">
        <v>16.670000000000002</v>
      </c>
      <c r="AK22">
        <v>5654618</v>
      </c>
      <c r="AL22" t="s">
        <v>133</v>
      </c>
    </row>
    <row r="23" spans="1:38" x14ac:dyDescent="0.25">
      <c r="A23" s="1">
        <v>45875</v>
      </c>
      <c r="B23" s="1">
        <v>45875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134</v>
      </c>
      <c r="J23" t="s">
        <v>135</v>
      </c>
      <c r="M23" t="s">
        <v>92</v>
      </c>
      <c r="O23" t="s">
        <v>136</v>
      </c>
      <c r="P23" t="s">
        <v>137</v>
      </c>
      <c r="Q23" t="s">
        <v>49</v>
      </c>
      <c r="R23" t="s">
        <v>132</v>
      </c>
      <c r="S23" s="1">
        <v>45870</v>
      </c>
      <c r="U23" t="s">
        <v>51</v>
      </c>
      <c r="X23" t="s">
        <v>52</v>
      </c>
      <c r="Y23" s="2">
        <v>0</v>
      </c>
      <c r="Z23" s="2">
        <v>20.83</v>
      </c>
      <c r="AA23">
        <v>1</v>
      </c>
      <c r="AB23" s="3">
        <v>1</v>
      </c>
      <c r="AC23" s="2">
        <v>20.83</v>
      </c>
      <c r="AD23" s="3">
        <v>0</v>
      </c>
      <c r="AE23" s="2">
        <v>0</v>
      </c>
      <c r="AF23" s="2">
        <v>20.83</v>
      </c>
      <c r="AK23">
        <v>5654630</v>
      </c>
      <c r="AL23" t="s">
        <v>138</v>
      </c>
    </row>
    <row r="24" spans="1:38" x14ac:dyDescent="0.25">
      <c r="A24" s="1">
        <v>45875</v>
      </c>
      <c r="B24" s="1">
        <v>45875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139</v>
      </c>
      <c r="J24" t="s">
        <v>140</v>
      </c>
      <c r="M24" t="s">
        <v>108</v>
      </c>
      <c r="O24" t="s">
        <v>62</v>
      </c>
      <c r="P24" t="s">
        <v>63</v>
      </c>
      <c r="Q24" t="s">
        <v>49</v>
      </c>
      <c r="R24" t="s">
        <v>132</v>
      </c>
      <c r="S24" s="1">
        <v>45870</v>
      </c>
      <c r="U24" t="s">
        <v>51</v>
      </c>
      <c r="X24" t="s">
        <v>52</v>
      </c>
      <c r="Y24" s="2">
        <v>0</v>
      </c>
      <c r="Z24" s="2">
        <v>20.83</v>
      </c>
      <c r="AA24">
        <v>1</v>
      </c>
      <c r="AB24" s="3">
        <v>1</v>
      </c>
      <c r="AC24" s="2">
        <v>20.83</v>
      </c>
      <c r="AD24" s="3">
        <v>0</v>
      </c>
      <c r="AE24" s="2">
        <v>0</v>
      </c>
      <c r="AF24" s="2">
        <v>20.83</v>
      </c>
      <c r="AK24">
        <v>5654633</v>
      </c>
      <c r="AL24" t="s">
        <v>138</v>
      </c>
    </row>
    <row r="25" spans="1:38" x14ac:dyDescent="0.25">
      <c r="A25" s="1">
        <v>45875</v>
      </c>
      <c r="B25" s="1">
        <v>45875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141</v>
      </c>
      <c r="J25" t="s">
        <v>142</v>
      </c>
      <c r="M25" t="s">
        <v>92</v>
      </c>
      <c r="O25" t="s">
        <v>143</v>
      </c>
      <c r="P25" t="s">
        <v>144</v>
      </c>
      <c r="Q25" t="s">
        <v>49</v>
      </c>
      <c r="R25" t="s">
        <v>132</v>
      </c>
      <c r="S25" s="1">
        <v>45870</v>
      </c>
      <c r="U25" t="s">
        <v>51</v>
      </c>
      <c r="X25" t="s">
        <v>52</v>
      </c>
      <c r="Y25" s="2">
        <v>0</v>
      </c>
      <c r="Z25" s="2">
        <v>20.83</v>
      </c>
      <c r="AA25">
        <v>1</v>
      </c>
      <c r="AB25" s="3">
        <v>1</v>
      </c>
      <c r="AC25" s="2">
        <v>20.83</v>
      </c>
      <c r="AD25" s="3">
        <v>0</v>
      </c>
      <c r="AE25" s="2">
        <v>0</v>
      </c>
      <c r="AF25" s="2">
        <v>20.83</v>
      </c>
      <c r="AK25">
        <v>5654642</v>
      </c>
      <c r="AL25" t="s">
        <v>138</v>
      </c>
    </row>
    <row r="26" spans="1:38" x14ac:dyDescent="0.25">
      <c r="A26" s="1">
        <v>45875</v>
      </c>
      <c r="B26" s="1">
        <v>45875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145</v>
      </c>
      <c r="J26" t="s">
        <v>146</v>
      </c>
      <c r="M26" t="s">
        <v>147</v>
      </c>
      <c r="O26" t="s">
        <v>148</v>
      </c>
      <c r="P26" t="s">
        <v>149</v>
      </c>
      <c r="Q26" t="s">
        <v>49</v>
      </c>
      <c r="R26" t="s">
        <v>132</v>
      </c>
      <c r="S26" s="1">
        <v>45870</v>
      </c>
      <c r="U26" t="s">
        <v>51</v>
      </c>
      <c r="X26" t="s">
        <v>52</v>
      </c>
      <c r="Y26" s="2">
        <v>0</v>
      </c>
      <c r="Z26" s="2">
        <v>20.83</v>
      </c>
      <c r="AA26">
        <v>1</v>
      </c>
      <c r="AB26" s="3">
        <v>1</v>
      </c>
      <c r="AC26" s="2">
        <v>20.83</v>
      </c>
      <c r="AD26" s="3">
        <v>0</v>
      </c>
      <c r="AE26" s="2">
        <v>0</v>
      </c>
      <c r="AF26" s="2">
        <v>20.83</v>
      </c>
      <c r="AK26">
        <v>5654644</v>
      </c>
      <c r="AL26" t="s">
        <v>138</v>
      </c>
    </row>
    <row r="27" spans="1:38" x14ac:dyDescent="0.25">
      <c r="A27" s="1">
        <v>45875</v>
      </c>
      <c r="B27" s="1">
        <v>45875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150</v>
      </c>
      <c r="J27" t="s">
        <v>151</v>
      </c>
      <c r="M27" t="s">
        <v>92</v>
      </c>
      <c r="O27" t="s">
        <v>152</v>
      </c>
      <c r="P27" t="s">
        <v>153</v>
      </c>
      <c r="Q27" t="s">
        <v>49</v>
      </c>
      <c r="R27" t="s">
        <v>132</v>
      </c>
      <c r="S27" s="1">
        <v>45870</v>
      </c>
      <c r="U27" t="s">
        <v>51</v>
      </c>
      <c r="X27" t="s">
        <v>52</v>
      </c>
      <c r="Y27" s="2">
        <v>0</v>
      </c>
      <c r="Z27" s="2">
        <v>20.83</v>
      </c>
      <c r="AA27">
        <v>1</v>
      </c>
      <c r="AB27" s="3">
        <v>1</v>
      </c>
      <c r="AC27" s="2">
        <v>20.83</v>
      </c>
      <c r="AD27" s="3">
        <v>0</v>
      </c>
      <c r="AE27" s="2">
        <v>0</v>
      </c>
      <c r="AF27" s="2">
        <v>20.83</v>
      </c>
      <c r="AK27">
        <v>5654645</v>
      </c>
      <c r="AL27" t="s">
        <v>138</v>
      </c>
    </row>
    <row r="28" spans="1:38" x14ac:dyDescent="0.25">
      <c r="A28" s="1">
        <v>45875</v>
      </c>
      <c r="B28" s="1">
        <v>45875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154</v>
      </c>
      <c r="J28" t="s">
        <v>155</v>
      </c>
      <c r="M28" t="s">
        <v>92</v>
      </c>
      <c r="O28" t="s">
        <v>156</v>
      </c>
      <c r="P28" t="s">
        <v>157</v>
      </c>
      <c r="Q28" t="s">
        <v>49</v>
      </c>
      <c r="R28" t="s">
        <v>132</v>
      </c>
      <c r="S28" s="1">
        <v>45870</v>
      </c>
      <c r="U28" t="s">
        <v>51</v>
      </c>
      <c r="X28" t="s">
        <v>52</v>
      </c>
      <c r="Y28" s="2">
        <v>0</v>
      </c>
      <c r="Z28" s="2">
        <v>20.83</v>
      </c>
      <c r="AA28">
        <v>1</v>
      </c>
      <c r="AB28" s="3">
        <v>1</v>
      </c>
      <c r="AC28" s="2">
        <v>20.83</v>
      </c>
      <c r="AD28" s="3">
        <v>0</v>
      </c>
      <c r="AE28" s="2">
        <v>0</v>
      </c>
      <c r="AF28" s="2">
        <v>20.83</v>
      </c>
      <c r="AK28">
        <v>5654650</v>
      </c>
      <c r="AL28" t="s">
        <v>138</v>
      </c>
    </row>
    <row r="29" spans="1:38" x14ac:dyDescent="0.25">
      <c r="A29" s="1">
        <v>45875</v>
      </c>
      <c r="B29" s="1">
        <v>45875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158</v>
      </c>
      <c r="J29" t="s">
        <v>159</v>
      </c>
      <c r="M29" t="s">
        <v>160</v>
      </c>
      <c r="O29" t="s">
        <v>161</v>
      </c>
      <c r="P29" t="s">
        <v>162</v>
      </c>
      <c r="Q29" t="s">
        <v>49</v>
      </c>
      <c r="R29" t="s">
        <v>132</v>
      </c>
      <c r="S29" s="1">
        <v>45870</v>
      </c>
      <c r="U29" t="s">
        <v>51</v>
      </c>
      <c r="X29" t="s">
        <v>52</v>
      </c>
      <c r="Y29" s="2">
        <v>0</v>
      </c>
      <c r="Z29" s="2">
        <v>20.83</v>
      </c>
      <c r="AA29">
        <v>1</v>
      </c>
      <c r="AB29" s="3">
        <v>1</v>
      </c>
      <c r="AC29" s="2">
        <v>20.83</v>
      </c>
      <c r="AD29" s="3">
        <v>0</v>
      </c>
      <c r="AE29" s="2">
        <v>0</v>
      </c>
      <c r="AF29" s="2">
        <v>20.83</v>
      </c>
      <c r="AK29">
        <v>5654656</v>
      </c>
      <c r="AL29" t="s">
        <v>138</v>
      </c>
    </row>
    <row r="30" spans="1:38" x14ac:dyDescent="0.25">
      <c r="A30" s="1">
        <v>45875</v>
      </c>
      <c r="B30" s="1">
        <v>45875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163</v>
      </c>
      <c r="J30" t="s">
        <v>164</v>
      </c>
      <c r="M30" t="s">
        <v>165</v>
      </c>
      <c r="O30" t="s">
        <v>102</v>
      </c>
      <c r="P30" t="s">
        <v>103</v>
      </c>
      <c r="Q30" t="s">
        <v>49</v>
      </c>
      <c r="R30" t="s">
        <v>132</v>
      </c>
      <c r="S30" s="1">
        <v>45870</v>
      </c>
      <c r="U30" t="s">
        <v>51</v>
      </c>
      <c r="X30" t="s">
        <v>52</v>
      </c>
      <c r="Y30" s="2">
        <v>0</v>
      </c>
      <c r="Z30" s="2">
        <v>20.83</v>
      </c>
      <c r="AA30">
        <v>1</v>
      </c>
      <c r="AB30" s="3">
        <v>1</v>
      </c>
      <c r="AC30" s="2">
        <v>20.83</v>
      </c>
      <c r="AD30" s="3">
        <v>0</v>
      </c>
      <c r="AE30" s="2">
        <v>0</v>
      </c>
      <c r="AF30" s="2">
        <v>20.83</v>
      </c>
      <c r="AK30">
        <v>5654661</v>
      </c>
      <c r="AL30" t="s">
        <v>138</v>
      </c>
    </row>
    <row r="31" spans="1:38" x14ac:dyDescent="0.25">
      <c r="A31" s="1">
        <v>45875</v>
      </c>
      <c r="B31" s="1">
        <v>45875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166</v>
      </c>
      <c r="J31" t="s">
        <v>167</v>
      </c>
      <c r="M31" t="s">
        <v>46</v>
      </c>
      <c r="O31" t="s">
        <v>168</v>
      </c>
      <c r="P31" t="s">
        <v>169</v>
      </c>
      <c r="Q31" t="s">
        <v>49</v>
      </c>
      <c r="R31" t="s">
        <v>132</v>
      </c>
      <c r="S31" s="1">
        <v>45901</v>
      </c>
      <c r="U31" t="s">
        <v>51</v>
      </c>
      <c r="X31" t="s">
        <v>52</v>
      </c>
      <c r="Y31" s="2">
        <v>0</v>
      </c>
      <c r="Z31" s="2">
        <v>16.670000000000002</v>
      </c>
      <c r="AA31">
        <v>1</v>
      </c>
      <c r="AB31" s="3">
        <v>1</v>
      </c>
      <c r="AC31" s="2">
        <v>16.670000000000002</v>
      </c>
      <c r="AD31" s="3">
        <v>0</v>
      </c>
      <c r="AE31" s="2">
        <v>0</v>
      </c>
      <c r="AF31" s="2">
        <v>16.670000000000002</v>
      </c>
      <c r="AK31">
        <v>5654662</v>
      </c>
      <c r="AL31" t="s">
        <v>133</v>
      </c>
    </row>
    <row r="32" spans="1:38" x14ac:dyDescent="0.25">
      <c r="A32" s="1">
        <v>45875</v>
      </c>
      <c r="B32" s="1">
        <v>45875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170</v>
      </c>
      <c r="J32" t="s">
        <v>171</v>
      </c>
      <c r="M32" t="s">
        <v>46</v>
      </c>
      <c r="O32" t="s">
        <v>98</v>
      </c>
      <c r="P32" t="s">
        <v>99</v>
      </c>
      <c r="Q32" t="s">
        <v>49</v>
      </c>
      <c r="R32" t="s">
        <v>132</v>
      </c>
      <c r="S32" s="1">
        <v>45870</v>
      </c>
      <c r="U32" t="s">
        <v>51</v>
      </c>
      <c r="X32" t="s">
        <v>52</v>
      </c>
      <c r="Y32" s="2">
        <v>0</v>
      </c>
      <c r="Z32" s="2">
        <v>20.83</v>
      </c>
      <c r="AA32">
        <v>1</v>
      </c>
      <c r="AB32" s="3">
        <v>1</v>
      </c>
      <c r="AC32" s="2">
        <v>20.83</v>
      </c>
      <c r="AD32" s="3">
        <v>0</v>
      </c>
      <c r="AE32" s="2">
        <v>0</v>
      </c>
      <c r="AF32" s="2">
        <v>20.83</v>
      </c>
      <c r="AK32">
        <v>5654666</v>
      </c>
      <c r="AL32" t="s">
        <v>138</v>
      </c>
    </row>
    <row r="33" spans="1:38" x14ac:dyDescent="0.25">
      <c r="A33" s="1">
        <v>45875</v>
      </c>
      <c r="B33" s="1">
        <v>45875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172</v>
      </c>
      <c r="J33" t="s">
        <v>173</v>
      </c>
      <c r="M33" t="s">
        <v>46</v>
      </c>
      <c r="O33" t="s">
        <v>98</v>
      </c>
      <c r="P33" t="s">
        <v>99</v>
      </c>
      <c r="Q33" t="s">
        <v>49</v>
      </c>
      <c r="R33" t="s">
        <v>132</v>
      </c>
      <c r="S33" s="1">
        <v>45870</v>
      </c>
      <c r="U33" t="s">
        <v>51</v>
      </c>
      <c r="X33" t="s">
        <v>52</v>
      </c>
      <c r="Y33" s="2">
        <v>0</v>
      </c>
      <c r="Z33" s="2">
        <v>20.83</v>
      </c>
      <c r="AA33">
        <v>1</v>
      </c>
      <c r="AB33" s="3">
        <v>1</v>
      </c>
      <c r="AC33" s="2">
        <v>20.83</v>
      </c>
      <c r="AD33" s="3">
        <v>0</v>
      </c>
      <c r="AE33" s="2">
        <v>0</v>
      </c>
      <c r="AF33" s="2">
        <v>20.83</v>
      </c>
      <c r="AK33">
        <v>5654669</v>
      </c>
      <c r="AL33" t="s">
        <v>138</v>
      </c>
    </row>
    <row r="34" spans="1:38" x14ac:dyDescent="0.25">
      <c r="A34" s="1">
        <v>45875</v>
      </c>
      <c r="B34" s="1">
        <v>45875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174</v>
      </c>
      <c r="J34" t="s">
        <v>175</v>
      </c>
      <c r="M34" t="s">
        <v>160</v>
      </c>
      <c r="O34" t="s">
        <v>176</v>
      </c>
      <c r="P34" t="s">
        <v>177</v>
      </c>
      <c r="Q34" t="s">
        <v>49</v>
      </c>
      <c r="R34" t="s">
        <v>178</v>
      </c>
      <c r="S34" s="1">
        <v>45870</v>
      </c>
      <c r="U34" t="s">
        <v>51</v>
      </c>
      <c r="X34" t="s">
        <v>52</v>
      </c>
      <c r="Y34" s="2">
        <v>0</v>
      </c>
      <c r="Z34" s="2">
        <v>130.41999999999999</v>
      </c>
      <c r="AA34">
        <v>1</v>
      </c>
      <c r="AB34" s="3">
        <v>1</v>
      </c>
      <c r="AC34" s="2">
        <v>130.41999999999999</v>
      </c>
      <c r="AD34" s="3">
        <v>0</v>
      </c>
      <c r="AE34" s="2">
        <v>0</v>
      </c>
      <c r="AF34" s="2">
        <v>130.41999999999999</v>
      </c>
      <c r="AK34">
        <v>5654509</v>
      </c>
      <c r="AL34" t="s">
        <v>138</v>
      </c>
    </row>
    <row r="35" spans="1:38" x14ac:dyDescent="0.25">
      <c r="A35" s="1">
        <v>45875</v>
      </c>
      <c r="B35" s="1">
        <v>45875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179</v>
      </c>
      <c r="J35" t="s">
        <v>175</v>
      </c>
      <c r="M35" t="s">
        <v>160</v>
      </c>
      <c r="O35" t="s">
        <v>176</v>
      </c>
      <c r="P35" t="s">
        <v>177</v>
      </c>
      <c r="Q35" t="s">
        <v>49</v>
      </c>
      <c r="R35" t="s">
        <v>180</v>
      </c>
      <c r="S35" s="1">
        <v>45870</v>
      </c>
      <c r="U35" t="s">
        <v>51</v>
      </c>
      <c r="X35" t="s">
        <v>52</v>
      </c>
      <c r="Y35" s="2">
        <v>0</v>
      </c>
      <c r="Z35" s="2">
        <v>0</v>
      </c>
      <c r="AA35">
        <v>1</v>
      </c>
      <c r="AB35" s="3">
        <v>0</v>
      </c>
      <c r="AC35" s="2">
        <v>0</v>
      </c>
      <c r="AD35" s="3">
        <v>0</v>
      </c>
      <c r="AE35" s="2">
        <v>0</v>
      </c>
      <c r="AF35" s="2">
        <v>0</v>
      </c>
      <c r="AK35">
        <v>5654510</v>
      </c>
      <c r="AL35" t="s">
        <v>138</v>
      </c>
    </row>
    <row r="36" spans="1:38" x14ac:dyDescent="0.25">
      <c r="A36" s="1">
        <v>45875</v>
      </c>
      <c r="B36" s="1">
        <v>45875</v>
      </c>
      <c r="C36" t="s">
        <v>181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182</v>
      </c>
      <c r="J36" t="s">
        <v>183</v>
      </c>
      <c r="M36" t="s">
        <v>61</v>
      </c>
      <c r="O36" t="s">
        <v>184</v>
      </c>
      <c r="P36" t="s">
        <v>185</v>
      </c>
      <c r="Q36" t="s">
        <v>186</v>
      </c>
      <c r="R36" t="s">
        <v>50</v>
      </c>
      <c r="S36" s="1">
        <v>45778</v>
      </c>
      <c r="U36" t="s">
        <v>51</v>
      </c>
      <c r="X36" t="s">
        <v>52</v>
      </c>
      <c r="AF36" s="2">
        <v>175</v>
      </c>
      <c r="AG36" s="2">
        <v>0</v>
      </c>
      <c r="AJ36" s="2">
        <v>131.25</v>
      </c>
    </row>
    <row r="37" spans="1:38" x14ac:dyDescent="0.25">
      <c r="A37" s="1">
        <v>45875</v>
      </c>
      <c r="B37" s="1">
        <v>45875</v>
      </c>
      <c r="C37" t="s">
        <v>181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187</v>
      </c>
      <c r="J37" t="s">
        <v>188</v>
      </c>
      <c r="M37" t="s">
        <v>108</v>
      </c>
      <c r="O37" t="s">
        <v>102</v>
      </c>
      <c r="P37" t="s">
        <v>103</v>
      </c>
      <c r="Q37" t="s">
        <v>186</v>
      </c>
      <c r="R37" t="s">
        <v>50</v>
      </c>
      <c r="S37" s="1">
        <v>45809</v>
      </c>
      <c r="U37" t="s">
        <v>51</v>
      </c>
      <c r="X37" t="s">
        <v>52</v>
      </c>
      <c r="AF37" s="2">
        <v>175</v>
      </c>
      <c r="AG37" s="2">
        <v>0</v>
      </c>
      <c r="AJ37" s="2">
        <v>73.5</v>
      </c>
    </row>
    <row r="38" spans="1:38" x14ac:dyDescent="0.25">
      <c r="A38" s="1">
        <v>45875</v>
      </c>
      <c r="B38" s="1">
        <v>45875</v>
      </c>
      <c r="C38" t="s">
        <v>181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189</v>
      </c>
      <c r="J38" t="s">
        <v>190</v>
      </c>
      <c r="M38" t="s">
        <v>108</v>
      </c>
      <c r="O38" t="s">
        <v>102</v>
      </c>
      <c r="P38" t="s">
        <v>103</v>
      </c>
      <c r="Q38" t="s">
        <v>186</v>
      </c>
      <c r="R38" t="s">
        <v>191</v>
      </c>
      <c r="S38" s="1">
        <v>45809</v>
      </c>
      <c r="U38" t="s">
        <v>51</v>
      </c>
      <c r="X38" t="s">
        <v>52</v>
      </c>
      <c r="AF38" s="2">
        <v>108</v>
      </c>
      <c r="AG38" s="2">
        <v>0</v>
      </c>
      <c r="AJ38" s="2">
        <v>89.64</v>
      </c>
    </row>
    <row r="39" spans="1:38" x14ac:dyDescent="0.25">
      <c r="A39" s="1">
        <v>45875</v>
      </c>
      <c r="B39" s="1">
        <v>45875</v>
      </c>
      <c r="C39" t="s">
        <v>181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192</v>
      </c>
      <c r="J39" t="s">
        <v>193</v>
      </c>
      <c r="M39" t="s">
        <v>92</v>
      </c>
      <c r="O39" t="s">
        <v>143</v>
      </c>
      <c r="P39" t="s">
        <v>144</v>
      </c>
      <c r="Q39" t="s">
        <v>186</v>
      </c>
      <c r="R39" t="s">
        <v>194</v>
      </c>
      <c r="S39" s="1">
        <v>45658</v>
      </c>
      <c r="U39" t="s">
        <v>51</v>
      </c>
      <c r="X39" t="s">
        <v>52</v>
      </c>
      <c r="AF39" s="2">
        <v>50</v>
      </c>
      <c r="AG39" s="2">
        <v>0</v>
      </c>
      <c r="AJ39" s="2">
        <v>25</v>
      </c>
    </row>
    <row r="40" spans="1:38" x14ac:dyDescent="0.25">
      <c r="A40" s="1">
        <v>45875</v>
      </c>
      <c r="B40" s="1">
        <v>45875</v>
      </c>
      <c r="C40" t="s">
        <v>181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195</v>
      </c>
      <c r="J40" t="s">
        <v>196</v>
      </c>
      <c r="M40" t="s">
        <v>92</v>
      </c>
      <c r="O40" t="s">
        <v>136</v>
      </c>
      <c r="P40" t="s">
        <v>137</v>
      </c>
      <c r="Q40" t="s">
        <v>186</v>
      </c>
      <c r="R40" t="s">
        <v>132</v>
      </c>
      <c r="S40" s="1">
        <v>45839</v>
      </c>
      <c r="U40" t="s">
        <v>51</v>
      </c>
      <c r="X40" t="s">
        <v>52</v>
      </c>
      <c r="AF40" s="2">
        <v>25</v>
      </c>
      <c r="AG40" s="2">
        <v>0</v>
      </c>
      <c r="AJ40" s="2">
        <v>25</v>
      </c>
    </row>
    <row r="41" spans="1:38" x14ac:dyDescent="0.25">
      <c r="A41" s="1">
        <v>45875</v>
      </c>
      <c r="B41" s="1">
        <v>45875</v>
      </c>
      <c r="C41" t="s">
        <v>181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197</v>
      </c>
      <c r="J41" t="s">
        <v>198</v>
      </c>
      <c r="M41" t="s">
        <v>92</v>
      </c>
      <c r="O41" t="s">
        <v>143</v>
      </c>
      <c r="P41" t="s">
        <v>144</v>
      </c>
      <c r="Q41" t="s">
        <v>186</v>
      </c>
      <c r="R41" t="s">
        <v>194</v>
      </c>
      <c r="S41" s="1">
        <v>45658</v>
      </c>
      <c r="U41" t="s">
        <v>51</v>
      </c>
      <c r="X41" t="s">
        <v>52</v>
      </c>
      <c r="AF41" s="2">
        <v>50</v>
      </c>
      <c r="AG41" s="2">
        <v>0</v>
      </c>
      <c r="AJ41" s="2">
        <v>20.83</v>
      </c>
    </row>
    <row r="42" spans="1:38" x14ac:dyDescent="0.25">
      <c r="A42" s="1">
        <v>45875</v>
      </c>
      <c r="B42" s="1">
        <v>45875</v>
      </c>
      <c r="C42" t="s">
        <v>181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199</v>
      </c>
      <c r="J42" t="s">
        <v>200</v>
      </c>
      <c r="M42" t="s">
        <v>108</v>
      </c>
      <c r="O42" t="s">
        <v>201</v>
      </c>
      <c r="P42" t="s">
        <v>202</v>
      </c>
      <c r="Q42" t="s">
        <v>186</v>
      </c>
      <c r="R42" t="s">
        <v>132</v>
      </c>
      <c r="S42" s="1">
        <v>45778</v>
      </c>
      <c r="U42" t="s">
        <v>51</v>
      </c>
      <c r="X42" t="s">
        <v>52</v>
      </c>
      <c r="AF42" s="2">
        <v>33.33</v>
      </c>
      <c r="AG42" s="2">
        <v>0</v>
      </c>
      <c r="AJ42" s="2">
        <v>33.33</v>
      </c>
    </row>
    <row r="43" spans="1:38" x14ac:dyDescent="0.25">
      <c r="A43" s="1">
        <v>45875</v>
      </c>
      <c r="B43" s="1">
        <v>45875</v>
      </c>
      <c r="C43" t="s">
        <v>181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203</v>
      </c>
      <c r="J43" t="s">
        <v>204</v>
      </c>
      <c r="M43" t="s">
        <v>92</v>
      </c>
      <c r="O43" t="s">
        <v>205</v>
      </c>
      <c r="P43" t="s">
        <v>206</v>
      </c>
      <c r="Q43" t="s">
        <v>186</v>
      </c>
      <c r="R43" t="s">
        <v>194</v>
      </c>
      <c r="S43" s="1">
        <v>45839</v>
      </c>
      <c r="U43" t="s">
        <v>51</v>
      </c>
      <c r="X43" t="s">
        <v>52</v>
      </c>
      <c r="AF43" s="2">
        <v>50</v>
      </c>
      <c r="AG43" s="2">
        <v>0</v>
      </c>
      <c r="AJ43" s="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3B8D-6896-4339-A960-55495778E234}">
  <dimension ref="A1:P42"/>
  <sheetViews>
    <sheetView tabSelected="1" topLeftCell="B3" workbookViewId="0">
      <selection activeCell="P2" sqref="P2:P42"/>
    </sheetView>
  </sheetViews>
  <sheetFormatPr defaultRowHeight="15" x14ac:dyDescent="0.25"/>
  <cols>
    <col min="1" max="1" width="16.85546875" style="5" bestFit="1" customWidth="1"/>
    <col min="2" max="2" width="16.85546875" style="5" customWidth="1"/>
    <col min="3" max="3" width="23.42578125" bestFit="1" customWidth="1"/>
    <col min="6" max="6" width="23.7109375" bestFit="1" customWidth="1"/>
    <col min="8" max="8" width="47.140625" bestFit="1" customWidth="1"/>
    <col min="14" max="14" width="39.140625" bestFit="1" customWidth="1"/>
    <col min="15" max="15" width="23.28515625" bestFit="1" customWidth="1"/>
  </cols>
  <sheetData>
    <row r="1" spans="1:15" x14ac:dyDescent="0.25">
      <c r="A1" s="5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25</v>
      </c>
      <c r="K1" t="s">
        <v>26</v>
      </c>
      <c r="L1" t="s">
        <v>27</v>
      </c>
      <c r="M1" t="s">
        <v>28</v>
      </c>
      <c r="N1" t="s">
        <v>37</v>
      </c>
    </row>
    <row r="2" spans="1:15" x14ac:dyDescent="0.25">
      <c r="A2" s="5" t="s">
        <v>230</v>
      </c>
      <c r="B2" s="5" t="s">
        <v>230</v>
      </c>
      <c r="C2" t="s">
        <v>193</v>
      </c>
      <c r="D2" t="s">
        <v>92</v>
      </c>
      <c r="E2">
        <v>20411454</v>
      </c>
      <c r="F2" t="s">
        <v>240</v>
      </c>
      <c r="G2" t="s">
        <v>186</v>
      </c>
      <c r="H2" t="s">
        <v>194</v>
      </c>
      <c r="I2" s="1">
        <v>45658</v>
      </c>
      <c r="M2" s="4">
        <v>-25</v>
      </c>
      <c r="O2" t="s">
        <v>235</v>
      </c>
    </row>
    <row r="3" spans="1:15" x14ac:dyDescent="0.25">
      <c r="A3" s="5" t="s">
        <v>232</v>
      </c>
      <c r="B3" s="5" t="s">
        <v>232</v>
      </c>
      <c r="C3" t="s">
        <v>198</v>
      </c>
      <c r="D3" t="s">
        <v>92</v>
      </c>
      <c r="E3">
        <v>20411454</v>
      </c>
      <c r="F3" t="s">
        <v>240</v>
      </c>
      <c r="G3" t="s">
        <v>186</v>
      </c>
      <c r="H3" t="s">
        <v>194</v>
      </c>
      <c r="I3" s="1">
        <v>45658</v>
      </c>
      <c r="M3" s="4">
        <v>-20.83</v>
      </c>
      <c r="O3" t="s">
        <v>235</v>
      </c>
    </row>
    <row r="4" spans="1:15" x14ac:dyDescent="0.25">
      <c r="A4" s="5" t="s">
        <v>234</v>
      </c>
      <c r="B4" s="5" t="s">
        <v>234</v>
      </c>
      <c r="C4" t="s">
        <v>204</v>
      </c>
      <c r="D4" t="s">
        <v>92</v>
      </c>
      <c r="E4">
        <v>20411454</v>
      </c>
      <c r="F4" t="s">
        <v>240</v>
      </c>
      <c r="G4" t="s">
        <v>186</v>
      </c>
      <c r="H4" t="s">
        <v>194</v>
      </c>
      <c r="I4" s="1">
        <v>45839</v>
      </c>
      <c r="M4" s="4">
        <v>-50</v>
      </c>
      <c r="O4" t="s">
        <v>235</v>
      </c>
    </row>
    <row r="5" spans="1:15" x14ac:dyDescent="0.25">
      <c r="A5" s="5">
        <v>102102295100</v>
      </c>
      <c r="B5" s="5" t="str">
        <f>CONCATENATE(A5,0)</f>
        <v>1021022951000</v>
      </c>
      <c r="C5" t="s">
        <v>128</v>
      </c>
      <c r="D5" t="s">
        <v>129</v>
      </c>
      <c r="E5">
        <v>20411454</v>
      </c>
      <c r="F5" t="s">
        <v>240</v>
      </c>
      <c r="G5" t="s">
        <v>49</v>
      </c>
      <c r="H5" t="s">
        <v>132</v>
      </c>
      <c r="I5" s="1">
        <v>45901</v>
      </c>
      <c r="J5" s="2">
        <v>16.670000000000002</v>
      </c>
      <c r="K5">
        <v>1</v>
      </c>
      <c r="L5" s="3">
        <v>1</v>
      </c>
      <c r="M5" s="2">
        <v>16.670000000000002</v>
      </c>
      <c r="N5" t="s">
        <v>133</v>
      </c>
      <c r="O5" t="s">
        <v>235</v>
      </c>
    </row>
    <row r="6" spans="1:15" x14ac:dyDescent="0.25">
      <c r="A6" s="5">
        <v>102183716700</v>
      </c>
      <c r="B6" s="5" t="str">
        <f t="shared" ref="B6:B16" si="0">CONCATENATE(A6,0)</f>
        <v>1021837167000</v>
      </c>
      <c r="C6" t="s">
        <v>135</v>
      </c>
      <c r="D6" t="s">
        <v>92</v>
      </c>
      <c r="E6">
        <v>20411454</v>
      </c>
      <c r="F6" t="s">
        <v>240</v>
      </c>
      <c r="G6" t="s">
        <v>49</v>
      </c>
      <c r="H6" t="s">
        <v>132</v>
      </c>
      <c r="I6" s="1">
        <v>45870</v>
      </c>
      <c r="J6" s="2">
        <v>20.83</v>
      </c>
      <c r="K6">
        <v>1</v>
      </c>
      <c r="L6" s="3">
        <v>1</v>
      </c>
      <c r="M6" s="2">
        <v>20.83</v>
      </c>
      <c r="N6" t="s">
        <v>138</v>
      </c>
      <c r="O6" t="s">
        <v>235</v>
      </c>
    </row>
    <row r="7" spans="1:15" x14ac:dyDescent="0.25">
      <c r="A7" s="5">
        <v>102183764700</v>
      </c>
      <c r="B7" s="5" t="str">
        <f t="shared" si="0"/>
        <v>1021837647000</v>
      </c>
      <c r="C7" t="s">
        <v>140</v>
      </c>
      <c r="D7" t="s">
        <v>108</v>
      </c>
      <c r="E7">
        <v>20411454</v>
      </c>
      <c r="F7" t="s">
        <v>240</v>
      </c>
      <c r="G7" t="s">
        <v>49</v>
      </c>
      <c r="H7" t="s">
        <v>132</v>
      </c>
      <c r="I7" s="1">
        <v>45870</v>
      </c>
      <c r="J7" s="2">
        <v>20.83</v>
      </c>
      <c r="K7">
        <v>1</v>
      </c>
      <c r="L7" s="3">
        <v>1</v>
      </c>
      <c r="M7" s="2">
        <v>20.83</v>
      </c>
      <c r="N7" t="s">
        <v>138</v>
      </c>
      <c r="O7" t="s">
        <v>235</v>
      </c>
    </row>
    <row r="8" spans="1:15" x14ac:dyDescent="0.25">
      <c r="A8" s="5">
        <v>102183996200</v>
      </c>
      <c r="B8" s="5" t="str">
        <f t="shared" si="0"/>
        <v>1021839962000</v>
      </c>
      <c r="C8" t="s">
        <v>142</v>
      </c>
      <c r="D8" t="s">
        <v>92</v>
      </c>
      <c r="E8">
        <v>20411454</v>
      </c>
      <c r="F8" t="s">
        <v>240</v>
      </c>
      <c r="G8" t="s">
        <v>49</v>
      </c>
      <c r="H8" t="s">
        <v>132</v>
      </c>
      <c r="I8" s="1">
        <v>45870</v>
      </c>
      <c r="J8" s="2">
        <v>20.83</v>
      </c>
      <c r="K8">
        <v>1</v>
      </c>
      <c r="L8" s="3">
        <v>1</v>
      </c>
      <c r="M8" s="2">
        <v>20.83</v>
      </c>
      <c r="N8" t="s">
        <v>138</v>
      </c>
      <c r="O8" t="s">
        <v>235</v>
      </c>
    </row>
    <row r="9" spans="1:15" x14ac:dyDescent="0.25">
      <c r="A9" s="5">
        <v>102184098400</v>
      </c>
      <c r="B9" s="5" t="str">
        <f t="shared" si="0"/>
        <v>1021840984000</v>
      </c>
      <c r="C9" t="s">
        <v>146</v>
      </c>
      <c r="D9" t="s">
        <v>147</v>
      </c>
      <c r="E9">
        <v>20411454</v>
      </c>
      <c r="F9" t="s">
        <v>240</v>
      </c>
      <c r="G9" t="s">
        <v>49</v>
      </c>
      <c r="H9" t="s">
        <v>132</v>
      </c>
      <c r="I9" s="1">
        <v>45870</v>
      </c>
      <c r="J9" s="2">
        <v>20.83</v>
      </c>
      <c r="K9">
        <v>1</v>
      </c>
      <c r="L9" s="3">
        <v>1</v>
      </c>
      <c r="M9" s="2">
        <v>20.83</v>
      </c>
      <c r="N9" t="s">
        <v>138</v>
      </c>
      <c r="O9" t="s">
        <v>235</v>
      </c>
    </row>
    <row r="10" spans="1:15" x14ac:dyDescent="0.25">
      <c r="A10" s="5">
        <v>102184099700</v>
      </c>
      <c r="B10" s="5" t="str">
        <f t="shared" si="0"/>
        <v>1021840997000</v>
      </c>
      <c r="C10" t="s">
        <v>151</v>
      </c>
      <c r="D10" t="s">
        <v>92</v>
      </c>
      <c r="E10">
        <v>20411454</v>
      </c>
      <c r="F10" t="s">
        <v>240</v>
      </c>
      <c r="G10" t="s">
        <v>49</v>
      </c>
      <c r="H10" t="s">
        <v>132</v>
      </c>
      <c r="I10" s="1">
        <v>45870</v>
      </c>
      <c r="J10" s="2">
        <v>20.83</v>
      </c>
      <c r="K10">
        <v>1</v>
      </c>
      <c r="L10" s="3">
        <v>1</v>
      </c>
      <c r="M10" s="2">
        <v>20.83</v>
      </c>
      <c r="N10" t="s">
        <v>138</v>
      </c>
      <c r="O10" t="s">
        <v>235</v>
      </c>
    </row>
    <row r="11" spans="1:15" x14ac:dyDescent="0.25">
      <c r="A11" s="5">
        <v>102184194300</v>
      </c>
      <c r="B11" s="5" t="str">
        <f t="shared" si="0"/>
        <v>1021841943000</v>
      </c>
      <c r="C11" t="s">
        <v>155</v>
      </c>
      <c r="D11" t="s">
        <v>92</v>
      </c>
      <c r="E11">
        <v>20411454</v>
      </c>
      <c r="F11" t="s">
        <v>240</v>
      </c>
      <c r="G11" t="s">
        <v>49</v>
      </c>
      <c r="H11" t="s">
        <v>132</v>
      </c>
      <c r="I11" s="1">
        <v>45870</v>
      </c>
      <c r="J11" s="2">
        <v>20.83</v>
      </c>
      <c r="K11">
        <v>1</v>
      </c>
      <c r="L11" s="3">
        <v>1</v>
      </c>
      <c r="M11" s="2">
        <v>20.83</v>
      </c>
      <c r="N11" t="s">
        <v>138</v>
      </c>
      <c r="O11" t="s">
        <v>235</v>
      </c>
    </row>
    <row r="12" spans="1:15" x14ac:dyDescent="0.25">
      <c r="A12" s="5">
        <v>102184276900</v>
      </c>
      <c r="B12" s="5" t="str">
        <f t="shared" si="0"/>
        <v>1021842769000</v>
      </c>
      <c r="C12" t="s">
        <v>159</v>
      </c>
      <c r="D12" t="s">
        <v>160</v>
      </c>
      <c r="E12">
        <v>20411454</v>
      </c>
      <c r="F12" t="s">
        <v>240</v>
      </c>
      <c r="G12" t="s">
        <v>49</v>
      </c>
      <c r="H12" t="s">
        <v>132</v>
      </c>
      <c r="I12" s="1">
        <v>45870</v>
      </c>
      <c r="J12" s="2">
        <v>20.83</v>
      </c>
      <c r="K12">
        <v>1</v>
      </c>
      <c r="L12" s="3">
        <v>1</v>
      </c>
      <c r="M12" s="2">
        <v>20.83</v>
      </c>
      <c r="N12" t="s">
        <v>138</v>
      </c>
      <c r="O12" t="s">
        <v>235</v>
      </c>
    </row>
    <row r="13" spans="1:15" x14ac:dyDescent="0.25">
      <c r="A13" s="5">
        <v>102184427100</v>
      </c>
      <c r="B13" s="5" t="str">
        <f t="shared" si="0"/>
        <v>1021844271000</v>
      </c>
      <c r="C13" t="s">
        <v>164</v>
      </c>
      <c r="D13" t="s">
        <v>165</v>
      </c>
      <c r="E13">
        <v>20411454</v>
      </c>
      <c r="F13" t="s">
        <v>240</v>
      </c>
      <c r="G13" t="s">
        <v>49</v>
      </c>
      <c r="H13" t="s">
        <v>132</v>
      </c>
      <c r="I13" s="1">
        <v>45870</v>
      </c>
      <c r="J13" s="2">
        <v>20.83</v>
      </c>
      <c r="K13">
        <v>1</v>
      </c>
      <c r="L13" s="3">
        <v>1</v>
      </c>
      <c r="M13" s="2">
        <v>20.83</v>
      </c>
      <c r="N13" t="s">
        <v>138</v>
      </c>
      <c r="O13" t="s">
        <v>235</v>
      </c>
    </row>
    <row r="14" spans="1:15" x14ac:dyDescent="0.25">
      <c r="A14" s="5">
        <v>102184438000</v>
      </c>
      <c r="B14" s="5" t="str">
        <f t="shared" si="0"/>
        <v>1021844380000</v>
      </c>
      <c r="C14" t="s">
        <v>167</v>
      </c>
      <c r="D14" t="s">
        <v>46</v>
      </c>
      <c r="E14">
        <v>20411454</v>
      </c>
      <c r="F14" t="s">
        <v>240</v>
      </c>
      <c r="G14" t="s">
        <v>49</v>
      </c>
      <c r="H14" t="s">
        <v>132</v>
      </c>
      <c r="I14" s="1">
        <v>45901</v>
      </c>
      <c r="J14" s="2">
        <v>16.670000000000002</v>
      </c>
      <c r="K14">
        <v>1</v>
      </c>
      <c r="L14" s="3">
        <v>1</v>
      </c>
      <c r="M14" s="2">
        <v>16.670000000000002</v>
      </c>
      <c r="N14" t="s">
        <v>133</v>
      </c>
      <c r="O14" t="s">
        <v>235</v>
      </c>
    </row>
    <row r="15" spans="1:15" x14ac:dyDescent="0.25">
      <c r="A15" s="5">
        <v>102184490600</v>
      </c>
      <c r="B15" s="5" t="str">
        <f t="shared" si="0"/>
        <v>1021844906000</v>
      </c>
      <c r="C15" t="s">
        <v>171</v>
      </c>
      <c r="D15" t="s">
        <v>46</v>
      </c>
      <c r="E15">
        <v>20411454</v>
      </c>
      <c r="F15" t="s">
        <v>240</v>
      </c>
      <c r="G15" t="s">
        <v>49</v>
      </c>
      <c r="H15" t="s">
        <v>132</v>
      </c>
      <c r="I15" s="1">
        <v>45870</v>
      </c>
      <c r="J15" s="2">
        <v>20.83</v>
      </c>
      <c r="K15">
        <v>1</v>
      </c>
      <c r="L15" s="3">
        <v>1</v>
      </c>
      <c r="M15" s="2">
        <v>20.83</v>
      </c>
      <c r="N15" t="s">
        <v>138</v>
      </c>
      <c r="O15" t="s">
        <v>235</v>
      </c>
    </row>
    <row r="16" spans="1:15" x14ac:dyDescent="0.25">
      <c r="A16" s="5">
        <v>102184515800</v>
      </c>
      <c r="B16" s="5" t="str">
        <f t="shared" si="0"/>
        <v>1021845158000</v>
      </c>
      <c r="C16" t="s">
        <v>173</v>
      </c>
      <c r="D16" t="s">
        <v>46</v>
      </c>
      <c r="E16">
        <v>20411454</v>
      </c>
      <c r="F16" t="s">
        <v>240</v>
      </c>
      <c r="G16" t="s">
        <v>49</v>
      </c>
      <c r="H16" t="s">
        <v>132</v>
      </c>
      <c r="I16" s="1">
        <v>45870</v>
      </c>
      <c r="J16" s="2">
        <v>20.83</v>
      </c>
      <c r="K16">
        <v>1</v>
      </c>
      <c r="L16" s="3">
        <v>1</v>
      </c>
      <c r="M16" s="2">
        <v>20.83</v>
      </c>
      <c r="N16" t="s">
        <v>138</v>
      </c>
      <c r="O16" t="s">
        <v>235</v>
      </c>
    </row>
    <row r="17" spans="1:15" x14ac:dyDescent="0.25">
      <c r="A17" s="5" t="s">
        <v>231</v>
      </c>
      <c r="B17" s="5" t="s">
        <v>231</v>
      </c>
      <c r="C17" t="s">
        <v>196</v>
      </c>
      <c r="D17" t="s">
        <v>92</v>
      </c>
      <c r="E17">
        <v>20411454</v>
      </c>
      <c r="F17" t="s">
        <v>240</v>
      </c>
      <c r="G17" t="s">
        <v>186</v>
      </c>
      <c r="H17" t="s">
        <v>132</v>
      </c>
      <c r="I17" s="1">
        <v>45839</v>
      </c>
      <c r="M17" s="4">
        <v>-25</v>
      </c>
      <c r="O17" t="s">
        <v>235</v>
      </c>
    </row>
    <row r="18" spans="1:15" x14ac:dyDescent="0.25">
      <c r="A18" s="5" t="s">
        <v>233</v>
      </c>
      <c r="B18" s="5" t="s">
        <v>233</v>
      </c>
      <c r="C18" t="s">
        <v>200</v>
      </c>
      <c r="D18" t="s">
        <v>108</v>
      </c>
      <c r="E18">
        <v>20411454</v>
      </c>
      <c r="F18" t="s">
        <v>240</v>
      </c>
      <c r="G18" t="s">
        <v>186</v>
      </c>
      <c r="H18" t="s">
        <v>132</v>
      </c>
      <c r="I18" s="1">
        <v>45778</v>
      </c>
      <c r="M18" s="4">
        <v>-33.33</v>
      </c>
      <c r="O18" t="s">
        <v>235</v>
      </c>
    </row>
    <row r="19" spans="1:15" x14ac:dyDescent="0.25">
      <c r="A19" s="5" t="s">
        <v>208</v>
      </c>
      <c r="B19" s="5" t="str">
        <f t="shared" ref="B19:B34" si="1">CONCATENATE(A19,0)</f>
        <v>00022064220K0</v>
      </c>
      <c r="C19" t="s">
        <v>54</v>
      </c>
      <c r="D19" t="s">
        <v>55</v>
      </c>
      <c r="E19">
        <v>20411454</v>
      </c>
      <c r="F19" t="s">
        <v>240</v>
      </c>
      <c r="G19" t="s">
        <v>49</v>
      </c>
      <c r="H19" t="s">
        <v>58</v>
      </c>
      <c r="I19" s="1">
        <v>45870</v>
      </c>
      <c r="J19" s="2">
        <v>96</v>
      </c>
      <c r="K19">
        <v>1</v>
      </c>
      <c r="L19" s="3">
        <v>1</v>
      </c>
      <c r="M19" s="2">
        <v>96</v>
      </c>
      <c r="O19" t="s">
        <v>236</v>
      </c>
    </row>
    <row r="20" spans="1:15" x14ac:dyDescent="0.25">
      <c r="A20" s="5" t="s">
        <v>221</v>
      </c>
      <c r="B20" s="5" t="str">
        <f t="shared" si="1"/>
        <v>00023510694K0</v>
      </c>
      <c r="C20" t="s">
        <v>107</v>
      </c>
      <c r="D20" t="s">
        <v>108</v>
      </c>
      <c r="E20">
        <v>20411454</v>
      </c>
      <c r="F20" t="s">
        <v>240</v>
      </c>
      <c r="G20" t="s">
        <v>49</v>
      </c>
      <c r="H20" t="s">
        <v>111</v>
      </c>
      <c r="I20" s="1">
        <v>45870</v>
      </c>
      <c r="J20" s="2">
        <v>0</v>
      </c>
      <c r="K20">
        <v>1</v>
      </c>
      <c r="L20" s="3">
        <v>0</v>
      </c>
      <c r="M20" s="2">
        <v>0</v>
      </c>
      <c r="O20" t="s">
        <v>236</v>
      </c>
    </row>
    <row r="21" spans="1:15" x14ac:dyDescent="0.25">
      <c r="A21" s="5" t="s">
        <v>207</v>
      </c>
      <c r="B21" s="5" t="str">
        <f t="shared" si="1"/>
        <v>00012982278K0</v>
      </c>
      <c r="C21" t="s">
        <v>45</v>
      </c>
      <c r="D21" t="s">
        <v>46</v>
      </c>
      <c r="E21">
        <v>20411454</v>
      </c>
      <c r="F21" t="s">
        <v>240</v>
      </c>
      <c r="G21" t="s">
        <v>49</v>
      </c>
      <c r="H21" t="s">
        <v>50</v>
      </c>
      <c r="I21" s="1">
        <v>45870</v>
      </c>
      <c r="J21" s="2">
        <v>175</v>
      </c>
      <c r="K21">
        <v>1</v>
      </c>
      <c r="L21" s="3">
        <v>1</v>
      </c>
      <c r="M21" s="2">
        <v>175</v>
      </c>
      <c r="O21" t="s">
        <v>236</v>
      </c>
    </row>
    <row r="22" spans="1:15" x14ac:dyDescent="0.25">
      <c r="A22" s="5" t="s">
        <v>209</v>
      </c>
      <c r="B22" s="5" t="str">
        <f t="shared" si="1"/>
        <v>00022971348K0</v>
      </c>
      <c r="C22" t="s">
        <v>60</v>
      </c>
      <c r="D22" t="s">
        <v>61</v>
      </c>
      <c r="E22">
        <v>20411454</v>
      </c>
      <c r="F22" t="s">
        <v>240</v>
      </c>
      <c r="G22" t="s">
        <v>64</v>
      </c>
      <c r="H22" t="s">
        <v>50</v>
      </c>
      <c r="I22" s="1">
        <v>45689</v>
      </c>
      <c r="J22" s="2">
        <v>87.5</v>
      </c>
      <c r="K22">
        <v>1</v>
      </c>
      <c r="L22" s="3">
        <v>1</v>
      </c>
      <c r="M22" s="2">
        <v>87.5</v>
      </c>
      <c r="N22" t="s">
        <v>65</v>
      </c>
      <c r="O22" t="s">
        <v>236</v>
      </c>
    </row>
    <row r="23" spans="1:15" x14ac:dyDescent="0.25">
      <c r="A23" s="5" t="s">
        <v>210</v>
      </c>
      <c r="B23" s="5" t="str">
        <f t="shared" si="1"/>
        <v>00023503807K0</v>
      </c>
      <c r="C23" t="s">
        <v>67</v>
      </c>
      <c r="D23" t="s">
        <v>46</v>
      </c>
      <c r="E23">
        <v>20411454</v>
      </c>
      <c r="F23" t="s">
        <v>240</v>
      </c>
      <c r="G23" t="s">
        <v>49</v>
      </c>
      <c r="H23" t="s">
        <v>50</v>
      </c>
      <c r="I23" s="1">
        <v>45870</v>
      </c>
      <c r="J23" s="2">
        <v>175</v>
      </c>
      <c r="K23">
        <v>1</v>
      </c>
      <c r="L23" s="3">
        <v>1</v>
      </c>
      <c r="M23" s="2">
        <v>175</v>
      </c>
      <c r="O23" t="s">
        <v>236</v>
      </c>
    </row>
    <row r="24" spans="1:15" x14ac:dyDescent="0.25">
      <c r="A24" s="5" t="s">
        <v>211</v>
      </c>
      <c r="B24" s="5" t="str">
        <f t="shared" si="1"/>
        <v>00023504093K0</v>
      </c>
      <c r="C24" t="s">
        <v>69</v>
      </c>
      <c r="D24" t="s">
        <v>46</v>
      </c>
      <c r="E24">
        <v>20411454</v>
      </c>
      <c r="F24" t="s">
        <v>240</v>
      </c>
      <c r="G24" t="s">
        <v>49</v>
      </c>
      <c r="H24" t="s">
        <v>50</v>
      </c>
      <c r="I24" s="1">
        <v>45870</v>
      </c>
      <c r="J24" s="2">
        <v>175</v>
      </c>
      <c r="K24">
        <v>1</v>
      </c>
      <c r="L24" s="3">
        <v>1</v>
      </c>
      <c r="M24" s="2">
        <v>175</v>
      </c>
      <c r="O24" t="s">
        <v>236</v>
      </c>
    </row>
    <row r="25" spans="1:15" x14ac:dyDescent="0.25">
      <c r="A25" s="5" t="s">
        <v>212</v>
      </c>
      <c r="B25" s="5" t="str">
        <f t="shared" si="1"/>
        <v>00023505772K0</v>
      </c>
      <c r="C25" t="s">
        <v>73</v>
      </c>
      <c r="D25" t="s">
        <v>46</v>
      </c>
      <c r="E25">
        <v>20411454</v>
      </c>
      <c r="F25" t="s">
        <v>240</v>
      </c>
      <c r="G25" t="s">
        <v>49</v>
      </c>
      <c r="H25" t="s">
        <v>50</v>
      </c>
      <c r="I25" s="1">
        <v>45870</v>
      </c>
      <c r="J25" s="2">
        <v>175</v>
      </c>
      <c r="K25">
        <v>1</v>
      </c>
      <c r="L25" s="3">
        <v>1</v>
      </c>
      <c r="M25" s="2">
        <v>175</v>
      </c>
      <c r="O25" t="s">
        <v>236</v>
      </c>
    </row>
    <row r="26" spans="1:15" x14ac:dyDescent="0.25">
      <c r="A26" s="5" t="s">
        <v>214</v>
      </c>
      <c r="B26" s="5" t="str">
        <f t="shared" si="1"/>
        <v>00023507629K0</v>
      </c>
      <c r="C26" t="s">
        <v>83</v>
      </c>
      <c r="D26" t="s">
        <v>46</v>
      </c>
      <c r="E26">
        <v>20411454</v>
      </c>
      <c r="F26" t="s">
        <v>240</v>
      </c>
      <c r="G26" t="s">
        <v>49</v>
      </c>
      <c r="H26" t="s">
        <v>50</v>
      </c>
      <c r="I26" s="1">
        <v>45870</v>
      </c>
      <c r="J26" s="2">
        <v>175</v>
      </c>
      <c r="K26">
        <v>1</v>
      </c>
      <c r="L26" s="3">
        <v>1</v>
      </c>
      <c r="M26" s="2">
        <v>175</v>
      </c>
      <c r="O26" t="s">
        <v>236</v>
      </c>
    </row>
    <row r="27" spans="1:15" x14ac:dyDescent="0.25">
      <c r="A27" s="5" t="s">
        <v>215</v>
      </c>
      <c r="B27" s="5" t="str">
        <f t="shared" si="1"/>
        <v>00023507776K0</v>
      </c>
      <c r="C27" t="s">
        <v>85</v>
      </c>
      <c r="D27" t="s">
        <v>46</v>
      </c>
      <c r="E27">
        <v>20411454</v>
      </c>
      <c r="F27" t="s">
        <v>240</v>
      </c>
      <c r="G27" t="s">
        <v>49</v>
      </c>
      <c r="H27" t="s">
        <v>50</v>
      </c>
      <c r="I27" s="1">
        <v>45870</v>
      </c>
      <c r="J27" s="2">
        <v>175</v>
      </c>
      <c r="K27">
        <v>1</v>
      </c>
      <c r="L27" s="3">
        <v>1</v>
      </c>
      <c r="M27" s="2">
        <v>175</v>
      </c>
      <c r="O27" t="s">
        <v>236</v>
      </c>
    </row>
    <row r="28" spans="1:15" x14ac:dyDescent="0.25">
      <c r="A28" s="5" t="s">
        <v>216</v>
      </c>
      <c r="B28" s="5" t="str">
        <f t="shared" si="1"/>
        <v>00023509197K0</v>
      </c>
      <c r="C28" t="s">
        <v>89</v>
      </c>
      <c r="D28" t="s">
        <v>46</v>
      </c>
      <c r="E28">
        <v>20411454</v>
      </c>
      <c r="F28" t="s">
        <v>240</v>
      </c>
      <c r="G28" t="s">
        <v>49</v>
      </c>
      <c r="H28" t="s">
        <v>50</v>
      </c>
      <c r="I28" s="1">
        <v>45901</v>
      </c>
      <c r="J28" s="2">
        <v>175</v>
      </c>
      <c r="K28">
        <v>1</v>
      </c>
      <c r="L28" s="3">
        <v>1</v>
      </c>
      <c r="M28" s="2">
        <v>175</v>
      </c>
      <c r="O28" t="s">
        <v>236</v>
      </c>
    </row>
    <row r="29" spans="1:15" x14ac:dyDescent="0.25">
      <c r="A29" s="5" t="s">
        <v>219</v>
      </c>
      <c r="B29" s="5" t="str">
        <f t="shared" si="1"/>
        <v>00023509374K0</v>
      </c>
      <c r="C29" t="s">
        <v>101</v>
      </c>
      <c r="D29" t="s">
        <v>46</v>
      </c>
      <c r="E29">
        <v>20411454</v>
      </c>
      <c r="F29" t="s">
        <v>240</v>
      </c>
      <c r="G29" t="s">
        <v>49</v>
      </c>
      <c r="H29" t="s">
        <v>50</v>
      </c>
      <c r="I29" s="1">
        <v>45901</v>
      </c>
      <c r="J29" s="2">
        <v>175</v>
      </c>
      <c r="K29">
        <v>1</v>
      </c>
      <c r="L29" s="3">
        <v>1</v>
      </c>
      <c r="M29" s="2">
        <v>175</v>
      </c>
      <c r="O29" t="s">
        <v>236</v>
      </c>
    </row>
    <row r="30" spans="1:15" x14ac:dyDescent="0.25">
      <c r="A30" s="5" t="s">
        <v>220</v>
      </c>
      <c r="B30" s="5" t="str">
        <f t="shared" si="1"/>
        <v>00023509465K0</v>
      </c>
      <c r="C30" t="s">
        <v>105</v>
      </c>
      <c r="D30" t="s">
        <v>97</v>
      </c>
      <c r="E30">
        <v>20411454</v>
      </c>
      <c r="F30" t="s">
        <v>240</v>
      </c>
      <c r="G30" t="s">
        <v>49</v>
      </c>
      <c r="H30" t="s">
        <v>50</v>
      </c>
      <c r="I30" s="1">
        <v>45870</v>
      </c>
      <c r="J30" s="2">
        <v>175</v>
      </c>
      <c r="K30">
        <v>1</v>
      </c>
      <c r="L30" s="3">
        <v>1</v>
      </c>
      <c r="M30" s="2">
        <v>175</v>
      </c>
      <c r="O30" t="s">
        <v>236</v>
      </c>
    </row>
    <row r="31" spans="1:15" x14ac:dyDescent="0.25">
      <c r="A31" s="5" t="s">
        <v>222</v>
      </c>
      <c r="B31" s="5" t="str">
        <f t="shared" si="1"/>
        <v>00023510938K0</v>
      </c>
      <c r="C31" t="s">
        <v>113</v>
      </c>
      <c r="D31" t="s">
        <v>114</v>
      </c>
      <c r="E31">
        <v>20411454</v>
      </c>
      <c r="F31" t="s">
        <v>240</v>
      </c>
      <c r="G31" t="s">
        <v>49</v>
      </c>
      <c r="H31" t="s">
        <v>50</v>
      </c>
      <c r="I31" s="1">
        <v>45901</v>
      </c>
      <c r="J31" s="2">
        <v>175</v>
      </c>
      <c r="K31">
        <v>1</v>
      </c>
      <c r="L31" s="3">
        <v>1</v>
      </c>
      <c r="M31" s="2">
        <v>175</v>
      </c>
      <c r="O31" t="s">
        <v>236</v>
      </c>
    </row>
    <row r="32" spans="1:15" x14ac:dyDescent="0.25">
      <c r="A32" s="5" t="s">
        <v>224</v>
      </c>
      <c r="B32" s="5" t="str">
        <f t="shared" si="1"/>
        <v>00023513017K0</v>
      </c>
      <c r="C32" t="s">
        <v>118</v>
      </c>
      <c r="D32" t="s">
        <v>46</v>
      </c>
      <c r="E32">
        <v>20411454</v>
      </c>
      <c r="F32" t="s">
        <v>240</v>
      </c>
      <c r="G32" t="s">
        <v>49</v>
      </c>
      <c r="H32" t="s">
        <v>50</v>
      </c>
      <c r="I32" s="1">
        <v>45870</v>
      </c>
      <c r="J32" s="2">
        <v>175</v>
      </c>
      <c r="K32">
        <v>1</v>
      </c>
      <c r="L32" s="3">
        <v>1</v>
      </c>
      <c r="M32" s="2">
        <v>175</v>
      </c>
      <c r="O32" t="s">
        <v>236</v>
      </c>
    </row>
    <row r="33" spans="1:16" x14ac:dyDescent="0.25">
      <c r="A33" s="5" t="s">
        <v>225</v>
      </c>
      <c r="B33" s="5" t="str">
        <f t="shared" si="1"/>
        <v>00023513462K0</v>
      </c>
      <c r="C33" t="s">
        <v>122</v>
      </c>
      <c r="D33" t="s">
        <v>46</v>
      </c>
      <c r="E33">
        <v>20411454</v>
      </c>
      <c r="F33" t="s">
        <v>240</v>
      </c>
      <c r="G33" t="s">
        <v>49</v>
      </c>
      <c r="H33" t="s">
        <v>50</v>
      </c>
      <c r="I33" s="1">
        <v>45870</v>
      </c>
      <c r="J33" s="2">
        <v>175</v>
      </c>
      <c r="K33">
        <v>1</v>
      </c>
      <c r="L33" s="3">
        <v>1</v>
      </c>
      <c r="M33" s="2">
        <v>175</v>
      </c>
      <c r="O33" t="s">
        <v>236</v>
      </c>
    </row>
    <row r="34" spans="1:16" x14ac:dyDescent="0.25">
      <c r="A34" s="5" t="s">
        <v>226</v>
      </c>
      <c r="B34" s="5" t="str">
        <f t="shared" si="1"/>
        <v>00023515836K0</v>
      </c>
      <c r="C34" t="s">
        <v>124</v>
      </c>
      <c r="D34" t="s">
        <v>46</v>
      </c>
      <c r="E34">
        <v>20411454</v>
      </c>
      <c r="F34" t="s">
        <v>240</v>
      </c>
      <c r="G34" t="s">
        <v>49</v>
      </c>
      <c r="H34" t="s">
        <v>50</v>
      </c>
      <c r="I34" s="1">
        <v>45870</v>
      </c>
      <c r="J34" s="2">
        <v>175</v>
      </c>
      <c r="K34">
        <v>1</v>
      </c>
      <c r="L34" s="3">
        <v>1</v>
      </c>
      <c r="M34" s="2">
        <v>175</v>
      </c>
      <c r="O34" t="s">
        <v>236</v>
      </c>
    </row>
    <row r="35" spans="1:16" x14ac:dyDescent="0.25">
      <c r="A35" s="5" t="s">
        <v>227</v>
      </c>
      <c r="B35" s="5" t="s">
        <v>227</v>
      </c>
      <c r="C35" t="s">
        <v>183</v>
      </c>
      <c r="D35" t="s">
        <v>61</v>
      </c>
      <c r="E35">
        <v>20411454</v>
      </c>
      <c r="F35" t="s">
        <v>240</v>
      </c>
      <c r="G35" t="s">
        <v>186</v>
      </c>
      <c r="H35" t="s">
        <v>50</v>
      </c>
      <c r="I35" s="1">
        <v>45778</v>
      </c>
      <c r="M35" s="4">
        <v>-131.25</v>
      </c>
      <c r="O35" t="s">
        <v>236</v>
      </c>
    </row>
    <row r="36" spans="1:16" x14ac:dyDescent="0.25">
      <c r="A36" s="5" t="s">
        <v>228</v>
      </c>
      <c r="B36" s="5" t="s">
        <v>228</v>
      </c>
      <c r="C36" t="s">
        <v>188</v>
      </c>
      <c r="D36" t="s">
        <v>108</v>
      </c>
      <c r="E36">
        <v>20411454</v>
      </c>
      <c r="F36" t="s">
        <v>240</v>
      </c>
      <c r="G36" t="s">
        <v>186</v>
      </c>
      <c r="H36" t="s">
        <v>50</v>
      </c>
      <c r="I36" s="1">
        <v>45809</v>
      </c>
      <c r="M36" s="4">
        <v>-73.5</v>
      </c>
      <c r="O36" t="s">
        <v>236</v>
      </c>
    </row>
    <row r="37" spans="1:16" x14ac:dyDescent="0.25">
      <c r="A37" s="5" t="s">
        <v>229</v>
      </c>
      <c r="B37" s="5" t="s">
        <v>229</v>
      </c>
      <c r="C37" t="s">
        <v>190</v>
      </c>
      <c r="D37" t="s">
        <v>108</v>
      </c>
      <c r="E37">
        <v>20411454</v>
      </c>
      <c r="F37" t="s">
        <v>240</v>
      </c>
      <c r="G37" t="s">
        <v>186</v>
      </c>
      <c r="H37" t="s">
        <v>191</v>
      </c>
      <c r="I37" s="1">
        <v>45809</v>
      </c>
      <c r="M37" s="4">
        <v>-89.64</v>
      </c>
      <c r="O37" t="s">
        <v>236</v>
      </c>
    </row>
    <row r="38" spans="1:16" s="7" customFormat="1" x14ac:dyDescent="0.25">
      <c r="A38" s="6" t="s">
        <v>213</v>
      </c>
      <c r="B38" s="6" t="s">
        <v>213</v>
      </c>
      <c r="C38" s="7" t="s">
        <v>77</v>
      </c>
      <c r="D38" s="7" t="s">
        <v>78</v>
      </c>
      <c r="E38" s="7">
        <v>20724564</v>
      </c>
      <c r="F38" s="7" t="s">
        <v>80</v>
      </c>
      <c r="G38" s="7" t="s">
        <v>49</v>
      </c>
      <c r="H38" s="7" t="s">
        <v>81</v>
      </c>
      <c r="I38" s="8">
        <v>45870</v>
      </c>
      <c r="J38" s="9">
        <v>15</v>
      </c>
      <c r="K38" s="7">
        <v>1</v>
      </c>
      <c r="L38" s="10">
        <v>1</v>
      </c>
      <c r="M38" s="9">
        <v>15</v>
      </c>
      <c r="O38" s="7" t="s">
        <v>237</v>
      </c>
    </row>
    <row r="39" spans="1:16" s="7" customFormat="1" x14ac:dyDescent="0.25">
      <c r="A39" s="6" t="s">
        <v>217</v>
      </c>
      <c r="B39" s="6" t="s">
        <v>217</v>
      </c>
      <c r="C39" s="7" t="s">
        <v>91</v>
      </c>
      <c r="D39" s="7" t="s">
        <v>92</v>
      </c>
      <c r="E39" s="7">
        <v>21618313</v>
      </c>
      <c r="F39" s="7" t="s">
        <v>94</v>
      </c>
      <c r="G39" s="7" t="s">
        <v>49</v>
      </c>
      <c r="H39" s="7" t="s">
        <v>81</v>
      </c>
      <c r="I39" s="8">
        <v>45870</v>
      </c>
      <c r="J39" s="9">
        <v>15</v>
      </c>
      <c r="K39" s="7">
        <v>1</v>
      </c>
      <c r="L39" s="10">
        <v>1</v>
      </c>
      <c r="M39" s="9">
        <v>15</v>
      </c>
      <c r="O39" s="7" t="s">
        <v>237</v>
      </c>
    </row>
    <row r="40" spans="1:16" s="7" customFormat="1" x14ac:dyDescent="0.25">
      <c r="A40" s="6" t="s">
        <v>218</v>
      </c>
      <c r="B40" s="6" t="s">
        <v>218</v>
      </c>
      <c r="C40" s="7" t="s">
        <v>96</v>
      </c>
      <c r="D40" s="7" t="s">
        <v>97</v>
      </c>
      <c r="E40" s="7">
        <v>7470776</v>
      </c>
      <c r="F40" s="7" t="s">
        <v>99</v>
      </c>
      <c r="G40" s="7" t="s">
        <v>49</v>
      </c>
      <c r="H40" s="7" t="s">
        <v>81</v>
      </c>
      <c r="I40" s="8">
        <v>45870</v>
      </c>
      <c r="J40" s="9">
        <v>15</v>
      </c>
      <c r="K40" s="7">
        <v>1</v>
      </c>
      <c r="L40" s="10">
        <v>1</v>
      </c>
      <c r="M40" s="9">
        <v>15</v>
      </c>
      <c r="O40" s="7" t="s">
        <v>237</v>
      </c>
    </row>
    <row r="41" spans="1:16" s="7" customFormat="1" x14ac:dyDescent="0.25">
      <c r="A41" s="6" t="s">
        <v>223</v>
      </c>
      <c r="B41" s="6" t="s">
        <v>223</v>
      </c>
      <c r="C41" s="7" t="s">
        <v>116</v>
      </c>
      <c r="D41" s="7" t="s">
        <v>78</v>
      </c>
      <c r="E41" s="7">
        <v>20724564</v>
      </c>
      <c r="F41" s="7" t="s">
        <v>80</v>
      </c>
      <c r="G41" s="7" t="s">
        <v>49</v>
      </c>
      <c r="H41" s="7" t="s">
        <v>81</v>
      </c>
      <c r="I41" s="8">
        <v>45901</v>
      </c>
      <c r="J41" s="9">
        <v>15</v>
      </c>
      <c r="K41" s="7">
        <v>1</v>
      </c>
      <c r="L41" s="10">
        <v>1</v>
      </c>
      <c r="M41" s="9">
        <v>15</v>
      </c>
      <c r="O41" s="7" t="s">
        <v>237</v>
      </c>
    </row>
    <row r="42" spans="1:16" s="7" customFormat="1" x14ac:dyDescent="0.25">
      <c r="A42" s="6">
        <v>922137888</v>
      </c>
      <c r="B42" s="6" t="str">
        <f>CONCATENATE(A42,1)</f>
        <v>9221378881</v>
      </c>
      <c r="C42" s="7" t="s">
        <v>175</v>
      </c>
      <c r="D42" s="7" t="s">
        <v>160</v>
      </c>
      <c r="E42" s="7">
        <v>6634327</v>
      </c>
      <c r="F42" s="7" t="s">
        <v>177</v>
      </c>
      <c r="G42" s="7" t="s">
        <v>49</v>
      </c>
      <c r="H42" s="7" t="s">
        <v>178</v>
      </c>
      <c r="I42" s="8">
        <v>45870</v>
      </c>
      <c r="J42" s="9">
        <v>130.41999999999999</v>
      </c>
      <c r="K42" s="7">
        <v>1</v>
      </c>
      <c r="L42" s="10">
        <v>1</v>
      </c>
      <c r="M42" s="9">
        <v>130.41999999999999</v>
      </c>
      <c r="N42" s="7" t="s">
        <v>138</v>
      </c>
      <c r="O42" s="7" t="s">
        <v>238</v>
      </c>
      <c r="P42" s="7" t="s">
        <v>239</v>
      </c>
    </row>
  </sheetData>
  <sortState xmlns:xlrd2="http://schemas.microsoft.com/office/spreadsheetml/2017/richdata2" ref="A2:AM42">
    <sortCondition ref="H2:H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2025-08-06T20:28:37Z</dcterms:created>
  <dcterms:modified xsi:type="dcterms:W3CDTF">2025-08-08T20:50:06Z</dcterms:modified>
</cp:coreProperties>
</file>