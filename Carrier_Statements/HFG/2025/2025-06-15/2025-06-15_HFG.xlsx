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FG\2025\06-15-25 and 06-18-25\"/>
    </mc:Choice>
  </mc:AlternateContent>
  <xr:revisionPtr revIDLastSave="0" documentId="13_ncr:1_{8265AD34-A3B4-41BD-AE86-D84C4A62DBFD}" xr6:coauthVersionLast="47" xr6:coauthVersionMax="47" xr10:uidLastSave="{00000000-0000-0000-0000-000000000000}"/>
  <bookViews>
    <workbookView xWindow="-108" yWindow="-108" windowWidth="23256" windowHeight="13176" activeTab="1" xr2:uid="{92464D8F-1462-4766-96BF-0E002E58C13C}"/>
  </bookViews>
  <sheets>
    <sheet name="New Business Agent Statement - 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2" i="2" l="1"/>
  <c r="B11" i="2"/>
  <c r="B2" i="2"/>
  <c r="B10" i="2"/>
  <c r="B9" i="2"/>
  <c r="B8" i="2"/>
  <c r="B7" i="2"/>
  <c r="B6" i="2"/>
  <c r="B5" i="2"/>
  <c r="B4" i="2"/>
  <c r="B3" i="2"/>
  <c r="B20" i="2"/>
  <c r="B17" i="2"/>
  <c r="B16" i="2"/>
</calcChain>
</file>

<file path=xl/sharedStrings.xml><?xml version="1.0" encoding="utf-8"?>
<sst xmlns="http://schemas.openxmlformats.org/spreadsheetml/2006/main" count="457" uniqueCount="156">
  <si>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</si>
  <si>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</si>
  <si>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</si>
  <si>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</si>
  <si>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</si>
  <si>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</si>
  <si>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</si>
  <si>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</si>
  <si>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</si>
  <si>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</si>
  <si>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</si>
  <si>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</si>
  <si>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</si>
  <si>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</si>
  <si>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</si>
  <si>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</si>
  <si>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</si>
  <si>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</si>
  <si>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</si>
  <si>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</si>
  <si>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</si>
  <si>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</si>
  <si>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</si>
  <si>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</si>
  <si>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Collected Premium</t>
  </si>
  <si>
    <t>Commissionable</t>
  </si>
  <si>
    <t>Months Advanced</t>
  </si>
  <si>
    <t>Commission Rate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</si>
  <si>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</si>
  <si>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</si>
  <si>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</si>
  <si>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</si>
  <si>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</si>
  <si>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</si>
  <si>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</si>
  <si>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</si>
  <si>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</si>
  <si>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</si>
  <si>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NB</t>
  </si>
  <si>
    <t>HEARTLAND</t>
  </si>
  <si>
    <t>HEARTLAND-FINANCIAL-GROUP</t>
  </si>
  <si>
    <t>'043677</t>
  </si>
  <si>
    <t>'</t>
  </si>
  <si>
    <t>JASON HOFFMANN</t>
  </si>
  <si>
    <t>'00023070047K</t>
  </si>
  <si>
    <t>MARLA STANGL</t>
  </si>
  <si>
    <t>NA</t>
  </si>
  <si>
    <t>'043682</t>
  </si>
  <si>
    <t>GREGORY TEIPEL</t>
  </si>
  <si>
    <t>Active</t>
  </si>
  <si>
    <t>Humana MA 2019+ Level 15- 175/108</t>
  </si>
  <si>
    <t>Monthly</t>
  </si>
  <si>
    <t>AV</t>
  </si>
  <si>
    <t>Humana MA Bonus Upload 06-18-2025.xlsx</t>
  </si>
  <si>
    <t>'00023392671KPDP</t>
  </si>
  <si>
    <t>SANDFORD SMITH</t>
  </si>
  <si>
    <t>TX</t>
  </si>
  <si>
    <t>'043638</t>
  </si>
  <si>
    <t>THOMAS PARDUE</t>
  </si>
  <si>
    <t>ACTIVE</t>
  </si>
  <si>
    <t>Humana PDP 2019+ Level 15- 15/0</t>
  </si>
  <si>
    <t>'00023393718KPDP</t>
  </si>
  <si>
    <t>DAVID MCCUNE</t>
  </si>
  <si>
    <t>PA</t>
  </si>
  <si>
    <t>'043611</t>
  </si>
  <si>
    <t>TIMOTHY POWERS</t>
  </si>
  <si>
    <t>'00023394237K</t>
  </si>
  <si>
    <t>MICHAEL DIPIETRO</t>
  </si>
  <si>
    <t>IL</t>
  </si>
  <si>
    <t>'045613</t>
  </si>
  <si>
    <t>RICARDO SANTOS</t>
  </si>
  <si>
    <t>'00023398875K</t>
  </si>
  <si>
    <t>MARIATRINIDAD RINI</t>
  </si>
  <si>
    <t>NV</t>
  </si>
  <si>
    <t>'00023403315K</t>
  </si>
  <si>
    <t>JOHN BONGIORNO</t>
  </si>
  <si>
    <t>'045639</t>
  </si>
  <si>
    <t>STEVEN WERNER</t>
  </si>
  <si>
    <t>'00023406295KPDP</t>
  </si>
  <si>
    <t>VAHIK ZOHRABIAN</t>
  </si>
  <si>
    <t>'043689</t>
  </si>
  <si>
    <t>ANNE MARIE KOZACHECK</t>
  </si>
  <si>
    <t>'00023407552K</t>
  </si>
  <si>
    <t>GEORGE GREENLEAF</t>
  </si>
  <si>
    <t>NC</t>
  </si>
  <si>
    <t>'00023408500K</t>
  </si>
  <si>
    <t>PAMELA BANKER</t>
  </si>
  <si>
    <t>WI</t>
  </si>
  <si>
    <t>'045612</t>
  </si>
  <si>
    <t>ANTHONY HUNSBERGER</t>
  </si>
  <si>
    <t>'00023408740K</t>
  </si>
  <si>
    <t>KATHY ROSS</t>
  </si>
  <si>
    <t>'045603</t>
  </si>
  <si>
    <t>ANDREW CHOI</t>
  </si>
  <si>
    <t>'102174805300</t>
  </si>
  <si>
    <t>JEFFREY MIHALKA</t>
  </si>
  <si>
    <t>Aetna MAPD NMO to GMO - 4-1-23+  Replace E-App</t>
  </si>
  <si>
    <t>6/12 PRORATE</t>
  </si>
  <si>
    <t>'5CF0MY3WK11</t>
  </si>
  <si>
    <t>KEENAN PENSON</t>
  </si>
  <si>
    <t>'045605</t>
  </si>
  <si>
    <t>GARY PORTUGAL</t>
  </si>
  <si>
    <t>Wellcare MA 2025 SGA Prorated</t>
  </si>
  <si>
    <t>7/12 PRORATE</t>
  </si>
  <si>
    <t>'A04289591</t>
  </si>
  <si>
    <t>BABUR KIREC</t>
  </si>
  <si>
    <t>FL</t>
  </si>
  <si>
    <t>'045601</t>
  </si>
  <si>
    <t>CAROL FOLEY</t>
  </si>
  <si>
    <t>UHC AARP Med Supp FL Area 1- Plan  B C F G</t>
  </si>
  <si>
    <t>'A04289607</t>
  </si>
  <si>
    <t>NILGUN KIREC</t>
  </si>
  <si>
    <t>CB</t>
  </si>
  <si>
    <t>'00021314916KPC</t>
  </si>
  <si>
    <t>NANCY WEAVER</t>
  </si>
  <si>
    <t>CHARGEBACK</t>
  </si>
  <si>
    <t>Humana MA 2019+ Level 15- 175/108 Repl 2024</t>
  </si>
  <si>
    <t>'00022876089KPC</t>
  </si>
  <si>
    <t>DEALAS WILEY</t>
  </si>
  <si>
    <t>'101815426600PC</t>
  </si>
  <si>
    <t>KIMBERLY AMOS</t>
  </si>
  <si>
    <t>'045717</t>
  </si>
  <si>
    <t>RONALD MAX</t>
  </si>
  <si>
    <t>Aetna MAPD NMO to GMO - 4-1-23+  New E-App</t>
  </si>
  <si>
    <t>'972095971OVPC</t>
  </si>
  <si>
    <t>JAMES DUNCAN</t>
  </si>
  <si>
    <t>'043969</t>
  </si>
  <si>
    <t>STACEY PORTUGAL</t>
  </si>
  <si>
    <t>UHC MA Direct 2024 New Full</t>
  </si>
  <si>
    <t>'972095971PC</t>
  </si>
  <si>
    <t>UHC MAPD Street payable to upline - 2025 New</t>
  </si>
  <si>
    <t>00023070047K</t>
  </si>
  <si>
    <t>00023392671KPDP</t>
  </si>
  <si>
    <t>00023393718KPDP</t>
  </si>
  <si>
    <t>00023394237K</t>
  </si>
  <si>
    <t>00023398875K</t>
  </si>
  <si>
    <t>00023403315K</t>
  </si>
  <si>
    <t>00023406295KPDP</t>
  </si>
  <si>
    <t>00023407552K</t>
  </si>
  <si>
    <t>00023408500K</t>
  </si>
  <si>
    <t>00023408740K</t>
  </si>
  <si>
    <t>5CF0MY3WK11</t>
  </si>
  <si>
    <t>A04289591</t>
  </si>
  <si>
    <t>A04289607</t>
  </si>
  <si>
    <t>Aetna MAPD OVR 2025</t>
  </si>
  <si>
    <t>Humana MAPD OVR 2025</t>
  </si>
  <si>
    <t>UHC PDP 2025!</t>
  </si>
  <si>
    <t>UHC AARP MS FL Area 1- Plan B C F G</t>
  </si>
  <si>
    <t>Wellcare MAPD Ovr</t>
  </si>
  <si>
    <t>UHC MAPD Ovr 2025</t>
  </si>
  <si>
    <t>972095971OV</t>
  </si>
  <si>
    <t>UHC 2025</t>
  </si>
  <si>
    <t>[%/$=626][prorate=11/12]</t>
  </si>
  <si>
    <t>00022876089K</t>
  </si>
  <si>
    <t>00021314916K</t>
  </si>
  <si>
    <t>Main Line Benefits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</si>
</sst>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4" fontId="0" fillId="0" borderId="0" xfId="0" applyNumberFormat="1"/>
    <xf numFmtId="8" fontId="0" fillId="0" borderId="0" xfId="0" applyNumberFormat="1"/>
    <xf numFmtId="10" fontId="0" fillId="0" borderId="0" xfId="0" applyNumberFormat="1"/>
    <xf numFmtId="1" fontId="0" fillId="0" borderId="0" xfId="0" applyNumberFormat="1" applyFill="1" applyAlignment="1">
      <alignment horizontal="left"/>
    </xf>
    <xf numFmtId="0" fontId="0" fillId="0" borderId="0" xfId="0" applyFill="1" applyAlignment="1">
      <alignment horizontal="left"/>
    </xf>
    <xf numFmtId="0" fontId="0" fillId="0" borderId="0" xfId="0" applyFill="1"/>
    <xf numFmtId="14" fontId="0" fillId="0" borderId="0" xfId="0" applyNumberFormat="1" applyFill="1"/>
    <xf numFmtId="0" fontId="0" fillId="0" borderId="0" xfId="0" applyNumberFormat="1" applyFill="1"/>
    <xf numFmtId="8" fontId="0" fillId="0" borderId="0" xfId="0" applyNumberFormat="1" applyFill="1"/>
    <xf numFmtId="10" fontId="0" fillId="0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38CEB-5875-4D9C-93E9-8FDCB3CDB8AC}">
  <dimension ref="A1:AL20"/>
  <sheetViews>
    <sheetView workbookViewId="0">
      <selection activeCell="K25" sqref="K25"/>
    </sheetView>
  </sheetViews>
  <sheetFormatPr defaultRowHeight="14.4" x14ac:dyDescent="0.3"/>
  <sheetData>
    <row r="1" spans="1:3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3">
      <c r="A2" s="1">
        <v>45825</v>
      </c>
      <c r="B2" s="1">
        <v>45826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M2" t="s">
        <v>46</v>
      </c>
      <c r="O2" t="s">
        <v>47</v>
      </c>
      <c r="P2" t="s">
        <v>48</v>
      </c>
      <c r="Q2" t="s">
        <v>49</v>
      </c>
      <c r="R2" t="s">
        <v>50</v>
      </c>
      <c r="S2" s="1">
        <v>45778</v>
      </c>
      <c r="U2" t="s">
        <v>51</v>
      </c>
      <c r="X2" t="s">
        <v>52</v>
      </c>
      <c r="Y2" s="2">
        <v>0</v>
      </c>
      <c r="Z2" s="2">
        <v>101.5</v>
      </c>
      <c r="AA2">
        <v>1</v>
      </c>
      <c r="AB2" s="3">
        <v>1</v>
      </c>
      <c r="AC2" s="2">
        <v>101.5</v>
      </c>
      <c r="AD2" s="3">
        <v>0</v>
      </c>
      <c r="AE2" s="2">
        <v>0</v>
      </c>
      <c r="AF2" s="2">
        <v>101.5</v>
      </c>
      <c r="AK2">
        <v>0</v>
      </c>
      <c r="AL2" t="s">
        <v>53</v>
      </c>
    </row>
    <row r="3" spans="1:38" x14ac:dyDescent="0.3">
      <c r="A3" s="1">
        <v>45825</v>
      </c>
      <c r="B3" s="1">
        <v>45826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54</v>
      </c>
      <c r="J3" t="s">
        <v>55</v>
      </c>
      <c r="M3" t="s">
        <v>56</v>
      </c>
      <c r="O3" t="s">
        <v>57</v>
      </c>
      <c r="P3" t="s">
        <v>58</v>
      </c>
      <c r="Q3" t="s">
        <v>59</v>
      </c>
      <c r="R3" t="s">
        <v>60</v>
      </c>
      <c r="S3" s="1">
        <v>45839</v>
      </c>
      <c r="U3" t="s">
        <v>51</v>
      </c>
      <c r="X3" t="s">
        <v>52</v>
      </c>
      <c r="Y3" s="2">
        <v>0</v>
      </c>
      <c r="Z3" s="2">
        <v>15</v>
      </c>
      <c r="AA3">
        <v>1</v>
      </c>
      <c r="AB3" s="3">
        <v>1</v>
      </c>
      <c r="AC3" s="2">
        <v>15</v>
      </c>
      <c r="AD3" s="3">
        <v>0</v>
      </c>
      <c r="AE3" s="2">
        <v>0</v>
      </c>
      <c r="AF3" s="2">
        <v>15</v>
      </c>
      <c r="AK3">
        <v>5596612</v>
      </c>
    </row>
    <row r="4" spans="1:38" x14ac:dyDescent="0.3">
      <c r="A4" s="1">
        <v>45825</v>
      </c>
      <c r="B4" s="1">
        <v>45826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61</v>
      </c>
      <c r="J4" t="s">
        <v>62</v>
      </c>
      <c r="M4" t="s">
        <v>63</v>
      </c>
      <c r="O4" t="s">
        <v>64</v>
      </c>
      <c r="P4" t="s">
        <v>65</v>
      </c>
      <c r="Q4" t="s">
        <v>59</v>
      </c>
      <c r="R4" t="s">
        <v>60</v>
      </c>
      <c r="S4" s="1">
        <v>45809</v>
      </c>
      <c r="U4" t="s">
        <v>51</v>
      </c>
      <c r="X4" t="s">
        <v>52</v>
      </c>
      <c r="Y4" s="2">
        <v>0</v>
      </c>
      <c r="Z4" s="2">
        <v>15</v>
      </c>
      <c r="AA4">
        <v>1</v>
      </c>
      <c r="AB4" s="3">
        <v>1</v>
      </c>
      <c r="AC4" s="2">
        <v>15</v>
      </c>
      <c r="AD4" s="3">
        <v>0</v>
      </c>
      <c r="AE4" s="2">
        <v>0</v>
      </c>
      <c r="AF4" s="2">
        <v>15</v>
      </c>
      <c r="AK4">
        <v>5596614</v>
      </c>
    </row>
    <row r="5" spans="1:38" x14ac:dyDescent="0.3">
      <c r="A5" s="1">
        <v>45825</v>
      </c>
      <c r="B5" s="1">
        <v>45826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66</v>
      </c>
      <c r="J5" t="s">
        <v>67</v>
      </c>
      <c r="M5" t="s">
        <v>68</v>
      </c>
      <c r="O5" t="s">
        <v>69</v>
      </c>
      <c r="P5" t="s">
        <v>70</v>
      </c>
      <c r="Q5" t="s">
        <v>59</v>
      </c>
      <c r="R5" t="s">
        <v>50</v>
      </c>
      <c r="S5" s="1">
        <v>45839</v>
      </c>
      <c r="U5" t="s">
        <v>51</v>
      </c>
      <c r="X5" t="s">
        <v>52</v>
      </c>
      <c r="Y5" s="2">
        <v>0</v>
      </c>
      <c r="Z5" s="2">
        <v>175</v>
      </c>
      <c r="AA5">
        <v>1</v>
      </c>
      <c r="AB5" s="3">
        <v>1</v>
      </c>
      <c r="AC5" s="2">
        <v>175</v>
      </c>
      <c r="AD5" s="3">
        <v>0</v>
      </c>
      <c r="AE5" s="2">
        <v>0</v>
      </c>
      <c r="AF5" s="2">
        <v>175</v>
      </c>
      <c r="AK5">
        <v>5596672</v>
      </c>
    </row>
    <row r="6" spans="1:38" x14ac:dyDescent="0.3">
      <c r="A6" s="1">
        <v>45825</v>
      </c>
      <c r="B6" s="1">
        <v>45826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71</v>
      </c>
      <c r="J6" t="s">
        <v>72</v>
      </c>
      <c r="M6" t="s">
        <v>73</v>
      </c>
      <c r="O6" t="s">
        <v>69</v>
      </c>
      <c r="P6" t="s">
        <v>70</v>
      </c>
      <c r="Q6" t="s">
        <v>59</v>
      </c>
      <c r="R6" t="s">
        <v>50</v>
      </c>
      <c r="S6" s="1">
        <v>45839</v>
      </c>
      <c r="U6" t="s">
        <v>51</v>
      </c>
      <c r="X6" t="s">
        <v>52</v>
      </c>
      <c r="Y6" s="2">
        <v>0</v>
      </c>
      <c r="Z6" s="2">
        <v>175</v>
      </c>
      <c r="AA6">
        <v>1</v>
      </c>
      <c r="AB6" s="3">
        <v>1</v>
      </c>
      <c r="AC6" s="2">
        <v>175</v>
      </c>
      <c r="AD6" s="3">
        <v>0</v>
      </c>
      <c r="AE6" s="2">
        <v>0</v>
      </c>
      <c r="AF6" s="2">
        <v>175</v>
      </c>
      <c r="AK6">
        <v>5596699</v>
      </c>
    </row>
    <row r="7" spans="1:38" x14ac:dyDescent="0.3">
      <c r="A7" s="1">
        <v>45825</v>
      </c>
      <c r="B7" s="1">
        <v>45826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74</v>
      </c>
      <c r="J7" t="s">
        <v>75</v>
      </c>
      <c r="M7" t="s">
        <v>68</v>
      </c>
      <c r="O7" t="s">
        <v>76</v>
      </c>
      <c r="P7" t="s">
        <v>77</v>
      </c>
      <c r="Q7" t="s">
        <v>59</v>
      </c>
      <c r="R7" t="s">
        <v>50</v>
      </c>
      <c r="S7" s="1">
        <v>45839</v>
      </c>
      <c r="U7" t="s">
        <v>51</v>
      </c>
      <c r="X7" t="s">
        <v>52</v>
      </c>
      <c r="Y7" s="2">
        <v>0</v>
      </c>
      <c r="Z7" s="2">
        <v>175</v>
      </c>
      <c r="AA7">
        <v>1</v>
      </c>
      <c r="AB7" s="3">
        <v>1</v>
      </c>
      <c r="AC7" s="2">
        <v>175</v>
      </c>
      <c r="AD7" s="3">
        <v>0</v>
      </c>
      <c r="AE7" s="2">
        <v>0</v>
      </c>
      <c r="AF7" s="2">
        <v>175</v>
      </c>
      <c r="AK7">
        <v>5596725</v>
      </c>
    </row>
    <row r="8" spans="1:38" x14ac:dyDescent="0.3">
      <c r="A8" s="1">
        <v>45825</v>
      </c>
      <c r="B8" s="1">
        <v>45826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78</v>
      </c>
      <c r="J8" t="s">
        <v>79</v>
      </c>
      <c r="M8" t="s">
        <v>63</v>
      </c>
      <c r="O8" t="s">
        <v>80</v>
      </c>
      <c r="P8" t="s">
        <v>81</v>
      </c>
      <c r="Q8" t="s">
        <v>59</v>
      </c>
      <c r="R8" t="s">
        <v>60</v>
      </c>
      <c r="S8" s="1">
        <v>45870</v>
      </c>
      <c r="U8" t="s">
        <v>51</v>
      </c>
      <c r="X8" t="s">
        <v>52</v>
      </c>
      <c r="Y8" s="2">
        <v>0</v>
      </c>
      <c r="Z8" s="2">
        <v>15</v>
      </c>
      <c r="AA8">
        <v>1</v>
      </c>
      <c r="AB8" s="3">
        <v>1</v>
      </c>
      <c r="AC8" s="2">
        <v>15</v>
      </c>
      <c r="AD8" s="3">
        <v>0</v>
      </c>
      <c r="AE8" s="2">
        <v>0</v>
      </c>
      <c r="AF8" s="2">
        <v>15</v>
      </c>
      <c r="AK8">
        <v>5596619</v>
      </c>
    </row>
    <row r="9" spans="1:38" x14ac:dyDescent="0.3">
      <c r="A9" s="1">
        <v>45825</v>
      </c>
      <c r="B9" s="1">
        <v>45826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82</v>
      </c>
      <c r="J9" t="s">
        <v>83</v>
      </c>
      <c r="M9" t="s">
        <v>84</v>
      </c>
      <c r="O9" t="s">
        <v>47</v>
      </c>
      <c r="P9" t="s">
        <v>48</v>
      </c>
      <c r="Q9" t="s">
        <v>59</v>
      </c>
      <c r="R9" t="s">
        <v>50</v>
      </c>
      <c r="S9" s="1">
        <v>45870</v>
      </c>
      <c r="U9" t="s">
        <v>51</v>
      </c>
      <c r="X9" t="s">
        <v>52</v>
      </c>
      <c r="Y9" s="2">
        <v>0</v>
      </c>
      <c r="Z9" s="2">
        <v>175</v>
      </c>
      <c r="AA9">
        <v>1</v>
      </c>
      <c r="AB9" s="3">
        <v>1</v>
      </c>
      <c r="AC9" s="2">
        <v>175</v>
      </c>
      <c r="AD9" s="3">
        <v>0</v>
      </c>
      <c r="AE9" s="2">
        <v>0</v>
      </c>
      <c r="AF9" s="2">
        <v>175</v>
      </c>
      <c r="AK9">
        <v>5596742</v>
      </c>
    </row>
    <row r="10" spans="1:38" x14ac:dyDescent="0.3">
      <c r="A10" s="1">
        <v>45825</v>
      </c>
      <c r="B10" s="1">
        <v>45826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85</v>
      </c>
      <c r="J10" t="s">
        <v>86</v>
      </c>
      <c r="M10" t="s">
        <v>87</v>
      </c>
      <c r="O10" t="s">
        <v>88</v>
      </c>
      <c r="P10" t="s">
        <v>89</v>
      </c>
      <c r="Q10" t="s">
        <v>59</v>
      </c>
      <c r="R10" t="s">
        <v>50</v>
      </c>
      <c r="S10" s="1">
        <v>45870</v>
      </c>
      <c r="U10" t="s">
        <v>51</v>
      </c>
      <c r="X10" t="s">
        <v>52</v>
      </c>
      <c r="Y10" s="2">
        <v>0</v>
      </c>
      <c r="Z10" s="2">
        <v>175</v>
      </c>
      <c r="AA10">
        <v>1</v>
      </c>
      <c r="AB10" s="3">
        <v>1</v>
      </c>
      <c r="AC10" s="2">
        <v>175</v>
      </c>
      <c r="AD10" s="3">
        <v>0</v>
      </c>
      <c r="AE10" s="2">
        <v>0</v>
      </c>
      <c r="AF10" s="2">
        <v>175</v>
      </c>
      <c r="AK10">
        <v>5596748</v>
      </c>
    </row>
    <row r="11" spans="1:38" x14ac:dyDescent="0.3">
      <c r="A11" s="1">
        <v>45825</v>
      </c>
      <c r="B11" s="1">
        <v>45826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90</v>
      </c>
      <c r="J11" t="s">
        <v>91</v>
      </c>
      <c r="M11" t="s">
        <v>68</v>
      </c>
      <c r="O11" t="s">
        <v>92</v>
      </c>
      <c r="P11" t="s">
        <v>93</v>
      </c>
      <c r="Q11" t="s">
        <v>59</v>
      </c>
      <c r="R11" t="s">
        <v>50</v>
      </c>
      <c r="S11" s="1">
        <v>45839</v>
      </c>
      <c r="U11" t="s">
        <v>51</v>
      </c>
      <c r="X11" t="s">
        <v>52</v>
      </c>
      <c r="Y11" s="2">
        <v>0</v>
      </c>
      <c r="Z11" s="2">
        <v>175</v>
      </c>
      <c r="AA11">
        <v>1</v>
      </c>
      <c r="AB11" s="3">
        <v>1</v>
      </c>
      <c r="AC11" s="2">
        <v>175</v>
      </c>
      <c r="AD11" s="3">
        <v>0</v>
      </c>
      <c r="AE11" s="2">
        <v>0</v>
      </c>
      <c r="AF11" s="2">
        <v>175</v>
      </c>
      <c r="AK11">
        <v>5596751</v>
      </c>
    </row>
    <row r="12" spans="1:38" x14ac:dyDescent="0.3">
      <c r="A12" s="1">
        <v>45825</v>
      </c>
      <c r="B12" s="1">
        <v>45826</v>
      </c>
      <c r="C12" t="s">
        <v>38</v>
      </c>
      <c r="D12" t="s">
        <v>39</v>
      </c>
      <c r="E12" t="s">
        <v>40</v>
      </c>
      <c r="F12" t="s">
        <v>41</v>
      </c>
      <c r="G12" t="s">
        <v>42</v>
      </c>
      <c r="H12" t="s">
        <v>43</v>
      </c>
      <c r="I12" t="s">
        <v>94</v>
      </c>
      <c r="J12" t="s">
        <v>95</v>
      </c>
      <c r="M12" t="s">
        <v>68</v>
      </c>
      <c r="O12" t="s">
        <v>88</v>
      </c>
      <c r="P12" t="s">
        <v>89</v>
      </c>
      <c r="Q12" t="s">
        <v>59</v>
      </c>
      <c r="R12" t="s">
        <v>96</v>
      </c>
      <c r="S12" s="1">
        <v>45839</v>
      </c>
      <c r="U12" t="s">
        <v>51</v>
      </c>
      <c r="X12" t="s">
        <v>52</v>
      </c>
      <c r="Y12" s="2">
        <v>0</v>
      </c>
      <c r="Z12" s="2">
        <v>25</v>
      </c>
      <c r="AA12">
        <v>1</v>
      </c>
      <c r="AB12" s="3">
        <v>1</v>
      </c>
      <c r="AC12" s="2">
        <v>25</v>
      </c>
      <c r="AD12" s="3">
        <v>0</v>
      </c>
      <c r="AE12" s="2">
        <v>0</v>
      </c>
      <c r="AF12" s="2">
        <v>25</v>
      </c>
      <c r="AK12">
        <v>5596579</v>
      </c>
      <c r="AL12" t="s">
        <v>97</v>
      </c>
    </row>
    <row r="13" spans="1:38" x14ac:dyDescent="0.3">
      <c r="A13" s="1">
        <v>45825</v>
      </c>
      <c r="B13" s="1">
        <v>45826</v>
      </c>
      <c r="C13" t="s">
        <v>38</v>
      </c>
      <c r="D13" t="s">
        <v>39</v>
      </c>
      <c r="E13" t="s">
        <v>40</v>
      </c>
      <c r="F13" t="s">
        <v>41</v>
      </c>
      <c r="G13" t="s">
        <v>42</v>
      </c>
      <c r="H13" t="s">
        <v>43</v>
      </c>
      <c r="I13" t="s">
        <v>98</v>
      </c>
      <c r="J13" t="s">
        <v>99</v>
      </c>
      <c r="O13" t="s">
        <v>100</v>
      </c>
      <c r="P13" t="s">
        <v>101</v>
      </c>
      <c r="Q13" t="s">
        <v>59</v>
      </c>
      <c r="R13" t="s">
        <v>102</v>
      </c>
      <c r="S13" s="1">
        <v>45809</v>
      </c>
      <c r="U13" t="s">
        <v>51</v>
      </c>
      <c r="X13" t="s">
        <v>52</v>
      </c>
      <c r="Y13" s="2">
        <v>0</v>
      </c>
      <c r="Z13" s="2">
        <v>87.5</v>
      </c>
      <c r="AA13">
        <v>1</v>
      </c>
      <c r="AB13" s="3">
        <v>1</v>
      </c>
      <c r="AC13" s="2">
        <v>87.5</v>
      </c>
      <c r="AD13" s="3">
        <v>0</v>
      </c>
      <c r="AE13" s="2">
        <v>0</v>
      </c>
      <c r="AF13" s="2">
        <v>87.5</v>
      </c>
      <c r="AK13">
        <v>5596879</v>
      </c>
      <c r="AL13" t="s">
        <v>103</v>
      </c>
    </row>
    <row r="14" spans="1:38" x14ac:dyDescent="0.3">
      <c r="A14" s="1">
        <v>45825</v>
      </c>
      <c r="B14" s="1">
        <v>45826</v>
      </c>
      <c r="C14" t="s">
        <v>38</v>
      </c>
      <c r="D14" t="s">
        <v>39</v>
      </c>
      <c r="E14" t="s">
        <v>40</v>
      </c>
      <c r="F14" t="s">
        <v>41</v>
      </c>
      <c r="G14" t="s">
        <v>42</v>
      </c>
      <c r="H14" t="s">
        <v>43</v>
      </c>
      <c r="I14" t="s">
        <v>104</v>
      </c>
      <c r="J14" t="s">
        <v>105</v>
      </c>
      <c r="M14" t="s">
        <v>106</v>
      </c>
      <c r="O14" t="s">
        <v>107</v>
      </c>
      <c r="P14" t="s">
        <v>108</v>
      </c>
      <c r="Q14" t="s">
        <v>59</v>
      </c>
      <c r="R14" t="s">
        <v>109</v>
      </c>
      <c r="S14" s="1">
        <v>45839</v>
      </c>
      <c r="U14" t="s">
        <v>51</v>
      </c>
      <c r="X14" t="s">
        <v>52</v>
      </c>
      <c r="Y14" s="2">
        <v>0</v>
      </c>
      <c r="Z14" s="2">
        <v>58.19</v>
      </c>
      <c r="AA14">
        <v>9</v>
      </c>
      <c r="AB14" s="3">
        <v>1</v>
      </c>
      <c r="AC14" s="2">
        <v>523.71</v>
      </c>
      <c r="AD14" s="3">
        <v>0</v>
      </c>
      <c r="AE14" s="2">
        <v>0</v>
      </c>
      <c r="AF14" s="2">
        <v>523.71</v>
      </c>
      <c r="AK14">
        <v>5596757</v>
      </c>
    </row>
    <row r="15" spans="1:38" x14ac:dyDescent="0.3">
      <c r="A15" s="1">
        <v>45825</v>
      </c>
      <c r="B15" s="1">
        <v>45826</v>
      </c>
      <c r="C15" t="s">
        <v>38</v>
      </c>
      <c r="D15" t="s">
        <v>39</v>
      </c>
      <c r="E15" t="s">
        <v>40</v>
      </c>
      <c r="F15" t="s">
        <v>41</v>
      </c>
      <c r="G15" t="s">
        <v>42</v>
      </c>
      <c r="H15" t="s">
        <v>43</v>
      </c>
      <c r="I15" t="s">
        <v>110</v>
      </c>
      <c r="J15" t="s">
        <v>111</v>
      </c>
      <c r="M15" t="s">
        <v>106</v>
      </c>
      <c r="O15" t="s">
        <v>107</v>
      </c>
      <c r="P15" t="s">
        <v>108</v>
      </c>
      <c r="Q15" t="s">
        <v>59</v>
      </c>
      <c r="R15" t="s">
        <v>109</v>
      </c>
      <c r="S15" s="1">
        <v>45839</v>
      </c>
      <c r="U15" t="s">
        <v>51</v>
      </c>
      <c r="X15" t="s">
        <v>52</v>
      </c>
      <c r="Y15" s="2">
        <v>0</v>
      </c>
      <c r="Z15" s="2">
        <v>58.19</v>
      </c>
      <c r="AA15">
        <v>9</v>
      </c>
      <c r="AB15" s="3">
        <v>1</v>
      </c>
      <c r="AC15" s="2">
        <v>523.71</v>
      </c>
      <c r="AD15" s="3">
        <v>0</v>
      </c>
      <c r="AE15" s="2">
        <v>0</v>
      </c>
      <c r="AF15" s="2">
        <v>523.71</v>
      </c>
      <c r="AK15">
        <v>5596756</v>
      </c>
    </row>
    <row r="16" spans="1:38" x14ac:dyDescent="0.3">
      <c r="A16" s="1">
        <v>45825</v>
      </c>
      <c r="B16" s="1">
        <v>45826</v>
      </c>
      <c r="C16" t="s">
        <v>112</v>
      </c>
      <c r="D16" t="s">
        <v>39</v>
      </c>
      <c r="E16" t="s">
        <v>40</v>
      </c>
      <c r="F16" t="s">
        <v>41</v>
      </c>
      <c r="G16" t="s">
        <v>42</v>
      </c>
      <c r="H16" t="s">
        <v>43</v>
      </c>
      <c r="I16" t="s">
        <v>113</v>
      </c>
      <c r="J16" t="s">
        <v>114</v>
      </c>
      <c r="M16" t="s">
        <v>46</v>
      </c>
      <c r="O16" t="s">
        <v>88</v>
      </c>
      <c r="P16" t="s">
        <v>89</v>
      </c>
      <c r="Q16" t="s">
        <v>115</v>
      </c>
      <c r="R16" t="s">
        <v>116</v>
      </c>
      <c r="S16" s="1">
        <v>45658</v>
      </c>
      <c r="U16" t="s">
        <v>51</v>
      </c>
      <c r="X16" t="s">
        <v>52</v>
      </c>
      <c r="AF16" s="2">
        <v>108</v>
      </c>
      <c r="AG16" s="2">
        <v>0</v>
      </c>
      <c r="AJ16" s="2">
        <v>62.64</v>
      </c>
    </row>
    <row r="17" spans="1:36" x14ac:dyDescent="0.3">
      <c r="A17" s="1">
        <v>45825</v>
      </c>
      <c r="B17" s="1">
        <v>45826</v>
      </c>
      <c r="C17" t="s">
        <v>112</v>
      </c>
      <c r="D17" t="s">
        <v>39</v>
      </c>
      <c r="E17" t="s">
        <v>40</v>
      </c>
      <c r="F17" t="s">
        <v>41</v>
      </c>
      <c r="G17" t="s">
        <v>42</v>
      </c>
      <c r="H17" t="s">
        <v>43</v>
      </c>
      <c r="I17" t="s">
        <v>117</v>
      </c>
      <c r="J17" t="s">
        <v>118</v>
      </c>
      <c r="M17" t="s">
        <v>46</v>
      </c>
      <c r="O17" t="s">
        <v>88</v>
      </c>
      <c r="P17" t="s">
        <v>89</v>
      </c>
      <c r="Q17" t="s">
        <v>115</v>
      </c>
      <c r="R17" t="s">
        <v>50</v>
      </c>
      <c r="S17" s="1">
        <v>45658</v>
      </c>
      <c r="U17" t="s">
        <v>51</v>
      </c>
      <c r="X17" t="s">
        <v>52</v>
      </c>
      <c r="AF17" s="2">
        <v>175</v>
      </c>
      <c r="AG17" s="2">
        <v>0</v>
      </c>
      <c r="AJ17" s="2">
        <v>87.5</v>
      </c>
    </row>
    <row r="18" spans="1:36" x14ac:dyDescent="0.3">
      <c r="A18" s="1">
        <v>45825</v>
      </c>
      <c r="B18" s="1">
        <v>45826</v>
      </c>
      <c r="C18" t="s">
        <v>112</v>
      </c>
      <c r="D18" t="s">
        <v>39</v>
      </c>
      <c r="E18" t="s">
        <v>40</v>
      </c>
      <c r="F18" t="s">
        <v>41</v>
      </c>
      <c r="G18" t="s">
        <v>42</v>
      </c>
      <c r="H18" t="s">
        <v>43</v>
      </c>
      <c r="I18" t="s">
        <v>119</v>
      </c>
      <c r="J18" t="s">
        <v>120</v>
      </c>
      <c r="M18" t="s">
        <v>63</v>
      </c>
      <c r="O18" t="s">
        <v>121</v>
      </c>
      <c r="P18" t="s">
        <v>122</v>
      </c>
      <c r="Q18" t="s">
        <v>115</v>
      </c>
      <c r="R18" t="s">
        <v>123</v>
      </c>
      <c r="S18" s="1">
        <v>45658</v>
      </c>
      <c r="U18" t="s">
        <v>51</v>
      </c>
      <c r="X18" t="s">
        <v>52</v>
      </c>
      <c r="AF18" s="2">
        <v>50</v>
      </c>
      <c r="AG18" s="2">
        <v>0</v>
      </c>
      <c r="AJ18" s="2">
        <v>29.17</v>
      </c>
    </row>
    <row r="19" spans="1:36" x14ac:dyDescent="0.3">
      <c r="A19" s="1">
        <v>45825</v>
      </c>
      <c r="B19" s="1">
        <v>45826</v>
      </c>
      <c r="C19" t="s">
        <v>112</v>
      </c>
      <c r="D19" t="s">
        <v>39</v>
      </c>
      <c r="E19" t="s">
        <v>40</v>
      </c>
      <c r="F19" t="s">
        <v>41</v>
      </c>
      <c r="G19" t="s">
        <v>42</v>
      </c>
      <c r="H19" t="s">
        <v>43</v>
      </c>
      <c r="I19" t="s">
        <v>124</v>
      </c>
      <c r="J19" t="s">
        <v>125</v>
      </c>
      <c r="M19" t="s">
        <v>87</v>
      </c>
      <c r="O19" t="s">
        <v>126</v>
      </c>
      <c r="P19" t="s">
        <v>127</v>
      </c>
      <c r="Q19" t="s">
        <v>115</v>
      </c>
      <c r="R19" t="s">
        <v>128</v>
      </c>
      <c r="S19" s="1">
        <v>45778</v>
      </c>
      <c r="U19" t="s">
        <v>51</v>
      </c>
      <c r="X19" t="s">
        <v>52</v>
      </c>
      <c r="AF19" s="2">
        <v>175</v>
      </c>
      <c r="AG19" s="2">
        <v>0</v>
      </c>
      <c r="AJ19" s="2">
        <v>160.41999999999999</v>
      </c>
    </row>
    <row r="20" spans="1:36" x14ac:dyDescent="0.3">
      <c r="A20" s="1">
        <v>45825</v>
      </c>
      <c r="B20" s="1">
        <v>45826</v>
      </c>
      <c r="C20" t="s">
        <v>112</v>
      </c>
      <c r="D20" t="s">
        <v>39</v>
      </c>
      <c r="E20" t="s">
        <v>40</v>
      </c>
      <c r="F20" t="s">
        <v>41</v>
      </c>
      <c r="G20" t="s">
        <v>42</v>
      </c>
      <c r="H20" t="s">
        <v>43</v>
      </c>
      <c r="I20" t="s">
        <v>129</v>
      </c>
      <c r="J20" t="s">
        <v>125</v>
      </c>
      <c r="M20" t="s">
        <v>87</v>
      </c>
      <c r="O20" t="s">
        <v>126</v>
      </c>
      <c r="P20" t="s">
        <v>127</v>
      </c>
      <c r="Q20" t="s">
        <v>115</v>
      </c>
      <c r="R20" t="s">
        <v>130</v>
      </c>
      <c r="S20" s="1">
        <v>45778</v>
      </c>
      <c r="U20" t="s">
        <v>51</v>
      </c>
      <c r="X20" t="s">
        <v>52</v>
      </c>
      <c r="AF20" s="2">
        <v>626</v>
      </c>
      <c r="AG20" s="2">
        <v>0</v>
      </c>
      <c r="AJ20" s="2">
        <v>573.85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45BD9-2F09-4F6D-A81C-27106F3E3C0B}">
  <dimension ref="A1:R20"/>
  <sheetViews>
    <sheetView tabSelected="1" topLeftCell="F1" workbookViewId="0">
      <selection activeCell="R2" sqref="R2:R20"/>
    </sheetView>
  </sheetViews>
  <sheetFormatPr defaultRowHeight="14.4" x14ac:dyDescent="0.3"/>
  <cols>
    <col min="1" max="1" width="16.33203125" style="4" bestFit="1" customWidth="1"/>
    <col min="2" max="2" width="17.44140625" style="5" bestFit="1" customWidth="1"/>
    <col min="3" max="3" width="18.88671875" style="6" bestFit="1" customWidth="1"/>
    <col min="4" max="4" width="14.33203125" style="6" bestFit="1" customWidth="1"/>
    <col min="5" max="5" width="22.21875" style="6" bestFit="1" customWidth="1"/>
    <col min="6" max="6" width="44.21875" style="6" bestFit="1" customWidth="1"/>
    <col min="7" max="16" width="8.88671875" style="6"/>
    <col min="17" max="17" width="31.5546875" style="6" bestFit="1" customWidth="1"/>
    <col min="18" max="16384" width="8.88671875" style="6"/>
  </cols>
  <sheetData>
    <row r="1" spans="1:17" x14ac:dyDescent="0.3">
      <c r="A1" s="4" t="s">
        <v>8</v>
      </c>
      <c r="C1" s="6" t="s">
        <v>9</v>
      </c>
      <c r="D1" s="6" t="s">
        <v>14</v>
      </c>
      <c r="E1" s="6" t="s">
        <v>15</v>
      </c>
      <c r="F1" s="6" t="s">
        <v>17</v>
      </c>
      <c r="G1" s="6" t="s">
        <v>18</v>
      </c>
      <c r="H1" s="6" t="s">
        <v>19</v>
      </c>
      <c r="I1" s="6" t="s">
        <v>21</v>
      </c>
      <c r="J1" s="6" t="s">
        <v>22</v>
      </c>
      <c r="K1" s="6" t="s">
        <v>23</v>
      </c>
      <c r="L1" s="6" t="s">
        <v>24</v>
      </c>
      <c r="M1" s="6" t="s">
        <v>25</v>
      </c>
      <c r="N1" s="6" t="s">
        <v>26</v>
      </c>
      <c r="O1" s="6" t="s">
        <v>27</v>
      </c>
      <c r="P1" s="6" t="s">
        <v>28</v>
      </c>
      <c r="Q1" s="6" t="s">
        <v>37</v>
      </c>
    </row>
    <row r="2" spans="1:17" x14ac:dyDescent="0.3">
      <c r="A2" s="4">
        <v>101815426600</v>
      </c>
      <c r="B2" s="5" t="str">
        <f>_xlfn.CONCAT(A2,9)</f>
        <v>1018154266009</v>
      </c>
      <c r="C2" s="6" t="s">
        <v>120</v>
      </c>
      <c r="D2" s="6">
        <v>20411454</v>
      </c>
      <c r="E2" s="6" t="s">
        <v>155</v>
      </c>
      <c r="F2" s="6" t="s">
        <v>123</v>
      </c>
      <c r="G2" s="7">
        <v>45658</v>
      </c>
      <c r="K2" s="6" t="s">
        <v>52</v>
      </c>
      <c r="P2" s="8">
        <v>-29.17</v>
      </c>
      <c r="Q2" s="6" t="s">
        <v>144</v>
      </c>
    </row>
    <row r="3" spans="1:17" x14ac:dyDescent="0.3">
      <c r="A3" s="4">
        <v>102174805300</v>
      </c>
      <c r="B3" s="5" t="str">
        <f t="shared" ref="B2:B12" si="0">_xlfn.CONCAT(A3,0)</f>
        <v>1021748053000</v>
      </c>
      <c r="C3" s="6" t="s">
        <v>95</v>
      </c>
      <c r="D3" s="6">
        <v>20411454</v>
      </c>
      <c r="E3" s="6" t="s">
        <v>155</v>
      </c>
      <c r="F3" s="6" t="s">
        <v>96</v>
      </c>
      <c r="G3" s="7">
        <v>45839</v>
      </c>
      <c r="K3" s="6" t="s">
        <v>52</v>
      </c>
      <c r="L3" s="9">
        <v>0</v>
      </c>
      <c r="M3" s="9">
        <v>25</v>
      </c>
      <c r="N3" s="6">
        <v>1</v>
      </c>
      <c r="O3" s="10">
        <v>1</v>
      </c>
      <c r="P3" s="9">
        <v>25</v>
      </c>
      <c r="Q3" s="6" t="s">
        <v>144</v>
      </c>
    </row>
    <row r="4" spans="1:17" x14ac:dyDescent="0.3">
      <c r="A4" s="4" t="s">
        <v>131</v>
      </c>
      <c r="B4" s="5" t="str">
        <f t="shared" si="0"/>
        <v>00023070047K0</v>
      </c>
      <c r="C4" s="6" t="s">
        <v>45</v>
      </c>
      <c r="D4" s="6">
        <v>20411454</v>
      </c>
      <c r="E4" s="6" t="s">
        <v>155</v>
      </c>
      <c r="F4" s="6" t="s">
        <v>50</v>
      </c>
      <c r="G4" s="7">
        <v>45778</v>
      </c>
      <c r="K4" s="6" t="s">
        <v>52</v>
      </c>
      <c r="L4" s="9">
        <v>0</v>
      </c>
      <c r="M4" s="9">
        <v>101.5</v>
      </c>
      <c r="N4" s="6">
        <v>1</v>
      </c>
      <c r="O4" s="10">
        <v>1</v>
      </c>
      <c r="P4" s="9">
        <v>101.5</v>
      </c>
      <c r="Q4" s="6" t="s">
        <v>145</v>
      </c>
    </row>
    <row r="5" spans="1:17" x14ac:dyDescent="0.3">
      <c r="A5" s="4" t="s">
        <v>134</v>
      </c>
      <c r="B5" s="5" t="str">
        <f t="shared" si="0"/>
        <v>00023394237K0</v>
      </c>
      <c r="C5" s="6" t="s">
        <v>67</v>
      </c>
      <c r="D5" s="6">
        <v>20411454</v>
      </c>
      <c r="E5" s="6" t="s">
        <v>155</v>
      </c>
      <c r="F5" s="6" t="s">
        <v>50</v>
      </c>
      <c r="G5" s="7">
        <v>45839</v>
      </c>
      <c r="K5" s="6" t="s">
        <v>52</v>
      </c>
      <c r="L5" s="9">
        <v>0</v>
      </c>
      <c r="M5" s="9">
        <v>175</v>
      </c>
      <c r="N5" s="6">
        <v>1</v>
      </c>
      <c r="O5" s="10">
        <v>1</v>
      </c>
      <c r="P5" s="9">
        <v>175</v>
      </c>
      <c r="Q5" s="6" t="s">
        <v>145</v>
      </c>
    </row>
    <row r="6" spans="1:17" x14ac:dyDescent="0.3">
      <c r="A6" s="4" t="s">
        <v>135</v>
      </c>
      <c r="B6" s="5" t="str">
        <f t="shared" si="0"/>
        <v>00023398875K0</v>
      </c>
      <c r="C6" s="6" t="s">
        <v>72</v>
      </c>
      <c r="D6" s="6">
        <v>20411454</v>
      </c>
      <c r="E6" s="6" t="s">
        <v>155</v>
      </c>
      <c r="F6" s="6" t="s">
        <v>50</v>
      </c>
      <c r="G6" s="7">
        <v>45839</v>
      </c>
      <c r="K6" s="6" t="s">
        <v>52</v>
      </c>
      <c r="L6" s="9">
        <v>0</v>
      </c>
      <c r="M6" s="9">
        <v>175</v>
      </c>
      <c r="N6" s="6">
        <v>1</v>
      </c>
      <c r="O6" s="10">
        <v>1</v>
      </c>
      <c r="P6" s="9">
        <v>175</v>
      </c>
      <c r="Q6" s="6" t="s">
        <v>145</v>
      </c>
    </row>
    <row r="7" spans="1:17" x14ac:dyDescent="0.3">
      <c r="A7" s="4" t="s">
        <v>136</v>
      </c>
      <c r="B7" s="5" t="str">
        <f t="shared" si="0"/>
        <v>00023403315K0</v>
      </c>
      <c r="C7" s="6" t="s">
        <v>75</v>
      </c>
      <c r="D7" s="6">
        <v>20411454</v>
      </c>
      <c r="E7" s="6" t="s">
        <v>155</v>
      </c>
      <c r="F7" s="6" t="s">
        <v>50</v>
      </c>
      <c r="G7" s="7">
        <v>45839</v>
      </c>
      <c r="K7" s="6" t="s">
        <v>52</v>
      </c>
      <c r="L7" s="9">
        <v>0</v>
      </c>
      <c r="M7" s="9">
        <v>175</v>
      </c>
      <c r="N7" s="6">
        <v>1</v>
      </c>
      <c r="O7" s="10">
        <v>1</v>
      </c>
      <c r="P7" s="9">
        <v>175</v>
      </c>
      <c r="Q7" s="6" t="s">
        <v>145</v>
      </c>
    </row>
    <row r="8" spans="1:17" x14ac:dyDescent="0.3">
      <c r="A8" s="4" t="s">
        <v>138</v>
      </c>
      <c r="B8" s="5" t="str">
        <f t="shared" si="0"/>
        <v>00023407552K0</v>
      </c>
      <c r="C8" s="6" t="s">
        <v>83</v>
      </c>
      <c r="D8" s="6">
        <v>20411454</v>
      </c>
      <c r="E8" s="6" t="s">
        <v>155</v>
      </c>
      <c r="F8" s="6" t="s">
        <v>50</v>
      </c>
      <c r="G8" s="7">
        <v>45870</v>
      </c>
      <c r="K8" s="6" t="s">
        <v>52</v>
      </c>
      <c r="L8" s="9">
        <v>0</v>
      </c>
      <c r="M8" s="9">
        <v>175</v>
      </c>
      <c r="N8" s="6">
        <v>1</v>
      </c>
      <c r="O8" s="10">
        <v>1</v>
      </c>
      <c r="P8" s="9">
        <v>175</v>
      </c>
      <c r="Q8" s="6" t="s">
        <v>145</v>
      </c>
    </row>
    <row r="9" spans="1:17" x14ac:dyDescent="0.3">
      <c r="A9" s="4" t="s">
        <v>139</v>
      </c>
      <c r="B9" s="5" t="str">
        <f t="shared" si="0"/>
        <v>00023408500K0</v>
      </c>
      <c r="C9" s="6" t="s">
        <v>86</v>
      </c>
      <c r="D9" s="6">
        <v>20411454</v>
      </c>
      <c r="E9" s="6" t="s">
        <v>155</v>
      </c>
      <c r="F9" s="6" t="s">
        <v>50</v>
      </c>
      <c r="G9" s="7">
        <v>45870</v>
      </c>
      <c r="K9" s="6" t="s">
        <v>52</v>
      </c>
      <c r="L9" s="9">
        <v>0</v>
      </c>
      <c r="M9" s="9">
        <v>175</v>
      </c>
      <c r="N9" s="6">
        <v>1</v>
      </c>
      <c r="O9" s="10">
        <v>1</v>
      </c>
      <c r="P9" s="9">
        <v>175</v>
      </c>
      <c r="Q9" s="6" t="s">
        <v>145</v>
      </c>
    </row>
    <row r="10" spans="1:17" x14ac:dyDescent="0.3">
      <c r="A10" s="4" t="s">
        <v>140</v>
      </c>
      <c r="B10" s="5" t="str">
        <f t="shared" si="0"/>
        <v>00023408740K0</v>
      </c>
      <c r="C10" s="6" t="s">
        <v>91</v>
      </c>
      <c r="D10" s="6">
        <v>20411454</v>
      </c>
      <c r="E10" s="6" t="s">
        <v>155</v>
      </c>
      <c r="F10" s="6" t="s">
        <v>50</v>
      </c>
      <c r="G10" s="7">
        <v>45839</v>
      </c>
      <c r="K10" s="6" t="s">
        <v>52</v>
      </c>
      <c r="L10" s="9">
        <v>0</v>
      </c>
      <c r="M10" s="9">
        <v>175</v>
      </c>
      <c r="N10" s="6">
        <v>1</v>
      </c>
      <c r="O10" s="10">
        <v>1</v>
      </c>
      <c r="P10" s="9">
        <v>175</v>
      </c>
      <c r="Q10" s="6" t="s">
        <v>145</v>
      </c>
    </row>
    <row r="11" spans="1:17" x14ac:dyDescent="0.3">
      <c r="A11" s="4" t="s">
        <v>153</v>
      </c>
      <c r="B11" s="5" t="str">
        <f t="shared" ref="B11:B12" si="1">_xlfn.CONCAT(A11,9)</f>
        <v>00022876089K9</v>
      </c>
      <c r="C11" s="6" t="s">
        <v>118</v>
      </c>
      <c r="D11" s="6">
        <v>20411454</v>
      </c>
      <c r="E11" s="6" t="s">
        <v>155</v>
      </c>
      <c r="F11" s="6" t="s">
        <v>50</v>
      </c>
      <c r="G11" s="7">
        <v>45658</v>
      </c>
      <c r="K11" s="6" t="s">
        <v>52</v>
      </c>
      <c r="P11" s="8">
        <v>-87.5</v>
      </c>
      <c r="Q11" s="6" t="s">
        <v>145</v>
      </c>
    </row>
    <row r="12" spans="1:17" x14ac:dyDescent="0.3">
      <c r="A12" s="4" t="s">
        <v>154</v>
      </c>
      <c r="B12" s="5" t="str">
        <f t="shared" si="1"/>
        <v>00021314916K9</v>
      </c>
      <c r="C12" s="6" t="s">
        <v>114</v>
      </c>
      <c r="D12" s="6">
        <v>20411454</v>
      </c>
      <c r="E12" s="6" t="s">
        <v>155</v>
      </c>
      <c r="F12" s="6" t="s">
        <v>116</v>
      </c>
      <c r="G12" s="7">
        <v>45658</v>
      </c>
      <c r="K12" s="6" t="s">
        <v>52</v>
      </c>
      <c r="P12" s="8">
        <v>-62.64</v>
      </c>
      <c r="Q12" s="6" t="s">
        <v>145</v>
      </c>
    </row>
    <row r="13" spans="1:17" x14ac:dyDescent="0.3">
      <c r="A13" s="4" t="s">
        <v>132</v>
      </c>
      <c r="B13" s="4" t="s">
        <v>132</v>
      </c>
      <c r="C13" s="6" t="s">
        <v>55</v>
      </c>
      <c r="D13" s="6">
        <v>371819</v>
      </c>
      <c r="E13" s="6" t="s">
        <v>58</v>
      </c>
      <c r="F13" s="6" t="s">
        <v>60</v>
      </c>
      <c r="G13" s="7">
        <v>45839</v>
      </c>
      <c r="K13" s="6" t="s">
        <v>52</v>
      </c>
      <c r="L13" s="9">
        <v>0</v>
      </c>
      <c r="M13" s="9">
        <v>15</v>
      </c>
      <c r="N13" s="6">
        <v>1</v>
      </c>
      <c r="O13" s="10">
        <v>1</v>
      </c>
      <c r="P13" s="9">
        <v>15</v>
      </c>
      <c r="Q13" s="6" t="s">
        <v>146</v>
      </c>
    </row>
    <row r="14" spans="1:17" x14ac:dyDescent="0.3">
      <c r="A14" s="4" t="s">
        <v>133</v>
      </c>
      <c r="B14" s="4" t="s">
        <v>133</v>
      </c>
      <c r="C14" s="6" t="s">
        <v>62</v>
      </c>
      <c r="D14" s="6">
        <v>17886092</v>
      </c>
      <c r="E14" s="6" t="s">
        <v>65</v>
      </c>
      <c r="F14" s="6" t="s">
        <v>60</v>
      </c>
      <c r="G14" s="7">
        <v>45809</v>
      </c>
      <c r="K14" s="6" t="s">
        <v>52</v>
      </c>
      <c r="L14" s="9">
        <v>0</v>
      </c>
      <c r="M14" s="9">
        <v>15</v>
      </c>
      <c r="N14" s="6">
        <v>1</v>
      </c>
      <c r="O14" s="10">
        <v>1</v>
      </c>
      <c r="P14" s="9">
        <v>15</v>
      </c>
      <c r="Q14" s="6" t="s">
        <v>146</v>
      </c>
    </row>
    <row r="15" spans="1:17" x14ac:dyDescent="0.3">
      <c r="A15" s="4" t="s">
        <v>137</v>
      </c>
      <c r="B15" s="4" t="s">
        <v>137</v>
      </c>
      <c r="C15" s="6" t="s">
        <v>79</v>
      </c>
      <c r="D15" s="6">
        <v>19278370</v>
      </c>
      <c r="E15" s="6" t="s">
        <v>81</v>
      </c>
      <c r="F15" s="6" t="s">
        <v>60</v>
      </c>
      <c r="G15" s="7">
        <v>45870</v>
      </c>
      <c r="K15" s="6" t="s">
        <v>52</v>
      </c>
      <c r="L15" s="9">
        <v>0</v>
      </c>
      <c r="M15" s="9">
        <v>15</v>
      </c>
      <c r="N15" s="6">
        <v>1</v>
      </c>
      <c r="O15" s="10">
        <v>1</v>
      </c>
      <c r="P15" s="9">
        <v>15</v>
      </c>
      <c r="Q15" s="6" t="s">
        <v>146</v>
      </c>
    </row>
    <row r="16" spans="1:17" x14ac:dyDescent="0.3">
      <c r="A16" s="4" t="s">
        <v>142</v>
      </c>
      <c r="B16" s="5" t="str">
        <f t="shared" ref="B16:B17" si="2">_xlfn.CONCAT(A16,1)</f>
        <v>A042895911</v>
      </c>
      <c r="C16" s="6" t="s">
        <v>105</v>
      </c>
      <c r="D16" s="6">
        <v>17425766</v>
      </c>
      <c r="E16" s="6" t="s">
        <v>108</v>
      </c>
      <c r="F16" s="6" t="s">
        <v>109</v>
      </c>
      <c r="G16" s="7">
        <v>45839</v>
      </c>
      <c r="K16" s="6" t="s">
        <v>52</v>
      </c>
      <c r="L16" s="9">
        <v>0</v>
      </c>
      <c r="M16" s="9">
        <v>58.19</v>
      </c>
      <c r="N16" s="6">
        <v>9</v>
      </c>
      <c r="O16" s="10">
        <v>1</v>
      </c>
      <c r="P16" s="9">
        <v>523.71</v>
      </c>
      <c r="Q16" s="6" t="s">
        <v>147</v>
      </c>
    </row>
    <row r="17" spans="1:18" x14ac:dyDescent="0.3">
      <c r="A17" s="4" t="s">
        <v>143</v>
      </c>
      <c r="B17" s="5" t="str">
        <f t="shared" si="2"/>
        <v>A042896071</v>
      </c>
      <c r="C17" s="6" t="s">
        <v>111</v>
      </c>
      <c r="D17" s="6">
        <v>17425766</v>
      </c>
      <c r="E17" s="6" t="s">
        <v>108</v>
      </c>
      <c r="F17" s="6" t="s">
        <v>109</v>
      </c>
      <c r="G17" s="7">
        <v>45839</v>
      </c>
      <c r="K17" s="6" t="s">
        <v>52</v>
      </c>
      <c r="L17" s="9">
        <v>0</v>
      </c>
      <c r="M17" s="9">
        <v>58.19</v>
      </c>
      <c r="N17" s="6">
        <v>9</v>
      </c>
      <c r="O17" s="10">
        <v>1</v>
      </c>
      <c r="P17" s="9">
        <v>523.71</v>
      </c>
      <c r="Q17" s="6" t="s">
        <v>147</v>
      </c>
    </row>
    <row r="18" spans="1:18" x14ac:dyDescent="0.3">
      <c r="A18" s="4" t="s">
        <v>150</v>
      </c>
      <c r="B18" s="5" t="s">
        <v>150</v>
      </c>
      <c r="C18" s="6" t="s">
        <v>125</v>
      </c>
      <c r="D18" s="6">
        <v>20411454</v>
      </c>
      <c r="E18" s="6" t="s">
        <v>155</v>
      </c>
      <c r="F18" s="6" t="s">
        <v>128</v>
      </c>
      <c r="G18" s="7">
        <v>45778</v>
      </c>
      <c r="K18" s="6" t="s">
        <v>52</v>
      </c>
      <c r="P18" s="8">
        <v>-160.41999999999999</v>
      </c>
      <c r="Q18" s="6" t="s">
        <v>149</v>
      </c>
    </row>
    <row r="19" spans="1:18" x14ac:dyDescent="0.3">
      <c r="A19" s="4">
        <v>972095971</v>
      </c>
      <c r="B19" s="5">
        <v>972095971</v>
      </c>
      <c r="C19" s="6" t="s">
        <v>125</v>
      </c>
      <c r="D19" s="6">
        <v>19645587</v>
      </c>
      <c r="E19" s="6" t="s">
        <v>127</v>
      </c>
      <c r="F19" s="6" t="s">
        <v>130</v>
      </c>
      <c r="G19" s="7">
        <v>45778</v>
      </c>
      <c r="K19" s="6" t="s">
        <v>52</v>
      </c>
      <c r="P19" s="8">
        <v>-573.85</v>
      </c>
      <c r="Q19" s="6" t="s">
        <v>151</v>
      </c>
      <c r="R19" s="6" t="s">
        <v>152</v>
      </c>
    </row>
    <row r="20" spans="1:18" x14ac:dyDescent="0.3">
      <c r="A20" s="4" t="s">
        <v>141</v>
      </c>
      <c r="B20" s="5" t="str">
        <f>_xlfn.CONCAT(A20,0)</f>
        <v>5CF0MY3WK110</v>
      </c>
      <c r="C20" s="6" t="s">
        <v>99</v>
      </c>
      <c r="D20" s="6">
        <v>20411454</v>
      </c>
      <c r="E20" s="6" t="s">
        <v>155</v>
      </c>
      <c r="F20" s="6" t="s">
        <v>102</v>
      </c>
      <c r="G20" s="7">
        <v>45809</v>
      </c>
      <c r="K20" s="6" t="s">
        <v>52</v>
      </c>
      <c r="L20" s="9">
        <v>0</v>
      </c>
      <c r="M20" s="9">
        <v>87.5</v>
      </c>
      <c r="N20" s="6">
        <v>1</v>
      </c>
      <c r="O20" s="10">
        <v>1</v>
      </c>
      <c r="P20" s="9">
        <v>87.5</v>
      </c>
      <c r="Q20" s="6" t="s">
        <v>148</v>
      </c>
    </row>
  </sheetData>
  <sortState xmlns:xlrd2="http://schemas.microsoft.com/office/spreadsheetml/2017/richdata2" ref="A2:AM20">
    <sortCondition ref="F2:F2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New Business Agent Statement - 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</cp:lastModifiedBy>
  <dcterms:created xsi:type="dcterms:W3CDTF">2025-06-18T15:17:25Z</dcterms:created>
  <dcterms:modified xsi:type="dcterms:W3CDTF">2025-06-23T15:15:40Z</dcterms:modified>
</cp:coreProperties>
</file>