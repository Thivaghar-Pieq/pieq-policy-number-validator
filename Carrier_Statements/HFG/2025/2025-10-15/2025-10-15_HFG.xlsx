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0-15-25\"/>
    </mc:Choice>
  </mc:AlternateContent>
  <xr:revisionPtr revIDLastSave="0" documentId="13_ncr:1_{FF959355-8FEF-40AE-82E6-827075362636}" xr6:coauthVersionLast="47" xr6:coauthVersionMax="47" xr10:uidLastSave="{00000000-0000-0000-0000-000000000000}"/>
  <bookViews>
    <workbookView xWindow="28680" yWindow="-120" windowWidth="29040" windowHeight="16440" xr2:uid="{0FE54B22-EC82-425D-928C-6DFF4F12F1B8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6" i="2" l="1"/>
  <c r="B81" i="2"/>
  <c r="B80" i="2"/>
  <c r="B65" i="2"/>
  <c r="B72" i="2"/>
  <c r="B61" i="2"/>
  <c r="B56" i="2"/>
  <c r="B79" i="2"/>
  <c r="B71" i="2"/>
  <c r="B67" i="2"/>
  <c r="B70" i="2"/>
  <c r="B75" i="2"/>
  <c r="B60" i="2"/>
  <c r="B74" i="2"/>
  <c r="B73" i="2"/>
  <c r="B98" i="2"/>
  <c r="B97" i="2"/>
  <c r="B96" i="2"/>
  <c r="B95" i="2"/>
  <c r="B90" i="2"/>
  <c r="B89" i="2"/>
  <c r="B88" i="2"/>
  <c r="B87" i="2"/>
  <c r="B86" i="2"/>
  <c r="B85" i="2"/>
  <c r="B84" i="2"/>
  <c r="B63" i="2"/>
  <c r="B77" i="2"/>
  <c r="B58" i="2"/>
  <c r="B62" i="2"/>
  <c r="B78" i="2"/>
  <c r="B64" i="2"/>
  <c r="B57" i="2"/>
  <c r="B69" i="2"/>
  <c r="B66" i="2"/>
  <c r="B68" i="2"/>
  <c r="B47" i="2"/>
  <c r="B48" i="2"/>
  <c r="B41" i="2"/>
  <c r="B46" i="2"/>
  <c r="B45" i="2"/>
  <c r="B51" i="2"/>
  <c r="B44" i="2"/>
  <c r="B50" i="2"/>
  <c r="B43" i="2"/>
  <c r="B42" i="2"/>
  <c r="B40" i="2"/>
  <c r="B49" i="2"/>
  <c r="B55" i="2"/>
  <c r="B53" i="2"/>
  <c r="B3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8" i="2"/>
  <c r="B7" i="2"/>
  <c r="B6" i="2"/>
  <c r="B5" i="2"/>
  <c r="B4" i="2"/>
  <c r="B3" i="2"/>
  <c r="O52" i="2"/>
  <c r="O77" i="2"/>
  <c r="O78" i="2"/>
  <c r="O68" i="2"/>
</calcChain>
</file>

<file path=xl/sharedStrings.xml><?xml version="1.0" encoding="utf-8"?>
<sst xmlns="http://schemas.openxmlformats.org/spreadsheetml/2006/main" count="2138" uniqueCount="376">
  <si>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</si>
  <si>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</si>
  <si>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</si>
  <si>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</si>
  <si>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</si>
  <si>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</si>
  <si>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</si>
  <si>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</si>
  <si>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</si>
  <si>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</si>
  <si>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</si>
  <si>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</si>
  <si>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</si>
  <si>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</si>
  <si>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</si>
  <si>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</si>
  <si>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</si>
  <si>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</si>
  <si>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</si>
  <si>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</si>
  <si>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</si>
  <si>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</si>
  <si>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</si>
  <si>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</si>
  <si>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</si>
  <si>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</si>
  <si>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</si>
  <si>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</si>
  <si>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</si>
  <si>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</si>
  <si>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</si>
  <si>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</si>
  <si>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</si>
  <si>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</si>
  <si>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</si>
  <si>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</si>
  <si>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</si>
  <si>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</si>
  <si>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</si>
  <si>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</si>
  <si>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</si>
  <si>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</si>
  <si>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</si>
  <si>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</si>
  <si>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'00018396431K</t>
  </si>
  <si>
    <t>YOUIEL DANIEL</t>
  </si>
  <si>
    <t>AZ</t>
  </si>
  <si>
    <t>'045605</t>
  </si>
  <si>
    <t>GARY PORTUGAL</t>
  </si>
  <si>
    <t>ACTIVE</t>
  </si>
  <si>
    <t>Humana MA 2019+ Level 15- 175/108 Repl 2024</t>
  </si>
  <si>
    <t>Monthly</t>
  </si>
  <si>
    <t>AV</t>
  </si>
  <si>
    <t>'00023224834K</t>
  </si>
  <si>
    <t>IULIANA ACHIMAS</t>
  </si>
  <si>
    <t>NA</t>
  </si>
  <si>
    <t>'045638</t>
  </si>
  <si>
    <t>RICHARD YALE</t>
  </si>
  <si>
    <t>Active</t>
  </si>
  <si>
    <t>Humana MA 2019+ Level 15- 175/108</t>
  </si>
  <si>
    <t>Humana MA Bonus Upload 10-15-2025.xlsx</t>
  </si>
  <si>
    <t>'00023761574K</t>
  </si>
  <si>
    <t>BARBARA GITS</t>
  </si>
  <si>
    <t>IL</t>
  </si>
  <si>
    <t>'045709</t>
  </si>
  <si>
    <t>ESTHER HERRERA-LARSEN</t>
  </si>
  <si>
    <t>'00023761681K</t>
  </si>
  <si>
    <t>RICHARD FILIPPO</t>
  </si>
  <si>
    <t>'043682</t>
  </si>
  <si>
    <t>GREGORY TEIPEL</t>
  </si>
  <si>
    <t>'00023761771K</t>
  </si>
  <si>
    <t>ROCHELLE FILIPPO</t>
  </si>
  <si>
    <t>'00023761834KPDP</t>
  </si>
  <si>
    <t>PAULETTE MENICK</t>
  </si>
  <si>
    <t>Humana PDP 2019+ Level 15- 15/0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</si>
  <si>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</si>
  <si>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</si>
  <si>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</si>
  <si>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</si>
  <si>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</si>
  <si>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</si>
  <si>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</si>
  <si>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</si>
  <si>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'043618</t>
  </si>
  <si>
    <t>SAADIA ABDUL</t>
  </si>
  <si>
    <t>'00023766114K</t>
  </si>
  <si>
    <t>KERRY HARTMAN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</si>
  <si>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</si>
  <si>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</si>
  <si>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</si>
  <si>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</si>
  <si>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</si>
  <si>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</si>
  <si>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</si>
  <si>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</si>
  <si>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'043705</t>
  </si>
  <si>
    <t>MICHAEL DUNAVANT</t>
  </si>
  <si>
    <t>'00023769504KPDP</t>
  </si>
  <si>
    <t>LISA MONTGOMERY</t>
  </si>
  <si>
    <t>IN</t>
  </si>
  <si>
    <t>'045937</t>
  </si>
  <si>
    <t>MARSHA SANDEROCK</t>
  </si>
  <si>
    <t>'00023769904K</t>
  </si>
  <si>
    <t>LAURINDA CITTY</t>
  </si>
  <si>
    <t>FL</t>
  </si>
  <si>
    <t>'043678</t>
  </si>
  <si>
    <t>MATTHEW DAUGHERTY</t>
  </si>
  <si>
    <t>'00023770065K</t>
  </si>
  <si>
    <t>RONALD FARRUGIA</t>
  </si>
  <si>
    <t>MI</t>
  </si>
  <si>
    <t>'045601</t>
  </si>
  <si>
    <t>CAROL FOLEY</t>
  </si>
  <si>
    <t>'00023771830K</t>
  </si>
  <si>
    <t>ROXANNE HUEGE</t>
  </si>
  <si>
    <t>'00023774008K</t>
  </si>
  <si>
    <t>BARBARA YOUNG</t>
  </si>
  <si>
    <t>'045612</t>
  </si>
  <si>
    <t>ANTHONY HUNSBERGER</t>
  </si>
  <si>
    <t>'00023774746K</t>
  </si>
  <si>
    <t>SUSAN TEDESCHI</t>
  </si>
  <si>
    <t>'00023775680K</t>
  </si>
  <si>
    <t>JAMES TEDESCHI</t>
  </si>
  <si>
    <t>'00023779490K</t>
  </si>
  <si>
    <t>BRENDA REED</t>
  </si>
  <si>
    <t>'00023782776K</t>
  </si>
  <si>
    <t>RANDY REMKUS</t>
  </si>
  <si>
    <t>WI</t>
  </si>
  <si>
    <t>'045613</t>
  </si>
  <si>
    <t>RICARDO SANTOS</t>
  </si>
  <si>
    <t>'00023783601K</t>
  </si>
  <si>
    <t>CINDY SAWISCH</t>
  </si>
  <si>
    <t>'045772</t>
  </si>
  <si>
    <t>JASON ROLLER</t>
  </si>
  <si>
    <t>'00023784664K</t>
  </si>
  <si>
    <t>MICHAEL GOLDMAN</t>
  </si>
  <si>
    <t>'101125355300</t>
  </si>
  <si>
    <t>JOY NEMANICH</t>
  </si>
  <si>
    <t>Aetna MAPD NMO to MMO - 2025+ Replace E-App</t>
  </si>
  <si>
    <t>3/12 PRORATE</t>
  </si>
  <si>
    <t>'102032640700</t>
  </si>
  <si>
    <t>GINA DIVIZIO</t>
  </si>
  <si>
    <t>'102196568300</t>
  </si>
  <si>
    <t>KAREN PESTKA</t>
  </si>
  <si>
    <t>MO</t>
  </si>
  <si>
    <t>2/12 PRORATE</t>
  </si>
  <si>
    <t>'11A2A7X22</t>
  </si>
  <si>
    <t>OSCAR LINO</t>
  </si>
  <si>
    <t>Cigna MAPD FMO to GA 1-1-19+ - New</t>
  </si>
  <si>
    <t>'123275022</t>
  </si>
  <si>
    <t>CAROLYN COX</t>
  </si>
  <si>
    <t>OK</t>
  </si>
  <si>
    <t>'045896</t>
  </si>
  <si>
    <t>LENSIE GONZALEZ</t>
  </si>
  <si>
    <t>UHC MAPD Street payable to upline- 2025 Pro New</t>
  </si>
  <si>
    <t>'123275022OV</t>
  </si>
  <si>
    <t>UHC MA Direct 2025 New Prorated</t>
  </si>
  <si>
    <t>'131758294</t>
  </si>
  <si>
    <t>SANDRA NOGUERAS SANTANA</t>
  </si>
  <si>
    <t>OH</t>
  </si>
  <si>
    <t>'045684</t>
  </si>
  <si>
    <t>JILL SHEPARD</t>
  </si>
  <si>
    <t>'131758294OV</t>
  </si>
  <si>
    <t>'134111141</t>
  </si>
  <si>
    <t>ERNESTO GONZALEZ</t>
  </si>
  <si>
    <t>'134111141OV</t>
  </si>
  <si>
    <t>'134193543</t>
  </si>
  <si>
    <t>AARON STEELE</t>
  </si>
  <si>
    <t>TN</t>
  </si>
  <si>
    <t>'043633</t>
  </si>
  <si>
    <t>RICHARD WUENSCH</t>
  </si>
  <si>
    <t>UHC MAPD Street payable to upline- 2025 Replace</t>
  </si>
  <si>
    <t>'134193543OV</t>
  </si>
  <si>
    <t>UHC MA Direct 2025 New Initial Prorated</t>
  </si>
  <si>
    <t>'49H3L5U34</t>
  </si>
  <si>
    <t>MARIA DENNIE</t>
  </si>
  <si>
    <t>'52U3U7F86</t>
  </si>
  <si>
    <t>RAUL GONZALEZ</t>
  </si>
  <si>
    <t>TX</t>
  </si>
  <si>
    <t>'908064971</t>
  </si>
  <si>
    <t>TERRY PENROD</t>
  </si>
  <si>
    <t>PA</t>
  </si>
  <si>
    <t>'045622</t>
  </si>
  <si>
    <t>JACOB YALE</t>
  </si>
  <si>
    <t>'908064971OV</t>
  </si>
  <si>
    <t>UHC MA Direct 2025 New Full</t>
  </si>
  <si>
    <t>'916058492</t>
  </si>
  <si>
    <t>DONALD KNAPKE</t>
  </si>
  <si>
    <t>'043969</t>
  </si>
  <si>
    <t>STACEY PORTUGAL</t>
  </si>
  <si>
    <t>UHC MAPD Street payable to upline - 2025 New</t>
  </si>
  <si>
    <t>'916445670</t>
  </si>
  <si>
    <t>MARGIE ISRAEL-UKPABI</t>
  </si>
  <si>
    <t>SC</t>
  </si>
  <si>
    <t>'926230943</t>
  </si>
  <si>
    <t>MARANDA DARRIN</t>
  </si>
  <si>
    <t>'926230943OV</t>
  </si>
  <si>
    <t>UHC MA Direct 2025 New Prorated - Other</t>
  </si>
  <si>
    <t>'932567032</t>
  </si>
  <si>
    <t>BRAD MANZARA</t>
  </si>
  <si>
    <t>'932567032OV</t>
  </si>
  <si>
    <t>'934031732</t>
  </si>
  <si>
    <t>MARIA ESCALERA</t>
  </si>
  <si>
    <t>'937844591</t>
  </si>
  <si>
    <t>JOSEPH MATTINGLY</t>
  </si>
  <si>
    <t>'937844591OV</t>
  </si>
  <si>
    <t>UHC MA Direct 2025 New Full - Other</t>
  </si>
  <si>
    <t>'938197847</t>
  </si>
  <si>
    <t>GEORGE LANG</t>
  </si>
  <si>
    <t>'045604</t>
  </si>
  <si>
    <t>JEFFREY HORN</t>
  </si>
  <si>
    <t>'938919011</t>
  </si>
  <si>
    <t>PATRICK BARTKOWSKI</t>
  </si>
  <si>
    <t>'939286577</t>
  </si>
  <si>
    <t>CYNTHIA HILL</t>
  </si>
  <si>
    <t>'942353562</t>
  </si>
  <si>
    <t>THIPPHAKONE RATSAVONGXAY</t>
  </si>
  <si>
    <t>'043625</t>
  </si>
  <si>
    <t>PATSAMON THANADABOUTH</t>
  </si>
  <si>
    <t>'942353562OV</t>
  </si>
  <si>
    <t>'942914416</t>
  </si>
  <si>
    <t>SUSAN BROWN</t>
  </si>
  <si>
    <t>'948930011</t>
  </si>
  <si>
    <t>WILLIAM MCGRAW</t>
  </si>
  <si>
    <t>'948930011OV</t>
  </si>
  <si>
    <t>'950654690</t>
  </si>
  <si>
    <t>TERESA RAGSDALE</t>
  </si>
  <si>
    <t>'950710708</t>
  </si>
  <si>
    <t>JEFFREY TRUJILLO</t>
  </si>
  <si>
    <t>1/12 PRORATE</t>
  </si>
  <si>
    <t>'950710708OV</t>
  </si>
  <si>
    <t>'950837863</t>
  </si>
  <si>
    <t>CHUDAMANI DONIPARTHI</t>
  </si>
  <si>
    <t>'964798677</t>
  </si>
  <si>
    <t>JOHNNY HOLT</t>
  </si>
  <si>
    <t>'970238440</t>
  </si>
  <si>
    <t>TIMOTHY COOPER</t>
  </si>
  <si>
    <t>'A04328835</t>
  </si>
  <si>
    <t>SUSAN TIPTON</t>
  </si>
  <si>
    <t>UHC AARP Med Supp 2025+ OH Plan BCD F G</t>
  </si>
  <si>
    <t>'A04332669</t>
  </si>
  <si>
    <t>JOHN KIEFFER</t>
  </si>
  <si>
    <t>UHC AARP Med Supp 2025+ IN All Plans</t>
  </si>
  <si>
    <t>CB</t>
  </si>
  <si>
    <t>'00023053726KPC</t>
  </si>
  <si>
    <t>JOAN HOWARD</t>
  </si>
  <si>
    <t>CHARGEBACK</t>
  </si>
  <si>
    <t>'00023714206KCB</t>
  </si>
  <si>
    <t>ELIZABETH ESQUIBEL</t>
  </si>
  <si>
    <t>'101125355300PC</t>
  </si>
  <si>
    <t>Aetna MAPD NMO to GMO - 4-1-23+  New E-App</t>
  </si>
  <si>
    <t>'123275022CB</t>
  </si>
  <si>
    <t>'123275022OVCB</t>
  </si>
  <si>
    <t>'131758294CB</t>
  </si>
  <si>
    <t>'131758294OVCB</t>
  </si>
  <si>
    <t>'134111141CB</t>
  </si>
  <si>
    <t>'134111141OVCB</t>
  </si>
  <si>
    <t>'37110140CB</t>
  </si>
  <si>
    <t>JOYCE ANDERSON</t>
  </si>
  <si>
    <t>'37110335CB</t>
  </si>
  <si>
    <t>ELLEN KAPLAN</t>
  </si>
  <si>
    <t>'37151792CB</t>
  </si>
  <si>
    <t>RATNA NANDA</t>
  </si>
  <si>
    <t>'37193423PC</t>
  </si>
  <si>
    <t>COLLEEN SCHULZE</t>
  </si>
  <si>
    <t>'043565</t>
  </si>
  <si>
    <t>LORI TUNSTALL</t>
  </si>
  <si>
    <t>'37195967PC</t>
  </si>
  <si>
    <t>KURT STIMMEL</t>
  </si>
  <si>
    <t>'043691</t>
  </si>
  <si>
    <t>MICHELLE MCCORKLE</t>
  </si>
  <si>
    <t>'916058492CB</t>
  </si>
  <si>
    <t>'916445670CB</t>
  </si>
  <si>
    <t>'926230943CB</t>
  </si>
  <si>
    <t>'926230943OVCB</t>
  </si>
  <si>
    <t>UHC MA Direct 2025 New Initial Prorated - Other</t>
  </si>
  <si>
    <t>'934031732CB</t>
  </si>
  <si>
    <t>'938197847CB</t>
  </si>
  <si>
    <t>'938919011CB</t>
  </si>
  <si>
    <t>'939286577CB</t>
  </si>
  <si>
    <t>'942914416CB</t>
  </si>
  <si>
    <t>'950654690CB</t>
  </si>
  <si>
    <t>'950837863CB</t>
  </si>
  <si>
    <t>'955775714OVPC</t>
  </si>
  <si>
    <t>DAVID MUECKE</t>
  </si>
  <si>
    <t>UHC MA Direct 2024 New Full</t>
  </si>
  <si>
    <t>'955775714PC</t>
  </si>
  <si>
    <t>'964798677CB</t>
  </si>
  <si>
    <t>'970238440CB</t>
  </si>
  <si>
    <t>'995460593OVPC</t>
  </si>
  <si>
    <t>JANET VANKUIKEN</t>
  </si>
  <si>
    <t>'995460593PC</t>
  </si>
  <si>
    <t>'A04330623CB</t>
  </si>
  <si>
    <t>SOCORRO LOPEZ</t>
  </si>
  <si>
    <t>UHC AARP Med Supp 2025+ TX Area 2 Plan B C F G</t>
  </si>
  <si>
    <t>00018396431K</t>
  </si>
  <si>
    <t>00023224834K</t>
  </si>
  <si>
    <t>00023761574K</t>
  </si>
  <si>
    <t>00023761681K</t>
  </si>
  <si>
    <t>00023761771K</t>
  </si>
  <si>
    <t>00023761834KPDP</t>
  </si>
  <si>
    <t>00023763458K</t>
  </si>
  <si>
    <t>00023764800K</t>
  </si>
  <si>
    <t>00023766029K</t>
  </si>
  <si>
    <t>00023766114K</t>
  </si>
  <si>
    <t>00023766998K</t>
  </si>
  <si>
    <t>00023767756K</t>
  </si>
  <si>
    <t>00023769198K</t>
  </si>
  <si>
    <t>00023769504KPDP</t>
  </si>
  <si>
    <t>00023769904K</t>
  </si>
  <si>
    <t>00023770065K</t>
  </si>
  <si>
    <t>00023771830K</t>
  </si>
  <si>
    <t>00023774008K</t>
  </si>
  <si>
    <t>00023774746K</t>
  </si>
  <si>
    <t>00023775680K</t>
  </si>
  <si>
    <t>00023779490K</t>
  </si>
  <si>
    <t>00023782776K</t>
  </si>
  <si>
    <t>00023783601K</t>
  </si>
  <si>
    <t>00023784664K</t>
  </si>
  <si>
    <t>11A2A7X22</t>
  </si>
  <si>
    <t>123275022OV</t>
  </si>
  <si>
    <t>131758294OV</t>
  </si>
  <si>
    <t>134111141OV</t>
  </si>
  <si>
    <t>134193543OV</t>
  </si>
  <si>
    <t>49H3L5U34</t>
  </si>
  <si>
    <t>52U3U7F86</t>
  </si>
  <si>
    <t>908064971OV</t>
  </si>
  <si>
    <t>926230943OV</t>
  </si>
  <si>
    <t>932567032OV</t>
  </si>
  <si>
    <t>937844591OV</t>
  </si>
  <si>
    <t>942353562OV</t>
  </si>
  <si>
    <t>948930011OV</t>
  </si>
  <si>
    <t>950710708OV</t>
  </si>
  <si>
    <t>A04328835</t>
  </si>
  <si>
    <t>A04332669</t>
  </si>
  <si>
    <t>00023053726KPC</t>
  </si>
  <si>
    <t>00023714206KCB</t>
  </si>
  <si>
    <t>101125355300PC</t>
  </si>
  <si>
    <t>37110140CB</t>
  </si>
  <si>
    <t>37110335CB</t>
  </si>
  <si>
    <t>37151792CB</t>
  </si>
  <si>
    <t>37193423PC</t>
  </si>
  <si>
    <t>37195967PC</t>
  </si>
  <si>
    <t>955775714OVPC</t>
  </si>
  <si>
    <t>955775714PC</t>
  </si>
  <si>
    <t>995460593OVPC</t>
  </si>
  <si>
    <t>A04330623CB</t>
  </si>
  <si>
    <t>Aetna MAPD OVR 2025</t>
  </si>
  <si>
    <t>Cigna MAPD 2025 Ovr</t>
  </si>
  <si>
    <t>Humana MAPD OVR 2025</t>
  </si>
  <si>
    <t>Humana PDP 2025!</t>
  </si>
  <si>
    <t>UHC AARP MS PA Area 2- Plan N</t>
  </si>
  <si>
    <t>UHC MAPD Ovr 2025</t>
  </si>
  <si>
    <t>UHC 2025</t>
  </si>
  <si>
    <t>UHC MAPD 2025*</t>
  </si>
  <si>
    <t>[%/$=313][prorate=6/12]</t>
  </si>
  <si>
    <t>[%/$=313][prorate=3/12]</t>
  </si>
  <si>
    <t>[%/$=313][prorate=2/12]</t>
  </si>
  <si>
    <t>[%/$=313][prorate=1/12]</t>
  </si>
  <si>
    <t>[%/$=626]</t>
  </si>
  <si>
    <t>[%/$=626][prorate=8/12]</t>
  </si>
  <si>
    <t>A043306231</t>
  </si>
  <si>
    <t>101125355300OVR</t>
  </si>
  <si>
    <t>37110140OVR</t>
  </si>
  <si>
    <t>37110335OVR</t>
  </si>
  <si>
    <t>37151792OVR</t>
  </si>
  <si>
    <t>37193423OVR</t>
  </si>
  <si>
    <t>37195967OVR</t>
  </si>
  <si>
    <t>00023053726KOVR</t>
  </si>
  <si>
    <t>00023714206KOVR</t>
  </si>
  <si>
    <t>955775714OVR</t>
  </si>
  <si>
    <t>123275022OVR</t>
  </si>
  <si>
    <t>131758294OVR</t>
  </si>
  <si>
    <t>134111141OVR</t>
  </si>
  <si>
    <t>926230943OVR</t>
  </si>
  <si>
    <t>995460593OVR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</si>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</sst>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18" fillId="33" borderId="0" xfId="0" applyNumberFormat="1" applyFont="1" applyFill="1" applyAlignment="1">
      <alignment horizontal="left"/>
    </xf>
    <xf numFmtId="0" fontId="18" fillId="33" borderId="0" xfId="0" applyFont="1" applyFill="1"/>
    <xf numFmtId="14" fontId="18" fillId="33" borderId="0" xfId="0" applyNumberFormat="1" applyFont="1" applyFill="1"/>
    <xf numFmtId="8" fontId="18" fillId="33" borderId="0" xfId="0" applyNumberFormat="1" applyFont="1" applyFill="1"/>
    <xf numFmtId="0" fontId="18" fillId="0" borderId="0" xfId="0" applyFont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5DC0-12D8-48B5-B209-8FE2D93C382B}">
  <dimension ref="A1:AL98"/>
  <sheetViews>
    <sheetView tabSelected="1" topLeftCell="F45" workbookViewId="0">
      <selection activeCell="R65" sqref="R65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45945</v>
      </c>
      <c r="B2" s="1">
        <v>45945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45931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5878962</v>
      </c>
    </row>
    <row r="3" spans="1:38" x14ac:dyDescent="0.25">
      <c r="A3" s="1">
        <v>45945</v>
      </c>
      <c r="B3" s="1">
        <v>45945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58</v>
      </c>
      <c r="R3" t="s">
        <v>59</v>
      </c>
      <c r="S3" s="1">
        <v>45748</v>
      </c>
      <c r="U3" t="s">
        <v>51</v>
      </c>
      <c r="X3" t="s">
        <v>52</v>
      </c>
      <c r="Y3" s="2">
        <v>0</v>
      </c>
      <c r="Z3" s="2">
        <v>87.5</v>
      </c>
      <c r="AA3">
        <v>1</v>
      </c>
      <c r="AB3" s="3">
        <v>1</v>
      </c>
      <c r="AC3" s="2">
        <v>87.5</v>
      </c>
      <c r="AD3" s="3">
        <v>0</v>
      </c>
      <c r="AE3" s="2">
        <v>0</v>
      </c>
      <c r="AF3" s="2">
        <v>87.5</v>
      </c>
      <c r="AK3">
        <v>0</v>
      </c>
      <c r="AL3" t="s">
        <v>60</v>
      </c>
    </row>
    <row r="4" spans="1:38" x14ac:dyDescent="0.25">
      <c r="A4" s="1">
        <v>45945</v>
      </c>
      <c r="B4" s="1">
        <v>45945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62</v>
      </c>
      <c r="M4" t="s">
        <v>63</v>
      </c>
      <c r="O4" t="s">
        <v>64</v>
      </c>
      <c r="P4" t="s">
        <v>65</v>
      </c>
      <c r="Q4" t="s">
        <v>49</v>
      </c>
      <c r="R4" t="s">
        <v>59</v>
      </c>
      <c r="S4" s="1">
        <v>45931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5879014</v>
      </c>
    </row>
    <row r="5" spans="1:38" x14ac:dyDescent="0.25">
      <c r="A5" s="1">
        <v>45945</v>
      </c>
      <c r="B5" s="1">
        <v>45945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63</v>
      </c>
      <c r="O5" t="s">
        <v>68</v>
      </c>
      <c r="P5" t="s">
        <v>69</v>
      </c>
      <c r="Q5" t="s">
        <v>49</v>
      </c>
      <c r="R5" t="s">
        <v>59</v>
      </c>
      <c r="S5" s="1">
        <v>45931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5879016</v>
      </c>
    </row>
    <row r="6" spans="1:38" x14ac:dyDescent="0.25">
      <c r="A6" s="1">
        <v>45945</v>
      </c>
      <c r="B6" s="1">
        <v>45945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70</v>
      </c>
      <c r="J6" t="s">
        <v>71</v>
      </c>
      <c r="M6" t="s">
        <v>63</v>
      </c>
      <c r="O6" t="s">
        <v>68</v>
      </c>
      <c r="P6" t="s">
        <v>69</v>
      </c>
      <c r="Q6" t="s">
        <v>49</v>
      </c>
      <c r="R6" t="s">
        <v>59</v>
      </c>
      <c r="S6" s="1">
        <v>45931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5879017</v>
      </c>
    </row>
    <row r="7" spans="1:38" x14ac:dyDescent="0.25">
      <c r="A7" s="1">
        <v>45945</v>
      </c>
      <c r="B7" s="1">
        <v>45945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63</v>
      </c>
      <c r="O7" t="s">
        <v>47</v>
      </c>
      <c r="P7" t="s">
        <v>48</v>
      </c>
      <c r="Q7" t="s">
        <v>49</v>
      </c>
      <c r="R7" t="s">
        <v>74</v>
      </c>
      <c r="S7" s="1">
        <v>45931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5878946</v>
      </c>
    </row>
    <row r="8" spans="1:38" x14ac:dyDescent="0.25">
      <c r="A8" s="1">
        <v>45945</v>
      </c>
      <c r="B8" s="1">
        <v>45945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63</v>
      </c>
      <c r="O8" t="s">
        <v>77</v>
      </c>
      <c r="P8" t="s">
        <v>78</v>
      </c>
      <c r="Q8" t="s">
        <v>49</v>
      </c>
      <c r="R8" t="s">
        <v>59</v>
      </c>
      <c r="S8" s="1">
        <v>45931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5879037</v>
      </c>
    </row>
    <row r="9" spans="1:38" x14ac:dyDescent="0.25">
      <c r="A9" s="1">
        <v>45945</v>
      </c>
      <c r="B9" s="1">
        <v>45945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63</v>
      </c>
      <c r="O9" t="s">
        <v>68</v>
      </c>
      <c r="P9" t="s">
        <v>69</v>
      </c>
      <c r="Q9" t="s">
        <v>49</v>
      </c>
      <c r="R9" t="s">
        <v>59</v>
      </c>
      <c r="S9" s="1">
        <v>45992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5879042</v>
      </c>
    </row>
    <row r="10" spans="1:38" x14ac:dyDescent="0.25">
      <c r="A10" s="1">
        <v>45945</v>
      </c>
      <c r="B10" s="1">
        <v>45945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63</v>
      </c>
      <c r="O10" t="s">
        <v>83</v>
      </c>
      <c r="P10" t="s">
        <v>84</v>
      </c>
      <c r="Q10" t="s">
        <v>49</v>
      </c>
      <c r="R10" t="s">
        <v>59</v>
      </c>
      <c r="S10" s="1">
        <v>45962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5879047</v>
      </c>
    </row>
    <row r="11" spans="1:38" x14ac:dyDescent="0.25">
      <c r="A11" s="1">
        <v>45945</v>
      </c>
      <c r="B11" s="1">
        <v>45945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63</v>
      </c>
      <c r="O11" t="s">
        <v>68</v>
      </c>
      <c r="P11" t="s">
        <v>69</v>
      </c>
      <c r="Q11" t="s">
        <v>49</v>
      </c>
      <c r="R11" t="s">
        <v>59</v>
      </c>
      <c r="S11" s="1">
        <v>46023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5879048</v>
      </c>
    </row>
    <row r="12" spans="1:38" x14ac:dyDescent="0.25">
      <c r="A12" s="1">
        <v>45945</v>
      </c>
      <c r="B12" s="1">
        <v>45945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63</v>
      </c>
      <c r="O12" t="s">
        <v>83</v>
      </c>
      <c r="P12" t="s">
        <v>84</v>
      </c>
      <c r="Q12" t="s">
        <v>49</v>
      </c>
      <c r="R12" t="s">
        <v>59</v>
      </c>
      <c r="S12" s="1">
        <v>45931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5879050</v>
      </c>
    </row>
    <row r="13" spans="1:38" x14ac:dyDescent="0.25">
      <c r="A13" s="1">
        <v>45945</v>
      </c>
      <c r="B13" s="1">
        <v>45945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89</v>
      </c>
      <c r="J13" t="s">
        <v>90</v>
      </c>
      <c r="M13" t="s">
        <v>63</v>
      </c>
      <c r="O13" t="s">
        <v>91</v>
      </c>
      <c r="P13" t="s">
        <v>92</v>
      </c>
      <c r="Q13" t="s">
        <v>49</v>
      </c>
      <c r="R13" t="s">
        <v>59</v>
      </c>
      <c r="S13" s="1">
        <v>45931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5879053</v>
      </c>
    </row>
    <row r="14" spans="1:38" x14ac:dyDescent="0.25">
      <c r="A14" s="1">
        <v>45945</v>
      </c>
      <c r="B14" s="1">
        <v>45945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63</v>
      </c>
      <c r="O14" t="s">
        <v>95</v>
      </c>
      <c r="P14" t="s">
        <v>96</v>
      </c>
      <c r="Q14" t="s">
        <v>49</v>
      </c>
      <c r="R14" t="s">
        <v>59</v>
      </c>
      <c r="S14" s="1">
        <v>45931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5879056</v>
      </c>
    </row>
    <row r="15" spans="1:38" x14ac:dyDescent="0.25">
      <c r="A15" s="1">
        <v>45945</v>
      </c>
      <c r="B15" s="1">
        <v>45945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100</v>
      </c>
      <c r="P15" t="s">
        <v>101</v>
      </c>
      <c r="Q15" t="s">
        <v>49</v>
      </c>
      <c r="R15" t="s">
        <v>74</v>
      </c>
      <c r="S15" s="1">
        <v>45931</v>
      </c>
      <c r="U15" t="s">
        <v>51</v>
      </c>
      <c r="X15" t="s">
        <v>52</v>
      </c>
      <c r="Y15" s="2">
        <v>0</v>
      </c>
      <c r="Z15" s="2">
        <v>15</v>
      </c>
      <c r="AA15">
        <v>1</v>
      </c>
      <c r="AB15" s="3">
        <v>1</v>
      </c>
      <c r="AC15" s="2">
        <v>15</v>
      </c>
      <c r="AD15" s="3">
        <v>0</v>
      </c>
      <c r="AE15" s="2">
        <v>0</v>
      </c>
      <c r="AF15" s="2">
        <v>15</v>
      </c>
      <c r="AK15">
        <v>5878949</v>
      </c>
    </row>
    <row r="16" spans="1:38" x14ac:dyDescent="0.25">
      <c r="A16" s="1">
        <v>45945</v>
      </c>
      <c r="B16" s="1">
        <v>45945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104</v>
      </c>
      <c r="O16" t="s">
        <v>105</v>
      </c>
      <c r="P16" t="s">
        <v>106</v>
      </c>
      <c r="Q16" t="s">
        <v>49</v>
      </c>
      <c r="R16" t="s">
        <v>59</v>
      </c>
      <c r="S16" s="1">
        <v>45931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5879058</v>
      </c>
    </row>
    <row r="17" spans="1:38" x14ac:dyDescent="0.25">
      <c r="A17" s="1">
        <v>45945</v>
      </c>
      <c r="B17" s="1">
        <v>45945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107</v>
      </c>
      <c r="J17" t="s">
        <v>108</v>
      </c>
      <c r="M17" t="s">
        <v>109</v>
      </c>
      <c r="O17" t="s">
        <v>110</v>
      </c>
      <c r="P17" t="s">
        <v>111</v>
      </c>
      <c r="Q17" t="s">
        <v>49</v>
      </c>
      <c r="R17" t="s">
        <v>59</v>
      </c>
      <c r="S17" s="1">
        <v>45931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5879059</v>
      </c>
    </row>
    <row r="18" spans="1:38" x14ac:dyDescent="0.25">
      <c r="A18" s="1">
        <v>45945</v>
      </c>
      <c r="B18" s="1">
        <v>45945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63</v>
      </c>
      <c r="O18" t="s">
        <v>68</v>
      </c>
      <c r="P18" t="s">
        <v>69</v>
      </c>
      <c r="Q18" t="s">
        <v>49</v>
      </c>
      <c r="R18" t="s">
        <v>59</v>
      </c>
      <c r="S18" s="1">
        <v>45962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5879064</v>
      </c>
    </row>
    <row r="19" spans="1:38" x14ac:dyDescent="0.25">
      <c r="A19" s="1">
        <v>45945</v>
      </c>
      <c r="B19" s="1">
        <v>45945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63</v>
      </c>
      <c r="O19" t="s">
        <v>116</v>
      </c>
      <c r="P19" t="s">
        <v>117</v>
      </c>
      <c r="Q19" t="s">
        <v>49</v>
      </c>
      <c r="R19" t="s">
        <v>59</v>
      </c>
      <c r="S19" s="1">
        <v>45962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5879066</v>
      </c>
    </row>
    <row r="20" spans="1:38" x14ac:dyDescent="0.25">
      <c r="A20" s="1">
        <v>45945</v>
      </c>
      <c r="B20" s="1">
        <v>45945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63</v>
      </c>
      <c r="O20" t="s">
        <v>116</v>
      </c>
      <c r="P20" t="s">
        <v>117</v>
      </c>
      <c r="Q20" t="s">
        <v>49</v>
      </c>
      <c r="R20" t="s">
        <v>59</v>
      </c>
      <c r="S20" s="1">
        <v>45962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5879068</v>
      </c>
    </row>
    <row r="21" spans="1:38" x14ac:dyDescent="0.25">
      <c r="A21" s="1">
        <v>45945</v>
      </c>
      <c r="B21" s="1">
        <v>45945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120</v>
      </c>
      <c r="J21" t="s">
        <v>121</v>
      </c>
      <c r="M21" t="s">
        <v>63</v>
      </c>
      <c r="O21" t="s">
        <v>116</v>
      </c>
      <c r="P21" t="s">
        <v>117</v>
      </c>
      <c r="Q21" t="s">
        <v>49</v>
      </c>
      <c r="R21" t="s">
        <v>59</v>
      </c>
      <c r="S21" s="1">
        <v>45962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5879069</v>
      </c>
    </row>
    <row r="22" spans="1:38" x14ac:dyDescent="0.25">
      <c r="A22" s="1">
        <v>45945</v>
      </c>
      <c r="B22" s="1">
        <v>45945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122</v>
      </c>
      <c r="J22" t="s">
        <v>123</v>
      </c>
      <c r="M22" t="s">
        <v>104</v>
      </c>
      <c r="O22" t="s">
        <v>110</v>
      </c>
      <c r="P22" t="s">
        <v>111</v>
      </c>
      <c r="Q22" t="s">
        <v>49</v>
      </c>
      <c r="R22" t="s">
        <v>59</v>
      </c>
      <c r="S22" s="1">
        <v>45962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5879070</v>
      </c>
    </row>
    <row r="23" spans="1:38" x14ac:dyDescent="0.25">
      <c r="A23" s="1">
        <v>45945</v>
      </c>
      <c r="B23" s="1">
        <v>45945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124</v>
      </c>
      <c r="J23" t="s">
        <v>125</v>
      </c>
      <c r="M23" t="s">
        <v>126</v>
      </c>
      <c r="O23" t="s">
        <v>127</v>
      </c>
      <c r="P23" t="s">
        <v>128</v>
      </c>
      <c r="Q23" t="s">
        <v>49</v>
      </c>
      <c r="R23" t="s">
        <v>59</v>
      </c>
      <c r="S23" s="1">
        <v>45962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5879072</v>
      </c>
    </row>
    <row r="24" spans="1:38" x14ac:dyDescent="0.25">
      <c r="A24" s="1">
        <v>45945</v>
      </c>
      <c r="B24" s="1">
        <v>45945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129</v>
      </c>
      <c r="J24" t="s">
        <v>130</v>
      </c>
      <c r="M24" t="s">
        <v>126</v>
      </c>
      <c r="O24" t="s">
        <v>131</v>
      </c>
      <c r="P24" t="s">
        <v>132</v>
      </c>
      <c r="Q24" t="s">
        <v>49</v>
      </c>
      <c r="R24" t="s">
        <v>59</v>
      </c>
      <c r="S24" s="1">
        <v>45992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5879073</v>
      </c>
    </row>
    <row r="25" spans="1:38" x14ac:dyDescent="0.25">
      <c r="A25" s="1">
        <v>45945</v>
      </c>
      <c r="B25" s="1">
        <v>45945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133</v>
      </c>
      <c r="J25" t="s">
        <v>134</v>
      </c>
      <c r="M25" t="s">
        <v>63</v>
      </c>
      <c r="O25" t="s">
        <v>116</v>
      </c>
      <c r="P25" t="s">
        <v>117</v>
      </c>
      <c r="Q25" t="s">
        <v>49</v>
      </c>
      <c r="R25" t="s">
        <v>59</v>
      </c>
      <c r="S25" s="1">
        <v>45992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5879074</v>
      </c>
    </row>
    <row r="26" spans="1:38" x14ac:dyDescent="0.25">
      <c r="A26" s="1">
        <v>45945</v>
      </c>
      <c r="B26" s="1">
        <v>45945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135</v>
      </c>
      <c r="J26" t="s">
        <v>136</v>
      </c>
      <c r="M26" t="s">
        <v>46</v>
      </c>
      <c r="O26" t="s">
        <v>116</v>
      </c>
      <c r="P26" t="s">
        <v>117</v>
      </c>
      <c r="Q26" t="s">
        <v>49</v>
      </c>
      <c r="R26" t="s">
        <v>137</v>
      </c>
      <c r="S26" s="1">
        <v>45931</v>
      </c>
      <c r="U26" t="s">
        <v>51</v>
      </c>
      <c r="X26" t="s">
        <v>52</v>
      </c>
      <c r="Y26" s="2">
        <v>0</v>
      </c>
      <c r="Z26" s="2">
        <v>6.25</v>
      </c>
      <c r="AA26">
        <v>1</v>
      </c>
      <c r="AB26" s="3">
        <v>1</v>
      </c>
      <c r="AC26" s="2">
        <v>6.25</v>
      </c>
      <c r="AD26" s="3">
        <v>0</v>
      </c>
      <c r="AE26" s="2">
        <v>0</v>
      </c>
      <c r="AF26" s="2">
        <v>6.25</v>
      </c>
      <c r="AK26">
        <v>5878788</v>
      </c>
      <c r="AL26" t="s">
        <v>138</v>
      </c>
    </row>
    <row r="27" spans="1:38" x14ac:dyDescent="0.25">
      <c r="A27" s="1">
        <v>45945</v>
      </c>
      <c r="B27" s="1">
        <v>45945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139</v>
      </c>
      <c r="J27" t="s">
        <v>140</v>
      </c>
      <c r="M27" t="s">
        <v>99</v>
      </c>
      <c r="O27" t="s">
        <v>56</v>
      </c>
      <c r="P27" t="s">
        <v>57</v>
      </c>
      <c r="Q27" t="s">
        <v>49</v>
      </c>
      <c r="R27" t="s">
        <v>137</v>
      </c>
      <c r="S27" s="1">
        <v>45931</v>
      </c>
      <c r="U27" t="s">
        <v>51</v>
      </c>
      <c r="X27" t="s">
        <v>52</v>
      </c>
      <c r="Y27" s="2">
        <v>0</v>
      </c>
      <c r="Z27" s="2">
        <v>6.25</v>
      </c>
      <c r="AA27">
        <v>1</v>
      </c>
      <c r="AB27" s="3">
        <v>1</v>
      </c>
      <c r="AC27" s="2">
        <v>6.25</v>
      </c>
      <c r="AD27" s="3">
        <v>0</v>
      </c>
      <c r="AE27" s="2">
        <v>0</v>
      </c>
      <c r="AF27" s="2">
        <v>6.25</v>
      </c>
      <c r="AK27">
        <v>5878664</v>
      </c>
      <c r="AL27" t="s">
        <v>138</v>
      </c>
    </row>
    <row r="28" spans="1:38" x14ac:dyDescent="0.25">
      <c r="A28" s="1">
        <v>45945</v>
      </c>
      <c r="B28" s="1">
        <v>45945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141</v>
      </c>
      <c r="J28" t="s">
        <v>142</v>
      </c>
      <c r="M28" t="s">
        <v>143</v>
      </c>
      <c r="O28" t="s">
        <v>68</v>
      </c>
      <c r="P28" t="s">
        <v>69</v>
      </c>
      <c r="Q28" t="s">
        <v>49</v>
      </c>
      <c r="R28" t="s">
        <v>137</v>
      </c>
      <c r="S28" s="1">
        <v>45962</v>
      </c>
      <c r="U28" t="s">
        <v>51</v>
      </c>
      <c r="X28" t="s">
        <v>52</v>
      </c>
      <c r="Y28" s="2">
        <v>0</v>
      </c>
      <c r="Z28" s="2">
        <v>4.17</v>
      </c>
      <c r="AA28">
        <v>1</v>
      </c>
      <c r="AB28" s="3">
        <v>1</v>
      </c>
      <c r="AC28" s="2">
        <v>4.17</v>
      </c>
      <c r="AD28" s="3">
        <v>0</v>
      </c>
      <c r="AE28" s="2">
        <v>0</v>
      </c>
      <c r="AF28" s="2">
        <v>4.17</v>
      </c>
      <c r="AK28">
        <v>5878761</v>
      </c>
      <c r="AL28" t="s">
        <v>144</v>
      </c>
    </row>
    <row r="29" spans="1:38" x14ac:dyDescent="0.25">
      <c r="A29" s="1">
        <v>45945</v>
      </c>
      <c r="B29" s="1">
        <v>45945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145</v>
      </c>
      <c r="J29" t="s">
        <v>146</v>
      </c>
      <c r="M29" t="s">
        <v>63</v>
      </c>
      <c r="O29" t="s">
        <v>127</v>
      </c>
      <c r="P29" t="s">
        <v>128</v>
      </c>
      <c r="Q29" t="s">
        <v>49</v>
      </c>
      <c r="R29" t="s">
        <v>147</v>
      </c>
      <c r="S29" s="1">
        <v>45931</v>
      </c>
      <c r="U29" t="s">
        <v>51</v>
      </c>
      <c r="X29" t="s">
        <v>52</v>
      </c>
      <c r="Y29" s="2">
        <v>0</v>
      </c>
      <c r="Z29" s="2">
        <v>100</v>
      </c>
      <c r="AA29">
        <v>1</v>
      </c>
      <c r="AB29" s="3">
        <v>1</v>
      </c>
      <c r="AC29" s="2">
        <v>100</v>
      </c>
      <c r="AD29" s="3">
        <v>0</v>
      </c>
      <c r="AE29" s="2">
        <v>0</v>
      </c>
      <c r="AF29" s="2">
        <v>100</v>
      </c>
      <c r="AK29">
        <v>5878790</v>
      </c>
    </row>
    <row r="30" spans="1:38" x14ac:dyDescent="0.25">
      <c r="A30" s="1">
        <v>45945</v>
      </c>
      <c r="B30" s="1">
        <v>45945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148</v>
      </c>
      <c r="J30" t="s">
        <v>149</v>
      </c>
      <c r="M30" t="s">
        <v>150</v>
      </c>
      <c r="O30" t="s">
        <v>151</v>
      </c>
      <c r="P30" t="s">
        <v>152</v>
      </c>
      <c r="Q30" t="s">
        <v>49</v>
      </c>
      <c r="R30" t="s">
        <v>153</v>
      </c>
      <c r="S30" s="1">
        <v>45931</v>
      </c>
      <c r="U30" t="s">
        <v>51</v>
      </c>
      <c r="X30" t="s">
        <v>52</v>
      </c>
      <c r="Y30" s="2">
        <v>0</v>
      </c>
      <c r="Z30" s="2">
        <v>156.5</v>
      </c>
      <c r="AA30">
        <v>1</v>
      </c>
      <c r="AB30" s="3">
        <v>1</v>
      </c>
      <c r="AC30" s="2">
        <v>156.5</v>
      </c>
      <c r="AD30" s="3">
        <v>0</v>
      </c>
      <c r="AE30" s="2">
        <v>0</v>
      </c>
      <c r="AF30" s="2">
        <v>156.5</v>
      </c>
      <c r="AK30">
        <v>5879313</v>
      </c>
      <c r="AL30" t="s">
        <v>138</v>
      </c>
    </row>
    <row r="31" spans="1:38" x14ac:dyDescent="0.25">
      <c r="A31" s="1">
        <v>45945</v>
      </c>
      <c r="B31" s="1">
        <v>45945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149</v>
      </c>
      <c r="M31" t="s">
        <v>150</v>
      </c>
      <c r="O31" t="s">
        <v>151</v>
      </c>
      <c r="P31" t="s">
        <v>152</v>
      </c>
      <c r="Q31" t="s">
        <v>49</v>
      </c>
      <c r="R31" t="s">
        <v>155</v>
      </c>
      <c r="S31" s="1">
        <v>45931</v>
      </c>
      <c r="U31" t="s">
        <v>51</v>
      </c>
      <c r="X31" t="s">
        <v>52</v>
      </c>
      <c r="Y31" s="2">
        <v>0</v>
      </c>
      <c r="Z31" s="2">
        <v>43.75</v>
      </c>
      <c r="AA31">
        <v>1</v>
      </c>
      <c r="AB31" s="3">
        <v>1</v>
      </c>
      <c r="AC31" s="2">
        <v>43.75</v>
      </c>
      <c r="AD31" s="3">
        <v>0</v>
      </c>
      <c r="AE31" s="2">
        <v>0</v>
      </c>
      <c r="AF31" s="2">
        <v>43.75</v>
      </c>
      <c r="AK31">
        <v>5879314</v>
      </c>
      <c r="AL31" t="s">
        <v>138</v>
      </c>
    </row>
    <row r="32" spans="1:38" x14ac:dyDescent="0.25">
      <c r="A32" s="1">
        <v>45945</v>
      </c>
      <c r="B32" s="1">
        <v>45945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156</v>
      </c>
      <c r="J32" t="s">
        <v>157</v>
      </c>
      <c r="M32" t="s">
        <v>158</v>
      </c>
      <c r="O32" t="s">
        <v>159</v>
      </c>
      <c r="P32" t="s">
        <v>160</v>
      </c>
      <c r="Q32" t="s">
        <v>58</v>
      </c>
      <c r="R32" t="s">
        <v>153</v>
      </c>
      <c r="S32" s="1">
        <v>45931</v>
      </c>
      <c r="U32" t="s">
        <v>51</v>
      </c>
      <c r="X32" t="s">
        <v>52</v>
      </c>
      <c r="Y32" s="2">
        <v>0</v>
      </c>
      <c r="Z32" s="2">
        <v>156.5</v>
      </c>
      <c r="AA32">
        <v>1</v>
      </c>
      <c r="AB32" s="3">
        <v>1</v>
      </c>
      <c r="AC32" s="2">
        <v>156.5</v>
      </c>
      <c r="AD32" s="3">
        <v>0</v>
      </c>
      <c r="AE32" s="2">
        <v>0</v>
      </c>
      <c r="AF32" s="2">
        <v>156.5</v>
      </c>
      <c r="AK32">
        <v>5879321</v>
      </c>
      <c r="AL32" t="s">
        <v>138</v>
      </c>
    </row>
    <row r="33" spans="1:38" x14ac:dyDescent="0.25">
      <c r="A33" s="1">
        <v>45945</v>
      </c>
      <c r="B33" s="1">
        <v>45945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161</v>
      </c>
      <c r="J33" t="s">
        <v>157</v>
      </c>
      <c r="M33" t="s">
        <v>158</v>
      </c>
      <c r="O33" t="s">
        <v>159</v>
      </c>
      <c r="P33" t="s">
        <v>160</v>
      </c>
      <c r="Q33" t="s">
        <v>58</v>
      </c>
      <c r="R33" t="s">
        <v>155</v>
      </c>
      <c r="S33" s="1">
        <v>45931</v>
      </c>
      <c r="U33" t="s">
        <v>51</v>
      </c>
      <c r="X33" t="s">
        <v>52</v>
      </c>
      <c r="Y33" s="2">
        <v>0</v>
      </c>
      <c r="Z33" s="2">
        <v>43.75</v>
      </c>
      <c r="AA33">
        <v>1</v>
      </c>
      <c r="AB33" s="3">
        <v>1</v>
      </c>
      <c r="AC33" s="2">
        <v>43.75</v>
      </c>
      <c r="AD33" s="3">
        <v>0</v>
      </c>
      <c r="AE33" s="2">
        <v>0</v>
      </c>
      <c r="AF33" s="2">
        <v>43.75</v>
      </c>
      <c r="AK33">
        <v>5879324</v>
      </c>
      <c r="AL33" t="s">
        <v>138</v>
      </c>
    </row>
    <row r="34" spans="1:38" x14ac:dyDescent="0.25">
      <c r="A34" s="1">
        <v>45945</v>
      </c>
      <c r="B34" s="1">
        <v>45945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162</v>
      </c>
      <c r="J34" t="s">
        <v>163</v>
      </c>
      <c r="M34" t="s">
        <v>150</v>
      </c>
      <c r="O34" t="s">
        <v>151</v>
      </c>
      <c r="P34" t="s">
        <v>152</v>
      </c>
      <c r="Q34" t="s">
        <v>49</v>
      </c>
      <c r="R34" t="s">
        <v>153</v>
      </c>
      <c r="S34" s="1">
        <v>45931</v>
      </c>
      <c r="U34" t="s">
        <v>51</v>
      </c>
      <c r="X34" t="s">
        <v>52</v>
      </c>
      <c r="Y34" s="2">
        <v>0</v>
      </c>
      <c r="Z34" s="2">
        <v>156.5</v>
      </c>
      <c r="AA34">
        <v>1</v>
      </c>
      <c r="AB34" s="3">
        <v>1</v>
      </c>
      <c r="AC34" s="2">
        <v>156.5</v>
      </c>
      <c r="AD34" s="3">
        <v>0</v>
      </c>
      <c r="AE34" s="2">
        <v>0</v>
      </c>
      <c r="AF34" s="2">
        <v>156.5</v>
      </c>
      <c r="AK34">
        <v>5879315</v>
      </c>
      <c r="AL34" t="s">
        <v>138</v>
      </c>
    </row>
    <row r="35" spans="1:38" x14ac:dyDescent="0.25">
      <c r="A35" s="1">
        <v>45945</v>
      </c>
      <c r="B35" s="1">
        <v>45945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164</v>
      </c>
      <c r="J35" t="s">
        <v>163</v>
      </c>
      <c r="M35" t="s">
        <v>150</v>
      </c>
      <c r="O35" t="s">
        <v>151</v>
      </c>
      <c r="P35" t="s">
        <v>152</v>
      </c>
      <c r="Q35" t="s">
        <v>49</v>
      </c>
      <c r="R35" t="s">
        <v>155</v>
      </c>
      <c r="S35" s="1">
        <v>45931</v>
      </c>
      <c r="U35" t="s">
        <v>51</v>
      </c>
      <c r="X35" t="s">
        <v>52</v>
      </c>
      <c r="Y35" s="2">
        <v>0</v>
      </c>
      <c r="Z35" s="2">
        <v>43.75</v>
      </c>
      <c r="AA35">
        <v>1</v>
      </c>
      <c r="AB35" s="3">
        <v>1</v>
      </c>
      <c r="AC35" s="2">
        <v>43.75</v>
      </c>
      <c r="AD35" s="3">
        <v>0</v>
      </c>
      <c r="AE35" s="2">
        <v>0</v>
      </c>
      <c r="AF35" s="2">
        <v>43.75</v>
      </c>
      <c r="AK35">
        <v>5879320</v>
      </c>
      <c r="AL35" t="s">
        <v>138</v>
      </c>
    </row>
    <row r="36" spans="1:38" x14ac:dyDescent="0.25">
      <c r="A36" s="1">
        <v>45945</v>
      </c>
      <c r="B36" s="1">
        <v>45945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165</v>
      </c>
      <c r="J36" t="s">
        <v>166</v>
      </c>
      <c r="M36" t="s">
        <v>167</v>
      </c>
      <c r="O36" t="s">
        <v>168</v>
      </c>
      <c r="P36" t="s">
        <v>169</v>
      </c>
      <c r="Q36" t="s">
        <v>49</v>
      </c>
      <c r="R36" t="s">
        <v>170</v>
      </c>
      <c r="S36" s="1">
        <v>45931</v>
      </c>
      <c r="U36" t="s">
        <v>51</v>
      </c>
      <c r="X36" t="s">
        <v>52</v>
      </c>
      <c r="Y36" s="2">
        <v>0</v>
      </c>
      <c r="Z36" s="2">
        <v>78.25</v>
      </c>
      <c r="AA36">
        <v>1</v>
      </c>
      <c r="AB36" s="3">
        <v>1</v>
      </c>
      <c r="AC36" s="2">
        <v>78.25</v>
      </c>
      <c r="AD36" s="3">
        <v>0</v>
      </c>
      <c r="AE36" s="2">
        <v>0</v>
      </c>
      <c r="AF36" s="2">
        <v>78.25</v>
      </c>
      <c r="AK36">
        <v>5879317</v>
      </c>
      <c r="AL36" t="s">
        <v>138</v>
      </c>
    </row>
    <row r="37" spans="1:38" x14ac:dyDescent="0.25">
      <c r="A37" s="1">
        <v>45945</v>
      </c>
      <c r="B37" s="1">
        <v>45945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171</v>
      </c>
      <c r="J37" t="s">
        <v>166</v>
      </c>
      <c r="M37" t="s">
        <v>167</v>
      </c>
      <c r="O37" t="s">
        <v>168</v>
      </c>
      <c r="P37" t="s">
        <v>169</v>
      </c>
      <c r="Q37" t="s">
        <v>49</v>
      </c>
      <c r="R37" t="s">
        <v>172</v>
      </c>
      <c r="S37" s="1">
        <v>45931</v>
      </c>
      <c r="U37" t="s">
        <v>51</v>
      </c>
      <c r="X37" t="s">
        <v>52</v>
      </c>
      <c r="Y37" s="2">
        <v>0</v>
      </c>
      <c r="Z37" s="2">
        <v>18</v>
      </c>
      <c r="AA37">
        <v>1</v>
      </c>
      <c r="AB37" s="3">
        <v>1</v>
      </c>
      <c r="AC37" s="2">
        <v>18</v>
      </c>
      <c r="AD37" s="3">
        <v>0</v>
      </c>
      <c r="AE37" s="2">
        <v>0</v>
      </c>
      <c r="AF37" s="2">
        <v>18</v>
      </c>
      <c r="AK37">
        <v>5879262</v>
      </c>
      <c r="AL37" t="s">
        <v>138</v>
      </c>
    </row>
    <row r="38" spans="1:38" x14ac:dyDescent="0.25">
      <c r="A38" s="1">
        <v>45945</v>
      </c>
      <c r="B38" s="1">
        <v>45945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55</v>
      </c>
      <c r="O38" t="s">
        <v>168</v>
      </c>
      <c r="P38" t="s">
        <v>169</v>
      </c>
      <c r="Q38" t="s">
        <v>49</v>
      </c>
      <c r="R38" t="s">
        <v>147</v>
      </c>
      <c r="S38" s="1">
        <v>45931</v>
      </c>
      <c r="U38" t="s">
        <v>51</v>
      </c>
      <c r="X38" t="s">
        <v>52</v>
      </c>
      <c r="Y38" s="2">
        <v>0</v>
      </c>
      <c r="Z38" s="2">
        <v>100</v>
      </c>
      <c r="AA38">
        <v>1</v>
      </c>
      <c r="AB38" s="3">
        <v>1</v>
      </c>
      <c r="AC38" s="2">
        <v>100</v>
      </c>
      <c r="AD38" s="3">
        <v>0</v>
      </c>
      <c r="AE38" s="2">
        <v>0</v>
      </c>
      <c r="AF38" s="2">
        <v>100</v>
      </c>
      <c r="AK38">
        <v>5878851</v>
      </c>
    </row>
    <row r="39" spans="1:38" x14ac:dyDescent="0.25">
      <c r="A39" s="1">
        <v>45945</v>
      </c>
      <c r="B39" s="1">
        <v>45945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175</v>
      </c>
      <c r="J39" t="s">
        <v>176</v>
      </c>
      <c r="M39" t="s">
        <v>177</v>
      </c>
      <c r="O39" t="s">
        <v>151</v>
      </c>
      <c r="P39" t="s">
        <v>152</v>
      </c>
      <c r="Q39" t="s">
        <v>49</v>
      </c>
      <c r="R39" t="s">
        <v>147</v>
      </c>
      <c r="S39" s="1">
        <v>45931</v>
      </c>
      <c r="U39" t="s">
        <v>51</v>
      </c>
      <c r="X39" t="s">
        <v>52</v>
      </c>
      <c r="Y39" s="2">
        <v>0</v>
      </c>
      <c r="Z39" s="2">
        <v>100</v>
      </c>
      <c r="AA39">
        <v>1</v>
      </c>
      <c r="AB39" s="3">
        <v>1</v>
      </c>
      <c r="AC39" s="2">
        <v>100</v>
      </c>
      <c r="AD39" s="3">
        <v>0</v>
      </c>
      <c r="AE39" s="2">
        <v>0</v>
      </c>
      <c r="AF39" s="2">
        <v>100</v>
      </c>
      <c r="AK39">
        <v>5878855</v>
      </c>
    </row>
    <row r="40" spans="1:38" x14ac:dyDescent="0.25">
      <c r="A40" s="1">
        <v>45945</v>
      </c>
      <c r="B40" s="1">
        <v>45945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178</v>
      </c>
      <c r="J40" t="s">
        <v>179</v>
      </c>
      <c r="M40" t="s">
        <v>180</v>
      </c>
      <c r="O40" t="s">
        <v>181</v>
      </c>
      <c r="P40" t="s">
        <v>182</v>
      </c>
      <c r="Q40" t="s">
        <v>49</v>
      </c>
      <c r="R40" t="s">
        <v>170</v>
      </c>
      <c r="S40" s="1">
        <v>45931</v>
      </c>
      <c r="U40" t="s">
        <v>51</v>
      </c>
      <c r="X40" t="s">
        <v>52</v>
      </c>
      <c r="Y40" s="2">
        <v>0</v>
      </c>
      <c r="Z40" s="2">
        <v>78.25</v>
      </c>
      <c r="AA40">
        <v>1</v>
      </c>
      <c r="AB40" s="3">
        <v>1</v>
      </c>
      <c r="AC40" s="2">
        <v>78.25</v>
      </c>
      <c r="AD40" s="3">
        <v>0</v>
      </c>
      <c r="AE40" s="2">
        <v>0</v>
      </c>
      <c r="AF40" s="2">
        <v>78.25</v>
      </c>
      <c r="AK40">
        <v>5879322</v>
      </c>
      <c r="AL40" t="s">
        <v>138</v>
      </c>
    </row>
    <row r="41" spans="1:38" x14ac:dyDescent="0.25">
      <c r="A41" s="1">
        <v>45945</v>
      </c>
      <c r="B41" s="1">
        <v>45945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183</v>
      </c>
      <c r="J41" t="s">
        <v>179</v>
      </c>
      <c r="M41" t="s">
        <v>180</v>
      </c>
      <c r="O41" t="s">
        <v>181</v>
      </c>
      <c r="P41" t="s">
        <v>182</v>
      </c>
      <c r="Q41" t="s">
        <v>49</v>
      </c>
      <c r="R41" t="s">
        <v>184</v>
      </c>
      <c r="S41" s="1">
        <v>45931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5879311</v>
      </c>
    </row>
    <row r="42" spans="1:38" x14ac:dyDescent="0.25">
      <c r="A42" s="1">
        <v>45945</v>
      </c>
      <c r="B42" s="1">
        <v>45945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185</v>
      </c>
      <c r="J42" t="s">
        <v>186</v>
      </c>
      <c r="M42" t="s">
        <v>99</v>
      </c>
      <c r="O42" t="s">
        <v>187</v>
      </c>
      <c r="P42" t="s">
        <v>188</v>
      </c>
      <c r="Q42" t="s">
        <v>49</v>
      </c>
      <c r="R42" t="s">
        <v>189</v>
      </c>
      <c r="S42" s="1">
        <v>45931</v>
      </c>
      <c r="U42" t="s">
        <v>51</v>
      </c>
      <c r="X42" t="s">
        <v>52</v>
      </c>
      <c r="Y42" s="2">
        <v>0</v>
      </c>
      <c r="Z42" s="2">
        <v>626</v>
      </c>
      <c r="AA42">
        <v>1</v>
      </c>
      <c r="AB42" s="3">
        <v>1</v>
      </c>
      <c r="AC42" s="2">
        <v>626</v>
      </c>
      <c r="AD42" s="3">
        <v>0</v>
      </c>
      <c r="AE42" s="2">
        <v>0</v>
      </c>
      <c r="AF42" s="2">
        <v>626</v>
      </c>
      <c r="AK42">
        <v>5879274</v>
      </c>
    </row>
    <row r="43" spans="1:38" x14ac:dyDescent="0.25">
      <c r="A43" s="1">
        <v>45945</v>
      </c>
      <c r="B43" s="1">
        <v>45945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191</v>
      </c>
      <c r="M43" t="s">
        <v>192</v>
      </c>
      <c r="O43" t="s">
        <v>110</v>
      </c>
      <c r="P43" t="s">
        <v>111</v>
      </c>
      <c r="Q43" t="s">
        <v>49</v>
      </c>
      <c r="R43" t="s">
        <v>189</v>
      </c>
      <c r="S43" s="1">
        <v>45931</v>
      </c>
      <c r="U43" t="s">
        <v>51</v>
      </c>
      <c r="X43" t="s">
        <v>52</v>
      </c>
      <c r="Y43" s="2">
        <v>0</v>
      </c>
      <c r="Z43" s="2">
        <v>626</v>
      </c>
      <c r="AA43">
        <v>1</v>
      </c>
      <c r="AB43" s="3">
        <v>1</v>
      </c>
      <c r="AC43" s="2">
        <v>626</v>
      </c>
      <c r="AD43" s="3">
        <v>0</v>
      </c>
      <c r="AE43" s="2">
        <v>0</v>
      </c>
      <c r="AF43" s="2">
        <v>626</v>
      </c>
      <c r="AK43">
        <v>5879281</v>
      </c>
    </row>
    <row r="44" spans="1:38" x14ac:dyDescent="0.25">
      <c r="A44" s="1">
        <v>45945</v>
      </c>
      <c r="B44" s="1">
        <v>45945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193</v>
      </c>
      <c r="J44" t="s">
        <v>194</v>
      </c>
      <c r="M44" t="s">
        <v>63</v>
      </c>
      <c r="O44" t="s">
        <v>47</v>
      </c>
      <c r="P44" t="s">
        <v>48</v>
      </c>
      <c r="Q44" t="s">
        <v>49</v>
      </c>
      <c r="R44" t="s">
        <v>153</v>
      </c>
      <c r="S44" s="1">
        <v>45931</v>
      </c>
      <c r="U44" t="s">
        <v>51</v>
      </c>
      <c r="X44" t="s">
        <v>52</v>
      </c>
      <c r="Y44" s="2">
        <v>0</v>
      </c>
      <c r="Z44" s="2">
        <v>156.5</v>
      </c>
      <c r="AA44">
        <v>1</v>
      </c>
      <c r="AB44" s="3">
        <v>1</v>
      </c>
      <c r="AC44" s="2">
        <v>156.5</v>
      </c>
      <c r="AD44" s="3">
        <v>0</v>
      </c>
      <c r="AE44" s="2">
        <v>0</v>
      </c>
      <c r="AF44" s="2">
        <v>156.5</v>
      </c>
      <c r="AK44">
        <v>5879301</v>
      </c>
      <c r="AL44" t="s">
        <v>138</v>
      </c>
    </row>
    <row r="45" spans="1:38" x14ac:dyDescent="0.25">
      <c r="A45" s="1">
        <v>45945</v>
      </c>
      <c r="B45" s="1">
        <v>45945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194</v>
      </c>
      <c r="M45" t="s">
        <v>63</v>
      </c>
      <c r="O45" t="s">
        <v>47</v>
      </c>
      <c r="P45" t="s">
        <v>48</v>
      </c>
      <c r="Q45" t="s">
        <v>49</v>
      </c>
      <c r="R45" t="s">
        <v>196</v>
      </c>
      <c r="S45" s="1">
        <v>45931</v>
      </c>
      <c r="U45" t="s">
        <v>51</v>
      </c>
      <c r="X45" t="s">
        <v>52</v>
      </c>
      <c r="Y45" s="2">
        <v>0</v>
      </c>
      <c r="Z45" s="2">
        <v>28.25</v>
      </c>
      <c r="AA45">
        <v>1</v>
      </c>
      <c r="AB45" s="3">
        <v>1</v>
      </c>
      <c r="AC45" s="2">
        <v>28.25</v>
      </c>
      <c r="AD45" s="3">
        <v>0</v>
      </c>
      <c r="AE45" s="2">
        <v>0</v>
      </c>
      <c r="AF45" s="2">
        <v>28.25</v>
      </c>
      <c r="AK45">
        <v>5879312</v>
      </c>
      <c r="AL45" t="s">
        <v>138</v>
      </c>
    </row>
    <row r="46" spans="1:38" x14ac:dyDescent="0.25">
      <c r="A46" s="1">
        <v>45945</v>
      </c>
      <c r="B46" s="1">
        <v>45945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197</v>
      </c>
      <c r="J46" t="s">
        <v>198</v>
      </c>
      <c r="M46" t="s">
        <v>63</v>
      </c>
      <c r="O46" t="s">
        <v>47</v>
      </c>
      <c r="P46" t="s">
        <v>48</v>
      </c>
      <c r="Q46" t="s">
        <v>49</v>
      </c>
      <c r="R46" t="s">
        <v>170</v>
      </c>
      <c r="S46" s="1">
        <v>45931</v>
      </c>
      <c r="U46" t="s">
        <v>51</v>
      </c>
      <c r="X46" t="s">
        <v>52</v>
      </c>
      <c r="Y46" s="2">
        <v>0</v>
      </c>
      <c r="Z46" s="2">
        <v>78.25</v>
      </c>
      <c r="AA46">
        <v>1</v>
      </c>
      <c r="AB46" s="3">
        <v>1</v>
      </c>
      <c r="AC46" s="2">
        <v>78.25</v>
      </c>
      <c r="AD46" s="3">
        <v>0</v>
      </c>
      <c r="AE46" s="2">
        <v>0</v>
      </c>
      <c r="AF46" s="2">
        <v>78.25</v>
      </c>
      <c r="AK46">
        <v>5879323</v>
      </c>
      <c r="AL46" t="s">
        <v>138</v>
      </c>
    </row>
    <row r="47" spans="1:38" x14ac:dyDescent="0.25">
      <c r="A47" s="1">
        <v>45945</v>
      </c>
      <c r="B47" s="1">
        <v>45945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199</v>
      </c>
      <c r="J47" t="s">
        <v>198</v>
      </c>
      <c r="M47" t="s">
        <v>63</v>
      </c>
      <c r="O47" t="s">
        <v>47</v>
      </c>
      <c r="P47" t="s">
        <v>48</v>
      </c>
      <c r="Q47" t="s">
        <v>49</v>
      </c>
      <c r="R47" t="s">
        <v>184</v>
      </c>
      <c r="S47" s="1">
        <v>45931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5879316</v>
      </c>
    </row>
    <row r="48" spans="1:38" x14ac:dyDescent="0.25">
      <c r="A48" s="1">
        <v>45945</v>
      </c>
      <c r="B48" s="1">
        <v>45945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200</v>
      </c>
      <c r="J48" t="s">
        <v>201</v>
      </c>
      <c r="M48" t="s">
        <v>177</v>
      </c>
      <c r="O48" t="s">
        <v>151</v>
      </c>
      <c r="P48" t="s">
        <v>152</v>
      </c>
      <c r="Q48" t="s">
        <v>49</v>
      </c>
      <c r="R48" t="s">
        <v>189</v>
      </c>
      <c r="S48" s="1">
        <v>45931</v>
      </c>
      <c r="U48" t="s">
        <v>51</v>
      </c>
      <c r="X48" t="s">
        <v>52</v>
      </c>
      <c r="Y48" s="2">
        <v>0</v>
      </c>
      <c r="Z48" s="2">
        <v>626</v>
      </c>
      <c r="AA48">
        <v>1</v>
      </c>
      <c r="AB48" s="3">
        <v>1</v>
      </c>
      <c r="AC48" s="2">
        <v>626</v>
      </c>
      <c r="AD48" s="3">
        <v>0</v>
      </c>
      <c r="AE48" s="2">
        <v>0</v>
      </c>
      <c r="AF48" s="2">
        <v>626</v>
      </c>
      <c r="AK48">
        <v>5879290</v>
      </c>
    </row>
    <row r="49" spans="1:38" x14ac:dyDescent="0.25">
      <c r="A49" s="1">
        <v>45945</v>
      </c>
      <c r="B49" s="1">
        <v>45945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202</v>
      </c>
      <c r="J49" t="s">
        <v>203</v>
      </c>
      <c r="M49" t="s">
        <v>99</v>
      </c>
      <c r="O49" t="s">
        <v>100</v>
      </c>
      <c r="P49" t="s">
        <v>101</v>
      </c>
      <c r="Q49" t="s">
        <v>49</v>
      </c>
      <c r="R49" t="s">
        <v>189</v>
      </c>
      <c r="S49" s="1">
        <v>45931</v>
      </c>
      <c r="U49" t="s">
        <v>51</v>
      </c>
      <c r="X49" t="s">
        <v>52</v>
      </c>
      <c r="Y49" s="2">
        <v>0</v>
      </c>
      <c r="Z49" s="2">
        <v>626</v>
      </c>
      <c r="AA49">
        <v>1</v>
      </c>
      <c r="AB49" s="3">
        <v>1</v>
      </c>
      <c r="AC49" s="2">
        <v>626</v>
      </c>
      <c r="AD49" s="3">
        <v>0</v>
      </c>
      <c r="AE49" s="2">
        <v>0</v>
      </c>
      <c r="AF49" s="2">
        <v>626</v>
      </c>
      <c r="AK49">
        <v>5879338</v>
      </c>
    </row>
    <row r="50" spans="1:38" x14ac:dyDescent="0.25">
      <c r="A50" s="1">
        <v>45945</v>
      </c>
      <c r="B50" s="1">
        <v>45945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204</v>
      </c>
      <c r="J50" t="s">
        <v>203</v>
      </c>
      <c r="M50" t="s">
        <v>99</v>
      </c>
      <c r="O50" t="s">
        <v>100</v>
      </c>
      <c r="P50" t="s">
        <v>101</v>
      </c>
      <c r="Q50" t="s">
        <v>49</v>
      </c>
      <c r="R50" t="s">
        <v>205</v>
      </c>
      <c r="S50" s="1">
        <v>45931</v>
      </c>
      <c r="U50" t="s">
        <v>51</v>
      </c>
      <c r="X50" t="s">
        <v>52</v>
      </c>
      <c r="Y50" s="2">
        <v>0</v>
      </c>
      <c r="Z50" s="2">
        <v>113</v>
      </c>
      <c r="AA50">
        <v>1</v>
      </c>
      <c r="AB50" s="3">
        <v>1</v>
      </c>
      <c r="AC50" s="2">
        <v>113</v>
      </c>
      <c r="AD50" s="3">
        <v>0</v>
      </c>
      <c r="AE50" s="2">
        <v>0</v>
      </c>
      <c r="AF50" s="2">
        <v>113</v>
      </c>
      <c r="AK50">
        <v>5879337</v>
      </c>
    </row>
    <row r="51" spans="1:38" x14ac:dyDescent="0.25">
      <c r="A51" s="1">
        <v>45945</v>
      </c>
      <c r="B51" s="1">
        <v>45945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206</v>
      </c>
      <c r="J51" t="s">
        <v>207</v>
      </c>
      <c r="M51" t="s">
        <v>104</v>
      </c>
      <c r="O51" t="s">
        <v>208</v>
      </c>
      <c r="P51" t="s">
        <v>209</v>
      </c>
      <c r="Q51" t="s">
        <v>49</v>
      </c>
      <c r="R51" t="s">
        <v>153</v>
      </c>
      <c r="S51" s="1">
        <v>45931</v>
      </c>
      <c r="U51" t="s">
        <v>51</v>
      </c>
      <c r="X51" t="s">
        <v>52</v>
      </c>
      <c r="Y51" s="2">
        <v>0</v>
      </c>
      <c r="Z51" s="2">
        <v>156.5</v>
      </c>
      <c r="AA51">
        <v>1</v>
      </c>
      <c r="AB51" s="3">
        <v>1</v>
      </c>
      <c r="AC51" s="2">
        <v>156.5</v>
      </c>
      <c r="AD51" s="3">
        <v>0</v>
      </c>
      <c r="AE51" s="2">
        <v>0</v>
      </c>
      <c r="AF51" s="2">
        <v>156.5</v>
      </c>
      <c r="AK51">
        <v>5879273</v>
      </c>
      <c r="AL51" t="s">
        <v>138</v>
      </c>
    </row>
    <row r="52" spans="1:38" x14ac:dyDescent="0.25">
      <c r="A52" s="1">
        <v>45945</v>
      </c>
      <c r="B52" s="1">
        <v>45945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210</v>
      </c>
      <c r="J52" t="s">
        <v>211</v>
      </c>
      <c r="M52" t="s">
        <v>104</v>
      </c>
      <c r="O52" t="s">
        <v>187</v>
      </c>
      <c r="P52" t="s">
        <v>188</v>
      </c>
      <c r="Q52" t="s">
        <v>49</v>
      </c>
      <c r="R52" t="s">
        <v>189</v>
      </c>
      <c r="S52" s="1">
        <v>45931</v>
      </c>
      <c r="U52" t="s">
        <v>51</v>
      </c>
      <c r="X52" t="s">
        <v>52</v>
      </c>
      <c r="Y52" s="2">
        <v>0</v>
      </c>
      <c r="Z52" s="2">
        <v>626</v>
      </c>
      <c r="AA52">
        <v>1</v>
      </c>
      <c r="AB52" s="3">
        <v>1</v>
      </c>
      <c r="AC52" s="2">
        <v>626</v>
      </c>
      <c r="AD52" s="3">
        <v>0</v>
      </c>
      <c r="AE52" s="2">
        <v>0</v>
      </c>
      <c r="AF52" s="2">
        <v>626</v>
      </c>
      <c r="AK52">
        <v>5879282</v>
      </c>
    </row>
    <row r="53" spans="1:38" x14ac:dyDescent="0.25">
      <c r="A53" s="1">
        <v>45945</v>
      </c>
      <c r="B53" s="1">
        <v>45945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212</v>
      </c>
      <c r="J53" t="s">
        <v>213</v>
      </c>
      <c r="M53" t="s">
        <v>99</v>
      </c>
      <c r="O53" t="s">
        <v>100</v>
      </c>
      <c r="P53" t="s">
        <v>101</v>
      </c>
      <c r="Q53" t="s">
        <v>49</v>
      </c>
      <c r="R53" t="s">
        <v>189</v>
      </c>
      <c r="S53" s="1">
        <v>45992</v>
      </c>
      <c r="U53" t="s">
        <v>51</v>
      </c>
      <c r="X53" t="s">
        <v>52</v>
      </c>
      <c r="Y53" s="2">
        <v>0</v>
      </c>
      <c r="Z53" s="2">
        <v>626</v>
      </c>
      <c r="AA53">
        <v>1</v>
      </c>
      <c r="AB53" s="3">
        <v>1</v>
      </c>
      <c r="AC53" s="2">
        <v>626</v>
      </c>
      <c r="AD53" s="3">
        <v>0</v>
      </c>
      <c r="AE53" s="2">
        <v>0</v>
      </c>
      <c r="AF53" s="2">
        <v>626</v>
      </c>
      <c r="AK53">
        <v>5879298</v>
      </c>
    </row>
    <row r="54" spans="1:38" x14ac:dyDescent="0.25">
      <c r="A54" s="1">
        <v>45945</v>
      </c>
      <c r="B54" s="1">
        <v>45945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214</v>
      </c>
      <c r="J54" t="s">
        <v>215</v>
      </c>
      <c r="M54" t="s">
        <v>63</v>
      </c>
      <c r="O54" t="s">
        <v>216</v>
      </c>
      <c r="P54" t="s">
        <v>217</v>
      </c>
      <c r="Q54" t="s">
        <v>49</v>
      </c>
      <c r="R54" t="s">
        <v>170</v>
      </c>
      <c r="S54" s="1">
        <v>45962</v>
      </c>
      <c r="U54" t="s">
        <v>51</v>
      </c>
      <c r="X54" t="s">
        <v>52</v>
      </c>
      <c r="Y54" s="2">
        <v>0</v>
      </c>
      <c r="Z54" s="2">
        <v>52.17</v>
      </c>
      <c r="AA54">
        <v>1</v>
      </c>
      <c r="AB54" s="3">
        <v>1</v>
      </c>
      <c r="AC54" s="2">
        <v>52.17</v>
      </c>
      <c r="AD54" s="3">
        <v>0</v>
      </c>
      <c r="AE54" s="2">
        <v>0</v>
      </c>
      <c r="AF54" s="2">
        <v>52.17</v>
      </c>
      <c r="AK54">
        <v>5879319</v>
      </c>
      <c r="AL54" t="s">
        <v>144</v>
      </c>
    </row>
    <row r="55" spans="1:38" x14ac:dyDescent="0.25">
      <c r="A55" s="1">
        <v>45945</v>
      </c>
      <c r="B55" s="1">
        <v>45945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218</v>
      </c>
      <c r="J55" t="s">
        <v>215</v>
      </c>
      <c r="M55" t="s">
        <v>63</v>
      </c>
      <c r="O55" t="s">
        <v>216</v>
      </c>
      <c r="P55" t="s">
        <v>217</v>
      </c>
      <c r="Q55" t="s">
        <v>49</v>
      </c>
      <c r="R55" t="s">
        <v>184</v>
      </c>
      <c r="S55" s="1">
        <v>45962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5879310</v>
      </c>
    </row>
    <row r="56" spans="1:38" x14ac:dyDescent="0.25">
      <c r="A56" s="1">
        <v>45945</v>
      </c>
      <c r="B56" s="1">
        <v>45945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219</v>
      </c>
      <c r="J56" t="s">
        <v>220</v>
      </c>
      <c r="M56" t="s">
        <v>104</v>
      </c>
      <c r="O56" t="s">
        <v>187</v>
      </c>
      <c r="P56" t="s">
        <v>188</v>
      </c>
      <c r="Q56" t="s">
        <v>49</v>
      </c>
      <c r="R56" t="s">
        <v>189</v>
      </c>
      <c r="S56" s="1">
        <v>45931</v>
      </c>
      <c r="U56" t="s">
        <v>51</v>
      </c>
      <c r="X56" t="s">
        <v>52</v>
      </c>
      <c r="Y56" s="2">
        <v>0</v>
      </c>
      <c r="Z56" s="2">
        <v>626</v>
      </c>
      <c r="AA56">
        <v>1</v>
      </c>
      <c r="AB56" s="3">
        <v>1</v>
      </c>
      <c r="AC56" s="2">
        <v>626</v>
      </c>
      <c r="AD56" s="3">
        <v>0</v>
      </c>
      <c r="AE56" s="2">
        <v>0</v>
      </c>
      <c r="AF56" s="2">
        <v>626</v>
      </c>
      <c r="AK56">
        <v>5879283</v>
      </c>
    </row>
    <row r="57" spans="1:38" x14ac:dyDescent="0.25">
      <c r="A57" s="1">
        <v>45945</v>
      </c>
      <c r="B57" s="1">
        <v>45945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221</v>
      </c>
      <c r="J57" t="s">
        <v>222</v>
      </c>
      <c r="M57" t="s">
        <v>99</v>
      </c>
      <c r="O57" t="s">
        <v>100</v>
      </c>
      <c r="P57" t="s">
        <v>101</v>
      </c>
      <c r="Q57" t="s">
        <v>49</v>
      </c>
      <c r="R57" t="s">
        <v>189</v>
      </c>
      <c r="S57" s="1">
        <v>45931</v>
      </c>
      <c r="U57" t="s">
        <v>51</v>
      </c>
      <c r="X57" t="s">
        <v>52</v>
      </c>
      <c r="Y57" s="2">
        <v>0</v>
      </c>
      <c r="Z57" s="2">
        <v>626</v>
      </c>
      <c r="AA57">
        <v>1</v>
      </c>
      <c r="AB57" s="3">
        <v>1</v>
      </c>
      <c r="AC57" s="2">
        <v>626</v>
      </c>
      <c r="AD57" s="3">
        <v>0</v>
      </c>
      <c r="AE57" s="2">
        <v>0</v>
      </c>
      <c r="AF57" s="2">
        <v>626</v>
      </c>
      <c r="AK57">
        <v>5879342</v>
      </c>
    </row>
    <row r="58" spans="1:38" x14ac:dyDescent="0.25">
      <c r="A58" s="1">
        <v>45945</v>
      </c>
      <c r="B58" s="1">
        <v>45945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223</v>
      </c>
      <c r="J58" t="s">
        <v>222</v>
      </c>
      <c r="M58" t="s">
        <v>99</v>
      </c>
      <c r="O58" t="s">
        <v>100</v>
      </c>
      <c r="P58" t="s">
        <v>101</v>
      </c>
      <c r="Q58" t="s">
        <v>49</v>
      </c>
      <c r="R58" t="s">
        <v>205</v>
      </c>
      <c r="S58" s="1">
        <v>45931</v>
      </c>
      <c r="U58" t="s">
        <v>51</v>
      </c>
      <c r="X58" t="s">
        <v>52</v>
      </c>
      <c r="Y58" s="2">
        <v>0</v>
      </c>
      <c r="Z58" s="2">
        <v>113</v>
      </c>
      <c r="AA58">
        <v>1</v>
      </c>
      <c r="AB58" s="3">
        <v>1</v>
      </c>
      <c r="AC58" s="2">
        <v>113</v>
      </c>
      <c r="AD58" s="3">
        <v>0</v>
      </c>
      <c r="AE58" s="2">
        <v>0</v>
      </c>
      <c r="AF58" s="2">
        <v>113</v>
      </c>
      <c r="AK58">
        <v>5879341</v>
      </c>
    </row>
    <row r="59" spans="1:38" x14ac:dyDescent="0.25">
      <c r="A59" s="1">
        <v>45945</v>
      </c>
      <c r="B59" s="1">
        <v>45945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224</v>
      </c>
      <c r="J59" t="s">
        <v>225</v>
      </c>
      <c r="M59" t="s">
        <v>99</v>
      </c>
      <c r="O59" t="s">
        <v>100</v>
      </c>
      <c r="P59" t="s">
        <v>101</v>
      </c>
      <c r="Q59" t="s">
        <v>49</v>
      </c>
      <c r="R59" t="s">
        <v>189</v>
      </c>
      <c r="S59" s="1">
        <v>45962</v>
      </c>
      <c r="U59" t="s">
        <v>51</v>
      </c>
      <c r="X59" t="s">
        <v>52</v>
      </c>
      <c r="Y59" s="2">
        <v>0</v>
      </c>
      <c r="Z59" s="2">
        <v>626</v>
      </c>
      <c r="AA59">
        <v>1</v>
      </c>
      <c r="AB59" s="3">
        <v>1</v>
      </c>
      <c r="AC59" s="2">
        <v>626</v>
      </c>
      <c r="AD59" s="3">
        <v>0</v>
      </c>
      <c r="AE59" s="2">
        <v>0</v>
      </c>
      <c r="AF59" s="2">
        <v>626</v>
      </c>
      <c r="AK59">
        <v>5879293</v>
      </c>
    </row>
    <row r="60" spans="1:38" x14ac:dyDescent="0.25">
      <c r="A60" s="1">
        <v>45945</v>
      </c>
      <c r="B60" s="1">
        <v>45945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226</v>
      </c>
      <c r="J60" t="s">
        <v>227</v>
      </c>
      <c r="M60" t="s">
        <v>177</v>
      </c>
      <c r="O60" t="s">
        <v>181</v>
      </c>
      <c r="P60" t="s">
        <v>182</v>
      </c>
      <c r="Q60" t="s">
        <v>49</v>
      </c>
      <c r="R60" t="s">
        <v>170</v>
      </c>
      <c r="S60" s="1">
        <v>45992</v>
      </c>
      <c r="U60" t="s">
        <v>51</v>
      </c>
      <c r="X60" t="s">
        <v>52</v>
      </c>
      <c r="Y60" s="2">
        <v>0</v>
      </c>
      <c r="Z60" s="2">
        <v>26.08</v>
      </c>
      <c r="AA60">
        <v>1</v>
      </c>
      <c r="AB60" s="3">
        <v>1</v>
      </c>
      <c r="AC60" s="2">
        <v>26.08</v>
      </c>
      <c r="AD60" s="3">
        <v>0</v>
      </c>
      <c r="AE60" s="2">
        <v>0</v>
      </c>
      <c r="AF60" s="2">
        <v>26.08</v>
      </c>
      <c r="AK60">
        <v>5879318</v>
      </c>
      <c r="AL60" t="s">
        <v>228</v>
      </c>
    </row>
    <row r="61" spans="1:38" x14ac:dyDescent="0.25">
      <c r="A61" s="1">
        <v>45945</v>
      </c>
      <c r="B61" s="1">
        <v>45945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229</v>
      </c>
      <c r="J61" t="s">
        <v>227</v>
      </c>
      <c r="M61" t="s">
        <v>177</v>
      </c>
      <c r="O61" t="s">
        <v>181</v>
      </c>
      <c r="P61" t="s">
        <v>182</v>
      </c>
      <c r="Q61" t="s">
        <v>49</v>
      </c>
      <c r="R61" t="s">
        <v>184</v>
      </c>
      <c r="S61" s="1">
        <v>45992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5879309</v>
      </c>
    </row>
    <row r="62" spans="1:38" x14ac:dyDescent="0.25">
      <c r="A62" s="1">
        <v>45945</v>
      </c>
      <c r="B62" s="1">
        <v>45945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230</v>
      </c>
      <c r="J62" t="s">
        <v>231</v>
      </c>
      <c r="M62" t="s">
        <v>63</v>
      </c>
      <c r="O62" t="s">
        <v>47</v>
      </c>
      <c r="P62" t="s">
        <v>48</v>
      </c>
      <c r="Q62" t="s">
        <v>49</v>
      </c>
      <c r="R62" t="s">
        <v>189</v>
      </c>
      <c r="S62" s="1">
        <v>45962</v>
      </c>
      <c r="U62" t="s">
        <v>51</v>
      </c>
      <c r="X62" t="s">
        <v>52</v>
      </c>
      <c r="Y62" s="2">
        <v>0</v>
      </c>
      <c r="Z62" s="2">
        <v>626</v>
      </c>
      <c r="AA62">
        <v>1</v>
      </c>
      <c r="AB62" s="3">
        <v>1</v>
      </c>
      <c r="AC62" s="2">
        <v>626</v>
      </c>
      <c r="AD62" s="3">
        <v>0</v>
      </c>
      <c r="AE62" s="2">
        <v>0</v>
      </c>
      <c r="AF62" s="2">
        <v>626</v>
      </c>
      <c r="AK62">
        <v>5879294</v>
      </c>
    </row>
    <row r="63" spans="1:38" x14ac:dyDescent="0.25">
      <c r="A63" s="1">
        <v>45945</v>
      </c>
      <c r="B63" s="1">
        <v>45945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232</v>
      </c>
      <c r="J63" t="s">
        <v>233</v>
      </c>
      <c r="M63" t="s">
        <v>63</v>
      </c>
      <c r="O63" t="s">
        <v>95</v>
      </c>
      <c r="P63" t="s">
        <v>96</v>
      </c>
      <c r="Q63" t="s">
        <v>49</v>
      </c>
      <c r="R63" t="s">
        <v>189</v>
      </c>
      <c r="S63" s="1">
        <v>45931</v>
      </c>
      <c r="U63" t="s">
        <v>51</v>
      </c>
      <c r="X63" t="s">
        <v>52</v>
      </c>
      <c r="Y63" s="2">
        <v>0</v>
      </c>
      <c r="Z63" s="2">
        <v>626</v>
      </c>
      <c r="AA63">
        <v>1</v>
      </c>
      <c r="AB63" s="3">
        <v>1</v>
      </c>
      <c r="AC63" s="2">
        <v>626</v>
      </c>
      <c r="AD63" s="3">
        <v>0</v>
      </c>
      <c r="AE63" s="2">
        <v>0</v>
      </c>
      <c r="AF63" s="2">
        <v>626</v>
      </c>
      <c r="AK63">
        <v>5879286</v>
      </c>
    </row>
    <row r="64" spans="1:38" x14ac:dyDescent="0.25">
      <c r="A64" s="1">
        <v>45945</v>
      </c>
      <c r="B64" s="1">
        <v>45945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234</v>
      </c>
      <c r="J64" t="s">
        <v>235</v>
      </c>
      <c r="M64" t="s">
        <v>99</v>
      </c>
      <c r="O64" t="s">
        <v>100</v>
      </c>
      <c r="P64" t="s">
        <v>101</v>
      </c>
      <c r="Q64" t="s">
        <v>49</v>
      </c>
      <c r="R64" t="s">
        <v>189</v>
      </c>
      <c r="S64" s="1">
        <v>45962</v>
      </c>
      <c r="U64" t="s">
        <v>51</v>
      </c>
      <c r="X64" t="s">
        <v>52</v>
      </c>
      <c r="Y64" s="2">
        <v>0</v>
      </c>
      <c r="Z64" s="2">
        <v>626</v>
      </c>
      <c r="AA64">
        <v>1</v>
      </c>
      <c r="AB64" s="3">
        <v>1</v>
      </c>
      <c r="AC64" s="2">
        <v>626</v>
      </c>
      <c r="AD64" s="3">
        <v>0</v>
      </c>
      <c r="AE64" s="2">
        <v>0</v>
      </c>
      <c r="AF64" s="2">
        <v>626</v>
      </c>
      <c r="AK64">
        <v>5879295</v>
      </c>
    </row>
    <row r="65" spans="1:37" s="6" customFormat="1" x14ac:dyDescent="0.25">
      <c r="A65" s="7">
        <v>45945</v>
      </c>
      <c r="B65" s="7">
        <v>45945</v>
      </c>
      <c r="C65" s="6" t="s">
        <v>38</v>
      </c>
      <c r="D65" s="6" t="s">
        <v>39</v>
      </c>
      <c r="E65" s="6" t="s">
        <v>40</v>
      </c>
      <c r="F65" s="6" t="s">
        <v>41</v>
      </c>
      <c r="G65" s="6" t="s">
        <v>42</v>
      </c>
      <c r="H65" s="6" t="s">
        <v>43</v>
      </c>
      <c r="I65" s="6" t="s">
        <v>236</v>
      </c>
      <c r="J65" s="6" t="s">
        <v>237</v>
      </c>
      <c r="M65" s="6" t="s">
        <v>158</v>
      </c>
      <c r="O65" s="6" t="s">
        <v>159</v>
      </c>
      <c r="P65" s="6" t="s">
        <v>160</v>
      </c>
      <c r="Q65" s="6" t="s">
        <v>49</v>
      </c>
      <c r="R65" s="6" t="s">
        <v>238</v>
      </c>
      <c r="S65" s="7">
        <v>45962</v>
      </c>
      <c r="U65" s="6" t="s">
        <v>51</v>
      </c>
      <c r="X65" s="6" t="s">
        <v>52</v>
      </c>
      <c r="Y65" s="8">
        <v>0</v>
      </c>
      <c r="Z65" s="8">
        <v>25.98</v>
      </c>
      <c r="AA65" s="6">
        <v>9</v>
      </c>
      <c r="AB65" s="14">
        <v>1</v>
      </c>
      <c r="AC65" s="8">
        <v>233.82</v>
      </c>
      <c r="AD65" s="14">
        <v>0</v>
      </c>
      <c r="AE65" s="8">
        <v>0</v>
      </c>
      <c r="AF65" s="8">
        <v>233.82</v>
      </c>
      <c r="AK65" s="6">
        <v>5916047</v>
      </c>
    </row>
    <row r="66" spans="1:37" x14ac:dyDescent="0.25">
      <c r="A66" s="1">
        <v>45945</v>
      </c>
      <c r="B66" s="1">
        <v>45945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239</v>
      </c>
      <c r="J66" t="s">
        <v>240</v>
      </c>
      <c r="M66" t="s">
        <v>99</v>
      </c>
      <c r="O66" t="s">
        <v>100</v>
      </c>
      <c r="P66" t="s">
        <v>101</v>
      </c>
      <c r="Q66" t="s">
        <v>49</v>
      </c>
      <c r="R66" t="s">
        <v>241</v>
      </c>
      <c r="S66" s="1">
        <v>46023</v>
      </c>
      <c r="U66" t="s">
        <v>51</v>
      </c>
      <c r="X66" t="s">
        <v>52</v>
      </c>
      <c r="Y66" s="2">
        <v>0</v>
      </c>
      <c r="Z66" s="2">
        <v>31.02</v>
      </c>
      <c r="AA66">
        <v>9</v>
      </c>
      <c r="AB66" s="3">
        <v>1</v>
      </c>
      <c r="AC66" s="2">
        <v>279.18</v>
      </c>
      <c r="AD66" s="3">
        <v>0</v>
      </c>
      <c r="AE66" s="2">
        <v>0</v>
      </c>
      <c r="AF66" s="2">
        <v>279.18</v>
      </c>
      <c r="AK66">
        <v>5879076</v>
      </c>
    </row>
    <row r="67" spans="1:37" x14ac:dyDescent="0.25">
      <c r="A67" s="1">
        <v>45945</v>
      </c>
      <c r="B67" s="1">
        <v>45945</v>
      </c>
      <c r="C67" t="s">
        <v>242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243</v>
      </c>
      <c r="J67" t="s">
        <v>244</v>
      </c>
      <c r="M67" t="s">
        <v>55</v>
      </c>
      <c r="O67" t="s">
        <v>116</v>
      </c>
      <c r="P67" t="s">
        <v>117</v>
      </c>
      <c r="Q67" t="s">
        <v>245</v>
      </c>
      <c r="R67" t="s">
        <v>59</v>
      </c>
      <c r="S67" s="1">
        <v>45689</v>
      </c>
      <c r="U67" t="s">
        <v>51</v>
      </c>
      <c r="X67" t="s">
        <v>52</v>
      </c>
      <c r="AF67" s="2">
        <v>175</v>
      </c>
      <c r="AG67" s="2">
        <v>0</v>
      </c>
      <c r="AJ67" s="2">
        <v>57.75</v>
      </c>
    </row>
    <row r="68" spans="1:37" x14ac:dyDescent="0.25">
      <c r="A68" s="1">
        <v>45945</v>
      </c>
      <c r="B68" s="1">
        <v>45945</v>
      </c>
      <c r="C68" t="s">
        <v>242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246</v>
      </c>
      <c r="J68" t="s">
        <v>247</v>
      </c>
      <c r="M68" t="s">
        <v>63</v>
      </c>
      <c r="O68" t="s">
        <v>83</v>
      </c>
      <c r="P68" t="s">
        <v>84</v>
      </c>
      <c r="Q68" t="s">
        <v>245</v>
      </c>
      <c r="R68" t="s">
        <v>59</v>
      </c>
      <c r="S68" s="1">
        <v>45931</v>
      </c>
      <c r="U68" t="s">
        <v>51</v>
      </c>
      <c r="X68" t="s">
        <v>52</v>
      </c>
      <c r="AF68" s="2">
        <v>175</v>
      </c>
      <c r="AG68" s="2">
        <v>0</v>
      </c>
      <c r="AJ68" s="2">
        <v>175</v>
      </c>
    </row>
    <row r="69" spans="1:37" x14ac:dyDescent="0.25">
      <c r="A69" s="1">
        <v>45945</v>
      </c>
      <c r="B69" s="1">
        <v>45945</v>
      </c>
      <c r="C69" t="s">
        <v>242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248</v>
      </c>
      <c r="J69" t="s">
        <v>136</v>
      </c>
      <c r="M69" t="s">
        <v>46</v>
      </c>
      <c r="O69" t="s">
        <v>116</v>
      </c>
      <c r="P69" t="s">
        <v>117</v>
      </c>
      <c r="Q69" t="s">
        <v>245</v>
      </c>
      <c r="R69" t="s">
        <v>249</v>
      </c>
      <c r="S69" s="1">
        <v>45658</v>
      </c>
      <c r="U69" t="s">
        <v>51</v>
      </c>
      <c r="X69" t="s">
        <v>52</v>
      </c>
      <c r="AF69" s="2">
        <v>50</v>
      </c>
      <c r="AG69" s="2">
        <v>0</v>
      </c>
      <c r="AJ69" s="2">
        <v>12.5</v>
      </c>
    </row>
    <row r="70" spans="1:37" x14ac:dyDescent="0.25">
      <c r="A70" s="1">
        <v>45945</v>
      </c>
      <c r="B70" s="1">
        <v>45945</v>
      </c>
      <c r="C70" t="s">
        <v>242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250</v>
      </c>
      <c r="J70" t="s">
        <v>149</v>
      </c>
      <c r="M70" t="s">
        <v>150</v>
      </c>
      <c r="O70" t="s">
        <v>151</v>
      </c>
      <c r="P70" t="s">
        <v>152</v>
      </c>
      <c r="Q70" t="s">
        <v>245</v>
      </c>
      <c r="R70" t="s">
        <v>170</v>
      </c>
      <c r="S70" s="1">
        <v>45931</v>
      </c>
      <c r="U70" t="s">
        <v>51</v>
      </c>
      <c r="X70" t="s">
        <v>52</v>
      </c>
      <c r="AF70" s="2">
        <v>78.25</v>
      </c>
      <c r="AG70" s="2">
        <v>0</v>
      </c>
      <c r="AJ70" s="2">
        <v>78.25</v>
      </c>
    </row>
    <row r="71" spans="1:37" x14ac:dyDescent="0.25">
      <c r="A71" s="1">
        <v>45945</v>
      </c>
      <c r="B71" s="1">
        <v>45945</v>
      </c>
      <c r="C71" t="s">
        <v>242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251</v>
      </c>
      <c r="J71" t="s">
        <v>149</v>
      </c>
      <c r="M71" t="s">
        <v>150</v>
      </c>
      <c r="O71" t="s">
        <v>151</v>
      </c>
      <c r="P71" t="s">
        <v>152</v>
      </c>
      <c r="Q71" t="s">
        <v>245</v>
      </c>
      <c r="R71" t="s">
        <v>172</v>
      </c>
      <c r="S71" s="1">
        <v>45931</v>
      </c>
      <c r="U71" t="s">
        <v>51</v>
      </c>
      <c r="X71" t="s">
        <v>52</v>
      </c>
      <c r="AF71" s="2">
        <v>18</v>
      </c>
      <c r="AG71" s="2">
        <v>0</v>
      </c>
      <c r="AJ71" s="2">
        <v>18</v>
      </c>
    </row>
    <row r="72" spans="1:37" x14ac:dyDescent="0.25">
      <c r="A72" s="1">
        <v>45945</v>
      </c>
      <c r="B72" s="1">
        <v>45945</v>
      </c>
      <c r="C72" t="s">
        <v>242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252</v>
      </c>
      <c r="J72" t="s">
        <v>157</v>
      </c>
      <c r="M72" t="s">
        <v>158</v>
      </c>
      <c r="O72" t="s">
        <v>159</v>
      </c>
      <c r="P72" t="s">
        <v>160</v>
      </c>
      <c r="Q72" t="s">
        <v>245</v>
      </c>
      <c r="R72" t="s">
        <v>170</v>
      </c>
      <c r="S72" s="1">
        <v>45931</v>
      </c>
      <c r="U72" t="s">
        <v>51</v>
      </c>
      <c r="X72" t="s">
        <v>52</v>
      </c>
      <c r="AF72" s="2">
        <v>78.25</v>
      </c>
      <c r="AG72" s="2">
        <v>0</v>
      </c>
      <c r="AJ72" s="2">
        <v>78.25</v>
      </c>
    </row>
    <row r="73" spans="1:37" x14ac:dyDescent="0.25">
      <c r="A73" s="1">
        <v>45945</v>
      </c>
      <c r="B73" s="1">
        <v>45945</v>
      </c>
      <c r="C73" t="s">
        <v>242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253</v>
      </c>
      <c r="J73" t="s">
        <v>157</v>
      </c>
      <c r="M73" t="s">
        <v>158</v>
      </c>
      <c r="O73" t="s">
        <v>159</v>
      </c>
      <c r="P73" t="s">
        <v>160</v>
      </c>
      <c r="Q73" t="s">
        <v>245</v>
      </c>
      <c r="R73" t="s">
        <v>172</v>
      </c>
      <c r="S73" s="1">
        <v>45931</v>
      </c>
      <c r="U73" t="s">
        <v>51</v>
      </c>
      <c r="X73" t="s">
        <v>52</v>
      </c>
      <c r="AF73" s="2">
        <v>18</v>
      </c>
      <c r="AG73" s="2">
        <v>0</v>
      </c>
      <c r="AJ73" s="2">
        <v>18</v>
      </c>
    </row>
    <row r="74" spans="1:37" x14ac:dyDescent="0.25">
      <c r="A74" s="1">
        <v>45945</v>
      </c>
      <c r="B74" s="1">
        <v>45945</v>
      </c>
      <c r="C74" t="s">
        <v>242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254</v>
      </c>
      <c r="J74" t="s">
        <v>163</v>
      </c>
      <c r="M74" t="s">
        <v>150</v>
      </c>
      <c r="O74" t="s">
        <v>151</v>
      </c>
      <c r="P74" t="s">
        <v>152</v>
      </c>
      <c r="Q74" t="s">
        <v>245</v>
      </c>
      <c r="R74" t="s">
        <v>170</v>
      </c>
      <c r="S74" s="1">
        <v>45931</v>
      </c>
      <c r="U74" t="s">
        <v>51</v>
      </c>
      <c r="X74" t="s">
        <v>52</v>
      </c>
      <c r="AF74" s="2">
        <v>78.25</v>
      </c>
      <c r="AG74" s="2">
        <v>0</v>
      </c>
      <c r="AJ74" s="2">
        <v>78.25</v>
      </c>
    </row>
    <row r="75" spans="1:37" x14ac:dyDescent="0.25">
      <c r="A75" s="1">
        <v>45945</v>
      </c>
      <c r="B75" s="1">
        <v>45945</v>
      </c>
      <c r="C75" t="s">
        <v>242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255</v>
      </c>
      <c r="J75" t="s">
        <v>163</v>
      </c>
      <c r="M75" t="s">
        <v>150</v>
      </c>
      <c r="O75" t="s">
        <v>151</v>
      </c>
      <c r="P75" t="s">
        <v>152</v>
      </c>
      <c r="Q75" t="s">
        <v>245</v>
      </c>
      <c r="R75" t="s">
        <v>172</v>
      </c>
      <c r="S75" s="1">
        <v>45931</v>
      </c>
      <c r="U75" t="s">
        <v>51</v>
      </c>
      <c r="X75" t="s">
        <v>52</v>
      </c>
      <c r="AF75" s="2">
        <v>18</v>
      </c>
      <c r="AG75" s="2">
        <v>0</v>
      </c>
      <c r="AJ75" s="2">
        <v>18</v>
      </c>
    </row>
    <row r="76" spans="1:37" x14ac:dyDescent="0.25">
      <c r="A76" s="1">
        <v>45945</v>
      </c>
      <c r="B76" s="1">
        <v>45945</v>
      </c>
      <c r="C76" t="s">
        <v>242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256</v>
      </c>
      <c r="J76" t="s">
        <v>257</v>
      </c>
      <c r="M76" t="s">
        <v>63</v>
      </c>
      <c r="O76" t="s">
        <v>47</v>
      </c>
      <c r="P76" t="s">
        <v>48</v>
      </c>
      <c r="Q76" t="s">
        <v>245</v>
      </c>
      <c r="R76" t="s">
        <v>147</v>
      </c>
      <c r="S76" s="1">
        <v>45658</v>
      </c>
      <c r="U76" t="s">
        <v>51</v>
      </c>
      <c r="X76" t="s">
        <v>52</v>
      </c>
      <c r="AF76" s="2">
        <v>100</v>
      </c>
      <c r="AG76" s="2">
        <v>0</v>
      </c>
      <c r="AJ76" s="2">
        <v>100</v>
      </c>
    </row>
    <row r="77" spans="1:37" x14ac:dyDescent="0.25">
      <c r="A77" s="1">
        <v>45945</v>
      </c>
      <c r="B77" s="1">
        <v>45945</v>
      </c>
      <c r="C77" t="s">
        <v>242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258</v>
      </c>
      <c r="J77" t="s">
        <v>259</v>
      </c>
      <c r="M77" t="s">
        <v>63</v>
      </c>
      <c r="O77" t="s">
        <v>47</v>
      </c>
      <c r="P77" t="s">
        <v>48</v>
      </c>
      <c r="Q77" t="s">
        <v>245</v>
      </c>
      <c r="R77" t="s">
        <v>147</v>
      </c>
      <c r="S77" s="1">
        <v>45658</v>
      </c>
      <c r="U77" t="s">
        <v>51</v>
      </c>
      <c r="X77" t="s">
        <v>52</v>
      </c>
      <c r="AF77" s="2">
        <v>100</v>
      </c>
      <c r="AG77" s="2">
        <v>0</v>
      </c>
      <c r="AJ77" s="2">
        <v>100</v>
      </c>
    </row>
    <row r="78" spans="1:37" x14ac:dyDescent="0.25">
      <c r="A78" s="1">
        <v>45945</v>
      </c>
      <c r="B78" s="1">
        <v>45945</v>
      </c>
      <c r="C78" t="s">
        <v>242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260</v>
      </c>
      <c r="J78" t="s">
        <v>261</v>
      </c>
      <c r="M78" t="s">
        <v>63</v>
      </c>
      <c r="O78" t="s">
        <v>127</v>
      </c>
      <c r="P78" t="s">
        <v>128</v>
      </c>
      <c r="Q78" t="s">
        <v>245</v>
      </c>
      <c r="R78" t="s">
        <v>147</v>
      </c>
      <c r="S78" s="1">
        <v>45658</v>
      </c>
      <c r="U78" t="s">
        <v>51</v>
      </c>
      <c r="X78" t="s">
        <v>52</v>
      </c>
      <c r="AF78" s="2">
        <v>100</v>
      </c>
      <c r="AG78" s="2">
        <v>0</v>
      </c>
      <c r="AJ78" s="2">
        <v>100</v>
      </c>
    </row>
    <row r="79" spans="1:37" x14ac:dyDescent="0.25">
      <c r="A79" s="1">
        <v>45945</v>
      </c>
      <c r="B79" s="1">
        <v>45945</v>
      </c>
      <c r="C79" t="s">
        <v>242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262</v>
      </c>
      <c r="J79" t="s">
        <v>263</v>
      </c>
      <c r="M79" t="s">
        <v>180</v>
      </c>
      <c r="O79" t="s">
        <v>264</v>
      </c>
      <c r="P79" t="s">
        <v>265</v>
      </c>
      <c r="Q79" t="s">
        <v>245</v>
      </c>
      <c r="R79" t="s">
        <v>147</v>
      </c>
      <c r="S79" s="1">
        <v>45658</v>
      </c>
      <c r="U79" t="s">
        <v>51</v>
      </c>
      <c r="X79" t="s">
        <v>52</v>
      </c>
      <c r="AF79" s="2">
        <v>100</v>
      </c>
      <c r="AG79" s="2">
        <v>0</v>
      </c>
      <c r="AJ79" s="2">
        <v>58.33</v>
      </c>
    </row>
    <row r="80" spans="1:37" x14ac:dyDescent="0.25">
      <c r="A80" s="1">
        <v>45945</v>
      </c>
      <c r="B80" s="1">
        <v>45945</v>
      </c>
      <c r="C80" t="s">
        <v>242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266</v>
      </c>
      <c r="J80" t="s">
        <v>267</v>
      </c>
      <c r="O80" t="s">
        <v>268</v>
      </c>
      <c r="P80" t="s">
        <v>269</v>
      </c>
      <c r="Q80" t="s">
        <v>245</v>
      </c>
      <c r="R80" t="s">
        <v>147</v>
      </c>
      <c r="S80" s="1">
        <v>45658</v>
      </c>
      <c r="U80" t="s">
        <v>51</v>
      </c>
      <c r="X80" t="s">
        <v>52</v>
      </c>
      <c r="AF80" s="2">
        <v>100</v>
      </c>
      <c r="AG80" s="2">
        <v>0</v>
      </c>
      <c r="AJ80" s="2">
        <v>41.66</v>
      </c>
    </row>
    <row r="81" spans="1:36" x14ac:dyDescent="0.25">
      <c r="A81" s="1">
        <v>45945</v>
      </c>
      <c r="B81" s="1">
        <v>45945</v>
      </c>
      <c r="C81" t="s">
        <v>242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270</v>
      </c>
      <c r="J81" t="s">
        <v>186</v>
      </c>
      <c r="M81" t="s">
        <v>99</v>
      </c>
      <c r="O81" t="s">
        <v>187</v>
      </c>
      <c r="P81" t="s">
        <v>188</v>
      </c>
      <c r="Q81" t="s">
        <v>245</v>
      </c>
      <c r="R81" t="s">
        <v>170</v>
      </c>
      <c r="S81" s="1">
        <v>45931</v>
      </c>
      <c r="U81" t="s">
        <v>51</v>
      </c>
      <c r="X81" t="s">
        <v>52</v>
      </c>
      <c r="AF81" s="2">
        <v>78.25</v>
      </c>
      <c r="AG81" s="2">
        <v>0</v>
      </c>
      <c r="AJ81" s="2">
        <v>78.25</v>
      </c>
    </row>
    <row r="82" spans="1:36" x14ac:dyDescent="0.25">
      <c r="A82" s="1">
        <v>45945</v>
      </c>
      <c r="B82" s="1">
        <v>45945</v>
      </c>
      <c r="C82" t="s">
        <v>242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271</v>
      </c>
      <c r="J82" t="s">
        <v>191</v>
      </c>
      <c r="M82" t="s">
        <v>192</v>
      </c>
      <c r="O82" t="s">
        <v>110</v>
      </c>
      <c r="P82" t="s">
        <v>111</v>
      </c>
      <c r="Q82" t="s">
        <v>245</v>
      </c>
      <c r="R82" t="s">
        <v>170</v>
      </c>
      <c r="S82" s="1">
        <v>45931</v>
      </c>
      <c r="U82" t="s">
        <v>51</v>
      </c>
      <c r="X82" t="s">
        <v>52</v>
      </c>
      <c r="AF82" s="2">
        <v>78.25</v>
      </c>
      <c r="AG82" s="2">
        <v>0</v>
      </c>
      <c r="AJ82" s="2">
        <v>78.25</v>
      </c>
    </row>
    <row r="83" spans="1:36" x14ac:dyDescent="0.25">
      <c r="A83" s="1">
        <v>45945</v>
      </c>
      <c r="B83" s="1">
        <v>45945</v>
      </c>
      <c r="C83" t="s">
        <v>242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272</v>
      </c>
      <c r="J83" t="s">
        <v>194</v>
      </c>
      <c r="M83" t="s">
        <v>63</v>
      </c>
      <c r="O83" t="s">
        <v>47</v>
      </c>
      <c r="P83" t="s">
        <v>48</v>
      </c>
      <c r="Q83" t="s">
        <v>245</v>
      </c>
      <c r="R83" t="s">
        <v>170</v>
      </c>
      <c r="S83" s="1">
        <v>45931</v>
      </c>
      <c r="U83" t="s">
        <v>51</v>
      </c>
      <c r="X83" t="s">
        <v>52</v>
      </c>
      <c r="AF83" s="2">
        <v>78.25</v>
      </c>
      <c r="AG83" s="2">
        <v>0</v>
      </c>
      <c r="AJ83" s="2">
        <v>78.25</v>
      </c>
    </row>
    <row r="84" spans="1:36" x14ac:dyDescent="0.25">
      <c r="A84" s="1">
        <v>45945</v>
      </c>
      <c r="B84" s="1">
        <v>45945</v>
      </c>
      <c r="C84" t="s">
        <v>242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273</v>
      </c>
      <c r="J84" t="s">
        <v>194</v>
      </c>
      <c r="M84" t="s">
        <v>63</v>
      </c>
      <c r="O84" t="s">
        <v>47</v>
      </c>
      <c r="P84" t="s">
        <v>48</v>
      </c>
      <c r="Q84" t="s">
        <v>245</v>
      </c>
      <c r="R84" t="s">
        <v>274</v>
      </c>
      <c r="S84" s="1">
        <v>45931</v>
      </c>
      <c r="U84" t="s">
        <v>51</v>
      </c>
      <c r="X84" t="s">
        <v>52</v>
      </c>
      <c r="AF84" s="2">
        <v>12.5</v>
      </c>
      <c r="AG84" s="2">
        <v>0</v>
      </c>
      <c r="AJ84" s="2">
        <v>12.5</v>
      </c>
    </row>
    <row r="85" spans="1:36" x14ac:dyDescent="0.25">
      <c r="A85" s="1">
        <v>45945</v>
      </c>
      <c r="B85" s="1">
        <v>45945</v>
      </c>
      <c r="C85" t="s">
        <v>242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275</v>
      </c>
      <c r="J85" t="s">
        <v>201</v>
      </c>
      <c r="M85" t="s">
        <v>177</v>
      </c>
      <c r="O85" t="s">
        <v>151</v>
      </c>
      <c r="P85" t="s">
        <v>152</v>
      </c>
      <c r="Q85" t="s">
        <v>245</v>
      </c>
      <c r="R85" t="s">
        <v>170</v>
      </c>
      <c r="S85" s="1">
        <v>45931</v>
      </c>
      <c r="U85" t="s">
        <v>51</v>
      </c>
      <c r="X85" t="s">
        <v>52</v>
      </c>
      <c r="AF85" s="2">
        <v>78.25</v>
      </c>
      <c r="AG85" s="2">
        <v>0</v>
      </c>
      <c r="AJ85" s="2">
        <v>78.25</v>
      </c>
    </row>
    <row r="86" spans="1:36" x14ac:dyDescent="0.25">
      <c r="A86" s="1">
        <v>45945</v>
      </c>
      <c r="B86" s="1">
        <v>45945</v>
      </c>
      <c r="C86" t="s">
        <v>242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276</v>
      </c>
      <c r="J86" t="s">
        <v>207</v>
      </c>
      <c r="M86" t="s">
        <v>104</v>
      </c>
      <c r="O86" t="s">
        <v>208</v>
      </c>
      <c r="P86" t="s">
        <v>209</v>
      </c>
      <c r="Q86" t="s">
        <v>245</v>
      </c>
      <c r="R86" t="s">
        <v>170</v>
      </c>
      <c r="S86" s="1">
        <v>45931</v>
      </c>
      <c r="U86" t="s">
        <v>51</v>
      </c>
      <c r="X86" t="s">
        <v>52</v>
      </c>
      <c r="AF86" s="2">
        <v>78.25</v>
      </c>
      <c r="AG86" s="2">
        <v>0</v>
      </c>
      <c r="AJ86" s="2">
        <v>78.25</v>
      </c>
    </row>
    <row r="87" spans="1:36" x14ac:dyDescent="0.25">
      <c r="A87" s="1">
        <v>45945</v>
      </c>
      <c r="B87" s="1">
        <v>45945</v>
      </c>
      <c r="C87" t="s">
        <v>242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277</v>
      </c>
      <c r="J87" t="s">
        <v>211</v>
      </c>
      <c r="M87" t="s">
        <v>104</v>
      </c>
      <c r="O87" t="s">
        <v>187</v>
      </c>
      <c r="P87" t="s">
        <v>188</v>
      </c>
      <c r="Q87" t="s">
        <v>245</v>
      </c>
      <c r="R87" t="s">
        <v>170</v>
      </c>
      <c r="S87" s="1">
        <v>45931</v>
      </c>
      <c r="U87" t="s">
        <v>51</v>
      </c>
      <c r="X87" t="s">
        <v>52</v>
      </c>
      <c r="AF87" s="2">
        <v>78.25</v>
      </c>
      <c r="AG87" s="2">
        <v>0</v>
      </c>
      <c r="AJ87" s="2">
        <v>78.25</v>
      </c>
    </row>
    <row r="88" spans="1:36" x14ac:dyDescent="0.25">
      <c r="A88" s="1">
        <v>45945</v>
      </c>
      <c r="B88" s="1">
        <v>45945</v>
      </c>
      <c r="C88" t="s">
        <v>242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278</v>
      </c>
      <c r="J88" t="s">
        <v>213</v>
      </c>
      <c r="M88" t="s">
        <v>99</v>
      </c>
      <c r="O88" t="s">
        <v>100</v>
      </c>
      <c r="P88" t="s">
        <v>101</v>
      </c>
      <c r="Q88" t="s">
        <v>245</v>
      </c>
      <c r="R88" t="s">
        <v>170</v>
      </c>
      <c r="S88" s="1">
        <v>45992</v>
      </c>
      <c r="U88" t="s">
        <v>51</v>
      </c>
      <c r="X88" t="s">
        <v>52</v>
      </c>
      <c r="AF88" s="2">
        <v>26.08</v>
      </c>
      <c r="AG88" s="2">
        <v>0</v>
      </c>
      <c r="AJ88" s="2">
        <v>26.08</v>
      </c>
    </row>
    <row r="89" spans="1:36" x14ac:dyDescent="0.25">
      <c r="A89" s="1">
        <v>45945</v>
      </c>
      <c r="B89" s="1">
        <v>45945</v>
      </c>
      <c r="C89" t="s">
        <v>242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279</v>
      </c>
      <c r="J89" t="s">
        <v>220</v>
      </c>
      <c r="M89" t="s">
        <v>104</v>
      </c>
      <c r="O89" t="s">
        <v>187</v>
      </c>
      <c r="P89" t="s">
        <v>188</v>
      </c>
      <c r="Q89" t="s">
        <v>245</v>
      </c>
      <c r="R89" t="s">
        <v>170</v>
      </c>
      <c r="S89" s="1">
        <v>45931</v>
      </c>
      <c r="U89" t="s">
        <v>51</v>
      </c>
      <c r="X89" t="s">
        <v>52</v>
      </c>
      <c r="AF89" s="2">
        <v>78.25</v>
      </c>
      <c r="AG89" s="2">
        <v>0</v>
      </c>
      <c r="AJ89" s="2">
        <v>78.25</v>
      </c>
    </row>
    <row r="90" spans="1:36" x14ac:dyDescent="0.25">
      <c r="A90" s="1">
        <v>45945</v>
      </c>
      <c r="B90" s="1">
        <v>45945</v>
      </c>
      <c r="C90" t="s">
        <v>242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280</v>
      </c>
      <c r="J90" t="s">
        <v>225</v>
      </c>
      <c r="M90" t="s">
        <v>99</v>
      </c>
      <c r="O90" t="s">
        <v>100</v>
      </c>
      <c r="P90" t="s">
        <v>101</v>
      </c>
      <c r="Q90" t="s">
        <v>245</v>
      </c>
      <c r="R90" t="s">
        <v>170</v>
      </c>
      <c r="S90" s="1">
        <v>45962</v>
      </c>
      <c r="U90" t="s">
        <v>51</v>
      </c>
      <c r="X90" t="s">
        <v>52</v>
      </c>
      <c r="AF90" s="2">
        <v>52.17</v>
      </c>
      <c r="AG90" s="2">
        <v>0</v>
      </c>
      <c r="AJ90" s="2">
        <v>52.17</v>
      </c>
    </row>
    <row r="91" spans="1:36" x14ac:dyDescent="0.25">
      <c r="A91" s="1">
        <v>45945</v>
      </c>
      <c r="B91" s="1">
        <v>45945</v>
      </c>
      <c r="C91" t="s">
        <v>242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281</v>
      </c>
      <c r="J91" t="s">
        <v>231</v>
      </c>
      <c r="M91" t="s">
        <v>63</v>
      </c>
      <c r="O91" t="s">
        <v>47</v>
      </c>
      <c r="P91" t="s">
        <v>48</v>
      </c>
      <c r="Q91" t="s">
        <v>245</v>
      </c>
      <c r="R91" t="s">
        <v>170</v>
      </c>
      <c r="S91" s="1">
        <v>45962</v>
      </c>
      <c r="U91" t="s">
        <v>51</v>
      </c>
      <c r="X91" t="s">
        <v>52</v>
      </c>
      <c r="AF91" s="2">
        <v>52.17</v>
      </c>
      <c r="AG91" s="2">
        <v>0</v>
      </c>
      <c r="AJ91" s="2">
        <v>52.17</v>
      </c>
    </row>
    <row r="92" spans="1:36" x14ac:dyDescent="0.25">
      <c r="A92" s="1">
        <v>45945</v>
      </c>
      <c r="B92" s="1">
        <v>45945</v>
      </c>
      <c r="C92" t="s">
        <v>242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282</v>
      </c>
      <c r="J92" t="s">
        <v>283</v>
      </c>
      <c r="M92" t="s">
        <v>177</v>
      </c>
      <c r="O92" t="s">
        <v>187</v>
      </c>
      <c r="P92" t="s">
        <v>188</v>
      </c>
      <c r="Q92" t="s">
        <v>245</v>
      </c>
      <c r="R92" t="s">
        <v>284</v>
      </c>
      <c r="S92" s="1">
        <v>45778</v>
      </c>
      <c r="U92" t="s">
        <v>51</v>
      </c>
      <c r="X92" t="s">
        <v>52</v>
      </c>
      <c r="AF92" s="2">
        <v>175</v>
      </c>
      <c r="AG92" s="2">
        <v>0</v>
      </c>
      <c r="AJ92" s="2">
        <v>116.67</v>
      </c>
    </row>
    <row r="93" spans="1:36" x14ac:dyDescent="0.25">
      <c r="A93" s="1">
        <v>45945</v>
      </c>
      <c r="B93" s="1">
        <v>45945</v>
      </c>
      <c r="C93" t="s">
        <v>242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285</v>
      </c>
      <c r="J93" t="s">
        <v>283</v>
      </c>
      <c r="M93" t="s">
        <v>177</v>
      </c>
      <c r="O93" t="s">
        <v>187</v>
      </c>
      <c r="P93" t="s">
        <v>188</v>
      </c>
      <c r="Q93" t="s">
        <v>245</v>
      </c>
      <c r="R93" t="s">
        <v>189</v>
      </c>
      <c r="S93" s="1">
        <v>45778</v>
      </c>
      <c r="U93" t="s">
        <v>51</v>
      </c>
      <c r="X93" t="s">
        <v>52</v>
      </c>
      <c r="AF93" s="2">
        <v>626</v>
      </c>
      <c r="AG93" s="2">
        <v>0</v>
      </c>
      <c r="AJ93" s="2">
        <v>417.33</v>
      </c>
    </row>
    <row r="94" spans="1:36" x14ac:dyDescent="0.25">
      <c r="A94" s="1">
        <v>45945</v>
      </c>
      <c r="B94" s="1">
        <v>45945</v>
      </c>
      <c r="C94" t="s">
        <v>242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286</v>
      </c>
      <c r="J94" t="s">
        <v>233</v>
      </c>
      <c r="M94" t="s">
        <v>63</v>
      </c>
      <c r="O94" t="s">
        <v>95</v>
      </c>
      <c r="P94" t="s">
        <v>96</v>
      </c>
      <c r="Q94" t="s">
        <v>245</v>
      </c>
      <c r="R94" t="s">
        <v>170</v>
      </c>
      <c r="S94" s="1">
        <v>45931</v>
      </c>
      <c r="U94" t="s">
        <v>51</v>
      </c>
      <c r="X94" t="s">
        <v>52</v>
      </c>
      <c r="AF94" s="2">
        <v>78.25</v>
      </c>
      <c r="AG94" s="2">
        <v>0</v>
      </c>
      <c r="AJ94" s="2">
        <v>78.25</v>
      </c>
    </row>
    <row r="95" spans="1:36" x14ac:dyDescent="0.25">
      <c r="A95" s="1">
        <v>45945</v>
      </c>
      <c r="B95" s="1">
        <v>45945</v>
      </c>
      <c r="C95" t="s">
        <v>242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287</v>
      </c>
      <c r="J95" t="s">
        <v>235</v>
      </c>
      <c r="M95" t="s">
        <v>99</v>
      </c>
      <c r="O95" t="s">
        <v>100</v>
      </c>
      <c r="P95" t="s">
        <v>101</v>
      </c>
      <c r="Q95" t="s">
        <v>245</v>
      </c>
      <c r="R95" t="s">
        <v>170</v>
      </c>
      <c r="S95" s="1">
        <v>45962</v>
      </c>
      <c r="U95" t="s">
        <v>51</v>
      </c>
      <c r="X95" t="s">
        <v>52</v>
      </c>
      <c r="AF95" s="2">
        <v>52.17</v>
      </c>
      <c r="AG95" s="2">
        <v>0</v>
      </c>
      <c r="AJ95" s="2">
        <v>52.17</v>
      </c>
    </row>
    <row r="96" spans="1:36" x14ac:dyDescent="0.25">
      <c r="A96" s="1">
        <v>45945</v>
      </c>
      <c r="B96" s="1">
        <v>45945</v>
      </c>
      <c r="C96" t="s">
        <v>242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288</v>
      </c>
      <c r="J96" t="s">
        <v>289</v>
      </c>
      <c r="M96" t="s">
        <v>63</v>
      </c>
      <c r="O96" t="s">
        <v>47</v>
      </c>
      <c r="P96" t="s">
        <v>48</v>
      </c>
      <c r="Q96" t="s">
        <v>245</v>
      </c>
      <c r="R96" t="s">
        <v>284</v>
      </c>
      <c r="S96" s="1">
        <v>45658</v>
      </c>
      <c r="U96" t="s">
        <v>51</v>
      </c>
      <c r="X96" t="s">
        <v>52</v>
      </c>
      <c r="AF96" s="2">
        <v>175</v>
      </c>
      <c r="AG96" s="2">
        <v>0</v>
      </c>
      <c r="AJ96" s="2">
        <v>29.17</v>
      </c>
    </row>
    <row r="97" spans="1:36" x14ac:dyDescent="0.25">
      <c r="A97" s="1">
        <v>45945</v>
      </c>
      <c r="B97" s="1">
        <v>45945</v>
      </c>
      <c r="C97" t="s">
        <v>242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290</v>
      </c>
      <c r="J97" t="s">
        <v>289</v>
      </c>
      <c r="M97" t="s">
        <v>63</v>
      </c>
      <c r="O97" t="s">
        <v>47</v>
      </c>
      <c r="P97" t="s">
        <v>48</v>
      </c>
      <c r="Q97" t="s">
        <v>245</v>
      </c>
      <c r="R97" t="s">
        <v>170</v>
      </c>
      <c r="S97" s="1">
        <v>45658</v>
      </c>
      <c r="U97" t="s">
        <v>51</v>
      </c>
      <c r="X97" t="s">
        <v>52</v>
      </c>
      <c r="AF97" s="2">
        <v>313</v>
      </c>
      <c r="AG97" s="2">
        <v>0</v>
      </c>
      <c r="AJ97" s="2">
        <v>52.16</v>
      </c>
    </row>
    <row r="98" spans="1:36" x14ac:dyDescent="0.25">
      <c r="A98" s="1">
        <v>45945</v>
      </c>
      <c r="B98" s="1">
        <v>45945</v>
      </c>
      <c r="C98" t="s">
        <v>242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291</v>
      </c>
      <c r="J98" t="s">
        <v>292</v>
      </c>
      <c r="M98" t="s">
        <v>177</v>
      </c>
      <c r="O98" t="s">
        <v>77</v>
      </c>
      <c r="P98" t="s">
        <v>78</v>
      </c>
      <c r="Q98" t="s">
        <v>245</v>
      </c>
      <c r="R98" t="s">
        <v>293</v>
      </c>
      <c r="S98" s="1">
        <v>45901</v>
      </c>
      <c r="U98" t="s">
        <v>51</v>
      </c>
      <c r="X98" t="s">
        <v>52</v>
      </c>
      <c r="AF98" s="2">
        <v>252.18</v>
      </c>
      <c r="AG98" s="2">
        <v>0</v>
      </c>
      <c r="AJ98" s="2">
        <v>252.18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AA7A-DFBA-4D7E-BD82-944453A6A2C8}">
  <dimension ref="A1:AM98"/>
  <sheetViews>
    <sheetView topLeftCell="A35" workbookViewId="0">
      <selection activeCell="B65" sqref="B65"/>
    </sheetView>
  </sheetViews>
  <sheetFormatPr defaultRowHeight="15" x14ac:dyDescent="0.25"/>
  <cols>
    <col min="1" max="1" width="17.42578125" style="4" bestFit="1" customWidth="1"/>
    <col min="2" max="2" width="17.42578125" style="4" customWidth="1"/>
    <col min="3" max="3" width="29.28515625" bestFit="1" customWidth="1"/>
    <col min="4" max="4" width="15.7109375" bestFit="1" customWidth="1"/>
    <col min="7" max="7" width="46.7109375" bestFit="1" customWidth="1"/>
    <col min="8" max="8" width="10.140625" bestFit="1" customWidth="1"/>
    <col min="12" max="12" width="39.140625" bestFit="1" customWidth="1"/>
    <col min="13" max="13" width="45" bestFit="1" customWidth="1"/>
    <col min="14" max="14" width="23.140625" bestFit="1" customWidth="1"/>
  </cols>
  <sheetData>
    <row r="1" spans="1:13" x14ac:dyDescent="0.25">
      <c r="A1" s="4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25</v>
      </c>
      <c r="J1" t="s">
        <v>26</v>
      </c>
      <c r="K1" t="s">
        <v>28</v>
      </c>
      <c r="L1" t="s">
        <v>37</v>
      </c>
    </row>
    <row r="2" spans="1:13" x14ac:dyDescent="0.25">
      <c r="A2" s="4" t="s">
        <v>336</v>
      </c>
      <c r="B2" s="4" t="s">
        <v>361</v>
      </c>
      <c r="C2" t="s">
        <v>136</v>
      </c>
      <c r="D2">
        <v>20411454</v>
      </c>
      <c r="E2" t="s">
        <v>375</v>
      </c>
      <c r="F2" t="s">
        <v>245</v>
      </c>
      <c r="G2" t="s">
        <v>249</v>
      </c>
      <c r="H2" s="1">
        <v>45658</v>
      </c>
      <c r="K2">
        <v>-12.5</v>
      </c>
      <c r="M2" t="s">
        <v>346</v>
      </c>
    </row>
    <row r="3" spans="1:13" x14ac:dyDescent="0.25">
      <c r="A3" s="4">
        <v>101125355300</v>
      </c>
      <c r="B3" s="4" t="str">
        <f t="shared" ref="B3:B8" si="0">CONCATENATE(A3,"OVR")</f>
        <v>101125355300OVR</v>
      </c>
      <c r="C3" t="s">
        <v>136</v>
      </c>
      <c r="D3">
        <v>20411454</v>
      </c>
      <c r="E3" t="s">
        <v>375</v>
      </c>
      <c r="F3" t="s">
        <v>49</v>
      </c>
      <c r="G3" t="s">
        <v>137</v>
      </c>
      <c r="H3" s="1">
        <v>45931</v>
      </c>
      <c r="I3" s="2">
        <v>6.25</v>
      </c>
      <c r="J3">
        <v>1</v>
      </c>
      <c r="K3" s="2">
        <v>6.25</v>
      </c>
      <c r="L3" t="s">
        <v>138</v>
      </c>
      <c r="M3" t="s">
        <v>346</v>
      </c>
    </row>
    <row r="4" spans="1:13" x14ac:dyDescent="0.25">
      <c r="A4" s="4">
        <v>102032640700</v>
      </c>
      <c r="B4" s="4" t="str">
        <f t="shared" si="0"/>
        <v>102032640700OVR</v>
      </c>
      <c r="C4" t="s">
        <v>140</v>
      </c>
      <c r="D4">
        <v>20411454</v>
      </c>
      <c r="E4" t="s">
        <v>375</v>
      </c>
      <c r="F4" t="s">
        <v>49</v>
      </c>
      <c r="G4" t="s">
        <v>137</v>
      </c>
      <c r="H4" s="1">
        <v>45931</v>
      </c>
      <c r="I4" s="2">
        <v>6.25</v>
      </c>
      <c r="J4">
        <v>1</v>
      </c>
      <c r="K4" s="2">
        <v>6.25</v>
      </c>
      <c r="L4" t="s">
        <v>138</v>
      </c>
      <c r="M4" t="s">
        <v>346</v>
      </c>
    </row>
    <row r="5" spans="1:13" x14ac:dyDescent="0.25">
      <c r="A5" s="4">
        <v>102196568300</v>
      </c>
      <c r="B5" s="4" t="str">
        <f t="shared" si="0"/>
        <v>102196568300OVR</v>
      </c>
      <c r="C5" t="s">
        <v>142</v>
      </c>
      <c r="D5">
        <v>20411454</v>
      </c>
      <c r="E5" t="s">
        <v>375</v>
      </c>
      <c r="F5" t="s">
        <v>49</v>
      </c>
      <c r="G5" t="s">
        <v>137</v>
      </c>
      <c r="H5" s="1">
        <v>45962</v>
      </c>
      <c r="I5" s="2">
        <v>4.17</v>
      </c>
      <c r="J5">
        <v>1</v>
      </c>
      <c r="K5" s="2">
        <v>4.17</v>
      </c>
      <c r="L5" t="s">
        <v>144</v>
      </c>
      <c r="M5" t="s">
        <v>346</v>
      </c>
    </row>
    <row r="6" spans="1:13" x14ac:dyDescent="0.25">
      <c r="A6" s="4" t="s">
        <v>318</v>
      </c>
      <c r="B6" s="4" t="str">
        <f t="shared" si="0"/>
        <v>11A2A7X22OVR</v>
      </c>
      <c r="C6" t="s">
        <v>146</v>
      </c>
      <c r="D6">
        <v>20411454</v>
      </c>
      <c r="E6" t="s">
        <v>375</v>
      </c>
      <c r="F6" t="s">
        <v>49</v>
      </c>
      <c r="G6" t="s">
        <v>147</v>
      </c>
      <c r="H6" s="1">
        <v>45931</v>
      </c>
      <c r="I6" s="2">
        <v>100</v>
      </c>
      <c r="J6">
        <v>1</v>
      </c>
      <c r="K6" s="2">
        <v>100</v>
      </c>
      <c r="M6" t="s">
        <v>347</v>
      </c>
    </row>
    <row r="7" spans="1:13" x14ac:dyDescent="0.25">
      <c r="A7" s="4" t="s">
        <v>323</v>
      </c>
      <c r="B7" s="4" t="str">
        <f t="shared" si="0"/>
        <v>49H3L5U34OVR</v>
      </c>
      <c r="C7" t="s">
        <v>174</v>
      </c>
      <c r="D7">
        <v>20411454</v>
      </c>
      <c r="E7" t="s">
        <v>375</v>
      </c>
      <c r="F7" t="s">
        <v>49</v>
      </c>
      <c r="G7" t="s">
        <v>147</v>
      </c>
      <c r="H7" s="1">
        <v>45931</v>
      </c>
      <c r="I7" s="2">
        <v>100</v>
      </c>
      <c r="J7">
        <v>1</v>
      </c>
      <c r="K7" s="2">
        <v>100</v>
      </c>
      <c r="M7" t="s">
        <v>347</v>
      </c>
    </row>
    <row r="8" spans="1:13" x14ac:dyDescent="0.25">
      <c r="A8" s="4" t="s">
        <v>324</v>
      </c>
      <c r="B8" s="4" t="str">
        <f t="shared" si="0"/>
        <v>52U3U7F86OVR</v>
      </c>
      <c r="C8" t="s">
        <v>176</v>
      </c>
      <c r="D8">
        <v>20411454</v>
      </c>
      <c r="E8" t="s">
        <v>375</v>
      </c>
      <c r="F8" t="s">
        <v>49</v>
      </c>
      <c r="G8" t="s">
        <v>147</v>
      </c>
      <c r="H8" s="1">
        <v>45931</v>
      </c>
      <c r="I8" s="2">
        <v>100</v>
      </c>
      <c r="J8">
        <v>1</v>
      </c>
      <c r="K8" s="2">
        <v>100</v>
      </c>
      <c r="M8" t="s">
        <v>347</v>
      </c>
    </row>
    <row r="9" spans="1:13" x14ac:dyDescent="0.25">
      <c r="A9" s="4" t="s">
        <v>337</v>
      </c>
      <c r="B9" s="4" t="s">
        <v>362</v>
      </c>
      <c r="C9" t="s">
        <v>257</v>
      </c>
      <c r="D9">
        <v>20411454</v>
      </c>
      <c r="E9" t="s">
        <v>375</v>
      </c>
      <c r="F9" t="s">
        <v>245</v>
      </c>
      <c r="G9" t="s">
        <v>147</v>
      </c>
      <c r="H9" s="1">
        <v>45658</v>
      </c>
      <c r="K9">
        <v>-100</v>
      </c>
      <c r="M9" t="s">
        <v>347</v>
      </c>
    </row>
    <row r="10" spans="1:13" x14ac:dyDescent="0.25">
      <c r="A10" s="4" t="s">
        <v>338</v>
      </c>
      <c r="B10" s="4" t="s">
        <v>363</v>
      </c>
      <c r="C10" t="s">
        <v>259</v>
      </c>
      <c r="D10">
        <v>20411454</v>
      </c>
      <c r="E10" t="s">
        <v>375</v>
      </c>
      <c r="F10" t="s">
        <v>245</v>
      </c>
      <c r="G10" t="s">
        <v>147</v>
      </c>
      <c r="H10" s="1">
        <v>45658</v>
      </c>
      <c r="K10">
        <v>-100</v>
      </c>
      <c r="M10" t="s">
        <v>347</v>
      </c>
    </row>
    <row r="11" spans="1:13" x14ac:dyDescent="0.25">
      <c r="A11" s="4" t="s">
        <v>339</v>
      </c>
      <c r="B11" s="4" t="s">
        <v>364</v>
      </c>
      <c r="C11" t="s">
        <v>261</v>
      </c>
      <c r="D11">
        <v>20411454</v>
      </c>
      <c r="E11" t="s">
        <v>375</v>
      </c>
      <c r="F11" t="s">
        <v>245</v>
      </c>
      <c r="G11" t="s">
        <v>147</v>
      </c>
      <c r="H11" s="1">
        <v>45658</v>
      </c>
      <c r="K11">
        <v>-100</v>
      </c>
      <c r="M11" t="s">
        <v>347</v>
      </c>
    </row>
    <row r="12" spans="1:13" x14ac:dyDescent="0.25">
      <c r="A12" s="4" t="s">
        <v>340</v>
      </c>
      <c r="B12" s="4" t="s">
        <v>365</v>
      </c>
      <c r="C12" t="s">
        <v>263</v>
      </c>
      <c r="D12">
        <v>20411454</v>
      </c>
      <c r="E12" t="s">
        <v>375</v>
      </c>
      <c r="F12" t="s">
        <v>245</v>
      </c>
      <c r="G12" t="s">
        <v>147</v>
      </c>
      <c r="H12" s="1">
        <v>45658</v>
      </c>
      <c r="K12">
        <v>-58.33</v>
      </c>
      <c r="M12" t="s">
        <v>347</v>
      </c>
    </row>
    <row r="13" spans="1:13" x14ac:dyDescent="0.25">
      <c r="A13" s="4" t="s">
        <v>341</v>
      </c>
      <c r="B13" s="4" t="s">
        <v>366</v>
      </c>
      <c r="C13" t="s">
        <v>267</v>
      </c>
      <c r="D13">
        <v>20411454</v>
      </c>
      <c r="E13" t="s">
        <v>375</v>
      </c>
      <c r="F13" t="s">
        <v>245</v>
      </c>
      <c r="G13" t="s">
        <v>147</v>
      </c>
      <c r="H13" s="1">
        <v>45658</v>
      </c>
      <c r="K13">
        <v>-41.66</v>
      </c>
      <c r="M13" t="s">
        <v>347</v>
      </c>
    </row>
    <row r="14" spans="1:13" x14ac:dyDescent="0.25">
      <c r="A14" s="4" t="s">
        <v>295</v>
      </c>
      <c r="B14" s="4" t="str">
        <f t="shared" ref="B14:B34" si="1">CONCATENATE(A14,"OVR")</f>
        <v>00023224834KOVR</v>
      </c>
      <c r="C14" t="s">
        <v>54</v>
      </c>
      <c r="D14">
        <v>20411454</v>
      </c>
      <c r="E14" t="s">
        <v>375</v>
      </c>
      <c r="F14" t="s">
        <v>58</v>
      </c>
      <c r="G14" t="s">
        <v>59</v>
      </c>
      <c r="H14" s="1">
        <v>45748</v>
      </c>
      <c r="I14" s="2">
        <v>87.5</v>
      </c>
      <c r="J14">
        <v>1</v>
      </c>
      <c r="K14" s="2">
        <v>87.5</v>
      </c>
      <c r="L14" t="s">
        <v>60</v>
      </c>
      <c r="M14" t="s">
        <v>348</v>
      </c>
    </row>
    <row r="15" spans="1:13" x14ac:dyDescent="0.25">
      <c r="A15" s="4" t="s">
        <v>296</v>
      </c>
      <c r="B15" s="4" t="str">
        <f t="shared" si="1"/>
        <v>00023761574KOVR</v>
      </c>
      <c r="C15" t="s">
        <v>62</v>
      </c>
      <c r="D15">
        <v>20411454</v>
      </c>
      <c r="E15" t="s">
        <v>375</v>
      </c>
      <c r="F15" t="s">
        <v>49</v>
      </c>
      <c r="G15" t="s">
        <v>59</v>
      </c>
      <c r="H15" s="1">
        <v>45931</v>
      </c>
      <c r="I15" s="2">
        <v>175</v>
      </c>
      <c r="J15">
        <v>1</v>
      </c>
      <c r="K15" s="2">
        <v>175</v>
      </c>
      <c r="M15" t="s">
        <v>348</v>
      </c>
    </row>
    <row r="16" spans="1:13" x14ac:dyDescent="0.25">
      <c r="A16" s="4" t="s">
        <v>297</v>
      </c>
      <c r="B16" s="4" t="str">
        <f t="shared" si="1"/>
        <v>00023761681KOVR</v>
      </c>
      <c r="C16" t="s">
        <v>67</v>
      </c>
      <c r="D16">
        <v>20411454</v>
      </c>
      <c r="E16" t="s">
        <v>375</v>
      </c>
      <c r="F16" t="s">
        <v>49</v>
      </c>
      <c r="G16" t="s">
        <v>59</v>
      </c>
      <c r="H16" s="1">
        <v>45931</v>
      </c>
      <c r="I16" s="2">
        <v>175</v>
      </c>
      <c r="J16">
        <v>1</v>
      </c>
      <c r="K16" s="2">
        <v>175</v>
      </c>
      <c r="M16" t="s">
        <v>348</v>
      </c>
    </row>
    <row r="17" spans="1:13" x14ac:dyDescent="0.25">
      <c r="A17" s="4" t="s">
        <v>298</v>
      </c>
      <c r="B17" s="4" t="str">
        <f t="shared" si="1"/>
        <v>00023761771KOVR</v>
      </c>
      <c r="C17" t="s">
        <v>71</v>
      </c>
      <c r="D17">
        <v>20411454</v>
      </c>
      <c r="E17" t="s">
        <v>375</v>
      </c>
      <c r="F17" t="s">
        <v>49</v>
      </c>
      <c r="G17" t="s">
        <v>59</v>
      </c>
      <c r="H17" s="1">
        <v>45931</v>
      </c>
      <c r="I17" s="2">
        <v>175</v>
      </c>
      <c r="J17">
        <v>1</v>
      </c>
      <c r="K17" s="2">
        <v>175</v>
      </c>
      <c r="M17" t="s">
        <v>348</v>
      </c>
    </row>
    <row r="18" spans="1:13" x14ac:dyDescent="0.25">
      <c r="A18" s="4" t="s">
        <v>300</v>
      </c>
      <c r="B18" s="4" t="str">
        <f t="shared" si="1"/>
        <v>00023763458KOVR</v>
      </c>
      <c r="C18" t="s">
        <v>76</v>
      </c>
      <c r="D18">
        <v>20411454</v>
      </c>
      <c r="E18" t="s">
        <v>375</v>
      </c>
      <c r="F18" t="s">
        <v>49</v>
      </c>
      <c r="G18" t="s">
        <v>59</v>
      </c>
      <c r="H18" s="1">
        <v>45931</v>
      </c>
      <c r="I18" s="2">
        <v>175</v>
      </c>
      <c r="J18">
        <v>1</v>
      </c>
      <c r="K18" s="2">
        <v>175</v>
      </c>
      <c r="M18" t="s">
        <v>348</v>
      </c>
    </row>
    <row r="19" spans="1:13" x14ac:dyDescent="0.25">
      <c r="A19" s="4" t="s">
        <v>301</v>
      </c>
      <c r="B19" s="4" t="str">
        <f t="shared" si="1"/>
        <v>00023764800KOVR</v>
      </c>
      <c r="C19" t="s">
        <v>80</v>
      </c>
      <c r="D19">
        <v>20411454</v>
      </c>
      <c r="E19" t="s">
        <v>375</v>
      </c>
      <c r="F19" t="s">
        <v>49</v>
      </c>
      <c r="G19" t="s">
        <v>59</v>
      </c>
      <c r="H19" s="1">
        <v>45992</v>
      </c>
      <c r="I19" s="2">
        <v>175</v>
      </c>
      <c r="J19">
        <v>1</v>
      </c>
      <c r="K19" s="2">
        <v>175</v>
      </c>
      <c r="M19" t="s">
        <v>348</v>
      </c>
    </row>
    <row r="20" spans="1:13" x14ac:dyDescent="0.25">
      <c r="A20" s="4" t="s">
        <v>302</v>
      </c>
      <c r="B20" s="4" t="str">
        <f t="shared" si="1"/>
        <v>00023766029KOVR</v>
      </c>
      <c r="C20" t="s">
        <v>82</v>
      </c>
      <c r="D20">
        <v>20411454</v>
      </c>
      <c r="E20" t="s">
        <v>375</v>
      </c>
      <c r="F20" t="s">
        <v>49</v>
      </c>
      <c r="G20" t="s">
        <v>59</v>
      </c>
      <c r="H20" s="1">
        <v>45962</v>
      </c>
      <c r="I20" s="2">
        <v>175</v>
      </c>
      <c r="J20">
        <v>1</v>
      </c>
      <c r="K20" s="2">
        <v>175</v>
      </c>
      <c r="M20" t="s">
        <v>348</v>
      </c>
    </row>
    <row r="21" spans="1:13" x14ac:dyDescent="0.25">
      <c r="A21" s="4" t="s">
        <v>303</v>
      </c>
      <c r="B21" s="4" t="str">
        <f t="shared" si="1"/>
        <v>00023766114KOVR</v>
      </c>
      <c r="C21" t="s">
        <v>86</v>
      </c>
      <c r="D21">
        <v>20411454</v>
      </c>
      <c r="E21" t="s">
        <v>375</v>
      </c>
      <c r="F21" t="s">
        <v>49</v>
      </c>
      <c r="G21" t="s">
        <v>59</v>
      </c>
      <c r="H21" s="1">
        <v>46023</v>
      </c>
      <c r="I21" s="2">
        <v>175</v>
      </c>
      <c r="J21">
        <v>1</v>
      </c>
      <c r="K21" s="2">
        <v>175</v>
      </c>
      <c r="M21" t="s">
        <v>348</v>
      </c>
    </row>
    <row r="22" spans="1:13" x14ac:dyDescent="0.25">
      <c r="A22" s="4" t="s">
        <v>304</v>
      </c>
      <c r="B22" s="4" t="str">
        <f t="shared" si="1"/>
        <v>00023766998KOVR</v>
      </c>
      <c r="C22" t="s">
        <v>88</v>
      </c>
      <c r="D22">
        <v>20411454</v>
      </c>
      <c r="E22" t="s">
        <v>375</v>
      </c>
      <c r="F22" t="s">
        <v>49</v>
      </c>
      <c r="G22" t="s">
        <v>59</v>
      </c>
      <c r="H22" s="1">
        <v>45931</v>
      </c>
      <c r="I22" s="2">
        <v>175</v>
      </c>
      <c r="J22">
        <v>1</v>
      </c>
      <c r="K22" s="2">
        <v>175</v>
      </c>
      <c r="M22" t="s">
        <v>348</v>
      </c>
    </row>
    <row r="23" spans="1:13" x14ac:dyDescent="0.25">
      <c r="A23" s="4" t="s">
        <v>305</v>
      </c>
      <c r="B23" s="4" t="str">
        <f t="shared" si="1"/>
        <v>00023767756KOVR</v>
      </c>
      <c r="C23" t="s">
        <v>90</v>
      </c>
      <c r="D23">
        <v>20411454</v>
      </c>
      <c r="E23" t="s">
        <v>375</v>
      </c>
      <c r="F23" t="s">
        <v>49</v>
      </c>
      <c r="G23" t="s">
        <v>59</v>
      </c>
      <c r="H23" s="1">
        <v>45931</v>
      </c>
      <c r="I23" s="2">
        <v>175</v>
      </c>
      <c r="J23">
        <v>1</v>
      </c>
      <c r="K23" s="2">
        <v>175</v>
      </c>
      <c r="M23" t="s">
        <v>348</v>
      </c>
    </row>
    <row r="24" spans="1:13" x14ac:dyDescent="0.25">
      <c r="A24" s="4" t="s">
        <v>306</v>
      </c>
      <c r="B24" s="4" t="str">
        <f t="shared" si="1"/>
        <v>00023769198KOVR</v>
      </c>
      <c r="C24" t="s">
        <v>94</v>
      </c>
      <c r="D24">
        <v>20411454</v>
      </c>
      <c r="E24" t="s">
        <v>375</v>
      </c>
      <c r="F24" t="s">
        <v>49</v>
      </c>
      <c r="G24" t="s">
        <v>59</v>
      </c>
      <c r="H24" s="1">
        <v>45931</v>
      </c>
      <c r="I24" s="2">
        <v>175</v>
      </c>
      <c r="J24">
        <v>1</v>
      </c>
      <c r="K24" s="2">
        <v>175</v>
      </c>
      <c r="M24" t="s">
        <v>348</v>
      </c>
    </row>
    <row r="25" spans="1:13" x14ac:dyDescent="0.25">
      <c r="A25" s="4" t="s">
        <v>308</v>
      </c>
      <c r="B25" s="4" t="str">
        <f t="shared" si="1"/>
        <v>00023769904KOVR</v>
      </c>
      <c r="C25" t="s">
        <v>103</v>
      </c>
      <c r="D25">
        <v>20411454</v>
      </c>
      <c r="E25" t="s">
        <v>375</v>
      </c>
      <c r="F25" t="s">
        <v>49</v>
      </c>
      <c r="G25" t="s">
        <v>59</v>
      </c>
      <c r="H25" s="1">
        <v>45931</v>
      </c>
      <c r="I25" s="2">
        <v>175</v>
      </c>
      <c r="J25">
        <v>1</v>
      </c>
      <c r="K25" s="2">
        <v>175</v>
      </c>
      <c r="M25" t="s">
        <v>348</v>
      </c>
    </row>
    <row r="26" spans="1:13" x14ac:dyDescent="0.25">
      <c r="A26" s="4" t="s">
        <v>309</v>
      </c>
      <c r="B26" s="4" t="str">
        <f t="shared" si="1"/>
        <v>00023770065KOVR</v>
      </c>
      <c r="C26" t="s">
        <v>108</v>
      </c>
      <c r="D26">
        <v>20411454</v>
      </c>
      <c r="E26" t="s">
        <v>375</v>
      </c>
      <c r="F26" t="s">
        <v>49</v>
      </c>
      <c r="G26" t="s">
        <v>59</v>
      </c>
      <c r="H26" s="1">
        <v>45931</v>
      </c>
      <c r="I26" s="2">
        <v>175</v>
      </c>
      <c r="J26">
        <v>1</v>
      </c>
      <c r="K26" s="2">
        <v>175</v>
      </c>
      <c r="M26" t="s">
        <v>348</v>
      </c>
    </row>
    <row r="27" spans="1:13" x14ac:dyDescent="0.25">
      <c r="A27" s="4" t="s">
        <v>310</v>
      </c>
      <c r="B27" s="4" t="str">
        <f t="shared" si="1"/>
        <v>00023771830KOVR</v>
      </c>
      <c r="C27" t="s">
        <v>113</v>
      </c>
      <c r="D27">
        <v>20411454</v>
      </c>
      <c r="E27" t="s">
        <v>375</v>
      </c>
      <c r="F27" t="s">
        <v>49</v>
      </c>
      <c r="G27" t="s">
        <v>59</v>
      </c>
      <c r="H27" s="1">
        <v>45962</v>
      </c>
      <c r="I27" s="2">
        <v>175</v>
      </c>
      <c r="J27">
        <v>1</v>
      </c>
      <c r="K27" s="2">
        <v>175</v>
      </c>
      <c r="M27" t="s">
        <v>348</v>
      </c>
    </row>
    <row r="28" spans="1:13" x14ac:dyDescent="0.25">
      <c r="A28" s="4" t="s">
        <v>311</v>
      </c>
      <c r="B28" s="4" t="str">
        <f t="shared" si="1"/>
        <v>00023774008KOVR</v>
      </c>
      <c r="C28" t="s">
        <v>115</v>
      </c>
      <c r="D28">
        <v>20411454</v>
      </c>
      <c r="E28" t="s">
        <v>375</v>
      </c>
      <c r="F28" t="s">
        <v>49</v>
      </c>
      <c r="G28" t="s">
        <v>59</v>
      </c>
      <c r="H28" s="1">
        <v>45962</v>
      </c>
      <c r="I28" s="2">
        <v>175</v>
      </c>
      <c r="J28">
        <v>1</v>
      </c>
      <c r="K28" s="2">
        <v>175</v>
      </c>
      <c r="M28" t="s">
        <v>348</v>
      </c>
    </row>
    <row r="29" spans="1:13" x14ac:dyDescent="0.25">
      <c r="A29" s="4" t="s">
        <v>312</v>
      </c>
      <c r="B29" s="4" t="str">
        <f t="shared" si="1"/>
        <v>00023774746KOVR</v>
      </c>
      <c r="C29" t="s">
        <v>119</v>
      </c>
      <c r="D29">
        <v>20411454</v>
      </c>
      <c r="E29" t="s">
        <v>375</v>
      </c>
      <c r="F29" t="s">
        <v>49</v>
      </c>
      <c r="G29" t="s">
        <v>59</v>
      </c>
      <c r="H29" s="1">
        <v>45962</v>
      </c>
      <c r="I29" s="2">
        <v>175</v>
      </c>
      <c r="J29">
        <v>1</v>
      </c>
      <c r="K29" s="2">
        <v>175</v>
      </c>
      <c r="M29" t="s">
        <v>348</v>
      </c>
    </row>
    <row r="30" spans="1:13" x14ac:dyDescent="0.25">
      <c r="A30" s="4" t="s">
        <v>313</v>
      </c>
      <c r="B30" s="4" t="str">
        <f t="shared" si="1"/>
        <v>00023775680KOVR</v>
      </c>
      <c r="C30" t="s">
        <v>121</v>
      </c>
      <c r="D30">
        <v>20411454</v>
      </c>
      <c r="E30" t="s">
        <v>375</v>
      </c>
      <c r="F30" t="s">
        <v>49</v>
      </c>
      <c r="G30" t="s">
        <v>59</v>
      </c>
      <c r="H30" s="1">
        <v>45962</v>
      </c>
      <c r="I30" s="2">
        <v>175</v>
      </c>
      <c r="J30">
        <v>1</v>
      </c>
      <c r="K30" s="2">
        <v>175</v>
      </c>
      <c r="M30" t="s">
        <v>348</v>
      </c>
    </row>
    <row r="31" spans="1:13" x14ac:dyDescent="0.25">
      <c r="A31" s="4" t="s">
        <v>314</v>
      </c>
      <c r="B31" s="4" t="str">
        <f t="shared" si="1"/>
        <v>00023779490KOVR</v>
      </c>
      <c r="C31" t="s">
        <v>123</v>
      </c>
      <c r="D31">
        <v>20411454</v>
      </c>
      <c r="E31" t="s">
        <v>375</v>
      </c>
      <c r="F31" t="s">
        <v>49</v>
      </c>
      <c r="G31" t="s">
        <v>59</v>
      </c>
      <c r="H31" s="1">
        <v>45962</v>
      </c>
      <c r="I31" s="2">
        <v>175</v>
      </c>
      <c r="J31">
        <v>1</v>
      </c>
      <c r="K31" s="2">
        <v>175</v>
      </c>
      <c r="M31" t="s">
        <v>348</v>
      </c>
    </row>
    <row r="32" spans="1:13" x14ac:dyDescent="0.25">
      <c r="A32" s="4" t="s">
        <v>315</v>
      </c>
      <c r="B32" s="4" t="str">
        <f t="shared" si="1"/>
        <v>00023782776KOVR</v>
      </c>
      <c r="C32" t="s">
        <v>125</v>
      </c>
      <c r="D32">
        <v>20411454</v>
      </c>
      <c r="E32" t="s">
        <v>375</v>
      </c>
      <c r="F32" t="s">
        <v>49</v>
      </c>
      <c r="G32" t="s">
        <v>59</v>
      </c>
      <c r="H32" s="1">
        <v>45962</v>
      </c>
      <c r="I32" s="2">
        <v>175</v>
      </c>
      <c r="J32">
        <v>1</v>
      </c>
      <c r="K32" s="2">
        <v>175</v>
      </c>
      <c r="M32" t="s">
        <v>348</v>
      </c>
    </row>
    <row r="33" spans="1:39" x14ac:dyDescent="0.25">
      <c r="A33" s="4" t="s">
        <v>316</v>
      </c>
      <c r="B33" s="4" t="str">
        <f t="shared" si="1"/>
        <v>00023783601KOVR</v>
      </c>
      <c r="C33" t="s">
        <v>130</v>
      </c>
      <c r="D33">
        <v>20411454</v>
      </c>
      <c r="E33" t="s">
        <v>375</v>
      </c>
      <c r="F33" t="s">
        <v>49</v>
      </c>
      <c r="G33" t="s">
        <v>59</v>
      </c>
      <c r="H33" s="1">
        <v>45992</v>
      </c>
      <c r="I33" s="2">
        <v>175</v>
      </c>
      <c r="J33">
        <v>1</v>
      </c>
      <c r="K33" s="2">
        <v>175</v>
      </c>
      <c r="M33" t="s">
        <v>348</v>
      </c>
    </row>
    <row r="34" spans="1:39" x14ac:dyDescent="0.25">
      <c r="A34" s="4" t="s">
        <v>317</v>
      </c>
      <c r="B34" s="4" t="str">
        <f t="shared" si="1"/>
        <v>00023784664KOVR</v>
      </c>
      <c r="C34" t="s">
        <v>134</v>
      </c>
      <c r="D34">
        <v>20411454</v>
      </c>
      <c r="E34" t="s">
        <v>375</v>
      </c>
      <c r="F34" t="s">
        <v>49</v>
      </c>
      <c r="G34" t="s">
        <v>59</v>
      </c>
      <c r="H34" s="1">
        <v>45992</v>
      </c>
      <c r="I34" s="2">
        <v>175</v>
      </c>
      <c r="J34">
        <v>1</v>
      </c>
      <c r="K34" s="2">
        <v>175</v>
      </c>
      <c r="M34" t="s">
        <v>348</v>
      </c>
    </row>
    <row r="35" spans="1:39" x14ac:dyDescent="0.25">
      <c r="A35" s="4" t="s">
        <v>334</v>
      </c>
      <c r="B35" s="4" t="s">
        <v>367</v>
      </c>
      <c r="C35" t="s">
        <v>244</v>
      </c>
      <c r="D35">
        <v>20411454</v>
      </c>
      <c r="E35" t="s">
        <v>375</v>
      </c>
      <c r="F35" t="s">
        <v>245</v>
      </c>
      <c r="G35" t="s">
        <v>59</v>
      </c>
      <c r="H35" s="1">
        <v>45689</v>
      </c>
      <c r="K35">
        <v>-57.75</v>
      </c>
      <c r="M35" t="s">
        <v>348</v>
      </c>
    </row>
    <row r="36" spans="1:39" x14ac:dyDescent="0.25">
      <c r="A36" s="4" t="s">
        <v>335</v>
      </c>
      <c r="B36" s="4" t="s">
        <v>368</v>
      </c>
      <c r="C36" t="s">
        <v>247</v>
      </c>
      <c r="D36">
        <v>20411454</v>
      </c>
      <c r="E36" t="s">
        <v>375</v>
      </c>
      <c r="F36" t="s">
        <v>245</v>
      </c>
      <c r="G36" t="s">
        <v>59</v>
      </c>
      <c r="H36" s="1">
        <v>45931</v>
      </c>
      <c r="K36">
        <v>-175</v>
      </c>
      <c r="M36" t="s">
        <v>348</v>
      </c>
    </row>
    <row r="37" spans="1:39" x14ac:dyDescent="0.25">
      <c r="A37" s="4" t="s">
        <v>294</v>
      </c>
      <c r="B37" s="4" t="str">
        <f>CONCATENATE(A37,"OVR")</f>
        <v>00018396431KOVR</v>
      </c>
      <c r="C37" t="s">
        <v>45</v>
      </c>
      <c r="D37">
        <v>20411454</v>
      </c>
      <c r="E37" t="s">
        <v>375</v>
      </c>
      <c r="F37" t="s">
        <v>49</v>
      </c>
      <c r="G37" t="s">
        <v>50</v>
      </c>
      <c r="H37" s="1">
        <v>45931</v>
      </c>
      <c r="I37" s="2">
        <v>108</v>
      </c>
      <c r="J37">
        <v>1</v>
      </c>
      <c r="K37" s="2">
        <v>108</v>
      </c>
      <c r="M37" t="s">
        <v>348</v>
      </c>
    </row>
    <row r="38" spans="1:39" s="6" customFormat="1" x14ac:dyDescent="0.25">
      <c r="A38" s="5" t="s">
        <v>299</v>
      </c>
      <c r="B38" s="5" t="s">
        <v>299</v>
      </c>
      <c r="C38" s="6" t="s">
        <v>73</v>
      </c>
      <c r="D38" s="6">
        <v>9213293</v>
      </c>
      <c r="E38" s="6" t="s">
        <v>48</v>
      </c>
      <c r="F38" s="6" t="s">
        <v>49</v>
      </c>
      <c r="G38" s="6" t="s">
        <v>74</v>
      </c>
      <c r="H38" s="7">
        <v>45931</v>
      </c>
      <c r="I38" s="8">
        <v>15</v>
      </c>
      <c r="J38" s="6">
        <v>1</v>
      </c>
      <c r="K38" s="8">
        <v>15</v>
      </c>
      <c r="M38" s="6" t="s">
        <v>349</v>
      </c>
    </row>
    <row r="39" spans="1:39" s="6" customFormat="1" x14ac:dyDescent="0.25">
      <c r="A39" s="5" t="s">
        <v>307</v>
      </c>
      <c r="B39" s="5" t="s">
        <v>307</v>
      </c>
      <c r="C39" s="6" t="s">
        <v>98</v>
      </c>
      <c r="D39" s="6">
        <v>20724564</v>
      </c>
      <c r="E39" s="6" t="s">
        <v>101</v>
      </c>
      <c r="F39" s="6" t="s">
        <v>49</v>
      </c>
      <c r="G39" s="6" t="s">
        <v>74</v>
      </c>
      <c r="H39" s="7">
        <v>45931</v>
      </c>
      <c r="I39" s="8">
        <v>15</v>
      </c>
      <c r="J39" s="6">
        <v>1</v>
      </c>
      <c r="K39" s="8">
        <v>15</v>
      </c>
      <c r="M39" s="6" t="s">
        <v>349</v>
      </c>
    </row>
    <row r="40" spans="1:39" s="6" customFormat="1" x14ac:dyDescent="0.25">
      <c r="A40" s="5">
        <v>916445670</v>
      </c>
      <c r="B40" s="5" t="str">
        <f t="shared" ref="B40:B51" si="2">CONCATENATE(A40,98)</f>
        <v>91644567098</v>
      </c>
      <c r="C40" s="6" t="s">
        <v>191</v>
      </c>
      <c r="D40" s="6">
        <v>17425766</v>
      </c>
      <c r="E40" s="6" t="s">
        <v>111</v>
      </c>
      <c r="F40" s="6" t="s">
        <v>49</v>
      </c>
      <c r="G40" s="6" t="s">
        <v>189</v>
      </c>
      <c r="H40" s="7">
        <v>45931</v>
      </c>
      <c r="I40" s="8">
        <v>626</v>
      </c>
      <c r="J40" s="6">
        <v>1</v>
      </c>
      <c r="K40" s="8">
        <v>626</v>
      </c>
      <c r="M40" s="6" t="s">
        <v>352</v>
      </c>
      <c r="N40" s="6" t="s">
        <v>358</v>
      </c>
    </row>
    <row r="41" spans="1:39" s="6" customFormat="1" x14ac:dyDescent="0.25">
      <c r="A41" s="5">
        <v>950837863</v>
      </c>
      <c r="B41" s="5" t="str">
        <f t="shared" si="2"/>
        <v>95083786398</v>
      </c>
      <c r="C41" s="6" t="s">
        <v>231</v>
      </c>
      <c r="D41" s="6">
        <v>9213293</v>
      </c>
      <c r="E41" s="6" t="s">
        <v>48</v>
      </c>
      <c r="F41" s="6" t="s">
        <v>49</v>
      </c>
      <c r="G41" s="6" t="s">
        <v>189</v>
      </c>
      <c r="H41" s="7">
        <v>45962</v>
      </c>
      <c r="I41" s="8">
        <v>626</v>
      </c>
      <c r="J41" s="6">
        <v>1</v>
      </c>
      <c r="K41" s="8">
        <v>626</v>
      </c>
      <c r="M41" s="6" t="s">
        <v>352</v>
      </c>
      <c r="N41" s="6" t="s">
        <v>358</v>
      </c>
    </row>
    <row r="42" spans="1:39" s="6" customFormat="1" x14ac:dyDescent="0.25">
      <c r="A42" s="5">
        <v>934031732</v>
      </c>
      <c r="B42" s="5" t="str">
        <f t="shared" si="2"/>
        <v>93403173298</v>
      </c>
      <c r="C42" s="6" t="s">
        <v>201</v>
      </c>
      <c r="D42" s="6">
        <v>17859093</v>
      </c>
      <c r="E42" s="6" t="s">
        <v>152</v>
      </c>
      <c r="F42" s="6" t="s">
        <v>49</v>
      </c>
      <c r="G42" s="6" t="s">
        <v>189</v>
      </c>
      <c r="H42" s="7">
        <v>45931</v>
      </c>
      <c r="I42" s="8">
        <v>626</v>
      </c>
      <c r="J42" s="6">
        <v>1</v>
      </c>
      <c r="K42" s="8">
        <v>626</v>
      </c>
      <c r="M42" s="6" t="s">
        <v>352</v>
      </c>
      <c r="N42" s="6" t="s">
        <v>358</v>
      </c>
    </row>
    <row r="43" spans="1:39" x14ac:dyDescent="0.25">
      <c r="A43" s="5">
        <v>937844591</v>
      </c>
      <c r="B43" s="5" t="str">
        <f t="shared" si="2"/>
        <v>93784459198</v>
      </c>
      <c r="C43" s="6" t="s">
        <v>203</v>
      </c>
      <c r="D43" s="6">
        <v>20724564</v>
      </c>
      <c r="E43" s="6" t="s">
        <v>101</v>
      </c>
      <c r="F43" s="6" t="s">
        <v>49</v>
      </c>
      <c r="G43" s="6" t="s">
        <v>189</v>
      </c>
      <c r="H43" s="7">
        <v>45931</v>
      </c>
      <c r="I43" s="8">
        <v>626</v>
      </c>
      <c r="J43" s="6">
        <v>1</v>
      </c>
      <c r="K43" s="8">
        <v>626</v>
      </c>
      <c r="L43" s="6"/>
      <c r="M43" s="6" t="s">
        <v>352</v>
      </c>
      <c r="N43" s="6" t="s">
        <v>358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5">
        <v>939286577</v>
      </c>
      <c r="B44" s="5" t="str">
        <f t="shared" si="2"/>
        <v>93928657798</v>
      </c>
      <c r="C44" s="6" t="s">
        <v>213</v>
      </c>
      <c r="D44" s="6">
        <v>20724564</v>
      </c>
      <c r="E44" s="6" t="s">
        <v>101</v>
      </c>
      <c r="F44" s="6" t="s">
        <v>49</v>
      </c>
      <c r="G44" s="6" t="s">
        <v>189</v>
      </c>
      <c r="H44" s="7">
        <v>45992</v>
      </c>
      <c r="I44" s="8">
        <v>626</v>
      </c>
      <c r="J44" s="6">
        <v>1</v>
      </c>
      <c r="K44" s="8">
        <v>626</v>
      </c>
      <c r="L44" s="6"/>
      <c r="M44" s="6" t="s">
        <v>352</v>
      </c>
      <c r="N44" s="6" t="s">
        <v>358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 x14ac:dyDescent="0.25">
      <c r="A45" s="5">
        <v>948930011</v>
      </c>
      <c r="B45" s="5" t="str">
        <f t="shared" si="2"/>
        <v>94893001198</v>
      </c>
      <c r="C45" s="6" t="s">
        <v>222</v>
      </c>
      <c r="D45" s="6">
        <v>20724564</v>
      </c>
      <c r="E45" s="6" t="s">
        <v>101</v>
      </c>
      <c r="F45" s="6" t="s">
        <v>49</v>
      </c>
      <c r="G45" s="6" t="s">
        <v>189</v>
      </c>
      <c r="H45" s="7">
        <v>45931</v>
      </c>
      <c r="I45" s="8">
        <v>626</v>
      </c>
      <c r="J45" s="6">
        <v>1</v>
      </c>
      <c r="K45" s="8">
        <v>626</v>
      </c>
      <c r="L45" s="6"/>
      <c r="M45" s="6" t="s">
        <v>352</v>
      </c>
      <c r="N45" s="6" t="s">
        <v>358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x14ac:dyDescent="0.25">
      <c r="A46" s="5">
        <v>950654690</v>
      </c>
      <c r="B46" s="5" t="str">
        <f t="shared" si="2"/>
        <v>95065469098</v>
      </c>
      <c r="C46" s="6" t="s">
        <v>225</v>
      </c>
      <c r="D46" s="6">
        <v>20724564</v>
      </c>
      <c r="E46" s="6" t="s">
        <v>101</v>
      </c>
      <c r="F46" s="6" t="s">
        <v>49</v>
      </c>
      <c r="G46" s="6" t="s">
        <v>189</v>
      </c>
      <c r="H46" s="7">
        <v>45962</v>
      </c>
      <c r="I46" s="8">
        <v>626</v>
      </c>
      <c r="J46" s="6">
        <v>1</v>
      </c>
      <c r="K46" s="8">
        <v>626</v>
      </c>
      <c r="L46" s="6"/>
      <c r="M46" s="6" t="s">
        <v>352</v>
      </c>
      <c r="N46" s="6" t="s">
        <v>358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x14ac:dyDescent="0.25">
      <c r="A47" s="5">
        <v>970238440</v>
      </c>
      <c r="B47" s="5" t="str">
        <f t="shared" si="2"/>
        <v>97023844098</v>
      </c>
      <c r="C47" s="6" t="s">
        <v>235</v>
      </c>
      <c r="D47" s="6">
        <v>20724564</v>
      </c>
      <c r="E47" s="6" t="s">
        <v>101</v>
      </c>
      <c r="F47" s="6" t="s">
        <v>49</v>
      </c>
      <c r="G47" s="6" t="s">
        <v>189</v>
      </c>
      <c r="H47" s="7">
        <v>45962</v>
      </c>
      <c r="I47" s="8">
        <v>626</v>
      </c>
      <c r="J47" s="6">
        <v>1</v>
      </c>
      <c r="K47" s="8">
        <v>626</v>
      </c>
      <c r="L47" s="6"/>
      <c r="M47" s="6" t="s">
        <v>352</v>
      </c>
      <c r="N47" s="6" t="s">
        <v>358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x14ac:dyDescent="0.25">
      <c r="A48" s="5">
        <v>964798677</v>
      </c>
      <c r="B48" s="5" t="str">
        <f t="shared" si="2"/>
        <v>96479867798</v>
      </c>
      <c r="C48" s="6" t="s">
        <v>233</v>
      </c>
      <c r="D48" s="6">
        <v>18828278</v>
      </c>
      <c r="E48" s="6" t="s">
        <v>96</v>
      </c>
      <c r="F48" s="6" t="s">
        <v>49</v>
      </c>
      <c r="G48" s="6" t="s">
        <v>189</v>
      </c>
      <c r="H48" s="7">
        <v>45931</v>
      </c>
      <c r="I48" s="8">
        <v>626</v>
      </c>
      <c r="J48" s="6">
        <v>1</v>
      </c>
      <c r="K48" s="8">
        <v>626</v>
      </c>
      <c r="L48" s="6"/>
      <c r="M48" s="6" t="s">
        <v>352</v>
      </c>
      <c r="N48" s="6" t="s">
        <v>358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39" x14ac:dyDescent="0.25">
      <c r="A49" s="5">
        <v>916058492</v>
      </c>
      <c r="B49" s="5" t="str">
        <f t="shared" si="2"/>
        <v>91605849298</v>
      </c>
      <c r="C49" s="6" t="s">
        <v>186</v>
      </c>
      <c r="D49" s="6">
        <v>19645587</v>
      </c>
      <c r="E49" s="6" t="s">
        <v>188</v>
      </c>
      <c r="F49" s="6" t="s">
        <v>49</v>
      </c>
      <c r="G49" s="6" t="s">
        <v>189</v>
      </c>
      <c r="H49" s="7">
        <v>45931</v>
      </c>
      <c r="I49" s="8">
        <v>626</v>
      </c>
      <c r="J49" s="6">
        <v>1</v>
      </c>
      <c r="K49" s="8">
        <v>626</v>
      </c>
      <c r="L49" s="6"/>
      <c r="M49" s="6" t="s">
        <v>352</v>
      </c>
      <c r="N49" s="6" t="s">
        <v>358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39" x14ac:dyDescent="0.25">
      <c r="A50" s="5">
        <v>938919011</v>
      </c>
      <c r="B50" s="5" t="str">
        <f t="shared" si="2"/>
        <v>93891901198</v>
      </c>
      <c r="C50" s="6" t="s">
        <v>211</v>
      </c>
      <c r="D50" s="6">
        <v>19645587</v>
      </c>
      <c r="E50" s="6" t="s">
        <v>188</v>
      </c>
      <c r="F50" s="6" t="s">
        <v>49</v>
      </c>
      <c r="G50" s="6" t="s">
        <v>189</v>
      </c>
      <c r="H50" s="7">
        <v>45931</v>
      </c>
      <c r="I50" s="8">
        <v>626</v>
      </c>
      <c r="J50" s="6">
        <v>1</v>
      </c>
      <c r="K50" s="8">
        <v>626</v>
      </c>
      <c r="L50" s="6"/>
      <c r="M50" s="6" t="s">
        <v>352</v>
      </c>
      <c r="N50" s="6" t="s">
        <v>358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39" x14ac:dyDescent="0.25">
      <c r="A51" s="5">
        <v>942914416</v>
      </c>
      <c r="B51" s="5" t="str">
        <f t="shared" si="2"/>
        <v>94291441698</v>
      </c>
      <c r="C51" s="6" t="s">
        <v>220</v>
      </c>
      <c r="D51" s="6">
        <v>19645587</v>
      </c>
      <c r="E51" s="6" t="s">
        <v>188</v>
      </c>
      <c r="F51" s="6" t="s">
        <v>49</v>
      </c>
      <c r="G51" s="6" t="s">
        <v>189</v>
      </c>
      <c r="H51" s="7">
        <v>45931</v>
      </c>
      <c r="I51" s="8">
        <v>626</v>
      </c>
      <c r="J51" s="6">
        <v>1</v>
      </c>
      <c r="K51" s="8">
        <v>626</v>
      </c>
      <c r="L51" s="6"/>
      <c r="M51" s="6" t="s">
        <v>352</v>
      </c>
      <c r="N51" s="6" t="s">
        <v>358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39" x14ac:dyDescent="0.25">
      <c r="A52" s="5" t="s">
        <v>343</v>
      </c>
      <c r="B52" s="5">
        <v>95577571498</v>
      </c>
      <c r="C52" s="6" t="s">
        <v>283</v>
      </c>
      <c r="D52" s="6">
        <v>19645587</v>
      </c>
      <c r="E52" s="6" t="s">
        <v>188</v>
      </c>
      <c r="F52" s="6" t="s">
        <v>245</v>
      </c>
      <c r="G52" s="6" t="s">
        <v>189</v>
      </c>
      <c r="H52" s="7">
        <v>45778</v>
      </c>
      <c r="I52" s="6"/>
      <c r="J52" s="6"/>
      <c r="K52" s="6">
        <v>-417.33</v>
      </c>
      <c r="L52" s="6"/>
      <c r="M52" s="6" t="s">
        <v>352</v>
      </c>
      <c r="N52" s="6" t="s">
        <v>359</v>
      </c>
      <c r="O52" s="6">
        <f>626/12*8</f>
        <v>417.33333333333331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 x14ac:dyDescent="0.25">
      <c r="A53" s="5" t="s">
        <v>333</v>
      </c>
      <c r="B53" s="5" t="str">
        <f>CONCATENATE(A53,1)</f>
        <v>A043326691</v>
      </c>
      <c r="C53" s="6" t="s">
        <v>240</v>
      </c>
      <c r="D53" s="6">
        <v>20724564</v>
      </c>
      <c r="E53" s="6" t="s">
        <v>101</v>
      </c>
      <c r="F53" s="6" t="s">
        <v>49</v>
      </c>
      <c r="G53" s="6" t="s">
        <v>241</v>
      </c>
      <c r="H53" s="7">
        <v>46023</v>
      </c>
      <c r="I53" s="8">
        <v>31.02</v>
      </c>
      <c r="J53" s="6">
        <v>9</v>
      </c>
      <c r="K53" s="8">
        <v>279.18</v>
      </c>
      <c r="L53" s="6"/>
      <c r="M53" s="6" t="s">
        <v>241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39" x14ac:dyDescent="0.25">
      <c r="A54" s="5" t="s">
        <v>345</v>
      </c>
      <c r="B54" s="5" t="s">
        <v>360</v>
      </c>
      <c r="C54" s="6" t="s">
        <v>292</v>
      </c>
      <c r="D54" s="6">
        <v>20003537</v>
      </c>
      <c r="E54" s="6" t="s">
        <v>78</v>
      </c>
      <c r="F54" s="6" t="s">
        <v>245</v>
      </c>
      <c r="G54" s="6" t="s">
        <v>293</v>
      </c>
      <c r="H54" s="7">
        <v>45901</v>
      </c>
      <c r="I54" s="6"/>
      <c r="J54" s="6"/>
      <c r="K54" s="6">
        <v>-252.18</v>
      </c>
      <c r="L54" s="6"/>
      <c r="M54" s="6" t="s">
        <v>293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s="13" customFormat="1" x14ac:dyDescent="0.25">
      <c r="A55" s="9" t="s">
        <v>332</v>
      </c>
      <c r="B55" s="9" t="str">
        <f>CONCATENATE(A55,1)</f>
        <v>A043288351</v>
      </c>
      <c r="C55" s="10" t="s">
        <v>237</v>
      </c>
      <c r="D55" s="10">
        <v>18142208</v>
      </c>
      <c r="E55" s="10" t="s">
        <v>160</v>
      </c>
      <c r="F55" s="10" t="s">
        <v>49</v>
      </c>
      <c r="G55" s="10" t="s">
        <v>238</v>
      </c>
      <c r="H55" s="11">
        <v>45962</v>
      </c>
      <c r="I55" s="12">
        <v>25.98</v>
      </c>
      <c r="J55" s="10">
        <v>9</v>
      </c>
      <c r="K55" s="12">
        <v>233.82</v>
      </c>
      <c r="L55" s="10"/>
      <c r="M55" s="10" t="s">
        <v>350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1:39" x14ac:dyDescent="0.25">
      <c r="A56" s="5">
        <v>916445670</v>
      </c>
      <c r="B56" s="5" t="str">
        <f>CONCATENATE(A56,1)</f>
        <v>9164456701</v>
      </c>
      <c r="C56" s="6" t="s">
        <v>191</v>
      </c>
      <c r="D56" s="6">
        <v>17425766</v>
      </c>
      <c r="E56" s="6" t="s">
        <v>111</v>
      </c>
      <c r="F56" s="6" t="s">
        <v>245</v>
      </c>
      <c r="G56" s="6" t="s">
        <v>170</v>
      </c>
      <c r="H56" s="7">
        <v>45931</v>
      </c>
      <c r="I56" s="6"/>
      <c r="J56" s="6"/>
      <c r="K56" s="6">
        <v>-78.25</v>
      </c>
      <c r="L56" s="6"/>
      <c r="M56" s="6" t="s">
        <v>353</v>
      </c>
      <c r="N56" s="6" t="s">
        <v>355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 x14ac:dyDescent="0.25">
      <c r="A57" s="5">
        <v>926230943</v>
      </c>
      <c r="B57" s="5" t="str">
        <f>CONCATENATE(A57,1)</f>
        <v>9262309431</v>
      </c>
      <c r="C57" s="6" t="s">
        <v>194</v>
      </c>
      <c r="D57" s="6">
        <v>9213293</v>
      </c>
      <c r="E57" s="6" t="s">
        <v>48</v>
      </c>
      <c r="F57" s="6" t="s">
        <v>49</v>
      </c>
      <c r="G57" s="6" t="s">
        <v>153</v>
      </c>
      <c r="H57" s="7">
        <v>45931</v>
      </c>
      <c r="I57" s="8">
        <v>156.5</v>
      </c>
      <c r="J57" s="6">
        <v>1</v>
      </c>
      <c r="K57" s="8">
        <v>156.5</v>
      </c>
      <c r="L57" s="6" t="s">
        <v>138</v>
      </c>
      <c r="M57" s="6" t="s">
        <v>353</v>
      </c>
      <c r="N57" s="6" t="s">
        <v>354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39" x14ac:dyDescent="0.25">
      <c r="A58" s="5">
        <v>932567032</v>
      </c>
      <c r="B58" s="5" t="str">
        <f>CONCATENATE(A58,1)</f>
        <v>9325670321</v>
      </c>
      <c r="C58" s="6" t="s">
        <v>198</v>
      </c>
      <c r="D58" s="6">
        <v>9213293</v>
      </c>
      <c r="E58" s="6" t="s">
        <v>48</v>
      </c>
      <c r="F58" s="6" t="s">
        <v>49</v>
      </c>
      <c r="G58" s="6" t="s">
        <v>170</v>
      </c>
      <c r="H58" s="7">
        <v>45931</v>
      </c>
      <c r="I58" s="8">
        <v>78.25</v>
      </c>
      <c r="J58" s="6">
        <v>1</v>
      </c>
      <c r="K58" s="8">
        <v>78.25</v>
      </c>
      <c r="L58" s="6" t="s">
        <v>138</v>
      </c>
      <c r="M58" s="6" t="s">
        <v>353</v>
      </c>
      <c r="N58" s="6" t="s">
        <v>355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pans="1:39" x14ac:dyDescent="0.25">
      <c r="A59" s="5">
        <v>995460593</v>
      </c>
      <c r="B59" s="5">
        <v>99546059399</v>
      </c>
      <c r="C59" s="6" t="s">
        <v>289</v>
      </c>
      <c r="D59" s="6">
        <v>9213293</v>
      </c>
      <c r="E59" s="6" t="s">
        <v>48</v>
      </c>
      <c r="F59" s="6" t="s">
        <v>245</v>
      </c>
      <c r="G59" s="6" t="s">
        <v>170</v>
      </c>
      <c r="H59" s="7">
        <v>45658</v>
      </c>
      <c r="I59" s="6"/>
      <c r="J59" s="6"/>
      <c r="K59" s="6">
        <v>-52.16</v>
      </c>
      <c r="L59" s="6"/>
      <c r="M59" s="6" t="s">
        <v>353</v>
      </c>
      <c r="N59" s="6" t="s">
        <v>356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pans="1:39" s="6" customFormat="1" x14ac:dyDescent="0.25">
      <c r="A60" s="5">
        <v>950837863</v>
      </c>
      <c r="B60" s="5" t="str">
        <f t="shared" ref="B60:B81" si="3">CONCATENATE(A60,1)</f>
        <v>9508378631</v>
      </c>
      <c r="C60" s="6" t="s">
        <v>231</v>
      </c>
      <c r="D60" s="6">
        <v>9213293</v>
      </c>
      <c r="E60" s="6" t="s">
        <v>48</v>
      </c>
      <c r="F60" s="6" t="s">
        <v>245</v>
      </c>
      <c r="G60" s="6" t="s">
        <v>170</v>
      </c>
      <c r="H60" s="7">
        <v>45962</v>
      </c>
      <c r="K60" s="6">
        <v>-52.17</v>
      </c>
      <c r="M60" s="6" t="s">
        <v>353</v>
      </c>
      <c r="N60" s="6" t="s">
        <v>356</v>
      </c>
    </row>
    <row r="61" spans="1:39" s="6" customFormat="1" x14ac:dyDescent="0.25">
      <c r="A61" s="5">
        <v>926230943</v>
      </c>
      <c r="B61" s="5" t="str">
        <f t="shared" si="3"/>
        <v>9262309431</v>
      </c>
      <c r="C61" s="6" t="s">
        <v>194</v>
      </c>
      <c r="D61" s="6">
        <v>9213293</v>
      </c>
      <c r="E61" s="6" t="s">
        <v>48</v>
      </c>
      <c r="F61" s="6" t="s">
        <v>245</v>
      </c>
      <c r="G61" s="6" t="s">
        <v>170</v>
      </c>
      <c r="H61" s="7">
        <v>45931</v>
      </c>
      <c r="K61" s="6">
        <v>-78.25</v>
      </c>
      <c r="M61" s="6" t="s">
        <v>353</v>
      </c>
      <c r="N61" s="6" t="s">
        <v>355</v>
      </c>
    </row>
    <row r="62" spans="1:39" s="6" customFormat="1" x14ac:dyDescent="0.25">
      <c r="A62" s="5">
        <v>908064971</v>
      </c>
      <c r="B62" s="5" t="str">
        <f t="shared" si="3"/>
        <v>9080649711</v>
      </c>
      <c r="C62" s="6" t="s">
        <v>179</v>
      </c>
      <c r="D62" s="6">
        <v>18754354</v>
      </c>
      <c r="E62" s="6" t="s">
        <v>182</v>
      </c>
      <c r="F62" s="6" t="s">
        <v>49</v>
      </c>
      <c r="G62" s="6" t="s">
        <v>170</v>
      </c>
      <c r="H62" s="7">
        <v>45931</v>
      </c>
      <c r="I62" s="8">
        <v>78.25</v>
      </c>
      <c r="J62" s="6">
        <v>1</v>
      </c>
      <c r="K62" s="8">
        <v>78.25</v>
      </c>
      <c r="L62" s="6" t="s">
        <v>138</v>
      </c>
      <c r="M62" s="6" t="s">
        <v>353</v>
      </c>
      <c r="N62" s="6" t="s">
        <v>355</v>
      </c>
    </row>
    <row r="63" spans="1:39" s="6" customFormat="1" x14ac:dyDescent="0.25">
      <c r="A63" s="5">
        <v>950710708</v>
      </c>
      <c r="B63" s="5" t="str">
        <f t="shared" si="3"/>
        <v>9507107081</v>
      </c>
      <c r="C63" s="6" t="s">
        <v>227</v>
      </c>
      <c r="D63" s="6">
        <v>18754354</v>
      </c>
      <c r="E63" s="6" t="s">
        <v>182</v>
      </c>
      <c r="F63" s="6" t="s">
        <v>49</v>
      </c>
      <c r="G63" s="6" t="s">
        <v>170</v>
      </c>
      <c r="H63" s="7">
        <v>45992</v>
      </c>
      <c r="I63" s="8">
        <v>26.08</v>
      </c>
      <c r="J63" s="6">
        <v>1</v>
      </c>
      <c r="K63" s="8">
        <v>26.08</v>
      </c>
      <c r="L63" s="6" t="s">
        <v>228</v>
      </c>
      <c r="M63" s="6" t="s">
        <v>353</v>
      </c>
      <c r="N63" s="6" t="s">
        <v>357</v>
      </c>
    </row>
    <row r="64" spans="1:39" s="6" customFormat="1" x14ac:dyDescent="0.25">
      <c r="A64" s="5">
        <v>938197847</v>
      </c>
      <c r="B64" s="5" t="str">
        <f t="shared" si="3"/>
        <v>9381978471</v>
      </c>
      <c r="C64" s="6" t="s">
        <v>207</v>
      </c>
      <c r="D64" s="6">
        <v>2158366</v>
      </c>
      <c r="E64" s="6" t="s">
        <v>209</v>
      </c>
      <c r="F64" s="6" t="s">
        <v>49</v>
      </c>
      <c r="G64" s="6" t="s">
        <v>153</v>
      </c>
      <c r="H64" s="7">
        <v>45931</v>
      </c>
      <c r="I64" s="8">
        <v>156.5</v>
      </c>
      <c r="J64" s="6">
        <v>1</v>
      </c>
      <c r="K64" s="8">
        <v>156.5</v>
      </c>
      <c r="L64" s="6" t="s">
        <v>138</v>
      </c>
      <c r="M64" s="6" t="s">
        <v>353</v>
      </c>
      <c r="N64" s="6" t="s">
        <v>354</v>
      </c>
    </row>
    <row r="65" spans="1:15" s="6" customFormat="1" x14ac:dyDescent="0.25">
      <c r="A65" s="5">
        <v>938197847</v>
      </c>
      <c r="B65" s="5" t="str">
        <f t="shared" si="3"/>
        <v>9381978471</v>
      </c>
      <c r="C65" s="6" t="s">
        <v>207</v>
      </c>
      <c r="D65" s="6">
        <v>2158366</v>
      </c>
      <c r="E65" s="6" t="s">
        <v>209</v>
      </c>
      <c r="F65" s="6" t="s">
        <v>245</v>
      </c>
      <c r="G65" s="6" t="s">
        <v>170</v>
      </c>
      <c r="H65" s="7">
        <v>45931</v>
      </c>
      <c r="K65" s="6">
        <v>-78.25</v>
      </c>
      <c r="M65" s="6" t="s">
        <v>353</v>
      </c>
      <c r="N65" s="6" t="s">
        <v>355</v>
      </c>
    </row>
    <row r="66" spans="1:15" s="6" customFormat="1" x14ac:dyDescent="0.25">
      <c r="A66" s="5">
        <v>131758294</v>
      </c>
      <c r="B66" s="5" t="str">
        <f t="shared" si="3"/>
        <v>1317582941</v>
      </c>
      <c r="C66" s="6" t="s">
        <v>157</v>
      </c>
      <c r="D66" s="6">
        <v>18142208</v>
      </c>
      <c r="E66" s="6" t="s">
        <v>160</v>
      </c>
      <c r="F66" s="6" t="s">
        <v>58</v>
      </c>
      <c r="G66" s="6" t="s">
        <v>153</v>
      </c>
      <c r="H66" s="7">
        <v>45931</v>
      </c>
      <c r="I66" s="8">
        <v>156.5</v>
      </c>
      <c r="J66" s="6">
        <v>1</v>
      </c>
      <c r="K66" s="8">
        <v>156.5</v>
      </c>
      <c r="L66" s="6" t="s">
        <v>138</v>
      </c>
      <c r="M66" s="6" t="s">
        <v>353</v>
      </c>
      <c r="N66" s="6" t="s">
        <v>354</v>
      </c>
    </row>
    <row r="67" spans="1:15" s="6" customFormat="1" x14ac:dyDescent="0.25">
      <c r="A67" s="5">
        <v>131758294</v>
      </c>
      <c r="B67" s="5" t="str">
        <f t="shared" si="3"/>
        <v>1317582941</v>
      </c>
      <c r="C67" s="6" t="s">
        <v>157</v>
      </c>
      <c r="D67" s="6">
        <v>18142208</v>
      </c>
      <c r="E67" s="6" t="s">
        <v>160</v>
      </c>
      <c r="F67" s="6" t="s">
        <v>245</v>
      </c>
      <c r="G67" s="6" t="s">
        <v>170</v>
      </c>
      <c r="H67" s="7">
        <v>45931</v>
      </c>
      <c r="K67" s="6">
        <v>-78.25</v>
      </c>
      <c r="M67" s="6" t="s">
        <v>353</v>
      </c>
      <c r="N67" s="6" t="s">
        <v>355</v>
      </c>
    </row>
    <row r="68" spans="1:15" s="6" customFormat="1" x14ac:dyDescent="0.25">
      <c r="A68" s="5">
        <v>123275022</v>
      </c>
      <c r="B68" s="5" t="str">
        <f t="shared" si="3"/>
        <v>1232750221</v>
      </c>
      <c r="C68" s="6" t="s">
        <v>149</v>
      </c>
      <c r="D68" s="6">
        <v>17859093</v>
      </c>
      <c r="E68" s="6" t="s">
        <v>152</v>
      </c>
      <c r="F68" s="6" t="s">
        <v>49</v>
      </c>
      <c r="G68" s="6" t="s">
        <v>153</v>
      </c>
      <c r="H68" s="7">
        <v>45931</v>
      </c>
      <c r="I68" s="8">
        <v>156.5</v>
      </c>
      <c r="J68" s="6">
        <v>1</v>
      </c>
      <c r="K68" s="8">
        <v>156.5</v>
      </c>
      <c r="L68" s="6" t="s">
        <v>138</v>
      </c>
      <c r="M68" s="6" t="s">
        <v>353</v>
      </c>
      <c r="N68" s="6" t="s">
        <v>354</v>
      </c>
      <c r="O68" s="6">
        <f>313/12*6</f>
        <v>156.5</v>
      </c>
    </row>
    <row r="69" spans="1:15" s="6" customFormat="1" x14ac:dyDescent="0.25">
      <c r="A69" s="5">
        <v>134111141</v>
      </c>
      <c r="B69" s="5" t="str">
        <f t="shared" si="3"/>
        <v>1341111411</v>
      </c>
      <c r="C69" s="6" t="s">
        <v>163</v>
      </c>
      <c r="D69" s="6">
        <v>17859093</v>
      </c>
      <c r="E69" s="6" t="s">
        <v>152</v>
      </c>
      <c r="F69" s="6" t="s">
        <v>49</v>
      </c>
      <c r="G69" s="6" t="s">
        <v>153</v>
      </c>
      <c r="H69" s="7">
        <v>45931</v>
      </c>
      <c r="I69" s="8">
        <v>156.5</v>
      </c>
      <c r="J69" s="6">
        <v>1</v>
      </c>
      <c r="K69" s="8">
        <v>156.5</v>
      </c>
      <c r="L69" s="6" t="s">
        <v>138</v>
      </c>
      <c r="M69" s="6" t="s">
        <v>353</v>
      </c>
      <c r="N69" s="6" t="s">
        <v>354</v>
      </c>
    </row>
    <row r="70" spans="1:15" s="6" customFormat="1" x14ac:dyDescent="0.25">
      <c r="A70" s="5">
        <v>123275022</v>
      </c>
      <c r="B70" s="5" t="str">
        <f t="shared" si="3"/>
        <v>1232750221</v>
      </c>
      <c r="C70" s="6" t="s">
        <v>149</v>
      </c>
      <c r="D70" s="6">
        <v>17859093</v>
      </c>
      <c r="E70" s="6" t="s">
        <v>152</v>
      </c>
      <c r="F70" s="6" t="s">
        <v>245</v>
      </c>
      <c r="G70" s="6" t="s">
        <v>170</v>
      </c>
      <c r="H70" s="7">
        <v>45931</v>
      </c>
      <c r="K70" s="6">
        <v>-78.25</v>
      </c>
      <c r="M70" s="6" t="s">
        <v>353</v>
      </c>
      <c r="N70" s="6" t="s">
        <v>355</v>
      </c>
    </row>
    <row r="71" spans="1:15" s="6" customFormat="1" x14ac:dyDescent="0.25">
      <c r="A71" s="5">
        <v>134111141</v>
      </c>
      <c r="B71" s="5" t="str">
        <f t="shared" si="3"/>
        <v>1341111411</v>
      </c>
      <c r="C71" s="6" t="s">
        <v>163</v>
      </c>
      <c r="D71" s="6">
        <v>17859093</v>
      </c>
      <c r="E71" s="6" t="s">
        <v>152</v>
      </c>
      <c r="F71" s="6" t="s">
        <v>245</v>
      </c>
      <c r="G71" s="6" t="s">
        <v>170</v>
      </c>
      <c r="H71" s="7">
        <v>45931</v>
      </c>
      <c r="K71" s="6">
        <v>-78.25</v>
      </c>
      <c r="M71" s="6" t="s">
        <v>353</v>
      </c>
      <c r="N71" s="6" t="s">
        <v>355</v>
      </c>
    </row>
    <row r="72" spans="1:15" s="6" customFormat="1" x14ac:dyDescent="0.25">
      <c r="A72" s="5">
        <v>934031732</v>
      </c>
      <c r="B72" s="5" t="str">
        <f t="shared" si="3"/>
        <v>9340317321</v>
      </c>
      <c r="C72" s="6" t="s">
        <v>201</v>
      </c>
      <c r="D72" s="6">
        <v>17859093</v>
      </c>
      <c r="E72" s="6" t="s">
        <v>152</v>
      </c>
      <c r="F72" s="6" t="s">
        <v>245</v>
      </c>
      <c r="G72" s="6" t="s">
        <v>170</v>
      </c>
      <c r="H72" s="7">
        <v>45931</v>
      </c>
      <c r="K72" s="6">
        <v>-78.25</v>
      </c>
      <c r="M72" s="6" t="s">
        <v>353</v>
      </c>
      <c r="N72" s="6" t="s">
        <v>355</v>
      </c>
    </row>
    <row r="73" spans="1:15" s="6" customFormat="1" x14ac:dyDescent="0.25">
      <c r="A73" s="5">
        <v>939286577</v>
      </c>
      <c r="B73" s="5" t="str">
        <f t="shared" si="3"/>
        <v>9392865771</v>
      </c>
      <c r="C73" s="6" t="s">
        <v>213</v>
      </c>
      <c r="D73" s="6">
        <v>20724564</v>
      </c>
      <c r="E73" s="6" t="s">
        <v>101</v>
      </c>
      <c r="F73" s="6" t="s">
        <v>245</v>
      </c>
      <c r="G73" s="6" t="s">
        <v>170</v>
      </c>
      <c r="H73" s="7">
        <v>45992</v>
      </c>
      <c r="K73" s="6">
        <v>-26.08</v>
      </c>
      <c r="M73" s="6" t="s">
        <v>353</v>
      </c>
      <c r="N73" s="6" t="s">
        <v>357</v>
      </c>
    </row>
    <row r="74" spans="1:15" s="6" customFormat="1" x14ac:dyDescent="0.25">
      <c r="A74" s="5">
        <v>950654690</v>
      </c>
      <c r="B74" s="5" t="str">
        <f t="shared" si="3"/>
        <v>9506546901</v>
      </c>
      <c r="C74" s="6" t="s">
        <v>225</v>
      </c>
      <c r="D74" s="6">
        <v>20724564</v>
      </c>
      <c r="E74" s="6" t="s">
        <v>101</v>
      </c>
      <c r="F74" s="6" t="s">
        <v>245</v>
      </c>
      <c r="G74" s="6" t="s">
        <v>170</v>
      </c>
      <c r="H74" s="7">
        <v>45962</v>
      </c>
      <c r="K74" s="6">
        <v>-52.17</v>
      </c>
      <c r="M74" s="6" t="s">
        <v>353</v>
      </c>
      <c r="N74" s="6" t="s">
        <v>356</v>
      </c>
    </row>
    <row r="75" spans="1:15" s="6" customFormat="1" x14ac:dyDescent="0.25">
      <c r="A75" s="5">
        <v>970238440</v>
      </c>
      <c r="B75" s="5" t="str">
        <f t="shared" si="3"/>
        <v>9702384401</v>
      </c>
      <c r="C75" s="6" t="s">
        <v>235</v>
      </c>
      <c r="D75" s="6">
        <v>20724564</v>
      </c>
      <c r="E75" s="6" t="s">
        <v>101</v>
      </c>
      <c r="F75" s="6" t="s">
        <v>245</v>
      </c>
      <c r="G75" s="6" t="s">
        <v>170</v>
      </c>
      <c r="H75" s="7">
        <v>45962</v>
      </c>
      <c r="K75" s="6">
        <v>-52.17</v>
      </c>
      <c r="M75" s="6" t="s">
        <v>353</v>
      </c>
      <c r="N75" s="6" t="s">
        <v>356</v>
      </c>
    </row>
    <row r="76" spans="1:15" s="6" customFormat="1" x14ac:dyDescent="0.25">
      <c r="A76" s="5">
        <v>964798677</v>
      </c>
      <c r="B76" s="5" t="str">
        <f t="shared" si="3"/>
        <v>9647986771</v>
      </c>
      <c r="C76" s="6" t="s">
        <v>233</v>
      </c>
      <c r="D76" s="6">
        <v>18828278</v>
      </c>
      <c r="E76" s="6" t="s">
        <v>96</v>
      </c>
      <c r="F76" s="6" t="s">
        <v>245</v>
      </c>
      <c r="G76" s="6" t="s">
        <v>170</v>
      </c>
      <c r="H76" s="7">
        <v>45931</v>
      </c>
      <c r="K76" s="6">
        <v>-78.25</v>
      </c>
      <c r="M76" s="6" t="s">
        <v>353</v>
      </c>
      <c r="N76" s="6" t="s">
        <v>355</v>
      </c>
    </row>
    <row r="77" spans="1:15" s="6" customFormat="1" x14ac:dyDescent="0.25">
      <c r="A77" s="5">
        <v>942353562</v>
      </c>
      <c r="B77" s="5" t="str">
        <f t="shared" si="3"/>
        <v>9423535621</v>
      </c>
      <c r="C77" s="6" t="s">
        <v>215</v>
      </c>
      <c r="D77" s="6">
        <v>8405446</v>
      </c>
      <c r="E77" s="6" t="s">
        <v>217</v>
      </c>
      <c r="F77" s="6" t="s">
        <v>49</v>
      </c>
      <c r="G77" s="6" t="s">
        <v>170</v>
      </c>
      <c r="H77" s="7">
        <v>45962</v>
      </c>
      <c r="I77" s="8">
        <v>52.17</v>
      </c>
      <c r="J77" s="6">
        <v>1</v>
      </c>
      <c r="K77" s="8">
        <v>52.17</v>
      </c>
      <c r="L77" s="6" t="s">
        <v>144</v>
      </c>
      <c r="M77" s="6" t="s">
        <v>353</v>
      </c>
      <c r="N77" s="6" t="s">
        <v>356</v>
      </c>
      <c r="O77" s="6">
        <f>313/12*2</f>
        <v>52.166666666666664</v>
      </c>
    </row>
    <row r="78" spans="1:15" s="6" customFormat="1" x14ac:dyDescent="0.25">
      <c r="A78" s="5">
        <v>134193543</v>
      </c>
      <c r="B78" s="5" t="str">
        <f t="shared" si="3"/>
        <v>1341935431</v>
      </c>
      <c r="C78" s="6" t="s">
        <v>166</v>
      </c>
      <c r="D78" s="6">
        <v>16633294</v>
      </c>
      <c r="E78" s="6" t="s">
        <v>169</v>
      </c>
      <c r="F78" s="6" t="s">
        <v>49</v>
      </c>
      <c r="G78" s="6" t="s">
        <v>170</v>
      </c>
      <c r="H78" s="7">
        <v>45931</v>
      </c>
      <c r="I78" s="8">
        <v>78.25</v>
      </c>
      <c r="J78" s="6">
        <v>1</v>
      </c>
      <c r="K78" s="8">
        <v>78.25</v>
      </c>
      <c r="L78" s="6" t="s">
        <v>138</v>
      </c>
      <c r="M78" s="6" t="s">
        <v>353</v>
      </c>
      <c r="N78" s="6" t="s">
        <v>355</v>
      </c>
      <c r="O78" s="6">
        <f>313/12*3</f>
        <v>78.25</v>
      </c>
    </row>
    <row r="79" spans="1:15" s="6" customFormat="1" x14ac:dyDescent="0.25">
      <c r="A79" s="5">
        <v>916058492</v>
      </c>
      <c r="B79" s="5" t="str">
        <f t="shared" si="3"/>
        <v>9160584921</v>
      </c>
      <c r="C79" s="6" t="s">
        <v>186</v>
      </c>
      <c r="D79" s="6">
        <v>19645587</v>
      </c>
      <c r="E79" s="6" t="s">
        <v>188</v>
      </c>
      <c r="F79" s="6" t="s">
        <v>245</v>
      </c>
      <c r="G79" s="6" t="s">
        <v>170</v>
      </c>
      <c r="H79" s="7">
        <v>45931</v>
      </c>
      <c r="K79" s="6">
        <v>-78.25</v>
      </c>
      <c r="M79" s="6" t="s">
        <v>353</v>
      </c>
      <c r="N79" s="6" t="s">
        <v>355</v>
      </c>
    </row>
    <row r="80" spans="1:15" s="6" customFormat="1" x14ac:dyDescent="0.25">
      <c r="A80" s="5">
        <v>938919011</v>
      </c>
      <c r="B80" s="5" t="str">
        <f t="shared" si="3"/>
        <v>9389190111</v>
      </c>
      <c r="C80" s="6" t="s">
        <v>211</v>
      </c>
      <c r="D80" s="6">
        <v>19645587</v>
      </c>
      <c r="E80" s="6" t="s">
        <v>188</v>
      </c>
      <c r="F80" s="6" t="s">
        <v>245</v>
      </c>
      <c r="G80" s="6" t="s">
        <v>170</v>
      </c>
      <c r="H80" s="7">
        <v>45931</v>
      </c>
      <c r="K80" s="6">
        <v>-78.25</v>
      </c>
      <c r="M80" s="6" t="s">
        <v>353</v>
      </c>
      <c r="N80" s="6" t="s">
        <v>355</v>
      </c>
    </row>
    <row r="81" spans="1:39" s="6" customFormat="1" x14ac:dyDescent="0.25">
      <c r="A81" s="5">
        <v>942914416</v>
      </c>
      <c r="B81" s="5" t="str">
        <f t="shared" si="3"/>
        <v>9429144161</v>
      </c>
      <c r="C81" s="6" t="s">
        <v>220</v>
      </c>
      <c r="D81" s="6">
        <v>19645587</v>
      </c>
      <c r="E81" s="6" t="s">
        <v>188</v>
      </c>
      <c r="F81" s="6" t="s">
        <v>245</v>
      </c>
      <c r="G81" s="6" t="s">
        <v>170</v>
      </c>
      <c r="H81" s="7">
        <v>45931</v>
      </c>
      <c r="K81" s="6">
        <v>-78.25</v>
      </c>
      <c r="M81" s="6" t="s">
        <v>353</v>
      </c>
      <c r="N81" s="6" t="s">
        <v>355</v>
      </c>
    </row>
    <row r="82" spans="1:39" s="6" customFormat="1" x14ac:dyDescent="0.25">
      <c r="A82" s="4" t="s">
        <v>342</v>
      </c>
      <c r="B82" s="4" t="s">
        <v>369</v>
      </c>
      <c r="C82" t="s">
        <v>283</v>
      </c>
      <c r="D82">
        <v>20411454</v>
      </c>
      <c r="E82" t="s">
        <v>375</v>
      </c>
      <c r="F82" t="s">
        <v>245</v>
      </c>
      <c r="G82" t="s">
        <v>284</v>
      </c>
      <c r="H82" s="1">
        <v>45778</v>
      </c>
      <c r="I82"/>
      <c r="J82"/>
      <c r="K82">
        <v>-116.67</v>
      </c>
      <c r="L82"/>
      <c r="M82" t="s">
        <v>351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s="6" customFormat="1" x14ac:dyDescent="0.25">
      <c r="A83" s="4" t="s">
        <v>344</v>
      </c>
      <c r="B83" s="4" t="s">
        <v>374</v>
      </c>
      <c r="C83" t="s">
        <v>289</v>
      </c>
      <c r="D83">
        <v>20411454</v>
      </c>
      <c r="E83" t="s">
        <v>375</v>
      </c>
      <c r="F83" t="s">
        <v>245</v>
      </c>
      <c r="G83" t="s">
        <v>284</v>
      </c>
      <c r="H83" s="1">
        <v>45658</v>
      </c>
      <c r="I83"/>
      <c r="J83"/>
      <c r="K83">
        <v>-29.17</v>
      </c>
      <c r="L83"/>
      <c r="M83" t="s">
        <v>351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6" customFormat="1" x14ac:dyDescent="0.25">
      <c r="A84" s="4" t="s">
        <v>325</v>
      </c>
      <c r="B84" s="4" t="str">
        <f t="shared" ref="B84:B90" si="4">CONCATENATE(A84,"R")</f>
        <v>908064971OVR</v>
      </c>
      <c r="C84" t="s">
        <v>179</v>
      </c>
      <c r="D84">
        <v>20411454</v>
      </c>
      <c r="E84" t="s">
        <v>375</v>
      </c>
      <c r="F84" t="s">
        <v>49</v>
      </c>
      <c r="G84" t="s">
        <v>184</v>
      </c>
      <c r="H84" s="1">
        <v>45931</v>
      </c>
      <c r="I84" s="2">
        <v>175</v>
      </c>
      <c r="J84">
        <v>1</v>
      </c>
      <c r="K84" s="2">
        <v>175</v>
      </c>
      <c r="L84"/>
      <c r="M84" t="s">
        <v>351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 s="6" customFormat="1" x14ac:dyDescent="0.25">
      <c r="A85" s="4" t="s">
        <v>327</v>
      </c>
      <c r="B85" s="4" t="str">
        <f t="shared" si="4"/>
        <v>932567032OVR</v>
      </c>
      <c r="C85" t="s">
        <v>198</v>
      </c>
      <c r="D85">
        <v>20411454</v>
      </c>
      <c r="E85" t="s">
        <v>375</v>
      </c>
      <c r="F85" t="s">
        <v>49</v>
      </c>
      <c r="G85" t="s">
        <v>184</v>
      </c>
      <c r="H85" s="1">
        <v>45931</v>
      </c>
      <c r="I85" s="2">
        <v>175</v>
      </c>
      <c r="J85">
        <v>1</v>
      </c>
      <c r="K85" s="2">
        <v>175</v>
      </c>
      <c r="L85"/>
      <c r="M85" t="s">
        <v>351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 s="6" customFormat="1" x14ac:dyDescent="0.25">
      <c r="A86" s="4" t="s">
        <v>329</v>
      </c>
      <c r="B86" s="4" t="str">
        <f t="shared" si="4"/>
        <v>942353562OVR</v>
      </c>
      <c r="C86" t="s">
        <v>215</v>
      </c>
      <c r="D86">
        <v>20411454</v>
      </c>
      <c r="E86" t="s">
        <v>375</v>
      </c>
      <c r="F86" t="s">
        <v>49</v>
      </c>
      <c r="G86" t="s">
        <v>184</v>
      </c>
      <c r="H86" s="1">
        <v>45962</v>
      </c>
      <c r="I86" s="2">
        <v>175</v>
      </c>
      <c r="J86">
        <v>1</v>
      </c>
      <c r="K86" s="2">
        <v>175</v>
      </c>
      <c r="L86"/>
      <c r="M86" t="s">
        <v>351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 s="6" customFormat="1" x14ac:dyDescent="0.25">
      <c r="A87" s="4" t="s">
        <v>331</v>
      </c>
      <c r="B87" s="4" t="str">
        <f t="shared" si="4"/>
        <v>950710708OVR</v>
      </c>
      <c r="C87" t="s">
        <v>227</v>
      </c>
      <c r="D87">
        <v>20411454</v>
      </c>
      <c r="E87" t="s">
        <v>375</v>
      </c>
      <c r="F87" t="s">
        <v>49</v>
      </c>
      <c r="G87" t="s">
        <v>184</v>
      </c>
      <c r="H87" s="1">
        <v>45992</v>
      </c>
      <c r="I87" s="2">
        <v>175</v>
      </c>
      <c r="J87">
        <v>1</v>
      </c>
      <c r="K87" s="2">
        <v>175</v>
      </c>
      <c r="L87"/>
      <c r="M87" t="s">
        <v>351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 s="6" customFormat="1" x14ac:dyDescent="0.25">
      <c r="A88" s="4" t="s">
        <v>328</v>
      </c>
      <c r="B88" s="4" t="str">
        <f t="shared" si="4"/>
        <v>937844591OVR</v>
      </c>
      <c r="C88" t="s">
        <v>203</v>
      </c>
      <c r="D88">
        <v>20411454</v>
      </c>
      <c r="E88" t="s">
        <v>375</v>
      </c>
      <c r="F88" t="s">
        <v>49</v>
      </c>
      <c r="G88" t="s">
        <v>205</v>
      </c>
      <c r="H88" s="1">
        <v>45931</v>
      </c>
      <c r="I88" s="2">
        <v>113</v>
      </c>
      <c r="J88">
        <v>1</v>
      </c>
      <c r="K88" s="2">
        <v>113</v>
      </c>
      <c r="L88"/>
      <c r="M88" t="s">
        <v>351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 s="6" customFormat="1" x14ac:dyDescent="0.25">
      <c r="A89" s="4" t="s">
        <v>330</v>
      </c>
      <c r="B89" s="4" t="str">
        <f t="shared" si="4"/>
        <v>948930011OVR</v>
      </c>
      <c r="C89" t="s">
        <v>222</v>
      </c>
      <c r="D89">
        <v>20411454</v>
      </c>
      <c r="E89" t="s">
        <v>375</v>
      </c>
      <c r="F89" t="s">
        <v>49</v>
      </c>
      <c r="G89" t="s">
        <v>205</v>
      </c>
      <c r="H89" s="1">
        <v>45931</v>
      </c>
      <c r="I89" s="2">
        <v>113</v>
      </c>
      <c r="J89">
        <v>1</v>
      </c>
      <c r="K89" s="2">
        <v>113</v>
      </c>
      <c r="L89"/>
      <c r="M89" t="s">
        <v>351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 s="6" customFormat="1" x14ac:dyDescent="0.25">
      <c r="A90" s="4" t="s">
        <v>322</v>
      </c>
      <c r="B90" s="4" t="str">
        <f t="shared" si="4"/>
        <v>134193543OVR</v>
      </c>
      <c r="C90" t="s">
        <v>166</v>
      </c>
      <c r="D90">
        <v>20411454</v>
      </c>
      <c r="E90" t="s">
        <v>375</v>
      </c>
      <c r="F90" t="s">
        <v>49</v>
      </c>
      <c r="G90" t="s">
        <v>172</v>
      </c>
      <c r="H90" s="1">
        <v>45931</v>
      </c>
      <c r="I90" s="2">
        <v>18</v>
      </c>
      <c r="J90">
        <v>1</v>
      </c>
      <c r="K90" s="2">
        <v>18</v>
      </c>
      <c r="L90" t="s">
        <v>138</v>
      </c>
      <c r="M90" t="s">
        <v>351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 s="6" customFormat="1" x14ac:dyDescent="0.25">
      <c r="A91" s="4" t="s">
        <v>370</v>
      </c>
      <c r="B91" s="4" t="s">
        <v>370</v>
      </c>
      <c r="C91" t="s">
        <v>149</v>
      </c>
      <c r="D91">
        <v>20411454</v>
      </c>
      <c r="E91" t="s">
        <v>375</v>
      </c>
      <c r="F91" t="s">
        <v>245</v>
      </c>
      <c r="G91" t="s">
        <v>172</v>
      </c>
      <c r="H91" s="1">
        <v>45931</v>
      </c>
      <c r="I91"/>
      <c r="J91"/>
      <c r="K91">
        <v>-18</v>
      </c>
      <c r="L91"/>
      <c r="M91" t="s">
        <v>351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 s="6" customFormat="1" x14ac:dyDescent="0.25">
      <c r="A92" s="4" t="s">
        <v>371</v>
      </c>
      <c r="B92" s="4" t="s">
        <v>371</v>
      </c>
      <c r="C92" t="s">
        <v>157</v>
      </c>
      <c r="D92">
        <v>20411454</v>
      </c>
      <c r="E92" t="s">
        <v>375</v>
      </c>
      <c r="F92" t="s">
        <v>245</v>
      </c>
      <c r="G92" t="s">
        <v>172</v>
      </c>
      <c r="H92" s="1">
        <v>45931</v>
      </c>
      <c r="I92"/>
      <c r="J92"/>
      <c r="K92">
        <v>-18</v>
      </c>
      <c r="L92"/>
      <c r="M92" t="s">
        <v>351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 s="6" customFormat="1" x14ac:dyDescent="0.25">
      <c r="A93" s="4" t="s">
        <v>372</v>
      </c>
      <c r="B93" s="4" t="s">
        <v>372</v>
      </c>
      <c r="C93" t="s">
        <v>163</v>
      </c>
      <c r="D93">
        <v>20411454</v>
      </c>
      <c r="E93" t="s">
        <v>375</v>
      </c>
      <c r="F93" t="s">
        <v>245</v>
      </c>
      <c r="G93" t="s">
        <v>172</v>
      </c>
      <c r="H93" s="1">
        <v>45931</v>
      </c>
      <c r="I93"/>
      <c r="J93"/>
      <c r="K93">
        <v>-18</v>
      </c>
      <c r="L93"/>
      <c r="M93" t="s">
        <v>351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 s="6" customFormat="1" x14ac:dyDescent="0.25">
      <c r="A94" s="4" t="s">
        <v>373</v>
      </c>
      <c r="B94" s="4" t="s">
        <v>373</v>
      </c>
      <c r="C94" t="s">
        <v>194</v>
      </c>
      <c r="D94">
        <v>20411454</v>
      </c>
      <c r="E94" t="s">
        <v>375</v>
      </c>
      <c r="F94" t="s">
        <v>245</v>
      </c>
      <c r="G94" t="s">
        <v>274</v>
      </c>
      <c r="H94" s="1">
        <v>45931</v>
      </c>
      <c r="I94"/>
      <c r="J94"/>
      <c r="K94">
        <v>-12.5</v>
      </c>
      <c r="L94"/>
      <c r="M94" t="s">
        <v>351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 s="6" customFormat="1" x14ac:dyDescent="0.25">
      <c r="A95" s="4" t="s">
        <v>319</v>
      </c>
      <c r="B95" s="4" t="str">
        <f>CONCATENATE(A95,"R")</f>
        <v>123275022OVR</v>
      </c>
      <c r="C95" t="s">
        <v>149</v>
      </c>
      <c r="D95">
        <v>20411454</v>
      </c>
      <c r="E95" t="s">
        <v>375</v>
      </c>
      <c r="F95" t="s">
        <v>49</v>
      </c>
      <c r="G95" t="s">
        <v>155</v>
      </c>
      <c r="H95" s="1">
        <v>45931</v>
      </c>
      <c r="I95" s="2">
        <v>43.75</v>
      </c>
      <c r="J95">
        <v>1</v>
      </c>
      <c r="K95" s="2">
        <v>43.75</v>
      </c>
      <c r="L95" t="s">
        <v>138</v>
      </c>
      <c r="M95" t="s">
        <v>351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 s="6" customFormat="1" x14ac:dyDescent="0.25">
      <c r="A96" s="4" t="s">
        <v>320</v>
      </c>
      <c r="B96" s="4" t="str">
        <f>CONCATENATE(A96,"R")</f>
        <v>131758294OVR</v>
      </c>
      <c r="C96" t="s">
        <v>157</v>
      </c>
      <c r="D96">
        <v>20411454</v>
      </c>
      <c r="E96" t="s">
        <v>375</v>
      </c>
      <c r="F96" t="s">
        <v>58</v>
      </c>
      <c r="G96" t="s">
        <v>155</v>
      </c>
      <c r="H96" s="1">
        <v>45931</v>
      </c>
      <c r="I96" s="2">
        <v>43.75</v>
      </c>
      <c r="J96">
        <v>1</v>
      </c>
      <c r="K96" s="2">
        <v>43.75</v>
      </c>
      <c r="L96" t="s">
        <v>138</v>
      </c>
      <c r="M96" t="s">
        <v>351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 s="6" customFormat="1" x14ac:dyDescent="0.25">
      <c r="A97" s="4" t="s">
        <v>321</v>
      </c>
      <c r="B97" s="4" t="str">
        <f>CONCATENATE(A97,"R")</f>
        <v>134111141OVR</v>
      </c>
      <c r="C97" t="s">
        <v>163</v>
      </c>
      <c r="D97">
        <v>20411454</v>
      </c>
      <c r="E97" t="s">
        <v>375</v>
      </c>
      <c r="F97" t="s">
        <v>49</v>
      </c>
      <c r="G97" t="s">
        <v>155</v>
      </c>
      <c r="H97" s="1">
        <v>45931</v>
      </c>
      <c r="I97" s="2">
        <v>43.75</v>
      </c>
      <c r="J97">
        <v>1</v>
      </c>
      <c r="K97" s="2">
        <v>43.75</v>
      </c>
      <c r="L97" t="s">
        <v>138</v>
      </c>
      <c r="M97" t="s">
        <v>351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 s="6" customFormat="1" x14ac:dyDescent="0.25">
      <c r="A98" s="4" t="s">
        <v>326</v>
      </c>
      <c r="B98" s="4" t="str">
        <f>CONCATENATE(A98,"R")</f>
        <v>926230943OVR</v>
      </c>
      <c r="C98" t="s">
        <v>194</v>
      </c>
      <c r="D98">
        <v>20411454</v>
      </c>
      <c r="E98" t="s">
        <v>375</v>
      </c>
      <c r="F98" t="s">
        <v>49</v>
      </c>
      <c r="G98" t="s">
        <v>196</v>
      </c>
      <c r="H98" s="1">
        <v>45931</v>
      </c>
      <c r="I98" s="2">
        <v>28.25</v>
      </c>
      <c r="J98">
        <v>1</v>
      </c>
      <c r="K98" s="2">
        <v>28.25</v>
      </c>
      <c r="L98" t="s">
        <v>138</v>
      </c>
      <c r="M98" t="s">
        <v>351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</sheetData>
  <sortState xmlns:xlrd2="http://schemas.microsoft.com/office/spreadsheetml/2017/richdata2" ref="A2:AM98">
    <sortCondition ref="M2:M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2025-10-16T16:59:52Z</dcterms:created>
  <dcterms:modified xsi:type="dcterms:W3CDTF">2025-12-15T14:21:39Z</dcterms:modified>
</cp:coreProperties>
</file>