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5-15-25 to 05-28-25\"/>
    </mc:Choice>
  </mc:AlternateContent>
  <xr:revisionPtr revIDLastSave="0" documentId="13_ncr:1_{4D47423D-3E65-484F-8633-84EC3BE368D3}" xr6:coauthVersionLast="47" xr6:coauthVersionMax="47" xr10:uidLastSave="{00000000-0000-0000-0000-000000000000}"/>
  <bookViews>
    <workbookView xWindow="-57720" yWindow="-45" windowWidth="29040" windowHeight="15720" activeTab="1" xr2:uid="{C57A0D17-17F4-46FE-8AAF-EF3849600CE6}"/>
  </bookViews>
  <sheets>
    <sheet name="Renewal Agent Statement - 2025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73" i="2"/>
  <c r="B374" i="2"/>
  <c r="B375" i="2"/>
  <c r="B372" i="2"/>
  <c r="B371" i="2"/>
  <c r="B369" i="2"/>
  <c r="B370" i="2"/>
  <c r="B368" i="2"/>
  <c r="B365" i="2"/>
  <c r="B363" i="2"/>
  <c r="B364" i="2"/>
  <c r="B362" i="2"/>
  <c r="B360" i="2"/>
  <c r="B367" i="2"/>
  <c r="B361" i="2"/>
  <c r="B366" i="2"/>
  <c r="B359" i="2"/>
  <c r="B354" i="2"/>
  <c r="B353" i="2"/>
  <c r="B343" i="2"/>
  <c r="B342" i="2"/>
  <c r="B341" i="2"/>
  <c r="B340" i="2"/>
  <c r="B339" i="2"/>
  <c r="B338" i="2"/>
  <c r="B337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36" i="2"/>
  <c r="B332" i="2"/>
  <c r="B333" i="2"/>
  <c r="B314" i="2"/>
  <c r="B313" i="2"/>
  <c r="B335" i="2"/>
  <c r="B334" i="2"/>
  <c r="B312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1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0" i="2"/>
  <c r="B247" i="2"/>
  <c r="B246" i="2"/>
  <c r="B243" i="2"/>
  <c r="B241" i="2"/>
  <c r="B240" i="2"/>
  <c r="B239" i="2"/>
  <c r="B238" i="2"/>
  <c r="B237" i="2"/>
  <c r="B235" i="2"/>
  <c r="B234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19" i="2"/>
  <c r="B218" i="2"/>
  <c r="B216" i="2"/>
  <c r="B214" i="2"/>
  <c r="B213" i="2"/>
  <c r="B211" i="2"/>
  <c r="B210" i="2"/>
  <c r="B209" i="2"/>
  <c r="B208" i="2"/>
  <c r="B199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R334" i="2"/>
</calcChain>
</file>

<file path=xl/sharedStrings.xml><?xml version="1.0" encoding="utf-8"?>
<sst xmlns="http://schemas.openxmlformats.org/spreadsheetml/2006/main" count="8537" uniqueCount="1093">
  <si>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</si>
  <si>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</si>
  <si>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</si>
  <si>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</si>
  <si>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</si>
  <si>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</si>
  <si>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</si>
  <si>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</si>
  <si>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</si>
  <si>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</si>
  <si>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</si>
  <si>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</si>
  <si>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</si>
  <si>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</si>
  <si>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</si>
  <si>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</si>
  <si>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</si>
  <si>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</si>
  <si>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</si>
  <si>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</si>
  <si>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</si>
  <si>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</si>
  <si>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</si>
  <si>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</si>
  <si>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</si>
  <si>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</si>
  <si>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</si>
  <si>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</si>
  <si>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</si>
  <si>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</si>
  <si>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</si>
  <si>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</si>
  <si>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</si>
  <si>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</si>
  <si>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</si>
  <si>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</si>
  <si>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</si>
  <si>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</si>
  <si>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</si>
  <si>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</si>
  <si>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</si>
  <si>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</si>
  <si>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</si>
  <si>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</si>
  <si>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'00000076874F</t>
  </si>
  <si>
    <t>CAROL SCHABER</t>
  </si>
  <si>
    <t>NA</t>
  </si>
  <si>
    <t>'047621</t>
  </si>
  <si>
    <t>TOM SERIO</t>
  </si>
  <si>
    <t>ACTIVE</t>
  </si>
  <si>
    <t>Humana MA 2019+ Level 15- 175/108</t>
  </si>
  <si>
    <t>Monthly</t>
  </si>
  <si>
    <t>AV</t>
  </si>
  <si>
    <t>Humana APR 2025 Statement</t>
  </si>
  <si>
    <t>'00001672119K</t>
  </si>
  <si>
    <t>DONNIE HAMILTON</t>
  </si>
  <si>
    <t>'045709</t>
  </si>
  <si>
    <t>ESTHER HERRERA-LARSEN</t>
  </si>
  <si>
    <t>Active</t>
  </si>
  <si>
    <t>Humana MA 2019+ Level 15- 175/108 Repl 2024</t>
  </si>
  <si>
    <t>'00010066661K</t>
  </si>
  <si>
    <t>GERRI WALTHERS</t>
  </si>
  <si>
    <t>'045612</t>
  </si>
  <si>
    <t>ANTHONY HUNSBERGER</t>
  </si>
  <si>
    <t>'00011182221K</t>
  </si>
  <si>
    <t>MARY HUSTON</t>
  </si>
  <si>
    <t>'045638</t>
  </si>
  <si>
    <t>RICHARD YALE</t>
  </si>
  <si>
    <t>'00011519472K</t>
  </si>
  <si>
    <t>KHAIRUNNISA MOHIUDDIN</t>
  </si>
  <si>
    <t>'043618</t>
  </si>
  <si>
    <t>SAADIA ABDUL</t>
  </si>
  <si>
    <t>'00013131759K</t>
  </si>
  <si>
    <t>RUBEN TORRES</t>
  </si>
  <si>
    <t>'00017505325K</t>
  </si>
  <si>
    <t>DEBRA SIMS</t>
  </si>
  <si>
    <t>'045632</t>
  </si>
  <si>
    <t>BARRY SCHUMANN</t>
  </si>
  <si>
    <t>'00017632868K</t>
  </si>
  <si>
    <t>MOHAMMED SALEEM</t>
  </si>
  <si>
    <t>'00018671925K</t>
  </si>
  <si>
    <t>KAREN YOSHIKAWA</t>
  </si>
  <si>
    <t>'043637</t>
  </si>
  <si>
    <t>CHRISTIAN TAUGNER</t>
  </si>
  <si>
    <t>'00020054580K</t>
  </si>
  <si>
    <t>FRED BORROWMAN</t>
  </si>
  <si>
    <t>'045603</t>
  </si>
  <si>
    <t>ANDREW CHOI</t>
  </si>
  <si>
    <t>Humana MAPD Street payable to upline- 2024 Replace</t>
  </si>
  <si>
    <t>Humana LOA APR 2025 Statement</t>
  </si>
  <si>
    <t>'00020054580KOV</t>
  </si>
  <si>
    <t>'00020195670K</t>
  </si>
  <si>
    <t>LARRY BOUBEL</t>
  </si>
  <si>
    <t>'00021641743K</t>
  </si>
  <si>
    <t>RAYMOND HUMPHRIES</t>
  </si>
  <si>
    <t>'043682</t>
  </si>
  <si>
    <t>GREGORY TEIPEL</t>
  </si>
  <si>
    <t>'00021686716K</t>
  </si>
  <si>
    <t>LONNIE ALTOM</t>
  </si>
  <si>
    <t>'00021695147K</t>
  </si>
  <si>
    <t>CLIFTON ICENROAD</t>
  </si>
  <si>
    <t>'045601</t>
  </si>
  <si>
    <t>CAROL FOLEY</t>
  </si>
  <si>
    <t>'00021754102K</t>
  </si>
  <si>
    <t>CATHERINE LAUDERDALE</t>
  </si>
  <si>
    <t>'00021762005K</t>
  </si>
  <si>
    <t>EDWARS TONEY</t>
  </si>
  <si>
    <t>'045712</t>
  </si>
  <si>
    <t>GREGORY HANSFORD</t>
  </si>
  <si>
    <t>'00021776882K</t>
  </si>
  <si>
    <t>PAULA MARINO</t>
  </si>
  <si>
    <t>'00021778915K</t>
  </si>
  <si>
    <t>EUGENE PAYNE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</si>
  <si>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</si>
  <si>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</si>
  <si>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</si>
  <si>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</si>
  <si>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</si>
  <si>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</si>
  <si>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</si>
  <si>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</si>
  <si>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</si>
  <si>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</si>
  <si>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'00021812164K</t>
  </si>
  <si>
    <t>EFRAIN GARCIA</t>
  </si>
  <si>
    <t>'045605</t>
  </si>
  <si>
    <t>GARY PORTUGAL</t>
  </si>
  <si>
    <t>Humana MAPD Street payable to upline - 2024 New</t>
  </si>
  <si>
    <t>'00021812164KOV</t>
  </si>
  <si>
    <t>'00021818605K</t>
  </si>
  <si>
    <t>SYLVESTER REMELE</t>
  </si>
  <si>
    <t>'043679</t>
  </si>
  <si>
    <t>DEBORAH INSKIPT</t>
  </si>
  <si>
    <t>'00021819613K</t>
  </si>
  <si>
    <t>TATYANA FISHMAN</t>
  </si>
  <si>
    <t>'045607</t>
  </si>
  <si>
    <t>PAMELA DEATON</t>
  </si>
  <si>
    <t>'00021819613KOV</t>
  </si>
  <si>
    <t>'00021836561K</t>
  </si>
  <si>
    <t>TONY PAYNE</t>
  </si>
  <si>
    <t>'00021836561KOV</t>
  </si>
  <si>
    <t>'00021836597K</t>
  </si>
  <si>
    <t>MARIAN PAYNE</t>
  </si>
  <si>
    <t>'00021836597KOV</t>
  </si>
  <si>
    <t>'00021852153K</t>
  </si>
  <si>
    <t>THERESA CIMARUSTI</t>
  </si>
  <si>
    <t>Humana MAPD Street payable to upline- 2024 Pro New</t>
  </si>
  <si>
    <t>'00021852153KOV</t>
  </si>
  <si>
    <t>'00021853327K</t>
  </si>
  <si>
    <t>DEBORAH BRODER</t>
  </si>
  <si>
    <t>'045611</t>
  </si>
  <si>
    <t>FRANK LISKOVEC</t>
  </si>
  <si>
    <t>'00021853327KOV</t>
  </si>
  <si>
    <t>'00021853815K</t>
  </si>
  <si>
    <t>MARTIN KELLEY</t>
  </si>
  <si>
    <t>'00021853815KOV</t>
  </si>
  <si>
    <t>'00021859258K</t>
  </si>
  <si>
    <t>MARIAREDEMCION DE GALA</t>
  </si>
  <si>
    <t>'045613</t>
  </si>
  <si>
    <t>RICARDO SANTOS</t>
  </si>
  <si>
    <t>'00021859258KOV</t>
  </si>
  <si>
    <t>'00021865984K</t>
  </si>
  <si>
    <t>KATHLEEN OCONNOR</t>
  </si>
  <si>
    <t>'00021865984KOV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</si>
  <si>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</si>
  <si>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</si>
  <si>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</si>
  <si>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</si>
  <si>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</si>
  <si>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</si>
  <si>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</si>
  <si>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</si>
  <si>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'045622</t>
  </si>
  <si>
    <t>JACOB YALE</t>
  </si>
  <si>
    <t>'00021882434K</t>
  </si>
  <si>
    <t>MARY BOETTCHER</t>
  </si>
  <si>
    <t>'00021882434KOV</t>
  </si>
  <si>
    <t>'00021883797K</t>
  </si>
  <si>
    <t>CHESTER ANTCZAK</t>
  </si>
  <si>
    <t>'00021883866K</t>
  </si>
  <si>
    <t>DOLLY IRIZARRY</t>
  </si>
  <si>
    <t>'00021884516K</t>
  </si>
  <si>
    <t>WILLIAM NAIDENOVICH</t>
  </si>
  <si>
    <t>'00021884516KOV</t>
  </si>
  <si>
    <t>'00021892187K</t>
  </si>
  <si>
    <t>FRANK SCARDINA</t>
  </si>
  <si>
    <t>'045618</t>
  </si>
  <si>
    <t>STEPHANIE DRAPAC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</si>
  <si>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</si>
  <si>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</si>
  <si>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</si>
  <si>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</si>
  <si>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</si>
  <si>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</si>
  <si>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'00021906634K</t>
  </si>
  <si>
    <t>CHRISTINE KALIS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</si>
  <si>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</si>
  <si>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</si>
  <si>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</si>
  <si>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</si>
  <si>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</si>
  <si>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</si>
  <si>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</si>
  <si>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</si>
  <si>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</si>
  <si>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</si>
  <si>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</si>
  <si>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'00021920643K</t>
  </si>
  <si>
    <t>GIL VALENZUELA</t>
  </si>
  <si>
    <t>'00021921861K</t>
  </si>
  <si>
    <t>EDITA VALENZUELA</t>
  </si>
  <si>
    <t>'00021926659K</t>
  </si>
  <si>
    <t>PATRICK JOCHUM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</si>
  <si>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</si>
  <si>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</si>
  <si>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</si>
  <si>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</si>
  <si>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</si>
  <si>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</si>
  <si>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</si>
  <si>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</si>
  <si>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'045639</t>
  </si>
  <si>
    <t>STEVEN WERNER</t>
  </si>
  <si>
    <t>'00021948322K</t>
  </si>
  <si>
    <t>TERESA DRAGONETTI</t>
  </si>
  <si>
    <t>'043969</t>
  </si>
  <si>
    <t>STACEY PORTUGAL</t>
  </si>
  <si>
    <t>'00021951591K</t>
  </si>
  <si>
    <t>RAYMOND HOCK</t>
  </si>
  <si>
    <t>'045634</t>
  </si>
  <si>
    <t>PATRICIA LONG</t>
  </si>
  <si>
    <t>'00021961080K</t>
  </si>
  <si>
    <t>PAUL ARNOLD</t>
  </si>
  <si>
    <t>'00021973839K</t>
  </si>
  <si>
    <t>JUAN REYNA</t>
  </si>
  <si>
    <t>'00021973839KOV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</si>
  <si>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</si>
  <si>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</si>
  <si>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</si>
  <si>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</si>
  <si>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</si>
  <si>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</si>
  <si>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</si>
  <si>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</si>
  <si>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</si>
  <si>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'045717</t>
  </si>
  <si>
    <t>RONALD MAX</t>
  </si>
  <si>
    <t>'00022014220K</t>
  </si>
  <si>
    <t>STEVE ZAFIRIADIS</t>
  </si>
  <si>
    <t>'00022021720K</t>
  </si>
  <si>
    <t>MICHAEL WELCH</t>
  </si>
  <si>
    <t>'045621</t>
  </si>
  <si>
    <t>HEATHER GESKE</t>
  </si>
  <si>
    <t>'00022021737K</t>
  </si>
  <si>
    <t>C CHADDERDON GAITSCH</t>
  </si>
  <si>
    <t>'00022023339K</t>
  </si>
  <si>
    <t>TERRY ROSS</t>
  </si>
  <si>
    <t>'00022025150K</t>
  </si>
  <si>
    <t>MARK VANDERPLUYM</t>
  </si>
  <si>
    <t>'00022025150KOV</t>
  </si>
  <si>
    <t>'00022026537K</t>
  </si>
  <si>
    <t>JEANA LASSITER</t>
  </si>
  <si>
    <t>'00022031158K</t>
  </si>
  <si>
    <t>LESLIE IANNACE</t>
  </si>
  <si>
    <t>'00022031158KOV</t>
  </si>
  <si>
    <t>'00022032935K</t>
  </si>
  <si>
    <t>JEFFREY PATRICK</t>
  </si>
  <si>
    <t>'00022032935KOV</t>
  </si>
  <si>
    <t>'00022033067K</t>
  </si>
  <si>
    <t>ALEX YAKULIS</t>
  </si>
  <si>
    <t>'00022033172K</t>
  </si>
  <si>
    <t>DEBBY SHEDD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</si>
  <si>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</si>
  <si>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</si>
  <si>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</si>
  <si>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</si>
  <si>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</si>
  <si>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</si>
  <si>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</si>
  <si>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</si>
  <si>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'00022052067K</t>
  </si>
  <si>
    <t>SALLY FISHER-PLANIC</t>
  </si>
  <si>
    <t>'00022052067KOV</t>
  </si>
  <si>
    <t>'00022063091K</t>
  </si>
  <si>
    <t>FARZANA AKRAM</t>
  </si>
  <si>
    <t>'00022063543K</t>
  </si>
  <si>
    <t>RUMPIN BUNYAVONG</t>
  </si>
  <si>
    <t>'043625</t>
  </si>
  <si>
    <t>PATSAMON THANADABOUTH</t>
  </si>
  <si>
    <t>'00022070044K</t>
  </si>
  <si>
    <t>SUZI FRIESE</t>
  </si>
  <si>
    <t>'00022074715K</t>
  </si>
  <si>
    <t>MIKE FOLLANSBEE</t>
  </si>
  <si>
    <t>'00022077041K</t>
  </si>
  <si>
    <t>SHAZIA SHAHRUKH</t>
  </si>
  <si>
    <t>'00022077130K</t>
  </si>
  <si>
    <t>JEFFREY GILBERT</t>
  </si>
  <si>
    <t>'00022077277K</t>
  </si>
  <si>
    <t>MAURICE ENWIA</t>
  </si>
  <si>
    <t>'00022078841K</t>
  </si>
  <si>
    <t>LORI RODGERS</t>
  </si>
  <si>
    <t>'00022082807K</t>
  </si>
  <si>
    <t>MARCELINO CENTENO</t>
  </si>
  <si>
    <t>'00022083688K</t>
  </si>
  <si>
    <t>SHIRLEY SHELTON</t>
  </si>
  <si>
    <t>'041686</t>
  </si>
  <si>
    <t>DALE WALENGA</t>
  </si>
  <si>
    <t>'00022084599K</t>
  </si>
  <si>
    <t>MARGARET GARRITY</t>
  </si>
  <si>
    <t>'00022085271K</t>
  </si>
  <si>
    <t>ELLEN SHAKER</t>
  </si>
  <si>
    <t>'00022085971K</t>
  </si>
  <si>
    <t>SUSAN MADETE</t>
  </si>
  <si>
    <t>'00022087983K</t>
  </si>
  <si>
    <t>PATRICK OTTO</t>
  </si>
  <si>
    <t>'00022088151K</t>
  </si>
  <si>
    <t>LISA CAVITT</t>
  </si>
  <si>
    <t>'00022092926K</t>
  </si>
  <si>
    <t>JOHN SMITH</t>
  </si>
  <si>
    <t>'00022094137K</t>
  </si>
  <si>
    <t>MARCO SANCHEZ</t>
  </si>
  <si>
    <t>'00022094729K</t>
  </si>
  <si>
    <t>CARRIE STEPHENS</t>
  </si>
  <si>
    <t>'00022094729KOV</t>
  </si>
  <si>
    <t>'00022094985K</t>
  </si>
  <si>
    <t>JR REIF</t>
  </si>
  <si>
    <t>'00022094985KOV</t>
  </si>
  <si>
    <t>'00022094990K</t>
  </si>
  <si>
    <t>HENRY ASEGA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</si>
  <si>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</si>
  <si>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</si>
  <si>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</si>
  <si>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</si>
  <si>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</si>
  <si>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</si>
  <si>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</si>
  <si>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</si>
  <si>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</si>
  <si>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'00022105983K</t>
  </si>
  <si>
    <t>BETTY FIGUEROA</t>
  </si>
  <si>
    <t>'00022106958K</t>
  </si>
  <si>
    <t>DOREEN PUDLOWSKI</t>
  </si>
  <si>
    <t>'00022107554K</t>
  </si>
  <si>
    <t>DRAGISA PAVLOVIC</t>
  </si>
  <si>
    <t>'00022112017K</t>
  </si>
  <si>
    <t>RICKY ORLANDO</t>
  </si>
  <si>
    <t>'00022121084K</t>
  </si>
  <si>
    <t>GUY MAES</t>
  </si>
  <si>
    <t>'00022137026K</t>
  </si>
  <si>
    <t>ANNETTE BOWLING</t>
  </si>
  <si>
    <t>'00022148995K</t>
  </si>
  <si>
    <t>MARY PAUL</t>
  </si>
  <si>
    <t>'00022193283K</t>
  </si>
  <si>
    <t>JOHN MCGARY</t>
  </si>
  <si>
    <t>'00022198910K</t>
  </si>
  <si>
    <t>SAM PHOMSOPHA</t>
  </si>
  <si>
    <t>'00022203514K</t>
  </si>
  <si>
    <t>PHOUTHONE PHOMSOPHA</t>
  </si>
  <si>
    <t>'00022217599K</t>
  </si>
  <si>
    <t>CHRISTY CHUBICK</t>
  </si>
  <si>
    <t>'043705</t>
  </si>
  <si>
    <t>MICHAEL DUNAVANT</t>
  </si>
  <si>
    <t>'00022235665K</t>
  </si>
  <si>
    <t>ROBIN DIEDERICH</t>
  </si>
  <si>
    <t>'00022241122K</t>
  </si>
  <si>
    <t>TERRI EATON</t>
  </si>
  <si>
    <t>'00022256745K</t>
  </si>
  <si>
    <t>EUGENE JACKSON</t>
  </si>
  <si>
    <t>'00022351069K</t>
  </si>
  <si>
    <t>THEROLD RATHGEB</t>
  </si>
  <si>
    <t>'00022366455K</t>
  </si>
  <si>
    <t>DEBORAH BARCLAY</t>
  </si>
  <si>
    <t>'043611</t>
  </si>
  <si>
    <t>TIMOTHY POWERS</t>
  </si>
  <si>
    <t>'00022386017K</t>
  </si>
  <si>
    <t>KATHY VANHORN</t>
  </si>
  <si>
    <t>'00022406995K</t>
  </si>
  <si>
    <t>NICOMEDES SILVA</t>
  </si>
  <si>
    <t>'00022413863K</t>
  </si>
  <si>
    <t>DONNA DRUCKER</t>
  </si>
  <si>
    <t>'045604</t>
  </si>
  <si>
    <t>JEFFREY HORN</t>
  </si>
  <si>
    <t>'00022462923K</t>
  </si>
  <si>
    <t>ADELAIDA SILVA</t>
  </si>
  <si>
    <t>'00022466880K</t>
  </si>
  <si>
    <t>MALGORZATA GONET</t>
  </si>
  <si>
    <t>'00022498051K</t>
  </si>
  <si>
    <t>AUDREY RIDLEN</t>
  </si>
  <si>
    <t>'00022524693K</t>
  </si>
  <si>
    <t>MARILYN SCHUMM</t>
  </si>
  <si>
    <t>'00022571242K</t>
  </si>
  <si>
    <t>ANTHONY LEONE</t>
  </si>
  <si>
    <t>'00022602838K</t>
  </si>
  <si>
    <t>LINDA HOEKS</t>
  </si>
  <si>
    <t>'00022627896K</t>
  </si>
  <si>
    <t>MARY LUPOU</t>
  </si>
  <si>
    <t>'00022643625K</t>
  </si>
  <si>
    <t>LORRAINE HACKMAN</t>
  </si>
  <si>
    <t>'00022646876K</t>
  </si>
  <si>
    <t>JUAN WILSON</t>
  </si>
  <si>
    <t>'00022659909K</t>
  </si>
  <si>
    <t>PAUL BORASH</t>
  </si>
  <si>
    <t>'00022671607K</t>
  </si>
  <si>
    <t>ANTONIO SANCHEZ</t>
  </si>
  <si>
    <t>'00022674415K</t>
  </si>
  <si>
    <t>JAMES HARBACEK</t>
  </si>
  <si>
    <t>'00022688863K</t>
  </si>
  <si>
    <t>DOLORES DUNCAN</t>
  </si>
  <si>
    <t>'00022698535K</t>
  </si>
  <si>
    <t>JAMES BECKWITH</t>
  </si>
  <si>
    <t>'00022763707K</t>
  </si>
  <si>
    <t>RALPH RICHMOND</t>
  </si>
  <si>
    <t>'006W23128CB</t>
  </si>
  <si>
    <t>TIMOTHY BEHAN</t>
  </si>
  <si>
    <t>Anthem MA 2025</t>
  </si>
  <si>
    <t>Anthem HFG NEG Bonus Upload 05-15-2025.xlsx</t>
  </si>
  <si>
    <t>'022832432</t>
  </si>
  <si>
    <t>RACHEL WILLIAMS</t>
  </si>
  <si>
    <t>IL</t>
  </si>
  <si>
    <t>UHC PDP Street payable to upline -2024 New Full</t>
  </si>
  <si>
    <t>Per APR 2025 UHC MA Stmt</t>
  </si>
  <si>
    <t>'022844299</t>
  </si>
  <si>
    <t>LAUREN KNOBBS</t>
  </si>
  <si>
    <t>PA</t>
  </si>
  <si>
    <t>'022910215</t>
  </si>
  <si>
    <t>YOUSRI ALI</t>
  </si>
  <si>
    <t>'101060073300</t>
  </si>
  <si>
    <t>RUSSELL HEARN</t>
  </si>
  <si>
    <t>Aetna MAPD NMO to GMO - 4-1-23+  New E-App</t>
  </si>
  <si>
    <t>Per Aetna APR 2025 Statement</t>
  </si>
  <si>
    <t>'101063039500</t>
  </si>
  <si>
    <t>STEPHEN GREEN</t>
  </si>
  <si>
    <t>'101079484800</t>
  </si>
  <si>
    <t>JOSEPH KOLODZIEJCZYK</t>
  </si>
  <si>
    <t>'101097095200</t>
  </si>
  <si>
    <t>JOYCE GIESLER</t>
  </si>
  <si>
    <t>'101098603800</t>
  </si>
  <si>
    <t>HEMA WOODWARD</t>
  </si>
  <si>
    <t>'101301145800</t>
  </si>
  <si>
    <t>JANET WIKERT</t>
  </si>
  <si>
    <t>Aetna MAPD NMO to GMO - 4-1-23+  Replace E-App</t>
  </si>
  <si>
    <t>'101338772600</t>
  </si>
  <si>
    <t>NANCY WONG</t>
  </si>
  <si>
    <t>'101351768100</t>
  </si>
  <si>
    <t>EVELYN GRIFFITHS</t>
  </si>
  <si>
    <t>'101458074100</t>
  </si>
  <si>
    <t>FRANK BUCK</t>
  </si>
  <si>
    <t>FL</t>
  </si>
  <si>
    <t>'101545020000</t>
  </si>
  <si>
    <t>TERRY NEY</t>
  </si>
  <si>
    <t>OH</t>
  </si>
  <si>
    <t>'101872588800</t>
  </si>
  <si>
    <t>RONALD DUESENBERRY</t>
  </si>
  <si>
    <t>'101953198300</t>
  </si>
  <si>
    <t>MARIAN YUROSKY</t>
  </si>
  <si>
    <t>'101987999900</t>
  </si>
  <si>
    <t>JULIA ROSS</t>
  </si>
  <si>
    <t>NC</t>
  </si>
  <si>
    <t>'102006468500</t>
  </si>
  <si>
    <t>JACK PARROTT</t>
  </si>
  <si>
    <t>'102006527900</t>
  </si>
  <si>
    <t>MILLIE PARROTT</t>
  </si>
  <si>
    <t>'102007511900</t>
  </si>
  <si>
    <t>DAVID BOLFING</t>
  </si>
  <si>
    <t>MO</t>
  </si>
  <si>
    <t>'102008188300</t>
  </si>
  <si>
    <t>LESLIE PARK</t>
  </si>
  <si>
    <t>'102009524100</t>
  </si>
  <si>
    <t>ROBERT BOYLE</t>
  </si>
  <si>
    <t>'102009546700</t>
  </si>
  <si>
    <t>JAMES MILLER</t>
  </si>
  <si>
    <t>'102010075000</t>
  </si>
  <si>
    <t>CATHY WURMB</t>
  </si>
  <si>
    <t>'102012252800</t>
  </si>
  <si>
    <t>WALLACE ANDERSON</t>
  </si>
  <si>
    <t>IN</t>
  </si>
  <si>
    <t>'102013256200</t>
  </si>
  <si>
    <t>TIMOTHY GORDON</t>
  </si>
  <si>
    <t>'102014399100</t>
  </si>
  <si>
    <t>JOHN BRENCHAK</t>
  </si>
  <si>
    <t>'043691</t>
  </si>
  <si>
    <t>MICHELLE MCCORKLE</t>
  </si>
  <si>
    <t>'102014897000</t>
  </si>
  <si>
    <t>BEEBEE KHODABUKUS</t>
  </si>
  <si>
    <t>'043689</t>
  </si>
  <si>
    <t>ANNE MARIE KOZACHECK</t>
  </si>
  <si>
    <t>'102015648800</t>
  </si>
  <si>
    <t>LAURIE HURWITZ WHITE</t>
  </si>
  <si>
    <t>'102015762800</t>
  </si>
  <si>
    <t>NANCY WILSON</t>
  </si>
  <si>
    <t>'102017009100</t>
  </si>
  <si>
    <t>JOHN HAYS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</si>
  <si>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</si>
  <si>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</si>
  <si>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</si>
  <si>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</si>
  <si>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</si>
  <si>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</si>
  <si>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</si>
  <si>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</si>
  <si>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'102021150000</t>
  </si>
  <si>
    <t>BRUCE SHAFFER</t>
  </si>
  <si>
    <t>'102021599000</t>
  </si>
  <si>
    <t>ANTHONY ROMEO</t>
  </si>
  <si>
    <t>'102021703600</t>
  </si>
  <si>
    <t>DANIEL ROTHRAUFF</t>
  </si>
  <si>
    <t>'102022258700</t>
  </si>
  <si>
    <t>TERESA YAROSCHAK</t>
  </si>
  <si>
    <t>'102022261800</t>
  </si>
  <si>
    <t>NANCY JOHNSON</t>
  </si>
  <si>
    <t>'102022904500</t>
  </si>
  <si>
    <t>KAREN KUSH</t>
  </si>
  <si>
    <t>'102022919300</t>
  </si>
  <si>
    <t>RUTH MICHLER</t>
  </si>
  <si>
    <t>'102023366700</t>
  </si>
  <si>
    <t>JOHN STEINER</t>
  </si>
  <si>
    <t>'102025517700</t>
  </si>
  <si>
    <t>CYNDIE SIMMONS</t>
  </si>
  <si>
    <t>'102025592500</t>
  </si>
  <si>
    <t>RENEE RITCHEY</t>
  </si>
  <si>
    <t>TX</t>
  </si>
  <si>
    <t>'102026454000</t>
  </si>
  <si>
    <t>SUSAN LARGEN</t>
  </si>
  <si>
    <t>NE</t>
  </si>
  <si>
    <t>'102027923000</t>
  </si>
  <si>
    <t>KIRBY PASCUS</t>
  </si>
  <si>
    <t>'102028483000</t>
  </si>
  <si>
    <t>BARBARA STOICA</t>
  </si>
  <si>
    <t>'102029053100</t>
  </si>
  <si>
    <t>MARY RUCH</t>
  </si>
  <si>
    <t>'102029646800</t>
  </si>
  <si>
    <t>WILLIAM BROWN</t>
  </si>
  <si>
    <t>'102030348000</t>
  </si>
  <si>
    <t>RAYLENE MILLER</t>
  </si>
  <si>
    <t>'102030760700</t>
  </si>
  <si>
    <t>BILLY FONG</t>
  </si>
  <si>
    <t>'102030823900</t>
  </si>
  <si>
    <t>PAULA ANGELINI</t>
  </si>
  <si>
    <t>'102030825500</t>
  </si>
  <si>
    <t>GUADALUPE FONG</t>
  </si>
  <si>
    <t>'102031351800</t>
  </si>
  <si>
    <t>DAVID WOITASZEK</t>
  </si>
  <si>
    <t>'102033829400</t>
  </si>
  <si>
    <t>ELIZABETH RICHTER</t>
  </si>
  <si>
    <t>'043585</t>
  </si>
  <si>
    <t>PETER RICHTER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</si>
  <si>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</si>
  <si>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</si>
  <si>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</si>
  <si>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</si>
  <si>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</si>
  <si>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</si>
  <si>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</si>
  <si>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</si>
  <si>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</si>
  <si>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</si>
  <si>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</si>
  <si>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</si>
  <si>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AL</t>
  </si>
  <si>
    <t>'043678</t>
  </si>
  <si>
    <t>MATTHEW DAUGHERTY</t>
  </si>
  <si>
    <t>'102035849400</t>
  </si>
  <si>
    <t>LINDA MIHALKA</t>
  </si>
  <si>
    <t>'102035916500</t>
  </si>
  <si>
    <t>DEBRA PROTZMAN</t>
  </si>
  <si>
    <t>'102035997700</t>
  </si>
  <si>
    <t>NORINE LISCHY</t>
  </si>
  <si>
    <t>Aetna MAPD NMO to GMO - 4-1-23+  New Paper</t>
  </si>
  <si>
    <t>'102036450000</t>
  </si>
  <si>
    <t>LOIS STEPHENS</t>
  </si>
  <si>
    <t>'102036471300</t>
  </si>
  <si>
    <t>CYNTHIA FEESER</t>
  </si>
  <si>
    <t>'102036698800</t>
  </si>
  <si>
    <t>TIM ANDERSON</t>
  </si>
  <si>
    <t>'102037067200</t>
  </si>
  <si>
    <t>KATHLEEN PLOCHARSKI</t>
  </si>
  <si>
    <t>'102037178300</t>
  </si>
  <si>
    <t>ANITA ADAMS</t>
  </si>
  <si>
    <t>'102037208500</t>
  </si>
  <si>
    <t>LORI FITZ</t>
  </si>
  <si>
    <t>'102037260600</t>
  </si>
  <si>
    <t>SUSAN BETTENHAUSEN</t>
  </si>
  <si>
    <t>'102037642800</t>
  </si>
  <si>
    <t>PETER PRIBILA</t>
  </si>
  <si>
    <t>'102038194700</t>
  </si>
  <si>
    <t>KENNETH GRUDOWSKI</t>
  </si>
  <si>
    <t>'102038784900</t>
  </si>
  <si>
    <t>KATHRYN SAUNIER</t>
  </si>
  <si>
    <t>'102040124800</t>
  </si>
  <si>
    <t>DONNA ROUSSARIE</t>
  </si>
  <si>
    <t>'102040827300</t>
  </si>
  <si>
    <t>CHIANITA HARRELL</t>
  </si>
  <si>
    <t>'102041647300</t>
  </si>
  <si>
    <t>KENNY ASHLOCK</t>
  </si>
  <si>
    <t>'102042487000</t>
  </si>
  <si>
    <t>LUANN MARZULLO</t>
  </si>
  <si>
    <t>'102042978300</t>
  </si>
  <si>
    <t>ADOLFO GALARZA</t>
  </si>
  <si>
    <t>'043589</t>
  </si>
  <si>
    <t>JOSE TORRES</t>
  </si>
  <si>
    <t>'102043771500</t>
  </si>
  <si>
    <t>THERESA CARDIN</t>
  </si>
  <si>
    <t>'102043872000</t>
  </si>
  <si>
    <t>FELIX SCIULLO</t>
  </si>
  <si>
    <t>'102044679100</t>
  </si>
  <si>
    <t>REBECCA MANKO</t>
  </si>
  <si>
    <t>'102044729900</t>
  </si>
  <si>
    <t>SONYA BOOKER</t>
  </si>
  <si>
    <t>'102044738100</t>
  </si>
  <si>
    <t>SUSAN HOEPPNER</t>
  </si>
  <si>
    <t>TN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</si>
  <si>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</si>
  <si>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</si>
  <si>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</si>
  <si>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</si>
  <si>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</si>
  <si>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</si>
  <si>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</si>
  <si>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</si>
  <si>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</si>
  <si>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</si>
  <si>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'102049165000</t>
  </si>
  <si>
    <t>WILLIAM DOBLER</t>
  </si>
  <si>
    <t>'102049245100</t>
  </si>
  <si>
    <t>ROXANN ROBINSON</t>
  </si>
  <si>
    <t>SD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</si>
  <si>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</si>
  <si>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</si>
  <si>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</si>
  <si>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</si>
  <si>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</si>
  <si>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</si>
  <si>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</si>
  <si>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</si>
  <si>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GA</t>
  </si>
  <si>
    <t>'102049732200</t>
  </si>
  <si>
    <t>MARILYN DAVIDSON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</si>
  <si>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</si>
  <si>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</si>
  <si>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</si>
  <si>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</si>
  <si>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</si>
  <si>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</si>
  <si>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</si>
  <si>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</si>
  <si>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'102050715300</t>
  </si>
  <si>
    <t>LORI BRYNICZKA</t>
  </si>
  <si>
    <t>'043714</t>
  </si>
  <si>
    <t>BRIAN STROHMAN</t>
  </si>
  <si>
    <t>'102051406100</t>
  </si>
  <si>
    <t>JEFFREY KRAUSE</t>
  </si>
  <si>
    <t>'102051423100</t>
  </si>
  <si>
    <t>KEITH MACPHAIL</t>
  </si>
  <si>
    <t>CO</t>
  </si>
  <si>
    <t>'043713</t>
  </si>
  <si>
    <t>JOEL LEE</t>
  </si>
  <si>
    <t>'102051462300</t>
  </si>
  <si>
    <t>PATRICIA KRAUSE</t>
  </si>
  <si>
    <t>'102051937300</t>
  </si>
  <si>
    <t>ANN GORDON</t>
  </si>
  <si>
    <t>'102052502800</t>
  </si>
  <si>
    <t>MICHAEL BIESCHKE</t>
  </si>
  <si>
    <t>'102053113700</t>
  </si>
  <si>
    <t>PAULA ROPPO</t>
  </si>
  <si>
    <t>'102053217100</t>
  </si>
  <si>
    <t>DOUGLAS LEIN</t>
  </si>
  <si>
    <t>'102053241100</t>
  </si>
  <si>
    <t>PETER MALONE</t>
  </si>
  <si>
    <t>'102053814300</t>
  </si>
  <si>
    <t>DIANA BORJON</t>
  </si>
  <si>
    <t>'102054994500</t>
  </si>
  <si>
    <t>DOLORES BOLDEN</t>
  </si>
  <si>
    <t>'102054999900</t>
  </si>
  <si>
    <t>MARY HEARN</t>
  </si>
  <si>
    <t>'102055388900</t>
  </si>
  <si>
    <t>MARIA GUILLEN</t>
  </si>
  <si>
    <t>'102055396200</t>
  </si>
  <si>
    <t>JESUS GUILLEN</t>
  </si>
  <si>
    <t>'102055440700</t>
  </si>
  <si>
    <t>JOHN ROBERT OSTERKAMP</t>
  </si>
  <si>
    <t>'102056819400</t>
  </si>
  <si>
    <t>ELIZABETH BRIDGES</t>
  </si>
  <si>
    <t>'102056835200</t>
  </si>
  <si>
    <t>PAUL WITTMER</t>
  </si>
  <si>
    <t>'102058131300</t>
  </si>
  <si>
    <t>BANK JANI</t>
  </si>
  <si>
    <t>'102058154400</t>
  </si>
  <si>
    <t>RACHEL RIEDLER</t>
  </si>
  <si>
    <t>'102058162400</t>
  </si>
  <si>
    <t>DEBORAH MIHALKO</t>
  </si>
  <si>
    <t>'102058656500</t>
  </si>
  <si>
    <t>MARK WACHOWICZ</t>
  </si>
  <si>
    <t>'102059200300</t>
  </si>
  <si>
    <t>THOMAS WELCH</t>
  </si>
  <si>
    <t>'102059218000</t>
  </si>
  <si>
    <t>DEBORAH CHILENSKY</t>
  </si>
  <si>
    <t>'102059512100</t>
  </si>
  <si>
    <t>CAVRIES PERLIE</t>
  </si>
  <si>
    <t>MD</t>
  </si>
  <si>
    <t>'045627</t>
  </si>
  <si>
    <t>CATHY LEMON</t>
  </si>
  <si>
    <t>Aetna MAPD NMO to GMO - 4-1-23+  Replace Paper</t>
  </si>
  <si>
    <t>'102059559800</t>
  </si>
  <si>
    <t>MARK KESSLER</t>
  </si>
  <si>
    <t>'102059560100</t>
  </si>
  <si>
    <t>MICHAEL BULL</t>
  </si>
  <si>
    <t>KS</t>
  </si>
  <si>
    <t>'102059613800</t>
  </si>
  <si>
    <t>CYNTHIA KING</t>
  </si>
  <si>
    <t>'102059621800</t>
  </si>
  <si>
    <t>BRIAN PISOR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</si>
  <si>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</si>
  <si>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</si>
  <si>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</si>
  <si>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</si>
  <si>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</si>
  <si>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</si>
  <si>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</si>
  <si>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</si>
  <si>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'102061850500</t>
  </si>
  <si>
    <t>RAYMOND WHALEN</t>
  </si>
  <si>
    <t>'102062449500</t>
  </si>
  <si>
    <t>MARIBEL JIMENEZ</t>
  </si>
  <si>
    <t>'102063468900</t>
  </si>
  <si>
    <t>COLLEEN KUHNS</t>
  </si>
  <si>
    <t>'043701</t>
  </si>
  <si>
    <t>ARNOLD ALOFF</t>
  </si>
  <si>
    <t>'102063802200</t>
  </si>
  <si>
    <t>THERESA PRINZ</t>
  </si>
  <si>
    <t>'102063811100</t>
  </si>
  <si>
    <t>JOHN PRINZ</t>
  </si>
  <si>
    <t>'102064231900</t>
  </si>
  <si>
    <t>CHARLES WOLNI</t>
  </si>
  <si>
    <t>'102064758600</t>
  </si>
  <si>
    <t>VICTORIA PRIGG</t>
  </si>
  <si>
    <t>'102064780500</t>
  </si>
  <si>
    <t>PEGGY OBRIEN</t>
  </si>
  <si>
    <t>'102064852300</t>
  </si>
  <si>
    <t>JIM MCDONALD</t>
  </si>
  <si>
    <t>'102065623700</t>
  </si>
  <si>
    <t>SANDRA FODSE</t>
  </si>
  <si>
    <t>'102065624200</t>
  </si>
  <si>
    <t>JEFFREY RAGAZZINI</t>
  </si>
  <si>
    <t>'102066402500</t>
  </si>
  <si>
    <t>NAOMI SHERIDAN SALMAN</t>
  </si>
  <si>
    <t>'102066652900</t>
  </si>
  <si>
    <t>MARY KWIATKOWSKI</t>
  </si>
  <si>
    <t>'102066699300</t>
  </si>
  <si>
    <t>RUSSELL WILLIFORD</t>
  </si>
  <si>
    <t>'102068178600</t>
  </si>
  <si>
    <t>WILFRED FAHRNEY</t>
  </si>
  <si>
    <t>'102068196700</t>
  </si>
  <si>
    <t>MARGARET JEDRZEJCZAK</t>
  </si>
  <si>
    <t>'102069037500</t>
  </si>
  <si>
    <t>POLLY NEISER</t>
  </si>
  <si>
    <t>'102069330900</t>
  </si>
  <si>
    <t>ROGER PHELPS</t>
  </si>
  <si>
    <t>'102069393600</t>
  </si>
  <si>
    <t>JUDITH RIDDLEBERGER</t>
  </si>
  <si>
    <t>'043692</t>
  </si>
  <si>
    <t>ADAM RICHTER</t>
  </si>
  <si>
    <t>'102070306300</t>
  </si>
  <si>
    <t>KILEY ORTIZ</t>
  </si>
  <si>
    <t>'102071177500</t>
  </si>
  <si>
    <t>STEVEN HOMISON</t>
  </si>
  <si>
    <t>'102072923100</t>
  </si>
  <si>
    <t>LINDA SZYJKO</t>
  </si>
  <si>
    <t>'102074570600</t>
  </si>
  <si>
    <t>ELENI VETTAS</t>
  </si>
  <si>
    <t>'102078192100</t>
  </si>
  <si>
    <t>TERESE PINTA</t>
  </si>
  <si>
    <t>WI</t>
  </si>
  <si>
    <t>'043644</t>
  </si>
  <si>
    <t>TIMOTHY HODGMAN</t>
  </si>
  <si>
    <t>'102079442100</t>
  </si>
  <si>
    <t>SCOTT DOLGE</t>
  </si>
  <si>
    <t>'102079872100</t>
  </si>
  <si>
    <t>JAMES RAUSCH</t>
  </si>
  <si>
    <t>'102081559700</t>
  </si>
  <si>
    <t>GLORIA MARSHALL</t>
  </si>
  <si>
    <t>'102082370200</t>
  </si>
  <si>
    <t>JOHN VLAHOS</t>
  </si>
  <si>
    <t>'102084927600</t>
  </si>
  <si>
    <t>RONALD MESHENBERG</t>
  </si>
  <si>
    <t>'102085672600</t>
  </si>
  <si>
    <t>VICKI SKINNER</t>
  </si>
  <si>
    <t>'102086309300</t>
  </si>
  <si>
    <t>BARBARA ZEJER</t>
  </si>
  <si>
    <t>'102088844600</t>
  </si>
  <si>
    <t>ELISE CLANCY</t>
  </si>
  <si>
    <t>'102092114400</t>
  </si>
  <si>
    <t>JAMES CROUT</t>
  </si>
  <si>
    <t>'102095689100</t>
  </si>
  <si>
    <t>GREGORY PETERSON</t>
  </si>
  <si>
    <t>'102097467700</t>
  </si>
  <si>
    <t>MARY WEATHERSTONE</t>
  </si>
  <si>
    <t>'102098890500</t>
  </si>
  <si>
    <t>FREDERICK SICILIANO</t>
  </si>
  <si>
    <t>'102099156000</t>
  </si>
  <si>
    <t>KASSY KREUTZ HEISTER</t>
  </si>
  <si>
    <t>'102104604100</t>
  </si>
  <si>
    <t>ALISON SPARKS</t>
  </si>
  <si>
    <t>'102105540600</t>
  </si>
  <si>
    <t>EDWARD SCHAEFER</t>
  </si>
  <si>
    <t>'102105930700</t>
  </si>
  <si>
    <t>TIM PRICE</t>
  </si>
  <si>
    <t>'102109694200</t>
  </si>
  <si>
    <t>KATHERINE MAY</t>
  </si>
  <si>
    <t>'102123717600</t>
  </si>
  <si>
    <t>PATRICIA SCHAEFER</t>
  </si>
  <si>
    <t>'130273314</t>
  </si>
  <si>
    <t>LENDAYSHA TAYLOR</t>
  </si>
  <si>
    <t>UHC MAPD Street payable to upline - 2024 New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</si>
  <si>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</si>
  <si>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</si>
  <si>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</si>
  <si>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</si>
  <si>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</si>
  <si>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</si>
  <si>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</si>
  <si>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</si>
  <si>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</si>
  <si>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</si>
  <si>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'140W10931</t>
  </si>
  <si>
    <t>SANDRA WHITT</t>
  </si>
  <si>
    <t>Per ANTHEM HFG RN 04/20/2025 STMT</t>
  </si>
  <si>
    <t>'283W17578</t>
  </si>
  <si>
    <t>STEPHEN PERRENOUD</t>
  </si>
  <si>
    <t>'357W15237</t>
  </si>
  <si>
    <t>KEVIN PIERCE</t>
  </si>
  <si>
    <t>'829W21544</t>
  </si>
  <si>
    <t>MICHAEL SOLL</t>
  </si>
  <si>
    <t>Anthem MA 2023</t>
  </si>
  <si>
    <t>'906051412</t>
  </si>
  <si>
    <t>KRISTIE BERGER</t>
  </si>
  <si>
    <t>'906051412OV</t>
  </si>
  <si>
    <t>'909023469</t>
  </si>
  <si>
    <t>SANDRA LYTLE</t>
  </si>
  <si>
    <t>UHC MAPD Street payable to upline PA/CT- 2024 New</t>
  </si>
  <si>
    <t>'909023469OV</t>
  </si>
  <si>
    <t>'920223192</t>
  </si>
  <si>
    <t>JANICE PLAISTED</t>
  </si>
  <si>
    <t>UHC MA Direct 2024 New Initial Prorated</t>
  </si>
  <si>
    <t>'948W21216</t>
  </si>
  <si>
    <t>RICHARD LOWRY</t>
  </si>
  <si>
    <t>'961601451</t>
  </si>
  <si>
    <t>JULIE TYLER</t>
  </si>
  <si>
    <t>'961601451OV</t>
  </si>
  <si>
    <t>'967561705</t>
  </si>
  <si>
    <t>SHIRLEY ANDERSON</t>
  </si>
  <si>
    <t>'967561705OV</t>
  </si>
  <si>
    <t>'967950774</t>
  </si>
  <si>
    <t>RONALD PLAISTED</t>
  </si>
  <si>
    <t>'970181792</t>
  </si>
  <si>
    <t>DAVID BOWLING</t>
  </si>
  <si>
    <t>'970181792OV</t>
  </si>
  <si>
    <t>'981141937</t>
  </si>
  <si>
    <t>MELINDA VLAHON</t>
  </si>
  <si>
    <t>'981141937OV</t>
  </si>
  <si>
    <t>'991398727</t>
  </si>
  <si>
    <t>DIANA BOLTON</t>
  </si>
  <si>
    <t>'992088421</t>
  </si>
  <si>
    <t>GERALD BOND</t>
  </si>
  <si>
    <t>'992088421OV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</si>
  <si>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</si>
  <si>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</si>
  <si>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</si>
  <si>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</si>
  <si>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</si>
  <si>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</si>
  <si>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</si>
  <si>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'993708991</t>
  </si>
  <si>
    <t>DARLENE BRANDENBURG</t>
  </si>
  <si>
    <t>'993708991OV</t>
  </si>
  <si>
    <t>'A03722685</t>
  </si>
  <si>
    <t>KATHY SHELDON</t>
  </si>
  <si>
    <t>UHC AARP Med Supp PA Area 3 2024- Plan  BC F G internal repl</t>
  </si>
  <si>
    <t>'A03755145</t>
  </si>
  <si>
    <t>JEAN BRINKMEIER</t>
  </si>
  <si>
    <t>UHC AARP Med Supp IL Area 1- Plan  B C F G internal repl</t>
  </si>
  <si>
    <t>'A03777817</t>
  </si>
  <si>
    <t>JAMES PALMER</t>
  </si>
  <si>
    <t>UHC AARP Med Supp PA Area 3 2025- Plan  N internal repl</t>
  </si>
  <si>
    <t>'A04074909</t>
  </si>
  <si>
    <t>JOYCE DOUGHERTY</t>
  </si>
  <si>
    <t>UHC AARP Med Supp PA Area 1 2024- Plan  B F G</t>
  </si>
  <si>
    <t>'A04078728</t>
  </si>
  <si>
    <t>ELIZABETH REESE</t>
  </si>
  <si>
    <t>UHC AARP Med Supp PA Area 2 2025- Plan  N GI</t>
  </si>
  <si>
    <t>Aetna MAPD OVR 2025</t>
  </si>
  <si>
    <t>Anthem MAPD 2025 OVR</t>
  </si>
  <si>
    <t>829W21544</t>
  </si>
  <si>
    <t>948W21216</t>
  </si>
  <si>
    <t>006W23128CB</t>
  </si>
  <si>
    <t>140W10931</t>
  </si>
  <si>
    <t>283W17578</t>
  </si>
  <si>
    <t>357W15237</t>
  </si>
  <si>
    <t>00021892187K</t>
  </si>
  <si>
    <t>00021908647K</t>
  </si>
  <si>
    <t>00000076874F</t>
  </si>
  <si>
    <t>00010066661K</t>
  </si>
  <si>
    <t>00011182221K</t>
  </si>
  <si>
    <t>00011519472K</t>
  </si>
  <si>
    <t>00013131759K</t>
  </si>
  <si>
    <t>00017632868K</t>
  </si>
  <si>
    <t>00018671925K</t>
  </si>
  <si>
    <t>00020195670K</t>
  </si>
  <si>
    <t>00021641743K</t>
  </si>
  <si>
    <t>00021686716K</t>
  </si>
  <si>
    <t>00021695147K</t>
  </si>
  <si>
    <t>00021754102K</t>
  </si>
  <si>
    <t>00021776882K</t>
  </si>
  <si>
    <t>00021778915K</t>
  </si>
  <si>
    <t>00021783471K</t>
  </si>
  <si>
    <t>00021784141K</t>
  </si>
  <si>
    <t>00021792778K</t>
  </si>
  <si>
    <t>00021801538K</t>
  </si>
  <si>
    <t>00021812164KOV</t>
  </si>
  <si>
    <t>00021818605K</t>
  </si>
  <si>
    <t>00021819613KOV</t>
  </si>
  <si>
    <t>00021836561KOV</t>
  </si>
  <si>
    <t>00021836597KOV</t>
  </si>
  <si>
    <t>00021852153KOV</t>
  </si>
  <si>
    <t>00021853327KOV</t>
  </si>
  <si>
    <t>00021853815KOV</t>
  </si>
  <si>
    <t>00021859258KOV</t>
  </si>
  <si>
    <t>00021865984KOV</t>
  </si>
  <si>
    <t>00021876313K</t>
  </si>
  <si>
    <t>00021876763K</t>
  </si>
  <si>
    <t>00021878864K</t>
  </si>
  <si>
    <t>00021881964K</t>
  </si>
  <si>
    <t>00021882434KOV</t>
  </si>
  <si>
    <t>00021883797K</t>
  </si>
  <si>
    <t>00021883866K</t>
  </si>
  <si>
    <t>00021884516KOV</t>
  </si>
  <si>
    <t>00021895596K</t>
  </si>
  <si>
    <t>00021895977KOV</t>
  </si>
  <si>
    <t>00021906634K</t>
  </si>
  <si>
    <t>00021915889K</t>
  </si>
  <si>
    <t>00021917176KOV</t>
  </si>
  <si>
    <t>00021918216K</t>
  </si>
  <si>
    <t>00021920479K</t>
  </si>
  <si>
    <t>00021920643K</t>
  </si>
  <si>
    <t>00021921861K</t>
  </si>
  <si>
    <t>00021926659K</t>
  </si>
  <si>
    <t>00021937596K</t>
  </si>
  <si>
    <t>00021938736K</t>
  </si>
  <si>
    <t>00021938762K</t>
  </si>
  <si>
    <t>00021942365K</t>
  </si>
  <si>
    <t>00021948322K</t>
  </si>
  <si>
    <t>00021951591K</t>
  </si>
  <si>
    <t>00021961080K</t>
  </si>
  <si>
    <t>00021973839KOV</t>
  </si>
  <si>
    <t>00021996169K</t>
  </si>
  <si>
    <t>00021999707K</t>
  </si>
  <si>
    <t>00022004915KOV</t>
  </si>
  <si>
    <t>00022011876K</t>
  </si>
  <si>
    <t>00022014220K</t>
  </si>
  <si>
    <t>00022021720K</t>
  </si>
  <si>
    <t>00022021737K</t>
  </si>
  <si>
    <t>00022023339K</t>
  </si>
  <si>
    <t>00022025150KOV</t>
  </si>
  <si>
    <t>00022026537K</t>
  </si>
  <si>
    <t>00022031158KOV</t>
  </si>
  <si>
    <t>00022032935KOV</t>
  </si>
  <si>
    <t>00022033067K</t>
  </si>
  <si>
    <t>00022033172K</t>
  </si>
  <si>
    <t>00022035242KOV</t>
  </si>
  <si>
    <t>00022040894KOV</t>
  </si>
  <si>
    <t>00022049020K</t>
  </si>
  <si>
    <t>00022052067KOV</t>
  </si>
  <si>
    <t>00022063091K</t>
  </si>
  <si>
    <t>00022063543K</t>
  </si>
  <si>
    <t>00022070044K</t>
  </si>
  <si>
    <t>00022074715K</t>
  </si>
  <si>
    <t>00022077041K</t>
  </si>
  <si>
    <t>00022077130K</t>
  </si>
  <si>
    <t>00022077277K</t>
  </si>
  <si>
    <t>00022078841K</t>
  </si>
  <si>
    <t>00022082807K</t>
  </si>
  <si>
    <t>00022083688K</t>
  </si>
  <si>
    <t>00022084599K</t>
  </si>
  <si>
    <t>00022085271K</t>
  </si>
  <si>
    <t>00022085971K</t>
  </si>
  <si>
    <t>00022087983K</t>
  </si>
  <si>
    <t>00022088151K</t>
  </si>
  <si>
    <t>00022092926K</t>
  </si>
  <si>
    <t>00022094137K</t>
  </si>
  <si>
    <t>00022094729KOV</t>
  </si>
  <si>
    <t>00022094985KOV</t>
  </si>
  <si>
    <t>00022094990K</t>
  </si>
  <si>
    <t>00022095955KOV</t>
  </si>
  <si>
    <t>00022096948KOV</t>
  </si>
  <si>
    <t>00022097947KOV</t>
  </si>
  <si>
    <t>00022105983K</t>
  </si>
  <si>
    <t>00022106958K</t>
  </si>
  <si>
    <t>00022107554K</t>
  </si>
  <si>
    <t>00022112017K</t>
  </si>
  <si>
    <t>00022121084K</t>
  </si>
  <si>
    <t>00022137026K</t>
  </si>
  <si>
    <t>00022148995K</t>
  </si>
  <si>
    <t>00022193283K</t>
  </si>
  <si>
    <t>00022198910K</t>
  </si>
  <si>
    <t>00022203514K</t>
  </si>
  <si>
    <t>00022217599K</t>
  </si>
  <si>
    <t>00022235665K</t>
  </si>
  <si>
    <t>00022241122K</t>
  </si>
  <si>
    <t>00022256745K</t>
  </si>
  <si>
    <t>00022351069K</t>
  </si>
  <si>
    <t>00022366455K</t>
  </si>
  <si>
    <t>00022386017K</t>
  </si>
  <si>
    <t>00022406995K</t>
  </si>
  <si>
    <t>00022413863K</t>
  </si>
  <si>
    <t>00022462923K</t>
  </si>
  <si>
    <t>00022466880K</t>
  </si>
  <si>
    <t>00022498051K</t>
  </si>
  <si>
    <t>00022524693K</t>
  </si>
  <si>
    <t>00022571242K</t>
  </si>
  <si>
    <t>00022602838K</t>
  </si>
  <si>
    <t>00022627896K</t>
  </si>
  <si>
    <t>00022643625K</t>
  </si>
  <si>
    <t>00022646876K</t>
  </si>
  <si>
    <t>00022659909K</t>
  </si>
  <si>
    <t>00022671607K</t>
  </si>
  <si>
    <t>00022674415K</t>
  </si>
  <si>
    <t>00022688863K</t>
  </si>
  <si>
    <t>00022698535K</t>
  </si>
  <si>
    <t>00022763707K</t>
  </si>
  <si>
    <t>00001672119K</t>
  </si>
  <si>
    <t>00017505325K</t>
  </si>
  <si>
    <t>00020054580KOV</t>
  </si>
  <si>
    <t>00021762005K</t>
  </si>
  <si>
    <t>00021812164K</t>
  </si>
  <si>
    <t>00021819613K</t>
  </si>
  <si>
    <t>00021836561K</t>
  </si>
  <si>
    <t>00021836597K</t>
  </si>
  <si>
    <t>00021853327K</t>
  </si>
  <si>
    <t>00021853815K</t>
  </si>
  <si>
    <t>00021859258K</t>
  </si>
  <si>
    <t>00021865984K</t>
  </si>
  <si>
    <t>00021882434K</t>
  </si>
  <si>
    <t>00021895977K</t>
  </si>
  <si>
    <t>00021917176K</t>
  </si>
  <si>
    <t>00021973839K</t>
  </si>
  <si>
    <t>00022004915K</t>
  </si>
  <si>
    <t>00022025150K</t>
  </si>
  <si>
    <t>00022031158K</t>
  </si>
  <si>
    <t>00022032935K</t>
  </si>
  <si>
    <t>00022035242K</t>
  </si>
  <si>
    <t>00022040894K</t>
  </si>
  <si>
    <t>00022052067K</t>
  </si>
  <si>
    <t>00022094729K</t>
  </si>
  <si>
    <t>00022094985K</t>
  </si>
  <si>
    <t>00022095955K</t>
  </si>
  <si>
    <t>00022096948K</t>
  </si>
  <si>
    <t>00022097947K</t>
  </si>
  <si>
    <t>00021852153K</t>
  </si>
  <si>
    <t>00020054580K</t>
  </si>
  <si>
    <t>00021884516K</t>
  </si>
  <si>
    <t>A03755145</t>
  </si>
  <si>
    <t>A04074909</t>
  </si>
  <si>
    <t>A04078728</t>
  </si>
  <si>
    <t>A03722685</t>
  </si>
  <si>
    <t>A03777817</t>
  </si>
  <si>
    <t>130273314OV</t>
  </si>
  <si>
    <t>130625781OV</t>
  </si>
  <si>
    <t>906051412OV</t>
  </si>
  <si>
    <t>909023469OV</t>
  </si>
  <si>
    <t>961601451OV</t>
  </si>
  <si>
    <t>967561705OV</t>
  </si>
  <si>
    <t>970181792OV</t>
  </si>
  <si>
    <t>992088421OV</t>
  </si>
  <si>
    <t>992248315OV</t>
  </si>
  <si>
    <t>130524428OV</t>
  </si>
  <si>
    <t>981141937OV</t>
  </si>
  <si>
    <t>992426853OV</t>
  </si>
  <si>
    <t>993708991OV</t>
  </si>
  <si>
    <t>Humana MAPD OVR 2025</t>
  </si>
  <si>
    <t>Humana MAPD NATIONAL 2024!</t>
  </si>
  <si>
    <t>[%/$=306][prorate=1/12]</t>
  </si>
  <si>
    <t>006W231280</t>
  </si>
  <si>
    <t>UHC AARP MS IL Area 1- Plan B C F G(90%)</t>
  </si>
  <si>
    <t>UHC AARP MS PA Area 1 2024- Plan B F G</t>
  </si>
  <si>
    <t>UHC AARP MS PA Area 3 2024- Plan BC F G(90%)</t>
  </si>
  <si>
    <t>UHC Plan N (PA Area 3)</t>
  </si>
  <si>
    <t>UHC MAPD Ovr 2025</t>
  </si>
  <si>
    <t>UHC MAPD CT, PA, DC 2024!</t>
  </si>
  <si>
    <t>UHC MAPD Nat 2024!</t>
  </si>
  <si>
    <t>[%/$=345][prorate=1/12]</t>
  </si>
  <si>
    <t>[%/$=306][prorate=5/12]</t>
  </si>
  <si>
    <t>UHC PDP 2024</t>
  </si>
  <si>
    <t>Main Line Benefits</t>
  </si>
  <si>
    <t xml:space="preserve">18828278SUB2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</si>
</sst>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0" fontId="0" fillId="33" borderId="0" xfId="0" applyNumberFormat="1" applyFill="1"/>
    <xf numFmtId="1" fontId="0" fillId="0" borderId="0" xfId="0" applyNumberFormat="1" applyAlignment="1">
      <alignment horizontal="right"/>
    </xf>
    <xf numFmtId="1" fontId="14" fillId="0" borderId="0" xfId="0" applyNumberFormat="1" applyFont="1" applyAlignment="1">
      <alignment horizontal="right"/>
    </xf>
    <xf numFmtId="0" fontId="14" fillId="0" borderId="0" xfId="0" applyFont="1"/>
    <xf numFmtId="14" fontId="14" fillId="0" borderId="0" xfId="0" applyNumberFormat="1" applyFont="1"/>
    <xf numFmtId="8" fontId="14" fillId="0" borderId="0" xfId="0" applyNumberFormat="1" applyFont="1"/>
    <xf numFmtId="10" fontId="14" fillId="0" borderId="0" xfId="0" applyNumberFormat="1" applyFont="1"/>
    <xf numFmtId="1" fontId="18" fillId="0" borderId="0" xfId="0" applyNumberFormat="1" applyFont="1" applyAlignment="1">
      <alignment horizontal="right"/>
    </xf>
    <xf numFmtId="0" fontId="18" fillId="0" borderId="0" xfId="0" applyFont="1"/>
    <xf numFmtId="14" fontId="18" fillId="0" borderId="0" xfId="0" applyNumberFormat="1" applyFont="1"/>
    <xf numFmtId="8" fontId="18" fillId="0" borderId="0" xfId="0" applyNumberFormat="1" applyFont="1"/>
    <xf numFmtId="10" fontId="18" fillId="0" borderId="0" xfId="0" applyNumberFormat="1" applyFont="1"/>
    <xf numFmtId="1" fontId="0" fillId="33" borderId="0" xfId="0" applyNumberForma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4F16-4893-4E03-8154-82D8970730AA}">
  <dimension ref="A1:AL375"/>
  <sheetViews>
    <sheetView topLeftCell="J340" workbookViewId="0">
      <selection activeCell="I365" sqref="A365:XFD36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45799</v>
      </c>
      <c r="B2" s="1">
        <v>45792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45597</v>
      </c>
      <c r="T2" s="1">
        <v>45823</v>
      </c>
      <c r="U2" t="s">
        <v>51</v>
      </c>
      <c r="V2">
        <v>1</v>
      </c>
      <c r="W2" s="1">
        <v>45797</v>
      </c>
      <c r="X2" t="s">
        <v>52</v>
      </c>
      <c r="Y2" s="2">
        <v>1</v>
      </c>
      <c r="Z2" s="2">
        <v>1</v>
      </c>
      <c r="AB2" s="3">
        <v>1</v>
      </c>
      <c r="AC2" s="2">
        <v>9</v>
      </c>
      <c r="AG2" s="2">
        <v>0</v>
      </c>
      <c r="AH2" s="2">
        <v>9</v>
      </c>
      <c r="AI2" s="2">
        <v>0</v>
      </c>
      <c r="AK2">
        <v>5447044</v>
      </c>
      <c r="AL2" t="s">
        <v>53</v>
      </c>
    </row>
    <row r="3" spans="1:38" x14ac:dyDescent="0.25">
      <c r="A3" s="1">
        <v>45799</v>
      </c>
      <c r="B3" s="1">
        <v>45792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46</v>
      </c>
      <c r="O3" t="s">
        <v>56</v>
      </c>
      <c r="P3" t="s">
        <v>57</v>
      </c>
      <c r="Q3" t="s">
        <v>58</v>
      </c>
      <c r="R3" t="s">
        <v>59</v>
      </c>
      <c r="S3" s="1">
        <v>45536</v>
      </c>
      <c r="T3" s="1">
        <v>45823</v>
      </c>
      <c r="U3" t="s">
        <v>51</v>
      </c>
      <c r="V3">
        <v>1</v>
      </c>
      <c r="W3" s="1">
        <v>45797</v>
      </c>
      <c r="X3" t="s">
        <v>52</v>
      </c>
      <c r="Y3" s="2">
        <v>1</v>
      </c>
      <c r="Z3" s="2">
        <v>1</v>
      </c>
      <c r="AB3" s="3">
        <v>1</v>
      </c>
      <c r="AC3" s="2">
        <v>9</v>
      </c>
      <c r="AG3" s="2">
        <v>0</v>
      </c>
      <c r="AH3" s="2">
        <v>9</v>
      </c>
      <c r="AI3" s="2">
        <v>0</v>
      </c>
      <c r="AK3">
        <v>5448317</v>
      </c>
      <c r="AL3" t="s">
        <v>53</v>
      </c>
    </row>
    <row r="4" spans="1:38" x14ac:dyDescent="0.25">
      <c r="A4" s="1">
        <v>45799</v>
      </c>
      <c r="B4" s="1">
        <v>45792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46</v>
      </c>
      <c r="O4" t="s">
        <v>62</v>
      </c>
      <c r="P4" t="s">
        <v>63</v>
      </c>
      <c r="Q4" t="s">
        <v>58</v>
      </c>
      <c r="R4" t="s">
        <v>50</v>
      </c>
      <c r="S4" s="1">
        <v>45505</v>
      </c>
      <c r="T4" s="1">
        <v>45823</v>
      </c>
      <c r="U4" t="s">
        <v>51</v>
      </c>
      <c r="V4">
        <v>1</v>
      </c>
      <c r="W4" s="1">
        <v>45797</v>
      </c>
      <c r="X4" t="s">
        <v>52</v>
      </c>
      <c r="Y4" s="2">
        <v>1</v>
      </c>
      <c r="Z4" s="2">
        <v>1</v>
      </c>
      <c r="AB4" s="3">
        <v>1</v>
      </c>
      <c r="AC4" s="2">
        <v>9</v>
      </c>
      <c r="AG4" s="2">
        <v>0</v>
      </c>
      <c r="AH4" s="2">
        <v>9</v>
      </c>
      <c r="AI4" s="2">
        <v>0</v>
      </c>
      <c r="AK4">
        <v>5451010</v>
      </c>
      <c r="AL4" t="s">
        <v>53</v>
      </c>
    </row>
    <row r="5" spans="1:38" x14ac:dyDescent="0.25">
      <c r="A5" s="1">
        <v>45799</v>
      </c>
      <c r="B5" s="1">
        <v>45792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58</v>
      </c>
      <c r="R5" t="s">
        <v>50</v>
      </c>
      <c r="S5" s="1">
        <v>45566</v>
      </c>
      <c r="T5" s="1">
        <v>45823</v>
      </c>
      <c r="U5" t="s">
        <v>51</v>
      </c>
      <c r="V5">
        <v>1</v>
      </c>
      <c r="W5" s="1">
        <v>45797</v>
      </c>
      <c r="X5" t="s">
        <v>52</v>
      </c>
      <c r="Y5" s="2">
        <v>1</v>
      </c>
      <c r="Z5" s="2">
        <v>1</v>
      </c>
      <c r="AB5" s="3">
        <v>1</v>
      </c>
      <c r="AC5" s="2">
        <v>9</v>
      </c>
      <c r="AG5" s="2">
        <v>0</v>
      </c>
      <c r="AH5" s="2">
        <v>9</v>
      </c>
      <c r="AI5" s="2">
        <v>0</v>
      </c>
      <c r="AK5">
        <v>5451412</v>
      </c>
      <c r="AL5" t="s">
        <v>53</v>
      </c>
    </row>
    <row r="6" spans="1:38" x14ac:dyDescent="0.25">
      <c r="A6" s="1">
        <v>45799</v>
      </c>
      <c r="B6" s="1">
        <v>45792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49</v>
      </c>
      <c r="R6" t="s">
        <v>50</v>
      </c>
      <c r="S6" s="1">
        <v>45597</v>
      </c>
      <c r="T6" s="1">
        <v>45823</v>
      </c>
      <c r="U6" t="s">
        <v>51</v>
      </c>
      <c r="V6">
        <v>1</v>
      </c>
      <c r="W6" s="1">
        <v>45797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5451552</v>
      </c>
      <c r="AL6" t="s">
        <v>53</v>
      </c>
    </row>
    <row r="7" spans="1:38" x14ac:dyDescent="0.25">
      <c r="A7" s="1">
        <v>45799</v>
      </c>
      <c r="B7" s="1">
        <v>45792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56</v>
      </c>
      <c r="P7" t="s">
        <v>57</v>
      </c>
      <c r="Q7" t="s">
        <v>58</v>
      </c>
      <c r="R7" t="s">
        <v>50</v>
      </c>
      <c r="S7" s="1">
        <v>45505</v>
      </c>
      <c r="T7" s="1">
        <v>45823</v>
      </c>
      <c r="U7" t="s">
        <v>51</v>
      </c>
      <c r="V7">
        <v>1</v>
      </c>
      <c r="W7" s="1">
        <v>45797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5452490</v>
      </c>
      <c r="AL7" t="s">
        <v>53</v>
      </c>
    </row>
    <row r="8" spans="1:38" x14ac:dyDescent="0.25">
      <c r="A8" s="1">
        <v>45799</v>
      </c>
      <c r="B8" s="1">
        <v>45792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46</v>
      </c>
      <c r="O8" t="s">
        <v>76</v>
      </c>
      <c r="P8" t="s">
        <v>77</v>
      </c>
      <c r="Q8" t="s">
        <v>58</v>
      </c>
      <c r="R8" t="s">
        <v>59</v>
      </c>
      <c r="S8" s="1">
        <v>45474</v>
      </c>
      <c r="T8" s="1">
        <v>45823</v>
      </c>
      <c r="U8" t="s">
        <v>51</v>
      </c>
      <c r="V8">
        <v>1</v>
      </c>
      <c r="W8" s="1">
        <v>45797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5456889</v>
      </c>
      <c r="AL8" t="s">
        <v>53</v>
      </c>
    </row>
    <row r="9" spans="1:38" x14ac:dyDescent="0.25">
      <c r="A9" s="1">
        <v>45799</v>
      </c>
      <c r="B9" s="1">
        <v>45792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46</v>
      </c>
      <c r="O9" t="s">
        <v>70</v>
      </c>
      <c r="P9" t="s">
        <v>71</v>
      </c>
      <c r="Q9" t="s">
        <v>49</v>
      </c>
      <c r="R9" t="s">
        <v>50</v>
      </c>
      <c r="S9" s="1">
        <v>45627</v>
      </c>
      <c r="T9" s="1">
        <v>45823</v>
      </c>
      <c r="U9" t="s">
        <v>51</v>
      </c>
      <c r="V9">
        <v>1</v>
      </c>
      <c r="W9" s="1">
        <v>45797</v>
      </c>
      <c r="X9" t="s">
        <v>52</v>
      </c>
      <c r="Y9" s="2">
        <v>1</v>
      </c>
      <c r="Z9" s="2">
        <v>1</v>
      </c>
      <c r="AB9" s="3">
        <v>1</v>
      </c>
      <c r="AC9" s="2">
        <v>9</v>
      </c>
      <c r="AG9" s="2">
        <v>0</v>
      </c>
      <c r="AH9" s="2">
        <v>9</v>
      </c>
      <c r="AI9" s="2">
        <v>0</v>
      </c>
      <c r="AK9">
        <v>5457017</v>
      </c>
      <c r="AL9" t="s">
        <v>53</v>
      </c>
    </row>
    <row r="10" spans="1:38" x14ac:dyDescent="0.25">
      <c r="A10" s="1">
        <v>45799</v>
      </c>
      <c r="B10" s="1">
        <v>45792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80</v>
      </c>
      <c r="J10" t="s">
        <v>81</v>
      </c>
      <c r="M10" t="s">
        <v>46</v>
      </c>
      <c r="O10" t="s">
        <v>82</v>
      </c>
      <c r="P10" t="s">
        <v>83</v>
      </c>
      <c r="Q10" t="s">
        <v>49</v>
      </c>
      <c r="R10" t="s">
        <v>50</v>
      </c>
      <c r="S10" s="1">
        <v>45597</v>
      </c>
      <c r="T10" s="1">
        <v>45823</v>
      </c>
      <c r="U10" t="s">
        <v>51</v>
      </c>
      <c r="V10">
        <v>1</v>
      </c>
      <c r="W10" s="1">
        <v>45797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5458034</v>
      </c>
      <c r="AL10" t="s">
        <v>53</v>
      </c>
    </row>
    <row r="11" spans="1:38" x14ac:dyDescent="0.25">
      <c r="A11" s="1">
        <v>45799</v>
      </c>
      <c r="B11" s="1">
        <v>45792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84</v>
      </c>
      <c r="J11" t="s">
        <v>85</v>
      </c>
      <c r="M11" t="s">
        <v>46</v>
      </c>
      <c r="O11" t="s">
        <v>86</v>
      </c>
      <c r="P11" t="s">
        <v>87</v>
      </c>
      <c r="Q11" t="s">
        <v>49</v>
      </c>
      <c r="R11" t="s">
        <v>88</v>
      </c>
      <c r="S11" s="1">
        <v>45505</v>
      </c>
      <c r="T11" s="1">
        <v>45823</v>
      </c>
      <c r="U11" t="s">
        <v>51</v>
      </c>
      <c r="V11">
        <v>1</v>
      </c>
      <c r="W11" s="1">
        <v>45797</v>
      </c>
      <c r="X11" t="s">
        <v>52</v>
      </c>
      <c r="Y11" s="2">
        <v>1</v>
      </c>
      <c r="Z11" s="2">
        <v>1</v>
      </c>
      <c r="AB11" s="3">
        <v>1</v>
      </c>
      <c r="AC11" s="2">
        <v>25.5</v>
      </c>
      <c r="AG11" s="2">
        <v>0</v>
      </c>
      <c r="AH11" s="2">
        <v>25.5</v>
      </c>
      <c r="AI11" s="2">
        <v>0</v>
      </c>
      <c r="AK11">
        <v>5438352</v>
      </c>
      <c r="AL11" t="s">
        <v>89</v>
      </c>
    </row>
    <row r="12" spans="1:38" x14ac:dyDescent="0.25">
      <c r="A12" s="1">
        <v>45799</v>
      </c>
      <c r="B12" s="1">
        <v>45792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90</v>
      </c>
      <c r="J12" t="s">
        <v>85</v>
      </c>
      <c r="M12" t="s">
        <v>46</v>
      </c>
      <c r="O12" t="s">
        <v>86</v>
      </c>
      <c r="P12" t="s">
        <v>87</v>
      </c>
      <c r="Q12" t="s">
        <v>49</v>
      </c>
      <c r="R12" t="s">
        <v>59</v>
      </c>
      <c r="S12" s="1">
        <v>45505</v>
      </c>
      <c r="T12" s="1">
        <v>45823</v>
      </c>
      <c r="U12" t="s">
        <v>51</v>
      </c>
      <c r="V12">
        <v>1</v>
      </c>
      <c r="W12" s="1">
        <v>45797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5438353</v>
      </c>
      <c r="AL12" t="s">
        <v>89</v>
      </c>
    </row>
    <row r="13" spans="1:38" x14ac:dyDescent="0.25">
      <c r="A13" s="1">
        <v>45799</v>
      </c>
      <c r="B13" s="1">
        <v>45792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91</v>
      </c>
      <c r="J13" t="s">
        <v>92</v>
      </c>
      <c r="M13" t="s">
        <v>46</v>
      </c>
      <c r="O13" t="s">
        <v>66</v>
      </c>
      <c r="P13" t="s">
        <v>67</v>
      </c>
      <c r="Q13" t="s">
        <v>49</v>
      </c>
      <c r="R13" t="s">
        <v>50</v>
      </c>
      <c r="S13" s="1">
        <v>45566</v>
      </c>
      <c r="T13" s="1">
        <v>45823</v>
      </c>
      <c r="U13" t="s">
        <v>51</v>
      </c>
      <c r="V13">
        <v>1</v>
      </c>
      <c r="W13" s="1">
        <v>45797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5460470</v>
      </c>
      <c r="AL13" t="s">
        <v>53</v>
      </c>
    </row>
    <row r="14" spans="1:38" x14ac:dyDescent="0.25">
      <c r="A14" s="1">
        <v>45799</v>
      </c>
      <c r="B14" s="1">
        <v>45792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93</v>
      </c>
      <c r="J14" t="s">
        <v>94</v>
      </c>
      <c r="M14" t="s">
        <v>46</v>
      </c>
      <c r="O14" t="s">
        <v>95</v>
      </c>
      <c r="P14" t="s">
        <v>96</v>
      </c>
      <c r="Q14" t="s">
        <v>58</v>
      </c>
      <c r="R14" t="s">
        <v>50</v>
      </c>
      <c r="S14" s="1">
        <v>45444</v>
      </c>
      <c r="T14" s="1">
        <v>45823</v>
      </c>
      <c r="U14" t="s">
        <v>51</v>
      </c>
      <c r="V14">
        <v>1</v>
      </c>
      <c r="W14" s="1">
        <v>45797</v>
      </c>
      <c r="X14" t="s">
        <v>52</v>
      </c>
      <c r="Y14" s="2">
        <v>1</v>
      </c>
      <c r="Z14" s="2">
        <v>1</v>
      </c>
      <c r="AB14" s="3">
        <v>1</v>
      </c>
      <c r="AC14" s="2">
        <v>9</v>
      </c>
      <c r="AG14" s="2">
        <v>0</v>
      </c>
      <c r="AH14" s="2">
        <v>9</v>
      </c>
      <c r="AI14" s="2">
        <v>0</v>
      </c>
      <c r="AK14">
        <v>5463451</v>
      </c>
      <c r="AL14" t="s">
        <v>53</v>
      </c>
    </row>
    <row r="15" spans="1:38" x14ac:dyDescent="0.25">
      <c r="A15" s="1">
        <v>45799</v>
      </c>
      <c r="B15" s="1">
        <v>45792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97</v>
      </c>
      <c r="J15" t="s">
        <v>98</v>
      </c>
      <c r="M15" t="s">
        <v>46</v>
      </c>
      <c r="O15" t="s">
        <v>95</v>
      </c>
      <c r="P15" t="s">
        <v>96</v>
      </c>
      <c r="Q15" t="s">
        <v>58</v>
      </c>
      <c r="R15" t="s">
        <v>50</v>
      </c>
      <c r="S15" s="1">
        <v>45444</v>
      </c>
      <c r="T15" s="1">
        <v>45823</v>
      </c>
      <c r="U15" t="s">
        <v>51</v>
      </c>
      <c r="V15">
        <v>1</v>
      </c>
      <c r="W15" s="1">
        <v>45797</v>
      </c>
      <c r="X15" t="s">
        <v>52</v>
      </c>
      <c r="Y15" s="2">
        <v>1</v>
      </c>
      <c r="Z15" s="2">
        <v>1</v>
      </c>
      <c r="AB15" s="3">
        <v>1</v>
      </c>
      <c r="AC15" s="2">
        <v>9</v>
      </c>
      <c r="AG15" s="2">
        <v>0</v>
      </c>
      <c r="AH15" s="2">
        <v>9</v>
      </c>
      <c r="AI15" s="2">
        <v>0</v>
      </c>
      <c r="AK15">
        <v>5463568</v>
      </c>
      <c r="AL15" t="s">
        <v>53</v>
      </c>
    </row>
    <row r="16" spans="1:38" x14ac:dyDescent="0.25">
      <c r="A16" s="1">
        <v>45799</v>
      </c>
      <c r="B16" s="1">
        <v>45792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99</v>
      </c>
      <c r="J16" t="s">
        <v>100</v>
      </c>
      <c r="M16" t="s">
        <v>46</v>
      </c>
      <c r="O16" t="s">
        <v>101</v>
      </c>
      <c r="P16" t="s">
        <v>102</v>
      </c>
      <c r="Q16" t="s">
        <v>58</v>
      </c>
      <c r="R16" t="s">
        <v>50</v>
      </c>
      <c r="S16" s="1">
        <v>45474</v>
      </c>
      <c r="T16" s="1">
        <v>45823</v>
      </c>
      <c r="U16" t="s">
        <v>51</v>
      </c>
      <c r="V16">
        <v>1</v>
      </c>
      <c r="W16" s="1">
        <v>45797</v>
      </c>
      <c r="X16" t="s">
        <v>52</v>
      </c>
      <c r="Y16" s="2">
        <v>1</v>
      </c>
      <c r="Z16" s="2">
        <v>1</v>
      </c>
      <c r="AB16" s="3">
        <v>1</v>
      </c>
      <c r="AC16" s="2">
        <v>9</v>
      </c>
      <c r="AG16" s="2">
        <v>0</v>
      </c>
      <c r="AH16" s="2">
        <v>9</v>
      </c>
      <c r="AI16" s="2">
        <v>0</v>
      </c>
      <c r="AK16">
        <v>5463600</v>
      </c>
      <c r="AL16" t="s">
        <v>53</v>
      </c>
    </row>
    <row r="17" spans="1:38" x14ac:dyDescent="0.25">
      <c r="A17" s="1">
        <v>45799</v>
      </c>
      <c r="B17" s="1">
        <v>45792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103</v>
      </c>
      <c r="J17" t="s">
        <v>104</v>
      </c>
      <c r="M17" t="s">
        <v>46</v>
      </c>
      <c r="O17" t="s">
        <v>95</v>
      </c>
      <c r="P17" t="s">
        <v>96</v>
      </c>
      <c r="Q17" t="s">
        <v>58</v>
      </c>
      <c r="R17" t="s">
        <v>50</v>
      </c>
      <c r="S17" s="1">
        <v>45474</v>
      </c>
      <c r="T17" s="1">
        <v>45823</v>
      </c>
      <c r="U17" t="s">
        <v>51</v>
      </c>
      <c r="V17">
        <v>1</v>
      </c>
      <c r="W17" s="1">
        <v>45797</v>
      </c>
      <c r="X17" t="s">
        <v>52</v>
      </c>
      <c r="Y17" s="2">
        <v>1</v>
      </c>
      <c r="Z17" s="2">
        <v>1</v>
      </c>
      <c r="AB17" s="3">
        <v>1</v>
      </c>
      <c r="AC17" s="2">
        <v>9</v>
      </c>
      <c r="AG17" s="2">
        <v>0</v>
      </c>
      <c r="AH17" s="2">
        <v>9</v>
      </c>
      <c r="AI17" s="2">
        <v>0</v>
      </c>
      <c r="AK17">
        <v>5463826</v>
      </c>
      <c r="AL17" t="s">
        <v>53</v>
      </c>
    </row>
    <row r="18" spans="1:38" x14ac:dyDescent="0.25">
      <c r="A18" s="1">
        <v>45799</v>
      </c>
      <c r="B18" s="1">
        <v>45792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105</v>
      </c>
      <c r="J18" t="s">
        <v>106</v>
      </c>
      <c r="M18" t="s">
        <v>46</v>
      </c>
      <c r="O18" t="s">
        <v>107</v>
      </c>
      <c r="P18" t="s">
        <v>108</v>
      </c>
      <c r="Q18" t="s">
        <v>49</v>
      </c>
      <c r="R18" t="s">
        <v>59</v>
      </c>
      <c r="S18" s="1">
        <v>45566</v>
      </c>
      <c r="T18" s="1">
        <v>45823</v>
      </c>
      <c r="U18" t="s">
        <v>51</v>
      </c>
      <c r="V18">
        <v>1</v>
      </c>
      <c r="W18" s="1">
        <v>45797</v>
      </c>
      <c r="X18" t="s">
        <v>52</v>
      </c>
      <c r="Y18" s="2">
        <v>1</v>
      </c>
      <c r="Z18" s="2">
        <v>1</v>
      </c>
      <c r="AB18" s="3">
        <v>1</v>
      </c>
      <c r="AC18" s="2">
        <v>9</v>
      </c>
      <c r="AG18" s="2">
        <v>0</v>
      </c>
      <c r="AH18" s="2">
        <v>9</v>
      </c>
      <c r="AI18" s="2">
        <v>0</v>
      </c>
      <c r="AK18">
        <v>5463859</v>
      </c>
      <c r="AL18" t="s">
        <v>53</v>
      </c>
    </row>
    <row r="19" spans="1:38" x14ac:dyDescent="0.25">
      <c r="A19" s="1">
        <v>45799</v>
      </c>
      <c r="B19" s="1">
        <v>45792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109</v>
      </c>
      <c r="J19" t="s">
        <v>110</v>
      </c>
      <c r="M19" t="s">
        <v>46</v>
      </c>
      <c r="O19" t="s">
        <v>101</v>
      </c>
      <c r="P19" t="s">
        <v>102</v>
      </c>
      <c r="Q19" t="s">
        <v>58</v>
      </c>
      <c r="R19" t="s">
        <v>50</v>
      </c>
      <c r="S19" s="1">
        <v>45505</v>
      </c>
      <c r="T19" s="1">
        <v>45823</v>
      </c>
      <c r="U19" t="s">
        <v>51</v>
      </c>
      <c r="V19">
        <v>1</v>
      </c>
      <c r="W19" s="1">
        <v>45797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5463904</v>
      </c>
      <c r="AL19" t="s">
        <v>53</v>
      </c>
    </row>
    <row r="20" spans="1:38" x14ac:dyDescent="0.25">
      <c r="A20" s="1">
        <v>45799</v>
      </c>
      <c r="B20" s="1">
        <v>45792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111</v>
      </c>
      <c r="J20" t="s">
        <v>112</v>
      </c>
      <c r="M20" t="s">
        <v>46</v>
      </c>
      <c r="O20" t="s">
        <v>95</v>
      </c>
      <c r="P20" t="s">
        <v>96</v>
      </c>
      <c r="Q20" t="s">
        <v>58</v>
      </c>
      <c r="R20" t="s">
        <v>50</v>
      </c>
      <c r="S20" s="1">
        <v>45444</v>
      </c>
      <c r="T20" s="1">
        <v>45823</v>
      </c>
      <c r="U20" t="s">
        <v>51</v>
      </c>
      <c r="V20">
        <v>1</v>
      </c>
      <c r="W20" s="1">
        <v>45797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5463907</v>
      </c>
      <c r="AL20" t="s">
        <v>53</v>
      </c>
    </row>
    <row r="21" spans="1:38" x14ac:dyDescent="0.25">
      <c r="A21" s="1">
        <v>45799</v>
      </c>
      <c r="B21" s="1">
        <v>45792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113</v>
      </c>
      <c r="J21" t="s">
        <v>114</v>
      </c>
      <c r="M21" t="s">
        <v>46</v>
      </c>
      <c r="O21" t="s">
        <v>115</v>
      </c>
      <c r="P21" t="s">
        <v>116</v>
      </c>
      <c r="Q21" t="s">
        <v>58</v>
      </c>
      <c r="R21" t="s">
        <v>50</v>
      </c>
      <c r="S21" s="1">
        <v>45474</v>
      </c>
      <c r="T21" s="1">
        <v>45823</v>
      </c>
      <c r="U21" t="s">
        <v>51</v>
      </c>
      <c r="V21">
        <v>1</v>
      </c>
      <c r="W21" s="1">
        <v>45797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5463928</v>
      </c>
      <c r="AL21" t="s">
        <v>53</v>
      </c>
    </row>
    <row r="22" spans="1:38" x14ac:dyDescent="0.25">
      <c r="A22" s="1">
        <v>45799</v>
      </c>
      <c r="B22" s="1">
        <v>45792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117</v>
      </c>
      <c r="J22" t="s">
        <v>118</v>
      </c>
      <c r="M22" t="s">
        <v>46</v>
      </c>
      <c r="O22" t="s">
        <v>115</v>
      </c>
      <c r="P22" t="s">
        <v>116</v>
      </c>
      <c r="Q22" t="s">
        <v>58</v>
      </c>
      <c r="R22" t="s">
        <v>50</v>
      </c>
      <c r="S22" s="1">
        <v>45444</v>
      </c>
      <c r="T22" s="1">
        <v>45823</v>
      </c>
      <c r="U22" t="s">
        <v>51</v>
      </c>
      <c r="V22">
        <v>1</v>
      </c>
      <c r="W22" s="1">
        <v>45797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5463934</v>
      </c>
      <c r="AL22" t="s">
        <v>53</v>
      </c>
    </row>
    <row r="23" spans="1:38" x14ac:dyDescent="0.25">
      <c r="A23" s="1">
        <v>45799</v>
      </c>
      <c r="B23" s="1">
        <v>45792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119</v>
      </c>
      <c r="J23" t="s">
        <v>120</v>
      </c>
      <c r="M23" t="s">
        <v>46</v>
      </c>
      <c r="O23" t="s">
        <v>95</v>
      </c>
      <c r="P23" t="s">
        <v>96</v>
      </c>
      <c r="Q23" t="s">
        <v>58</v>
      </c>
      <c r="R23" t="s">
        <v>50</v>
      </c>
      <c r="S23" s="1">
        <v>45505</v>
      </c>
      <c r="T23" s="1">
        <v>45823</v>
      </c>
      <c r="U23" t="s">
        <v>51</v>
      </c>
      <c r="V23">
        <v>1</v>
      </c>
      <c r="W23" s="1">
        <v>45797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5463967</v>
      </c>
      <c r="AL23" t="s">
        <v>53</v>
      </c>
    </row>
    <row r="24" spans="1:38" x14ac:dyDescent="0.25">
      <c r="A24" s="1">
        <v>45799</v>
      </c>
      <c r="B24" s="1">
        <v>45792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121</v>
      </c>
      <c r="J24" t="s">
        <v>122</v>
      </c>
      <c r="M24" t="s">
        <v>46</v>
      </c>
      <c r="O24" t="s">
        <v>41</v>
      </c>
      <c r="P24" t="s">
        <v>43</v>
      </c>
      <c r="Q24" t="s">
        <v>58</v>
      </c>
      <c r="R24" t="s">
        <v>50</v>
      </c>
      <c r="S24" s="1">
        <v>45444</v>
      </c>
      <c r="T24" s="1">
        <v>45823</v>
      </c>
      <c r="U24" t="s">
        <v>51</v>
      </c>
      <c r="V24">
        <v>1</v>
      </c>
      <c r="W24" s="1">
        <v>45797</v>
      </c>
      <c r="X24" t="s">
        <v>52</v>
      </c>
      <c r="Y24" s="2">
        <v>1</v>
      </c>
      <c r="Z24" s="2">
        <v>1</v>
      </c>
      <c r="AB24" s="3">
        <v>1</v>
      </c>
      <c r="AC24" s="2">
        <v>9</v>
      </c>
      <c r="AG24" s="2">
        <v>0</v>
      </c>
      <c r="AH24" s="2">
        <v>9</v>
      </c>
      <c r="AI24" s="2">
        <v>0</v>
      </c>
      <c r="AK24">
        <v>5463997</v>
      </c>
      <c r="AL24" t="s">
        <v>53</v>
      </c>
    </row>
    <row r="25" spans="1:38" x14ac:dyDescent="0.25">
      <c r="A25" s="1">
        <v>45799</v>
      </c>
      <c r="B25" s="1">
        <v>45792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123</v>
      </c>
      <c r="J25" t="s">
        <v>124</v>
      </c>
      <c r="M25" t="s">
        <v>46</v>
      </c>
      <c r="O25" t="s">
        <v>125</v>
      </c>
      <c r="P25" t="s">
        <v>126</v>
      </c>
      <c r="Q25" t="s">
        <v>49</v>
      </c>
      <c r="R25" t="s">
        <v>127</v>
      </c>
      <c r="S25" s="1">
        <v>45444</v>
      </c>
      <c r="T25" s="1">
        <v>45823</v>
      </c>
      <c r="U25" t="s">
        <v>51</v>
      </c>
      <c r="V25">
        <v>1</v>
      </c>
      <c r="W25" s="1">
        <v>45797</v>
      </c>
      <c r="X25" t="s">
        <v>52</v>
      </c>
      <c r="Y25" s="2">
        <v>1</v>
      </c>
      <c r="Z25" s="2">
        <v>1</v>
      </c>
      <c r="AB25" s="3">
        <v>1</v>
      </c>
      <c r="AC25" s="2">
        <v>25.5</v>
      </c>
      <c r="AG25" s="2">
        <v>0</v>
      </c>
      <c r="AH25" s="2">
        <v>25.5</v>
      </c>
      <c r="AI25" s="2">
        <v>0</v>
      </c>
      <c r="AK25">
        <v>5438525</v>
      </c>
      <c r="AL25" t="s">
        <v>89</v>
      </c>
    </row>
    <row r="26" spans="1:38" x14ac:dyDescent="0.25">
      <c r="A26" s="1">
        <v>45799</v>
      </c>
      <c r="B26" s="1">
        <v>45792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128</v>
      </c>
      <c r="J26" t="s">
        <v>124</v>
      </c>
      <c r="M26" t="s">
        <v>46</v>
      </c>
      <c r="O26" t="s">
        <v>125</v>
      </c>
      <c r="P26" t="s">
        <v>126</v>
      </c>
      <c r="Q26" t="s">
        <v>49</v>
      </c>
      <c r="R26" t="s">
        <v>50</v>
      </c>
      <c r="S26" s="1">
        <v>45444</v>
      </c>
      <c r="T26" s="1">
        <v>45823</v>
      </c>
      <c r="U26" t="s">
        <v>51</v>
      </c>
      <c r="V26">
        <v>1</v>
      </c>
      <c r="W26" s="1">
        <v>45797</v>
      </c>
      <c r="X26" t="s">
        <v>52</v>
      </c>
      <c r="Y26" s="2">
        <v>1</v>
      </c>
      <c r="Z26" s="2">
        <v>1</v>
      </c>
      <c r="AB26" s="3">
        <v>1</v>
      </c>
      <c r="AC26" s="2">
        <v>9</v>
      </c>
      <c r="AG26" s="2">
        <v>0</v>
      </c>
      <c r="AH26" s="2">
        <v>9</v>
      </c>
      <c r="AI26" s="2">
        <v>0</v>
      </c>
      <c r="AK26">
        <v>5438526</v>
      </c>
      <c r="AL26" t="s">
        <v>89</v>
      </c>
    </row>
    <row r="27" spans="1:38" x14ac:dyDescent="0.25">
      <c r="A27" s="1">
        <v>45799</v>
      </c>
      <c r="B27" s="1">
        <v>45792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129</v>
      </c>
      <c r="J27" t="s">
        <v>130</v>
      </c>
      <c r="M27" t="s">
        <v>46</v>
      </c>
      <c r="O27" t="s">
        <v>131</v>
      </c>
      <c r="P27" t="s">
        <v>132</v>
      </c>
      <c r="Q27" t="s">
        <v>58</v>
      </c>
      <c r="R27" t="s">
        <v>50</v>
      </c>
      <c r="S27" s="1">
        <v>45444</v>
      </c>
      <c r="T27" s="1">
        <v>45823</v>
      </c>
      <c r="U27" t="s">
        <v>51</v>
      </c>
      <c r="V27">
        <v>1</v>
      </c>
      <c r="W27" s="1">
        <v>45797</v>
      </c>
      <c r="X27" t="s">
        <v>52</v>
      </c>
      <c r="Y27" s="2">
        <v>1</v>
      </c>
      <c r="Z27" s="2">
        <v>1</v>
      </c>
      <c r="AB27" s="3">
        <v>1</v>
      </c>
      <c r="AC27" s="2">
        <v>9</v>
      </c>
      <c r="AG27" s="2">
        <v>0</v>
      </c>
      <c r="AH27" s="2">
        <v>9</v>
      </c>
      <c r="AI27" s="2">
        <v>0</v>
      </c>
      <c r="AK27">
        <v>5464033</v>
      </c>
      <c r="AL27" t="s">
        <v>53</v>
      </c>
    </row>
    <row r="28" spans="1:38" x14ac:dyDescent="0.25">
      <c r="A28" s="1">
        <v>45799</v>
      </c>
      <c r="B28" s="1">
        <v>45792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133</v>
      </c>
      <c r="J28" t="s">
        <v>134</v>
      </c>
      <c r="M28" t="s">
        <v>46</v>
      </c>
      <c r="O28" t="s">
        <v>135</v>
      </c>
      <c r="P28" t="s">
        <v>136</v>
      </c>
      <c r="Q28" t="s">
        <v>49</v>
      </c>
      <c r="R28" t="s">
        <v>127</v>
      </c>
      <c r="S28" s="1">
        <v>45444</v>
      </c>
      <c r="T28" s="1">
        <v>45823</v>
      </c>
      <c r="U28" t="s">
        <v>51</v>
      </c>
      <c r="V28">
        <v>1</v>
      </c>
      <c r="W28" s="1">
        <v>45797</v>
      </c>
      <c r="X28" t="s">
        <v>52</v>
      </c>
      <c r="Y28" s="2">
        <v>1</v>
      </c>
      <c r="Z28" s="2">
        <v>1</v>
      </c>
      <c r="AB28" s="3">
        <v>1</v>
      </c>
      <c r="AC28" s="2">
        <v>25.5</v>
      </c>
      <c r="AG28" s="2">
        <v>0</v>
      </c>
      <c r="AH28" s="2">
        <v>25.5</v>
      </c>
      <c r="AI28" s="2">
        <v>0</v>
      </c>
      <c r="AK28">
        <v>5438527</v>
      </c>
      <c r="AL28" t="s">
        <v>89</v>
      </c>
    </row>
    <row r="29" spans="1:38" x14ac:dyDescent="0.25">
      <c r="A29" s="1">
        <v>45799</v>
      </c>
      <c r="B29" s="1">
        <v>45792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137</v>
      </c>
      <c r="J29" t="s">
        <v>134</v>
      </c>
      <c r="M29" t="s">
        <v>46</v>
      </c>
      <c r="O29" t="s">
        <v>135</v>
      </c>
      <c r="P29" t="s">
        <v>136</v>
      </c>
      <c r="Q29" t="s">
        <v>49</v>
      </c>
      <c r="R29" t="s">
        <v>50</v>
      </c>
      <c r="S29" s="1">
        <v>45444</v>
      </c>
      <c r="T29" s="1">
        <v>45823</v>
      </c>
      <c r="U29" t="s">
        <v>51</v>
      </c>
      <c r="V29">
        <v>1</v>
      </c>
      <c r="W29" s="1">
        <v>45797</v>
      </c>
      <c r="X29" t="s">
        <v>52</v>
      </c>
      <c r="Y29" s="2">
        <v>1</v>
      </c>
      <c r="Z29" s="2">
        <v>1</v>
      </c>
      <c r="AB29" s="3">
        <v>1</v>
      </c>
      <c r="AC29" s="2">
        <v>9</v>
      </c>
      <c r="AG29" s="2">
        <v>0</v>
      </c>
      <c r="AH29" s="2">
        <v>9</v>
      </c>
      <c r="AI29" s="2">
        <v>0</v>
      </c>
      <c r="AK29">
        <v>5438528</v>
      </c>
      <c r="AL29" t="s">
        <v>89</v>
      </c>
    </row>
    <row r="30" spans="1:38" x14ac:dyDescent="0.25">
      <c r="A30" s="1">
        <v>45799</v>
      </c>
      <c r="B30" s="1">
        <v>45792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138</v>
      </c>
      <c r="J30" t="s">
        <v>139</v>
      </c>
      <c r="M30" t="s">
        <v>46</v>
      </c>
      <c r="O30" t="s">
        <v>86</v>
      </c>
      <c r="P30" t="s">
        <v>87</v>
      </c>
      <c r="Q30" t="s">
        <v>49</v>
      </c>
      <c r="R30" t="s">
        <v>127</v>
      </c>
      <c r="S30" s="1">
        <v>45474</v>
      </c>
      <c r="T30" s="1">
        <v>45823</v>
      </c>
      <c r="U30" t="s">
        <v>51</v>
      </c>
      <c r="V30">
        <v>1</v>
      </c>
      <c r="W30" s="1">
        <v>45797</v>
      </c>
      <c r="X30" t="s">
        <v>52</v>
      </c>
      <c r="Y30" s="2">
        <v>1</v>
      </c>
      <c r="Z30" s="2">
        <v>1</v>
      </c>
      <c r="AB30" s="3">
        <v>1</v>
      </c>
      <c r="AC30" s="2">
        <v>25.5</v>
      </c>
      <c r="AG30" s="2">
        <v>0</v>
      </c>
      <c r="AH30" s="2">
        <v>25.5</v>
      </c>
      <c r="AI30" s="2">
        <v>0</v>
      </c>
      <c r="AK30">
        <v>5438533</v>
      </c>
      <c r="AL30" t="s">
        <v>89</v>
      </c>
    </row>
    <row r="31" spans="1:38" x14ac:dyDescent="0.25">
      <c r="A31" s="1">
        <v>45799</v>
      </c>
      <c r="B31" s="1">
        <v>45792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140</v>
      </c>
      <c r="J31" t="s">
        <v>139</v>
      </c>
      <c r="M31" t="s">
        <v>46</v>
      </c>
      <c r="O31" t="s">
        <v>86</v>
      </c>
      <c r="P31" t="s">
        <v>87</v>
      </c>
      <c r="Q31" t="s">
        <v>49</v>
      </c>
      <c r="R31" t="s">
        <v>50</v>
      </c>
      <c r="S31" s="1">
        <v>45474</v>
      </c>
      <c r="T31" s="1">
        <v>45823</v>
      </c>
      <c r="U31" t="s">
        <v>51</v>
      </c>
      <c r="V31">
        <v>1</v>
      </c>
      <c r="W31" s="1">
        <v>45797</v>
      </c>
      <c r="X31" t="s">
        <v>52</v>
      </c>
      <c r="Y31" s="2">
        <v>1</v>
      </c>
      <c r="Z31" s="2">
        <v>1</v>
      </c>
      <c r="AB31" s="3">
        <v>1</v>
      </c>
      <c r="AC31" s="2">
        <v>9</v>
      </c>
      <c r="AG31" s="2">
        <v>0</v>
      </c>
      <c r="AH31" s="2">
        <v>9</v>
      </c>
      <c r="AI31" s="2">
        <v>0</v>
      </c>
      <c r="AK31">
        <v>5438534</v>
      </c>
      <c r="AL31" t="s">
        <v>89</v>
      </c>
    </row>
    <row r="32" spans="1:38" x14ac:dyDescent="0.25">
      <c r="A32" s="1">
        <v>45799</v>
      </c>
      <c r="B32" s="1">
        <v>45792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141</v>
      </c>
      <c r="J32" t="s">
        <v>142</v>
      </c>
      <c r="M32" t="s">
        <v>46</v>
      </c>
      <c r="O32" t="s">
        <v>86</v>
      </c>
      <c r="P32" t="s">
        <v>87</v>
      </c>
      <c r="Q32" t="s">
        <v>49</v>
      </c>
      <c r="R32" t="s">
        <v>127</v>
      </c>
      <c r="S32" s="1">
        <v>45474</v>
      </c>
      <c r="T32" s="1">
        <v>45823</v>
      </c>
      <c r="U32" t="s">
        <v>51</v>
      </c>
      <c r="V32">
        <v>1</v>
      </c>
      <c r="W32" s="1">
        <v>45797</v>
      </c>
      <c r="X32" t="s">
        <v>52</v>
      </c>
      <c r="Y32" s="2">
        <v>1</v>
      </c>
      <c r="Z32" s="2">
        <v>1</v>
      </c>
      <c r="AB32" s="3">
        <v>1</v>
      </c>
      <c r="AC32" s="2">
        <v>25.5</v>
      </c>
      <c r="AG32" s="2">
        <v>0</v>
      </c>
      <c r="AH32" s="2">
        <v>25.5</v>
      </c>
      <c r="AI32" s="2">
        <v>0</v>
      </c>
      <c r="AK32">
        <v>5438535</v>
      </c>
      <c r="AL32" t="s">
        <v>89</v>
      </c>
    </row>
    <row r="33" spans="1:38" x14ac:dyDescent="0.25">
      <c r="A33" s="1">
        <v>45799</v>
      </c>
      <c r="B33" s="1">
        <v>45792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143</v>
      </c>
      <c r="J33" t="s">
        <v>142</v>
      </c>
      <c r="M33" t="s">
        <v>46</v>
      </c>
      <c r="O33" t="s">
        <v>86</v>
      </c>
      <c r="P33" t="s">
        <v>87</v>
      </c>
      <c r="Q33" t="s">
        <v>49</v>
      </c>
      <c r="R33" t="s">
        <v>50</v>
      </c>
      <c r="S33" s="1">
        <v>45474</v>
      </c>
      <c r="T33" s="1">
        <v>45823</v>
      </c>
      <c r="U33" t="s">
        <v>51</v>
      </c>
      <c r="V33">
        <v>1</v>
      </c>
      <c r="W33" s="1">
        <v>45797</v>
      </c>
      <c r="X33" t="s">
        <v>52</v>
      </c>
      <c r="Y33" s="2">
        <v>1</v>
      </c>
      <c r="Z33" s="2">
        <v>1</v>
      </c>
      <c r="AB33" s="3">
        <v>1</v>
      </c>
      <c r="AC33" s="2">
        <v>9</v>
      </c>
      <c r="AG33" s="2">
        <v>0</v>
      </c>
      <c r="AH33" s="2">
        <v>9</v>
      </c>
      <c r="AI33" s="2">
        <v>0</v>
      </c>
      <c r="AK33">
        <v>5438536</v>
      </c>
      <c r="AL33" t="s">
        <v>89</v>
      </c>
    </row>
    <row r="34" spans="1:38" x14ac:dyDescent="0.25">
      <c r="A34" s="1">
        <v>45799</v>
      </c>
      <c r="B34" s="1">
        <v>45792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144</v>
      </c>
      <c r="J34" t="s">
        <v>145</v>
      </c>
      <c r="M34" t="s">
        <v>46</v>
      </c>
      <c r="O34" t="s">
        <v>62</v>
      </c>
      <c r="P34" t="s">
        <v>63</v>
      </c>
      <c r="Q34" t="s">
        <v>49</v>
      </c>
      <c r="R34" t="s">
        <v>146</v>
      </c>
      <c r="S34" s="1">
        <v>45474</v>
      </c>
      <c r="T34" s="1">
        <v>45823</v>
      </c>
      <c r="U34" t="s">
        <v>51</v>
      </c>
      <c r="V34">
        <v>1</v>
      </c>
      <c r="W34" s="1">
        <v>45797</v>
      </c>
      <c r="X34" t="s">
        <v>52</v>
      </c>
      <c r="Y34" s="2">
        <v>1</v>
      </c>
      <c r="Z34" s="2">
        <v>1</v>
      </c>
      <c r="AB34" s="3">
        <v>1</v>
      </c>
      <c r="AC34" s="2">
        <v>25.5</v>
      </c>
      <c r="AG34" s="2">
        <v>0</v>
      </c>
      <c r="AH34" s="2">
        <v>25.5</v>
      </c>
      <c r="AI34" s="2">
        <v>0</v>
      </c>
      <c r="AK34">
        <v>5438537</v>
      </c>
      <c r="AL34" t="s">
        <v>89</v>
      </c>
    </row>
    <row r="35" spans="1:38" x14ac:dyDescent="0.25">
      <c r="A35" s="1">
        <v>45799</v>
      </c>
      <c r="B35" s="1">
        <v>45792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147</v>
      </c>
      <c r="J35" t="s">
        <v>145</v>
      </c>
      <c r="M35" t="s">
        <v>46</v>
      </c>
      <c r="O35" t="s">
        <v>62</v>
      </c>
      <c r="P35" t="s">
        <v>63</v>
      </c>
      <c r="Q35" t="s">
        <v>49</v>
      </c>
      <c r="R35" t="s">
        <v>50</v>
      </c>
      <c r="S35" s="1">
        <v>45474</v>
      </c>
      <c r="T35" s="1">
        <v>45823</v>
      </c>
      <c r="U35" t="s">
        <v>51</v>
      </c>
      <c r="V35">
        <v>1</v>
      </c>
      <c r="W35" s="1">
        <v>45797</v>
      </c>
      <c r="X35" t="s">
        <v>52</v>
      </c>
      <c r="Y35" s="2">
        <v>1</v>
      </c>
      <c r="Z35" s="2">
        <v>1</v>
      </c>
      <c r="AB35" s="3">
        <v>1</v>
      </c>
      <c r="AC35" s="2">
        <v>9</v>
      </c>
      <c r="AG35" s="2">
        <v>0</v>
      </c>
      <c r="AH35" s="2">
        <v>9</v>
      </c>
      <c r="AI35" s="2">
        <v>0</v>
      </c>
      <c r="AK35">
        <v>5438538</v>
      </c>
      <c r="AL35" t="s">
        <v>89</v>
      </c>
    </row>
    <row r="36" spans="1:38" x14ac:dyDescent="0.25">
      <c r="A36" s="1">
        <v>45799</v>
      </c>
      <c r="B36" s="1">
        <v>45792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148</v>
      </c>
      <c r="J36" t="s">
        <v>149</v>
      </c>
      <c r="M36" t="s">
        <v>46</v>
      </c>
      <c r="O36" t="s">
        <v>150</v>
      </c>
      <c r="P36" t="s">
        <v>151</v>
      </c>
      <c r="Q36" t="s">
        <v>49</v>
      </c>
      <c r="R36" t="s">
        <v>127</v>
      </c>
      <c r="S36" s="1">
        <v>45474</v>
      </c>
      <c r="T36" s="1">
        <v>45823</v>
      </c>
      <c r="U36" t="s">
        <v>51</v>
      </c>
      <c r="V36">
        <v>1</v>
      </c>
      <c r="W36" s="1">
        <v>45797</v>
      </c>
      <c r="X36" t="s">
        <v>52</v>
      </c>
      <c r="Y36" s="2">
        <v>1</v>
      </c>
      <c r="Z36" s="2">
        <v>1</v>
      </c>
      <c r="AB36" s="3">
        <v>1</v>
      </c>
      <c r="AC36" s="2">
        <v>25.5</v>
      </c>
      <c r="AG36" s="2">
        <v>0</v>
      </c>
      <c r="AH36" s="2">
        <v>25.5</v>
      </c>
      <c r="AI36" s="2">
        <v>0</v>
      </c>
      <c r="AK36">
        <v>5438539</v>
      </c>
      <c r="AL36" t="s">
        <v>89</v>
      </c>
    </row>
    <row r="37" spans="1:38" x14ac:dyDescent="0.25">
      <c r="A37" s="1">
        <v>45799</v>
      </c>
      <c r="B37" s="1">
        <v>45792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152</v>
      </c>
      <c r="J37" t="s">
        <v>149</v>
      </c>
      <c r="M37" t="s">
        <v>46</v>
      </c>
      <c r="O37" t="s">
        <v>150</v>
      </c>
      <c r="P37" t="s">
        <v>151</v>
      </c>
      <c r="Q37" t="s">
        <v>49</v>
      </c>
      <c r="R37" t="s">
        <v>50</v>
      </c>
      <c r="S37" s="1">
        <v>45474</v>
      </c>
      <c r="T37" s="1">
        <v>45823</v>
      </c>
      <c r="U37" t="s">
        <v>51</v>
      </c>
      <c r="V37">
        <v>1</v>
      </c>
      <c r="W37" s="1">
        <v>45797</v>
      </c>
      <c r="X37" t="s">
        <v>52</v>
      </c>
      <c r="Y37" s="2">
        <v>1</v>
      </c>
      <c r="Z37" s="2">
        <v>1</v>
      </c>
      <c r="AB37" s="3">
        <v>1</v>
      </c>
      <c r="AC37" s="2">
        <v>9</v>
      </c>
      <c r="AG37" s="2">
        <v>0</v>
      </c>
      <c r="AH37" s="2">
        <v>9</v>
      </c>
      <c r="AI37" s="2">
        <v>0</v>
      </c>
      <c r="AK37">
        <v>5438540</v>
      </c>
      <c r="AL37" t="s">
        <v>89</v>
      </c>
    </row>
    <row r="38" spans="1:38" x14ac:dyDescent="0.25">
      <c r="A38" s="1">
        <v>45799</v>
      </c>
      <c r="B38" s="1">
        <v>45792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153</v>
      </c>
      <c r="J38" t="s">
        <v>154</v>
      </c>
      <c r="M38" t="s">
        <v>46</v>
      </c>
      <c r="O38" t="s">
        <v>62</v>
      </c>
      <c r="P38" t="s">
        <v>63</v>
      </c>
      <c r="Q38" t="s">
        <v>49</v>
      </c>
      <c r="R38" t="s">
        <v>127</v>
      </c>
      <c r="S38" s="1">
        <v>45474</v>
      </c>
      <c r="T38" s="1">
        <v>45823</v>
      </c>
      <c r="U38" t="s">
        <v>51</v>
      </c>
      <c r="V38">
        <v>1</v>
      </c>
      <c r="W38" s="1">
        <v>45797</v>
      </c>
      <c r="X38" t="s">
        <v>52</v>
      </c>
      <c r="Y38" s="2">
        <v>1</v>
      </c>
      <c r="Z38" s="2">
        <v>1</v>
      </c>
      <c r="AB38" s="3">
        <v>1</v>
      </c>
      <c r="AC38" s="2">
        <v>25.5</v>
      </c>
      <c r="AG38" s="2">
        <v>0</v>
      </c>
      <c r="AH38" s="2">
        <v>25.5</v>
      </c>
      <c r="AI38" s="2">
        <v>0</v>
      </c>
      <c r="AK38">
        <v>5438541</v>
      </c>
      <c r="AL38" t="s">
        <v>89</v>
      </c>
    </row>
    <row r="39" spans="1:38" x14ac:dyDescent="0.25">
      <c r="A39" s="1">
        <v>45799</v>
      </c>
      <c r="B39" s="1">
        <v>45792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155</v>
      </c>
      <c r="J39" t="s">
        <v>154</v>
      </c>
      <c r="M39" t="s">
        <v>46</v>
      </c>
      <c r="O39" t="s">
        <v>62</v>
      </c>
      <c r="P39" t="s">
        <v>63</v>
      </c>
      <c r="Q39" t="s">
        <v>49</v>
      </c>
      <c r="R39" t="s">
        <v>50</v>
      </c>
      <c r="S39" s="1">
        <v>45474</v>
      </c>
      <c r="T39" s="1">
        <v>45823</v>
      </c>
      <c r="U39" t="s">
        <v>51</v>
      </c>
      <c r="V39">
        <v>1</v>
      </c>
      <c r="W39" s="1">
        <v>45797</v>
      </c>
      <c r="X39" t="s">
        <v>52</v>
      </c>
      <c r="Y39" s="2">
        <v>1</v>
      </c>
      <c r="Z39" s="2">
        <v>1</v>
      </c>
      <c r="AB39" s="3">
        <v>1</v>
      </c>
      <c r="AC39" s="2">
        <v>9</v>
      </c>
      <c r="AG39" s="2">
        <v>0</v>
      </c>
      <c r="AH39" s="2">
        <v>9</v>
      </c>
      <c r="AI39" s="2">
        <v>0</v>
      </c>
      <c r="AK39">
        <v>5438542</v>
      </c>
      <c r="AL39" t="s">
        <v>89</v>
      </c>
    </row>
    <row r="40" spans="1:38" x14ac:dyDescent="0.25">
      <c r="A40" s="1">
        <v>45799</v>
      </c>
      <c r="B40" s="1">
        <v>45792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156</v>
      </c>
      <c r="J40" t="s">
        <v>157</v>
      </c>
      <c r="M40" t="s">
        <v>46</v>
      </c>
      <c r="O40" t="s">
        <v>158</v>
      </c>
      <c r="P40" t="s">
        <v>159</v>
      </c>
      <c r="Q40" t="s">
        <v>49</v>
      </c>
      <c r="R40" t="s">
        <v>127</v>
      </c>
      <c r="S40" s="1">
        <v>45474</v>
      </c>
      <c r="T40" s="1">
        <v>45823</v>
      </c>
      <c r="U40" t="s">
        <v>51</v>
      </c>
      <c r="V40">
        <v>1</v>
      </c>
      <c r="W40" s="1">
        <v>45797</v>
      </c>
      <c r="X40" t="s">
        <v>52</v>
      </c>
      <c r="Y40" s="2">
        <v>1</v>
      </c>
      <c r="Z40" s="2">
        <v>1</v>
      </c>
      <c r="AB40" s="3">
        <v>1</v>
      </c>
      <c r="AC40" s="2">
        <v>25.5</v>
      </c>
      <c r="AG40" s="2">
        <v>0</v>
      </c>
      <c r="AH40" s="2">
        <v>25.5</v>
      </c>
      <c r="AI40" s="2">
        <v>0</v>
      </c>
      <c r="AK40">
        <v>5438543</v>
      </c>
      <c r="AL40" t="s">
        <v>89</v>
      </c>
    </row>
    <row r="41" spans="1:38" x14ac:dyDescent="0.25">
      <c r="A41" s="1">
        <v>45799</v>
      </c>
      <c r="B41" s="1">
        <v>45792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160</v>
      </c>
      <c r="J41" t="s">
        <v>157</v>
      </c>
      <c r="M41" t="s">
        <v>46</v>
      </c>
      <c r="O41" t="s">
        <v>158</v>
      </c>
      <c r="P41" t="s">
        <v>159</v>
      </c>
      <c r="Q41" t="s">
        <v>49</v>
      </c>
      <c r="R41" t="s">
        <v>50</v>
      </c>
      <c r="S41" s="1">
        <v>45474</v>
      </c>
      <c r="T41" s="1">
        <v>45823</v>
      </c>
      <c r="U41" t="s">
        <v>51</v>
      </c>
      <c r="V41">
        <v>1</v>
      </c>
      <c r="W41" s="1">
        <v>45797</v>
      </c>
      <c r="X41" t="s">
        <v>52</v>
      </c>
      <c r="Y41" s="2">
        <v>1</v>
      </c>
      <c r="Z41" s="2">
        <v>1</v>
      </c>
      <c r="AB41" s="3">
        <v>1</v>
      </c>
      <c r="AC41" s="2">
        <v>9</v>
      </c>
      <c r="AG41" s="2">
        <v>0</v>
      </c>
      <c r="AH41" s="2">
        <v>9</v>
      </c>
      <c r="AI41" s="2">
        <v>0</v>
      </c>
      <c r="AK41">
        <v>5438544</v>
      </c>
      <c r="AL41" t="s">
        <v>89</v>
      </c>
    </row>
    <row r="42" spans="1:38" x14ac:dyDescent="0.25">
      <c r="A42" s="1">
        <v>45799</v>
      </c>
      <c r="B42" s="1">
        <v>45792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161</v>
      </c>
      <c r="J42" t="s">
        <v>162</v>
      </c>
      <c r="O42" t="s">
        <v>86</v>
      </c>
      <c r="P42" t="s">
        <v>87</v>
      </c>
      <c r="Q42" t="s">
        <v>49</v>
      </c>
      <c r="R42" t="s">
        <v>127</v>
      </c>
      <c r="S42" s="1">
        <v>45474</v>
      </c>
      <c r="T42" s="1">
        <v>45823</v>
      </c>
      <c r="U42" t="s">
        <v>51</v>
      </c>
      <c r="V42">
        <v>1</v>
      </c>
      <c r="W42" s="1">
        <v>45797</v>
      </c>
      <c r="X42" t="s">
        <v>52</v>
      </c>
      <c r="Y42" s="2">
        <v>1</v>
      </c>
      <c r="Z42" s="2">
        <v>1</v>
      </c>
      <c r="AB42" s="3">
        <v>1</v>
      </c>
      <c r="AC42" s="2">
        <v>25.5</v>
      </c>
      <c r="AG42" s="2">
        <v>0</v>
      </c>
      <c r="AH42" s="2">
        <v>25.5</v>
      </c>
      <c r="AI42" s="2">
        <v>0</v>
      </c>
      <c r="AK42">
        <v>5438545</v>
      </c>
      <c r="AL42" t="s">
        <v>89</v>
      </c>
    </row>
    <row r="43" spans="1:38" x14ac:dyDescent="0.25">
      <c r="A43" s="1">
        <v>45799</v>
      </c>
      <c r="B43" s="1">
        <v>45792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163</v>
      </c>
      <c r="J43" t="s">
        <v>162</v>
      </c>
      <c r="O43" t="s">
        <v>86</v>
      </c>
      <c r="P43" t="s">
        <v>87</v>
      </c>
      <c r="Q43" t="s">
        <v>58</v>
      </c>
      <c r="R43" t="s">
        <v>50</v>
      </c>
      <c r="S43" s="1">
        <v>45474</v>
      </c>
      <c r="T43" s="1">
        <v>45823</v>
      </c>
      <c r="U43" t="s">
        <v>51</v>
      </c>
      <c r="V43">
        <v>1</v>
      </c>
      <c r="W43" s="1">
        <v>45797</v>
      </c>
      <c r="X43" t="s">
        <v>52</v>
      </c>
      <c r="Y43" s="2">
        <v>1</v>
      </c>
      <c r="Z43" s="2">
        <v>1</v>
      </c>
      <c r="AB43" s="3">
        <v>1</v>
      </c>
      <c r="AC43" s="2">
        <v>9</v>
      </c>
      <c r="AG43" s="2">
        <v>0</v>
      </c>
      <c r="AH43" s="2">
        <v>9</v>
      </c>
      <c r="AI43" s="2">
        <v>0</v>
      </c>
      <c r="AK43">
        <v>5438546</v>
      </c>
      <c r="AL43" t="s">
        <v>89</v>
      </c>
    </row>
    <row r="44" spans="1:38" x14ac:dyDescent="0.25">
      <c r="A44" s="1">
        <v>45799</v>
      </c>
      <c r="B44" s="1">
        <v>45792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164</v>
      </c>
      <c r="J44" t="s">
        <v>165</v>
      </c>
      <c r="M44" t="s">
        <v>46</v>
      </c>
      <c r="O44" t="s">
        <v>62</v>
      </c>
      <c r="P44" t="s">
        <v>63</v>
      </c>
      <c r="Q44" t="s">
        <v>58</v>
      </c>
      <c r="R44" t="s">
        <v>50</v>
      </c>
      <c r="S44" s="1">
        <v>45474</v>
      </c>
      <c r="T44" s="1">
        <v>45823</v>
      </c>
      <c r="U44" t="s">
        <v>51</v>
      </c>
      <c r="V44">
        <v>1</v>
      </c>
      <c r="W44" s="1">
        <v>45797</v>
      </c>
      <c r="X44" t="s">
        <v>52</v>
      </c>
      <c r="Y44" s="2">
        <v>1</v>
      </c>
      <c r="Z44" s="2">
        <v>1</v>
      </c>
      <c r="AB44" s="3">
        <v>1</v>
      </c>
      <c r="AC44" s="2">
        <v>9</v>
      </c>
      <c r="AG44" s="2">
        <v>0</v>
      </c>
      <c r="AH44" s="2">
        <v>9</v>
      </c>
      <c r="AI44" s="2">
        <v>0</v>
      </c>
      <c r="AK44">
        <v>5464233</v>
      </c>
      <c r="AL44" t="s">
        <v>53</v>
      </c>
    </row>
    <row r="45" spans="1:38" x14ac:dyDescent="0.25">
      <c r="A45" s="1">
        <v>45799</v>
      </c>
      <c r="B45" s="1">
        <v>45792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166</v>
      </c>
      <c r="J45" t="s">
        <v>167</v>
      </c>
      <c r="M45" t="s">
        <v>46</v>
      </c>
      <c r="O45" t="s">
        <v>125</v>
      </c>
      <c r="P45" t="s">
        <v>126</v>
      </c>
      <c r="Q45" t="s">
        <v>58</v>
      </c>
      <c r="R45" t="s">
        <v>50</v>
      </c>
      <c r="S45" s="1">
        <v>45505</v>
      </c>
      <c r="T45" s="1">
        <v>45823</v>
      </c>
      <c r="U45" t="s">
        <v>51</v>
      </c>
      <c r="V45">
        <v>1</v>
      </c>
      <c r="W45" s="1">
        <v>45797</v>
      </c>
      <c r="X45" t="s">
        <v>52</v>
      </c>
      <c r="Y45" s="2">
        <v>1</v>
      </c>
      <c r="Z45" s="2">
        <v>1</v>
      </c>
      <c r="AB45" s="3">
        <v>1</v>
      </c>
      <c r="AC45" s="2">
        <v>9</v>
      </c>
      <c r="AG45" s="2">
        <v>0</v>
      </c>
      <c r="AH45" s="2">
        <v>9</v>
      </c>
      <c r="AI45" s="2">
        <v>0</v>
      </c>
      <c r="AK45">
        <v>5464236</v>
      </c>
      <c r="AL45" t="s">
        <v>53</v>
      </c>
    </row>
    <row r="46" spans="1:38" x14ac:dyDescent="0.25">
      <c r="A46" s="1">
        <v>45799</v>
      </c>
      <c r="B46" s="1">
        <v>45792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168</v>
      </c>
      <c r="J46" t="s">
        <v>169</v>
      </c>
      <c r="M46" t="s">
        <v>46</v>
      </c>
      <c r="O46" t="s">
        <v>125</v>
      </c>
      <c r="P46" t="s">
        <v>126</v>
      </c>
      <c r="Q46" t="s">
        <v>58</v>
      </c>
      <c r="R46" t="s">
        <v>50</v>
      </c>
      <c r="S46" s="1">
        <v>45474</v>
      </c>
      <c r="T46" s="1">
        <v>45823</v>
      </c>
      <c r="U46" t="s">
        <v>51</v>
      </c>
      <c r="V46">
        <v>1</v>
      </c>
      <c r="W46" s="1">
        <v>45797</v>
      </c>
      <c r="X46" t="s">
        <v>52</v>
      </c>
      <c r="Y46" s="2">
        <v>1</v>
      </c>
      <c r="Z46" s="2">
        <v>1</v>
      </c>
      <c r="AB46" s="3">
        <v>1</v>
      </c>
      <c r="AC46" s="2">
        <v>9</v>
      </c>
      <c r="AG46" s="2">
        <v>0</v>
      </c>
      <c r="AH46" s="2">
        <v>9</v>
      </c>
      <c r="AI46" s="2">
        <v>0</v>
      </c>
      <c r="AK46">
        <v>5464243</v>
      </c>
      <c r="AL46" t="s">
        <v>53</v>
      </c>
    </row>
    <row r="47" spans="1:38" x14ac:dyDescent="0.25">
      <c r="A47" s="1">
        <v>45799</v>
      </c>
      <c r="B47" s="1">
        <v>45792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170</v>
      </c>
      <c r="J47" t="s">
        <v>171</v>
      </c>
      <c r="M47" t="s">
        <v>46</v>
      </c>
      <c r="O47" t="s">
        <v>172</v>
      </c>
      <c r="P47" t="s">
        <v>173</v>
      </c>
      <c r="Q47" t="s">
        <v>58</v>
      </c>
      <c r="R47" t="s">
        <v>50</v>
      </c>
      <c r="S47" s="1">
        <v>45505</v>
      </c>
      <c r="T47" s="1">
        <v>45823</v>
      </c>
      <c r="U47" t="s">
        <v>51</v>
      </c>
      <c r="V47">
        <v>1</v>
      </c>
      <c r="W47" s="1">
        <v>45797</v>
      </c>
      <c r="X47" t="s">
        <v>52</v>
      </c>
      <c r="Y47" s="2">
        <v>1</v>
      </c>
      <c r="Z47" s="2">
        <v>1</v>
      </c>
      <c r="AB47" s="3">
        <v>1</v>
      </c>
      <c r="AC47" s="2">
        <v>9</v>
      </c>
      <c r="AG47" s="2">
        <v>0</v>
      </c>
      <c r="AH47" s="2">
        <v>9</v>
      </c>
      <c r="AI47" s="2">
        <v>0</v>
      </c>
      <c r="AK47">
        <v>5464255</v>
      </c>
      <c r="AL47" t="s">
        <v>53</v>
      </c>
    </row>
    <row r="48" spans="1:38" x14ac:dyDescent="0.25">
      <c r="A48" s="1">
        <v>45799</v>
      </c>
      <c r="B48" s="1">
        <v>45792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174</v>
      </c>
      <c r="J48" t="s">
        <v>175</v>
      </c>
      <c r="M48" t="s">
        <v>46</v>
      </c>
      <c r="O48" t="s">
        <v>86</v>
      </c>
      <c r="P48" t="s">
        <v>87</v>
      </c>
      <c r="Q48" t="s">
        <v>49</v>
      </c>
      <c r="R48" t="s">
        <v>127</v>
      </c>
      <c r="S48" s="1">
        <v>45474</v>
      </c>
      <c r="T48" s="1">
        <v>45823</v>
      </c>
      <c r="U48" t="s">
        <v>51</v>
      </c>
      <c r="V48">
        <v>1</v>
      </c>
      <c r="W48" s="1">
        <v>45797</v>
      </c>
      <c r="X48" t="s">
        <v>52</v>
      </c>
      <c r="Y48" s="2">
        <v>1</v>
      </c>
      <c r="Z48" s="2">
        <v>1</v>
      </c>
      <c r="AB48" s="3">
        <v>1</v>
      </c>
      <c r="AC48" s="2">
        <v>25.5</v>
      </c>
      <c r="AG48" s="2">
        <v>0</v>
      </c>
      <c r="AH48" s="2">
        <v>25.5</v>
      </c>
      <c r="AI48" s="2">
        <v>0</v>
      </c>
      <c r="AK48">
        <v>5438547</v>
      </c>
      <c r="AL48" t="s">
        <v>89</v>
      </c>
    </row>
    <row r="49" spans="1:38" x14ac:dyDescent="0.25">
      <c r="A49" s="1">
        <v>45799</v>
      </c>
      <c r="B49" s="1">
        <v>45792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176</v>
      </c>
      <c r="J49" t="s">
        <v>175</v>
      </c>
      <c r="M49" t="s">
        <v>46</v>
      </c>
      <c r="O49" t="s">
        <v>86</v>
      </c>
      <c r="P49" t="s">
        <v>87</v>
      </c>
      <c r="Q49" t="s">
        <v>49</v>
      </c>
      <c r="R49" t="s">
        <v>50</v>
      </c>
      <c r="S49" s="1">
        <v>45474</v>
      </c>
      <c r="T49" s="1">
        <v>45823</v>
      </c>
      <c r="U49" t="s">
        <v>51</v>
      </c>
      <c r="V49">
        <v>1</v>
      </c>
      <c r="W49" s="1">
        <v>45797</v>
      </c>
      <c r="X49" t="s">
        <v>52</v>
      </c>
      <c r="Y49" s="2">
        <v>1</v>
      </c>
      <c r="Z49" s="2">
        <v>1</v>
      </c>
      <c r="AB49" s="3">
        <v>1</v>
      </c>
      <c r="AC49" s="2">
        <v>9</v>
      </c>
      <c r="AG49" s="2">
        <v>0</v>
      </c>
      <c r="AH49" s="2">
        <v>9</v>
      </c>
      <c r="AI49" s="2">
        <v>0</v>
      </c>
      <c r="AK49">
        <v>5438548</v>
      </c>
      <c r="AL49" t="s">
        <v>89</v>
      </c>
    </row>
    <row r="50" spans="1:38" x14ac:dyDescent="0.25">
      <c r="A50" s="1">
        <v>45799</v>
      </c>
      <c r="B50" s="1">
        <v>45792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177</v>
      </c>
      <c r="J50" t="s">
        <v>178</v>
      </c>
      <c r="M50" t="s">
        <v>46</v>
      </c>
      <c r="O50" t="s">
        <v>158</v>
      </c>
      <c r="P50" t="s">
        <v>159</v>
      </c>
      <c r="Q50" t="s">
        <v>58</v>
      </c>
      <c r="R50" t="s">
        <v>50</v>
      </c>
      <c r="S50" s="1">
        <v>45474</v>
      </c>
      <c r="T50" s="1">
        <v>45823</v>
      </c>
      <c r="U50" t="s">
        <v>51</v>
      </c>
      <c r="V50">
        <v>1</v>
      </c>
      <c r="W50" s="1">
        <v>45797</v>
      </c>
      <c r="X50" t="s">
        <v>52</v>
      </c>
      <c r="Y50" s="2">
        <v>1</v>
      </c>
      <c r="Z50" s="2">
        <v>1</v>
      </c>
      <c r="AB50" s="3">
        <v>1</v>
      </c>
      <c r="AC50" s="2">
        <v>9</v>
      </c>
      <c r="AG50" s="2">
        <v>0</v>
      </c>
      <c r="AH50" s="2">
        <v>9</v>
      </c>
      <c r="AI50" s="2">
        <v>0</v>
      </c>
      <c r="AK50">
        <v>5464262</v>
      </c>
      <c r="AL50" t="s">
        <v>53</v>
      </c>
    </row>
    <row r="51" spans="1:38" x14ac:dyDescent="0.25">
      <c r="A51" s="1">
        <v>45799</v>
      </c>
      <c r="B51" s="1">
        <v>45792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179</v>
      </c>
      <c r="J51" t="s">
        <v>180</v>
      </c>
      <c r="M51" t="s">
        <v>46</v>
      </c>
      <c r="O51" t="s">
        <v>95</v>
      </c>
      <c r="P51" t="s">
        <v>96</v>
      </c>
      <c r="Q51" t="s">
        <v>58</v>
      </c>
      <c r="R51" t="s">
        <v>50</v>
      </c>
      <c r="S51" s="1">
        <v>45444</v>
      </c>
      <c r="T51" s="1">
        <v>45823</v>
      </c>
      <c r="U51" t="s">
        <v>51</v>
      </c>
      <c r="V51">
        <v>1</v>
      </c>
      <c r="W51" s="1">
        <v>45797</v>
      </c>
      <c r="X51" t="s">
        <v>52</v>
      </c>
      <c r="Y51" s="2">
        <v>1</v>
      </c>
      <c r="Z51" s="2">
        <v>1</v>
      </c>
      <c r="AB51" s="3">
        <v>1</v>
      </c>
      <c r="AC51" s="2">
        <v>9</v>
      </c>
      <c r="AG51" s="2">
        <v>0</v>
      </c>
      <c r="AH51" s="2">
        <v>9</v>
      </c>
      <c r="AI51" s="2">
        <v>0</v>
      </c>
      <c r="AK51">
        <v>5464264</v>
      </c>
      <c r="AL51" t="s">
        <v>53</v>
      </c>
    </row>
    <row r="52" spans="1:38" x14ac:dyDescent="0.25">
      <c r="A52" s="1">
        <v>45799</v>
      </c>
      <c r="B52" s="1">
        <v>45792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181</v>
      </c>
      <c r="J52" t="s">
        <v>182</v>
      </c>
      <c r="M52" t="s">
        <v>46</v>
      </c>
      <c r="O52" t="s">
        <v>86</v>
      </c>
      <c r="P52" t="s">
        <v>87</v>
      </c>
      <c r="Q52" t="s">
        <v>49</v>
      </c>
      <c r="R52" t="s">
        <v>88</v>
      </c>
      <c r="S52" s="1">
        <v>45474</v>
      </c>
      <c r="T52" s="1">
        <v>45823</v>
      </c>
      <c r="U52" t="s">
        <v>51</v>
      </c>
      <c r="V52">
        <v>1</v>
      </c>
      <c r="W52" s="1">
        <v>45797</v>
      </c>
      <c r="X52" t="s">
        <v>52</v>
      </c>
      <c r="Y52" s="2">
        <v>1</v>
      </c>
      <c r="Z52" s="2">
        <v>1</v>
      </c>
      <c r="AB52" s="3">
        <v>1</v>
      </c>
      <c r="AC52" s="2">
        <v>25.5</v>
      </c>
      <c r="AG52" s="2">
        <v>0</v>
      </c>
      <c r="AH52" s="2">
        <v>25.5</v>
      </c>
      <c r="AI52" s="2">
        <v>0</v>
      </c>
      <c r="AK52">
        <v>5438549</v>
      </c>
      <c r="AL52" t="s">
        <v>89</v>
      </c>
    </row>
    <row r="53" spans="1:38" x14ac:dyDescent="0.25">
      <c r="A53" s="1">
        <v>45799</v>
      </c>
      <c r="B53" s="1">
        <v>45792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183</v>
      </c>
      <c r="J53" t="s">
        <v>182</v>
      </c>
      <c r="M53" t="s">
        <v>46</v>
      </c>
      <c r="O53" t="s">
        <v>86</v>
      </c>
      <c r="P53" t="s">
        <v>87</v>
      </c>
      <c r="Q53" t="s">
        <v>49</v>
      </c>
      <c r="R53" t="s">
        <v>50</v>
      </c>
      <c r="S53" s="1">
        <v>45474</v>
      </c>
      <c r="T53" s="1">
        <v>45823</v>
      </c>
      <c r="U53" t="s">
        <v>51</v>
      </c>
      <c r="V53">
        <v>1</v>
      </c>
      <c r="W53" s="1">
        <v>45797</v>
      </c>
      <c r="X53" t="s">
        <v>52</v>
      </c>
      <c r="Y53" s="2">
        <v>1</v>
      </c>
      <c r="Z53" s="2">
        <v>1</v>
      </c>
      <c r="AB53" s="3">
        <v>1</v>
      </c>
      <c r="AC53" s="2">
        <v>9</v>
      </c>
      <c r="AG53" s="2">
        <v>0</v>
      </c>
      <c r="AH53" s="2">
        <v>9</v>
      </c>
      <c r="AI53" s="2">
        <v>0</v>
      </c>
      <c r="AK53">
        <v>5438550</v>
      </c>
      <c r="AL53" t="s">
        <v>89</v>
      </c>
    </row>
    <row r="54" spans="1:38" x14ac:dyDescent="0.25">
      <c r="A54" s="1">
        <v>45799</v>
      </c>
      <c r="B54" s="1">
        <v>45792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184</v>
      </c>
      <c r="J54" t="s">
        <v>185</v>
      </c>
      <c r="M54" t="s">
        <v>46</v>
      </c>
      <c r="O54" t="s">
        <v>186</v>
      </c>
      <c r="P54" t="s">
        <v>187</v>
      </c>
      <c r="Q54" t="s">
        <v>49</v>
      </c>
      <c r="R54" t="s">
        <v>188</v>
      </c>
      <c r="S54" s="1">
        <v>45474</v>
      </c>
      <c r="T54" s="1">
        <v>45823</v>
      </c>
      <c r="U54" t="s">
        <v>51</v>
      </c>
      <c r="V54">
        <v>1</v>
      </c>
      <c r="W54" s="1">
        <v>45797</v>
      </c>
      <c r="X54" t="s">
        <v>52</v>
      </c>
      <c r="Y54" s="2">
        <v>1</v>
      </c>
      <c r="Z54" s="2">
        <v>1</v>
      </c>
      <c r="AB54" s="3">
        <v>1</v>
      </c>
      <c r="AC54" s="2">
        <v>7</v>
      </c>
      <c r="AG54" s="2">
        <v>0</v>
      </c>
      <c r="AH54" s="2">
        <v>7</v>
      </c>
      <c r="AI54" s="2">
        <v>0</v>
      </c>
      <c r="AK54">
        <v>5464301</v>
      </c>
      <c r="AL54" t="s">
        <v>53</v>
      </c>
    </row>
    <row r="55" spans="1:38" x14ac:dyDescent="0.25">
      <c r="A55" s="1">
        <v>45799</v>
      </c>
      <c r="B55" s="1">
        <v>45792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189</v>
      </c>
      <c r="J55" t="s">
        <v>190</v>
      </c>
      <c r="M55" t="s">
        <v>46</v>
      </c>
      <c r="O55" t="s">
        <v>125</v>
      </c>
      <c r="P55" t="s">
        <v>126</v>
      </c>
      <c r="Q55" t="s">
        <v>58</v>
      </c>
      <c r="R55" t="s">
        <v>50</v>
      </c>
      <c r="S55" s="1">
        <v>45474</v>
      </c>
      <c r="T55" s="1">
        <v>45823</v>
      </c>
      <c r="U55" t="s">
        <v>51</v>
      </c>
      <c r="V55">
        <v>1</v>
      </c>
      <c r="W55" s="1">
        <v>45797</v>
      </c>
      <c r="X55" t="s">
        <v>52</v>
      </c>
      <c r="Y55" s="2">
        <v>1</v>
      </c>
      <c r="Z55" s="2">
        <v>1</v>
      </c>
      <c r="AB55" s="3">
        <v>1</v>
      </c>
      <c r="AC55" s="2">
        <v>9</v>
      </c>
      <c r="AG55" s="2">
        <v>0</v>
      </c>
      <c r="AH55" s="2">
        <v>9</v>
      </c>
      <c r="AI55" s="2">
        <v>0</v>
      </c>
      <c r="AK55">
        <v>5464319</v>
      </c>
      <c r="AL55" t="s">
        <v>53</v>
      </c>
    </row>
    <row r="56" spans="1:38" x14ac:dyDescent="0.25">
      <c r="A56" s="1">
        <v>45799</v>
      </c>
      <c r="B56" s="1">
        <v>45792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191</v>
      </c>
      <c r="J56" t="s">
        <v>192</v>
      </c>
      <c r="M56" t="s">
        <v>46</v>
      </c>
      <c r="O56" t="s">
        <v>86</v>
      </c>
      <c r="P56" t="s">
        <v>87</v>
      </c>
      <c r="Q56" t="s">
        <v>49</v>
      </c>
      <c r="R56" t="s">
        <v>127</v>
      </c>
      <c r="S56" s="1">
        <v>45505</v>
      </c>
      <c r="T56" s="1">
        <v>45823</v>
      </c>
      <c r="U56" t="s">
        <v>51</v>
      </c>
      <c r="V56">
        <v>1</v>
      </c>
      <c r="W56" s="1">
        <v>45797</v>
      </c>
      <c r="X56" t="s">
        <v>52</v>
      </c>
      <c r="Y56" s="2">
        <v>1</v>
      </c>
      <c r="Z56" s="2">
        <v>1</v>
      </c>
      <c r="AB56" s="3">
        <v>1</v>
      </c>
      <c r="AC56" s="2">
        <v>25.5</v>
      </c>
      <c r="AG56" s="2">
        <v>0</v>
      </c>
      <c r="AH56" s="2">
        <v>25.5</v>
      </c>
      <c r="AI56" s="2">
        <v>0</v>
      </c>
      <c r="AK56">
        <v>5438551</v>
      </c>
      <c r="AL56" t="s">
        <v>89</v>
      </c>
    </row>
    <row r="57" spans="1:38" x14ac:dyDescent="0.25">
      <c r="A57" s="1">
        <v>45799</v>
      </c>
      <c r="B57" s="1">
        <v>45792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193</v>
      </c>
      <c r="J57" t="s">
        <v>192</v>
      </c>
      <c r="M57" t="s">
        <v>46</v>
      </c>
      <c r="O57" t="s">
        <v>86</v>
      </c>
      <c r="P57" t="s">
        <v>87</v>
      </c>
      <c r="Q57" t="s">
        <v>49</v>
      </c>
      <c r="R57" t="s">
        <v>50</v>
      </c>
      <c r="S57" s="1">
        <v>45505</v>
      </c>
      <c r="T57" s="1">
        <v>45823</v>
      </c>
      <c r="U57" t="s">
        <v>51</v>
      </c>
      <c r="V57">
        <v>1</v>
      </c>
      <c r="W57" s="1">
        <v>45797</v>
      </c>
      <c r="X57" t="s">
        <v>52</v>
      </c>
      <c r="Y57" s="2">
        <v>1</v>
      </c>
      <c r="Z57" s="2">
        <v>1</v>
      </c>
      <c r="AB57" s="3">
        <v>1</v>
      </c>
      <c r="AC57" s="2">
        <v>9</v>
      </c>
      <c r="AG57" s="2">
        <v>0</v>
      </c>
      <c r="AH57" s="2">
        <v>9</v>
      </c>
      <c r="AI57" s="2">
        <v>0</v>
      </c>
      <c r="AK57">
        <v>5438552</v>
      </c>
      <c r="AL57" t="s">
        <v>89</v>
      </c>
    </row>
    <row r="58" spans="1:38" x14ac:dyDescent="0.25">
      <c r="A58" s="1">
        <v>45799</v>
      </c>
      <c r="B58" s="1">
        <v>45792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194</v>
      </c>
      <c r="J58" t="s">
        <v>195</v>
      </c>
      <c r="M58" t="s">
        <v>46</v>
      </c>
      <c r="O58" t="s">
        <v>125</v>
      </c>
      <c r="P58" t="s">
        <v>126</v>
      </c>
      <c r="Q58" t="s">
        <v>58</v>
      </c>
      <c r="R58" t="s">
        <v>50</v>
      </c>
      <c r="S58" s="1">
        <v>45536</v>
      </c>
      <c r="T58" s="1">
        <v>45823</v>
      </c>
      <c r="U58" t="s">
        <v>51</v>
      </c>
      <c r="V58">
        <v>1</v>
      </c>
      <c r="W58" s="1">
        <v>45797</v>
      </c>
      <c r="X58" t="s">
        <v>52</v>
      </c>
      <c r="Y58" s="2">
        <v>1</v>
      </c>
      <c r="Z58" s="2">
        <v>1</v>
      </c>
      <c r="AB58" s="3">
        <v>1</v>
      </c>
      <c r="AC58" s="2">
        <v>9</v>
      </c>
      <c r="AG58" s="2">
        <v>0</v>
      </c>
      <c r="AH58" s="2">
        <v>9</v>
      </c>
      <c r="AI58" s="2">
        <v>0</v>
      </c>
      <c r="AK58">
        <v>5464345</v>
      </c>
      <c r="AL58" t="s">
        <v>53</v>
      </c>
    </row>
    <row r="59" spans="1:38" x14ac:dyDescent="0.25">
      <c r="A59" s="1">
        <v>45799</v>
      </c>
      <c r="B59" s="1">
        <v>45792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196</v>
      </c>
      <c r="J59" t="s">
        <v>197</v>
      </c>
      <c r="M59" t="s">
        <v>46</v>
      </c>
      <c r="O59" t="s">
        <v>186</v>
      </c>
      <c r="P59" t="s">
        <v>187</v>
      </c>
      <c r="Q59" t="s">
        <v>49</v>
      </c>
      <c r="R59" t="s">
        <v>188</v>
      </c>
      <c r="S59" s="1">
        <v>45505</v>
      </c>
      <c r="T59" s="1">
        <v>45823</v>
      </c>
      <c r="U59" t="s">
        <v>51</v>
      </c>
      <c r="V59">
        <v>1</v>
      </c>
      <c r="W59" s="1">
        <v>45797</v>
      </c>
      <c r="X59" t="s">
        <v>52</v>
      </c>
      <c r="Y59" s="2">
        <v>1</v>
      </c>
      <c r="Z59" s="2">
        <v>1</v>
      </c>
      <c r="AB59" s="3">
        <v>1</v>
      </c>
      <c r="AC59" s="2">
        <v>7</v>
      </c>
      <c r="AG59" s="2">
        <v>0</v>
      </c>
      <c r="AH59" s="2">
        <v>7</v>
      </c>
      <c r="AI59" s="2">
        <v>0</v>
      </c>
      <c r="AK59">
        <v>5464354</v>
      </c>
      <c r="AL59" t="s">
        <v>53</v>
      </c>
    </row>
    <row r="60" spans="1:38" x14ac:dyDescent="0.25">
      <c r="A60" s="1">
        <v>45799</v>
      </c>
      <c r="B60" s="1">
        <v>45792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198</v>
      </c>
      <c r="J60" t="s">
        <v>199</v>
      </c>
      <c r="M60" t="s">
        <v>46</v>
      </c>
      <c r="O60" t="s">
        <v>62</v>
      </c>
      <c r="P60" t="s">
        <v>63</v>
      </c>
      <c r="Q60" t="s">
        <v>58</v>
      </c>
      <c r="R60" t="s">
        <v>50</v>
      </c>
      <c r="S60" s="1">
        <v>45536</v>
      </c>
      <c r="T60" s="1">
        <v>45823</v>
      </c>
      <c r="U60" t="s">
        <v>51</v>
      </c>
      <c r="V60">
        <v>1</v>
      </c>
      <c r="W60" s="1">
        <v>45797</v>
      </c>
      <c r="X60" t="s">
        <v>52</v>
      </c>
      <c r="Y60" s="2">
        <v>1</v>
      </c>
      <c r="Z60" s="2">
        <v>1</v>
      </c>
      <c r="AB60" s="3">
        <v>1</v>
      </c>
      <c r="AC60" s="2">
        <v>9</v>
      </c>
      <c r="AG60" s="2">
        <v>0</v>
      </c>
      <c r="AH60" s="2">
        <v>9</v>
      </c>
      <c r="AI60" s="2">
        <v>0</v>
      </c>
      <c r="AK60">
        <v>5464380</v>
      </c>
      <c r="AL60" t="s">
        <v>53</v>
      </c>
    </row>
    <row r="61" spans="1:38" x14ac:dyDescent="0.25">
      <c r="A61" s="1">
        <v>45799</v>
      </c>
      <c r="B61" s="1">
        <v>45792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200</v>
      </c>
      <c r="J61" t="s">
        <v>201</v>
      </c>
      <c r="M61" t="s">
        <v>46</v>
      </c>
      <c r="O61" t="s">
        <v>86</v>
      </c>
      <c r="P61" t="s">
        <v>87</v>
      </c>
      <c r="Q61" t="s">
        <v>49</v>
      </c>
      <c r="R61" t="s">
        <v>127</v>
      </c>
      <c r="S61" s="1">
        <v>45505</v>
      </c>
      <c r="T61" s="1">
        <v>45823</v>
      </c>
      <c r="U61" t="s">
        <v>51</v>
      </c>
      <c r="V61">
        <v>1</v>
      </c>
      <c r="W61" s="1">
        <v>45797</v>
      </c>
      <c r="X61" t="s">
        <v>52</v>
      </c>
      <c r="Y61" s="2">
        <v>1</v>
      </c>
      <c r="Z61" s="2">
        <v>1</v>
      </c>
      <c r="AB61" s="3">
        <v>1</v>
      </c>
      <c r="AC61" s="2">
        <v>25.5</v>
      </c>
      <c r="AG61" s="2">
        <v>0</v>
      </c>
      <c r="AH61" s="2">
        <v>25.5</v>
      </c>
      <c r="AI61" s="2">
        <v>0</v>
      </c>
      <c r="AK61">
        <v>5438553</v>
      </c>
      <c r="AL61" t="s">
        <v>89</v>
      </c>
    </row>
    <row r="62" spans="1:38" x14ac:dyDescent="0.25">
      <c r="A62" s="1">
        <v>45799</v>
      </c>
      <c r="B62" s="1">
        <v>45792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202</v>
      </c>
      <c r="J62" t="s">
        <v>201</v>
      </c>
      <c r="M62" t="s">
        <v>46</v>
      </c>
      <c r="O62" t="s">
        <v>86</v>
      </c>
      <c r="P62" t="s">
        <v>87</v>
      </c>
      <c r="Q62" t="s">
        <v>49</v>
      </c>
      <c r="R62" t="s">
        <v>50</v>
      </c>
      <c r="S62" s="1">
        <v>45505</v>
      </c>
      <c r="T62" s="1">
        <v>45823</v>
      </c>
      <c r="U62" t="s">
        <v>51</v>
      </c>
      <c r="V62">
        <v>1</v>
      </c>
      <c r="W62" s="1">
        <v>45797</v>
      </c>
      <c r="X62" t="s">
        <v>52</v>
      </c>
      <c r="Y62" s="2">
        <v>1</v>
      </c>
      <c r="Z62" s="2">
        <v>1</v>
      </c>
      <c r="AB62" s="3">
        <v>1</v>
      </c>
      <c r="AC62" s="2">
        <v>9</v>
      </c>
      <c r="AG62" s="2">
        <v>0</v>
      </c>
      <c r="AH62" s="2">
        <v>9</v>
      </c>
      <c r="AI62" s="2">
        <v>0</v>
      </c>
      <c r="AK62">
        <v>5438554</v>
      </c>
      <c r="AL62" t="s">
        <v>89</v>
      </c>
    </row>
    <row r="63" spans="1:38" x14ac:dyDescent="0.25">
      <c r="A63" s="1">
        <v>45799</v>
      </c>
      <c r="B63" s="1">
        <v>45792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203</v>
      </c>
      <c r="J63" t="s">
        <v>204</v>
      </c>
      <c r="M63" t="s">
        <v>46</v>
      </c>
      <c r="O63" t="s">
        <v>62</v>
      </c>
      <c r="P63" t="s">
        <v>63</v>
      </c>
      <c r="Q63" t="s">
        <v>58</v>
      </c>
      <c r="R63" t="s">
        <v>50</v>
      </c>
      <c r="S63" s="1">
        <v>45505</v>
      </c>
      <c r="T63" s="1">
        <v>45823</v>
      </c>
      <c r="U63" t="s">
        <v>51</v>
      </c>
      <c r="V63">
        <v>1</v>
      </c>
      <c r="W63" s="1">
        <v>45797</v>
      </c>
      <c r="X63" t="s">
        <v>52</v>
      </c>
      <c r="Y63" s="2">
        <v>1</v>
      </c>
      <c r="Z63" s="2">
        <v>1</v>
      </c>
      <c r="AB63" s="3">
        <v>1</v>
      </c>
      <c r="AC63" s="2">
        <v>9</v>
      </c>
      <c r="AG63" s="2">
        <v>0</v>
      </c>
      <c r="AH63" s="2">
        <v>9</v>
      </c>
      <c r="AI63" s="2">
        <v>0</v>
      </c>
      <c r="AK63">
        <v>5464389</v>
      </c>
      <c r="AL63" t="s">
        <v>53</v>
      </c>
    </row>
    <row r="64" spans="1:38" x14ac:dyDescent="0.25">
      <c r="A64" s="1">
        <v>45799</v>
      </c>
      <c r="B64" s="1">
        <v>45792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205</v>
      </c>
      <c r="J64" t="s">
        <v>206</v>
      </c>
      <c r="M64" t="s">
        <v>46</v>
      </c>
      <c r="O64" t="s">
        <v>82</v>
      </c>
      <c r="P64" t="s">
        <v>83</v>
      </c>
      <c r="Q64" t="s">
        <v>58</v>
      </c>
      <c r="R64" t="s">
        <v>50</v>
      </c>
      <c r="S64" s="1">
        <v>45505</v>
      </c>
      <c r="T64" s="1">
        <v>45823</v>
      </c>
      <c r="U64" t="s">
        <v>51</v>
      </c>
      <c r="V64">
        <v>1</v>
      </c>
      <c r="W64" s="1">
        <v>45797</v>
      </c>
      <c r="X64" t="s">
        <v>52</v>
      </c>
      <c r="Y64" s="2">
        <v>1</v>
      </c>
      <c r="Z64" s="2">
        <v>1</v>
      </c>
      <c r="AB64" s="3">
        <v>1</v>
      </c>
      <c r="AC64" s="2">
        <v>9</v>
      </c>
      <c r="AG64" s="2">
        <v>0</v>
      </c>
      <c r="AH64" s="2">
        <v>9</v>
      </c>
      <c r="AI64" s="2">
        <v>0</v>
      </c>
      <c r="AK64">
        <v>5464398</v>
      </c>
      <c r="AL64" t="s">
        <v>53</v>
      </c>
    </row>
    <row r="65" spans="1:38" x14ac:dyDescent="0.25">
      <c r="A65" s="1">
        <v>45799</v>
      </c>
      <c r="B65" s="1">
        <v>45792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207</v>
      </c>
      <c r="J65" t="s">
        <v>208</v>
      </c>
      <c r="M65" t="s">
        <v>46</v>
      </c>
      <c r="O65" t="s">
        <v>125</v>
      </c>
      <c r="P65" t="s">
        <v>126</v>
      </c>
      <c r="Q65" t="s">
        <v>58</v>
      </c>
      <c r="R65" t="s">
        <v>50</v>
      </c>
      <c r="S65" s="1">
        <v>45505</v>
      </c>
      <c r="T65" s="1">
        <v>45823</v>
      </c>
      <c r="U65" t="s">
        <v>51</v>
      </c>
      <c r="V65">
        <v>1</v>
      </c>
      <c r="W65" s="1">
        <v>45797</v>
      </c>
      <c r="X65" t="s">
        <v>52</v>
      </c>
      <c r="Y65" s="2">
        <v>1</v>
      </c>
      <c r="Z65" s="2">
        <v>1</v>
      </c>
      <c r="AB65" s="3">
        <v>1</v>
      </c>
      <c r="AC65" s="2">
        <v>9</v>
      </c>
      <c r="AG65" s="2">
        <v>0</v>
      </c>
      <c r="AH65" s="2">
        <v>9</v>
      </c>
      <c r="AI65" s="2">
        <v>0</v>
      </c>
      <c r="AK65">
        <v>5464402</v>
      </c>
      <c r="AL65" t="s">
        <v>53</v>
      </c>
    </row>
    <row r="66" spans="1:38" x14ac:dyDescent="0.25">
      <c r="A66" s="1">
        <v>45799</v>
      </c>
      <c r="B66" s="1">
        <v>45792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209</v>
      </c>
      <c r="J66" t="s">
        <v>210</v>
      </c>
      <c r="M66" t="s">
        <v>46</v>
      </c>
      <c r="O66" t="s">
        <v>125</v>
      </c>
      <c r="P66" t="s">
        <v>126</v>
      </c>
      <c r="Q66" t="s">
        <v>58</v>
      </c>
      <c r="R66" t="s">
        <v>50</v>
      </c>
      <c r="S66" s="1">
        <v>45505</v>
      </c>
      <c r="T66" s="1">
        <v>45823</v>
      </c>
      <c r="U66" t="s">
        <v>51</v>
      </c>
      <c r="V66">
        <v>1</v>
      </c>
      <c r="W66" s="1">
        <v>45797</v>
      </c>
      <c r="X66" t="s">
        <v>52</v>
      </c>
      <c r="Y66" s="2">
        <v>1</v>
      </c>
      <c r="Z66" s="2">
        <v>1</v>
      </c>
      <c r="AB66" s="3">
        <v>1</v>
      </c>
      <c r="AC66" s="2">
        <v>9</v>
      </c>
      <c r="AG66" s="2">
        <v>0</v>
      </c>
      <c r="AH66" s="2">
        <v>9</v>
      </c>
      <c r="AI66" s="2">
        <v>0</v>
      </c>
      <c r="AK66">
        <v>5464404</v>
      </c>
      <c r="AL66" t="s">
        <v>53</v>
      </c>
    </row>
    <row r="67" spans="1:38" x14ac:dyDescent="0.25">
      <c r="A67" s="1">
        <v>45799</v>
      </c>
      <c r="B67" s="1">
        <v>45792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211</v>
      </c>
      <c r="J67" t="s">
        <v>212</v>
      </c>
      <c r="M67" t="s">
        <v>46</v>
      </c>
      <c r="O67" t="s">
        <v>62</v>
      </c>
      <c r="P67" t="s">
        <v>63</v>
      </c>
      <c r="Q67" t="s">
        <v>58</v>
      </c>
      <c r="R67" t="s">
        <v>50</v>
      </c>
      <c r="S67" s="1">
        <v>45505</v>
      </c>
      <c r="T67" s="1">
        <v>45823</v>
      </c>
      <c r="U67" t="s">
        <v>51</v>
      </c>
      <c r="V67">
        <v>1</v>
      </c>
      <c r="W67" s="1">
        <v>45797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5464424</v>
      </c>
      <c r="AL67" t="s">
        <v>53</v>
      </c>
    </row>
    <row r="68" spans="1:38" x14ac:dyDescent="0.25">
      <c r="A68" s="1">
        <v>45799</v>
      </c>
      <c r="B68" s="1">
        <v>45792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213</v>
      </c>
      <c r="J68" t="s">
        <v>214</v>
      </c>
      <c r="M68" t="s">
        <v>46</v>
      </c>
      <c r="O68" t="s">
        <v>186</v>
      </c>
      <c r="P68" t="s">
        <v>187</v>
      </c>
      <c r="Q68" t="s">
        <v>49</v>
      </c>
      <c r="R68" t="s">
        <v>50</v>
      </c>
      <c r="S68" s="1">
        <v>45505</v>
      </c>
      <c r="T68" s="1">
        <v>45823</v>
      </c>
      <c r="U68" t="s">
        <v>51</v>
      </c>
      <c r="V68">
        <v>1</v>
      </c>
      <c r="W68" s="1">
        <v>45797</v>
      </c>
      <c r="X68" t="s">
        <v>52</v>
      </c>
      <c r="Y68" s="2">
        <v>1</v>
      </c>
      <c r="Z68" s="2">
        <v>1</v>
      </c>
      <c r="AB68" s="3">
        <v>1</v>
      </c>
      <c r="AC68" s="2">
        <v>9</v>
      </c>
      <c r="AG68" s="2">
        <v>0</v>
      </c>
      <c r="AH68" s="2">
        <v>9</v>
      </c>
      <c r="AI68" s="2">
        <v>0</v>
      </c>
      <c r="AK68">
        <v>5464456</v>
      </c>
      <c r="AL68" t="s">
        <v>53</v>
      </c>
    </row>
    <row r="69" spans="1:38" x14ac:dyDescent="0.25">
      <c r="A69" s="1">
        <v>45799</v>
      </c>
      <c r="B69" s="1">
        <v>45792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215</v>
      </c>
      <c r="J69" t="s">
        <v>216</v>
      </c>
      <c r="M69" t="s">
        <v>46</v>
      </c>
      <c r="O69" t="s">
        <v>66</v>
      </c>
      <c r="P69" t="s">
        <v>67</v>
      </c>
      <c r="Q69" t="s">
        <v>58</v>
      </c>
      <c r="R69" t="s">
        <v>50</v>
      </c>
      <c r="S69" s="1">
        <v>45505</v>
      </c>
      <c r="T69" s="1">
        <v>45823</v>
      </c>
      <c r="U69" t="s">
        <v>51</v>
      </c>
      <c r="V69">
        <v>1</v>
      </c>
      <c r="W69" s="1">
        <v>45797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5464460</v>
      </c>
      <c r="AL69" t="s">
        <v>53</v>
      </c>
    </row>
    <row r="70" spans="1:38" x14ac:dyDescent="0.25">
      <c r="A70" s="1">
        <v>45799</v>
      </c>
      <c r="B70" s="1">
        <v>45792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217</v>
      </c>
      <c r="J70" t="s">
        <v>218</v>
      </c>
      <c r="M70" t="s">
        <v>46</v>
      </c>
      <c r="O70" t="s">
        <v>62</v>
      </c>
      <c r="P70" t="s">
        <v>63</v>
      </c>
      <c r="Q70" t="s">
        <v>49</v>
      </c>
      <c r="R70" t="s">
        <v>50</v>
      </c>
      <c r="S70" s="1">
        <v>45536</v>
      </c>
      <c r="T70" s="1">
        <v>45823</v>
      </c>
      <c r="U70" t="s">
        <v>51</v>
      </c>
      <c r="V70">
        <v>1</v>
      </c>
      <c r="W70" s="1">
        <v>45797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5464461</v>
      </c>
      <c r="AL70" t="s">
        <v>53</v>
      </c>
    </row>
    <row r="71" spans="1:38" x14ac:dyDescent="0.25">
      <c r="A71" s="1">
        <v>45799</v>
      </c>
      <c r="B71" s="1">
        <v>45792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219</v>
      </c>
      <c r="J71" t="s">
        <v>220</v>
      </c>
      <c r="M71" t="s">
        <v>46</v>
      </c>
      <c r="O71" t="s">
        <v>221</v>
      </c>
      <c r="P71" t="s">
        <v>222</v>
      </c>
      <c r="Q71" t="s">
        <v>58</v>
      </c>
      <c r="R71" t="s">
        <v>50</v>
      </c>
      <c r="S71" s="1">
        <v>45505</v>
      </c>
      <c r="T71" s="1">
        <v>45823</v>
      </c>
      <c r="U71" t="s">
        <v>51</v>
      </c>
      <c r="V71">
        <v>1</v>
      </c>
      <c r="W71" s="1">
        <v>45797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5464476</v>
      </c>
      <c r="AL71" t="s">
        <v>53</v>
      </c>
    </row>
    <row r="72" spans="1:38" x14ac:dyDescent="0.25">
      <c r="A72" s="1">
        <v>45799</v>
      </c>
      <c r="B72" s="1">
        <v>45792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223</v>
      </c>
      <c r="J72" t="s">
        <v>224</v>
      </c>
      <c r="M72" t="s">
        <v>46</v>
      </c>
      <c r="O72" t="s">
        <v>225</v>
      </c>
      <c r="P72" t="s">
        <v>226</v>
      </c>
      <c r="Q72" t="s">
        <v>49</v>
      </c>
      <c r="R72" t="s">
        <v>50</v>
      </c>
      <c r="S72" s="1">
        <v>45566</v>
      </c>
      <c r="T72" s="1">
        <v>45823</v>
      </c>
      <c r="U72" t="s">
        <v>51</v>
      </c>
      <c r="V72">
        <v>1</v>
      </c>
      <c r="W72" s="1">
        <v>45797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5464494</v>
      </c>
      <c r="AL72" t="s">
        <v>53</v>
      </c>
    </row>
    <row r="73" spans="1:38" x14ac:dyDescent="0.25">
      <c r="A73" s="1">
        <v>45799</v>
      </c>
      <c r="B73" s="1">
        <v>45792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227</v>
      </c>
      <c r="J73" t="s">
        <v>228</v>
      </c>
      <c r="M73" t="s">
        <v>46</v>
      </c>
      <c r="O73" t="s">
        <v>229</v>
      </c>
      <c r="P73" t="s">
        <v>230</v>
      </c>
      <c r="Q73" t="s">
        <v>58</v>
      </c>
      <c r="R73" t="s">
        <v>50</v>
      </c>
      <c r="S73" s="1">
        <v>45536</v>
      </c>
      <c r="T73" s="1">
        <v>45823</v>
      </c>
      <c r="U73" t="s">
        <v>51</v>
      </c>
      <c r="V73">
        <v>1</v>
      </c>
      <c r="W73" s="1">
        <v>45797</v>
      </c>
      <c r="X73" t="s">
        <v>52</v>
      </c>
      <c r="Y73" s="2">
        <v>1</v>
      </c>
      <c r="Z73" s="2">
        <v>1</v>
      </c>
      <c r="AB73" s="3">
        <v>1</v>
      </c>
      <c r="AC73" s="2">
        <v>9</v>
      </c>
      <c r="AG73" s="2">
        <v>0</v>
      </c>
      <c r="AH73" s="2">
        <v>9</v>
      </c>
      <c r="AI73" s="2">
        <v>0</v>
      </c>
      <c r="AK73">
        <v>5464507</v>
      </c>
      <c r="AL73" t="s">
        <v>53</v>
      </c>
    </row>
    <row r="74" spans="1:38" x14ac:dyDescent="0.25">
      <c r="A74" s="1">
        <v>45799</v>
      </c>
      <c r="B74" s="1">
        <v>45792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231</v>
      </c>
      <c r="J74" t="s">
        <v>232</v>
      </c>
      <c r="M74" t="s">
        <v>46</v>
      </c>
      <c r="O74" t="s">
        <v>172</v>
      </c>
      <c r="P74" t="s">
        <v>173</v>
      </c>
      <c r="Q74" t="s">
        <v>58</v>
      </c>
      <c r="R74" t="s">
        <v>50</v>
      </c>
      <c r="S74" s="1">
        <v>45505</v>
      </c>
      <c r="T74" s="1">
        <v>45823</v>
      </c>
      <c r="U74" t="s">
        <v>51</v>
      </c>
      <c r="V74">
        <v>1</v>
      </c>
      <c r="W74" s="1">
        <v>45797</v>
      </c>
      <c r="X74" t="s">
        <v>52</v>
      </c>
      <c r="Y74" s="2">
        <v>1</v>
      </c>
      <c r="Z74" s="2">
        <v>1</v>
      </c>
      <c r="AB74" s="3">
        <v>1</v>
      </c>
      <c r="AC74" s="2">
        <v>9</v>
      </c>
      <c r="AG74" s="2">
        <v>0</v>
      </c>
      <c r="AH74" s="2">
        <v>9</v>
      </c>
      <c r="AI74" s="2">
        <v>0</v>
      </c>
      <c r="AK74">
        <v>5464539</v>
      </c>
      <c r="AL74" t="s">
        <v>53</v>
      </c>
    </row>
    <row r="75" spans="1:38" x14ac:dyDescent="0.25">
      <c r="A75" s="1">
        <v>45799</v>
      </c>
      <c r="B75" s="1">
        <v>45792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233</v>
      </c>
      <c r="J75" t="s">
        <v>234</v>
      </c>
      <c r="M75" t="s">
        <v>46</v>
      </c>
      <c r="O75" t="s">
        <v>86</v>
      </c>
      <c r="P75" t="s">
        <v>87</v>
      </c>
      <c r="Q75" t="s">
        <v>49</v>
      </c>
      <c r="R75" t="s">
        <v>127</v>
      </c>
      <c r="S75" s="1">
        <v>45536</v>
      </c>
      <c r="T75" s="1">
        <v>45823</v>
      </c>
      <c r="U75" t="s">
        <v>51</v>
      </c>
      <c r="V75">
        <v>1</v>
      </c>
      <c r="W75" s="1">
        <v>45797</v>
      </c>
      <c r="X75" t="s">
        <v>52</v>
      </c>
      <c r="Y75" s="2">
        <v>1</v>
      </c>
      <c r="Z75" s="2">
        <v>1</v>
      </c>
      <c r="AB75" s="3">
        <v>1</v>
      </c>
      <c r="AC75" s="2">
        <v>25.5</v>
      </c>
      <c r="AG75" s="2">
        <v>0</v>
      </c>
      <c r="AH75" s="2">
        <v>25.5</v>
      </c>
      <c r="AI75" s="2">
        <v>0</v>
      </c>
      <c r="AK75">
        <v>5438555</v>
      </c>
      <c r="AL75" t="s">
        <v>89</v>
      </c>
    </row>
    <row r="76" spans="1:38" x14ac:dyDescent="0.25">
      <c r="A76" s="1">
        <v>45799</v>
      </c>
      <c r="B76" s="1">
        <v>45792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235</v>
      </c>
      <c r="J76" t="s">
        <v>234</v>
      </c>
      <c r="M76" t="s">
        <v>46</v>
      </c>
      <c r="O76" t="s">
        <v>86</v>
      </c>
      <c r="P76" t="s">
        <v>87</v>
      </c>
      <c r="Q76" t="s">
        <v>49</v>
      </c>
      <c r="R76" t="s">
        <v>50</v>
      </c>
      <c r="S76" s="1">
        <v>45536</v>
      </c>
      <c r="T76" s="1">
        <v>45823</v>
      </c>
      <c r="U76" t="s">
        <v>51</v>
      </c>
      <c r="V76">
        <v>1</v>
      </c>
      <c r="W76" s="1">
        <v>45797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5438556</v>
      </c>
      <c r="AL76" t="s">
        <v>89</v>
      </c>
    </row>
    <row r="77" spans="1:38" x14ac:dyDescent="0.25">
      <c r="A77" s="1">
        <v>45799</v>
      </c>
      <c r="B77" s="1">
        <v>45792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236</v>
      </c>
      <c r="J77" t="s">
        <v>237</v>
      </c>
      <c r="M77" t="s">
        <v>46</v>
      </c>
      <c r="O77" t="s">
        <v>62</v>
      </c>
      <c r="P77" t="s">
        <v>63</v>
      </c>
      <c r="Q77" t="s">
        <v>58</v>
      </c>
      <c r="R77" t="s">
        <v>50</v>
      </c>
      <c r="S77" s="1">
        <v>45536</v>
      </c>
      <c r="T77" s="1">
        <v>45823</v>
      </c>
      <c r="U77" t="s">
        <v>51</v>
      </c>
      <c r="V77">
        <v>1</v>
      </c>
      <c r="W77" s="1">
        <v>45797</v>
      </c>
      <c r="X77" t="s">
        <v>52</v>
      </c>
      <c r="Y77" s="2">
        <v>1</v>
      </c>
      <c r="Z77" s="2">
        <v>1</v>
      </c>
      <c r="AB77" s="3">
        <v>1</v>
      </c>
      <c r="AC77" s="2">
        <v>9</v>
      </c>
      <c r="AG77" s="2">
        <v>0</v>
      </c>
      <c r="AH77" s="2">
        <v>9</v>
      </c>
      <c r="AI77" s="2">
        <v>0</v>
      </c>
      <c r="AK77">
        <v>5464618</v>
      </c>
      <c r="AL77" t="s">
        <v>53</v>
      </c>
    </row>
    <row r="78" spans="1:38" x14ac:dyDescent="0.25">
      <c r="A78" s="1">
        <v>45799</v>
      </c>
      <c r="B78" s="1">
        <v>45792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238</v>
      </c>
      <c r="J78" t="s">
        <v>239</v>
      </c>
      <c r="M78" t="s">
        <v>46</v>
      </c>
      <c r="O78" t="s">
        <v>95</v>
      </c>
      <c r="P78" t="s">
        <v>96</v>
      </c>
      <c r="Q78" t="s">
        <v>58</v>
      </c>
      <c r="R78" t="s">
        <v>50</v>
      </c>
      <c r="S78" s="1">
        <v>45597</v>
      </c>
      <c r="T78" s="1">
        <v>45823</v>
      </c>
      <c r="U78" t="s">
        <v>51</v>
      </c>
      <c r="V78">
        <v>1</v>
      </c>
      <c r="W78" s="1">
        <v>45797</v>
      </c>
      <c r="X78" t="s">
        <v>52</v>
      </c>
      <c r="Y78" s="2">
        <v>1</v>
      </c>
      <c r="Z78" s="2">
        <v>1</v>
      </c>
      <c r="AB78" s="3">
        <v>1</v>
      </c>
      <c r="AC78" s="2">
        <v>9</v>
      </c>
      <c r="AG78" s="2">
        <v>0</v>
      </c>
      <c r="AH78" s="2">
        <v>9</v>
      </c>
      <c r="AI78" s="2">
        <v>0</v>
      </c>
      <c r="AK78">
        <v>5464628</v>
      </c>
      <c r="AL78" t="s">
        <v>53</v>
      </c>
    </row>
    <row r="79" spans="1:38" x14ac:dyDescent="0.25">
      <c r="A79" s="1">
        <v>45799</v>
      </c>
      <c r="B79" s="1">
        <v>45792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240</v>
      </c>
      <c r="J79" t="s">
        <v>241</v>
      </c>
      <c r="M79" t="s">
        <v>46</v>
      </c>
      <c r="O79" t="s">
        <v>86</v>
      </c>
      <c r="P79" t="s">
        <v>87</v>
      </c>
      <c r="Q79" t="s">
        <v>49</v>
      </c>
      <c r="R79" t="s">
        <v>127</v>
      </c>
      <c r="S79" s="1">
        <v>45536</v>
      </c>
      <c r="T79" s="1">
        <v>45823</v>
      </c>
      <c r="U79" t="s">
        <v>51</v>
      </c>
      <c r="V79">
        <v>1</v>
      </c>
      <c r="W79" s="1">
        <v>45797</v>
      </c>
      <c r="X79" t="s">
        <v>52</v>
      </c>
      <c r="Y79" s="2">
        <v>1</v>
      </c>
      <c r="Z79" s="2">
        <v>1</v>
      </c>
      <c r="AB79" s="3">
        <v>1</v>
      </c>
      <c r="AC79" s="2">
        <v>25.5</v>
      </c>
      <c r="AG79" s="2">
        <v>0</v>
      </c>
      <c r="AH79" s="2">
        <v>25.5</v>
      </c>
      <c r="AI79" s="2">
        <v>0</v>
      </c>
      <c r="AK79">
        <v>5438557</v>
      </c>
      <c r="AL79" t="s">
        <v>89</v>
      </c>
    </row>
    <row r="80" spans="1:38" x14ac:dyDescent="0.25">
      <c r="A80" s="1">
        <v>45799</v>
      </c>
      <c r="B80" s="1">
        <v>45792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242</v>
      </c>
      <c r="J80" t="s">
        <v>241</v>
      </c>
      <c r="M80" t="s">
        <v>46</v>
      </c>
      <c r="O80" t="s">
        <v>86</v>
      </c>
      <c r="P80" t="s">
        <v>87</v>
      </c>
      <c r="Q80" t="s">
        <v>49</v>
      </c>
      <c r="R80" t="s">
        <v>50</v>
      </c>
      <c r="S80" s="1">
        <v>45536</v>
      </c>
      <c r="T80" s="1">
        <v>45823</v>
      </c>
      <c r="U80" t="s">
        <v>51</v>
      </c>
      <c r="V80">
        <v>1</v>
      </c>
      <c r="W80" s="1">
        <v>45797</v>
      </c>
      <c r="X80" t="s">
        <v>52</v>
      </c>
      <c r="Y80" s="2">
        <v>1</v>
      </c>
      <c r="Z80" s="2">
        <v>1</v>
      </c>
      <c r="AB80" s="3">
        <v>1</v>
      </c>
      <c r="AC80" s="2">
        <v>9</v>
      </c>
      <c r="AG80" s="2">
        <v>0</v>
      </c>
      <c r="AH80" s="2">
        <v>9</v>
      </c>
      <c r="AI80" s="2">
        <v>0</v>
      </c>
      <c r="AK80">
        <v>5438558</v>
      </c>
      <c r="AL80" t="s">
        <v>89</v>
      </c>
    </row>
    <row r="81" spans="1:38" x14ac:dyDescent="0.25">
      <c r="A81" s="1">
        <v>45799</v>
      </c>
      <c r="B81" s="1">
        <v>45792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243</v>
      </c>
      <c r="J81" t="s">
        <v>244</v>
      </c>
      <c r="M81" t="s">
        <v>46</v>
      </c>
      <c r="O81" t="s">
        <v>245</v>
      </c>
      <c r="P81" t="s">
        <v>246</v>
      </c>
      <c r="Q81" t="s">
        <v>58</v>
      </c>
      <c r="R81" t="s">
        <v>50</v>
      </c>
      <c r="S81" s="1">
        <v>45536</v>
      </c>
      <c r="T81" s="1">
        <v>45823</v>
      </c>
      <c r="U81" t="s">
        <v>51</v>
      </c>
      <c r="V81">
        <v>1</v>
      </c>
      <c r="W81" s="1">
        <v>45797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5464669</v>
      </c>
      <c r="AL81" t="s">
        <v>53</v>
      </c>
    </row>
    <row r="82" spans="1:38" x14ac:dyDescent="0.25">
      <c r="A82" s="1">
        <v>45799</v>
      </c>
      <c r="B82" s="1">
        <v>45792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247</v>
      </c>
      <c r="J82" t="s">
        <v>248</v>
      </c>
      <c r="M82" t="s">
        <v>46</v>
      </c>
      <c r="O82" t="s">
        <v>125</v>
      </c>
      <c r="P82" t="s">
        <v>126</v>
      </c>
      <c r="Q82" t="s">
        <v>58</v>
      </c>
      <c r="R82" t="s">
        <v>50</v>
      </c>
      <c r="S82" s="1">
        <v>45536</v>
      </c>
      <c r="T82" s="1">
        <v>45823</v>
      </c>
      <c r="U82" t="s">
        <v>51</v>
      </c>
      <c r="V82">
        <v>1</v>
      </c>
      <c r="W82" s="1">
        <v>45797</v>
      </c>
      <c r="X82" t="s">
        <v>52</v>
      </c>
      <c r="Y82" s="2">
        <v>1</v>
      </c>
      <c r="Z82" s="2">
        <v>1</v>
      </c>
      <c r="AB82" s="3">
        <v>1</v>
      </c>
      <c r="AC82" s="2">
        <v>9</v>
      </c>
      <c r="AG82" s="2">
        <v>0</v>
      </c>
      <c r="AH82" s="2">
        <v>9</v>
      </c>
      <c r="AI82" s="2">
        <v>0</v>
      </c>
      <c r="AK82">
        <v>5464676</v>
      </c>
      <c r="AL82" t="s">
        <v>53</v>
      </c>
    </row>
    <row r="83" spans="1:38" x14ac:dyDescent="0.25">
      <c r="A83" s="1">
        <v>45799</v>
      </c>
      <c r="B83" s="1">
        <v>45792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249</v>
      </c>
      <c r="J83" t="s">
        <v>250</v>
      </c>
      <c r="M83" t="s">
        <v>46</v>
      </c>
      <c r="O83" t="s">
        <v>251</v>
      </c>
      <c r="P83" t="s">
        <v>252</v>
      </c>
      <c r="Q83" t="s">
        <v>58</v>
      </c>
      <c r="R83" t="s">
        <v>50</v>
      </c>
      <c r="S83" s="1">
        <v>45536</v>
      </c>
      <c r="T83" s="1">
        <v>45823</v>
      </c>
      <c r="U83" t="s">
        <v>51</v>
      </c>
      <c r="V83">
        <v>1</v>
      </c>
      <c r="W83" s="1">
        <v>45797</v>
      </c>
      <c r="X83" t="s">
        <v>52</v>
      </c>
      <c r="Y83" s="2">
        <v>1</v>
      </c>
      <c r="Z83" s="2">
        <v>1</v>
      </c>
      <c r="AB83" s="3">
        <v>1</v>
      </c>
      <c r="AC83" s="2">
        <v>9</v>
      </c>
      <c r="AG83" s="2">
        <v>0</v>
      </c>
      <c r="AH83" s="2">
        <v>9</v>
      </c>
      <c r="AI83" s="2">
        <v>0</v>
      </c>
      <c r="AK83">
        <v>5464692</v>
      </c>
      <c r="AL83" t="s">
        <v>53</v>
      </c>
    </row>
    <row r="84" spans="1:38" x14ac:dyDescent="0.25">
      <c r="A84" s="1">
        <v>45799</v>
      </c>
      <c r="B84" s="1">
        <v>45792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253</v>
      </c>
      <c r="J84" t="s">
        <v>254</v>
      </c>
      <c r="M84" t="s">
        <v>46</v>
      </c>
      <c r="O84" t="s">
        <v>62</v>
      </c>
      <c r="P84" t="s">
        <v>63</v>
      </c>
      <c r="Q84" t="s">
        <v>58</v>
      </c>
      <c r="R84" t="s">
        <v>50</v>
      </c>
      <c r="S84" s="1">
        <v>45566</v>
      </c>
      <c r="T84" s="1">
        <v>45823</v>
      </c>
      <c r="U84" t="s">
        <v>51</v>
      </c>
      <c r="V84">
        <v>1</v>
      </c>
      <c r="W84" s="1">
        <v>45797</v>
      </c>
      <c r="X84" t="s">
        <v>52</v>
      </c>
      <c r="Y84" s="2">
        <v>1</v>
      </c>
      <c r="Z84" s="2">
        <v>1</v>
      </c>
      <c r="AB84" s="3">
        <v>1</v>
      </c>
      <c r="AC84" s="2">
        <v>9</v>
      </c>
      <c r="AG84" s="2">
        <v>0</v>
      </c>
      <c r="AH84" s="2">
        <v>9</v>
      </c>
      <c r="AI84" s="2">
        <v>0</v>
      </c>
      <c r="AK84">
        <v>5464693</v>
      </c>
      <c r="AL84" t="s">
        <v>53</v>
      </c>
    </row>
    <row r="85" spans="1:38" x14ac:dyDescent="0.25">
      <c r="A85" s="1">
        <v>45799</v>
      </c>
      <c r="B85" s="1">
        <v>45792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255</v>
      </c>
      <c r="J85" t="s">
        <v>256</v>
      </c>
      <c r="M85" t="s">
        <v>46</v>
      </c>
      <c r="O85" t="s">
        <v>62</v>
      </c>
      <c r="P85" t="s">
        <v>63</v>
      </c>
      <c r="Q85" t="s">
        <v>58</v>
      </c>
      <c r="R85" t="s">
        <v>50</v>
      </c>
      <c r="S85" s="1">
        <v>45536</v>
      </c>
      <c r="T85" s="1">
        <v>45823</v>
      </c>
      <c r="U85" t="s">
        <v>51</v>
      </c>
      <c r="V85">
        <v>1</v>
      </c>
      <c r="W85" s="1">
        <v>45797</v>
      </c>
      <c r="X85" t="s">
        <v>52</v>
      </c>
      <c r="Y85" s="2">
        <v>1</v>
      </c>
      <c r="Z85" s="2">
        <v>1</v>
      </c>
      <c r="AB85" s="3">
        <v>1</v>
      </c>
      <c r="AC85" s="2">
        <v>9</v>
      </c>
      <c r="AG85" s="2">
        <v>0</v>
      </c>
      <c r="AH85" s="2">
        <v>9</v>
      </c>
      <c r="AI85" s="2">
        <v>0</v>
      </c>
      <c r="AK85">
        <v>5464699</v>
      </c>
      <c r="AL85" t="s">
        <v>53</v>
      </c>
    </row>
    <row r="86" spans="1:38" x14ac:dyDescent="0.25">
      <c r="A86" s="1">
        <v>45799</v>
      </c>
      <c r="B86" s="1">
        <v>45792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257</v>
      </c>
      <c r="J86" t="s">
        <v>258</v>
      </c>
      <c r="M86" t="s">
        <v>46</v>
      </c>
      <c r="O86" t="s">
        <v>86</v>
      </c>
      <c r="P86" t="s">
        <v>87</v>
      </c>
      <c r="Q86" t="s">
        <v>58</v>
      </c>
      <c r="R86" t="s">
        <v>127</v>
      </c>
      <c r="S86" s="1">
        <v>45566</v>
      </c>
      <c r="T86" s="1">
        <v>45823</v>
      </c>
      <c r="U86" t="s">
        <v>51</v>
      </c>
      <c r="V86">
        <v>1</v>
      </c>
      <c r="W86" s="1">
        <v>45797</v>
      </c>
      <c r="X86" t="s">
        <v>52</v>
      </c>
      <c r="Y86" s="2">
        <v>1</v>
      </c>
      <c r="Z86" s="2">
        <v>1</v>
      </c>
      <c r="AB86" s="3">
        <v>1</v>
      </c>
      <c r="AC86" s="2">
        <v>25.5</v>
      </c>
      <c r="AG86" s="2">
        <v>0</v>
      </c>
      <c r="AH86" s="2">
        <v>25.5</v>
      </c>
      <c r="AI86" s="2">
        <v>0</v>
      </c>
      <c r="AK86">
        <v>5438561</v>
      </c>
      <c r="AL86" t="s">
        <v>89</v>
      </c>
    </row>
    <row r="87" spans="1:38" x14ac:dyDescent="0.25">
      <c r="A87" s="1">
        <v>45799</v>
      </c>
      <c r="B87" s="1">
        <v>45792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259</v>
      </c>
      <c r="J87" t="s">
        <v>258</v>
      </c>
      <c r="M87" t="s">
        <v>46</v>
      </c>
      <c r="O87" t="s">
        <v>86</v>
      </c>
      <c r="P87" t="s">
        <v>87</v>
      </c>
      <c r="Q87" t="s">
        <v>49</v>
      </c>
      <c r="R87" t="s">
        <v>50</v>
      </c>
      <c r="S87" s="1">
        <v>45566</v>
      </c>
      <c r="T87" s="1">
        <v>45823</v>
      </c>
      <c r="U87" t="s">
        <v>51</v>
      </c>
      <c r="V87">
        <v>1</v>
      </c>
      <c r="W87" s="1">
        <v>45797</v>
      </c>
      <c r="X87" t="s">
        <v>52</v>
      </c>
      <c r="Y87" s="2">
        <v>1</v>
      </c>
      <c r="Z87" s="2">
        <v>1</v>
      </c>
      <c r="AB87" s="3">
        <v>1</v>
      </c>
      <c r="AC87" s="2">
        <v>9</v>
      </c>
      <c r="AG87" s="2">
        <v>0</v>
      </c>
      <c r="AH87" s="2">
        <v>9</v>
      </c>
      <c r="AI87" s="2">
        <v>0</v>
      </c>
      <c r="AK87">
        <v>5438562</v>
      </c>
      <c r="AL87" t="s">
        <v>89</v>
      </c>
    </row>
    <row r="88" spans="1:38" x14ac:dyDescent="0.25">
      <c r="A88" s="1">
        <v>45799</v>
      </c>
      <c r="B88" s="1">
        <v>45792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260</v>
      </c>
      <c r="J88" t="s">
        <v>261</v>
      </c>
      <c r="M88" t="s">
        <v>46</v>
      </c>
      <c r="O88" t="s">
        <v>125</v>
      </c>
      <c r="P88" t="s">
        <v>126</v>
      </c>
      <c r="Q88" t="s">
        <v>58</v>
      </c>
      <c r="R88" t="s">
        <v>50</v>
      </c>
      <c r="S88" s="1">
        <v>45536</v>
      </c>
      <c r="T88" s="1">
        <v>45823</v>
      </c>
      <c r="U88" t="s">
        <v>51</v>
      </c>
      <c r="V88">
        <v>1</v>
      </c>
      <c r="W88" s="1">
        <v>45797</v>
      </c>
      <c r="X88" t="s">
        <v>52</v>
      </c>
      <c r="Y88" s="2">
        <v>1</v>
      </c>
      <c r="Z88" s="2">
        <v>1</v>
      </c>
      <c r="AB88" s="3">
        <v>1</v>
      </c>
      <c r="AC88" s="2">
        <v>9</v>
      </c>
      <c r="AG88" s="2">
        <v>0</v>
      </c>
      <c r="AH88" s="2">
        <v>9</v>
      </c>
      <c r="AI88" s="2">
        <v>0</v>
      </c>
      <c r="AK88">
        <v>5464723</v>
      </c>
      <c r="AL88" t="s">
        <v>53</v>
      </c>
    </row>
    <row r="89" spans="1:38" x14ac:dyDescent="0.25">
      <c r="A89" s="1">
        <v>45799</v>
      </c>
      <c r="B89" s="1">
        <v>45792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262</v>
      </c>
      <c r="J89" t="s">
        <v>263</v>
      </c>
      <c r="M89" t="s">
        <v>46</v>
      </c>
      <c r="O89" t="s">
        <v>86</v>
      </c>
      <c r="P89" t="s">
        <v>87</v>
      </c>
      <c r="Q89" t="s">
        <v>58</v>
      </c>
      <c r="R89" t="s">
        <v>127</v>
      </c>
      <c r="S89" s="1">
        <v>45566</v>
      </c>
      <c r="T89" s="1">
        <v>45823</v>
      </c>
      <c r="U89" t="s">
        <v>51</v>
      </c>
      <c r="V89">
        <v>1</v>
      </c>
      <c r="W89" s="1">
        <v>45797</v>
      </c>
      <c r="X89" t="s">
        <v>52</v>
      </c>
      <c r="Y89" s="2">
        <v>1</v>
      </c>
      <c r="Z89" s="2">
        <v>1</v>
      </c>
      <c r="AB89" s="3">
        <v>1</v>
      </c>
      <c r="AC89" s="2">
        <v>25.5</v>
      </c>
      <c r="AG89" s="2">
        <v>0</v>
      </c>
      <c r="AH89" s="2">
        <v>25.5</v>
      </c>
      <c r="AI89" s="2">
        <v>0</v>
      </c>
      <c r="AK89">
        <v>5438563</v>
      </c>
      <c r="AL89" t="s">
        <v>89</v>
      </c>
    </row>
    <row r="90" spans="1:38" x14ac:dyDescent="0.25">
      <c r="A90" s="1">
        <v>45799</v>
      </c>
      <c r="B90" s="1">
        <v>45792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264</v>
      </c>
      <c r="J90" t="s">
        <v>263</v>
      </c>
      <c r="M90" t="s">
        <v>46</v>
      </c>
      <c r="O90" t="s">
        <v>86</v>
      </c>
      <c r="P90" t="s">
        <v>87</v>
      </c>
      <c r="Q90" t="s">
        <v>49</v>
      </c>
      <c r="R90" t="s">
        <v>50</v>
      </c>
      <c r="S90" s="1">
        <v>45566</v>
      </c>
      <c r="T90" s="1">
        <v>45823</v>
      </c>
      <c r="U90" t="s">
        <v>51</v>
      </c>
      <c r="V90">
        <v>1</v>
      </c>
      <c r="W90" s="1">
        <v>45797</v>
      </c>
      <c r="X90" t="s">
        <v>52</v>
      </c>
      <c r="Y90" s="2">
        <v>1</v>
      </c>
      <c r="Z90" s="2">
        <v>1</v>
      </c>
      <c r="AB90" s="3">
        <v>1</v>
      </c>
      <c r="AC90" s="2">
        <v>9</v>
      </c>
      <c r="AG90" s="2">
        <v>0</v>
      </c>
      <c r="AH90" s="2">
        <v>9</v>
      </c>
      <c r="AI90" s="2">
        <v>0</v>
      </c>
      <c r="AK90">
        <v>5438564</v>
      </c>
      <c r="AL90" t="s">
        <v>89</v>
      </c>
    </row>
    <row r="91" spans="1:38" x14ac:dyDescent="0.25">
      <c r="A91" s="1">
        <v>45799</v>
      </c>
      <c r="B91" s="1">
        <v>45792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265</v>
      </c>
      <c r="J91" t="s">
        <v>266</v>
      </c>
      <c r="M91" t="s">
        <v>46</v>
      </c>
      <c r="O91" t="s">
        <v>86</v>
      </c>
      <c r="P91" t="s">
        <v>87</v>
      </c>
      <c r="Q91" t="s">
        <v>58</v>
      </c>
      <c r="R91" t="s">
        <v>127</v>
      </c>
      <c r="S91" s="1">
        <v>45566</v>
      </c>
      <c r="T91" s="1">
        <v>45823</v>
      </c>
      <c r="U91" t="s">
        <v>51</v>
      </c>
      <c r="V91">
        <v>1</v>
      </c>
      <c r="W91" s="1">
        <v>45797</v>
      </c>
      <c r="X91" t="s">
        <v>52</v>
      </c>
      <c r="Y91" s="2">
        <v>1</v>
      </c>
      <c r="Z91" s="2">
        <v>1</v>
      </c>
      <c r="AB91" s="3">
        <v>1</v>
      </c>
      <c r="AC91" s="2">
        <v>25.5</v>
      </c>
      <c r="AG91" s="2">
        <v>0</v>
      </c>
      <c r="AH91" s="2">
        <v>25.5</v>
      </c>
      <c r="AI91" s="2">
        <v>0</v>
      </c>
      <c r="AK91">
        <v>5438565</v>
      </c>
      <c r="AL91" t="s">
        <v>89</v>
      </c>
    </row>
    <row r="92" spans="1:38" x14ac:dyDescent="0.25">
      <c r="A92" s="1">
        <v>45799</v>
      </c>
      <c r="B92" s="1">
        <v>45792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267</v>
      </c>
      <c r="J92" t="s">
        <v>266</v>
      </c>
      <c r="M92" t="s">
        <v>46</v>
      </c>
      <c r="O92" t="s">
        <v>86</v>
      </c>
      <c r="P92" t="s">
        <v>87</v>
      </c>
      <c r="Q92" t="s">
        <v>49</v>
      </c>
      <c r="R92" t="s">
        <v>50</v>
      </c>
      <c r="S92" s="1">
        <v>45566</v>
      </c>
      <c r="T92" s="1">
        <v>45823</v>
      </c>
      <c r="U92" t="s">
        <v>51</v>
      </c>
      <c r="V92">
        <v>1</v>
      </c>
      <c r="W92" s="1">
        <v>45797</v>
      </c>
      <c r="X92" t="s">
        <v>52</v>
      </c>
      <c r="Y92" s="2">
        <v>1</v>
      </c>
      <c r="Z92" s="2">
        <v>1</v>
      </c>
      <c r="AB92" s="3">
        <v>1</v>
      </c>
      <c r="AC92" s="2">
        <v>9</v>
      </c>
      <c r="AG92" s="2">
        <v>0</v>
      </c>
      <c r="AH92" s="2">
        <v>9</v>
      </c>
      <c r="AI92" s="2">
        <v>0</v>
      </c>
      <c r="AK92">
        <v>5438566</v>
      </c>
      <c r="AL92" t="s">
        <v>89</v>
      </c>
    </row>
    <row r="93" spans="1:38" x14ac:dyDescent="0.25">
      <c r="A93" s="1">
        <v>45799</v>
      </c>
      <c r="B93" s="1">
        <v>45792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268</v>
      </c>
      <c r="J93" t="s">
        <v>269</v>
      </c>
      <c r="M93" t="s">
        <v>46</v>
      </c>
      <c r="O93" t="s">
        <v>95</v>
      </c>
      <c r="P93" t="s">
        <v>96</v>
      </c>
      <c r="Q93" t="s">
        <v>58</v>
      </c>
      <c r="R93" t="s">
        <v>50</v>
      </c>
      <c r="S93" s="1">
        <v>45566</v>
      </c>
      <c r="T93" s="1">
        <v>45823</v>
      </c>
      <c r="U93" t="s">
        <v>51</v>
      </c>
      <c r="V93">
        <v>1</v>
      </c>
      <c r="W93" s="1">
        <v>45797</v>
      </c>
      <c r="X93" t="s">
        <v>52</v>
      </c>
      <c r="Y93" s="2">
        <v>1</v>
      </c>
      <c r="Z93" s="2">
        <v>1</v>
      </c>
      <c r="AB93" s="3">
        <v>1</v>
      </c>
      <c r="AC93" s="2">
        <v>9</v>
      </c>
      <c r="AG93" s="2">
        <v>0</v>
      </c>
      <c r="AH93" s="2">
        <v>9</v>
      </c>
      <c r="AI93" s="2">
        <v>0</v>
      </c>
      <c r="AK93">
        <v>5464743</v>
      </c>
      <c r="AL93" t="s">
        <v>53</v>
      </c>
    </row>
    <row r="94" spans="1:38" x14ac:dyDescent="0.25">
      <c r="A94" s="1">
        <v>45799</v>
      </c>
      <c r="B94" s="1">
        <v>45792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270</v>
      </c>
      <c r="J94" t="s">
        <v>271</v>
      </c>
      <c r="M94" t="s">
        <v>46</v>
      </c>
      <c r="O94" t="s">
        <v>251</v>
      </c>
      <c r="P94" t="s">
        <v>252</v>
      </c>
      <c r="Q94" t="s">
        <v>58</v>
      </c>
      <c r="R94" t="s">
        <v>50</v>
      </c>
      <c r="S94" s="1">
        <v>45566</v>
      </c>
      <c r="T94" s="1">
        <v>45823</v>
      </c>
      <c r="U94" t="s">
        <v>51</v>
      </c>
      <c r="V94">
        <v>1</v>
      </c>
      <c r="W94" s="1">
        <v>45797</v>
      </c>
      <c r="X94" t="s">
        <v>52</v>
      </c>
      <c r="Y94" s="2">
        <v>1</v>
      </c>
      <c r="Z94" s="2">
        <v>1</v>
      </c>
      <c r="AB94" s="3">
        <v>1</v>
      </c>
      <c r="AC94" s="2">
        <v>9</v>
      </c>
      <c r="AG94" s="2">
        <v>0</v>
      </c>
      <c r="AH94" s="2">
        <v>9</v>
      </c>
      <c r="AI94" s="2">
        <v>0</v>
      </c>
      <c r="AK94">
        <v>5464744</v>
      </c>
      <c r="AL94" t="s">
        <v>53</v>
      </c>
    </row>
    <row r="95" spans="1:38" x14ac:dyDescent="0.25">
      <c r="A95" s="1">
        <v>45799</v>
      </c>
      <c r="B95" s="1">
        <v>45792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272</v>
      </c>
      <c r="J95" t="s">
        <v>273</v>
      </c>
      <c r="M95" t="s">
        <v>46</v>
      </c>
      <c r="O95" t="s">
        <v>86</v>
      </c>
      <c r="P95" t="s">
        <v>87</v>
      </c>
      <c r="Q95" t="s">
        <v>58</v>
      </c>
      <c r="R95" t="s">
        <v>127</v>
      </c>
      <c r="S95" s="1">
        <v>45566</v>
      </c>
      <c r="T95" s="1">
        <v>45823</v>
      </c>
      <c r="U95" t="s">
        <v>51</v>
      </c>
      <c r="V95">
        <v>1</v>
      </c>
      <c r="W95" s="1">
        <v>45797</v>
      </c>
      <c r="X95" t="s">
        <v>52</v>
      </c>
      <c r="Y95" s="2">
        <v>1</v>
      </c>
      <c r="Z95" s="2">
        <v>1</v>
      </c>
      <c r="AB95" s="3">
        <v>1</v>
      </c>
      <c r="AC95" s="2">
        <v>25.5</v>
      </c>
      <c r="AG95" s="2">
        <v>0</v>
      </c>
      <c r="AH95" s="2">
        <v>25.5</v>
      </c>
      <c r="AI95" s="2">
        <v>0</v>
      </c>
      <c r="AK95">
        <v>5438567</v>
      </c>
      <c r="AL95" t="s">
        <v>89</v>
      </c>
    </row>
    <row r="96" spans="1:38" x14ac:dyDescent="0.25">
      <c r="A96" s="1">
        <v>45799</v>
      </c>
      <c r="B96" s="1">
        <v>45792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274</v>
      </c>
      <c r="J96" t="s">
        <v>273</v>
      </c>
      <c r="M96" t="s">
        <v>46</v>
      </c>
      <c r="O96" t="s">
        <v>86</v>
      </c>
      <c r="P96" t="s">
        <v>87</v>
      </c>
      <c r="Q96" t="s">
        <v>49</v>
      </c>
      <c r="R96" t="s">
        <v>50</v>
      </c>
      <c r="S96" s="1">
        <v>45566</v>
      </c>
      <c r="T96" s="1">
        <v>45823</v>
      </c>
      <c r="U96" t="s">
        <v>51</v>
      </c>
      <c r="V96">
        <v>1</v>
      </c>
      <c r="W96" s="1">
        <v>45797</v>
      </c>
      <c r="X96" t="s">
        <v>52</v>
      </c>
      <c r="Y96" s="2">
        <v>1</v>
      </c>
      <c r="Z96" s="2">
        <v>1</v>
      </c>
      <c r="AB96" s="3">
        <v>1</v>
      </c>
      <c r="AC96" s="2">
        <v>9</v>
      </c>
      <c r="AG96" s="2">
        <v>0</v>
      </c>
      <c r="AH96" s="2">
        <v>9</v>
      </c>
      <c r="AI96" s="2">
        <v>0</v>
      </c>
      <c r="AK96">
        <v>5438568</v>
      </c>
      <c r="AL96" t="s">
        <v>89</v>
      </c>
    </row>
    <row r="97" spans="1:38" x14ac:dyDescent="0.25">
      <c r="A97" s="1">
        <v>45799</v>
      </c>
      <c r="B97" s="1">
        <v>45792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275</v>
      </c>
      <c r="J97" t="s">
        <v>276</v>
      </c>
      <c r="M97" t="s">
        <v>46</v>
      </c>
      <c r="O97" t="s">
        <v>86</v>
      </c>
      <c r="P97" t="s">
        <v>87</v>
      </c>
      <c r="Q97" t="s">
        <v>58</v>
      </c>
      <c r="R97" t="s">
        <v>127</v>
      </c>
      <c r="S97" s="1">
        <v>45566</v>
      </c>
      <c r="T97" s="1">
        <v>45823</v>
      </c>
      <c r="U97" t="s">
        <v>51</v>
      </c>
      <c r="V97">
        <v>1</v>
      </c>
      <c r="W97" s="1">
        <v>45797</v>
      </c>
      <c r="X97" t="s">
        <v>52</v>
      </c>
      <c r="Y97" s="2">
        <v>1</v>
      </c>
      <c r="Z97" s="2">
        <v>1</v>
      </c>
      <c r="AB97" s="3">
        <v>1</v>
      </c>
      <c r="AC97" s="2">
        <v>25.5</v>
      </c>
      <c r="AG97" s="2">
        <v>0</v>
      </c>
      <c r="AH97" s="2">
        <v>25.5</v>
      </c>
      <c r="AI97" s="2">
        <v>0</v>
      </c>
      <c r="AK97">
        <v>5438569</v>
      </c>
      <c r="AL97" t="s">
        <v>89</v>
      </c>
    </row>
    <row r="98" spans="1:38" x14ac:dyDescent="0.25">
      <c r="A98" s="1">
        <v>45799</v>
      </c>
      <c r="B98" s="1">
        <v>45792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277</v>
      </c>
      <c r="J98" t="s">
        <v>276</v>
      </c>
      <c r="M98" t="s">
        <v>46</v>
      </c>
      <c r="O98" t="s">
        <v>86</v>
      </c>
      <c r="P98" t="s">
        <v>87</v>
      </c>
      <c r="Q98" t="s">
        <v>49</v>
      </c>
      <c r="R98" t="s">
        <v>50</v>
      </c>
      <c r="S98" s="1">
        <v>45566</v>
      </c>
      <c r="T98" s="1">
        <v>45823</v>
      </c>
      <c r="U98" t="s">
        <v>51</v>
      </c>
      <c r="V98">
        <v>1</v>
      </c>
      <c r="W98" s="1">
        <v>45797</v>
      </c>
      <c r="X98" t="s">
        <v>52</v>
      </c>
      <c r="Y98" s="2">
        <v>1</v>
      </c>
      <c r="Z98" s="2">
        <v>1</v>
      </c>
      <c r="AB98" s="3">
        <v>1</v>
      </c>
      <c r="AC98" s="2">
        <v>9</v>
      </c>
      <c r="AG98" s="2">
        <v>0</v>
      </c>
      <c r="AH98" s="2">
        <v>9</v>
      </c>
      <c r="AI98" s="2">
        <v>0</v>
      </c>
      <c r="AK98">
        <v>5438570</v>
      </c>
      <c r="AL98" t="s">
        <v>89</v>
      </c>
    </row>
    <row r="99" spans="1:38" x14ac:dyDescent="0.25">
      <c r="A99" s="1">
        <v>45799</v>
      </c>
      <c r="B99" s="1">
        <v>45792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278</v>
      </c>
      <c r="J99" t="s">
        <v>279</v>
      </c>
      <c r="M99" t="s">
        <v>46</v>
      </c>
      <c r="O99" t="s">
        <v>95</v>
      </c>
      <c r="P99" t="s">
        <v>96</v>
      </c>
      <c r="Q99" t="s">
        <v>49</v>
      </c>
      <c r="R99" t="s">
        <v>50</v>
      </c>
      <c r="S99" s="1">
        <v>45627</v>
      </c>
      <c r="T99" s="1">
        <v>45823</v>
      </c>
      <c r="U99" t="s">
        <v>51</v>
      </c>
      <c r="V99">
        <v>1</v>
      </c>
      <c r="W99" s="1">
        <v>45797</v>
      </c>
      <c r="X99" t="s">
        <v>52</v>
      </c>
      <c r="Y99" s="2">
        <v>1</v>
      </c>
      <c r="Z99" s="2">
        <v>1</v>
      </c>
      <c r="AB99" s="3">
        <v>1</v>
      </c>
      <c r="AC99" s="2">
        <v>9</v>
      </c>
      <c r="AG99" s="2">
        <v>0</v>
      </c>
      <c r="AH99" s="2">
        <v>9</v>
      </c>
      <c r="AI99" s="2">
        <v>0</v>
      </c>
      <c r="AK99">
        <v>5464785</v>
      </c>
      <c r="AL99" t="s">
        <v>53</v>
      </c>
    </row>
    <row r="100" spans="1:38" x14ac:dyDescent="0.25">
      <c r="A100" s="1">
        <v>45799</v>
      </c>
      <c r="B100" s="1">
        <v>45792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280</v>
      </c>
      <c r="J100" t="s">
        <v>281</v>
      </c>
      <c r="M100" t="s">
        <v>46</v>
      </c>
      <c r="O100" t="s">
        <v>86</v>
      </c>
      <c r="P100" t="s">
        <v>87</v>
      </c>
      <c r="Q100" t="s">
        <v>58</v>
      </c>
      <c r="R100" t="s">
        <v>127</v>
      </c>
      <c r="S100" s="1">
        <v>45566</v>
      </c>
      <c r="T100" s="1">
        <v>45823</v>
      </c>
      <c r="U100" t="s">
        <v>51</v>
      </c>
      <c r="V100">
        <v>1</v>
      </c>
      <c r="W100" s="1">
        <v>45797</v>
      </c>
      <c r="X100" t="s">
        <v>52</v>
      </c>
      <c r="Y100" s="2">
        <v>1</v>
      </c>
      <c r="Z100" s="2">
        <v>1</v>
      </c>
      <c r="AB100" s="3">
        <v>1</v>
      </c>
      <c r="AC100" s="2">
        <v>25.5</v>
      </c>
      <c r="AG100" s="2">
        <v>0</v>
      </c>
      <c r="AH100" s="2">
        <v>25.5</v>
      </c>
      <c r="AI100" s="2">
        <v>0</v>
      </c>
      <c r="AK100">
        <v>5438571</v>
      </c>
      <c r="AL100" t="s">
        <v>89</v>
      </c>
    </row>
    <row r="101" spans="1:38" x14ac:dyDescent="0.25">
      <c r="A101" s="1">
        <v>45799</v>
      </c>
      <c r="B101" s="1">
        <v>45792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282</v>
      </c>
      <c r="J101" t="s">
        <v>281</v>
      </c>
      <c r="M101" t="s">
        <v>46</v>
      </c>
      <c r="O101" t="s">
        <v>86</v>
      </c>
      <c r="P101" t="s">
        <v>87</v>
      </c>
      <c r="Q101" t="s">
        <v>49</v>
      </c>
      <c r="R101" t="s">
        <v>50</v>
      </c>
      <c r="S101" s="1">
        <v>45566</v>
      </c>
      <c r="T101" s="1">
        <v>45823</v>
      </c>
      <c r="U101" t="s">
        <v>51</v>
      </c>
      <c r="V101">
        <v>1</v>
      </c>
      <c r="W101" s="1">
        <v>45797</v>
      </c>
      <c r="X101" t="s">
        <v>52</v>
      </c>
      <c r="Y101" s="2">
        <v>1</v>
      </c>
      <c r="Z101" s="2">
        <v>1</v>
      </c>
      <c r="AB101" s="3">
        <v>1</v>
      </c>
      <c r="AC101" s="2">
        <v>9</v>
      </c>
      <c r="AG101" s="2">
        <v>0</v>
      </c>
      <c r="AH101" s="2">
        <v>9</v>
      </c>
      <c r="AI101" s="2">
        <v>0</v>
      </c>
      <c r="AK101">
        <v>5438572</v>
      </c>
      <c r="AL101" t="s">
        <v>89</v>
      </c>
    </row>
    <row r="102" spans="1:38" x14ac:dyDescent="0.25">
      <c r="A102" s="1">
        <v>45799</v>
      </c>
      <c r="B102" s="1">
        <v>45792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283</v>
      </c>
      <c r="J102" t="s">
        <v>284</v>
      </c>
      <c r="M102" t="s">
        <v>46</v>
      </c>
      <c r="O102" t="s">
        <v>70</v>
      </c>
      <c r="P102" t="s">
        <v>71</v>
      </c>
      <c r="Q102" t="s">
        <v>49</v>
      </c>
      <c r="R102" t="s">
        <v>50</v>
      </c>
      <c r="S102" s="1">
        <v>45566</v>
      </c>
      <c r="T102" s="1">
        <v>45823</v>
      </c>
      <c r="U102" t="s">
        <v>51</v>
      </c>
      <c r="V102">
        <v>1</v>
      </c>
      <c r="W102" s="1">
        <v>45797</v>
      </c>
      <c r="X102" t="s">
        <v>52</v>
      </c>
      <c r="Y102" s="2">
        <v>1</v>
      </c>
      <c r="Z102" s="2">
        <v>1</v>
      </c>
      <c r="AB102" s="3">
        <v>1</v>
      </c>
      <c r="AC102" s="2">
        <v>9</v>
      </c>
      <c r="AG102" s="2">
        <v>0</v>
      </c>
      <c r="AH102" s="2">
        <v>9</v>
      </c>
      <c r="AI102" s="2">
        <v>0</v>
      </c>
      <c r="AK102">
        <v>5464824</v>
      </c>
      <c r="AL102" t="s">
        <v>53</v>
      </c>
    </row>
    <row r="103" spans="1:38" x14ac:dyDescent="0.25">
      <c r="A103" s="1">
        <v>45799</v>
      </c>
      <c r="B103" s="1">
        <v>45792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285</v>
      </c>
      <c r="J103" t="s">
        <v>286</v>
      </c>
      <c r="M103" t="s">
        <v>46</v>
      </c>
      <c r="O103" t="s">
        <v>287</v>
      </c>
      <c r="P103" t="s">
        <v>288</v>
      </c>
      <c r="Q103" t="s">
        <v>49</v>
      </c>
      <c r="R103" t="s">
        <v>50</v>
      </c>
      <c r="S103" s="1">
        <v>45566</v>
      </c>
      <c r="T103" s="1">
        <v>45823</v>
      </c>
      <c r="U103" t="s">
        <v>51</v>
      </c>
      <c r="V103">
        <v>1</v>
      </c>
      <c r="W103" s="1">
        <v>45797</v>
      </c>
      <c r="X103" t="s">
        <v>52</v>
      </c>
      <c r="Y103" s="2">
        <v>1</v>
      </c>
      <c r="Z103" s="2">
        <v>1</v>
      </c>
      <c r="AB103" s="3">
        <v>1</v>
      </c>
      <c r="AC103" s="2">
        <v>9</v>
      </c>
      <c r="AG103" s="2">
        <v>0</v>
      </c>
      <c r="AH103" s="2">
        <v>9</v>
      </c>
      <c r="AI103" s="2">
        <v>0</v>
      </c>
      <c r="AK103">
        <v>5464827</v>
      </c>
      <c r="AL103" t="s">
        <v>53</v>
      </c>
    </row>
    <row r="104" spans="1:38" x14ac:dyDescent="0.25">
      <c r="A104" s="1">
        <v>45799</v>
      </c>
      <c r="B104" s="1">
        <v>45792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289</v>
      </c>
      <c r="J104" t="s">
        <v>290</v>
      </c>
      <c r="M104" t="s">
        <v>46</v>
      </c>
      <c r="O104" t="s">
        <v>95</v>
      </c>
      <c r="P104" t="s">
        <v>96</v>
      </c>
      <c r="Q104" t="s">
        <v>49</v>
      </c>
      <c r="R104" t="s">
        <v>50</v>
      </c>
      <c r="S104" s="1">
        <v>45597</v>
      </c>
      <c r="T104" s="1">
        <v>45823</v>
      </c>
      <c r="U104" t="s">
        <v>51</v>
      </c>
      <c r="V104">
        <v>1</v>
      </c>
      <c r="W104" s="1">
        <v>45797</v>
      </c>
      <c r="X104" t="s">
        <v>52</v>
      </c>
      <c r="Y104" s="2">
        <v>1</v>
      </c>
      <c r="Z104" s="2">
        <v>1</v>
      </c>
      <c r="AB104" s="3">
        <v>1</v>
      </c>
      <c r="AC104" s="2">
        <v>9</v>
      </c>
      <c r="AG104" s="2">
        <v>0</v>
      </c>
      <c r="AH104" s="2">
        <v>9</v>
      </c>
      <c r="AI104" s="2">
        <v>0</v>
      </c>
      <c r="AK104">
        <v>5464847</v>
      </c>
      <c r="AL104" t="s">
        <v>53</v>
      </c>
    </row>
    <row r="105" spans="1:38" x14ac:dyDescent="0.25">
      <c r="A105" s="1">
        <v>45799</v>
      </c>
      <c r="B105" s="1">
        <v>45792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291</v>
      </c>
      <c r="J105" t="s">
        <v>292</v>
      </c>
      <c r="M105" t="s">
        <v>46</v>
      </c>
      <c r="O105" t="s">
        <v>95</v>
      </c>
      <c r="P105" t="s">
        <v>96</v>
      </c>
      <c r="Q105" t="s">
        <v>49</v>
      </c>
      <c r="R105" t="s">
        <v>50</v>
      </c>
      <c r="S105" s="1">
        <v>45627</v>
      </c>
      <c r="T105" s="1">
        <v>45823</v>
      </c>
      <c r="U105" t="s">
        <v>51</v>
      </c>
      <c r="V105">
        <v>1</v>
      </c>
      <c r="W105" s="1">
        <v>45797</v>
      </c>
      <c r="X105" t="s">
        <v>52</v>
      </c>
      <c r="Y105" s="2">
        <v>1</v>
      </c>
      <c r="Z105" s="2">
        <v>1</v>
      </c>
      <c r="AB105" s="3">
        <v>1</v>
      </c>
      <c r="AC105" s="2">
        <v>9</v>
      </c>
      <c r="AG105" s="2">
        <v>0</v>
      </c>
      <c r="AH105" s="2">
        <v>9</v>
      </c>
      <c r="AI105" s="2">
        <v>0</v>
      </c>
      <c r="AK105">
        <v>5464865</v>
      </c>
      <c r="AL105" t="s">
        <v>53</v>
      </c>
    </row>
    <row r="106" spans="1:38" x14ac:dyDescent="0.25">
      <c r="A106" s="1">
        <v>45799</v>
      </c>
      <c r="B106" s="1">
        <v>45792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293</v>
      </c>
      <c r="J106" t="s">
        <v>294</v>
      </c>
      <c r="M106" t="s">
        <v>46</v>
      </c>
      <c r="O106" t="s">
        <v>158</v>
      </c>
      <c r="P106" t="s">
        <v>159</v>
      </c>
      <c r="Q106" t="s">
        <v>49</v>
      </c>
      <c r="R106" t="s">
        <v>50</v>
      </c>
      <c r="S106" s="1">
        <v>45566</v>
      </c>
      <c r="T106" s="1">
        <v>45823</v>
      </c>
      <c r="U106" t="s">
        <v>51</v>
      </c>
      <c r="V106">
        <v>1</v>
      </c>
      <c r="W106" s="1">
        <v>45797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5464873</v>
      </c>
      <c r="AL106" t="s">
        <v>53</v>
      </c>
    </row>
    <row r="107" spans="1:38" x14ac:dyDescent="0.25">
      <c r="A107" s="1">
        <v>45799</v>
      </c>
      <c r="B107" s="1">
        <v>45792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295</v>
      </c>
      <c r="J107" t="s">
        <v>296</v>
      </c>
      <c r="M107" t="s">
        <v>46</v>
      </c>
      <c r="O107" t="s">
        <v>95</v>
      </c>
      <c r="P107" t="s">
        <v>96</v>
      </c>
      <c r="Q107" t="s">
        <v>49</v>
      </c>
      <c r="R107" t="s">
        <v>50</v>
      </c>
      <c r="S107" s="1">
        <v>45597</v>
      </c>
      <c r="T107" s="1">
        <v>45823</v>
      </c>
      <c r="U107" t="s">
        <v>51</v>
      </c>
      <c r="V107">
        <v>1</v>
      </c>
      <c r="W107" s="1">
        <v>45797</v>
      </c>
      <c r="X107" t="s">
        <v>52</v>
      </c>
      <c r="Y107" s="2">
        <v>1</v>
      </c>
      <c r="Z107" s="2">
        <v>1</v>
      </c>
      <c r="AB107" s="3">
        <v>1</v>
      </c>
      <c r="AC107" s="2">
        <v>9</v>
      </c>
      <c r="AG107" s="2">
        <v>0</v>
      </c>
      <c r="AH107" s="2">
        <v>9</v>
      </c>
      <c r="AI107" s="2">
        <v>0</v>
      </c>
      <c r="AK107">
        <v>5464874</v>
      </c>
      <c r="AL107" t="s">
        <v>53</v>
      </c>
    </row>
    <row r="108" spans="1:38" x14ac:dyDescent="0.25">
      <c r="A108" s="1">
        <v>45799</v>
      </c>
      <c r="B108" s="1">
        <v>45792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297</v>
      </c>
      <c r="J108" t="s">
        <v>298</v>
      </c>
      <c r="M108" t="s">
        <v>46</v>
      </c>
      <c r="O108" t="s">
        <v>150</v>
      </c>
      <c r="P108" t="s">
        <v>151</v>
      </c>
      <c r="Q108" t="s">
        <v>49</v>
      </c>
      <c r="R108" t="s">
        <v>50</v>
      </c>
      <c r="S108" s="1">
        <v>45566</v>
      </c>
      <c r="T108" s="1">
        <v>45823</v>
      </c>
      <c r="U108" t="s">
        <v>51</v>
      </c>
      <c r="V108">
        <v>1</v>
      </c>
      <c r="W108" s="1">
        <v>45797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5464875</v>
      </c>
      <c r="AL108" t="s">
        <v>53</v>
      </c>
    </row>
    <row r="109" spans="1:38" x14ac:dyDescent="0.25">
      <c r="A109" s="1">
        <v>45799</v>
      </c>
      <c r="B109" s="1">
        <v>45792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299</v>
      </c>
      <c r="J109" t="s">
        <v>300</v>
      </c>
      <c r="M109" t="s">
        <v>46</v>
      </c>
      <c r="O109" t="s">
        <v>95</v>
      </c>
      <c r="P109" t="s">
        <v>96</v>
      </c>
      <c r="Q109" t="s">
        <v>49</v>
      </c>
      <c r="R109" t="s">
        <v>50</v>
      </c>
      <c r="S109" s="1">
        <v>45627</v>
      </c>
      <c r="T109" s="1">
        <v>45823</v>
      </c>
      <c r="U109" t="s">
        <v>51</v>
      </c>
      <c r="V109">
        <v>1</v>
      </c>
      <c r="W109" s="1">
        <v>45797</v>
      </c>
      <c r="X109" t="s">
        <v>52</v>
      </c>
      <c r="Y109" s="2">
        <v>1</v>
      </c>
      <c r="Z109" s="2">
        <v>1</v>
      </c>
      <c r="AB109" s="3">
        <v>1</v>
      </c>
      <c r="AC109" s="2">
        <v>9</v>
      </c>
      <c r="AG109" s="2">
        <v>0</v>
      </c>
      <c r="AH109" s="2">
        <v>9</v>
      </c>
      <c r="AI109" s="2">
        <v>0</v>
      </c>
      <c r="AK109">
        <v>5464882</v>
      </c>
      <c r="AL109" t="s">
        <v>53</v>
      </c>
    </row>
    <row r="110" spans="1:38" x14ac:dyDescent="0.25">
      <c r="A110" s="1">
        <v>45799</v>
      </c>
      <c r="B110" s="1">
        <v>45792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301</v>
      </c>
      <c r="J110" t="s">
        <v>302</v>
      </c>
      <c r="M110" t="s">
        <v>46</v>
      </c>
      <c r="O110" t="s">
        <v>186</v>
      </c>
      <c r="P110" t="s">
        <v>187</v>
      </c>
      <c r="Q110" t="s">
        <v>49</v>
      </c>
      <c r="R110" t="s">
        <v>50</v>
      </c>
      <c r="S110" s="1">
        <v>45566</v>
      </c>
      <c r="T110" s="1">
        <v>45823</v>
      </c>
      <c r="U110" t="s">
        <v>51</v>
      </c>
      <c r="V110">
        <v>1</v>
      </c>
      <c r="W110" s="1">
        <v>45797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5464894</v>
      </c>
      <c r="AL110" t="s">
        <v>53</v>
      </c>
    </row>
    <row r="111" spans="1:38" x14ac:dyDescent="0.25">
      <c r="A111" s="1">
        <v>45799</v>
      </c>
      <c r="B111" s="1">
        <v>45792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303</v>
      </c>
      <c r="J111" t="s">
        <v>304</v>
      </c>
      <c r="M111" t="s">
        <v>46</v>
      </c>
      <c r="O111" t="s">
        <v>305</v>
      </c>
      <c r="P111" t="s">
        <v>306</v>
      </c>
      <c r="Q111" t="s">
        <v>49</v>
      </c>
      <c r="R111" t="s">
        <v>50</v>
      </c>
      <c r="S111" s="1">
        <v>45566</v>
      </c>
      <c r="T111" s="1">
        <v>45823</v>
      </c>
      <c r="U111" t="s">
        <v>51</v>
      </c>
      <c r="V111">
        <v>1</v>
      </c>
      <c r="W111" s="1">
        <v>45797</v>
      </c>
      <c r="X111" t="s">
        <v>52</v>
      </c>
      <c r="Y111" s="2">
        <v>1</v>
      </c>
      <c r="Z111" s="2">
        <v>1</v>
      </c>
      <c r="AB111" s="3">
        <v>1</v>
      </c>
      <c r="AC111" s="2">
        <v>9</v>
      </c>
      <c r="AG111" s="2">
        <v>0</v>
      </c>
      <c r="AH111" s="2">
        <v>9</v>
      </c>
      <c r="AI111" s="2">
        <v>0</v>
      </c>
      <c r="AK111">
        <v>5464897</v>
      </c>
      <c r="AL111" t="s">
        <v>53</v>
      </c>
    </row>
    <row r="112" spans="1:38" x14ac:dyDescent="0.25">
      <c r="A112" s="1">
        <v>45799</v>
      </c>
      <c r="B112" s="1">
        <v>45792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307</v>
      </c>
      <c r="J112" t="s">
        <v>308</v>
      </c>
      <c r="M112" t="s">
        <v>46</v>
      </c>
      <c r="O112" t="s">
        <v>172</v>
      </c>
      <c r="P112" t="s">
        <v>173</v>
      </c>
      <c r="Q112" t="s">
        <v>49</v>
      </c>
      <c r="R112" t="s">
        <v>50</v>
      </c>
      <c r="S112" s="1">
        <v>45566</v>
      </c>
      <c r="T112" s="1">
        <v>45823</v>
      </c>
      <c r="U112" t="s">
        <v>51</v>
      </c>
      <c r="V112">
        <v>1</v>
      </c>
      <c r="W112" s="1">
        <v>45797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5464902</v>
      </c>
      <c r="AL112" t="s">
        <v>53</v>
      </c>
    </row>
    <row r="113" spans="1:38" x14ac:dyDescent="0.25">
      <c r="A113" s="1">
        <v>45799</v>
      </c>
      <c r="B113" s="1">
        <v>45792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309</v>
      </c>
      <c r="J113" t="s">
        <v>310</v>
      </c>
      <c r="M113" t="s">
        <v>46</v>
      </c>
      <c r="O113" t="s">
        <v>66</v>
      </c>
      <c r="P113" t="s">
        <v>67</v>
      </c>
      <c r="Q113" t="s">
        <v>49</v>
      </c>
      <c r="R113" t="s">
        <v>50</v>
      </c>
      <c r="S113" s="1">
        <v>45597</v>
      </c>
      <c r="T113" s="1">
        <v>45823</v>
      </c>
      <c r="U113" t="s">
        <v>51</v>
      </c>
      <c r="V113">
        <v>1</v>
      </c>
      <c r="W113" s="1">
        <v>45797</v>
      </c>
      <c r="X113" t="s">
        <v>52</v>
      </c>
      <c r="Y113" s="2">
        <v>1</v>
      </c>
      <c r="Z113" s="2">
        <v>1</v>
      </c>
      <c r="AB113" s="3">
        <v>1</v>
      </c>
      <c r="AC113" s="2">
        <v>9</v>
      </c>
      <c r="AG113" s="2">
        <v>0</v>
      </c>
      <c r="AH113" s="2">
        <v>9</v>
      </c>
      <c r="AI113" s="2">
        <v>0</v>
      </c>
      <c r="AK113">
        <v>5464907</v>
      </c>
      <c r="AL113" t="s">
        <v>53</v>
      </c>
    </row>
    <row r="114" spans="1:38" x14ac:dyDescent="0.25">
      <c r="A114" s="1">
        <v>45799</v>
      </c>
      <c r="B114" s="1">
        <v>45792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311</v>
      </c>
      <c r="J114" t="s">
        <v>312</v>
      </c>
      <c r="M114" t="s">
        <v>46</v>
      </c>
      <c r="O114" t="s">
        <v>158</v>
      </c>
      <c r="P114" t="s">
        <v>159</v>
      </c>
      <c r="Q114" t="s">
        <v>49</v>
      </c>
      <c r="R114" t="s">
        <v>50</v>
      </c>
      <c r="S114" s="1">
        <v>45566</v>
      </c>
      <c r="T114" s="1">
        <v>45823</v>
      </c>
      <c r="U114" t="s">
        <v>51</v>
      </c>
      <c r="V114">
        <v>1</v>
      </c>
      <c r="W114" s="1">
        <v>45797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5464910</v>
      </c>
      <c r="AL114" t="s">
        <v>53</v>
      </c>
    </row>
    <row r="115" spans="1:38" x14ac:dyDescent="0.25">
      <c r="A115" s="1">
        <v>45799</v>
      </c>
      <c r="B115" s="1">
        <v>45792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313</v>
      </c>
      <c r="J115" t="s">
        <v>314</v>
      </c>
      <c r="M115" t="s">
        <v>46</v>
      </c>
      <c r="O115" t="s">
        <v>62</v>
      </c>
      <c r="P115" t="s">
        <v>63</v>
      </c>
      <c r="Q115" t="s">
        <v>49</v>
      </c>
      <c r="R115" t="s">
        <v>50</v>
      </c>
      <c r="S115" s="1">
        <v>45566</v>
      </c>
      <c r="T115" s="1">
        <v>45823</v>
      </c>
      <c r="U115" t="s">
        <v>51</v>
      </c>
      <c r="V115">
        <v>1</v>
      </c>
      <c r="W115" s="1">
        <v>45797</v>
      </c>
      <c r="X115" t="s">
        <v>52</v>
      </c>
      <c r="Y115" s="2">
        <v>1</v>
      </c>
      <c r="Z115" s="2">
        <v>1</v>
      </c>
      <c r="AB115" s="3">
        <v>1</v>
      </c>
      <c r="AC115" s="2">
        <v>9</v>
      </c>
      <c r="AG115" s="2">
        <v>0</v>
      </c>
      <c r="AH115" s="2">
        <v>9</v>
      </c>
      <c r="AI115" s="2">
        <v>0</v>
      </c>
      <c r="AK115">
        <v>5464913</v>
      </c>
      <c r="AL115" t="s">
        <v>53</v>
      </c>
    </row>
    <row r="116" spans="1:38" x14ac:dyDescent="0.25">
      <c r="A116" s="1">
        <v>45799</v>
      </c>
      <c r="B116" s="1">
        <v>45792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315</v>
      </c>
      <c r="J116" t="s">
        <v>316</v>
      </c>
      <c r="M116" t="s">
        <v>46</v>
      </c>
      <c r="O116" t="s">
        <v>62</v>
      </c>
      <c r="P116" t="s">
        <v>63</v>
      </c>
      <c r="Q116" t="s">
        <v>49</v>
      </c>
      <c r="R116" t="s">
        <v>50</v>
      </c>
      <c r="S116" s="1">
        <v>45566</v>
      </c>
      <c r="T116" s="1">
        <v>45823</v>
      </c>
      <c r="U116" t="s">
        <v>51</v>
      </c>
      <c r="V116">
        <v>1</v>
      </c>
      <c r="W116" s="1">
        <v>45797</v>
      </c>
      <c r="X116" t="s">
        <v>52</v>
      </c>
      <c r="Y116" s="2">
        <v>1</v>
      </c>
      <c r="Z116" s="2">
        <v>1</v>
      </c>
      <c r="AB116" s="3">
        <v>1</v>
      </c>
      <c r="AC116" s="2">
        <v>9</v>
      </c>
      <c r="AG116" s="2">
        <v>0</v>
      </c>
      <c r="AH116" s="2">
        <v>9</v>
      </c>
      <c r="AI116" s="2">
        <v>0</v>
      </c>
      <c r="AK116">
        <v>5464914</v>
      </c>
      <c r="AL116" t="s">
        <v>53</v>
      </c>
    </row>
    <row r="117" spans="1:38" x14ac:dyDescent="0.25">
      <c r="A117" s="1">
        <v>45799</v>
      </c>
      <c r="B117" s="1">
        <v>45792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317</v>
      </c>
      <c r="J117" t="s">
        <v>318</v>
      </c>
      <c r="M117" t="s">
        <v>46</v>
      </c>
      <c r="O117" t="s">
        <v>158</v>
      </c>
      <c r="P117" t="s">
        <v>159</v>
      </c>
      <c r="Q117" t="s">
        <v>49</v>
      </c>
      <c r="R117" t="s">
        <v>50</v>
      </c>
      <c r="S117" s="1">
        <v>45566</v>
      </c>
      <c r="T117" s="1">
        <v>45823</v>
      </c>
      <c r="U117" t="s">
        <v>51</v>
      </c>
      <c r="V117">
        <v>1</v>
      </c>
      <c r="W117" s="1">
        <v>45797</v>
      </c>
      <c r="X117" t="s">
        <v>52</v>
      </c>
      <c r="Y117" s="2">
        <v>1</v>
      </c>
      <c r="Z117" s="2">
        <v>1</v>
      </c>
      <c r="AB117" s="3">
        <v>1</v>
      </c>
      <c r="AC117" s="2">
        <v>9</v>
      </c>
      <c r="AG117" s="2">
        <v>0</v>
      </c>
      <c r="AH117" s="2">
        <v>9</v>
      </c>
      <c r="AI117" s="2">
        <v>0</v>
      </c>
      <c r="AK117">
        <v>5464928</v>
      </c>
      <c r="AL117" t="s">
        <v>53</v>
      </c>
    </row>
    <row r="118" spans="1:38" x14ac:dyDescent="0.25">
      <c r="A118" s="1">
        <v>45799</v>
      </c>
      <c r="B118" s="1">
        <v>45792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319</v>
      </c>
      <c r="J118" t="s">
        <v>320</v>
      </c>
      <c r="M118" t="s">
        <v>46</v>
      </c>
      <c r="O118" t="s">
        <v>95</v>
      </c>
      <c r="P118" t="s">
        <v>96</v>
      </c>
      <c r="Q118" t="s">
        <v>49</v>
      </c>
      <c r="R118" t="s">
        <v>50</v>
      </c>
      <c r="S118" s="1">
        <v>45597</v>
      </c>
      <c r="T118" s="1">
        <v>45823</v>
      </c>
      <c r="U118" t="s">
        <v>51</v>
      </c>
      <c r="V118">
        <v>1</v>
      </c>
      <c r="W118" s="1">
        <v>45797</v>
      </c>
      <c r="X118" t="s">
        <v>52</v>
      </c>
      <c r="Y118" s="2">
        <v>1</v>
      </c>
      <c r="Z118" s="2">
        <v>1</v>
      </c>
      <c r="AB118" s="3">
        <v>1</v>
      </c>
      <c r="AC118" s="2">
        <v>9</v>
      </c>
      <c r="AG118" s="2">
        <v>0</v>
      </c>
      <c r="AH118" s="2">
        <v>9</v>
      </c>
      <c r="AI118" s="2">
        <v>0</v>
      </c>
      <c r="AK118">
        <v>5464931</v>
      </c>
      <c r="AL118" t="s">
        <v>53</v>
      </c>
    </row>
    <row r="119" spans="1:38" x14ac:dyDescent="0.25">
      <c r="A119" s="1">
        <v>45799</v>
      </c>
      <c r="B119" s="1">
        <v>45792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321</v>
      </c>
      <c r="J119" t="s">
        <v>322</v>
      </c>
      <c r="M119" t="s">
        <v>46</v>
      </c>
      <c r="O119" t="s">
        <v>86</v>
      </c>
      <c r="P119" t="s">
        <v>87</v>
      </c>
      <c r="Q119" t="s">
        <v>49</v>
      </c>
      <c r="R119" t="s">
        <v>127</v>
      </c>
      <c r="S119" s="1">
        <v>45597</v>
      </c>
      <c r="T119" s="1">
        <v>45823</v>
      </c>
      <c r="U119" t="s">
        <v>51</v>
      </c>
      <c r="V119">
        <v>1</v>
      </c>
      <c r="W119" s="1">
        <v>45797</v>
      </c>
      <c r="X119" t="s">
        <v>52</v>
      </c>
      <c r="Y119" s="2">
        <v>1</v>
      </c>
      <c r="Z119" s="2">
        <v>1</v>
      </c>
      <c r="AB119" s="3">
        <v>1</v>
      </c>
      <c r="AC119" s="2">
        <v>25.5</v>
      </c>
      <c r="AG119" s="2">
        <v>0</v>
      </c>
      <c r="AH119" s="2">
        <v>25.5</v>
      </c>
      <c r="AI119" s="2">
        <v>0</v>
      </c>
      <c r="AK119">
        <v>5438573</v>
      </c>
      <c r="AL119" t="s">
        <v>89</v>
      </c>
    </row>
    <row r="120" spans="1:38" x14ac:dyDescent="0.25">
      <c r="A120" s="1">
        <v>45799</v>
      </c>
      <c r="B120" s="1">
        <v>45792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323</v>
      </c>
      <c r="J120" t="s">
        <v>322</v>
      </c>
      <c r="M120" t="s">
        <v>46</v>
      </c>
      <c r="O120" t="s">
        <v>86</v>
      </c>
      <c r="P120" t="s">
        <v>87</v>
      </c>
      <c r="Q120" t="s">
        <v>49</v>
      </c>
      <c r="R120" t="s">
        <v>50</v>
      </c>
      <c r="S120" s="1">
        <v>45597</v>
      </c>
      <c r="T120" s="1">
        <v>45823</v>
      </c>
      <c r="U120" t="s">
        <v>51</v>
      </c>
      <c r="V120">
        <v>1</v>
      </c>
      <c r="W120" s="1">
        <v>45797</v>
      </c>
      <c r="X120" t="s">
        <v>52</v>
      </c>
      <c r="Y120" s="2">
        <v>1</v>
      </c>
      <c r="Z120" s="2">
        <v>1</v>
      </c>
      <c r="AB120" s="3">
        <v>1</v>
      </c>
      <c r="AC120" s="2">
        <v>9</v>
      </c>
      <c r="AG120" s="2">
        <v>0</v>
      </c>
      <c r="AH120" s="2">
        <v>9</v>
      </c>
      <c r="AI120" s="2">
        <v>0</v>
      </c>
      <c r="AK120">
        <v>5438574</v>
      </c>
      <c r="AL120" t="s">
        <v>89</v>
      </c>
    </row>
    <row r="121" spans="1:38" x14ac:dyDescent="0.25">
      <c r="A121" s="1">
        <v>45799</v>
      </c>
      <c r="B121" s="1">
        <v>45792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324</v>
      </c>
      <c r="J121" t="s">
        <v>325</v>
      </c>
      <c r="M121" t="s">
        <v>46</v>
      </c>
      <c r="O121" t="s">
        <v>86</v>
      </c>
      <c r="P121" t="s">
        <v>87</v>
      </c>
      <c r="Q121" t="s">
        <v>49</v>
      </c>
      <c r="R121" t="s">
        <v>127</v>
      </c>
      <c r="S121" s="1">
        <v>45597</v>
      </c>
      <c r="T121" s="1">
        <v>45823</v>
      </c>
      <c r="U121" t="s">
        <v>51</v>
      </c>
      <c r="V121">
        <v>1</v>
      </c>
      <c r="W121" s="1">
        <v>45797</v>
      </c>
      <c r="X121" t="s">
        <v>52</v>
      </c>
      <c r="Y121" s="2">
        <v>1</v>
      </c>
      <c r="Z121" s="2">
        <v>1</v>
      </c>
      <c r="AB121" s="3">
        <v>1</v>
      </c>
      <c r="AC121" s="2">
        <v>25.5</v>
      </c>
      <c r="AG121" s="2">
        <v>0</v>
      </c>
      <c r="AH121" s="2">
        <v>25.5</v>
      </c>
      <c r="AI121" s="2">
        <v>0</v>
      </c>
      <c r="AK121">
        <v>5438575</v>
      </c>
      <c r="AL121" t="s">
        <v>89</v>
      </c>
    </row>
    <row r="122" spans="1:38" x14ac:dyDescent="0.25">
      <c r="A122" s="1">
        <v>45799</v>
      </c>
      <c r="B122" s="1">
        <v>45792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326</v>
      </c>
      <c r="J122" t="s">
        <v>325</v>
      </c>
      <c r="M122" t="s">
        <v>46</v>
      </c>
      <c r="O122" t="s">
        <v>86</v>
      </c>
      <c r="P122" t="s">
        <v>87</v>
      </c>
      <c r="Q122" t="s">
        <v>49</v>
      </c>
      <c r="R122" t="s">
        <v>50</v>
      </c>
      <c r="S122" s="1">
        <v>45597</v>
      </c>
      <c r="T122" s="1">
        <v>45823</v>
      </c>
      <c r="U122" t="s">
        <v>51</v>
      </c>
      <c r="V122">
        <v>1</v>
      </c>
      <c r="W122" s="1">
        <v>45797</v>
      </c>
      <c r="X122" t="s">
        <v>52</v>
      </c>
      <c r="Y122" s="2">
        <v>1</v>
      </c>
      <c r="Z122" s="2">
        <v>1</v>
      </c>
      <c r="AB122" s="3">
        <v>1</v>
      </c>
      <c r="AC122" s="2">
        <v>9</v>
      </c>
      <c r="AG122" s="2">
        <v>0</v>
      </c>
      <c r="AH122" s="2">
        <v>9</v>
      </c>
      <c r="AI122" s="2">
        <v>0</v>
      </c>
      <c r="AK122">
        <v>5438576</v>
      </c>
      <c r="AL122" t="s">
        <v>89</v>
      </c>
    </row>
    <row r="123" spans="1:38" x14ac:dyDescent="0.25">
      <c r="A123" s="1">
        <v>45799</v>
      </c>
      <c r="B123" s="1">
        <v>45792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327</v>
      </c>
      <c r="J123" t="s">
        <v>328</v>
      </c>
      <c r="M123" t="s">
        <v>46</v>
      </c>
      <c r="O123" t="s">
        <v>158</v>
      </c>
      <c r="P123" t="s">
        <v>159</v>
      </c>
      <c r="Q123" t="s">
        <v>49</v>
      </c>
      <c r="R123" t="s">
        <v>50</v>
      </c>
      <c r="S123" s="1">
        <v>45566</v>
      </c>
      <c r="T123" s="1">
        <v>45823</v>
      </c>
      <c r="U123" t="s">
        <v>51</v>
      </c>
      <c r="V123">
        <v>1</v>
      </c>
      <c r="W123" s="1">
        <v>45797</v>
      </c>
      <c r="X123" t="s">
        <v>52</v>
      </c>
      <c r="Y123" s="2">
        <v>1</v>
      </c>
      <c r="Z123" s="2">
        <v>1</v>
      </c>
      <c r="AB123" s="3">
        <v>1</v>
      </c>
      <c r="AC123" s="2">
        <v>9</v>
      </c>
      <c r="AG123" s="2">
        <v>0</v>
      </c>
      <c r="AH123" s="2">
        <v>9</v>
      </c>
      <c r="AI123" s="2">
        <v>0</v>
      </c>
      <c r="AK123">
        <v>5464933</v>
      </c>
      <c r="AL123" t="s">
        <v>53</v>
      </c>
    </row>
    <row r="124" spans="1:38" x14ac:dyDescent="0.25">
      <c r="A124" s="1">
        <v>45799</v>
      </c>
      <c r="B124" s="1">
        <v>45792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329</v>
      </c>
      <c r="J124" t="s">
        <v>330</v>
      </c>
      <c r="M124" t="s">
        <v>46</v>
      </c>
      <c r="O124" t="s">
        <v>86</v>
      </c>
      <c r="P124" t="s">
        <v>87</v>
      </c>
      <c r="Q124" t="s">
        <v>49</v>
      </c>
      <c r="R124" t="s">
        <v>127</v>
      </c>
      <c r="S124" s="1">
        <v>45597</v>
      </c>
      <c r="T124" s="1">
        <v>45823</v>
      </c>
      <c r="U124" t="s">
        <v>51</v>
      </c>
      <c r="V124">
        <v>1</v>
      </c>
      <c r="W124" s="1">
        <v>45797</v>
      </c>
      <c r="X124" t="s">
        <v>52</v>
      </c>
      <c r="Y124" s="2">
        <v>1</v>
      </c>
      <c r="Z124" s="2">
        <v>1</v>
      </c>
      <c r="AB124" s="3">
        <v>1</v>
      </c>
      <c r="AC124" s="2">
        <v>25.5</v>
      </c>
      <c r="AG124" s="2">
        <v>0</v>
      </c>
      <c r="AH124" s="2">
        <v>25.5</v>
      </c>
      <c r="AI124" s="2">
        <v>0</v>
      </c>
      <c r="AK124">
        <v>5438577</v>
      </c>
      <c r="AL124" t="s">
        <v>89</v>
      </c>
    </row>
    <row r="125" spans="1:38" x14ac:dyDescent="0.25">
      <c r="A125" s="1">
        <v>45799</v>
      </c>
      <c r="B125" s="1">
        <v>45792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331</v>
      </c>
      <c r="J125" t="s">
        <v>330</v>
      </c>
      <c r="M125" t="s">
        <v>46</v>
      </c>
      <c r="O125" t="s">
        <v>86</v>
      </c>
      <c r="P125" t="s">
        <v>87</v>
      </c>
      <c r="Q125" t="s">
        <v>49</v>
      </c>
      <c r="R125" t="s">
        <v>50</v>
      </c>
      <c r="S125" s="1">
        <v>45597</v>
      </c>
      <c r="T125" s="1">
        <v>45823</v>
      </c>
      <c r="U125" t="s">
        <v>51</v>
      </c>
      <c r="V125">
        <v>1</v>
      </c>
      <c r="W125" s="1">
        <v>45797</v>
      </c>
      <c r="X125" t="s">
        <v>52</v>
      </c>
      <c r="Y125" s="2">
        <v>1</v>
      </c>
      <c r="Z125" s="2">
        <v>1</v>
      </c>
      <c r="AB125" s="3">
        <v>1</v>
      </c>
      <c r="AC125" s="2">
        <v>9</v>
      </c>
      <c r="AG125" s="2">
        <v>0</v>
      </c>
      <c r="AH125" s="2">
        <v>9</v>
      </c>
      <c r="AI125" s="2">
        <v>0</v>
      </c>
      <c r="AK125">
        <v>5438578</v>
      </c>
      <c r="AL125" t="s">
        <v>89</v>
      </c>
    </row>
    <row r="126" spans="1:38" x14ac:dyDescent="0.25">
      <c r="A126" s="1">
        <v>45799</v>
      </c>
      <c r="B126" s="1">
        <v>45792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332</v>
      </c>
      <c r="J126" t="s">
        <v>333</v>
      </c>
      <c r="M126" t="s">
        <v>46</v>
      </c>
      <c r="O126" t="s">
        <v>86</v>
      </c>
      <c r="P126" t="s">
        <v>87</v>
      </c>
      <c r="Q126" t="s">
        <v>49</v>
      </c>
      <c r="R126" t="s">
        <v>127</v>
      </c>
      <c r="S126" s="1">
        <v>45597</v>
      </c>
      <c r="T126" s="1">
        <v>45823</v>
      </c>
      <c r="U126" t="s">
        <v>51</v>
      </c>
      <c r="V126">
        <v>1</v>
      </c>
      <c r="W126" s="1">
        <v>45797</v>
      </c>
      <c r="X126" t="s">
        <v>52</v>
      </c>
      <c r="Y126" s="2">
        <v>1</v>
      </c>
      <c r="Z126" s="2">
        <v>1</v>
      </c>
      <c r="AB126" s="3">
        <v>1</v>
      </c>
      <c r="AC126" s="2">
        <v>25.5</v>
      </c>
      <c r="AG126" s="2">
        <v>0</v>
      </c>
      <c r="AH126" s="2">
        <v>25.5</v>
      </c>
      <c r="AI126" s="2">
        <v>0</v>
      </c>
      <c r="AK126">
        <v>5438579</v>
      </c>
      <c r="AL126" t="s">
        <v>89</v>
      </c>
    </row>
    <row r="127" spans="1:38" x14ac:dyDescent="0.25">
      <c r="A127" s="1">
        <v>45799</v>
      </c>
      <c r="B127" s="1">
        <v>45792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334</v>
      </c>
      <c r="J127" t="s">
        <v>333</v>
      </c>
      <c r="M127" t="s">
        <v>46</v>
      </c>
      <c r="O127" t="s">
        <v>86</v>
      </c>
      <c r="P127" t="s">
        <v>87</v>
      </c>
      <c r="Q127" t="s">
        <v>49</v>
      </c>
      <c r="R127" t="s">
        <v>50</v>
      </c>
      <c r="S127" s="1">
        <v>45597</v>
      </c>
      <c r="T127" s="1">
        <v>45823</v>
      </c>
      <c r="U127" t="s">
        <v>51</v>
      </c>
      <c r="V127">
        <v>1</v>
      </c>
      <c r="W127" s="1">
        <v>45797</v>
      </c>
      <c r="X127" t="s">
        <v>52</v>
      </c>
      <c r="Y127" s="2">
        <v>1</v>
      </c>
      <c r="Z127" s="2">
        <v>1</v>
      </c>
      <c r="AB127" s="3">
        <v>1</v>
      </c>
      <c r="AC127" s="2">
        <v>9</v>
      </c>
      <c r="AG127" s="2">
        <v>0</v>
      </c>
      <c r="AH127" s="2">
        <v>9</v>
      </c>
      <c r="AI127" s="2">
        <v>0</v>
      </c>
      <c r="AK127">
        <v>5438580</v>
      </c>
      <c r="AL127" t="s">
        <v>89</v>
      </c>
    </row>
    <row r="128" spans="1:38" x14ac:dyDescent="0.25">
      <c r="A128" s="1">
        <v>45799</v>
      </c>
      <c r="B128" s="1">
        <v>45792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335</v>
      </c>
      <c r="J128" t="s">
        <v>336</v>
      </c>
      <c r="M128" t="s">
        <v>46</v>
      </c>
      <c r="O128" t="s">
        <v>86</v>
      </c>
      <c r="P128" t="s">
        <v>87</v>
      </c>
      <c r="Q128" t="s">
        <v>49</v>
      </c>
      <c r="R128" t="s">
        <v>127</v>
      </c>
      <c r="S128" s="1">
        <v>45597</v>
      </c>
      <c r="T128" s="1">
        <v>45823</v>
      </c>
      <c r="U128" t="s">
        <v>51</v>
      </c>
      <c r="V128">
        <v>1</v>
      </c>
      <c r="W128" s="1">
        <v>45797</v>
      </c>
      <c r="X128" t="s">
        <v>52</v>
      </c>
      <c r="Y128" s="2">
        <v>1</v>
      </c>
      <c r="Z128" s="2">
        <v>1</v>
      </c>
      <c r="AB128" s="3">
        <v>1</v>
      </c>
      <c r="AC128" s="2">
        <v>25.5</v>
      </c>
      <c r="AG128" s="2">
        <v>0</v>
      </c>
      <c r="AH128" s="2">
        <v>25.5</v>
      </c>
      <c r="AI128" s="2">
        <v>0</v>
      </c>
      <c r="AK128">
        <v>5438581</v>
      </c>
      <c r="AL128" t="s">
        <v>89</v>
      </c>
    </row>
    <row r="129" spans="1:38" x14ac:dyDescent="0.25">
      <c r="A129" s="1">
        <v>45799</v>
      </c>
      <c r="B129" s="1">
        <v>45792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337</v>
      </c>
      <c r="J129" t="s">
        <v>336</v>
      </c>
      <c r="M129" t="s">
        <v>46</v>
      </c>
      <c r="O129" t="s">
        <v>86</v>
      </c>
      <c r="P129" t="s">
        <v>87</v>
      </c>
      <c r="Q129" t="s">
        <v>49</v>
      </c>
      <c r="R129" t="s">
        <v>50</v>
      </c>
      <c r="S129" s="1">
        <v>45597</v>
      </c>
      <c r="T129" s="1">
        <v>45823</v>
      </c>
      <c r="U129" t="s">
        <v>51</v>
      </c>
      <c r="V129">
        <v>1</v>
      </c>
      <c r="W129" s="1">
        <v>45797</v>
      </c>
      <c r="X129" t="s">
        <v>52</v>
      </c>
      <c r="Y129" s="2">
        <v>1</v>
      </c>
      <c r="Z129" s="2">
        <v>1</v>
      </c>
      <c r="AB129" s="3">
        <v>1</v>
      </c>
      <c r="AC129" s="2">
        <v>9</v>
      </c>
      <c r="AG129" s="2">
        <v>0</v>
      </c>
      <c r="AH129" s="2">
        <v>9</v>
      </c>
      <c r="AI129" s="2">
        <v>0</v>
      </c>
      <c r="AK129">
        <v>5438582</v>
      </c>
      <c r="AL129" t="s">
        <v>89</v>
      </c>
    </row>
    <row r="130" spans="1:38" x14ac:dyDescent="0.25">
      <c r="A130" s="1">
        <v>45799</v>
      </c>
      <c r="B130" s="1">
        <v>45792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338</v>
      </c>
      <c r="J130" t="s">
        <v>339</v>
      </c>
      <c r="M130" t="s">
        <v>46</v>
      </c>
      <c r="O130" t="s">
        <v>95</v>
      </c>
      <c r="P130" t="s">
        <v>96</v>
      </c>
      <c r="Q130" t="s">
        <v>49</v>
      </c>
      <c r="R130" t="s">
        <v>50</v>
      </c>
      <c r="S130" s="1">
        <v>45627</v>
      </c>
      <c r="T130" s="1">
        <v>45823</v>
      </c>
      <c r="U130" t="s">
        <v>51</v>
      </c>
      <c r="V130">
        <v>1</v>
      </c>
      <c r="W130" s="1">
        <v>45797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5464970</v>
      </c>
      <c r="AL130" t="s">
        <v>53</v>
      </c>
    </row>
    <row r="131" spans="1:38" x14ac:dyDescent="0.25">
      <c r="A131" s="1">
        <v>45799</v>
      </c>
      <c r="B131" s="1">
        <v>45792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340</v>
      </c>
      <c r="J131" t="s">
        <v>341</v>
      </c>
      <c r="M131" t="s">
        <v>46</v>
      </c>
      <c r="O131" t="s">
        <v>186</v>
      </c>
      <c r="P131" t="s">
        <v>187</v>
      </c>
      <c r="Q131" t="s">
        <v>49</v>
      </c>
      <c r="R131" t="s">
        <v>50</v>
      </c>
      <c r="S131" s="1">
        <v>45627</v>
      </c>
      <c r="T131" s="1">
        <v>45823</v>
      </c>
      <c r="U131" t="s">
        <v>51</v>
      </c>
      <c r="V131">
        <v>1</v>
      </c>
      <c r="W131" s="1">
        <v>45797</v>
      </c>
      <c r="X131" t="s">
        <v>52</v>
      </c>
      <c r="Y131" s="2">
        <v>1</v>
      </c>
      <c r="Z131" s="2">
        <v>1</v>
      </c>
      <c r="AB131" s="3">
        <v>1</v>
      </c>
      <c r="AC131" s="2">
        <v>9</v>
      </c>
      <c r="AG131" s="2">
        <v>0</v>
      </c>
      <c r="AH131" s="2">
        <v>9</v>
      </c>
      <c r="AI131" s="2">
        <v>0</v>
      </c>
      <c r="AK131">
        <v>5464977</v>
      </c>
      <c r="AL131" t="s">
        <v>53</v>
      </c>
    </row>
    <row r="132" spans="1:38" x14ac:dyDescent="0.25">
      <c r="A132" s="1">
        <v>45799</v>
      </c>
      <c r="B132" s="1">
        <v>45792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342</v>
      </c>
      <c r="J132" t="s">
        <v>343</v>
      </c>
      <c r="M132" t="s">
        <v>46</v>
      </c>
      <c r="O132" t="s">
        <v>150</v>
      </c>
      <c r="P132" t="s">
        <v>151</v>
      </c>
      <c r="Q132" t="s">
        <v>49</v>
      </c>
      <c r="R132" t="s">
        <v>50</v>
      </c>
      <c r="S132" s="1">
        <v>45566</v>
      </c>
      <c r="T132" s="1">
        <v>45823</v>
      </c>
      <c r="U132" t="s">
        <v>51</v>
      </c>
      <c r="V132">
        <v>1</v>
      </c>
      <c r="W132" s="1">
        <v>45797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5464983</v>
      </c>
      <c r="AL132" t="s">
        <v>53</v>
      </c>
    </row>
    <row r="133" spans="1:38" x14ac:dyDescent="0.25">
      <c r="A133" s="1">
        <v>45799</v>
      </c>
      <c r="B133" s="1">
        <v>45792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344</v>
      </c>
      <c r="J133" t="s">
        <v>345</v>
      </c>
      <c r="M133" t="s">
        <v>46</v>
      </c>
      <c r="O133" t="s">
        <v>101</v>
      </c>
      <c r="P133" t="s">
        <v>102</v>
      </c>
      <c r="Q133" t="s">
        <v>49</v>
      </c>
      <c r="R133" t="s">
        <v>50</v>
      </c>
      <c r="S133" s="1">
        <v>45597</v>
      </c>
      <c r="T133" s="1">
        <v>45823</v>
      </c>
      <c r="U133" t="s">
        <v>51</v>
      </c>
      <c r="V133">
        <v>1</v>
      </c>
      <c r="W133" s="1">
        <v>45797</v>
      </c>
      <c r="X133" t="s">
        <v>52</v>
      </c>
      <c r="Y133" s="2">
        <v>1</v>
      </c>
      <c r="Z133" s="2">
        <v>1</v>
      </c>
      <c r="AB133" s="3">
        <v>1</v>
      </c>
      <c r="AC133" s="2">
        <v>9</v>
      </c>
      <c r="AG133" s="2">
        <v>0</v>
      </c>
      <c r="AH133" s="2">
        <v>9</v>
      </c>
      <c r="AI133" s="2">
        <v>0</v>
      </c>
      <c r="AK133">
        <v>5465000</v>
      </c>
      <c r="AL133" t="s">
        <v>53</v>
      </c>
    </row>
    <row r="134" spans="1:38" x14ac:dyDescent="0.25">
      <c r="A134" s="1">
        <v>45799</v>
      </c>
      <c r="B134" s="1">
        <v>45792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346</v>
      </c>
      <c r="J134" t="s">
        <v>347</v>
      </c>
      <c r="M134" t="s">
        <v>46</v>
      </c>
      <c r="O134" t="s">
        <v>86</v>
      </c>
      <c r="P134" t="s">
        <v>87</v>
      </c>
      <c r="Q134" t="s">
        <v>49</v>
      </c>
      <c r="R134" t="s">
        <v>50</v>
      </c>
      <c r="S134" s="1">
        <v>45597</v>
      </c>
      <c r="T134" s="1">
        <v>45823</v>
      </c>
      <c r="U134" t="s">
        <v>51</v>
      </c>
      <c r="V134">
        <v>1</v>
      </c>
      <c r="W134" s="1">
        <v>45797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5465006</v>
      </c>
      <c r="AL134" t="s">
        <v>53</v>
      </c>
    </row>
    <row r="135" spans="1:38" x14ac:dyDescent="0.25">
      <c r="A135" s="1">
        <v>45799</v>
      </c>
      <c r="B135" s="1">
        <v>45792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348</v>
      </c>
      <c r="J135" t="s">
        <v>349</v>
      </c>
      <c r="M135" t="s">
        <v>46</v>
      </c>
      <c r="O135" t="s">
        <v>66</v>
      </c>
      <c r="P135" t="s">
        <v>67</v>
      </c>
      <c r="Q135" t="s">
        <v>49</v>
      </c>
      <c r="R135" t="s">
        <v>50</v>
      </c>
      <c r="S135" s="1">
        <v>45597</v>
      </c>
      <c r="T135" s="1">
        <v>45823</v>
      </c>
      <c r="U135" t="s">
        <v>51</v>
      </c>
      <c r="V135">
        <v>1</v>
      </c>
      <c r="W135" s="1">
        <v>45797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5465009</v>
      </c>
      <c r="AL135" t="s">
        <v>53</v>
      </c>
    </row>
    <row r="136" spans="1:38" x14ac:dyDescent="0.25">
      <c r="A136" s="1">
        <v>45799</v>
      </c>
      <c r="B136" s="1">
        <v>45792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350</v>
      </c>
      <c r="J136" t="s">
        <v>351</v>
      </c>
      <c r="M136" t="s">
        <v>46</v>
      </c>
      <c r="O136" t="s">
        <v>158</v>
      </c>
      <c r="P136" t="s">
        <v>159</v>
      </c>
      <c r="Q136" t="s">
        <v>49</v>
      </c>
      <c r="R136" t="s">
        <v>50</v>
      </c>
      <c r="S136" s="1">
        <v>45597</v>
      </c>
      <c r="T136" s="1">
        <v>45823</v>
      </c>
      <c r="U136" t="s">
        <v>51</v>
      </c>
      <c r="V136">
        <v>1</v>
      </c>
      <c r="W136" s="1">
        <v>45797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5465012</v>
      </c>
      <c r="AL136" t="s">
        <v>53</v>
      </c>
    </row>
    <row r="137" spans="1:38" x14ac:dyDescent="0.25">
      <c r="A137" s="1">
        <v>45799</v>
      </c>
      <c r="B137" s="1">
        <v>45792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352</v>
      </c>
      <c r="J137" t="s">
        <v>353</v>
      </c>
      <c r="M137" t="s">
        <v>46</v>
      </c>
      <c r="O137" t="s">
        <v>86</v>
      </c>
      <c r="P137" t="s">
        <v>87</v>
      </c>
      <c r="Q137" t="s">
        <v>49</v>
      </c>
      <c r="R137" t="s">
        <v>50</v>
      </c>
      <c r="S137" s="1">
        <v>45627</v>
      </c>
      <c r="T137" s="1">
        <v>45823</v>
      </c>
      <c r="U137" t="s">
        <v>51</v>
      </c>
      <c r="V137">
        <v>1</v>
      </c>
      <c r="W137" s="1">
        <v>45797</v>
      </c>
      <c r="X137" t="s">
        <v>52</v>
      </c>
      <c r="Y137" s="2">
        <v>1</v>
      </c>
      <c r="Z137" s="2">
        <v>1</v>
      </c>
      <c r="AB137" s="3">
        <v>1</v>
      </c>
      <c r="AC137" s="2">
        <v>9</v>
      </c>
      <c r="AG137" s="2">
        <v>0</v>
      </c>
      <c r="AH137" s="2">
        <v>9</v>
      </c>
      <c r="AI137" s="2">
        <v>0</v>
      </c>
      <c r="AK137">
        <v>5465046</v>
      </c>
      <c r="AL137" t="s">
        <v>53</v>
      </c>
    </row>
    <row r="138" spans="1:38" x14ac:dyDescent="0.25">
      <c r="A138" s="1">
        <v>45799</v>
      </c>
      <c r="B138" s="1">
        <v>45792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354</v>
      </c>
      <c r="J138" t="s">
        <v>355</v>
      </c>
      <c r="M138" t="s">
        <v>46</v>
      </c>
      <c r="O138" t="s">
        <v>287</v>
      </c>
      <c r="P138" t="s">
        <v>288</v>
      </c>
      <c r="Q138" t="s">
        <v>49</v>
      </c>
      <c r="R138" t="s">
        <v>50</v>
      </c>
      <c r="S138" s="1">
        <v>45597</v>
      </c>
      <c r="T138" s="1">
        <v>45823</v>
      </c>
      <c r="U138" t="s">
        <v>51</v>
      </c>
      <c r="V138">
        <v>1</v>
      </c>
      <c r="W138" s="1">
        <v>45797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5465051</v>
      </c>
      <c r="AL138" t="s">
        <v>53</v>
      </c>
    </row>
    <row r="139" spans="1:38" x14ac:dyDescent="0.25">
      <c r="A139" s="1">
        <v>45799</v>
      </c>
      <c r="B139" s="1">
        <v>45792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356</v>
      </c>
      <c r="J139" t="s">
        <v>357</v>
      </c>
      <c r="M139" t="s">
        <v>46</v>
      </c>
      <c r="O139" t="s">
        <v>287</v>
      </c>
      <c r="P139" t="s">
        <v>288</v>
      </c>
      <c r="Q139" t="s">
        <v>49</v>
      </c>
      <c r="R139" t="s">
        <v>50</v>
      </c>
      <c r="S139" s="1">
        <v>45597</v>
      </c>
      <c r="T139" s="1">
        <v>45823</v>
      </c>
      <c r="U139" t="s">
        <v>51</v>
      </c>
      <c r="V139">
        <v>1</v>
      </c>
      <c r="W139" s="1">
        <v>45797</v>
      </c>
      <c r="X139" t="s">
        <v>52</v>
      </c>
      <c r="Y139" s="2">
        <v>1</v>
      </c>
      <c r="Z139" s="2">
        <v>1</v>
      </c>
      <c r="AB139" s="3">
        <v>1</v>
      </c>
      <c r="AC139" s="2">
        <v>9</v>
      </c>
      <c r="AG139" s="2">
        <v>0</v>
      </c>
      <c r="AH139" s="2">
        <v>9</v>
      </c>
      <c r="AI139" s="2">
        <v>0</v>
      </c>
      <c r="AK139">
        <v>5465057</v>
      </c>
      <c r="AL139" t="s">
        <v>53</v>
      </c>
    </row>
    <row r="140" spans="1:38" x14ac:dyDescent="0.25">
      <c r="A140" s="1">
        <v>45799</v>
      </c>
      <c r="B140" s="1">
        <v>45792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358</v>
      </c>
      <c r="J140" t="s">
        <v>359</v>
      </c>
      <c r="M140" t="s">
        <v>46</v>
      </c>
      <c r="O140" t="s">
        <v>360</v>
      </c>
      <c r="P140" t="s">
        <v>361</v>
      </c>
      <c r="Q140" t="s">
        <v>49</v>
      </c>
      <c r="R140" t="s">
        <v>50</v>
      </c>
      <c r="S140" s="1">
        <v>45566</v>
      </c>
      <c r="T140" s="1">
        <v>45823</v>
      </c>
      <c r="U140" t="s">
        <v>51</v>
      </c>
      <c r="V140">
        <v>1</v>
      </c>
      <c r="W140" s="1">
        <v>45797</v>
      </c>
      <c r="X140" t="s">
        <v>52</v>
      </c>
      <c r="Y140" s="2">
        <v>1</v>
      </c>
      <c r="Z140" s="2">
        <v>1</v>
      </c>
      <c r="AB140" s="3">
        <v>1</v>
      </c>
      <c r="AC140" s="2">
        <v>9</v>
      </c>
      <c r="AG140" s="2">
        <v>0</v>
      </c>
      <c r="AH140" s="2">
        <v>9</v>
      </c>
      <c r="AI140" s="2">
        <v>0</v>
      </c>
      <c r="AK140">
        <v>5465064</v>
      </c>
      <c r="AL140" t="s">
        <v>53</v>
      </c>
    </row>
    <row r="141" spans="1:38" x14ac:dyDescent="0.25">
      <c r="A141" s="1">
        <v>45799</v>
      </c>
      <c r="B141" s="1">
        <v>45792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362</v>
      </c>
      <c r="J141" t="s">
        <v>363</v>
      </c>
      <c r="M141" t="s">
        <v>46</v>
      </c>
      <c r="O141" t="s">
        <v>305</v>
      </c>
      <c r="P141" t="s">
        <v>306</v>
      </c>
      <c r="Q141" t="s">
        <v>49</v>
      </c>
      <c r="R141" t="s">
        <v>50</v>
      </c>
      <c r="S141" s="1">
        <v>45627</v>
      </c>
      <c r="T141" s="1">
        <v>45823</v>
      </c>
      <c r="U141" t="s">
        <v>51</v>
      </c>
      <c r="V141">
        <v>1</v>
      </c>
      <c r="W141" s="1">
        <v>45797</v>
      </c>
      <c r="X141" t="s">
        <v>52</v>
      </c>
      <c r="Y141" s="2">
        <v>1</v>
      </c>
      <c r="Z141" s="2">
        <v>1</v>
      </c>
      <c r="AB141" s="3">
        <v>1</v>
      </c>
      <c r="AC141" s="2">
        <v>9</v>
      </c>
      <c r="AG141" s="2">
        <v>0</v>
      </c>
      <c r="AH141" s="2">
        <v>9</v>
      </c>
      <c r="AI141" s="2">
        <v>0</v>
      </c>
      <c r="AK141">
        <v>5465077</v>
      </c>
      <c r="AL141" t="s">
        <v>53</v>
      </c>
    </row>
    <row r="142" spans="1:38" x14ac:dyDescent="0.25">
      <c r="A142" s="1">
        <v>45799</v>
      </c>
      <c r="B142" s="1">
        <v>45792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364</v>
      </c>
      <c r="J142" t="s">
        <v>365</v>
      </c>
      <c r="M142" t="s">
        <v>46</v>
      </c>
      <c r="O142" t="s">
        <v>172</v>
      </c>
      <c r="P142" t="s">
        <v>173</v>
      </c>
      <c r="Q142" t="s">
        <v>49</v>
      </c>
      <c r="R142" t="s">
        <v>50</v>
      </c>
      <c r="S142" s="1">
        <v>45597</v>
      </c>
      <c r="T142" s="1">
        <v>45823</v>
      </c>
      <c r="U142" t="s">
        <v>51</v>
      </c>
      <c r="V142">
        <v>1</v>
      </c>
      <c r="W142" s="1">
        <v>45797</v>
      </c>
      <c r="X142" t="s">
        <v>52</v>
      </c>
      <c r="Y142" s="2">
        <v>1</v>
      </c>
      <c r="Z142" s="2">
        <v>1</v>
      </c>
      <c r="AB142" s="3">
        <v>1</v>
      </c>
      <c r="AC142" s="2">
        <v>9</v>
      </c>
      <c r="AG142" s="2">
        <v>0</v>
      </c>
      <c r="AH142" s="2">
        <v>9</v>
      </c>
      <c r="AI142" s="2">
        <v>0</v>
      </c>
      <c r="AK142">
        <v>5465080</v>
      </c>
      <c r="AL142" t="s">
        <v>53</v>
      </c>
    </row>
    <row r="143" spans="1:38" x14ac:dyDescent="0.25">
      <c r="A143" s="1">
        <v>45799</v>
      </c>
      <c r="B143" s="1">
        <v>45792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366</v>
      </c>
      <c r="J143" t="s">
        <v>367</v>
      </c>
      <c r="M143" t="s">
        <v>46</v>
      </c>
      <c r="O143" t="s">
        <v>225</v>
      </c>
      <c r="P143" t="s">
        <v>226</v>
      </c>
      <c r="Q143" t="s">
        <v>49</v>
      </c>
      <c r="R143" t="s">
        <v>50</v>
      </c>
      <c r="S143" s="1">
        <v>45597</v>
      </c>
      <c r="T143" s="1">
        <v>45823</v>
      </c>
      <c r="U143" t="s">
        <v>51</v>
      </c>
      <c r="V143">
        <v>1</v>
      </c>
      <c r="W143" s="1">
        <v>45797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5465091</v>
      </c>
      <c r="AL143" t="s">
        <v>53</v>
      </c>
    </row>
    <row r="144" spans="1:38" x14ac:dyDescent="0.25">
      <c r="A144" s="1">
        <v>45799</v>
      </c>
      <c r="B144" s="1">
        <v>45792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368</v>
      </c>
      <c r="J144" t="s">
        <v>369</v>
      </c>
      <c r="M144" t="s">
        <v>46</v>
      </c>
      <c r="O144" t="s">
        <v>95</v>
      </c>
      <c r="P144" t="s">
        <v>96</v>
      </c>
      <c r="Q144" t="s">
        <v>49</v>
      </c>
      <c r="R144" t="s">
        <v>50</v>
      </c>
      <c r="S144" s="1">
        <v>45597</v>
      </c>
      <c r="T144" s="1">
        <v>45823</v>
      </c>
      <c r="U144" t="s">
        <v>51</v>
      </c>
      <c r="V144">
        <v>1</v>
      </c>
      <c r="W144" s="1">
        <v>45797</v>
      </c>
      <c r="X144" t="s">
        <v>52</v>
      </c>
      <c r="Y144" s="2">
        <v>1</v>
      </c>
      <c r="Z144" s="2">
        <v>1</v>
      </c>
      <c r="AB144" s="3">
        <v>1</v>
      </c>
      <c r="AC144" s="2">
        <v>9</v>
      </c>
      <c r="AG144" s="2">
        <v>0</v>
      </c>
      <c r="AH144" s="2">
        <v>9</v>
      </c>
      <c r="AI144" s="2">
        <v>0</v>
      </c>
      <c r="AK144">
        <v>5465108</v>
      </c>
      <c r="AL144" t="s">
        <v>53</v>
      </c>
    </row>
    <row r="145" spans="1:38" x14ac:dyDescent="0.25">
      <c r="A145" s="1">
        <v>45799</v>
      </c>
      <c r="B145" s="1">
        <v>45792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370</v>
      </c>
      <c r="J145" t="s">
        <v>371</v>
      </c>
      <c r="M145" t="s">
        <v>46</v>
      </c>
      <c r="O145" t="s">
        <v>372</v>
      </c>
      <c r="P145" t="s">
        <v>373</v>
      </c>
      <c r="Q145" t="s">
        <v>49</v>
      </c>
      <c r="R145" t="s">
        <v>50</v>
      </c>
      <c r="S145" s="1">
        <v>45597</v>
      </c>
      <c r="T145" s="1">
        <v>45823</v>
      </c>
      <c r="U145" t="s">
        <v>51</v>
      </c>
      <c r="V145">
        <v>1</v>
      </c>
      <c r="W145" s="1">
        <v>45797</v>
      </c>
      <c r="X145" t="s">
        <v>52</v>
      </c>
      <c r="Y145" s="2">
        <v>1</v>
      </c>
      <c r="Z145" s="2">
        <v>1</v>
      </c>
      <c r="AB145" s="3">
        <v>1</v>
      </c>
      <c r="AC145" s="2">
        <v>4</v>
      </c>
      <c r="AG145" s="2">
        <v>0</v>
      </c>
      <c r="AH145" s="2">
        <v>4</v>
      </c>
      <c r="AI145" s="2">
        <v>0</v>
      </c>
      <c r="AK145">
        <v>5465120</v>
      </c>
      <c r="AL145" t="s">
        <v>53</v>
      </c>
    </row>
    <row r="146" spans="1:38" x14ac:dyDescent="0.25">
      <c r="A146" s="1">
        <v>45799</v>
      </c>
      <c r="B146" s="1">
        <v>45792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374</v>
      </c>
      <c r="J146" t="s">
        <v>375</v>
      </c>
      <c r="M146" t="s">
        <v>46</v>
      </c>
      <c r="O146" t="s">
        <v>70</v>
      </c>
      <c r="P146" t="s">
        <v>71</v>
      </c>
      <c r="Q146" t="s">
        <v>49</v>
      </c>
      <c r="R146" t="s">
        <v>50</v>
      </c>
      <c r="S146" s="1">
        <v>45597</v>
      </c>
      <c r="T146" s="1">
        <v>45823</v>
      </c>
      <c r="U146" t="s">
        <v>51</v>
      </c>
      <c r="V146">
        <v>1</v>
      </c>
      <c r="W146" s="1">
        <v>45797</v>
      </c>
      <c r="X146" t="s">
        <v>52</v>
      </c>
      <c r="Y146" s="2">
        <v>1</v>
      </c>
      <c r="Z146" s="2">
        <v>1</v>
      </c>
      <c r="AB146" s="3">
        <v>1</v>
      </c>
      <c r="AC146" s="2">
        <v>9</v>
      </c>
      <c r="AG146" s="2">
        <v>0</v>
      </c>
      <c r="AH146" s="2">
        <v>9</v>
      </c>
      <c r="AI146" s="2">
        <v>0</v>
      </c>
      <c r="AK146">
        <v>5465131</v>
      </c>
      <c r="AL146" t="s">
        <v>53</v>
      </c>
    </row>
    <row r="147" spans="1:38" x14ac:dyDescent="0.25">
      <c r="A147" s="1">
        <v>45799</v>
      </c>
      <c r="B147" s="1">
        <v>45792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376</v>
      </c>
      <c r="J147" t="s">
        <v>377</v>
      </c>
      <c r="M147" t="s">
        <v>46</v>
      </c>
      <c r="O147" t="s">
        <v>158</v>
      </c>
      <c r="P147" t="s">
        <v>159</v>
      </c>
      <c r="Q147" t="s">
        <v>49</v>
      </c>
      <c r="R147" t="s">
        <v>50</v>
      </c>
      <c r="S147" s="1">
        <v>45627</v>
      </c>
      <c r="T147" s="1">
        <v>45823</v>
      </c>
      <c r="U147" t="s">
        <v>51</v>
      </c>
      <c r="V147">
        <v>1</v>
      </c>
      <c r="W147" s="1">
        <v>45797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5465142</v>
      </c>
      <c r="AL147" t="s">
        <v>53</v>
      </c>
    </row>
    <row r="148" spans="1:38" x14ac:dyDescent="0.25">
      <c r="A148" s="1">
        <v>45799</v>
      </c>
      <c r="B148" s="1">
        <v>45792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378</v>
      </c>
      <c r="J148" t="s">
        <v>379</v>
      </c>
      <c r="M148" t="s">
        <v>46</v>
      </c>
      <c r="O148" t="s">
        <v>380</v>
      </c>
      <c r="P148" t="s">
        <v>381</v>
      </c>
      <c r="Q148" t="s">
        <v>49</v>
      </c>
      <c r="R148" t="s">
        <v>50</v>
      </c>
      <c r="S148" s="1">
        <v>45627</v>
      </c>
      <c r="T148" s="1">
        <v>45823</v>
      </c>
      <c r="U148" t="s">
        <v>51</v>
      </c>
      <c r="V148">
        <v>1</v>
      </c>
      <c r="W148" s="1">
        <v>45797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5465145</v>
      </c>
      <c r="AL148" t="s">
        <v>53</v>
      </c>
    </row>
    <row r="149" spans="1:38" x14ac:dyDescent="0.25">
      <c r="A149" s="1">
        <v>45799</v>
      </c>
      <c r="B149" s="1">
        <v>45792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382</v>
      </c>
      <c r="J149" t="s">
        <v>383</v>
      </c>
      <c r="M149" t="s">
        <v>46</v>
      </c>
      <c r="O149" t="s">
        <v>158</v>
      </c>
      <c r="P149" t="s">
        <v>159</v>
      </c>
      <c r="Q149" t="s">
        <v>49</v>
      </c>
      <c r="R149" t="s">
        <v>50</v>
      </c>
      <c r="S149" s="1">
        <v>45627</v>
      </c>
      <c r="T149" s="1">
        <v>45823</v>
      </c>
      <c r="U149" t="s">
        <v>51</v>
      </c>
      <c r="V149">
        <v>1</v>
      </c>
      <c r="W149" s="1">
        <v>45797</v>
      </c>
      <c r="X149" t="s">
        <v>52</v>
      </c>
      <c r="Y149" s="2">
        <v>1</v>
      </c>
      <c r="Z149" s="2">
        <v>1</v>
      </c>
      <c r="AB149" s="3">
        <v>1</v>
      </c>
      <c r="AC149" s="2">
        <v>9</v>
      </c>
      <c r="AG149" s="2">
        <v>0</v>
      </c>
      <c r="AH149" s="2">
        <v>9</v>
      </c>
      <c r="AI149" s="2">
        <v>0</v>
      </c>
      <c r="AK149">
        <v>5465169</v>
      </c>
      <c r="AL149" t="s">
        <v>53</v>
      </c>
    </row>
    <row r="150" spans="1:38" x14ac:dyDescent="0.25">
      <c r="A150" s="1">
        <v>45799</v>
      </c>
      <c r="B150" s="1">
        <v>45792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384</v>
      </c>
      <c r="J150" t="s">
        <v>385</v>
      </c>
      <c r="M150" t="s">
        <v>46</v>
      </c>
      <c r="O150" t="s">
        <v>66</v>
      </c>
      <c r="P150" t="s">
        <v>67</v>
      </c>
      <c r="Q150" t="s">
        <v>49</v>
      </c>
      <c r="R150" t="s">
        <v>50</v>
      </c>
      <c r="S150" s="1">
        <v>45627</v>
      </c>
      <c r="T150" s="1">
        <v>45823</v>
      </c>
      <c r="U150" t="s">
        <v>51</v>
      </c>
      <c r="V150">
        <v>1</v>
      </c>
      <c r="W150" s="1">
        <v>45797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5465172</v>
      </c>
      <c r="AL150" t="s">
        <v>53</v>
      </c>
    </row>
    <row r="151" spans="1:38" x14ac:dyDescent="0.25">
      <c r="A151" s="1">
        <v>45799</v>
      </c>
      <c r="B151" s="1">
        <v>45792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386</v>
      </c>
      <c r="J151" t="s">
        <v>387</v>
      </c>
      <c r="M151" t="s">
        <v>46</v>
      </c>
      <c r="O151" t="s">
        <v>62</v>
      </c>
      <c r="P151" t="s">
        <v>63</v>
      </c>
      <c r="Q151" t="s">
        <v>49</v>
      </c>
      <c r="R151" t="s">
        <v>50</v>
      </c>
      <c r="S151" s="1">
        <v>45627</v>
      </c>
      <c r="T151" s="1">
        <v>45823</v>
      </c>
      <c r="U151" t="s">
        <v>51</v>
      </c>
      <c r="V151">
        <v>1</v>
      </c>
      <c r="W151" s="1">
        <v>45797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5465180</v>
      </c>
      <c r="AL151" t="s">
        <v>53</v>
      </c>
    </row>
    <row r="152" spans="1:38" x14ac:dyDescent="0.25">
      <c r="A152" s="1">
        <v>45799</v>
      </c>
      <c r="B152" s="1">
        <v>45792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388</v>
      </c>
      <c r="J152" t="s">
        <v>389</v>
      </c>
      <c r="M152" t="s">
        <v>46</v>
      </c>
      <c r="O152" t="s">
        <v>360</v>
      </c>
      <c r="P152" t="s">
        <v>361</v>
      </c>
      <c r="Q152" t="s">
        <v>49</v>
      </c>
      <c r="R152" t="s">
        <v>50</v>
      </c>
      <c r="S152" s="1">
        <v>45627</v>
      </c>
      <c r="T152" s="1">
        <v>45823</v>
      </c>
      <c r="U152" t="s">
        <v>51</v>
      </c>
      <c r="V152">
        <v>1</v>
      </c>
      <c r="W152" s="1">
        <v>45797</v>
      </c>
      <c r="X152" t="s">
        <v>52</v>
      </c>
      <c r="Y152" s="2">
        <v>1</v>
      </c>
      <c r="Z152" s="2">
        <v>1</v>
      </c>
      <c r="AB152" s="3">
        <v>1</v>
      </c>
      <c r="AC152" s="2">
        <v>9</v>
      </c>
      <c r="AG152" s="2">
        <v>0</v>
      </c>
      <c r="AH152" s="2">
        <v>9</v>
      </c>
      <c r="AI152" s="2">
        <v>0</v>
      </c>
      <c r="AK152">
        <v>5465185</v>
      </c>
      <c r="AL152" t="s">
        <v>53</v>
      </c>
    </row>
    <row r="153" spans="1:38" x14ac:dyDescent="0.25">
      <c r="A153" s="1">
        <v>45799</v>
      </c>
      <c r="B153" s="1">
        <v>45792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390</v>
      </c>
      <c r="J153" t="s">
        <v>391</v>
      </c>
      <c r="M153" t="s">
        <v>46</v>
      </c>
      <c r="O153" t="s">
        <v>62</v>
      </c>
      <c r="P153" t="s">
        <v>63</v>
      </c>
      <c r="Q153" t="s">
        <v>49</v>
      </c>
      <c r="R153" t="s">
        <v>50</v>
      </c>
      <c r="S153" s="1">
        <v>45627</v>
      </c>
      <c r="T153" s="1">
        <v>45823</v>
      </c>
      <c r="U153" t="s">
        <v>51</v>
      </c>
      <c r="V153">
        <v>1</v>
      </c>
      <c r="W153" s="1">
        <v>45797</v>
      </c>
      <c r="X153" t="s">
        <v>52</v>
      </c>
      <c r="Y153" s="2">
        <v>1</v>
      </c>
      <c r="Z153" s="2">
        <v>1</v>
      </c>
      <c r="AB153" s="3">
        <v>1</v>
      </c>
      <c r="AC153" s="2">
        <v>9</v>
      </c>
      <c r="AG153" s="2">
        <v>0</v>
      </c>
      <c r="AH153" s="2">
        <v>9</v>
      </c>
      <c r="AI153" s="2">
        <v>0</v>
      </c>
      <c r="AK153">
        <v>5465203</v>
      </c>
      <c r="AL153" t="s">
        <v>53</v>
      </c>
    </row>
    <row r="154" spans="1:38" x14ac:dyDescent="0.25">
      <c r="A154" s="1">
        <v>45799</v>
      </c>
      <c r="B154" s="1">
        <v>45792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392</v>
      </c>
      <c r="J154" t="s">
        <v>393</v>
      </c>
      <c r="M154" t="s">
        <v>46</v>
      </c>
      <c r="O154" t="s">
        <v>95</v>
      </c>
      <c r="P154" t="s">
        <v>96</v>
      </c>
      <c r="Q154" t="s">
        <v>49</v>
      </c>
      <c r="R154" t="s">
        <v>50</v>
      </c>
      <c r="S154" s="1">
        <v>45627</v>
      </c>
      <c r="T154" s="1">
        <v>45823</v>
      </c>
      <c r="U154" t="s">
        <v>51</v>
      </c>
      <c r="V154">
        <v>1</v>
      </c>
      <c r="W154" s="1">
        <v>45797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5465222</v>
      </c>
      <c r="AL154" t="s">
        <v>53</v>
      </c>
    </row>
    <row r="155" spans="1:38" x14ac:dyDescent="0.25">
      <c r="A155" s="1">
        <v>45799</v>
      </c>
      <c r="B155" s="1">
        <v>45792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394</v>
      </c>
      <c r="J155" t="s">
        <v>395</v>
      </c>
      <c r="M155" t="s">
        <v>46</v>
      </c>
      <c r="O155" t="s">
        <v>70</v>
      </c>
      <c r="P155" t="s">
        <v>71</v>
      </c>
      <c r="Q155" t="s">
        <v>49</v>
      </c>
      <c r="R155" t="s">
        <v>50</v>
      </c>
      <c r="S155" s="1">
        <v>45627</v>
      </c>
      <c r="T155" s="1">
        <v>45823</v>
      </c>
      <c r="U155" t="s">
        <v>51</v>
      </c>
      <c r="V155">
        <v>1</v>
      </c>
      <c r="W155" s="1">
        <v>45797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5465232</v>
      </c>
      <c r="AL155" t="s">
        <v>53</v>
      </c>
    </row>
    <row r="156" spans="1:38" x14ac:dyDescent="0.25">
      <c r="A156" s="1">
        <v>45799</v>
      </c>
      <c r="B156" s="1">
        <v>45792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396</v>
      </c>
      <c r="J156" t="s">
        <v>397</v>
      </c>
      <c r="M156" t="s">
        <v>46</v>
      </c>
      <c r="O156" t="s">
        <v>186</v>
      </c>
      <c r="P156" t="s">
        <v>187</v>
      </c>
      <c r="Q156" t="s">
        <v>49</v>
      </c>
      <c r="R156" t="s">
        <v>50</v>
      </c>
      <c r="S156" s="1">
        <v>45627</v>
      </c>
      <c r="T156" s="1">
        <v>45823</v>
      </c>
      <c r="U156" t="s">
        <v>51</v>
      </c>
      <c r="V156">
        <v>1</v>
      </c>
      <c r="W156" s="1">
        <v>45797</v>
      </c>
      <c r="X156" t="s">
        <v>52</v>
      </c>
      <c r="Y156" s="2">
        <v>1</v>
      </c>
      <c r="Z156" s="2">
        <v>1</v>
      </c>
      <c r="AB156" s="3">
        <v>1</v>
      </c>
      <c r="AC156" s="2">
        <v>9</v>
      </c>
      <c r="AG156" s="2">
        <v>0</v>
      </c>
      <c r="AH156" s="2">
        <v>9</v>
      </c>
      <c r="AI156" s="2">
        <v>0</v>
      </c>
      <c r="AK156">
        <v>5465239</v>
      </c>
      <c r="AL156" t="s">
        <v>53</v>
      </c>
    </row>
    <row r="157" spans="1:38" x14ac:dyDescent="0.25">
      <c r="A157" s="1">
        <v>45799</v>
      </c>
      <c r="B157" s="1">
        <v>45792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398</v>
      </c>
      <c r="J157" t="s">
        <v>399</v>
      </c>
      <c r="M157" t="s">
        <v>46</v>
      </c>
      <c r="O157" t="s">
        <v>125</v>
      </c>
      <c r="P157" t="s">
        <v>126</v>
      </c>
      <c r="Q157" t="s">
        <v>49</v>
      </c>
      <c r="R157" t="s">
        <v>50</v>
      </c>
      <c r="S157" s="1">
        <v>45627</v>
      </c>
      <c r="T157" s="1">
        <v>45823</v>
      </c>
      <c r="U157" t="s">
        <v>51</v>
      </c>
      <c r="V157">
        <v>1</v>
      </c>
      <c r="W157" s="1">
        <v>45797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5465240</v>
      </c>
      <c r="AL157" t="s">
        <v>53</v>
      </c>
    </row>
    <row r="158" spans="1:38" x14ac:dyDescent="0.25">
      <c r="A158" s="1">
        <v>45799</v>
      </c>
      <c r="B158" s="1">
        <v>45792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400</v>
      </c>
      <c r="J158" t="s">
        <v>401</v>
      </c>
      <c r="M158" t="s">
        <v>46</v>
      </c>
      <c r="O158" t="s">
        <v>158</v>
      </c>
      <c r="P158" t="s">
        <v>159</v>
      </c>
      <c r="Q158" t="s">
        <v>49</v>
      </c>
      <c r="R158" t="s">
        <v>50</v>
      </c>
      <c r="S158" s="1">
        <v>45627</v>
      </c>
      <c r="T158" s="1">
        <v>45823</v>
      </c>
      <c r="U158" t="s">
        <v>51</v>
      </c>
      <c r="V158">
        <v>1</v>
      </c>
      <c r="W158" s="1">
        <v>45797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5465244</v>
      </c>
      <c r="AL158" t="s">
        <v>53</v>
      </c>
    </row>
    <row r="159" spans="1:38" x14ac:dyDescent="0.25">
      <c r="A159" s="1">
        <v>45799</v>
      </c>
      <c r="B159" s="1">
        <v>45792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402</v>
      </c>
      <c r="J159" t="s">
        <v>403</v>
      </c>
      <c r="M159" t="s">
        <v>46</v>
      </c>
      <c r="O159" t="s">
        <v>56</v>
      </c>
      <c r="P159" t="s">
        <v>57</v>
      </c>
      <c r="Q159" t="s">
        <v>49</v>
      </c>
      <c r="R159" t="s">
        <v>50</v>
      </c>
      <c r="S159" s="1">
        <v>45627</v>
      </c>
      <c r="T159" s="1">
        <v>45823</v>
      </c>
      <c r="U159" t="s">
        <v>51</v>
      </c>
      <c r="V159">
        <v>1</v>
      </c>
      <c r="W159" s="1">
        <v>45797</v>
      </c>
      <c r="X159" t="s">
        <v>52</v>
      </c>
      <c r="Y159" s="2">
        <v>1</v>
      </c>
      <c r="Z159" s="2">
        <v>1</v>
      </c>
      <c r="AB159" s="3">
        <v>1</v>
      </c>
      <c r="AC159" s="2">
        <v>9</v>
      </c>
      <c r="AG159" s="2">
        <v>0</v>
      </c>
      <c r="AH159" s="2">
        <v>9</v>
      </c>
      <c r="AI159" s="2">
        <v>0</v>
      </c>
      <c r="AK159">
        <v>5465249</v>
      </c>
      <c r="AL159" t="s">
        <v>53</v>
      </c>
    </row>
    <row r="160" spans="1:38" x14ac:dyDescent="0.25">
      <c r="A160" s="1">
        <v>45799</v>
      </c>
      <c r="B160" s="1">
        <v>45792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404</v>
      </c>
      <c r="J160" t="s">
        <v>405</v>
      </c>
      <c r="M160" t="s">
        <v>46</v>
      </c>
      <c r="O160" t="s">
        <v>76</v>
      </c>
      <c r="P160" t="s">
        <v>77</v>
      </c>
      <c r="Q160" t="s">
        <v>49</v>
      </c>
      <c r="R160" t="s">
        <v>50</v>
      </c>
      <c r="S160" s="1">
        <v>45627</v>
      </c>
      <c r="T160" s="1">
        <v>45823</v>
      </c>
      <c r="U160" t="s">
        <v>51</v>
      </c>
      <c r="V160">
        <v>1</v>
      </c>
      <c r="W160" s="1">
        <v>45797</v>
      </c>
      <c r="X160" t="s">
        <v>52</v>
      </c>
      <c r="Y160" s="2">
        <v>1</v>
      </c>
      <c r="Z160" s="2">
        <v>1</v>
      </c>
      <c r="AB160" s="3">
        <v>1</v>
      </c>
      <c r="AC160" s="2">
        <v>9</v>
      </c>
      <c r="AG160" s="2">
        <v>0</v>
      </c>
      <c r="AH160" s="2">
        <v>9</v>
      </c>
      <c r="AI160" s="2">
        <v>0</v>
      </c>
      <c r="AK160">
        <v>5465250</v>
      </c>
      <c r="AL160" t="s">
        <v>53</v>
      </c>
    </row>
    <row r="161" spans="1:38" x14ac:dyDescent="0.25">
      <c r="A161" s="1">
        <v>45799</v>
      </c>
      <c r="B161" s="1">
        <v>45792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406</v>
      </c>
      <c r="J161" t="s">
        <v>407</v>
      </c>
      <c r="M161" t="s">
        <v>46</v>
      </c>
      <c r="O161" t="s">
        <v>66</v>
      </c>
      <c r="P161" t="s">
        <v>67</v>
      </c>
      <c r="Q161" t="s">
        <v>58</v>
      </c>
      <c r="R161" t="s">
        <v>50</v>
      </c>
      <c r="S161" s="1">
        <v>45627</v>
      </c>
      <c r="T161" s="1">
        <v>45823</v>
      </c>
      <c r="U161" t="s">
        <v>51</v>
      </c>
      <c r="V161">
        <v>1</v>
      </c>
      <c r="W161" s="1">
        <v>45797</v>
      </c>
      <c r="X161" t="s">
        <v>52</v>
      </c>
      <c r="Y161" s="2">
        <v>1</v>
      </c>
      <c r="Z161" s="2">
        <v>1</v>
      </c>
      <c r="AB161" s="3">
        <v>1</v>
      </c>
      <c r="AC161" s="2">
        <v>9</v>
      </c>
      <c r="AG161" s="2">
        <v>0</v>
      </c>
      <c r="AH161" s="2">
        <v>9</v>
      </c>
      <c r="AI161" s="2">
        <v>0</v>
      </c>
      <c r="AK161">
        <v>5465259</v>
      </c>
      <c r="AL161" t="s">
        <v>53</v>
      </c>
    </row>
    <row r="162" spans="1:38" x14ac:dyDescent="0.25">
      <c r="A162" s="1">
        <v>45799</v>
      </c>
      <c r="B162" s="1">
        <v>45792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408</v>
      </c>
      <c r="J162" t="s">
        <v>409</v>
      </c>
      <c r="M162" t="s">
        <v>46</v>
      </c>
      <c r="O162" t="s">
        <v>76</v>
      </c>
      <c r="P162" t="s">
        <v>77</v>
      </c>
      <c r="Q162" t="s">
        <v>49</v>
      </c>
      <c r="R162" t="s">
        <v>50</v>
      </c>
      <c r="S162" s="1">
        <v>45627</v>
      </c>
      <c r="T162" s="1">
        <v>45823</v>
      </c>
      <c r="U162" t="s">
        <v>51</v>
      </c>
      <c r="V162">
        <v>1</v>
      </c>
      <c r="W162" s="1">
        <v>45797</v>
      </c>
      <c r="X162" t="s">
        <v>52</v>
      </c>
      <c r="Y162" s="2">
        <v>1</v>
      </c>
      <c r="Z162" s="2">
        <v>1</v>
      </c>
      <c r="AB162" s="3">
        <v>1</v>
      </c>
      <c r="AC162" s="2">
        <v>9</v>
      </c>
      <c r="AG162" s="2">
        <v>0</v>
      </c>
      <c r="AH162" s="2">
        <v>9</v>
      </c>
      <c r="AI162" s="2">
        <v>0</v>
      </c>
      <c r="AK162">
        <v>5465264</v>
      </c>
      <c r="AL162" t="s">
        <v>53</v>
      </c>
    </row>
    <row r="163" spans="1:38" x14ac:dyDescent="0.25">
      <c r="A163" s="1">
        <v>45799</v>
      </c>
      <c r="B163" s="1">
        <v>45792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410</v>
      </c>
      <c r="J163" t="s">
        <v>411</v>
      </c>
      <c r="M163" t="s">
        <v>46</v>
      </c>
      <c r="O163" t="s">
        <v>305</v>
      </c>
      <c r="P163" t="s">
        <v>306</v>
      </c>
      <c r="Q163" t="s">
        <v>49</v>
      </c>
      <c r="R163" t="s">
        <v>50</v>
      </c>
      <c r="S163" s="1">
        <v>45627</v>
      </c>
      <c r="T163" s="1">
        <v>45823</v>
      </c>
      <c r="U163" t="s">
        <v>51</v>
      </c>
      <c r="V163">
        <v>1</v>
      </c>
      <c r="W163" s="1">
        <v>45797</v>
      </c>
      <c r="X163" t="s">
        <v>52</v>
      </c>
      <c r="Y163" s="2">
        <v>1</v>
      </c>
      <c r="Z163" s="2">
        <v>1</v>
      </c>
      <c r="AB163" s="3">
        <v>1</v>
      </c>
      <c r="AC163" s="2">
        <v>9</v>
      </c>
      <c r="AG163" s="2">
        <v>0</v>
      </c>
      <c r="AH163" s="2">
        <v>9</v>
      </c>
      <c r="AI163" s="2">
        <v>0</v>
      </c>
      <c r="AK163">
        <v>5465265</v>
      </c>
      <c r="AL163" t="s">
        <v>53</v>
      </c>
    </row>
    <row r="164" spans="1:38" x14ac:dyDescent="0.25">
      <c r="A164" s="1">
        <v>45799</v>
      </c>
      <c r="B164" s="1">
        <v>45792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412</v>
      </c>
      <c r="J164" t="s">
        <v>413</v>
      </c>
      <c r="M164" t="s">
        <v>46</v>
      </c>
      <c r="O164" t="s">
        <v>225</v>
      </c>
      <c r="P164" t="s">
        <v>226</v>
      </c>
      <c r="Q164" t="s">
        <v>58</v>
      </c>
      <c r="R164" t="s">
        <v>414</v>
      </c>
      <c r="S164" s="1">
        <v>45689</v>
      </c>
      <c r="U164" t="s">
        <v>51</v>
      </c>
      <c r="X164" t="s">
        <v>52</v>
      </c>
      <c r="Y164" s="2">
        <v>0</v>
      </c>
      <c r="Z164" s="2">
        <v>0</v>
      </c>
      <c r="AB164" s="3">
        <v>1</v>
      </c>
      <c r="AC164" s="2">
        <v>-155.54</v>
      </c>
      <c r="AG164" s="2">
        <v>0</v>
      </c>
      <c r="AH164" s="2">
        <v>-155.54</v>
      </c>
      <c r="AI164" s="2">
        <v>0</v>
      </c>
      <c r="AK164">
        <v>0</v>
      </c>
      <c r="AL164" t="s">
        <v>415</v>
      </c>
    </row>
    <row r="165" spans="1:38" x14ac:dyDescent="0.25">
      <c r="A165" s="1">
        <v>45799</v>
      </c>
      <c r="B165" s="1">
        <v>45792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416</v>
      </c>
      <c r="J165" t="s">
        <v>417</v>
      </c>
      <c r="M165" t="s">
        <v>418</v>
      </c>
      <c r="O165" t="s">
        <v>125</v>
      </c>
      <c r="P165" t="s">
        <v>126</v>
      </c>
      <c r="Q165" t="s">
        <v>58</v>
      </c>
      <c r="R165" t="s">
        <v>419</v>
      </c>
      <c r="S165" s="1">
        <v>45627</v>
      </c>
      <c r="T165" s="1">
        <v>45823</v>
      </c>
      <c r="U165" t="s">
        <v>51</v>
      </c>
      <c r="V165">
        <v>1</v>
      </c>
      <c r="W165" s="1">
        <v>45798</v>
      </c>
      <c r="X165" t="s">
        <v>52</v>
      </c>
      <c r="Y165" s="2">
        <v>1</v>
      </c>
      <c r="Z165" s="2">
        <v>1</v>
      </c>
      <c r="AB165" s="3">
        <v>1</v>
      </c>
      <c r="AC165" s="2">
        <v>4.17</v>
      </c>
      <c r="AG165" s="2">
        <v>0</v>
      </c>
      <c r="AH165" s="2">
        <v>4.17</v>
      </c>
      <c r="AI165" s="2">
        <v>0</v>
      </c>
      <c r="AK165">
        <v>5485402</v>
      </c>
      <c r="AL165" t="s">
        <v>420</v>
      </c>
    </row>
    <row r="166" spans="1:38" x14ac:dyDescent="0.25">
      <c r="A166" s="1">
        <v>45799</v>
      </c>
      <c r="B166" s="1">
        <v>45792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421</v>
      </c>
      <c r="J166" t="s">
        <v>422</v>
      </c>
      <c r="M166" t="s">
        <v>423</v>
      </c>
      <c r="O166" t="s">
        <v>131</v>
      </c>
      <c r="P166" t="s">
        <v>132</v>
      </c>
      <c r="Q166" t="s">
        <v>58</v>
      </c>
      <c r="R166" t="s">
        <v>419</v>
      </c>
      <c r="S166" s="1">
        <v>45627</v>
      </c>
      <c r="T166" s="1">
        <v>45823</v>
      </c>
      <c r="U166" t="s">
        <v>51</v>
      </c>
      <c r="V166">
        <v>1</v>
      </c>
      <c r="W166" s="1">
        <v>45798</v>
      </c>
      <c r="X166" t="s">
        <v>52</v>
      </c>
      <c r="Y166" s="2">
        <v>1</v>
      </c>
      <c r="Z166" s="2">
        <v>1</v>
      </c>
      <c r="AB166" s="3">
        <v>1</v>
      </c>
      <c r="AC166" s="2">
        <v>4.17</v>
      </c>
      <c r="AG166" s="2">
        <v>0</v>
      </c>
      <c r="AH166" s="2">
        <v>4.17</v>
      </c>
      <c r="AI166" s="2">
        <v>0</v>
      </c>
      <c r="AK166">
        <v>5485404</v>
      </c>
      <c r="AL166" t="s">
        <v>420</v>
      </c>
    </row>
    <row r="167" spans="1:38" x14ac:dyDescent="0.25">
      <c r="A167" s="1">
        <v>45799</v>
      </c>
      <c r="B167" s="1">
        <v>45792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424</v>
      </c>
      <c r="J167" t="s">
        <v>425</v>
      </c>
      <c r="M167" t="s">
        <v>418</v>
      </c>
      <c r="O167" t="s">
        <v>82</v>
      </c>
      <c r="P167" t="s">
        <v>83</v>
      </c>
      <c r="Q167" t="s">
        <v>58</v>
      </c>
      <c r="R167" t="s">
        <v>419</v>
      </c>
      <c r="S167" s="1">
        <v>45627</v>
      </c>
      <c r="T167" s="1">
        <v>45823</v>
      </c>
      <c r="U167" t="s">
        <v>51</v>
      </c>
      <c r="V167">
        <v>1</v>
      </c>
      <c r="W167" s="1">
        <v>45798</v>
      </c>
      <c r="X167" t="s">
        <v>52</v>
      </c>
      <c r="Y167" s="2">
        <v>1</v>
      </c>
      <c r="Z167" s="2">
        <v>1</v>
      </c>
      <c r="AB167" s="3">
        <v>1</v>
      </c>
      <c r="AC167" s="2">
        <v>4.17</v>
      </c>
      <c r="AG167" s="2">
        <v>0</v>
      </c>
      <c r="AH167" s="2">
        <v>4.17</v>
      </c>
      <c r="AI167" s="2">
        <v>0</v>
      </c>
      <c r="AK167">
        <v>5485408</v>
      </c>
      <c r="AL167" t="s">
        <v>420</v>
      </c>
    </row>
    <row r="168" spans="1:38" x14ac:dyDescent="0.25">
      <c r="A168" s="1">
        <v>45799</v>
      </c>
      <c r="B168" s="1">
        <v>45792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426</v>
      </c>
      <c r="J168" t="s">
        <v>427</v>
      </c>
      <c r="M168" t="s">
        <v>423</v>
      </c>
      <c r="O168" t="s">
        <v>372</v>
      </c>
      <c r="P168" t="s">
        <v>373</v>
      </c>
      <c r="Q168" t="s">
        <v>49</v>
      </c>
      <c r="R168" t="s">
        <v>428</v>
      </c>
      <c r="S168" s="1">
        <v>43678</v>
      </c>
      <c r="T168" s="1">
        <v>45823</v>
      </c>
      <c r="U168" t="s">
        <v>51</v>
      </c>
      <c r="V168">
        <v>1</v>
      </c>
      <c r="W168" s="1">
        <v>45797</v>
      </c>
      <c r="X168" t="s">
        <v>52</v>
      </c>
      <c r="Y168" s="2">
        <v>1</v>
      </c>
      <c r="Z168" s="2">
        <v>1</v>
      </c>
      <c r="AB168" s="3">
        <v>1</v>
      </c>
      <c r="AC168" s="2">
        <v>2</v>
      </c>
      <c r="AG168" s="2">
        <v>0</v>
      </c>
      <c r="AH168" s="2">
        <v>2</v>
      </c>
      <c r="AI168" s="2">
        <v>0</v>
      </c>
      <c r="AK168">
        <v>5466503</v>
      </c>
      <c r="AL168" t="s">
        <v>429</v>
      </c>
    </row>
    <row r="169" spans="1:38" x14ac:dyDescent="0.25">
      <c r="A169" s="1">
        <v>45799</v>
      </c>
      <c r="B169" s="1">
        <v>45792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430</v>
      </c>
      <c r="J169" t="s">
        <v>431</v>
      </c>
      <c r="M169" t="s">
        <v>423</v>
      </c>
      <c r="O169" t="s">
        <v>372</v>
      </c>
      <c r="P169" t="s">
        <v>373</v>
      </c>
      <c r="Q169" t="s">
        <v>49</v>
      </c>
      <c r="R169" t="s">
        <v>428</v>
      </c>
      <c r="S169" s="1">
        <v>45658</v>
      </c>
      <c r="T169" s="1">
        <v>45823</v>
      </c>
      <c r="U169" t="s">
        <v>51</v>
      </c>
      <c r="V169">
        <v>1</v>
      </c>
      <c r="W169" s="1">
        <v>45797</v>
      </c>
      <c r="X169" t="s">
        <v>52</v>
      </c>
      <c r="Y169" s="2">
        <v>1</v>
      </c>
      <c r="Z169" s="2">
        <v>1</v>
      </c>
      <c r="AB169" s="3">
        <v>1</v>
      </c>
      <c r="AC169" s="2">
        <v>2</v>
      </c>
      <c r="AG169" s="2">
        <v>0</v>
      </c>
      <c r="AH169" s="2">
        <v>2</v>
      </c>
      <c r="AI169" s="2">
        <v>0</v>
      </c>
      <c r="AK169">
        <v>5466536</v>
      </c>
      <c r="AL169" t="s">
        <v>429</v>
      </c>
    </row>
    <row r="170" spans="1:38" x14ac:dyDescent="0.25">
      <c r="A170" s="1">
        <v>45799</v>
      </c>
      <c r="B170" s="1">
        <v>45792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432</v>
      </c>
      <c r="J170" t="s">
        <v>433</v>
      </c>
      <c r="M170" t="s">
        <v>423</v>
      </c>
      <c r="O170" t="s">
        <v>131</v>
      </c>
      <c r="P170" t="s">
        <v>132</v>
      </c>
      <c r="Q170" t="s">
        <v>58</v>
      </c>
      <c r="R170" t="s">
        <v>428</v>
      </c>
      <c r="S170" s="1">
        <v>44044</v>
      </c>
      <c r="T170" s="1">
        <v>45823</v>
      </c>
      <c r="U170" t="s">
        <v>51</v>
      </c>
      <c r="V170">
        <v>1</v>
      </c>
      <c r="W170" s="1">
        <v>45797</v>
      </c>
      <c r="X170" t="s">
        <v>52</v>
      </c>
      <c r="Y170" s="2">
        <v>1</v>
      </c>
      <c r="Z170" s="2">
        <v>1</v>
      </c>
      <c r="AB170" s="3">
        <v>1</v>
      </c>
      <c r="AC170" s="2">
        <v>2</v>
      </c>
      <c r="AG170" s="2">
        <v>0</v>
      </c>
      <c r="AH170" s="2">
        <v>2</v>
      </c>
      <c r="AI170" s="2">
        <v>0</v>
      </c>
      <c r="AK170">
        <v>5466771</v>
      </c>
      <c r="AL170" t="s">
        <v>429</v>
      </c>
    </row>
    <row r="171" spans="1:38" x14ac:dyDescent="0.25">
      <c r="A171" s="1">
        <v>45799</v>
      </c>
      <c r="B171" s="1">
        <v>45792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434</v>
      </c>
      <c r="J171" t="s">
        <v>435</v>
      </c>
      <c r="M171" t="s">
        <v>423</v>
      </c>
      <c r="O171" t="s">
        <v>372</v>
      </c>
      <c r="P171" t="s">
        <v>373</v>
      </c>
      <c r="Q171" t="s">
        <v>49</v>
      </c>
      <c r="R171" t="s">
        <v>428</v>
      </c>
      <c r="S171" s="1">
        <v>45658</v>
      </c>
      <c r="T171" s="1">
        <v>45823</v>
      </c>
      <c r="U171" t="s">
        <v>51</v>
      </c>
      <c r="V171">
        <v>1</v>
      </c>
      <c r="W171" s="1">
        <v>45797</v>
      </c>
      <c r="X171" t="s">
        <v>52</v>
      </c>
      <c r="Y171" s="2">
        <v>1</v>
      </c>
      <c r="Z171" s="2">
        <v>1</v>
      </c>
      <c r="AB171" s="3">
        <v>1</v>
      </c>
      <c r="AC171" s="2">
        <v>2</v>
      </c>
      <c r="AG171" s="2">
        <v>0</v>
      </c>
      <c r="AH171" s="2">
        <v>2</v>
      </c>
      <c r="AI171" s="2">
        <v>0</v>
      </c>
      <c r="AK171">
        <v>5467033</v>
      </c>
      <c r="AL171" t="s">
        <v>429</v>
      </c>
    </row>
    <row r="172" spans="1:38" x14ac:dyDescent="0.25">
      <c r="A172" s="1">
        <v>45799</v>
      </c>
      <c r="B172" s="1">
        <v>45792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436</v>
      </c>
      <c r="J172" t="s">
        <v>437</v>
      </c>
      <c r="M172" t="s">
        <v>423</v>
      </c>
      <c r="O172" t="s">
        <v>131</v>
      </c>
      <c r="P172" t="s">
        <v>132</v>
      </c>
      <c r="Q172" t="s">
        <v>49</v>
      </c>
      <c r="R172" t="s">
        <v>428</v>
      </c>
      <c r="S172" s="1">
        <v>44562</v>
      </c>
      <c r="T172" s="1">
        <v>45823</v>
      </c>
      <c r="U172" t="s">
        <v>51</v>
      </c>
      <c r="V172">
        <v>1</v>
      </c>
      <c r="W172" s="1">
        <v>45797</v>
      </c>
      <c r="X172" t="s">
        <v>52</v>
      </c>
      <c r="Y172" s="2">
        <v>1</v>
      </c>
      <c r="Z172" s="2">
        <v>1</v>
      </c>
      <c r="AB172" s="3">
        <v>1</v>
      </c>
      <c r="AC172" s="2">
        <v>2</v>
      </c>
      <c r="AG172" s="2">
        <v>0</v>
      </c>
      <c r="AH172" s="2">
        <v>2</v>
      </c>
      <c r="AI172" s="2">
        <v>0</v>
      </c>
      <c r="AK172">
        <v>5467056</v>
      </c>
      <c r="AL172" t="s">
        <v>429</v>
      </c>
    </row>
    <row r="173" spans="1:38" x14ac:dyDescent="0.25">
      <c r="A173" s="1">
        <v>45799</v>
      </c>
      <c r="B173" s="1">
        <v>45792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438</v>
      </c>
      <c r="J173" t="s">
        <v>439</v>
      </c>
      <c r="M173" t="s">
        <v>423</v>
      </c>
      <c r="O173" t="s">
        <v>131</v>
      </c>
      <c r="P173" t="s">
        <v>132</v>
      </c>
      <c r="Q173" t="s">
        <v>49</v>
      </c>
      <c r="R173" t="s">
        <v>440</v>
      </c>
      <c r="S173" s="1">
        <v>45566</v>
      </c>
      <c r="T173" s="1">
        <v>45823</v>
      </c>
      <c r="U173" t="s">
        <v>51</v>
      </c>
      <c r="V173">
        <v>1</v>
      </c>
      <c r="W173" s="1">
        <v>45797</v>
      </c>
      <c r="X173" t="s">
        <v>52</v>
      </c>
      <c r="Y173" s="2">
        <v>1</v>
      </c>
      <c r="Z173" s="2">
        <v>1</v>
      </c>
      <c r="AB173" s="3">
        <v>1</v>
      </c>
      <c r="AC173" s="2">
        <v>2</v>
      </c>
      <c r="AG173" s="2">
        <v>0</v>
      </c>
      <c r="AH173" s="2">
        <v>2</v>
      </c>
      <c r="AI173" s="2">
        <v>0</v>
      </c>
      <c r="AK173">
        <v>5467809</v>
      </c>
      <c r="AL173" t="s">
        <v>429</v>
      </c>
    </row>
    <row r="174" spans="1:38" x14ac:dyDescent="0.25">
      <c r="A174" s="1">
        <v>45799</v>
      </c>
      <c r="B174" s="1">
        <v>45792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441</v>
      </c>
      <c r="J174" t="s">
        <v>442</v>
      </c>
      <c r="M174" t="s">
        <v>46</v>
      </c>
      <c r="O174" t="s">
        <v>62</v>
      </c>
      <c r="P174" t="s">
        <v>63</v>
      </c>
      <c r="Q174" t="s">
        <v>49</v>
      </c>
      <c r="R174" t="s">
        <v>428</v>
      </c>
      <c r="S174" s="1">
        <v>45536</v>
      </c>
      <c r="T174" s="1">
        <v>45823</v>
      </c>
      <c r="U174" t="s">
        <v>51</v>
      </c>
      <c r="V174">
        <v>1</v>
      </c>
      <c r="W174" s="1">
        <v>45797</v>
      </c>
      <c r="X174" t="s">
        <v>52</v>
      </c>
      <c r="Y174" s="2">
        <v>1</v>
      </c>
      <c r="Z174" s="2">
        <v>1</v>
      </c>
      <c r="AB174" s="3">
        <v>1</v>
      </c>
      <c r="AC174" s="2">
        <v>2</v>
      </c>
      <c r="AG174" s="2">
        <v>0</v>
      </c>
      <c r="AH174" s="2">
        <v>2</v>
      </c>
      <c r="AI174" s="2">
        <v>0</v>
      </c>
      <c r="AK174">
        <v>5467898</v>
      </c>
      <c r="AL174" t="s">
        <v>429</v>
      </c>
    </row>
    <row r="175" spans="1:38" x14ac:dyDescent="0.25">
      <c r="A175" s="1">
        <v>45799</v>
      </c>
      <c r="B175" s="1">
        <v>45792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443</v>
      </c>
      <c r="J175" t="s">
        <v>444</v>
      </c>
      <c r="M175" t="s">
        <v>418</v>
      </c>
      <c r="O175" t="s">
        <v>158</v>
      </c>
      <c r="P175" t="s">
        <v>159</v>
      </c>
      <c r="Q175" t="s">
        <v>58</v>
      </c>
      <c r="R175" t="s">
        <v>428</v>
      </c>
      <c r="S175" s="1">
        <v>43831</v>
      </c>
      <c r="T175" s="1">
        <v>45823</v>
      </c>
      <c r="U175" t="s">
        <v>51</v>
      </c>
      <c r="V175">
        <v>1</v>
      </c>
      <c r="W175" s="1">
        <v>45797</v>
      </c>
      <c r="X175" t="s">
        <v>52</v>
      </c>
      <c r="Y175" s="2">
        <v>1</v>
      </c>
      <c r="Z175" s="2">
        <v>1</v>
      </c>
      <c r="AB175" s="3">
        <v>1</v>
      </c>
      <c r="AC175" s="2">
        <v>2</v>
      </c>
      <c r="AG175" s="2">
        <v>0</v>
      </c>
      <c r="AH175" s="2">
        <v>2</v>
      </c>
      <c r="AI175" s="2">
        <v>0</v>
      </c>
      <c r="AK175">
        <v>5467921</v>
      </c>
      <c r="AL175" t="s">
        <v>429</v>
      </c>
    </row>
    <row r="176" spans="1:38" x14ac:dyDescent="0.25">
      <c r="A176" s="1">
        <v>45799</v>
      </c>
      <c r="B176" s="1">
        <v>45792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445</v>
      </c>
      <c r="J176" t="s">
        <v>446</v>
      </c>
      <c r="M176" t="s">
        <v>447</v>
      </c>
      <c r="O176" t="s">
        <v>131</v>
      </c>
      <c r="P176" t="s">
        <v>132</v>
      </c>
      <c r="Q176" t="s">
        <v>49</v>
      </c>
      <c r="R176" t="s">
        <v>440</v>
      </c>
      <c r="S176" s="1">
        <v>45597</v>
      </c>
      <c r="T176" s="1">
        <v>45823</v>
      </c>
      <c r="U176" t="s">
        <v>51</v>
      </c>
      <c r="V176">
        <v>1</v>
      </c>
      <c r="W176" s="1">
        <v>45797</v>
      </c>
      <c r="X176" t="s">
        <v>52</v>
      </c>
      <c r="Y176" s="2">
        <v>1</v>
      </c>
      <c r="Z176" s="2">
        <v>1</v>
      </c>
      <c r="AB176" s="3">
        <v>1</v>
      </c>
      <c r="AC176" s="2">
        <v>2</v>
      </c>
      <c r="AG176" s="2">
        <v>0</v>
      </c>
      <c r="AH176" s="2">
        <v>2</v>
      </c>
      <c r="AI176" s="2">
        <v>0</v>
      </c>
      <c r="AK176">
        <v>5468059</v>
      </c>
      <c r="AL176" t="s">
        <v>429</v>
      </c>
    </row>
    <row r="177" spans="1:38" x14ac:dyDescent="0.25">
      <c r="A177" s="1">
        <v>45799</v>
      </c>
      <c r="B177" s="1">
        <v>45792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448</v>
      </c>
      <c r="J177" t="s">
        <v>449</v>
      </c>
      <c r="M177" t="s">
        <v>450</v>
      </c>
      <c r="O177" t="s">
        <v>95</v>
      </c>
      <c r="P177" t="s">
        <v>96</v>
      </c>
      <c r="Q177" t="s">
        <v>49</v>
      </c>
      <c r="R177" t="s">
        <v>440</v>
      </c>
      <c r="S177" s="1">
        <v>45536</v>
      </c>
      <c r="T177" s="1">
        <v>45823</v>
      </c>
      <c r="U177" t="s">
        <v>51</v>
      </c>
      <c r="V177">
        <v>1</v>
      </c>
      <c r="W177" s="1">
        <v>45797</v>
      </c>
      <c r="X177" t="s">
        <v>52</v>
      </c>
      <c r="Y177" s="2">
        <v>1</v>
      </c>
      <c r="Z177" s="2">
        <v>1</v>
      </c>
      <c r="AB177" s="3">
        <v>1</v>
      </c>
      <c r="AC177" s="2">
        <v>2</v>
      </c>
      <c r="AG177" s="2">
        <v>0</v>
      </c>
      <c r="AH177" s="2">
        <v>2</v>
      </c>
      <c r="AI177" s="2">
        <v>0</v>
      </c>
      <c r="AK177">
        <v>5468751</v>
      </c>
      <c r="AL177" t="s">
        <v>429</v>
      </c>
    </row>
    <row r="178" spans="1:38" x14ac:dyDescent="0.25">
      <c r="A178" s="1">
        <v>45799</v>
      </c>
      <c r="B178" s="1">
        <v>45792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451</v>
      </c>
      <c r="J178" t="s">
        <v>452</v>
      </c>
      <c r="M178" t="s">
        <v>423</v>
      </c>
      <c r="O178" t="s">
        <v>372</v>
      </c>
      <c r="P178" t="s">
        <v>373</v>
      </c>
      <c r="Q178" t="s">
        <v>49</v>
      </c>
      <c r="R178" t="s">
        <v>440</v>
      </c>
      <c r="S178" s="1">
        <v>45474</v>
      </c>
      <c r="T178" s="1">
        <v>45823</v>
      </c>
      <c r="U178" t="s">
        <v>51</v>
      </c>
      <c r="V178">
        <v>1</v>
      </c>
      <c r="W178" s="1">
        <v>45797</v>
      </c>
      <c r="X178" t="s">
        <v>52</v>
      </c>
      <c r="Y178" s="2">
        <v>1</v>
      </c>
      <c r="Z178" s="2">
        <v>1</v>
      </c>
      <c r="AB178" s="3">
        <v>1</v>
      </c>
      <c r="AC178" s="2">
        <v>2</v>
      </c>
      <c r="AG178" s="2">
        <v>0</v>
      </c>
      <c r="AH178" s="2">
        <v>2</v>
      </c>
      <c r="AI178" s="2">
        <v>0</v>
      </c>
      <c r="AK178">
        <v>5471072</v>
      </c>
      <c r="AL178" t="s">
        <v>429</v>
      </c>
    </row>
    <row r="179" spans="1:38" x14ac:dyDescent="0.25">
      <c r="A179" s="1">
        <v>45799</v>
      </c>
      <c r="B179" s="1">
        <v>45792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453</v>
      </c>
      <c r="J179" t="s">
        <v>454</v>
      </c>
      <c r="M179" t="s">
        <v>423</v>
      </c>
      <c r="O179" t="s">
        <v>131</v>
      </c>
      <c r="P179" t="s">
        <v>132</v>
      </c>
      <c r="Q179" t="s">
        <v>49</v>
      </c>
      <c r="R179" t="s">
        <v>428</v>
      </c>
      <c r="S179" s="1">
        <v>45627</v>
      </c>
      <c r="T179" s="1">
        <v>45823</v>
      </c>
      <c r="U179" t="s">
        <v>51</v>
      </c>
      <c r="V179">
        <v>1</v>
      </c>
      <c r="W179" s="1">
        <v>45797</v>
      </c>
      <c r="X179" t="s">
        <v>52</v>
      </c>
      <c r="Y179" s="2">
        <v>1</v>
      </c>
      <c r="Z179" s="2">
        <v>1</v>
      </c>
      <c r="AB179" s="3">
        <v>1</v>
      </c>
      <c r="AC179" s="2">
        <v>2</v>
      </c>
      <c r="AG179" s="2">
        <v>0</v>
      </c>
      <c r="AH179" s="2">
        <v>2</v>
      </c>
      <c r="AI179" s="2">
        <v>0</v>
      </c>
      <c r="AK179">
        <v>5471779</v>
      </c>
      <c r="AL179" t="s">
        <v>429</v>
      </c>
    </row>
    <row r="180" spans="1:38" x14ac:dyDescent="0.25">
      <c r="A180" s="1">
        <v>45799</v>
      </c>
      <c r="B180" s="1">
        <v>45792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455</v>
      </c>
      <c r="J180" t="s">
        <v>456</v>
      </c>
      <c r="M180" t="s">
        <v>457</v>
      </c>
      <c r="O180" t="s">
        <v>41</v>
      </c>
      <c r="P180" t="s">
        <v>43</v>
      </c>
      <c r="Q180" t="s">
        <v>49</v>
      </c>
      <c r="R180" t="s">
        <v>440</v>
      </c>
      <c r="S180" s="1">
        <v>45536</v>
      </c>
      <c r="T180" s="1">
        <v>45823</v>
      </c>
      <c r="U180" t="s">
        <v>51</v>
      </c>
      <c r="V180">
        <v>1</v>
      </c>
      <c r="W180" s="1">
        <v>45797</v>
      </c>
      <c r="X180" t="s">
        <v>52</v>
      </c>
      <c r="Y180" s="2">
        <v>1</v>
      </c>
      <c r="Z180" s="2">
        <v>1</v>
      </c>
      <c r="AB180" s="3">
        <v>1</v>
      </c>
      <c r="AC180" s="2">
        <v>2</v>
      </c>
      <c r="AG180" s="2">
        <v>0</v>
      </c>
      <c r="AH180" s="2">
        <v>2</v>
      </c>
      <c r="AI180" s="2">
        <v>0</v>
      </c>
      <c r="AK180">
        <v>5472170</v>
      </c>
      <c r="AL180" t="s">
        <v>429</v>
      </c>
    </row>
    <row r="181" spans="1:38" x14ac:dyDescent="0.25">
      <c r="A181" s="1">
        <v>45799</v>
      </c>
      <c r="B181" s="1">
        <v>45792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458</v>
      </c>
      <c r="J181" t="s">
        <v>459</v>
      </c>
      <c r="M181" t="s">
        <v>457</v>
      </c>
      <c r="O181" t="s">
        <v>95</v>
      </c>
      <c r="P181" t="s">
        <v>96</v>
      </c>
      <c r="Q181" t="s">
        <v>49</v>
      </c>
      <c r="R181" t="s">
        <v>428</v>
      </c>
      <c r="S181" s="1">
        <v>45444</v>
      </c>
      <c r="T181" s="1">
        <v>45823</v>
      </c>
      <c r="U181" t="s">
        <v>51</v>
      </c>
      <c r="V181">
        <v>1</v>
      </c>
      <c r="W181" s="1">
        <v>45797</v>
      </c>
      <c r="X181" t="s">
        <v>52</v>
      </c>
      <c r="Y181" s="2">
        <v>1</v>
      </c>
      <c r="Z181" s="2">
        <v>1</v>
      </c>
      <c r="AB181" s="3">
        <v>1</v>
      </c>
      <c r="AC181" s="2">
        <v>2</v>
      </c>
      <c r="AG181" s="2">
        <v>0</v>
      </c>
      <c r="AH181" s="2">
        <v>2</v>
      </c>
      <c r="AI181" s="2">
        <v>0</v>
      </c>
      <c r="AK181">
        <v>5472337</v>
      </c>
      <c r="AL181" t="s">
        <v>429</v>
      </c>
    </row>
    <row r="182" spans="1:38" x14ac:dyDescent="0.25">
      <c r="A182" s="1">
        <v>45799</v>
      </c>
      <c r="B182" s="1">
        <v>45792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460</v>
      </c>
      <c r="J182" t="s">
        <v>461</v>
      </c>
      <c r="M182" t="s">
        <v>457</v>
      </c>
      <c r="O182" t="s">
        <v>95</v>
      </c>
      <c r="P182" t="s">
        <v>96</v>
      </c>
      <c r="Q182" t="s">
        <v>49</v>
      </c>
      <c r="R182" t="s">
        <v>428</v>
      </c>
      <c r="S182" s="1">
        <v>45444</v>
      </c>
      <c r="T182" s="1">
        <v>45823</v>
      </c>
      <c r="U182" t="s">
        <v>51</v>
      </c>
      <c r="V182">
        <v>1</v>
      </c>
      <c r="W182" s="1">
        <v>45797</v>
      </c>
      <c r="X182" t="s">
        <v>52</v>
      </c>
      <c r="Y182" s="2">
        <v>1</v>
      </c>
      <c r="Z182" s="2">
        <v>1</v>
      </c>
      <c r="AB182" s="3">
        <v>1</v>
      </c>
      <c r="AC182" s="2">
        <v>2</v>
      </c>
      <c r="AG182" s="2">
        <v>0</v>
      </c>
      <c r="AH182" s="2">
        <v>2</v>
      </c>
      <c r="AI182" s="2">
        <v>0</v>
      </c>
      <c r="AK182">
        <v>5472342</v>
      </c>
      <c r="AL182" t="s">
        <v>429</v>
      </c>
    </row>
    <row r="183" spans="1:38" x14ac:dyDescent="0.25">
      <c r="A183" s="1">
        <v>45799</v>
      </c>
      <c r="B183" s="1">
        <v>45792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462</v>
      </c>
      <c r="J183" t="s">
        <v>463</v>
      </c>
      <c r="M183" t="s">
        <v>464</v>
      </c>
      <c r="O183" t="s">
        <v>95</v>
      </c>
      <c r="P183" t="s">
        <v>96</v>
      </c>
      <c r="Q183" t="s">
        <v>49</v>
      </c>
      <c r="R183" t="s">
        <v>428</v>
      </c>
      <c r="S183" s="1">
        <v>45505</v>
      </c>
      <c r="T183" s="1">
        <v>45823</v>
      </c>
      <c r="U183" t="s">
        <v>51</v>
      </c>
      <c r="V183">
        <v>1</v>
      </c>
      <c r="W183" s="1">
        <v>45797</v>
      </c>
      <c r="X183" t="s">
        <v>52</v>
      </c>
      <c r="Y183" s="2">
        <v>1</v>
      </c>
      <c r="Z183" s="2">
        <v>1</v>
      </c>
      <c r="AB183" s="3">
        <v>1</v>
      </c>
      <c r="AC183" s="2">
        <v>2</v>
      </c>
      <c r="AG183" s="2">
        <v>0</v>
      </c>
      <c r="AH183" s="2">
        <v>2</v>
      </c>
      <c r="AI183" s="2">
        <v>0</v>
      </c>
      <c r="AK183">
        <v>5472347</v>
      </c>
      <c r="AL183" t="s">
        <v>429</v>
      </c>
    </row>
    <row r="184" spans="1:38" x14ac:dyDescent="0.25">
      <c r="A184" s="1">
        <v>45799</v>
      </c>
      <c r="B184" s="1">
        <v>45792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465</v>
      </c>
      <c r="J184" t="s">
        <v>466</v>
      </c>
      <c r="M184" t="s">
        <v>450</v>
      </c>
      <c r="O184" t="s">
        <v>95</v>
      </c>
      <c r="P184" t="s">
        <v>96</v>
      </c>
      <c r="Q184" t="s">
        <v>49</v>
      </c>
      <c r="R184" t="s">
        <v>428</v>
      </c>
      <c r="S184" s="1">
        <v>45444</v>
      </c>
      <c r="T184" s="1">
        <v>45823</v>
      </c>
      <c r="U184" t="s">
        <v>51</v>
      </c>
      <c r="V184">
        <v>1</v>
      </c>
      <c r="W184" s="1">
        <v>45797</v>
      </c>
      <c r="X184" t="s">
        <v>52</v>
      </c>
      <c r="Y184" s="2">
        <v>1</v>
      </c>
      <c r="Z184" s="2">
        <v>1</v>
      </c>
      <c r="AB184" s="3">
        <v>1</v>
      </c>
      <c r="AC184" s="2">
        <v>2</v>
      </c>
      <c r="AG184" s="2">
        <v>0</v>
      </c>
      <c r="AH184" s="2">
        <v>2</v>
      </c>
      <c r="AI184" s="2">
        <v>0</v>
      </c>
      <c r="AK184">
        <v>5472354</v>
      </c>
      <c r="AL184" t="s">
        <v>429</v>
      </c>
    </row>
    <row r="185" spans="1:38" x14ac:dyDescent="0.25">
      <c r="A185" s="1">
        <v>45799</v>
      </c>
      <c r="B185" s="1">
        <v>45792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467</v>
      </c>
      <c r="J185" t="s">
        <v>468</v>
      </c>
      <c r="M185" t="s">
        <v>423</v>
      </c>
      <c r="O185" t="s">
        <v>372</v>
      </c>
      <c r="P185" t="s">
        <v>373</v>
      </c>
      <c r="Q185" t="s">
        <v>49</v>
      </c>
      <c r="R185" t="s">
        <v>428</v>
      </c>
      <c r="S185" s="1">
        <v>45444</v>
      </c>
      <c r="T185" s="1">
        <v>45823</v>
      </c>
      <c r="U185" t="s">
        <v>51</v>
      </c>
      <c r="V185">
        <v>1</v>
      </c>
      <c r="W185" s="1">
        <v>45797</v>
      </c>
      <c r="X185" t="s">
        <v>52</v>
      </c>
      <c r="Y185" s="2">
        <v>1</v>
      </c>
      <c r="Z185" s="2">
        <v>1</v>
      </c>
      <c r="AB185" s="3">
        <v>1</v>
      </c>
      <c r="AC185" s="2">
        <v>2</v>
      </c>
      <c r="AG185" s="2">
        <v>0</v>
      </c>
      <c r="AH185" s="2">
        <v>2</v>
      </c>
      <c r="AI185" s="2">
        <v>0</v>
      </c>
      <c r="AK185">
        <v>5472368</v>
      </c>
      <c r="AL185" t="s">
        <v>429</v>
      </c>
    </row>
    <row r="186" spans="1:38" x14ac:dyDescent="0.25">
      <c r="A186" s="1">
        <v>45799</v>
      </c>
      <c r="B186" s="1">
        <v>45792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469</v>
      </c>
      <c r="J186" t="s">
        <v>470</v>
      </c>
      <c r="M186" t="s">
        <v>423</v>
      </c>
      <c r="O186" t="s">
        <v>372</v>
      </c>
      <c r="P186" t="s">
        <v>373</v>
      </c>
      <c r="Q186" t="s">
        <v>49</v>
      </c>
      <c r="R186" t="s">
        <v>428</v>
      </c>
      <c r="S186" s="1">
        <v>45444</v>
      </c>
      <c r="T186" s="1">
        <v>45823</v>
      </c>
      <c r="U186" t="s">
        <v>51</v>
      </c>
      <c r="V186">
        <v>1</v>
      </c>
      <c r="W186" s="1">
        <v>45797</v>
      </c>
      <c r="X186" t="s">
        <v>52</v>
      </c>
      <c r="Y186" s="2">
        <v>1</v>
      </c>
      <c r="Z186" s="2">
        <v>1</v>
      </c>
      <c r="AB186" s="3">
        <v>1</v>
      </c>
      <c r="AC186" s="2">
        <v>2</v>
      </c>
      <c r="AG186" s="2">
        <v>0</v>
      </c>
      <c r="AH186" s="2">
        <v>2</v>
      </c>
      <c r="AI186" s="2">
        <v>0</v>
      </c>
      <c r="AK186">
        <v>5472369</v>
      </c>
      <c r="AL186" t="s">
        <v>429</v>
      </c>
    </row>
    <row r="187" spans="1:38" x14ac:dyDescent="0.25">
      <c r="A187" s="1">
        <v>45799</v>
      </c>
      <c r="B187" s="1">
        <v>45792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471</v>
      </c>
      <c r="J187" t="s">
        <v>472</v>
      </c>
      <c r="M187" t="s">
        <v>423</v>
      </c>
      <c r="O187" t="s">
        <v>372</v>
      </c>
      <c r="P187" t="s">
        <v>373</v>
      </c>
      <c r="Q187" t="s">
        <v>49</v>
      </c>
      <c r="R187" t="s">
        <v>428</v>
      </c>
      <c r="S187" s="1">
        <v>45474</v>
      </c>
      <c r="T187" s="1">
        <v>45823</v>
      </c>
      <c r="U187" t="s">
        <v>51</v>
      </c>
      <c r="V187">
        <v>1</v>
      </c>
      <c r="W187" s="1">
        <v>45797</v>
      </c>
      <c r="X187" t="s">
        <v>52</v>
      </c>
      <c r="Y187" s="2">
        <v>1</v>
      </c>
      <c r="Z187" s="2">
        <v>1</v>
      </c>
      <c r="AB187" s="3">
        <v>1</v>
      </c>
      <c r="AC187" s="2">
        <v>2</v>
      </c>
      <c r="AG187" s="2">
        <v>0</v>
      </c>
      <c r="AH187" s="2">
        <v>2</v>
      </c>
      <c r="AI187" s="2">
        <v>0</v>
      </c>
      <c r="AK187">
        <v>5472373</v>
      </c>
      <c r="AL187" t="s">
        <v>429</v>
      </c>
    </row>
    <row r="188" spans="1:38" x14ac:dyDescent="0.25">
      <c r="A188" s="1">
        <v>45799</v>
      </c>
      <c r="B188" s="1">
        <v>45792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473</v>
      </c>
      <c r="J188" t="s">
        <v>474</v>
      </c>
      <c r="M188" t="s">
        <v>475</v>
      </c>
      <c r="O188" t="s">
        <v>95</v>
      </c>
      <c r="P188" t="s">
        <v>96</v>
      </c>
      <c r="Q188" t="s">
        <v>49</v>
      </c>
      <c r="R188" t="s">
        <v>428</v>
      </c>
      <c r="S188" s="1">
        <v>45505</v>
      </c>
      <c r="T188" s="1">
        <v>45823</v>
      </c>
      <c r="U188" t="s">
        <v>51</v>
      </c>
      <c r="V188">
        <v>1</v>
      </c>
      <c r="W188" s="1">
        <v>45797</v>
      </c>
      <c r="X188" t="s">
        <v>52</v>
      </c>
      <c r="Y188" s="2">
        <v>1</v>
      </c>
      <c r="Z188" s="2">
        <v>1</v>
      </c>
      <c r="AB188" s="3">
        <v>1</v>
      </c>
      <c r="AC188" s="2">
        <v>2</v>
      </c>
      <c r="AG188" s="2">
        <v>0</v>
      </c>
      <c r="AH188" s="2">
        <v>2</v>
      </c>
      <c r="AI188" s="2">
        <v>0</v>
      </c>
      <c r="AK188">
        <v>5472400</v>
      </c>
      <c r="AL188" t="s">
        <v>429</v>
      </c>
    </row>
    <row r="189" spans="1:38" x14ac:dyDescent="0.25">
      <c r="A189" s="1">
        <v>45799</v>
      </c>
      <c r="B189" s="1">
        <v>45792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476</v>
      </c>
      <c r="J189" t="s">
        <v>477</v>
      </c>
      <c r="M189" t="s">
        <v>423</v>
      </c>
      <c r="O189" t="s">
        <v>372</v>
      </c>
      <c r="P189" t="s">
        <v>373</v>
      </c>
      <c r="Q189" t="s">
        <v>49</v>
      </c>
      <c r="R189" t="s">
        <v>428</v>
      </c>
      <c r="S189" s="1">
        <v>45505</v>
      </c>
      <c r="T189" s="1">
        <v>45823</v>
      </c>
      <c r="U189" t="s">
        <v>51</v>
      </c>
      <c r="V189">
        <v>1</v>
      </c>
      <c r="W189" s="1">
        <v>45797</v>
      </c>
      <c r="X189" t="s">
        <v>52</v>
      </c>
      <c r="Y189" s="2">
        <v>1</v>
      </c>
      <c r="Z189" s="2">
        <v>1</v>
      </c>
      <c r="AB189" s="3">
        <v>1</v>
      </c>
      <c r="AC189" s="2">
        <v>2</v>
      </c>
      <c r="AG189" s="2">
        <v>0</v>
      </c>
      <c r="AH189" s="2">
        <v>2</v>
      </c>
      <c r="AI189" s="2">
        <v>0</v>
      </c>
      <c r="AK189">
        <v>5472410</v>
      </c>
      <c r="AL189" t="s">
        <v>429</v>
      </c>
    </row>
    <row r="190" spans="1:38" x14ac:dyDescent="0.25">
      <c r="A190" s="1">
        <v>45799</v>
      </c>
      <c r="B190" s="1">
        <v>45792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478</v>
      </c>
      <c r="J190" t="s">
        <v>479</v>
      </c>
      <c r="M190" t="s">
        <v>423</v>
      </c>
      <c r="O190" t="s">
        <v>480</v>
      </c>
      <c r="P190" t="s">
        <v>481</v>
      </c>
      <c r="Q190" t="s">
        <v>49</v>
      </c>
      <c r="R190" t="s">
        <v>428</v>
      </c>
      <c r="S190" s="1">
        <v>45505</v>
      </c>
      <c r="T190" s="1">
        <v>45823</v>
      </c>
      <c r="U190" t="s">
        <v>51</v>
      </c>
      <c r="V190">
        <v>1</v>
      </c>
      <c r="W190" s="1">
        <v>45797</v>
      </c>
      <c r="X190" t="s">
        <v>52</v>
      </c>
      <c r="Y190" s="2">
        <v>1</v>
      </c>
      <c r="Z190" s="2">
        <v>1</v>
      </c>
      <c r="AB190" s="3">
        <v>1</v>
      </c>
      <c r="AC190" s="2">
        <v>2</v>
      </c>
      <c r="AG190" s="2">
        <v>0</v>
      </c>
      <c r="AH190" s="2">
        <v>2</v>
      </c>
      <c r="AI190" s="2">
        <v>0</v>
      </c>
      <c r="AK190">
        <v>5472421</v>
      </c>
      <c r="AL190" t="s">
        <v>429</v>
      </c>
    </row>
    <row r="191" spans="1:38" x14ac:dyDescent="0.25">
      <c r="A191" s="1">
        <v>45799</v>
      </c>
      <c r="B191" s="1">
        <v>45792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482</v>
      </c>
      <c r="J191" t="s">
        <v>483</v>
      </c>
      <c r="M191" t="s">
        <v>423</v>
      </c>
      <c r="O191" t="s">
        <v>484</v>
      </c>
      <c r="P191" t="s">
        <v>485</v>
      </c>
      <c r="Q191" t="s">
        <v>49</v>
      </c>
      <c r="R191" t="s">
        <v>428</v>
      </c>
      <c r="S191" s="1">
        <v>45474</v>
      </c>
      <c r="T191" s="1">
        <v>45823</v>
      </c>
      <c r="U191" t="s">
        <v>51</v>
      </c>
      <c r="V191">
        <v>1</v>
      </c>
      <c r="W191" s="1">
        <v>45797</v>
      </c>
      <c r="X191" t="s">
        <v>52</v>
      </c>
      <c r="Y191" s="2">
        <v>1</v>
      </c>
      <c r="Z191" s="2">
        <v>1</v>
      </c>
      <c r="AB191" s="3">
        <v>1</v>
      </c>
      <c r="AC191" s="2">
        <v>2</v>
      </c>
      <c r="AG191" s="2">
        <v>0</v>
      </c>
      <c r="AH191" s="2">
        <v>2</v>
      </c>
      <c r="AI191" s="2">
        <v>0</v>
      </c>
      <c r="AK191">
        <v>5472425</v>
      </c>
      <c r="AL191" t="s">
        <v>429</v>
      </c>
    </row>
    <row r="192" spans="1:38" x14ac:dyDescent="0.25">
      <c r="A192" s="1">
        <v>45799</v>
      </c>
      <c r="B192" s="1">
        <v>45792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486</v>
      </c>
      <c r="J192" t="s">
        <v>487</v>
      </c>
      <c r="M192" t="s">
        <v>423</v>
      </c>
      <c r="O192" t="s">
        <v>484</v>
      </c>
      <c r="P192" t="s">
        <v>485</v>
      </c>
      <c r="Q192" t="s">
        <v>49</v>
      </c>
      <c r="R192" t="s">
        <v>428</v>
      </c>
      <c r="S192" s="1">
        <v>45474</v>
      </c>
      <c r="T192" s="1">
        <v>45823</v>
      </c>
      <c r="U192" t="s">
        <v>51</v>
      </c>
      <c r="V192">
        <v>1</v>
      </c>
      <c r="W192" s="1">
        <v>45797</v>
      </c>
      <c r="X192" t="s">
        <v>52</v>
      </c>
      <c r="Y192" s="2">
        <v>1</v>
      </c>
      <c r="Z192" s="2">
        <v>1</v>
      </c>
      <c r="AB192" s="3">
        <v>1</v>
      </c>
      <c r="AC192" s="2">
        <v>2</v>
      </c>
      <c r="AG192" s="2">
        <v>0</v>
      </c>
      <c r="AH192" s="2">
        <v>2</v>
      </c>
      <c r="AI192" s="2">
        <v>0</v>
      </c>
      <c r="AK192">
        <v>5472435</v>
      </c>
      <c r="AL192" t="s">
        <v>429</v>
      </c>
    </row>
    <row r="193" spans="1:38" x14ac:dyDescent="0.25">
      <c r="A193" s="1">
        <v>45799</v>
      </c>
      <c r="B193" s="1">
        <v>45792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488</v>
      </c>
      <c r="J193" t="s">
        <v>489</v>
      </c>
      <c r="M193" t="s">
        <v>423</v>
      </c>
      <c r="O193" t="s">
        <v>372</v>
      </c>
      <c r="P193" t="s">
        <v>373</v>
      </c>
      <c r="Q193" t="s">
        <v>49</v>
      </c>
      <c r="R193" t="s">
        <v>428</v>
      </c>
      <c r="S193" s="1">
        <v>45474</v>
      </c>
      <c r="T193" s="1">
        <v>45823</v>
      </c>
      <c r="U193" t="s">
        <v>51</v>
      </c>
      <c r="V193">
        <v>1</v>
      </c>
      <c r="W193" s="1">
        <v>45797</v>
      </c>
      <c r="X193" t="s">
        <v>52</v>
      </c>
      <c r="Y193" s="2">
        <v>1</v>
      </c>
      <c r="Z193" s="2">
        <v>1</v>
      </c>
      <c r="AB193" s="3">
        <v>1</v>
      </c>
      <c r="AC193" s="2">
        <v>2</v>
      </c>
      <c r="AG193" s="2">
        <v>0</v>
      </c>
      <c r="AH193" s="2">
        <v>2</v>
      </c>
      <c r="AI193" s="2">
        <v>0</v>
      </c>
      <c r="AK193">
        <v>5472440</v>
      </c>
      <c r="AL193" t="s">
        <v>429</v>
      </c>
    </row>
    <row r="194" spans="1:38" x14ac:dyDescent="0.25">
      <c r="A194" s="1">
        <v>45799</v>
      </c>
      <c r="B194" s="1">
        <v>45792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490</v>
      </c>
      <c r="J194" t="s">
        <v>491</v>
      </c>
      <c r="M194" t="s">
        <v>423</v>
      </c>
      <c r="O194" t="s">
        <v>372</v>
      </c>
      <c r="P194" t="s">
        <v>373</v>
      </c>
      <c r="Q194" t="s">
        <v>49</v>
      </c>
      <c r="R194" t="s">
        <v>428</v>
      </c>
      <c r="S194" s="1">
        <v>45474</v>
      </c>
      <c r="T194" s="1">
        <v>45823</v>
      </c>
      <c r="U194" t="s">
        <v>51</v>
      </c>
      <c r="V194">
        <v>1</v>
      </c>
      <c r="W194" s="1">
        <v>45797</v>
      </c>
      <c r="X194" t="s">
        <v>52</v>
      </c>
      <c r="Y194" s="2">
        <v>1</v>
      </c>
      <c r="Z194" s="2">
        <v>1</v>
      </c>
      <c r="AB194" s="3">
        <v>1</v>
      </c>
      <c r="AC194" s="2">
        <v>2</v>
      </c>
      <c r="AG194" s="2">
        <v>0</v>
      </c>
      <c r="AH194" s="2">
        <v>2</v>
      </c>
      <c r="AI194" s="2">
        <v>0</v>
      </c>
      <c r="AK194">
        <v>5472447</v>
      </c>
      <c r="AL194" t="s">
        <v>429</v>
      </c>
    </row>
    <row r="195" spans="1:38" x14ac:dyDescent="0.25">
      <c r="A195" s="1">
        <v>45799</v>
      </c>
      <c r="B195" s="1">
        <v>45792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492</v>
      </c>
      <c r="J195" t="s">
        <v>493</v>
      </c>
      <c r="M195" t="s">
        <v>423</v>
      </c>
      <c r="O195" t="s">
        <v>372</v>
      </c>
      <c r="P195" t="s">
        <v>373</v>
      </c>
      <c r="Q195" t="s">
        <v>58</v>
      </c>
      <c r="R195" t="s">
        <v>428</v>
      </c>
      <c r="S195" s="1">
        <v>45658</v>
      </c>
      <c r="T195" s="1">
        <v>45823</v>
      </c>
      <c r="U195" t="s">
        <v>51</v>
      </c>
      <c r="V195">
        <v>1</v>
      </c>
      <c r="W195" s="1">
        <v>45797</v>
      </c>
      <c r="X195" t="s">
        <v>52</v>
      </c>
      <c r="Y195" s="2">
        <v>1</v>
      </c>
      <c r="Z195" s="2">
        <v>1</v>
      </c>
      <c r="AB195" s="3">
        <v>1</v>
      </c>
      <c r="AC195" s="2">
        <v>2</v>
      </c>
      <c r="AG195" s="2">
        <v>0</v>
      </c>
      <c r="AH195" s="2">
        <v>2</v>
      </c>
      <c r="AI195" s="2">
        <v>0</v>
      </c>
      <c r="AK195">
        <v>5472448</v>
      </c>
      <c r="AL195" t="s">
        <v>429</v>
      </c>
    </row>
    <row r="196" spans="1:38" x14ac:dyDescent="0.25">
      <c r="A196" s="1">
        <v>45799</v>
      </c>
      <c r="B196" s="1">
        <v>45792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494</v>
      </c>
      <c r="J196" t="s">
        <v>495</v>
      </c>
      <c r="M196" t="s">
        <v>423</v>
      </c>
      <c r="O196" t="s">
        <v>372</v>
      </c>
      <c r="P196" t="s">
        <v>373</v>
      </c>
      <c r="Q196" t="s">
        <v>49</v>
      </c>
      <c r="R196" t="s">
        <v>428</v>
      </c>
      <c r="S196" s="1">
        <v>45474</v>
      </c>
      <c r="T196" s="1">
        <v>45823</v>
      </c>
      <c r="U196" t="s">
        <v>51</v>
      </c>
      <c r="V196">
        <v>1</v>
      </c>
      <c r="W196" s="1">
        <v>45797</v>
      </c>
      <c r="X196" t="s">
        <v>52</v>
      </c>
      <c r="Y196" s="2">
        <v>1</v>
      </c>
      <c r="Z196" s="2">
        <v>1</v>
      </c>
      <c r="AB196" s="3">
        <v>1</v>
      </c>
      <c r="AC196" s="2">
        <v>2</v>
      </c>
      <c r="AG196" s="2">
        <v>0</v>
      </c>
      <c r="AH196" s="2">
        <v>2</v>
      </c>
      <c r="AI196" s="2">
        <v>0</v>
      </c>
      <c r="AK196">
        <v>5472449</v>
      </c>
      <c r="AL196" t="s">
        <v>429</v>
      </c>
    </row>
    <row r="197" spans="1:38" x14ac:dyDescent="0.25">
      <c r="A197" s="1">
        <v>45799</v>
      </c>
      <c r="B197" s="1">
        <v>45792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496</v>
      </c>
      <c r="J197" t="s">
        <v>497</v>
      </c>
      <c r="M197" t="s">
        <v>418</v>
      </c>
      <c r="O197" t="s">
        <v>95</v>
      </c>
      <c r="P197" t="s">
        <v>96</v>
      </c>
      <c r="Q197" t="s">
        <v>49</v>
      </c>
      <c r="R197" t="s">
        <v>428</v>
      </c>
      <c r="S197" s="1">
        <v>45474</v>
      </c>
      <c r="T197" s="1">
        <v>45823</v>
      </c>
      <c r="U197" t="s">
        <v>51</v>
      </c>
      <c r="V197">
        <v>1</v>
      </c>
      <c r="W197" s="1">
        <v>45797</v>
      </c>
      <c r="X197" t="s">
        <v>52</v>
      </c>
      <c r="Y197" s="2">
        <v>1</v>
      </c>
      <c r="Z197" s="2">
        <v>1</v>
      </c>
      <c r="AB197" s="3">
        <v>1</v>
      </c>
      <c r="AC197" s="2">
        <v>2</v>
      </c>
      <c r="AG197" s="2">
        <v>0</v>
      </c>
      <c r="AH197" s="2">
        <v>2</v>
      </c>
      <c r="AI197" s="2">
        <v>0</v>
      </c>
      <c r="AK197">
        <v>5472455</v>
      </c>
      <c r="AL197" t="s">
        <v>429</v>
      </c>
    </row>
    <row r="198" spans="1:38" x14ac:dyDescent="0.25">
      <c r="A198" s="1">
        <v>45799</v>
      </c>
      <c r="B198" s="1">
        <v>45792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498</v>
      </c>
      <c r="J198" t="s">
        <v>499</v>
      </c>
      <c r="M198" t="s">
        <v>423</v>
      </c>
      <c r="O198" t="s">
        <v>372</v>
      </c>
      <c r="P198" t="s">
        <v>373</v>
      </c>
      <c r="Q198" t="s">
        <v>49</v>
      </c>
      <c r="R198" t="s">
        <v>428</v>
      </c>
      <c r="S198" s="1">
        <v>45505</v>
      </c>
      <c r="T198" s="1">
        <v>45823</v>
      </c>
      <c r="U198" t="s">
        <v>51</v>
      </c>
      <c r="V198">
        <v>1</v>
      </c>
      <c r="W198" s="1">
        <v>45797</v>
      </c>
      <c r="X198" t="s">
        <v>52</v>
      </c>
      <c r="Y198" s="2">
        <v>1</v>
      </c>
      <c r="Z198" s="2">
        <v>1</v>
      </c>
      <c r="AB198" s="3">
        <v>1</v>
      </c>
      <c r="AC198" s="2">
        <v>2</v>
      </c>
      <c r="AG198" s="2">
        <v>0</v>
      </c>
      <c r="AH198" s="2">
        <v>2</v>
      </c>
      <c r="AI198" s="2">
        <v>0</v>
      </c>
      <c r="AK198">
        <v>5472475</v>
      </c>
      <c r="AL198" t="s">
        <v>429</v>
      </c>
    </row>
    <row r="199" spans="1:38" x14ac:dyDescent="0.25">
      <c r="A199" s="1">
        <v>45799</v>
      </c>
      <c r="B199" s="1">
        <v>45792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500</v>
      </c>
      <c r="J199" t="s">
        <v>501</v>
      </c>
      <c r="M199" t="s">
        <v>423</v>
      </c>
      <c r="O199" t="s">
        <v>372</v>
      </c>
      <c r="P199" t="s">
        <v>373</v>
      </c>
      <c r="Q199" t="s">
        <v>49</v>
      </c>
      <c r="R199" t="s">
        <v>428</v>
      </c>
      <c r="S199" s="1">
        <v>45536</v>
      </c>
      <c r="T199" s="1">
        <v>45823</v>
      </c>
      <c r="U199" t="s">
        <v>51</v>
      </c>
      <c r="V199">
        <v>1</v>
      </c>
      <c r="W199" s="1">
        <v>45797</v>
      </c>
      <c r="X199" t="s">
        <v>52</v>
      </c>
      <c r="Y199" s="2">
        <v>1</v>
      </c>
      <c r="Z199" s="2">
        <v>1</v>
      </c>
      <c r="AB199" s="3">
        <v>1</v>
      </c>
      <c r="AC199" s="2">
        <v>2</v>
      </c>
      <c r="AG199" s="2">
        <v>0</v>
      </c>
      <c r="AH199" s="2">
        <v>2</v>
      </c>
      <c r="AI199" s="2">
        <v>0</v>
      </c>
      <c r="AK199">
        <v>5472508</v>
      </c>
      <c r="AL199" t="s">
        <v>429</v>
      </c>
    </row>
    <row r="200" spans="1:38" x14ac:dyDescent="0.25">
      <c r="A200" s="1">
        <v>45799</v>
      </c>
      <c r="B200" s="1">
        <v>45792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502</v>
      </c>
      <c r="J200" t="s">
        <v>503</v>
      </c>
      <c r="M200" t="s">
        <v>423</v>
      </c>
      <c r="O200" t="s">
        <v>131</v>
      </c>
      <c r="P200" t="s">
        <v>132</v>
      </c>
      <c r="Q200" t="s">
        <v>49</v>
      </c>
      <c r="R200" t="s">
        <v>428</v>
      </c>
      <c r="S200" s="1">
        <v>45505</v>
      </c>
      <c r="T200" s="1">
        <v>45823</v>
      </c>
      <c r="U200" t="s">
        <v>51</v>
      </c>
      <c r="V200">
        <v>1</v>
      </c>
      <c r="W200" s="1">
        <v>45797</v>
      </c>
      <c r="X200" t="s">
        <v>52</v>
      </c>
      <c r="Y200" s="2">
        <v>1</v>
      </c>
      <c r="Z200" s="2">
        <v>1</v>
      </c>
      <c r="AB200" s="3">
        <v>1</v>
      </c>
      <c r="AC200" s="2">
        <v>2</v>
      </c>
      <c r="AG200" s="2">
        <v>0</v>
      </c>
      <c r="AH200" s="2">
        <v>2</v>
      </c>
      <c r="AI200" s="2">
        <v>0</v>
      </c>
      <c r="AK200">
        <v>5472512</v>
      </c>
      <c r="AL200" t="s">
        <v>429</v>
      </c>
    </row>
    <row r="201" spans="1:38" x14ac:dyDescent="0.25">
      <c r="A201" s="1">
        <v>45799</v>
      </c>
      <c r="B201" s="1">
        <v>45792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504</v>
      </c>
      <c r="J201" t="s">
        <v>505</v>
      </c>
      <c r="M201" t="s">
        <v>423</v>
      </c>
      <c r="O201" t="s">
        <v>372</v>
      </c>
      <c r="P201" t="s">
        <v>373</v>
      </c>
      <c r="Q201" t="s">
        <v>49</v>
      </c>
      <c r="R201" t="s">
        <v>428</v>
      </c>
      <c r="S201" s="1">
        <v>45536</v>
      </c>
      <c r="T201" s="1">
        <v>45823</v>
      </c>
      <c r="U201" t="s">
        <v>51</v>
      </c>
      <c r="V201">
        <v>1</v>
      </c>
      <c r="W201" s="1">
        <v>45797</v>
      </c>
      <c r="X201" t="s">
        <v>52</v>
      </c>
      <c r="Y201" s="2">
        <v>1</v>
      </c>
      <c r="Z201" s="2">
        <v>1</v>
      </c>
      <c r="AB201" s="3">
        <v>1</v>
      </c>
      <c r="AC201" s="2">
        <v>2</v>
      </c>
      <c r="AG201" s="2">
        <v>0</v>
      </c>
      <c r="AH201" s="2">
        <v>2</v>
      </c>
      <c r="AI201" s="2">
        <v>0</v>
      </c>
      <c r="AK201">
        <v>5472515</v>
      </c>
      <c r="AL201" t="s">
        <v>429</v>
      </c>
    </row>
    <row r="202" spans="1:38" x14ac:dyDescent="0.25">
      <c r="A202" s="1">
        <v>45799</v>
      </c>
      <c r="B202" s="1">
        <v>45792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506</v>
      </c>
      <c r="J202" t="s">
        <v>507</v>
      </c>
      <c r="M202" t="s">
        <v>423</v>
      </c>
      <c r="O202" t="s">
        <v>372</v>
      </c>
      <c r="P202" t="s">
        <v>373</v>
      </c>
      <c r="Q202" t="s">
        <v>49</v>
      </c>
      <c r="R202" t="s">
        <v>428</v>
      </c>
      <c r="S202" s="1">
        <v>45474</v>
      </c>
      <c r="T202" s="1">
        <v>45823</v>
      </c>
      <c r="U202" t="s">
        <v>51</v>
      </c>
      <c r="V202">
        <v>1</v>
      </c>
      <c r="W202" s="1">
        <v>45797</v>
      </c>
      <c r="X202" t="s">
        <v>52</v>
      </c>
      <c r="Y202" s="2">
        <v>1</v>
      </c>
      <c r="Z202" s="2">
        <v>1</v>
      </c>
      <c r="AB202" s="3">
        <v>1</v>
      </c>
      <c r="AC202" s="2">
        <v>2</v>
      </c>
      <c r="AG202" s="2">
        <v>0</v>
      </c>
      <c r="AH202" s="2">
        <v>2</v>
      </c>
      <c r="AI202" s="2">
        <v>0</v>
      </c>
      <c r="AK202">
        <v>5472521</v>
      </c>
      <c r="AL202" t="s">
        <v>429</v>
      </c>
    </row>
    <row r="203" spans="1:38" x14ac:dyDescent="0.25">
      <c r="A203" s="1">
        <v>45799</v>
      </c>
      <c r="B203" s="1">
        <v>45792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508</v>
      </c>
      <c r="J203" t="s">
        <v>509</v>
      </c>
      <c r="M203" t="s">
        <v>423</v>
      </c>
      <c r="O203" t="s">
        <v>480</v>
      </c>
      <c r="P203" t="s">
        <v>481</v>
      </c>
      <c r="Q203" t="s">
        <v>49</v>
      </c>
      <c r="R203" t="s">
        <v>428</v>
      </c>
      <c r="S203" s="1">
        <v>45474</v>
      </c>
      <c r="T203" s="1">
        <v>45823</v>
      </c>
      <c r="U203" t="s">
        <v>51</v>
      </c>
      <c r="V203">
        <v>1</v>
      </c>
      <c r="W203" s="1">
        <v>45797</v>
      </c>
      <c r="X203" t="s">
        <v>52</v>
      </c>
      <c r="Y203" s="2">
        <v>1</v>
      </c>
      <c r="Z203" s="2">
        <v>1</v>
      </c>
      <c r="AB203" s="3">
        <v>1</v>
      </c>
      <c r="AC203" s="2">
        <v>2</v>
      </c>
      <c r="AG203" s="2">
        <v>0</v>
      </c>
      <c r="AH203" s="2">
        <v>2</v>
      </c>
      <c r="AI203" s="2">
        <v>0</v>
      </c>
      <c r="AK203">
        <v>5472522</v>
      </c>
      <c r="AL203" t="s">
        <v>429</v>
      </c>
    </row>
    <row r="204" spans="1:38" x14ac:dyDescent="0.25">
      <c r="A204" s="1">
        <v>45799</v>
      </c>
      <c r="B204" s="1">
        <v>45792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510</v>
      </c>
      <c r="J204" t="s">
        <v>511</v>
      </c>
      <c r="M204" t="s">
        <v>423</v>
      </c>
      <c r="O204" t="s">
        <v>372</v>
      </c>
      <c r="P204" t="s">
        <v>373</v>
      </c>
      <c r="Q204" t="s">
        <v>49</v>
      </c>
      <c r="R204" t="s">
        <v>428</v>
      </c>
      <c r="S204" s="1">
        <v>45505</v>
      </c>
      <c r="T204" s="1">
        <v>45823</v>
      </c>
      <c r="U204" t="s">
        <v>51</v>
      </c>
      <c r="V204">
        <v>1</v>
      </c>
      <c r="W204" s="1">
        <v>45797</v>
      </c>
      <c r="X204" t="s">
        <v>52</v>
      </c>
      <c r="Y204" s="2">
        <v>1</v>
      </c>
      <c r="Z204" s="2">
        <v>1</v>
      </c>
      <c r="AB204" s="3">
        <v>1</v>
      </c>
      <c r="AC204" s="2">
        <v>2</v>
      </c>
      <c r="AG204" s="2">
        <v>0</v>
      </c>
      <c r="AH204" s="2">
        <v>2</v>
      </c>
      <c r="AI204" s="2">
        <v>0</v>
      </c>
      <c r="AK204">
        <v>5472529</v>
      </c>
      <c r="AL204" t="s">
        <v>429</v>
      </c>
    </row>
    <row r="205" spans="1:38" x14ac:dyDescent="0.25">
      <c r="A205" s="1">
        <v>45799</v>
      </c>
      <c r="B205" s="1">
        <v>45792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512</v>
      </c>
      <c r="J205" t="s">
        <v>513</v>
      </c>
      <c r="M205" t="s">
        <v>423</v>
      </c>
      <c r="O205" t="s">
        <v>131</v>
      </c>
      <c r="P205" t="s">
        <v>132</v>
      </c>
      <c r="Q205" t="s">
        <v>49</v>
      </c>
      <c r="R205" t="s">
        <v>440</v>
      </c>
      <c r="S205" s="1">
        <v>45474</v>
      </c>
      <c r="T205" s="1">
        <v>45823</v>
      </c>
      <c r="U205" t="s">
        <v>51</v>
      </c>
      <c r="V205">
        <v>1</v>
      </c>
      <c r="W205" s="1">
        <v>45797</v>
      </c>
      <c r="X205" t="s">
        <v>52</v>
      </c>
      <c r="Y205" s="2">
        <v>1</v>
      </c>
      <c r="Z205" s="2">
        <v>1</v>
      </c>
      <c r="AB205" s="3">
        <v>1</v>
      </c>
      <c r="AC205" s="2">
        <v>2</v>
      </c>
      <c r="AG205" s="2">
        <v>0</v>
      </c>
      <c r="AH205" s="2">
        <v>2</v>
      </c>
      <c r="AI205" s="2">
        <v>0</v>
      </c>
      <c r="AK205">
        <v>5472530</v>
      </c>
      <c r="AL205" t="s">
        <v>429</v>
      </c>
    </row>
    <row r="206" spans="1:38" x14ac:dyDescent="0.25">
      <c r="A206" s="1">
        <v>45799</v>
      </c>
      <c r="B206" s="1">
        <v>45792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514</v>
      </c>
      <c r="J206" t="s">
        <v>515</v>
      </c>
      <c r="M206" t="s">
        <v>423</v>
      </c>
      <c r="O206" t="s">
        <v>372</v>
      </c>
      <c r="P206" t="s">
        <v>373</v>
      </c>
      <c r="Q206" t="s">
        <v>49</v>
      </c>
      <c r="R206" t="s">
        <v>440</v>
      </c>
      <c r="S206" s="1">
        <v>45505</v>
      </c>
      <c r="T206" s="1">
        <v>45823</v>
      </c>
      <c r="U206" t="s">
        <v>51</v>
      </c>
      <c r="V206">
        <v>1</v>
      </c>
      <c r="W206" s="1">
        <v>45797</v>
      </c>
      <c r="X206" t="s">
        <v>52</v>
      </c>
      <c r="Y206" s="2">
        <v>1</v>
      </c>
      <c r="Z206" s="2">
        <v>1</v>
      </c>
      <c r="AB206" s="3">
        <v>1</v>
      </c>
      <c r="AC206" s="2">
        <v>2</v>
      </c>
      <c r="AG206" s="2">
        <v>0</v>
      </c>
      <c r="AH206" s="2">
        <v>2</v>
      </c>
      <c r="AI206" s="2">
        <v>0</v>
      </c>
      <c r="AK206">
        <v>5472532</v>
      </c>
      <c r="AL206" t="s">
        <v>429</v>
      </c>
    </row>
    <row r="207" spans="1:38" x14ac:dyDescent="0.25">
      <c r="A207" s="1">
        <v>45799</v>
      </c>
      <c r="B207" s="1">
        <v>45792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516</v>
      </c>
      <c r="J207" t="s">
        <v>517</v>
      </c>
      <c r="M207" t="s">
        <v>46</v>
      </c>
      <c r="O207" t="s">
        <v>380</v>
      </c>
      <c r="P207" t="s">
        <v>381</v>
      </c>
      <c r="Q207" t="s">
        <v>49</v>
      </c>
      <c r="R207" t="s">
        <v>428</v>
      </c>
      <c r="S207" s="1">
        <v>45474</v>
      </c>
      <c r="T207" s="1">
        <v>45823</v>
      </c>
      <c r="U207" t="s">
        <v>51</v>
      </c>
      <c r="V207">
        <v>1</v>
      </c>
      <c r="W207" s="1">
        <v>45797</v>
      </c>
      <c r="X207" t="s">
        <v>52</v>
      </c>
      <c r="Y207" s="2">
        <v>1</v>
      </c>
      <c r="Z207" s="2">
        <v>1</v>
      </c>
      <c r="AB207" s="3">
        <v>1</v>
      </c>
      <c r="AC207" s="2">
        <v>2</v>
      </c>
      <c r="AG207" s="2">
        <v>0</v>
      </c>
      <c r="AH207" s="2">
        <v>2</v>
      </c>
      <c r="AI207" s="2">
        <v>0</v>
      </c>
      <c r="AK207">
        <v>5472568</v>
      </c>
      <c r="AL207" t="s">
        <v>429</v>
      </c>
    </row>
    <row r="208" spans="1:38" x14ac:dyDescent="0.25">
      <c r="A208" s="1">
        <v>45799</v>
      </c>
      <c r="B208" s="1">
        <v>45792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518</v>
      </c>
      <c r="J208" t="s">
        <v>519</v>
      </c>
      <c r="M208" t="s">
        <v>520</v>
      </c>
      <c r="O208" t="s">
        <v>95</v>
      </c>
      <c r="P208" t="s">
        <v>96</v>
      </c>
      <c r="Q208" t="s">
        <v>49</v>
      </c>
      <c r="R208" t="s">
        <v>428</v>
      </c>
      <c r="S208" s="1">
        <v>45505</v>
      </c>
      <c r="T208" s="1">
        <v>45823</v>
      </c>
      <c r="U208" t="s">
        <v>51</v>
      </c>
      <c r="V208">
        <v>1</v>
      </c>
      <c r="W208" s="1">
        <v>45797</v>
      </c>
      <c r="X208" t="s">
        <v>52</v>
      </c>
      <c r="Y208" s="2">
        <v>1</v>
      </c>
      <c r="Z208" s="2">
        <v>1</v>
      </c>
      <c r="AB208" s="3">
        <v>1</v>
      </c>
      <c r="AC208" s="2">
        <v>2</v>
      </c>
      <c r="AG208" s="2">
        <v>0</v>
      </c>
      <c r="AH208" s="2">
        <v>2</v>
      </c>
      <c r="AI208" s="2">
        <v>0</v>
      </c>
      <c r="AK208">
        <v>5472571</v>
      </c>
      <c r="AL208" t="s">
        <v>429</v>
      </c>
    </row>
    <row r="209" spans="1:38" x14ac:dyDescent="0.25">
      <c r="A209" s="1">
        <v>45799</v>
      </c>
      <c r="B209" s="1">
        <v>45792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521</v>
      </c>
      <c r="J209" t="s">
        <v>522</v>
      </c>
      <c r="M209" t="s">
        <v>523</v>
      </c>
      <c r="O209" t="s">
        <v>95</v>
      </c>
      <c r="P209" t="s">
        <v>96</v>
      </c>
      <c r="Q209" t="s">
        <v>49</v>
      </c>
      <c r="R209" t="s">
        <v>428</v>
      </c>
      <c r="S209" s="1">
        <v>45474</v>
      </c>
      <c r="T209" s="1">
        <v>45823</v>
      </c>
      <c r="U209" t="s">
        <v>51</v>
      </c>
      <c r="V209">
        <v>1</v>
      </c>
      <c r="W209" s="1">
        <v>45797</v>
      </c>
      <c r="X209" t="s">
        <v>52</v>
      </c>
      <c r="Y209" s="2">
        <v>1</v>
      </c>
      <c r="Z209" s="2">
        <v>1</v>
      </c>
      <c r="AB209" s="3">
        <v>1</v>
      </c>
      <c r="AC209" s="2">
        <v>2</v>
      </c>
      <c r="AG209" s="2">
        <v>0</v>
      </c>
      <c r="AH209" s="2">
        <v>2</v>
      </c>
      <c r="AI209" s="2">
        <v>0</v>
      </c>
      <c r="AK209">
        <v>5472587</v>
      </c>
      <c r="AL209" t="s">
        <v>429</v>
      </c>
    </row>
    <row r="210" spans="1:38" x14ac:dyDescent="0.25">
      <c r="A210" s="1">
        <v>45799</v>
      </c>
      <c r="B210" s="1">
        <v>45792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524</v>
      </c>
      <c r="J210" t="s">
        <v>525</v>
      </c>
      <c r="M210" t="s">
        <v>418</v>
      </c>
      <c r="O210" t="s">
        <v>380</v>
      </c>
      <c r="P210" t="s">
        <v>381</v>
      </c>
      <c r="Q210" t="s">
        <v>49</v>
      </c>
      <c r="R210" t="s">
        <v>428</v>
      </c>
      <c r="S210" s="1">
        <v>45474</v>
      </c>
      <c r="T210" s="1">
        <v>45823</v>
      </c>
      <c r="U210" t="s">
        <v>51</v>
      </c>
      <c r="V210">
        <v>1</v>
      </c>
      <c r="W210" s="1">
        <v>45797</v>
      </c>
      <c r="X210" t="s">
        <v>52</v>
      </c>
      <c r="Y210" s="2">
        <v>1</v>
      </c>
      <c r="Z210" s="2">
        <v>1</v>
      </c>
      <c r="AB210" s="3">
        <v>1</v>
      </c>
      <c r="AC210" s="2">
        <v>2</v>
      </c>
      <c r="AG210" s="2">
        <v>0</v>
      </c>
      <c r="AH210" s="2">
        <v>2</v>
      </c>
      <c r="AI210" s="2">
        <v>0</v>
      </c>
      <c r="AK210">
        <v>5472595</v>
      </c>
      <c r="AL210" t="s">
        <v>429</v>
      </c>
    </row>
    <row r="211" spans="1:38" x14ac:dyDescent="0.25">
      <c r="A211" s="1">
        <v>45799</v>
      </c>
      <c r="B211" s="1">
        <v>45792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526</v>
      </c>
      <c r="J211" t="s">
        <v>527</v>
      </c>
      <c r="M211" t="s">
        <v>423</v>
      </c>
      <c r="O211" t="s">
        <v>131</v>
      </c>
      <c r="P211" t="s">
        <v>132</v>
      </c>
      <c r="Q211" t="s">
        <v>49</v>
      </c>
      <c r="R211" t="s">
        <v>428</v>
      </c>
      <c r="S211" s="1">
        <v>45505</v>
      </c>
      <c r="T211" s="1">
        <v>45823</v>
      </c>
      <c r="U211" t="s">
        <v>51</v>
      </c>
      <c r="V211">
        <v>1</v>
      </c>
      <c r="W211" s="1">
        <v>45797</v>
      </c>
      <c r="X211" t="s">
        <v>52</v>
      </c>
      <c r="Y211" s="2">
        <v>1</v>
      </c>
      <c r="Z211" s="2">
        <v>1</v>
      </c>
      <c r="AB211" s="3">
        <v>1</v>
      </c>
      <c r="AC211" s="2">
        <v>2</v>
      </c>
      <c r="AG211" s="2">
        <v>0</v>
      </c>
      <c r="AH211" s="2">
        <v>2</v>
      </c>
      <c r="AI211" s="2">
        <v>0</v>
      </c>
      <c r="AK211">
        <v>5472608</v>
      </c>
      <c r="AL211" t="s">
        <v>429</v>
      </c>
    </row>
    <row r="212" spans="1:38" x14ac:dyDescent="0.25">
      <c r="A212" s="1">
        <v>45799</v>
      </c>
      <c r="B212" s="1">
        <v>45792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528</v>
      </c>
      <c r="J212" t="s">
        <v>529</v>
      </c>
      <c r="M212" t="s">
        <v>423</v>
      </c>
      <c r="O212" t="s">
        <v>95</v>
      </c>
      <c r="P212" t="s">
        <v>96</v>
      </c>
      <c r="Q212" t="s">
        <v>49</v>
      </c>
      <c r="R212" t="s">
        <v>428</v>
      </c>
      <c r="S212" s="1">
        <v>45566</v>
      </c>
      <c r="T212" s="1">
        <v>45823</v>
      </c>
      <c r="U212" t="s">
        <v>51</v>
      </c>
      <c r="V212">
        <v>1</v>
      </c>
      <c r="W212" s="1">
        <v>45797</v>
      </c>
      <c r="X212" t="s">
        <v>52</v>
      </c>
      <c r="Y212" s="2">
        <v>1</v>
      </c>
      <c r="Z212" s="2">
        <v>1</v>
      </c>
      <c r="AB212" s="3">
        <v>1</v>
      </c>
      <c r="AC212" s="2">
        <v>2</v>
      </c>
      <c r="AG212" s="2">
        <v>0</v>
      </c>
      <c r="AH212" s="2">
        <v>2</v>
      </c>
      <c r="AI212" s="2">
        <v>0</v>
      </c>
      <c r="AK212">
        <v>5472614</v>
      </c>
      <c r="AL212" t="s">
        <v>429</v>
      </c>
    </row>
    <row r="213" spans="1:38" x14ac:dyDescent="0.25">
      <c r="A213" s="1">
        <v>45799</v>
      </c>
      <c r="B213" s="1">
        <v>45792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530</v>
      </c>
      <c r="J213" t="s">
        <v>531</v>
      </c>
      <c r="M213" t="s">
        <v>418</v>
      </c>
      <c r="O213" t="s">
        <v>380</v>
      </c>
      <c r="P213" t="s">
        <v>381</v>
      </c>
      <c r="Q213" t="s">
        <v>49</v>
      </c>
      <c r="R213" t="s">
        <v>428</v>
      </c>
      <c r="S213" s="1">
        <v>45566</v>
      </c>
      <c r="T213" s="1">
        <v>45823</v>
      </c>
      <c r="U213" t="s">
        <v>51</v>
      </c>
      <c r="V213">
        <v>1</v>
      </c>
      <c r="W213" s="1">
        <v>45797</v>
      </c>
      <c r="X213" t="s">
        <v>52</v>
      </c>
      <c r="Y213" s="2">
        <v>1</v>
      </c>
      <c r="Z213" s="2">
        <v>1</v>
      </c>
      <c r="AB213" s="3">
        <v>1</v>
      </c>
      <c r="AC213" s="2">
        <v>2</v>
      </c>
      <c r="AG213" s="2">
        <v>0</v>
      </c>
      <c r="AH213" s="2">
        <v>2</v>
      </c>
      <c r="AI213" s="2">
        <v>0</v>
      </c>
      <c r="AK213">
        <v>5472624</v>
      </c>
      <c r="AL213" t="s">
        <v>429</v>
      </c>
    </row>
    <row r="214" spans="1:38" x14ac:dyDescent="0.25">
      <c r="A214" s="1">
        <v>45799</v>
      </c>
      <c r="B214" s="1">
        <v>45792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532</v>
      </c>
      <c r="J214" t="s">
        <v>533</v>
      </c>
      <c r="M214" t="s">
        <v>423</v>
      </c>
      <c r="O214" t="s">
        <v>372</v>
      </c>
      <c r="P214" t="s">
        <v>373</v>
      </c>
      <c r="Q214" t="s">
        <v>49</v>
      </c>
      <c r="R214" t="s">
        <v>428</v>
      </c>
      <c r="S214" s="1">
        <v>45505</v>
      </c>
      <c r="T214" s="1">
        <v>45823</v>
      </c>
      <c r="U214" t="s">
        <v>51</v>
      </c>
      <c r="V214">
        <v>1</v>
      </c>
      <c r="W214" s="1">
        <v>45797</v>
      </c>
      <c r="X214" t="s">
        <v>52</v>
      </c>
      <c r="Y214" s="2">
        <v>1</v>
      </c>
      <c r="Z214" s="2">
        <v>1</v>
      </c>
      <c r="AB214" s="3">
        <v>1</v>
      </c>
      <c r="AC214" s="2">
        <v>2</v>
      </c>
      <c r="AG214" s="2">
        <v>0</v>
      </c>
      <c r="AH214" s="2">
        <v>2</v>
      </c>
      <c r="AI214" s="2">
        <v>0</v>
      </c>
      <c r="AK214">
        <v>5472630</v>
      </c>
      <c r="AL214" t="s">
        <v>429</v>
      </c>
    </row>
    <row r="215" spans="1:38" x14ac:dyDescent="0.25">
      <c r="A215" s="1">
        <v>45799</v>
      </c>
      <c r="B215" s="1">
        <v>45792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534</v>
      </c>
      <c r="J215" t="s">
        <v>535</v>
      </c>
      <c r="M215" t="s">
        <v>418</v>
      </c>
      <c r="O215" t="s">
        <v>158</v>
      </c>
      <c r="P215" t="s">
        <v>159</v>
      </c>
      <c r="Q215" t="s">
        <v>49</v>
      </c>
      <c r="R215" t="s">
        <v>428</v>
      </c>
      <c r="S215" s="1">
        <v>45505</v>
      </c>
      <c r="T215" s="1">
        <v>45823</v>
      </c>
      <c r="U215" t="s">
        <v>51</v>
      </c>
      <c r="V215">
        <v>1</v>
      </c>
      <c r="W215" s="1">
        <v>45797</v>
      </c>
      <c r="X215" t="s">
        <v>52</v>
      </c>
      <c r="Y215" s="2">
        <v>1</v>
      </c>
      <c r="Z215" s="2">
        <v>1</v>
      </c>
      <c r="AB215" s="3">
        <v>1</v>
      </c>
      <c r="AC215" s="2">
        <v>2</v>
      </c>
      <c r="AG215" s="2">
        <v>0</v>
      </c>
      <c r="AH215" s="2">
        <v>2</v>
      </c>
      <c r="AI215" s="2">
        <v>0</v>
      </c>
      <c r="AK215">
        <v>5472634</v>
      </c>
      <c r="AL215" t="s">
        <v>429</v>
      </c>
    </row>
    <row r="216" spans="1:38" x14ac:dyDescent="0.25">
      <c r="A216" s="1">
        <v>45799</v>
      </c>
      <c r="B216" s="1">
        <v>45792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536</v>
      </c>
      <c r="J216" t="s">
        <v>537</v>
      </c>
      <c r="M216" t="s">
        <v>418</v>
      </c>
      <c r="O216" t="s">
        <v>225</v>
      </c>
      <c r="P216" t="s">
        <v>226</v>
      </c>
      <c r="Q216" t="s">
        <v>49</v>
      </c>
      <c r="R216" t="s">
        <v>428</v>
      </c>
      <c r="S216" s="1">
        <v>45505</v>
      </c>
      <c r="T216" s="1">
        <v>45823</v>
      </c>
      <c r="U216" t="s">
        <v>51</v>
      </c>
      <c r="V216">
        <v>1</v>
      </c>
      <c r="W216" s="1">
        <v>45797</v>
      </c>
      <c r="X216" t="s">
        <v>52</v>
      </c>
      <c r="Y216" s="2">
        <v>1</v>
      </c>
      <c r="Z216" s="2">
        <v>1</v>
      </c>
      <c r="AB216" s="3">
        <v>1</v>
      </c>
      <c r="AC216" s="2">
        <v>2</v>
      </c>
      <c r="AG216" s="2">
        <v>0</v>
      </c>
      <c r="AH216" s="2">
        <v>2</v>
      </c>
      <c r="AI216" s="2">
        <v>0</v>
      </c>
      <c r="AK216">
        <v>5472638</v>
      </c>
      <c r="AL216" t="s">
        <v>429</v>
      </c>
    </row>
    <row r="217" spans="1:38" x14ac:dyDescent="0.25">
      <c r="A217" s="1">
        <v>45799</v>
      </c>
      <c r="B217" s="1">
        <v>45792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538</v>
      </c>
      <c r="J217" t="s">
        <v>539</v>
      </c>
      <c r="M217" t="s">
        <v>418</v>
      </c>
      <c r="O217" t="s">
        <v>158</v>
      </c>
      <c r="P217" t="s">
        <v>159</v>
      </c>
      <c r="Q217" t="s">
        <v>49</v>
      </c>
      <c r="R217" t="s">
        <v>428</v>
      </c>
      <c r="S217" s="1">
        <v>45505</v>
      </c>
      <c r="T217" s="1">
        <v>45823</v>
      </c>
      <c r="U217" t="s">
        <v>51</v>
      </c>
      <c r="V217">
        <v>1</v>
      </c>
      <c r="W217" s="1">
        <v>45797</v>
      </c>
      <c r="X217" t="s">
        <v>52</v>
      </c>
      <c r="Y217" s="2">
        <v>1</v>
      </c>
      <c r="Z217" s="2">
        <v>1</v>
      </c>
      <c r="AB217" s="3">
        <v>1</v>
      </c>
      <c r="AC217" s="2">
        <v>2</v>
      </c>
      <c r="AG217" s="2">
        <v>0</v>
      </c>
      <c r="AH217" s="2">
        <v>2</v>
      </c>
      <c r="AI217" s="2">
        <v>0</v>
      </c>
      <c r="AK217">
        <v>5472639</v>
      </c>
      <c r="AL217" t="s">
        <v>429</v>
      </c>
    </row>
    <row r="218" spans="1:38" x14ac:dyDescent="0.25">
      <c r="A218" s="1">
        <v>45799</v>
      </c>
      <c r="B218" s="1">
        <v>45792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540</v>
      </c>
      <c r="J218" t="s">
        <v>541</v>
      </c>
      <c r="M218" t="s">
        <v>423</v>
      </c>
      <c r="O218" t="s">
        <v>131</v>
      </c>
      <c r="P218" t="s">
        <v>132</v>
      </c>
      <c r="Q218" t="s">
        <v>49</v>
      </c>
      <c r="R218" t="s">
        <v>428</v>
      </c>
      <c r="S218" s="1">
        <v>45505</v>
      </c>
      <c r="T218" s="1">
        <v>45823</v>
      </c>
      <c r="U218" t="s">
        <v>51</v>
      </c>
      <c r="V218">
        <v>1</v>
      </c>
      <c r="W218" s="1">
        <v>45797</v>
      </c>
      <c r="X218" t="s">
        <v>52</v>
      </c>
      <c r="Y218" s="2">
        <v>1</v>
      </c>
      <c r="Z218" s="2">
        <v>1</v>
      </c>
      <c r="AB218" s="3">
        <v>1</v>
      </c>
      <c r="AC218" s="2">
        <v>2</v>
      </c>
      <c r="AG218" s="2">
        <v>0</v>
      </c>
      <c r="AH218" s="2">
        <v>2</v>
      </c>
      <c r="AI218" s="2">
        <v>0</v>
      </c>
      <c r="AK218">
        <v>5472648</v>
      </c>
      <c r="AL218" t="s">
        <v>429</v>
      </c>
    </row>
    <row r="219" spans="1:38" x14ac:dyDescent="0.25">
      <c r="A219" s="1">
        <v>45799</v>
      </c>
      <c r="B219" s="1">
        <v>45792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542</v>
      </c>
      <c r="J219" t="s">
        <v>543</v>
      </c>
      <c r="M219" t="s">
        <v>447</v>
      </c>
      <c r="O219" t="s">
        <v>544</v>
      </c>
      <c r="P219" t="s">
        <v>545</v>
      </c>
      <c r="Q219" t="s">
        <v>49</v>
      </c>
      <c r="R219" t="s">
        <v>440</v>
      </c>
      <c r="S219" s="1">
        <v>45505</v>
      </c>
      <c r="T219" s="1">
        <v>45823</v>
      </c>
      <c r="U219" t="s">
        <v>51</v>
      </c>
      <c r="V219">
        <v>1</v>
      </c>
      <c r="W219" s="1">
        <v>45797</v>
      </c>
      <c r="X219" t="s">
        <v>52</v>
      </c>
      <c r="Y219" s="2">
        <v>1</v>
      </c>
      <c r="Z219" s="2">
        <v>1</v>
      </c>
      <c r="AB219" s="3">
        <v>1</v>
      </c>
      <c r="AC219" s="2">
        <v>2</v>
      </c>
      <c r="AG219" s="2">
        <v>0</v>
      </c>
      <c r="AH219" s="2">
        <v>2</v>
      </c>
      <c r="AI219" s="2">
        <v>0</v>
      </c>
      <c r="AK219">
        <v>5472686</v>
      </c>
      <c r="AL219" t="s">
        <v>429</v>
      </c>
    </row>
    <row r="220" spans="1:38" x14ac:dyDescent="0.25">
      <c r="A220" s="1">
        <v>45799</v>
      </c>
      <c r="B220" s="1">
        <v>45792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546</v>
      </c>
      <c r="J220" t="s">
        <v>547</v>
      </c>
      <c r="M220" t="s">
        <v>423</v>
      </c>
      <c r="O220" t="s">
        <v>372</v>
      </c>
      <c r="P220" t="s">
        <v>373</v>
      </c>
      <c r="Q220" t="s">
        <v>49</v>
      </c>
      <c r="R220" t="s">
        <v>428</v>
      </c>
      <c r="S220" s="1">
        <v>45505</v>
      </c>
      <c r="T220" s="1">
        <v>45823</v>
      </c>
      <c r="U220" t="s">
        <v>51</v>
      </c>
      <c r="V220">
        <v>1</v>
      </c>
      <c r="W220" s="1">
        <v>45797</v>
      </c>
      <c r="X220" t="s">
        <v>52</v>
      </c>
      <c r="Y220" s="2">
        <v>1</v>
      </c>
      <c r="Z220" s="2">
        <v>1</v>
      </c>
      <c r="AB220" s="3">
        <v>1</v>
      </c>
      <c r="AC220" s="2">
        <v>2</v>
      </c>
      <c r="AG220" s="2">
        <v>0</v>
      </c>
      <c r="AH220" s="2">
        <v>2</v>
      </c>
      <c r="AI220" s="2">
        <v>0</v>
      </c>
      <c r="AK220">
        <v>5472688</v>
      </c>
      <c r="AL220" t="s">
        <v>429</v>
      </c>
    </row>
    <row r="221" spans="1:38" x14ac:dyDescent="0.25">
      <c r="A221" s="1">
        <v>45799</v>
      </c>
      <c r="B221" s="1">
        <v>45792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548</v>
      </c>
      <c r="J221" t="s">
        <v>549</v>
      </c>
      <c r="M221" t="s">
        <v>423</v>
      </c>
      <c r="O221" t="s">
        <v>131</v>
      </c>
      <c r="P221" t="s">
        <v>132</v>
      </c>
      <c r="Q221" t="s">
        <v>49</v>
      </c>
      <c r="R221" t="s">
        <v>428</v>
      </c>
      <c r="S221" s="1">
        <v>45536</v>
      </c>
      <c r="T221" s="1">
        <v>45823</v>
      </c>
      <c r="U221" t="s">
        <v>51</v>
      </c>
      <c r="V221">
        <v>1</v>
      </c>
      <c r="W221" s="1">
        <v>45797</v>
      </c>
      <c r="X221" t="s">
        <v>52</v>
      </c>
      <c r="Y221" s="2">
        <v>1</v>
      </c>
      <c r="Z221" s="2">
        <v>1</v>
      </c>
      <c r="AB221" s="3">
        <v>1</v>
      </c>
      <c r="AC221" s="2">
        <v>2</v>
      </c>
      <c r="AG221" s="2">
        <v>0</v>
      </c>
      <c r="AH221" s="2">
        <v>2</v>
      </c>
      <c r="AI221" s="2">
        <v>0</v>
      </c>
      <c r="AK221">
        <v>5472704</v>
      </c>
      <c r="AL221" t="s">
        <v>429</v>
      </c>
    </row>
    <row r="222" spans="1:38" x14ac:dyDescent="0.25">
      <c r="A222" s="1">
        <v>45799</v>
      </c>
      <c r="B222" s="1">
        <v>45792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550</v>
      </c>
      <c r="J222" t="s">
        <v>551</v>
      </c>
      <c r="M222" t="s">
        <v>423</v>
      </c>
      <c r="O222" t="s">
        <v>372</v>
      </c>
      <c r="P222" t="s">
        <v>373</v>
      </c>
      <c r="Q222" t="s">
        <v>49</v>
      </c>
      <c r="R222" t="s">
        <v>428</v>
      </c>
      <c r="S222" s="1">
        <v>45536</v>
      </c>
      <c r="T222" s="1">
        <v>45823</v>
      </c>
      <c r="U222" t="s">
        <v>51</v>
      </c>
      <c r="V222">
        <v>1</v>
      </c>
      <c r="W222" s="1">
        <v>45797</v>
      </c>
      <c r="X222" t="s">
        <v>52</v>
      </c>
      <c r="Y222" s="2">
        <v>1</v>
      </c>
      <c r="Z222" s="2">
        <v>1</v>
      </c>
      <c r="AB222" s="3">
        <v>1</v>
      </c>
      <c r="AC222" s="2">
        <v>2</v>
      </c>
      <c r="AG222" s="2">
        <v>0</v>
      </c>
      <c r="AH222" s="2">
        <v>2</v>
      </c>
      <c r="AI222" s="2">
        <v>0</v>
      </c>
      <c r="AK222">
        <v>5472712</v>
      </c>
      <c r="AL222" t="s">
        <v>429</v>
      </c>
    </row>
    <row r="223" spans="1:38" x14ac:dyDescent="0.25">
      <c r="A223" s="1">
        <v>45799</v>
      </c>
      <c r="B223" s="1">
        <v>45792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552</v>
      </c>
      <c r="J223" t="s">
        <v>553</v>
      </c>
      <c r="M223" t="s">
        <v>418</v>
      </c>
      <c r="O223" t="s">
        <v>95</v>
      </c>
      <c r="P223" t="s">
        <v>96</v>
      </c>
      <c r="Q223" t="s">
        <v>49</v>
      </c>
      <c r="R223" t="s">
        <v>428</v>
      </c>
      <c r="S223" s="1">
        <v>45566</v>
      </c>
      <c r="T223" s="1">
        <v>45823</v>
      </c>
      <c r="U223" t="s">
        <v>51</v>
      </c>
      <c r="V223">
        <v>1</v>
      </c>
      <c r="W223" s="1">
        <v>45797</v>
      </c>
      <c r="X223" t="s">
        <v>52</v>
      </c>
      <c r="Y223" s="2">
        <v>1</v>
      </c>
      <c r="Z223" s="2">
        <v>1</v>
      </c>
      <c r="AB223" s="3">
        <v>1</v>
      </c>
      <c r="AC223" s="2">
        <v>2</v>
      </c>
      <c r="AG223" s="2">
        <v>0</v>
      </c>
      <c r="AH223" s="2">
        <v>2</v>
      </c>
      <c r="AI223" s="2">
        <v>0</v>
      </c>
      <c r="AK223">
        <v>5472716</v>
      </c>
      <c r="AL223" t="s">
        <v>429</v>
      </c>
    </row>
    <row r="224" spans="1:38" x14ac:dyDescent="0.25">
      <c r="A224" s="1">
        <v>45799</v>
      </c>
      <c r="B224" s="1">
        <v>45792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554</v>
      </c>
      <c r="J224" t="s">
        <v>555</v>
      </c>
      <c r="M224" t="s">
        <v>418</v>
      </c>
      <c r="O224" t="s">
        <v>225</v>
      </c>
      <c r="P224" t="s">
        <v>226</v>
      </c>
      <c r="Q224" t="s">
        <v>49</v>
      </c>
      <c r="R224" t="s">
        <v>428</v>
      </c>
      <c r="S224" s="1">
        <v>45505</v>
      </c>
      <c r="T224" s="1">
        <v>45823</v>
      </c>
      <c r="U224" t="s">
        <v>51</v>
      </c>
      <c r="V224">
        <v>1</v>
      </c>
      <c r="W224" s="1">
        <v>45797</v>
      </c>
      <c r="X224" t="s">
        <v>52</v>
      </c>
      <c r="Y224" s="2">
        <v>1</v>
      </c>
      <c r="Z224" s="2">
        <v>1</v>
      </c>
      <c r="AB224" s="3">
        <v>1</v>
      </c>
      <c r="AC224" s="2">
        <v>2</v>
      </c>
      <c r="AG224" s="2">
        <v>0</v>
      </c>
      <c r="AH224" s="2">
        <v>2</v>
      </c>
      <c r="AI224" s="2">
        <v>0</v>
      </c>
      <c r="AK224">
        <v>5472720</v>
      </c>
      <c r="AL224" t="s">
        <v>429</v>
      </c>
    </row>
    <row r="225" spans="1:38" x14ac:dyDescent="0.25">
      <c r="A225" s="1">
        <v>45799</v>
      </c>
      <c r="B225" s="1">
        <v>45792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556</v>
      </c>
      <c r="J225" t="s">
        <v>557</v>
      </c>
      <c r="M225" t="s">
        <v>558</v>
      </c>
      <c r="O225" t="s">
        <v>559</v>
      </c>
      <c r="P225" t="s">
        <v>560</v>
      </c>
      <c r="Q225" t="s">
        <v>49</v>
      </c>
      <c r="R225" t="s">
        <v>428</v>
      </c>
      <c r="S225" s="1">
        <v>45566</v>
      </c>
      <c r="T225" s="1">
        <v>45823</v>
      </c>
      <c r="U225" t="s">
        <v>51</v>
      </c>
      <c r="V225">
        <v>1</v>
      </c>
      <c r="W225" s="1">
        <v>45797</v>
      </c>
      <c r="X225" t="s">
        <v>52</v>
      </c>
      <c r="Y225" s="2">
        <v>1</v>
      </c>
      <c r="Z225" s="2">
        <v>1</v>
      </c>
      <c r="AB225" s="3">
        <v>1</v>
      </c>
      <c r="AC225" s="2">
        <v>2</v>
      </c>
      <c r="AG225" s="2">
        <v>0</v>
      </c>
      <c r="AH225" s="2">
        <v>2</v>
      </c>
      <c r="AI225" s="2">
        <v>0</v>
      </c>
      <c r="AK225">
        <v>5472729</v>
      </c>
      <c r="AL225" t="s">
        <v>429</v>
      </c>
    </row>
    <row r="226" spans="1:38" x14ac:dyDescent="0.25">
      <c r="A226" s="1">
        <v>45799</v>
      </c>
      <c r="B226" s="1">
        <v>45792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561</v>
      </c>
      <c r="J226" t="s">
        <v>562</v>
      </c>
      <c r="M226" t="s">
        <v>418</v>
      </c>
      <c r="O226" t="s">
        <v>95</v>
      </c>
      <c r="P226" t="s">
        <v>96</v>
      </c>
      <c r="Q226" t="s">
        <v>49</v>
      </c>
      <c r="R226" t="s">
        <v>428</v>
      </c>
      <c r="S226" s="1">
        <v>45505</v>
      </c>
      <c r="T226" s="1">
        <v>45823</v>
      </c>
      <c r="U226" t="s">
        <v>51</v>
      </c>
      <c r="V226">
        <v>1</v>
      </c>
      <c r="W226" s="1">
        <v>45797</v>
      </c>
      <c r="X226" t="s">
        <v>52</v>
      </c>
      <c r="Y226" s="2">
        <v>1</v>
      </c>
      <c r="Z226" s="2">
        <v>1</v>
      </c>
      <c r="AB226" s="3">
        <v>1</v>
      </c>
      <c r="AC226" s="2">
        <v>2</v>
      </c>
      <c r="AG226" s="2">
        <v>0</v>
      </c>
      <c r="AH226" s="2">
        <v>2</v>
      </c>
      <c r="AI226" s="2">
        <v>0</v>
      </c>
      <c r="AK226">
        <v>5472730</v>
      </c>
      <c r="AL226" t="s">
        <v>429</v>
      </c>
    </row>
    <row r="227" spans="1:38" x14ac:dyDescent="0.25">
      <c r="A227" s="1">
        <v>45799</v>
      </c>
      <c r="B227" s="1">
        <v>45792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563</v>
      </c>
      <c r="J227" t="s">
        <v>564</v>
      </c>
      <c r="M227" t="s">
        <v>423</v>
      </c>
      <c r="O227" t="s">
        <v>372</v>
      </c>
      <c r="P227" t="s">
        <v>373</v>
      </c>
      <c r="Q227" t="s">
        <v>49</v>
      </c>
      <c r="R227" t="s">
        <v>428</v>
      </c>
      <c r="S227" s="1">
        <v>45505</v>
      </c>
      <c r="T227" s="1">
        <v>45823</v>
      </c>
      <c r="U227" t="s">
        <v>51</v>
      </c>
      <c r="V227">
        <v>1</v>
      </c>
      <c r="W227" s="1">
        <v>45797</v>
      </c>
      <c r="X227" t="s">
        <v>52</v>
      </c>
      <c r="Y227" s="2">
        <v>1</v>
      </c>
      <c r="Z227" s="2">
        <v>1</v>
      </c>
      <c r="AB227" s="3">
        <v>1</v>
      </c>
      <c r="AC227" s="2">
        <v>2</v>
      </c>
      <c r="AG227" s="2">
        <v>0</v>
      </c>
      <c r="AH227" s="2">
        <v>2</v>
      </c>
      <c r="AI227" s="2">
        <v>0</v>
      </c>
      <c r="AK227">
        <v>5472734</v>
      </c>
      <c r="AL227" t="s">
        <v>429</v>
      </c>
    </row>
    <row r="228" spans="1:38" x14ac:dyDescent="0.25">
      <c r="A228" s="1">
        <v>45799</v>
      </c>
      <c r="B228" s="1">
        <v>45792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565</v>
      </c>
      <c r="J228" t="s">
        <v>566</v>
      </c>
      <c r="M228" t="s">
        <v>423</v>
      </c>
      <c r="O228" t="s">
        <v>131</v>
      </c>
      <c r="P228" t="s">
        <v>132</v>
      </c>
      <c r="Q228" t="s">
        <v>49</v>
      </c>
      <c r="R228" t="s">
        <v>567</v>
      </c>
      <c r="S228" s="1">
        <v>45474</v>
      </c>
      <c r="T228" s="1">
        <v>45823</v>
      </c>
      <c r="U228" t="s">
        <v>51</v>
      </c>
      <c r="V228">
        <v>1</v>
      </c>
      <c r="W228" s="1">
        <v>45797</v>
      </c>
      <c r="X228" t="s">
        <v>52</v>
      </c>
      <c r="Y228" s="2">
        <v>1</v>
      </c>
      <c r="Z228" s="2">
        <v>1</v>
      </c>
      <c r="AB228" s="3">
        <v>1</v>
      </c>
      <c r="AC228" s="2">
        <v>2</v>
      </c>
      <c r="AG228" s="2">
        <v>0</v>
      </c>
      <c r="AH228" s="2">
        <v>2</v>
      </c>
      <c r="AI228" s="2">
        <v>0</v>
      </c>
      <c r="AK228">
        <v>5472737</v>
      </c>
      <c r="AL228" t="s">
        <v>429</v>
      </c>
    </row>
    <row r="229" spans="1:38" x14ac:dyDescent="0.25">
      <c r="A229" s="1">
        <v>45799</v>
      </c>
      <c r="B229" s="1">
        <v>45792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568</v>
      </c>
      <c r="J229" t="s">
        <v>569</v>
      </c>
      <c r="M229" t="s">
        <v>423</v>
      </c>
      <c r="O229" t="s">
        <v>484</v>
      </c>
      <c r="P229" t="s">
        <v>485</v>
      </c>
      <c r="Q229" t="s">
        <v>49</v>
      </c>
      <c r="R229" t="s">
        <v>428</v>
      </c>
      <c r="S229" s="1">
        <v>45505</v>
      </c>
      <c r="T229" s="1">
        <v>45823</v>
      </c>
      <c r="U229" t="s">
        <v>51</v>
      </c>
      <c r="V229">
        <v>1</v>
      </c>
      <c r="W229" s="1">
        <v>45797</v>
      </c>
      <c r="X229" t="s">
        <v>52</v>
      </c>
      <c r="Y229" s="2">
        <v>1</v>
      </c>
      <c r="Z229" s="2">
        <v>1</v>
      </c>
      <c r="AB229" s="3">
        <v>1</v>
      </c>
      <c r="AC229" s="2">
        <v>2</v>
      </c>
      <c r="AG229" s="2">
        <v>0</v>
      </c>
      <c r="AH229" s="2">
        <v>2</v>
      </c>
      <c r="AI229" s="2">
        <v>0</v>
      </c>
      <c r="AK229">
        <v>5472740</v>
      </c>
      <c r="AL229" t="s">
        <v>429</v>
      </c>
    </row>
    <row r="230" spans="1:38" x14ac:dyDescent="0.25">
      <c r="A230" s="1">
        <v>45799</v>
      </c>
      <c r="B230" s="1">
        <v>45792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570</v>
      </c>
      <c r="J230" t="s">
        <v>571</v>
      </c>
      <c r="M230" t="s">
        <v>423</v>
      </c>
      <c r="O230" t="s">
        <v>131</v>
      </c>
      <c r="P230" t="s">
        <v>132</v>
      </c>
      <c r="Q230" t="s">
        <v>49</v>
      </c>
      <c r="R230" t="s">
        <v>428</v>
      </c>
      <c r="S230" s="1">
        <v>45505</v>
      </c>
      <c r="T230" s="1">
        <v>45823</v>
      </c>
      <c r="U230" t="s">
        <v>51</v>
      </c>
      <c r="V230">
        <v>1</v>
      </c>
      <c r="W230" s="1">
        <v>45797</v>
      </c>
      <c r="X230" t="s">
        <v>52</v>
      </c>
      <c r="Y230" s="2">
        <v>1</v>
      </c>
      <c r="Z230" s="2">
        <v>1</v>
      </c>
      <c r="AB230" s="3">
        <v>1</v>
      </c>
      <c r="AC230" s="2">
        <v>2</v>
      </c>
      <c r="AG230" s="2">
        <v>0</v>
      </c>
      <c r="AH230" s="2">
        <v>2</v>
      </c>
      <c r="AI230" s="2">
        <v>0</v>
      </c>
      <c r="AK230">
        <v>5472742</v>
      </c>
      <c r="AL230" t="s">
        <v>429</v>
      </c>
    </row>
    <row r="231" spans="1:38" x14ac:dyDescent="0.25">
      <c r="A231" s="1">
        <v>45799</v>
      </c>
      <c r="B231" s="1">
        <v>45792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572</v>
      </c>
      <c r="J231" t="s">
        <v>573</v>
      </c>
      <c r="M231" t="s">
        <v>447</v>
      </c>
      <c r="O231" t="s">
        <v>559</v>
      </c>
      <c r="P231" t="s">
        <v>560</v>
      </c>
      <c r="Q231" t="s">
        <v>49</v>
      </c>
      <c r="R231" t="s">
        <v>428</v>
      </c>
      <c r="S231" s="1">
        <v>45536</v>
      </c>
      <c r="T231" s="1">
        <v>45823</v>
      </c>
      <c r="U231" t="s">
        <v>51</v>
      </c>
      <c r="V231">
        <v>1</v>
      </c>
      <c r="W231" s="1">
        <v>45797</v>
      </c>
      <c r="X231" t="s">
        <v>52</v>
      </c>
      <c r="Y231" s="2">
        <v>1</v>
      </c>
      <c r="Z231" s="2">
        <v>1</v>
      </c>
      <c r="AB231" s="3">
        <v>1</v>
      </c>
      <c r="AC231" s="2">
        <v>2</v>
      </c>
      <c r="AG231" s="2">
        <v>0</v>
      </c>
      <c r="AH231" s="2">
        <v>2</v>
      </c>
      <c r="AI231" s="2">
        <v>0</v>
      </c>
      <c r="AK231">
        <v>5472745</v>
      </c>
      <c r="AL231" t="s">
        <v>429</v>
      </c>
    </row>
    <row r="232" spans="1:38" x14ac:dyDescent="0.25">
      <c r="A232" s="1">
        <v>45799</v>
      </c>
      <c r="B232" s="1">
        <v>45792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574</v>
      </c>
      <c r="J232" t="s">
        <v>575</v>
      </c>
      <c r="M232" t="s">
        <v>418</v>
      </c>
      <c r="O232" t="s">
        <v>158</v>
      </c>
      <c r="P232" t="s">
        <v>159</v>
      </c>
      <c r="Q232" t="s">
        <v>49</v>
      </c>
      <c r="R232" t="s">
        <v>428</v>
      </c>
      <c r="S232" s="1">
        <v>45566</v>
      </c>
      <c r="T232" s="1">
        <v>45823</v>
      </c>
      <c r="U232" t="s">
        <v>51</v>
      </c>
      <c r="V232">
        <v>1</v>
      </c>
      <c r="W232" s="1">
        <v>45797</v>
      </c>
      <c r="X232" t="s">
        <v>52</v>
      </c>
      <c r="Y232" s="2">
        <v>1</v>
      </c>
      <c r="Z232" s="2">
        <v>1</v>
      </c>
      <c r="AB232" s="3">
        <v>1</v>
      </c>
      <c r="AC232" s="2">
        <v>2</v>
      </c>
      <c r="AG232" s="2">
        <v>0</v>
      </c>
      <c r="AH232" s="2">
        <v>2</v>
      </c>
      <c r="AI232" s="2">
        <v>0</v>
      </c>
      <c r="AK232">
        <v>5472758</v>
      </c>
      <c r="AL232" t="s">
        <v>429</v>
      </c>
    </row>
    <row r="233" spans="1:38" x14ac:dyDescent="0.25">
      <c r="A233" s="1">
        <v>45799</v>
      </c>
      <c r="B233" s="1">
        <v>45792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576</v>
      </c>
      <c r="J233" t="s">
        <v>577</v>
      </c>
      <c r="M233" t="s">
        <v>423</v>
      </c>
      <c r="O233" t="s">
        <v>131</v>
      </c>
      <c r="P233" t="s">
        <v>132</v>
      </c>
      <c r="Q233" t="s">
        <v>49</v>
      </c>
      <c r="R233" t="s">
        <v>428</v>
      </c>
      <c r="S233" s="1">
        <v>45505</v>
      </c>
      <c r="T233" s="1">
        <v>45823</v>
      </c>
      <c r="U233" t="s">
        <v>51</v>
      </c>
      <c r="V233">
        <v>1</v>
      </c>
      <c r="W233" s="1">
        <v>45797</v>
      </c>
      <c r="X233" t="s">
        <v>52</v>
      </c>
      <c r="Y233" s="2">
        <v>1</v>
      </c>
      <c r="Z233" s="2">
        <v>1</v>
      </c>
      <c r="AB233" s="3">
        <v>1</v>
      </c>
      <c r="AC233" s="2">
        <v>2</v>
      </c>
      <c r="AG233" s="2">
        <v>0</v>
      </c>
      <c r="AH233" s="2">
        <v>2</v>
      </c>
      <c r="AI233" s="2">
        <v>0</v>
      </c>
      <c r="AK233">
        <v>5472762</v>
      </c>
      <c r="AL233" t="s">
        <v>429</v>
      </c>
    </row>
    <row r="234" spans="1:38" x14ac:dyDescent="0.25">
      <c r="A234" s="1">
        <v>45799</v>
      </c>
      <c r="B234" s="1">
        <v>45792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578</v>
      </c>
      <c r="J234" t="s">
        <v>579</v>
      </c>
      <c r="M234" t="s">
        <v>450</v>
      </c>
      <c r="O234" t="s">
        <v>95</v>
      </c>
      <c r="P234" t="s">
        <v>96</v>
      </c>
      <c r="Q234" t="s">
        <v>49</v>
      </c>
      <c r="R234" t="s">
        <v>428</v>
      </c>
      <c r="S234" s="1">
        <v>45566</v>
      </c>
      <c r="T234" s="1">
        <v>45823</v>
      </c>
      <c r="U234" t="s">
        <v>51</v>
      </c>
      <c r="V234">
        <v>1</v>
      </c>
      <c r="W234" s="1">
        <v>45797</v>
      </c>
      <c r="X234" t="s">
        <v>52</v>
      </c>
      <c r="Y234" s="2">
        <v>1</v>
      </c>
      <c r="Z234" s="2">
        <v>1</v>
      </c>
      <c r="AB234" s="3">
        <v>1</v>
      </c>
      <c r="AC234" s="2">
        <v>2</v>
      </c>
      <c r="AG234" s="2">
        <v>0</v>
      </c>
      <c r="AH234" s="2">
        <v>2</v>
      </c>
      <c r="AI234" s="2">
        <v>0</v>
      </c>
      <c r="AK234">
        <v>5472764</v>
      </c>
      <c r="AL234" t="s">
        <v>429</v>
      </c>
    </row>
    <row r="235" spans="1:38" x14ac:dyDescent="0.25">
      <c r="A235" s="1">
        <v>45799</v>
      </c>
      <c r="B235" s="1">
        <v>45792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580</v>
      </c>
      <c r="J235" t="s">
        <v>581</v>
      </c>
      <c r="M235" t="s">
        <v>418</v>
      </c>
      <c r="O235" t="s">
        <v>95</v>
      </c>
      <c r="P235" t="s">
        <v>96</v>
      </c>
      <c r="Q235" t="s">
        <v>49</v>
      </c>
      <c r="R235" t="s">
        <v>428</v>
      </c>
      <c r="S235" s="1">
        <v>45505</v>
      </c>
      <c r="T235" s="1">
        <v>45823</v>
      </c>
      <c r="U235" t="s">
        <v>51</v>
      </c>
      <c r="V235">
        <v>1</v>
      </c>
      <c r="W235" s="1">
        <v>45797</v>
      </c>
      <c r="X235" t="s">
        <v>52</v>
      </c>
      <c r="Y235" s="2">
        <v>1</v>
      </c>
      <c r="Z235" s="2">
        <v>1</v>
      </c>
      <c r="AB235" s="3">
        <v>1</v>
      </c>
      <c r="AC235" s="2">
        <v>2</v>
      </c>
      <c r="AG235" s="2">
        <v>0</v>
      </c>
      <c r="AH235" s="2">
        <v>2</v>
      </c>
      <c r="AI235" s="2">
        <v>0</v>
      </c>
      <c r="AK235">
        <v>5472767</v>
      </c>
      <c r="AL235" t="s">
        <v>429</v>
      </c>
    </row>
    <row r="236" spans="1:38" x14ac:dyDescent="0.25">
      <c r="A236" s="1">
        <v>45799</v>
      </c>
      <c r="B236" s="1">
        <v>45792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582</v>
      </c>
      <c r="J236" t="s">
        <v>583</v>
      </c>
      <c r="M236" t="s">
        <v>423</v>
      </c>
      <c r="O236" t="s">
        <v>131</v>
      </c>
      <c r="P236" t="s">
        <v>132</v>
      </c>
      <c r="Q236" t="s">
        <v>49</v>
      </c>
      <c r="R236" t="s">
        <v>428</v>
      </c>
      <c r="S236" s="1">
        <v>45505</v>
      </c>
      <c r="T236" s="1">
        <v>45823</v>
      </c>
      <c r="U236" t="s">
        <v>51</v>
      </c>
      <c r="V236">
        <v>1</v>
      </c>
      <c r="W236" s="1">
        <v>45797</v>
      </c>
      <c r="X236" t="s">
        <v>52</v>
      </c>
      <c r="Y236" s="2">
        <v>1</v>
      </c>
      <c r="Z236" s="2">
        <v>1</v>
      </c>
      <c r="AB236" s="3">
        <v>1</v>
      </c>
      <c r="AC236" s="2">
        <v>2</v>
      </c>
      <c r="AG236" s="2">
        <v>0</v>
      </c>
      <c r="AH236" s="2">
        <v>2</v>
      </c>
      <c r="AI236" s="2">
        <v>0</v>
      </c>
      <c r="AK236">
        <v>5472768</v>
      </c>
      <c r="AL236" t="s">
        <v>429</v>
      </c>
    </row>
    <row r="237" spans="1:38" x14ac:dyDescent="0.25">
      <c r="A237" s="1">
        <v>45799</v>
      </c>
      <c r="B237" s="1">
        <v>45792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584</v>
      </c>
      <c r="J237" t="s">
        <v>585</v>
      </c>
      <c r="M237" t="s">
        <v>450</v>
      </c>
      <c r="O237" t="s">
        <v>95</v>
      </c>
      <c r="P237" t="s">
        <v>96</v>
      </c>
      <c r="Q237" t="s">
        <v>49</v>
      </c>
      <c r="R237" t="s">
        <v>428</v>
      </c>
      <c r="S237" s="1">
        <v>45505</v>
      </c>
      <c r="T237" s="1">
        <v>45823</v>
      </c>
      <c r="U237" t="s">
        <v>51</v>
      </c>
      <c r="V237">
        <v>1</v>
      </c>
      <c r="W237" s="1">
        <v>45797</v>
      </c>
      <c r="X237" t="s">
        <v>52</v>
      </c>
      <c r="Y237" s="2">
        <v>1</v>
      </c>
      <c r="Z237" s="2">
        <v>1</v>
      </c>
      <c r="AB237" s="3">
        <v>1</v>
      </c>
      <c r="AC237" s="2">
        <v>2</v>
      </c>
      <c r="AG237" s="2">
        <v>0</v>
      </c>
      <c r="AH237" s="2">
        <v>2</v>
      </c>
      <c r="AI237" s="2">
        <v>0</v>
      </c>
      <c r="AK237">
        <v>5472788</v>
      </c>
      <c r="AL237" t="s">
        <v>429</v>
      </c>
    </row>
    <row r="238" spans="1:38" x14ac:dyDescent="0.25">
      <c r="A238" s="1">
        <v>45799</v>
      </c>
      <c r="B238" s="1">
        <v>45792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586</v>
      </c>
      <c r="J238" t="s">
        <v>587</v>
      </c>
      <c r="M238" t="s">
        <v>423</v>
      </c>
      <c r="O238" t="s">
        <v>131</v>
      </c>
      <c r="P238" t="s">
        <v>132</v>
      </c>
      <c r="Q238" t="s">
        <v>49</v>
      </c>
      <c r="R238" t="s">
        <v>428</v>
      </c>
      <c r="S238" s="1">
        <v>45566</v>
      </c>
      <c r="T238" s="1">
        <v>45823</v>
      </c>
      <c r="U238" t="s">
        <v>51</v>
      </c>
      <c r="V238">
        <v>1</v>
      </c>
      <c r="W238" s="1">
        <v>45797</v>
      </c>
      <c r="X238" t="s">
        <v>52</v>
      </c>
      <c r="Y238" s="2">
        <v>1</v>
      </c>
      <c r="Z238" s="2">
        <v>1</v>
      </c>
      <c r="AB238" s="3">
        <v>1</v>
      </c>
      <c r="AC238" s="2">
        <v>2</v>
      </c>
      <c r="AG238" s="2">
        <v>0</v>
      </c>
      <c r="AH238" s="2">
        <v>2</v>
      </c>
      <c r="AI238" s="2">
        <v>0</v>
      </c>
      <c r="AK238">
        <v>5472794</v>
      </c>
      <c r="AL238" t="s">
        <v>429</v>
      </c>
    </row>
    <row r="239" spans="1:38" x14ac:dyDescent="0.25">
      <c r="A239" s="1">
        <v>45799</v>
      </c>
      <c r="B239" s="1">
        <v>45792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588</v>
      </c>
      <c r="J239" t="s">
        <v>589</v>
      </c>
      <c r="M239" t="s">
        <v>520</v>
      </c>
      <c r="O239" t="s">
        <v>225</v>
      </c>
      <c r="P239" t="s">
        <v>226</v>
      </c>
      <c r="Q239" t="s">
        <v>49</v>
      </c>
      <c r="R239" t="s">
        <v>428</v>
      </c>
      <c r="S239" s="1">
        <v>45536</v>
      </c>
      <c r="T239" s="1">
        <v>45823</v>
      </c>
      <c r="U239" t="s">
        <v>51</v>
      </c>
      <c r="V239">
        <v>1</v>
      </c>
      <c r="W239" s="1">
        <v>45797</v>
      </c>
      <c r="X239" t="s">
        <v>52</v>
      </c>
      <c r="Y239" s="2">
        <v>1</v>
      </c>
      <c r="Z239" s="2">
        <v>1</v>
      </c>
      <c r="AB239" s="3">
        <v>1</v>
      </c>
      <c r="AC239" s="2">
        <v>2</v>
      </c>
      <c r="AG239" s="2">
        <v>0</v>
      </c>
      <c r="AH239" s="2">
        <v>2</v>
      </c>
      <c r="AI239" s="2">
        <v>0</v>
      </c>
      <c r="AK239">
        <v>5472808</v>
      </c>
      <c r="AL239" t="s">
        <v>429</v>
      </c>
    </row>
    <row r="240" spans="1:38" x14ac:dyDescent="0.25">
      <c r="A240" s="1">
        <v>45799</v>
      </c>
      <c r="B240" s="1">
        <v>45792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590</v>
      </c>
      <c r="J240" t="s">
        <v>591</v>
      </c>
      <c r="M240" t="s">
        <v>418</v>
      </c>
      <c r="O240" t="s">
        <v>360</v>
      </c>
      <c r="P240" t="s">
        <v>361</v>
      </c>
      <c r="Q240" t="s">
        <v>49</v>
      </c>
      <c r="R240" t="s">
        <v>428</v>
      </c>
      <c r="S240" s="1">
        <v>45566</v>
      </c>
      <c r="T240" s="1">
        <v>45823</v>
      </c>
      <c r="U240" t="s">
        <v>51</v>
      </c>
      <c r="V240">
        <v>1</v>
      </c>
      <c r="W240" s="1">
        <v>45797</v>
      </c>
      <c r="X240" t="s">
        <v>52</v>
      </c>
      <c r="Y240" s="2">
        <v>1</v>
      </c>
      <c r="Z240" s="2">
        <v>1</v>
      </c>
      <c r="AB240" s="3">
        <v>1</v>
      </c>
      <c r="AC240" s="2">
        <v>2</v>
      </c>
      <c r="AG240" s="2">
        <v>0</v>
      </c>
      <c r="AH240" s="2">
        <v>2</v>
      </c>
      <c r="AI240" s="2">
        <v>0</v>
      </c>
      <c r="AK240">
        <v>5472816</v>
      </c>
      <c r="AL240" t="s">
        <v>429</v>
      </c>
    </row>
    <row r="241" spans="1:38" x14ac:dyDescent="0.25">
      <c r="A241" s="1">
        <v>45799</v>
      </c>
      <c r="B241" s="1">
        <v>45792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592</v>
      </c>
      <c r="J241" t="s">
        <v>593</v>
      </c>
      <c r="M241" t="s">
        <v>464</v>
      </c>
      <c r="O241" t="s">
        <v>95</v>
      </c>
      <c r="P241" t="s">
        <v>96</v>
      </c>
      <c r="Q241" t="s">
        <v>49</v>
      </c>
      <c r="R241" t="s">
        <v>428</v>
      </c>
      <c r="S241" s="1">
        <v>45505</v>
      </c>
      <c r="T241" s="1">
        <v>45823</v>
      </c>
      <c r="U241" t="s">
        <v>51</v>
      </c>
      <c r="V241">
        <v>1</v>
      </c>
      <c r="W241" s="1">
        <v>45797</v>
      </c>
      <c r="X241" t="s">
        <v>52</v>
      </c>
      <c r="Y241" s="2">
        <v>1</v>
      </c>
      <c r="Z241" s="2">
        <v>1</v>
      </c>
      <c r="AB241" s="3">
        <v>1</v>
      </c>
      <c r="AC241" s="2">
        <v>2</v>
      </c>
      <c r="AG241" s="2">
        <v>0</v>
      </c>
      <c r="AH241" s="2">
        <v>2</v>
      </c>
      <c r="AI241" s="2">
        <v>0</v>
      </c>
      <c r="AK241">
        <v>5472820</v>
      </c>
      <c r="AL241" t="s">
        <v>429</v>
      </c>
    </row>
    <row r="242" spans="1:38" x14ac:dyDescent="0.25">
      <c r="A242" s="1">
        <v>45799</v>
      </c>
      <c r="B242" s="1">
        <v>45792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594</v>
      </c>
      <c r="J242" t="s">
        <v>595</v>
      </c>
      <c r="M242" t="s">
        <v>423</v>
      </c>
      <c r="O242" t="s">
        <v>372</v>
      </c>
      <c r="P242" t="s">
        <v>373</v>
      </c>
      <c r="Q242" t="s">
        <v>49</v>
      </c>
      <c r="R242" t="s">
        <v>428</v>
      </c>
      <c r="S242" s="1">
        <v>45536</v>
      </c>
      <c r="T242" s="1">
        <v>45823</v>
      </c>
      <c r="U242" t="s">
        <v>51</v>
      </c>
      <c r="V242">
        <v>1</v>
      </c>
      <c r="W242" s="1">
        <v>45797</v>
      </c>
      <c r="X242" t="s">
        <v>52</v>
      </c>
      <c r="Y242" s="2">
        <v>1</v>
      </c>
      <c r="Z242" s="2">
        <v>1</v>
      </c>
      <c r="AB242" s="3">
        <v>1</v>
      </c>
      <c r="AC242" s="2">
        <v>2</v>
      </c>
      <c r="AG242" s="2">
        <v>0</v>
      </c>
      <c r="AH242" s="2">
        <v>2</v>
      </c>
      <c r="AI242" s="2">
        <v>0</v>
      </c>
      <c r="AK242">
        <v>5472830</v>
      </c>
      <c r="AL242" t="s">
        <v>429</v>
      </c>
    </row>
    <row r="243" spans="1:38" x14ac:dyDescent="0.25">
      <c r="A243" s="1">
        <v>45799</v>
      </c>
      <c r="B243" s="1">
        <v>45792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596</v>
      </c>
      <c r="J243" t="s">
        <v>597</v>
      </c>
      <c r="M243" t="s">
        <v>418</v>
      </c>
      <c r="O243" t="s">
        <v>598</v>
      </c>
      <c r="P243" t="s">
        <v>599</v>
      </c>
      <c r="Q243" t="s">
        <v>49</v>
      </c>
      <c r="R243" t="s">
        <v>440</v>
      </c>
      <c r="S243" s="1">
        <v>45536</v>
      </c>
      <c r="T243" s="1">
        <v>45823</v>
      </c>
      <c r="U243" t="s">
        <v>51</v>
      </c>
      <c r="V243">
        <v>1</v>
      </c>
      <c r="W243" s="1">
        <v>45797</v>
      </c>
      <c r="X243" t="s">
        <v>52</v>
      </c>
      <c r="Y243" s="2">
        <v>1</v>
      </c>
      <c r="Z243" s="2">
        <v>1</v>
      </c>
      <c r="AB243" s="3">
        <v>1</v>
      </c>
      <c r="AC243" s="2">
        <v>2</v>
      </c>
      <c r="AG243" s="2">
        <v>0</v>
      </c>
      <c r="AH243" s="2">
        <v>2</v>
      </c>
      <c r="AI243" s="2">
        <v>0</v>
      </c>
      <c r="AK243">
        <v>5472838</v>
      </c>
      <c r="AL243" t="s">
        <v>429</v>
      </c>
    </row>
    <row r="244" spans="1:38" x14ac:dyDescent="0.25">
      <c r="A244" s="1">
        <v>45799</v>
      </c>
      <c r="B244" s="1">
        <v>45792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600</v>
      </c>
      <c r="J244" t="s">
        <v>601</v>
      </c>
      <c r="M244" t="s">
        <v>418</v>
      </c>
      <c r="O244" t="s">
        <v>380</v>
      </c>
      <c r="P244" t="s">
        <v>381</v>
      </c>
      <c r="Q244" t="s">
        <v>49</v>
      </c>
      <c r="R244" t="s">
        <v>428</v>
      </c>
      <c r="S244" s="1">
        <v>45566</v>
      </c>
      <c r="T244" s="1">
        <v>45823</v>
      </c>
      <c r="U244" t="s">
        <v>51</v>
      </c>
      <c r="V244">
        <v>1</v>
      </c>
      <c r="W244" s="1">
        <v>45797</v>
      </c>
      <c r="X244" t="s">
        <v>52</v>
      </c>
      <c r="Y244" s="2">
        <v>1</v>
      </c>
      <c r="Z244" s="2">
        <v>1</v>
      </c>
      <c r="AB244" s="3">
        <v>1</v>
      </c>
      <c r="AC244" s="2">
        <v>2</v>
      </c>
      <c r="AG244" s="2">
        <v>0</v>
      </c>
      <c r="AH244" s="2">
        <v>2</v>
      </c>
      <c r="AI244" s="2">
        <v>0</v>
      </c>
      <c r="AK244">
        <v>5472840</v>
      </c>
      <c r="AL244" t="s">
        <v>429</v>
      </c>
    </row>
    <row r="245" spans="1:38" x14ac:dyDescent="0.25">
      <c r="A245" s="1">
        <v>45799</v>
      </c>
      <c r="B245" s="1">
        <v>45792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602</v>
      </c>
      <c r="J245" t="s">
        <v>603</v>
      </c>
      <c r="M245" t="s">
        <v>423</v>
      </c>
      <c r="O245" t="s">
        <v>372</v>
      </c>
      <c r="P245" t="s">
        <v>373</v>
      </c>
      <c r="Q245" t="s">
        <v>49</v>
      </c>
      <c r="R245" t="s">
        <v>428</v>
      </c>
      <c r="S245" s="1">
        <v>45536</v>
      </c>
      <c r="T245" s="1">
        <v>45823</v>
      </c>
      <c r="U245" t="s">
        <v>51</v>
      </c>
      <c r="V245">
        <v>1</v>
      </c>
      <c r="W245" s="1">
        <v>45797</v>
      </c>
      <c r="X245" t="s">
        <v>52</v>
      </c>
      <c r="Y245" s="2">
        <v>1</v>
      </c>
      <c r="Z245" s="2">
        <v>1</v>
      </c>
      <c r="AB245" s="3">
        <v>1</v>
      </c>
      <c r="AC245" s="2">
        <v>2</v>
      </c>
      <c r="AG245" s="2">
        <v>0</v>
      </c>
      <c r="AH245" s="2">
        <v>2</v>
      </c>
      <c r="AI245" s="2">
        <v>0</v>
      </c>
      <c r="AK245">
        <v>5472845</v>
      </c>
      <c r="AL245" t="s">
        <v>429</v>
      </c>
    </row>
    <row r="246" spans="1:38" x14ac:dyDescent="0.25">
      <c r="A246" s="1">
        <v>45799</v>
      </c>
      <c r="B246" s="1">
        <v>45792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604</v>
      </c>
      <c r="J246" t="s">
        <v>605</v>
      </c>
      <c r="M246" t="s">
        <v>423</v>
      </c>
      <c r="O246" t="s">
        <v>480</v>
      </c>
      <c r="P246" t="s">
        <v>481</v>
      </c>
      <c r="Q246" t="s">
        <v>49</v>
      </c>
      <c r="R246" t="s">
        <v>428</v>
      </c>
      <c r="S246" s="1">
        <v>45566</v>
      </c>
      <c r="T246" s="1">
        <v>45823</v>
      </c>
      <c r="U246" t="s">
        <v>51</v>
      </c>
      <c r="V246">
        <v>1</v>
      </c>
      <c r="W246" s="1">
        <v>45797</v>
      </c>
      <c r="X246" t="s">
        <v>52</v>
      </c>
      <c r="Y246" s="2">
        <v>1</v>
      </c>
      <c r="Z246" s="2">
        <v>1</v>
      </c>
      <c r="AB246" s="3">
        <v>1</v>
      </c>
      <c r="AC246" s="2">
        <v>2</v>
      </c>
      <c r="AG246" s="2">
        <v>0</v>
      </c>
      <c r="AH246" s="2">
        <v>2</v>
      </c>
      <c r="AI246" s="2">
        <v>0</v>
      </c>
      <c r="AK246">
        <v>5472856</v>
      </c>
      <c r="AL246" t="s">
        <v>429</v>
      </c>
    </row>
    <row r="247" spans="1:38" x14ac:dyDescent="0.25">
      <c r="A247" s="1">
        <v>45799</v>
      </c>
      <c r="B247" s="1">
        <v>45792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606</v>
      </c>
      <c r="J247" t="s">
        <v>607</v>
      </c>
      <c r="M247" t="s">
        <v>418</v>
      </c>
      <c r="O247" t="s">
        <v>125</v>
      </c>
      <c r="P247" t="s">
        <v>126</v>
      </c>
      <c r="Q247" t="s">
        <v>49</v>
      </c>
      <c r="R247" t="s">
        <v>428</v>
      </c>
      <c r="S247" s="1">
        <v>45566</v>
      </c>
      <c r="T247" s="1">
        <v>45823</v>
      </c>
      <c r="U247" t="s">
        <v>51</v>
      </c>
      <c r="V247">
        <v>1</v>
      </c>
      <c r="W247" s="1">
        <v>45797</v>
      </c>
      <c r="X247" t="s">
        <v>52</v>
      </c>
      <c r="Y247" s="2">
        <v>1</v>
      </c>
      <c r="Z247" s="2">
        <v>1</v>
      </c>
      <c r="AB247" s="3">
        <v>1</v>
      </c>
      <c r="AC247" s="2">
        <v>2</v>
      </c>
      <c r="AG247" s="2">
        <v>0</v>
      </c>
      <c r="AH247" s="2">
        <v>2</v>
      </c>
      <c r="AI247" s="2">
        <v>0</v>
      </c>
      <c r="AK247">
        <v>5472858</v>
      </c>
      <c r="AL247" t="s">
        <v>429</v>
      </c>
    </row>
    <row r="248" spans="1:38" x14ac:dyDescent="0.25">
      <c r="A248" s="1">
        <v>45799</v>
      </c>
      <c r="B248" s="1">
        <v>45792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608</v>
      </c>
      <c r="J248" t="s">
        <v>609</v>
      </c>
      <c r="M248" t="s">
        <v>610</v>
      </c>
      <c r="O248" t="s">
        <v>95</v>
      </c>
      <c r="P248" t="s">
        <v>96</v>
      </c>
      <c r="Q248" t="s">
        <v>49</v>
      </c>
      <c r="R248" t="s">
        <v>428</v>
      </c>
      <c r="S248" s="1">
        <v>45536</v>
      </c>
      <c r="T248" s="1">
        <v>45823</v>
      </c>
      <c r="U248" t="s">
        <v>51</v>
      </c>
      <c r="V248">
        <v>1</v>
      </c>
      <c r="W248" s="1">
        <v>45797</v>
      </c>
      <c r="X248" t="s">
        <v>52</v>
      </c>
      <c r="Y248" s="2">
        <v>1</v>
      </c>
      <c r="Z248" s="2">
        <v>1</v>
      </c>
      <c r="AB248" s="3">
        <v>1</v>
      </c>
      <c r="AC248" s="2">
        <v>2</v>
      </c>
      <c r="AG248" s="2">
        <v>0</v>
      </c>
      <c r="AH248" s="2">
        <v>2</v>
      </c>
      <c r="AI248" s="2">
        <v>0</v>
      </c>
      <c r="AK248">
        <v>5472859</v>
      </c>
      <c r="AL248" t="s">
        <v>429</v>
      </c>
    </row>
    <row r="249" spans="1:38" x14ac:dyDescent="0.25">
      <c r="A249" s="1">
        <v>45799</v>
      </c>
      <c r="B249" s="1">
        <v>45792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611</v>
      </c>
      <c r="J249" t="s">
        <v>612</v>
      </c>
      <c r="M249" t="s">
        <v>423</v>
      </c>
      <c r="O249" t="s">
        <v>372</v>
      </c>
      <c r="P249" t="s">
        <v>373</v>
      </c>
      <c r="Q249" t="s">
        <v>49</v>
      </c>
      <c r="R249" t="s">
        <v>428</v>
      </c>
      <c r="S249" s="1">
        <v>45597</v>
      </c>
      <c r="T249" s="1">
        <v>45823</v>
      </c>
      <c r="U249" t="s">
        <v>51</v>
      </c>
      <c r="V249">
        <v>1</v>
      </c>
      <c r="W249" s="1">
        <v>45797</v>
      </c>
      <c r="X249" t="s">
        <v>52</v>
      </c>
      <c r="Y249" s="2">
        <v>1</v>
      </c>
      <c r="Z249" s="2">
        <v>1</v>
      </c>
      <c r="AB249" s="3">
        <v>1</v>
      </c>
      <c r="AC249" s="2">
        <v>2</v>
      </c>
      <c r="AG249" s="2">
        <v>0</v>
      </c>
      <c r="AH249" s="2">
        <v>2</v>
      </c>
      <c r="AI249" s="2">
        <v>0</v>
      </c>
      <c r="AK249">
        <v>5472873</v>
      </c>
      <c r="AL249" t="s">
        <v>429</v>
      </c>
    </row>
    <row r="250" spans="1:38" x14ac:dyDescent="0.25">
      <c r="A250" s="1">
        <v>45799</v>
      </c>
      <c r="B250" s="1">
        <v>45792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613</v>
      </c>
      <c r="J250" t="s">
        <v>614</v>
      </c>
      <c r="M250" t="s">
        <v>423</v>
      </c>
      <c r="O250" t="s">
        <v>372</v>
      </c>
      <c r="P250" t="s">
        <v>373</v>
      </c>
      <c r="Q250" t="s">
        <v>49</v>
      </c>
      <c r="R250" t="s">
        <v>428</v>
      </c>
      <c r="S250" s="1">
        <v>45536</v>
      </c>
      <c r="T250" s="1">
        <v>45823</v>
      </c>
      <c r="U250" t="s">
        <v>51</v>
      </c>
      <c r="V250">
        <v>1</v>
      </c>
      <c r="W250" s="1">
        <v>45797</v>
      </c>
      <c r="X250" t="s">
        <v>52</v>
      </c>
      <c r="Y250" s="2">
        <v>1</v>
      </c>
      <c r="Z250" s="2">
        <v>1</v>
      </c>
      <c r="AB250" s="3">
        <v>1</v>
      </c>
      <c r="AC250" s="2">
        <v>2</v>
      </c>
      <c r="AG250" s="2">
        <v>0</v>
      </c>
      <c r="AH250" s="2">
        <v>2</v>
      </c>
      <c r="AI250" s="2">
        <v>0</v>
      </c>
      <c r="AK250">
        <v>5472875</v>
      </c>
      <c r="AL250" t="s">
        <v>429</v>
      </c>
    </row>
    <row r="251" spans="1:38" x14ac:dyDescent="0.25">
      <c r="A251" s="1">
        <v>45799</v>
      </c>
      <c r="B251" s="1">
        <v>45792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615</v>
      </c>
      <c r="J251" t="s">
        <v>616</v>
      </c>
      <c r="M251" t="s">
        <v>423</v>
      </c>
      <c r="O251" t="s">
        <v>41</v>
      </c>
      <c r="P251" t="s">
        <v>43</v>
      </c>
      <c r="Q251" t="s">
        <v>49</v>
      </c>
      <c r="R251" t="s">
        <v>428</v>
      </c>
      <c r="S251" s="1">
        <v>45536</v>
      </c>
      <c r="T251" s="1">
        <v>45823</v>
      </c>
      <c r="U251" t="s">
        <v>51</v>
      </c>
      <c r="V251">
        <v>1</v>
      </c>
      <c r="W251" s="1">
        <v>45797</v>
      </c>
      <c r="X251" t="s">
        <v>52</v>
      </c>
      <c r="Y251" s="2">
        <v>1</v>
      </c>
      <c r="Z251" s="2">
        <v>1</v>
      </c>
      <c r="AB251" s="3">
        <v>1</v>
      </c>
      <c r="AC251" s="2">
        <v>2</v>
      </c>
      <c r="AG251" s="2">
        <v>0</v>
      </c>
      <c r="AH251" s="2">
        <v>2</v>
      </c>
      <c r="AI251" s="2">
        <v>0</v>
      </c>
      <c r="AK251">
        <v>5472884</v>
      </c>
      <c r="AL251" t="s">
        <v>429</v>
      </c>
    </row>
    <row r="252" spans="1:38" x14ac:dyDescent="0.25">
      <c r="A252" s="1">
        <v>45799</v>
      </c>
      <c r="B252" s="1">
        <v>45792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617</v>
      </c>
      <c r="J252" t="s">
        <v>618</v>
      </c>
      <c r="M252" t="s">
        <v>423</v>
      </c>
      <c r="O252" t="s">
        <v>372</v>
      </c>
      <c r="P252" t="s">
        <v>373</v>
      </c>
      <c r="Q252" t="s">
        <v>49</v>
      </c>
      <c r="R252" t="s">
        <v>428</v>
      </c>
      <c r="S252" s="1">
        <v>45566</v>
      </c>
      <c r="T252" s="1">
        <v>45823</v>
      </c>
      <c r="U252" t="s">
        <v>51</v>
      </c>
      <c r="V252">
        <v>1</v>
      </c>
      <c r="W252" s="1">
        <v>45797</v>
      </c>
      <c r="X252" t="s">
        <v>52</v>
      </c>
      <c r="Y252" s="2">
        <v>1</v>
      </c>
      <c r="Z252" s="2">
        <v>1</v>
      </c>
      <c r="AB252" s="3">
        <v>1</v>
      </c>
      <c r="AC252" s="2">
        <v>2</v>
      </c>
      <c r="AG252" s="2">
        <v>0</v>
      </c>
      <c r="AH252" s="2">
        <v>2</v>
      </c>
      <c r="AI252" s="2">
        <v>0</v>
      </c>
      <c r="AK252">
        <v>5472912</v>
      </c>
      <c r="AL252" t="s">
        <v>429</v>
      </c>
    </row>
    <row r="253" spans="1:38" x14ac:dyDescent="0.25">
      <c r="A253" s="1">
        <v>45799</v>
      </c>
      <c r="B253" s="1">
        <v>45792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619</v>
      </c>
      <c r="J253" t="s">
        <v>620</v>
      </c>
      <c r="M253" t="s">
        <v>423</v>
      </c>
      <c r="O253" t="s">
        <v>372</v>
      </c>
      <c r="P253" t="s">
        <v>373</v>
      </c>
      <c r="Q253" t="s">
        <v>49</v>
      </c>
      <c r="R253" t="s">
        <v>428</v>
      </c>
      <c r="S253" s="1">
        <v>45536</v>
      </c>
      <c r="T253" s="1">
        <v>45823</v>
      </c>
      <c r="U253" t="s">
        <v>51</v>
      </c>
      <c r="V253">
        <v>1</v>
      </c>
      <c r="W253" s="1">
        <v>45797</v>
      </c>
      <c r="X253" t="s">
        <v>52</v>
      </c>
      <c r="Y253" s="2">
        <v>1</v>
      </c>
      <c r="Z253" s="2">
        <v>1</v>
      </c>
      <c r="AB253" s="3">
        <v>1</v>
      </c>
      <c r="AC253" s="2">
        <v>2</v>
      </c>
      <c r="AG253" s="2">
        <v>0</v>
      </c>
      <c r="AH253" s="2">
        <v>2</v>
      </c>
      <c r="AI253" s="2">
        <v>0</v>
      </c>
      <c r="AK253">
        <v>5472914</v>
      </c>
      <c r="AL253" t="s">
        <v>429</v>
      </c>
    </row>
    <row r="254" spans="1:38" x14ac:dyDescent="0.25">
      <c r="A254" s="1">
        <v>45799</v>
      </c>
      <c r="B254" s="1">
        <v>45792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621</v>
      </c>
      <c r="J254" t="s">
        <v>622</v>
      </c>
      <c r="M254" t="s">
        <v>418</v>
      </c>
      <c r="O254" t="s">
        <v>380</v>
      </c>
      <c r="P254" t="s">
        <v>381</v>
      </c>
      <c r="Q254" t="s">
        <v>49</v>
      </c>
      <c r="R254" t="s">
        <v>428</v>
      </c>
      <c r="S254" s="1">
        <v>45566</v>
      </c>
      <c r="T254" s="1">
        <v>45823</v>
      </c>
      <c r="U254" t="s">
        <v>51</v>
      </c>
      <c r="V254">
        <v>1</v>
      </c>
      <c r="W254" s="1">
        <v>45797</v>
      </c>
      <c r="X254" t="s">
        <v>52</v>
      </c>
      <c r="Y254" s="2">
        <v>1</v>
      </c>
      <c r="Z254" s="2">
        <v>1</v>
      </c>
      <c r="AB254" s="3">
        <v>1</v>
      </c>
      <c r="AC254" s="2">
        <v>2</v>
      </c>
      <c r="AG254" s="2">
        <v>0</v>
      </c>
      <c r="AH254" s="2">
        <v>2</v>
      </c>
      <c r="AI254" s="2">
        <v>0</v>
      </c>
      <c r="AK254">
        <v>5472923</v>
      </c>
      <c r="AL254" t="s">
        <v>429</v>
      </c>
    </row>
    <row r="255" spans="1:38" x14ac:dyDescent="0.25">
      <c r="A255" s="1">
        <v>45799</v>
      </c>
      <c r="B255" s="1">
        <v>45792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623</v>
      </c>
      <c r="J255" t="s">
        <v>624</v>
      </c>
      <c r="M255" t="s">
        <v>625</v>
      </c>
      <c r="O255" t="s">
        <v>95</v>
      </c>
      <c r="P255" t="s">
        <v>96</v>
      </c>
      <c r="Q255" t="s">
        <v>49</v>
      </c>
      <c r="R255" t="s">
        <v>428</v>
      </c>
      <c r="S255" s="1">
        <v>45597</v>
      </c>
      <c r="T255" s="1">
        <v>45823</v>
      </c>
      <c r="U255" t="s">
        <v>51</v>
      </c>
      <c r="V255">
        <v>1</v>
      </c>
      <c r="W255" s="1">
        <v>45797</v>
      </c>
      <c r="X255" t="s">
        <v>52</v>
      </c>
      <c r="Y255" s="2">
        <v>1</v>
      </c>
      <c r="Z255" s="2">
        <v>1</v>
      </c>
      <c r="AB255" s="3">
        <v>1</v>
      </c>
      <c r="AC255" s="2">
        <v>2</v>
      </c>
      <c r="AG255" s="2">
        <v>0</v>
      </c>
      <c r="AH255" s="2">
        <v>2</v>
      </c>
      <c r="AI255" s="2">
        <v>0</v>
      </c>
      <c r="AK255">
        <v>5472926</v>
      </c>
      <c r="AL255" t="s">
        <v>429</v>
      </c>
    </row>
    <row r="256" spans="1:38" x14ac:dyDescent="0.25">
      <c r="A256" s="1">
        <v>45799</v>
      </c>
      <c r="B256" s="1">
        <v>45792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626</v>
      </c>
      <c r="J256" t="s">
        <v>627</v>
      </c>
      <c r="M256" t="s">
        <v>423</v>
      </c>
      <c r="O256" t="s">
        <v>372</v>
      </c>
      <c r="P256" t="s">
        <v>373</v>
      </c>
      <c r="Q256" t="s">
        <v>49</v>
      </c>
      <c r="R256" t="s">
        <v>428</v>
      </c>
      <c r="S256" s="1">
        <v>45536</v>
      </c>
      <c r="T256" s="1">
        <v>45823</v>
      </c>
      <c r="U256" t="s">
        <v>51</v>
      </c>
      <c r="V256">
        <v>1</v>
      </c>
      <c r="W256" s="1">
        <v>45797</v>
      </c>
      <c r="X256" t="s">
        <v>52</v>
      </c>
      <c r="Y256" s="2">
        <v>1</v>
      </c>
      <c r="Z256" s="2">
        <v>1</v>
      </c>
      <c r="AB256" s="3">
        <v>1</v>
      </c>
      <c r="AC256" s="2">
        <v>2</v>
      </c>
      <c r="AG256" s="2">
        <v>0</v>
      </c>
      <c r="AH256" s="2">
        <v>2</v>
      </c>
      <c r="AI256" s="2">
        <v>0</v>
      </c>
      <c r="AK256">
        <v>5472928</v>
      </c>
      <c r="AL256" t="s">
        <v>429</v>
      </c>
    </row>
    <row r="257" spans="1:38" x14ac:dyDescent="0.25">
      <c r="A257" s="1">
        <v>45799</v>
      </c>
      <c r="B257" s="1">
        <v>45792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628</v>
      </c>
      <c r="J257" t="s">
        <v>629</v>
      </c>
      <c r="M257" t="s">
        <v>423</v>
      </c>
      <c r="O257" t="s">
        <v>372</v>
      </c>
      <c r="P257" t="s">
        <v>373</v>
      </c>
      <c r="Q257" t="s">
        <v>49</v>
      </c>
      <c r="R257" t="s">
        <v>428</v>
      </c>
      <c r="S257" s="1">
        <v>45597</v>
      </c>
      <c r="T257" s="1">
        <v>45823</v>
      </c>
      <c r="U257" t="s">
        <v>51</v>
      </c>
      <c r="V257">
        <v>1</v>
      </c>
      <c r="W257" s="1">
        <v>45797</v>
      </c>
      <c r="X257" t="s">
        <v>52</v>
      </c>
      <c r="Y257" s="2">
        <v>1</v>
      </c>
      <c r="Z257" s="2">
        <v>1</v>
      </c>
      <c r="AB257" s="3">
        <v>1</v>
      </c>
      <c r="AC257" s="2">
        <v>2</v>
      </c>
      <c r="AG257" s="2">
        <v>0</v>
      </c>
      <c r="AH257" s="2">
        <v>2</v>
      </c>
      <c r="AI257" s="2">
        <v>0</v>
      </c>
      <c r="AK257">
        <v>5472933</v>
      </c>
      <c r="AL257" t="s">
        <v>429</v>
      </c>
    </row>
    <row r="258" spans="1:38" x14ac:dyDescent="0.25">
      <c r="A258" s="1">
        <v>45799</v>
      </c>
      <c r="B258" s="1">
        <v>45792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630</v>
      </c>
      <c r="J258" t="s">
        <v>631</v>
      </c>
      <c r="M258" t="s">
        <v>418</v>
      </c>
      <c r="O258" t="s">
        <v>225</v>
      </c>
      <c r="P258" t="s">
        <v>226</v>
      </c>
      <c r="Q258" t="s">
        <v>49</v>
      </c>
      <c r="R258" t="s">
        <v>440</v>
      </c>
      <c r="S258" s="1">
        <v>45536</v>
      </c>
      <c r="T258" s="1">
        <v>45823</v>
      </c>
      <c r="U258" t="s">
        <v>51</v>
      </c>
      <c r="V258">
        <v>1</v>
      </c>
      <c r="W258" s="1">
        <v>45797</v>
      </c>
      <c r="X258" t="s">
        <v>52</v>
      </c>
      <c r="Y258" s="2">
        <v>1</v>
      </c>
      <c r="Z258" s="2">
        <v>1</v>
      </c>
      <c r="AB258" s="3">
        <v>1</v>
      </c>
      <c r="AC258" s="2">
        <v>2</v>
      </c>
      <c r="AG258" s="2">
        <v>0</v>
      </c>
      <c r="AH258" s="2">
        <v>2</v>
      </c>
      <c r="AI258" s="2">
        <v>0</v>
      </c>
      <c r="AK258">
        <v>5472934</v>
      </c>
      <c r="AL258" t="s">
        <v>429</v>
      </c>
    </row>
    <row r="259" spans="1:38" x14ac:dyDescent="0.25">
      <c r="A259" s="1">
        <v>45799</v>
      </c>
      <c r="B259" s="1">
        <v>45792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632</v>
      </c>
      <c r="J259" t="s">
        <v>633</v>
      </c>
      <c r="M259" t="s">
        <v>634</v>
      </c>
      <c r="O259" t="s">
        <v>95</v>
      </c>
      <c r="P259" t="s">
        <v>96</v>
      </c>
      <c r="Q259" t="s">
        <v>49</v>
      </c>
      <c r="R259" t="s">
        <v>428</v>
      </c>
      <c r="S259" s="1">
        <v>45536</v>
      </c>
      <c r="T259" s="1">
        <v>45823</v>
      </c>
      <c r="U259" t="s">
        <v>51</v>
      </c>
      <c r="V259">
        <v>1</v>
      </c>
      <c r="W259" s="1">
        <v>45797</v>
      </c>
      <c r="X259" t="s">
        <v>52</v>
      </c>
      <c r="Y259" s="2">
        <v>1</v>
      </c>
      <c r="Z259" s="2">
        <v>1</v>
      </c>
      <c r="AB259" s="3">
        <v>1</v>
      </c>
      <c r="AC259" s="2">
        <v>2</v>
      </c>
      <c r="AG259" s="2">
        <v>0</v>
      </c>
      <c r="AH259" s="2">
        <v>2</v>
      </c>
      <c r="AI259" s="2">
        <v>0</v>
      </c>
      <c r="AK259">
        <v>5472935</v>
      </c>
      <c r="AL259" t="s">
        <v>429</v>
      </c>
    </row>
    <row r="260" spans="1:38" x14ac:dyDescent="0.25">
      <c r="A260" s="1">
        <v>45799</v>
      </c>
      <c r="B260" s="1">
        <v>45792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635</v>
      </c>
      <c r="J260" t="s">
        <v>636</v>
      </c>
      <c r="M260" t="s">
        <v>418</v>
      </c>
      <c r="O260" t="s">
        <v>380</v>
      </c>
      <c r="P260" t="s">
        <v>381</v>
      </c>
      <c r="Q260" t="s">
        <v>49</v>
      </c>
      <c r="R260" t="s">
        <v>428</v>
      </c>
      <c r="S260" s="1">
        <v>45597</v>
      </c>
      <c r="T260" s="1">
        <v>45823</v>
      </c>
      <c r="U260" t="s">
        <v>51</v>
      </c>
      <c r="V260">
        <v>1</v>
      </c>
      <c r="W260" s="1">
        <v>45797</v>
      </c>
      <c r="X260" t="s">
        <v>52</v>
      </c>
      <c r="Y260" s="2">
        <v>1</v>
      </c>
      <c r="Z260" s="2">
        <v>1</v>
      </c>
      <c r="AB260" s="3">
        <v>1</v>
      </c>
      <c r="AC260" s="2">
        <v>2</v>
      </c>
      <c r="AG260" s="2">
        <v>0</v>
      </c>
      <c r="AH260" s="2">
        <v>2</v>
      </c>
      <c r="AI260" s="2">
        <v>0</v>
      </c>
      <c r="AK260">
        <v>5472938</v>
      </c>
      <c r="AL260" t="s">
        <v>429</v>
      </c>
    </row>
    <row r="261" spans="1:38" x14ac:dyDescent="0.25">
      <c r="A261" s="1">
        <v>45799</v>
      </c>
      <c r="B261" s="1">
        <v>45792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637</v>
      </c>
      <c r="J261" t="s">
        <v>638</v>
      </c>
      <c r="M261" t="s">
        <v>423</v>
      </c>
      <c r="O261" t="s">
        <v>480</v>
      </c>
      <c r="P261" t="s">
        <v>481</v>
      </c>
      <c r="Q261" t="s">
        <v>49</v>
      </c>
      <c r="R261" t="s">
        <v>428</v>
      </c>
      <c r="S261" s="1">
        <v>45566</v>
      </c>
      <c r="T261" s="1">
        <v>45823</v>
      </c>
      <c r="U261" t="s">
        <v>51</v>
      </c>
      <c r="V261">
        <v>1</v>
      </c>
      <c r="W261" s="1">
        <v>45797</v>
      </c>
      <c r="X261" t="s">
        <v>52</v>
      </c>
      <c r="Y261" s="2">
        <v>1</v>
      </c>
      <c r="Z261" s="2">
        <v>1</v>
      </c>
      <c r="AB261" s="3">
        <v>1</v>
      </c>
      <c r="AC261" s="2">
        <v>2</v>
      </c>
      <c r="AG261" s="2">
        <v>0</v>
      </c>
      <c r="AH261" s="2">
        <v>2</v>
      </c>
      <c r="AI261" s="2">
        <v>0</v>
      </c>
      <c r="AK261">
        <v>5472941</v>
      </c>
      <c r="AL261" t="s">
        <v>429</v>
      </c>
    </row>
    <row r="262" spans="1:38" x14ac:dyDescent="0.25">
      <c r="A262" s="1">
        <v>45799</v>
      </c>
      <c r="B262" s="1">
        <v>45792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639</v>
      </c>
      <c r="J262" t="s">
        <v>640</v>
      </c>
      <c r="M262" t="s">
        <v>423</v>
      </c>
      <c r="O262" t="s">
        <v>480</v>
      </c>
      <c r="P262" t="s">
        <v>481</v>
      </c>
      <c r="Q262" t="s">
        <v>49</v>
      </c>
      <c r="R262" t="s">
        <v>428</v>
      </c>
      <c r="S262" s="1">
        <v>45566</v>
      </c>
      <c r="T262" s="1">
        <v>45823</v>
      </c>
      <c r="U262" t="s">
        <v>51</v>
      </c>
      <c r="V262">
        <v>1</v>
      </c>
      <c r="W262" s="1">
        <v>45797</v>
      </c>
      <c r="X262" t="s">
        <v>52</v>
      </c>
      <c r="Y262" s="2">
        <v>1</v>
      </c>
      <c r="Z262" s="2">
        <v>1</v>
      </c>
      <c r="AB262" s="3">
        <v>1</v>
      </c>
      <c r="AC262" s="2">
        <v>2</v>
      </c>
      <c r="AG262" s="2">
        <v>0</v>
      </c>
      <c r="AH262" s="2">
        <v>2</v>
      </c>
      <c r="AI262" s="2">
        <v>0</v>
      </c>
      <c r="AK262">
        <v>5472942</v>
      </c>
      <c r="AL262" t="s">
        <v>429</v>
      </c>
    </row>
    <row r="263" spans="1:38" x14ac:dyDescent="0.25">
      <c r="A263" s="1">
        <v>45799</v>
      </c>
      <c r="B263" s="1">
        <v>45792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641</v>
      </c>
      <c r="J263" t="s">
        <v>642</v>
      </c>
      <c r="M263" t="s">
        <v>558</v>
      </c>
      <c r="O263" t="s">
        <v>95</v>
      </c>
      <c r="P263" t="s">
        <v>96</v>
      </c>
      <c r="Q263" t="s">
        <v>49</v>
      </c>
      <c r="R263" t="s">
        <v>440</v>
      </c>
      <c r="S263" s="1">
        <v>45536</v>
      </c>
      <c r="T263" s="1">
        <v>45823</v>
      </c>
      <c r="U263" t="s">
        <v>51</v>
      </c>
      <c r="V263">
        <v>1</v>
      </c>
      <c r="W263" s="1">
        <v>45797</v>
      </c>
      <c r="X263" t="s">
        <v>52</v>
      </c>
      <c r="Y263" s="2">
        <v>1</v>
      </c>
      <c r="Z263" s="2">
        <v>1</v>
      </c>
      <c r="AB263" s="3">
        <v>1</v>
      </c>
      <c r="AC263" s="2">
        <v>2</v>
      </c>
      <c r="AG263" s="2">
        <v>0</v>
      </c>
      <c r="AH263" s="2">
        <v>2</v>
      </c>
      <c r="AI263" s="2">
        <v>0</v>
      </c>
      <c r="AK263">
        <v>5472944</v>
      </c>
      <c r="AL263" t="s">
        <v>429</v>
      </c>
    </row>
    <row r="264" spans="1:38" x14ac:dyDescent="0.25">
      <c r="A264" s="1">
        <v>45799</v>
      </c>
      <c r="B264" s="1">
        <v>45792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643</v>
      </c>
      <c r="J264" t="s">
        <v>644</v>
      </c>
      <c r="M264" t="s">
        <v>457</v>
      </c>
      <c r="O264" t="s">
        <v>95</v>
      </c>
      <c r="P264" t="s">
        <v>96</v>
      </c>
      <c r="Q264" t="s">
        <v>49</v>
      </c>
      <c r="R264" t="s">
        <v>428</v>
      </c>
      <c r="S264" s="1">
        <v>45536</v>
      </c>
      <c r="T264" s="1">
        <v>45823</v>
      </c>
      <c r="U264" t="s">
        <v>51</v>
      </c>
      <c r="V264">
        <v>1</v>
      </c>
      <c r="W264" s="1">
        <v>45797</v>
      </c>
      <c r="X264" t="s">
        <v>52</v>
      </c>
      <c r="Y264" s="2">
        <v>1</v>
      </c>
      <c r="Z264" s="2">
        <v>1</v>
      </c>
      <c r="AB264" s="3">
        <v>1</v>
      </c>
      <c r="AC264" s="2">
        <v>2</v>
      </c>
      <c r="AG264" s="2">
        <v>0</v>
      </c>
      <c r="AH264" s="2">
        <v>2</v>
      </c>
      <c r="AI264" s="2">
        <v>0</v>
      </c>
      <c r="AK264">
        <v>5472945</v>
      </c>
      <c r="AL264" t="s">
        <v>429</v>
      </c>
    </row>
    <row r="265" spans="1:38" x14ac:dyDescent="0.25">
      <c r="A265" s="1">
        <v>45799</v>
      </c>
      <c r="B265" s="1">
        <v>45792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645</v>
      </c>
      <c r="J265" t="s">
        <v>646</v>
      </c>
      <c r="M265" t="s">
        <v>418</v>
      </c>
      <c r="O265" t="s">
        <v>647</v>
      </c>
      <c r="P265" t="s">
        <v>648</v>
      </c>
      <c r="Q265" t="s">
        <v>49</v>
      </c>
      <c r="R265" t="s">
        <v>428</v>
      </c>
      <c r="S265" s="1">
        <v>45566</v>
      </c>
      <c r="T265" s="1">
        <v>45823</v>
      </c>
      <c r="U265" t="s">
        <v>51</v>
      </c>
      <c r="V265">
        <v>1</v>
      </c>
      <c r="W265" s="1">
        <v>45797</v>
      </c>
      <c r="X265" t="s">
        <v>52</v>
      </c>
      <c r="Y265" s="2">
        <v>1</v>
      </c>
      <c r="Z265" s="2">
        <v>1</v>
      </c>
      <c r="AB265" s="3">
        <v>1</v>
      </c>
      <c r="AC265" s="2">
        <v>2</v>
      </c>
      <c r="AG265" s="2">
        <v>0</v>
      </c>
      <c r="AH265" s="2">
        <v>2</v>
      </c>
      <c r="AI265" s="2">
        <v>0</v>
      </c>
      <c r="AK265">
        <v>5472960</v>
      </c>
      <c r="AL265" t="s">
        <v>429</v>
      </c>
    </row>
    <row r="266" spans="1:38" x14ac:dyDescent="0.25">
      <c r="A266" s="1">
        <v>45799</v>
      </c>
      <c r="B266" s="1">
        <v>45792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649</v>
      </c>
      <c r="J266" t="s">
        <v>650</v>
      </c>
      <c r="M266" t="s">
        <v>423</v>
      </c>
      <c r="O266" t="s">
        <v>480</v>
      </c>
      <c r="P266" t="s">
        <v>481</v>
      </c>
      <c r="Q266" t="s">
        <v>49</v>
      </c>
      <c r="R266" t="s">
        <v>428</v>
      </c>
      <c r="S266" s="1">
        <v>45536</v>
      </c>
      <c r="T266" s="1">
        <v>45823</v>
      </c>
      <c r="U266" t="s">
        <v>51</v>
      </c>
      <c r="V266">
        <v>1</v>
      </c>
      <c r="W266" s="1">
        <v>45797</v>
      </c>
      <c r="X266" t="s">
        <v>52</v>
      </c>
      <c r="Y266" s="2">
        <v>1</v>
      </c>
      <c r="Z266" s="2">
        <v>1</v>
      </c>
      <c r="AB266" s="3">
        <v>1</v>
      </c>
      <c r="AC266" s="2">
        <v>2</v>
      </c>
      <c r="AG266" s="2">
        <v>0</v>
      </c>
      <c r="AH266" s="2">
        <v>2</v>
      </c>
      <c r="AI266" s="2">
        <v>0</v>
      </c>
      <c r="AK266">
        <v>5472974</v>
      </c>
      <c r="AL266" t="s">
        <v>429</v>
      </c>
    </row>
    <row r="267" spans="1:38" x14ac:dyDescent="0.25">
      <c r="A267" s="1">
        <v>45799</v>
      </c>
      <c r="B267" s="1">
        <v>45792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651</v>
      </c>
      <c r="J267" t="s">
        <v>652</v>
      </c>
      <c r="M267" t="s">
        <v>653</v>
      </c>
      <c r="O267" t="s">
        <v>654</v>
      </c>
      <c r="P267" t="s">
        <v>655</v>
      </c>
      <c r="Q267" t="s">
        <v>49</v>
      </c>
      <c r="R267" t="s">
        <v>428</v>
      </c>
      <c r="S267" s="1">
        <v>45536</v>
      </c>
      <c r="T267" s="1">
        <v>45823</v>
      </c>
      <c r="U267" t="s">
        <v>51</v>
      </c>
      <c r="V267">
        <v>1</v>
      </c>
      <c r="W267" s="1">
        <v>45797</v>
      </c>
      <c r="X267" t="s">
        <v>52</v>
      </c>
      <c r="Y267" s="2">
        <v>1</v>
      </c>
      <c r="Z267" s="2">
        <v>1</v>
      </c>
      <c r="AB267" s="3">
        <v>1</v>
      </c>
      <c r="AC267" s="2">
        <v>2</v>
      </c>
      <c r="AG267" s="2">
        <v>0</v>
      </c>
      <c r="AH267" s="2">
        <v>2</v>
      </c>
      <c r="AI267" s="2">
        <v>0</v>
      </c>
      <c r="AK267">
        <v>5472975</v>
      </c>
      <c r="AL267" t="s">
        <v>429</v>
      </c>
    </row>
    <row r="268" spans="1:38" x14ac:dyDescent="0.25">
      <c r="A268" s="1">
        <v>45799</v>
      </c>
      <c r="B268" s="1">
        <v>45792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656</v>
      </c>
      <c r="J268" t="s">
        <v>657</v>
      </c>
      <c r="M268" t="s">
        <v>423</v>
      </c>
      <c r="O268" t="s">
        <v>480</v>
      </c>
      <c r="P268" t="s">
        <v>481</v>
      </c>
      <c r="Q268" t="s">
        <v>49</v>
      </c>
      <c r="R268" t="s">
        <v>428</v>
      </c>
      <c r="S268" s="1">
        <v>45536</v>
      </c>
      <c r="T268" s="1">
        <v>45823</v>
      </c>
      <c r="U268" t="s">
        <v>51</v>
      </c>
      <c r="V268">
        <v>1</v>
      </c>
      <c r="W268" s="1">
        <v>45797</v>
      </c>
      <c r="X268" t="s">
        <v>52</v>
      </c>
      <c r="Y268" s="2">
        <v>1</v>
      </c>
      <c r="Z268" s="2">
        <v>1</v>
      </c>
      <c r="AB268" s="3">
        <v>1</v>
      </c>
      <c r="AC268" s="2">
        <v>2</v>
      </c>
      <c r="AG268" s="2">
        <v>0</v>
      </c>
      <c r="AH268" s="2">
        <v>2</v>
      </c>
      <c r="AI268" s="2">
        <v>0</v>
      </c>
      <c r="AK268">
        <v>5472978</v>
      </c>
      <c r="AL268" t="s">
        <v>429</v>
      </c>
    </row>
    <row r="269" spans="1:38" x14ac:dyDescent="0.25">
      <c r="A269" s="1">
        <v>45799</v>
      </c>
      <c r="B269" s="1">
        <v>45792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658</v>
      </c>
      <c r="J269" t="s">
        <v>659</v>
      </c>
      <c r="M269" t="s">
        <v>520</v>
      </c>
      <c r="O269" t="s">
        <v>125</v>
      </c>
      <c r="P269" t="s">
        <v>126</v>
      </c>
      <c r="Q269" t="s">
        <v>49</v>
      </c>
      <c r="R269" t="s">
        <v>428</v>
      </c>
      <c r="S269" s="1">
        <v>45536</v>
      </c>
      <c r="T269" s="1">
        <v>45823</v>
      </c>
      <c r="U269" t="s">
        <v>51</v>
      </c>
      <c r="V269">
        <v>1</v>
      </c>
      <c r="W269" s="1">
        <v>45797</v>
      </c>
      <c r="X269" t="s">
        <v>52</v>
      </c>
      <c r="Y269" s="2">
        <v>1</v>
      </c>
      <c r="Z269" s="2">
        <v>1</v>
      </c>
      <c r="AB269" s="3">
        <v>1</v>
      </c>
      <c r="AC269" s="2">
        <v>2</v>
      </c>
      <c r="AG269" s="2">
        <v>0</v>
      </c>
      <c r="AH269" s="2">
        <v>2</v>
      </c>
      <c r="AI269" s="2">
        <v>0</v>
      </c>
      <c r="AK269">
        <v>5472986</v>
      </c>
      <c r="AL269" t="s">
        <v>429</v>
      </c>
    </row>
    <row r="270" spans="1:38" x14ac:dyDescent="0.25">
      <c r="A270" s="1">
        <v>45799</v>
      </c>
      <c r="B270" s="1">
        <v>45792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660</v>
      </c>
      <c r="J270" t="s">
        <v>661</v>
      </c>
      <c r="M270" t="s">
        <v>418</v>
      </c>
      <c r="O270" t="s">
        <v>56</v>
      </c>
      <c r="P270" t="s">
        <v>57</v>
      </c>
      <c r="Q270" t="s">
        <v>49</v>
      </c>
      <c r="R270" t="s">
        <v>428</v>
      </c>
      <c r="S270" s="1">
        <v>45536</v>
      </c>
      <c r="T270" s="1">
        <v>45823</v>
      </c>
      <c r="U270" t="s">
        <v>51</v>
      </c>
      <c r="V270">
        <v>1</v>
      </c>
      <c r="W270" s="1">
        <v>45797</v>
      </c>
      <c r="X270" t="s">
        <v>52</v>
      </c>
      <c r="Y270" s="2">
        <v>1</v>
      </c>
      <c r="Z270" s="2">
        <v>1</v>
      </c>
      <c r="AB270" s="3">
        <v>1</v>
      </c>
      <c r="AC270" s="2">
        <v>2</v>
      </c>
      <c r="AG270" s="2">
        <v>0</v>
      </c>
      <c r="AH270" s="2">
        <v>2</v>
      </c>
      <c r="AI270" s="2">
        <v>0</v>
      </c>
      <c r="AK270">
        <v>5472998</v>
      </c>
      <c r="AL270" t="s">
        <v>429</v>
      </c>
    </row>
    <row r="271" spans="1:38" x14ac:dyDescent="0.25">
      <c r="A271" s="1">
        <v>45799</v>
      </c>
      <c r="B271" s="1">
        <v>45792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662</v>
      </c>
      <c r="J271" t="s">
        <v>663</v>
      </c>
      <c r="M271" t="s">
        <v>418</v>
      </c>
      <c r="O271" t="s">
        <v>70</v>
      </c>
      <c r="P271" t="s">
        <v>71</v>
      </c>
      <c r="Q271" t="s">
        <v>49</v>
      </c>
      <c r="R271" t="s">
        <v>440</v>
      </c>
      <c r="S271" s="1">
        <v>45536</v>
      </c>
      <c r="T271" s="1">
        <v>45823</v>
      </c>
      <c r="U271" t="s">
        <v>51</v>
      </c>
      <c r="V271">
        <v>1</v>
      </c>
      <c r="W271" s="1">
        <v>45797</v>
      </c>
      <c r="X271" t="s">
        <v>52</v>
      </c>
      <c r="Y271" s="2">
        <v>1</v>
      </c>
      <c r="Z271" s="2">
        <v>1</v>
      </c>
      <c r="AB271" s="3">
        <v>1</v>
      </c>
      <c r="AC271" s="2">
        <v>2</v>
      </c>
      <c r="AG271" s="2">
        <v>0</v>
      </c>
      <c r="AH271" s="2">
        <v>2</v>
      </c>
      <c r="AI271" s="2">
        <v>0</v>
      </c>
      <c r="AK271">
        <v>5473005</v>
      </c>
      <c r="AL271" t="s">
        <v>429</v>
      </c>
    </row>
    <row r="272" spans="1:38" x14ac:dyDescent="0.25">
      <c r="A272" s="1">
        <v>45799</v>
      </c>
      <c r="B272" s="1">
        <v>45792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664</v>
      </c>
      <c r="J272" t="s">
        <v>665</v>
      </c>
      <c r="M272" t="s">
        <v>418</v>
      </c>
      <c r="O272" t="s">
        <v>62</v>
      </c>
      <c r="P272" t="s">
        <v>63</v>
      </c>
      <c r="Q272" t="s">
        <v>49</v>
      </c>
      <c r="R272" t="s">
        <v>428</v>
      </c>
      <c r="S272" s="1">
        <v>45536</v>
      </c>
      <c r="T272" s="1">
        <v>45823</v>
      </c>
      <c r="U272" t="s">
        <v>51</v>
      </c>
      <c r="V272">
        <v>1</v>
      </c>
      <c r="W272" s="1">
        <v>45797</v>
      </c>
      <c r="X272" t="s">
        <v>52</v>
      </c>
      <c r="Y272" s="2">
        <v>1</v>
      </c>
      <c r="Z272" s="2">
        <v>1</v>
      </c>
      <c r="AB272" s="3">
        <v>1</v>
      </c>
      <c r="AC272" s="2">
        <v>2</v>
      </c>
      <c r="AG272" s="2">
        <v>0</v>
      </c>
      <c r="AH272" s="2">
        <v>2</v>
      </c>
      <c r="AI272" s="2">
        <v>0</v>
      </c>
      <c r="AK272">
        <v>5473011</v>
      </c>
      <c r="AL272" t="s">
        <v>429</v>
      </c>
    </row>
    <row r="273" spans="1:38" x14ac:dyDescent="0.25">
      <c r="A273" s="1">
        <v>45799</v>
      </c>
      <c r="B273" s="1">
        <v>45792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666</v>
      </c>
      <c r="J273" t="s">
        <v>667</v>
      </c>
      <c r="M273" t="s">
        <v>418</v>
      </c>
      <c r="O273" t="s">
        <v>62</v>
      </c>
      <c r="P273" t="s">
        <v>63</v>
      </c>
      <c r="Q273" t="s">
        <v>49</v>
      </c>
      <c r="R273" t="s">
        <v>428</v>
      </c>
      <c r="S273" s="1">
        <v>45536</v>
      </c>
      <c r="T273" s="1">
        <v>45823</v>
      </c>
      <c r="U273" t="s">
        <v>51</v>
      </c>
      <c r="V273">
        <v>1</v>
      </c>
      <c r="W273" s="1">
        <v>45797</v>
      </c>
      <c r="X273" t="s">
        <v>52</v>
      </c>
      <c r="Y273" s="2">
        <v>1</v>
      </c>
      <c r="Z273" s="2">
        <v>1</v>
      </c>
      <c r="AB273" s="3">
        <v>1</v>
      </c>
      <c r="AC273" s="2">
        <v>2</v>
      </c>
      <c r="AG273" s="2">
        <v>0</v>
      </c>
      <c r="AH273" s="2">
        <v>2</v>
      </c>
      <c r="AI273" s="2">
        <v>0</v>
      </c>
      <c r="AK273">
        <v>5473013</v>
      </c>
      <c r="AL273" t="s">
        <v>429</v>
      </c>
    </row>
    <row r="274" spans="1:38" x14ac:dyDescent="0.25">
      <c r="A274" s="1">
        <v>45799</v>
      </c>
      <c r="B274" s="1">
        <v>45792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668</v>
      </c>
      <c r="J274" t="s">
        <v>669</v>
      </c>
      <c r="M274" t="s">
        <v>418</v>
      </c>
      <c r="O274" t="s">
        <v>62</v>
      </c>
      <c r="P274" t="s">
        <v>63</v>
      </c>
      <c r="Q274" t="s">
        <v>49</v>
      </c>
      <c r="R274" t="s">
        <v>428</v>
      </c>
      <c r="S274" s="1">
        <v>45536</v>
      </c>
      <c r="T274" s="1">
        <v>45823</v>
      </c>
      <c r="U274" t="s">
        <v>51</v>
      </c>
      <c r="V274">
        <v>1</v>
      </c>
      <c r="W274" s="1">
        <v>45797</v>
      </c>
      <c r="X274" t="s">
        <v>52</v>
      </c>
      <c r="Y274" s="2">
        <v>1</v>
      </c>
      <c r="Z274" s="2">
        <v>1</v>
      </c>
      <c r="AB274" s="3">
        <v>1</v>
      </c>
      <c r="AC274" s="2">
        <v>2</v>
      </c>
      <c r="AG274" s="2">
        <v>0</v>
      </c>
      <c r="AH274" s="2">
        <v>2</v>
      </c>
      <c r="AI274" s="2">
        <v>0</v>
      </c>
      <c r="AK274">
        <v>5473020</v>
      </c>
      <c r="AL274" t="s">
        <v>429</v>
      </c>
    </row>
    <row r="275" spans="1:38" x14ac:dyDescent="0.25">
      <c r="A275" s="1">
        <v>45799</v>
      </c>
      <c r="B275" s="1">
        <v>45792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670</v>
      </c>
      <c r="J275" t="s">
        <v>671</v>
      </c>
      <c r="M275" t="s">
        <v>558</v>
      </c>
      <c r="O275" t="s">
        <v>95</v>
      </c>
      <c r="P275" t="s">
        <v>96</v>
      </c>
      <c r="Q275" t="s">
        <v>49</v>
      </c>
      <c r="R275" t="s">
        <v>428</v>
      </c>
      <c r="S275" s="1">
        <v>45566</v>
      </c>
      <c r="T275" s="1">
        <v>45823</v>
      </c>
      <c r="U275" t="s">
        <v>51</v>
      </c>
      <c r="V275">
        <v>1</v>
      </c>
      <c r="W275" s="1">
        <v>45797</v>
      </c>
      <c r="X275" t="s">
        <v>52</v>
      </c>
      <c r="Y275" s="2">
        <v>1</v>
      </c>
      <c r="Z275" s="2">
        <v>1</v>
      </c>
      <c r="AB275" s="3">
        <v>1</v>
      </c>
      <c r="AC275" s="2">
        <v>2</v>
      </c>
      <c r="AG275" s="2">
        <v>0</v>
      </c>
      <c r="AH275" s="2">
        <v>2</v>
      </c>
      <c r="AI275" s="2">
        <v>0</v>
      </c>
      <c r="AK275">
        <v>5473045</v>
      </c>
      <c r="AL275" t="s">
        <v>429</v>
      </c>
    </row>
    <row r="276" spans="1:38" x14ac:dyDescent="0.25">
      <c r="A276" s="1">
        <v>45799</v>
      </c>
      <c r="B276" s="1">
        <v>45792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672</v>
      </c>
      <c r="J276" t="s">
        <v>673</v>
      </c>
      <c r="M276" t="s">
        <v>423</v>
      </c>
      <c r="O276" t="s">
        <v>372</v>
      </c>
      <c r="P276" t="s">
        <v>373</v>
      </c>
      <c r="Q276" t="s">
        <v>49</v>
      </c>
      <c r="R276" t="s">
        <v>428</v>
      </c>
      <c r="S276" s="1">
        <v>45566</v>
      </c>
      <c r="T276" s="1">
        <v>45823</v>
      </c>
      <c r="U276" t="s">
        <v>51</v>
      </c>
      <c r="V276">
        <v>1</v>
      </c>
      <c r="W276" s="1">
        <v>45797</v>
      </c>
      <c r="X276" t="s">
        <v>52</v>
      </c>
      <c r="Y276" s="2">
        <v>1</v>
      </c>
      <c r="Z276" s="2">
        <v>1</v>
      </c>
      <c r="AB276" s="3">
        <v>1</v>
      </c>
      <c r="AC276" s="2">
        <v>2</v>
      </c>
      <c r="AG276" s="2">
        <v>0</v>
      </c>
      <c r="AH276" s="2">
        <v>2</v>
      </c>
      <c r="AI276" s="2">
        <v>0</v>
      </c>
      <c r="AK276">
        <v>5473046</v>
      </c>
      <c r="AL276" t="s">
        <v>429</v>
      </c>
    </row>
    <row r="277" spans="1:38" x14ac:dyDescent="0.25">
      <c r="A277" s="1">
        <v>45799</v>
      </c>
      <c r="B277" s="1">
        <v>45792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674</v>
      </c>
      <c r="J277" t="s">
        <v>675</v>
      </c>
      <c r="M277" t="s">
        <v>418</v>
      </c>
      <c r="O277" t="s">
        <v>56</v>
      </c>
      <c r="P277" t="s">
        <v>57</v>
      </c>
      <c r="Q277" t="s">
        <v>49</v>
      </c>
      <c r="R277" t="s">
        <v>428</v>
      </c>
      <c r="S277" s="1">
        <v>45566</v>
      </c>
      <c r="T277" s="1">
        <v>45823</v>
      </c>
      <c r="U277" t="s">
        <v>51</v>
      </c>
      <c r="V277">
        <v>1</v>
      </c>
      <c r="W277" s="1">
        <v>45797</v>
      </c>
      <c r="X277" t="s">
        <v>52</v>
      </c>
      <c r="Y277" s="2">
        <v>1</v>
      </c>
      <c r="Z277" s="2">
        <v>1</v>
      </c>
      <c r="AB277" s="3">
        <v>1</v>
      </c>
      <c r="AC277" s="2">
        <v>2</v>
      </c>
      <c r="AG277" s="2">
        <v>0</v>
      </c>
      <c r="AH277" s="2">
        <v>2</v>
      </c>
      <c r="AI277" s="2">
        <v>0</v>
      </c>
      <c r="AK277">
        <v>5473049</v>
      </c>
      <c r="AL277" t="s">
        <v>429</v>
      </c>
    </row>
    <row r="278" spans="1:38" x14ac:dyDescent="0.25">
      <c r="A278" s="1">
        <v>45799</v>
      </c>
      <c r="B278" s="1">
        <v>45792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676</v>
      </c>
      <c r="J278" t="s">
        <v>677</v>
      </c>
      <c r="M278" t="s">
        <v>418</v>
      </c>
      <c r="O278" t="s">
        <v>56</v>
      </c>
      <c r="P278" t="s">
        <v>57</v>
      </c>
      <c r="Q278" t="s">
        <v>49</v>
      </c>
      <c r="R278" t="s">
        <v>428</v>
      </c>
      <c r="S278" s="1">
        <v>45566</v>
      </c>
      <c r="T278" s="1">
        <v>45823</v>
      </c>
      <c r="U278" t="s">
        <v>51</v>
      </c>
      <c r="V278">
        <v>1</v>
      </c>
      <c r="W278" s="1">
        <v>45797</v>
      </c>
      <c r="X278" t="s">
        <v>52</v>
      </c>
      <c r="Y278" s="2">
        <v>1</v>
      </c>
      <c r="Z278" s="2">
        <v>1</v>
      </c>
      <c r="AB278" s="3">
        <v>1</v>
      </c>
      <c r="AC278" s="2">
        <v>2</v>
      </c>
      <c r="AG278" s="2">
        <v>0</v>
      </c>
      <c r="AH278" s="2">
        <v>2</v>
      </c>
      <c r="AI278" s="2">
        <v>0</v>
      </c>
      <c r="AK278">
        <v>5473050</v>
      </c>
      <c r="AL278" t="s">
        <v>429</v>
      </c>
    </row>
    <row r="279" spans="1:38" x14ac:dyDescent="0.25">
      <c r="A279" s="1">
        <v>45799</v>
      </c>
      <c r="B279" s="1">
        <v>45792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678</v>
      </c>
      <c r="J279" t="s">
        <v>679</v>
      </c>
      <c r="M279" t="s">
        <v>625</v>
      </c>
      <c r="O279" t="s">
        <v>95</v>
      </c>
      <c r="P279" t="s">
        <v>96</v>
      </c>
      <c r="Q279" t="s">
        <v>49</v>
      </c>
      <c r="R279" t="s">
        <v>428</v>
      </c>
      <c r="S279" s="1">
        <v>45597</v>
      </c>
      <c r="T279" s="1">
        <v>45823</v>
      </c>
      <c r="U279" t="s">
        <v>51</v>
      </c>
      <c r="V279">
        <v>1</v>
      </c>
      <c r="W279" s="1">
        <v>45797</v>
      </c>
      <c r="X279" t="s">
        <v>52</v>
      </c>
      <c r="Y279" s="2">
        <v>1</v>
      </c>
      <c r="Z279" s="2">
        <v>1</v>
      </c>
      <c r="AB279" s="3">
        <v>1</v>
      </c>
      <c r="AC279" s="2">
        <v>2</v>
      </c>
      <c r="AG279" s="2">
        <v>0</v>
      </c>
      <c r="AH279" s="2">
        <v>2</v>
      </c>
      <c r="AI279" s="2">
        <v>0</v>
      </c>
      <c r="AK279">
        <v>5473055</v>
      </c>
      <c r="AL279" t="s">
        <v>429</v>
      </c>
    </row>
    <row r="280" spans="1:38" x14ac:dyDescent="0.25">
      <c r="A280" s="1">
        <v>45799</v>
      </c>
      <c r="B280" s="1">
        <v>45792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680</v>
      </c>
      <c r="J280" t="s">
        <v>681</v>
      </c>
      <c r="M280" t="s">
        <v>447</v>
      </c>
      <c r="O280" t="s">
        <v>95</v>
      </c>
      <c r="P280" t="s">
        <v>96</v>
      </c>
      <c r="Q280" t="s">
        <v>49</v>
      </c>
      <c r="R280" t="s">
        <v>428</v>
      </c>
      <c r="S280" s="1">
        <v>45566</v>
      </c>
      <c r="T280" s="1">
        <v>45823</v>
      </c>
      <c r="U280" t="s">
        <v>51</v>
      </c>
      <c r="V280">
        <v>1</v>
      </c>
      <c r="W280" s="1">
        <v>45797</v>
      </c>
      <c r="X280" t="s">
        <v>52</v>
      </c>
      <c r="Y280" s="2">
        <v>1</v>
      </c>
      <c r="Z280" s="2">
        <v>1</v>
      </c>
      <c r="AB280" s="3">
        <v>1</v>
      </c>
      <c r="AC280" s="2">
        <v>2</v>
      </c>
      <c r="AG280" s="2">
        <v>0</v>
      </c>
      <c r="AH280" s="2">
        <v>2</v>
      </c>
      <c r="AI280" s="2">
        <v>0</v>
      </c>
      <c r="AK280">
        <v>5473077</v>
      </c>
      <c r="AL280" t="s">
        <v>429</v>
      </c>
    </row>
    <row r="281" spans="1:38" x14ac:dyDescent="0.25">
      <c r="A281" s="1">
        <v>45799</v>
      </c>
      <c r="B281" s="1">
        <v>45792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682</v>
      </c>
      <c r="J281" t="s">
        <v>683</v>
      </c>
      <c r="M281" t="s">
        <v>423</v>
      </c>
      <c r="O281" t="s">
        <v>372</v>
      </c>
      <c r="P281" t="s">
        <v>373</v>
      </c>
      <c r="Q281" t="s">
        <v>49</v>
      </c>
      <c r="R281" t="s">
        <v>428</v>
      </c>
      <c r="S281" s="1">
        <v>45566</v>
      </c>
      <c r="T281" s="1">
        <v>45823</v>
      </c>
      <c r="U281" t="s">
        <v>51</v>
      </c>
      <c r="V281">
        <v>1</v>
      </c>
      <c r="W281" s="1">
        <v>45797</v>
      </c>
      <c r="X281" t="s">
        <v>52</v>
      </c>
      <c r="Y281" s="2">
        <v>1</v>
      </c>
      <c r="Z281" s="2">
        <v>1</v>
      </c>
      <c r="AB281" s="3">
        <v>1</v>
      </c>
      <c r="AC281" s="2">
        <v>2</v>
      </c>
      <c r="AG281" s="2">
        <v>0</v>
      </c>
      <c r="AH281" s="2">
        <v>2</v>
      </c>
      <c r="AI281" s="2">
        <v>0</v>
      </c>
      <c r="AK281">
        <v>5473079</v>
      </c>
      <c r="AL281" t="s">
        <v>429</v>
      </c>
    </row>
    <row r="282" spans="1:38" x14ac:dyDescent="0.25">
      <c r="A282" s="1">
        <v>45799</v>
      </c>
      <c r="B282" s="1">
        <v>45792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684</v>
      </c>
      <c r="J282" t="s">
        <v>685</v>
      </c>
      <c r="M282" t="s">
        <v>423</v>
      </c>
      <c r="O282" t="s">
        <v>131</v>
      </c>
      <c r="P282" t="s">
        <v>132</v>
      </c>
      <c r="Q282" t="s">
        <v>49</v>
      </c>
      <c r="R282" t="s">
        <v>428</v>
      </c>
      <c r="S282" s="1">
        <v>45566</v>
      </c>
      <c r="T282" s="1">
        <v>45823</v>
      </c>
      <c r="U282" t="s">
        <v>51</v>
      </c>
      <c r="V282">
        <v>1</v>
      </c>
      <c r="W282" s="1">
        <v>45797</v>
      </c>
      <c r="X282" t="s">
        <v>52</v>
      </c>
      <c r="Y282" s="2">
        <v>1</v>
      </c>
      <c r="Z282" s="2">
        <v>1</v>
      </c>
      <c r="AB282" s="3">
        <v>1</v>
      </c>
      <c r="AC282" s="2">
        <v>2</v>
      </c>
      <c r="AG282" s="2">
        <v>0</v>
      </c>
      <c r="AH282" s="2">
        <v>2</v>
      </c>
      <c r="AI282" s="2">
        <v>0</v>
      </c>
      <c r="AK282">
        <v>5473096</v>
      </c>
      <c r="AL282" t="s">
        <v>429</v>
      </c>
    </row>
    <row r="283" spans="1:38" x14ac:dyDescent="0.25">
      <c r="A283" s="1">
        <v>45799</v>
      </c>
      <c r="B283" s="1">
        <v>45792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686</v>
      </c>
      <c r="J283" t="s">
        <v>687</v>
      </c>
      <c r="M283" t="s">
        <v>418</v>
      </c>
      <c r="O283" t="s">
        <v>82</v>
      </c>
      <c r="P283" t="s">
        <v>83</v>
      </c>
      <c r="Q283" t="s">
        <v>49</v>
      </c>
      <c r="R283" t="s">
        <v>428</v>
      </c>
      <c r="S283" s="1">
        <v>45597</v>
      </c>
      <c r="T283" s="1">
        <v>45823</v>
      </c>
      <c r="U283" t="s">
        <v>51</v>
      </c>
      <c r="V283">
        <v>1</v>
      </c>
      <c r="W283" s="1">
        <v>45797</v>
      </c>
      <c r="X283" t="s">
        <v>52</v>
      </c>
      <c r="Y283" s="2">
        <v>1</v>
      </c>
      <c r="Z283" s="2">
        <v>1</v>
      </c>
      <c r="AB283" s="3">
        <v>1</v>
      </c>
      <c r="AC283" s="2">
        <v>2</v>
      </c>
      <c r="AG283" s="2">
        <v>0</v>
      </c>
      <c r="AH283" s="2">
        <v>2</v>
      </c>
      <c r="AI283" s="2">
        <v>0</v>
      </c>
      <c r="AK283">
        <v>5473099</v>
      </c>
      <c r="AL283" t="s">
        <v>429</v>
      </c>
    </row>
    <row r="284" spans="1:38" x14ac:dyDescent="0.25">
      <c r="A284" s="1">
        <v>45799</v>
      </c>
      <c r="B284" s="1">
        <v>45792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688</v>
      </c>
      <c r="J284" t="s">
        <v>689</v>
      </c>
      <c r="M284" t="s">
        <v>423</v>
      </c>
      <c r="O284" t="s">
        <v>131</v>
      </c>
      <c r="P284" t="s">
        <v>132</v>
      </c>
      <c r="Q284" t="s">
        <v>49</v>
      </c>
      <c r="R284" t="s">
        <v>428</v>
      </c>
      <c r="S284" s="1">
        <v>45566</v>
      </c>
      <c r="T284" s="1">
        <v>45823</v>
      </c>
      <c r="U284" t="s">
        <v>51</v>
      </c>
      <c r="V284">
        <v>1</v>
      </c>
      <c r="W284" s="1">
        <v>45797</v>
      </c>
      <c r="X284" t="s">
        <v>52</v>
      </c>
      <c r="Y284" s="2">
        <v>1</v>
      </c>
      <c r="Z284" s="2">
        <v>1</v>
      </c>
      <c r="AB284" s="3">
        <v>1</v>
      </c>
      <c r="AC284" s="2">
        <v>2</v>
      </c>
      <c r="AG284" s="2">
        <v>0</v>
      </c>
      <c r="AH284" s="2">
        <v>2</v>
      </c>
      <c r="AI284" s="2">
        <v>0</v>
      </c>
      <c r="AK284">
        <v>5473100</v>
      </c>
      <c r="AL284" t="s">
        <v>429</v>
      </c>
    </row>
    <row r="285" spans="1:38" x14ac:dyDescent="0.25">
      <c r="A285" s="1">
        <v>45799</v>
      </c>
      <c r="B285" s="1">
        <v>45792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690</v>
      </c>
      <c r="J285" t="s">
        <v>691</v>
      </c>
      <c r="M285" t="s">
        <v>418</v>
      </c>
      <c r="O285" t="s">
        <v>62</v>
      </c>
      <c r="P285" t="s">
        <v>63</v>
      </c>
      <c r="Q285" t="s">
        <v>49</v>
      </c>
      <c r="R285" t="s">
        <v>428</v>
      </c>
      <c r="S285" s="1">
        <v>45597</v>
      </c>
      <c r="T285" s="1">
        <v>45823</v>
      </c>
      <c r="U285" t="s">
        <v>51</v>
      </c>
      <c r="V285">
        <v>1</v>
      </c>
      <c r="W285" s="1">
        <v>45797</v>
      </c>
      <c r="X285" t="s">
        <v>52</v>
      </c>
      <c r="Y285" s="2">
        <v>1</v>
      </c>
      <c r="Z285" s="2">
        <v>1</v>
      </c>
      <c r="AB285" s="3">
        <v>1</v>
      </c>
      <c r="AC285" s="2">
        <v>2</v>
      </c>
      <c r="AG285" s="2">
        <v>0</v>
      </c>
      <c r="AH285" s="2">
        <v>2</v>
      </c>
      <c r="AI285" s="2">
        <v>0</v>
      </c>
      <c r="AK285">
        <v>5473105</v>
      </c>
      <c r="AL285" t="s">
        <v>429</v>
      </c>
    </row>
    <row r="286" spans="1:38" x14ac:dyDescent="0.25">
      <c r="A286" s="1">
        <v>45799</v>
      </c>
      <c r="B286" s="1">
        <v>45792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692</v>
      </c>
      <c r="J286" t="s">
        <v>693</v>
      </c>
      <c r="M286" t="s">
        <v>418</v>
      </c>
      <c r="O286" t="s">
        <v>82</v>
      </c>
      <c r="P286" t="s">
        <v>83</v>
      </c>
      <c r="Q286" t="s">
        <v>49</v>
      </c>
      <c r="R286" t="s">
        <v>428</v>
      </c>
      <c r="S286" s="1">
        <v>45566</v>
      </c>
      <c r="T286" s="1">
        <v>45823</v>
      </c>
      <c r="U286" t="s">
        <v>51</v>
      </c>
      <c r="V286">
        <v>1</v>
      </c>
      <c r="W286" s="1">
        <v>45797</v>
      </c>
      <c r="X286" t="s">
        <v>52</v>
      </c>
      <c r="Y286" s="2">
        <v>1</v>
      </c>
      <c r="Z286" s="2">
        <v>1</v>
      </c>
      <c r="AB286" s="3">
        <v>1</v>
      </c>
      <c r="AC286" s="2">
        <v>2</v>
      </c>
      <c r="AG286" s="2">
        <v>0</v>
      </c>
      <c r="AH286" s="2">
        <v>2</v>
      </c>
      <c r="AI286" s="2">
        <v>0</v>
      </c>
      <c r="AK286">
        <v>5473113</v>
      </c>
      <c r="AL286" t="s">
        <v>429</v>
      </c>
    </row>
    <row r="287" spans="1:38" x14ac:dyDescent="0.25">
      <c r="A287" s="1">
        <v>45799</v>
      </c>
      <c r="B287" s="1">
        <v>45792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694</v>
      </c>
      <c r="J287" t="s">
        <v>695</v>
      </c>
      <c r="M287" t="s">
        <v>423</v>
      </c>
      <c r="O287" t="s">
        <v>131</v>
      </c>
      <c r="P287" t="s">
        <v>132</v>
      </c>
      <c r="Q287" t="s">
        <v>49</v>
      </c>
      <c r="R287" t="s">
        <v>428</v>
      </c>
      <c r="S287" s="1">
        <v>45566</v>
      </c>
      <c r="T287" s="1">
        <v>45823</v>
      </c>
      <c r="U287" t="s">
        <v>51</v>
      </c>
      <c r="V287">
        <v>1</v>
      </c>
      <c r="W287" s="1">
        <v>45797</v>
      </c>
      <c r="X287" t="s">
        <v>52</v>
      </c>
      <c r="Y287" s="2">
        <v>1</v>
      </c>
      <c r="Z287" s="2">
        <v>1</v>
      </c>
      <c r="AB287" s="3">
        <v>1</v>
      </c>
      <c r="AC287" s="2">
        <v>2</v>
      </c>
      <c r="AG287" s="2">
        <v>0</v>
      </c>
      <c r="AH287" s="2">
        <v>2</v>
      </c>
      <c r="AI287" s="2">
        <v>0</v>
      </c>
      <c r="AK287">
        <v>5473114</v>
      </c>
      <c r="AL287" t="s">
        <v>429</v>
      </c>
    </row>
    <row r="288" spans="1:38" x14ac:dyDescent="0.25">
      <c r="A288" s="1">
        <v>45799</v>
      </c>
      <c r="B288" s="1">
        <v>45792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696</v>
      </c>
      <c r="J288" t="s">
        <v>697</v>
      </c>
      <c r="M288" t="s">
        <v>698</v>
      </c>
      <c r="O288" t="s">
        <v>699</v>
      </c>
      <c r="P288" t="s">
        <v>700</v>
      </c>
      <c r="Q288" t="s">
        <v>49</v>
      </c>
      <c r="R288" t="s">
        <v>701</v>
      </c>
      <c r="S288" s="1">
        <v>45597</v>
      </c>
      <c r="T288" s="1">
        <v>45823</v>
      </c>
      <c r="U288" t="s">
        <v>51</v>
      </c>
      <c r="V288">
        <v>1</v>
      </c>
      <c r="W288" s="1">
        <v>45797</v>
      </c>
      <c r="X288" t="s">
        <v>52</v>
      </c>
      <c r="Y288" s="2">
        <v>1</v>
      </c>
      <c r="Z288" s="2">
        <v>1</v>
      </c>
      <c r="AB288" s="3">
        <v>1</v>
      </c>
      <c r="AC288" s="2">
        <v>2</v>
      </c>
      <c r="AG288" s="2">
        <v>0</v>
      </c>
      <c r="AH288" s="2">
        <v>2</v>
      </c>
      <c r="AI288" s="2">
        <v>0</v>
      </c>
      <c r="AK288">
        <v>5473115</v>
      </c>
      <c r="AL288" t="s">
        <v>429</v>
      </c>
    </row>
    <row r="289" spans="1:38" x14ac:dyDescent="0.25">
      <c r="A289" s="1">
        <v>45799</v>
      </c>
      <c r="B289" s="1">
        <v>45792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702</v>
      </c>
      <c r="J289" t="s">
        <v>703</v>
      </c>
      <c r="M289" t="s">
        <v>423</v>
      </c>
      <c r="O289" t="s">
        <v>544</v>
      </c>
      <c r="P289" t="s">
        <v>545</v>
      </c>
      <c r="Q289" t="s">
        <v>49</v>
      </c>
      <c r="R289" t="s">
        <v>428</v>
      </c>
      <c r="S289" s="1">
        <v>45566</v>
      </c>
      <c r="T289" s="1">
        <v>45823</v>
      </c>
      <c r="U289" t="s">
        <v>51</v>
      </c>
      <c r="V289">
        <v>1</v>
      </c>
      <c r="W289" s="1">
        <v>45797</v>
      </c>
      <c r="X289" t="s">
        <v>52</v>
      </c>
      <c r="Y289" s="2">
        <v>1</v>
      </c>
      <c r="Z289" s="2">
        <v>1</v>
      </c>
      <c r="AB289" s="3">
        <v>1</v>
      </c>
      <c r="AC289" s="2">
        <v>2</v>
      </c>
      <c r="AG289" s="2">
        <v>0</v>
      </c>
      <c r="AH289" s="2">
        <v>2</v>
      </c>
      <c r="AI289" s="2">
        <v>0</v>
      </c>
      <c r="AK289">
        <v>5473116</v>
      </c>
      <c r="AL289" t="s">
        <v>429</v>
      </c>
    </row>
    <row r="290" spans="1:38" x14ac:dyDescent="0.25">
      <c r="A290" s="1">
        <v>45799</v>
      </c>
      <c r="B290" s="1">
        <v>45792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704</v>
      </c>
      <c r="J290" t="s">
        <v>705</v>
      </c>
      <c r="M290" t="s">
        <v>706</v>
      </c>
      <c r="O290" t="s">
        <v>95</v>
      </c>
      <c r="P290" t="s">
        <v>96</v>
      </c>
      <c r="Q290" t="s">
        <v>49</v>
      </c>
      <c r="R290" t="s">
        <v>428</v>
      </c>
      <c r="S290" s="1">
        <v>45566</v>
      </c>
      <c r="T290" s="1">
        <v>45823</v>
      </c>
      <c r="U290" t="s">
        <v>51</v>
      </c>
      <c r="V290">
        <v>1</v>
      </c>
      <c r="W290" s="1">
        <v>45797</v>
      </c>
      <c r="X290" t="s">
        <v>52</v>
      </c>
      <c r="Y290" s="2">
        <v>1</v>
      </c>
      <c r="Z290" s="2">
        <v>1</v>
      </c>
      <c r="AB290" s="3">
        <v>1</v>
      </c>
      <c r="AC290" s="2">
        <v>2</v>
      </c>
      <c r="AG290" s="2">
        <v>0</v>
      </c>
      <c r="AH290" s="2">
        <v>2</v>
      </c>
      <c r="AI290" s="2">
        <v>0</v>
      </c>
      <c r="AK290">
        <v>5473117</v>
      </c>
      <c r="AL290" t="s">
        <v>429</v>
      </c>
    </row>
    <row r="291" spans="1:38" x14ac:dyDescent="0.25">
      <c r="A291" s="1">
        <v>45799</v>
      </c>
      <c r="B291" s="1">
        <v>45792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707</v>
      </c>
      <c r="J291" t="s">
        <v>708</v>
      </c>
      <c r="M291" t="s">
        <v>423</v>
      </c>
      <c r="O291" t="s">
        <v>372</v>
      </c>
      <c r="P291" t="s">
        <v>373</v>
      </c>
      <c r="Q291" t="s">
        <v>49</v>
      </c>
      <c r="R291" t="s">
        <v>440</v>
      </c>
      <c r="S291" s="1">
        <v>45566</v>
      </c>
      <c r="T291" s="1">
        <v>45823</v>
      </c>
      <c r="U291" t="s">
        <v>51</v>
      </c>
      <c r="V291">
        <v>1</v>
      </c>
      <c r="W291" s="1">
        <v>45797</v>
      </c>
      <c r="X291" t="s">
        <v>52</v>
      </c>
      <c r="Y291" s="2">
        <v>1</v>
      </c>
      <c r="Z291" s="2">
        <v>1</v>
      </c>
      <c r="AB291" s="3">
        <v>1</v>
      </c>
      <c r="AC291" s="2">
        <v>2</v>
      </c>
      <c r="AG291" s="2">
        <v>0</v>
      </c>
      <c r="AH291" s="2">
        <v>2</v>
      </c>
      <c r="AI291" s="2">
        <v>0</v>
      </c>
      <c r="AK291">
        <v>5473120</v>
      </c>
      <c r="AL291" t="s">
        <v>429</v>
      </c>
    </row>
    <row r="292" spans="1:38" x14ac:dyDescent="0.25">
      <c r="A292" s="1">
        <v>45799</v>
      </c>
      <c r="B292" s="1">
        <v>45792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709</v>
      </c>
      <c r="J292" t="s">
        <v>710</v>
      </c>
      <c r="M292" t="s">
        <v>423</v>
      </c>
      <c r="O292" t="s">
        <v>372</v>
      </c>
      <c r="P292" t="s">
        <v>373</v>
      </c>
      <c r="Q292" t="s">
        <v>49</v>
      </c>
      <c r="R292" t="s">
        <v>440</v>
      </c>
      <c r="S292" s="1">
        <v>45566</v>
      </c>
      <c r="T292" s="1">
        <v>45823</v>
      </c>
      <c r="U292" t="s">
        <v>51</v>
      </c>
      <c r="V292">
        <v>1</v>
      </c>
      <c r="W292" s="1">
        <v>45797</v>
      </c>
      <c r="X292" t="s">
        <v>52</v>
      </c>
      <c r="Y292" s="2">
        <v>1</v>
      </c>
      <c r="Z292" s="2">
        <v>1</v>
      </c>
      <c r="AB292" s="3">
        <v>1</v>
      </c>
      <c r="AC292" s="2">
        <v>2</v>
      </c>
      <c r="AG292" s="2">
        <v>0</v>
      </c>
      <c r="AH292" s="2">
        <v>2</v>
      </c>
      <c r="AI292" s="2">
        <v>0</v>
      </c>
      <c r="AK292">
        <v>5473121</v>
      </c>
      <c r="AL292" t="s">
        <v>429</v>
      </c>
    </row>
    <row r="293" spans="1:38" x14ac:dyDescent="0.25">
      <c r="A293" s="1">
        <v>45799</v>
      </c>
      <c r="B293" s="1">
        <v>45792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711</v>
      </c>
      <c r="J293" t="s">
        <v>712</v>
      </c>
      <c r="M293" t="s">
        <v>418</v>
      </c>
      <c r="O293" t="s">
        <v>713</v>
      </c>
      <c r="P293" t="s">
        <v>714</v>
      </c>
      <c r="Q293" t="s">
        <v>49</v>
      </c>
      <c r="R293" t="s">
        <v>428</v>
      </c>
      <c r="S293" s="1">
        <v>45566</v>
      </c>
      <c r="T293" s="1">
        <v>45823</v>
      </c>
      <c r="U293" t="s">
        <v>51</v>
      </c>
      <c r="V293">
        <v>1</v>
      </c>
      <c r="W293" s="1">
        <v>45797</v>
      </c>
      <c r="X293" t="s">
        <v>52</v>
      </c>
      <c r="Y293" s="2">
        <v>1</v>
      </c>
      <c r="Z293" s="2">
        <v>1</v>
      </c>
      <c r="AB293" s="3">
        <v>1</v>
      </c>
      <c r="AC293" s="2">
        <v>2</v>
      </c>
      <c r="AG293" s="2">
        <v>0</v>
      </c>
      <c r="AH293" s="2">
        <v>2</v>
      </c>
      <c r="AI293" s="2">
        <v>0</v>
      </c>
      <c r="AK293">
        <v>5473146</v>
      </c>
      <c r="AL293" t="s">
        <v>429</v>
      </c>
    </row>
    <row r="294" spans="1:38" x14ac:dyDescent="0.25">
      <c r="A294" s="1">
        <v>45799</v>
      </c>
      <c r="B294" s="1">
        <v>45792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715</v>
      </c>
      <c r="J294" t="s">
        <v>716</v>
      </c>
      <c r="M294" t="s">
        <v>423</v>
      </c>
      <c r="O294" t="s">
        <v>717</v>
      </c>
      <c r="P294" t="s">
        <v>718</v>
      </c>
      <c r="Q294" t="s">
        <v>49</v>
      </c>
      <c r="R294" t="s">
        <v>428</v>
      </c>
      <c r="S294" s="1">
        <v>45566</v>
      </c>
      <c r="T294" s="1">
        <v>45823</v>
      </c>
      <c r="U294" t="s">
        <v>51</v>
      </c>
      <c r="V294">
        <v>1</v>
      </c>
      <c r="W294" s="1">
        <v>45797</v>
      </c>
      <c r="X294" t="s">
        <v>52</v>
      </c>
      <c r="Y294" s="2">
        <v>1</v>
      </c>
      <c r="Z294" s="2">
        <v>1</v>
      </c>
      <c r="AB294" s="3">
        <v>1</v>
      </c>
      <c r="AC294" s="2">
        <v>2</v>
      </c>
      <c r="AG294" s="2">
        <v>0</v>
      </c>
      <c r="AH294" s="2">
        <v>2</v>
      </c>
      <c r="AI294" s="2">
        <v>0</v>
      </c>
      <c r="AK294">
        <v>5473148</v>
      </c>
      <c r="AL294" t="s">
        <v>429</v>
      </c>
    </row>
    <row r="295" spans="1:38" x14ac:dyDescent="0.25">
      <c r="A295" s="1">
        <v>45799</v>
      </c>
      <c r="B295" s="1">
        <v>45792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719</v>
      </c>
      <c r="J295" t="s">
        <v>720</v>
      </c>
      <c r="M295" t="s">
        <v>418</v>
      </c>
      <c r="O295" t="s">
        <v>82</v>
      </c>
      <c r="P295" t="s">
        <v>83</v>
      </c>
      <c r="Q295" t="s">
        <v>49</v>
      </c>
      <c r="R295" t="s">
        <v>428</v>
      </c>
      <c r="S295" s="1">
        <v>45566</v>
      </c>
      <c r="T295" s="1">
        <v>45823</v>
      </c>
      <c r="U295" t="s">
        <v>51</v>
      </c>
      <c r="V295">
        <v>1</v>
      </c>
      <c r="W295" s="1">
        <v>45797</v>
      </c>
      <c r="X295" t="s">
        <v>52</v>
      </c>
      <c r="Y295" s="2">
        <v>1</v>
      </c>
      <c r="Z295" s="2">
        <v>1</v>
      </c>
      <c r="AB295" s="3">
        <v>1</v>
      </c>
      <c r="AC295" s="2">
        <v>2</v>
      </c>
      <c r="AG295" s="2">
        <v>0</v>
      </c>
      <c r="AH295" s="2">
        <v>2</v>
      </c>
      <c r="AI295" s="2">
        <v>0</v>
      </c>
      <c r="AK295">
        <v>5473152</v>
      </c>
      <c r="AL295" t="s">
        <v>429</v>
      </c>
    </row>
    <row r="296" spans="1:38" x14ac:dyDescent="0.25">
      <c r="A296" s="1">
        <v>45799</v>
      </c>
      <c r="B296" s="1">
        <v>45792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721</v>
      </c>
      <c r="J296" t="s">
        <v>722</v>
      </c>
      <c r="M296" t="s">
        <v>418</v>
      </c>
      <c r="O296" t="s">
        <v>125</v>
      </c>
      <c r="P296" t="s">
        <v>126</v>
      </c>
      <c r="Q296" t="s">
        <v>49</v>
      </c>
      <c r="R296" t="s">
        <v>428</v>
      </c>
      <c r="S296" s="1">
        <v>45627</v>
      </c>
      <c r="T296" s="1">
        <v>45823</v>
      </c>
      <c r="U296" t="s">
        <v>51</v>
      </c>
      <c r="V296">
        <v>1</v>
      </c>
      <c r="W296" s="1">
        <v>45797</v>
      </c>
      <c r="X296" t="s">
        <v>52</v>
      </c>
      <c r="Y296" s="2">
        <v>1</v>
      </c>
      <c r="Z296" s="2">
        <v>1</v>
      </c>
      <c r="AB296" s="3">
        <v>1</v>
      </c>
      <c r="AC296" s="2">
        <v>2</v>
      </c>
      <c r="AG296" s="2">
        <v>0</v>
      </c>
      <c r="AH296" s="2">
        <v>2</v>
      </c>
      <c r="AI296" s="2">
        <v>0</v>
      </c>
      <c r="AK296">
        <v>5473164</v>
      </c>
      <c r="AL296" t="s">
        <v>429</v>
      </c>
    </row>
    <row r="297" spans="1:38" x14ac:dyDescent="0.25">
      <c r="A297" s="1">
        <v>45799</v>
      </c>
      <c r="B297" s="1">
        <v>45792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723</v>
      </c>
      <c r="J297" t="s">
        <v>724</v>
      </c>
      <c r="M297" t="s">
        <v>418</v>
      </c>
      <c r="O297" t="s">
        <v>725</v>
      </c>
      <c r="P297" t="s">
        <v>726</v>
      </c>
      <c r="Q297" t="s">
        <v>49</v>
      </c>
      <c r="R297" t="s">
        <v>428</v>
      </c>
      <c r="S297" s="1">
        <v>45566</v>
      </c>
      <c r="T297" s="1">
        <v>45823</v>
      </c>
      <c r="U297" t="s">
        <v>51</v>
      </c>
      <c r="V297">
        <v>1</v>
      </c>
      <c r="W297" s="1">
        <v>45797</v>
      </c>
      <c r="X297" t="s">
        <v>52</v>
      </c>
      <c r="Y297" s="2">
        <v>1</v>
      </c>
      <c r="Z297" s="2">
        <v>1</v>
      </c>
      <c r="AB297" s="3">
        <v>1</v>
      </c>
      <c r="AC297" s="2">
        <v>2</v>
      </c>
      <c r="AG297" s="2">
        <v>0</v>
      </c>
      <c r="AH297" s="2">
        <v>2</v>
      </c>
      <c r="AI297" s="2">
        <v>0</v>
      </c>
      <c r="AK297">
        <v>5473172</v>
      </c>
      <c r="AL297" t="s">
        <v>429</v>
      </c>
    </row>
    <row r="298" spans="1:38" x14ac:dyDescent="0.25">
      <c r="A298" s="1">
        <v>45799</v>
      </c>
      <c r="B298" s="1">
        <v>45792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727</v>
      </c>
      <c r="J298" t="s">
        <v>728</v>
      </c>
      <c r="M298" t="s">
        <v>475</v>
      </c>
      <c r="O298" t="s">
        <v>76</v>
      </c>
      <c r="P298" t="s">
        <v>77</v>
      </c>
      <c r="Q298" t="s">
        <v>49</v>
      </c>
      <c r="R298" t="s">
        <v>440</v>
      </c>
      <c r="S298" s="1">
        <v>45566</v>
      </c>
      <c r="T298" s="1">
        <v>45823</v>
      </c>
      <c r="U298" t="s">
        <v>51</v>
      </c>
      <c r="V298">
        <v>1</v>
      </c>
      <c r="W298" s="1">
        <v>45797</v>
      </c>
      <c r="X298" t="s">
        <v>52</v>
      </c>
      <c r="Y298" s="2">
        <v>1</v>
      </c>
      <c r="Z298" s="2">
        <v>1</v>
      </c>
      <c r="AB298" s="3">
        <v>1</v>
      </c>
      <c r="AC298" s="2">
        <v>2</v>
      </c>
      <c r="AG298" s="2">
        <v>0</v>
      </c>
      <c r="AH298" s="2">
        <v>2</v>
      </c>
      <c r="AI298" s="2">
        <v>0</v>
      </c>
      <c r="AK298">
        <v>5473173</v>
      </c>
      <c r="AL298" t="s">
        <v>429</v>
      </c>
    </row>
    <row r="299" spans="1:38" x14ac:dyDescent="0.25">
      <c r="A299" s="1">
        <v>45799</v>
      </c>
      <c r="B299" s="1">
        <v>45792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729</v>
      </c>
      <c r="J299" t="s">
        <v>730</v>
      </c>
      <c r="M299" t="s">
        <v>475</v>
      </c>
      <c r="O299" t="s">
        <v>76</v>
      </c>
      <c r="P299" t="s">
        <v>77</v>
      </c>
      <c r="Q299" t="s">
        <v>49</v>
      </c>
      <c r="R299" t="s">
        <v>440</v>
      </c>
      <c r="S299" s="1">
        <v>45566</v>
      </c>
      <c r="T299" s="1">
        <v>45823</v>
      </c>
      <c r="U299" t="s">
        <v>51</v>
      </c>
      <c r="V299">
        <v>1</v>
      </c>
      <c r="W299" s="1">
        <v>45797</v>
      </c>
      <c r="X299" t="s">
        <v>52</v>
      </c>
      <c r="Y299" s="2">
        <v>1</v>
      </c>
      <c r="Z299" s="2">
        <v>1</v>
      </c>
      <c r="AB299" s="3">
        <v>1</v>
      </c>
      <c r="AC299" s="2">
        <v>2</v>
      </c>
      <c r="AG299" s="2">
        <v>0</v>
      </c>
      <c r="AH299" s="2">
        <v>2</v>
      </c>
      <c r="AI299" s="2">
        <v>0</v>
      </c>
      <c r="AK299">
        <v>5473174</v>
      </c>
      <c r="AL299" t="s">
        <v>429</v>
      </c>
    </row>
    <row r="300" spans="1:38" x14ac:dyDescent="0.25">
      <c r="A300" s="1">
        <v>45799</v>
      </c>
      <c r="B300" s="1">
        <v>45792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731</v>
      </c>
      <c r="J300" t="s">
        <v>732</v>
      </c>
      <c r="M300" t="s">
        <v>423</v>
      </c>
      <c r="O300" t="s">
        <v>480</v>
      </c>
      <c r="P300" t="s">
        <v>481</v>
      </c>
      <c r="Q300" t="s">
        <v>49</v>
      </c>
      <c r="R300" t="s">
        <v>428</v>
      </c>
      <c r="S300" s="1">
        <v>45566</v>
      </c>
      <c r="T300" s="1">
        <v>45823</v>
      </c>
      <c r="U300" t="s">
        <v>51</v>
      </c>
      <c r="V300">
        <v>1</v>
      </c>
      <c r="W300" s="1">
        <v>45797</v>
      </c>
      <c r="X300" t="s">
        <v>52</v>
      </c>
      <c r="Y300" s="2">
        <v>1</v>
      </c>
      <c r="Z300" s="2">
        <v>1</v>
      </c>
      <c r="AB300" s="3">
        <v>1</v>
      </c>
      <c r="AC300" s="2">
        <v>2</v>
      </c>
      <c r="AG300" s="2">
        <v>0</v>
      </c>
      <c r="AH300" s="2">
        <v>2</v>
      </c>
      <c r="AI300" s="2">
        <v>0</v>
      </c>
      <c r="AK300">
        <v>5473181</v>
      </c>
      <c r="AL300" t="s">
        <v>429</v>
      </c>
    </row>
    <row r="301" spans="1:38" x14ac:dyDescent="0.25">
      <c r="A301" s="1">
        <v>45799</v>
      </c>
      <c r="B301" s="1">
        <v>45792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733</v>
      </c>
      <c r="J301" t="s">
        <v>734</v>
      </c>
      <c r="M301" t="s">
        <v>423</v>
      </c>
      <c r="O301" t="s">
        <v>131</v>
      </c>
      <c r="P301" t="s">
        <v>132</v>
      </c>
      <c r="Q301" t="s">
        <v>49</v>
      </c>
      <c r="R301" t="s">
        <v>428</v>
      </c>
      <c r="S301" s="1">
        <v>45566</v>
      </c>
      <c r="T301" s="1">
        <v>45823</v>
      </c>
      <c r="U301" t="s">
        <v>51</v>
      </c>
      <c r="V301">
        <v>1</v>
      </c>
      <c r="W301" s="1">
        <v>45797</v>
      </c>
      <c r="X301" t="s">
        <v>52</v>
      </c>
      <c r="Y301" s="2">
        <v>1</v>
      </c>
      <c r="Z301" s="2">
        <v>1</v>
      </c>
      <c r="AB301" s="3">
        <v>1</v>
      </c>
      <c r="AC301" s="2">
        <v>2</v>
      </c>
      <c r="AG301" s="2">
        <v>0</v>
      </c>
      <c r="AH301" s="2">
        <v>2</v>
      </c>
      <c r="AI301" s="2">
        <v>0</v>
      </c>
      <c r="AK301">
        <v>5473183</v>
      </c>
      <c r="AL301" t="s">
        <v>429</v>
      </c>
    </row>
    <row r="302" spans="1:38" x14ac:dyDescent="0.25">
      <c r="A302" s="1">
        <v>45799</v>
      </c>
      <c r="B302" s="1">
        <v>45792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735</v>
      </c>
      <c r="J302" t="s">
        <v>736</v>
      </c>
      <c r="M302" t="s">
        <v>418</v>
      </c>
      <c r="O302" t="s">
        <v>125</v>
      </c>
      <c r="P302" t="s">
        <v>126</v>
      </c>
      <c r="Q302" t="s">
        <v>49</v>
      </c>
      <c r="R302" t="s">
        <v>440</v>
      </c>
      <c r="S302" s="1">
        <v>45566</v>
      </c>
      <c r="T302" s="1">
        <v>45823</v>
      </c>
      <c r="U302" t="s">
        <v>51</v>
      </c>
      <c r="V302">
        <v>1</v>
      </c>
      <c r="W302" s="1">
        <v>45797</v>
      </c>
      <c r="X302" t="s">
        <v>52</v>
      </c>
      <c r="Y302" s="2">
        <v>1</v>
      </c>
      <c r="Z302" s="2">
        <v>1</v>
      </c>
      <c r="AB302" s="3">
        <v>1</v>
      </c>
      <c r="AC302" s="2">
        <v>2</v>
      </c>
      <c r="AG302" s="2">
        <v>0</v>
      </c>
      <c r="AH302" s="2">
        <v>2</v>
      </c>
      <c r="AI302" s="2">
        <v>0</v>
      </c>
      <c r="AK302">
        <v>5473185</v>
      </c>
      <c r="AL302" t="s">
        <v>429</v>
      </c>
    </row>
    <row r="303" spans="1:38" x14ac:dyDescent="0.25">
      <c r="A303" s="1">
        <v>45799</v>
      </c>
      <c r="B303" s="1">
        <v>45792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737</v>
      </c>
      <c r="J303" t="s">
        <v>738</v>
      </c>
      <c r="M303" t="s">
        <v>418</v>
      </c>
      <c r="O303" t="s">
        <v>95</v>
      </c>
      <c r="P303" t="s">
        <v>96</v>
      </c>
      <c r="Q303" t="s">
        <v>49</v>
      </c>
      <c r="R303" t="s">
        <v>428</v>
      </c>
      <c r="S303" s="1">
        <v>45566</v>
      </c>
      <c r="T303" s="1">
        <v>45823</v>
      </c>
      <c r="U303" t="s">
        <v>51</v>
      </c>
      <c r="V303">
        <v>1</v>
      </c>
      <c r="W303" s="1">
        <v>45797</v>
      </c>
      <c r="X303" t="s">
        <v>52</v>
      </c>
      <c r="Y303" s="2">
        <v>1</v>
      </c>
      <c r="Z303" s="2">
        <v>1</v>
      </c>
      <c r="AB303" s="3">
        <v>1</v>
      </c>
      <c r="AC303" s="2">
        <v>2</v>
      </c>
      <c r="AG303" s="2">
        <v>0</v>
      </c>
      <c r="AH303" s="2">
        <v>2</v>
      </c>
      <c r="AI303" s="2">
        <v>0</v>
      </c>
      <c r="AK303">
        <v>5473193</v>
      </c>
      <c r="AL303" t="s">
        <v>429</v>
      </c>
    </row>
    <row r="304" spans="1:38" x14ac:dyDescent="0.25">
      <c r="A304" s="1">
        <v>45799</v>
      </c>
      <c r="B304" s="1">
        <v>45792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739</v>
      </c>
      <c r="J304" t="s">
        <v>740</v>
      </c>
      <c r="M304" t="s">
        <v>423</v>
      </c>
      <c r="O304" t="s">
        <v>131</v>
      </c>
      <c r="P304" t="s">
        <v>132</v>
      </c>
      <c r="Q304" t="s">
        <v>49</v>
      </c>
      <c r="R304" t="s">
        <v>428</v>
      </c>
      <c r="S304" s="1">
        <v>45597</v>
      </c>
      <c r="T304" s="1">
        <v>45823</v>
      </c>
      <c r="U304" t="s">
        <v>51</v>
      </c>
      <c r="V304">
        <v>1</v>
      </c>
      <c r="W304" s="1">
        <v>45797</v>
      </c>
      <c r="X304" t="s">
        <v>52</v>
      </c>
      <c r="Y304" s="2">
        <v>1</v>
      </c>
      <c r="Z304" s="2">
        <v>1</v>
      </c>
      <c r="AB304" s="3">
        <v>1</v>
      </c>
      <c r="AC304" s="2">
        <v>2</v>
      </c>
      <c r="AG304" s="2">
        <v>0</v>
      </c>
      <c r="AH304" s="2">
        <v>2</v>
      </c>
      <c r="AI304" s="2">
        <v>0</v>
      </c>
      <c r="AK304">
        <v>5473202</v>
      </c>
      <c r="AL304" t="s">
        <v>429</v>
      </c>
    </row>
    <row r="305" spans="1:38" x14ac:dyDescent="0.25">
      <c r="A305" s="1">
        <v>45799</v>
      </c>
      <c r="B305" s="1">
        <v>45792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741</v>
      </c>
      <c r="J305" t="s">
        <v>742</v>
      </c>
      <c r="M305" t="s">
        <v>423</v>
      </c>
      <c r="O305" t="s">
        <v>131</v>
      </c>
      <c r="P305" t="s">
        <v>132</v>
      </c>
      <c r="Q305" t="s">
        <v>49</v>
      </c>
      <c r="R305" t="s">
        <v>428</v>
      </c>
      <c r="S305" s="1">
        <v>45597</v>
      </c>
      <c r="T305" s="1">
        <v>45823</v>
      </c>
      <c r="U305" t="s">
        <v>51</v>
      </c>
      <c r="V305">
        <v>1</v>
      </c>
      <c r="W305" s="1">
        <v>45797</v>
      </c>
      <c r="X305" t="s">
        <v>52</v>
      </c>
      <c r="Y305" s="2">
        <v>1</v>
      </c>
      <c r="Z305" s="2">
        <v>1</v>
      </c>
      <c r="AB305" s="3">
        <v>1</v>
      </c>
      <c r="AC305" s="2">
        <v>2</v>
      </c>
      <c r="AG305" s="2">
        <v>0</v>
      </c>
      <c r="AH305" s="2">
        <v>2</v>
      </c>
      <c r="AI305" s="2">
        <v>0</v>
      </c>
      <c r="AK305">
        <v>5473203</v>
      </c>
      <c r="AL305" t="s">
        <v>429</v>
      </c>
    </row>
    <row r="306" spans="1:38" x14ac:dyDescent="0.25">
      <c r="A306" s="1">
        <v>45799</v>
      </c>
      <c r="B306" s="1">
        <v>45792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743</v>
      </c>
      <c r="J306" t="s">
        <v>744</v>
      </c>
      <c r="M306" t="s">
        <v>418</v>
      </c>
      <c r="O306" t="s">
        <v>225</v>
      </c>
      <c r="P306" t="s">
        <v>226</v>
      </c>
      <c r="Q306" t="s">
        <v>49</v>
      </c>
      <c r="R306" t="s">
        <v>428</v>
      </c>
      <c r="S306" s="1">
        <v>45597</v>
      </c>
      <c r="T306" s="1">
        <v>45823</v>
      </c>
      <c r="U306" t="s">
        <v>51</v>
      </c>
      <c r="V306">
        <v>1</v>
      </c>
      <c r="W306" s="1">
        <v>45797</v>
      </c>
      <c r="X306" t="s">
        <v>52</v>
      </c>
      <c r="Y306" s="2">
        <v>1</v>
      </c>
      <c r="Z306" s="2">
        <v>1</v>
      </c>
      <c r="AB306" s="3">
        <v>1</v>
      </c>
      <c r="AC306" s="2">
        <v>2</v>
      </c>
      <c r="AG306" s="2">
        <v>0</v>
      </c>
      <c r="AH306" s="2">
        <v>2</v>
      </c>
      <c r="AI306" s="2">
        <v>0</v>
      </c>
      <c r="AK306">
        <v>5473208</v>
      </c>
      <c r="AL306" t="s">
        <v>429</v>
      </c>
    </row>
    <row r="307" spans="1:38" x14ac:dyDescent="0.25">
      <c r="A307" s="1">
        <v>45799</v>
      </c>
      <c r="B307" s="1">
        <v>45792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745</v>
      </c>
      <c r="J307" t="s">
        <v>746</v>
      </c>
      <c r="M307" t="s">
        <v>423</v>
      </c>
      <c r="O307" t="s">
        <v>131</v>
      </c>
      <c r="P307" t="s">
        <v>132</v>
      </c>
      <c r="Q307" t="s">
        <v>49</v>
      </c>
      <c r="R307" t="s">
        <v>428</v>
      </c>
      <c r="S307" s="1">
        <v>45627</v>
      </c>
      <c r="T307" s="1">
        <v>45823</v>
      </c>
      <c r="U307" t="s">
        <v>51</v>
      </c>
      <c r="V307">
        <v>1</v>
      </c>
      <c r="W307" s="1">
        <v>45797</v>
      </c>
      <c r="X307" t="s">
        <v>52</v>
      </c>
      <c r="Y307" s="2">
        <v>1</v>
      </c>
      <c r="Z307" s="2">
        <v>1</v>
      </c>
      <c r="AB307" s="3">
        <v>1</v>
      </c>
      <c r="AC307" s="2">
        <v>2</v>
      </c>
      <c r="AG307" s="2">
        <v>0</v>
      </c>
      <c r="AH307" s="2">
        <v>2</v>
      </c>
      <c r="AI307" s="2">
        <v>0</v>
      </c>
      <c r="AK307">
        <v>5473212</v>
      </c>
      <c r="AL307" t="s">
        <v>429</v>
      </c>
    </row>
    <row r="308" spans="1:38" x14ac:dyDescent="0.25">
      <c r="A308" s="1">
        <v>45799</v>
      </c>
      <c r="B308" s="1">
        <v>45792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747</v>
      </c>
      <c r="J308" t="s">
        <v>748</v>
      </c>
      <c r="O308" t="s">
        <v>95</v>
      </c>
      <c r="P308" t="s">
        <v>96</v>
      </c>
      <c r="Q308" t="s">
        <v>49</v>
      </c>
      <c r="R308" t="s">
        <v>428</v>
      </c>
      <c r="S308" s="1">
        <v>45597</v>
      </c>
      <c r="T308" s="1">
        <v>45823</v>
      </c>
      <c r="U308" t="s">
        <v>51</v>
      </c>
      <c r="V308">
        <v>1</v>
      </c>
      <c r="W308" s="1">
        <v>45797</v>
      </c>
      <c r="X308" t="s">
        <v>52</v>
      </c>
      <c r="Y308" s="2">
        <v>1</v>
      </c>
      <c r="Z308" s="2">
        <v>1</v>
      </c>
      <c r="AB308" s="3">
        <v>1</v>
      </c>
      <c r="AC308" s="2">
        <v>2</v>
      </c>
      <c r="AG308" s="2">
        <v>0</v>
      </c>
      <c r="AH308" s="2">
        <v>2</v>
      </c>
      <c r="AI308" s="2">
        <v>0</v>
      </c>
      <c r="AK308">
        <v>5473214</v>
      </c>
      <c r="AL308" t="s">
        <v>429</v>
      </c>
    </row>
    <row r="309" spans="1:38" x14ac:dyDescent="0.25">
      <c r="A309" s="1">
        <v>45799</v>
      </c>
      <c r="B309" s="1">
        <v>45792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749</v>
      </c>
      <c r="J309" t="s">
        <v>750</v>
      </c>
      <c r="M309" t="s">
        <v>423</v>
      </c>
      <c r="O309" t="s">
        <v>372</v>
      </c>
      <c r="P309" t="s">
        <v>373</v>
      </c>
      <c r="Q309" t="s">
        <v>49</v>
      </c>
      <c r="R309" t="s">
        <v>428</v>
      </c>
      <c r="S309" s="1">
        <v>45597</v>
      </c>
      <c r="T309" s="1">
        <v>45823</v>
      </c>
      <c r="U309" t="s">
        <v>51</v>
      </c>
      <c r="V309">
        <v>1</v>
      </c>
      <c r="W309" s="1">
        <v>45797</v>
      </c>
      <c r="X309" t="s">
        <v>52</v>
      </c>
      <c r="Y309" s="2">
        <v>1</v>
      </c>
      <c r="Z309" s="2">
        <v>1</v>
      </c>
      <c r="AB309" s="3">
        <v>1</v>
      </c>
      <c r="AC309" s="2">
        <v>2</v>
      </c>
      <c r="AG309" s="2">
        <v>0</v>
      </c>
      <c r="AH309" s="2">
        <v>2</v>
      </c>
      <c r="AI309" s="2">
        <v>0</v>
      </c>
      <c r="AK309">
        <v>5473222</v>
      </c>
      <c r="AL309" t="s">
        <v>429</v>
      </c>
    </row>
    <row r="310" spans="1:38" x14ac:dyDescent="0.25">
      <c r="A310" s="1">
        <v>45799</v>
      </c>
      <c r="B310" s="1">
        <v>45792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751</v>
      </c>
      <c r="J310" t="s">
        <v>752</v>
      </c>
      <c r="M310" t="s">
        <v>418</v>
      </c>
      <c r="O310" t="s">
        <v>125</v>
      </c>
      <c r="P310" t="s">
        <v>126</v>
      </c>
      <c r="Q310" t="s">
        <v>49</v>
      </c>
      <c r="R310" t="s">
        <v>428</v>
      </c>
      <c r="S310" s="1">
        <v>45597</v>
      </c>
      <c r="T310" s="1">
        <v>45823</v>
      </c>
      <c r="U310" t="s">
        <v>51</v>
      </c>
      <c r="V310">
        <v>1</v>
      </c>
      <c r="W310" s="1">
        <v>45797</v>
      </c>
      <c r="X310" t="s">
        <v>52</v>
      </c>
      <c r="Y310" s="2">
        <v>1</v>
      </c>
      <c r="Z310" s="2">
        <v>1</v>
      </c>
      <c r="AB310" s="3">
        <v>1</v>
      </c>
      <c r="AC310" s="2">
        <v>2</v>
      </c>
      <c r="AG310" s="2">
        <v>0</v>
      </c>
      <c r="AH310" s="2">
        <v>2</v>
      </c>
      <c r="AI310" s="2">
        <v>0</v>
      </c>
      <c r="AK310">
        <v>5473223</v>
      </c>
      <c r="AL310" t="s">
        <v>429</v>
      </c>
    </row>
    <row r="311" spans="1:38" x14ac:dyDescent="0.25">
      <c r="A311" s="1">
        <v>45799</v>
      </c>
      <c r="B311" s="1">
        <v>45792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753</v>
      </c>
      <c r="J311" t="s">
        <v>754</v>
      </c>
      <c r="M311" t="s">
        <v>423</v>
      </c>
      <c r="O311" t="s">
        <v>131</v>
      </c>
      <c r="P311" t="s">
        <v>132</v>
      </c>
      <c r="Q311" t="s">
        <v>49</v>
      </c>
      <c r="R311" t="s">
        <v>428</v>
      </c>
      <c r="S311" s="1">
        <v>45627</v>
      </c>
      <c r="T311" s="1">
        <v>45823</v>
      </c>
      <c r="U311" t="s">
        <v>51</v>
      </c>
      <c r="V311">
        <v>1</v>
      </c>
      <c r="W311" s="1">
        <v>45797</v>
      </c>
      <c r="X311" t="s">
        <v>52</v>
      </c>
      <c r="Y311" s="2">
        <v>1</v>
      </c>
      <c r="Z311" s="2">
        <v>1</v>
      </c>
      <c r="AB311" s="3">
        <v>1</v>
      </c>
      <c r="AC311" s="2">
        <v>2</v>
      </c>
      <c r="AG311" s="2">
        <v>0</v>
      </c>
      <c r="AH311" s="2">
        <v>2</v>
      </c>
      <c r="AI311" s="2">
        <v>0</v>
      </c>
      <c r="AK311">
        <v>5473225</v>
      </c>
      <c r="AL311" t="s">
        <v>429</v>
      </c>
    </row>
    <row r="312" spans="1:38" x14ac:dyDescent="0.25">
      <c r="A312" s="1">
        <v>45799</v>
      </c>
      <c r="B312" s="1">
        <v>45792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755</v>
      </c>
      <c r="J312" t="s">
        <v>756</v>
      </c>
      <c r="M312" t="s">
        <v>558</v>
      </c>
      <c r="O312" t="s">
        <v>95</v>
      </c>
      <c r="P312" t="s">
        <v>96</v>
      </c>
      <c r="Q312" t="s">
        <v>49</v>
      </c>
      <c r="R312" t="s">
        <v>428</v>
      </c>
      <c r="S312" s="1">
        <v>45597</v>
      </c>
      <c r="T312" s="1">
        <v>45823</v>
      </c>
      <c r="U312" t="s">
        <v>51</v>
      </c>
      <c r="V312">
        <v>1</v>
      </c>
      <c r="W312" s="1">
        <v>45797</v>
      </c>
      <c r="X312" t="s">
        <v>52</v>
      </c>
      <c r="Y312" s="2">
        <v>1</v>
      </c>
      <c r="Z312" s="2">
        <v>1</v>
      </c>
      <c r="AB312" s="3">
        <v>1</v>
      </c>
      <c r="AC312" s="2">
        <v>2</v>
      </c>
      <c r="AG312" s="2">
        <v>0</v>
      </c>
      <c r="AH312" s="2">
        <v>2</v>
      </c>
      <c r="AI312" s="2">
        <v>0</v>
      </c>
      <c r="AK312">
        <v>5473226</v>
      </c>
      <c r="AL312" t="s">
        <v>429</v>
      </c>
    </row>
    <row r="313" spans="1:38" x14ac:dyDescent="0.25">
      <c r="A313" s="1">
        <v>45799</v>
      </c>
      <c r="B313" s="1">
        <v>45792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757</v>
      </c>
      <c r="J313" t="s">
        <v>758</v>
      </c>
      <c r="M313" t="s">
        <v>447</v>
      </c>
      <c r="O313" t="s">
        <v>759</v>
      </c>
      <c r="P313" t="s">
        <v>760</v>
      </c>
      <c r="Q313" t="s">
        <v>49</v>
      </c>
      <c r="R313" t="s">
        <v>428</v>
      </c>
      <c r="S313" s="1">
        <v>45627</v>
      </c>
      <c r="T313" s="1">
        <v>45823</v>
      </c>
      <c r="U313" t="s">
        <v>51</v>
      </c>
      <c r="V313">
        <v>1</v>
      </c>
      <c r="W313" s="1">
        <v>45797</v>
      </c>
      <c r="X313" t="s">
        <v>52</v>
      </c>
      <c r="Y313" s="2">
        <v>1</v>
      </c>
      <c r="Z313" s="2">
        <v>1</v>
      </c>
      <c r="AB313" s="3">
        <v>1</v>
      </c>
      <c r="AC313" s="2">
        <v>2</v>
      </c>
      <c r="AG313" s="2">
        <v>0</v>
      </c>
      <c r="AH313" s="2">
        <v>2</v>
      </c>
      <c r="AI313" s="2">
        <v>0</v>
      </c>
      <c r="AK313">
        <v>5473227</v>
      </c>
      <c r="AL313" t="s">
        <v>429</v>
      </c>
    </row>
    <row r="314" spans="1:38" x14ac:dyDescent="0.25">
      <c r="A314" s="1">
        <v>45799</v>
      </c>
      <c r="B314" s="1">
        <v>45792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761</v>
      </c>
      <c r="J314" t="s">
        <v>762</v>
      </c>
      <c r="M314" t="s">
        <v>653</v>
      </c>
      <c r="O314" t="s">
        <v>70</v>
      </c>
      <c r="P314" t="s">
        <v>71</v>
      </c>
      <c r="Q314" t="s">
        <v>49</v>
      </c>
      <c r="R314" t="s">
        <v>440</v>
      </c>
      <c r="S314" s="1">
        <v>45597</v>
      </c>
      <c r="T314" s="1">
        <v>45823</v>
      </c>
      <c r="U314" t="s">
        <v>51</v>
      </c>
      <c r="V314">
        <v>1</v>
      </c>
      <c r="W314" s="1">
        <v>45797</v>
      </c>
      <c r="X314" t="s">
        <v>52</v>
      </c>
      <c r="Y314" s="2">
        <v>1</v>
      </c>
      <c r="Z314" s="2">
        <v>1</v>
      </c>
      <c r="AB314" s="3">
        <v>1</v>
      </c>
      <c r="AC314" s="2">
        <v>2</v>
      </c>
      <c r="AG314" s="2">
        <v>0</v>
      </c>
      <c r="AH314" s="2">
        <v>2</v>
      </c>
      <c r="AI314" s="2">
        <v>0</v>
      </c>
      <c r="AK314">
        <v>5473231</v>
      </c>
      <c r="AL314" t="s">
        <v>429</v>
      </c>
    </row>
    <row r="315" spans="1:38" x14ac:dyDescent="0.25">
      <c r="A315" s="1">
        <v>45799</v>
      </c>
      <c r="B315" s="1">
        <v>45792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763</v>
      </c>
      <c r="J315" t="s">
        <v>764</v>
      </c>
      <c r="M315" t="s">
        <v>423</v>
      </c>
      <c r="O315" t="s">
        <v>372</v>
      </c>
      <c r="P315" t="s">
        <v>373</v>
      </c>
      <c r="Q315" t="s">
        <v>49</v>
      </c>
      <c r="R315" t="s">
        <v>428</v>
      </c>
      <c r="S315" s="1">
        <v>45597</v>
      </c>
      <c r="T315" s="1">
        <v>45823</v>
      </c>
      <c r="U315" t="s">
        <v>51</v>
      </c>
      <c r="V315">
        <v>1</v>
      </c>
      <c r="W315" s="1">
        <v>45797</v>
      </c>
      <c r="X315" t="s">
        <v>52</v>
      </c>
      <c r="Y315" s="2">
        <v>1</v>
      </c>
      <c r="Z315" s="2">
        <v>1</v>
      </c>
      <c r="AB315" s="3">
        <v>1</v>
      </c>
      <c r="AC315" s="2">
        <v>2</v>
      </c>
      <c r="AG315" s="2">
        <v>0</v>
      </c>
      <c r="AH315" s="2">
        <v>2</v>
      </c>
      <c r="AI315" s="2">
        <v>0</v>
      </c>
      <c r="AK315">
        <v>5473236</v>
      </c>
      <c r="AL315" t="s">
        <v>429</v>
      </c>
    </row>
    <row r="316" spans="1:38" x14ac:dyDescent="0.25">
      <c r="A316" s="1">
        <v>45799</v>
      </c>
      <c r="B316" s="1">
        <v>45792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765</v>
      </c>
      <c r="J316" t="s">
        <v>766</v>
      </c>
      <c r="M316" t="s">
        <v>423</v>
      </c>
      <c r="O316" t="s">
        <v>131</v>
      </c>
      <c r="P316" t="s">
        <v>132</v>
      </c>
      <c r="Q316" t="s">
        <v>49</v>
      </c>
      <c r="R316" t="s">
        <v>428</v>
      </c>
      <c r="S316" s="1">
        <v>45627</v>
      </c>
      <c r="T316" s="1">
        <v>45823</v>
      </c>
      <c r="U316" t="s">
        <v>51</v>
      </c>
      <c r="V316">
        <v>1</v>
      </c>
      <c r="W316" s="1">
        <v>45797</v>
      </c>
      <c r="X316" t="s">
        <v>52</v>
      </c>
      <c r="Y316" s="2">
        <v>1</v>
      </c>
      <c r="Z316" s="2">
        <v>1</v>
      </c>
      <c r="AB316" s="3">
        <v>1</v>
      </c>
      <c r="AC316" s="2">
        <v>2</v>
      </c>
      <c r="AG316" s="2">
        <v>0</v>
      </c>
      <c r="AH316" s="2">
        <v>2</v>
      </c>
      <c r="AI316" s="2">
        <v>0</v>
      </c>
      <c r="AK316">
        <v>5473246</v>
      </c>
      <c r="AL316" t="s">
        <v>429</v>
      </c>
    </row>
    <row r="317" spans="1:38" x14ac:dyDescent="0.25">
      <c r="A317" s="1">
        <v>45799</v>
      </c>
      <c r="B317" s="1">
        <v>45792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767</v>
      </c>
      <c r="J317" t="s">
        <v>768</v>
      </c>
      <c r="M317" t="s">
        <v>698</v>
      </c>
      <c r="O317" t="s">
        <v>245</v>
      </c>
      <c r="P317" t="s">
        <v>246</v>
      </c>
      <c r="Q317" t="s">
        <v>49</v>
      </c>
      <c r="R317" t="s">
        <v>567</v>
      </c>
      <c r="S317" s="1">
        <v>45597</v>
      </c>
      <c r="T317" s="1">
        <v>45823</v>
      </c>
      <c r="U317" t="s">
        <v>51</v>
      </c>
      <c r="V317">
        <v>1</v>
      </c>
      <c r="W317" s="1">
        <v>45797</v>
      </c>
      <c r="X317" t="s">
        <v>52</v>
      </c>
      <c r="Y317" s="2">
        <v>1</v>
      </c>
      <c r="Z317" s="2">
        <v>1</v>
      </c>
      <c r="AB317" s="3">
        <v>1</v>
      </c>
      <c r="AC317" s="2">
        <v>2</v>
      </c>
      <c r="AG317" s="2">
        <v>0</v>
      </c>
      <c r="AH317" s="2">
        <v>2</v>
      </c>
      <c r="AI317" s="2">
        <v>0</v>
      </c>
      <c r="AK317">
        <v>5473247</v>
      </c>
      <c r="AL317" t="s">
        <v>429</v>
      </c>
    </row>
    <row r="318" spans="1:38" x14ac:dyDescent="0.25">
      <c r="A318" s="1">
        <v>45799</v>
      </c>
      <c r="B318" s="1">
        <v>45792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769</v>
      </c>
      <c r="J318" t="s">
        <v>770</v>
      </c>
      <c r="M318" t="s">
        <v>771</v>
      </c>
      <c r="O318" t="s">
        <v>772</v>
      </c>
      <c r="P318" t="s">
        <v>773</v>
      </c>
      <c r="Q318" t="s">
        <v>49</v>
      </c>
      <c r="R318" t="s">
        <v>428</v>
      </c>
      <c r="S318" s="1">
        <v>45597</v>
      </c>
      <c r="T318" s="1">
        <v>45823</v>
      </c>
      <c r="U318" t="s">
        <v>51</v>
      </c>
      <c r="V318">
        <v>1</v>
      </c>
      <c r="W318" s="1">
        <v>45797</v>
      </c>
      <c r="X318" t="s">
        <v>52</v>
      </c>
      <c r="Y318" s="2">
        <v>1</v>
      </c>
      <c r="Z318" s="2">
        <v>1</v>
      </c>
      <c r="AB318" s="3">
        <v>1</v>
      </c>
      <c r="AC318" s="2">
        <v>2</v>
      </c>
      <c r="AG318" s="2">
        <v>0</v>
      </c>
      <c r="AH318" s="2">
        <v>2</v>
      </c>
      <c r="AI318" s="2">
        <v>0</v>
      </c>
      <c r="AK318">
        <v>5473258</v>
      </c>
      <c r="AL318" t="s">
        <v>429</v>
      </c>
    </row>
    <row r="319" spans="1:38" x14ac:dyDescent="0.25">
      <c r="A319" s="1">
        <v>45799</v>
      </c>
      <c r="B319" s="1">
        <v>45792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774</v>
      </c>
      <c r="J319" t="s">
        <v>775</v>
      </c>
      <c r="M319" t="s">
        <v>625</v>
      </c>
      <c r="O319" t="s">
        <v>95</v>
      </c>
      <c r="P319" t="s">
        <v>96</v>
      </c>
      <c r="Q319" t="s">
        <v>49</v>
      </c>
      <c r="R319" t="s">
        <v>428</v>
      </c>
      <c r="S319" s="1">
        <v>45597</v>
      </c>
      <c r="T319" s="1">
        <v>45823</v>
      </c>
      <c r="U319" t="s">
        <v>51</v>
      </c>
      <c r="V319">
        <v>1</v>
      </c>
      <c r="W319" s="1">
        <v>45797</v>
      </c>
      <c r="X319" t="s">
        <v>52</v>
      </c>
      <c r="Y319" s="2">
        <v>1</v>
      </c>
      <c r="Z319" s="2">
        <v>1</v>
      </c>
      <c r="AB319" s="3">
        <v>1</v>
      </c>
      <c r="AC319" s="2">
        <v>2</v>
      </c>
      <c r="AG319" s="2">
        <v>0</v>
      </c>
      <c r="AH319" s="2">
        <v>2</v>
      </c>
      <c r="AI319" s="2">
        <v>0</v>
      </c>
      <c r="AK319">
        <v>5473261</v>
      </c>
      <c r="AL319" t="s">
        <v>429</v>
      </c>
    </row>
    <row r="320" spans="1:38" x14ac:dyDescent="0.25">
      <c r="A320" s="1">
        <v>45799</v>
      </c>
      <c r="B320" s="1">
        <v>45792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776</v>
      </c>
      <c r="J320" t="s">
        <v>777</v>
      </c>
      <c r="M320" t="s">
        <v>423</v>
      </c>
      <c r="O320" t="s">
        <v>372</v>
      </c>
      <c r="P320" t="s">
        <v>373</v>
      </c>
      <c r="Q320" t="s">
        <v>49</v>
      </c>
      <c r="R320" t="s">
        <v>440</v>
      </c>
      <c r="S320" s="1">
        <v>45597</v>
      </c>
      <c r="T320" s="1">
        <v>45823</v>
      </c>
      <c r="U320" t="s">
        <v>51</v>
      </c>
      <c r="V320">
        <v>1</v>
      </c>
      <c r="W320" s="1">
        <v>45797</v>
      </c>
      <c r="X320" t="s">
        <v>52</v>
      </c>
      <c r="Y320" s="2">
        <v>1</v>
      </c>
      <c r="Z320" s="2">
        <v>1</v>
      </c>
      <c r="AB320" s="3">
        <v>1</v>
      </c>
      <c r="AC320" s="2">
        <v>2</v>
      </c>
      <c r="AG320" s="2">
        <v>0</v>
      </c>
      <c r="AH320" s="2">
        <v>2</v>
      </c>
      <c r="AI320" s="2">
        <v>0</v>
      </c>
      <c r="AK320">
        <v>5473262</v>
      </c>
      <c r="AL320" t="s">
        <v>429</v>
      </c>
    </row>
    <row r="321" spans="1:38" x14ac:dyDescent="0.25">
      <c r="A321" s="1">
        <v>45799</v>
      </c>
      <c r="B321" s="1">
        <v>45792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778</v>
      </c>
      <c r="J321" t="s">
        <v>779</v>
      </c>
      <c r="M321" t="s">
        <v>423</v>
      </c>
      <c r="O321" t="s">
        <v>372</v>
      </c>
      <c r="P321" t="s">
        <v>373</v>
      </c>
      <c r="Q321" t="s">
        <v>49</v>
      </c>
      <c r="R321" t="s">
        <v>428</v>
      </c>
      <c r="S321" s="1">
        <v>45627</v>
      </c>
      <c r="T321" s="1">
        <v>45823</v>
      </c>
      <c r="U321" t="s">
        <v>51</v>
      </c>
      <c r="V321">
        <v>1</v>
      </c>
      <c r="W321" s="1">
        <v>45797</v>
      </c>
      <c r="X321" t="s">
        <v>52</v>
      </c>
      <c r="Y321" s="2">
        <v>1</v>
      </c>
      <c r="Z321" s="2">
        <v>1</v>
      </c>
      <c r="AB321" s="3">
        <v>1</v>
      </c>
      <c r="AC321" s="2">
        <v>2</v>
      </c>
      <c r="AG321" s="2">
        <v>0</v>
      </c>
      <c r="AH321" s="2">
        <v>2</v>
      </c>
      <c r="AI321" s="2">
        <v>0</v>
      </c>
      <c r="AK321">
        <v>5473267</v>
      </c>
      <c r="AL321" t="s">
        <v>429</v>
      </c>
    </row>
    <row r="322" spans="1:38" x14ac:dyDescent="0.25">
      <c r="A322" s="1">
        <v>45799</v>
      </c>
      <c r="B322" s="1">
        <v>45792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780</v>
      </c>
      <c r="J322" t="s">
        <v>781</v>
      </c>
      <c r="M322" t="s">
        <v>418</v>
      </c>
      <c r="O322" t="s">
        <v>95</v>
      </c>
      <c r="P322" t="s">
        <v>96</v>
      </c>
      <c r="Q322" t="s">
        <v>49</v>
      </c>
      <c r="R322" t="s">
        <v>428</v>
      </c>
      <c r="S322" s="1">
        <v>45597</v>
      </c>
      <c r="T322" s="1">
        <v>45823</v>
      </c>
      <c r="U322" t="s">
        <v>51</v>
      </c>
      <c r="V322">
        <v>1</v>
      </c>
      <c r="W322" s="1">
        <v>45797</v>
      </c>
      <c r="X322" t="s">
        <v>52</v>
      </c>
      <c r="Y322" s="2">
        <v>1</v>
      </c>
      <c r="Z322" s="2">
        <v>1</v>
      </c>
      <c r="AB322" s="3">
        <v>1</v>
      </c>
      <c r="AC322" s="2">
        <v>2</v>
      </c>
      <c r="AG322" s="2">
        <v>0</v>
      </c>
      <c r="AH322" s="2">
        <v>2</v>
      </c>
      <c r="AI322" s="2">
        <v>0</v>
      </c>
      <c r="AK322">
        <v>5473269</v>
      </c>
      <c r="AL322" t="s">
        <v>429</v>
      </c>
    </row>
    <row r="323" spans="1:38" x14ac:dyDescent="0.25">
      <c r="A323" s="1">
        <v>45799</v>
      </c>
      <c r="B323" s="1">
        <v>45792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782</v>
      </c>
      <c r="J323" t="s">
        <v>783</v>
      </c>
      <c r="M323" t="s">
        <v>418</v>
      </c>
      <c r="O323" t="s">
        <v>251</v>
      </c>
      <c r="P323" t="s">
        <v>252</v>
      </c>
      <c r="Q323" t="s">
        <v>49</v>
      </c>
      <c r="R323" t="s">
        <v>428</v>
      </c>
      <c r="S323" s="1">
        <v>45627</v>
      </c>
      <c r="T323" s="1">
        <v>45823</v>
      </c>
      <c r="U323" t="s">
        <v>51</v>
      </c>
      <c r="V323">
        <v>1</v>
      </c>
      <c r="W323" s="1">
        <v>45797</v>
      </c>
      <c r="X323" t="s">
        <v>52</v>
      </c>
      <c r="Y323" s="2">
        <v>1</v>
      </c>
      <c r="Z323" s="2">
        <v>1</v>
      </c>
      <c r="AB323" s="3">
        <v>1</v>
      </c>
      <c r="AC323" s="2">
        <v>2</v>
      </c>
      <c r="AG323" s="2">
        <v>0</v>
      </c>
      <c r="AH323" s="2">
        <v>2</v>
      </c>
      <c r="AI323" s="2">
        <v>0</v>
      </c>
      <c r="AK323">
        <v>5473271</v>
      </c>
      <c r="AL323" t="s">
        <v>429</v>
      </c>
    </row>
    <row r="324" spans="1:38" x14ac:dyDescent="0.25">
      <c r="A324" s="1">
        <v>45799</v>
      </c>
      <c r="B324" s="1">
        <v>45792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784</v>
      </c>
      <c r="J324" t="s">
        <v>785</v>
      </c>
      <c r="M324" t="s">
        <v>771</v>
      </c>
      <c r="O324" t="s">
        <v>772</v>
      </c>
      <c r="P324" t="s">
        <v>773</v>
      </c>
      <c r="Q324" t="s">
        <v>49</v>
      </c>
      <c r="R324" t="s">
        <v>428</v>
      </c>
      <c r="S324" s="1">
        <v>45627</v>
      </c>
      <c r="T324" s="1">
        <v>45823</v>
      </c>
      <c r="U324" t="s">
        <v>51</v>
      </c>
      <c r="V324">
        <v>1</v>
      </c>
      <c r="W324" s="1">
        <v>45797</v>
      </c>
      <c r="X324" t="s">
        <v>52</v>
      </c>
      <c r="Y324" s="2">
        <v>1</v>
      </c>
      <c r="Z324" s="2">
        <v>1</v>
      </c>
      <c r="AB324" s="3">
        <v>1</v>
      </c>
      <c r="AC324" s="2">
        <v>2</v>
      </c>
      <c r="AG324" s="2">
        <v>0</v>
      </c>
      <c r="AH324" s="2">
        <v>2</v>
      </c>
      <c r="AI324" s="2">
        <v>0</v>
      </c>
      <c r="AK324">
        <v>5473275</v>
      </c>
      <c r="AL324" t="s">
        <v>429</v>
      </c>
    </row>
    <row r="325" spans="1:38" x14ac:dyDescent="0.25">
      <c r="A325" s="1">
        <v>45799</v>
      </c>
      <c r="B325" s="1">
        <v>45792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786</v>
      </c>
      <c r="J325" t="s">
        <v>787</v>
      </c>
      <c r="M325" t="s">
        <v>418</v>
      </c>
      <c r="O325" t="s">
        <v>70</v>
      </c>
      <c r="P325" t="s">
        <v>71</v>
      </c>
      <c r="Q325" t="s">
        <v>49</v>
      </c>
      <c r="R325" t="s">
        <v>428</v>
      </c>
      <c r="S325" s="1">
        <v>45627</v>
      </c>
      <c r="T325" s="1">
        <v>45823</v>
      </c>
      <c r="U325" t="s">
        <v>51</v>
      </c>
      <c r="V325">
        <v>1</v>
      </c>
      <c r="W325" s="1">
        <v>45797</v>
      </c>
      <c r="X325" t="s">
        <v>52</v>
      </c>
      <c r="Y325" s="2">
        <v>1</v>
      </c>
      <c r="Z325" s="2">
        <v>1</v>
      </c>
      <c r="AB325" s="3">
        <v>1</v>
      </c>
      <c r="AC325" s="2">
        <v>2</v>
      </c>
      <c r="AG325" s="2">
        <v>0</v>
      </c>
      <c r="AH325" s="2">
        <v>2</v>
      </c>
      <c r="AI325" s="2">
        <v>0</v>
      </c>
      <c r="AK325">
        <v>5473279</v>
      </c>
      <c r="AL325" t="s">
        <v>429</v>
      </c>
    </row>
    <row r="326" spans="1:38" x14ac:dyDescent="0.25">
      <c r="A326" s="1">
        <v>45799</v>
      </c>
      <c r="B326" s="1">
        <v>45792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788</v>
      </c>
      <c r="J326" t="s">
        <v>789</v>
      </c>
      <c r="M326" t="s">
        <v>418</v>
      </c>
      <c r="O326" t="s">
        <v>62</v>
      </c>
      <c r="P326" t="s">
        <v>63</v>
      </c>
      <c r="Q326" t="s">
        <v>49</v>
      </c>
      <c r="R326" t="s">
        <v>428</v>
      </c>
      <c r="S326" s="1">
        <v>45627</v>
      </c>
      <c r="T326" s="1">
        <v>45823</v>
      </c>
      <c r="U326" t="s">
        <v>51</v>
      </c>
      <c r="V326">
        <v>1</v>
      </c>
      <c r="W326" s="1">
        <v>45797</v>
      </c>
      <c r="X326" t="s">
        <v>52</v>
      </c>
      <c r="Y326" s="2">
        <v>1</v>
      </c>
      <c r="Z326" s="2">
        <v>1</v>
      </c>
      <c r="AB326" s="3">
        <v>1</v>
      </c>
      <c r="AC326" s="2">
        <v>2</v>
      </c>
      <c r="AG326" s="2">
        <v>0</v>
      </c>
      <c r="AH326" s="2">
        <v>2</v>
      </c>
      <c r="AI326" s="2">
        <v>0</v>
      </c>
      <c r="AK326">
        <v>5473284</v>
      </c>
      <c r="AL326" t="s">
        <v>429</v>
      </c>
    </row>
    <row r="327" spans="1:38" x14ac:dyDescent="0.25">
      <c r="A327" s="1">
        <v>45799</v>
      </c>
      <c r="B327" s="1">
        <v>45792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790</v>
      </c>
      <c r="J327" t="s">
        <v>791</v>
      </c>
      <c r="M327" t="s">
        <v>418</v>
      </c>
      <c r="O327" t="s">
        <v>62</v>
      </c>
      <c r="P327" t="s">
        <v>63</v>
      </c>
      <c r="Q327" t="s">
        <v>49</v>
      </c>
      <c r="R327" t="s">
        <v>428</v>
      </c>
      <c r="S327" s="1">
        <v>45627</v>
      </c>
      <c r="T327" s="1">
        <v>45823</v>
      </c>
      <c r="U327" t="s">
        <v>51</v>
      </c>
      <c r="V327">
        <v>1</v>
      </c>
      <c r="W327" s="1">
        <v>45797</v>
      </c>
      <c r="X327" t="s">
        <v>52</v>
      </c>
      <c r="Y327" s="2">
        <v>1</v>
      </c>
      <c r="Z327" s="2">
        <v>1</v>
      </c>
      <c r="AB327" s="3">
        <v>1</v>
      </c>
      <c r="AC327" s="2">
        <v>2</v>
      </c>
      <c r="AG327" s="2">
        <v>0</v>
      </c>
      <c r="AH327" s="2">
        <v>2</v>
      </c>
      <c r="AI327" s="2">
        <v>0</v>
      </c>
      <c r="AK327">
        <v>5473293</v>
      </c>
      <c r="AL327" t="s">
        <v>429</v>
      </c>
    </row>
    <row r="328" spans="1:38" x14ac:dyDescent="0.25">
      <c r="A328" s="1">
        <v>45799</v>
      </c>
      <c r="B328" s="1">
        <v>45792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792</v>
      </c>
      <c r="J328" t="s">
        <v>793</v>
      </c>
      <c r="M328" t="s">
        <v>771</v>
      </c>
      <c r="O328" t="s">
        <v>76</v>
      </c>
      <c r="P328" t="s">
        <v>77</v>
      </c>
      <c r="Q328" t="s">
        <v>49</v>
      </c>
      <c r="R328" t="s">
        <v>428</v>
      </c>
      <c r="S328" s="1">
        <v>45627</v>
      </c>
      <c r="T328" s="1">
        <v>45823</v>
      </c>
      <c r="U328" t="s">
        <v>51</v>
      </c>
      <c r="V328">
        <v>1</v>
      </c>
      <c r="W328" s="1">
        <v>45797</v>
      </c>
      <c r="X328" t="s">
        <v>52</v>
      </c>
      <c r="Y328" s="2">
        <v>1</v>
      </c>
      <c r="Z328" s="2">
        <v>1</v>
      </c>
      <c r="AB328" s="3">
        <v>1</v>
      </c>
      <c r="AC328" s="2">
        <v>2</v>
      </c>
      <c r="AG328" s="2">
        <v>0</v>
      </c>
      <c r="AH328" s="2">
        <v>2</v>
      </c>
      <c r="AI328" s="2">
        <v>0</v>
      </c>
      <c r="AK328">
        <v>5473300</v>
      </c>
      <c r="AL328" t="s">
        <v>429</v>
      </c>
    </row>
    <row r="329" spans="1:38" x14ac:dyDescent="0.25">
      <c r="A329" s="1">
        <v>45799</v>
      </c>
      <c r="B329" s="1">
        <v>45792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794</v>
      </c>
      <c r="J329" t="s">
        <v>795</v>
      </c>
      <c r="M329" t="s">
        <v>520</v>
      </c>
      <c r="O329" t="s">
        <v>559</v>
      </c>
      <c r="P329" t="s">
        <v>560</v>
      </c>
      <c r="Q329" t="s">
        <v>49</v>
      </c>
      <c r="R329" t="s">
        <v>428</v>
      </c>
      <c r="S329" s="1">
        <v>45627</v>
      </c>
      <c r="T329" s="1">
        <v>45823</v>
      </c>
      <c r="U329" t="s">
        <v>51</v>
      </c>
      <c r="V329">
        <v>1</v>
      </c>
      <c r="W329" s="1">
        <v>45797</v>
      </c>
      <c r="X329" t="s">
        <v>52</v>
      </c>
      <c r="Y329" s="2">
        <v>1</v>
      </c>
      <c r="Z329" s="2">
        <v>1</v>
      </c>
      <c r="AB329" s="3">
        <v>1</v>
      </c>
      <c r="AC329" s="2">
        <v>2</v>
      </c>
      <c r="AG329" s="2">
        <v>0</v>
      </c>
      <c r="AH329" s="2">
        <v>2</v>
      </c>
      <c r="AI329" s="2">
        <v>0</v>
      </c>
      <c r="AK329">
        <v>5473304</v>
      </c>
      <c r="AL329" t="s">
        <v>429</v>
      </c>
    </row>
    <row r="330" spans="1:38" x14ac:dyDescent="0.25">
      <c r="A330" s="1">
        <v>45799</v>
      </c>
      <c r="B330" s="1">
        <v>45792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796</v>
      </c>
      <c r="J330" t="s">
        <v>797</v>
      </c>
      <c r="M330" t="s">
        <v>423</v>
      </c>
      <c r="O330" t="s">
        <v>372</v>
      </c>
      <c r="P330" t="s">
        <v>373</v>
      </c>
      <c r="Q330" t="s">
        <v>49</v>
      </c>
      <c r="R330" t="s">
        <v>428</v>
      </c>
      <c r="S330" s="1">
        <v>45627</v>
      </c>
      <c r="T330" s="1">
        <v>45823</v>
      </c>
      <c r="U330" t="s">
        <v>51</v>
      </c>
      <c r="V330">
        <v>1</v>
      </c>
      <c r="W330" s="1">
        <v>45797</v>
      </c>
      <c r="X330" t="s">
        <v>52</v>
      </c>
      <c r="Y330" s="2">
        <v>1</v>
      </c>
      <c r="Z330" s="2">
        <v>1</v>
      </c>
      <c r="AB330" s="3">
        <v>1</v>
      </c>
      <c r="AC330" s="2">
        <v>2</v>
      </c>
      <c r="AG330" s="2">
        <v>0</v>
      </c>
      <c r="AH330" s="2">
        <v>2</v>
      </c>
      <c r="AI330" s="2">
        <v>0</v>
      </c>
      <c r="AK330">
        <v>5473306</v>
      </c>
      <c r="AL330" t="s">
        <v>429</v>
      </c>
    </row>
    <row r="331" spans="1:38" x14ac:dyDescent="0.25">
      <c r="A331" s="1">
        <v>45799</v>
      </c>
      <c r="B331" s="1">
        <v>45792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798</v>
      </c>
      <c r="J331" t="s">
        <v>799</v>
      </c>
      <c r="M331" t="s">
        <v>423</v>
      </c>
      <c r="O331" t="s">
        <v>131</v>
      </c>
      <c r="P331" t="s">
        <v>132</v>
      </c>
      <c r="Q331" t="s">
        <v>49</v>
      </c>
      <c r="R331" t="s">
        <v>428</v>
      </c>
      <c r="S331" s="1">
        <v>45627</v>
      </c>
      <c r="T331" s="1">
        <v>45823</v>
      </c>
      <c r="U331" t="s">
        <v>51</v>
      </c>
      <c r="V331">
        <v>1</v>
      </c>
      <c r="W331" s="1">
        <v>45797</v>
      </c>
      <c r="X331" t="s">
        <v>52</v>
      </c>
      <c r="Y331" s="2">
        <v>1</v>
      </c>
      <c r="Z331" s="2">
        <v>1</v>
      </c>
      <c r="AB331" s="3">
        <v>1</v>
      </c>
      <c r="AC331" s="2">
        <v>2</v>
      </c>
      <c r="AG331" s="2">
        <v>0</v>
      </c>
      <c r="AH331" s="2">
        <v>2</v>
      </c>
      <c r="AI331" s="2">
        <v>0</v>
      </c>
      <c r="AK331">
        <v>5473307</v>
      </c>
      <c r="AL331" t="s">
        <v>429</v>
      </c>
    </row>
    <row r="332" spans="1:38" x14ac:dyDescent="0.25">
      <c r="A332" s="1">
        <v>45799</v>
      </c>
      <c r="B332" s="1">
        <v>45792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800</v>
      </c>
      <c r="J332" t="s">
        <v>801</v>
      </c>
      <c r="M332" t="s">
        <v>653</v>
      </c>
      <c r="O332" t="s">
        <v>654</v>
      </c>
      <c r="P332" t="s">
        <v>655</v>
      </c>
      <c r="Q332" t="s">
        <v>49</v>
      </c>
      <c r="R332" t="s">
        <v>428</v>
      </c>
      <c r="S332" s="1">
        <v>45627</v>
      </c>
      <c r="T332" s="1">
        <v>45823</v>
      </c>
      <c r="U332" t="s">
        <v>51</v>
      </c>
      <c r="V332">
        <v>1</v>
      </c>
      <c r="W332" s="1">
        <v>45797</v>
      </c>
      <c r="X332" t="s">
        <v>52</v>
      </c>
      <c r="Y332" s="2">
        <v>1</v>
      </c>
      <c r="Z332" s="2">
        <v>1</v>
      </c>
      <c r="AB332" s="3">
        <v>1</v>
      </c>
      <c r="AC332" s="2">
        <v>2</v>
      </c>
      <c r="AG332" s="2">
        <v>0</v>
      </c>
      <c r="AH332" s="2">
        <v>2</v>
      </c>
      <c r="AI332" s="2">
        <v>0</v>
      </c>
      <c r="AK332">
        <v>5473315</v>
      </c>
      <c r="AL332" t="s">
        <v>429</v>
      </c>
    </row>
    <row r="333" spans="1:38" x14ac:dyDescent="0.25">
      <c r="A333" s="1">
        <v>45799</v>
      </c>
      <c r="B333" s="1">
        <v>45792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802</v>
      </c>
      <c r="J333" t="s">
        <v>803</v>
      </c>
      <c r="M333" t="s">
        <v>418</v>
      </c>
      <c r="O333" t="s">
        <v>62</v>
      </c>
      <c r="P333" t="s">
        <v>63</v>
      </c>
      <c r="Q333" t="s">
        <v>49</v>
      </c>
      <c r="R333" t="s">
        <v>428</v>
      </c>
      <c r="S333" s="1">
        <v>45627</v>
      </c>
      <c r="T333" s="1">
        <v>45823</v>
      </c>
      <c r="U333" t="s">
        <v>51</v>
      </c>
      <c r="V333">
        <v>1</v>
      </c>
      <c r="W333" s="1">
        <v>45797</v>
      </c>
      <c r="X333" t="s">
        <v>52</v>
      </c>
      <c r="Y333" s="2">
        <v>1</v>
      </c>
      <c r="Z333" s="2">
        <v>1</v>
      </c>
      <c r="AB333" s="3">
        <v>1</v>
      </c>
      <c r="AC333" s="2">
        <v>2</v>
      </c>
      <c r="AG333" s="2">
        <v>0</v>
      </c>
      <c r="AH333" s="2">
        <v>2</v>
      </c>
      <c r="AI333" s="2">
        <v>0</v>
      </c>
      <c r="AK333">
        <v>5473317</v>
      </c>
      <c r="AL333" t="s">
        <v>429</v>
      </c>
    </row>
    <row r="334" spans="1:38" x14ac:dyDescent="0.25">
      <c r="A334" s="1">
        <v>45799</v>
      </c>
      <c r="B334" s="1">
        <v>45792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804</v>
      </c>
      <c r="J334" t="s">
        <v>805</v>
      </c>
      <c r="M334" t="s">
        <v>418</v>
      </c>
      <c r="O334" t="s">
        <v>380</v>
      </c>
      <c r="P334" t="s">
        <v>381</v>
      </c>
      <c r="Q334" t="s">
        <v>49</v>
      </c>
      <c r="R334" t="s">
        <v>428</v>
      </c>
      <c r="S334" s="1">
        <v>45627</v>
      </c>
      <c r="T334" s="1">
        <v>45823</v>
      </c>
      <c r="U334" t="s">
        <v>51</v>
      </c>
      <c r="V334">
        <v>1</v>
      </c>
      <c r="W334" s="1">
        <v>45797</v>
      </c>
      <c r="X334" t="s">
        <v>52</v>
      </c>
      <c r="Y334" s="2">
        <v>1</v>
      </c>
      <c r="Z334" s="2">
        <v>1</v>
      </c>
      <c r="AB334" s="3">
        <v>1</v>
      </c>
      <c r="AC334" s="2">
        <v>2</v>
      </c>
      <c r="AG334" s="2">
        <v>0</v>
      </c>
      <c r="AH334" s="2">
        <v>2</v>
      </c>
      <c r="AI334" s="2">
        <v>0</v>
      </c>
      <c r="AK334">
        <v>5473318</v>
      </c>
      <c r="AL334" t="s">
        <v>429</v>
      </c>
    </row>
    <row r="335" spans="1:38" x14ac:dyDescent="0.25">
      <c r="A335" s="1">
        <v>45799</v>
      </c>
      <c r="B335" s="1">
        <v>45792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806</v>
      </c>
      <c r="J335" t="s">
        <v>807</v>
      </c>
      <c r="M335" t="s">
        <v>418</v>
      </c>
      <c r="O335" t="s">
        <v>125</v>
      </c>
      <c r="P335" t="s">
        <v>126</v>
      </c>
      <c r="Q335" t="s">
        <v>49</v>
      </c>
      <c r="R335" t="s">
        <v>428</v>
      </c>
      <c r="S335" s="1">
        <v>45627</v>
      </c>
      <c r="T335" s="1">
        <v>45823</v>
      </c>
      <c r="U335" t="s">
        <v>51</v>
      </c>
      <c r="V335">
        <v>1</v>
      </c>
      <c r="W335" s="1">
        <v>45797</v>
      </c>
      <c r="X335" t="s">
        <v>52</v>
      </c>
      <c r="Y335" s="2">
        <v>1</v>
      </c>
      <c r="Z335" s="2">
        <v>1</v>
      </c>
      <c r="AB335" s="3">
        <v>1</v>
      </c>
      <c r="AC335" s="2">
        <v>2</v>
      </c>
      <c r="AG335" s="2">
        <v>0</v>
      </c>
      <c r="AH335" s="2">
        <v>2</v>
      </c>
      <c r="AI335" s="2">
        <v>0</v>
      </c>
      <c r="AK335">
        <v>5473321</v>
      </c>
      <c r="AL335" t="s">
        <v>429</v>
      </c>
    </row>
    <row r="336" spans="1:38" x14ac:dyDescent="0.25">
      <c r="A336" s="1">
        <v>45799</v>
      </c>
      <c r="B336" s="1">
        <v>45792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808</v>
      </c>
      <c r="J336" t="s">
        <v>809</v>
      </c>
      <c r="M336" t="s">
        <v>418</v>
      </c>
      <c r="O336" t="s">
        <v>62</v>
      </c>
      <c r="P336" t="s">
        <v>63</v>
      </c>
      <c r="Q336" t="s">
        <v>49</v>
      </c>
      <c r="R336" t="s">
        <v>428</v>
      </c>
      <c r="S336" s="1">
        <v>45627</v>
      </c>
      <c r="T336" s="1">
        <v>45823</v>
      </c>
      <c r="U336" t="s">
        <v>51</v>
      </c>
      <c r="V336">
        <v>1</v>
      </c>
      <c r="W336" s="1">
        <v>45797</v>
      </c>
      <c r="X336" t="s">
        <v>52</v>
      </c>
      <c r="Y336" s="2">
        <v>1</v>
      </c>
      <c r="Z336" s="2">
        <v>1</v>
      </c>
      <c r="AB336" s="3">
        <v>1</v>
      </c>
      <c r="AC336" s="2">
        <v>2</v>
      </c>
      <c r="AG336" s="2">
        <v>0</v>
      </c>
      <c r="AH336" s="2">
        <v>2</v>
      </c>
      <c r="AI336" s="2">
        <v>0</v>
      </c>
      <c r="AK336">
        <v>5473325</v>
      </c>
      <c r="AL336" t="s">
        <v>429</v>
      </c>
    </row>
    <row r="337" spans="1:38" x14ac:dyDescent="0.25">
      <c r="A337" s="1">
        <v>45799</v>
      </c>
      <c r="B337" s="1">
        <v>45792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810</v>
      </c>
      <c r="J337" t="s">
        <v>811</v>
      </c>
      <c r="M337" t="s">
        <v>698</v>
      </c>
      <c r="O337" t="s">
        <v>699</v>
      </c>
      <c r="P337" t="s">
        <v>700</v>
      </c>
      <c r="Q337" t="s">
        <v>49</v>
      </c>
      <c r="R337" t="s">
        <v>812</v>
      </c>
      <c r="S337" s="1">
        <v>45474</v>
      </c>
      <c r="T337" s="1">
        <v>45823</v>
      </c>
      <c r="U337" t="s">
        <v>51</v>
      </c>
      <c r="V337">
        <v>1</v>
      </c>
      <c r="W337" s="1">
        <v>45798</v>
      </c>
      <c r="X337" t="s">
        <v>52</v>
      </c>
      <c r="Y337" s="2">
        <v>1</v>
      </c>
      <c r="Z337" s="2">
        <v>1</v>
      </c>
      <c r="AB337" s="3">
        <v>1</v>
      </c>
      <c r="AC337" s="2">
        <v>25.5</v>
      </c>
      <c r="AG337" s="2">
        <v>0</v>
      </c>
      <c r="AH337" s="2">
        <v>25.5</v>
      </c>
      <c r="AI337" s="2">
        <v>0</v>
      </c>
      <c r="AK337">
        <v>5487056</v>
      </c>
      <c r="AL337" t="s">
        <v>420</v>
      </c>
    </row>
    <row r="338" spans="1:38" x14ac:dyDescent="0.25">
      <c r="A338" s="1">
        <v>45799</v>
      </c>
      <c r="B338" s="1">
        <v>45792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813</v>
      </c>
      <c r="J338" t="s">
        <v>811</v>
      </c>
      <c r="M338" t="s">
        <v>698</v>
      </c>
      <c r="O338" t="s">
        <v>699</v>
      </c>
      <c r="P338" t="s">
        <v>700</v>
      </c>
      <c r="Q338" t="s">
        <v>49</v>
      </c>
      <c r="R338" t="s">
        <v>814</v>
      </c>
      <c r="S338" s="1">
        <v>45474</v>
      </c>
      <c r="T338" s="1">
        <v>45823</v>
      </c>
      <c r="U338" t="s">
        <v>51</v>
      </c>
      <c r="V338">
        <v>1</v>
      </c>
      <c r="W338" s="1">
        <v>45798</v>
      </c>
      <c r="X338" t="s">
        <v>52</v>
      </c>
      <c r="Y338" s="2">
        <v>1</v>
      </c>
      <c r="Z338" s="2">
        <v>1</v>
      </c>
      <c r="AB338" s="3">
        <v>1</v>
      </c>
      <c r="AC338" s="2">
        <v>6</v>
      </c>
      <c r="AG338" s="2">
        <v>0</v>
      </c>
      <c r="AH338" s="2">
        <v>6</v>
      </c>
      <c r="AI338" s="2">
        <v>0</v>
      </c>
      <c r="AK338">
        <v>5487055</v>
      </c>
      <c r="AL338" t="s">
        <v>420</v>
      </c>
    </row>
    <row r="339" spans="1:38" x14ac:dyDescent="0.25">
      <c r="A339" s="1">
        <v>45799</v>
      </c>
      <c r="B339" s="1">
        <v>45792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815</v>
      </c>
      <c r="J339" t="s">
        <v>816</v>
      </c>
      <c r="M339" t="s">
        <v>698</v>
      </c>
      <c r="O339" t="s">
        <v>699</v>
      </c>
      <c r="P339" t="s">
        <v>700</v>
      </c>
      <c r="Q339" t="s">
        <v>49</v>
      </c>
      <c r="R339" t="s">
        <v>817</v>
      </c>
      <c r="S339" s="1">
        <v>45505</v>
      </c>
      <c r="T339" s="1">
        <v>45823</v>
      </c>
      <c r="U339" t="s">
        <v>51</v>
      </c>
      <c r="V339">
        <v>1</v>
      </c>
      <c r="W339" s="1">
        <v>45798</v>
      </c>
      <c r="X339" t="s">
        <v>52</v>
      </c>
      <c r="Y339" s="2">
        <v>1</v>
      </c>
      <c r="Z339" s="2">
        <v>1</v>
      </c>
      <c r="AB339" s="3">
        <v>1</v>
      </c>
      <c r="AC339" s="2">
        <v>25.5</v>
      </c>
      <c r="AG339" s="2">
        <v>0</v>
      </c>
      <c r="AH339" s="2">
        <v>25.5</v>
      </c>
      <c r="AI339" s="2">
        <v>0</v>
      </c>
      <c r="AK339">
        <v>5487073</v>
      </c>
      <c r="AL339" t="s">
        <v>420</v>
      </c>
    </row>
    <row r="340" spans="1:38" x14ac:dyDescent="0.25">
      <c r="A340" s="1">
        <v>45799</v>
      </c>
      <c r="B340" s="1">
        <v>45792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818</v>
      </c>
      <c r="J340" t="s">
        <v>816</v>
      </c>
      <c r="M340" t="s">
        <v>698</v>
      </c>
      <c r="O340" t="s">
        <v>699</v>
      </c>
      <c r="P340" t="s">
        <v>700</v>
      </c>
      <c r="Q340" t="s">
        <v>49</v>
      </c>
      <c r="R340" t="s">
        <v>819</v>
      </c>
      <c r="S340" s="1">
        <v>45505</v>
      </c>
      <c r="T340" s="1">
        <v>45823</v>
      </c>
      <c r="U340" t="s">
        <v>51</v>
      </c>
      <c r="V340">
        <v>1</v>
      </c>
      <c r="W340" s="1">
        <v>45798</v>
      </c>
      <c r="X340" t="s">
        <v>52</v>
      </c>
      <c r="Y340" s="2">
        <v>1</v>
      </c>
      <c r="Z340" s="2">
        <v>1</v>
      </c>
      <c r="AB340" s="3">
        <v>1</v>
      </c>
      <c r="AC340" s="2">
        <v>6</v>
      </c>
      <c r="AG340" s="2">
        <v>0</v>
      </c>
      <c r="AH340" s="2">
        <v>6</v>
      </c>
      <c r="AI340" s="2">
        <v>0</v>
      </c>
      <c r="AK340">
        <v>5487072</v>
      </c>
      <c r="AL340" t="s">
        <v>420</v>
      </c>
    </row>
    <row r="341" spans="1:38" x14ac:dyDescent="0.25">
      <c r="A341" s="1">
        <v>45799</v>
      </c>
      <c r="B341" s="1">
        <v>45792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820</v>
      </c>
      <c r="J341" t="s">
        <v>821</v>
      </c>
      <c r="M341" t="s">
        <v>450</v>
      </c>
      <c r="O341" t="s">
        <v>158</v>
      </c>
      <c r="P341" t="s">
        <v>159</v>
      </c>
      <c r="Q341" t="s">
        <v>49</v>
      </c>
      <c r="R341" t="s">
        <v>812</v>
      </c>
      <c r="S341" s="1">
        <v>45536</v>
      </c>
      <c r="T341" s="1">
        <v>45823</v>
      </c>
      <c r="U341" t="s">
        <v>51</v>
      </c>
      <c r="V341">
        <v>1</v>
      </c>
      <c r="W341" s="1">
        <v>45798</v>
      </c>
      <c r="X341" t="s">
        <v>52</v>
      </c>
      <c r="Y341" s="2">
        <v>1</v>
      </c>
      <c r="Z341" s="2">
        <v>1</v>
      </c>
      <c r="AB341" s="3">
        <v>1</v>
      </c>
      <c r="AC341" s="2">
        <v>25.5</v>
      </c>
      <c r="AG341" s="2">
        <v>0</v>
      </c>
      <c r="AH341" s="2">
        <v>25.5</v>
      </c>
      <c r="AI341" s="2">
        <v>0</v>
      </c>
      <c r="AK341">
        <v>5487094</v>
      </c>
      <c r="AL341" t="s">
        <v>420</v>
      </c>
    </row>
    <row r="342" spans="1:38" x14ac:dyDescent="0.25">
      <c r="A342" s="1">
        <v>45799</v>
      </c>
      <c r="B342" s="1">
        <v>45792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822</v>
      </c>
      <c r="J342" t="s">
        <v>821</v>
      </c>
      <c r="M342" t="s">
        <v>450</v>
      </c>
      <c r="O342" t="s">
        <v>158</v>
      </c>
      <c r="P342" t="s">
        <v>159</v>
      </c>
      <c r="Q342" t="s">
        <v>49</v>
      </c>
      <c r="R342" t="s">
        <v>814</v>
      </c>
      <c r="S342" s="1">
        <v>45536</v>
      </c>
      <c r="T342" s="1">
        <v>45823</v>
      </c>
      <c r="U342" t="s">
        <v>51</v>
      </c>
      <c r="V342">
        <v>1</v>
      </c>
      <c r="W342" s="1">
        <v>45798</v>
      </c>
      <c r="X342" t="s">
        <v>52</v>
      </c>
      <c r="Y342" s="2">
        <v>1</v>
      </c>
      <c r="Z342" s="2">
        <v>1</v>
      </c>
      <c r="AB342" s="3">
        <v>1</v>
      </c>
      <c r="AC342" s="2">
        <v>6</v>
      </c>
      <c r="AG342" s="2">
        <v>0</v>
      </c>
      <c r="AH342" s="2">
        <v>6</v>
      </c>
      <c r="AI342" s="2">
        <v>0</v>
      </c>
      <c r="AK342">
        <v>5487093</v>
      </c>
      <c r="AL342" t="s">
        <v>420</v>
      </c>
    </row>
    <row r="343" spans="1:38" x14ac:dyDescent="0.25">
      <c r="A343" s="1">
        <v>45799</v>
      </c>
      <c r="B343" s="1">
        <v>45792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823</v>
      </c>
      <c r="J343" t="s">
        <v>824</v>
      </c>
      <c r="M343" t="s">
        <v>46</v>
      </c>
      <c r="O343" t="s">
        <v>107</v>
      </c>
      <c r="P343" t="s">
        <v>108</v>
      </c>
      <c r="Q343" t="s">
        <v>49</v>
      </c>
      <c r="R343" t="s">
        <v>414</v>
      </c>
      <c r="S343" s="1">
        <v>45717</v>
      </c>
      <c r="T343" s="1">
        <v>48000</v>
      </c>
      <c r="U343" t="s">
        <v>51</v>
      </c>
      <c r="V343">
        <v>1</v>
      </c>
      <c r="W343" s="1">
        <v>45798</v>
      </c>
      <c r="X343" t="s">
        <v>52</v>
      </c>
      <c r="Y343" s="2">
        <v>1</v>
      </c>
      <c r="Z343" s="2">
        <v>1</v>
      </c>
      <c r="AB343" s="3">
        <v>1</v>
      </c>
      <c r="AC343" s="2">
        <v>7</v>
      </c>
      <c r="AG343" s="2">
        <v>0</v>
      </c>
      <c r="AH343" s="2">
        <v>7</v>
      </c>
      <c r="AI343" s="2">
        <v>0</v>
      </c>
      <c r="AK343">
        <v>5481539</v>
      </c>
      <c r="AL343" t="s">
        <v>825</v>
      </c>
    </row>
    <row r="344" spans="1:38" x14ac:dyDescent="0.25">
      <c r="A344" s="1">
        <v>45799</v>
      </c>
      <c r="B344" s="1">
        <v>45792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826</v>
      </c>
      <c r="J344" t="s">
        <v>827</v>
      </c>
      <c r="M344" t="s">
        <v>46</v>
      </c>
      <c r="O344" t="s">
        <v>125</v>
      </c>
      <c r="P344" t="s">
        <v>126</v>
      </c>
      <c r="Q344" t="s">
        <v>49</v>
      </c>
      <c r="R344" t="s">
        <v>414</v>
      </c>
      <c r="S344" s="1">
        <v>45658</v>
      </c>
      <c r="T344" s="1">
        <v>47939</v>
      </c>
      <c r="U344" t="s">
        <v>51</v>
      </c>
      <c r="V344">
        <v>1</v>
      </c>
      <c r="W344" s="1">
        <v>45798</v>
      </c>
      <c r="X344" t="s">
        <v>52</v>
      </c>
      <c r="Y344" s="2">
        <v>1</v>
      </c>
      <c r="Z344" s="2">
        <v>1</v>
      </c>
      <c r="AB344" s="3">
        <v>1</v>
      </c>
      <c r="AC344" s="2">
        <v>7</v>
      </c>
      <c r="AG344" s="2">
        <v>0</v>
      </c>
      <c r="AH344" s="2">
        <v>7</v>
      </c>
      <c r="AI344" s="2">
        <v>0</v>
      </c>
      <c r="AK344">
        <v>5481763</v>
      </c>
      <c r="AL344" t="s">
        <v>825</v>
      </c>
    </row>
    <row r="345" spans="1:38" x14ac:dyDescent="0.25">
      <c r="A345" s="1">
        <v>45799</v>
      </c>
      <c r="B345" s="1">
        <v>45792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828</v>
      </c>
      <c r="J345" t="s">
        <v>829</v>
      </c>
      <c r="M345" t="s">
        <v>46</v>
      </c>
      <c r="O345" t="s">
        <v>158</v>
      </c>
      <c r="P345" t="s">
        <v>159</v>
      </c>
      <c r="Q345" t="s">
        <v>49</v>
      </c>
      <c r="R345" t="s">
        <v>414</v>
      </c>
      <c r="S345" s="1">
        <v>45658</v>
      </c>
      <c r="T345" s="1">
        <v>47939</v>
      </c>
      <c r="U345" t="s">
        <v>51</v>
      </c>
      <c r="V345">
        <v>1</v>
      </c>
      <c r="W345" s="1">
        <v>45798</v>
      </c>
      <c r="X345" t="s">
        <v>52</v>
      </c>
      <c r="Y345" s="2">
        <v>1</v>
      </c>
      <c r="Z345" s="2">
        <v>1</v>
      </c>
      <c r="AB345" s="3">
        <v>1</v>
      </c>
      <c r="AC345" s="2">
        <v>7</v>
      </c>
      <c r="AG345" s="2">
        <v>0</v>
      </c>
      <c r="AH345" s="2">
        <v>7</v>
      </c>
      <c r="AI345" s="2">
        <v>0</v>
      </c>
      <c r="AK345">
        <v>5481883</v>
      </c>
      <c r="AL345" t="s">
        <v>825</v>
      </c>
    </row>
    <row r="346" spans="1:38" x14ac:dyDescent="0.25">
      <c r="A346" s="1">
        <v>45799</v>
      </c>
      <c r="B346" s="1">
        <v>45792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830</v>
      </c>
      <c r="J346" t="s">
        <v>831</v>
      </c>
      <c r="O346" t="s">
        <v>225</v>
      </c>
      <c r="P346" t="s">
        <v>226</v>
      </c>
      <c r="Q346" t="s">
        <v>49</v>
      </c>
      <c r="R346" t="s">
        <v>832</v>
      </c>
      <c r="S346" s="1">
        <v>45597</v>
      </c>
      <c r="T346" s="1">
        <v>47939</v>
      </c>
      <c r="U346" t="s">
        <v>51</v>
      </c>
      <c r="V346">
        <v>1</v>
      </c>
      <c r="W346" s="1">
        <v>45798</v>
      </c>
      <c r="X346" t="s">
        <v>52</v>
      </c>
      <c r="Y346" s="2">
        <v>1</v>
      </c>
      <c r="Z346" s="2">
        <v>1</v>
      </c>
      <c r="AB346" s="3">
        <v>1</v>
      </c>
      <c r="AC346" s="2">
        <v>7</v>
      </c>
      <c r="AG346" s="2">
        <v>0</v>
      </c>
      <c r="AH346" s="2">
        <v>7</v>
      </c>
      <c r="AI346" s="2">
        <v>0</v>
      </c>
      <c r="AK346">
        <v>5482636</v>
      </c>
      <c r="AL346" t="s">
        <v>825</v>
      </c>
    </row>
    <row r="347" spans="1:38" x14ac:dyDescent="0.25">
      <c r="A347" s="1">
        <v>45799</v>
      </c>
      <c r="B347" s="1">
        <v>45792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833</v>
      </c>
      <c r="J347" t="s">
        <v>834</v>
      </c>
      <c r="M347" t="s">
        <v>418</v>
      </c>
      <c r="O347" t="s">
        <v>125</v>
      </c>
      <c r="P347" t="s">
        <v>126</v>
      </c>
      <c r="Q347" t="s">
        <v>49</v>
      </c>
      <c r="R347" t="s">
        <v>812</v>
      </c>
      <c r="S347" s="1">
        <v>45566</v>
      </c>
      <c r="T347" s="1">
        <v>45823</v>
      </c>
      <c r="U347" t="s">
        <v>51</v>
      </c>
      <c r="V347">
        <v>1</v>
      </c>
      <c r="W347" s="1">
        <v>45798</v>
      </c>
      <c r="X347" t="s">
        <v>52</v>
      </c>
      <c r="Y347" s="2">
        <v>1</v>
      </c>
      <c r="Z347" s="2">
        <v>1</v>
      </c>
      <c r="AB347" s="3">
        <v>1</v>
      </c>
      <c r="AC347" s="2">
        <v>25.5</v>
      </c>
      <c r="AG347" s="2">
        <v>0</v>
      </c>
      <c r="AH347" s="2">
        <v>25.5</v>
      </c>
      <c r="AI347" s="2">
        <v>0</v>
      </c>
      <c r="AK347">
        <v>5487408</v>
      </c>
      <c r="AL347" t="s">
        <v>420</v>
      </c>
    </row>
    <row r="348" spans="1:38" x14ac:dyDescent="0.25">
      <c r="A348" s="1">
        <v>45799</v>
      </c>
      <c r="B348" s="1">
        <v>45792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835</v>
      </c>
      <c r="J348" t="s">
        <v>834</v>
      </c>
      <c r="M348" t="s">
        <v>418</v>
      </c>
      <c r="O348" t="s">
        <v>125</v>
      </c>
      <c r="P348" t="s">
        <v>126</v>
      </c>
      <c r="Q348" t="s">
        <v>49</v>
      </c>
      <c r="R348" t="s">
        <v>814</v>
      </c>
      <c r="S348" s="1">
        <v>45566</v>
      </c>
      <c r="T348" s="1">
        <v>45823</v>
      </c>
      <c r="U348" t="s">
        <v>51</v>
      </c>
      <c r="V348">
        <v>1</v>
      </c>
      <c r="W348" s="1">
        <v>45798</v>
      </c>
      <c r="X348" t="s">
        <v>52</v>
      </c>
      <c r="Y348" s="2">
        <v>1</v>
      </c>
      <c r="Z348" s="2">
        <v>1</v>
      </c>
      <c r="AB348" s="3">
        <v>1</v>
      </c>
      <c r="AC348" s="2">
        <v>6</v>
      </c>
      <c r="AG348" s="2">
        <v>0</v>
      </c>
      <c r="AH348" s="2">
        <v>6</v>
      </c>
      <c r="AI348" s="2">
        <v>0</v>
      </c>
      <c r="AK348">
        <v>5487407</v>
      </c>
      <c r="AL348" t="s">
        <v>420</v>
      </c>
    </row>
    <row r="349" spans="1:38" x14ac:dyDescent="0.25">
      <c r="A349" s="1">
        <v>45799</v>
      </c>
      <c r="B349" s="1">
        <v>45792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836</v>
      </c>
      <c r="J349" t="s">
        <v>837</v>
      </c>
      <c r="M349" t="s">
        <v>423</v>
      </c>
      <c r="O349" t="s">
        <v>484</v>
      </c>
      <c r="P349" t="s">
        <v>485</v>
      </c>
      <c r="Q349" t="s">
        <v>58</v>
      </c>
      <c r="R349" t="s">
        <v>838</v>
      </c>
      <c r="S349" s="1">
        <v>45627</v>
      </c>
      <c r="T349" s="1">
        <v>45823</v>
      </c>
      <c r="U349" t="s">
        <v>51</v>
      </c>
      <c r="V349">
        <v>1</v>
      </c>
      <c r="W349" s="1">
        <v>45798</v>
      </c>
      <c r="X349" t="s">
        <v>52</v>
      </c>
      <c r="Y349" s="2">
        <v>1</v>
      </c>
      <c r="Z349" s="2">
        <v>1</v>
      </c>
      <c r="AB349" s="3">
        <v>1</v>
      </c>
      <c r="AC349" s="2">
        <v>28.75</v>
      </c>
      <c r="AG349" s="2">
        <v>0</v>
      </c>
      <c r="AH349" s="2">
        <v>28.75</v>
      </c>
      <c r="AI349" s="2">
        <v>0</v>
      </c>
      <c r="AK349">
        <v>5487481</v>
      </c>
      <c r="AL349" t="s">
        <v>420</v>
      </c>
    </row>
    <row r="350" spans="1:38" x14ac:dyDescent="0.25">
      <c r="A350" s="1">
        <v>45799</v>
      </c>
      <c r="B350" s="1">
        <v>45792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839</v>
      </c>
      <c r="J350" t="s">
        <v>837</v>
      </c>
      <c r="M350" t="s">
        <v>423</v>
      </c>
      <c r="O350" t="s">
        <v>484</v>
      </c>
      <c r="P350" t="s">
        <v>485</v>
      </c>
      <c r="Q350" t="s">
        <v>58</v>
      </c>
      <c r="R350" t="s">
        <v>814</v>
      </c>
      <c r="S350" s="1">
        <v>45627</v>
      </c>
      <c r="T350" s="1">
        <v>45823</v>
      </c>
      <c r="U350" t="s">
        <v>51</v>
      </c>
      <c r="V350">
        <v>1</v>
      </c>
      <c r="W350" s="1">
        <v>45798</v>
      </c>
      <c r="X350" t="s">
        <v>52</v>
      </c>
      <c r="Y350" s="2">
        <v>1</v>
      </c>
      <c r="Z350" s="2">
        <v>1</v>
      </c>
      <c r="AB350" s="3">
        <v>1</v>
      </c>
      <c r="AC350" s="2">
        <v>6</v>
      </c>
      <c r="AG350" s="2">
        <v>0</v>
      </c>
      <c r="AH350" s="2">
        <v>6</v>
      </c>
      <c r="AI350" s="2">
        <v>0</v>
      </c>
      <c r="AK350">
        <v>5487480</v>
      </c>
      <c r="AL350" t="s">
        <v>420</v>
      </c>
    </row>
    <row r="351" spans="1:38" x14ac:dyDescent="0.25">
      <c r="A351" s="1">
        <v>45799</v>
      </c>
      <c r="B351" s="1">
        <v>45792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840</v>
      </c>
      <c r="J351" t="s">
        <v>841</v>
      </c>
      <c r="M351" t="s">
        <v>423</v>
      </c>
      <c r="O351" t="s">
        <v>372</v>
      </c>
      <c r="P351" t="s">
        <v>373</v>
      </c>
      <c r="Q351" t="s">
        <v>49</v>
      </c>
      <c r="R351" t="s">
        <v>842</v>
      </c>
      <c r="S351" s="1">
        <v>45627</v>
      </c>
      <c r="T351" s="1">
        <v>45823</v>
      </c>
      <c r="U351" t="s">
        <v>51</v>
      </c>
      <c r="V351">
        <v>1</v>
      </c>
      <c r="W351" s="1">
        <v>45798</v>
      </c>
      <c r="X351" t="s">
        <v>52</v>
      </c>
      <c r="Y351" s="2">
        <v>1</v>
      </c>
      <c r="Z351" s="2">
        <v>1</v>
      </c>
      <c r="AB351" s="3">
        <v>1</v>
      </c>
      <c r="AC351" s="2">
        <v>6</v>
      </c>
      <c r="AG351" s="2">
        <v>0</v>
      </c>
      <c r="AH351" s="2">
        <v>6</v>
      </c>
      <c r="AI351" s="2">
        <v>0</v>
      </c>
      <c r="AK351">
        <v>5487845</v>
      </c>
      <c r="AL351" t="s">
        <v>420</v>
      </c>
    </row>
    <row r="352" spans="1:38" x14ac:dyDescent="0.25">
      <c r="A352" s="1">
        <v>45799</v>
      </c>
      <c r="B352" s="1">
        <v>45792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843</v>
      </c>
      <c r="J352" t="s">
        <v>844</v>
      </c>
      <c r="O352" t="s">
        <v>125</v>
      </c>
      <c r="P352" t="s">
        <v>126</v>
      </c>
      <c r="Q352" t="s">
        <v>49</v>
      </c>
      <c r="R352" t="s">
        <v>832</v>
      </c>
      <c r="S352" s="1">
        <v>45536</v>
      </c>
      <c r="T352" s="1">
        <v>47818</v>
      </c>
      <c r="U352" t="s">
        <v>51</v>
      </c>
      <c r="V352">
        <v>1</v>
      </c>
      <c r="W352" s="1">
        <v>45798</v>
      </c>
      <c r="X352" t="s">
        <v>52</v>
      </c>
      <c r="Y352" s="2">
        <v>1</v>
      </c>
      <c r="Z352" s="2">
        <v>1</v>
      </c>
      <c r="AB352" s="3">
        <v>1</v>
      </c>
      <c r="AC352" s="2">
        <v>7</v>
      </c>
      <c r="AG352" s="2">
        <v>0</v>
      </c>
      <c r="AH352" s="2">
        <v>7</v>
      </c>
      <c r="AI352" s="2">
        <v>0</v>
      </c>
      <c r="AK352">
        <v>5482850</v>
      </c>
      <c r="AL352" t="s">
        <v>825</v>
      </c>
    </row>
    <row r="353" spans="1:38" x14ac:dyDescent="0.25">
      <c r="A353" s="1">
        <v>45799</v>
      </c>
      <c r="B353" s="1">
        <v>45792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845</v>
      </c>
      <c r="J353" t="s">
        <v>846</v>
      </c>
      <c r="M353" t="s">
        <v>520</v>
      </c>
      <c r="O353" t="s">
        <v>225</v>
      </c>
      <c r="P353" t="s">
        <v>226</v>
      </c>
      <c r="Q353" t="s">
        <v>58</v>
      </c>
      <c r="R353" t="s">
        <v>812</v>
      </c>
      <c r="S353" s="1">
        <v>45597</v>
      </c>
      <c r="T353" s="1">
        <v>45823</v>
      </c>
      <c r="U353" t="s">
        <v>51</v>
      </c>
      <c r="V353">
        <v>1</v>
      </c>
      <c r="W353" s="1">
        <v>45798</v>
      </c>
      <c r="X353" t="s">
        <v>52</v>
      </c>
      <c r="Y353" s="2">
        <v>1</v>
      </c>
      <c r="Z353" s="2">
        <v>1</v>
      </c>
      <c r="AB353" s="3">
        <v>1</v>
      </c>
      <c r="AC353" s="2">
        <v>25.5</v>
      </c>
      <c r="AG353" s="2">
        <v>0</v>
      </c>
      <c r="AH353" s="2">
        <v>25.5</v>
      </c>
      <c r="AI353" s="2">
        <v>0</v>
      </c>
      <c r="AK353">
        <v>5489038</v>
      </c>
      <c r="AL353" t="s">
        <v>420</v>
      </c>
    </row>
    <row r="354" spans="1:38" x14ac:dyDescent="0.25">
      <c r="A354" s="1">
        <v>45799</v>
      </c>
      <c r="B354" s="1">
        <v>45792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847</v>
      </c>
      <c r="J354" t="s">
        <v>846</v>
      </c>
      <c r="M354" t="s">
        <v>520</v>
      </c>
      <c r="O354" t="s">
        <v>225</v>
      </c>
      <c r="P354" t="s">
        <v>226</v>
      </c>
      <c r="Q354" t="s">
        <v>49</v>
      </c>
      <c r="R354" t="s">
        <v>814</v>
      </c>
      <c r="S354" s="1">
        <v>45597</v>
      </c>
      <c r="T354" s="1">
        <v>45823</v>
      </c>
      <c r="U354" t="s">
        <v>51</v>
      </c>
      <c r="V354">
        <v>1</v>
      </c>
      <c r="W354" s="1">
        <v>45798</v>
      </c>
      <c r="X354" t="s">
        <v>52</v>
      </c>
      <c r="Y354" s="2">
        <v>1</v>
      </c>
      <c r="Z354" s="2">
        <v>1</v>
      </c>
      <c r="AB354" s="3">
        <v>1</v>
      </c>
      <c r="AC354" s="2">
        <v>6</v>
      </c>
      <c r="AG354" s="2">
        <v>0</v>
      </c>
      <c r="AH354" s="2">
        <v>6</v>
      </c>
      <c r="AI354" s="2">
        <v>0</v>
      </c>
      <c r="AK354">
        <v>5489037</v>
      </c>
      <c r="AL354" t="s">
        <v>420</v>
      </c>
    </row>
    <row r="355" spans="1:38" x14ac:dyDescent="0.25">
      <c r="A355" s="1">
        <v>45799</v>
      </c>
      <c r="B355" s="1">
        <v>45792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848</v>
      </c>
      <c r="J355" t="s">
        <v>849</v>
      </c>
      <c r="M355" t="s">
        <v>418</v>
      </c>
      <c r="O355" t="s">
        <v>305</v>
      </c>
      <c r="P355" t="s">
        <v>306</v>
      </c>
      <c r="Q355" t="s">
        <v>49</v>
      </c>
      <c r="R355" t="s">
        <v>812</v>
      </c>
      <c r="S355" s="1">
        <v>45597</v>
      </c>
      <c r="T355" s="1">
        <v>45823</v>
      </c>
      <c r="U355" t="s">
        <v>51</v>
      </c>
      <c r="V355">
        <v>1</v>
      </c>
      <c r="W355" s="1">
        <v>45798</v>
      </c>
      <c r="X355" t="s">
        <v>52</v>
      </c>
      <c r="Y355" s="2">
        <v>1</v>
      </c>
      <c r="Z355" s="2">
        <v>1</v>
      </c>
      <c r="AB355" s="3">
        <v>1</v>
      </c>
      <c r="AC355" s="2">
        <v>25.5</v>
      </c>
      <c r="AG355" s="2">
        <v>0</v>
      </c>
      <c r="AH355" s="2">
        <v>25.5</v>
      </c>
      <c r="AI355" s="2">
        <v>0</v>
      </c>
      <c r="AK355">
        <v>5489217</v>
      </c>
      <c r="AL355" t="s">
        <v>420</v>
      </c>
    </row>
    <row r="356" spans="1:38" x14ac:dyDescent="0.25">
      <c r="A356" s="1">
        <v>45799</v>
      </c>
      <c r="B356" s="1">
        <v>45792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850</v>
      </c>
      <c r="J356" t="s">
        <v>849</v>
      </c>
      <c r="M356" t="s">
        <v>418</v>
      </c>
      <c r="O356" t="s">
        <v>305</v>
      </c>
      <c r="P356" t="s">
        <v>306</v>
      </c>
      <c r="Q356" t="s">
        <v>58</v>
      </c>
      <c r="R356" t="s">
        <v>814</v>
      </c>
      <c r="S356" s="1">
        <v>45597</v>
      </c>
      <c r="T356" s="1">
        <v>45823</v>
      </c>
      <c r="U356" t="s">
        <v>51</v>
      </c>
      <c r="V356">
        <v>1</v>
      </c>
      <c r="W356" s="1">
        <v>45798</v>
      </c>
      <c r="X356" t="s">
        <v>52</v>
      </c>
      <c r="Y356" s="2">
        <v>1</v>
      </c>
      <c r="Z356" s="2">
        <v>1</v>
      </c>
      <c r="AB356" s="3">
        <v>1</v>
      </c>
      <c r="AC356" s="2">
        <v>6</v>
      </c>
      <c r="AG356" s="2">
        <v>0</v>
      </c>
      <c r="AH356" s="2">
        <v>6</v>
      </c>
      <c r="AI356" s="2">
        <v>0</v>
      </c>
      <c r="AK356">
        <v>5489216</v>
      </c>
      <c r="AL356" t="s">
        <v>420</v>
      </c>
    </row>
    <row r="357" spans="1:38" x14ac:dyDescent="0.25">
      <c r="A357" s="1">
        <v>45799</v>
      </c>
      <c r="B357" s="1">
        <v>45792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851</v>
      </c>
      <c r="J357" t="s">
        <v>852</v>
      </c>
      <c r="M357" t="s">
        <v>423</v>
      </c>
      <c r="O357" t="s">
        <v>372</v>
      </c>
      <c r="P357" t="s">
        <v>373</v>
      </c>
      <c r="Q357" t="s">
        <v>49</v>
      </c>
      <c r="R357" t="s">
        <v>842</v>
      </c>
      <c r="S357" s="1">
        <v>45627</v>
      </c>
      <c r="T357" s="1">
        <v>45823</v>
      </c>
      <c r="U357" t="s">
        <v>51</v>
      </c>
      <c r="V357">
        <v>1</v>
      </c>
      <c r="W357" s="1">
        <v>45798</v>
      </c>
      <c r="X357" t="s">
        <v>52</v>
      </c>
      <c r="Y357" s="2">
        <v>1</v>
      </c>
      <c r="Z357" s="2">
        <v>1</v>
      </c>
      <c r="AB357" s="3">
        <v>1</v>
      </c>
      <c r="AC357" s="2">
        <v>6</v>
      </c>
      <c r="AG357" s="2">
        <v>0</v>
      </c>
      <c r="AH357" s="2">
        <v>6</v>
      </c>
      <c r="AI357" s="2">
        <v>0</v>
      </c>
      <c r="AK357">
        <v>5489227</v>
      </c>
      <c r="AL357" t="s">
        <v>420</v>
      </c>
    </row>
    <row r="358" spans="1:38" x14ac:dyDescent="0.25">
      <c r="A358" s="1">
        <v>45799</v>
      </c>
      <c r="B358" s="1">
        <v>45792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853</v>
      </c>
      <c r="J358" t="s">
        <v>854</v>
      </c>
      <c r="M358" t="s">
        <v>625</v>
      </c>
      <c r="O358" t="s">
        <v>95</v>
      </c>
      <c r="P358" t="s">
        <v>96</v>
      </c>
      <c r="Q358" t="s">
        <v>58</v>
      </c>
      <c r="R358" t="s">
        <v>812</v>
      </c>
      <c r="S358" s="1">
        <v>45597</v>
      </c>
      <c r="T358" s="1">
        <v>45823</v>
      </c>
      <c r="U358" t="s">
        <v>51</v>
      </c>
      <c r="V358">
        <v>1</v>
      </c>
      <c r="W358" s="1">
        <v>45798</v>
      </c>
      <c r="X358" t="s">
        <v>52</v>
      </c>
      <c r="Y358" s="2">
        <v>1</v>
      </c>
      <c r="Z358" s="2">
        <v>1</v>
      </c>
      <c r="AB358" s="3">
        <v>1</v>
      </c>
      <c r="AC358" s="2">
        <v>25.5</v>
      </c>
      <c r="AG358" s="2">
        <v>0</v>
      </c>
      <c r="AH358" s="2">
        <v>25.5</v>
      </c>
      <c r="AI358" s="2">
        <v>0</v>
      </c>
      <c r="AK358">
        <v>5489287</v>
      </c>
      <c r="AL358" t="s">
        <v>420</v>
      </c>
    </row>
    <row r="359" spans="1:38" x14ac:dyDescent="0.25">
      <c r="A359" s="1">
        <v>45799</v>
      </c>
      <c r="B359" s="1">
        <v>45792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855</v>
      </c>
      <c r="J359" t="s">
        <v>854</v>
      </c>
      <c r="M359" t="s">
        <v>625</v>
      </c>
      <c r="O359" t="s">
        <v>95</v>
      </c>
      <c r="P359" t="s">
        <v>96</v>
      </c>
      <c r="Q359" t="s">
        <v>58</v>
      </c>
      <c r="R359" t="s">
        <v>814</v>
      </c>
      <c r="S359" s="1">
        <v>45597</v>
      </c>
      <c r="T359" s="1">
        <v>45823</v>
      </c>
      <c r="U359" t="s">
        <v>51</v>
      </c>
      <c r="V359">
        <v>1</v>
      </c>
      <c r="W359" s="1">
        <v>45798</v>
      </c>
      <c r="X359" t="s">
        <v>52</v>
      </c>
      <c r="Y359" s="2">
        <v>1</v>
      </c>
      <c r="Z359" s="2">
        <v>1</v>
      </c>
      <c r="AB359" s="3">
        <v>1</v>
      </c>
      <c r="AC359" s="2">
        <v>6</v>
      </c>
      <c r="AG359" s="2">
        <v>0</v>
      </c>
      <c r="AH359" s="2">
        <v>6</v>
      </c>
      <c r="AI359" s="2">
        <v>0</v>
      </c>
      <c r="AK359">
        <v>5489286</v>
      </c>
      <c r="AL359" t="s">
        <v>420</v>
      </c>
    </row>
    <row r="360" spans="1:38" x14ac:dyDescent="0.25">
      <c r="A360" s="1">
        <v>45799</v>
      </c>
      <c r="B360" s="1">
        <v>45792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856</v>
      </c>
      <c r="J360" t="s">
        <v>857</v>
      </c>
      <c r="M360" t="s">
        <v>653</v>
      </c>
      <c r="O360" t="s">
        <v>251</v>
      </c>
      <c r="P360" t="s">
        <v>252</v>
      </c>
      <c r="Q360" t="s">
        <v>49</v>
      </c>
      <c r="R360" t="s">
        <v>817</v>
      </c>
      <c r="S360" s="1">
        <v>45597</v>
      </c>
      <c r="T360" s="1">
        <v>45823</v>
      </c>
      <c r="U360" t="s">
        <v>51</v>
      </c>
      <c r="V360">
        <v>1</v>
      </c>
      <c r="W360" s="1">
        <v>45798</v>
      </c>
      <c r="X360" t="s">
        <v>52</v>
      </c>
      <c r="Y360" s="2">
        <v>1</v>
      </c>
      <c r="Z360" s="2">
        <v>1</v>
      </c>
      <c r="AB360" s="3">
        <v>1</v>
      </c>
      <c r="AC360" s="2">
        <v>25.5</v>
      </c>
      <c r="AG360" s="2">
        <v>0</v>
      </c>
      <c r="AH360" s="2">
        <v>25.5</v>
      </c>
      <c r="AI360" s="2">
        <v>0</v>
      </c>
      <c r="AK360">
        <v>5489769</v>
      </c>
      <c r="AL360" t="s">
        <v>420</v>
      </c>
    </row>
    <row r="361" spans="1:38" x14ac:dyDescent="0.25">
      <c r="A361" s="1">
        <v>45799</v>
      </c>
      <c r="B361" s="1">
        <v>45792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858</v>
      </c>
      <c r="J361" t="s">
        <v>857</v>
      </c>
      <c r="M361" t="s">
        <v>653</v>
      </c>
      <c r="O361" t="s">
        <v>251</v>
      </c>
      <c r="P361" t="s">
        <v>252</v>
      </c>
      <c r="Q361" t="s">
        <v>49</v>
      </c>
      <c r="R361" t="s">
        <v>819</v>
      </c>
      <c r="S361" s="1">
        <v>45597</v>
      </c>
      <c r="T361" s="1">
        <v>45823</v>
      </c>
      <c r="U361" t="s">
        <v>51</v>
      </c>
      <c r="V361">
        <v>1</v>
      </c>
      <c r="W361" s="1">
        <v>45798</v>
      </c>
      <c r="X361" t="s">
        <v>52</v>
      </c>
      <c r="Y361" s="2">
        <v>1</v>
      </c>
      <c r="Z361" s="2">
        <v>1</v>
      </c>
      <c r="AB361" s="3">
        <v>1</v>
      </c>
      <c r="AC361" s="2">
        <v>6</v>
      </c>
      <c r="AG361" s="2">
        <v>0</v>
      </c>
      <c r="AH361" s="2">
        <v>6</v>
      </c>
      <c r="AI361" s="2">
        <v>0</v>
      </c>
      <c r="AK361">
        <v>5489768</v>
      </c>
      <c r="AL361" t="s">
        <v>420</v>
      </c>
    </row>
    <row r="362" spans="1:38" x14ac:dyDescent="0.25">
      <c r="A362" s="1">
        <v>45799</v>
      </c>
      <c r="B362" s="1">
        <v>45792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859</v>
      </c>
      <c r="J362" t="s">
        <v>860</v>
      </c>
      <c r="M362" t="s">
        <v>653</v>
      </c>
      <c r="O362" t="s">
        <v>251</v>
      </c>
      <c r="P362" t="s">
        <v>252</v>
      </c>
      <c r="Q362" t="s">
        <v>49</v>
      </c>
      <c r="R362" t="s">
        <v>812</v>
      </c>
      <c r="S362" s="1">
        <v>45474</v>
      </c>
      <c r="T362" s="1">
        <v>45823</v>
      </c>
      <c r="U362" t="s">
        <v>51</v>
      </c>
      <c r="V362">
        <v>5</v>
      </c>
      <c r="W362" s="1">
        <v>45798</v>
      </c>
      <c r="X362" t="s">
        <v>52</v>
      </c>
      <c r="Y362" s="2">
        <v>5</v>
      </c>
      <c r="Z362" s="2">
        <v>5</v>
      </c>
      <c r="AB362" s="3">
        <v>1</v>
      </c>
      <c r="AC362" s="2">
        <v>127.5</v>
      </c>
      <c r="AG362" s="2">
        <v>0</v>
      </c>
      <c r="AH362" s="2">
        <v>127.5</v>
      </c>
      <c r="AI362" s="2">
        <v>0</v>
      </c>
      <c r="AK362">
        <v>5491539</v>
      </c>
      <c r="AL362" t="s">
        <v>420</v>
      </c>
    </row>
    <row r="363" spans="1:38" x14ac:dyDescent="0.25">
      <c r="A363" s="1">
        <v>45799</v>
      </c>
      <c r="B363" s="1">
        <v>45792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861</v>
      </c>
      <c r="J363" t="s">
        <v>862</v>
      </c>
      <c r="M363" t="s">
        <v>520</v>
      </c>
      <c r="O363" t="s">
        <v>95</v>
      </c>
      <c r="P363" t="s">
        <v>96</v>
      </c>
      <c r="Q363" t="s">
        <v>49</v>
      </c>
      <c r="R363" t="s">
        <v>812</v>
      </c>
      <c r="S363" s="1">
        <v>45597</v>
      </c>
      <c r="T363" s="1">
        <v>45823</v>
      </c>
      <c r="U363" t="s">
        <v>51</v>
      </c>
      <c r="V363">
        <v>1</v>
      </c>
      <c r="W363" s="1">
        <v>45798</v>
      </c>
      <c r="X363" t="s">
        <v>52</v>
      </c>
      <c r="Y363" s="2">
        <v>1</v>
      </c>
      <c r="Z363" s="2">
        <v>1</v>
      </c>
      <c r="AB363" s="3">
        <v>1</v>
      </c>
      <c r="AC363" s="2">
        <v>25.5</v>
      </c>
      <c r="AG363" s="2">
        <v>0</v>
      </c>
      <c r="AH363" s="2">
        <v>25.5</v>
      </c>
      <c r="AI363" s="2">
        <v>0</v>
      </c>
      <c r="AK363">
        <v>5491673</v>
      </c>
      <c r="AL363" t="s">
        <v>420</v>
      </c>
    </row>
    <row r="364" spans="1:38" x14ac:dyDescent="0.25">
      <c r="A364" s="1">
        <v>45799</v>
      </c>
      <c r="B364" s="1">
        <v>45792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863</v>
      </c>
      <c r="J364" t="s">
        <v>862</v>
      </c>
      <c r="M364" t="s">
        <v>520</v>
      </c>
      <c r="O364" t="s">
        <v>95</v>
      </c>
      <c r="P364" t="s">
        <v>96</v>
      </c>
      <c r="Q364" t="s">
        <v>49</v>
      </c>
      <c r="R364" t="s">
        <v>814</v>
      </c>
      <c r="S364" s="1">
        <v>45597</v>
      </c>
      <c r="T364" s="1">
        <v>45823</v>
      </c>
      <c r="U364" t="s">
        <v>51</v>
      </c>
      <c r="V364">
        <v>1</v>
      </c>
      <c r="W364" s="1">
        <v>45798</v>
      </c>
      <c r="X364" t="s">
        <v>52</v>
      </c>
      <c r="Y364" s="2">
        <v>1</v>
      </c>
      <c r="Z364" s="2">
        <v>1</v>
      </c>
      <c r="AB364" s="3">
        <v>1</v>
      </c>
      <c r="AC364" s="2">
        <v>6</v>
      </c>
      <c r="AG364" s="2">
        <v>0</v>
      </c>
      <c r="AH364" s="2">
        <v>6</v>
      </c>
      <c r="AI364" s="2">
        <v>0</v>
      </c>
      <c r="AK364">
        <v>5491672</v>
      </c>
      <c r="AL364" t="s">
        <v>420</v>
      </c>
    </row>
    <row r="365" spans="1:38" s="5" customFormat="1" x14ac:dyDescent="0.25">
      <c r="A365" s="4">
        <v>45799</v>
      </c>
      <c r="B365" s="4">
        <v>45792</v>
      </c>
      <c r="C365" s="5" t="s">
        <v>38</v>
      </c>
      <c r="D365" s="5" t="s">
        <v>39</v>
      </c>
      <c r="E365" s="5" t="s">
        <v>40</v>
      </c>
      <c r="F365" s="5" t="s">
        <v>41</v>
      </c>
      <c r="G365" s="5" t="s">
        <v>42</v>
      </c>
      <c r="H365" s="5" t="s">
        <v>43</v>
      </c>
      <c r="I365" s="5" t="s">
        <v>864</v>
      </c>
      <c r="J365" s="5" t="s">
        <v>865</v>
      </c>
      <c r="M365" s="5" t="s">
        <v>418</v>
      </c>
      <c r="O365" s="5" t="s">
        <v>360</v>
      </c>
      <c r="P365" s="5" t="s">
        <v>361</v>
      </c>
      <c r="Q365" s="5" t="s">
        <v>49</v>
      </c>
      <c r="R365" s="5" t="s">
        <v>812</v>
      </c>
      <c r="S365" s="4">
        <v>45536</v>
      </c>
      <c r="T365" s="4">
        <v>45823</v>
      </c>
      <c r="U365" s="5" t="s">
        <v>51</v>
      </c>
      <c r="V365" s="5">
        <v>1</v>
      </c>
      <c r="W365" s="4">
        <v>45798</v>
      </c>
      <c r="X365" s="5" t="s">
        <v>52</v>
      </c>
      <c r="Y365" s="6">
        <v>1</v>
      </c>
      <c r="Z365" s="6">
        <v>1</v>
      </c>
      <c r="AB365" s="7">
        <v>1</v>
      </c>
      <c r="AC365" s="6">
        <v>25.5</v>
      </c>
      <c r="AG365" s="6">
        <v>0</v>
      </c>
      <c r="AH365" s="6">
        <v>25.5</v>
      </c>
      <c r="AI365" s="6">
        <v>0</v>
      </c>
      <c r="AK365" s="5">
        <v>5491705</v>
      </c>
      <c r="AL365" s="5" t="s">
        <v>420</v>
      </c>
    </row>
    <row r="366" spans="1:38" s="5" customFormat="1" x14ac:dyDescent="0.25">
      <c r="A366" s="4">
        <v>45799</v>
      </c>
      <c r="B366" s="4">
        <v>45792</v>
      </c>
      <c r="C366" s="5" t="s">
        <v>38</v>
      </c>
      <c r="D366" s="5" t="s">
        <v>39</v>
      </c>
      <c r="E366" s="5" t="s">
        <v>40</v>
      </c>
      <c r="F366" s="5" t="s">
        <v>41</v>
      </c>
      <c r="G366" s="5" t="s">
        <v>42</v>
      </c>
      <c r="H366" s="5" t="s">
        <v>43</v>
      </c>
      <c r="I366" s="5" t="s">
        <v>866</v>
      </c>
      <c r="J366" s="5" t="s">
        <v>865</v>
      </c>
      <c r="M366" s="5" t="s">
        <v>418</v>
      </c>
      <c r="O366" s="5" t="s">
        <v>360</v>
      </c>
      <c r="P366" s="5" t="s">
        <v>361</v>
      </c>
      <c r="Q366" s="5" t="s">
        <v>49</v>
      </c>
      <c r="R366" s="5" t="s">
        <v>814</v>
      </c>
      <c r="S366" s="4">
        <v>45536</v>
      </c>
      <c r="T366" s="4">
        <v>45823</v>
      </c>
      <c r="U366" s="5" t="s">
        <v>51</v>
      </c>
      <c r="V366" s="5">
        <v>1</v>
      </c>
      <c r="W366" s="4">
        <v>45798</v>
      </c>
      <c r="X366" s="5" t="s">
        <v>52</v>
      </c>
      <c r="Y366" s="6">
        <v>1</v>
      </c>
      <c r="Z366" s="6">
        <v>1</v>
      </c>
      <c r="AB366" s="7">
        <v>1</v>
      </c>
      <c r="AC366" s="6">
        <v>6</v>
      </c>
      <c r="AG366" s="6">
        <v>0</v>
      </c>
      <c r="AH366" s="6">
        <v>6</v>
      </c>
      <c r="AI366" s="6">
        <v>0</v>
      </c>
      <c r="AK366" s="5">
        <v>5491704</v>
      </c>
      <c r="AL366" s="5" t="s">
        <v>420</v>
      </c>
    </row>
    <row r="367" spans="1:38" x14ac:dyDescent="0.25">
      <c r="A367" s="1">
        <v>45799</v>
      </c>
      <c r="B367" s="1">
        <v>45792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867</v>
      </c>
      <c r="J367" t="s">
        <v>868</v>
      </c>
      <c r="M367" t="s">
        <v>418</v>
      </c>
      <c r="O367" t="s">
        <v>125</v>
      </c>
      <c r="P367" t="s">
        <v>126</v>
      </c>
      <c r="Q367" t="s">
        <v>49</v>
      </c>
      <c r="R367" t="s">
        <v>869</v>
      </c>
      <c r="S367" s="1">
        <v>45566</v>
      </c>
      <c r="T367" s="1">
        <v>45823</v>
      </c>
      <c r="U367" t="s">
        <v>51</v>
      </c>
      <c r="V367">
        <v>1</v>
      </c>
      <c r="W367" s="1">
        <v>45798</v>
      </c>
      <c r="X367" t="s">
        <v>52</v>
      </c>
      <c r="Y367" s="2">
        <v>1</v>
      </c>
      <c r="Z367" s="2">
        <v>1</v>
      </c>
      <c r="AB367" s="3">
        <v>1</v>
      </c>
      <c r="AC367" s="2">
        <v>25.5</v>
      </c>
      <c r="AG367" s="2">
        <v>0</v>
      </c>
      <c r="AH367" s="2">
        <v>25.5</v>
      </c>
      <c r="AI367" s="2">
        <v>0</v>
      </c>
      <c r="AK367">
        <v>5491757</v>
      </c>
      <c r="AL367" t="s">
        <v>420</v>
      </c>
    </row>
    <row r="368" spans="1:38" x14ac:dyDescent="0.25">
      <c r="A368" s="1">
        <v>45799</v>
      </c>
      <c r="B368" s="1">
        <v>45792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870</v>
      </c>
      <c r="J368" t="s">
        <v>868</v>
      </c>
      <c r="M368" t="s">
        <v>418</v>
      </c>
      <c r="O368" t="s">
        <v>125</v>
      </c>
      <c r="P368" t="s">
        <v>126</v>
      </c>
      <c r="Q368" t="s">
        <v>49</v>
      </c>
      <c r="R368" t="s">
        <v>819</v>
      </c>
      <c r="S368" s="1">
        <v>45566</v>
      </c>
      <c r="T368" s="1">
        <v>45823</v>
      </c>
      <c r="U368" t="s">
        <v>51</v>
      </c>
      <c r="V368">
        <v>1</v>
      </c>
      <c r="W368" s="1">
        <v>45798</v>
      </c>
      <c r="X368" t="s">
        <v>52</v>
      </c>
      <c r="Y368" s="2">
        <v>1</v>
      </c>
      <c r="Z368" s="2">
        <v>1</v>
      </c>
      <c r="AB368" s="3">
        <v>1</v>
      </c>
      <c r="AC368" s="2">
        <v>6</v>
      </c>
      <c r="AG368" s="2">
        <v>0</v>
      </c>
      <c r="AH368" s="2">
        <v>6</v>
      </c>
      <c r="AI368" s="2">
        <v>0</v>
      </c>
      <c r="AK368">
        <v>5491756</v>
      </c>
      <c r="AL368" t="s">
        <v>420</v>
      </c>
    </row>
    <row r="369" spans="1:38" x14ac:dyDescent="0.25">
      <c r="A369" s="1">
        <v>45799</v>
      </c>
      <c r="B369" s="1">
        <v>45792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871</v>
      </c>
      <c r="J369" t="s">
        <v>872</v>
      </c>
      <c r="M369" t="s">
        <v>771</v>
      </c>
      <c r="O369" t="s">
        <v>82</v>
      </c>
      <c r="P369" t="s">
        <v>83</v>
      </c>
      <c r="Q369" t="s">
        <v>49</v>
      </c>
      <c r="R369" t="s">
        <v>817</v>
      </c>
      <c r="S369" s="1">
        <v>45566</v>
      </c>
      <c r="T369" s="1">
        <v>45823</v>
      </c>
      <c r="U369" t="s">
        <v>51</v>
      </c>
      <c r="V369">
        <v>1</v>
      </c>
      <c r="W369" s="1">
        <v>45798</v>
      </c>
      <c r="X369" t="s">
        <v>52</v>
      </c>
      <c r="Y369" s="2">
        <v>1</v>
      </c>
      <c r="Z369" s="2">
        <v>1</v>
      </c>
      <c r="AB369" s="3">
        <v>1</v>
      </c>
      <c r="AC369" s="2">
        <v>25.5</v>
      </c>
      <c r="AG369" s="2">
        <v>0</v>
      </c>
      <c r="AH369" s="2">
        <v>25.5</v>
      </c>
      <c r="AI369" s="2">
        <v>0</v>
      </c>
      <c r="AK369">
        <v>5492057</v>
      </c>
      <c r="AL369" t="s">
        <v>420</v>
      </c>
    </row>
    <row r="370" spans="1:38" x14ac:dyDescent="0.25">
      <c r="A370" s="1">
        <v>45799</v>
      </c>
      <c r="B370" s="1">
        <v>45792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873</v>
      </c>
      <c r="J370" t="s">
        <v>872</v>
      </c>
      <c r="M370" t="s">
        <v>771</v>
      </c>
      <c r="O370" t="s">
        <v>82</v>
      </c>
      <c r="P370" t="s">
        <v>83</v>
      </c>
      <c r="Q370" t="s">
        <v>49</v>
      </c>
      <c r="R370" t="s">
        <v>819</v>
      </c>
      <c r="S370" s="1">
        <v>45566</v>
      </c>
      <c r="T370" s="1">
        <v>45823</v>
      </c>
      <c r="U370" t="s">
        <v>51</v>
      </c>
      <c r="V370">
        <v>1</v>
      </c>
      <c r="W370" s="1">
        <v>45798</v>
      </c>
      <c r="X370" t="s">
        <v>52</v>
      </c>
      <c r="Y370" s="2">
        <v>1</v>
      </c>
      <c r="Z370" s="2">
        <v>1</v>
      </c>
      <c r="AB370" s="3">
        <v>1</v>
      </c>
      <c r="AC370" s="2">
        <v>6</v>
      </c>
      <c r="AG370" s="2">
        <v>0</v>
      </c>
      <c r="AH370" s="2">
        <v>6</v>
      </c>
      <c r="AI370" s="2">
        <v>0</v>
      </c>
      <c r="AK370">
        <v>5492056</v>
      </c>
      <c r="AL370" t="s">
        <v>420</v>
      </c>
    </row>
    <row r="371" spans="1:38" x14ac:dyDescent="0.25">
      <c r="A371" s="1">
        <v>45799</v>
      </c>
      <c r="B371" s="1">
        <v>45792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874</v>
      </c>
      <c r="J371" t="s">
        <v>875</v>
      </c>
      <c r="M371" t="s">
        <v>423</v>
      </c>
      <c r="O371" t="s">
        <v>484</v>
      </c>
      <c r="P371" t="s">
        <v>485</v>
      </c>
      <c r="Q371" t="s">
        <v>49</v>
      </c>
      <c r="R371" t="s">
        <v>876</v>
      </c>
      <c r="S371" s="1">
        <v>45689</v>
      </c>
      <c r="T371" s="1">
        <v>45823</v>
      </c>
      <c r="U371" t="s">
        <v>51</v>
      </c>
      <c r="V371">
        <v>1</v>
      </c>
      <c r="W371" s="1">
        <v>45798</v>
      </c>
      <c r="X371" t="s">
        <v>52</v>
      </c>
      <c r="Y371" s="2">
        <v>1</v>
      </c>
      <c r="Z371" s="2">
        <v>1</v>
      </c>
      <c r="AB371" s="3">
        <v>1</v>
      </c>
      <c r="AC371" s="2">
        <v>24.73</v>
      </c>
      <c r="AG371" s="2">
        <v>0</v>
      </c>
      <c r="AH371" s="2">
        <v>24.73</v>
      </c>
      <c r="AI371" s="2">
        <v>0</v>
      </c>
      <c r="AK371">
        <v>5492826</v>
      </c>
      <c r="AL371" t="s">
        <v>420</v>
      </c>
    </row>
    <row r="372" spans="1:38" x14ac:dyDescent="0.25">
      <c r="A372" s="1">
        <v>45799</v>
      </c>
      <c r="B372" s="1">
        <v>45792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877</v>
      </c>
      <c r="J372" t="s">
        <v>878</v>
      </c>
      <c r="M372" t="s">
        <v>418</v>
      </c>
      <c r="O372" t="s">
        <v>305</v>
      </c>
      <c r="P372" t="s">
        <v>306</v>
      </c>
      <c r="Q372" t="s">
        <v>49</v>
      </c>
      <c r="R372" t="s">
        <v>879</v>
      </c>
      <c r="S372" s="1">
        <v>45627</v>
      </c>
      <c r="T372" s="1">
        <v>45823</v>
      </c>
      <c r="U372" t="s">
        <v>51</v>
      </c>
      <c r="V372">
        <v>1</v>
      </c>
      <c r="W372" s="1">
        <v>45798</v>
      </c>
      <c r="X372" t="s">
        <v>52</v>
      </c>
      <c r="Y372" s="2">
        <v>1</v>
      </c>
      <c r="Z372" s="2">
        <v>1</v>
      </c>
      <c r="AB372" s="3">
        <v>1</v>
      </c>
      <c r="AC372" s="2">
        <v>28.78</v>
      </c>
      <c r="AG372" s="2">
        <v>0</v>
      </c>
      <c r="AH372" s="2">
        <v>28.78</v>
      </c>
      <c r="AI372" s="2">
        <v>0</v>
      </c>
      <c r="AK372">
        <v>5492827</v>
      </c>
      <c r="AL372" t="s">
        <v>420</v>
      </c>
    </row>
    <row r="373" spans="1:38" x14ac:dyDescent="0.25">
      <c r="A373" s="1">
        <v>45799</v>
      </c>
      <c r="B373" s="1">
        <v>45792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880</v>
      </c>
      <c r="J373" t="s">
        <v>881</v>
      </c>
      <c r="M373" t="s">
        <v>423</v>
      </c>
      <c r="O373" t="s">
        <v>101</v>
      </c>
      <c r="P373" t="s">
        <v>102</v>
      </c>
      <c r="Q373" t="s">
        <v>58</v>
      </c>
      <c r="R373" t="s">
        <v>882</v>
      </c>
      <c r="S373" s="1">
        <v>45597</v>
      </c>
      <c r="T373" s="1">
        <v>45823</v>
      </c>
      <c r="U373" t="s">
        <v>51</v>
      </c>
      <c r="V373">
        <v>1</v>
      </c>
      <c r="W373" s="1">
        <v>45798</v>
      </c>
      <c r="X373" t="s">
        <v>52</v>
      </c>
      <c r="Y373" s="2">
        <v>1</v>
      </c>
      <c r="Z373" s="2">
        <v>1</v>
      </c>
      <c r="AB373" s="3">
        <v>1</v>
      </c>
      <c r="AC373" s="2">
        <v>22.52</v>
      </c>
      <c r="AG373" s="2">
        <v>0</v>
      </c>
      <c r="AH373" s="2">
        <v>22.52</v>
      </c>
      <c r="AI373" s="2">
        <v>0</v>
      </c>
      <c r="AK373">
        <v>5492828</v>
      </c>
      <c r="AL373" t="s">
        <v>420</v>
      </c>
    </row>
    <row r="374" spans="1:38" x14ac:dyDescent="0.25">
      <c r="A374" s="1">
        <v>45799</v>
      </c>
      <c r="B374" s="1">
        <v>45792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883</v>
      </c>
      <c r="J374" t="s">
        <v>884</v>
      </c>
      <c r="M374" t="s">
        <v>423</v>
      </c>
      <c r="O374" t="s">
        <v>484</v>
      </c>
      <c r="P374" t="s">
        <v>485</v>
      </c>
      <c r="Q374" t="s">
        <v>49</v>
      </c>
      <c r="R374" t="s">
        <v>885</v>
      </c>
      <c r="S374" s="1">
        <v>45474</v>
      </c>
      <c r="T374" s="1">
        <v>45823</v>
      </c>
      <c r="U374" t="s">
        <v>51</v>
      </c>
      <c r="V374">
        <v>1</v>
      </c>
      <c r="W374" s="1">
        <v>45798</v>
      </c>
      <c r="X374" t="s">
        <v>52</v>
      </c>
      <c r="Y374" s="2">
        <v>1</v>
      </c>
      <c r="Z374" s="2">
        <v>1</v>
      </c>
      <c r="AB374" s="3">
        <v>1</v>
      </c>
      <c r="AC374" s="2">
        <v>37.5</v>
      </c>
      <c r="AG374" s="2">
        <v>0</v>
      </c>
      <c r="AH374" s="2">
        <v>37.5</v>
      </c>
      <c r="AI374" s="2">
        <v>0</v>
      </c>
      <c r="AK374">
        <v>5492830</v>
      </c>
      <c r="AL374" t="s">
        <v>420</v>
      </c>
    </row>
    <row r="375" spans="1:38" s="5" customFormat="1" x14ac:dyDescent="0.25">
      <c r="A375" s="4">
        <v>45799</v>
      </c>
      <c r="B375" s="4">
        <v>45792</v>
      </c>
      <c r="C375" s="5" t="s">
        <v>38</v>
      </c>
      <c r="D375" s="5" t="s">
        <v>39</v>
      </c>
      <c r="E375" s="5" t="s">
        <v>40</v>
      </c>
      <c r="F375" s="5" t="s">
        <v>41</v>
      </c>
      <c r="G375" s="5" t="s">
        <v>42</v>
      </c>
      <c r="H375" s="5" t="s">
        <v>43</v>
      </c>
      <c r="I375" s="5" t="s">
        <v>886</v>
      </c>
      <c r="J375" s="5" t="s">
        <v>887</v>
      </c>
      <c r="M375" s="5" t="s">
        <v>423</v>
      </c>
      <c r="O375" s="5" t="s">
        <v>131</v>
      </c>
      <c r="P375" s="5" t="s">
        <v>132</v>
      </c>
      <c r="Q375" s="5" t="s">
        <v>49</v>
      </c>
      <c r="R375" s="5" t="s">
        <v>888</v>
      </c>
      <c r="S375" s="4">
        <v>45474</v>
      </c>
      <c r="T375" s="4">
        <v>45823</v>
      </c>
      <c r="U375" s="5" t="s">
        <v>51</v>
      </c>
      <c r="V375" s="5">
        <v>1</v>
      </c>
      <c r="W375" s="4">
        <v>45798</v>
      </c>
      <c r="X375" s="5" t="s">
        <v>52</v>
      </c>
      <c r="Y375" s="6">
        <v>1</v>
      </c>
      <c r="Z375" s="6">
        <v>1</v>
      </c>
      <c r="AB375" s="7">
        <v>1</v>
      </c>
      <c r="AC375" s="6">
        <v>1.3</v>
      </c>
      <c r="AG375" s="6">
        <v>0</v>
      </c>
      <c r="AH375" s="6">
        <v>1.3</v>
      </c>
      <c r="AI375" s="6">
        <v>0</v>
      </c>
      <c r="AK375" s="5">
        <v>5492831</v>
      </c>
      <c r="AL375" s="5" t="s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EC3-EE86-4687-AE74-3BD8A71EC6D3}">
  <dimension ref="A1:R375"/>
  <sheetViews>
    <sheetView tabSelected="1" topLeftCell="B335" workbookViewId="0">
      <selection activeCell="B352" sqref="B352"/>
    </sheetView>
  </sheetViews>
  <sheetFormatPr defaultRowHeight="15" x14ac:dyDescent="0.25"/>
  <cols>
    <col min="1" max="1" width="16" bestFit="1" customWidth="1"/>
    <col min="2" max="2" width="16" customWidth="1"/>
    <col min="3" max="3" width="26.140625" bestFit="1" customWidth="1"/>
    <col min="5" max="5" width="10.42578125" customWidth="1"/>
    <col min="6" max="6" width="20.28515625" customWidth="1"/>
    <col min="7" max="7" width="56.85546875" bestFit="1" customWidth="1"/>
    <col min="8" max="8" width="10.140625" bestFit="1" customWidth="1"/>
    <col min="9" max="9" width="12.28515625" bestFit="1" customWidth="1"/>
    <col min="15" max="15" width="29.7109375" bestFit="1" customWidth="1"/>
    <col min="16" max="16" width="23.140625" bestFit="1" customWidth="1"/>
  </cols>
  <sheetData>
    <row r="1" spans="1:18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19</v>
      </c>
      <c r="J1" t="s">
        <v>23</v>
      </c>
      <c r="K1" t="s">
        <v>24</v>
      </c>
      <c r="L1" t="s">
        <v>25</v>
      </c>
      <c r="M1" t="s">
        <v>27</v>
      </c>
      <c r="N1" t="s">
        <v>28</v>
      </c>
    </row>
    <row r="2" spans="1:18" x14ac:dyDescent="0.25">
      <c r="A2" s="9" t="s">
        <v>1061</v>
      </c>
      <c r="B2" s="9" t="str">
        <f>CONCATENATE(A2,1)</f>
        <v>A040787281</v>
      </c>
      <c r="C2" s="10" t="s">
        <v>887</v>
      </c>
      <c r="D2" s="10" t="s">
        <v>423</v>
      </c>
      <c r="E2" s="10">
        <v>17528908</v>
      </c>
      <c r="F2" s="10" t="s">
        <v>132</v>
      </c>
      <c r="G2" s="10" t="s">
        <v>888</v>
      </c>
      <c r="H2" s="11">
        <v>45474</v>
      </c>
      <c r="I2" s="11">
        <v>45823</v>
      </c>
      <c r="J2" s="10" t="s">
        <v>52</v>
      </c>
      <c r="K2" s="12">
        <v>1</v>
      </c>
      <c r="L2" s="12">
        <v>1</v>
      </c>
      <c r="M2" s="13">
        <v>1</v>
      </c>
      <c r="N2" s="12">
        <v>1.3</v>
      </c>
      <c r="O2" s="10"/>
      <c r="P2" s="10"/>
      <c r="Q2" s="10"/>
      <c r="R2" s="10"/>
    </row>
    <row r="3" spans="1:18" x14ac:dyDescent="0.25">
      <c r="A3" s="8">
        <v>101060073300</v>
      </c>
      <c r="B3" s="8" t="str">
        <f t="shared" ref="B3:B34" si="0">CONCATENATE(A3,0)</f>
        <v>1010600733000</v>
      </c>
      <c r="C3" t="s">
        <v>427</v>
      </c>
      <c r="D3" t="s">
        <v>423</v>
      </c>
      <c r="E3">
        <v>20411454</v>
      </c>
      <c r="F3" t="s">
        <v>1091</v>
      </c>
      <c r="G3" t="s">
        <v>428</v>
      </c>
      <c r="H3" s="1">
        <v>43678</v>
      </c>
      <c r="I3" s="1">
        <v>45823</v>
      </c>
      <c r="J3" t="s">
        <v>52</v>
      </c>
      <c r="K3" s="2">
        <v>1</v>
      </c>
      <c r="L3" s="2">
        <v>1</v>
      </c>
      <c r="M3" s="3">
        <v>1</v>
      </c>
      <c r="N3" s="2">
        <v>2</v>
      </c>
      <c r="O3" t="s">
        <v>889</v>
      </c>
    </row>
    <row r="4" spans="1:18" x14ac:dyDescent="0.25">
      <c r="A4" s="8">
        <v>101063039500</v>
      </c>
      <c r="B4" s="8" t="str">
        <f t="shared" si="0"/>
        <v>1010630395000</v>
      </c>
      <c r="C4" t="s">
        <v>431</v>
      </c>
      <c r="D4" t="s">
        <v>423</v>
      </c>
      <c r="E4">
        <v>20411454</v>
      </c>
      <c r="F4" t="s">
        <v>1091</v>
      </c>
      <c r="G4" t="s">
        <v>428</v>
      </c>
      <c r="H4" s="1">
        <v>45658</v>
      </c>
      <c r="I4" s="1">
        <v>45823</v>
      </c>
      <c r="J4" t="s">
        <v>52</v>
      </c>
      <c r="K4" s="2">
        <v>1</v>
      </c>
      <c r="L4" s="2">
        <v>1</v>
      </c>
      <c r="M4" s="3">
        <v>1</v>
      </c>
      <c r="N4" s="2">
        <v>2</v>
      </c>
      <c r="O4" t="s">
        <v>889</v>
      </c>
    </row>
    <row r="5" spans="1:18" x14ac:dyDescent="0.25">
      <c r="A5" s="8">
        <v>101079484800</v>
      </c>
      <c r="B5" s="8" t="str">
        <f t="shared" si="0"/>
        <v>1010794848000</v>
      </c>
      <c r="C5" t="s">
        <v>433</v>
      </c>
      <c r="D5" t="s">
        <v>423</v>
      </c>
      <c r="E5">
        <v>20411454</v>
      </c>
      <c r="F5" t="s">
        <v>1091</v>
      </c>
      <c r="G5" t="s">
        <v>428</v>
      </c>
      <c r="H5" s="1">
        <v>44044</v>
      </c>
      <c r="I5" s="1">
        <v>45823</v>
      </c>
      <c r="J5" t="s">
        <v>52</v>
      </c>
      <c r="K5" s="2">
        <v>1</v>
      </c>
      <c r="L5" s="2">
        <v>1</v>
      </c>
      <c r="M5" s="3">
        <v>1</v>
      </c>
      <c r="N5" s="2">
        <v>2</v>
      </c>
      <c r="O5" t="s">
        <v>889</v>
      </c>
    </row>
    <row r="6" spans="1:18" x14ac:dyDescent="0.25">
      <c r="A6" s="8">
        <v>101097095200</v>
      </c>
      <c r="B6" s="8" t="str">
        <f t="shared" si="0"/>
        <v>1010970952000</v>
      </c>
      <c r="C6" t="s">
        <v>435</v>
      </c>
      <c r="D6" t="s">
        <v>423</v>
      </c>
      <c r="E6">
        <v>20411454</v>
      </c>
      <c r="F6" t="s">
        <v>1091</v>
      </c>
      <c r="G6" t="s">
        <v>428</v>
      </c>
      <c r="H6" s="1">
        <v>45658</v>
      </c>
      <c r="I6" s="1">
        <v>45823</v>
      </c>
      <c r="J6" t="s">
        <v>52</v>
      </c>
      <c r="K6" s="2">
        <v>1</v>
      </c>
      <c r="L6" s="2">
        <v>1</v>
      </c>
      <c r="M6" s="3">
        <v>1</v>
      </c>
      <c r="N6" s="2">
        <v>2</v>
      </c>
      <c r="O6" t="s">
        <v>889</v>
      </c>
    </row>
    <row r="7" spans="1:18" x14ac:dyDescent="0.25">
      <c r="A7" s="8">
        <v>101098603800</v>
      </c>
      <c r="B7" s="8" t="str">
        <f t="shared" si="0"/>
        <v>1010986038000</v>
      </c>
      <c r="C7" t="s">
        <v>437</v>
      </c>
      <c r="D7" t="s">
        <v>423</v>
      </c>
      <c r="E7">
        <v>20411454</v>
      </c>
      <c r="F7" t="s">
        <v>1091</v>
      </c>
      <c r="G7" t="s">
        <v>428</v>
      </c>
      <c r="H7" s="1">
        <v>44562</v>
      </c>
      <c r="I7" s="1">
        <v>45823</v>
      </c>
      <c r="J7" t="s">
        <v>52</v>
      </c>
      <c r="K7" s="2">
        <v>1</v>
      </c>
      <c r="L7" s="2">
        <v>1</v>
      </c>
      <c r="M7" s="3">
        <v>1</v>
      </c>
      <c r="N7" s="2">
        <v>2</v>
      </c>
      <c r="O7" t="s">
        <v>889</v>
      </c>
    </row>
    <row r="8" spans="1:18" x14ac:dyDescent="0.25">
      <c r="A8" s="8">
        <v>101338772600</v>
      </c>
      <c r="B8" s="8" t="str">
        <f t="shared" si="0"/>
        <v>1013387726000</v>
      </c>
      <c r="C8" t="s">
        <v>442</v>
      </c>
      <c r="D8" t="s">
        <v>46</v>
      </c>
      <c r="E8">
        <v>20411454</v>
      </c>
      <c r="F8" t="s">
        <v>1091</v>
      </c>
      <c r="G8" t="s">
        <v>428</v>
      </c>
      <c r="H8" s="1">
        <v>45536</v>
      </c>
      <c r="I8" s="1">
        <v>45823</v>
      </c>
      <c r="J8" t="s">
        <v>52</v>
      </c>
      <c r="K8" s="2">
        <v>1</v>
      </c>
      <c r="L8" s="2">
        <v>1</v>
      </c>
      <c r="M8" s="3">
        <v>1</v>
      </c>
      <c r="N8" s="2">
        <v>2</v>
      </c>
      <c r="O8" t="s">
        <v>889</v>
      </c>
    </row>
    <row r="9" spans="1:18" x14ac:dyDescent="0.25">
      <c r="A9" s="8">
        <v>101351768100</v>
      </c>
      <c r="B9" s="8" t="str">
        <f t="shared" si="0"/>
        <v>1013517681000</v>
      </c>
      <c r="C9" t="s">
        <v>444</v>
      </c>
      <c r="D9" t="s">
        <v>418</v>
      </c>
      <c r="E9">
        <v>20411454</v>
      </c>
      <c r="F9" t="s">
        <v>1091</v>
      </c>
      <c r="G9" t="s">
        <v>428</v>
      </c>
      <c r="H9" s="1">
        <v>43831</v>
      </c>
      <c r="I9" s="1">
        <v>45823</v>
      </c>
      <c r="J9" t="s">
        <v>52</v>
      </c>
      <c r="K9" s="2">
        <v>1</v>
      </c>
      <c r="L9" s="2">
        <v>1</v>
      </c>
      <c r="M9" s="3">
        <v>1</v>
      </c>
      <c r="N9" s="2">
        <v>2</v>
      </c>
      <c r="O9" t="s">
        <v>889</v>
      </c>
    </row>
    <row r="10" spans="1:18" x14ac:dyDescent="0.25">
      <c r="A10" s="8">
        <v>101953198300</v>
      </c>
      <c r="B10" s="8" t="str">
        <f t="shared" si="0"/>
        <v>1019531983000</v>
      </c>
      <c r="C10" t="s">
        <v>454</v>
      </c>
      <c r="D10" t="s">
        <v>423</v>
      </c>
      <c r="E10">
        <v>20411454</v>
      </c>
      <c r="F10" t="s">
        <v>1091</v>
      </c>
      <c r="G10" t="s">
        <v>428</v>
      </c>
      <c r="H10" s="1">
        <v>45627</v>
      </c>
      <c r="I10" s="1">
        <v>45823</v>
      </c>
      <c r="J10" t="s">
        <v>52</v>
      </c>
      <c r="K10" s="2">
        <v>1</v>
      </c>
      <c r="L10" s="2">
        <v>1</v>
      </c>
      <c r="M10" s="3">
        <v>1</v>
      </c>
      <c r="N10" s="2">
        <v>2</v>
      </c>
      <c r="O10" t="s">
        <v>889</v>
      </c>
    </row>
    <row r="11" spans="1:18" x14ac:dyDescent="0.25">
      <c r="A11" s="8">
        <v>102006468500</v>
      </c>
      <c r="B11" s="8" t="str">
        <f t="shared" si="0"/>
        <v>1020064685000</v>
      </c>
      <c r="C11" t="s">
        <v>459</v>
      </c>
      <c r="D11" t="s">
        <v>457</v>
      </c>
      <c r="E11">
        <v>20411454</v>
      </c>
      <c r="F11" t="s">
        <v>1091</v>
      </c>
      <c r="G11" t="s">
        <v>428</v>
      </c>
      <c r="H11" s="1">
        <v>45444</v>
      </c>
      <c r="I11" s="1">
        <v>45823</v>
      </c>
      <c r="J11" t="s">
        <v>52</v>
      </c>
      <c r="K11" s="2">
        <v>1</v>
      </c>
      <c r="L11" s="2">
        <v>1</v>
      </c>
      <c r="M11" s="3">
        <v>1</v>
      </c>
      <c r="N11" s="2">
        <v>2</v>
      </c>
      <c r="O11" t="s">
        <v>889</v>
      </c>
    </row>
    <row r="12" spans="1:18" x14ac:dyDescent="0.25">
      <c r="A12" s="8">
        <v>102006527900</v>
      </c>
      <c r="B12" s="8" t="str">
        <f t="shared" si="0"/>
        <v>1020065279000</v>
      </c>
      <c r="C12" t="s">
        <v>461</v>
      </c>
      <c r="D12" t="s">
        <v>457</v>
      </c>
      <c r="E12">
        <v>20411454</v>
      </c>
      <c r="F12" t="s">
        <v>1091</v>
      </c>
      <c r="G12" t="s">
        <v>428</v>
      </c>
      <c r="H12" s="1">
        <v>45444</v>
      </c>
      <c r="I12" s="1">
        <v>45823</v>
      </c>
      <c r="J12" t="s">
        <v>52</v>
      </c>
      <c r="K12" s="2">
        <v>1</v>
      </c>
      <c r="L12" s="2">
        <v>1</v>
      </c>
      <c r="M12" s="3">
        <v>1</v>
      </c>
      <c r="N12" s="2">
        <v>2</v>
      </c>
      <c r="O12" t="s">
        <v>889</v>
      </c>
    </row>
    <row r="13" spans="1:18" x14ac:dyDescent="0.25">
      <c r="A13" s="8">
        <v>102007511900</v>
      </c>
      <c r="B13" s="8" t="str">
        <f t="shared" si="0"/>
        <v>1020075119000</v>
      </c>
      <c r="C13" t="s">
        <v>463</v>
      </c>
      <c r="D13" t="s">
        <v>464</v>
      </c>
      <c r="E13">
        <v>20411454</v>
      </c>
      <c r="F13" t="s">
        <v>1091</v>
      </c>
      <c r="G13" t="s">
        <v>428</v>
      </c>
      <c r="H13" s="1">
        <v>45505</v>
      </c>
      <c r="I13" s="1">
        <v>45823</v>
      </c>
      <c r="J13" t="s">
        <v>52</v>
      </c>
      <c r="K13" s="2">
        <v>1</v>
      </c>
      <c r="L13" s="2">
        <v>1</v>
      </c>
      <c r="M13" s="3">
        <v>1</v>
      </c>
      <c r="N13" s="2">
        <v>2</v>
      </c>
      <c r="O13" t="s">
        <v>889</v>
      </c>
    </row>
    <row r="14" spans="1:18" x14ac:dyDescent="0.25">
      <c r="A14" s="8">
        <v>102008188300</v>
      </c>
      <c r="B14" s="8" t="str">
        <f t="shared" si="0"/>
        <v>1020081883000</v>
      </c>
      <c r="C14" t="s">
        <v>466</v>
      </c>
      <c r="D14" t="s">
        <v>450</v>
      </c>
      <c r="E14">
        <v>20411454</v>
      </c>
      <c r="F14" t="s">
        <v>1091</v>
      </c>
      <c r="G14" t="s">
        <v>428</v>
      </c>
      <c r="H14" s="1">
        <v>45444</v>
      </c>
      <c r="I14" s="1">
        <v>45823</v>
      </c>
      <c r="J14" t="s">
        <v>52</v>
      </c>
      <c r="K14" s="2">
        <v>1</v>
      </c>
      <c r="L14" s="2">
        <v>1</v>
      </c>
      <c r="M14" s="3">
        <v>1</v>
      </c>
      <c r="N14" s="2">
        <v>2</v>
      </c>
      <c r="O14" t="s">
        <v>889</v>
      </c>
    </row>
    <row r="15" spans="1:18" x14ac:dyDescent="0.25">
      <c r="A15" s="8">
        <v>102009524100</v>
      </c>
      <c r="B15" s="8" t="str">
        <f t="shared" si="0"/>
        <v>1020095241000</v>
      </c>
      <c r="C15" t="s">
        <v>468</v>
      </c>
      <c r="D15" t="s">
        <v>423</v>
      </c>
      <c r="E15">
        <v>20411454</v>
      </c>
      <c r="F15" t="s">
        <v>1091</v>
      </c>
      <c r="G15" t="s">
        <v>428</v>
      </c>
      <c r="H15" s="1">
        <v>45444</v>
      </c>
      <c r="I15" s="1">
        <v>45823</v>
      </c>
      <c r="J15" t="s">
        <v>52</v>
      </c>
      <c r="K15" s="2">
        <v>1</v>
      </c>
      <c r="L15" s="2">
        <v>1</v>
      </c>
      <c r="M15" s="3">
        <v>1</v>
      </c>
      <c r="N15" s="2">
        <v>2</v>
      </c>
      <c r="O15" t="s">
        <v>889</v>
      </c>
    </row>
    <row r="16" spans="1:18" x14ac:dyDescent="0.25">
      <c r="A16" s="8">
        <v>102009546700</v>
      </c>
      <c r="B16" s="8" t="str">
        <f t="shared" si="0"/>
        <v>1020095467000</v>
      </c>
      <c r="C16" t="s">
        <v>470</v>
      </c>
      <c r="D16" t="s">
        <v>423</v>
      </c>
      <c r="E16">
        <v>20411454</v>
      </c>
      <c r="F16" t="s">
        <v>1091</v>
      </c>
      <c r="G16" t="s">
        <v>428</v>
      </c>
      <c r="H16" s="1">
        <v>45444</v>
      </c>
      <c r="I16" s="1">
        <v>45823</v>
      </c>
      <c r="J16" t="s">
        <v>52</v>
      </c>
      <c r="K16" s="2">
        <v>1</v>
      </c>
      <c r="L16" s="2">
        <v>1</v>
      </c>
      <c r="M16" s="3">
        <v>1</v>
      </c>
      <c r="N16" s="2">
        <v>2</v>
      </c>
      <c r="O16" t="s">
        <v>889</v>
      </c>
    </row>
    <row r="17" spans="1:15" x14ac:dyDescent="0.25">
      <c r="A17" s="8">
        <v>102010075000</v>
      </c>
      <c r="B17" s="8" t="str">
        <f t="shared" si="0"/>
        <v>1020100750000</v>
      </c>
      <c r="C17" t="s">
        <v>472</v>
      </c>
      <c r="D17" t="s">
        <v>423</v>
      </c>
      <c r="E17">
        <v>20411454</v>
      </c>
      <c r="F17" t="s">
        <v>1091</v>
      </c>
      <c r="G17" t="s">
        <v>428</v>
      </c>
      <c r="H17" s="1">
        <v>45474</v>
      </c>
      <c r="I17" s="1">
        <v>45823</v>
      </c>
      <c r="J17" t="s">
        <v>52</v>
      </c>
      <c r="K17" s="2">
        <v>1</v>
      </c>
      <c r="L17" s="2">
        <v>1</v>
      </c>
      <c r="M17" s="3">
        <v>1</v>
      </c>
      <c r="N17" s="2">
        <v>2</v>
      </c>
      <c r="O17" t="s">
        <v>889</v>
      </c>
    </row>
    <row r="18" spans="1:15" x14ac:dyDescent="0.25">
      <c r="A18" s="8">
        <v>102012252800</v>
      </c>
      <c r="B18" s="8" t="str">
        <f t="shared" si="0"/>
        <v>1020122528000</v>
      </c>
      <c r="C18" t="s">
        <v>474</v>
      </c>
      <c r="D18" t="s">
        <v>475</v>
      </c>
      <c r="E18">
        <v>20411454</v>
      </c>
      <c r="F18" t="s">
        <v>1091</v>
      </c>
      <c r="G18" t="s">
        <v>428</v>
      </c>
      <c r="H18" s="1">
        <v>45505</v>
      </c>
      <c r="I18" s="1">
        <v>45823</v>
      </c>
      <c r="J18" t="s">
        <v>52</v>
      </c>
      <c r="K18" s="2">
        <v>1</v>
      </c>
      <c r="L18" s="2">
        <v>1</v>
      </c>
      <c r="M18" s="3">
        <v>1</v>
      </c>
      <c r="N18" s="2">
        <v>2</v>
      </c>
      <c r="O18" t="s">
        <v>889</v>
      </c>
    </row>
    <row r="19" spans="1:15" x14ac:dyDescent="0.25">
      <c r="A19" s="8">
        <v>102013256200</v>
      </c>
      <c r="B19" s="8" t="str">
        <f t="shared" si="0"/>
        <v>1020132562000</v>
      </c>
      <c r="C19" t="s">
        <v>477</v>
      </c>
      <c r="D19" t="s">
        <v>423</v>
      </c>
      <c r="E19">
        <v>20411454</v>
      </c>
      <c r="F19" t="s">
        <v>1091</v>
      </c>
      <c r="G19" t="s">
        <v>428</v>
      </c>
      <c r="H19" s="1">
        <v>45505</v>
      </c>
      <c r="I19" s="1">
        <v>45823</v>
      </c>
      <c r="J19" t="s">
        <v>52</v>
      </c>
      <c r="K19" s="2">
        <v>1</v>
      </c>
      <c r="L19" s="2">
        <v>1</v>
      </c>
      <c r="M19" s="3">
        <v>1</v>
      </c>
      <c r="N19" s="2">
        <v>2</v>
      </c>
      <c r="O19" t="s">
        <v>889</v>
      </c>
    </row>
    <row r="20" spans="1:15" x14ac:dyDescent="0.25">
      <c r="A20" s="8">
        <v>102014399100</v>
      </c>
      <c r="B20" s="8" t="str">
        <f t="shared" si="0"/>
        <v>1020143991000</v>
      </c>
      <c r="C20" t="s">
        <v>479</v>
      </c>
      <c r="D20" t="s">
        <v>423</v>
      </c>
      <c r="E20">
        <v>20411454</v>
      </c>
      <c r="F20" t="s">
        <v>1091</v>
      </c>
      <c r="G20" t="s">
        <v>428</v>
      </c>
      <c r="H20" s="1">
        <v>45505</v>
      </c>
      <c r="I20" s="1">
        <v>45823</v>
      </c>
      <c r="J20" t="s">
        <v>52</v>
      </c>
      <c r="K20" s="2">
        <v>1</v>
      </c>
      <c r="L20" s="2">
        <v>1</v>
      </c>
      <c r="M20" s="3">
        <v>1</v>
      </c>
      <c r="N20" s="2">
        <v>2</v>
      </c>
      <c r="O20" t="s">
        <v>889</v>
      </c>
    </row>
    <row r="21" spans="1:15" x14ac:dyDescent="0.25">
      <c r="A21" s="8">
        <v>102014897000</v>
      </c>
      <c r="B21" s="8" t="str">
        <f t="shared" si="0"/>
        <v>1020148970000</v>
      </c>
      <c r="C21" t="s">
        <v>483</v>
      </c>
      <c r="D21" t="s">
        <v>423</v>
      </c>
      <c r="E21">
        <v>20411454</v>
      </c>
      <c r="F21" t="s">
        <v>1091</v>
      </c>
      <c r="G21" t="s">
        <v>428</v>
      </c>
      <c r="H21" s="1">
        <v>45474</v>
      </c>
      <c r="I21" s="1">
        <v>45823</v>
      </c>
      <c r="J21" t="s">
        <v>52</v>
      </c>
      <c r="K21" s="2">
        <v>1</v>
      </c>
      <c r="L21" s="2">
        <v>1</v>
      </c>
      <c r="M21" s="3">
        <v>1</v>
      </c>
      <c r="N21" s="2">
        <v>2</v>
      </c>
      <c r="O21" t="s">
        <v>889</v>
      </c>
    </row>
    <row r="22" spans="1:15" x14ac:dyDescent="0.25">
      <c r="A22" s="8">
        <v>102015648800</v>
      </c>
      <c r="B22" s="8" t="str">
        <f t="shared" si="0"/>
        <v>1020156488000</v>
      </c>
      <c r="C22" t="s">
        <v>487</v>
      </c>
      <c r="D22" t="s">
        <v>423</v>
      </c>
      <c r="E22">
        <v>20411454</v>
      </c>
      <c r="F22" t="s">
        <v>1091</v>
      </c>
      <c r="G22" t="s">
        <v>428</v>
      </c>
      <c r="H22" s="1">
        <v>45474</v>
      </c>
      <c r="I22" s="1">
        <v>45823</v>
      </c>
      <c r="J22" t="s">
        <v>52</v>
      </c>
      <c r="K22" s="2">
        <v>1</v>
      </c>
      <c r="L22" s="2">
        <v>1</v>
      </c>
      <c r="M22" s="3">
        <v>1</v>
      </c>
      <c r="N22" s="2">
        <v>2</v>
      </c>
      <c r="O22" t="s">
        <v>889</v>
      </c>
    </row>
    <row r="23" spans="1:15" x14ac:dyDescent="0.25">
      <c r="A23" s="8">
        <v>102015762800</v>
      </c>
      <c r="B23" s="8" t="str">
        <f t="shared" si="0"/>
        <v>1020157628000</v>
      </c>
      <c r="C23" t="s">
        <v>489</v>
      </c>
      <c r="D23" t="s">
        <v>423</v>
      </c>
      <c r="E23">
        <v>20411454</v>
      </c>
      <c r="F23" t="s">
        <v>1091</v>
      </c>
      <c r="G23" t="s">
        <v>428</v>
      </c>
      <c r="H23" s="1">
        <v>45474</v>
      </c>
      <c r="I23" s="1">
        <v>45823</v>
      </c>
      <c r="J23" t="s">
        <v>52</v>
      </c>
      <c r="K23" s="2">
        <v>1</v>
      </c>
      <c r="L23" s="2">
        <v>1</v>
      </c>
      <c r="M23" s="3">
        <v>1</v>
      </c>
      <c r="N23" s="2">
        <v>2</v>
      </c>
      <c r="O23" t="s">
        <v>889</v>
      </c>
    </row>
    <row r="24" spans="1:15" x14ac:dyDescent="0.25">
      <c r="A24" s="8">
        <v>102017009100</v>
      </c>
      <c r="B24" s="8" t="str">
        <f t="shared" si="0"/>
        <v>1020170091000</v>
      </c>
      <c r="C24" t="s">
        <v>491</v>
      </c>
      <c r="D24" t="s">
        <v>423</v>
      </c>
      <c r="E24">
        <v>20411454</v>
      </c>
      <c r="F24" t="s">
        <v>1091</v>
      </c>
      <c r="G24" t="s">
        <v>428</v>
      </c>
      <c r="H24" s="1">
        <v>45474</v>
      </c>
      <c r="I24" s="1">
        <v>45823</v>
      </c>
      <c r="J24" t="s">
        <v>52</v>
      </c>
      <c r="K24" s="2">
        <v>1</v>
      </c>
      <c r="L24" s="2">
        <v>1</v>
      </c>
      <c r="M24" s="3">
        <v>1</v>
      </c>
      <c r="N24" s="2">
        <v>2</v>
      </c>
      <c r="O24" t="s">
        <v>889</v>
      </c>
    </row>
    <row r="25" spans="1:15" x14ac:dyDescent="0.25">
      <c r="A25" s="8">
        <v>102017011000</v>
      </c>
      <c r="B25" s="8" t="str">
        <f t="shared" si="0"/>
        <v>1020170110000</v>
      </c>
      <c r="C25" t="s">
        <v>493</v>
      </c>
      <c r="D25" t="s">
        <v>423</v>
      </c>
      <c r="E25">
        <v>20411454</v>
      </c>
      <c r="F25" t="s">
        <v>1091</v>
      </c>
      <c r="G25" t="s">
        <v>428</v>
      </c>
      <c r="H25" s="1">
        <v>45658</v>
      </c>
      <c r="I25" s="1">
        <v>45823</v>
      </c>
      <c r="J25" t="s">
        <v>52</v>
      </c>
      <c r="K25" s="2">
        <v>1</v>
      </c>
      <c r="L25" s="2">
        <v>1</v>
      </c>
      <c r="M25" s="3">
        <v>1</v>
      </c>
      <c r="N25" s="2">
        <v>2</v>
      </c>
      <c r="O25" t="s">
        <v>889</v>
      </c>
    </row>
    <row r="26" spans="1:15" x14ac:dyDescent="0.25">
      <c r="A26" s="8">
        <v>102017011100</v>
      </c>
      <c r="B26" s="8" t="str">
        <f t="shared" si="0"/>
        <v>1020170111000</v>
      </c>
      <c r="C26" t="s">
        <v>495</v>
      </c>
      <c r="D26" t="s">
        <v>423</v>
      </c>
      <c r="E26">
        <v>20411454</v>
      </c>
      <c r="F26" t="s">
        <v>1091</v>
      </c>
      <c r="G26" t="s">
        <v>428</v>
      </c>
      <c r="H26" s="1">
        <v>45474</v>
      </c>
      <c r="I26" s="1">
        <v>45823</v>
      </c>
      <c r="J26" t="s">
        <v>52</v>
      </c>
      <c r="K26" s="2">
        <v>1</v>
      </c>
      <c r="L26" s="2">
        <v>1</v>
      </c>
      <c r="M26" s="3">
        <v>1</v>
      </c>
      <c r="N26" s="2">
        <v>2</v>
      </c>
      <c r="O26" t="s">
        <v>889</v>
      </c>
    </row>
    <row r="27" spans="1:15" x14ac:dyDescent="0.25">
      <c r="A27" s="8">
        <v>102017118900</v>
      </c>
      <c r="B27" s="8" t="str">
        <f t="shared" si="0"/>
        <v>1020171189000</v>
      </c>
      <c r="C27" t="s">
        <v>497</v>
      </c>
      <c r="D27" t="s">
        <v>418</v>
      </c>
      <c r="E27">
        <v>20411454</v>
      </c>
      <c r="F27" t="s">
        <v>1091</v>
      </c>
      <c r="G27" t="s">
        <v>428</v>
      </c>
      <c r="H27" s="1">
        <v>45474</v>
      </c>
      <c r="I27" s="1">
        <v>45823</v>
      </c>
      <c r="J27" t="s">
        <v>52</v>
      </c>
      <c r="K27" s="2">
        <v>1</v>
      </c>
      <c r="L27" s="2">
        <v>1</v>
      </c>
      <c r="M27" s="3">
        <v>1</v>
      </c>
      <c r="N27" s="2">
        <v>2</v>
      </c>
      <c r="O27" t="s">
        <v>889</v>
      </c>
    </row>
    <row r="28" spans="1:15" x14ac:dyDescent="0.25">
      <c r="A28" s="8">
        <v>102018981300</v>
      </c>
      <c r="B28" s="8" t="str">
        <f t="shared" si="0"/>
        <v>1020189813000</v>
      </c>
      <c r="C28" t="s">
        <v>499</v>
      </c>
      <c r="D28" t="s">
        <v>423</v>
      </c>
      <c r="E28">
        <v>20411454</v>
      </c>
      <c r="F28" t="s">
        <v>1091</v>
      </c>
      <c r="G28" t="s">
        <v>428</v>
      </c>
      <c r="H28" s="1">
        <v>45505</v>
      </c>
      <c r="I28" s="1">
        <v>45823</v>
      </c>
      <c r="J28" t="s">
        <v>52</v>
      </c>
      <c r="K28" s="2">
        <v>1</v>
      </c>
      <c r="L28" s="2">
        <v>1</v>
      </c>
      <c r="M28" s="3">
        <v>1</v>
      </c>
      <c r="N28" s="2">
        <v>2</v>
      </c>
      <c r="O28" t="s">
        <v>889</v>
      </c>
    </row>
    <row r="29" spans="1:15" x14ac:dyDescent="0.25">
      <c r="A29" s="8">
        <v>102021150000</v>
      </c>
      <c r="B29" s="8" t="str">
        <f t="shared" si="0"/>
        <v>1020211500000</v>
      </c>
      <c r="C29" t="s">
        <v>501</v>
      </c>
      <c r="D29" t="s">
        <v>423</v>
      </c>
      <c r="E29">
        <v>20411454</v>
      </c>
      <c r="F29" t="s">
        <v>1091</v>
      </c>
      <c r="G29" t="s">
        <v>428</v>
      </c>
      <c r="H29" s="1">
        <v>45536</v>
      </c>
      <c r="I29" s="1">
        <v>45823</v>
      </c>
      <c r="J29" t="s">
        <v>52</v>
      </c>
      <c r="K29" s="2">
        <v>1</v>
      </c>
      <c r="L29" s="2">
        <v>1</v>
      </c>
      <c r="M29" s="3">
        <v>1</v>
      </c>
      <c r="N29" s="2">
        <v>2</v>
      </c>
      <c r="O29" t="s">
        <v>889</v>
      </c>
    </row>
    <row r="30" spans="1:15" x14ac:dyDescent="0.25">
      <c r="A30" s="8">
        <v>102021599000</v>
      </c>
      <c r="B30" s="8" t="str">
        <f t="shared" si="0"/>
        <v>1020215990000</v>
      </c>
      <c r="C30" t="s">
        <v>503</v>
      </c>
      <c r="D30" t="s">
        <v>423</v>
      </c>
      <c r="E30">
        <v>20411454</v>
      </c>
      <c r="F30" t="s">
        <v>1091</v>
      </c>
      <c r="G30" t="s">
        <v>428</v>
      </c>
      <c r="H30" s="1">
        <v>45505</v>
      </c>
      <c r="I30" s="1">
        <v>45823</v>
      </c>
      <c r="J30" t="s">
        <v>52</v>
      </c>
      <c r="K30" s="2">
        <v>1</v>
      </c>
      <c r="L30" s="2">
        <v>1</v>
      </c>
      <c r="M30" s="3">
        <v>1</v>
      </c>
      <c r="N30" s="2">
        <v>2</v>
      </c>
      <c r="O30" t="s">
        <v>889</v>
      </c>
    </row>
    <row r="31" spans="1:15" x14ac:dyDescent="0.25">
      <c r="A31" s="8">
        <v>102021703600</v>
      </c>
      <c r="B31" s="8" t="str">
        <f t="shared" si="0"/>
        <v>1020217036000</v>
      </c>
      <c r="C31" t="s">
        <v>505</v>
      </c>
      <c r="D31" t="s">
        <v>423</v>
      </c>
      <c r="E31">
        <v>20411454</v>
      </c>
      <c r="F31" t="s">
        <v>1091</v>
      </c>
      <c r="G31" t="s">
        <v>428</v>
      </c>
      <c r="H31" s="1">
        <v>45536</v>
      </c>
      <c r="I31" s="1">
        <v>45823</v>
      </c>
      <c r="J31" t="s">
        <v>52</v>
      </c>
      <c r="K31" s="2">
        <v>1</v>
      </c>
      <c r="L31" s="2">
        <v>1</v>
      </c>
      <c r="M31" s="3">
        <v>1</v>
      </c>
      <c r="N31" s="2">
        <v>2</v>
      </c>
      <c r="O31" t="s">
        <v>889</v>
      </c>
    </row>
    <row r="32" spans="1:15" x14ac:dyDescent="0.25">
      <c r="A32" s="8">
        <v>102022258700</v>
      </c>
      <c r="B32" s="8" t="str">
        <f t="shared" si="0"/>
        <v>1020222587000</v>
      </c>
      <c r="C32" t="s">
        <v>507</v>
      </c>
      <c r="D32" t="s">
        <v>423</v>
      </c>
      <c r="E32">
        <v>20411454</v>
      </c>
      <c r="F32" t="s">
        <v>1091</v>
      </c>
      <c r="G32" t="s">
        <v>428</v>
      </c>
      <c r="H32" s="1">
        <v>45474</v>
      </c>
      <c r="I32" s="1">
        <v>45823</v>
      </c>
      <c r="J32" t="s">
        <v>52</v>
      </c>
      <c r="K32" s="2">
        <v>1</v>
      </c>
      <c r="L32" s="2">
        <v>1</v>
      </c>
      <c r="M32" s="3">
        <v>1</v>
      </c>
      <c r="N32" s="2">
        <v>2</v>
      </c>
      <c r="O32" t="s">
        <v>889</v>
      </c>
    </row>
    <row r="33" spans="1:18" x14ac:dyDescent="0.25">
      <c r="A33" s="8">
        <v>102022261800</v>
      </c>
      <c r="B33" s="8" t="str">
        <f t="shared" si="0"/>
        <v>1020222618000</v>
      </c>
      <c r="C33" t="s">
        <v>509</v>
      </c>
      <c r="D33" t="s">
        <v>423</v>
      </c>
      <c r="E33">
        <v>20411454</v>
      </c>
      <c r="F33" t="s">
        <v>1091</v>
      </c>
      <c r="G33" t="s">
        <v>428</v>
      </c>
      <c r="H33" s="1">
        <v>45474</v>
      </c>
      <c r="I33" s="1">
        <v>45823</v>
      </c>
      <c r="J33" t="s">
        <v>52</v>
      </c>
      <c r="K33" s="2">
        <v>1</v>
      </c>
      <c r="L33" s="2">
        <v>1</v>
      </c>
      <c r="M33" s="3">
        <v>1</v>
      </c>
      <c r="N33" s="2">
        <v>2</v>
      </c>
      <c r="O33" t="s">
        <v>889</v>
      </c>
    </row>
    <row r="34" spans="1:18" x14ac:dyDescent="0.25">
      <c r="A34" s="8">
        <v>102022904500</v>
      </c>
      <c r="B34" s="8" t="str">
        <f t="shared" si="0"/>
        <v>1020229045000</v>
      </c>
      <c r="C34" t="s">
        <v>511</v>
      </c>
      <c r="D34" t="s">
        <v>423</v>
      </c>
      <c r="E34">
        <v>20411454</v>
      </c>
      <c r="F34" t="s">
        <v>1091</v>
      </c>
      <c r="G34" t="s">
        <v>428</v>
      </c>
      <c r="H34" s="1">
        <v>45505</v>
      </c>
      <c r="I34" s="1">
        <v>45823</v>
      </c>
      <c r="J34" t="s">
        <v>52</v>
      </c>
      <c r="K34" s="2">
        <v>1</v>
      </c>
      <c r="L34" s="2">
        <v>1</v>
      </c>
      <c r="M34" s="3">
        <v>1</v>
      </c>
      <c r="N34" s="2">
        <v>2</v>
      </c>
      <c r="O34" t="s">
        <v>889</v>
      </c>
    </row>
    <row r="35" spans="1:18" x14ac:dyDescent="0.25">
      <c r="A35" s="8">
        <v>102025517700</v>
      </c>
      <c r="B35" s="8" t="str">
        <f t="shared" ref="B35:B66" si="1">CONCATENATE(A35,0)</f>
        <v>1020255177000</v>
      </c>
      <c r="C35" t="s">
        <v>517</v>
      </c>
      <c r="D35" t="s">
        <v>46</v>
      </c>
      <c r="E35">
        <v>20411454</v>
      </c>
      <c r="F35" t="s">
        <v>1091</v>
      </c>
      <c r="G35" t="s">
        <v>428</v>
      </c>
      <c r="H35" s="1">
        <v>45474</v>
      </c>
      <c r="I35" s="1">
        <v>45823</v>
      </c>
      <c r="J35" t="s">
        <v>52</v>
      </c>
      <c r="K35" s="2">
        <v>1</v>
      </c>
      <c r="L35" s="2">
        <v>1</v>
      </c>
      <c r="M35" s="3">
        <v>1</v>
      </c>
      <c r="N35" s="2">
        <v>2</v>
      </c>
      <c r="O35" t="s">
        <v>889</v>
      </c>
    </row>
    <row r="36" spans="1:18" s="15" customFormat="1" x14ac:dyDescent="0.25">
      <c r="A36" s="8">
        <v>102025592500</v>
      </c>
      <c r="B36" s="8" t="str">
        <f t="shared" si="1"/>
        <v>1020255925000</v>
      </c>
      <c r="C36" t="s">
        <v>519</v>
      </c>
      <c r="D36" t="s">
        <v>520</v>
      </c>
      <c r="E36">
        <v>20411454</v>
      </c>
      <c r="F36" t="s">
        <v>1091</v>
      </c>
      <c r="G36" t="s">
        <v>428</v>
      </c>
      <c r="H36" s="1">
        <v>45505</v>
      </c>
      <c r="I36" s="1">
        <v>45823</v>
      </c>
      <c r="J36" t="s">
        <v>52</v>
      </c>
      <c r="K36" s="2">
        <v>1</v>
      </c>
      <c r="L36" s="2">
        <v>1</v>
      </c>
      <c r="M36" s="3">
        <v>1</v>
      </c>
      <c r="N36" s="2">
        <v>2</v>
      </c>
      <c r="O36" t="s">
        <v>889</v>
      </c>
      <c r="P36"/>
      <c r="Q36"/>
      <c r="R36"/>
    </row>
    <row r="37" spans="1:18" x14ac:dyDescent="0.25">
      <c r="A37" s="8">
        <v>102026454000</v>
      </c>
      <c r="B37" s="8" t="str">
        <f t="shared" si="1"/>
        <v>1020264540000</v>
      </c>
      <c r="C37" t="s">
        <v>522</v>
      </c>
      <c r="D37" t="s">
        <v>523</v>
      </c>
      <c r="E37">
        <v>20411454</v>
      </c>
      <c r="F37" t="s">
        <v>1091</v>
      </c>
      <c r="G37" t="s">
        <v>428</v>
      </c>
      <c r="H37" s="1">
        <v>45474</v>
      </c>
      <c r="I37" s="1">
        <v>45823</v>
      </c>
      <c r="J37" t="s">
        <v>52</v>
      </c>
      <c r="K37" s="2">
        <v>1</v>
      </c>
      <c r="L37" s="2">
        <v>1</v>
      </c>
      <c r="M37" s="3">
        <v>1</v>
      </c>
      <c r="N37" s="2">
        <v>2</v>
      </c>
      <c r="O37" t="s">
        <v>889</v>
      </c>
    </row>
    <row r="38" spans="1:18" x14ac:dyDescent="0.25">
      <c r="A38" s="8">
        <v>102027923000</v>
      </c>
      <c r="B38" s="8" t="str">
        <f t="shared" si="1"/>
        <v>1020279230000</v>
      </c>
      <c r="C38" t="s">
        <v>525</v>
      </c>
      <c r="D38" t="s">
        <v>418</v>
      </c>
      <c r="E38">
        <v>20411454</v>
      </c>
      <c r="F38" t="s">
        <v>1091</v>
      </c>
      <c r="G38" t="s">
        <v>428</v>
      </c>
      <c r="H38" s="1">
        <v>45474</v>
      </c>
      <c r="I38" s="1">
        <v>45823</v>
      </c>
      <c r="J38" t="s">
        <v>52</v>
      </c>
      <c r="K38" s="2">
        <v>1</v>
      </c>
      <c r="L38" s="2">
        <v>1</v>
      </c>
      <c r="M38" s="3">
        <v>1</v>
      </c>
      <c r="N38" s="2">
        <v>2</v>
      </c>
      <c r="O38" t="s">
        <v>889</v>
      </c>
    </row>
    <row r="39" spans="1:18" x14ac:dyDescent="0.25">
      <c r="A39" s="8">
        <v>102028483000</v>
      </c>
      <c r="B39" s="8" t="str">
        <f t="shared" si="1"/>
        <v>1020284830000</v>
      </c>
      <c r="C39" t="s">
        <v>527</v>
      </c>
      <c r="D39" t="s">
        <v>423</v>
      </c>
      <c r="E39">
        <v>20411454</v>
      </c>
      <c r="F39" t="s">
        <v>1091</v>
      </c>
      <c r="G39" t="s">
        <v>428</v>
      </c>
      <c r="H39" s="1">
        <v>45505</v>
      </c>
      <c r="I39" s="1">
        <v>45823</v>
      </c>
      <c r="J39" t="s">
        <v>52</v>
      </c>
      <c r="K39" s="2">
        <v>1</v>
      </c>
      <c r="L39" s="2">
        <v>1</v>
      </c>
      <c r="M39" s="3">
        <v>1</v>
      </c>
      <c r="N39" s="2">
        <v>2</v>
      </c>
      <c r="O39" t="s">
        <v>889</v>
      </c>
    </row>
    <row r="40" spans="1:18" x14ac:dyDescent="0.25">
      <c r="A40" s="8">
        <v>102029053100</v>
      </c>
      <c r="B40" s="8" t="str">
        <f t="shared" si="1"/>
        <v>1020290531000</v>
      </c>
      <c r="C40" t="s">
        <v>529</v>
      </c>
      <c r="D40" t="s">
        <v>423</v>
      </c>
      <c r="E40">
        <v>20411454</v>
      </c>
      <c r="F40" t="s">
        <v>1091</v>
      </c>
      <c r="G40" t="s">
        <v>428</v>
      </c>
      <c r="H40" s="1">
        <v>45566</v>
      </c>
      <c r="I40" s="1">
        <v>45823</v>
      </c>
      <c r="J40" t="s">
        <v>52</v>
      </c>
      <c r="K40" s="2">
        <v>1</v>
      </c>
      <c r="L40" s="2">
        <v>1</v>
      </c>
      <c r="M40" s="3">
        <v>1</v>
      </c>
      <c r="N40" s="2">
        <v>2</v>
      </c>
      <c r="O40" t="s">
        <v>889</v>
      </c>
    </row>
    <row r="41" spans="1:18" x14ac:dyDescent="0.25">
      <c r="A41" s="8">
        <v>102029646800</v>
      </c>
      <c r="B41" s="8" t="str">
        <f t="shared" si="1"/>
        <v>1020296468000</v>
      </c>
      <c r="C41" t="s">
        <v>531</v>
      </c>
      <c r="D41" t="s">
        <v>418</v>
      </c>
      <c r="E41">
        <v>20411454</v>
      </c>
      <c r="F41" t="s">
        <v>1091</v>
      </c>
      <c r="G41" t="s">
        <v>428</v>
      </c>
      <c r="H41" s="1">
        <v>45566</v>
      </c>
      <c r="I41" s="1">
        <v>45823</v>
      </c>
      <c r="J41" t="s">
        <v>52</v>
      </c>
      <c r="K41" s="2">
        <v>1</v>
      </c>
      <c r="L41" s="2">
        <v>1</v>
      </c>
      <c r="M41" s="3">
        <v>1</v>
      </c>
      <c r="N41" s="2">
        <v>2</v>
      </c>
      <c r="O41" t="s">
        <v>889</v>
      </c>
    </row>
    <row r="42" spans="1:18" x14ac:dyDescent="0.25">
      <c r="A42" s="8">
        <v>102030348000</v>
      </c>
      <c r="B42" s="8" t="str">
        <f t="shared" si="1"/>
        <v>1020303480000</v>
      </c>
      <c r="C42" t="s">
        <v>533</v>
      </c>
      <c r="D42" t="s">
        <v>423</v>
      </c>
      <c r="E42">
        <v>20411454</v>
      </c>
      <c r="F42" t="s">
        <v>1091</v>
      </c>
      <c r="G42" t="s">
        <v>428</v>
      </c>
      <c r="H42" s="1">
        <v>45505</v>
      </c>
      <c r="I42" s="1">
        <v>45823</v>
      </c>
      <c r="J42" t="s">
        <v>52</v>
      </c>
      <c r="K42" s="2">
        <v>1</v>
      </c>
      <c r="L42" s="2">
        <v>1</v>
      </c>
      <c r="M42" s="3">
        <v>1</v>
      </c>
      <c r="N42" s="2">
        <v>2</v>
      </c>
      <c r="O42" t="s">
        <v>889</v>
      </c>
    </row>
    <row r="43" spans="1:18" x14ac:dyDescent="0.25">
      <c r="A43" s="8">
        <v>102030760700</v>
      </c>
      <c r="B43" s="8" t="str">
        <f t="shared" si="1"/>
        <v>1020307607000</v>
      </c>
      <c r="C43" t="s">
        <v>535</v>
      </c>
      <c r="D43" t="s">
        <v>418</v>
      </c>
      <c r="E43">
        <v>20411454</v>
      </c>
      <c r="F43" t="s">
        <v>1091</v>
      </c>
      <c r="G43" t="s">
        <v>428</v>
      </c>
      <c r="H43" s="1">
        <v>45505</v>
      </c>
      <c r="I43" s="1">
        <v>45823</v>
      </c>
      <c r="J43" t="s">
        <v>52</v>
      </c>
      <c r="K43" s="2">
        <v>1</v>
      </c>
      <c r="L43" s="2">
        <v>1</v>
      </c>
      <c r="M43" s="3">
        <v>1</v>
      </c>
      <c r="N43" s="2">
        <v>2</v>
      </c>
      <c r="O43" t="s">
        <v>889</v>
      </c>
    </row>
    <row r="44" spans="1:18" x14ac:dyDescent="0.25">
      <c r="A44" s="8">
        <v>102030823900</v>
      </c>
      <c r="B44" s="8" t="str">
        <f t="shared" si="1"/>
        <v>1020308239000</v>
      </c>
      <c r="C44" t="s">
        <v>537</v>
      </c>
      <c r="D44" t="s">
        <v>418</v>
      </c>
      <c r="E44">
        <v>20411454</v>
      </c>
      <c r="F44" t="s">
        <v>1091</v>
      </c>
      <c r="G44" t="s">
        <v>428</v>
      </c>
      <c r="H44" s="1">
        <v>45505</v>
      </c>
      <c r="I44" s="1">
        <v>45823</v>
      </c>
      <c r="J44" t="s">
        <v>52</v>
      </c>
      <c r="K44" s="2">
        <v>1</v>
      </c>
      <c r="L44" s="2">
        <v>1</v>
      </c>
      <c r="M44" s="3">
        <v>1</v>
      </c>
      <c r="N44" s="2">
        <v>2</v>
      </c>
      <c r="O44" t="s">
        <v>889</v>
      </c>
    </row>
    <row r="45" spans="1:18" x14ac:dyDescent="0.25">
      <c r="A45" s="8">
        <v>102030825500</v>
      </c>
      <c r="B45" s="8" t="str">
        <f t="shared" si="1"/>
        <v>1020308255000</v>
      </c>
      <c r="C45" t="s">
        <v>539</v>
      </c>
      <c r="D45" t="s">
        <v>418</v>
      </c>
      <c r="E45">
        <v>20411454</v>
      </c>
      <c r="F45" t="s">
        <v>1091</v>
      </c>
      <c r="G45" t="s">
        <v>428</v>
      </c>
      <c r="H45" s="1">
        <v>45505</v>
      </c>
      <c r="I45" s="1">
        <v>45823</v>
      </c>
      <c r="J45" t="s">
        <v>52</v>
      </c>
      <c r="K45" s="2">
        <v>1</v>
      </c>
      <c r="L45" s="2">
        <v>1</v>
      </c>
      <c r="M45" s="3">
        <v>1</v>
      </c>
      <c r="N45" s="2">
        <v>2</v>
      </c>
      <c r="O45" t="s">
        <v>889</v>
      </c>
    </row>
    <row r="46" spans="1:18" x14ac:dyDescent="0.25">
      <c r="A46" s="8">
        <v>102031351800</v>
      </c>
      <c r="B46" s="8" t="str">
        <f t="shared" si="1"/>
        <v>1020313518000</v>
      </c>
      <c r="C46" t="s">
        <v>541</v>
      </c>
      <c r="D46" t="s">
        <v>423</v>
      </c>
      <c r="E46">
        <v>20411454</v>
      </c>
      <c r="F46" t="s">
        <v>1091</v>
      </c>
      <c r="G46" t="s">
        <v>428</v>
      </c>
      <c r="H46" s="1">
        <v>45505</v>
      </c>
      <c r="I46" s="1">
        <v>45823</v>
      </c>
      <c r="J46" t="s">
        <v>52</v>
      </c>
      <c r="K46" s="2">
        <v>1</v>
      </c>
      <c r="L46" s="2">
        <v>1</v>
      </c>
      <c r="M46" s="3">
        <v>1</v>
      </c>
      <c r="N46" s="2">
        <v>2</v>
      </c>
      <c r="O46" t="s">
        <v>889</v>
      </c>
    </row>
    <row r="47" spans="1:18" x14ac:dyDescent="0.25">
      <c r="A47" s="8">
        <v>102033862400</v>
      </c>
      <c r="B47" s="8" t="str">
        <f t="shared" si="1"/>
        <v>1020338624000</v>
      </c>
      <c r="C47" t="s">
        <v>547</v>
      </c>
      <c r="D47" t="s">
        <v>423</v>
      </c>
      <c r="E47">
        <v>20411454</v>
      </c>
      <c r="F47" t="s">
        <v>1091</v>
      </c>
      <c r="G47" t="s">
        <v>428</v>
      </c>
      <c r="H47" s="1">
        <v>45505</v>
      </c>
      <c r="I47" s="1">
        <v>45823</v>
      </c>
      <c r="J47" t="s">
        <v>52</v>
      </c>
      <c r="K47" s="2">
        <v>1</v>
      </c>
      <c r="L47" s="2">
        <v>1</v>
      </c>
      <c r="M47" s="3">
        <v>1</v>
      </c>
      <c r="N47" s="2">
        <v>2</v>
      </c>
      <c r="O47" t="s">
        <v>889</v>
      </c>
    </row>
    <row r="48" spans="1:18" x14ac:dyDescent="0.25">
      <c r="A48" s="8">
        <v>102034658300</v>
      </c>
      <c r="B48" s="8" t="str">
        <f t="shared" si="1"/>
        <v>1020346583000</v>
      </c>
      <c r="C48" t="s">
        <v>549</v>
      </c>
      <c r="D48" t="s">
        <v>423</v>
      </c>
      <c r="E48">
        <v>20411454</v>
      </c>
      <c r="F48" t="s">
        <v>1091</v>
      </c>
      <c r="G48" t="s">
        <v>428</v>
      </c>
      <c r="H48" s="1">
        <v>45536</v>
      </c>
      <c r="I48" s="1">
        <v>45823</v>
      </c>
      <c r="J48" t="s">
        <v>52</v>
      </c>
      <c r="K48" s="2">
        <v>1</v>
      </c>
      <c r="L48" s="2">
        <v>1</v>
      </c>
      <c r="M48" s="3">
        <v>1</v>
      </c>
      <c r="N48" s="2">
        <v>2</v>
      </c>
      <c r="O48" t="s">
        <v>889</v>
      </c>
    </row>
    <row r="49" spans="1:15" x14ac:dyDescent="0.25">
      <c r="A49" s="8">
        <v>102035247000</v>
      </c>
      <c r="B49" s="8" t="str">
        <f t="shared" si="1"/>
        <v>1020352470000</v>
      </c>
      <c r="C49" t="s">
        <v>551</v>
      </c>
      <c r="D49" t="s">
        <v>423</v>
      </c>
      <c r="E49">
        <v>20411454</v>
      </c>
      <c r="F49" t="s">
        <v>1091</v>
      </c>
      <c r="G49" t="s">
        <v>428</v>
      </c>
      <c r="H49" s="1">
        <v>45536</v>
      </c>
      <c r="I49" s="1">
        <v>45823</v>
      </c>
      <c r="J49" t="s">
        <v>52</v>
      </c>
      <c r="K49" s="2">
        <v>1</v>
      </c>
      <c r="L49" s="2">
        <v>1</v>
      </c>
      <c r="M49" s="3">
        <v>1</v>
      </c>
      <c r="N49" s="2">
        <v>2</v>
      </c>
      <c r="O49" t="s">
        <v>889</v>
      </c>
    </row>
    <row r="50" spans="1:15" x14ac:dyDescent="0.25">
      <c r="A50" s="8">
        <v>102035273900</v>
      </c>
      <c r="B50" s="8" t="str">
        <f t="shared" si="1"/>
        <v>1020352739000</v>
      </c>
      <c r="C50" t="s">
        <v>553</v>
      </c>
      <c r="D50" t="s">
        <v>418</v>
      </c>
      <c r="E50">
        <v>20411454</v>
      </c>
      <c r="F50" t="s">
        <v>1091</v>
      </c>
      <c r="G50" t="s">
        <v>428</v>
      </c>
      <c r="H50" s="1">
        <v>45566</v>
      </c>
      <c r="I50" s="1">
        <v>45823</v>
      </c>
      <c r="J50" t="s">
        <v>52</v>
      </c>
      <c r="K50" s="2">
        <v>1</v>
      </c>
      <c r="L50" s="2">
        <v>1</v>
      </c>
      <c r="M50" s="3">
        <v>1</v>
      </c>
      <c r="N50" s="2">
        <v>2</v>
      </c>
      <c r="O50" t="s">
        <v>889</v>
      </c>
    </row>
    <row r="51" spans="1:15" x14ac:dyDescent="0.25">
      <c r="A51" s="8">
        <v>102035359600</v>
      </c>
      <c r="B51" s="8" t="str">
        <f t="shared" si="1"/>
        <v>1020353596000</v>
      </c>
      <c r="C51" t="s">
        <v>555</v>
      </c>
      <c r="D51" t="s">
        <v>418</v>
      </c>
      <c r="E51">
        <v>20411454</v>
      </c>
      <c r="F51" t="s">
        <v>1091</v>
      </c>
      <c r="G51" t="s">
        <v>428</v>
      </c>
      <c r="H51" s="1">
        <v>45505</v>
      </c>
      <c r="I51" s="1">
        <v>45823</v>
      </c>
      <c r="J51" t="s">
        <v>52</v>
      </c>
      <c r="K51" s="2">
        <v>1</v>
      </c>
      <c r="L51" s="2">
        <v>1</v>
      </c>
      <c r="M51" s="3">
        <v>1</v>
      </c>
      <c r="N51" s="2">
        <v>2</v>
      </c>
      <c r="O51" t="s">
        <v>889</v>
      </c>
    </row>
    <row r="52" spans="1:15" x14ac:dyDescent="0.25">
      <c r="A52" s="8">
        <v>102035806200</v>
      </c>
      <c r="B52" s="8" t="str">
        <f t="shared" si="1"/>
        <v>1020358062000</v>
      </c>
      <c r="C52" t="s">
        <v>557</v>
      </c>
      <c r="D52" t="s">
        <v>558</v>
      </c>
      <c r="E52">
        <v>20411454</v>
      </c>
      <c r="F52" t="s">
        <v>1091</v>
      </c>
      <c r="G52" t="s">
        <v>428</v>
      </c>
      <c r="H52" s="1">
        <v>45566</v>
      </c>
      <c r="I52" s="1">
        <v>45823</v>
      </c>
      <c r="J52" t="s">
        <v>52</v>
      </c>
      <c r="K52" s="2">
        <v>1</v>
      </c>
      <c r="L52" s="2">
        <v>1</v>
      </c>
      <c r="M52" s="3">
        <v>1</v>
      </c>
      <c r="N52" s="2">
        <v>2</v>
      </c>
      <c r="O52" t="s">
        <v>889</v>
      </c>
    </row>
    <row r="53" spans="1:15" x14ac:dyDescent="0.25">
      <c r="A53" s="8">
        <v>102035849400</v>
      </c>
      <c r="B53" s="8" t="str">
        <f t="shared" si="1"/>
        <v>1020358494000</v>
      </c>
      <c r="C53" t="s">
        <v>562</v>
      </c>
      <c r="D53" t="s">
        <v>418</v>
      </c>
      <c r="E53">
        <v>20411454</v>
      </c>
      <c r="F53" t="s">
        <v>1091</v>
      </c>
      <c r="G53" t="s">
        <v>428</v>
      </c>
      <c r="H53" s="1">
        <v>45505</v>
      </c>
      <c r="I53" s="1">
        <v>45823</v>
      </c>
      <c r="J53" t="s">
        <v>52</v>
      </c>
      <c r="K53" s="2">
        <v>1</v>
      </c>
      <c r="L53" s="2">
        <v>1</v>
      </c>
      <c r="M53" s="3">
        <v>1</v>
      </c>
      <c r="N53" s="2">
        <v>2</v>
      </c>
      <c r="O53" t="s">
        <v>889</v>
      </c>
    </row>
    <row r="54" spans="1:15" x14ac:dyDescent="0.25">
      <c r="A54" s="8">
        <v>102035916500</v>
      </c>
      <c r="B54" s="8" t="str">
        <f t="shared" si="1"/>
        <v>1020359165000</v>
      </c>
      <c r="C54" t="s">
        <v>564</v>
      </c>
      <c r="D54" t="s">
        <v>423</v>
      </c>
      <c r="E54">
        <v>20411454</v>
      </c>
      <c r="F54" t="s">
        <v>1091</v>
      </c>
      <c r="G54" t="s">
        <v>428</v>
      </c>
      <c r="H54" s="1">
        <v>45505</v>
      </c>
      <c r="I54" s="1">
        <v>45823</v>
      </c>
      <c r="J54" t="s">
        <v>52</v>
      </c>
      <c r="K54" s="2">
        <v>1</v>
      </c>
      <c r="L54" s="2">
        <v>1</v>
      </c>
      <c r="M54" s="3">
        <v>1</v>
      </c>
      <c r="N54" s="2">
        <v>2</v>
      </c>
      <c r="O54" t="s">
        <v>889</v>
      </c>
    </row>
    <row r="55" spans="1:15" x14ac:dyDescent="0.25">
      <c r="A55" s="8">
        <v>102036450000</v>
      </c>
      <c r="B55" s="8" t="str">
        <f t="shared" si="1"/>
        <v>1020364500000</v>
      </c>
      <c r="C55" t="s">
        <v>569</v>
      </c>
      <c r="D55" t="s">
        <v>423</v>
      </c>
      <c r="E55">
        <v>20411454</v>
      </c>
      <c r="F55" t="s">
        <v>1091</v>
      </c>
      <c r="G55" t="s">
        <v>428</v>
      </c>
      <c r="H55" s="1">
        <v>45505</v>
      </c>
      <c r="I55" s="1">
        <v>45823</v>
      </c>
      <c r="J55" t="s">
        <v>52</v>
      </c>
      <c r="K55" s="2">
        <v>1</v>
      </c>
      <c r="L55" s="2">
        <v>1</v>
      </c>
      <c r="M55" s="3">
        <v>1</v>
      </c>
      <c r="N55" s="2">
        <v>2</v>
      </c>
      <c r="O55" t="s">
        <v>889</v>
      </c>
    </row>
    <row r="56" spans="1:15" x14ac:dyDescent="0.25">
      <c r="A56" s="8">
        <v>102036471300</v>
      </c>
      <c r="B56" s="8" t="str">
        <f t="shared" si="1"/>
        <v>1020364713000</v>
      </c>
      <c r="C56" t="s">
        <v>571</v>
      </c>
      <c r="D56" t="s">
        <v>423</v>
      </c>
      <c r="E56">
        <v>20411454</v>
      </c>
      <c r="F56" t="s">
        <v>1091</v>
      </c>
      <c r="G56" t="s">
        <v>428</v>
      </c>
      <c r="H56" s="1">
        <v>45505</v>
      </c>
      <c r="I56" s="1">
        <v>45823</v>
      </c>
      <c r="J56" t="s">
        <v>52</v>
      </c>
      <c r="K56" s="2">
        <v>1</v>
      </c>
      <c r="L56" s="2">
        <v>1</v>
      </c>
      <c r="M56" s="3">
        <v>1</v>
      </c>
      <c r="N56" s="2">
        <v>2</v>
      </c>
      <c r="O56" t="s">
        <v>889</v>
      </c>
    </row>
    <row r="57" spans="1:15" x14ac:dyDescent="0.25">
      <c r="A57" s="8">
        <v>102036698800</v>
      </c>
      <c r="B57" s="8" t="str">
        <f t="shared" si="1"/>
        <v>1020366988000</v>
      </c>
      <c r="C57" t="s">
        <v>573</v>
      </c>
      <c r="D57" t="s">
        <v>447</v>
      </c>
      <c r="E57">
        <v>20411454</v>
      </c>
      <c r="F57" t="s">
        <v>1091</v>
      </c>
      <c r="G57" t="s">
        <v>428</v>
      </c>
      <c r="H57" s="1">
        <v>45536</v>
      </c>
      <c r="I57" s="1">
        <v>45823</v>
      </c>
      <c r="J57" t="s">
        <v>52</v>
      </c>
      <c r="K57" s="2">
        <v>1</v>
      </c>
      <c r="L57" s="2">
        <v>1</v>
      </c>
      <c r="M57" s="3">
        <v>1</v>
      </c>
      <c r="N57" s="2">
        <v>2</v>
      </c>
      <c r="O57" t="s">
        <v>889</v>
      </c>
    </row>
    <row r="58" spans="1:15" x14ac:dyDescent="0.25">
      <c r="A58" s="8">
        <v>102037067200</v>
      </c>
      <c r="B58" s="8" t="str">
        <f t="shared" si="1"/>
        <v>1020370672000</v>
      </c>
      <c r="C58" t="s">
        <v>575</v>
      </c>
      <c r="D58" t="s">
        <v>418</v>
      </c>
      <c r="E58">
        <v>20411454</v>
      </c>
      <c r="F58" t="s">
        <v>1091</v>
      </c>
      <c r="G58" t="s">
        <v>428</v>
      </c>
      <c r="H58" s="1">
        <v>45566</v>
      </c>
      <c r="I58" s="1">
        <v>45823</v>
      </c>
      <c r="J58" t="s">
        <v>52</v>
      </c>
      <c r="K58" s="2">
        <v>1</v>
      </c>
      <c r="L58" s="2">
        <v>1</v>
      </c>
      <c r="M58" s="3">
        <v>1</v>
      </c>
      <c r="N58" s="2">
        <v>2</v>
      </c>
      <c r="O58" t="s">
        <v>889</v>
      </c>
    </row>
    <row r="59" spans="1:15" x14ac:dyDescent="0.25">
      <c r="A59" s="8">
        <v>102037178300</v>
      </c>
      <c r="B59" s="8" t="str">
        <f t="shared" si="1"/>
        <v>1020371783000</v>
      </c>
      <c r="C59" t="s">
        <v>577</v>
      </c>
      <c r="D59" t="s">
        <v>423</v>
      </c>
      <c r="E59">
        <v>20411454</v>
      </c>
      <c r="F59" t="s">
        <v>1091</v>
      </c>
      <c r="G59" t="s">
        <v>428</v>
      </c>
      <c r="H59" s="1">
        <v>45505</v>
      </c>
      <c r="I59" s="1">
        <v>45823</v>
      </c>
      <c r="J59" t="s">
        <v>52</v>
      </c>
      <c r="K59" s="2">
        <v>1</v>
      </c>
      <c r="L59" s="2">
        <v>1</v>
      </c>
      <c r="M59" s="3">
        <v>1</v>
      </c>
      <c r="N59" s="2">
        <v>2</v>
      </c>
      <c r="O59" t="s">
        <v>889</v>
      </c>
    </row>
    <row r="60" spans="1:15" x14ac:dyDescent="0.25">
      <c r="A60" s="8">
        <v>102037208500</v>
      </c>
      <c r="B60" s="8" t="str">
        <f t="shared" si="1"/>
        <v>1020372085000</v>
      </c>
      <c r="C60" t="s">
        <v>579</v>
      </c>
      <c r="D60" t="s">
        <v>450</v>
      </c>
      <c r="E60">
        <v>20411454</v>
      </c>
      <c r="F60" t="s">
        <v>1091</v>
      </c>
      <c r="G60" t="s">
        <v>428</v>
      </c>
      <c r="H60" s="1">
        <v>45566</v>
      </c>
      <c r="I60" s="1">
        <v>45823</v>
      </c>
      <c r="J60" t="s">
        <v>52</v>
      </c>
      <c r="K60" s="2">
        <v>1</v>
      </c>
      <c r="L60" s="2">
        <v>1</v>
      </c>
      <c r="M60" s="3">
        <v>1</v>
      </c>
      <c r="N60" s="2">
        <v>2</v>
      </c>
      <c r="O60" t="s">
        <v>889</v>
      </c>
    </row>
    <row r="61" spans="1:15" x14ac:dyDescent="0.25">
      <c r="A61" s="8">
        <v>102037260600</v>
      </c>
      <c r="B61" s="8" t="str">
        <f t="shared" si="1"/>
        <v>1020372606000</v>
      </c>
      <c r="C61" t="s">
        <v>581</v>
      </c>
      <c r="D61" t="s">
        <v>418</v>
      </c>
      <c r="E61">
        <v>20411454</v>
      </c>
      <c r="F61" t="s">
        <v>1091</v>
      </c>
      <c r="G61" t="s">
        <v>428</v>
      </c>
      <c r="H61" s="1">
        <v>45505</v>
      </c>
      <c r="I61" s="1">
        <v>45823</v>
      </c>
      <c r="J61" t="s">
        <v>52</v>
      </c>
      <c r="K61" s="2">
        <v>1</v>
      </c>
      <c r="L61" s="2">
        <v>1</v>
      </c>
      <c r="M61" s="3">
        <v>1</v>
      </c>
      <c r="N61" s="2">
        <v>2</v>
      </c>
      <c r="O61" t="s">
        <v>889</v>
      </c>
    </row>
    <row r="62" spans="1:15" x14ac:dyDescent="0.25">
      <c r="A62" s="8">
        <v>102037642800</v>
      </c>
      <c r="B62" s="8" t="str">
        <f t="shared" si="1"/>
        <v>1020376428000</v>
      </c>
      <c r="C62" t="s">
        <v>583</v>
      </c>
      <c r="D62" t="s">
        <v>423</v>
      </c>
      <c r="E62">
        <v>20411454</v>
      </c>
      <c r="F62" t="s">
        <v>1091</v>
      </c>
      <c r="G62" t="s">
        <v>428</v>
      </c>
      <c r="H62" s="1">
        <v>45505</v>
      </c>
      <c r="I62" s="1">
        <v>45823</v>
      </c>
      <c r="J62" t="s">
        <v>52</v>
      </c>
      <c r="K62" s="2">
        <v>1</v>
      </c>
      <c r="L62" s="2">
        <v>1</v>
      </c>
      <c r="M62" s="3">
        <v>1</v>
      </c>
      <c r="N62" s="2">
        <v>2</v>
      </c>
      <c r="O62" t="s">
        <v>889</v>
      </c>
    </row>
    <row r="63" spans="1:15" x14ac:dyDescent="0.25">
      <c r="A63" s="8">
        <v>102038194700</v>
      </c>
      <c r="B63" s="8" t="str">
        <f t="shared" si="1"/>
        <v>1020381947000</v>
      </c>
      <c r="C63" t="s">
        <v>585</v>
      </c>
      <c r="D63" t="s">
        <v>450</v>
      </c>
      <c r="E63">
        <v>20411454</v>
      </c>
      <c r="F63" t="s">
        <v>1091</v>
      </c>
      <c r="G63" t="s">
        <v>428</v>
      </c>
      <c r="H63" s="1">
        <v>45505</v>
      </c>
      <c r="I63" s="1">
        <v>45823</v>
      </c>
      <c r="J63" t="s">
        <v>52</v>
      </c>
      <c r="K63" s="2">
        <v>1</v>
      </c>
      <c r="L63" s="2">
        <v>1</v>
      </c>
      <c r="M63" s="3">
        <v>1</v>
      </c>
      <c r="N63" s="2">
        <v>2</v>
      </c>
      <c r="O63" t="s">
        <v>889</v>
      </c>
    </row>
    <row r="64" spans="1:15" x14ac:dyDescent="0.25">
      <c r="A64" s="8">
        <v>102038784900</v>
      </c>
      <c r="B64" s="8" t="str">
        <f t="shared" si="1"/>
        <v>1020387849000</v>
      </c>
      <c r="C64" t="s">
        <v>587</v>
      </c>
      <c r="D64" t="s">
        <v>423</v>
      </c>
      <c r="E64">
        <v>20411454</v>
      </c>
      <c r="F64" t="s">
        <v>1091</v>
      </c>
      <c r="G64" t="s">
        <v>428</v>
      </c>
      <c r="H64" s="1">
        <v>45566</v>
      </c>
      <c r="I64" s="1">
        <v>45823</v>
      </c>
      <c r="J64" t="s">
        <v>52</v>
      </c>
      <c r="K64" s="2">
        <v>1</v>
      </c>
      <c r="L64" s="2">
        <v>1</v>
      </c>
      <c r="M64" s="3">
        <v>1</v>
      </c>
      <c r="N64" s="2">
        <v>2</v>
      </c>
      <c r="O64" t="s">
        <v>889</v>
      </c>
    </row>
    <row r="65" spans="1:15" x14ac:dyDescent="0.25">
      <c r="A65" s="8">
        <v>102040124800</v>
      </c>
      <c r="B65" s="8" t="str">
        <f t="shared" si="1"/>
        <v>1020401248000</v>
      </c>
      <c r="C65" t="s">
        <v>589</v>
      </c>
      <c r="D65" t="s">
        <v>520</v>
      </c>
      <c r="E65">
        <v>20411454</v>
      </c>
      <c r="F65" t="s">
        <v>1091</v>
      </c>
      <c r="G65" t="s">
        <v>428</v>
      </c>
      <c r="H65" s="1">
        <v>45536</v>
      </c>
      <c r="I65" s="1">
        <v>45823</v>
      </c>
      <c r="J65" t="s">
        <v>52</v>
      </c>
      <c r="K65" s="2">
        <v>1</v>
      </c>
      <c r="L65" s="2">
        <v>1</v>
      </c>
      <c r="M65" s="3">
        <v>1</v>
      </c>
      <c r="N65" s="2">
        <v>2</v>
      </c>
      <c r="O65" t="s">
        <v>889</v>
      </c>
    </row>
    <row r="66" spans="1:15" x14ac:dyDescent="0.25">
      <c r="A66" s="8">
        <v>102040827300</v>
      </c>
      <c r="B66" s="8" t="str">
        <f t="shared" si="1"/>
        <v>1020408273000</v>
      </c>
      <c r="C66" t="s">
        <v>591</v>
      </c>
      <c r="D66" t="s">
        <v>418</v>
      </c>
      <c r="E66">
        <v>20411454</v>
      </c>
      <c r="F66" t="s">
        <v>1091</v>
      </c>
      <c r="G66" t="s">
        <v>428</v>
      </c>
      <c r="H66" s="1">
        <v>45566</v>
      </c>
      <c r="I66" s="1">
        <v>45823</v>
      </c>
      <c r="J66" t="s">
        <v>52</v>
      </c>
      <c r="K66" s="2">
        <v>1</v>
      </c>
      <c r="L66" s="2">
        <v>1</v>
      </c>
      <c r="M66" s="3">
        <v>1</v>
      </c>
      <c r="N66" s="2">
        <v>2</v>
      </c>
      <c r="O66" t="s">
        <v>889</v>
      </c>
    </row>
    <row r="67" spans="1:15" x14ac:dyDescent="0.25">
      <c r="A67" s="8">
        <v>102041647300</v>
      </c>
      <c r="B67" s="8" t="str">
        <f t="shared" ref="B67:B98" si="2">CONCATENATE(A67,0)</f>
        <v>1020416473000</v>
      </c>
      <c r="C67" t="s">
        <v>593</v>
      </c>
      <c r="D67" t="s">
        <v>464</v>
      </c>
      <c r="E67">
        <v>20411454</v>
      </c>
      <c r="F67" t="s">
        <v>1091</v>
      </c>
      <c r="G67" t="s">
        <v>428</v>
      </c>
      <c r="H67" s="1">
        <v>45505</v>
      </c>
      <c r="I67" s="1">
        <v>45823</v>
      </c>
      <c r="J67" t="s">
        <v>52</v>
      </c>
      <c r="K67" s="2">
        <v>1</v>
      </c>
      <c r="L67" s="2">
        <v>1</v>
      </c>
      <c r="M67" s="3">
        <v>1</v>
      </c>
      <c r="N67" s="2">
        <v>2</v>
      </c>
      <c r="O67" t="s">
        <v>889</v>
      </c>
    </row>
    <row r="68" spans="1:15" x14ac:dyDescent="0.25">
      <c r="A68" s="8">
        <v>102042487000</v>
      </c>
      <c r="B68" s="8" t="str">
        <f t="shared" si="2"/>
        <v>1020424870000</v>
      </c>
      <c r="C68" t="s">
        <v>595</v>
      </c>
      <c r="D68" t="s">
        <v>423</v>
      </c>
      <c r="E68">
        <v>20411454</v>
      </c>
      <c r="F68" t="s">
        <v>1091</v>
      </c>
      <c r="G68" t="s">
        <v>428</v>
      </c>
      <c r="H68" s="1">
        <v>45536</v>
      </c>
      <c r="I68" s="1">
        <v>45823</v>
      </c>
      <c r="J68" t="s">
        <v>52</v>
      </c>
      <c r="K68" s="2">
        <v>1</v>
      </c>
      <c r="L68" s="2">
        <v>1</v>
      </c>
      <c r="M68" s="3">
        <v>1</v>
      </c>
      <c r="N68" s="2">
        <v>2</v>
      </c>
      <c r="O68" t="s">
        <v>889</v>
      </c>
    </row>
    <row r="69" spans="1:15" x14ac:dyDescent="0.25">
      <c r="A69" s="8">
        <v>102043771500</v>
      </c>
      <c r="B69" s="8" t="str">
        <f t="shared" si="2"/>
        <v>1020437715000</v>
      </c>
      <c r="C69" t="s">
        <v>601</v>
      </c>
      <c r="D69" t="s">
        <v>418</v>
      </c>
      <c r="E69">
        <v>20411454</v>
      </c>
      <c r="F69" t="s">
        <v>1091</v>
      </c>
      <c r="G69" t="s">
        <v>428</v>
      </c>
      <c r="H69" s="1">
        <v>45566</v>
      </c>
      <c r="I69" s="1">
        <v>45823</v>
      </c>
      <c r="J69" t="s">
        <v>52</v>
      </c>
      <c r="K69" s="2">
        <v>1</v>
      </c>
      <c r="L69" s="2">
        <v>1</v>
      </c>
      <c r="M69" s="3">
        <v>1</v>
      </c>
      <c r="N69" s="2">
        <v>2</v>
      </c>
      <c r="O69" t="s">
        <v>889</v>
      </c>
    </row>
    <row r="70" spans="1:15" x14ac:dyDescent="0.25">
      <c r="A70" s="8">
        <v>102043872000</v>
      </c>
      <c r="B70" s="8" t="str">
        <f t="shared" si="2"/>
        <v>1020438720000</v>
      </c>
      <c r="C70" t="s">
        <v>603</v>
      </c>
      <c r="D70" t="s">
        <v>423</v>
      </c>
      <c r="E70">
        <v>20411454</v>
      </c>
      <c r="F70" t="s">
        <v>1091</v>
      </c>
      <c r="G70" t="s">
        <v>428</v>
      </c>
      <c r="H70" s="1">
        <v>45536</v>
      </c>
      <c r="I70" s="1">
        <v>45823</v>
      </c>
      <c r="J70" t="s">
        <v>52</v>
      </c>
      <c r="K70" s="2">
        <v>1</v>
      </c>
      <c r="L70" s="2">
        <v>1</v>
      </c>
      <c r="M70" s="3">
        <v>1</v>
      </c>
      <c r="N70" s="2">
        <v>2</v>
      </c>
      <c r="O70" t="s">
        <v>889</v>
      </c>
    </row>
    <row r="71" spans="1:15" x14ac:dyDescent="0.25">
      <c r="A71" s="8">
        <v>102044679100</v>
      </c>
      <c r="B71" s="8" t="str">
        <f t="shared" si="2"/>
        <v>1020446791000</v>
      </c>
      <c r="C71" t="s">
        <v>605</v>
      </c>
      <c r="D71" t="s">
        <v>423</v>
      </c>
      <c r="E71">
        <v>20411454</v>
      </c>
      <c r="F71" t="s">
        <v>1091</v>
      </c>
      <c r="G71" t="s">
        <v>428</v>
      </c>
      <c r="H71" s="1">
        <v>45566</v>
      </c>
      <c r="I71" s="1">
        <v>45823</v>
      </c>
      <c r="J71" t="s">
        <v>52</v>
      </c>
      <c r="K71" s="2">
        <v>1</v>
      </c>
      <c r="L71" s="2">
        <v>1</v>
      </c>
      <c r="M71" s="3">
        <v>1</v>
      </c>
      <c r="N71" s="2">
        <v>2</v>
      </c>
      <c r="O71" t="s">
        <v>889</v>
      </c>
    </row>
    <row r="72" spans="1:15" x14ac:dyDescent="0.25">
      <c r="A72" s="8">
        <v>102044729900</v>
      </c>
      <c r="B72" s="8" t="str">
        <f t="shared" si="2"/>
        <v>1020447299000</v>
      </c>
      <c r="C72" t="s">
        <v>607</v>
      </c>
      <c r="D72" t="s">
        <v>418</v>
      </c>
      <c r="E72">
        <v>20411454</v>
      </c>
      <c r="F72" t="s">
        <v>1091</v>
      </c>
      <c r="G72" t="s">
        <v>428</v>
      </c>
      <c r="H72" s="1">
        <v>45566</v>
      </c>
      <c r="I72" s="1">
        <v>45823</v>
      </c>
      <c r="J72" t="s">
        <v>52</v>
      </c>
      <c r="K72" s="2">
        <v>1</v>
      </c>
      <c r="L72" s="2">
        <v>1</v>
      </c>
      <c r="M72" s="3">
        <v>1</v>
      </c>
      <c r="N72" s="2">
        <v>2</v>
      </c>
      <c r="O72" t="s">
        <v>889</v>
      </c>
    </row>
    <row r="73" spans="1:15" x14ac:dyDescent="0.25">
      <c r="A73" s="8">
        <v>102044738100</v>
      </c>
      <c r="B73" s="8" t="str">
        <f t="shared" si="2"/>
        <v>1020447381000</v>
      </c>
      <c r="C73" t="s">
        <v>609</v>
      </c>
      <c r="D73" t="s">
        <v>610</v>
      </c>
      <c r="E73">
        <v>20411454</v>
      </c>
      <c r="F73" t="s">
        <v>1091</v>
      </c>
      <c r="G73" t="s">
        <v>428</v>
      </c>
      <c r="H73" s="1">
        <v>45536</v>
      </c>
      <c r="I73" s="1">
        <v>45823</v>
      </c>
      <c r="J73" t="s">
        <v>52</v>
      </c>
      <c r="K73" s="2">
        <v>1</v>
      </c>
      <c r="L73" s="2">
        <v>1</v>
      </c>
      <c r="M73" s="3">
        <v>1</v>
      </c>
      <c r="N73" s="2">
        <v>2</v>
      </c>
      <c r="O73" t="s">
        <v>889</v>
      </c>
    </row>
    <row r="74" spans="1:15" x14ac:dyDescent="0.25">
      <c r="A74" s="8">
        <v>102046259200</v>
      </c>
      <c r="B74" s="8" t="str">
        <f t="shared" si="2"/>
        <v>1020462592000</v>
      </c>
      <c r="C74" t="s">
        <v>612</v>
      </c>
      <c r="D74" t="s">
        <v>423</v>
      </c>
      <c r="E74">
        <v>20411454</v>
      </c>
      <c r="F74" t="s">
        <v>1091</v>
      </c>
      <c r="G74" t="s">
        <v>428</v>
      </c>
      <c r="H74" s="1">
        <v>45597</v>
      </c>
      <c r="I74" s="1">
        <v>45823</v>
      </c>
      <c r="J74" t="s">
        <v>52</v>
      </c>
      <c r="K74" s="2">
        <v>1</v>
      </c>
      <c r="L74" s="2">
        <v>1</v>
      </c>
      <c r="M74" s="3">
        <v>1</v>
      </c>
      <c r="N74" s="2">
        <v>2</v>
      </c>
      <c r="O74" t="s">
        <v>889</v>
      </c>
    </row>
    <row r="75" spans="1:15" x14ac:dyDescent="0.25">
      <c r="A75" s="8">
        <v>102046287500</v>
      </c>
      <c r="B75" s="8" t="str">
        <f t="shared" si="2"/>
        <v>1020462875000</v>
      </c>
      <c r="C75" t="s">
        <v>614</v>
      </c>
      <c r="D75" t="s">
        <v>423</v>
      </c>
      <c r="E75">
        <v>20411454</v>
      </c>
      <c r="F75" t="s">
        <v>1091</v>
      </c>
      <c r="G75" t="s">
        <v>428</v>
      </c>
      <c r="H75" s="1">
        <v>45536</v>
      </c>
      <c r="I75" s="1">
        <v>45823</v>
      </c>
      <c r="J75" t="s">
        <v>52</v>
      </c>
      <c r="K75" s="2">
        <v>1</v>
      </c>
      <c r="L75" s="2">
        <v>1</v>
      </c>
      <c r="M75" s="3">
        <v>1</v>
      </c>
      <c r="N75" s="2">
        <v>2</v>
      </c>
      <c r="O75" t="s">
        <v>889</v>
      </c>
    </row>
    <row r="76" spans="1:15" x14ac:dyDescent="0.25">
      <c r="A76" s="8">
        <v>102046673700</v>
      </c>
      <c r="B76" s="8" t="str">
        <f t="shared" si="2"/>
        <v>1020466737000</v>
      </c>
      <c r="C76" t="s">
        <v>616</v>
      </c>
      <c r="D76" t="s">
        <v>423</v>
      </c>
      <c r="E76">
        <v>20411454</v>
      </c>
      <c r="F76" t="s">
        <v>1091</v>
      </c>
      <c r="G76" t="s">
        <v>428</v>
      </c>
      <c r="H76" s="1">
        <v>45536</v>
      </c>
      <c r="I76" s="1">
        <v>45823</v>
      </c>
      <c r="J76" t="s">
        <v>52</v>
      </c>
      <c r="K76" s="2">
        <v>1</v>
      </c>
      <c r="L76" s="2">
        <v>1</v>
      </c>
      <c r="M76" s="3">
        <v>1</v>
      </c>
      <c r="N76" s="2">
        <v>2</v>
      </c>
      <c r="O76" t="s">
        <v>889</v>
      </c>
    </row>
    <row r="77" spans="1:15" x14ac:dyDescent="0.25">
      <c r="A77" s="8">
        <v>102048671500</v>
      </c>
      <c r="B77" s="8" t="str">
        <f t="shared" si="2"/>
        <v>1020486715000</v>
      </c>
      <c r="C77" t="s">
        <v>618</v>
      </c>
      <c r="D77" t="s">
        <v>423</v>
      </c>
      <c r="E77">
        <v>20411454</v>
      </c>
      <c r="F77" t="s">
        <v>1091</v>
      </c>
      <c r="G77" t="s">
        <v>428</v>
      </c>
      <c r="H77" s="1">
        <v>45566</v>
      </c>
      <c r="I77" s="1">
        <v>45823</v>
      </c>
      <c r="J77" t="s">
        <v>52</v>
      </c>
      <c r="K77" s="2">
        <v>1</v>
      </c>
      <c r="L77" s="2">
        <v>1</v>
      </c>
      <c r="M77" s="3">
        <v>1</v>
      </c>
      <c r="N77" s="2">
        <v>2</v>
      </c>
      <c r="O77" t="s">
        <v>889</v>
      </c>
    </row>
    <row r="78" spans="1:15" x14ac:dyDescent="0.25">
      <c r="A78" s="8">
        <v>102048695700</v>
      </c>
      <c r="B78" s="8" t="str">
        <f t="shared" si="2"/>
        <v>1020486957000</v>
      </c>
      <c r="C78" t="s">
        <v>620</v>
      </c>
      <c r="D78" t="s">
        <v>423</v>
      </c>
      <c r="E78">
        <v>20411454</v>
      </c>
      <c r="F78" t="s">
        <v>1091</v>
      </c>
      <c r="G78" t="s">
        <v>428</v>
      </c>
      <c r="H78" s="1">
        <v>45536</v>
      </c>
      <c r="I78" s="1">
        <v>45823</v>
      </c>
      <c r="J78" t="s">
        <v>52</v>
      </c>
      <c r="K78" s="2">
        <v>1</v>
      </c>
      <c r="L78" s="2">
        <v>1</v>
      </c>
      <c r="M78" s="3">
        <v>1</v>
      </c>
      <c r="N78" s="2">
        <v>2</v>
      </c>
      <c r="O78" t="s">
        <v>889</v>
      </c>
    </row>
    <row r="79" spans="1:15" x14ac:dyDescent="0.25">
      <c r="A79" s="8">
        <v>102049165000</v>
      </c>
      <c r="B79" s="8" t="str">
        <f t="shared" si="2"/>
        <v>1020491650000</v>
      </c>
      <c r="C79" t="s">
        <v>622</v>
      </c>
      <c r="D79" t="s">
        <v>418</v>
      </c>
      <c r="E79">
        <v>20411454</v>
      </c>
      <c r="F79" t="s">
        <v>1091</v>
      </c>
      <c r="G79" t="s">
        <v>428</v>
      </c>
      <c r="H79" s="1">
        <v>45566</v>
      </c>
      <c r="I79" s="1">
        <v>45823</v>
      </c>
      <c r="J79" t="s">
        <v>52</v>
      </c>
      <c r="K79" s="2">
        <v>1</v>
      </c>
      <c r="L79" s="2">
        <v>1</v>
      </c>
      <c r="M79" s="3">
        <v>1</v>
      </c>
      <c r="N79" s="2">
        <v>2</v>
      </c>
      <c r="O79" t="s">
        <v>889</v>
      </c>
    </row>
    <row r="80" spans="1:15" x14ac:dyDescent="0.25">
      <c r="A80" s="8">
        <v>102049245100</v>
      </c>
      <c r="B80" s="8" t="str">
        <f t="shared" si="2"/>
        <v>1020492451000</v>
      </c>
      <c r="C80" t="s">
        <v>624</v>
      </c>
      <c r="D80" t="s">
        <v>625</v>
      </c>
      <c r="E80">
        <v>20411454</v>
      </c>
      <c r="F80" t="s">
        <v>1091</v>
      </c>
      <c r="G80" t="s">
        <v>428</v>
      </c>
      <c r="H80" s="1">
        <v>45597</v>
      </c>
      <c r="I80" s="1">
        <v>45823</v>
      </c>
      <c r="J80" t="s">
        <v>52</v>
      </c>
      <c r="K80" s="2">
        <v>1</v>
      </c>
      <c r="L80" s="2">
        <v>1</v>
      </c>
      <c r="M80" s="3">
        <v>1</v>
      </c>
      <c r="N80" s="2">
        <v>2</v>
      </c>
      <c r="O80" t="s">
        <v>889</v>
      </c>
    </row>
    <row r="81" spans="1:15" x14ac:dyDescent="0.25">
      <c r="A81" s="8">
        <v>102049267000</v>
      </c>
      <c r="B81" s="8" t="str">
        <f t="shared" si="2"/>
        <v>1020492670000</v>
      </c>
      <c r="C81" t="s">
        <v>627</v>
      </c>
      <c r="D81" t="s">
        <v>423</v>
      </c>
      <c r="E81">
        <v>20411454</v>
      </c>
      <c r="F81" t="s">
        <v>1091</v>
      </c>
      <c r="G81" t="s">
        <v>428</v>
      </c>
      <c r="H81" s="1">
        <v>45536</v>
      </c>
      <c r="I81" s="1">
        <v>45823</v>
      </c>
      <c r="J81" t="s">
        <v>52</v>
      </c>
      <c r="K81" s="2">
        <v>1</v>
      </c>
      <c r="L81" s="2">
        <v>1</v>
      </c>
      <c r="M81" s="3">
        <v>1</v>
      </c>
      <c r="N81" s="2">
        <v>2</v>
      </c>
      <c r="O81" t="s">
        <v>889</v>
      </c>
    </row>
    <row r="82" spans="1:15" x14ac:dyDescent="0.25">
      <c r="A82" s="8">
        <v>102049634300</v>
      </c>
      <c r="B82" s="8" t="str">
        <f t="shared" si="2"/>
        <v>1020496343000</v>
      </c>
      <c r="C82" t="s">
        <v>629</v>
      </c>
      <c r="D82" t="s">
        <v>423</v>
      </c>
      <c r="E82">
        <v>20411454</v>
      </c>
      <c r="F82" t="s">
        <v>1091</v>
      </c>
      <c r="G82" t="s">
        <v>428</v>
      </c>
      <c r="H82" s="1">
        <v>45597</v>
      </c>
      <c r="I82" s="1">
        <v>45823</v>
      </c>
      <c r="J82" t="s">
        <v>52</v>
      </c>
      <c r="K82" s="2">
        <v>1</v>
      </c>
      <c r="L82" s="2">
        <v>1</v>
      </c>
      <c r="M82" s="3">
        <v>1</v>
      </c>
      <c r="N82" s="2">
        <v>2</v>
      </c>
      <c r="O82" t="s">
        <v>889</v>
      </c>
    </row>
    <row r="83" spans="1:15" x14ac:dyDescent="0.25">
      <c r="A83" s="8">
        <v>102049702100</v>
      </c>
      <c r="B83" s="8" t="str">
        <f t="shared" si="2"/>
        <v>1020497021000</v>
      </c>
      <c r="C83" t="s">
        <v>633</v>
      </c>
      <c r="D83" t="s">
        <v>634</v>
      </c>
      <c r="E83">
        <v>20411454</v>
      </c>
      <c r="F83" t="s">
        <v>1091</v>
      </c>
      <c r="G83" t="s">
        <v>428</v>
      </c>
      <c r="H83" s="1">
        <v>45536</v>
      </c>
      <c r="I83" s="1">
        <v>45823</v>
      </c>
      <c r="J83" t="s">
        <v>52</v>
      </c>
      <c r="K83" s="2">
        <v>1</v>
      </c>
      <c r="L83" s="2">
        <v>1</v>
      </c>
      <c r="M83" s="3">
        <v>1</v>
      </c>
      <c r="N83" s="2">
        <v>2</v>
      </c>
      <c r="O83" t="s">
        <v>889</v>
      </c>
    </row>
    <row r="84" spans="1:15" x14ac:dyDescent="0.25">
      <c r="A84" s="8">
        <v>102049732200</v>
      </c>
      <c r="B84" s="8" t="str">
        <f t="shared" si="2"/>
        <v>1020497322000</v>
      </c>
      <c r="C84" t="s">
        <v>636</v>
      </c>
      <c r="D84" t="s">
        <v>418</v>
      </c>
      <c r="E84">
        <v>20411454</v>
      </c>
      <c r="F84" t="s">
        <v>1091</v>
      </c>
      <c r="G84" t="s">
        <v>428</v>
      </c>
      <c r="H84" s="1">
        <v>45597</v>
      </c>
      <c r="I84" s="1">
        <v>45823</v>
      </c>
      <c r="J84" t="s">
        <v>52</v>
      </c>
      <c r="K84" s="2">
        <v>1</v>
      </c>
      <c r="L84" s="2">
        <v>1</v>
      </c>
      <c r="M84" s="3">
        <v>1</v>
      </c>
      <c r="N84" s="2">
        <v>2</v>
      </c>
      <c r="O84" t="s">
        <v>889</v>
      </c>
    </row>
    <row r="85" spans="1:15" x14ac:dyDescent="0.25">
      <c r="A85" s="8">
        <v>102050057000</v>
      </c>
      <c r="B85" s="8" t="str">
        <f t="shared" si="2"/>
        <v>1020500570000</v>
      </c>
      <c r="C85" t="s">
        <v>638</v>
      </c>
      <c r="D85" t="s">
        <v>423</v>
      </c>
      <c r="E85">
        <v>20411454</v>
      </c>
      <c r="F85" t="s">
        <v>1091</v>
      </c>
      <c r="G85" t="s">
        <v>428</v>
      </c>
      <c r="H85" s="1">
        <v>45566</v>
      </c>
      <c r="I85" s="1">
        <v>45823</v>
      </c>
      <c r="J85" t="s">
        <v>52</v>
      </c>
      <c r="K85" s="2">
        <v>1</v>
      </c>
      <c r="L85" s="2">
        <v>1</v>
      </c>
      <c r="M85" s="3">
        <v>1</v>
      </c>
      <c r="N85" s="2">
        <v>2</v>
      </c>
      <c r="O85" t="s">
        <v>889</v>
      </c>
    </row>
    <row r="86" spans="1:15" x14ac:dyDescent="0.25">
      <c r="A86" s="8">
        <v>102050057700</v>
      </c>
      <c r="B86" s="8" t="str">
        <f t="shared" si="2"/>
        <v>1020500577000</v>
      </c>
      <c r="C86" t="s">
        <v>640</v>
      </c>
      <c r="D86" t="s">
        <v>423</v>
      </c>
      <c r="E86">
        <v>20411454</v>
      </c>
      <c r="F86" t="s">
        <v>1091</v>
      </c>
      <c r="G86" t="s">
        <v>428</v>
      </c>
      <c r="H86" s="1">
        <v>45566</v>
      </c>
      <c r="I86" s="1">
        <v>45823</v>
      </c>
      <c r="J86" t="s">
        <v>52</v>
      </c>
      <c r="K86" s="2">
        <v>1</v>
      </c>
      <c r="L86" s="2">
        <v>1</v>
      </c>
      <c r="M86" s="3">
        <v>1</v>
      </c>
      <c r="N86" s="2">
        <v>2</v>
      </c>
      <c r="O86" t="s">
        <v>889</v>
      </c>
    </row>
    <row r="87" spans="1:15" x14ac:dyDescent="0.25">
      <c r="A87" s="8">
        <v>102050179700</v>
      </c>
      <c r="B87" s="8" t="str">
        <f t="shared" si="2"/>
        <v>1020501797000</v>
      </c>
      <c r="C87" t="s">
        <v>644</v>
      </c>
      <c r="D87" t="s">
        <v>457</v>
      </c>
      <c r="E87">
        <v>20411454</v>
      </c>
      <c r="F87" t="s">
        <v>1091</v>
      </c>
      <c r="G87" t="s">
        <v>428</v>
      </c>
      <c r="H87" s="1">
        <v>45536</v>
      </c>
      <c r="I87" s="1">
        <v>45823</v>
      </c>
      <c r="J87" t="s">
        <v>52</v>
      </c>
      <c r="K87" s="2">
        <v>1</v>
      </c>
      <c r="L87" s="2">
        <v>1</v>
      </c>
      <c r="M87" s="3">
        <v>1</v>
      </c>
      <c r="N87" s="2">
        <v>2</v>
      </c>
      <c r="O87" t="s">
        <v>889</v>
      </c>
    </row>
    <row r="88" spans="1:15" x14ac:dyDescent="0.25">
      <c r="A88" s="8">
        <v>102050715300</v>
      </c>
      <c r="B88" s="8" t="str">
        <f t="shared" si="2"/>
        <v>1020507153000</v>
      </c>
      <c r="C88" t="s">
        <v>646</v>
      </c>
      <c r="D88" t="s">
        <v>418</v>
      </c>
      <c r="E88">
        <v>20411454</v>
      </c>
      <c r="F88" t="s">
        <v>1091</v>
      </c>
      <c r="G88" t="s">
        <v>428</v>
      </c>
      <c r="H88" s="1">
        <v>45566</v>
      </c>
      <c r="I88" s="1">
        <v>45823</v>
      </c>
      <c r="J88" t="s">
        <v>52</v>
      </c>
      <c r="K88" s="2">
        <v>1</v>
      </c>
      <c r="L88" s="2">
        <v>1</v>
      </c>
      <c r="M88" s="3">
        <v>1</v>
      </c>
      <c r="N88" s="2">
        <v>2</v>
      </c>
      <c r="O88" t="s">
        <v>889</v>
      </c>
    </row>
    <row r="89" spans="1:15" x14ac:dyDescent="0.25">
      <c r="A89" s="8">
        <v>102051406100</v>
      </c>
      <c r="B89" s="8" t="str">
        <f t="shared" si="2"/>
        <v>1020514061000</v>
      </c>
      <c r="C89" t="s">
        <v>650</v>
      </c>
      <c r="D89" t="s">
        <v>423</v>
      </c>
      <c r="E89">
        <v>20411454</v>
      </c>
      <c r="F89" t="s">
        <v>1091</v>
      </c>
      <c r="G89" t="s">
        <v>428</v>
      </c>
      <c r="H89" s="1">
        <v>45536</v>
      </c>
      <c r="I89" s="1">
        <v>45823</v>
      </c>
      <c r="J89" t="s">
        <v>52</v>
      </c>
      <c r="K89" s="2">
        <v>1</v>
      </c>
      <c r="L89" s="2">
        <v>1</v>
      </c>
      <c r="M89" s="3">
        <v>1</v>
      </c>
      <c r="N89" s="2">
        <v>2</v>
      </c>
      <c r="O89" t="s">
        <v>889</v>
      </c>
    </row>
    <row r="90" spans="1:15" x14ac:dyDescent="0.25">
      <c r="A90" s="8">
        <v>102051423100</v>
      </c>
      <c r="B90" s="8" t="str">
        <f t="shared" si="2"/>
        <v>1020514231000</v>
      </c>
      <c r="C90" t="s">
        <v>652</v>
      </c>
      <c r="D90" t="s">
        <v>653</v>
      </c>
      <c r="E90">
        <v>20411454</v>
      </c>
      <c r="F90" t="s">
        <v>1091</v>
      </c>
      <c r="G90" t="s">
        <v>428</v>
      </c>
      <c r="H90" s="1">
        <v>45536</v>
      </c>
      <c r="I90" s="1">
        <v>45823</v>
      </c>
      <c r="J90" t="s">
        <v>52</v>
      </c>
      <c r="K90" s="2">
        <v>1</v>
      </c>
      <c r="L90" s="2">
        <v>1</v>
      </c>
      <c r="M90" s="3">
        <v>1</v>
      </c>
      <c r="N90" s="2">
        <v>2</v>
      </c>
      <c r="O90" t="s">
        <v>889</v>
      </c>
    </row>
    <row r="91" spans="1:15" x14ac:dyDescent="0.25">
      <c r="A91" s="8">
        <v>102051462300</v>
      </c>
      <c r="B91" s="8" t="str">
        <f t="shared" si="2"/>
        <v>1020514623000</v>
      </c>
      <c r="C91" t="s">
        <v>657</v>
      </c>
      <c r="D91" t="s">
        <v>423</v>
      </c>
      <c r="E91">
        <v>20411454</v>
      </c>
      <c r="F91" t="s">
        <v>1091</v>
      </c>
      <c r="G91" t="s">
        <v>428</v>
      </c>
      <c r="H91" s="1">
        <v>45536</v>
      </c>
      <c r="I91" s="1">
        <v>45823</v>
      </c>
      <c r="J91" t="s">
        <v>52</v>
      </c>
      <c r="K91" s="2">
        <v>1</v>
      </c>
      <c r="L91" s="2">
        <v>1</v>
      </c>
      <c r="M91" s="3">
        <v>1</v>
      </c>
      <c r="N91" s="2">
        <v>2</v>
      </c>
      <c r="O91" t="s">
        <v>889</v>
      </c>
    </row>
    <row r="92" spans="1:15" x14ac:dyDescent="0.25">
      <c r="A92" s="8">
        <v>102051937300</v>
      </c>
      <c r="B92" s="8" t="str">
        <f t="shared" si="2"/>
        <v>1020519373000</v>
      </c>
      <c r="C92" t="s">
        <v>659</v>
      </c>
      <c r="D92" t="s">
        <v>520</v>
      </c>
      <c r="E92">
        <v>20411454</v>
      </c>
      <c r="F92" t="s">
        <v>1091</v>
      </c>
      <c r="G92" t="s">
        <v>428</v>
      </c>
      <c r="H92" s="1">
        <v>45536</v>
      </c>
      <c r="I92" s="1">
        <v>45823</v>
      </c>
      <c r="J92" t="s">
        <v>52</v>
      </c>
      <c r="K92" s="2">
        <v>1</v>
      </c>
      <c r="L92" s="2">
        <v>1</v>
      </c>
      <c r="M92" s="3">
        <v>1</v>
      </c>
      <c r="N92" s="2">
        <v>2</v>
      </c>
      <c r="O92" t="s">
        <v>889</v>
      </c>
    </row>
    <row r="93" spans="1:15" x14ac:dyDescent="0.25">
      <c r="A93" s="8">
        <v>102052502800</v>
      </c>
      <c r="B93" s="8" t="str">
        <f t="shared" si="2"/>
        <v>1020525028000</v>
      </c>
      <c r="C93" t="s">
        <v>661</v>
      </c>
      <c r="D93" t="s">
        <v>418</v>
      </c>
      <c r="E93">
        <v>20411454</v>
      </c>
      <c r="F93" t="s">
        <v>1091</v>
      </c>
      <c r="G93" t="s">
        <v>428</v>
      </c>
      <c r="H93" s="1">
        <v>45536</v>
      </c>
      <c r="I93" s="1">
        <v>45823</v>
      </c>
      <c r="J93" t="s">
        <v>52</v>
      </c>
      <c r="K93" s="2">
        <v>1</v>
      </c>
      <c r="L93" s="2">
        <v>1</v>
      </c>
      <c r="M93" s="3">
        <v>1</v>
      </c>
      <c r="N93" s="2">
        <v>2</v>
      </c>
      <c r="O93" t="s">
        <v>889</v>
      </c>
    </row>
    <row r="94" spans="1:15" x14ac:dyDescent="0.25">
      <c r="A94" s="8">
        <v>102053217100</v>
      </c>
      <c r="B94" s="8" t="str">
        <f t="shared" si="2"/>
        <v>1020532171000</v>
      </c>
      <c r="C94" t="s">
        <v>665</v>
      </c>
      <c r="D94" t="s">
        <v>418</v>
      </c>
      <c r="E94">
        <v>20411454</v>
      </c>
      <c r="F94" t="s">
        <v>1091</v>
      </c>
      <c r="G94" t="s">
        <v>428</v>
      </c>
      <c r="H94" s="1">
        <v>45536</v>
      </c>
      <c r="I94" s="1">
        <v>45823</v>
      </c>
      <c r="J94" t="s">
        <v>52</v>
      </c>
      <c r="K94" s="2">
        <v>1</v>
      </c>
      <c r="L94" s="2">
        <v>1</v>
      </c>
      <c r="M94" s="3">
        <v>1</v>
      </c>
      <c r="N94" s="2">
        <v>2</v>
      </c>
      <c r="O94" t="s">
        <v>889</v>
      </c>
    </row>
    <row r="95" spans="1:15" x14ac:dyDescent="0.25">
      <c r="A95" s="8">
        <v>102053241100</v>
      </c>
      <c r="B95" s="8" t="str">
        <f t="shared" si="2"/>
        <v>1020532411000</v>
      </c>
      <c r="C95" t="s">
        <v>667</v>
      </c>
      <c r="D95" t="s">
        <v>418</v>
      </c>
      <c r="E95">
        <v>20411454</v>
      </c>
      <c r="F95" t="s">
        <v>1091</v>
      </c>
      <c r="G95" t="s">
        <v>428</v>
      </c>
      <c r="H95" s="1">
        <v>45536</v>
      </c>
      <c r="I95" s="1">
        <v>45823</v>
      </c>
      <c r="J95" t="s">
        <v>52</v>
      </c>
      <c r="K95" s="2">
        <v>1</v>
      </c>
      <c r="L95" s="2">
        <v>1</v>
      </c>
      <c r="M95" s="3">
        <v>1</v>
      </c>
      <c r="N95" s="2">
        <v>2</v>
      </c>
      <c r="O95" t="s">
        <v>889</v>
      </c>
    </row>
    <row r="96" spans="1:15" x14ac:dyDescent="0.25">
      <c r="A96" s="8">
        <v>102053814300</v>
      </c>
      <c r="B96" s="8" t="str">
        <f t="shared" si="2"/>
        <v>1020538143000</v>
      </c>
      <c r="C96" t="s">
        <v>669</v>
      </c>
      <c r="D96" t="s">
        <v>418</v>
      </c>
      <c r="E96">
        <v>20411454</v>
      </c>
      <c r="F96" t="s">
        <v>1091</v>
      </c>
      <c r="G96" t="s">
        <v>428</v>
      </c>
      <c r="H96" s="1">
        <v>45536</v>
      </c>
      <c r="I96" s="1">
        <v>45823</v>
      </c>
      <c r="J96" t="s">
        <v>52</v>
      </c>
      <c r="K96" s="2">
        <v>1</v>
      </c>
      <c r="L96" s="2">
        <v>1</v>
      </c>
      <c r="M96" s="3">
        <v>1</v>
      </c>
      <c r="N96" s="2">
        <v>2</v>
      </c>
      <c r="O96" t="s">
        <v>889</v>
      </c>
    </row>
    <row r="97" spans="1:15" x14ac:dyDescent="0.25">
      <c r="A97" s="8">
        <v>102054994500</v>
      </c>
      <c r="B97" s="8" t="str">
        <f t="shared" si="2"/>
        <v>1020549945000</v>
      </c>
      <c r="C97" t="s">
        <v>671</v>
      </c>
      <c r="D97" t="s">
        <v>558</v>
      </c>
      <c r="E97">
        <v>20411454</v>
      </c>
      <c r="F97" t="s">
        <v>1091</v>
      </c>
      <c r="G97" t="s">
        <v>428</v>
      </c>
      <c r="H97" s="1">
        <v>45566</v>
      </c>
      <c r="I97" s="1">
        <v>45823</v>
      </c>
      <c r="J97" t="s">
        <v>52</v>
      </c>
      <c r="K97" s="2">
        <v>1</v>
      </c>
      <c r="L97" s="2">
        <v>1</v>
      </c>
      <c r="M97" s="3">
        <v>1</v>
      </c>
      <c r="N97" s="2">
        <v>2</v>
      </c>
      <c r="O97" t="s">
        <v>889</v>
      </c>
    </row>
    <row r="98" spans="1:15" x14ac:dyDescent="0.25">
      <c r="A98" s="8">
        <v>102054999900</v>
      </c>
      <c r="B98" s="8" t="str">
        <f t="shared" si="2"/>
        <v>1020549999000</v>
      </c>
      <c r="C98" t="s">
        <v>673</v>
      </c>
      <c r="D98" t="s">
        <v>423</v>
      </c>
      <c r="E98">
        <v>20411454</v>
      </c>
      <c r="F98" t="s">
        <v>1091</v>
      </c>
      <c r="G98" t="s">
        <v>428</v>
      </c>
      <c r="H98" s="1">
        <v>45566</v>
      </c>
      <c r="I98" s="1">
        <v>45823</v>
      </c>
      <c r="J98" t="s">
        <v>52</v>
      </c>
      <c r="K98" s="2">
        <v>1</v>
      </c>
      <c r="L98" s="2">
        <v>1</v>
      </c>
      <c r="M98" s="3">
        <v>1</v>
      </c>
      <c r="N98" s="2">
        <v>2</v>
      </c>
      <c r="O98" t="s">
        <v>889</v>
      </c>
    </row>
    <row r="99" spans="1:15" x14ac:dyDescent="0.25">
      <c r="A99" s="8">
        <v>102055388900</v>
      </c>
      <c r="B99" s="8" t="str">
        <f t="shared" ref="B99:B130" si="3">CONCATENATE(A99,0)</f>
        <v>1020553889000</v>
      </c>
      <c r="C99" t="s">
        <v>675</v>
      </c>
      <c r="D99" t="s">
        <v>418</v>
      </c>
      <c r="E99">
        <v>20411454</v>
      </c>
      <c r="F99" t="s">
        <v>1091</v>
      </c>
      <c r="G99" t="s">
        <v>428</v>
      </c>
      <c r="H99" s="1">
        <v>45566</v>
      </c>
      <c r="I99" s="1">
        <v>45823</v>
      </c>
      <c r="J99" t="s">
        <v>52</v>
      </c>
      <c r="K99" s="2">
        <v>1</v>
      </c>
      <c r="L99" s="2">
        <v>1</v>
      </c>
      <c r="M99" s="3">
        <v>1</v>
      </c>
      <c r="N99" s="2">
        <v>2</v>
      </c>
      <c r="O99" t="s">
        <v>889</v>
      </c>
    </row>
    <row r="100" spans="1:15" x14ac:dyDescent="0.25">
      <c r="A100" s="8">
        <v>102055396200</v>
      </c>
      <c r="B100" s="8" t="str">
        <f t="shared" si="3"/>
        <v>1020553962000</v>
      </c>
      <c r="C100" t="s">
        <v>677</v>
      </c>
      <c r="D100" t="s">
        <v>418</v>
      </c>
      <c r="E100">
        <v>20411454</v>
      </c>
      <c r="F100" t="s">
        <v>1091</v>
      </c>
      <c r="G100" t="s">
        <v>428</v>
      </c>
      <c r="H100" s="1">
        <v>45566</v>
      </c>
      <c r="I100" s="1">
        <v>45823</v>
      </c>
      <c r="J100" t="s">
        <v>52</v>
      </c>
      <c r="K100" s="2">
        <v>1</v>
      </c>
      <c r="L100" s="2">
        <v>1</v>
      </c>
      <c r="M100" s="3">
        <v>1</v>
      </c>
      <c r="N100" s="2">
        <v>2</v>
      </c>
      <c r="O100" t="s">
        <v>889</v>
      </c>
    </row>
    <row r="101" spans="1:15" x14ac:dyDescent="0.25">
      <c r="A101" s="8">
        <v>102055440700</v>
      </c>
      <c r="B101" s="8" t="str">
        <f t="shared" si="3"/>
        <v>1020554407000</v>
      </c>
      <c r="C101" t="s">
        <v>679</v>
      </c>
      <c r="D101" t="s">
        <v>625</v>
      </c>
      <c r="E101">
        <v>20411454</v>
      </c>
      <c r="F101" t="s">
        <v>1091</v>
      </c>
      <c r="G101" t="s">
        <v>428</v>
      </c>
      <c r="H101" s="1">
        <v>45597</v>
      </c>
      <c r="I101" s="1">
        <v>45823</v>
      </c>
      <c r="J101" t="s">
        <v>52</v>
      </c>
      <c r="K101" s="2">
        <v>1</v>
      </c>
      <c r="L101" s="2">
        <v>1</v>
      </c>
      <c r="M101" s="3">
        <v>1</v>
      </c>
      <c r="N101" s="2">
        <v>2</v>
      </c>
      <c r="O101" t="s">
        <v>889</v>
      </c>
    </row>
    <row r="102" spans="1:15" x14ac:dyDescent="0.25">
      <c r="A102" s="8">
        <v>102056819400</v>
      </c>
      <c r="B102" s="8" t="str">
        <f t="shared" si="3"/>
        <v>1020568194000</v>
      </c>
      <c r="C102" t="s">
        <v>681</v>
      </c>
      <c r="D102" t="s">
        <v>447</v>
      </c>
      <c r="E102">
        <v>20411454</v>
      </c>
      <c r="F102" t="s">
        <v>1091</v>
      </c>
      <c r="G102" t="s">
        <v>428</v>
      </c>
      <c r="H102" s="1">
        <v>45566</v>
      </c>
      <c r="I102" s="1">
        <v>45823</v>
      </c>
      <c r="J102" t="s">
        <v>52</v>
      </c>
      <c r="K102" s="2">
        <v>1</v>
      </c>
      <c r="L102" s="2">
        <v>1</v>
      </c>
      <c r="M102" s="3">
        <v>1</v>
      </c>
      <c r="N102" s="2">
        <v>2</v>
      </c>
      <c r="O102" t="s">
        <v>889</v>
      </c>
    </row>
    <row r="103" spans="1:15" x14ac:dyDescent="0.25">
      <c r="A103" s="8">
        <v>102056835200</v>
      </c>
      <c r="B103" s="8" t="str">
        <f t="shared" si="3"/>
        <v>1020568352000</v>
      </c>
      <c r="C103" t="s">
        <v>683</v>
      </c>
      <c r="D103" t="s">
        <v>423</v>
      </c>
      <c r="E103">
        <v>20411454</v>
      </c>
      <c r="F103" t="s">
        <v>1091</v>
      </c>
      <c r="G103" t="s">
        <v>428</v>
      </c>
      <c r="H103" s="1">
        <v>45566</v>
      </c>
      <c r="I103" s="1">
        <v>45823</v>
      </c>
      <c r="J103" t="s">
        <v>52</v>
      </c>
      <c r="K103" s="2">
        <v>1</v>
      </c>
      <c r="L103" s="2">
        <v>1</v>
      </c>
      <c r="M103" s="3">
        <v>1</v>
      </c>
      <c r="N103" s="2">
        <v>2</v>
      </c>
      <c r="O103" t="s">
        <v>889</v>
      </c>
    </row>
    <row r="104" spans="1:15" x14ac:dyDescent="0.25">
      <c r="A104" s="8">
        <v>102058131300</v>
      </c>
      <c r="B104" s="8" t="str">
        <f t="shared" si="3"/>
        <v>1020581313000</v>
      </c>
      <c r="C104" t="s">
        <v>685</v>
      </c>
      <c r="D104" t="s">
        <v>423</v>
      </c>
      <c r="E104">
        <v>20411454</v>
      </c>
      <c r="F104" t="s">
        <v>1091</v>
      </c>
      <c r="G104" t="s">
        <v>428</v>
      </c>
      <c r="H104" s="1">
        <v>45566</v>
      </c>
      <c r="I104" s="1">
        <v>45823</v>
      </c>
      <c r="J104" t="s">
        <v>52</v>
      </c>
      <c r="K104" s="2">
        <v>1</v>
      </c>
      <c r="L104" s="2">
        <v>1</v>
      </c>
      <c r="M104" s="3">
        <v>1</v>
      </c>
      <c r="N104" s="2">
        <v>2</v>
      </c>
      <c r="O104" t="s">
        <v>889</v>
      </c>
    </row>
    <row r="105" spans="1:15" x14ac:dyDescent="0.25">
      <c r="A105" s="8">
        <v>102058154400</v>
      </c>
      <c r="B105" s="8" t="str">
        <f t="shared" si="3"/>
        <v>1020581544000</v>
      </c>
      <c r="C105" t="s">
        <v>687</v>
      </c>
      <c r="D105" t="s">
        <v>418</v>
      </c>
      <c r="E105">
        <v>20411454</v>
      </c>
      <c r="F105" t="s">
        <v>1091</v>
      </c>
      <c r="G105" t="s">
        <v>428</v>
      </c>
      <c r="H105" s="1">
        <v>45597</v>
      </c>
      <c r="I105" s="1">
        <v>45823</v>
      </c>
      <c r="J105" t="s">
        <v>52</v>
      </c>
      <c r="K105" s="2">
        <v>1</v>
      </c>
      <c r="L105" s="2">
        <v>1</v>
      </c>
      <c r="M105" s="3">
        <v>1</v>
      </c>
      <c r="N105" s="2">
        <v>2</v>
      </c>
      <c r="O105" t="s">
        <v>889</v>
      </c>
    </row>
    <row r="106" spans="1:15" x14ac:dyDescent="0.25">
      <c r="A106" s="8">
        <v>102058162400</v>
      </c>
      <c r="B106" s="8" t="str">
        <f t="shared" si="3"/>
        <v>1020581624000</v>
      </c>
      <c r="C106" t="s">
        <v>689</v>
      </c>
      <c r="D106" t="s">
        <v>423</v>
      </c>
      <c r="E106">
        <v>20411454</v>
      </c>
      <c r="F106" t="s">
        <v>1091</v>
      </c>
      <c r="G106" t="s">
        <v>428</v>
      </c>
      <c r="H106" s="1">
        <v>45566</v>
      </c>
      <c r="I106" s="1">
        <v>45823</v>
      </c>
      <c r="J106" t="s">
        <v>52</v>
      </c>
      <c r="K106" s="2">
        <v>1</v>
      </c>
      <c r="L106" s="2">
        <v>1</v>
      </c>
      <c r="M106" s="3">
        <v>1</v>
      </c>
      <c r="N106" s="2">
        <v>2</v>
      </c>
      <c r="O106" t="s">
        <v>889</v>
      </c>
    </row>
    <row r="107" spans="1:15" x14ac:dyDescent="0.25">
      <c r="A107" s="8">
        <v>102058656500</v>
      </c>
      <c r="B107" s="8" t="str">
        <f t="shared" si="3"/>
        <v>1020586565000</v>
      </c>
      <c r="C107" t="s">
        <v>691</v>
      </c>
      <c r="D107" t="s">
        <v>418</v>
      </c>
      <c r="E107">
        <v>20411454</v>
      </c>
      <c r="F107" t="s">
        <v>1091</v>
      </c>
      <c r="G107" t="s">
        <v>428</v>
      </c>
      <c r="H107" s="1">
        <v>45597</v>
      </c>
      <c r="I107" s="1">
        <v>45823</v>
      </c>
      <c r="J107" t="s">
        <v>52</v>
      </c>
      <c r="K107" s="2">
        <v>1</v>
      </c>
      <c r="L107" s="2">
        <v>1</v>
      </c>
      <c r="M107" s="3">
        <v>1</v>
      </c>
      <c r="N107" s="2">
        <v>2</v>
      </c>
      <c r="O107" t="s">
        <v>889</v>
      </c>
    </row>
    <row r="108" spans="1:15" x14ac:dyDescent="0.25">
      <c r="A108" s="8">
        <v>102059200300</v>
      </c>
      <c r="B108" s="8" t="str">
        <f t="shared" si="3"/>
        <v>1020592003000</v>
      </c>
      <c r="C108" t="s">
        <v>693</v>
      </c>
      <c r="D108" t="s">
        <v>418</v>
      </c>
      <c r="E108">
        <v>20411454</v>
      </c>
      <c r="F108" t="s">
        <v>1091</v>
      </c>
      <c r="G108" t="s">
        <v>428</v>
      </c>
      <c r="H108" s="1">
        <v>45566</v>
      </c>
      <c r="I108" s="1">
        <v>45823</v>
      </c>
      <c r="J108" t="s">
        <v>52</v>
      </c>
      <c r="K108" s="2">
        <v>1</v>
      </c>
      <c r="L108" s="2">
        <v>1</v>
      </c>
      <c r="M108" s="3">
        <v>1</v>
      </c>
      <c r="N108" s="2">
        <v>2</v>
      </c>
      <c r="O108" t="s">
        <v>889</v>
      </c>
    </row>
    <row r="109" spans="1:15" x14ac:dyDescent="0.25">
      <c r="A109" s="8">
        <v>102059218000</v>
      </c>
      <c r="B109" s="8" t="str">
        <f t="shared" si="3"/>
        <v>1020592180000</v>
      </c>
      <c r="C109" t="s">
        <v>695</v>
      </c>
      <c r="D109" t="s">
        <v>423</v>
      </c>
      <c r="E109">
        <v>20411454</v>
      </c>
      <c r="F109" t="s">
        <v>1091</v>
      </c>
      <c r="G109" t="s">
        <v>428</v>
      </c>
      <c r="H109" s="1">
        <v>45566</v>
      </c>
      <c r="I109" s="1">
        <v>45823</v>
      </c>
      <c r="J109" t="s">
        <v>52</v>
      </c>
      <c r="K109" s="2">
        <v>1</v>
      </c>
      <c r="L109" s="2">
        <v>1</v>
      </c>
      <c r="M109" s="3">
        <v>1</v>
      </c>
      <c r="N109" s="2">
        <v>2</v>
      </c>
      <c r="O109" t="s">
        <v>889</v>
      </c>
    </row>
    <row r="110" spans="1:15" x14ac:dyDescent="0.25">
      <c r="A110" s="8">
        <v>102059559800</v>
      </c>
      <c r="B110" s="8" t="str">
        <f t="shared" si="3"/>
        <v>1020595598000</v>
      </c>
      <c r="C110" t="s">
        <v>703</v>
      </c>
      <c r="D110" t="s">
        <v>423</v>
      </c>
      <c r="E110">
        <v>20411454</v>
      </c>
      <c r="F110" t="s">
        <v>1091</v>
      </c>
      <c r="G110" t="s">
        <v>428</v>
      </c>
      <c r="H110" s="1">
        <v>45566</v>
      </c>
      <c r="I110" s="1">
        <v>45823</v>
      </c>
      <c r="J110" t="s">
        <v>52</v>
      </c>
      <c r="K110" s="2">
        <v>1</v>
      </c>
      <c r="L110" s="2">
        <v>1</v>
      </c>
      <c r="M110" s="3">
        <v>1</v>
      </c>
      <c r="N110" s="2">
        <v>2</v>
      </c>
      <c r="O110" t="s">
        <v>889</v>
      </c>
    </row>
    <row r="111" spans="1:15" x14ac:dyDescent="0.25">
      <c r="A111" s="8">
        <v>102059560100</v>
      </c>
      <c r="B111" s="8" t="str">
        <f t="shared" si="3"/>
        <v>1020595601000</v>
      </c>
      <c r="C111" t="s">
        <v>705</v>
      </c>
      <c r="D111" t="s">
        <v>706</v>
      </c>
      <c r="E111">
        <v>20411454</v>
      </c>
      <c r="F111" t="s">
        <v>1091</v>
      </c>
      <c r="G111" t="s">
        <v>428</v>
      </c>
      <c r="H111" s="1">
        <v>45566</v>
      </c>
      <c r="I111" s="1">
        <v>45823</v>
      </c>
      <c r="J111" t="s">
        <v>52</v>
      </c>
      <c r="K111" s="2">
        <v>1</v>
      </c>
      <c r="L111" s="2">
        <v>1</v>
      </c>
      <c r="M111" s="3">
        <v>1</v>
      </c>
      <c r="N111" s="2">
        <v>2</v>
      </c>
      <c r="O111" t="s">
        <v>889</v>
      </c>
    </row>
    <row r="112" spans="1:15" x14ac:dyDescent="0.25">
      <c r="A112" s="8">
        <v>102061556500</v>
      </c>
      <c r="B112" s="8" t="str">
        <f t="shared" si="3"/>
        <v>1020615565000</v>
      </c>
      <c r="C112" t="s">
        <v>712</v>
      </c>
      <c r="D112" t="s">
        <v>418</v>
      </c>
      <c r="E112">
        <v>20411454</v>
      </c>
      <c r="F112" t="s">
        <v>1091</v>
      </c>
      <c r="G112" t="s">
        <v>428</v>
      </c>
      <c r="H112" s="1">
        <v>45566</v>
      </c>
      <c r="I112" s="1">
        <v>45823</v>
      </c>
      <c r="J112" t="s">
        <v>52</v>
      </c>
      <c r="K112" s="2">
        <v>1</v>
      </c>
      <c r="L112" s="2">
        <v>1</v>
      </c>
      <c r="M112" s="3">
        <v>1</v>
      </c>
      <c r="N112" s="2">
        <v>2</v>
      </c>
      <c r="O112" t="s">
        <v>889</v>
      </c>
    </row>
    <row r="113" spans="1:15" x14ac:dyDescent="0.25">
      <c r="A113" s="8">
        <v>102061588300</v>
      </c>
      <c r="B113" s="8" t="str">
        <f t="shared" si="3"/>
        <v>1020615883000</v>
      </c>
      <c r="C113" t="s">
        <v>716</v>
      </c>
      <c r="D113" t="s">
        <v>423</v>
      </c>
      <c r="E113">
        <v>20411454</v>
      </c>
      <c r="F113" t="s">
        <v>1091</v>
      </c>
      <c r="G113" t="s">
        <v>428</v>
      </c>
      <c r="H113" s="1">
        <v>45566</v>
      </c>
      <c r="I113" s="1">
        <v>45823</v>
      </c>
      <c r="J113" t="s">
        <v>52</v>
      </c>
      <c r="K113" s="2">
        <v>1</v>
      </c>
      <c r="L113" s="2">
        <v>1</v>
      </c>
      <c r="M113" s="3">
        <v>1</v>
      </c>
      <c r="N113" s="2">
        <v>2</v>
      </c>
      <c r="O113" t="s">
        <v>889</v>
      </c>
    </row>
    <row r="114" spans="1:15" x14ac:dyDescent="0.25">
      <c r="A114" s="8">
        <v>102061850500</v>
      </c>
      <c r="B114" s="8" t="str">
        <f t="shared" si="3"/>
        <v>1020618505000</v>
      </c>
      <c r="C114" t="s">
        <v>720</v>
      </c>
      <c r="D114" t="s">
        <v>418</v>
      </c>
      <c r="E114">
        <v>20411454</v>
      </c>
      <c r="F114" t="s">
        <v>1091</v>
      </c>
      <c r="G114" t="s">
        <v>428</v>
      </c>
      <c r="H114" s="1">
        <v>45566</v>
      </c>
      <c r="I114" s="1">
        <v>45823</v>
      </c>
      <c r="J114" t="s">
        <v>52</v>
      </c>
      <c r="K114" s="2">
        <v>1</v>
      </c>
      <c r="L114" s="2">
        <v>1</v>
      </c>
      <c r="M114" s="3">
        <v>1</v>
      </c>
      <c r="N114" s="2">
        <v>2</v>
      </c>
      <c r="O114" t="s">
        <v>889</v>
      </c>
    </row>
    <row r="115" spans="1:15" x14ac:dyDescent="0.25">
      <c r="A115" s="8">
        <v>102062449500</v>
      </c>
      <c r="B115" s="8" t="str">
        <f t="shared" si="3"/>
        <v>1020624495000</v>
      </c>
      <c r="C115" t="s">
        <v>722</v>
      </c>
      <c r="D115" t="s">
        <v>418</v>
      </c>
      <c r="E115">
        <v>20411454</v>
      </c>
      <c r="F115" t="s">
        <v>1091</v>
      </c>
      <c r="G115" t="s">
        <v>428</v>
      </c>
      <c r="H115" s="1">
        <v>45627</v>
      </c>
      <c r="I115" s="1">
        <v>45823</v>
      </c>
      <c r="J115" t="s">
        <v>52</v>
      </c>
      <c r="K115" s="2">
        <v>1</v>
      </c>
      <c r="L115" s="2">
        <v>1</v>
      </c>
      <c r="M115" s="3">
        <v>1</v>
      </c>
      <c r="N115" s="2">
        <v>2</v>
      </c>
      <c r="O115" t="s">
        <v>889</v>
      </c>
    </row>
    <row r="116" spans="1:15" x14ac:dyDescent="0.25">
      <c r="A116" s="8">
        <v>102063468900</v>
      </c>
      <c r="B116" s="8" t="str">
        <f t="shared" si="3"/>
        <v>1020634689000</v>
      </c>
      <c r="C116" t="s">
        <v>724</v>
      </c>
      <c r="D116" t="s">
        <v>418</v>
      </c>
      <c r="E116">
        <v>20411454</v>
      </c>
      <c r="F116" t="s">
        <v>1091</v>
      </c>
      <c r="G116" t="s">
        <v>428</v>
      </c>
      <c r="H116" s="1">
        <v>45566</v>
      </c>
      <c r="I116" s="1">
        <v>45823</v>
      </c>
      <c r="J116" t="s">
        <v>52</v>
      </c>
      <c r="K116" s="2">
        <v>1</v>
      </c>
      <c r="L116" s="2">
        <v>1</v>
      </c>
      <c r="M116" s="3">
        <v>1</v>
      </c>
      <c r="N116" s="2">
        <v>2</v>
      </c>
      <c r="O116" t="s">
        <v>889</v>
      </c>
    </row>
    <row r="117" spans="1:15" x14ac:dyDescent="0.25">
      <c r="A117" s="8">
        <v>102064231900</v>
      </c>
      <c r="B117" s="8" t="str">
        <f t="shared" si="3"/>
        <v>1020642319000</v>
      </c>
      <c r="C117" t="s">
        <v>732</v>
      </c>
      <c r="D117" t="s">
        <v>423</v>
      </c>
      <c r="E117">
        <v>20411454</v>
      </c>
      <c r="F117" t="s">
        <v>1091</v>
      </c>
      <c r="G117" t="s">
        <v>428</v>
      </c>
      <c r="H117" s="1">
        <v>45566</v>
      </c>
      <c r="I117" s="1">
        <v>45823</v>
      </c>
      <c r="J117" t="s">
        <v>52</v>
      </c>
      <c r="K117" s="2">
        <v>1</v>
      </c>
      <c r="L117" s="2">
        <v>1</v>
      </c>
      <c r="M117" s="3">
        <v>1</v>
      </c>
      <c r="N117" s="2">
        <v>2</v>
      </c>
      <c r="O117" t="s">
        <v>889</v>
      </c>
    </row>
    <row r="118" spans="1:15" x14ac:dyDescent="0.25">
      <c r="A118" s="8">
        <v>102064758600</v>
      </c>
      <c r="B118" s="8" t="str">
        <f t="shared" si="3"/>
        <v>1020647586000</v>
      </c>
      <c r="C118" t="s">
        <v>734</v>
      </c>
      <c r="D118" t="s">
        <v>423</v>
      </c>
      <c r="E118">
        <v>20411454</v>
      </c>
      <c r="F118" t="s">
        <v>1091</v>
      </c>
      <c r="G118" t="s">
        <v>428</v>
      </c>
      <c r="H118" s="1">
        <v>45566</v>
      </c>
      <c r="I118" s="1">
        <v>45823</v>
      </c>
      <c r="J118" t="s">
        <v>52</v>
      </c>
      <c r="K118" s="2">
        <v>1</v>
      </c>
      <c r="L118" s="2">
        <v>1</v>
      </c>
      <c r="M118" s="3">
        <v>1</v>
      </c>
      <c r="N118" s="2">
        <v>2</v>
      </c>
      <c r="O118" t="s">
        <v>889</v>
      </c>
    </row>
    <row r="119" spans="1:15" x14ac:dyDescent="0.25">
      <c r="A119" s="8">
        <v>102064852300</v>
      </c>
      <c r="B119" s="8" t="str">
        <f t="shared" si="3"/>
        <v>1020648523000</v>
      </c>
      <c r="C119" t="s">
        <v>738</v>
      </c>
      <c r="D119" t="s">
        <v>418</v>
      </c>
      <c r="E119">
        <v>20411454</v>
      </c>
      <c r="F119" t="s">
        <v>1091</v>
      </c>
      <c r="G119" t="s">
        <v>428</v>
      </c>
      <c r="H119" s="1">
        <v>45566</v>
      </c>
      <c r="I119" s="1">
        <v>45823</v>
      </c>
      <c r="J119" t="s">
        <v>52</v>
      </c>
      <c r="K119" s="2">
        <v>1</v>
      </c>
      <c r="L119" s="2">
        <v>1</v>
      </c>
      <c r="M119" s="3">
        <v>1</v>
      </c>
      <c r="N119" s="2">
        <v>2</v>
      </c>
      <c r="O119" t="s">
        <v>889</v>
      </c>
    </row>
    <row r="120" spans="1:15" x14ac:dyDescent="0.25">
      <c r="A120" s="8">
        <v>102065623700</v>
      </c>
      <c r="B120" s="8" t="str">
        <f t="shared" si="3"/>
        <v>1020656237000</v>
      </c>
      <c r="C120" t="s">
        <v>740</v>
      </c>
      <c r="D120" t="s">
        <v>423</v>
      </c>
      <c r="E120">
        <v>20411454</v>
      </c>
      <c r="F120" t="s">
        <v>1091</v>
      </c>
      <c r="G120" t="s">
        <v>428</v>
      </c>
      <c r="H120" s="1">
        <v>45597</v>
      </c>
      <c r="I120" s="1">
        <v>45823</v>
      </c>
      <c r="J120" t="s">
        <v>52</v>
      </c>
      <c r="K120" s="2">
        <v>1</v>
      </c>
      <c r="L120" s="2">
        <v>1</v>
      </c>
      <c r="M120" s="3">
        <v>1</v>
      </c>
      <c r="N120" s="2">
        <v>2</v>
      </c>
      <c r="O120" t="s">
        <v>889</v>
      </c>
    </row>
    <row r="121" spans="1:15" x14ac:dyDescent="0.25">
      <c r="A121" s="8">
        <v>102065624200</v>
      </c>
      <c r="B121" s="8" t="str">
        <f t="shared" si="3"/>
        <v>1020656242000</v>
      </c>
      <c r="C121" t="s">
        <v>742</v>
      </c>
      <c r="D121" t="s">
        <v>423</v>
      </c>
      <c r="E121">
        <v>20411454</v>
      </c>
      <c r="F121" t="s">
        <v>1091</v>
      </c>
      <c r="G121" t="s">
        <v>428</v>
      </c>
      <c r="H121" s="1">
        <v>45597</v>
      </c>
      <c r="I121" s="1">
        <v>45823</v>
      </c>
      <c r="J121" t="s">
        <v>52</v>
      </c>
      <c r="K121" s="2">
        <v>1</v>
      </c>
      <c r="L121" s="2">
        <v>1</v>
      </c>
      <c r="M121" s="3">
        <v>1</v>
      </c>
      <c r="N121" s="2">
        <v>2</v>
      </c>
      <c r="O121" t="s">
        <v>889</v>
      </c>
    </row>
    <row r="122" spans="1:15" x14ac:dyDescent="0.25">
      <c r="A122" s="8">
        <v>102066402500</v>
      </c>
      <c r="B122" s="8" t="str">
        <f t="shared" si="3"/>
        <v>1020664025000</v>
      </c>
      <c r="C122" t="s">
        <v>744</v>
      </c>
      <c r="D122" t="s">
        <v>418</v>
      </c>
      <c r="E122">
        <v>20411454</v>
      </c>
      <c r="F122" t="s">
        <v>1091</v>
      </c>
      <c r="G122" t="s">
        <v>428</v>
      </c>
      <c r="H122" s="1">
        <v>45597</v>
      </c>
      <c r="I122" s="1">
        <v>45823</v>
      </c>
      <c r="J122" t="s">
        <v>52</v>
      </c>
      <c r="K122" s="2">
        <v>1</v>
      </c>
      <c r="L122" s="2">
        <v>1</v>
      </c>
      <c r="M122" s="3">
        <v>1</v>
      </c>
      <c r="N122" s="2">
        <v>2</v>
      </c>
      <c r="O122" t="s">
        <v>889</v>
      </c>
    </row>
    <row r="123" spans="1:15" x14ac:dyDescent="0.25">
      <c r="A123" s="8">
        <v>102066652900</v>
      </c>
      <c r="B123" s="8" t="str">
        <f t="shared" si="3"/>
        <v>1020666529000</v>
      </c>
      <c r="C123" t="s">
        <v>746</v>
      </c>
      <c r="D123" t="s">
        <v>423</v>
      </c>
      <c r="E123">
        <v>20411454</v>
      </c>
      <c r="F123" t="s">
        <v>1091</v>
      </c>
      <c r="G123" t="s">
        <v>428</v>
      </c>
      <c r="H123" s="1">
        <v>45627</v>
      </c>
      <c r="I123" s="1">
        <v>45823</v>
      </c>
      <c r="J123" t="s">
        <v>52</v>
      </c>
      <c r="K123" s="2">
        <v>1</v>
      </c>
      <c r="L123" s="2">
        <v>1</v>
      </c>
      <c r="M123" s="3">
        <v>1</v>
      </c>
      <c r="N123" s="2">
        <v>2</v>
      </c>
      <c r="O123" t="s">
        <v>889</v>
      </c>
    </row>
    <row r="124" spans="1:15" x14ac:dyDescent="0.25">
      <c r="A124" s="8">
        <v>102066699300</v>
      </c>
      <c r="B124" s="8" t="str">
        <f t="shared" si="3"/>
        <v>1020666993000</v>
      </c>
      <c r="C124" t="s">
        <v>748</v>
      </c>
      <c r="E124">
        <v>20411454</v>
      </c>
      <c r="F124" t="s">
        <v>1091</v>
      </c>
      <c r="G124" t="s">
        <v>428</v>
      </c>
      <c r="H124" s="1">
        <v>45597</v>
      </c>
      <c r="I124" s="1">
        <v>45823</v>
      </c>
      <c r="J124" t="s">
        <v>52</v>
      </c>
      <c r="K124" s="2">
        <v>1</v>
      </c>
      <c r="L124" s="2">
        <v>1</v>
      </c>
      <c r="M124" s="3">
        <v>1</v>
      </c>
      <c r="N124" s="2">
        <v>2</v>
      </c>
      <c r="O124" t="s">
        <v>889</v>
      </c>
    </row>
    <row r="125" spans="1:15" x14ac:dyDescent="0.25">
      <c r="A125" s="8">
        <v>102068178600</v>
      </c>
      <c r="B125" s="8" t="str">
        <f t="shared" si="3"/>
        <v>1020681786000</v>
      </c>
      <c r="C125" t="s">
        <v>750</v>
      </c>
      <c r="D125" t="s">
        <v>423</v>
      </c>
      <c r="E125">
        <v>20411454</v>
      </c>
      <c r="F125" t="s">
        <v>1091</v>
      </c>
      <c r="G125" t="s">
        <v>428</v>
      </c>
      <c r="H125" s="1">
        <v>45597</v>
      </c>
      <c r="I125" s="1">
        <v>45823</v>
      </c>
      <c r="J125" t="s">
        <v>52</v>
      </c>
      <c r="K125" s="2">
        <v>1</v>
      </c>
      <c r="L125" s="2">
        <v>1</v>
      </c>
      <c r="M125" s="3">
        <v>1</v>
      </c>
      <c r="N125" s="2">
        <v>2</v>
      </c>
      <c r="O125" t="s">
        <v>889</v>
      </c>
    </row>
    <row r="126" spans="1:15" x14ac:dyDescent="0.25">
      <c r="A126" s="8">
        <v>102068196700</v>
      </c>
      <c r="B126" s="8" t="str">
        <f t="shared" si="3"/>
        <v>1020681967000</v>
      </c>
      <c r="C126" t="s">
        <v>752</v>
      </c>
      <c r="D126" t="s">
        <v>418</v>
      </c>
      <c r="E126">
        <v>20411454</v>
      </c>
      <c r="F126" t="s">
        <v>1091</v>
      </c>
      <c r="G126" t="s">
        <v>428</v>
      </c>
      <c r="H126" s="1">
        <v>45597</v>
      </c>
      <c r="I126" s="1">
        <v>45823</v>
      </c>
      <c r="J126" t="s">
        <v>52</v>
      </c>
      <c r="K126" s="2">
        <v>1</v>
      </c>
      <c r="L126" s="2">
        <v>1</v>
      </c>
      <c r="M126" s="3">
        <v>1</v>
      </c>
      <c r="N126" s="2">
        <v>2</v>
      </c>
      <c r="O126" t="s">
        <v>889</v>
      </c>
    </row>
    <row r="127" spans="1:15" x14ac:dyDescent="0.25">
      <c r="A127" s="8">
        <v>102069037500</v>
      </c>
      <c r="B127" s="8" t="str">
        <f t="shared" si="3"/>
        <v>1020690375000</v>
      </c>
      <c r="C127" t="s">
        <v>754</v>
      </c>
      <c r="D127" t="s">
        <v>423</v>
      </c>
      <c r="E127">
        <v>20411454</v>
      </c>
      <c r="F127" t="s">
        <v>1091</v>
      </c>
      <c r="G127" t="s">
        <v>428</v>
      </c>
      <c r="H127" s="1">
        <v>45627</v>
      </c>
      <c r="I127" s="1">
        <v>45823</v>
      </c>
      <c r="J127" t="s">
        <v>52</v>
      </c>
      <c r="K127" s="2">
        <v>1</v>
      </c>
      <c r="L127" s="2">
        <v>1</v>
      </c>
      <c r="M127" s="3">
        <v>1</v>
      </c>
      <c r="N127" s="2">
        <v>2</v>
      </c>
      <c r="O127" t="s">
        <v>889</v>
      </c>
    </row>
    <row r="128" spans="1:15" x14ac:dyDescent="0.25">
      <c r="A128" s="8">
        <v>102069330900</v>
      </c>
      <c r="B128" s="8" t="str">
        <f t="shared" si="3"/>
        <v>1020693309000</v>
      </c>
      <c r="C128" t="s">
        <v>756</v>
      </c>
      <c r="D128" t="s">
        <v>558</v>
      </c>
      <c r="E128">
        <v>20411454</v>
      </c>
      <c r="F128" t="s">
        <v>1091</v>
      </c>
      <c r="G128" t="s">
        <v>428</v>
      </c>
      <c r="H128" s="1">
        <v>45597</v>
      </c>
      <c r="I128" s="1">
        <v>45823</v>
      </c>
      <c r="J128" t="s">
        <v>52</v>
      </c>
      <c r="K128" s="2">
        <v>1</v>
      </c>
      <c r="L128" s="2">
        <v>1</v>
      </c>
      <c r="M128" s="3">
        <v>1</v>
      </c>
      <c r="N128" s="2">
        <v>2</v>
      </c>
      <c r="O128" t="s">
        <v>889</v>
      </c>
    </row>
    <row r="129" spans="1:15" x14ac:dyDescent="0.25">
      <c r="A129" s="8">
        <v>102069393600</v>
      </c>
      <c r="B129" s="8" t="str">
        <f t="shared" si="3"/>
        <v>1020693936000</v>
      </c>
      <c r="C129" t="s">
        <v>758</v>
      </c>
      <c r="D129" t="s">
        <v>447</v>
      </c>
      <c r="E129">
        <v>20411454</v>
      </c>
      <c r="F129" t="s">
        <v>1091</v>
      </c>
      <c r="G129" t="s">
        <v>428</v>
      </c>
      <c r="H129" s="1">
        <v>45627</v>
      </c>
      <c r="I129" s="1">
        <v>45823</v>
      </c>
      <c r="J129" t="s">
        <v>52</v>
      </c>
      <c r="K129" s="2">
        <v>1</v>
      </c>
      <c r="L129" s="2">
        <v>1</v>
      </c>
      <c r="M129" s="3">
        <v>1</v>
      </c>
      <c r="N129" s="2">
        <v>2</v>
      </c>
      <c r="O129" t="s">
        <v>889</v>
      </c>
    </row>
    <row r="130" spans="1:15" x14ac:dyDescent="0.25">
      <c r="A130" s="8">
        <v>102071177500</v>
      </c>
      <c r="B130" s="8" t="str">
        <f t="shared" si="3"/>
        <v>1020711775000</v>
      </c>
      <c r="C130" t="s">
        <v>764</v>
      </c>
      <c r="D130" t="s">
        <v>423</v>
      </c>
      <c r="E130">
        <v>20411454</v>
      </c>
      <c r="F130" t="s">
        <v>1091</v>
      </c>
      <c r="G130" t="s">
        <v>428</v>
      </c>
      <c r="H130" s="1">
        <v>45597</v>
      </c>
      <c r="I130" s="1">
        <v>45823</v>
      </c>
      <c r="J130" t="s">
        <v>52</v>
      </c>
      <c r="K130" s="2">
        <v>1</v>
      </c>
      <c r="L130" s="2">
        <v>1</v>
      </c>
      <c r="M130" s="3">
        <v>1</v>
      </c>
      <c r="N130" s="2">
        <v>2</v>
      </c>
      <c r="O130" t="s">
        <v>889</v>
      </c>
    </row>
    <row r="131" spans="1:15" x14ac:dyDescent="0.25">
      <c r="A131" s="8">
        <v>102072923100</v>
      </c>
      <c r="B131" s="8" t="str">
        <f t="shared" ref="B131:B162" si="4">CONCATENATE(A131,0)</f>
        <v>1020729231000</v>
      </c>
      <c r="C131" t="s">
        <v>766</v>
      </c>
      <c r="D131" t="s">
        <v>423</v>
      </c>
      <c r="E131">
        <v>20411454</v>
      </c>
      <c r="F131" t="s">
        <v>1091</v>
      </c>
      <c r="G131" t="s">
        <v>428</v>
      </c>
      <c r="H131" s="1">
        <v>45627</v>
      </c>
      <c r="I131" s="1">
        <v>45823</v>
      </c>
      <c r="J131" t="s">
        <v>52</v>
      </c>
      <c r="K131" s="2">
        <v>1</v>
      </c>
      <c r="L131" s="2">
        <v>1</v>
      </c>
      <c r="M131" s="3">
        <v>1</v>
      </c>
      <c r="N131" s="2">
        <v>2</v>
      </c>
      <c r="O131" t="s">
        <v>889</v>
      </c>
    </row>
    <row r="132" spans="1:15" x14ac:dyDescent="0.25">
      <c r="A132" s="8">
        <v>102078192100</v>
      </c>
      <c r="B132" s="8" t="str">
        <f t="shared" si="4"/>
        <v>1020781921000</v>
      </c>
      <c r="C132" t="s">
        <v>770</v>
      </c>
      <c r="D132" t="s">
        <v>771</v>
      </c>
      <c r="E132">
        <v>20411454</v>
      </c>
      <c r="F132" t="s">
        <v>1091</v>
      </c>
      <c r="G132" t="s">
        <v>428</v>
      </c>
      <c r="H132" s="1">
        <v>45597</v>
      </c>
      <c r="I132" s="1">
        <v>45823</v>
      </c>
      <c r="J132" t="s">
        <v>52</v>
      </c>
      <c r="K132" s="2">
        <v>1</v>
      </c>
      <c r="L132" s="2">
        <v>1</v>
      </c>
      <c r="M132" s="3">
        <v>1</v>
      </c>
      <c r="N132" s="2">
        <v>2</v>
      </c>
      <c r="O132" t="s">
        <v>889</v>
      </c>
    </row>
    <row r="133" spans="1:15" x14ac:dyDescent="0.25">
      <c r="A133" s="8">
        <v>102079442100</v>
      </c>
      <c r="B133" s="8" t="str">
        <f t="shared" si="4"/>
        <v>1020794421000</v>
      </c>
      <c r="C133" t="s">
        <v>775</v>
      </c>
      <c r="D133" t="s">
        <v>625</v>
      </c>
      <c r="E133">
        <v>20411454</v>
      </c>
      <c r="F133" t="s">
        <v>1091</v>
      </c>
      <c r="G133" t="s">
        <v>428</v>
      </c>
      <c r="H133" s="1">
        <v>45597</v>
      </c>
      <c r="I133" s="1">
        <v>45823</v>
      </c>
      <c r="J133" t="s">
        <v>52</v>
      </c>
      <c r="K133" s="2">
        <v>1</v>
      </c>
      <c r="L133" s="2">
        <v>1</v>
      </c>
      <c r="M133" s="3">
        <v>1</v>
      </c>
      <c r="N133" s="2">
        <v>2</v>
      </c>
      <c r="O133" t="s">
        <v>889</v>
      </c>
    </row>
    <row r="134" spans="1:15" x14ac:dyDescent="0.25">
      <c r="A134" s="8">
        <v>102081559700</v>
      </c>
      <c r="B134" s="8" t="str">
        <f t="shared" si="4"/>
        <v>1020815597000</v>
      </c>
      <c r="C134" t="s">
        <v>779</v>
      </c>
      <c r="D134" t="s">
        <v>423</v>
      </c>
      <c r="E134">
        <v>20411454</v>
      </c>
      <c r="F134" t="s">
        <v>1091</v>
      </c>
      <c r="G134" t="s">
        <v>428</v>
      </c>
      <c r="H134" s="1">
        <v>45627</v>
      </c>
      <c r="I134" s="1">
        <v>45823</v>
      </c>
      <c r="J134" t="s">
        <v>52</v>
      </c>
      <c r="K134" s="2">
        <v>1</v>
      </c>
      <c r="L134" s="2">
        <v>1</v>
      </c>
      <c r="M134" s="3">
        <v>1</v>
      </c>
      <c r="N134" s="2">
        <v>2</v>
      </c>
      <c r="O134" t="s">
        <v>889</v>
      </c>
    </row>
    <row r="135" spans="1:15" x14ac:dyDescent="0.25">
      <c r="A135" s="8">
        <v>102082370200</v>
      </c>
      <c r="B135" s="8" t="str">
        <f t="shared" si="4"/>
        <v>1020823702000</v>
      </c>
      <c r="C135" t="s">
        <v>781</v>
      </c>
      <c r="D135" t="s">
        <v>418</v>
      </c>
      <c r="E135">
        <v>20411454</v>
      </c>
      <c r="F135" t="s">
        <v>1091</v>
      </c>
      <c r="G135" t="s">
        <v>428</v>
      </c>
      <c r="H135" s="1">
        <v>45597</v>
      </c>
      <c r="I135" s="1">
        <v>45823</v>
      </c>
      <c r="J135" t="s">
        <v>52</v>
      </c>
      <c r="K135" s="2">
        <v>1</v>
      </c>
      <c r="L135" s="2">
        <v>1</v>
      </c>
      <c r="M135" s="3">
        <v>1</v>
      </c>
      <c r="N135" s="2">
        <v>2</v>
      </c>
      <c r="O135" t="s">
        <v>889</v>
      </c>
    </row>
    <row r="136" spans="1:15" x14ac:dyDescent="0.25">
      <c r="A136" s="8">
        <v>102084927600</v>
      </c>
      <c r="B136" s="8" t="str">
        <f t="shared" si="4"/>
        <v>1020849276000</v>
      </c>
      <c r="C136" t="s">
        <v>783</v>
      </c>
      <c r="D136" t="s">
        <v>418</v>
      </c>
      <c r="E136">
        <v>20411454</v>
      </c>
      <c r="F136" t="s">
        <v>1091</v>
      </c>
      <c r="G136" t="s">
        <v>428</v>
      </c>
      <c r="H136" s="1">
        <v>45627</v>
      </c>
      <c r="I136" s="1">
        <v>45823</v>
      </c>
      <c r="J136" t="s">
        <v>52</v>
      </c>
      <c r="K136" s="2">
        <v>1</v>
      </c>
      <c r="L136" s="2">
        <v>1</v>
      </c>
      <c r="M136" s="3">
        <v>1</v>
      </c>
      <c r="N136" s="2">
        <v>2</v>
      </c>
      <c r="O136" t="s">
        <v>889</v>
      </c>
    </row>
    <row r="137" spans="1:15" x14ac:dyDescent="0.25">
      <c r="A137" s="8">
        <v>102085672600</v>
      </c>
      <c r="B137" s="8" t="str">
        <f t="shared" si="4"/>
        <v>1020856726000</v>
      </c>
      <c r="C137" t="s">
        <v>785</v>
      </c>
      <c r="D137" t="s">
        <v>771</v>
      </c>
      <c r="E137">
        <v>20411454</v>
      </c>
      <c r="F137" t="s">
        <v>1091</v>
      </c>
      <c r="G137" t="s">
        <v>428</v>
      </c>
      <c r="H137" s="1">
        <v>45627</v>
      </c>
      <c r="I137" s="1">
        <v>45823</v>
      </c>
      <c r="J137" t="s">
        <v>52</v>
      </c>
      <c r="K137" s="2">
        <v>1</v>
      </c>
      <c r="L137" s="2">
        <v>1</v>
      </c>
      <c r="M137" s="3">
        <v>1</v>
      </c>
      <c r="N137" s="2">
        <v>2</v>
      </c>
      <c r="O137" t="s">
        <v>889</v>
      </c>
    </row>
    <row r="138" spans="1:15" x14ac:dyDescent="0.25">
      <c r="A138" s="8">
        <v>102086309300</v>
      </c>
      <c r="B138" s="8" t="str">
        <f t="shared" si="4"/>
        <v>1020863093000</v>
      </c>
      <c r="C138" t="s">
        <v>787</v>
      </c>
      <c r="D138" t="s">
        <v>418</v>
      </c>
      <c r="E138">
        <v>20411454</v>
      </c>
      <c r="F138" t="s">
        <v>1091</v>
      </c>
      <c r="G138" t="s">
        <v>428</v>
      </c>
      <c r="H138" s="1">
        <v>45627</v>
      </c>
      <c r="I138" s="1">
        <v>45823</v>
      </c>
      <c r="J138" t="s">
        <v>52</v>
      </c>
      <c r="K138" s="2">
        <v>1</v>
      </c>
      <c r="L138" s="2">
        <v>1</v>
      </c>
      <c r="M138" s="3">
        <v>1</v>
      </c>
      <c r="N138" s="2">
        <v>2</v>
      </c>
      <c r="O138" t="s">
        <v>889</v>
      </c>
    </row>
    <row r="139" spans="1:15" x14ac:dyDescent="0.25">
      <c r="A139" s="8">
        <v>102088844600</v>
      </c>
      <c r="B139" s="8" t="str">
        <f t="shared" si="4"/>
        <v>1020888446000</v>
      </c>
      <c r="C139" t="s">
        <v>789</v>
      </c>
      <c r="D139" t="s">
        <v>418</v>
      </c>
      <c r="E139">
        <v>20411454</v>
      </c>
      <c r="F139" t="s">
        <v>1091</v>
      </c>
      <c r="G139" t="s">
        <v>428</v>
      </c>
      <c r="H139" s="1">
        <v>45627</v>
      </c>
      <c r="I139" s="1">
        <v>45823</v>
      </c>
      <c r="J139" t="s">
        <v>52</v>
      </c>
      <c r="K139" s="2">
        <v>1</v>
      </c>
      <c r="L139" s="2">
        <v>1</v>
      </c>
      <c r="M139" s="3">
        <v>1</v>
      </c>
      <c r="N139" s="2">
        <v>2</v>
      </c>
      <c r="O139" t="s">
        <v>889</v>
      </c>
    </row>
    <row r="140" spans="1:15" x14ac:dyDescent="0.25">
      <c r="A140" s="8">
        <v>102092114400</v>
      </c>
      <c r="B140" s="8" t="str">
        <f t="shared" si="4"/>
        <v>1020921144000</v>
      </c>
      <c r="C140" t="s">
        <v>791</v>
      </c>
      <c r="D140" t="s">
        <v>418</v>
      </c>
      <c r="E140">
        <v>20411454</v>
      </c>
      <c r="F140" t="s">
        <v>1091</v>
      </c>
      <c r="G140" t="s">
        <v>428</v>
      </c>
      <c r="H140" s="1">
        <v>45627</v>
      </c>
      <c r="I140" s="1">
        <v>45823</v>
      </c>
      <c r="J140" t="s">
        <v>52</v>
      </c>
      <c r="K140" s="2">
        <v>1</v>
      </c>
      <c r="L140" s="2">
        <v>1</v>
      </c>
      <c r="M140" s="3">
        <v>1</v>
      </c>
      <c r="N140" s="2">
        <v>2</v>
      </c>
      <c r="O140" t="s">
        <v>889</v>
      </c>
    </row>
    <row r="141" spans="1:15" x14ac:dyDescent="0.25">
      <c r="A141" s="8">
        <v>102095689100</v>
      </c>
      <c r="B141" s="8" t="str">
        <f t="shared" si="4"/>
        <v>1020956891000</v>
      </c>
      <c r="C141" t="s">
        <v>793</v>
      </c>
      <c r="D141" t="s">
        <v>771</v>
      </c>
      <c r="E141">
        <v>20411454</v>
      </c>
      <c r="F141" t="s">
        <v>1091</v>
      </c>
      <c r="G141" t="s">
        <v>428</v>
      </c>
      <c r="H141" s="1">
        <v>45627</v>
      </c>
      <c r="I141" s="1">
        <v>45823</v>
      </c>
      <c r="J141" t="s">
        <v>52</v>
      </c>
      <c r="K141" s="2">
        <v>1</v>
      </c>
      <c r="L141" s="2">
        <v>1</v>
      </c>
      <c r="M141" s="3">
        <v>1</v>
      </c>
      <c r="N141" s="2">
        <v>2</v>
      </c>
      <c r="O141" t="s">
        <v>889</v>
      </c>
    </row>
    <row r="142" spans="1:15" x14ac:dyDescent="0.25">
      <c r="A142" s="8">
        <v>102097467700</v>
      </c>
      <c r="B142" s="8" t="str">
        <f t="shared" si="4"/>
        <v>1020974677000</v>
      </c>
      <c r="C142" t="s">
        <v>795</v>
      </c>
      <c r="D142" t="s">
        <v>520</v>
      </c>
      <c r="E142">
        <v>20411454</v>
      </c>
      <c r="F142" t="s">
        <v>1091</v>
      </c>
      <c r="G142" t="s">
        <v>428</v>
      </c>
      <c r="H142" s="1">
        <v>45627</v>
      </c>
      <c r="I142" s="1">
        <v>45823</v>
      </c>
      <c r="J142" t="s">
        <v>52</v>
      </c>
      <c r="K142" s="2">
        <v>1</v>
      </c>
      <c r="L142" s="2">
        <v>1</v>
      </c>
      <c r="M142" s="3">
        <v>1</v>
      </c>
      <c r="N142" s="2">
        <v>2</v>
      </c>
      <c r="O142" t="s">
        <v>889</v>
      </c>
    </row>
    <row r="143" spans="1:15" x14ac:dyDescent="0.25">
      <c r="A143" s="8">
        <v>102098890500</v>
      </c>
      <c r="B143" s="8" t="str">
        <f t="shared" si="4"/>
        <v>1020988905000</v>
      </c>
      <c r="C143" t="s">
        <v>797</v>
      </c>
      <c r="D143" t="s">
        <v>423</v>
      </c>
      <c r="E143">
        <v>20411454</v>
      </c>
      <c r="F143" t="s">
        <v>1091</v>
      </c>
      <c r="G143" t="s">
        <v>428</v>
      </c>
      <c r="H143" s="1">
        <v>45627</v>
      </c>
      <c r="I143" s="1">
        <v>45823</v>
      </c>
      <c r="J143" t="s">
        <v>52</v>
      </c>
      <c r="K143" s="2">
        <v>1</v>
      </c>
      <c r="L143" s="2">
        <v>1</v>
      </c>
      <c r="M143" s="3">
        <v>1</v>
      </c>
      <c r="N143" s="2">
        <v>2</v>
      </c>
      <c r="O143" t="s">
        <v>889</v>
      </c>
    </row>
    <row r="144" spans="1:15" x14ac:dyDescent="0.25">
      <c r="A144" s="8">
        <v>102099156000</v>
      </c>
      <c r="B144" s="8" t="str">
        <f t="shared" si="4"/>
        <v>1020991560000</v>
      </c>
      <c r="C144" t="s">
        <v>799</v>
      </c>
      <c r="D144" t="s">
        <v>423</v>
      </c>
      <c r="E144">
        <v>20411454</v>
      </c>
      <c r="F144" t="s">
        <v>1091</v>
      </c>
      <c r="G144" t="s">
        <v>428</v>
      </c>
      <c r="H144" s="1">
        <v>45627</v>
      </c>
      <c r="I144" s="1">
        <v>45823</v>
      </c>
      <c r="J144" t="s">
        <v>52</v>
      </c>
      <c r="K144" s="2">
        <v>1</v>
      </c>
      <c r="L144" s="2">
        <v>1</v>
      </c>
      <c r="M144" s="3">
        <v>1</v>
      </c>
      <c r="N144" s="2">
        <v>2</v>
      </c>
      <c r="O144" t="s">
        <v>889</v>
      </c>
    </row>
    <row r="145" spans="1:15" x14ac:dyDescent="0.25">
      <c r="A145" s="8">
        <v>102104604100</v>
      </c>
      <c r="B145" s="8" t="str">
        <f t="shared" si="4"/>
        <v>1021046041000</v>
      </c>
      <c r="C145" t="s">
        <v>801</v>
      </c>
      <c r="D145" t="s">
        <v>653</v>
      </c>
      <c r="E145">
        <v>20411454</v>
      </c>
      <c r="F145" t="s">
        <v>1091</v>
      </c>
      <c r="G145" t="s">
        <v>428</v>
      </c>
      <c r="H145" s="1">
        <v>45627</v>
      </c>
      <c r="I145" s="1">
        <v>45823</v>
      </c>
      <c r="J145" t="s">
        <v>52</v>
      </c>
      <c r="K145" s="2">
        <v>1</v>
      </c>
      <c r="L145" s="2">
        <v>1</v>
      </c>
      <c r="M145" s="3">
        <v>1</v>
      </c>
      <c r="N145" s="2">
        <v>2</v>
      </c>
      <c r="O145" t="s">
        <v>889</v>
      </c>
    </row>
    <row r="146" spans="1:15" x14ac:dyDescent="0.25">
      <c r="A146" s="8">
        <v>102105540600</v>
      </c>
      <c r="B146" s="8" t="str">
        <f t="shared" si="4"/>
        <v>1021055406000</v>
      </c>
      <c r="C146" t="s">
        <v>803</v>
      </c>
      <c r="D146" t="s">
        <v>418</v>
      </c>
      <c r="E146">
        <v>20411454</v>
      </c>
      <c r="F146" t="s">
        <v>1091</v>
      </c>
      <c r="G146" t="s">
        <v>428</v>
      </c>
      <c r="H146" s="1">
        <v>45627</v>
      </c>
      <c r="I146" s="1">
        <v>45823</v>
      </c>
      <c r="J146" t="s">
        <v>52</v>
      </c>
      <c r="K146" s="2">
        <v>1</v>
      </c>
      <c r="L146" s="2">
        <v>1</v>
      </c>
      <c r="M146" s="3">
        <v>1</v>
      </c>
      <c r="N146" s="2">
        <v>2</v>
      </c>
      <c r="O146" t="s">
        <v>889</v>
      </c>
    </row>
    <row r="147" spans="1:15" x14ac:dyDescent="0.25">
      <c r="A147" s="8">
        <v>102105930700</v>
      </c>
      <c r="B147" s="8" t="str">
        <f t="shared" si="4"/>
        <v>1021059307000</v>
      </c>
      <c r="C147" t="s">
        <v>805</v>
      </c>
      <c r="D147" t="s">
        <v>418</v>
      </c>
      <c r="E147">
        <v>20411454</v>
      </c>
      <c r="F147" t="s">
        <v>1091</v>
      </c>
      <c r="G147" t="s">
        <v>428</v>
      </c>
      <c r="H147" s="1">
        <v>45627</v>
      </c>
      <c r="I147" s="1">
        <v>45823</v>
      </c>
      <c r="J147" t="s">
        <v>52</v>
      </c>
      <c r="K147" s="2">
        <v>1</v>
      </c>
      <c r="L147" s="2">
        <v>1</v>
      </c>
      <c r="M147" s="3">
        <v>1</v>
      </c>
      <c r="N147" s="2">
        <v>2</v>
      </c>
      <c r="O147" t="s">
        <v>889</v>
      </c>
    </row>
    <row r="148" spans="1:15" x14ac:dyDescent="0.25">
      <c r="A148" s="8">
        <v>102109694200</v>
      </c>
      <c r="B148" s="8" t="str">
        <f t="shared" si="4"/>
        <v>1021096942000</v>
      </c>
      <c r="C148" t="s">
        <v>807</v>
      </c>
      <c r="D148" t="s">
        <v>418</v>
      </c>
      <c r="E148">
        <v>20411454</v>
      </c>
      <c r="F148" t="s">
        <v>1091</v>
      </c>
      <c r="G148" t="s">
        <v>428</v>
      </c>
      <c r="H148" s="1">
        <v>45627</v>
      </c>
      <c r="I148" s="1">
        <v>45823</v>
      </c>
      <c r="J148" t="s">
        <v>52</v>
      </c>
      <c r="K148" s="2">
        <v>1</v>
      </c>
      <c r="L148" s="2">
        <v>1</v>
      </c>
      <c r="M148" s="3">
        <v>1</v>
      </c>
      <c r="N148" s="2">
        <v>2</v>
      </c>
      <c r="O148" t="s">
        <v>889</v>
      </c>
    </row>
    <row r="149" spans="1:15" x14ac:dyDescent="0.25">
      <c r="A149" s="8">
        <v>102123717600</v>
      </c>
      <c r="B149" s="8" t="str">
        <f t="shared" si="4"/>
        <v>1021237176000</v>
      </c>
      <c r="C149" t="s">
        <v>809</v>
      </c>
      <c r="D149" t="s">
        <v>418</v>
      </c>
      <c r="E149">
        <v>20411454</v>
      </c>
      <c r="F149" t="s">
        <v>1091</v>
      </c>
      <c r="G149" t="s">
        <v>428</v>
      </c>
      <c r="H149" s="1">
        <v>45627</v>
      </c>
      <c r="I149" s="1">
        <v>45823</v>
      </c>
      <c r="J149" t="s">
        <v>52</v>
      </c>
      <c r="K149" s="2">
        <v>1</v>
      </c>
      <c r="L149" s="2">
        <v>1</v>
      </c>
      <c r="M149" s="3">
        <v>1</v>
      </c>
      <c r="N149" s="2">
        <v>2</v>
      </c>
      <c r="O149" t="s">
        <v>889</v>
      </c>
    </row>
    <row r="150" spans="1:15" x14ac:dyDescent="0.25">
      <c r="A150" s="8">
        <v>102035997700</v>
      </c>
      <c r="B150" s="8" t="str">
        <f t="shared" si="4"/>
        <v>1020359977000</v>
      </c>
      <c r="C150" t="s">
        <v>566</v>
      </c>
      <c r="D150" t="s">
        <v>423</v>
      </c>
      <c r="E150">
        <v>20411454</v>
      </c>
      <c r="F150" t="s">
        <v>1091</v>
      </c>
      <c r="G150" t="s">
        <v>567</v>
      </c>
      <c r="H150" s="1">
        <v>45474</v>
      </c>
      <c r="I150" s="1">
        <v>45823</v>
      </c>
      <c r="J150" t="s">
        <v>52</v>
      </c>
      <c r="K150" s="2">
        <v>1</v>
      </c>
      <c r="L150" s="2">
        <v>1</v>
      </c>
      <c r="M150" s="3">
        <v>1</v>
      </c>
      <c r="N150" s="2">
        <v>2</v>
      </c>
      <c r="O150" t="s">
        <v>889</v>
      </c>
    </row>
    <row r="151" spans="1:15" x14ac:dyDescent="0.25">
      <c r="A151" s="8">
        <v>102074570600</v>
      </c>
      <c r="B151" s="8" t="str">
        <f t="shared" si="4"/>
        <v>1020745706000</v>
      </c>
      <c r="C151" t="s">
        <v>768</v>
      </c>
      <c r="D151" t="s">
        <v>698</v>
      </c>
      <c r="E151">
        <v>20411454</v>
      </c>
      <c r="F151" t="s">
        <v>1091</v>
      </c>
      <c r="G151" t="s">
        <v>567</v>
      </c>
      <c r="H151" s="1">
        <v>45597</v>
      </c>
      <c r="I151" s="1">
        <v>45823</v>
      </c>
      <c r="J151" t="s">
        <v>52</v>
      </c>
      <c r="K151" s="2">
        <v>1</v>
      </c>
      <c r="L151" s="2">
        <v>1</v>
      </c>
      <c r="M151" s="3">
        <v>1</v>
      </c>
      <c r="N151" s="2">
        <v>2</v>
      </c>
      <c r="O151" t="s">
        <v>889</v>
      </c>
    </row>
    <row r="152" spans="1:15" x14ac:dyDescent="0.25">
      <c r="A152" s="8">
        <v>101301145800</v>
      </c>
      <c r="B152" s="8" t="str">
        <f t="shared" si="4"/>
        <v>1013011458000</v>
      </c>
      <c r="C152" t="s">
        <v>439</v>
      </c>
      <c r="D152" t="s">
        <v>423</v>
      </c>
      <c r="E152">
        <v>20411454</v>
      </c>
      <c r="F152" t="s">
        <v>1091</v>
      </c>
      <c r="G152" t="s">
        <v>440</v>
      </c>
      <c r="H152" s="1">
        <v>45566</v>
      </c>
      <c r="I152" s="1">
        <v>45823</v>
      </c>
      <c r="J152" t="s">
        <v>52</v>
      </c>
      <c r="K152" s="2">
        <v>1</v>
      </c>
      <c r="L152" s="2">
        <v>1</v>
      </c>
      <c r="M152" s="3">
        <v>1</v>
      </c>
      <c r="N152" s="2">
        <v>2</v>
      </c>
      <c r="O152" t="s">
        <v>889</v>
      </c>
    </row>
    <row r="153" spans="1:15" x14ac:dyDescent="0.25">
      <c r="A153" s="8">
        <v>101458074100</v>
      </c>
      <c r="B153" s="8" t="str">
        <f t="shared" si="4"/>
        <v>1014580741000</v>
      </c>
      <c r="C153" t="s">
        <v>446</v>
      </c>
      <c r="D153" t="s">
        <v>447</v>
      </c>
      <c r="E153">
        <v>20411454</v>
      </c>
      <c r="F153" t="s">
        <v>1091</v>
      </c>
      <c r="G153" t="s">
        <v>440</v>
      </c>
      <c r="H153" s="1">
        <v>45597</v>
      </c>
      <c r="I153" s="1">
        <v>45823</v>
      </c>
      <c r="J153" t="s">
        <v>52</v>
      </c>
      <c r="K153" s="2">
        <v>1</v>
      </c>
      <c r="L153" s="2">
        <v>1</v>
      </c>
      <c r="M153" s="3">
        <v>1</v>
      </c>
      <c r="N153" s="2">
        <v>2</v>
      </c>
      <c r="O153" t="s">
        <v>889</v>
      </c>
    </row>
    <row r="154" spans="1:15" x14ac:dyDescent="0.25">
      <c r="A154" s="8">
        <v>101545020000</v>
      </c>
      <c r="B154" s="8" t="str">
        <f t="shared" si="4"/>
        <v>1015450200000</v>
      </c>
      <c r="C154" t="s">
        <v>449</v>
      </c>
      <c r="D154" t="s">
        <v>450</v>
      </c>
      <c r="E154">
        <v>20411454</v>
      </c>
      <c r="F154" t="s">
        <v>1091</v>
      </c>
      <c r="G154" t="s">
        <v>440</v>
      </c>
      <c r="H154" s="1">
        <v>45536</v>
      </c>
      <c r="I154" s="1">
        <v>45823</v>
      </c>
      <c r="J154" t="s">
        <v>52</v>
      </c>
      <c r="K154" s="2">
        <v>1</v>
      </c>
      <c r="L154" s="2">
        <v>1</v>
      </c>
      <c r="M154" s="3">
        <v>1</v>
      </c>
      <c r="N154" s="2">
        <v>2</v>
      </c>
      <c r="O154" t="s">
        <v>889</v>
      </c>
    </row>
    <row r="155" spans="1:15" x14ac:dyDescent="0.25">
      <c r="A155" s="8">
        <v>101872588800</v>
      </c>
      <c r="B155" s="8" t="str">
        <f t="shared" si="4"/>
        <v>1018725888000</v>
      </c>
      <c r="C155" t="s">
        <v>452</v>
      </c>
      <c r="D155" t="s">
        <v>423</v>
      </c>
      <c r="E155">
        <v>20411454</v>
      </c>
      <c r="F155" t="s">
        <v>1091</v>
      </c>
      <c r="G155" t="s">
        <v>440</v>
      </c>
      <c r="H155" s="1">
        <v>45474</v>
      </c>
      <c r="I155" s="1">
        <v>45823</v>
      </c>
      <c r="J155" t="s">
        <v>52</v>
      </c>
      <c r="K155" s="2">
        <v>1</v>
      </c>
      <c r="L155" s="2">
        <v>1</v>
      </c>
      <c r="M155" s="3">
        <v>1</v>
      </c>
      <c r="N155" s="2">
        <v>2</v>
      </c>
      <c r="O155" t="s">
        <v>889</v>
      </c>
    </row>
    <row r="156" spans="1:15" x14ac:dyDescent="0.25">
      <c r="A156" s="8">
        <v>101987999900</v>
      </c>
      <c r="B156" s="8" t="str">
        <f t="shared" si="4"/>
        <v>1019879999000</v>
      </c>
      <c r="C156" t="s">
        <v>456</v>
      </c>
      <c r="D156" t="s">
        <v>457</v>
      </c>
      <c r="E156">
        <v>20411454</v>
      </c>
      <c r="F156" t="s">
        <v>1091</v>
      </c>
      <c r="G156" t="s">
        <v>440</v>
      </c>
      <c r="H156" s="1">
        <v>45536</v>
      </c>
      <c r="I156" s="1">
        <v>45823</v>
      </c>
      <c r="J156" t="s">
        <v>52</v>
      </c>
      <c r="K156" s="2">
        <v>1</v>
      </c>
      <c r="L156" s="2">
        <v>1</v>
      </c>
      <c r="M156" s="3">
        <v>1</v>
      </c>
      <c r="N156" s="2">
        <v>2</v>
      </c>
      <c r="O156" t="s">
        <v>889</v>
      </c>
    </row>
    <row r="157" spans="1:15" x14ac:dyDescent="0.25">
      <c r="A157" s="8">
        <v>102022919300</v>
      </c>
      <c r="B157" s="8" t="str">
        <f t="shared" si="4"/>
        <v>1020229193000</v>
      </c>
      <c r="C157" t="s">
        <v>513</v>
      </c>
      <c r="D157" t="s">
        <v>423</v>
      </c>
      <c r="E157">
        <v>20411454</v>
      </c>
      <c r="F157" t="s">
        <v>1091</v>
      </c>
      <c r="G157" t="s">
        <v>440</v>
      </c>
      <c r="H157" s="1">
        <v>45474</v>
      </c>
      <c r="I157" s="1">
        <v>45823</v>
      </c>
      <c r="J157" t="s">
        <v>52</v>
      </c>
      <c r="K157" s="2">
        <v>1</v>
      </c>
      <c r="L157" s="2">
        <v>1</v>
      </c>
      <c r="M157" s="3">
        <v>1</v>
      </c>
      <c r="N157" s="2">
        <v>2</v>
      </c>
      <c r="O157" t="s">
        <v>889</v>
      </c>
    </row>
    <row r="158" spans="1:15" x14ac:dyDescent="0.25">
      <c r="A158" s="8">
        <v>102023366700</v>
      </c>
      <c r="B158" s="8" t="str">
        <f t="shared" si="4"/>
        <v>1020233667000</v>
      </c>
      <c r="C158" t="s">
        <v>515</v>
      </c>
      <c r="D158" t="s">
        <v>423</v>
      </c>
      <c r="E158">
        <v>20411454</v>
      </c>
      <c r="F158" t="s">
        <v>1091</v>
      </c>
      <c r="G158" t="s">
        <v>440</v>
      </c>
      <c r="H158" s="1">
        <v>45505</v>
      </c>
      <c r="I158" s="1">
        <v>45823</v>
      </c>
      <c r="J158" t="s">
        <v>52</v>
      </c>
      <c r="K158" s="2">
        <v>1</v>
      </c>
      <c r="L158" s="2">
        <v>1</v>
      </c>
      <c r="M158" s="3">
        <v>1</v>
      </c>
      <c r="N158" s="2">
        <v>2</v>
      </c>
      <c r="O158" t="s">
        <v>889</v>
      </c>
    </row>
    <row r="159" spans="1:15" x14ac:dyDescent="0.25">
      <c r="A159" s="8">
        <v>102033829400</v>
      </c>
      <c r="B159" s="8" t="str">
        <f t="shared" si="4"/>
        <v>1020338294000</v>
      </c>
      <c r="C159" t="s">
        <v>543</v>
      </c>
      <c r="D159" t="s">
        <v>447</v>
      </c>
      <c r="E159">
        <v>20411454</v>
      </c>
      <c r="F159" t="s">
        <v>1091</v>
      </c>
      <c r="G159" t="s">
        <v>440</v>
      </c>
      <c r="H159" s="1">
        <v>45505</v>
      </c>
      <c r="I159" s="1">
        <v>45823</v>
      </c>
      <c r="J159" t="s">
        <v>52</v>
      </c>
      <c r="K159" s="2">
        <v>1</v>
      </c>
      <c r="L159" s="2">
        <v>1</v>
      </c>
      <c r="M159" s="3">
        <v>1</v>
      </c>
      <c r="N159" s="2">
        <v>2</v>
      </c>
      <c r="O159" t="s">
        <v>889</v>
      </c>
    </row>
    <row r="160" spans="1:15" x14ac:dyDescent="0.25">
      <c r="A160" s="8">
        <v>102042978300</v>
      </c>
      <c r="B160" s="8" t="str">
        <f t="shared" si="4"/>
        <v>1020429783000</v>
      </c>
      <c r="C160" t="s">
        <v>597</v>
      </c>
      <c r="D160" t="s">
        <v>418</v>
      </c>
      <c r="E160">
        <v>20411454</v>
      </c>
      <c r="F160" t="s">
        <v>1091</v>
      </c>
      <c r="G160" t="s">
        <v>440</v>
      </c>
      <c r="H160" s="1">
        <v>45536</v>
      </c>
      <c r="I160" s="1">
        <v>45823</v>
      </c>
      <c r="J160" t="s">
        <v>52</v>
      </c>
      <c r="K160" s="2">
        <v>1</v>
      </c>
      <c r="L160" s="2">
        <v>1</v>
      </c>
      <c r="M160" s="3">
        <v>1</v>
      </c>
      <c r="N160" s="2">
        <v>2</v>
      </c>
      <c r="O160" t="s">
        <v>889</v>
      </c>
    </row>
    <row r="161" spans="1:15" x14ac:dyDescent="0.25">
      <c r="A161" s="8">
        <v>102049657500</v>
      </c>
      <c r="B161" s="8" t="str">
        <f t="shared" si="4"/>
        <v>1020496575000</v>
      </c>
      <c r="C161" t="s">
        <v>631</v>
      </c>
      <c r="D161" t="s">
        <v>418</v>
      </c>
      <c r="E161">
        <v>20411454</v>
      </c>
      <c r="F161" t="s">
        <v>1091</v>
      </c>
      <c r="G161" t="s">
        <v>440</v>
      </c>
      <c r="H161" s="1">
        <v>45536</v>
      </c>
      <c r="I161" s="1">
        <v>45823</v>
      </c>
      <c r="J161" t="s">
        <v>52</v>
      </c>
      <c r="K161" s="2">
        <v>1</v>
      </c>
      <c r="L161" s="2">
        <v>1</v>
      </c>
      <c r="M161" s="3">
        <v>1</v>
      </c>
      <c r="N161" s="2">
        <v>2</v>
      </c>
      <c r="O161" t="s">
        <v>889</v>
      </c>
    </row>
    <row r="162" spans="1:15" x14ac:dyDescent="0.25">
      <c r="A162" s="8">
        <v>102050160600</v>
      </c>
      <c r="B162" s="8" t="str">
        <f t="shared" si="4"/>
        <v>1020501606000</v>
      </c>
      <c r="C162" t="s">
        <v>642</v>
      </c>
      <c r="D162" t="s">
        <v>558</v>
      </c>
      <c r="E162">
        <v>20411454</v>
      </c>
      <c r="F162" t="s">
        <v>1091</v>
      </c>
      <c r="G162" t="s">
        <v>440</v>
      </c>
      <c r="H162" s="1">
        <v>45536</v>
      </c>
      <c r="I162" s="1">
        <v>45823</v>
      </c>
      <c r="J162" t="s">
        <v>52</v>
      </c>
      <c r="K162" s="2">
        <v>1</v>
      </c>
      <c r="L162" s="2">
        <v>1</v>
      </c>
      <c r="M162" s="3">
        <v>1</v>
      </c>
      <c r="N162" s="2">
        <v>2</v>
      </c>
      <c r="O162" t="s">
        <v>889</v>
      </c>
    </row>
    <row r="163" spans="1:15" x14ac:dyDescent="0.25">
      <c r="A163" s="8">
        <v>102053113700</v>
      </c>
      <c r="B163" s="8" t="str">
        <f t="shared" ref="B163:B194" si="5">CONCATENATE(A163,0)</f>
        <v>1020531137000</v>
      </c>
      <c r="C163" t="s">
        <v>663</v>
      </c>
      <c r="D163" t="s">
        <v>418</v>
      </c>
      <c r="E163">
        <v>20411454</v>
      </c>
      <c r="F163" t="s">
        <v>1091</v>
      </c>
      <c r="G163" t="s">
        <v>440</v>
      </c>
      <c r="H163" s="1">
        <v>45536</v>
      </c>
      <c r="I163" s="1">
        <v>45823</v>
      </c>
      <c r="J163" t="s">
        <v>52</v>
      </c>
      <c r="K163" s="2">
        <v>1</v>
      </c>
      <c r="L163" s="2">
        <v>1</v>
      </c>
      <c r="M163" s="3">
        <v>1</v>
      </c>
      <c r="N163" s="2">
        <v>2</v>
      </c>
      <c r="O163" t="s">
        <v>889</v>
      </c>
    </row>
    <row r="164" spans="1:15" x14ac:dyDescent="0.25">
      <c r="A164" s="8">
        <v>102059613800</v>
      </c>
      <c r="B164" s="8" t="str">
        <f t="shared" si="5"/>
        <v>1020596138000</v>
      </c>
      <c r="C164" t="s">
        <v>708</v>
      </c>
      <c r="D164" t="s">
        <v>423</v>
      </c>
      <c r="E164">
        <v>20411454</v>
      </c>
      <c r="F164" t="s">
        <v>1091</v>
      </c>
      <c r="G164" t="s">
        <v>440</v>
      </c>
      <c r="H164" s="1">
        <v>45566</v>
      </c>
      <c r="I164" s="1">
        <v>45823</v>
      </c>
      <c r="J164" t="s">
        <v>52</v>
      </c>
      <c r="K164" s="2">
        <v>1</v>
      </c>
      <c r="L164" s="2">
        <v>1</v>
      </c>
      <c r="M164" s="3">
        <v>1</v>
      </c>
      <c r="N164" s="2">
        <v>2</v>
      </c>
      <c r="O164" t="s">
        <v>889</v>
      </c>
    </row>
    <row r="165" spans="1:15" x14ac:dyDescent="0.25">
      <c r="A165" s="8">
        <v>102059621800</v>
      </c>
      <c r="B165" s="8" t="str">
        <f t="shared" si="5"/>
        <v>1020596218000</v>
      </c>
      <c r="C165" t="s">
        <v>710</v>
      </c>
      <c r="D165" t="s">
        <v>423</v>
      </c>
      <c r="E165">
        <v>20411454</v>
      </c>
      <c r="F165" t="s">
        <v>1091</v>
      </c>
      <c r="G165" t="s">
        <v>440</v>
      </c>
      <c r="H165" s="1">
        <v>45566</v>
      </c>
      <c r="I165" s="1">
        <v>45823</v>
      </c>
      <c r="J165" t="s">
        <v>52</v>
      </c>
      <c r="K165" s="2">
        <v>1</v>
      </c>
      <c r="L165" s="2">
        <v>1</v>
      </c>
      <c r="M165" s="3">
        <v>1</v>
      </c>
      <c r="N165" s="2">
        <v>2</v>
      </c>
      <c r="O165" t="s">
        <v>889</v>
      </c>
    </row>
    <row r="166" spans="1:15" x14ac:dyDescent="0.25">
      <c r="A166" s="8">
        <v>102063802200</v>
      </c>
      <c r="B166" s="8" t="str">
        <f t="shared" si="5"/>
        <v>1020638022000</v>
      </c>
      <c r="C166" t="s">
        <v>728</v>
      </c>
      <c r="D166" t="s">
        <v>475</v>
      </c>
      <c r="E166">
        <v>20411454</v>
      </c>
      <c r="F166" t="s">
        <v>1091</v>
      </c>
      <c r="G166" t="s">
        <v>440</v>
      </c>
      <c r="H166" s="1">
        <v>45566</v>
      </c>
      <c r="I166" s="1">
        <v>45823</v>
      </c>
      <c r="J166" t="s">
        <v>52</v>
      </c>
      <c r="K166" s="2">
        <v>1</v>
      </c>
      <c r="L166" s="2">
        <v>1</v>
      </c>
      <c r="M166" s="3">
        <v>1</v>
      </c>
      <c r="N166" s="2">
        <v>2</v>
      </c>
      <c r="O166" t="s">
        <v>889</v>
      </c>
    </row>
    <row r="167" spans="1:15" x14ac:dyDescent="0.25">
      <c r="A167" s="8">
        <v>102063811100</v>
      </c>
      <c r="B167" s="8" t="str">
        <f t="shared" si="5"/>
        <v>1020638111000</v>
      </c>
      <c r="C167" t="s">
        <v>730</v>
      </c>
      <c r="D167" t="s">
        <v>475</v>
      </c>
      <c r="E167">
        <v>20411454</v>
      </c>
      <c r="F167" t="s">
        <v>1091</v>
      </c>
      <c r="G167" t="s">
        <v>440</v>
      </c>
      <c r="H167" s="1">
        <v>45566</v>
      </c>
      <c r="I167" s="1">
        <v>45823</v>
      </c>
      <c r="J167" t="s">
        <v>52</v>
      </c>
      <c r="K167" s="2">
        <v>1</v>
      </c>
      <c r="L167" s="2">
        <v>1</v>
      </c>
      <c r="M167" s="3">
        <v>1</v>
      </c>
      <c r="N167" s="2">
        <v>2</v>
      </c>
      <c r="O167" t="s">
        <v>889</v>
      </c>
    </row>
    <row r="168" spans="1:15" x14ac:dyDescent="0.25">
      <c r="A168" s="8">
        <v>102064780500</v>
      </c>
      <c r="B168" s="8" t="str">
        <f t="shared" si="5"/>
        <v>1020647805000</v>
      </c>
      <c r="C168" t="s">
        <v>736</v>
      </c>
      <c r="D168" t="s">
        <v>418</v>
      </c>
      <c r="E168">
        <v>20411454</v>
      </c>
      <c r="F168" t="s">
        <v>1091</v>
      </c>
      <c r="G168" t="s">
        <v>440</v>
      </c>
      <c r="H168" s="1">
        <v>45566</v>
      </c>
      <c r="I168" s="1">
        <v>45823</v>
      </c>
      <c r="J168" t="s">
        <v>52</v>
      </c>
      <c r="K168" s="2">
        <v>1</v>
      </c>
      <c r="L168" s="2">
        <v>1</v>
      </c>
      <c r="M168" s="3">
        <v>1</v>
      </c>
      <c r="N168" s="2">
        <v>2</v>
      </c>
      <c r="O168" t="s">
        <v>889</v>
      </c>
    </row>
    <row r="169" spans="1:15" x14ac:dyDescent="0.25">
      <c r="A169" s="8">
        <v>102070306300</v>
      </c>
      <c r="B169" s="8" t="str">
        <f t="shared" si="5"/>
        <v>1020703063000</v>
      </c>
      <c r="C169" t="s">
        <v>762</v>
      </c>
      <c r="D169" t="s">
        <v>653</v>
      </c>
      <c r="E169">
        <v>20411454</v>
      </c>
      <c r="F169" t="s">
        <v>1091</v>
      </c>
      <c r="G169" t="s">
        <v>440</v>
      </c>
      <c r="H169" s="1">
        <v>45597</v>
      </c>
      <c r="I169" s="1">
        <v>45823</v>
      </c>
      <c r="J169" t="s">
        <v>52</v>
      </c>
      <c r="K169" s="2">
        <v>1</v>
      </c>
      <c r="L169" s="2">
        <v>1</v>
      </c>
      <c r="M169" s="3">
        <v>1</v>
      </c>
      <c r="N169" s="2">
        <v>2</v>
      </c>
      <c r="O169" t="s">
        <v>889</v>
      </c>
    </row>
    <row r="170" spans="1:15" x14ac:dyDescent="0.25">
      <c r="A170" s="8">
        <v>102079872100</v>
      </c>
      <c r="B170" s="8" t="str">
        <f t="shared" si="5"/>
        <v>1020798721000</v>
      </c>
      <c r="C170" t="s">
        <v>777</v>
      </c>
      <c r="D170" t="s">
        <v>423</v>
      </c>
      <c r="E170">
        <v>20411454</v>
      </c>
      <c r="F170" t="s">
        <v>1091</v>
      </c>
      <c r="G170" t="s">
        <v>440</v>
      </c>
      <c r="H170" s="1">
        <v>45597</v>
      </c>
      <c r="I170" s="1">
        <v>45823</v>
      </c>
      <c r="J170" t="s">
        <v>52</v>
      </c>
      <c r="K170" s="2">
        <v>1</v>
      </c>
      <c r="L170" s="2">
        <v>1</v>
      </c>
      <c r="M170" s="3">
        <v>1</v>
      </c>
      <c r="N170" s="2">
        <v>2</v>
      </c>
      <c r="O170" t="s">
        <v>889</v>
      </c>
    </row>
    <row r="171" spans="1:15" x14ac:dyDescent="0.25">
      <c r="A171" s="8">
        <v>102059512100</v>
      </c>
      <c r="B171" s="8" t="str">
        <f t="shared" si="5"/>
        <v>1020595121000</v>
      </c>
      <c r="C171" t="s">
        <v>697</v>
      </c>
      <c r="D171" t="s">
        <v>698</v>
      </c>
      <c r="E171">
        <v>20411454</v>
      </c>
      <c r="F171" t="s">
        <v>1091</v>
      </c>
      <c r="G171" t="s">
        <v>701</v>
      </c>
      <c r="H171" s="1">
        <v>45597</v>
      </c>
      <c r="I171" s="1">
        <v>45823</v>
      </c>
      <c r="J171" t="s">
        <v>52</v>
      </c>
      <c r="K171" s="2">
        <v>1</v>
      </c>
      <c r="L171" s="2">
        <v>1</v>
      </c>
      <c r="M171" s="3">
        <v>1</v>
      </c>
      <c r="N171" s="2">
        <v>2</v>
      </c>
      <c r="O171" t="s">
        <v>889</v>
      </c>
    </row>
    <row r="172" spans="1:15" x14ac:dyDescent="0.25">
      <c r="A172" s="8" t="s">
        <v>891</v>
      </c>
      <c r="B172" s="8" t="str">
        <f t="shared" si="5"/>
        <v>829W215440</v>
      </c>
      <c r="C172" t="s">
        <v>831</v>
      </c>
      <c r="E172">
        <v>20411454</v>
      </c>
      <c r="F172" t="s">
        <v>1091</v>
      </c>
      <c r="G172" t="s">
        <v>832</v>
      </c>
      <c r="H172" s="1">
        <v>45597</v>
      </c>
      <c r="I172" s="1">
        <v>47939</v>
      </c>
      <c r="J172" t="s">
        <v>52</v>
      </c>
      <c r="K172" s="2">
        <v>1</v>
      </c>
      <c r="L172" s="2">
        <v>1</v>
      </c>
      <c r="M172" s="3">
        <v>1</v>
      </c>
      <c r="N172" s="2">
        <v>7</v>
      </c>
      <c r="O172" t="s">
        <v>890</v>
      </c>
    </row>
    <row r="173" spans="1:15" x14ac:dyDescent="0.25">
      <c r="A173" s="8" t="s">
        <v>892</v>
      </c>
      <c r="B173" s="8" t="str">
        <f t="shared" si="5"/>
        <v>948W212160</v>
      </c>
      <c r="C173" t="s">
        <v>844</v>
      </c>
      <c r="E173">
        <v>20411454</v>
      </c>
      <c r="F173" t="s">
        <v>1091</v>
      </c>
      <c r="G173" t="s">
        <v>832</v>
      </c>
      <c r="H173" s="1">
        <v>45536</v>
      </c>
      <c r="I173" s="1">
        <v>47818</v>
      </c>
      <c r="J173" t="s">
        <v>52</v>
      </c>
      <c r="K173" s="2">
        <v>1</v>
      </c>
      <c r="L173" s="2">
        <v>1</v>
      </c>
      <c r="M173" s="3">
        <v>1</v>
      </c>
      <c r="N173" s="2">
        <v>7</v>
      </c>
      <c r="O173" t="s">
        <v>890</v>
      </c>
    </row>
    <row r="174" spans="1:15" x14ac:dyDescent="0.25">
      <c r="A174" s="8" t="s">
        <v>893</v>
      </c>
      <c r="B174" s="8" t="s">
        <v>1080</v>
      </c>
      <c r="C174" t="s">
        <v>413</v>
      </c>
      <c r="D174" t="s">
        <v>46</v>
      </c>
      <c r="E174">
        <v>20411454</v>
      </c>
      <c r="F174" t="s">
        <v>1091</v>
      </c>
      <c r="G174" t="s">
        <v>414</v>
      </c>
      <c r="H174" s="1">
        <v>45689</v>
      </c>
      <c r="J174" t="s">
        <v>52</v>
      </c>
      <c r="K174" s="2">
        <v>0</v>
      </c>
      <c r="L174" s="2">
        <v>0</v>
      </c>
      <c r="M174" s="3">
        <v>1</v>
      </c>
      <c r="N174" s="2">
        <v>-155.54</v>
      </c>
      <c r="O174" t="s">
        <v>890</v>
      </c>
    </row>
    <row r="175" spans="1:15" x14ac:dyDescent="0.25">
      <c r="A175" s="8" t="s">
        <v>894</v>
      </c>
      <c r="B175" s="8" t="str">
        <f t="shared" ref="B175:B197" si="6">CONCATENATE(A175,0)</f>
        <v>140W109310</v>
      </c>
      <c r="C175" t="s">
        <v>824</v>
      </c>
      <c r="D175" t="s">
        <v>46</v>
      </c>
      <c r="E175">
        <v>20411454</v>
      </c>
      <c r="F175" t="s">
        <v>1091</v>
      </c>
      <c r="G175" t="s">
        <v>414</v>
      </c>
      <c r="H175" s="1">
        <v>45717</v>
      </c>
      <c r="I175" s="1">
        <v>48000</v>
      </c>
      <c r="J175" t="s">
        <v>52</v>
      </c>
      <c r="K175" s="2">
        <v>1</v>
      </c>
      <c r="L175" s="2">
        <v>1</v>
      </c>
      <c r="M175" s="3">
        <v>1</v>
      </c>
      <c r="N175" s="2">
        <v>7</v>
      </c>
      <c r="O175" t="s">
        <v>890</v>
      </c>
    </row>
    <row r="176" spans="1:15" x14ac:dyDescent="0.25">
      <c r="A176" s="8" t="s">
        <v>895</v>
      </c>
      <c r="B176" s="8" t="str">
        <f t="shared" si="6"/>
        <v>283W175780</v>
      </c>
      <c r="C176" t="s">
        <v>827</v>
      </c>
      <c r="D176" t="s">
        <v>46</v>
      </c>
      <c r="E176">
        <v>20411454</v>
      </c>
      <c r="F176" t="s">
        <v>1091</v>
      </c>
      <c r="G176" t="s">
        <v>414</v>
      </c>
      <c r="H176" s="1">
        <v>45658</v>
      </c>
      <c r="I176" s="1">
        <v>47939</v>
      </c>
      <c r="J176" t="s">
        <v>52</v>
      </c>
      <c r="K176" s="2">
        <v>1</v>
      </c>
      <c r="L176" s="2">
        <v>1</v>
      </c>
      <c r="M176" s="3">
        <v>1</v>
      </c>
      <c r="N176" s="2">
        <v>7</v>
      </c>
      <c r="O176" t="s">
        <v>890</v>
      </c>
    </row>
    <row r="177" spans="1:15" x14ac:dyDescent="0.25">
      <c r="A177" s="8" t="s">
        <v>896</v>
      </c>
      <c r="B177" s="8" t="str">
        <f t="shared" si="6"/>
        <v>357W152370</v>
      </c>
      <c r="C177" t="s">
        <v>829</v>
      </c>
      <c r="D177" t="s">
        <v>46</v>
      </c>
      <c r="E177">
        <v>20411454</v>
      </c>
      <c r="F177" t="s">
        <v>1091</v>
      </c>
      <c r="G177" t="s">
        <v>414</v>
      </c>
      <c r="H177" s="1">
        <v>45658</v>
      </c>
      <c r="I177" s="1">
        <v>47939</v>
      </c>
      <c r="J177" t="s">
        <v>52</v>
      </c>
      <c r="K177" s="2">
        <v>1</v>
      </c>
      <c r="L177" s="2">
        <v>1</v>
      </c>
      <c r="M177" s="3">
        <v>1</v>
      </c>
      <c r="N177" s="2">
        <v>7</v>
      </c>
      <c r="O177" t="s">
        <v>890</v>
      </c>
    </row>
    <row r="178" spans="1:15" x14ac:dyDescent="0.25">
      <c r="A178" s="8" t="s">
        <v>897</v>
      </c>
      <c r="B178" s="8" t="str">
        <f t="shared" si="6"/>
        <v>00021892187K0</v>
      </c>
      <c r="C178" t="s">
        <v>185</v>
      </c>
      <c r="D178" t="s">
        <v>46</v>
      </c>
      <c r="E178">
        <v>20411454</v>
      </c>
      <c r="F178" t="s">
        <v>1091</v>
      </c>
      <c r="G178" t="s">
        <v>188</v>
      </c>
      <c r="H178" s="1">
        <v>45474</v>
      </c>
      <c r="I178" s="1">
        <v>45823</v>
      </c>
      <c r="J178" t="s">
        <v>52</v>
      </c>
      <c r="K178" s="2">
        <v>1</v>
      </c>
      <c r="L178" s="2">
        <v>1</v>
      </c>
      <c r="M178" s="3">
        <v>1</v>
      </c>
      <c r="N178" s="2">
        <v>7</v>
      </c>
      <c r="O178" t="s">
        <v>1077</v>
      </c>
    </row>
    <row r="179" spans="1:15" x14ac:dyDescent="0.25">
      <c r="A179" s="8" t="s">
        <v>898</v>
      </c>
      <c r="B179" s="8" t="str">
        <f t="shared" si="6"/>
        <v>00021908647K0</v>
      </c>
      <c r="C179" t="s">
        <v>197</v>
      </c>
      <c r="D179" t="s">
        <v>46</v>
      </c>
      <c r="E179">
        <v>20411454</v>
      </c>
      <c r="F179" t="s">
        <v>1091</v>
      </c>
      <c r="G179" t="s">
        <v>188</v>
      </c>
      <c r="H179" s="1">
        <v>45505</v>
      </c>
      <c r="I179" s="1">
        <v>45823</v>
      </c>
      <c r="J179" t="s">
        <v>52</v>
      </c>
      <c r="K179" s="2">
        <v>1</v>
      </c>
      <c r="L179" s="2">
        <v>1</v>
      </c>
      <c r="M179" s="3">
        <v>1</v>
      </c>
      <c r="N179" s="2">
        <v>7</v>
      </c>
      <c r="O179" t="s">
        <v>1077</v>
      </c>
    </row>
    <row r="180" spans="1:15" x14ac:dyDescent="0.25">
      <c r="A180" s="8" t="s">
        <v>899</v>
      </c>
      <c r="B180" s="8" t="str">
        <f t="shared" si="6"/>
        <v>00000076874F0</v>
      </c>
      <c r="C180" t="s">
        <v>45</v>
      </c>
      <c r="D180" t="s">
        <v>46</v>
      </c>
      <c r="E180">
        <v>20411454</v>
      </c>
      <c r="F180" t="s">
        <v>1091</v>
      </c>
      <c r="G180" t="s">
        <v>50</v>
      </c>
      <c r="H180" s="1">
        <v>45597</v>
      </c>
      <c r="I180" s="1">
        <v>45823</v>
      </c>
      <c r="J180" t="s">
        <v>52</v>
      </c>
      <c r="K180" s="2">
        <v>1</v>
      </c>
      <c r="L180" s="2">
        <v>1</v>
      </c>
      <c r="M180" s="3">
        <v>1</v>
      </c>
      <c r="N180" s="2">
        <v>9</v>
      </c>
      <c r="O180" t="s">
        <v>1077</v>
      </c>
    </row>
    <row r="181" spans="1:15" x14ac:dyDescent="0.25">
      <c r="A181" s="8" t="s">
        <v>900</v>
      </c>
      <c r="B181" s="8" t="str">
        <f t="shared" si="6"/>
        <v>00010066661K0</v>
      </c>
      <c r="C181" t="s">
        <v>61</v>
      </c>
      <c r="D181" t="s">
        <v>46</v>
      </c>
      <c r="E181">
        <v>20411454</v>
      </c>
      <c r="F181" t="s">
        <v>1091</v>
      </c>
      <c r="G181" t="s">
        <v>50</v>
      </c>
      <c r="H181" s="1">
        <v>45505</v>
      </c>
      <c r="I181" s="1">
        <v>45823</v>
      </c>
      <c r="J181" t="s">
        <v>52</v>
      </c>
      <c r="K181" s="2">
        <v>1</v>
      </c>
      <c r="L181" s="2">
        <v>1</v>
      </c>
      <c r="M181" s="3">
        <v>1</v>
      </c>
      <c r="N181" s="2">
        <v>9</v>
      </c>
      <c r="O181" t="s">
        <v>1077</v>
      </c>
    </row>
    <row r="182" spans="1:15" x14ac:dyDescent="0.25">
      <c r="A182" s="8" t="s">
        <v>901</v>
      </c>
      <c r="B182" s="8" t="str">
        <f t="shared" si="6"/>
        <v>00011182221K0</v>
      </c>
      <c r="C182" t="s">
        <v>65</v>
      </c>
      <c r="D182" t="s">
        <v>46</v>
      </c>
      <c r="E182">
        <v>20411454</v>
      </c>
      <c r="F182" t="s">
        <v>1091</v>
      </c>
      <c r="G182" t="s">
        <v>50</v>
      </c>
      <c r="H182" s="1">
        <v>45566</v>
      </c>
      <c r="I182" s="1">
        <v>45823</v>
      </c>
      <c r="J182" t="s">
        <v>52</v>
      </c>
      <c r="K182" s="2">
        <v>1</v>
      </c>
      <c r="L182" s="2">
        <v>1</v>
      </c>
      <c r="M182" s="3">
        <v>1</v>
      </c>
      <c r="N182" s="2">
        <v>9</v>
      </c>
      <c r="O182" t="s">
        <v>1077</v>
      </c>
    </row>
    <row r="183" spans="1:15" x14ac:dyDescent="0.25">
      <c r="A183" s="8" t="s">
        <v>902</v>
      </c>
      <c r="B183" s="8" t="str">
        <f t="shared" si="6"/>
        <v>00011519472K0</v>
      </c>
      <c r="C183" t="s">
        <v>69</v>
      </c>
      <c r="D183" t="s">
        <v>46</v>
      </c>
      <c r="E183">
        <v>20411454</v>
      </c>
      <c r="F183" t="s">
        <v>1091</v>
      </c>
      <c r="G183" t="s">
        <v>50</v>
      </c>
      <c r="H183" s="1">
        <v>45597</v>
      </c>
      <c r="I183" s="1">
        <v>45823</v>
      </c>
      <c r="J183" t="s">
        <v>52</v>
      </c>
      <c r="K183" s="2">
        <v>1</v>
      </c>
      <c r="L183" s="2">
        <v>1</v>
      </c>
      <c r="M183" s="3">
        <v>1</v>
      </c>
      <c r="N183" s="2">
        <v>9</v>
      </c>
      <c r="O183" t="s">
        <v>1077</v>
      </c>
    </row>
    <row r="184" spans="1:15" x14ac:dyDescent="0.25">
      <c r="A184" s="8" t="s">
        <v>903</v>
      </c>
      <c r="B184" s="8" t="str">
        <f t="shared" si="6"/>
        <v>00013131759K0</v>
      </c>
      <c r="C184" t="s">
        <v>73</v>
      </c>
      <c r="D184" t="s">
        <v>46</v>
      </c>
      <c r="E184">
        <v>20411454</v>
      </c>
      <c r="F184" t="s">
        <v>1091</v>
      </c>
      <c r="G184" t="s">
        <v>50</v>
      </c>
      <c r="H184" s="1">
        <v>45505</v>
      </c>
      <c r="I184" s="1">
        <v>45823</v>
      </c>
      <c r="J184" t="s">
        <v>52</v>
      </c>
      <c r="K184" s="2">
        <v>1</v>
      </c>
      <c r="L184" s="2">
        <v>1</v>
      </c>
      <c r="M184" s="3">
        <v>1</v>
      </c>
      <c r="N184" s="2">
        <v>9</v>
      </c>
      <c r="O184" t="s">
        <v>1077</v>
      </c>
    </row>
    <row r="185" spans="1:15" x14ac:dyDescent="0.25">
      <c r="A185" s="8" t="s">
        <v>904</v>
      </c>
      <c r="B185" s="8" t="str">
        <f t="shared" si="6"/>
        <v>00017632868K0</v>
      </c>
      <c r="C185" t="s">
        <v>79</v>
      </c>
      <c r="D185" t="s">
        <v>46</v>
      </c>
      <c r="E185">
        <v>20411454</v>
      </c>
      <c r="F185" t="s">
        <v>1091</v>
      </c>
      <c r="G185" t="s">
        <v>50</v>
      </c>
      <c r="H185" s="1">
        <v>45627</v>
      </c>
      <c r="I185" s="1">
        <v>45823</v>
      </c>
      <c r="J185" t="s">
        <v>52</v>
      </c>
      <c r="K185" s="2">
        <v>1</v>
      </c>
      <c r="L185" s="2">
        <v>1</v>
      </c>
      <c r="M185" s="3">
        <v>1</v>
      </c>
      <c r="N185" s="2">
        <v>9</v>
      </c>
      <c r="O185" t="s">
        <v>1077</v>
      </c>
    </row>
    <row r="186" spans="1:15" x14ac:dyDescent="0.25">
      <c r="A186" s="8" t="s">
        <v>905</v>
      </c>
      <c r="B186" s="8" t="str">
        <f t="shared" si="6"/>
        <v>00018671925K0</v>
      </c>
      <c r="C186" t="s">
        <v>81</v>
      </c>
      <c r="D186" t="s">
        <v>46</v>
      </c>
      <c r="E186">
        <v>20411454</v>
      </c>
      <c r="F186" t="s">
        <v>1091</v>
      </c>
      <c r="G186" t="s">
        <v>50</v>
      </c>
      <c r="H186" s="1">
        <v>45597</v>
      </c>
      <c r="I186" s="1">
        <v>45823</v>
      </c>
      <c r="J186" t="s">
        <v>52</v>
      </c>
      <c r="K186" s="2">
        <v>1</v>
      </c>
      <c r="L186" s="2">
        <v>1</v>
      </c>
      <c r="M186" s="3">
        <v>1</v>
      </c>
      <c r="N186" s="2">
        <v>9</v>
      </c>
      <c r="O186" t="s">
        <v>1077</v>
      </c>
    </row>
    <row r="187" spans="1:15" x14ac:dyDescent="0.25">
      <c r="A187" s="8" t="s">
        <v>906</v>
      </c>
      <c r="B187" s="8" t="str">
        <f t="shared" si="6"/>
        <v>00020195670K0</v>
      </c>
      <c r="C187" t="s">
        <v>92</v>
      </c>
      <c r="D187" t="s">
        <v>46</v>
      </c>
      <c r="E187">
        <v>20411454</v>
      </c>
      <c r="F187" t="s">
        <v>1091</v>
      </c>
      <c r="G187" t="s">
        <v>50</v>
      </c>
      <c r="H187" s="1">
        <v>45566</v>
      </c>
      <c r="I187" s="1">
        <v>45823</v>
      </c>
      <c r="J187" t="s">
        <v>52</v>
      </c>
      <c r="K187" s="2">
        <v>1</v>
      </c>
      <c r="L187" s="2">
        <v>1</v>
      </c>
      <c r="M187" s="3">
        <v>1</v>
      </c>
      <c r="N187" s="2">
        <v>9</v>
      </c>
      <c r="O187" t="s">
        <v>1077</v>
      </c>
    </row>
    <row r="188" spans="1:15" x14ac:dyDescent="0.25">
      <c r="A188" s="8" t="s">
        <v>907</v>
      </c>
      <c r="B188" s="8" t="str">
        <f t="shared" si="6"/>
        <v>00021641743K0</v>
      </c>
      <c r="C188" t="s">
        <v>94</v>
      </c>
      <c r="D188" t="s">
        <v>46</v>
      </c>
      <c r="E188">
        <v>20411454</v>
      </c>
      <c r="F188" t="s">
        <v>1091</v>
      </c>
      <c r="G188" t="s">
        <v>50</v>
      </c>
      <c r="H188" s="1">
        <v>45444</v>
      </c>
      <c r="I188" s="1">
        <v>45823</v>
      </c>
      <c r="J188" t="s">
        <v>52</v>
      </c>
      <c r="K188" s="2">
        <v>1</v>
      </c>
      <c r="L188" s="2">
        <v>1</v>
      </c>
      <c r="M188" s="3">
        <v>1</v>
      </c>
      <c r="N188" s="2">
        <v>9</v>
      </c>
      <c r="O188" t="s">
        <v>1077</v>
      </c>
    </row>
    <row r="189" spans="1:15" x14ac:dyDescent="0.25">
      <c r="A189" s="8" t="s">
        <v>908</v>
      </c>
      <c r="B189" s="8" t="str">
        <f t="shared" si="6"/>
        <v>00021686716K0</v>
      </c>
      <c r="C189" t="s">
        <v>98</v>
      </c>
      <c r="D189" t="s">
        <v>46</v>
      </c>
      <c r="E189">
        <v>20411454</v>
      </c>
      <c r="F189" t="s">
        <v>1091</v>
      </c>
      <c r="G189" t="s">
        <v>50</v>
      </c>
      <c r="H189" s="1">
        <v>45444</v>
      </c>
      <c r="I189" s="1">
        <v>45823</v>
      </c>
      <c r="J189" t="s">
        <v>52</v>
      </c>
      <c r="K189" s="2">
        <v>1</v>
      </c>
      <c r="L189" s="2">
        <v>1</v>
      </c>
      <c r="M189" s="3">
        <v>1</v>
      </c>
      <c r="N189" s="2">
        <v>9</v>
      </c>
      <c r="O189" t="s">
        <v>1077</v>
      </c>
    </row>
    <row r="190" spans="1:15" x14ac:dyDescent="0.25">
      <c r="A190" s="8" t="s">
        <v>909</v>
      </c>
      <c r="B190" s="8" t="str">
        <f t="shared" si="6"/>
        <v>00021695147K0</v>
      </c>
      <c r="C190" t="s">
        <v>100</v>
      </c>
      <c r="D190" t="s">
        <v>46</v>
      </c>
      <c r="E190">
        <v>20411454</v>
      </c>
      <c r="F190" t="s">
        <v>1091</v>
      </c>
      <c r="G190" t="s">
        <v>50</v>
      </c>
      <c r="H190" s="1">
        <v>45474</v>
      </c>
      <c r="I190" s="1">
        <v>45823</v>
      </c>
      <c r="J190" t="s">
        <v>52</v>
      </c>
      <c r="K190" s="2">
        <v>1</v>
      </c>
      <c r="L190" s="2">
        <v>1</v>
      </c>
      <c r="M190" s="3">
        <v>1</v>
      </c>
      <c r="N190" s="2">
        <v>9</v>
      </c>
      <c r="O190" t="s">
        <v>1077</v>
      </c>
    </row>
    <row r="191" spans="1:15" x14ac:dyDescent="0.25">
      <c r="A191" s="8" t="s">
        <v>910</v>
      </c>
      <c r="B191" s="8" t="str">
        <f t="shared" si="6"/>
        <v>00021754102K0</v>
      </c>
      <c r="C191" t="s">
        <v>104</v>
      </c>
      <c r="D191" t="s">
        <v>46</v>
      </c>
      <c r="E191">
        <v>20411454</v>
      </c>
      <c r="F191" t="s">
        <v>1091</v>
      </c>
      <c r="G191" t="s">
        <v>50</v>
      </c>
      <c r="H191" s="1">
        <v>45474</v>
      </c>
      <c r="I191" s="1">
        <v>45823</v>
      </c>
      <c r="J191" t="s">
        <v>52</v>
      </c>
      <c r="K191" s="2">
        <v>1</v>
      </c>
      <c r="L191" s="2">
        <v>1</v>
      </c>
      <c r="M191" s="3">
        <v>1</v>
      </c>
      <c r="N191" s="2">
        <v>9</v>
      </c>
      <c r="O191" t="s">
        <v>1077</v>
      </c>
    </row>
    <row r="192" spans="1:15" x14ac:dyDescent="0.25">
      <c r="A192" s="8" t="s">
        <v>911</v>
      </c>
      <c r="B192" s="8" t="str">
        <f t="shared" si="6"/>
        <v>00021776882K0</v>
      </c>
      <c r="C192" t="s">
        <v>110</v>
      </c>
      <c r="D192" t="s">
        <v>46</v>
      </c>
      <c r="E192">
        <v>20411454</v>
      </c>
      <c r="F192" t="s">
        <v>1091</v>
      </c>
      <c r="G192" t="s">
        <v>50</v>
      </c>
      <c r="H192" s="1">
        <v>45505</v>
      </c>
      <c r="I192" s="1">
        <v>45823</v>
      </c>
      <c r="J192" t="s">
        <v>52</v>
      </c>
      <c r="K192" s="2">
        <v>1</v>
      </c>
      <c r="L192" s="2">
        <v>1</v>
      </c>
      <c r="M192" s="3">
        <v>1</v>
      </c>
      <c r="N192" s="2">
        <v>9</v>
      </c>
      <c r="O192" t="s">
        <v>1077</v>
      </c>
    </row>
    <row r="193" spans="1:15" x14ac:dyDescent="0.25">
      <c r="A193" s="8" t="s">
        <v>912</v>
      </c>
      <c r="B193" s="8" t="str">
        <f t="shared" si="6"/>
        <v>00021778915K0</v>
      </c>
      <c r="C193" t="s">
        <v>112</v>
      </c>
      <c r="D193" t="s">
        <v>46</v>
      </c>
      <c r="E193">
        <v>20411454</v>
      </c>
      <c r="F193" t="s">
        <v>1091</v>
      </c>
      <c r="G193" t="s">
        <v>50</v>
      </c>
      <c r="H193" s="1">
        <v>45444</v>
      </c>
      <c r="I193" s="1">
        <v>45823</v>
      </c>
      <c r="J193" t="s">
        <v>52</v>
      </c>
      <c r="K193" s="2">
        <v>1</v>
      </c>
      <c r="L193" s="2">
        <v>1</v>
      </c>
      <c r="M193" s="3">
        <v>1</v>
      </c>
      <c r="N193" s="2">
        <v>9</v>
      </c>
      <c r="O193" t="s">
        <v>1077</v>
      </c>
    </row>
    <row r="194" spans="1:15" x14ac:dyDescent="0.25">
      <c r="A194" s="8" t="s">
        <v>913</v>
      </c>
      <c r="B194" s="8" t="str">
        <f t="shared" si="6"/>
        <v>00021783471K0</v>
      </c>
      <c r="C194" t="s">
        <v>114</v>
      </c>
      <c r="D194" t="s">
        <v>46</v>
      </c>
      <c r="E194">
        <v>20411454</v>
      </c>
      <c r="F194" t="s">
        <v>1091</v>
      </c>
      <c r="G194" t="s">
        <v>50</v>
      </c>
      <c r="H194" s="1">
        <v>45474</v>
      </c>
      <c r="I194" s="1">
        <v>45823</v>
      </c>
      <c r="J194" t="s">
        <v>52</v>
      </c>
      <c r="K194" s="2">
        <v>1</v>
      </c>
      <c r="L194" s="2">
        <v>1</v>
      </c>
      <c r="M194" s="3">
        <v>1</v>
      </c>
      <c r="N194" s="2">
        <v>9</v>
      </c>
      <c r="O194" t="s">
        <v>1077</v>
      </c>
    </row>
    <row r="195" spans="1:15" x14ac:dyDescent="0.25">
      <c r="A195" s="8" t="s">
        <v>914</v>
      </c>
      <c r="B195" s="8" t="str">
        <f t="shared" si="6"/>
        <v>00021784141K0</v>
      </c>
      <c r="C195" t="s">
        <v>118</v>
      </c>
      <c r="D195" t="s">
        <v>46</v>
      </c>
      <c r="E195">
        <v>20411454</v>
      </c>
      <c r="F195" t="s">
        <v>1091</v>
      </c>
      <c r="G195" t="s">
        <v>50</v>
      </c>
      <c r="H195" s="1">
        <v>45444</v>
      </c>
      <c r="I195" s="1">
        <v>45823</v>
      </c>
      <c r="J195" t="s">
        <v>52</v>
      </c>
      <c r="K195" s="2">
        <v>1</v>
      </c>
      <c r="L195" s="2">
        <v>1</v>
      </c>
      <c r="M195" s="3">
        <v>1</v>
      </c>
      <c r="N195" s="2">
        <v>9</v>
      </c>
      <c r="O195" t="s">
        <v>1077</v>
      </c>
    </row>
    <row r="196" spans="1:15" x14ac:dyDescent="0.25">
      <c r="A196" s="8" t="s">
        <v>915</v>
      </c>
      <c r="B196" s="8" t="str">
        <f t="shared" si="6"/>
        <v>00021792778K0</v>
      </c>
      <c r="C196" t="s">
        <v>120</v>
      </c>
      <c r="D196" t="s">
        <v>46</v>
      </c>
      <c r="E196">
        <v>20411454</v>
      </c>
      <c r="F196" t="s">
        <v>1091</v>
      </c>
      <c r="G196" t="s">
        <v>50</v>
      </c>
      <c r="H196" s="1">
        <v>45505</v>
      </c>
      <c r="I196" s="1">
        <v>45823</v>
      </c>
      <c r="J196" t="s">
        <v>52</v>
      </c>
      <c r="K196" s="2">
        <v>1</v>
      </c>
      <c r="L196" s="2">
        <v>1</v>
      </c>
      <c r="M196" s="3">
        <v>1</v>
      </c>
      <c r="N196" s="2">
        <v>9</v>
      </c>
      <c r="O196" t="s">
        <v>1077</v>
      </c>
    </row>
    <row r="197" spans="1:15" x14ac:dyDescent="0.25">
      <c r="A197" s="8" t="s">
        <v>916</v>
      </c>
      <c r="B197" s="8" t="str">
        <f t="shared" si="6"/>
        <v>00021801538K0</v>
      </c>
      <c r="C197" t="s">
        <v>122</v>
      </c>
      <c r="D197" t="s">
        <v>46</v>
      </c>
      <c r="E197">
        <v>20411454</v>
      </c>
      <c r="F197" t="s">
        <v>1091</v>
      </c>
      <c r="G197" t="s">
        <v>50</v>
      </c>
      <c r="H197" s="1">
        <v>45444</v>
      </c>
      <c r="I197" s="1">
        <v>45823</v>
      </c>
      <c r="J197" t="s">
        <v>52</v>
      </c>
      <c r="K197" s="2">
        <v>1</v>
      </c>
      <c r="L197" s="2">
        <v>1</v>
      </c>
      <c r="M197" s="3">
        <v>1</v>
      </c>
      <c r="N197" s="2">
        <v>9</v>
      </c>
      <c r="O197" t="s">
        <v>1077</v>
      </c>
    </row>
    <row r="198" spans="1:15" x14ac:dyDescent="0.25">
      <c r="A198" s="8" t="s">
        <v>917</v>
      </c>
      <c r="B198" s="8" t="s">
        <v>917</v>
      </c>
      <c r="C198" t="s">
        <v>124</v>
      </c>
      <c r="D198" t="s">
        <v>46</v>
      </c>
      <c r="E198">
        <v>20411454</v>
      </c>
      <c r="F198" t="s">
        <v>1091</v>
      </c>
      <c r="G198" t="s">
        <v>50</v>
      </c>
      <c r="H198" s="1">
        <v>45444</v>
      </c>
      <c r="I198" s="1">
        <v>45823</v>
      </c>
      <c r="J198" t="s">
        <v>52</v>
      </c>
      <c r="K198" s="2">
        <v>1</v>
      </c>
      <c r="L198" s="2">
        <v>1</v>
      </c>
      <c r="M198" s="3">
        <v>1</v>
      </c>
      <c r="N198" s="2">
        <v>9</v>
      </c>
      <c r="O198" t="s">
        <v>1077</v>
      </c>
    </row>
    <row r="199" spans="1:15" x14ac:dyDescent="0.25">
      <c r="A199" s="8" t="s">
        <v>918</v>
      </c>
      <c r="B199" s="8" t="str">
        <f>CONCATENATE(A199,0)</f>
        <v>00021818605K0</v>
      </c>
      <c r="C199" t="s">
        <v>130</v>
      </c>
      <c r="D199" t="s">
        <v>46</v>
      </c>
      <c r="E199">
        <v>20411454</v>
      </c>
      <c r="F199" t="s">
        <v>1091</v>
      </c>
      <c r="G199" t="s">
        <v>50</v>
      </c>
      <c r="H199" s="1">
        <v>45444</v>
      </c>
      <c r="I199" s="1">
        <v>45823</v>
      </c>
      <c r="J199" t="s">
        <v>52</v>
      </c>
      <c r="K199" s="2">
        <v>1</v>
      </c>
      <c r="L199" s="2">
        <v>1</v>
      </c>
      <c r="M199" s="3">
        <v>1</v>
      </c>
      <c r="N199" s="2">
        <v>9</v>
      </c>
      <c r="O199" t="s">
        <v>1077</v>
      </c>
    </row>
    <row r="200" spans="1:15" x14ac:dyDescent="0.25">
      <c r="A200" s="8" t="s">
        <v>919</v>
      </c>
      <c r="B200" s="8" t="s">
        <v>919</v>
      </c>
      <c r="C200" t="s">
        <v>134</v>
      </c>
      <c r="D200" t="s">
        <v>46</v>
      </c>
      <c r="E200">
        <v>20411454</v>
      </c>
      <c r="F200" t="s">
        <v>1091</v>
      </c>
      <c r="G200" t="s">
        <v>50</v>
      </c>
      <c r="H200" s="1">
        <v>45444</v>
      </c>
      <c r="I200" s="1">
        <v>45823</v>
      </c>
      <c r="J200" t="s">
        <v>52</v>
      </c>
      <c r="K200" s="2">
        <v>1</v>
      </c>
      <c r="L200" s="2">
        <v>1</v>
      </c>
      <c r="M200" s="3">
        <v>1</v>
      </c>
      <c r="N200" s="2">
        <v>9</v>
      </c>
      <c r="O200" t="s">
        <v>1077</v>
      </c>
    </row>
    <row r="201" spans="1:15" x14ac:dyDescent="0.25">
      <c r="A201" s="8" t="s">
        <v>920</v>
      </c>
      <c r="B201" s="8" t="s">
        <v>920</v>
      </c>
      <c r="C201" t="s">
        <v>139</v>
      </c>
      <c r="D201" t="s">
        <v>46</v>
      </c>
      <c r="E201">
        <v>20411454</v>
      </c>
      <c r="F201" t="s">
        <v>1091</v>
      </c>
      <c r="G201" t="s">
        <v>50</v>
      </c>
      <c r="H201" s="1">
        <v>45474</v>
      </c>
      <c r="I201" s="1">
        <v>45823</v>
      </c>
      <c r="J201" t="s">
        <v>52</v>
      </c>
      <c r="K201" s="2">
        <v>1</v>
      </c>
      <c r="L201" s="2">
        <v>1</v>
      </c>
      <c r="M201" s="3">
        <v>1</v>
      </c>
      <c r="N201" s="2">
        <v>9</v>
      </c>
      <c r="O201" t="s">
        <v>1077</v>
      </c>
    </row>
    <row r="202" spans="1:15" x14ac:dyDescent="0.25">
      <c r="A202" s="8" t="s">
        <v>921</v>
      </c>
      <c r="B202" s="8" t="s">
        <v>921</v>
      </c>
      <c r="C202" t="s">
        <v>142</v>
      </c>
      <c r="D202" t="s">
        <v>46</v>
      </c>
      <c r="E202">
        <v>20411454</v>
      </c>
      <c r="F202" t="s">
        <v>1091</v>
      </c>
      <c r="G202" t="s">
        <v>50</v>
      </c>
      <c r="H202" s="1">
        <v>45474</v>
      </c>
      <c r="I202" s="1">
        <v>45823</v>
      </c>
      <c r="J202" t="s">
        <v>52</v>
      </c>
      <c r="K202" s="2">
        <v>1</v>
      </c>
      <c r="L202" s="2">
        <v>1</v>
      </c>
      <c r="M202" s="3">
        <v>1</v>
      </c>
      <c r="N202" s="2">
        <v>9</v>
      </c>
      <c r="O202" t="s">
        <v>1077</v>
      </c>
    </row>
    <row r="203" spans="1:15" x14ac:dyDescent="0.25">
      <c r="A203" s="8" t="s">
        <v>922</v>
      </c>
      <c r="B203" s="8" t="s">
        <v>922</v>
      </c>
      <c r="C203" t="s">
        <v>145</v>
      </c>
      <c r="D203" t="s">
        <v>46</v>
      </c>
      <c r="E203">
        <v>20411454</v>
      </c>
      <c r="F203" t="s">
        <v>1091</v>
      </c>
      <c r="G203" t="s">
        <v>50</v>
      </c>
      <c r="H203" s="1">
        <v>45474</v>
      </c>
      <c r="I203" s="1">
        <v>45823</v>
      </c>
      <c r="J203" t="s">
        <v>52</v>
      </c>
      <c r="K203" s="2">
        <v>1</v>
      </c>
      <c r="L203" s="2">
        <v>1</v>
      </c>
      <c r="M203" s="3">
        <v>1</v>
      </c>
      <c r="N203" s="2">
        <v>9</v>
      </c>
      <c r="O203" t="s">
        <v>1077</v>
      </c>
    </row>
    <row r="204" spans="1:15" x14ac:dyDescent="0.25">
      <c r="A204" s="8" t="s">
        <v>923</v>
      </c>
      <c r="B204" s="8" t="s">
        <v>923</v>
      </c>
      <c r="C204" t="s">
        <v>149</v>
      </c>
      <c r="D204" t="s">
        <v>46</v>
      </c>
      <c r="E204">
        <v>20411454</v>
      </c>
      <c r="F204" t="s">
        <v>1091</v>
      </c>
      <c r="G204" t="s">
        <v>50</v>
      </c>
      <c r="H204" s="1">
        <v>45474</v>
      </c>
      <c r="I204" s="1">
        <v>45823</v>
      </c>
      <c r="J204" t="s">
        <v>52</v>
      </c>
      <c r="K204" s="2">
        <v>1</v>
      </c>
      <c r="L204" s="2">
        <v>1</v>
      </c>
      <c r="M204" s="3">
        <v>1</v>
      </c>
      <c r="N204" s="2">
        <v>9</v>
      </c>
      <c r="O204" t="s">
        <v>1077</v>
      </c>
    </row>
    <row r="205" spans="1:15" x14ac:dyDescent="0.25">
      <c r="A205" s="8" t="s">
        <v>924</v>
      </c>
      <c r="B205" s="8" t="s">
        <v>924</v>
      </c>
      <c r="C205" t="s">
        <v>154</v>
      </c>
      <c r="D205" t="s">
        <v>46</v>
      </c>
      <c r="E205">
        <v>20411454</v>
      </c>
      <c r="F205" t="s">
        <v>1091</v>
      </c>
      <c r="G205" t="s">
        <v>50</v>
      </c>
      <c r="H205" s="1">
        <v>45474</v>
      </c>
      <c r="I205" s="1">
        <v>45823</v>
      </c>
      <c r="J205" t="s">
        <v>52</v>
      </c>
      <c r="K205" s="2">
        <v>1</v>
      </c>
      <c r="L205" s="2">
        <v>1</v>
      </c>
      <c r="M205" s="3">
        <v>1</v>
      </c>
      <c r="N205" s="2">
        <v>9</v>
      </c>
      <c r="O205" t="s">
        <v>1077</v>
      </c>
    </row>
    <row r="206" spans="1:15" x14ac:dyDescent="0.25">
      <c r="A206" s="8" t="s">
        <v>925</v>
      </c>
      <c r="B206" s="8" t="s">
        <v>925</v>
      </c>
      <c r="C206" t="s">
        <v>157</v>
      </c>
      <c r="D206" t="s">
        <v>46</v>
      </c>
      <c r="E206">
        <v>20411454</v>
      </c>
      <c r="F206" t="s">
        <v>1091</v>
      </c>
      <c r="G206" t="s">
        <v>50</v>
      </c>
      <c r="H206" s="1">
        <v>45474</v>
      </c>
      <c r="I206" s="1">
        <v>45823</v>
      </c>
      <c r="J206" t="s">
        <v>52</v>
      </c>
      <c r="K206" s="2">
        <v>1</v>
      </c>
      <c r="L206" s="2">
        <v>1</v>
      </c>
      <c r="M206" s="3">
        <v>1</v>
      </c>
      <c r="N206" s="2">
        <v>9</v>
      </c>
      <c r="O206" t="s">
        <v>1077</v>
      </c>
    </row>
    <row r="207" spans="1:15" x14ac:dyDescent="0.25">
      <c r="A207" s="8" t="s">
        <v>926</v>
      </c>
      <c r="B207" s="8" t="s">
        <v>926</v>
      </c>
      <c r="C207" t="s">
        <v>162</v>
      </c>
      <c r="E207">
        <v>20411454</v>
      </c>
      <c r="F207" t="s">
        <v>1091</v>
      </c>
      <c r="G207" t="s">
        <v>50</v>
      </c>
      <c r="H207" s="1">
        <v>45474</v>
      </c>
      <c r="I207" s="1">
        <v>45823</v>
      </c>
      <c r="J207" t="s">
        <v>52</v>
      </c>
      <c r="K207" s="2">
        <v>1</v>
      </c>
      <c r="L207" s="2">
        <v>1</v>
      </c>
      <c r="M207" s="3">
        <v>1</v>
      </c>
      <c r="N207" s="2">
        <v>9</v>
      </c>
      <c r="O207" t="s">
        <v>1077</v>
      </c>
    </row>
    <row r="208" spans="1:15" x14ac:dyDescent="0.25">
      <c r="A208" s="8" t="s">
        <v>927</v>
      </c>
      <c r="B208" s="8" t="str">
        <f>CONCATENATE(A208,0)</f>
        <v>00021876313K0</v>
      </c>
      <c r="C208" t="s">
        <v>165</v>
      </c>
      <c r="D208" t="s">
        <v>46</v>
      </c>
      <c r="E208">
        <v>20411454</v>
      </c>
      <c r="F208" t="s">
        <v>1091</v>
      </c>
      <c r="G208" t="s">
        <v>50</v>
      </c>
      <c r="H208" s="1">
        <v>45474</v>
      </c>
      <c r="I208" s="1">
        <v>45823</v>
      </c>
      <c r="J208" t="s">
        <v>52</v>
      </c>
      <c r="K208" s="2">
        <v>1</v>
      </c>
      <c r="L208" s="2">
        <v>1</v>
      </c>
      <c r="M208" s="3">
        <v>1</v>
      </c>
      <c r="N208" s="2">
        <v>9</v>
      </c>
      <c r="O208" t="s">
        <v>1077</v>
      </c>
    </row>
    <row r="209" spans="1:15" x14ac:dyDescent="0.25">
      <c r="A209" s="8" t="s">
        <v>928</v>
      </c>
      <c r="B209" s="8" t="str">
        <f>CONCATENATE(A209,0)</f>
        <v>00021876763K0</v>
      </c>
      <c r="C209" t="s">
        <v>167</v>
      </c>
      <c r="D209" t="s">
        <v>46</v>
      </c>
      <c r="E209">
        <v>20411454</v>
      </c>
      <c r="F209" t="s">
        <v>1091</v>
      </c>
      <c r="G209" t="s">
        <v>50</v>
      </c>
      <c r="H209" s="1">
        <v>45505</v>
      </c>
      <c r="I209" s="1">
        <v>45823</v>
      </c>
      <c r="J209" t="s">
        <v>52</v>
      </c>
      <c r="K209" s="2">
        <v>1</v>
      </c>
      <c r="L209" s="2">
        <v>1</v>
      </c>
      <c r="M209" s="3">
        <v>1</v>
      </c>
      <c r="N209" s="2">
        <v>9</v>
      </c>
      <c r="O209" t="s">
        <v>1077</v>
      </c>
    </row>
    <row r="210" spans="1:15" x14ac:dyDescent="0.25">
      <c r="A210" s="8" t="s">
        <v>929</v>
      </c>
      <c r="B210" s="8" t="str">
        <f>CONCATENATE(A210,0)</f>
        <v>00021878864K0</v>
      </c>
      <c r="C210" t="s">
        <v>169</v>
      </c>
      <c r="D210" t="s">
        <v>46</v>
      </c>
      <c r="E210">
        <v>20411454</v>
      </c>
      <c r="F210" t="s">
        <v>1091</v>
      </c>
      <c r="G210" t="s">
        <v>50</v>
      </c>
      <c r="H210" s="1">
        <v>45474</v>
      </c>
      <c r="I210" s="1">
        <v>45823</v>
      </c>
      <c r="J210" t="s">
        <v>52</v>
      </c>
      <c r="K210" s="2">
        <v>1</v>
      </c>
      <c r="L210" s="2">
        <v>1</v>
      </c>
      <c r="M210" s="3">
        <v>1</v>
      </c>
      <c r="N210" s="2">
        <v>9</v>
      </c>
      <c r="O210" t="s">
        <v>1077</v>
      </c>
    </row>
    <row r="211" spans="1:15" x14ac:dyDescent="0.25">
      <c r="A211" s="8" t="s">
        <v>930</v>
      </c>
      <c r="B211" s="8" t="str">
        <f>CONCATENATE(A211,0)</f>
        <v>00021881964K0</v>
      </c>
      <c r="C211" t="s">
        <v>171</v>
      </c>
      <c r="D211" t="s">
        <v>46</v>
      </c>
      <c r="E211">
        <v>20411454</v>
      </c>
      <c r="F211" t="s">
        <v>1091</v>
      </c>
      <c r="G211" t="s">
        <v>50</v>
      </c>
      <c r="H211" s="1">
        <v>45505</v>
      </c>
      <c r="I211" s="1">
        <v>45823</v>
      </c>
      <c r="J211" t="s">
        <v>52</v>
      </c>
      <c r="K211" s="2">
        <v>1</v>
      </c>
      <c r="L211" s="2">
        <v>1</v>
      </c>
      <c r="M211" s="3">
        <v>1</v>
      </c>
      <c r="N211" s="2">
        <v>9</v>
      </c>
      <c r="O211" t="s">
        <v>1077</v>
      </c>
    </row>
    <row r="212" spans="1:15" x14ac:dyDescent="0.25">
      <c r="A212" s="8" t="s">
        <v>931</v>
      </c>
      <c r="B212" s="8" t="s">
        <v>931</v>
      </c>
      <c r="C212" t="s">
        <v>175</v>
      </c>
      <c r="D212" t="s">
        <v>46</v>
      </c>
      <c r="E212">
        <v>20411454</v>
      </c>
      <c r="F212" t="s">
        <v>1091</v>
      </c>
      <c r="G212" t="s">
        <v>50</v>
      </c>
      <c r="H212" s="1">
        <v>45474</v>
      </c>
      <c r="I212" s="1">
        <v>45823</v>
      </c>
      <c r="J212" t="s">
        <v>52</v>
      </c>
      <c r="K212" s="2">
        <v>1</v>
      </c>
      <c r="L212" s="2">
        <v>1</v>
      </c>
      <c r="M212" s="3">
        <v>1</v>
      </c>
      <c r="N212" s="2">
        <v>9</v>
      </c>
      <c r="O212" t="s">
        <v>1077</v>
      </c>
    </row>
    <row r="213" spans="1:15" x14ac:dyDescent="0.25">
      <c r="A213" s="8" t="s">
        <v>932</v>
      </c>
      <c r="B213" s="8" t="str">
        <f>CONCATENATE(A213,0)</f>
        <v>00021883797K0</v>
      </c>
      <c r="C213" t="s">
        <v>178</v>
      </c>
      <c r="D213" t="s">
        <v>46</v>
      </c>
      <c r="E213">
        <v>20411454</v>
      </c>
      <c r="F213" t="s">
        <v>1091</v>
      </c>
      <c r="G213" t="s">
        <v>50</v>
      </c>
      <c r="H213" s="1">
        <v>45474</v>
      </c>
      <c r="I213" s="1">
        <v>45823</v>
      </c>
      <c r="J213" t="s">
        <v>52</v>
      </c>
      <c r="K213" s="2">
        <v>1</v>
      </c>
      <c r="L213" s="2">
        <v>1</v>
      </c>
      <c r="M213" s="3">
        <v>1</v>
      </c>
      <c r="N213" s="2">
        <v>9</v>
      </c>
      <c r="O213" t="s">
        <v>1077</v>
      </c>
    </row>
    <row r="214" spans="1:15" x14ac:dyDescent="0.25">
      <c r="A214" s="8" t="s">
        <v>933</v>
      </c>
      <c r="B214" s="8" t="str">
        <f>CONCATENATE(A214,0)</f>
        <v>00021883866K0</v>
      </c>
      <c r="C214" t="s">
        <v>180</v>
      </c>
      <c r="D214" t="s">
        <v>46</v>
      </c>
      <c r="E214">
        <v>20411454</v>
      </c>
      <c r="F214" t="s">
        <v>1091</v>
      </c>
      <c r="G214" t="s">
        <v>50</v>
      </c>
      <c r="H214" s="1">
        <v>45444</v>
      </c>
      <c r="I214" s="1">
        <v>45823</v>
      </c>
      <c r="J214" t="s">
        <v>52</v>
      </c>
      <c r="K214" s="2">
        <v>1</v>
      </c>
      <c r="L214" s="2">
        <v>1</v>
      </c>
      <c r="M214" s="3">
        <v>1</v>
      </c>
      <c r="N214" s="2">
        <v>9</v>
      </c>
      <c r="O214" t="s">
        <v>1077</v>
      </c>
    </row>
    <row r="215" spans="1:15" x14ac:dyDescent="0.25">
      <c r="A215" s="8" t="s">
        <v>934</v>
      </c>
      <c r="B215" s="8" t="s">
        <v>934</v>
      </c>
      <c r="C215" t="s">
        <v>182</v>
      </c>
      <c r="D215" t="s">
        <v>46</v>
      </c>
      <c r="E215">
        <v>20411454</v>
      </c>
      <c r="F215" t="s">
        <v>1091</v>
      </c>
      <c r="G215" t="s">
        <v>50</v>
      </c>
      <c r="H215" s="1">
        <v>45474</v>
      </c>
      <c r="I215" s="1">
        <v>45823</v>
      </c>
      <c r="J215" t="s">
        <v>52</v>
      </c>
      <c r="K215" s="2">
        <v>1</v>
      </c>
      <c r="L215" s="2">
        <v>1</v>
      </c>
      <c r="M215" s="3">
        <v>1</v>
      </c>
      <c r="N215" s="2">
        <v>9</v>
      </c>
      <c r="O215" t="s">
        <v>1077</v>
      </c>
    </row>
    <row r="216" spans="1:15" x14ac:dyDescent="0.25">
      <c r="A216" s="8" t="s">
        <v>935</v>
      </c>
      <c r="B216" s="8" t="str">
        <f>CONCATENATE(A216,0)</f>
        <v>00021895596K0</v>
      </c>
      <c r="C216" t="s">
        <v>190</v>
      </c>
      <c r="D216" t="s">
        <v>46</v>
      </c>
      <c r="E216">
        <v>20411454</v>
      </c>
      <c r="F216" t="s">
        <v>1091</v>
      </c>
      <c r="G216" t="s">
        <v>50</v>
      </c>
      <c r="H216" s="1">
        <v>45474</v>
      </c>
      <c r="I216" s="1">
        <v>45823</v>
      </c>
      <c r="J216" t="s">
        <v>52</v>
      </c>
      <c r="K216" s="2">
        <v>1</v>
      </c>
      <c r="L216" s="2">
        <v>1</v>
      </c>
      <c r="M216" s="3">
        <v>1</v>
      </c>
      <c r="N216" s="2">
        <v>9</v>
      </c>
      <c r="O216" t="s">
        <v>1077</v>
      </c>
    </row>
    <row r="217" spans="1:15" x14ac:dyDescent="0.25">
      <c r="A217" s="8" t="s">
        <v>936</v>
      </c>
      <c r="B217" s="8" t="s">
        <v>936</v>
      </c>
      <c r="C217" t="s">
        <v>192</v>
      </c>
      <c r="D217" t="s">
        <v>46</v>
      </c>
      <c r="E217">
        <v>20411454</v>
      </c>
      <c r="F217" t="s">
        <v>1091</v>
      </c>
      <c r="G217" t="s">
        <v>50</v>
      </c>
      <c r="H217" s="1">
        <v>45505</v>
      </c>
      <c r="I217" s="1">
        <v>45823</v>
      </c>
      <c r="J217" t="s">
        <v>52</v>
      </c>
      <c r="K217" s="2">
        <v>1</v>
      </c>
      <c r="L217" s="2">
        <v>1</v>
      </c>
      <c r="M217" s="3">
        <v>1</v>
      </c>
      <c r="N217" s="2">
        <v>9</v>
      </c>
      <c r="O217" t="s">
        <v>1077</v>
      </c>
    </row>
    <row r="218" spans="1:15" x14ac:dyDescent="0.25">
      <c r="A218" s="8" t="s">
        <v>937</v>
      </c>
      <c r="B218" s="8" t="str">
        <f>CONCATENATE(A218,0)</f>
        <v>00021906634K0</v>
      </c>
      <c r="C218" t="s">
        <v>195</v>
      </c>
      <c r="D218" t="s">
        <v>46</v>
      </c>
      <c r="E218">
        <v>20411454</v>
      </c>
      <c r="F218" t="s">
        <v>1091</v>
      </c>
      <c r="G218" t="s">
        <v>50</v>
      </c>
      <c r="H218" s="1">
        <v>45536</v>
      </c>
      <c r="I218" s="1">
        <v>45823</v>
      </c>
      <c r="J218" t="s">
        <v>52</v>
      </c>
      <c r="K218" s="2">
        <v>1</v>
      </c>
      <c r="L218" s="2">
        <v>1</v>
      </c>
      <c r="M218" s="3">
        <v>1</v>
      </c>
      <c r="N218" s="2">
        <v>9</v>
      </c>
      <c r="O218" t="s">
        <v>1077</v>
      </c>
    </row>
    <row r="219" spans="1:15" x14ac:dyDescent="0.25">
      <c r="A219" s="8" t="s">
        <v>938</v>
      </c>
      <c r="B219" s="8" t="str">
        <f>CONCATENATE(A219,0)</f>
        <v>00021915889K0</v>
      </c>
      <c r="C219" t="s">
        <v>199</v>
      </c>
      <c r="D219" t="s">
        <v>46</v>
      </c>
      <c r="E219">
        <v>20411454</v>
      </c>
      <c r="F219" t="s">
        <v>1091</v>
      </c>
      <c r="G219" t="s">
        <v>50</v>
      </c>
      <c r="H219" s="1">
        <v>45536</v>
      </c>
      <c r="I219" s="1">
        <v>45823</v>
      </c>
      <c r="J219" t="s">
        <v>52</v>
      </c>
      <c r="K219" s="2">
        <v>1</v>
      </c>
      <c r="L219" s="2">
        <v>1</v>
      </c>
      <c r="M219" s="3">
        <v>1</v>
      </c>
      <c r="N219" s="2">
        <v>9</v>
      </c>
      <c r="O219" t="s">
        <v>1077</v>
      </c>
    </row>
    <row r="220" spans="1:15" x14ac:dyDescent="0.25">
      <c r="A220" s="8" t="s">
        <v>939</v>
      </c>
      <c r="B220" s="8" t="s">
        <v>939</v>
      </c>
      <c r="C220" t="s">
        <v>201</v>
      </c>
      <c r="D220" t="s">
        <v>46</v>
      </c>
      <c r="E220">
        <v>20411454</v>
      </c>
      <c r="F220" t="s">
        <v>1091</v>
      </c>
      <c r="G220" t="s">
        <v>50</v>
      </c>
      <c r="H220" s="1">
        <v>45505</v>
      </c>
      <c r="I220" s="1">
        <v>45823</v>
      </c>
      <c r="J220" t="s">
        <v>52</v>
      </c>
      <c r="K220" s="2">
        <v>1</v>
      </c>
      <c r="L220" s="2">
        <v>1</v>
      </c>
      <c r="M220" s="3">
        <v>1</v>
      </c>
      <c r="N220" s="2">
        <v>9</v>
      </c>
      <c r="O220" t="s">
        <v>1077</v>
      </c>
    </row>
    <row r="221" spans="1:15" x14ac:dyDescent="0.25">
      <c r="A221" s="8" t="s">
        <v>940</v>
      </c>
      <c r="B221" s="8" t="str">
        <f t="shared" ref="B221:B232" si="7">CONCATENATE(A221,0)</f>
        <v>00021918216K0</v>
      </c>
      <c r="C221" t="s">
        <v>204</v>
      </c>
      <c r="D221" t="s">
        <v>46</v>
      </c>
      <c r="E221">
        <v>20411454</v>
      </c>
      <c r="F221" t="s">
        <v>1091</v>
      </c>
      <c r="G221" t="s">
        <v>50</v>
      </c>
      <c r="H221" s="1">
        <v>45505</v>
      </c>
      <c r="I221" s="1">
        <v>45823</v>
      </c>
      <c r="J221" t="s">
        <v>52</v>
      </c>
      <c r="K221" s="2">
        <v>1</v>
      </c>
      <c r="L221" s="2">
        <v>1</v>
      </c>
      <c r="M221" s="3">
        <v>1</v>
      </c>
      <c r="N221" s="2">
        <v>9</v>
      </c>
      <c r="O221" t="s">
        <v>1077</v>
      </c>
    </row>
    <row r="222" spans="1:15" x14ac:dyDescent="0.25">
      <c r="A222" s="8" t="s">
        <v>941</v>
      </c>
      <c r="B222" s="8" t="str">
        <f t="shared" si="7"/>
        <v>00021920479K0</v>
      </c>
      <c r="C222" t="s">
        <v>206</v>
      </c>
      <c r="D222" t="s">
        <v>46</v>
      </c>
      <c r="E222">
        <v>20411454</v>
      </c>
      <c r="F222" t="s">
        <v>1091</v>
      </c>
      <c r="G222" t="s">
        <v>50</v>
      </c>
      <c r="H222" s="1">
        <v>45505</v>
      </c>
      <c r="I222" s="1">
        <v>45823</v>
      </c>
      <c r="J222" t="s">
        <v>52</v>
      </c>
      <c r="K222" s="2">
        <v>1</v>
      </c>
      <c r="L222" s="2">
        <v>1</v>
      </c>
      <c r="M222" s="3">
        <v>1</v>
      </c>
      <c r="N222" s="2">
        <v>9</v>
      </c>
      <c r="O222" t="s">
        <v>1077</v>
      </c>
    </row>
    <row r="223" spans="1:15" x14ac:dyDescent="0.25">
      <c r="A223" s="8" t="s">
        <v>942</v>
      </c>
      <c r="B223" s="8" t="str">
        <f t="shared" si="7"/>
        <v>00021920643K0</v>
      </c>
      <c r="C223" t="s">
        <v>208</v>
      </c>
      <c r="D223" t="s">
        <v>46</v>
      </c>
      <c r="E223">
        <v>20411454</v>
      </c>
      <c r="F223" t="s">
        <v>1091</v>
      </c>
      <c r="G223" t="s">
        <v>50</v>
      </c>
      <c r="H223" s="1">
        <v>45505</v>
      </c>
      <c r="I223" s="1">
        <v>45823</v>
      </c>
      <c r="J223" t="s">
        <v>52</v>
      </c>
      <c r="K223" s="2">
        <v>1</v>
      </c>
      <c r="L223" s="2">
        <v>1</v>
      </c>
      <c r="M223" s="3">
        <v>1</v>
      </c>
      <c r="N223" s="2">
        <v>9</v>
      </c>
      <c r="O223" t="s">
        <v>1077</v>
      </c>
    </row>
    <row r="224" spans="1:15" x14ac:dyDescent="0.25">
      <c r="A224" s="8" t="s">
        <v>943</v>
      </c>
      <c r="B224" s="8" t="str">
        <f t="shared" si="7"/>
        <v>00021921861K0</v>
      </c>
      <c r="C224" t="s">
        <v>210</v>
      </c>
      <c r="D224" t="s">
        <v>46</v>
      </c>
      <c r="E224">
        <v>20411454</v>
      </c>
      <c r="F224" t="s">
        <v>1091</v>
      </c>
      <c r="G224" t="s">
        <v>50</v>
      </c>
      <c r="H224" s="1">
        <v>45505</v>
      </c>
      <c r="I224" s="1">
        <v>45823</v>
      </c>
      <c r="J224" t="s">
        <v>52</v>
      </c>
      <c r="K224" s="2">
        <v>1</v>
      </c>
      <c r="L224" s="2">
        <v>1</v>
      </c>
      <c r="M224" s="3">
        <v>1</v>
      </c>
      <c r="N224" s="2">
        <v>9</v>
      </c>
      <c r="O224" t="s">
        <v>1077</v>
      </c>
    </row>
    <row r="225" spans="1:15" x14ac:dyDescent="0.25">
      <c r="A225" s="8" t="s">
        <v>944</v>
      </c>
      <c r="B225" s="8" t="str">
        <f t="shared" si="7"/>
        <v>00021926659K0</v>
      </c>
      <c r="C225" t="s">
        <v>212</v>
      </c>
      <c r="D225" t="s">
        <v>46</v>
      </c>
      <c r="E225">
        <v>20411454</v>
      </c>
      <c r="F225" t="s">
        <v>1091</v>
      </c>
      <c r="G225" t="s">
        <v>50</v>
      </c>
      <c r="H225" s="1">
        <v>45505</v>
      </c>
      <c r="I225" s="1">
        <v>45823</v>
      </c>
      <c r="J225" t="s">
        <v>52</v>
      </c>
      <c r="K225" s="2">
        <v>1</v>
      </c>
      <c r="L225" s="2">
        <v>1</v>
      </c>
      <c r="M225" s="3">
        <v>1</v>
      </c>
      <c r="N225" s="2">
        <v>9</v>
      </c>
      <c r="O225" t="s">
        <v>1077</v>
      </c>
    </row>
    <row r="226" spans="1:15" x14ac:dyDescent="0.25">
      <c r="A226" s="8" t="s">
        <v>945</v>
      </c>
      <c r="B226" s="8" t="str">
        <f t="shared" si="7"/>
        <v>00021937596K0</v>
      </c>
      <c r="C226" t="s">
        <v>214</v>
      </c>
      <c r="D226" t="s">
        <v>46</v>
      </c>
      <c r="E226">
        <v>20411454</v>
      </c>
      <c r="F226" t="s">
        <v>1091</v>
      </c>
      <c r="G226" t="s">
        <v>50</v>
      </c>
      <c r="H226" s="1">
        <v>45505</v>
      </c>
      <c r="I226" s="1">
        <v>45823</v>
      </c>
      <c r="J226" t="s">
        <v>52</v>
      </c>
      <c r="K226" s="2">
        <v>1</v>
      </c>
      <c r="L226" s="2">
        <v>1</v>
      </c>
      <c r="M226" s="3">
        <v>1</v>
      </c>
      <c r="N226" s="2">
        <v>9</v>
      </c>
      <c r="O226" t="s">
        <v>1077</v>
      </c>
    </row>
    <row r="227" spans="1:15" x14ac:dyDescent="0.25">
      <c r="A227" s="8" t="s">
        <v>946</v>
      </c>
      <c r="B227" s="8" t="str">
        <f t="shared" si="7"/>
        <v>00021938736K0</v>
      </c>
      <c r="C227" t="s">
        <v>216</v>
      </c>
      <c r="D227" t="s">
        <v>46</v>
      </c>
      <c r="E227">
        <v>20411454</v>
      </c>
      <c r="F227" t="s">
        <v>1091</v>
      </c>
      <c r="G227" t="s">
        <v>50</v>
      </c>
      <c r="H227" s="1">
        <v>45505</v>
      </c>
      <c r="I227" s="1">
        <v>45823</v>
      </c>
      <c r="J227" t="s">
        <v>52</v>
      </c>
      <c r="K227" s="2">
        <v>1</v>
      </c>
      <c r="L227" s="2">
        <v>1</v>
      </c>
      <c r="M227" s="3">
        <v>1</v>
      </c>
      <c r="N227" s="2">
        <v>9</v>
      </c>
      <c r="O227" t="s">
        <v>1077</v>
      </c>
    </row>
    <row r="228" spans="1:15" x14ac:dyDescent="0.25">
      <c r="A228" s="8" t="s">
        <v>947</v>
      </c>
      <c r="B228" s="8" t="str">
        <f t="shared" si="7"/>
        <v>00021938762K0</v>
      </c>
      <c r="C228" t="s">
        <v>218</v>
      </c>
      <c r="D228" t="s">
        <v>46</v>
      </c>
      <c r="E228">
        <v>20411454</v>
      </c>
      <c r="F228" t="s">
        <v>1091</v>
      </c>
      <c r="G228" t="s">
        <v>50</v>
      </c>
      <c r="H228" s="1">
        <v>45536</v>
      </c>
      <c r="I228" s="1">
        <v>45823</v>
      </c>
      <c r="J228" t="s">
        <v>52</v>
      </c>
      <c r="K228" s="2">
        <v>1</v>
      </c>
      <c r="L228" s="2">
        <v>1</v>
      </c>
      <c r="M228" s="3">
        <v>1</v>
      </c>
      <c r="N228" s="2">
        <v>9</v>
      </c>
      <c r="O228" t="s">
        <v>1077</v>
      </c>
    </row>
    <row r="229" spans="1:15" x14ac:dyDescent="0.25">
      <c r="A229" s="8" t="s">
        <v>948</v>
      </c>
      <c r="B229" s="8" t="str">
        <f t="shared" si="7"/>
        <v>00021942365K0</v>
      </c>
      <c r="C229" t="s">
        <v>220</v>
      </c>
      <c r="D229" t="s">
        <v>46</v>
      </c>
      <c r="E229">
        <v>20411454</v>
      </c>
      <c r="F229" t="s">
        <v>1091</v>
      </c>
      <c r="G229" t="s">
        <v>50</v>
      </c>
      <c r="H229" s="1">
        <v>45505</v>
      </c>
      <c r="I229" s="1">
        <v>45823</v>
      </c>
      <c r="J229" t="s">
        <v>52</v>
      </c>
      <c r="K229" s="2">
        <v>1</v>
      </c>
      <c r="L229" s="2">
        <v>1</v>
      </c>
      <c r="M229" s="3">
        <v>1</v>
      </c>
      <c r="N229" s="2">
        <v>9</v>
      </c>
      <c r="O229" t="s">
        <v>1077</v>
      </c>
    </row>
    <row r="230" spans="1:15" x14ac:dyDescent="0.25">
      <c r="A230" s="8" t="s">
        <v>949</v>
      </c>
      <c r="B230" s="8" t="str">
        <f t="shared" si="7"/>
        <v>00021948322K0</v>
      </c>
      <c r="C230" t="s">
        <v>224</v>
      </c>
      <c r="D230" t="s">
        <v>46</v>
      </c>
      <c r="E230">
        <v>20411454</v>
      </c>
      <c r="F230" t="s">
        <v>1091</v>
      </c>
      <c r="G230" t="s">
        <v>50</v>
      </c>
      <c r="H230" s="1">
        <v>45566</v>
      </c>
      <c r="I230" s="1">
        <v>45823</v>
      </c>
      <c r="J230" t="s">
        <v>52</v>
      </c>
      <c r="K230" s="2">
        <v>1</v>
      </c>
      <c r="L230" s="2">
        <v>1</v>
      </c>
      <c r="M230" s="3">
        <v>1</v>
      </c>
      <c r="N230" s="2">
        <v>9</v>
      </c>
      <c r="O230" t="s">
        <v>1077</v>
      </c>
    </row>
    <row r="231" spans="1:15" x14ac:dyDescent="0.25">
      <c r="A231" s="8" t="s">
        <v>950</v>
      </c>
      <c r="B231" s="8" t="str">
        <f t="shared" si="7"/>
        <v>00021951591K0</v>
      </c>
      <c r="C231" t="s">
        <v>228</v>
      </c>
      <c r="D231" t="s">
        <v>46</v>
      </c>
      <c r="E231">
        <v>20411454</v>
      </c>
      <c r="F231" t="s">
        <v>1091</v>
      </c>
      <c r="G231" t="s">
        <v>50</v>
      </c>
      <c r="H231" s="1">
        <v>45536</v>
      </c>
      <c r="I231" s="1">
        <v>45823</v>
      </c>
      <c r="J231" t="s">
        <v>52</v>
      </c>
      <c r="K231" s="2">
        <v>1</v>
      </c>
      <c r="L231" s="2">
        <v>1</v>
      </c>
      <c r="M231" s="3">
        <v>1</v>
      </c>
      <c r="N231" s="2">
        <v>9</v>
      </c>
      <c r="O231" t="s">
        <v>1077</v>
      </c>
    </row>
    <row r="232" spans="1:15" x14ac:dyDescent="0.25">
      <c r="A232" s="8" t="s">
        <v>951</v>
      </c>
      <c r="B232" s="8" t="str">
        <f t="shared" si="7"/>
        <v>00021961080K0</v>
      </c>
      <c r="C232" t="s">
        <v>232</v>
      </c>
      <c r="D232" t="s">
        <v>46</v>
      </c>
      <c r="E232">
        <v>20411454</v>
      </c>
      <c r="F232" t="s">
        <v>1091</v>
      </c>
      <c r="G232" t="s">
        <v>50</v>
      </c>
      <c r="H232" s="1">
        <v>45505</v>
      </c>
      <c r="I232" s="1">
        <v>45823</v>
      </c>
      <c r="J232" t="s">
        <v>52</v>
      </c>
      <c r="K232" s="2">
        <v>1</v>
      </c>
      <c r="L232" s="2">
        <v>1</v>
      </c>
      <c r="M232" s="3">
        <v>1</v>
      </c>
      <c r="N232" s="2">
        <v>9</v>
      </c>
      <c r="O232" t="s">
        <v>1077</v>
      </c>
    </row>
    <row r="233" spans="1:15" x14ac:dyDescent="0.25">
      <c r="A233" s="8" t="s">
        <v>952</v>
      </c>
      <c r="B233" s="8" t="s">
        <v>952</v>
      </c>
      <c r="C233" t="s">
        <v>234</v>
      </c>
      <c r="D233" t="s">
        <v>46</v>
      </c>
      <c r="E233">
        <v>20411454</v>
      </c>
      <c r="F233" t="s">
        <v>1091</v>
      </c>
      <c r="G233" t="s">
        <v>50</v>
      </c>
      <c r="H233" s="1">
        <v>45536</v>
      </c>
      <c r="I233" s="1">
        <v>45823</v>
      </c>
      <c r="J233" t="s">
        <v>52</v>
      </c>
      <c r="K233" s="2">
        <v>1</v>
      </c>
      <c r="L233" s="2">
        <v>1</v>
      </c>
      <c r="M233" s="3">
        <v>1</v>
      </c>
      <c r="N233" s="2">
        <v>9</v>
      </c>
      <c r="O233" t="s">
        <v>1077</v>
      </c>
    </row>
    <row r="234" spans="1:15" x14ac:dyDescent="0.25">
      <c r="A234" s="8" t="s">
        <v>953</v>
      </c>
      <c r="B234" s="8" t="str">
        <f>CONCATENATE(A234,0)</f>
        <v>00021996169K0</v>
      </c>
      <c r="C234" t="s">
        <v>237</v>
      </c>
      <c r="D234" t="s">
        <v>46</v>
      </c>
      <c r="E234">
        <v>20411454</v>
      </c>
      <c r="F234" t="s">
        <v>1091</v>
      </c>
      <c r="G234" t="s">
        <v>50</v>
      </c>
      <c r="H234" s="1">
        <v>45536</v>
      </c>
      <c r="I234" s="1">
        <v>45823</v>
      </c>
      <c r="J234" t="s">
        <v>52</v>
      </c>
      <c r="K234" s="2">
        <v>1</v>
      </c>
      <c r="L234" s="2">
        <v>1</v>
      </c>
      <c r="M234" s="3">
        <v>1</v>
      </c>
      <c r="N234" s="2">
        <v>9</v>
      </c>
      <c r="O234" t="s">
        <v>1077</v>
      </c>
    </row>
    <row r="235" spans="1:15" x14ac:dyDescent="0.25">
      <c r="A235" s="8" t="s">
        <v>954</v>
      </c>
      <c r="B235" s="8" t="str">
        <f>CONCATENATE(A235,0)</f>
        <v>00021999707K0</v>
      </c>
      <c r="C235" t="s">
        <v>239</v>
      </c>
      <c r="D235" t="s">
        <v>46</v>
      </c>
      <c r="E235">
        <v>20411454</v>
      </c>
      <c r="F235" t="s">
        <v>1091</v>
      </c>
      <c r="G235" t="s">
        <v>50</v>
      </c>
      <c r="H235" s="1">
        <v>45597</v>
      </c>
      <c r="I235" s="1">
        <v>45823</v>
      </c>
      <c r="J235" t="s">
        <v>52</v>
      </c>
      <c r="K235" s="2">
        <v>1</v>
      </c>
      <c r="L235" s="2">
        <v>1</v>
      </c>
      <c r="M235" s="3">
        <v>1</v>
      </c>
      <c r="N235" s="2">
        <v>9</v>
      </c>
      <c r="O235" t="s">
        <v>1077</v>
      </c>
    </row>
    <row r="236" spans="1:15" x14ac:dyDescent="0.25">
      <c r="A236" s="8" t="s">
        <v>955</v>
      </c>
      <c r="B236" s="8" t="s">
        <v>955</v>
      </c>
      <c r="C236" t="s">
        <v>241</v>
      </c>
      <c r="D236" t="s">
        <v>46</v>
      </c>
      <c r="E236">
        <v>20411454</v>
      </c>
      <c r="F236" t="s">
        <v>1091</v>
      </c>
      <c r="G236" t="s">
        <v>50</v>
      </c>
      <c r="H236" s="1">
        <v>45536</v>
      </c>
      <c r="I236" s="1">
        <v>45823</v>
      </c>
      <c r="J236" t="s">
        <v>52</v>
      </c>
      <c r="K236" s="2">
        <v>1</v>
      </c>
      <c r="L236" s="2">
        <v>1</v>
      </c>
      <c r="M236" s="3">
        <v>1</v>
      </c>
      <c r="N236" s="2">
        <v>9</v>
      </c>
      <c r="O236" t="s">
        <v>1077</v>
      </c>
    </row>
    <row r="237" spans="1:15" x14ac:dyDescent="0.25">
      <c r="A237" s="8" t="s">
        <v>956</v>
      </c>
      <c r="B237" s="8" t="str">
        <f>CONCATENATE(A237,0)</f>
        <v>00022011876K0</v>
      </c>
      <c r="C237" t="s">
        <v>244</v>
      </c>
      <c r="D237" t="s">
        <v>46</v>
      </c>
      <c r="E237">
        <v>20411454</v>
      </c>
      <c r="F237" t="s">
        <v>1091</v>
      </c>
      <c r="G237" t="s">
        <v>50</v>
      </c>
      <c r="H237" s="1">
        <v>45536</v>
      </c>
      <c r="I237" s="1">
        <v>45823</v>
      </c>
      <c r="J237" t="s">
        <v>52</v>
      </c>
      <c r="K237" s="2">
        <v>1</v>
      </c>
      <c r="L237" s="2">
        <v>1</v>
      </c>
      <c r="M237" s="3">
        <v>1</v>
      </c>
      <c r="N237" s="2">
        <v>9</v>
      </c>
      <c r="O237" t="s">
        <v>1077</v>
      </c>
    </row>
    <row r="238" spans="1:15" x14ac:dyDescent="0.25">
      <c r="A238" s="8" t="s">
        <v>957</v>
      </c>
      <c r="B238" s="8" t="str">
        <f>CONCATENATE(A238,0)</f>
        <v>00022014220K0</v>
      </c>
      <c r="C238" t="s">
        <v>248</v>
      </c>
      <c r="D238" t="s">
        <v>46</v>
      </c>
      <c r="E238">
        <v>20411454</v>
      </c>
      <c r="F238" t="s">
        <v>1091</v>
      </c>
      <c r="G238" t="s">
        <v>50</v>
      </c>
      <c r="H238" s="1">
        <v>45536</v>
      </c>
      <c r="I238" s="1">
        <v>45823</v>
      </c>
      <c r="J238" t="s">
        <v>52</v>
      </c>
      <c r="K238" s="2">
        <v>1</v>
      </c>
      <c r="L238" s="2">
        <v>1</v>
      </c>
      <c r="M238" s="3">
        <v>1</v>
      </c>
      <c r="N238" s="2">
        <v>9</v>
      </c>
      <c r="O238" t="s">
        <v>1077</v>
      </c>
    </row>
    <row r="239" spans="1:15" x14ac:dyDescent="0.25">
      <c r="A239" s="8" t="s">
        <v>958</v>
      </c>
      <c r="B239" s="8" t="str">
        <f>CONCATENATE(A239,0)</f>
        <v>00022021720K0</v>
      </c>
      <c r="C239" t="s">
        <v>250</v>
      </c>
      <c r="D239" t="s">
        <v>46</v>
      </c>
      <c r="E239">
        <v>20411454</v>
      </c>
      <c r="F239" t="s">
        <v>1091</v>
      </c>
      <c r="G239" t="s">
        <v>50</v>
      </c>
      <c r="H239" s="1">
        <v>45536</v>
      </c>
      <c r="I239" s="1">
        <v>45823</v>
      </c>
      <c r="J239" t="s">
        <v>52</v>
      </c>
      <c r="K239" s="2">
        <v>1</v>
      </c>
      <c r="L239" s="2">
        <v>1</v>
      </c>
      <c r="M239" s="3">
        <v>1</v>
      </c>
      <c r="N239" s="2">
        <v>9</v>
      </c>
      <c r="O239" t="s">
        <v>1077</v>
      </c>
    </row>
    <row r="240" spans="1:15" x14ac:dyDescent="0.25">
      <c r="A240" s="8" t="s">
        <v>959</v>
      </c>
      <c r="B240" s="8" t="str">
        <f>CONCATENATE(A240,0)</f>
        <v>00022021737K0</v>
      </c>
      <c r="C240" t="s">
        <v>254</v>
      </c>
      <c r="D240" t="s">
        <v>46</v>
      </c>
      <c r="E240">
        <v>20411454</v>
      </c>
      <c r="F240" t="s">
        <v>1091</v>
      </c>
      <c r="G240" t="s">
        <v>50</v>
      </c>
      <c r="H240" s="1">
        <v>45566</v>
      </c>
      <c r="I240" s="1">
        <v>45823</v>
      </c>
      <c r="J240" t="s">
        <v>52</v>
      </c>
      <c r="K240" s="2">
        <v>1</v>
      </c>
      <c r="L240" s="2">
        <v>1</v>
      </c>
      <c r="M240" s="3">
        <v>1</v>
      </c>
      <c r="N240" s="2">
        <v>9</v>
      </c>
      <c r="O240" t="s">
        <v>1077</v>
      </c>
    </row>
    <row r="241" spans="1:15" x14ac:dyDescent="0.25">
      <c r="A241" s="8" t="s">
        <v>960</v>
      </c>
      <c r="B241" s="8" t="str">
        <f>CONCATENATE(A241,0)</f>
        <v>00022023339K0</v>
      </c>
      <c r="C241" t="s">
        <v>256</v>
      </c>
      <c r="D241" t="s">
        <v>46</v>
      </c>
      <c r="E241">
        <v>20411454</v>
      </c>
      <c r="F241" t="s">
        <v>1091</v>
      </c>
      <c r="G241" t="s">
        <v>50</v>
      </c>
      <c r="H241" s="1">
        <v>45536</v>
      </c>
      <c r="I241" s="1">
        <v>45823</v>
      </c>
      <c r="J241" t="s">
        <v>52</v>
      </c>
      <c r="K241" s="2">
        <v>1</v>
      </c>
      <c r="L241" s="2">
        <v>1</v>
      </c>
      <c r="M241" s="3">
        <v>1</v>
      </c>
      <c r="N241" s="2">
        <v>9</v>
      </c>
      <c r="O241" t="s">
        <v>1077</v>
      </c>
    </row>
    <row r="242" spans="1:15" x14ac:dyDescent="0.25">
      <c r="A242" s="8" t="s">
        <v>961</v>
      </c>
      <c r="B242" s="8" t="s">
        <v>961</v>
      </c>
      <c r="C242" t="s">
        <v>258</v>
      </c>
      <c r="D242" t="s">
        <v>46</v>
      </c>
      <c r="E242">
        <v>20411454</v>
      </c>
      <c r="F242" t="s">
        <v>1091</v>
      </c>
      <c r="G242" t="s">
        <v>50</v>
      </c>
      <c r="H242" s="1">
        <v>45566</v>
      </c>
      <c r="I242" s="1">
        <v>45823</v>
      </c>
      <c r="J242" t="s">
        <v>52</v>
      </c>
      <c r="K242" s="2">
        <v>1</v>
      </c>
      <c r="L242" s="2">
        <v>1</v>
      </c>
      <c r="M242" s="3">
        <v>1</v>
      </c>
      <c r="N242" s="2">
        <v>9</v>
      </c>
      <c r="O242" t="s">
        <v>1077</v>
      </c>
    </row>
    <row r="243" spans="1:15" x14ac:dyDescent="0.25">
      <c r="A243" s="8" t="s">
        <v>962</v>
      </c>
      <c r="B243" s="8" t="str">
        <f>CONCATENATE(A243,0)</f>
        <v>00022026537K0</v>
      </c>
      <c r="C243" t="s">
        <v>261</v>
      </c>
      <c r="D243" t="s">
        <v>46</v>
      </c>
      <c r="E243">
        <v>20411454</v>
      </c>
      <c r="F243" t="s">
        <v>1091</v>
      </c>
      <c r="G243" t="s">
        <v>50</v>
      </c>
      <c r="H243" s="1">
        <v>45536</v>
      </c>
      <c r="I243" s="1">
        <v>45823</v>
      </c>
      <c r="J243" t="s">
        <v>52</v>
      </c>
      <c r="K243" s="2">
        <v>1</v>
      </c>
      <c r="L243" s="2">
        <v>1</v>
      </c>
      <c r="M243" s="3">
        <v>1</v>
      </c>
      <c r="N243" s="2">
        <v>9</v>
      </c>
      <c r="O243" t="s">
        <v>1077</v>
      </c>
    </row>
    <row r="244" spans="1:15" x14ac:dyDescent="0.25">
      <c r="A244" s="8" t="s">
        <v>963</v>
      </c>
      <c r="B244" s="8" t="s">
        <v>963</v>
      </c>
      <c r="C244" t="s">
        <v>263</v>
      </c>
      <c r="D244" t="s">
        <v>46</v>
      </c>
      <c r="E244">
        <v>20411454</v>
      </c>
      <c r="F244" t="s">
        <v>1091</v>
      </c>
      <c r="G244" t="s">
        <v>50</v>
      </c>
      <c r="H244" s="1">
        <v>45566</v>
      </c>
      <c r="I244" s="1">
        <v>45823</v>
      </c>
      <c r="J244" t="s">
        <v>52</v>
      </c>
      <c r="K244" s="2">
        <v>1</v>
      </c>
      <c r="L244" s="2">
        <v>1</v>
      </c>
      <c r="M244" s="3">
        <v>1</v>
      </c>
      <c r="N244" s="2">
        <v>9</v>
      </c>
      <c r="O244" t="s">
        <v>1077</v>
      </c>
    </row>
    <row r="245" spans="1:15" x14ac:dyDescent="0.25">
      <c r="A245" s="8" t="s">
        <v>964</v>
      </c>
      <c r="B245" s="8" t="s">
        <v>964</v>
      </c>
      <c r="C245" t="s">
        <v>266</v>
      </c>
      <c r="D245" t="s">
        <v>46</v>
      </c>
      <c r="E245">
        <v>20411454</v>
      </c>
      <c r="F245" t="s">
        <v>1091</v>
      </c>
      <c r="G245" t="s">
        <v>50</v>
      </c>
      <c r="H245" s="1">
        <v>45566</v>
      </c>
      <c r="I245" s="1">
        <v>45823</v>
      </c>
      <c r="J245" t="s">
        <v>52</v>
      </c>
      <c r="K245" s="2">
        <v>1</v>
      </c>
      <c r="L245" s="2">
        <v>1</v>
      </c>
      <c r="M245" s="3">
        <v>1</v>
      </c>
      <c r="N245" s="2">
        <v>9</v>
      </c>
      <c r="O245" t="s">
        <v>1077</v>
      </c>
    </row>
    <row r="246" spans="1:15" x14ac:dyDescent="0.25">
      <c r="A246" s="8" t="s">
        <v>965</v>
      </c>
      <c r="B246" s="8" t="str">
        <f>CONCATENATE(A246,0)</f>
        <v>00022033067K0</v>
      </c>
      <c r="C246" t="s">
        <v>269</v>
      </c>
      <c r="D246" t="s">
        <v>46</v>
      </c>
      <c r="E246">
        <v>20411454</v>
      </c>
      <c r="F246" t="s">
        <v>1091</v>
      </c>
      <c r="G246" t="s">
        <v>50</v>
      </c>
      <c r="H246" s="1">
        <v>45566</v>
      </c>
      <c r="I246" s="1">
        <v>45823</v>
      </c>
      <c r="J246" t="s">
        <v>52</v>
      </c>
      <c r="K246" s="2">
        <v>1</v>
      </c>
      <c r="L246" s="2">
        <v>1</v>
      </c>
      <c r="M246" s="3">
        <v>1</v>
      </c>
      <c r="N246" s="2">
        <v>9</v>
      </c>
      <c r="O246" t="s">
        <v>1077</v>
      </c>
    </row>
    <row r="247" spans="1:15" x14ac:dyDescent="0.25">
      <c r="A247" s="8" t="s">
        <v>966</v>
      </c>
      <c r="B247" s="8" t="str">
        <f>CONCATENATE(A247,0)</f>
        <v>00022033172K0</v>
      </c>
      <c r="C247" t="s">
        <v>271</v>
      </c>
      <c r="D247" t="s">
        <v>46</v>
      </c>
      <c r="E247">
        <v>20411454</v>
      </c>
      <c r="F247" t="s">
        <v>1091</v>
      </c>
      <c r="G247" t="s">
        <v>50</v>
      </c>
      <c r="H247" s="1">
        <v>45566</v>
      </c>
      <c r="I247" s="1">
        <v>45823</v>
      </c>
      <c r="J247" t="s">
        <v>52</v>
      </c>
      <c r="K247" s="2">
        <v>1</v>
      </c>
      <c r="L247" s="2">
        <v>1</v>
      </c>
      <c r="M247" s="3">
        <v>1</v>
      </c>
      <c r="N247" s="2">
        <v>9</v>
      </c>
      <c r="O247" t="s">
        <v>1077</v>
      </c>
    </row>
    <row r="248" spans="1:15" x14ac:dyDescent="0.25">
      <c r="A248" s="8" t="s">
        <v>967</v>
      </c>
      <c r="B248" s="8" t="s">
        <v>967</v>
      </c>
      <c r="C248" t="s">
        <v>273</v>
      </c>
      <c r="D248" t="s">
        <v>46</v>
      </c>
      <c r="E248">
        <v>20411454</v>
      </c>
      <c r="F248" t="s">
        <v>1091</v>
      </c>
      <c r="G248" t="s">
        <v>50</v>
      </c>
      <c r="H248" s="1">
        <v>45566</v>
      </c>
      <c r="I248" s="1">
        <v>45823</v>
      </c>
      <c r="J248" t="s">
        <v>52</v>
      </c>
      <c r="K248" s="2">
        <v>1</v>
      </c>
      <c r="L248" s="2">
        <v>1</v>
      </c>
      <c r="M248" s="3">
        <v>1</v>
      </c>
      <c r="N248" s="2">
        <v>9</v>
      </c>
      <c r="O248" t="s">
        <v>1077</v>
      </c>
    </row>
    <row r="249" spans="1:15" x14ac:dyDescent="0.25">
      <c r="A249" s="8" t="s">
        <v>968</v>
      </c>
      <c r="B249" s="8" t="s">
        <v>968</v>
      </c>
      <c r="C249" t="s">
        <v>276</v>
      </c>
      <c r="D249" t="s">
        <v>46</v>
      </c>
      <c r="E249">
        <v>20411454</v>
      </c>
      <c r="F249" t="s">
        <v>1091</v>
      </c>
      <c r="G249" t="s">
        <v>50</v>
      </c>
      <c r="H249" s="1">
        <v>45566</v>
      </c>
      <c r="I249" s="1">
        <v>45823</v>
      </c>
      <c r="J249" t="s">
        <v>52</v>
      </c>
      <c r="K249" s="2">
        <v>1</v>
      </c>
      <c r="L249" s="2">
        <v>1</v>
      </c>
      <c r="M249" s="3">
        <v>1</v>
      </c>
      <c r="N249" s="2">
        <v>9</v>
      </c>
      <c r="O249" t="s">
        <v>1077</v>
      </c>
    </row>
    <row r="250" spans="1:15" x14ac:dyDescent="0.25">
      <c r="A250" s="8" t="s">
        <v>969</v>
      </c>
      <c r="B250" s="8" t="str">
        <f>CONCATENATE(A250,0)</f>
        <v>00022049020K0</v>
      </c>
      <c r="C250" t="s">
        <v>279</v>
      </c>
      <c r="D250" t="s">
        <v>46</v>
      </c>
      <c r="E250">
        <v>20411454</v>
      </c>
      <c r="F250" t="s">
        <v>1091</v>
      </c>
      <c r="G250" t="s">
        <v>50</v>
      </c>
      <c r="H250" s="1">
        <v>45627</v>
      </c>
      <c r="I250" s="1">
        <v>45823</v>
      </c>
      <c r="J250" t="s">
        <v>52</v>
      </c>
      <c r="K250" s="2">
        <v>1</v>
      </c>
      <c r="L250" s="2">
        <v>1</v>
      </c>
      <c r="M250" s="3">
        <v>1</v>
      </c>
      <c r="N250" s="2">
        <v>9</v>
      </c>
      <c r="O250" t="s">
        <v>1077</v>
      </c>
    </row>
    <row r="251" spans="1:15" x14ac:dyDescent="0.25">
      <c r="A251" s="8" t="s">
        <v>970</v>
      </c>
      <c r="B251" s="8" t="s">
        <v>970</v>
      </c>
      <c r="C251" t="s">
        <v>281</v>
      </c>
      <c r="D251" t="s">
        <v>46</v>
      </c>
      <c r="E251">
        <v>20411454</v>
      </c>
      <c r="F251" t="s">
        <v>1091</v>
      </c>
      <c r="G251" t="s">
        <v>50</v>
      </c>
      <c r="H251" s="1">
        <v>45566</v>
      </c>
      <c r="I251" s="1">
        <v>45823</v>
      </c>
      <c r="J251" t="s">
        <v>52</v>
      </c>
      <c r="K251" s="2">
        <v>1</v>
      </c>
      <c r="L251" s="2">
        <v>1</v>
      </c>
      <c r="M251" s="3">
        <v>1</v>
      </c>
      <c r="N251" s="2">
        <v>9</v>
      </c>
      <c r="O251" t="s">
        <v>1077</v>
      </c>
    </row>
    <row r="252" spans="1:15" x14ac:dyDescent="0.25">
      <c r="A252" s="8" t="s">
        <v>971</v>
      </c>
      <c r="B252" s="8" t="str">
        <f t="shared" ref="B252:B268" si="8">CONCATENATE(A252,0)</f>
        <v>00022063091K0</v>
      </c>
      <c r="C252" t="s">
        <v>284</v>
      </c>
      <c r="D252" t="s">
        <v>46</v>
      </c>
      <c r="E252">
        <v>20411454</v>
      </c>
      <c r="F252" t="s">
        <v>1091</v>
      </c>
      <c r="G252" t="s">
        <v>50</v>
      </c>
      <c r="H252" s="1">
        <v>45566</v>
      </c>
      <c r="I252" s="1">
        <v>45823</v>
      </c>
      <c r="J252" t="s">
        <v>52</v>
      </c>
      <c r="K252" s="2">
        <v>1</v>
      </c>
      <c r="L252" s="2">
        <v>1</v>
      </c>
      <c r="M252" s="3">
        <v>1</v>
      </c>
      <c r="N252" s="2">
        <v>9</v>
      </c>
      <c r="O252" t="s">
        <v>1077</v>
      </c>
    </row>
    <row r="253" spans="1:15" x14ac:dyDescent="0.25">
      <c r="A253" s="8" t="s">
        <v>972</v>
      </c>
      <c r="B253" s="8" t="str">
        <f t="shared" si="8"/>
        <v>00022063543K0</v>
      </c>
      <c r="C253" t="s">
        <v>286</v>
      </c>
      <c r="D253" t="s">
        <v>46</v>
      </c>
      <c r="E253">
        <v>20411454</v>
      </c>
      <c r="F253" t="s">
        <v>1091</v>
      </c>
      <c r="G253" t="s">
        <v>50</v>
      </c>
      <c r="H253" s="1">
        <v>45566</v>
      </c>
      <c r="I253" s="1">
        <v>45823</v>
      </c>
      <c r="J253" t="s">
        <v>52</v>
      </c>
      <c r="K253" s="2">
        <v>1</v>
      </c>
      <c r="L253" s="2">
        <v>1</v>
      </c>
      <c r="M253" s="3">
        <v>1</v>
      </c>
      <c r="N253" s="2">
        <v>9</v>
      </c>
      <c r="O253" t="s">
        <v>1077</v>
      </c>
    </row>
    <row r="254" spans="1:15" x14ac:dyDescent="0.25">
      <c r="A254" s="8" t="s">
        <v>973</v>
      </c>
      <c r="B254" s="8" t="str">
        <f t="shared" si="8"/>
        <v>00022070044K0</v>
      </c>
      <c r="C254" t="s">
        <v>290</v>
      </c>
      <c r="D254" t="s">
        <v>46</v>
      </c>
      <c r="E254">
        <v>20411454</v>
      </c>
      <c r="F254" t="s">
        <v>1091</v>
      </c>
      <c r="G254" t="s">
        <v>50</v>
      </c>
      <c r="H254" s="1">
        <v>45597</v>
      </c>
      <c r="I254" s="1">
        <v>45823</v>
      </c>
      <c r="J254" t="s">
        <v>52</v>
      </c>
      <c r="K254" s="2">
        <v>1</v>
      </c>
      <c r="L254" s="2">
        <v>1</v>
      </c>
      <c r="M254" s="3">
        <v>1</v>
      </c>
      <c r="N254" s="2">
        <v>9</v>
      </c>
      <c r="O254" t="s">
        <v>1077</v>
      </c>
    </row>
    <row r="255" spans="1:15" x14ac:dyDescent="0.25">
      <c r="A255" s="8" t="s">
        <v>974</v>
      </c>
      <c r="B255" s="8" t="str">
        <f t="shared" si="8"/>
        <v>00022074715K0</v>
      </c>
      <c r="C255" t="s">
        <v>292</v>
      </c>
      <c r="D255" t="s">
        <v>46</v>
      </c>
      <c r="E255">
        <v>20411454</v>
      </c>
      <c r="F255" t="s">
        <v>1091</v>
      </c>
      <c r="G255" t="s">
        <v>50</v>
      </c>
      <c r="H255" s="1">
        <v>45627</v>
      </c>
      <c r="I255" s="1">
        <v>45823</v>
      </c>
      <c r="J255" t="s">
        <v>52</v>
      </c>
      <c r="K255" s="2">
        <v>1</v>
      </c>
      <c r="L255" s="2">
        <v>1</v>
      </c>
      <c r="M255" s="3">
        <v>1</v>
      </c>
      <c r="N255" s="2">
        <v>9</v>
      </c>
      <c r="O255" t="s">
        <v>1077</v>
      </c>
    </row>
    <row r="256" spans="1:15" x14ac:dyDescent="0.25">
      <c r="A256" s="8" t="s">
        <v>975</v>
      </c>
      <c r="B256" s="8" t="str">
        <f t="shared" si="8"/>
        <v>00022077041K0</v>
      </c>
      <c r="C256" t="s">
        <v>294</v>
      </c>
      <c r="D256" t="s">
        <v>46</v>
      </c>
      <c r="E256">
        <v>20411454</v>
      </c>
      <c r="F256" t="s">
        <v>1091</v>
      </c>
      <c r="G256" t="s">
        <v>50</v>
      </c>
      <c r="H256" s="1">
        <v>45566</v>
      </c>
      <c r="I256" s="1">
        <v>45823</v>
      </c>
      <c r="J256" t="s">
        <v>52</v>
      </c>
      <c r="K256" s="2">
        <v>1</v>
      </c>
      <c r="L256" s="2">
        <v>1</v>
      </c>
      <c r="M256" s="3">
        <v>1</v>
      </c>
      <c r="N256" s="2">
        <v>9</v>
      </c>
      <c r="O256" t="s">
        <v>1077</v>
      </c>
    </row>
    <row r="257" spans="1:15" x14ac:dyDescent="0.25">
      <c r="A257" s="8" t="s">
        <v>976</v>
      </c>
      <c r="B257" s="8" t="str">
        <f t="shared" si="8"/>
        <v>00022077130K0</v>
      </c>
      <c r="C257" t="s">
        <v>296</v>
      </c>
      <c r="D257" t="s">
        <v>46</v>
      </c>
      <c r="E257">
        <v>20411454</v>
      </c>
      <c r="F257" t="s">
        <v>1091</v>
      </c>
      <c r="G257" t="s">
        <v>50</v>
      </c>
      <c r="H257" s="1">
        <v>45597</v>
      </c>
      <c r="I257" s="1">
        <v>45823</v>
      </c>
      <c r="J257" t="s">
        <v>52</v>
      </c>
      <c r="K257" s="2">
        <v>1</v>
      </c>
      <c r="L257" s="2">
        <v>1</v>
      </c>
      <c r="M257" s="3">
        <v>1</v>
      </c>
      <c r="N257" s="2">
        <v>9</v>
      </c>
      <c r="O257" t="s">
        <v>1077</v>
      </c>
    </row>
    <row r="258" spans="1:15" x14ac:dyDescent="0.25">
      <c r="A258" s="8" t="s">
        <v>977</v>
      </c>
      <c r="B258" s="8" t="str">
        <f t="shared" si="8"/>
        <v>00022077277K0</v>
      </c>
      <c r="C258" t="s">
        <v>298</v>
      </c>
      <c r="D258" t="s">
        <v>46</v>
      </c>
      <c r="E258">
        <v>20411454</v>
      </c>
      <c r="F258" t="s">
        <v>1091</v>
      </c>
      <c r="G258" t="s">
        <v>50</v>
      </c>
      <c r="H258" s="1">
        <v>45566</v>
      </c>
      <c r="I258" s="1">
        <v>45823</v>
      </c>
      <c r="J258" t="s">
        <v>52</v>
      </c>
      <c r="K258" s="2">
        <v>1</v>
      </c>
      <c r="L258" s="2">
        <v>1</v>
      </c>
      <c r="M258" s="3">
        <v>1</v>
      </c>
      <c r="N258" s="2">
        <v>9</v>
      </c>
      <c r="O258" t="s">
        <v>1077</v>
      </c>
    </row>
    <row r="259" spans="1:15" x14ac:dyDescent="0.25">
      <c r="A259" s="8" t="s">
        <v>978</v>
      </c>
      <c r="B259" s="8" t="str">
        <f t="shared" si="8"/>
        <v>00022078841K0</v>
      </c>
      <c r="C259" t="s">
        <v>300</v>
      </c>
      <c r="D259" t="s">
        <v>46</v>
      </c>
      <c r="E259">
        <v>20411454</v>
      </c>
      <c r="F259" t="s">
        <v>1091</v>
      </c>
      <c r="G259" t="s">
        <v>50</v>
      </c>
      <c r="H259" s="1">
        <v>45627</v>
      </c>
      <c r="I259" s="1">
        <v>45823</v>
      </c>
      <c r="J259" t="s">
        <v>52</v>
      </c>
      <c r="K259" s="2">
        <v>1</v>
      </c>
      <c r="L259" s="2">
        <v>1</v>
      </c>
      <c r="M259" s="3">
        <v>1</v>
      </c>
      <c r="N259" s="2">
        <v>9</v>
      </c>
      <c r="O259" t="s">
        <v>1077</v>
      </c>
    </row>
    <row r="260" spans="1:15" x14ac:dyDescent="0.25">
      <c r="A260" s="8" t="s">
        <v>979</v>
      </c>
      <c r="B260" s="8" t="str">
        <f t="shared" si="8"/>
        <v>00022082807K0</v>
      </c>
      <c r="C260" t="s">
        <v>302</v>
      </c>
      <c r="D260" t="s">
        <v>46</v>
      </c>
      <c r="E260">
        <v>20411454</v>
      </c>
      <c r="F260" t="s">
        <v>1091</v>
      </c>
      <c r="G260" t="s">
        <v>50</v>
      </c>
      <c r="H260" s="1">
        <v>45566</v>
      </c>
      <c r="I260" s="1">
        <v>45823</v>
      </c>
      <c r="J260" t="s">
        <v>52</v>
      </c>
      <c r="K260" s="2">
        <v>1</v>
      </c>
      <c r="L260" s="2">
        <v>1</v>
      </c>
      <c r="M260" s="3">
        <v>1</v>
      </c>
      <c r="N260" s="2">
        <v>9</v>
      </c>
      <c r="O260" t="s">
        <v>1077</v>
      </c>
    </row>
    <row r="261" spans="1:15" x14ac:dyDescent="0.25">
      <c r="A261" s="8" t="s">
        <v>980</v>
      </c>
      <c r="B261" s="8" t="str">
        <f t="shared" si="8"/>
        <v>00022083688K0</v>
      </c>
      <c r="C261" t="s">
        <v>304</v>
      </c>
      <c r="D261" t="s">
        <v>46</v>
      </c>
      <c r="E261">
        <v>20411454</v>
      </c>
      <c r="F261" t="s">
        <v>1091</v>
      </c>
      <c r="G261" t="s">
        <v>50</v>
      </c>
      <c r="H261" s="1">
        <v>45566</v>
      </c>
      <c r="I261" s="1">
        <v>45823</v>
      </c>
      <c r="J261" t="s">
        <v>52</v>
      </c>
      <c r="K261" s="2">
        <v>1</v>
      </c>
      <c r="L261" s="2">
        <v>1</v>
      </c>
      <c r="M261" s="3">
        <v>1</v>
      </c>
      <c r="N261" s="2">
        <v>9</v>
      </c>
      <c r="O261" t="s">
        <v>1077</v>
      </c>
    </row>
    <row r="262" spans="1:15" x14ac:dyDescent="0.25">
      <c r="A262" s="8" t="s">
        <v>981</v>
      </c>
      <c r="B262" s="8" t="str">
        <f t="shared" si="8"/>
        <v>00022084599K0</v>
      </c>
      <c r="C262" t="s">
        <v>308</v>
      </c>
      <c r="D262" t="s">
        <v>46</v>
      </c>
      <c r="E262">
        <v>20411454</v>
      </c>
      <c r="F262" t="s">
        <v>1091</v>
      </c>
      <c r="G262" t="s">
        <v>50</v>
      </c>
      <c r="H262" s="1">
        <v>45566</v>
      </c>
      <c r="I262" s="1">
        <v>45823</v>
      </c>
      <c r="J262" t="s">
        <v>52</v>
      </c>
      <c r="K262" s="2">
        <v>1</v>
      </c>
      <c r="L262" s="2">
        <v>1</v>
      </c>
      <c r="M262" s="3">
        <v>1</v>
      </c>
      <c r="N262" s="2">
        <v>9</v>
      </c>
      <c r="O262" t="s">
        <v>1077</v>
      </c>
    </row>
    <row r="263" spans="1:15" x14ac:dyDescent="0.25">
      <c r="A263" s="8" t="s">
        <v>982</v>
      </c>
      <c r="B263" s="8" t="str">
        <f t="shared" si="8"/>
        <v>00022085271K0</v>
      </c>
      <c r="C263" t="s">
        <v>310</v>
      </c>
      <c r="D263" t="s">
        <v>46</v>
      </c>
      <c r="E263">
        <v>20411454</v>
      </c>
      <c r="F263" t="s">
        <v>1091</v>
      </c>
      <c r="G263" t="s">
        <v>50</v>
      </c>
      <c r="H263" s="1">
        <v>45597</v>
      </c>
      <c r="I263" s="1">
        <v>45823</v>
      </c>
      <c r="J263" t="s">
        <v>52</v>
      </c>
      <c r="K263" s="2">
        <v>1</v>
      </c>
      <c r="L263" s="2">
        <v>1</v>
      </c>
      <c r="M263" s="3">
        <v>1</v>
      </c>
      <c r="N263" s="2">
        <v>9</v>
      </c>
      <c r="O263" t="s">
        <v>1077</v>
      </c>
    </row>
    <row r="264" spans="1:15" x14ac:dyDescent="0.25">
      <c r="A264" s="8" t="s">
        <v>983</v>
      </c>
      <c r="B264" s="8" t="str">
        <f t="shared" si="8"/>
        <v>00022085971K0</v>
      </c>
      <c r="C264" t="s">
        <v>312</v>
      </c>
      <c r="D264" t="s">
        <v>46</v>
      </c>
      <c r="E264">
        <v>20411454</v>
      </c>
      <c r="F264" t="s">
        <v>1091</v>
      </c>
      <c r="G264" t="s">
        <v>50</v>
      </c>
      <c r="H264" s="1">
        <v>45566</v>
      </c>
      <c r="I264" s="1">
        <v>45823</v>
      </c>
      <c r="J264" t="s">
        <v>52</v>
      </c>
      <c r="K264" s="2">
        <v>1</v>
      </c>
      <c r="L264" s="2">
        <v>1</v>
      </c>
      <c r="M264" s="3">
        <v>1</v>
      </c>
      <c r="N264" s="2">
        <v>9</v>
      </c>
      <c r="O264" t="s">
        <v>1077</v>
      </c>
    </row>
    <row r="265" spans="1:15" x14ac:dyDescent="0.25">
      <c r="A265" s="8" t="s">
        <v>984</v>
      </c>
      <c r="B265" s="8" t="str">
        <f t="shared" si="8"/>
        <v>00022087983K0</v>
      </c>
      <c r="C265" t="s">
        <v>314</v>
      </c>
      <c r="D265" t="s">
        <v>46</v>
      </c>
      <c r="E265">
        <v>20411454</v>
      </c>
      <c r="F265" t="s">
        <v>1091</v>
      </c>
      <c r="G265" t="s">
        <v>50</v>
      </c>
      <c r="H265" s="1">
        <v>45566</v>
      </c>
      <c r="I265" s="1">
        <v>45823</v>
      </c>
      <c r="J265" t="s">
        <v>52</v>
      </c>
      <c r="K265" s="2">
        <v>1</v>
      </c>
      <c r="L265" s="2">
        <v>1</v>
      </c>
      <c r="M265" s="3">
        <v>1</v>
      </c>
      <c r="N265" s="2">
        <v>9</v>
      </c>
      <c r="O265" t="s">
        <v>1077</v>
      </c>
    </row>
    <row r="266" spans="1:15" x14ac:dyDescent="0.25">
      <c r="A266" s="8" t="s">
        <v>985</v>
      </c>
      <c r="B266" s="8" t="str">
        <f t="shared" si="8"/>
        <v>00022088151K0</v>
      </c>
      <c r="C266" t="s">
        <v>316</v>
      </c>
      <c r="D266" t="s">
        <v>46</v>
      </c>
      <c r="E266">
        <v>20411454</v>
      </c>
      <c r="F266" t="s">
        <v>1091</v>
      </c>
      <c r="G266" t="s">
        <v>50</v>
      </c>
      <c r="H266" s="1">
        <v>45566</v>
      </c>
      <c r="I266" s="1">
        <v>45823</v>
      </c>
      <c r="J266" t="s">
        <v>52</v>
      </c>
      <c r="K266" s="2">
        <v>1</v>
      </c>
      <c r="L266" s="2">
        <v>1</v>
      </c>
      <c r="M266" s="3">
        <v>1</v>
      </c>
      <c r="N266" s="2">
        <v>9</v>
      </c>
      <c r="O266" t="s">
        <v>1077</v>
      </c>
    </row>
    <row r="267" spans="1:15" x14ac:dyDescent="0.25">
      <c r="A267" s="8" t="s">
        <v>986</v>
      </c>
      <c r="B267" s="8" t="str">
        <f t="shared" si="8"/>
        <v>00022092926K0</v>
      </c>
      <c r="C267" t="s">
        <v>318</v>
      </c>
      <c r="D267" t="s">
        <v>46</v>
      </c>
      <c r="E267">
        <v>20411454</v>
      </c>
      <c r="F267" t="s">
        <v>1091</v>
      </c>
      <c r="G267" t="s">
        <v>50</v>
      </c>
      <c r="H267" s="1">
        <v>45566</v>
      </c>
      <c r="I267" s="1">
        <v>45823</v>
      </c>
      <c r="J267" t="s">
        <v>52</v>
      </c>
      <c r="K267" s="2">
        <v>1</v>
      </c>
      <c r="L267" s="2">
        <v>1</v>
      </c>
      <c r="M267" s="3">
        <v>1</v>
      </c>
      <c r="N267" s="2">
        <v>9</v>
      </c>
      <c r="O267" t="s">
        <v>1077</v>
      </c>
    </row>
    <row r="268" spans="1:15" x14ac:dyDescent="0.25">
      <c r="A268" s="8" t="s">
        <v>987</v>
      </c>
      <c r="B268" s="8" t="str">
        <f t="shared" si="8"/>
        <v>00022094137K0</v>
      </c>
      <c r="C268" t="s">
        <v>320</v>
      </c>
      <c r="D268" t="s">
        <v>46</v>
      </c>
      <c r="E268">
        <v>20411454</v>
      </c>
      <c r="F268" t="s">
        <v>1091</v>
      </c>
      <c r="G268" t="s">
        <v>50</v>
      </c>
      <c r="H268" s="1">
        <v>45597</v>
      </c>
      <c r="I268" s="1">
        <v>45823</v>
      </c>
      <c r="J268" t="s">
        <v>52</v>
      </c>
      <c r="K268" s="2">
        <v>1</v>
      </c>
      <c r="L268" s="2">
        <v>1</v>
      </c>
      <c r="M268" s="3">
        <v>1</v>
      </c>
      <c r="N268" s="2">
        <v>9</v>
      </c>
      <c r="O268" t="s">
        <v>1077</v>
      </c>
    </row>
    <row r="269" spans="1:15" x14ac:dyDescent="0.25">
      <c r="A269" s="8" t="s">
        <v>988</v>
      </c>
      <c r="B269" s="8" t="s">
        <v>988</v>
      </c>
      <c r="C269" t="s">
        <v>322</v>
      </c>
      <c r="D269" t="s">
        <v>46</v>
      </c>
      <c r="E269">
        <v>20411454</v>
      </c>
      <c r="F269" t="s">
        <v>1091</v>
      </c>
      <c r="G269" t="s">
        <v>50</v>
      </c>
      <c r="H269" s="1">
        <v>45597</v>
      </c>
      <c r="I269" s="1">
        <v>45823</v>
      </c>
      <c r="J269" t="s">
        <v>52</v>
      </c>
      <c r="K269" s="2">
        <v>1</v>
      </c>
      <c r="L269" s="2">
        <v>1</v>
      </c>
      <c r="M269" s="3">
        <v>1</v>
      </c>
      <c r="N269" s="2">
        <v>9</v>
      </c>
      <c r="O269" t="s">
        <v>1077</v>
      </c>
    </row>
    <row r="270" spans="1:15" x14ac:dyDescent="0.25">
      <c r="A270" s="8" t="s">
        <v>989</v>
      </c>
      <c r="B270" s="8" t="s">
        <v>989</v>
      </c>
      <c r="C270" t="s">
        <v>325</v>
      </c>
      <c r="D270" t="s">
        <v>46</v>
      </c>
      <c r="E270">
        <v>20411454</v>
      </c>
      <c r="F270" t="s">
        <v>1091</v>
      </c>
      <c r="G270" t="s">
        <v>50</v>
      </c>
      <c r="H270" s="1">
        <v>45597</v>
      </c>
      <c r="I270" s="1">
        <v>45823</v>
      </c>
      <c r="J270" t="s">
        <v>52</v>
      </c>
      <c r="K270" s="2">
        <v>1</v>
      </c>
      <c r="L270" s="2">
        <v>1</v>
      </c>
      <c r="M270" s="3">
        <v>1</v>
      </c>
      <c r="N270" s="2">
        <v>9</v>
      </c>
      <c r="O270" t="s">
        <v>1077</v>
      </c>
    </row>
    <row r="271" spans="1:15" x14ac:dyDescent="0.25">
      <c r="A271" s="8" t="s">
        <v>990</v>
      </c>
      <c r="B271" s="8" t="str">
        <f>CONCATENATE(A271,0)</f>
        <v>00022094990K0</v>
      </c>
      <c r="C271" t="s">
        <v>328</v>
      </c>
      <c r="D271" t="s">
        <v>46</v>
      </c>
      <c r="E271">
        <v>20411454</v>
      </c>
      <c r="F271" t="s">
        <v>1091</v>
      </c>
      <c r="G271" t="s">
        <v>50</v>
      </c>
      <c r="H271" s="1">
        <v>45566</v>
      </c>
      <c r="I271" s="1">
        <v>45823</v>
      </c>
      <c r="J271" t="s">
        <v>52</v>
      </c>
      <c r="K271" s="2">
        <v>1</v>
      </c>
      <c r="L271" s="2">
        <v>1</v>
      </c>
      <c r="M271" s="3">
        <v>1</v>
      </c>
      <c r="N271" s="2">
        <v>9</v>
      </c>
      <c r="O271" t="s">
        <v>1077</v>
      </c>
    </row>
    <row r="272" spans="1:15" x14ac:dyDescent="0.25">
      <c r="A272" s="8" t="s">
        <v>991</v>
      </c>
      <c r="B272" s="8" t="s">
        <v>991</v>
      </c>
      <c r="C272" t="s">
        <v>330</v>
      </c>
      <c r="D272" t="s">
        <v>46</v>
      </c>
      <c r="E272">
        <v>20411454</v>
      </c>
      <c r="F272" t="s">
        <v>1091</v>
      </c>
      <c r="G272" t="s">
        <v>50</v>
      </c>
      <c r="H272" s="1">
        <v>45597</v>
      </c>
      <c r="I272" s="1">
        <v>45823</v>
      </c>
      <c r="J272" t="s">
        <v>52</v>
      </c>
      <c r="K272" s="2">
        <v>1</v>
      </c>
      <c r="L272" s="2">
        <v>1</v>
      </c>
      <c r="M272" s="3">
        <v>1</v>
      </c>
      <c r="N272" s="2">
        <v>9</v>
      </c>
      <c r="O272" t="s">
        <v>1077</v>
      </c>
    </row>
    <row r="273" spans="1:15" x14ac:dyDescent="0.25">
      <c r="A273" s="8" t="s">
        <v>992</v>
      </c>
      <c r="B273" s="8" t="s">
        <v>992</v>
      </c>
      <c r="C273" t="s">
        <v>333</v>
      </c>
      <c r="D273" t="s">
        <v>46</v>
      </c>
      <c r="E273">
        <v>20411454</v>
      </c>
      <c r="F273" t="s">
        <v>1091</v>
      </c>
      <c r="G273" t="s">
        <v>50</v>
      </c>
      <c r="H273" s="1">
        <v>45597</v>
      </c>
      <c r="I273" s="1">
        <v>45823</v>
      </c>
      <c r="J273" t="s">
        <v>52</v>
      </c>
      <c r="K273" s="2">
        <v>1</v>
      </c>
      <c r="L273" s="2">
        <v>1</v>
      </c>
      <c r="M273" s="3">
        <v>1</v>
      </c>
      <c r="N273" s="2">
        <v>9</v>
      </c>
      <c r="O273" t="s">
        <v>1077</v>
      </c>
    </row>
    <row r="274" spans="1:15" x14ac:dyDescent="0.25">
      <c r="A274" s="8" t="s">
        <v>993</v>
      </c>
      <c r="B274" s="8" t="s">
        <v>993</v>
      </c>
      <c r="C274" t="s">
        <v>336</v>
      </c>
      <c r="D274" t="s">
        <v>46</v>
      </c>
      <c r="E274">
        <v>20411454</v>
      </c>
      <c r="F274" t="s">
        <v>1091</v>
      </c>
      <c r="G274" t="s">
        <v>50</v>
      </c>
      <c r="H274" s="1">
        <v>45597</v>
      </c>
      <c r="I274" s="1">
        <v>45823</v>
      </c>
      <c r="J274" t="s">
        <v>52</v>
      </c>
      <c r="K274" s="2">
        <v>1</v>
      </c>
      <c r="L274" s="2">
        <v>1</v>
      </c>
      <c r="M274" s="3">
        <v>1</v>
      </c>
      <c r="N274" s="2">
        <v>9</v>
      </c>
      <c r="O274" t="s">
        <v>1077</v>
      </c>
    </row>
    <row r="275" spans="1:15" x14ac:dyDescent="0.25">
      <c r="A275" s="8" t="s">
        <v>994</v>
      </c>
      <c r="B275" s="8" t="str">
        <f t="shared" ref="B275:B310" si="9">CONCATENATE(A275,0)</f>
        <v>00022105983K0</v>
      </c>
      <c r="C275" t="s">
        <v>339</v>
      </c>
      <c r="D275" t="s">
        <v>46</v>
      </c>
      <c r="E275">
        <v>20411454</v>
      </c>
      <c r="F275" t="s">
        <v>1091</v>
      </c>
      <c r="G275" t="s">
        <v>50</v>
      </c>
      <c r="H275" s="1">
        <v>45627</v>
      </c>
      <c r="I275" s="1">
        <v>45823</v>
      </c>
      <c r="J275" t="s">
        <v>52</v>
      </c>
      <c r="K275" s="2">
        <v>1</v>
      </c>
      <c r="L275" s="2">
        <v>1</v>
      </c>
      <c r="M275" s="3">
        <v>1</v>
      </c>
      <c r="N275" s="2">
        <v>9</v>
      </c>
      <c r="O275" t="s">
        <v>1077</v>
      </c>
    </row>
    <row r="276" spans="1:15" x14ac:dyDescent="0.25">
      <c r="A276" s="8" t="s">
        <v>995</v>
      </c>
      <c r="B276" s="8" t="str">
        <f t="shared" si="9"/>
        <v>00022106958K0</v>
      </c>
      <c r="C276" t="s">
        <v>341</v>
      </c>
      <c r="D276" t="s">
        <v>46</v>
      </c>
      <c r="E276">
        <v>20411454</v>
      </c>
      <c r="F276" t="s">
        <v>1091</v>
      </c>
      <c r="G276" t="s">
        <v>50</v>
      </c>
      <c r="H276" s="1">
        <v>45627</v>
      </c>
      <c r="I276" s="1">
        <v>45823</v>
      </c>
      <c r="J276" t="s">
        <v>52</v>
      </c>
      <c r="K276" s="2">
        <v>1</v>
      </c>
      <c r="L276" s="2">
        <v>1</v>
      </c>
      <c r="M276" s="3">
        <v>1</v>
      </c>
      <c r="N276" s="2">
        <v>9</v>
      </c>
      <c r="O276" t="s">
        <v>1077</v>
      </c>
    </row>
    <row r="277" spans="1:15" x14ac:dyDescent="0.25">
      <c r="A277" s="8" t="s">
        <v>996</v>
      </c>
      <c r="B277" s="8" t="str">
        <f t="shared" si="9"/>
        <v>00022107554K0</v>
      </c>
      <c r="C277" t="s">
        <v>343</v>
      </c>
      <c r="D277" t="s">
        <v>46</v>
      </c>
      <c r="E277">
        <v>20411454</v>
      </c>
      <c r="F277" t="s">
        <v>1091</v>
      </c>
      <c r="G277" t="s">
        <v>50</v>
      </c>
      <c r="H277" s="1">
        <v>45566</v>
      </c>
      <c r="I277" s="1">
        <v>45823</v>
      </c>
      <c r="J277" t="s">
        <v>52</v>
      </c>
      <c r="K277" s="2">
        <v>1</v>
      </c>
      <c r="L277" s="2">
        <v>1</v>
      </c>
      <c r="M277" s="3">
        <v>1</v>
      </c>
      <c r="N277" s="2">
        <v>9</v>
      </c>
      <c r="O277" t="s">
        <v>1077</v>
      </c>
    </row>
    <row r="278" spans="1:15" x14ac:dyDescent="0.25">
      <c r="A278" s="8" t="s">
        <v>997</v>
      </c>
      <c r="B278" s="8" t="str">
        <f t="shared" si="9"/>
        <v>00022112017K0</v>
      </c>
      <c r="C278" t="s">
        <v>345</v>
      </c>
      <c r="D278" t="s">
        <v>46</v>
      </c>
      <c r="E278">
        <v>20411454</v>
      </c>
      <c r="F278" t="s">
        <v>1091</v>
      </c>
      <c r="G278" t="s">
        <v>50</v>
      </c>
      <c r="H278" s="1">
        <v>45597</v>
      </c>
      <c r="I278" s="1">
        <v>45823</v>
      </c>
      <c r="J278" t="s">
        <v>52</v>
      </c>
      <c r="K278" s="2">
        <v>1</v>
      </c>
      <c r="L278" s="2">
        <v>1</v>
      </c>
      <c r="M278" s="3">
        <v>1</v>
      </c>
      <c r="N278" s="2">
        <v>9</v>
      </c>
      <c r="O278" t="s">
        <v>1077</v>
      </c>
    </row>
    <row r="279" spans="1:15" x14ac:dyDescent="0.25">
      <c r="A279" s="8" t="s">
        <v>998</v>
      </c>
      <c r="B279" s="8" t="str">
        <f t="shared" si="9"/>
        <v>00022121084K0</v>
      </c>
      <c r="C279" t="s">
        <v>347</v>
      </c>
      <c r="D279" t="s">
        <v>46</v>
      </c>
      <c r="E279">
        <v>20411454</v>
      </c>
      <c r="F279" t="s">
        <v>1091</v>
      </c>
      <c r="G279" t="s">
        <v>50</v>
      </c>
      <c r="H279" s="1">
        <v>45597</v>
      </c>
      <c r="I279" s="1">
        <v>45823</v>
      </c>
      <c r="J279" t="s">
        <v>52</v>
      </c>
      <c r="K279" s="2">
        <v>1</v>
      </c>
      <c r="L279" s="2">
        <v>1</v>
      </c>
      <c r="M279" s="3">
        <v>1</v>
      </c>
      <c r="N279" s="2">
        <v>9</v>
      </c>
      <c r="O279" t="s">
        <v>1077</v>
      </c>
    </row>
    <row r="280" spans="1:15" x14ac:dyDescent="0.25">
      <c r="A280" s="8" t="s">
        <v>999</v>
      </c>
      <c r="B280" s="8" t="str">
        <f t="shared" si="9"/>
        <v>00022137026K0</v>
      </c>
      <c r="C280" t="s">
        <v>349</v>
      </c>
      <c r="D280" t="s">
        <v>46</v>
      </c>
      <c r="E280">
        <v>20411454</v>
      </c>
      <c r="F280" t="s">
        <v>1091</v>
      </c>
      <c r="G280" t="s">
        <v>50</v>
      </c>
      <c r="H280" s="1">
        <v>45597</v>
      </c>
      <c r="I280" s="1">
        <v>45823</v>
      </c>
      <c r="J280" t="s">
        <v>52</v>
      </c>
      <c r="K280" s="2">
        <v>1</v>
      </c>
      <c r="L280" s="2">
        <v>1</v>
      </c>
      <c r="M280" s="3">
        <v>1</v>
      </c>
      <c r="N280" s="2">
        <v>9</v>
      </c>
      <c r="O280" t="s">
        <v>1077</v>
      </c>
    </row>
    <row r="281" spans="1:15" x14ac:dyDescent="0.25">
      <c r="A281" s="8" t="s">
        <v>1000</v>
      </c>
      <c r="B281" s="8" t="str">
        <f t="shared" si="9"/>
        <v>00022148995K0</v>
      </c>
      <c r="C281" t="s">
        <v>351</v>
      </c>
      <c r="D281" t="s">
        <v>46</v>
      </c>
      <c r="E281">
        <v>20411454</v>
      </c>
      <c r="F281" t="s">
        <v>1091</v>
      </c>
      <c r="G281" t="s">
        <v>50</v>
      </c>
      <c r="H281" s="1">
        <v>45597</v>
      </c>
      <c r="I281" s="1">
        <v>45823</v>
      </c>
      <c r="J281" t="s">
        <v>52</v>
      </c>
      <c r="K281" s="2">
        <v>1</v>
      </c>
      <c r="L281" s="2">
        <v>1</v>
      </c>
      <c r="M281" s="3">
        <v>1</v>
      </c>
      <c r="N281" s="2">
        <v>9</v>
      </c>
      <c r="O281" t="s">
        <v>1077</v>
      </c>
    </row>
    <row r="282" spans="1:15" x14ac:dyDescent="0.25">
      <c r="A282" s="8" t="s">
        <v>1001</v>
      </c>
      <c r="B282" s="8" t="str">
        <f t="shared" si="9"/>
        <v>00022193283K0</v>
      </c>
      <c r="C282" t="s">
        <v>353</v>
      </c>
      <c r="D282" t="s">
        <v>46</v>
      </c>
      <c r="E282">
        <v>20411454</v>
      </c>
      <c r="F282" t="s">
        <v>1091</v>
      </c>
      <c r="G282" t="s">
        <v>50</v>
      </c>
      <c r="H282" s="1">
        <v>45627</v>
      </c>
      <c r="I282" s="1">
        <v>45823</v>
      </c>
      <c r="J282" t="s">
        <v>52</v>
      </c>
      <c r="K282" s="2">
        <v>1</v>
      </c>
      <c r="L282" s="2">
        <v>1</v>
      </c>
      <c r="M282" s="3">
        <v>1</v>
      </c>
      <c r="N282" s="2">
        <v>9</v>
      </c>
      <c r="O282" t="s">
        <v>1077</v>
      </c>
    </row>
    <row r="283" spans="1:15" x14ac:dyDescent="0.25">
      <c r="A283" s="8" t="s">
        <v>1002</v>
      </c>
      <c r="B283" s="8" t="str">
        <f t="shared" si="9"/>
        <v>00022198910K0</v>
      </c>
      <c r="C283" t="s">
        <v>355</v>
      </c>
      <c r="D283" t="s">
        <v>46</v>
      </c>
      <c r="E283">
        <v>20411454</v>
      </c>
      <c r="F283" t="s">
        <v>1091</v>
      </c>
      <c r="G283" t="s">
        <v>50</v>
      </c>
      <c r="H283" s="1">
        <v>45597</v>
      </c>
      <c r="I283" s="1">
        <v>45823</v>
      </c>
      <c r="J283" t="s">
        <v>52</v>
      </c>
      <c r="K283" s="2">
        <v>1</v>
      </c>
      <c r="L283" s="2">
        <v>1</v>
      </c>
      <c r="M283" s="3">
        <v>1</v>
      </c>
      <c r="N283" s="2">
        <v>9</v>
      </c>
      <c r="O283" t="s">
        <v>1077</v>
      </c>
    </row>
    <row r="284" spans="1:15" x14ac:dyDescent="0.25">
      <c r="A284" s="8" t="s">
        <v>1003</v>
      </c>
      <c r="B284" s="8" t="str">
        <f t="shared" si="9"/>
        <v>00022203514K0</v>
      </c>
      <c r="C284" t="s">
        <v>357</v>
      </c>
      <c r="D284" t="s">
        <v>46</v>
      </c>
      <c r="E284">
        <v>20411454</v>
      </c>
      <c r="F284" t="s">
        <v>1091</v>
      </c>
      <c r="G284" t="s">
        <v>50</v>
      </c>
      <c r="H284" s="1">
        <v>45597</v>
      </c>
      <c r="I284" s="1">
        <v>45823</v>
      </c>
      <c r="J284" t="s">
        <v>52</v>
      </c>
      <c r="K284" s="2">
        <v>1</v>
      </c>
      <c r="L284" s="2">
        <v>1</v>
      </c>
      <c r="M284" s="3">
        <v>1</v>
      </c>
      <c r="N284" s="2">
        <v>9</v>
      </c>
      <c r="O284" t="s">
        <v>1077</v>
      </c>
    </row>
    <row r="285" spans="1:15" x14ac:dyDescent="0.25">
      <c r="A285" s="8" t="s">
        <v>1004</v>
      </c>
      <c r="B285" s="8" t="str">
        <f t="shared" si="9"/>
        <v>00022217599K0</v>
      </c>
      <c r="C285" t="s">
        <v>359</v>
      </c>
      <c r="D285" t="s">
        <v>46</v>
      </c>
      <c r="E285">
        <v>20411454</v>
      </c>
      <c r="F285" t="s">
        <v>1091</v>
      </c>
      <c r="G285" t="s">
        <v>50</v>
      </c>
      <c r="H285" s="1">
        <v>45566</v>
      </c>
      <c r="I285" s="1">
        <v>45823</v>
      </c>
      <c r="J285" t="s">
        <v>52</v>
      </c>
      <c r="K285" s="2">
        <v>1</v>
      </c>
      <c r="L285" s="2">
        <v>1</v>
      </c>
      <c r="M285" s="3">
        <v>1</v>
      </c>
      <c r="N285" s="2">
        <v>9</v>
      </c>
      <c r="O285" t="s">
        <v>1077</v>
      </c>
    </row>
    <row r="286" spans="1:15" x14ac:dyDescent="0.25">
      <c r="A286" s="8" t="s">
        <v>1005</v>
      </c>
      <c r="B286" s="8" t="str">
        <f t="shared" si="9"/>
        <v>00022235665K0</v>
      </c>
      <c r="C286" t="s">
        <v>363</v>
      </c>
      <c r="D286" t="s">
        <v>46</v>
      </c>
      <c r="E286">
        <v>20411454</v>
      </c>
      <c r="F286" t="s">
        <v>1091</v>
      </c>
      <c r="G286" t="s">
        <v>50</v>
      </c>
      <c r="H286" s="1">
        <v>45627</v>
      </c>
      <c r="I286" s="1">
        <v>45823</v>
      </c>
      <c r="J286" t="s">
        <v>52</v>
      </c>
      <c r="K286" s="2">
        <v>1</v>
      </c>
      <c r="L286" s="2">
        <v>1</v>
      </c>
      <c r="M286" s="3">
        <v>1</v>
      </c>
      <c r="N286" s="2">
        <v>9</v>
      </c>
      <c r="O286" t="s">
        <v>1077</v>
      </c>
    </row>
    <row r="287" spans="1:15" x14ac:dyDescent="0.25">
      <c r="A287" s="8" t="s">
        <v>1006</v>
      </c>
      <c r="B287" s="8" t="str">
        <f t="shared" si="9"/>
        <v>00022241122K0</v>
      </c>
      <c r="C287" t="s">
        <v>365</v>
      </c>
      <c r="D287" t="s">
        <v>46</v>
      </c>
      <c r="E287">
        <v>20411454</v>
      </c>
      <c r="F287" t="s">
        <v>1091</v>
      </c>
      <c r="G287" t="s">
        <v>50</v>
      </c>
      <c r="H287" s="1">
        <v>45597</v>
      </c>
      <c r="I287" s="1">
        <v>45823</v>
      </c>
      <c r="J287" t="s">
        <v>52</v>
      </c>
      <c r="K287" s="2">
        <v>1</v>
      </c>
      <c r="L287" s="2">
        <v>1</v>
      </c>
      <c r="M287" s="3">
        <v>1</v>
      </c>
      <c r="N287" s="2">
        <v>9</v>
      </c>
      <c r="O287" t="s">
        <v>1077</v>
      </c>
    </row>
    <row r="288" spans="1:15" x14ac:dyDescent="0.25">
      <c r="A288" s="8" t="s">
        <v>1007</v>
      </c>
      <c r="B288" s="8" t="str">
        <f t="shared" si="9"/>
        <v>00022256745K0</v>
      </c>
      <c r="C288" t="s">
        <v>367</v>
      </c>
      <c r="D288" t="s">
        <v>46</v>
      </c>
      <c r="E288">
        <v>20411454</v>
      </c>
      <c r="F288" t="s">
        <v>1091</v>
      </c>
      <c r="G288" t="s">
        <v>50</v>
      </c>
      <c r="H288" s="1">
        <v>45597</v>
      </c>
      <c r="I288" s="1">
        <v>45823</v>
      </c>
      <c r="J288" t="s">
        <v>52</v>
      </c>
      <c r="K288" s="2">
        <v>1</v>
      </c>
      <c r="L288" s="2">
        <v>1</v>
      </c>
      <c r="M288" s="3">
        <v>1</v>
      </c>
      <c r="N288" s="2">
        <v>9</v>
      </c>
      <c r="O288" t="s">
        <v>1077</v>
      </c>
    </row>
    <row r="289" spans="1:15" x14ac:dyDescent="0.25">
      <c r="A289" s="8" t="s">
        <v>1008</v>
      </c>
      <c r="B289" s="8" t="str">
        <f t="shared" si="9"/>
        <v>00022351069K0</v>
      </c>
      <c r="C289" t="s">
        <v>369</v>
      </c>
      <c r="D289" t="s">
        <v>46</v>
      </c>
      <c r="E289">
        <v>20411454</v>
      </c>
      <c r="F289" t="s">
        <v>1091</v>
      </c>
      <c r="G289" t="s">
        <v>50</v>
      </c>
      <c r="H289" s="1">
        <v>45597</v>
      </c>
      <c r="I289" s="1">
        <v>45823</v>
      </c>
      <c r="J289" t="s">
        <v>52</v>
      </c>
      <c r="K289" s="2">
        <v>1</v>
      </c>
      <c r="L289" s="2">
        <v>1</v>
      </c>
      <c r="M289" s="3">
        <v>1</v>
      </c>
      <c r="N289" s="2">
        <v>9</v>
      </c>
      <c r="O289" t="s">
        <v>1077</v>
      </c>
    </row>
    <row r="290" spans="1:15" x14ac:dyDescent="0.25">
      <c r="A290" s="8" t="s">
        <v>1009</v>
      </c>
      <c r="B290" s="8" t="str">
        <f t="shared" si="9"/>
        <v>00022366455K0</v>
      </c>
      <c r="C290" t="s">
        <v>371</v>
      </c>
      <c r="D290" t="s">
        <v>46</v>
      </c>
      <c r="E290">
        <v>20411454</v>
      </c>
      <c r="F290" t="s">
        <v>1091</v>
      </c>
      <c r="G290" t="s">
        <v>50</v>
      </c>
      <c r="H290" s="1">
        <v>45597</v>
      </c>
      <c r="I290" s="1">
        <v>45823</v>
      </c>
      <c r="J290" t="s">
        <v>52</v>
      </c>
      <c r="K290" s="2">
        <v>1</v>
      </c>
      <c r="L290" s="2">
        <v>1</v>
      </c>
      <c r="M290" s="3">
        <v>1</v>
      </c>
      <c r="N290" s="2">
        <v>4</v>
      </c>
      <c r="O290" t="s">
        <v>1077</v>
      </c>
    </row>
    <row r="291" spans="1:15" x14ac:dyDescent="0.25">
      <c r="A291" s="8" t="s">
        <v>1010</v>
      </c>
      <c r="B291" s="8" t="str">
        <f t="shared" si="9"/>
        <v>00022386017K0</v>
      </c>
      <c r="C291" t="s">
        <v>375</v>
      </c>
      <c r="D291" t="s">
        <v>46</v>
      </c>
      <c r="E291">
        <v>20411454</v>
      </c>
      <c r="F291" t="s">
        <v>1091</v>
      </c>
      <c r="G291" t="s">
        <v>50</v>
      </c>
      <c r="H291" s="1">
        <v>45597</v>
      </c>
      <c r="I291" s="1">
        <v>45823</v>
      </c>
      <c r="J291" t="s">
        <v>52</v>
      </c>
      <c r="K291" s="2">
        <v>1</v>
      </c>
      <c r="L291" s="2">
        <v>1</v>
      </c>
      <c r="M291" s="3">
        <v>1</v>
      </c>
      <c r="N291" s="2">
        <v>9</v>
      </c>
      <c r="O291" t="s">
        <v>1077</v>
      </c>
    </row>
    <row r="292" spans="1:15" x14ac:dyDescent="0.25">
      <c r="A292" s="8" t="s">
        <v>1011</v>
      </c>
      <c r="B292" s="8" t="str">
        <f t="shared" si="9"/>
        <v>00022406995K0</v>
      </c>
      <c r="C292" t="s">
        <v>377</v>
      </c>
      <c r="D292" t="s">
        <v>46</v>
      </c>
      <c r="E292">
        <v>20411454</v>
      </c>
      <c r="F292" t="s">
        <v>1091</v>
      </c>
      <c r="G292" t="s">
        <v>50</v>
      </c>
      <c r="H292" s="1">
        <v>45627</v>
      </c>
      <c r="I292" s="1">
        <v>45823</v>
      </c>
      <c r="J292" t="s">
        <v>52</v>
      </c>
      <c r="K292" s="2">
        <v>1</v>
      </c>
      <c r="L292" s="2">
        <v>1</v>
      </c>
      <c r="M292" s="3">
        <v>1</v>
      </c>
      <c r="N292" s="2">
        <v>9</v>
      </c>
      <c r="O292" t="s">
        <v>1077</v>
      </c>
    </row>
    <row r="293" spans="1:15" x14ac:dyDescent="0.25">
      <c r="A293" s="8" t="s">
        <v>1012</v>
      </c>
      <c r="B293" s="8" t="str">
        <f t="shared" si="9"/>
        <v>00022413863K0</v>
      </c>
      <c r="C293" t="s">
        <v>379</v>
      </c>
      <c r="D293" t="s">
        <v>46</v>
      </c>
      <c r="E293">
        <v>20411454</v>
      </c>
      <c r="F293" t="s">
        <v>1091</v>
      </c>
      <c r="G293" t="s">
        <v>50</v>
      </c>
      <c r="H293" s="1">
        <v>45627</v>
      </c>
      <c r="I293" s="1">
        <v>45823</v>
      </c>
      <c r="J293" t="s">
        <v>52</v>
      </c>
      <c r="K293" s="2">
        <v>1</v>
      </c>
      <c r="L293" s="2">
        <v>1</v>
      </c>
      <c r="M293" s="3">
        <v>1</v>
      </c>
      <c r="N293" s="2">
        <v>9</v>
      </c>
      <c r="O293" t="s">
        <v>1077</v>
      </c>
    </row>
    <row r="294" spans="1:15" x14ac:dyDescent="0.25">
      <c r="A294" s="8" t="s">
        <v>1013</v>
      </c>
      <c r="B294" s="8" t="str">
        <f t="shared" si="9"/>
        <v>00022462923K0</v>
      </c>
      <c r="C294" t="s">
        <v>383</v>
      </c>
      <c r="D294" t="s">
        <v>46</v>
      </c>
      <c r="E294">
        <v>20411454</v>
      </c>
      <c r="F294" t="s">
        <v>1091</v>
      </c>
      <c r="G294" t="s">
        <v>50</v>
      </c>
      <c r="H294" s="1">
        <v>45627</v>
      </c>
      <c r="I294" s="1">
        <v>45823</v>
      </c>
      <c r="J294" t="s">
        <v>52</v>
      </c>
      <c r="K294" s="2">
        <v>1</v>
      </c>
      <c r="L294" s="2">
        <v>1</v>
      </c>
      <c r="M294" s="3">
        <v>1</v>
      </c>
      <c r="N294" s="2">
        <v>9</v>
      </c>
      <c r="O294" t="s">
        <v>1077</v>
      </c>
    </row>
    <row r="295" spans="1:15" x14ac:dyDescent="0.25">
      <c r="A295" s="8" t="s">
        <v>1014</v>
      </c>
      <c r="B295" s="8" t="str">
        <f t="shared" si="9"/>
        <v>00022466880K0</v>
      </c>
      <c r="C295" t="s">
        <v>385</v>
      </c>
      <c r="D295" t="s">
        <v>46</v>
      </c>
      <c r="E295">
        <v>20411454</v>
      </c>
      <c r="F295" t="s">
        <v>1091</v>
      </c>
      <c r="G295" t="s">
        <v>50</v>
      </c>
      <c r="H295" s="1">
        <v>45627</v>
      </c>
      <c r="I295" s="1">
        <v>45823</v>
      </c>
      <c r="J295" t="s">
        <v>52</v>
      </c>
      <c r="K295" s="2">
        <v>1</v>
      </c>
      <c r="L295" s="2">
        <v>1</v>
      </c>
      <c r="M295" s="3">
        <v>1</v>
      </c>
      <c r="N295" s="2">
        <v>9</v>
      </c>
      <c r="O295" t="s">
        <v>1077</v>
      </c>
    </row>
    <row r="296" spans="1:15" x14ac:dyDescent="0.25">
      <c r="A296" s="8" t="s">
        <v>1015</v>
      </c>
      <c r="B296" s="8" t="str">
        <f t="shared" si="9"/>
        <v>00022498051K0</v>
      </c>
      <c r="C296" t="s">
        <v>387</v>
      </c>
      <c r="D296" t="s">
        <v>46</v>
      </c>
      <c r="E296">
        <v>20411454</v>
      </c>
      <c r="F296" t="s">
        <v>1091</v>
      </c>
      <c r="G296" t="s">
        <v>50</v>
      </c>
      <c r="H296" s="1">
        <v>45627</v>
      </c>
      <c r="I296" s="1">
        <v>45823</v>
      </c>
      <c r="J296" t="s">
        <v>52</v>
      </c>
      <c r="K296" s="2">
        <v>1</v>
      </c>
      <c r="L296" s="2">
        <v>1</v>
      </c>
      <c r="M296" s="3">
        <v>1</v>
      </c>
      <c r="N296" s="2">
        <v>9</v>
      </c>
      <c r="O296" t="s">
        <v>1077</v>
      </c>
    </row>
    <row r="297" spans="1:15" x14ac:dyDescent="0.25">
      <c r="A297" s="8" t="s">
        <v>1016</v>
      </c>
      <c r="B297" s="8" t="str">
        <f t="shared" si="9"/>
        <v>00022524693K0</v>
      </c>
      <c r="C297" t="s">
        <v>389</v>
      </c>
      <c r="D297" t="s">
        <v>46</v>
      </c>
      <c r="E297">
        <v>20411454</v>
      </c>
      <c r="F297" t="s">
        <v>1091</v>
      </c>
      <c r="G297" t="s">
        <v>50</v>
      </c>
      <c r="H297" s="1">
        <v>45627</v>
      </c>
      <c r="I297" s="1">
        <v>45823</v>
      </c>
      <c r="J297" t="s">
        <v>52</v>
      </c>
      <c r="K297" s="2">
        <v>1</v>
      </c>
      <c r="L297" s="2">
        <v>1</v>
      </c>
      <c r="M297" s="3">
        <v>1</v>
      </c>
      <c r="N297" s="2">
        <v>9</v>
      </c>
      <c r="O297" t="s">
        <v>1077</v>
      </c>
    </row>
    <row r="298" spans="1:15" x14ac:dyDescent="0.25">
      <c r="A298" s="8" t="s">
        <v>1017</v>
      </c>
      <c r="B298" s="8" t="str">
        <f t="shared" si="9"/>
        <v>00022571242K0</v>
      </c>
      <c r="C298" t="s">
        <v>391</v>
      </c>
      <c r="D298" t="s">
        <v>46</v>
      </c>
      <c r="E298">
        <v>20411454</v>
      </c>
      <c r="F298" t="s">
        <v>1091</v>
      </c>
      <c r="G298" t="s">
        <v>50</v>
      </c>
      <c r="H298" s="1">
        <v>45627</v>
      </c>
      <c r="I298" s="1">
        <v>45823</v>
      </c>
      <c r="J298" t="s">
        <v>52</v>
      </c>
      <c r="K298" s="2">
        <v>1</v>
      </c>
      <c r="L298" s="2">
        <v>1</v>
      </c>
      <c r="M298" s="3">
        <v>1</v>
      </c>
      <c r="N298" s="2">
        <v>9</v>
      </c>
      <c r="O298" t="s">
        <v>1077</v>
      </c>
    </row>
    <row r="299" spans="1:15" x14ac:dyDescent="0.25">
      <c r="A299" s="8" t="s">
        <v>1018</v>
      </c>
      <c r="B299" s="8" t="str">
        <f t="shared" si="9"/>
        <v>00022602838K0</v>
      </c>
      <c r="C299" t="s">
        <v>393</v>
      </c>
      <c r="D299" t="s">
        <v>46</v>
      </c>
      <c r="E299">
        <v>20411454</v>
      </c>
      <c r="F299" t="s">
        <v>1091</v>
      </c>
      <c r="G299" t="s">
        <v>50</v>
      </c>
      <c r="H299" s="1">
        <v>45627</v>
      </c>
      <c r="I299" s="1">
        <v>45823</v>
      </c>
      <c r="J299" t="s">
        <v>52</v>
      </c>
      <c r="K299" s="2">
        <v>1</v>
      </c>
      <c r="L299" s="2">
        <v>1</v>
      </c>
      <c r="M299" s="3">
        <v>1</v>
      </c>
      <c r="N299" s="2">
        <v>9</v>
      </c>
      <c r="O299" t="s">
        <v>1077</v>
      </c>
    </row>
    <row r="300" spans="1:15" x14ac:dyDescent="0.25">
      <c r="A300" s="8" t="s">
        <v>1019</v>
      </c>
      <c r="B300" s="8" t="str">
        <f t="shared" si="9"/>
        <v>00022627896K0</v>
      </c>
      <c r="C300" t="s">
        <v>395</v>
      </c>
      <c r="D300" t="s">
        <v>46</v>
      </c>
      <c r="E300">
        <v>20411454</v>
      </c>
      <c r="F300" t="s">
        <v>1091</v>
      </c>
      <c r="G300" t="s">
        <v>50</v>
      </c>
      <c r="H300" s="1">
        <v>45627</v>
      </c>
      <c r="I300" s="1">
        <v>45823</v>
      </c>
      <c r="J300" t="s">
        <v>52</v>
      </c>
      <c r="K300" s="2">
        <v>1</v>
      </c>
      <c r="L300" s="2">
        <v>1</v>
      </c>
      <c r="M300" s="3">
        <v>1</v>
      </c>
      <c r="N300" s="2">
        <v>9</v>
      </c>
      <c r="O300" t="s">
        <v>1077</v>
      </c>
    </row>
    <row r="301" spans="1:15" x14ac:dyDescent="0.25">
      <c r="A301" s="8" t="s">
        <v>1020</v>
      </c>
      <c r="B301" s="8" t="str">
        <f t="shared" si="9"/>
        <v>00022643625K0</v>
      </c>
      <c r="C301" t="s">
        <v>397</v>
      </c>
      <c r="D301" t="s">
        <v>46</v>
      </c>
      <c r="E301">
        <v>20411454</v>
      </c>
      <c r="F301" t="s">
        <v>1091</v>
      </c>
      <c r="G301" t="s">
        <v>50</v>
      </c>
      <c r="H301" s="1">
        <v>45627</v>
      </c>
      <c r="I301" s="1">
        <v>45823</v>
      </c>
      <c r="J301" t="s">
        <v>52</v>
      </c>
      <c r="K301" s="2">
        <v>1</v>
      </c>
      <c r="L301" s="2">
        <v>1</v>
      </c>
      <c r="M301" s="3">
        <v>1</v>
      </c>
      <c r="N301" s="2">
        <v>9</v>
      </c>
      <c r="O301" t="s">
        <v>1077</v>
      </c>
    </row>
    <row r="302" spans="1:15" x14ac:dyDescent="0.25">
      <c r="A302" s="8" t="s">
        <v>1021</v>
      </c>
      <c r="B302" s="8" t="str">
        <f t="shared" si="9"/>
        <v>00022646876K0</v>
      </c>
      <c r="C302" t="s">
        <v>399</v>
      </c>
      <c r="D302" t="s">
        <v>46</v>
      </c>
      <c r="E302">
        <v>20411454</v>
      </c>
      <c r="F302" t="s">
        <v>1091</v>
      </c>
      <c r="G302" t="s">
        <v>50</v>
      </c>
      <c r="H302" s="1">
        <v>45627</v>
      </c>
      <c r="I302" s="1">
        <v>45823</v>
      </c>
      <c r="J302" t="s">
        <v>52</v>
      </c>
      <c r="K302" s="2">
        <v>1</v>
      </c>
      <c r="L302" s="2">
        <v>1</v>
      </c>
      <c r="M302" s="3">
        <v>1</v>
      </c>
      <c r="N302" s="2">
        <v>9</v>
      </c>
      <c r="O302" t="s">
        <v>1077</v>
      </c>
    </row>
    <row r="303" spans="1:15" x14ac:dyDescent="0.25">
      <c r="A303" s="8" t="s">
        <v>1022</v>
      </c>
      <c r="B303" s="8" t="str">
        <f t="shared" si="9"/>
        <v>00022659909K0</v>
      </c>
      <c r="C303" t="s">
        <v>401</v>
      </c>
      <c r="D303" t="s">
        <v>46</v>
      </c>
      <c r="E303">
        <v>20411454</v>
      </c>
      <c r="F303" t="s">
        <v>1091</v>
      </c>
      <c r="G303" t="s">
        <v>50</v>
      </c>
      <c r="H303" s="1">
        <v>45627</v>
      </c>
      <c r="I303" s="1">
        <v>45823</v>
      </c>
      <c r="J303" t="s">
        <v>52</v>
      </c>
      <c r="K303" s="2">
        <v>1</v>
      </c>
      <c r="L303" s="2">
        <v>1</v>
      </c>
      <c r="M303" s="3">
        <v>1</v>
      </c>
      <c r="N303" s="2">
        <v>9</v>
      </c>
      <c r="O303" t="s">
        <v>1077</v>
      </c>
    </row>
    <row r="304" spans="1:15" x14ac:dyDescent="0.25">
      <c r="A304" s="8" t="s">
        <v>1023</v>
      </c>
      <c r="B304" s="8" t="str">
        <f t="shared" si="9"/>
        <v>00022671607K0</v>
      </c>
      <c r="C304" t="s">
        <v>403</v>
      </c>
      <c r="D304" t="s">
        <v>46</v>
      </c>
      <c r="E304">
        <v>20411454</v>
      </c>
      <c r="F304" t="s">
        <v>1091</v>
      </c>
      <c r="G304" t="s">
        <v>50</v>
      </c>
      <c r="H304" s="1">
        <v>45627</v>
      </c>
      <c r="I304" s="1">
        <v>45823</v>
      </c>
      <c r="J304" t="s">
        <v>52</v>
      </c>
      <c r="K304" s="2">
        <v>1</v>
      </c>
      <c r="L304" s="2">
        <v>1</v>
      </c>
      <c r="M304" s="3">
        <v>1</v>
      </c>
      <c r="N304" s="2">
        <v>9</v>
      </c>
      <c r="O304" t="s">
        <v>1077</v>
      </c>
    </row>
    <row r="305" spans="1:16" x14ac:dyDescent="0.25">
      <c r="A305" s="8" t="s">
        <v>1024</v>
      </c>
      <c r="B305" s="8" t="str">
        <f t="shared" si="9"/>
        <v>00022674415K0</v>
      </c>
      <c r="C305" t="s">
        <v>405</v>
      </c>
      <c r="D305" t="s">
        <v>46</v>
      </c>
      <c r="E305">
        <v>20411454</v>
      </c>
      <c r="F305" t="s">
        <v>1091</v>
      </c>
      <c r="G305" t="s">
        <v>50</v>
      </c>
      <c r="H305" s="1">
        <v>45627</v>
      </c>
      <c r="I305" s="1">
        <v>45823</v>
      </c>
      <c r="J305" t="s">
        <v>52</v>
      </c>
      <c r="K305" s="2">
        <v>1</v>
      </c>
      <c r="L305" s="2">
        <v>1</v>
      </c>
      <c r="M305" s="3">
        <v>1</v>
      </c>
      <c r="N305" s="2">
        <v>9</v>
      </c>
      <c r="O305" t="s">
        <v>1077</v>
      </c>
    </row>
    <row r="306" spans="1:16" x14ac:dyDescent="0.25">
      <c r="A306" s="8" t="s">
        <v>1025</v>
      </c>
      <c r="B306" s="8" t="str">
        <f t="shared" si="9"/>
        <v>00022688863K0</v>
      </c>
      <c r="C306" t="s">
        <v>407</v>
      </c>
      <c r="D306" t="s">
        <v>46</v>
      </c>
      <c r="E306">
        <v>20411454</v>
      </c>
      <c r="F306" t="s">
        <v>1091</v>
      </c>
      <c r="G306" t="s">
        <v>50</v>
      </c>
      <c r="H306" s="1">
        <v>45627</v>
      </c>
      <c r="I306" s="1">
        <v>45823</v>
      </c>
      <c r="J306" t="s">
        <v>52</v>
      </c>
      <c r="K306" s="2">
        <v>1</v>
      </c>
      <c r="L306" s="2">
        <v>1</v>
      </c>
      <c r="M306" s="3">
        <v>1</v>
      </c>
      <c r="N306" s="2">
        <v>9</v>
      </c>
      <c r="O306" t="s">
        <v>1077</v>
      </c>
    </row>
    <row r="307" spans="1:16" x14ac:dyDescent="0.25">
      <c r="A307" s="8" t="s">
        <v>1026</v>
      </c>
      <c r="B307" s="8" t="str">
        <f t="shared" si="9"/>
        <v>00022698535K0</v>
      </c>
      <c r="C307" t="s">
        <v>409</v>
      </c>
      <c r="D307" t="s">
        <v>46</v>
      </c>
      <c r="E307">
        <v>20411454</v>
      </c>
      <c r="F307" t="s">
        <v>1091</v>
      </c>
      <c r="G307" t="s">
        <v>50</v>
      </c>
      <c r="H307" s="1">
        <v>45627</v>
      </c>
      <c r="I307" s="1">
        <v>45823</v>
      </c>
      <c r="J307" t="s">
        <v>52</v>
      </c>
      <c r="K307" s="2">
        <v>1</v>
      </c>
      <c r="L307" s="2">
        <v>1</v>
      </c>
      <c r="M307" s="3">
        <v>1</v>
      </c>
      <c r="N307" s="2">
        <v>9</v>
      </c>
      <c r="O307" t="s">
        <v>1077</v>
      </c>
    </row>
    <row r="308" spans="1:16" x14ac:dyDescent="0.25">
      <c r="A308" s="8" t="s">
        <v>1027</v>
      </c>
      <c r="B308" s="8" t="str">
        <f t="shared" si="9"/>
        <v>00022763707K0</v>
      </c>
      <c r="C308" t="s">
        <v>411</v>
      </c>
      <c r="D308" t="s">
        <v>46</v>
      </c>
      <c r="E308">
        <v>20411454</v>
      </c>
      <c r="F308" t="s">
        <v>1091</v>
      </c>
      <c r="G308" t="s">
        <v>50</v>
      </c>
      <c r="H308" s="1">
        <v>45627</v>
      </c>
      <c r="I308" s="1">
        <v>45823</v>
      </c>
      <c r="J308" t="s">
        <v>52</v>
      </c>
      <c r="K308" s="2">
        <v>1</v>
      </c>
      <c r="L308" s="2">
        <v>1</v>
      </c>
      <c r="M308" s="3">
        <v>1</v>
      </c>
      <c r="N308" s="2">
        <v>9</v>
      </c>
      <c r="O308" t="s">
        <v>1077</v>
      </c>
    </row>
    <row r="309" spans="1:16" x14ac:dyDescent="0.25">
      <c r="A309" s="8" t="s">
        <v>1028</v>
      </c>
      <c r="B309" s="8" t="str">
        <f t="shared" si="9"/>
        <v>00001672119K0</v>
      </c>
      <c r="C309" t="s">
        <v>55</v>
      </c>
      <c r="D309" t="s">
        <v>46</v>
      </c>
      <c r="E309">
        <v>20411454</v>
      </c>
      <c r="F309" t="s">
        <v>1091</v>
      </c>
      <c r="G309" t="s">
        <v>59</v>
      </c>
      <c r="H309" s="1">
        <v>45536</v>
      </c>
      <c r="I309" s="1">
        <v>45823</v>
      </c>
      <c r="J309" t="s">
        <v>52</v>
      </c>
      <c r="K309" s="2">
        <v>1</v>
      </c>
      <c r="L309" s="2">
        <v>1</v>
      </c>
      <c r="M309" s="3">
        <v>1</v>
      </c>
      <c r="N309" s="2">
        <v>9</v>
      </c>
      <c r="O309" t="s">
        <v>1077</v>
      </c>
    </row>
    <row r="310" spans="1:16" x14ac:dyDescent="0.25">
      <c r="A310" s="8" t="s">
        <v>1029</v>
      </c>
      <c r="B310" s="8" t="str">
        <f t="shared" si="9"/>
        <v>00017505325K0</v>
      </c>
      <c r="C310" t="s">
        <v>75</v>
      </c>
      <c r="D310" t="s">
        <v>46</v>
      </c>
      <c r="E310">
        <v>20411454</v>
      </c>
      <c r="F310" t="s">
        <v>1091</v>
      </c>
      <c r="G310" t="s">
        <v>59</v>
      </c>
      <c r="H310" s="1">
        <v>45474</v>
      </c>
      <c r="I310" s="1">
        <v>45823</v>
      </c>
      <c r="J310" t="s">
        <v>52</v>
      </c>
      <c r="K310" s="2">
        <v>1</v>
      </c>
      <c r="L310" s="2">
        <v>1</v>
      </c>
      <c r="M310" s="3">
        <v>1</v>
      </c>
      <c r="N310" s="2">
        <v>9</v>
      </c>
      <c r="O310" t="s">
        <v>1077</v>
      </c>
    </row>
    <row r="311" spans="1:16" x14ac:dyDescent="0.25">
      <c r="A311" s="8" t="s">
        <v>1030</v>
      </c>
      <c r="B311" s="8" t="s">
        <v>1030</v>
      </c>
      <c r="C311" t="s">
        <v>85</v>
      </c>
      <c r="D311" t="s">
        <v>46</v>
      </c>
      <c r="E311">
        <v>20411454</v>
      </c>
      <c r="F311" t="s">
        <v>1091</v>
      </c>
      <c r="G311" t="s">
        <v>59</v>
      </c>
      <c r="H311" s="1">
        <v>45505</v>
      </c>
      <c r="I311" s="1">
        <v>45823</v>
      </c>
      <c r="J311" t="s">
        <v>52</v>
      </c>
      <c r="K311" s="2">
        <v>1</v>
      </c>
      <c r="L311" s="2">
        <v>1</v>
      </c>
      <c r="M311" s="3">
        <v>1</v>
      </c>
      <c r="N311" s="2">
        <v>9</v>
      </c>
      <c r="O311" t="s">
        <v>1077</v>
      </c>
    </row>
    <row r="312" spans="1:16" x14ac:dyDescent="0.25">
      <c r="A312" s="8" t="s">
        <v>1031</v>
      </c>
      <c r="B312" s="8" t="str">
        <f>CONCATENATE(A312,0)</f>
        <v>00021762005K0</v>
      </c>
      <c r="C312" t="s">
        <v>106</v>
      </c>
      <c r="D312" t="s">
        <v>46</v>
      </c>
      <c r="E312">
        <v>20411454</v>
      </c>
      <c r="F312" t="s">
        <v>1091</v>
      </c>
      <c r="G312" t="s">
        <v>59</v>
      </c>
      <c r="H312" s="1">
        <v>45566</v>
      </c>
      <c r="I312" s="1">
        <v>45823</v>
      </c>
      <c r="J312" t="s">
        <v>52</v>
      </c>
      <c r="K312" s="2">
        <v>1</v>
      </c>
      <c r="L312" s="2">
        <v>1</v>
      </c>
      <c r="M312" s="3">
        <v>1</v>
      </c>
      <c r="N312" s="2">
        <v>9</v>
      </c>
      <c r="O312" t="s">
        <v>1077</v>
      </c>
    </row>
    <row r="313" spans="1:16" x14ac:dyDescent="0.25">
      <c r="A313" s="8" t="s">
        <v>1034</v>
      </c>
      <c r="B313" s="8" t="str">
        <f t="shared" ref="B313:B339" si="10">CONCATENATE(A313,9)</f>
        <v>00021836561K9</v>
      </c>
      <c r="C313" t="s">
        <v>139</v>
      </c>
      <c r="D313" t="s">
        <v>46</v>
      </c>
      <c r="E313">
        <v>7470776</v>
      </c>
      <c r="F313" t="s">
        <v>87</v>
      </c>
      <c r="G313" t="s">
        <v>127</v>
      </c>
      <c r="H313" s="1">
        <v>45474</v>
      </c>
      <c r="I313" s="1">
        <v>45823</v>
      </c>
      <c r="J313" t="s">
        <v>52</v>
      </c>
      <c r="K313" s="2">
        <v>1</v>
      </c>
      <c r="L313" s="2">
        <v>1</v>
      </c>
      <c r="M313" s="3">
        <v>1</v>
      </c>
      <c r="N313" s="2">
        <v>25.5</v>
      </c>
      <c r="O313" t="s">
        <v>1078</v>
      </c>
      <c r="P313" t="s">
        <v>1079</v>
      </c>
    </row>
    <row r="314" spans="1:16" x14ac:dyDescent="0.25">
      <c r="A314" s="8" t="s">
        <v>1035</v>
      </c>
      <c r="B314" s="8" t="str">
        <f t="shared" si="10"/>
        <v>00021836597K9</v>
      </c>
      <c r="C314" t="s">
        <v>142</v>
      </c>
      <c r="D314" t="s">
        <v>46</v>
      </c>
      <c r="E314">
        <v>7470776</v>
      </c>
      <c r="F314" t="s">
        <v>87</v>
      </c>
      <c r="G314" t="s">
        <v>127</v>
      </c>
      <c r="H314" s="1">
        <v>45474</v>
      </c>
      <c r="I314" s="1">
        <v>45823</v>
      </c>
      <c r="J314" t="s">
        <v>52</v>
      </c>
      <c r="K314" s="2">
        <v>1</v>
      </c>
      <c r="L314" s="2">
        <v>1</v>
      </c>
      <c r="M314" s="3">
        <v>1</v>
      </c>
      <c r="N314" s="2">
        <v>25.5</v>
      </c>
      <c r="O314" t="s">
        <v>1078</v>
      </c>
      <c r="P314" t="s">
        <v>1079</v>
      </c>
    </row>
    <row r="315" spans="1:16" x14ac:dyDescent="0.25">
      <c r="A315" s="8" t="s">
        <v>1039</v>
      </c>
      <c r="B315" s="8" t="str">
        <f t="shared" si="10"/>
        <v>00021865984K9</v>
      </c>
      <c r="C315" t="s">
        <v>162</v>
      </c>
      <c r="E315">
        <v>7470776</v>
      </c>
      <c r="F315" t="s">
        <v>87</v>
      </c>
      <c r="G315" t="s">
        <v>127</v>
      </c>
      <c r="H315" s="1">
        <v>45474</v>
      </c>
      <c r="I315" s="1">
        <v>45823</v>
      </c>
      <c r="J315" t="s">
        <v>52</v>
      </c>
      <c r="K315" s="2">
        <v>1</v>
      </c>
      <c r="L315" s="2">
        <v>1</v>
      </c>
      <c r="M315" s="3">
        <v>1</v>
      </c>
      <c r="N315" s="2">
        <v>25.5</v>
      </c>
      <c r="O315" t="s">
        <v>1078</v>
      </c>
      <c r="P315" t="s">
        <v>1079</v>
      </c>
    </row>
    <row r="316" spans="1:16" x14ac:dyDescent="0.25">
      <c r="A316" s="8" t="s">
        <v>1040</v>
      </c>
      <c r="B316" s="8" t="str">
        <f t="shared" si="10"/>
        <v>00021882434K9</v>
      </c>
      <c r="C316" t="s">
        <v>175</v>
      </c>
      <c r="D316" t="s">
        <v>46</v>
      </c>
      <c r="E316">
        <v>7470776</v>
      </c>
      <c r="F316" t="s">
        <v>87</v>
      </c>
      <c r="G316" t="s">
        <v>127</v>
      </c>
      <c r="H316" s="1">
        <v>45474</v>
      </c>
      <c r="I316" s="1">
        <v>45823</v>
      </c>
      <c r="J316" t="s">
        <v>52</v>
      </c>
      <c r="K316" s="2">
        <v>1</v>
      </c>
      <c r="L316" s="2">
        <v>1</v>
      </c>
      <c r="M316" s="3">
        <v>1</v>
      </c>
      <c r="N316" s="2">
        <v>25.5</v>
      </c>
      <c r="O316" t="s">
        <v>1078</v>
      </c>
      <c r="P316" t="s">
        <v>1079</v>
      </c>
    </row>
    <row r="317" spans="1:16" x14ac:dyDescent="0.25">
      <c r="A317" s="8" t="s">
        <v>1041</v>
      </c>
      <c r="B317" s="8" t="str">
        <f t="shared" si="10"/>
        <v>00021895977K9</v>
      </c>
      <c r="C317" t="s">
        <v>192</v>
      </c>
      <c r="D317" t="s">
        <v>46</v>
      </c>
      <c r="E317">
        <v>7470776</v>
      </c>
      <c r="F317" t="s">
        <v>87</v>
      </c>
      <c r="G317" t="s">
        <v>127</v>
      </c>
      <c r="H317" s="1">
        <v>45505</v>
      </c>
      <c r="I317" s="1">
        <v>45823</v>
      </c>
      <c r="J317" t="s">
        <v>52</v>
      </c>
      <c r="K317" s="2">
        <v>1</v>
      </c>
      <c r="L317" s="2">
        <v>1</v>
      </c>
      <c r="M317" s="3">
        <v>1</v>
      </c>
      <c r="N317" s="2">
        <v>25.5</v>
      </c>
      <c r="O317" t="s">
        <v>1078</v>
      </c>
      <c r="P317" t="s">
        <v>1079</v>
      </c>
    </row>
    <row r="318" spans="1:16" x14ac:dyDescent="0.25">
      <c r="A318" s="8" t="s">
        <v>1042</v>
      </c>
      <c r="B318" s="8" t="str">
        <f t="shared" si="10"/>
        <v>00021917176K9</v>
      </c>
      <c r="C318" t="s">
        <v>201</v>
      </c>
      <c r="D318" t="s">
        <v>46</v>
      </c>
      <c r="E318">
        <v>7470776</v>
      </c>
      <c r="F318" t="s">
        <v>87</v>
      </c>
      <c r="G318" t="s">
        <v>127</v>
      </c>
      <c r="H318" s="1">
        <v>45505</v>
      </c>
      <c r="I318" s="1">
        <v>45823</v>
      </c>
      <c r="J318" t="s">
        <v>52</v>
      </c>
      <c r="K318" s="2">
        <v>1</v>
      </c>
      <c r="L318" s="2">
        <v>1</v>
      </c>
      <c r="M318" s="3">
        <v>1</v>
      </c>
      <c r="N318" s="2">
        <v>25.5</v>
      </c>
      <c r="O318" t="s">
        <v>1078</v>
      </c>
      <c r="P318" t="s">
        <v>1079</v>
      </c>
    </row>
    <row r="319" spans="1:16" x14ac:dyDescent="0.25">
      <c r="A319" s="8" t="s">
        <v>1043</v>
      </c>
      <c r="B319" s="8" t="str">
        <f t="shared" si="10"/>
        <v>00021973839K9</v>
      </c>
      <c r="C319" t="s">
        <v>234</v>
      </c>
      <c r="D319" t="s">
        <v>46</v>
      </c>
      <c r="E319">
        <v>7470776</v>
      </c>
      <c r="F319" t="s">
        <v>87</v>
      </c>
      <c r="G319" t="s">
        <v>127</v>
      </c>
      <c r="H319" s="1">
        <v>45536</v>
      </c>
      <c r="I319" s="1">
        <v>45823</v>
      </c>
      <c r="J319" t="s">
        <v>52</v>
      </c>
      <c r="K319" s="2">
        <v>1</v>
      </c>
      <c r="L319" s="2">
        <v>1</v>
      </c>
      <c r="M319" s="3">
        <v>1</v>
      </c>
      <c r="N319" s="2">
        <v>25.5</v>
      </c>
      <c r="O319" t="s">
        <v>1078</v>
      </c>
      <c r="P319" t="s">
        <v>1079</v>
      </c>
    </row>
    <row r="320" spans="1:16" x14ac:dyDescent="0.25">
      <c r="A320" s="8" t="s">
        <v>1044</v>
      </c>
      <c r="B320" s="8" t="str">
        <f t="shared" si="10"/>
        <v>00022004915K9</v>
      </c>
      <c r="C320" t="s">
        <v>241</v>
      </c>
      <c r="D320" t="s">
        <v>46</v>
      </c>
      <c r="E320">
        <v>7470776</v>
      </c>
      <c r="F320" t="s">
        <v>87</v>
      </c>
      <c r="G320" t="s">
        <v>127</v>
      </c>
      <c r="H320" s="1">
        <v>45536</v>
      </c>
      <c r="I320" s="1">
        <v>45823</v>
      </c>
      <c r="J320" t="s">
        <v>52</v>
      </c>
      <c r="K320" s="2">
        <v>1</v>
      </c>
      <c r="L320" s="2">
        <v>1</v>
      </c>
      <c r="M320" s="3">
        <v>1</v>
      </c>
      <c r="N320" s="2">
        <v>25.5</v>
      </c>
      <c r="O320" t="s">
        <v>1078</v>
      </c>
      <c r="P320" t="s">
        <v>1079</v>
      </c>
    </row>
    <row r="321" spans="1:18" x14ac:dyDescent="0.25">
      <c r="A321" s="8" t="s">
        <v>1045</v>
      </c>
      <c r="B321" s="8" t="str">
        <f t="shared" si="10"/>
        <v>00022025150K9</v>
      </c>
      <c r="C321" t="s">
        <v>258</v>
      </c>
      <c r="D321" t="s">
        <v>46</v>
      </c>
      <c r="E321">
        <v>7470776</v>
      </c>
      <c r="F321" t="s">
        <v>87</v>
      </c>
      <c r="G321" t="s">
        <v>127</v>
      </c>
      <c r="H321" s="1">
        <v>45566</v>
      </c>
      <c r="I321" s="1">
        <v>45823</v>
      </c>
      <c r="J321" t="s">
        <v>52</v>
      </c>
      <c r="K321" s="2">
        <v>1</v>
      </c>
      <c r="L321" s="2">
        <v>1</v>
      </c>
      <c r="M321" s="3">
        <v>1</v>
      </c>
      <c r="N321" s="2">
        <v>25.5</v>
      </c>
      <c r="O321" t="s">
        <v>1078</v>
      </c>
      <c r="P321" t="s">
        <v>1079</v>
      </c>
    </row>
    <row r="322" spans="1:18" x14ac:dyDescent="0.25">
      <c r="A322" s="8" t="s">
        <v>1046</v>
      </c>
      <c r="B322" s="8" t="str">
        <f t="shared" si="10"/>
        <v>00022031158K9</v>
      </c>
      <c r="C322" t="s">
        <v>263</v>
      </c>
      <c r="D322" t="s">
        <v>46</v>
      </c>
      <c r="E322">
        <v>7470776</v>
      </c>
      <c r="F322" t="s">
        <v>87</v>
      </c>
      <c r="G322" t="s">
        <v>127</v>
      </c>
      <c r="H322" s="1">
        <v>45566</v>
      </c>
      <c r="I322" s="1">
        <v>45823</v>
      </c>
      <c r="J322" t="s">
        <v>52</v>
      </c>
      <c r="K322" s="2">
        <v>1</v>
      </c>
      <c r="L322" s="2">
        <v>1</v>
      </c>
      <c r="M322" s="3">
        <v>1</v>
      </c>
      <c r="N322" s="2">
        <v>25.5</v>
      </c>
      <c r="O322" t="s">
        <v>1078</v>
      </c>
      <c r="P322" t="s">
        <v>1079</v>
      </c>
    </row>
    <row r="323" spans="1:18" x14ac:dyDescent="0.25">
      <c r="A323" s="8" t="s">
        <v>1047</v>
      </c>
      <c r="B323" s="8" t="str">
        <f t="shared" si="10"/>
        <v>00022032935K9</v>
      </c>
      <c r="C323" t="s">
        <v>266</v>
      </c>
      <c r="D323" t="s">
        <v>46</v>
      </c>
      <c r="E323">
        <v>7470776</v>
      </c>
      <c r="F323" t="s">
        <v>87</v>
      </c>
      <c r="G323" t="s">
        <v>127</v>
      </c>
      <c r="H323" s="1">
        <v>45566</v>
      </c>
      <c r="I323" s="1">
        <v>45823</v>
      </c>
      <c r="J323" t="s">
        <v>52</v>
      </c>
      <c r="K323" s="2">
        <v>1</v>
      </c>
      <c r="L323" s="2">
        <v>1</v>
      </c>
      <c r="M323" s="3">
        <v>1</v>
      </c>
      <c r="N323" s="2">
        <v>25.5</v>
      </c>
      <c r="O323" t="s">
        <v>1078</v>
      </c>
      <c r="P323" t="s">
        <v>1079</v>
      </c>
    </row>
    <row r="324" spans="1:18" x14ac:dyDescent="0.25">
      <c r="A324" s="8" t="s">
        <v>1048</v>
      </c>
      <c r="B324" s="8" t="str">
        <f t="shared" si="10"/>
        <v>00022035242K9</v>
      </c>
      <c r="C324" t="s">
        <v>273</v>
      </c>
      <c r="D324" t="s">
        <v>46</v>
      </c>
      <c r="E324">
        <v>7470776</v>
      </c>
      <c r="F324" t="s">
        <v>87</v>
      </c>
      <c r="G324" t="s">
        <v>127</v>
      </c>
      <c r="H324" s="1">
        <v>45566</v>
      </c>
      <c r="I324" s="1">
        <v>45823</v>
      </c>
      <c r="J324" t="s">
        <v>52</v>
      </c>
      <c r="K324" s="2">
        <v>1</v>
      </c>
      <c r="L324" s="2">
        <v>1</v>
      </c>
      <c r="M324" s="3">
        <v>1</v>
      </c>
      <c r="N324" s="2">
        <v>25.5</v>
      </c>
      <c r="O324" t="s">
        <v>1078</v>
      </c>
      <c r="P324" t="s">
        <v>1079</v>
      </c>
    </row>
    <row r="325" spans="1:18" x14ac:dyDescent="0.25">
      <c r="A325" s="8" t="s">
        <v>1049</v>
      </c>
      <c r="B325" s="8" t="str">
        <f t="shared" si="10"/>
        <v>00022040894K9</v>
      </c>
      <c r="C325" t="s">
        <v>276</v>
      </c>
      <c r="D325" t="s">
        <v>46</v>
      </c>
      <c r="E325">
        <v>7470776</v>
      </c>
      <c r="F325" t="s">
        <v>87</v>
      </c>
      <c r="G325" t="s">
        <v>127</v>
      </c>
      <c r="H325" s="1">
        <v>45566</v>
      </c>
      <c r="I325" s="1">
        <v>45823</v>
      </c>
      <c r="J325" t="s">
        <v>52</v>
      </c>
      <c r="K325" s="2">
        <v>1</v>
      </c>
      <c r="L325" s="2">
        <v>1</v>
      </c>
      <c r="M325" s="3">
        <v>1</v>
      </c>
      <c r="N325" s="2">
        <v>25.5</v>
      </c>
      <c r="O325" t="s">
        <v>1078</v>
      </c>
      <c r="P325" t="s">
        <v>1079</v>
      </c>
    </row>
    <row r="326" spans="1:18" x14ac:dyDescent="0.25">
      <c r="A326" s="8" t="s">
        <v>1050</v>
      </c>
      <c r="B326" s="8" t="str">
        <f t="shared" si="10"/>
        <v>00022052067K9</v>
      </c>
      <c r="C326" t="s">
        <v>281</v>
      </c>
      <c r="D326" t="s">
        <v>46</v>
      </c>
      <c r="E326">
        <v>7470776</v>
      </c>
      <c r="F326" t="s">
        <v>87</v>
      </c>
      <c r="G326" t="s">
        <v>127</v>
      </c>
      <c r="H326" s="1">
        <v>45566</v>
      </c>
      <c r="I326" s="1">
        <v>45823</v>
      </c>
      <c r="J326" t="s">
        <v>52</v>
      </c>
      <c r="K326" s="2">
        <v>1</v>
      </c>
      <c r="L326" s="2">
        <v>1</v>
      </c>
      <c r="M326" s="3">
        <v>1</v>
      </c>
      <c r="N326" s="2">
        <v>25.5</v>
      </c>
      <c r="O326" t="s">
        <v>1078</v>
      </c>
      <c r="P326" t="s">
        <v>1079</v>
      </c>
    </row>
    <row r="327" spans="1:18" x14ac:dyDescent="0.25">
      <c r="A327" s="8" t="s">
        <v>1051</v>
      </c>
      <c r="B327" s="8" t="str">
        <f t="shared" si="10"/>
        <v>00022094729K9</v>
      </c>
      <c r="C327" t="s">
        <v>322</v>
      </c>
      <c r="D327" t="s">
        <v>46</v>
      </c>
      <c r="E327">
        <v>7470776</v>
      </c>
      <c r="F327" t="s">
        <v>87</v>
      </c>
      <c r="G327" t="s">
        <v>127</v>
      </c>
      <c r="H327" s="1">
        <v>45597</v>
      </c>
      <c r="I327" s="1">
        <v>45823</v>
      </c>
      <c r="J327" t="s">
        <v>52</v>
      </c>
      <c r="K327" s="2">
        <v>1</v>
      </c>
      <c r="L327" s="2">
        <v>1</v>
      </c>
      <c r="M327" s="3">
        <v>1</v>
      </c>
      <c r="N327" s="2">
        <v>25.5</v>
      </c>
      <c r="O327" t="s">
        <v>1078</v>
      </c>
      <c r="P327" t="s">
        <v>1079</v>
      </c>
    </row>
    <row r="328" spans="1:18" x14ac:dyDescent="0.25">
      <c r="A328" s="8" t="s">
        <v>1052</v>
      </c>
      <c r="B328" s="8" t="str">
        <f t="shared" si="10"/>
        <v>00022094985K9</v>
      </c>
      <c r="C328" t="s">
        <v>325</v>
      </c>
      <c r="D328" t="s">
        <v>46</v>
      </c>
      <c r="E328">
        <v>7470776</v>
      </c>
      <c r="F328" t="s">
        <v>87</v>
      </c>
      <c r="G328" t="s">
        <v>127</v>
      </c>
      <c r="H328" s="1">
        <v>45597</v>
      </c>
      <c r="I328" s="1">
        <v>45823</v>
      </c>
      <c r="J328" t="s">
        <v>52</v>
      </c>
      <c r="K328" s="2">
        <v>1</v>
      </c>
      <c r="L328" s="2">
        <v>1</v>
      </c>
      <c r="M328" s="3">
        <v>1</v>
      </c>
      <c r="N328" s="2">
        <v>25.5</v>
      </c>
      <c r="O328" t="s">
        <v>1078</v>
      </c>
      <c r="P328" t="s">
        <v>1079</v>
      </c>
    </row>
    <row r="329" spans="1:18" x14ac:dyDescent="0.25">
      <c r="A329" s="8" t="s">
        <v>1053</v>
      </c>
      <c r="B329" s="8" t="str">
        <f t="shared" si="10"/>
        <v>00022095955K9</v>
      </c>
      <c r="C329" t="s">
        <v>330</v>
      </c>
      <c r="D329" t="s">
        <v>46</v>
      </c>
      <c r="E329">
        <v>7470776</v>
      </c>
      <c r="F329" t="s">
        <v>87</v>
      </c>
      <c r="G329" t="s">
        <v>127</v>
      </c>
      <c r="H329" s="1">
        <v>45597</v>
      </c>
      <c r="I329" s="1">
        <v>45823</v>
      </c>
      <c r="J329" t="s">
        <v>52</v>
      </c>
      <c r="K329" s="2">
        <v>1</v>
      </c>
      <c r="L329" s="2">
        <v>1</v>
      </c>
      <c r="M329" s="3">
        <v>1</v>
      </c>
      <c r="N329" s="2">
        <v>25.5</v>
      </c>
      <c r="O329" t="s">
        <v>1078</v>
      </c>
      <c r="P329" t="s">
        <v>1079</v>
      </c>
    </row>
    <row r="330" spans="1:18" x14ac:dyDescent="0.25">
      <c r="A330" s="8" t="s">
        <v>1054</v>
      </c>
      <c r="B330" s="8" t="str">
        <f t="shared" si="10"/>
        <v>00022096948K9</v>
      </c>
      <c r="C330" t="s">
        <v>333</v>
      </c>
      <c r="D330" t="s">
        <v>46</v>
      </c>
      <c r="E330">
        <v>7470776</v>
      </c>
      <c r="F330" t="s">
        <v>87</v>
      </c>
      <c r="G330" t="s">
        <v>127</v>
      </c>
      <c r="H330" s="1">
        <v>45597</v>
      </c>
      <c r="I330" s="1">
        <v>45823</v>
      </c>
      <c r="J330" t="s">
        <v>52</v>
      </c>
      <c r="K330" s="2">
        <v>1</v>
      </c>
      <c r="L330" s="2">
        <v>1</v>
      </c>
      <c r="M330" s="3">
        <v>1</v>
      </c>
      <c r="N330" s="2">
        <v>25.5</v>
      </c>
      <c r="O330" t="s">
        <v>1078</v>
      </c>
      <c r="P330" t="s">
        <v>1079</v>
      </c>
    </row>
    <row r="331" spans="1:18" x14ac:dyDescent="0.25">
      <c r="A331" s="8" t="s">
        <v>1055</v>
      </c>
      <c r="B331" s="8" t="str">
        <f t="shared" si="10"/>
        <v>00022097947K9</v>
      </c>
      <c r="C331" t="s">
        <v>336</v>
      </c>
      <c r="D331" t="s">
        <v>46</v>
      </c>
      <c r="E331">
        <v>7470776</v>
      </c>
      <c r="F331" t="s">
        <v>87</v>
      </c>
      <c r="G331" t="s">
        <v>127</v>
      </c>
      <c r="H331" s="1">
        <v>45597</v>
      </c>
      <c r="I331" s="1">
        <v>45823</v>
      </c>
      <c r="J331" t="s">
        <v>52</v>
      </c>
      <c r="K331" s="2">
        <v>1</v>
      </c>
      <c r="L331" s="2">
        <v>1</v>
      </c>
      <c r="M331" s="3">
        <v>1</v>
      </c>
      <c r="N331" s="2">
        <v>25.5</v>
      </c>
      <c r="O331" t="s">
        <v>1078</v>
      </c>
      <c r="P331" t="s">
        <v>1079</v>
      </c>
    </row>
    <row r="332" spans="1:18" x14ac:dyDescent="0.25">
      <c r="A332" s="8" t="s">
        <v>1037</v>
      </c>
      <c r="B332" s="8" t="str">
        <f t="shared" si="10"/>
        <v>00021853815K9</v>
      </c>
      <c r="C332" t="s">
        <v>154</v>
      </c>
      <c r="D332" t="s">
        <v>46</v>
      </c>
      <c r="E332">
        <v>7146581</v>
      </c>
      <c r="F332" t="s">
        <v>63</v>
      </c>
      <c r="G332" t="s">
        <v>127</v>
      </c>
      <c r="H332" s="1">
        <v>45474</v>
      </c>
      <c r="I332" s="1">
        <v>45823</v>
      </c>
      <c r="J332" t="s">
        <v>52</v>
      </c>
      <c r="K332" s="2">
        <v>1</v>
      </c>
      <c r="L332" s="2">
        <v>1</v>
      </c>
      <c r="M332" s="3">
        <v>1</v>
      </c>
      <c r="N332" s="2">
        <v>25.5</v>
      </c>
      <c r="O332" t="s">
        <v>1078</v>
      </c>
      <c r="P332" t="s">
        <v>1079</v>
      </c>
    </row>
    <row r="333" spans="1:18" x14ac:dyDescent="0.25">
      <c r="A333" s="8" t="s">
        <v>1036</v>
      </c>
      <c r="B333" s="8" t="str">
        <f t="shared" si="10"/>
        <v>00021853327K9</v>
      </c>
      <c r="C333" t="s">
        <v>149</v>
      </c>
      <c r="D333" t="s">
        <v>46</v>
      </c>
      <c r="E333">
        <v>8814784</v>
      </c>
      <c r="F333" t="s">
        <v>151</v>
      </c>
      <c r="G333" t="s">
        <v>127</v>
      </c>
      <c r="H333" s="1">
        <v>45474</v>
      </c>
      <c r="I333" s="1">
        <v>45823</v>
      </c>
      <c r="J333" t="s">
        <v>52</v>
      </c>
      <c r="K333" s="2">
        <v>1</v>
      </c>
      <c r="L333" s="2">
        <v>1</v>
      </c>
      <c r="M333" s="3">
        <v>1</v>
      </c>
      <c r="N333" s="2">
        <v>25.5</v>
      </c>
      <c r="O333" t="s">
        <v>1078</v>
      </c>
      <c r="P333" t="s">
        <v>1079</v>
      </c>
    </row>
    <row r="334" spans="1:18" x14ac:dyDescent="0.25">
      <c r="A334" s="8" t="s">
        <v>1032</v>
      </c>
      <c r="B334" s="8" t="str">
        <f t="shared" si="10"/>
        <v>00021812164K9</v>
      </c>
      <c r="C334" t="s">
        <v>124</v>
      </c>
      <c r="D334" t="s">
        <v>46</v>
      </c>
      <c r="E334">
        <v>9213293</v>
      </c>
      <c r="F334" t="s">
        <v>126</v>
      </c>
      <c r="G334" t="s">
        <v>127</v>
      </c>
      <c r="H334" s="1">
        <v>45444</v>
      </c>
      <c r="I334" s="1">
        <v>45823</v>
      </c>
      <c r="J334" t="s">
        <v>52</v>
      </c>
      <c r="K334" s="2">
        <v>1</v>
      </c>
      <c r="L334" s="2">
        <v>1</v>
      </c>
      <c r="M334" s="3">
        <v>1</v>
      </c>
      <c r="N334" s="2">
        <v>25.5</v>
      </c>
      <c r="O334" t="s">
        <v>1078</v>
      </c>
      <c r="P334" t="s">
        <v>1079</v>
      </c>
      <c r="R334">
        <f>306/12</f>
        <v>25.5</v>
      </c>
    </row>
    <row r="335" spans="1:18" x14ac:dyDescent="0.25">
      <c r="A335" s="8" t="s">
        <v>1033</v>
      </c>
      <c r="B335" s="8" t="str">
        <f t="shared" si="10"/>
        <v>00021819613K9</v>
      </c>
      <c r="C335" t="s">
        <v>134</v>
      </c>
      <c r="D335" t="s">
        <v>46</v>
      </c>
      <c r="E335">
        <v>8244481</v>
      </c>
      <c r="F335" t="s">
        <v>136</v>
      </c>
      <c r="G335" t="s">
        <v>127</v>
      </c>
      <c r="H335" s="1">
        <v>45444</v>
      </c>
      <c r="I335" s="1">
        <v>45823</v>
      </c>
      <c r="J335" t="s">
        <v>52</v>
      </c>
      <c r="K335" s="2">
        <v>1</v>
      </c>
      <c r="L335" s="2">
        <v>1</v>
      </c>
      <c r="M335" s="3">
        <v>1</v>
      </c>
      <c r="N335" s="2">
        <v>25.5</v>
      </c>
      <c r="O335" t="s">
        <v>1078</v>
      </c>
      <c r="P335" t="s">
        <v>1079</v>
      </c>
    </row>
    <row r="336" spans="1:18" x14ac:dyDescent="0.25">
      <c r="A336" s="8" t="s">
        <v>1038</v>
      </c>
      <c r="B336" s="8" t="str">
        <f t="shared" si="10"/>
        <v>00021859258K9</v>
      </c>
      <c r="C336" t="s">
        <v>157</v>
      </c>
      <c r="D336" t="s">
        <v>46</v>
      </c>
      <c r="E336">
        <v>19200754</v>
      </c>
      <c r="F336" t="s">
        <v>159</v>
      </c>
      <c r="G336" t="s">
        <v>127</v>
      </c>
      <c r="H336" s="1">
        <v>45474</v>
      </c>
      <c r="I336" s="1">
        <v>45823</v>
      </c>
      <c r="J336" t="s">
        <v>52</v>
      </c>
      <c r="K336" s="2">
        <v>1</v>
      </c>
      <c r="L336" s="2">
        <v>1</v>
      </c>
      <c r="M336" s="3">
        <v>1</v>
      </c>
      <c r="N336" s="2">
        <v>25.5</v>
      </c>
      <c r="O336" t="s">
        <v>1078</v>
      </c>
      <c r="P336" t="s">
        <v>1079</v>
      </c>
    </row>
    <row r="337" spans="1:18" x14ac:dyDescent="0.25">
      <c r="A337" s="8" t="s">
        <v>1056</v>
      </c>
      <c r="B337" s="8" t="str">
        <f t="shared" si="10"/>
        <v>00021852153K9</v>
      </c>
      <c r="C337" t="s">
        <v>145</v>
      </c>
      <c r="D337" t="s">
        <v>46</v>
      </c>
      <c r="E337">
        <v>7146581</v>
      </c>
      <c r="F337" t="s">
        <v>63</v>
      </c>
      <c r="G337" t="s">
        <v>146</v>
      </c>
      <c r="H337" s="1">
        <v>45474</v>
      </c>
      <c r="I337" s="1">
        <v>45823</v>
      </c>
      <c r="J337" t="s">
        <v>52</v>
      </c>
      <c r="K337" s="2">
        <v>1</v>
      </c>
      <c r="L337" s="2">
        <v>1</v>
      </c>
      <c r="M337" s="3">
        <v>1</v>
      </c>
      <c r="N337" s="2">
        <v>25.5</v>
      </c>
      <c r="O337" t="s">
        <v>1078</v>
      </c>
      <c r="P337" t="s">
        <v>1079</v>
      </c>
    </row>
    <row r="338" spans="1:18" x14ac:dyDescent="0.25">
      <c r="A338" s="8" t="s">
        <v>1057</v>
      </c>
      <c r="B338" s="8" t="str">
        <f t="shared" si="10"/>
        <v>00020054580K9</v>
      </c>
      <c r="C338" t="s">
        <v>85</v>
      </c>
      <c r="D338" t="s">
        <v>46</v>
      </c>
      <c r="E338">
        <v>7470776</v>
      </c>
      <c r="F338" t="s">
        <v>87</v>
      </c>
      <c r="G338" t="s">
        <v>88</v>
      </c>
      <c r="H338" s="1">
        <v>45505</v>
      </c>
      <c r="I338" s="1">
        <v>45823</v>
      </c>
      <c r="J338" t="s">
        <v>52</v>
      </c>
      <c r="K338" s="2">
        <v>1</v>
      </c>
      <c r="L338" s="2">
        <v>1</v>
      </c>
      <c r="M338" s="3">
        <v>1</v>
      </c>
      <c r="N338" s="2">
        <v>25.5</v>
      </c>
      <c r="O338" t="s">
        <v>1078</v>
      </c>
      <c r="P338" t="s">
        <v>1079</v>
      </c>
    </row>
    <row r="339" spans="1:18" x14ac:dyDescent="0.25">
      <c r="A339" s="8" t="s">
        <v>1058</v>
      </c>
      <c r="B339" s="8" t="str">
        <f t="shared" si="10"/>
        <v>00021884516K9</v>
      </c>
      <c r="C339" t="s">
        <v>182</v>
      </c>
      <c r="D339" t="s">
        <v>46</v>
      </c>
      <c r="E339">
        <v>7470776</v>
      </c>
      <c r="F339" t="s">
        <v>87</v>
      </c>
      <c r="G339" t="s">
        <v>88</v>
      </c>
      <c r="H339" s="1">
        <v>45474</v>
      </c>
      <c r="I339" s="1">
        <v>45823</v>
      </c>
      <c r="J339" t="s">
        <v>52</v>
      </c>
      <c r="K339" s="2">
        <v>1</v>
      </c>
      <c r="L339" s="2">
        <v>1</v>
      </c>
      <c r="M339" s="3">
        <v>1</v>
      </c>
      <c r="N339" s="2">
        <v>25.5</v>
      </c>
      <c r="O339" t="s">
        <v>1078</v>
      </c>
      <c r="P339" t="s">
        <v>1079</v>
      </c>
    </row>
    <row r="340" spans="1:18" x14ac:dyDescent="0.25">
      <c r="A340" s="8" t="s">
        <v>1059</v>
      </c>
      <c r="B340" s="8" t="str">
        <f>CONCATENATE(A340,1)</f>
        <v>A037551451</v>
      </c>
      <c r="C340" t="s">
        <v>878</v>
      </c>
      <c r="D340" t="s">
        <v>418</v>
      </c>
      <c r="E340">
        <v>8325282</v>
      </c>
      <c r="F340" t="s">
        <v>306</v>
      </c>
      <c r="G340" t="s">
        <v>879</v>
      </c>
      <c r="H340" s="1">
        <v>45627</v>
      </c>
      <c r="I340" s="1">
        <v>45823</v>
      </c>
      <c r="J340" t="s">
        <v>52</v>
      </c>
      <c r="K340" s="2">
        <v>1</v>
      </c>
      <c r="L340" s="2">
        <v>1</v>
      </c>
      <c r="M340" s="3">
        <v>1</v>
      </c>
      <c r="N340" s="2">
        <v>28.78</v>
      </c>
      <c r="O340" t="s">
        <v>1081</v>
      </c>
    </row>
    <row r="341" spans="1:18" s="10" customFormat="1" x14ac:dyDescent="0.25">
      <c r="A341" s="8" t="s">
        <v>1060</v>
      </c>
      <c r="B341" s="8" t="str">
        <f>CONCATENATE(A341,1)</f>
        <v>A040749091</v>
      </c>
      <c r="C341" t="s">
        <v>884</v>
      </c>
      <c r="D341" t="s">
        <v>423</v>
      </c>
      <c r="E341">
        <v>19278370</v>
      </c>
      <c r="F341" t="s">
        <v>485</v>
      </c>
      <c r="G341" t="s">
        <v>885</v>
      </c>
      <c r="H341" s="1">
        <v>45474</v>
      </c>
      <c r="I341" s="1">
        <v>45823</v>
      </c>
      <c r="J341" t="s">
        <v>52</v>
      </c>
      <c r="K341" s="2">
        <v>1</v>
      </c>
      <c r="L341" s="2">
        <v>1</v>
      </c>
      <c r="M341" s="3">
        <v>1</v>
      </c>
      <c r="N341" s="2">
        <v>37.5</v>
      </c>
      <c r="O341" t="s">
        <v>1082</v>
      </c>
      <c r="P341"/>
      <c r="Q341"/>
      <c r="R341"/>
    </row>
    <row r="342" spans="1:18" x14ac:dyDescent="0.25">
      <c r="A342" s="8" t="s">
        <v>1062</v>
      </c>
      <c r="B342" s="8" t="str">
        <f>CONCATENATE(A342,1)</f>
        <v>A037226851</v>
      </c>
      <c r="C342" t="s">
        <v>875</v>
      </c>
      <c r="D342" t="s">
        <v>423</v>
      </c>
      <c r="E342">
        <v>19278370</v>
      </c>
      <c r="F342" t="s">
        <v>485</v>
      </c>
      <c r="G342" t="s">
        <v>876</v>
      </c>
      <c r="H342" s="1">
        <v>45689</v>
      </c>
      <c r="I342" s="1">
        <v>45823</v>
      </c>
      <c r="J342" t="s">
        <v>52</v>
      </c>
      <c r="K342" s="2">
        <v>1</v>
      </c>
      <c r="L342" s="2">
        <v>1</v>
      </c>
      <c r="M342" s="3">
        <v>1</v>
      </c>
      <c r="N342" s="2">
        <v>24.73</v>
      </c>
      <c r="O342" t="s">
        <v>1083</v>
      </c>
    </row>
    <row r="343" spans="1:18" x14ac:dyDescent="0.25">
      <c r="A343" s="8" t="s">
        <v>1063</v>
      </c>
      <c r="B343" s="8" t="str">
        <f>CONCATENATE(A343,1)</f>
        <v>A037778171</v>
      </c>
      <c r="C343" t="s">
        <v>881</v>
      </c>
      <c r="D343" t="s">
        <v>423</v>
      </c>
      <c r="E343">
        <v>17425766</v>
      </c>
      <c r="F343" t="s">
        <v>102</v>
      </c>
      <c r="G343" t="s">
        <v>882</v>
      </c>
      <c r="H343" s="1">
        <v>45597</v>
      </c>
      <c r="I343" s="1">
        <v>45823</v>
      </c>
      <c r="J343" t="s">
        <v>52</v>
      </c>
      <c r="K343" s="2">
        <v>1</v>
      </c>
      <c r="L343" s="2">
        <v>1</v>
      </c>
      <c r="M343" s="3">
        <v>1</v>
      </c>
      <c r="N343" s="2">
        <v>22.52</v>
      </c>
      <c r="O343" t="s">
        <v>1084</v>
      </c>
    </row>
    <row r="344" spans="1:18" x14ac:dyDescent="0.25">
      <c r="A344" s="8" t="s">
        <v>1064</v>
      </c>
      <c r="B344" s="8" t="s">
        <v>1064</v>
      </c>
      <c r="C344" t="s">
        <v>811</v>
      </c>
      <c r="D344" t="s">
        <v>698</v>
      </c>
      <c r="E344">
        <v>20411454</v>
      </c>
      <c r="F344" t="s">
        <v>1091</v>
      </c>
      <c r="G344" t="s">
        <v>814</v>
      </c>
      <c r="H344" s="1">
        <v>45474</v>
      </c>
      <c r="I344" s="1">
        <v>45823</v>
      </c>
      <c r="J344" t="s">
        <v>52</v>
      </c>
      <c r="K344" s="2">
        <v>1</v>
      </c>
      <c r="L344" s="2">
        <v>1</v>
      </c>
      <c r="M344" s="3">
        <v>1</v>
      </c>
      <c r="N344" s="2">
        <v>6</v>
      </c>
      <c r="O344" t="s">
        <v>1085</v>
      </c>
    </row>
    <row r="345" spans="1:18" x14ac:dyDescent="0.25">
      <c r="A345" s="8" t="s">
        <v>1065</v>
      </c>
      <c r="B345" s="8" t="s">
        <v>1065</v>
      </c>
      <c r="C345" t="s">
        <v>821</v>
      </c>
      <c r="D345" t="s">
        <v>450</v>
      </c>
      <c r="E345">
        <v>20411454</v>
      </c>
      <c r="F345" t="s">
        <v>1091</v>
      </c>
      <c r="G345" t="s">
        <v>814</v>
      </c>
      <c r="H345" s="1">
        <v>45536</v>
      </c>
      <c r="I345" s="1">
        <v>45823</v>
      </c>
      <c r="J345" t="s">
        <v>52</v>
      </c>
      <c r="K345" s="2">
        <v>1</v>
      </c>
      <c r="L345" s="2">
        <v>1</v>
      </c>
      <c r="M345" s="3">
        <v>1</v>
      </c>
      <c r="N345" s="2">
        <v>6</v>
      </c>
      <c r="O345" t="s">
        <v>1085</v>
      </c>
    </row>
    <row r="346" spans="1:18" x14ac:dyDescent="0.25">
      <c r="A346" s="8" t="s">
        <v>1066</v>
      </c>
      <c r="B346" s="8" t="s">
        <v>1066</v>
      </c>
      <c r="C346" t="s">
        <v>834</v>
      </c>
      <c r="D346" t="s">
        <v>418</v>
      </c>
      <c r="E346">
        <v>20411454</v>
      </c>
      <c r="F346" t="s">
        <v>1091</v>
      </c>
      <c r="G346" t="s">
        <v>814</v>
      </c>
      <c r="H346" s="1">
        <v>45566</v>
      </c>
      <c r="I346" s="1">
        <v>45823</v>
      </c>
      <c r="J346" t="s">
        <v>52</v>
      </c>
      <c r="K346" s="2">
        <v>1</v>
      </c>
      <c r="L346" s="2">
        <v>1</v>
      </c>
      <c r="M346" s="3">
        <v>1</v>
      </c>
      <c r="N346" s="2">
        <v>6</v>
      </c>
      <c r="O346" t="s">
        <v>1085</v>
      </c>
    </row>
    <row r="347" spans="1:18" x14ac:dyDescent="0.25">
      <c r="A347" s="8" t="s">
        <v>1067</v>
      </c>
      <c r="B347" s="8" t="s">
        <v>1067</v>
      </c>
      <c r="C347" t="s">
        <v>837</v>
      </c>
      <c r="D347" t="s">
        <v>423</v>
      </c>
      <c r="E347">
        <v>20411454</v>
      </c>
      <c r="F347" t="s">
        <v>1091</v>
      </c>
      <c r="G347" t="s">
        <v>814</v>
      </c>
      <c r="H347" s="1">
        <v>45627</v>
      </c>
      <c r="I347" s="1">
        <v>45823</v>
      </c>
      <c r="J347" t="s">
        <v>52</v>
      </c>
      <c r="K347" s="2">
        <v>1</v>
      </c>
      <c r="L347" s="2">
        <v>1</v>
      </c>
      <c r="M347" s="3">
        <v>1</v>
      </c>
      <c r="N347" s="2">
        <v>6</v>
      </c>
      <c r="O347" t="s">
        <v>1085</v>
      </c>
    </row>
    <row r="348" spans="1:18" x14ac:dyDescent="0.25">
      <c r="A348" s="8" t="s">
        <v>1068</v>
      </c>
      <c r="B348" s="8" t="s">
        <v>1068</v>
      </c>
      <c r="C348" t="s">
        <v>846</v>
      </c>
      <c r="D348" t="s">
        <v>520</v>
      </c>
      <c r="E348">
        <v>20411454</v>
      </c>
      <c r="F348" t="s">
        <v>1091</v>
      </c>
      <c r="G348" t="s">
        <v>814</v>
      </c>
      <c r="H348" s="1">
        <v>45597</v>
      </c>
      <c r="I348" s="1">
        <v>45823</v>
      </c>
      <c r="J348" t="s">
        <v>52</v>
      </c>
      <c r="K348" s="2">
        <v>1</v>
      </c>
      <c r="L348" s="2">
        <v>1</v>
      </c>
      <c r="M348" s="3">
        <v>1</v>
      </c>
      <c r="N348" s="2">
        <v>6</v>
      </c>
      <c r="O348" t="s">
        <v>1085</v>
      </c>
    </row>
    <row r="349" spans="1:18" x14ac:dyDescent="0.25">
      <c r="A349" s="8" t="s">
        <v>1069</v>
      </c>
      <c r="B349" s="8" t="s">
        <v>1069</v>
      </c>
      <c r="C349" t="s">
        <v>849</v>
      </c>
      <c r="D349" t="s">
        <v>418</v>
      </c>
      <c r="E349">
        <v>20411454</v>
      </c>
      <c r="F349" t="s">
        <v>1091</v>
      </c>
      <c r="G349" t="s">
        <v>814</v>
      </c>
      <c r="H349" s="1">
        <v>45597</v>
      </c>
      <c r="I349" s="1">
        <v>45823</v>
      </c>
      <c r="J349" t="s">
        <v>52</v>
      </c>
      <c r="K349" s="2">
        <v>1</v>
      </c>
      <c r="L349" s="2">
        <v>1</v>
      </c>
      <c r="M349" s="3">
        <v>1</v>
      </c>
      <c r="N349" s="2">
        <v>6</v>
      </c>
      <c r="O349" t="s">
        <v>1085</v>
      </c>
    </row>
    <row r="350" spans="1:18" x14ac:dyDescent="0.25">
      <c r="A350" s="8" t="s">
        <v>1070</v>
      </c>
      <c r="B350" s="8" t="s">
        <v>1070</v>
      </c>
      <c r="C350" t="s">
        <v>854</v>
      </c>
      <c r="D350" t="s">
        <v>625</v>
      </c>
      <c r="E350">
        <v>20411454</v>
      </c>
      <c r="F350" t="s">
        <v>1091</v>
      </c>
      <c r="G350" t="s">
        <v>814</v>
      </c>
      <c r="H350" s="1">
        <v>45597</v>
      </c>
      <c r="I350" s="1">
        <v>45823</v>
      </c>
      <c r="J350" t="s">
        <v>52</v>
      </c>
      <c r="K350" s="2">
        <v>1</v>
      </c>
      <c r="L350" s="2">
        <v>1</v>
      </c>
      <c r="M350" s="3">
        <v>1</v>
      </c>
      <c r="N350" s="2">
        <v>6</v>
      </c>
      <c r="O350" t="s">
        <v>1085</v>
      </c>
    </row>
    <row r="351" spans="1:18" x14ac:dyDescent="0.25">
      <c r="A351" s="8" t="s">
        <v>1071</v>
      </c>
      <c r="B351" s="8" t="s">
        <v>1071</v>
      </c>
      <c r="C351" t="s">
        <v>862</v>
      </c>
      <c r="D351" t="s">
        <v>520</v>
      </c>
      <c r="E351">
        <v>20411454</v>
      </c>
      <c r="F351" t="s">
        <v>1091</v>
      </c>
      <c r="G351" t="s">
        <v>814</v>
      </c>
      <c r="H351" s="1">
        <v>45597</v>
      </c>
      <c r="I351" s="1">
        <v>45823</v>
      </c>
      <c r="J351" t="s">
        <v>52</v>
      </c>
      <c r="K351" s="2">
        <v>1</v>
      </c>
      <c r="L351" s="2">
        <v>1</v>
      </c>
      <c r="M351" s="3">
        <v>1</v>
      </c>
      <c r="N351" s="2">
        <v>6</v>
      </c>
      <c r="O351" t="s">
        <v>1085</v>
      </c>
    </row>
    <row r="352" spans="1:18" s="5" customFormat="1" x14ac:dyDescent="0.25">
      <c r="A352" s="19" t="s">
        <v>1072</v>
      </c>
      <c r="B352" s="19" t="s">
        <v>1072</v>
      </c>
      <c r="C352" s="5" t="s">
        <v>865</v>
      </c>
      <c r="D352" s="5" t="s">
        <v>418</v>
      </c>
      <c r="E352" s="5">
        <v>20411454</v>
      </c>
      <c r="F352" s="5" t="s">
        <v>1091</v>
      </c>
      <c r="G352" s="5" t="s">
        <v>814</v>
      </c>
      <c r="H352" s="4">
        <v>45536</v>
      </c>
      <c r="I352" s="4">
        <v>45823</v>
      </c>
      <c r="J352" s="5" t="s">
        <v>52</v>
      </c>
      <c r="K352" s="6">
        <v>1</v>
      </c>
      <c r="L352" s="6">
        <v>1</v>
      </c>
      <c r="M352" s="7">
        <v>1</v>
      </c>
      <c r="N352" s="6">
        <v>6</v>
      </c>
      <c r="O352" s="5" t="s">
        <v>1085</v>
      </c>
    </row>
    <row r="353" spans="1:16" x14ac:dyDescent="0.25">
      <c r="A353" s="8">
        <v>920223192</v>
      </c>
      <c r="B353" s="8" t="str">
        <f>CONCATENATE(A353,0)</f>
        <v>9202231920</v>
      </c>
      <c r="C353" t="s">
        <v>841</v>
      </c>
      <c r="D353" t="s">
        <v>423</v>
      </c>
      <c r="E353">
        <v>20411454</v>
      </c>
      <c r="F353" t="s">
        <v>1091</v>
      </c>
      <c r="G353" t="s">
        <v>842</v>
      </c>
      <c r="H353" s="1">
        <v>45627</v>
      </c>
      <c r="I353" s="1">
        <v>45823</v>
      </c>
      <c r="J353" t="s">
        <v>52</v>
      </c>
      <c r="K353" s="2">
        <v>1</v>
      </c>
      <c r="L353" s="2">
        <v>1</v>
      </c>
      <c r="M353" s="3">
        <v>1</v>
      </c>
      <c r="N353" s="2">
        <v>6</v>
      </c>
      <c r="O353" t="s">
        <v>1085</v>
      </c>
    </row>
    <row r="354" spans="1:16" x14ac:dyDescent="0.25">
      <c r="A354" s="8">
        <v>967950774</v>
      </c>
      <c r="B354" s="8" t="str">
        <f>CONCATENATE(A354,0)</f>
        <v>9679507740</v>
      </c>
      <c r="C354" t="s">
        <v>852</v>
      </c>
      <c r="D354" t="s">
        <v>423</v>
      </c>
      <c r="E354">
        <v>20411454</v>
      </c>
      <c r="F354" t="s">
        <v>1091</v>
      </c>
      <c r="G354" t="s">
        <v>842</v>
      </c>
      <c r="H354" s="1">
        <v>45627</v>
      </c>
      <c r="I354" s="1">
        <v>45823</v>
      </c>
      <c r="J354" t="s">
        <v>52</v>
      </c>
      <c r="K354" s="2">
        <v>1</v>
      </c>
      <c r="L354" s="2">
        <v>1</v>
      </c>
      <c r="M354" s="3">
        <v>1</v>
      </c>
      <c r="N354" s="2">
        <v>6</v>
      </c>
      <c r="O354" t="s">
        <v>1085</v>
      </c>
    </row>
    <row r="355" spans="1:16" x14ac:dyDescent="0.25">
      <c r="A355" s="8" t="s">
        <v>1073</v>
      </c>
      <c r="B355" s="8" t="s">
        <v>1073</v>
      </c>
      <c r="C355" t="s">
        <v>816</v>
      </c>
      <c r="D355" t="s">
        <v>698</v>
      </c>
      <c r="E355">
        <v>20411454</v>
      </c>
      <c r="F355" t="s">
        <v>1091</v>
      </c>
      <c r="G355" t="s">
        <v>819</v>
      </c>
      <c r="H355" s="1">
        <v>45505</v>
      </c>
      <c r="I355" s="1">
        <v>45823</v>
      </c>
      <c r="J355" t="s">
        <v>52</v>
      </c>
      <c r="K355" s="2">
        <v>1</v>
      </c>
      <c r="L355" s="2">
        <v>1</v>
      </c>
      <c r="M355" s="3">
        <v>1</v>
      </c>
      <c r="N355" s="2">
        <v>6</v>
      </c>
      <c r="O355" t="s">
        <v>1085</v>
      </c>
    </row>
    <row r="356" spans="1:16" x14ac:dyDescent="0.25">
      <c r="A356" s="8" t="s">
        <v>1074</v>
      </c>
      <c r="B356" s="8" t="s">
        <v>1074</v>
      </c>
      <c r="C356" t="s">
        <v>857</v>
      </c>
      <c r="D356" t="s">
        <v>653</v>
      </c>
      <c r="E356">
        <v>20411454</v>
      </c>
      <c r="F356" t="s">
        <v>1091</v>
      </c>
      <c r="G356" t="s">
        <v>819</v>
      </c>
      <c r="H356" s="1">
        <v>45597</v>
      </c>
      <c r="I356" s="1">
        <v>45823</v>
      </c>
      <c r="J356" t="s">
        <v>52</v>
      </c>
      <c r="K356" s="2">
        <v>1</v>
      </c>
      <c r="L356" s="2">
        <v>1</v>
      </c>
      <c r="M356" s="3">
        <v>1</v>
      </c>
      <c r="N356" s="2">
        <v>6</v>
      </c>
      <c r="O356" t="s">
        <v>1085</v>
      </c>
    </row>
    <row r="357" spans="1:16" x14ac:dyDescent="0.25">
      <c r="A357" s="8" t="s">
        <v>1075</v>
      </c>
      <c r="B357" s="8" t="s">
        <v>1075</v>
      </c>
      <c r="C357" t="s">
        <v>868</v>
      </c>
      <c r="D357" t="s">
        <v>418</v>
      </c>
      <c r="E357">
        <v>20411454</v>
      </c>
      <c r="F357" t="s">
        <v>1091</v>
      </c>
      <c r="G357" t="s">
        <v>819</v>
      </c>
      <c r="H357" s="1">
        <v>45566</v>
      </c>
      <c r="I357" s="1">
        <v>45823</v>
      </c>
      <c r="J357" t="s">
        <v>52</v>
      </c>
      <c r="K357" s="2">
        <v>1</v>
      </c>
      <c r="L357" s="2">
        <v>1</v>
      </c>
      <c r="M357" s="3">
        <v>1</v>
      </c>
      <c r="N357" s="2">
        <v>6</v>
      </c>
      <c r="O357" t="s">
        <v>1085</v>
      </c>
    </row>
    <row r="358" spans="1:16" x14ac:dyDescent="0.25">
      <c r="A358" s="8" t="s">
        <v>1076</v>
      </c>
      <c r="B358" s="8" t="s">
        <v>1076</v>
      </c>
      <c r="C358" t="s">
        <v>872</v>
      </c>
      <c r="D358" t="s">
        <v>771</v>
      </c>
      <c r="E358">
        <v>20411454</v>
      </c>
      <c r="F358" t="s">
        <v>1091</v>
      </c>
      <c r="G358" t="s">
        <v>819</v>
      </c>
      <c r="H358" s="1">
        <v>45566</v>
      </c>
      <c r="I358" s="1">
        <v>45823</v>
      </c>
      <c r="J358" t="s">
        <v>52</v>
      </c>
      <c r="K358" s="2">
        <v>1</v>
      </c>
      <c r="L358" s="2">
        <v>1</v>
      </c>
      <c r="M358" s="3">
        <v>1</v>
      </c>
      <c r="N358" s="2">
        <v>6</v>
      </c>
      <c r="O358" t="s">
        <v>1085</v>
      </c>
    </row>
    <row r="359" spans="1:16" x14ac:dyDescent="0.25">
      <c r="A359" s="8">
        <v>130273314</v>
      </c>
      <c r="B359" s="8" t="str">
        <f t="shared" ref="B359:B375" si="11">CONCATENATE(A359,9)</f>
        <v>1302733149</v>
      </c>
      <c r="C359" t="s">
        <v>811</v>
      </c>
      <c r="D359" t="s">
        <v>698</v>
      </c>
      <c r="E359">
        <v>17195620</v>
      </c>
      <c r="F359" t="s">
        <v>700</v>
      </c>
      <c r="G359" t="s">
        <v>812</v>
      </c>
      <c r="H359" s="1">
        <v>45474</v>
      </c>
      <c r="I359" s="1">
        <v>45823</v>
      </c>
      <c r="J359" t="s">
        <v>52</v>
      </c>
      <c r="K359" s="2">
        <v>1</v>
      </c>
      <c r="L359" s="2">
        <v>1</v>
      </c>
      <c r="M359" s="3">
        <v>1</v>
      </c>
      <c r="N359" s="2">
        <v>25.5</v>
      </c>
      <c r="O359" t="s">
        <v>1087</v>
      </c>
      <c r="P359" t="s">
        <v>1079</v>
      </c>
    </row>
    <row r="360" spans="1:16" x14ac:dyDescent="0.25">
      <c r="A360" s="8">
        <v>967561705</v>
      </c>
      <c r="B360" s="8" t="str">
        <f t="shared" si="11"/>
        <v>9675617059</v>
      </c>
      <c r="C360" t="s">
        <v>849</v>
      </c>
      <c r="D360" t="s">
        <v>418</v>
      </c>
      <c r="E360">
        <v>8325282</v>
      </c>
      <c r="F360" t="s">
        <v>306</v>
      </c>
      <c r="G360" t="s">
        <v>812</v>
      </c>
      <c r="H360" s="1">
        <v>45597</v>
      </c>
      <c r="I360" s="1">
        <v>45823</v>
      </c>
      <c r="J360" t="s">
        <v>52</v>
      </c>
      <c r="K360" s="2">
        <v>1</v>
      </c>
      <c r="L360" s="2">
        <v>1</v>
      </c>
      <c r="M360" s="3">
        <v>1</v>
      </c>
      <c r="N360" s="2">
        <v>25.5</v>
      </c>
      <c r="O360" t="s">
        <v>1087</v>
      </c>
      <c r="P360" t="s">
        <v>1079</v>
      </c>
    </row>
    <row r="361" spans="1:16" x14ac:dyDescent="0.25">
      <c r="A361" s="8">
        <v>906051412</v>
      </c>
      <c r="B361" s="8" t="str">
        <f t="shared" si="11"/>
        <v>9060514129</v>
      </c>
      <c r="C361" t="s">
        <v>834</v>
      </c>
      <c r="D361" t="s">
        <v>418</v>
      </c>
      <c r="E361">
        <v>9213293</v>
      </c>
      <c r="F361" t="s">
        <v>126</v>
      </c>
      <c r="G361" t="s">
        <v>812</v>
      </c>
      <c r="H361" s="1">
        <v>45566</v>
      </c>
      <c r="I361" s="1">
        <v>45823</v>
      </c>
      <c r="J361" t="s">
        <v>52</v>
      </c>
      <c r="K361" s="2">
        <v>1</v>
      </c>
      <c r="L361" s="2">
        <v>1</v>
      </c>
      <c r="M361" s="3">
        <v>1</v>
      </c>
      <c r="N361" s="2">
        <v>25.5</v>
      </c>
      <c r="O361" t="s">
        <v>1087</v>
      </c>
      <c r="P361" t="s">
        <v>1079</v>
      </c>
    </row>
    <row r="362" spans="1:16" x14ac:dyDescent="0.25">
      <c r="A362" s="8">
        <v>970181792</v>
      </c>
      <c r="B362" s="8" t="str">
        <f t="shared" si="11"/>
        <v>9701817929</v>
      </c>
      <c r="C362" t="s">
        <v>854</v>
      </c>
      <c r="D362" t="s">
        <v>625</v>
      </c>
      <c r="E362">
        <v>8307933</v>
      </c>
      <c r="F362" t="s">
        <v>96</v>
      </c>
      <c r="G362" t="s">
        <v>812</v>
      </c>
      <c r="H362" s="1">
        <v>45597</v>
      </c>
      <c r="I362" s="1">
        <v>45823</v>
      </c>
      <c r="J362" t="s">
        <v>52</v>
      </c>
      <c r="K362" s="2">
        <v>1</v>
      </c>
      <c r="L362" s="2">
        <v>1</v>
      </c>
      <c r="M362" s="3">
        <v>1</v>
      </c>
      <c r="N362" s="2">
        <v>25.5</v>
      </c>
      <c r="O362" t="s">
        <v>1087</v>
      </c>
      <c r="P362" t="s">
        <v>1079</v>
      </c>
    </row>
    <row r="363" spans="1:16" x14ac:dyDescent="0.25">
      <c r="A363" s="8">
        <v>992088421</v>
      </c>
      <c r="B363" s="8" t="str">
        <f t="shared" si="11"/>
        <v>9920884219</v>
      </c>
      <c r="C363" t="s">
        <v>862</v>
      </c>
      <c r="D363" t="s">
        <v>520</v>
      </c>
      <c r="E363">
        <v>8307933</v>
      </c>
      <c r="F363" t="s">
        <v>96</v>
      </c>
      <c r="G363" t="s">
        <v>812</v>
      </c>
      <c r="H363" s="1">
        <v>45597</v>
      </c>
      <c r="I363" s="1">
        <v>45823</v>
      </c>
      <c r="J363" t="s">
        <v>52</v>
      </c>
      <c r="K363" s="2">
        <v>1</v>
      </c>
      <c r="L363" s="2">
        <v>1</v>
      </c>
      <c r="M363" s="3">
        <v>1</v>
      </c>
      <c r="N363" s="2">
        <v>25.5</v>
      </c>
      <c r="O363" t="s">
        <v>1087</v>
      </c>
      <c r="P363" t="s">
        <v>1079</v>
      </c>
    </row>
    <row r="364" spans="1:16" x14ac:dyDescent="0.25">
      <c r="A364" s="8">
        <v>991398727</v>
      </c>
      <c r="B364" s="8" t="str">
        <f t="shared" si="11"/>
        <v>9913987279</v>
      </c>
      <c r="C364" t="s">
        <v>860</v>
      </c>
      <c r="D364" t="s">
        <v>653</v>
      </c>
      <c r="E364">
        <v>16865615</v>
      </c>
      <c r="F364" t="s">
        <v>252</v>
      </c>
      <c r="G364" t="s">
        <v>812</v>
      </c>
      <c r="H364" s="1">
        <v>45474</v>
      </c>
      <c r="I364" s="1">
        <v>45823</v>
      </c>
      <c r="J364" t="s">
        <v>52</v>
      </c>
      <c r="K364" s="2">
        <v>5</v>
      </c>
      <c r="L364" s="2">
        <v>5</v>
      </c>
      <c r="M364" s="3">
        <v>1</v>
      </c>
      <c r="N364" s="2">
        <v>127.5</v>
      </c>
      <c r="O364" t="s">
        <v>1087</v>
      </c>
      <c r="P364" t="s">
        <v>1089</v>
      </c>
    </row>
    <row r="365" spans="1:16" s="5" customFormat="1" x14ac:dyDescent="0.25">
      <c r="A365" s="19">
        <v>992248315</v>
      </c>
      <c r="B365" s="19" t="str">
        <f t="shared" si="11"/>
        <v>9922483159</v>
      </c>
      <c r="C365" s="5" t="s">
        <v>865</v>
      </c>
      <c r="D365" s="5" t="s">
        <v>418</v>
      </c>
      <c r="E365" s="5" t="s">
        <v>1092</v>
      </c>
      <c r="F365" s="5" t="s">
        <v>361</v>
      </c>
      <c r="G365" s="5" t="s">
        <v>812</v>
      </c>
      <c r="H365" s="4">
        <v>45536</v>
      </c>
      <c r="I365" s="4">
        <v>45823</v>
      </c>
      <c r="J365" s="5" t="s">
        <v>52</v>
      </c>
      <c r="K365" s="6">
        <v>1</v>
      </c>
      <c r="L365" s="6">
        <v>1</v>
      </c>
      <c r="M365" s="7">
        <v>1</v>
      </c>
      <c r="N365" s="6">
        <v>25.5</v>
      </c>
      <c r="O365" s="5" t="s">
        <v>1087</v>
      </c>
      <c r="P365" s="5" t="s">
        <v>1079</v>
      </c>
    </row>
    <row r="366" spans="1:16" x14ac:dyDescent="0.25">
      <c r="A366" s="8">
        <v>130625781</v>
      </c>
      <c r="B366" s="8" t="str">
        <f t="shared" si="11"/>
        <v>1306257819</v>
      </c>
      <c r="C366" t="s">
        <v>821</v>
      </c>
      <c r="D366" t="s">
        <v>450</v>
      </c>
      <c r="E366">
        <v>19200754</v>
      </c>
      <c r="F366" t="s">
        <v>159</v>
      </c>
      <c r="G366" t="s">
        <v>812</v>
      </c>
      <c r="H366" s="1">
        <v>45536</v>
      </c>
      <c r="I366" s="1">
        <v>45823</v>
      </c>
      <c r="J366" t="s">
        <v>52</v>
      </c>
      <c r="K366" s="2">
        <v>1</v>
      </c>
      <c r="L366" s="2">
        <v>1</v>
      </c>
      <c r="M366" s="3">
        <v>1</v>
      </c>
      <c r="N366" s="2">
        <v>25.5</v>
      </c>
      <c r="O366" t="s">
        <v>1087</v>
      </c>
      <c r="P366" t="s">
        <v>1079</v>
      </c>
    </row>
    <row r="367" spans="1:16" x14ac:dyDescent="0.25">
      <c r="A367" s="8">
        <v>961601451</v>
      </c>
      <c r="B367" s="8" t="str">
        <f t="shared" si="11"/>
        <v>9616014519</v>
      </c>
      <c r="C367" t="s">
        <v>846</v>
      </c>
      <c r="D367" t="s">
        <v>520</v>
      </c>
      <c r="E367">
        <v>19645587</v>
      </c>
      <c r="F367" t="s">
        <v>226</v>
      </c>
      <c r="G367" t="s">
        <v>812</v>
      </c>
      <c r="H367" s="1">
        <v>45597</v>
      </c>
      <c r="I367" s="1">
        <v>45823</v>
      </c>
      <c r="J367" t="s">
        <v>52</v>
      </c>
      <c r="K367" s="2">
        <v>1</v>
      </c>
      <c r="L367" s="2">
        <v>1</v>
      </c>
      <c r="M367" s="3">
        <v>1</v>
      </c>
      <c r="N367" s="2">
        <v>25.5</v>
      </c>
      <c r="O367" t="s">
        <v>1087</v>
      </c>
      <c r="P367" t="s">
        <v>1079</v>
      </c>
    </row>
    <row r="368" spans="1:16" x14ac:dyDescent="0.25">
      <c r="A368" s="8">
        <v>130524428</v>
      </c>
      <c r="B368" s="8" t="str">
        <f t="shared" si="11"/>
        <v>1305244289</v>
      </c>
      <c r="C368" t="s">
        <v>816</v>
      </c>
      <c r="D368" t="s">
        <v>698</v>
      </c>
      <c r="E368">
        <v>17195620</v>
      </c>
      <c r="F368" t="s">
        <v>700</v>
      </c>
      <c r="G368" t="s">
        <v>817</v>
      </c>
      <c r="H368" s="1">
        <v>45505</v>
      </c>
      <c r="I368" s="1">
        <v>45823</v>
      </c>
      <c r="J368" t="s">
        <v>52</v>
      </c>
      <c r="K368" s="2">
        <v>1</v>
      </c>
      <c r="L368" s="2">
        <v>1</v>
      </c>
      <c r="M368" s="3">
        <v>1</v>
      </c>
      <c r="N368" s="2">
        <v>25.5</v>
      </c>
      <c r="O368" t="s">
        <v>1087</v>
      </c>
      <c r="P368" t="s">
        <v>1079</v>
      </c>
    </row>
    <row r="369" spans="1:18" x14ac:dyDescent="0.25">
      <c r="A369" s="8">
        <v>993708991</v>
      </c>
      <c r="B369" s="8" t="str">
        <f t="shared" si="11"/>
        <v>9937089919</v>
      </c>
      <c r="C369" t="s">
        <v>872</v>
      </c>
      <c r="D369" t="s">
        <v>771</v>
      </c>
      <c r="E369">
        <v>19681796</v>
      </c>
      <c r="F369" t="s">
        <v>83</v>
      </c>
      <c r="G369" t="s">
        <v>817</v>
      </c>
      <c r="H369" s="1">
        <v>45566</v>
      </c>
      <c r="I369" s="1">
        <v>45823</v>
      </c>
      <c r="J369" t="s">
        <v>52</v>
      </c>
      <c r="K369" s="2">
        <v>1</v>
      </c>
      <c r="L369" s="2">
        <v>1</v>
      </c>
      <c r="M369" s="3">
        <v>1</v>
      </c>
      <c r="N369" s="2">
        <v>25.5</v>
      </c>
      <c r="O369" t="s">
        <v>1087</v>
      </c>
      <c r="P369" t="s">
        <v>1079</v>
      </c>
    </row>
    <row r="370" spans="1:18" x14ac:dyDescent="0.25">
      <c r="A370" s="8">
        <v>981141937</v>
      </c>
      <c r="B370" s="8" t="str">
        <f t="shared" si="11"/>
        <v>9811419379</v>
      </c>
      <c r="C370" t="s">
        <v>857</v>
      </c>
      <c r="D370" t="s">
        <v>653</v>
      </c>
      <c r="E370">
        <v>16865615</v>
      </c>
      <c r="F370" t="s">
        <v>252</v>
      </c>
      <c r="G370" t="s">
        <v>817</v>
      </c>
      <c r="H370" s="1">
        <v>45597</v>
      </c>
      <c r="I370" s="1">
        <v>45823</v>
      </c>
      <c r="J370" t="s">
        <v>52</v>
      </c>
      <c r="K370" s="2">
        <v>1</v>
      </c>
      <c r="L370" s="2">
        <v>1</v>
      </c>
      <c r="M370" s="3">
        <v>1</v>
      </c>
      <c r="N370" s="2">
        <v>25.5</v>
      </c>
      <c r="O370" t="s">
        <v>1087</v>
      </c>
      <c r="P370" t="s">
        <v>1079</v>
      </c>
    </row>
    <row r="371" spans="1:18" x14ac:dyDescent="0.25">
      <c r="A371" s="8">
        <v>992426853</v>
      </c>
      <c r="B371" s="8" t="str">
        <f t="shared" si="11"/>
        <v>9924268539</v>
      </c>
      <c r="C371" t="s">
        <v>868</v>
      </c>
      <c r="D371" t="s">
        <v>418</v>
      </c>
      <c r="E371">
        <v>9213293</v>
      </c>
      <c r="F371" t="s">
        <v>126</v>
      </c>
      <c r="G371" t="s">
        <v>869</v>
      </c>
      <c r="H371" s="1">
        <v>45566</v>
      </c>
      <c r="I371" s="1">
        <v>45823</v>
      </c>
      <c r="J371" t="s">
        <v>52</v>
      </c>
      <c r="K371" s="2">
        <v>1</v>
      </c>
      <c r="L371" s="2">
        <v>1</v>
      </c>
      <c r="M371" s="3">
        <v>1</v>
      </c>
      <c r="N371" s="2">
        <v>25.5</v>
      </c>
      <c r="O371" t="s">
        <v>1087</v>
      </c>
      <c r="P371" t="s">
        <v>1079</v>
      </c>
    </row>
    <row r="372" spans="1:18" x14ac:dyDescent="0.25">
      <c r="A372" s="8">
        <v>909023469</v>
      </c>
      <c r="B372" s="8" t="str">
        <f t="shared" si="11"/>
        <v>9090234699</v>
      </c>
      <c r="C372" t="s">
        <v>837</v>
      </c>
      <c r="D372" t="s">
        <v>423</v>
      </c>
      <c r="E372">
        <v>19278370</v>
      </c>
      <c r="F372" t="s">
        <v>485</v>
      </c>
      <c r="G372" t="s">
        <v>838</v>
      </c>
      <c r="H372" s="1">
        <v>45627</v>
      </c>
      <c r="I372" s="1">
        <v>45823</v>
      </c>
      <c r="J372" t="s">
        <v>52</v>
      </c>
      <c r="K372" s="2">
        <v>1</v>
      </c>
      <c r="L372" s="2">
        <v>1</v>
      </c>
      <c r="M372" s="3">
        <v>1</v>
      </c>
      <c r="N372" s="2">
        <v>28.75</v>
      </c>
      <c r="O372" t="s">
        <v>1086</v>
      </c>
      <c r="P372" t="s">
        <v>1088</v>
      </c>
    </row>
    <row r="373" spans="1:18" x14ac:dyDescent="0.25">
      <c r="A373" s="8">
        <v>22910215</v>
      </c>
      <c r="B373" s="8" t="str">
        <f t="shared" si="11"/>
        <v>229102159</v>
      </c>
      <c r="C373" t="s">
        <v>425</v>
      </c>
      <c r="D373" t="s">
        <v>418</v>
      </c>
      <c r="E373">
        <v>19681796</v>
      </c>
      <c r="F373" t="s">
        <v>83</v>
      </c>
      <c r="G373" t="s">
        <v>419</v>
      </c>
      <c r="H373" s="1">
        <v>45627</v>
      </c>
      <c r="I373" s="1">
        <v>45823</v>
      </c>
      <c r="J373" t="s">
        <v>52</v>
      </c>
      <c r="K373" s="2">
        <v>1</v>
      </c>
      <c r="L373" s="2">
        <v>1</v>
      </c>
      <c r="M373" s="3">
        <v>1</v>
      </c>
      <c r="N373" s="2">
        <v>4.17</v>
      </c>
      <c r="O373" t="s">
        <v>1090</v>
      </c>
    </row>
    <row r="374" spans="1:18" x14ac:dyDescent="0.25">
      <c r="A374" s="14">
        <v>22844299</v>
      </c>
      <c r="B374" s="14" t="str">
        <f t="shared" si="11"/>
        <v>228442999</v>
      </c>
      <c r="C374" s="15" t="s">
        <v>422</v>
      </c>
      <c r="D374" s="15" t="s">
        <v>423</v>
      </c>
      <c r="E374" s="15">
        <v>17528908</v>
      </c>
      <c r="F374" s="15" t="s">
        <v>132</v>
      </c>
      <c r="G374" s="15" t="s">
        <v>419</v>
      </c>
      <c r="H374" s="16">
        <v>45627</v>
      </c>
      <c r="I374" s="16">
        <v>45823</v>
      </c>
      <c r="J374" s="15" t="s">
        <v>52</v>
      </c>
      <c r="K374" s="17">
        <v>1</v>
      </c>
      <c r="L374" s="17">
        <v>1</v>
      </c>
      <c r="M374" s="18">
        <v>1</v>
      </c>
      <c r="N374" s="17">
        <v>4.17</v>
      </c>
      <c r="O374" s="15" t="s">
        <v>1090</v>
      </c>
      <c r="P374" s="15"/>
      <c r="Q374" s="15"/>
      <c r="R374" s="15"/>
    </row>
    <row r="375" spans="1:18" x14ac:dyDescent="0.25">
      <c r="A375" s="8">
        <v>22832432</v>
      </c>
      <c r="B375" s="8" t="str">
        <f t="shared" si="11"/>
        <v>228324329</v>
      </c>
      <c r="C375" t="s">
        <v>417</v>
      </c>
      <c r="D375" t="s">
        <v>418</v>
      </c>
      <c r="E375">
        <v>9213293</v>
      </c>
      <c r="F375" t="s">
        <v>126</v>
      </c>
      <c r="G375" t="s">
        <v>419</v>
      </c>
      <c r="H375" s="1">
        <v>45627</v>
      </c>
      <c r="I375" s="1">
        <v>45823</v>
      </c>
      <c r="J375" t="s">
        <v>52</v>
      </c>
      <c r="K375" s="2">
        <v>1</v>
      </c>
      <c r="L375" s="2">
        <v>1</v>
      </c>
      <c r="M375" s="3">
        <v>1</v>
      </c>
      <c r="N375" s="2">
        <v>4.17</v>
      </c>
      <c r="O375" t="s">
        <v>1090</v>
      </c>
    </row>
  </sheetData>
  <sortState xmlns:xlrd2="http://schemas.microsoft.com/office/spreadsheetml/2017/richdata2" ref="A2:R375">
    <sortCondition sortBy="fontColor" ref="G2:G375" dxfId="0"/>
    <sortCondition ref="G2:G37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2025-05-28T19:35:23Z</dcterms:created>
  <dcterms:modified xsi:type="dcterms:W3CDTF">2025-06-04T16:41:36Z</dcterms:modified>
</cp:coreProperties>
</file>