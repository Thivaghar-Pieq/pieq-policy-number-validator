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5-15-25 to 05-28-25\"/>
    </mc:Choice>
  </mc:AlternateContent>
  <xr:revisionPtr revIDLastSave="0" documentId="13_ncr:1_{E94ECB56-662B-44E2-9A23-50511B5EDAD9}" xr6:coauthVersionLast="47" xr6:coauthVersionMax="47" xr10:uidLastSave="{00000000-0000-0000-0000-000000000000}"/>
  <bookViews>
    <workbookView xWindow="28680" yWindow="-120" windowWidth="29040" windowHeight="16440" activeTab="1" xr2:uid="{B42F9CDE-D1AD-4F82-9FCC-4A10570411A3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70" i="2" l="1"/>
  <c r="B69" i="2"/>
  <c r="B63" i="2"/>
  <c r="B61" i="2"/>
  <c r="B60" i="2"/>
  <c r="B59" i="2"/>
  <c r="B58" i="2"/>
  <c r="B57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<sst xmlns="http://schemas.openxmlformats.org/spreadsheetml/2006/main" count="1563" uniqueCount="277">
  <si>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</si>
  <si>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</si>
  <si>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</si>
  <si>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</si>
  <si>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</si>
  <si>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</si>
  <si>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</si>
  <si>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</si>
  <si>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</si>
  <si>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</si>
  <si>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</si>
  <si>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</si>
  <si>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</si>
  <si>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</si>
  <si>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</si>
  <si>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</si>
  <si>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</si>
  <si>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</si>
  <si>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</si>
  <si>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</si>
  <si>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</si>
  <si>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</si>
  <si>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</si>
  <si>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</si>
  <si>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</si>
  <si>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</si>
  <si>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</si>
  <si>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</si>
  <si>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</si>
  <si>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</si>
  <si>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</si>
  <si>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</si>
  <si>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</si>
  <si>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</si>
  <si>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</si>
  <si>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</si>
  <si>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</si>
  <si>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</si>
  <si>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</si>
  <si>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</si>
  <si>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</si>
  <si>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</si>
  <si>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</si>
  <si>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</si>
  <si>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'00000646024D</t>
  </si>
  <si>
    <t>TIMOTHY PUTMAN</t>
  </si>
  <si>
    <t>IN</t>
  </si>
  <si>
    <t>'045605</t>
  </si>
  <si>
    <t>GARY PORTUGAL</t>
  </si>
  <si>
    <t>ACTIVE</t>
  </si>
  <si>
    <t>Humana MA 2019+ Level 15- 175/108</t>
  </si>
  <si>
    <t>Monthly</t>
  </si>
  <si>
    <t>AV</t>
  </si>
  <si>
    <t>'00014214997K</t>
  </si>
  <si>
    <t>DELORIS SHAW</t>
  </si>
  <si>
    <t>FL</t>
  </si>
  <si>
    <t>'045601</t>
  </si>
  <si>
    <t>CAROL FOLEY</t>
  </si>
  <si>
    <t>Humana MA 2019+ Level 15- 175/108 Repl 2024</t>
  </si>
  <si>
    <t>'00023345760K</t>
  </si>
  <si>
    <t>LAURA BERGERSEN</t>
  </si>
  <si>
    <t>IL</t>
  </si>
  <si>
    <t>'045638</t>
  </si>
  <si>
    <t>RICHARD YALE</t>
  </si>
  <si>
    <t>'00023351659K</t>
  </si>
  <si>
    <t>MICHAEL BENEDICT</t>
  </si>
  <si>
    <t>'045618</t>
  </si>
  <si>
    <t>STEPHANIE DRAPAC</t>
  </si>
  <si>
    <t>'00023358106K</t>
  </si>
  <si>
    <t>GURBACHAN SINGH</t>
  </si>
  <si>
    <t>AZ</t>
  </si>
  <si>
    <t>'101201236100</t>
  </si>
  <si>
    <t>JUANITA SMITH</t>
  </si>
  <si>
    <t>PA</t>
  </si>
  <si>
    <t>'043691</t>
  </si>
  <si>
    <t>MICHELLE MCCORKLE</t>
  </si>
  <si>
    <t>Aetna MAPD NMO to GMO - 4-1-23+  Replace E-App</t>
  </si>
  <si>
    <t>8/12 PRORATE</t>
  </si>
  <si>
    <t>'101645939000</t>
  </si>
  <si>
    <t>BARBARA BUSTERNA</t>
  </si>
  <si>
    <t>'045828</t>
  </si>
  <si>
    <t>MARGARET FINNEGAN</t>
  </si>
  <si>
    <t>Aetna MAPD NMO to GMO - 4-1-23+  New E-App</t>
  </si>
  <si>
    <t>'101861054800</t>
  </si>
  <si>
    <t>SANDRA TUJO</t>
  </si>
  <si>
    <t>'102081378500</t>
  </si>
  <si>
    <t>JOANNE LOSHBOUGH</t>
  </si>
  <si>
    <t>WI</t>
  </si>
  <si>
    <t>'043644</t>
  </si>
  <si>
    <t>TIMOTHY HODGMAN</t>
  </si>
  <si>
    <t>'102163400200</t>
  </si>
  <si>
    <t>DIANNA PAUL</t>
  </si>
  <si>
    <t>'043679</t>
  </si>
  <si>
    <t>DEBORAH INSKIPT</t>
  </si>
  <si>
    <t>'102163976800</t>
  </si>
  <si>
    <t>ROBERT KOPFER</t>
  </si>
  <si>
    <t>'045612</t>
  </si>
  <si>
    <t>ANTHONY HUNSBERGER</t>
  </si>
  <si>
    <t>'102164266800</t>
  </si>
  <si>
    <t>LISA RATLIFF</t>
  </si>
  <si>
    <t>KY</t>
  </si>
  <si>
    <t>'045712</t>
  </si>
  <si>
    <t>GREGORY HANSFORD</t>
  </si>
  <si>
    <t>'102164311600</t>
  </si>
  <si>
    <t>JOHN SMOGUR</t>
  </si>
  <si>
    <t>'043637</t>
  </si>
  <si>
    <t>CHRISTIAN TAUGNER</t>
  </si>
  <si>
    <t>'102164482000</t>
  </si>
  <si>
    <t>MAUREEN KOHNE</t>
  </si>
  <si>
    <t>'102165144500</t>
  </si>
  <si>
    <t>LAURA HOLMES</t>
  </si>
  <si>
    <t>'043682</t>
  </si>
  <si>
    <t>GREGORY TEIPEL</t>
  </si>
  <si>
    <t>'102165156900</t>
  </si>
  <si>
    <t>KIERAN MURRAY</t>
  </si>
  <si>
    <t>'102165383900</t>
  </si>
  <si>
    <t>NIK LEE</t>
  </si>
  <si>
    <t>'043969</t>
  </si>
  <si>
    <t>STACEY PORTUGAL</t>
  </si>
  <si>
    <t>'102165563500</t>
  </si>
  <si>
    <t>STEPHEN FABIO</t>
  </si>
  <si>
    <t>'043611</t>
  </si>
  <si>
    <t>TIMOTHY POWERS</t>
  </si>
  <si>
    <t>'102166131000</t>
  </si>
  <si>
    <t>DEAN BROWN</t>
  </si>
  <si>
    <t>'102167666500</t>
  </si>
  <si>
    <t>ALLEN DOLPH</t>
  </si>
  <si>
    <t>'102167672000</t>
  </si>
  <si>
    <t>DANNY LAMBING</t>
  </si>
  <si>
    <t>'043786</t>
  </si>
  <si>
    <t>MARGARET SMITH</t>
  </si>
  <si>
    <t>'102168084000</t>
  </si>
  <si>
    <t>JANET JOHNSON</t>
  </si>
  <si>
    <t>'045709</t>
  </si>
  <si>
    <t>ESTHER HERRERA-LARSEN</t>
  </si>
  <si>
    <t>'102168241300</t>
  </si>
  <si>
    <t>DWAYNE DIGBY</t>
  </si>
  <si>
    <t>'102168444600</t>
  </si>
  <si>
    <t>WILLIAM WEATHERSTONE</t>
  </si>
  <si>
    <t>TX</t>
  </si>
  <si>
    <t>'043678</t>
  </si>
  <si>
    <t>MATTHEW DAUGHERTY</t>
  </si>
  <si>
    <t>'102169042300</t>
  </si>
  <si>
    <t>ALAN DUGOSH</t>
  </si>
  <si>
    <t>'102169457000</t>
  </si>
  <si>
    <t>SUSAN PRICE</t>
  </si>
  <si>
    <t>'045604</t>
  </si>
  <si>
    <t>JEFFREY HORN</t>
  </si>
  <si>
    <t>'102169501600</t>
  </si>
  <si>
    <t>PAMELA KARENBAUER</t>
  </si>
  <si>
    <t>'102169513200</t>
  </si>
  <si>
    <t>PETER RICHTER</t>
  </si>
  <si>
    <t>'043585</t>
  </si>
  <si>
    <t>'102169514800</t>
  </si>
  <si>
    <t>ROBERT KRYST</t>
  </si>
  <si>
    <t>'102169838900</t>
  </si>
  <si>
    <t>VIRGINIA DELACRUZ</t>
  </si>
  <si>
    <t>'047621</t>
  </si>
  <si>
    <t>TOM SERIO</t>
  </si>
  <si>
    <t>'102170274000</t>
  </si>
  <si>
    <t>KELLY SCHLOBOHM</t>
  </si>
  <si>
    <t>5/12 PRORATE</t>
  </si>
  <si>
    <t>'102170749100</t>
  </si>
  <si>
    <t>KATHY MITCHELL</t>
  </si>
  <si>
    <t>'043832</t>
  </si>
  <si>
    <t>CAROL FRITZ</t>
  </si>
  <si>
    <t>7/12 PRORATE</t>
  </si>
  <si>
    <t>'102170848000</t>
  </si>
  <si>
    <t>MEGAN HINCHSLIFF</t>
  </si>
  <si>
    <t>MI</t>
  </si>
  <si>
    <t>'043618</t>
  </si>
  <si>
    <t>SAADIA ABDUL</t>
  </si>
  <si>
    <t>6/12 PRORATE</t>
  </si>
  <si>
    <t>'102170861900</t>
  </si>
  <si>
    <t>ANKA STARKE</t>
  </si>
  <si>
    <t>'045622</t>
  </si>
  <si>
    <t>JACOB YALE</t>
  </si>
  <si>
    <t>'102170865500</t>
  </si>
  <si>
    <t>KEVIN CALLOZZO</t>
  </si>
  <si>
    <t>'102170912900</t>
  </si>
  <si>
    <t>CAROL STEPHENS</t>
  </si>
  <si>
    <t>'54L1L3X99</t>
  </si>
  <si>
    <t>PATRICIA POPEK</t>
  </si>
  <si>
    <t>Cigna MAPD FMO to GA 1-1-19+ - New</t>
  </si>
  <si>
    <t>'907822980</t>
  </si>
  <si>
    <t>DEBORAH FRIEDEN</t>
  </si>
  <si>
    <t>UHC MAPD Street payable to upline- 2025 Replace</t>
  </si>
  <si>
    <t>10/12 PRORATE</t>
  </si>
  <si>
    <t>'907822980OV</t>
  </si>
  <si>
    <t>UHC MA Direct 2024 New Full</t>
  </si>
  <si>
    <t>'979062658</t>
  </si>
  <si>
    <t>JAMES FRIEDEN</t>
  </si>
  <si>
    <t>'979062658OV</t>
  </si>
  <si>
    <t>CB</t>
  </si>
  <si>
    <t>'00011895530KPC</t>
  </si>
  <si>
    <t>ROGER TYK</t>
  </si>
  <si>
    <t>NA</t>
  </si>
  <si>
    <t>CHARGEBACK</t>
  </si>
  <si>
    <t>'00021880649KPC</t>
  </si>
  <si>
    <t>KAREEMA ABDUL-FARMER</t>
  </si>
  <si>
    <t>'101068686100PC</t>
  </si>
  <si>
    <t>JEFFREY SCHUTTE</t>
  </si>
  <si>
    <t>'101470103900PC</t>
  </si>
  <si>
    <t>RICHARD YENGLEE</t>
  </si>
  <si>
    <t>'043743</t>
  </si>
  <si>
    <t>FREDERICK GBASSANA</t>
  </si>
  <si>
    <t>'101645939000CB</t>
  </si>
  <si>
    <t>'101861054800CB</t>
  </si>
  <si>
    <t>'102163400200CB</t>
  </si>
  <si>
    <t>'102163976800CB</t>
  </si>
  <si>
    <t>'102164266800CB</t>
  </si>
  <si>
    <t>'102164311600CB</t>
  </si>
  <si>
    <t>'102164482000CB</t>
  </si>
  <si>
    <t>'102165144500CB</t>
  </si>
  <si>
    <t>'102165156900CB</t>
  </si>
  <si>
    <t>'102165383900CB</t>
  </si>
  <si>
    <t>'102165563500CB</t>
  </si>
  <si>
    <t>'102166131000CB</t>
  </si>
  <si>
    <t>'102167666500CB</t>
  </si>
  <si>
    <t>'102167672000CB</t>
  </si>
  <si>
    <t>'102168084000CB</t>
  </si>
  <si>
    <t>'102168241300CB</t>
  </si>
  <si>
    <t>'102168444600CB</t>
  </si>
  <si>
    <t>'102169042300CB</t>
  </si>
  <si>
    <t>'102169457000CB</t>
  </si>
  <si>
    <t>'102169501600CB</t>
  </si>
  <si>
    <t>'102169513200CB</t>
  </si>
  <si>
    <t>'102169514800CB</t>
  </si>
  <si>
    <t>'937824582CB</t>
  </si>
  <si>
    <t>JEFF DEWEY</t>
  </si>
  <si>
    <t>UHC MAPD Street payable to upline - 2025 New</t>
  </si>
  <si>
    <t>'937824582OVCB</t>
  </si>
  <si>
    <t>00000646024D</t>
  </si>
  <si>
    <t>00014214997K</t>
  </si>
  <si>
    <t>00023345760K</t>
  </si>
  <si>
    <t>00023351659K</t>
  </si>
  <si>
    <t>00023358106K</t>
  </si>
  <si>
    <t>54L1L3X99</t>
  </si>
  <si>
    <t>907822980OV</t>
  </si>
  <si>
    <t>979062658OV</t>
  </si>
  <si>
    <t>00011895530KPC</t>
  </si>
  <si>
    <t>00021880649KPC</t>
  </si>
  <si>
    <t>101068686100PC</t>
  </si>
  <si>
    <t>101470103900PC</t>
  </si>
  <si>
    <t>101645939000CB</t>
  </si>
  <si>
    <t>101861054800CB</t>
  </si>
  <si>
    <t>102163400200CB</t>
  </si>
  <si>
    <t>102163976800CB</t>
  </si>
  <si>
    <t>102164266800CB</t>
  </si>
  <si>
    <t>102164311600CB</t>
  </si>
  <si>
    <t>102164482000CB</t>
  </si>
  <si>
    <t>102165144500CB</t>
  </si>
  <si>
    <t>102165156900CB</t>
  </si>
  <si>
    <t>102165383900CB</t>
  </si>
  <si>
    <t>102165563500CB</t>
  </si>
  <si>
    <t>102166131000CB</t>
  </si>
  <si>
    <t>102167666500CB</t>
  </si>
  <si>
    <t>102167672000CB</t>
  </si>
  <si>
    <t>102168084000CB</t>
  </si>
  <si>
    <t>102168241300CB</t>
  </si>
  <si>
    <t>102168444600CB</t>
  </si>
  <si>
    <t>102169042300CB</t>
  </si>
  <si>
    <t>102169457000CB</t>
  </si>
  <si>
    <t>102169501600CB</t>
  </si>
  <si>
    <t>102169513200CB</t>
  </si>
  <si>
    <t>102169514800CB</t>
  </si>
  <si>
    <t>937824582CB</t>
  </si>
  <si>
    <t>937824582OVCB</t>
  </si>
  <si>
    <t>Aetna MAPD OVR 2025</t>
  </si>
  <si>
    <t>Cigna MAPD 2025 Ovr</t>
  </si>
  <si>
    <t>Humana MAPD OVR 2025</t>
  </si>
  <si>
    <t>UHC MAPD Ovr 2025</t>
  </si>
  <si>
    <t>UHC 2025</t>
  </si>
  <si>
    <t>UHC MAPD 2025*</t>
  </si>
  <si>
    <t>[%/$=313][prorate=10/12]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</si>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</sst>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0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84C2-E9F8-45C1-B3F4-44973B40657C}">
  <dimension ref="A1:AL70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45805</v>
      </c>
      <c r="B2" s="1">
        <v>45805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45809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5493248</v>
      </c>
    </row>
    <row r="3" spans="1:38" x14ac:dyDescent="0.25">
      <c r="A3" s="1">
        <v>45805</v>
      </c>
      <c r="B3" s="1">
        <v>45805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58</v>
      </c>
      <c r="S3" s="1">
        <v>45809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5493232</v>
      </c>
    </row>
    <row r="4" spans="1:38" x14ac:dyDescent="0.25">
      <c r="A4" s="1">
        <v>45805</v>
      </c>
      <c r="B4" s="1">
        <v>45805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59</v>
      </c>
      <c r="J4" t="s">
        <v>60</v>
      </c>
      <c r="M4" t="s">
        <v>61</v>
      </c>
      <c r="O4" t="s">
        <v>62</v>
      </c>
      <c r="P4" t="s">
        <v>63</v>
      </c>
      <c r="Q4" t="s">
        <v>49</v>
      </c>
      <c r="R4" t="s">
        <v>50</v>
      </c>
      <c r="S4" s="1">
        <v>45839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5493277</v>
      </c>
    </row>
    <row r="5" spans="1:38" x14ac:dyDescent="0.25">
      <c r="A5" s="1">
        <v>45805</v>
      </c>
      <c r="B5" s="1">
        <v>45805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61</v>
      </c>
      <c r="O5" t="s">
        <v>66</v>
      </c>
      <c r="P5" t="s">
        <v>67</v>
      </c>
      <c r="Q5" t="s">
        <v>49</v>
      </c>
      <c r="R5" t="s">
        <v>50</v>
      </c>
      <c r="S5" s="1">
        <v>45809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5493313</v>
      </c>
    </row>
    <row r="6" spans="1:38" x14ac:dyDescent="0.25">
      <c r="A6" s="1">
        <v>45805</v>
      </c>
      <c r="B6" s="1">
        <v>45805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70</v>
      </c>
      <c r="O6" t="s">
        <v>62</v>
      </c>
      <c r="P6" t="s">
        <v>63</v>
      </c>
      <c r="Q6" t="s">
        <v>49</v>
      </c>
      <c r="R6" t="s">
        <v>50</v>
      </c>
      <c r="S6" s="1">
        <v>45809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5493336</v>
      </c>
    </row>
    <row r="7" spans="1:38" x14ac:dyDescent="0.25">
      <c r="A7" s="1">
        <v>45805</v>
      </c>
      <c r="B7" s="1">
        <v>45805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73</v>
      </c>
      <c r="O7" t="s">
        <v>74</v>
      </c>
      <c r="P7" t="s">
        <v>75</v>
      </c>
      <c r="Q7" t="s">
        <v>49</v>
      </c>
      <c r="R7" t="s">
        <v>76</v>
      </c>
      <c r="S7" s="1">
        <v>45778</v>
      </c>
      <c r="U7" t="s">
        <v>51</v>
      </c>
      <c r="X7" t="s">
        <v>52</v>
      </c>
      <c r="Y7" s="2">
        <v>0</v>
      </c>
      <c r="Z7" s="2">
        <v>33.33</v>
      </c>
      <c r="AA7">
        <v>1</v>
      </c>
      <c r="AB7" s="3">
        <v>1</v>
      </c>
      <c r="AC7" s="2">
        <v>33.33</v>
      </c>
      <c r="AD7" s="3">
        <v>0</v>
      </c>
      <c r="AE7" s="2">
        <v>0</v>
      </c>
      <c r="AF7" s="2">
        <v>33.33</v>
      </c>
      <c r="AK7">
        <v>5492976</v>
      </c>
      <c r="AL7" t="s">
        <v>77</v>
      </c>
    </row>
    <row r="8" spans="1:38" x14ac:dyDescent="0.25">
      <c r="A8" s="1">
        <v>45805</v>
      </c>
      <c r="B8" s="1">
        <v>45805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78</v>
      </c>
      <c r="J8" t="s">
        <v>79</v>
      </c>
      <c r="O8" t="s">
        <v>80</v>
      </c>
      <c r="P8" t="s">
        <v>81</v>
      </c>
      <c r="Q8" t="s">
        <v>49</v>
      </c>
      <c r="R8" t="s">
        <v>82</v>
      </c>
      <c r="S8" s="1">
        <v>45778</v>
      </c>
      <c r="U8" t="s">
        <v>51</v>
      </c>
      <c r="X8" t="s">
        <v>52</v>
      </c>
      <c r="Y8" s="2">
        <v>0</v>
      </c>
      <c r="Z8" s="2">
        <v>50</v>
      </c>
      <c r="AA8">
        <v>1</v>
      </c>
      <c r="AB8" s="3">
        <v>1</v>
      </c>
      <c r="AC8" s="2">
        <v>50</v>
      </c>
      <c r="AD8" s="3">
        <v>0</v>
      </c>
      <c r="AE8" s="2">
        <v>0</v>
      </c>
      <c r="AF8" s="2">
        <v>50</v>
      </c>
      <c r="AK8">
        <v>5493008</v>
      </c>
    </row>
    <row r="9" spans="1:38" x14ac:dyDescent="0.25">
      <c r="A9" s="1">
        <v>45805</v>
      </c>
      <c r="B9" s="1">
        <v>45805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83</v>
      </c>
      <c r="J9" t="s">
        <v>84</v>
      </c>
      <c r="M9" t="s">
        <v>61</v>
      </c>
      <c r="O9" t="s">
        <v>66</v>
      </c>
      <c r="P9" t="s">
        <v>67</v>
      </c>
      <c r="Q9" t="s">
        <v>49</v>
      </c>
      <c r="R9" t="s">
        <v>82</v>
      </c>
      <c r="S9" s="1">
        <v>45778</v>
      </c>
      <c r="U9" t="s">
        <v>51</v>
      </c>
      <c r="X9" t="s">
        <v>52</v>
      </c>
      <c r="Y9" s="2">
        <v>0</v>
      </c>
      <c r="Z9" s="2">
        <v>50</v>
      </c>
      <c r="AA9">
        <v>1</v>
      </c>
      <c r="AB9" s="3">
        <v>1</v>
      </c>
      <c r="AC9" s="2">
        <v>50</v>
      </c>
      <c r="AD9" s="3">
        <v>0</v>
      </c>
      <c r="AE9" s="2">
        <v>0</v>
      </c>
      <c r="AF9" s="2">
        <v>50</v>
      </c>
      <c r="AK9">
        <v>5493011</v>
      </c>
    </row>
    <row r="10" spans="1:38" x14ac:dyDescent="0.25">
      <c r="A10" s="1">
        <v>45805</v>
      </c>
      <c r="B10" s="1">
        <v>45805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87</v>
      </c>
      <c r="O10" t="s">
        <v>88</v>
      </c>
      <c r="P10" t="s">
        <v>89</v>
      </c>
      <c r="Q10" t="s">
        <v>49</v>
      </c>
      <c r="R10" t="s">
        <v>76</v>
      </c>
      <c r="S10" s="1">
        <v>45778</v>
      </c>
      <c r="U10" t="s">
        <v>51</v>
      </c>
      <c r="X10" t="s">
        <v>52</v>
      </c>
      <c r="Y10" s="2">
        <v>0</v>
      </c>
      <c r="Z10" s="2">
        <v>33.33</v>
      </c>
      <c r="AA10">
        <v>1</v>
      </c>
      <c r="AB10" s="3">
        <v>1</v>
      </c>
      <c r="AC10" s="2">
        <v>33.33</v>
      </c>
      <c r="AD10" s="3">
        <v>0</v>
      </c>
      <c r="AE10" s="2">
        <v>0</v>
      </c>
      <c r="AF10" s="2">
        <v>33.33</v>
      </c>
      <c r="AK10">
        <v>5492978</v>
      </c>
      <c r="AL10" t="s">
        <v>77</v>
      </c>
    </row>
    <row r="11" spans="1:38" x14ac:dyDescent="0.25">
      <c r="A11" s="1">
        <v>45805</v>
      </c>
      <c r="B11" s="1">
        <v>45805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91</v>
      </c>
      <c r="M11" t="s">
        <v>73</v>
      </c>
      <c r="O11" t="s">
        <v>92</v>
      </c>
      <c r="P11" t="s">
        <v>93</v>
      </c>
      <c r="Q11" t="s">
        <v>49</v>
      </c>
      <c r="R11" t="s">
        <v>82</v>
      </c>
      <c r="S11" s="1">
        <v>45748</v>
      </c>
      <c r="U11" t="s">
        <v>51</v>
      </c>
      <c r="X11" t="s">
        <v>52</v>
      </c>
      <c r="Y11" s="2">
        <v>0</v>
      </c>
      <c r="Z11" s="2">
        <v>50</v>
      </c>
      <c r="AA11">
        <v>1</v>
      </c>
      <c r="AB11" s="3">
        <v>1</v>
      </c>
      <c r="AC11" s="2">
        <v>50</v>
      </c>
      <c r="AD11" s="3">
        <v>0</v>
      </c>
      <c r="AE11" s="2">
        <v>0</v>
      </c>
      <c r="AF11" s="2">
        <v>50</v>
      </c>
      <c r="AK11">
        <v>5493020</v>
      </c>
    </row>
    <row r="12" spans="1:38" x14ac:dyDescent="0.25">
      <c r="A12" s="1">
        <v>45805</v>
      </c>
      <c r="B12" s="1">
        <v>45805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94</v>
      </c>
      <c r="J12" t="s">
        <v>95</v>
      </c>
      <c r="M12" t="s">
        <v>61</v>
      </c>
      <c r="O12" t="s">
        <v>96</v>
      </c>
      <c r="P12" t="s">
        <v>97</v>
      </c>
      <c r="Q12" t="s">
        <v>49</v>
      </c>
      <c r="R12" t="s">
        <v>82</v>
      </c>
      <c r="S12" s="1">
        <v>45778</v>
      </c>
      <c r="U12" t="s">
        <v>51</v>
      </c>
      <c r="X12" t="s">
        <v>52</v>
      </c>
      <c r="Y12" s="2">
        <v>0</v>
      </c>
      <c r="Z12" s="2">
        <v>50</v>
      </c>
      <c r="AA12">
        <v>1</v>
      </c>
      <c r="AB12" s="3">
        <v>1</v>
      </c>
      <c r="AC12" s="2">
        <v>50</v>
      </c>
      <c r="AD12" s="3">
        <v>0</v>
      </c>
      <c r="AE12" s="2">
        <v>0</v>
      </c>
      <c r="AF12" s="2">
        <v>50</v>
      </c>
      <c r="AK12">
        <v>5493026</v>
      </c>
    </row>
    <row r="13" spans="1:38" x14ac:dyDescent="0.25">
      <c r="A13" s="1">
        <v>45805</v>
      </c>
      <c r="B13" s="1">
        <v>45805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98</v>
      </c>
      <c r="J13" t="s">
        <v>99</v>
      </c>
      <c r="M13" t="s">
        <v>100</v>
      </c>
      <c r="O13" t="s">
        <v>101</v>
      </c>
      <c r="P13" t="s">
        <v>102</v>
      </c>
      <c r="Q13" t="s">
        <v>49</v>
      </c>
      <c r="R13" t="s">
        <v>82</v>
      </c>
      <c r="S13" s="1">
        <v>45839</v>
      </c>
      <c r="U13" t="s">
        <v>51</v>
      </c>
      <c r="X13" t="s">
        <v>52</v>
      </c>
      <c r="Y13" s="2">
        <v>0</v>
      </c>
      <c r="Z13" s="2">
        <v>50</v>
      </c>
      <c r="AA13">
        <v>1</v>
      </c>
      <c r="AB13" s="3">
        <v>1</v>
      </c>
      <c r="AC13" s="2">
        <v>50</v>
      </c>
      <c r="AD13" s="3">
        <v>0</v>
      </c>
      <c r="AE13" s="2">
        <v>0</v>
      </c>
      <c r="AF13" s="2">
        <v>50</v>
      </c>
      <c r="AK13">
        <v>5493030</v>
      </c>
    </row>
    <row r="14" spans="1:38" x14ac:dyDescent="0.25">
      <c r="A14" s="1">
        <v>45805</v>
      </c>
      <c r="B14" s="1">
        <v>45805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103</v>
      </c>
      <c r="J14" t="s">
        <v>104</v>
      </c>
      <c r="M14" t="s">
        <v>61</v>
      </c>
      <c r="O14" t="s">
        <v>105</v>
      </c>
      <c r="P14" t="s">
        <v>106</v>
      </c>
      <c r="Q14" t="s">
        <v>49</v>
      </c>
      <c r="R14" t="s">
        <v>82</v>
      </c>
      <c r="S14" s="1">
        <v>45778</v>
      </c>
      <c r="U14" t="s">
        <v>51</v>
      </c>
      <c r="X14" t="s">
        <v>52</v>
      </c>
      <c r="Y14" s="2">
        <v>0</v>
      </c>
      <c r="Z14" s="2">
        <v>50</v>
      </c>
      <c r="AA14">
        <v>1</v>
      </c>
      <c r="AB14" s="3">
        <v>1</v>
      </c>
      <c r="AC14" s="2">
        <v>50</v>
      </c>
      <c r="AD14" s="3">
        <v>0</v>
      </c>
      <c r="AE14" s="2">
        <v>0</v>
      </c>
      <c r="AF14" s="2">
        <v>50</v>
      </c>
      <c r="AK14">
        <v>5493036</v>
      </c>
    </row>
    <row r="15" spans="1:38" x14ac:dyDescent="0.25">
      <c r="A15" s="1">
        <v>45805</v>
      </c>
      <c r="B15" s="1">
        <v>45805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107</v>
      </c>
      <c r="J15" t="s">
        <v>108</v>
      </c>
      <c r="O15" t="s">
        <v>92</v>
      </c>
      <c r="P15" t="s">
        <v>93</v>
      </c>
      <c r="Q15" t="s">
        <v>49</v>
      </c>
      <c r="R15" t="s">
        <v>82</v>
      </c>
      <c r="S15" s="1">
        <v>45809</v>
      </c>
      <c r="U15" t="s">
        <v>51</v>
      </c>
      <c r="X15" t="s">
        <v>52</v>
      </c>
      <c r="Y15" s="2">
        <v>0</v>
      </c>
      <c r="Z15" s="2">
        <v>50</v>
      </c>
      <c r="AA15">
        <v>1</v>
      </c>
      <c r="AB15" s="3">
        <v>1</v>
      </c>
      <c r="AC15" s="2">
        <v>50</v>
      </c>
      <c r="AD15" s="3">
        <v>0</v>
      </c>
      <c r="AE15" s="2">
        <v>0</v>
      </c>
      <c r="AF15" s="2">
        <v>50</v>
      </c>
      <c r="AK15">
        <v>5493038</v>
      </c>
    </row>
    <row r="16" spans="1:38" x14ac:dyDescent="0.25">
      <c r="A16" s="1">
        <v>45805</v>
      </c>
      <c r="B16" s="1">
        <v>45805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109</v>
      </c>
      <c r="J16" t="s">
        <v>110</v>
      </c>
      <c r="O16" t="s">
        <v>111</v>
      </c>
      <c r="P16" t="s">
        <v>112</v>
      </c>
      <c r="Q16" t="s">
        <v>49</v>
      </c>
      <c r="R16" t="s">
        <v>82</v>
      </c>
      <c r="S16" s="1">
        <v>45778</v>
      </c>
      <c r="U16" t="s">
        <v>51</v>
      </c>
      <c r="X16" t="s">
        <v>52</v>
      </c>
      <c r="Y16" s="2">
        <v>0</v>
      </c>
      <c r="Z16" s="2">
        <v>50</v>
      </c>
      <c r="AA16">
        <v>1</v>
      </c>
      <c r="AB16" s="3">
        <v>1</v>
      </c>
      <c r="AC16" s="2">
        <v>50</v>
      </c>
      <c r="AD16" s="3">
        <v>0</v>
      </c>
      <c r="AE16" s="2">
        <v>0</v>
      </c>
      <c r="AF16" s="2">
        <v>50</v>
      </c>
      <c r="AK16">
        <v>5493044</v>
      </c>
    </row>
    <row r="17" spans="1:38" x14ac:dyDescent="0.25">
      <c r="A17" s="1">
        <v>45805</v>
      </c>
      <c r="B17" s="1">
        <v>45805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113</v>
      </c>
      <c r="J17" t="s">
        <v>114</v>
      </c>
      <c r="O17" t="s">
        <v>47</v>
      </c>
      <c r="P17" t="s">
        <v>48</v>
      </c>
      <c r="Q17" t="s">
        <v>49</v>
      </c>
      <c r="R17" t="s">
        <v>82</v>
      </c>
      <c r="S17" s="1">
        <v>45809</v>
      </c>
      <c r="U17" t="s">
        <v>51</v>
      </c>
      <c r="X17" t="s">
        <v>52</v>
      </c>
      <c r="Y17" s="2">
        <v>0</v>
      </c>
      <c r="Z17" s="2">
        <v>50</v>
      </c>
      <c r="AA17">
        <v>1</v>
      </c>
      <c r="AB17" s="3">
        <v>1</v>
      </c>
      <c r="AC17" s="2">
        <v>50</v>
      </c>
      <c r="AD17" s="3">
        <v>0</v>
      </c>
      <c r="AE17" s="2">
        <v>0</v>
      </c>
      <c r="AF17" s="2">
        <v>50</v>
      </c>
      <c r="AK17">
        <v>5493045</v>
      </c>
    </row>
    <row r="18" spans="1:38" x14ac:dyDescent="0.25">
      <c r="A18" s="1">
        <v>45805</v>
      </c>
      <c r="B18" s="1">
        <v>45805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115</v>
      </c>
      <c r="J18" t="s">
        <v>116</v>
      </c>
      <c r="O18" t="s">
        <v>117</v>
      </c>
      <c r="P18" t="s">
        <v>118</v>
      </c>
      <c r="Q18" t="s">
        <v>49</v>
      </c>
      <c r="R18" t="s">
        <v>82</v>
      </c>
      <c r="S18" s="1">
        <v>45778</v>
      </c>
      <c r="U18" t="s">
        <v>51</v>
      </c>
      <c r="X18" t="s">
        <v>52</v>
      </c>
      <c r="Y18" s="2">
        <v>0</v>
      </c>
      <c r="Z18" s="2">
        <v>50</v>
      </c>
      <c r="AA18">
        <v>1</v>
      </c>
      <c r="AB18" s="3">
        <v>1</v>
      </c>
      <c r="AC18" s="2">
        <v>50</v>
      </c>
      <c r="AD18" s="3">
        <v>0</v>
      </c>
      <c r="AE18" s="2">
        <v>0</v>
      </c>
      <c r="AF18" s="2">
        <v>50</v>
      </c>
      <c r="AK18">
        <v>5493050</v>
      </c>
    </row>
    <row r="19" spans="1:38" x14ac:dyDescent="0.25">
      <c r="A19" s="1">
        <v>45805</v>
      </c>
      <c r="B19" s="1">
        <v>45805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119</v>
      </c>
      <c r="J19" t="s">
        <v>120</v>
      </c>
      <c r="O19" t="s">
        <v>121</v>
      </c>
      <c r="P19" t="s">
        <v>122</v>
      </c>
      <c r="Q19" t="s">
        <v>49</v>
      </c>
      <c r="R19" t="s">
        <v>82</v>
      </c>
      <c r="S19" s="1">
        <v>45778</v>
      </c>
      <c r="U19" t="s">
        <v>51</v>
      </c>
      <c r="X19" t="s">
        <v>52</v>
      </c>
      <c r="Y19" s="2">
        <v>0</v>
      </c>
      <c r="Z19" s="2">
        <v>50</v>
      </c>
      <c r="AA19">
        <v>1</v>
      </c>
      <c r="AB19" s="3">
        <v>1</v>
      </c>
      <c r="AC19" s="2">
        <v>50</v>
      </c>
      <c r="AD19" s="3">
        <v>0</v>
      </c>
      <c r="AE19" s="2">
        <v>0</v>
      </c>
      <c r="AF19" s="2">
        <v>50</v>
      </c>
      <c r="AK19">
        <v>5493053</v>
      </c>
    </row>
    <row r="20" spans="1:38" x14ac:dyDescent="0.25">
      <c r="A20" s="1">
        <v>45805</v>
      </c>
      <c r="B20" s="1">
        <v>45805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123</v>
      </c>
      <c r="J20" t="s">
        <v>124</v>
      </c>
      <c r="M20" t="s">
        <v>73</v>
      </c>
      <c r="O20" t="s">
        <v>111</v>
      </c>
      <c r="P20" t="s">
        <v>112</v>
      </c>
      <c r="Q20" t="s">
        <v>49</v>
      </c>
      <c r="R20" t="s">
        <v>82</v>
      </c>
      <c r="S20" s="1">
        <v>45778</v>
      </c>
      <c r="U20" t="s">
        <v>51</v>
      </c>
      <c r="X20" t="s">
        <v>52</v>
      </c>
      <c r="Y20" s="2">
        <v>0</v>
      </c>
      <c r="Z20" s="2">
        <v>50</v>
      </c>
      <c r="AA20">
        <v>1</v>
      </c>
      <c r="AB20" s="3">
        <v>1</v>
      </c>
      <c r="AC20" s="2">
        <v>50</v>
      </c>
      <c r="AD20" s="3">
        <v>0</v>
      </c>
      <c r="AE20" s="2">
        <v>0</v>
      </c>
      <c r="AF20" s="2">
        <v>50</v>
      </c>
      <c r="AK20">
        <v>5493073</v>
      </c>
    </row>
    <row r="21" spans="1:38" x14ac:dyDescent="0.25">
      <c r="A21" s="1">
        <v>45805</v>
      </c>
      <c r="B21" s="1">
        <v>45805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125</v>
      </c>
      <c r="J21" t="s">
        <v>126</v>
      </c>
      <c r="M21" t="s">
        <v>61</v>
      </c>
      <c r="O21" t="s">
        <v>96</v>
      </c>
      <c r="P21" t="s">
        <v>97</v>
      </c>
      <c r="Q21" t="s">
        <v>49</v>
      </c>
      <c r="R21" t="s">
        <v>82</v>
      </c>
      <c r="S21" s="1">
        <v>45778</v>
      </c>
      <c r="U21" t="s">
        <v>51</v>
      </c>
      <c r="X21" t="s">
        <v>52</v>
      </c>
      <c r="Y21" s="2">
        <v>0</v>
      </c>
      <c r="Z21" s="2">
        <v>50</v>
      </c>
      <c r="AA21">
        <v>1</v>
      </c>
      <c r="AB21" s="3">
        <v>1</v>
      </c>
      <c r="AC21" s="2">
        <v>50</v>
      </c>
      <c r="AD21" s="3">
        <v>0</v>
      </c>
      <c r="AE21" s="2">
        <v>0</v>
      </c>
      <c r="AF21" s="2">
        <v>50</v>
      </c>
      <c r="AK21">
        <v>5493097</v>
      </c>
    </row>
    <row r="22" spans="1:38" x14ac:dyDescent="0.25">
      <c r="A22" s="1">
        <v>45805</v>
      </c>
      <c r="B22" s="1">
        <v>45805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127</v>
      </c>
      <c r="J22" t="s">
        <v>128</v>
      </c>
      <c r="M22" t="s">
        <v>73</v>
      </c>
      <c r="O22" t="s">
        <v>129</v>
      </c>
      <c r="P22" t="s">
        <v>130</v>
      </c>
      <c r="Q22" t="s">
        <v>49</v>
      </c>
      <c r="R22" t="s">
        <v>82</v>
      </c>
      <c r="S22" s="1">
        <v>45809</v>
      </c>
      <c r="U22" t="s">
        <v>51</v>
      </c>
      <c r="X22" t="s">
        <v>52</v>
      </c>
      <c r="Y22" s="2">
        <v>0</v>
      </c>
      <c r="Z22" s="2">
        <v>50</v>
      </c>
      <c r="AA22">
        <v>1</v>
      </c>
      <c r="AB22" s="3">
        <v>1</v>
      </c>
      <c r="AC22" s="2">
        <v>50</v>
      </c>
      <c r="AD22" s="3">
        <v>0</v>
      </c>
      <c r="AE22" s="2">
        <v>0</v>
      </c>
      <c r="AF22" s="2">
        <v>50</v>
      </c>
      <c r="AK22">
        <v>5493098</v>
      </c>
    </row>
    <row r="23" spans="1:38" x14ac:dyDescent="0.25">
      <c r="A23" s="1">
        <v>45805</v>
      </c>
      <c r="B23" s="1">
        <v>45805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131</v>
      </c>
      <c r="J23" t="s">
        <v>132</v>
      </c>
      <c r="M23" t="s">
        <v>61</v>
      </c>
      <c r="O23" t="s">
        <v>133</v>
      </c>
      <c r="P23" t="s">
        <v>134</v>
      </c>
      <c r="Q23" t="s">
        <v>49</v>
      </c>
      <c r="R23" t="s">
        <v>82</v>
      </c>
      <c r="S23" s="1">
        <v>45778</v>
      </c>
      <c r="U23" t="s">
        <v>51</v>
      </c>
      <c r="X23" t="s">
        <v>52</v>
      </c>
      <c r="Y23" s="2">
        <v>0</v>
      </c>
      <c r="Z23" s="2">
        <v>50</v>
      </c>
      <c r="AA23">
        <v>1</v>
      </c>
      <c r="AB23" s="3">
        <v>1</v>
      </c>
      <c r="AC23" s="2">
        <v>50</v>
      </c>
      <c r="AD23" s="3">
        <v>0</v>
      </c>
      <c r="AE23" s="2">
        <v>0</v>
      </c>
      <c r="AF23" s="2">
        <v>50</v>
      </c>
      <c r="AK23">
        <v>5493105</v>
      </c>
    </row>
    <row r="24" spans="1:38" x14ac:dyDescent="0.25">
      <c r="A24" s="1">
        <v>45805</v>
      </c>
      <c r="B24" s="1">
        <v>45805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135</v>
      </c>
      <c r="J24" t="s">
        <v>136</v>
      </c>
      <c r="M24" t="s">
        <v>61</v>
      </c>
      <c r="O24" t="s">
        <v>117</v>
      </c>
      <c r="P24" t="s">
        <v>118</v>
      </c>
      <c r="Q24" t="s">
        <v>49</v>
      </c>
      <c r="R24" t="s">
        <v>82</v>
      </c>
      <c r="S24" s="1">
        <v>45778</v>
      </c>
      <c r="U24" t="s">
        <v>51</v>
      </c>
      <c r="X24" t="s">
        <v>52</v>
      </c>
      <c r="Y24" s="2">
        <v>0</v>
      </c>
      <c r="Z24" s="2">
        <v>50</v>
      </c>
      <c r="AA24">
        <v>1</v>
      </c>
      <c r="AB24" s="3">
        <v>1</v>
      </c>
      <c r="AC24" s="2">
        <v>50</v>
      </c>
      <c r="AD24" s="3">
        <v>0</v>
      </c>
      <c r="AE24" s="2">
        <v>0</v>
      </c>
      <c r="AF24" s="2">
        <v>50</v>
      </c>
      <c r="AK24">
        <v>5493112</v>
      </c>
    </row>
    <row r="25" spans="1:38" x14ac:dyDescent="0.25">
      <c r="A25" s="1">
        <v>45805</v>
      </c>
      <c r="B25" s="1">
        <v>45805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137</v>
      </c>
      <c r="J25" t="s">
        <v>138</v>
      </c>
      <c r="M25" t="s">
        <v>139</v>
      </c>
      <c r="O25" t="s">
        <v>140</v>
      </c>
      <c r="P25" t="s">
        <v>141</v>
      </c>
      <c r="Q25" t="s">
        <v>49</v>
      </c>
      <c r="R25" t="s">
        <v>82</v>
      </c>
      <c r="S25" s="1">
        <v>45839</v>
      </c>
      <c r="U25" t="s">
        <v>51</v>
      </c>
      <c r="X25" t="s">
        <v>52</v>
      </c>
      <c r="Y25" s="2">
        <v>0</v>
      </c>
      <c r="Z25" s="2">
        <v>50</v>
      </c>
      <c r="AA25">
        <v>1</v>
      </c>
      <c r="AB25" s="3">
        <v>1</v>
      </c>
      <c r="AC25" s="2">
        <v>50</v>
      </c>
      <c r="AD25" s="3">
        <v>0</v>
      </c>
      <c r="AE25" s="2">
        <v>0</v>
      </c>
      <c r="AF25" s="2">
        <v>50</v>
      </c>
      <c r="AK25">
        <v>5493115</v>
      </c>
    </row>
    <row r="26" spans="1:38" x14ac:dyDescent="0.25">
      <c r="A26" s="1">
        <v>45805</v>
      </c>
      <c r="B26" s="1">
        <v>45805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142</v>
      </c>
      <c r="J26" t="s">
        <v>143</v>
      </c>
      <c r="M26" t="s">
        <v>61</v>
      </c>
      <c r="O26" t="s">
        <v>111</v>
      </c>
      <c r="P26" t="s">
        <v>112</v>
      </c>
      <c r="Q26" t="s">
        <v>49</v>
      </c>
      <c r="R26" t="s">
        <v>82</v>
      </c>
      <c r="S26" s="1">
        <v>45778</v>
      </c>
      <c r="U26" t="s">
        <v>51</v>
      </c>
      <c r="X26" t="s">
        <v>52</v>
      </c>
      <c r="Y26" s="2">
        <v>0</v>
      </c>
      <c r="Z26" s="2">
        <v>50</v>
      </c>
      <c r="AA26">
        <v>1</v>
      </c>
      <c r="AB26" s="3">
        <v>1</v>
      </c>
      <c r="AC26" s="2">
        <v>50</v>
      </c>
      <c r="AD26" s="3">
        <v>0</v>
      </c>
      <c r="AE26" s="2">
        <v>0</v>
      </c>
      <c r="AF26" s="2">
        <v>50</v>
      </c>
      <c r="AK26">
        <v>5493128</v>
      </c>
    </row>
    <row r="27" spans="1:38" x14ac:dyDescent="0.25">
      <c r="A27" s="1">
        <v>45805</v>
      </c>
      <c r="B27" s="1">
        <v>45805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144</v>
      </c>
      <c r="J27" t="s">
        <v>145</v>
      </c>
      <c r="M27" t="s">
        <v>61</v>
      </c>
      <c r="O27" t="s">
        <v>146</v>
      </c>
      <c r="P27" t="s">
        <v>147</v>
      </c>
      <c r="Q27" t="s">
        <v>49</v>
      </c>
      <c r="R27" t="s">
        <v>82</v>
      </c>
      <c r="S27" s="1">
        <v>45809</v>
      </c>
      <c r="U27" t="s">
        <v>51</v>
      </c>
      <c r="X27" t="s">
        <v>52</v>
      </c>
      <c r="Y27" s="2">
        <v>0</v>
      </c>
      <c r="Z27" s="2">
        <v>50</v>
      </c>
      <c r="AA27">
        <v>1</v>
      </c>
      <c r="AB27" s="3">
        <v>1</v>
      </c>
      <c r="AC27" s="2">
        <v>50</v>
      </c>
      <c r="AD27" s="3">
        <v>0</v>
      </c>
      <c r="AE27" s="2">
        <v>0</v>
      </c>
      <c r="AF27" s="2">
        <v>50</v>
      </c>
      <c r="AK27">
        <v>5493136</v>
      </c>
    </row>
    <row r="28" spans="1:38" x14ac:dyDescent="0.25">
      <c r="A28" s="1">
        <v>45805</v>
      </c>
      <c r="B28" s="1">
        <v>45805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148</v>
      </c>
      <c r="J28" t="s">
        <v>149</v>
      </c>
      <c r="M28" t="s">
        <v>73</v>
      </c>
      <c r="O28" t="s">
        <v>121</v>
      </c>
      <c r="P28" t="s">
        <v>122</v>
      </c>
      <c r="Q28" t="s">
        <v>49</v>
      </c>
      <c r="R28" t="s">
        <v>82</v>
      </c>
      <c r="S28" s="1">
        <v>45778</v>
      </c>
      <c r="U28" t="s">
        <v>51</v>
      </c>
      <c r="X28" t="s">
        <v>52</v>
      </c>
      <c r="Y28" s="2">
        <v>0</v>
      </c>
      <c r="Z28" s="2">
        <v>50</v>
      </c>
      <c r="AA28">
        <v>1</v>
      </c>
      <c r="AB28" s="3">
        <v>1</v>
      </c>
      <c r="AC28" s="2">
        <v>50</v>
      </c>
      <c r="AD28" s="3">
        <v>0</v>
      </c>
      <c r="AE28" s="2">
        <v>0</v>
      </c>
      <c r="AF28" s="2">
        <v>50</v>
      </c>
      <c r="AK28">
        <v>5493137</v>
      </c>
    </row>
    <row r="29" spans="1:38" x14ac:dyDescent="0.25">
      <c r="A29" s="1">
        <v>45805</v>
      </c>
      <c r="B29" s="1">
        <v>45805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150</v>
      </c>
      <c r="J29" t="s">
        <v>151</v>
      </c>
      <c r="M29" t="s">
        <v>55</v>
      </c>
      <c r="O29" t="s">
        <v>152</v>
      </c>
      <c r="P29" t="s">
        <v>151</v>
      </c>
      <c r="Q29" t="s">
        <v>49</v>
      </c>
      <c r="R29" t="s">
        <v>82</v>
      </c>
      <c r="S29" s="1">
        <v>45778</v>
      </c>
      <c r="U29" t="s">
        <v>51</v>
      </c>
      <c r="X29" t="s">
        <v>52</v>
      </c>
      <c r="Y29" s="2">
        <v>0</v>
      </c>
      <c r="Z29" s="2">
        <v>50</v>
      </c>
      <c r="AA29">
        <v>1</v>
      </c>
      <c r="AB29" s="3">
        <v>1</v>
      </c>
      <c r="AC29" s="2">
        <v>50</v>
      </c>
      <c r="AD29" s="3">
        <v>0</v>
      </c>
      <c r="AE29" s="2">
        <v>0</v>
      </c>
      <c r="AF29" s="2">
        <v>50</v>
      </c>
      <c r="AK29">
        <v>5493139</v>
      </c>
    </row>
    <row r="30" spans="1:38" x14ac:dyDescent="0.25">
      <c r="A30" s="1">
        <v>45805</v>
      </c>
      <c r="B30" s="1">
        <v>45805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153</v>
      </c>
      <c r="J30" t="s">
        <v>154</v>
      </c>
      <c r="M30" t="s">
        <v>61</v>
      </c>
      <c r="O30" t="s">
        <v>96</v>
      </c>
      <c r="P30" t="s">
        <v>97</v>
      </c>
      <c r="Q30" t="s">
        <v>49</v>
      </c>
      <c r="R30" t="s">
        <v>82</v>
      </c>
      <c r="S30" s="1">
        <v>45778</v>
      </c>
      <c r="U30" t="s">
        <v>51</v>
      </c>
      <c r="X30" t="s">
        <v>52</v>
      </c>
      <c r="Y30" s="2">
        <v>0</v>
      </c>
      <c r="Z30" s="2">
        <v>50</v>
      </c>
      <c r="AA30">
        <v>1</v>
      </c>
      <c r="AB30" s="3">
        <v>1</v>
      </c>
      <c r="AC30" s="2">
        <v>50</v>
      </c>
      <c r="AD30" s="3">
        <v>0</v>
      </c>
      <c r="AE30" s="2">
        <v>0</v>
      </c>
      <c r="AF30" s="2">
        <v>50</v>
      </c>
      <c r="AK30">
        <v>5493140</v>
      </c>
    </row>
    <row r="31" spans="1:38" x14ac:dyDescent="0.25">
      <c r="A31" s="1">
        <v>45805</v>
      </c>
      <c r="B31" s="1">
        <v>45805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155</v>
      </c>
      <c r="J31" t="s">
        <v>156</v>
      </c>
      <c r="M31" t="s">
        <v>61</v>
      </c>
      <c r="O31" t="s">
        <v>157</v>
      </c>
      <c r="P31" t="s">
        <v>158</v>
      </c>
      <c r="Q31" t="s">
        <v>49</v>
      </c>
      <c r="R31" t="s">
        <v>76</v>
      </c>
      <c r="S31" s="1">
        <v>45778</v>
      </c>
      <c r="U31" t="s">
        <v>51</v>
      </c>
      <c r="X31" t="s">
        <v>52</v>
      </c>
      <c r="Y31" s="2">
        <v>0</v>
      </c>
      <c r="Z31" s="2">
        <v>33.33</v>
      </c>
      <c r="AA31">
        <v>1</v>
      </c>
      <c r="AB31" s="3">
        <v>1</v>
      </c>
      <c r="AC31" s="2">
        <v>33.33</v>
      </c>
      <c r="AD31" s="3">
        <v>0</v>
      </c>
      <c r="AE31" s="2">
        <v>0</v>
      </c>
      <c r="AF31" s="2">
        <v>33.33</v>
      </c>
      <c r="AK31">
        <v>5492980</v>
      </c>
      <c r="AL31" t="s">
        <v>77</v>
      </c>
    </row>
    <row r="32" spans="1:38" x14ac:dyDescent="0.25">
      <c r="A32" s="1">
        <v>45805</v>
      </c>
      <c r="B32" s="1">
        <v>45805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159</v>
      </c>
      <c r="J32" t="s">
        <v>160</v>
      </c>
      <c r="M32" t="s">
        <v>73</v>
      </c>
      <c r="O32" t="s">
        <v>129</v>
      </c>
      <c r="P32" t="s">
        <v>130</v>
      </c>
      <c r="Q32" t="s">
        <v>49</v>
      </c>
      <c r="R32" t="s">
        <v>76</v>
      </c>
      <c r="S32" s="1">
        <v>45870</v>
      </c>
      <c r="U32" t="s">
        <v>51</v>
      </c>
      <c r="X32" t="s">
        <v>52</v>
      </c>
      <c r="Y32" s="2">
        <v>0</v>
      </c>
      <c r="Z32" s="2">
        <v>20.83</v>
      </c>
      <c r="AA32">
        <v>1</v>
      </c>
      <c r="AB32" s="3">
        <v>1</v>
      </c>
      <c r="AC32" s="2">
        <v>20.83</v>
      </c>
      <c r="AD32" s="3">
        <v>0</v>
      </c>
      <c r="AE32" s="2">
        <v>0</v>
      </c>
      <c r="AF32" s="2">
        <v>20.83</v>
      </c>
      <c r="AK32">
        <v>5492949</v>
      </c>
      <c r="AL32" t="s">
        <v>161</v>
      </c>
    </row>
    <row r="33" spans="1:38" x14ac:dyDescent="0.25">
      <c r="A33" s="1">
        <v>45805</v>
      </c>
      <c r="B33" s="1">
        <v>45805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162</v>
      </c>
      <c r="J33" t="s">
        <v>163</v>
      </c>
      <c r="M33" t="s">
        <v>61</v>
      </c>
      <c r="O33" t="s">
        <v>164</v>
      </c>
      <c r="P33" t="s">
        <v>165</v>
      </c>
      <c r="Q33" t="s">
        <v>49</v>
      </c>
      <c r="R33" t="s">
        <v>76</v>
      </c>
      <c r="S33" s="1">
        <v>45809</v>
      </c>
      <c r="U33" t="s">
        <v>51</v>
      </c>
      <c r="X33" t="s">
        <v>52</v>
      </c>
      <c r="Y33" s="2">
        <v>0</v>
      </c>
      <c r="Z33" s="2">
        <v>29.17</v>
      </c>
      <c r="AA33">
        <v>1</v>
      </c>
      <c r="AB33" s="3">
        <v>1</v>
      </c>
      <c r="AC33" s="2">
        <v>29.17</v>
      </c>
      <c r="AD33" s="3">
        <v>0</v>
      </c>
      <c r="AE33" s="2">
        <v>0</v>
      </c>
      <c r="AF33" s="2">
        <v>29.17</v>
      </c>
      <c r="AK33">
        <v>5492972</v>
      </c>
      <c r="AL33" t="s">
        <v>166</v>
      </c>
    </row>
    <row r="34" spans="1:38" x14ac:dyDescent="0.25">
      <c r="A34" s="1">
        <v>45805</v>
      </c>
      <c r="B34" s="1">
        <v>45805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167</v>
      </c>
      <c r="J34" t="s">
        <v>168</v>
      </c>
      <c r="M34" t="s">
        <v>169</v>
      </c>
      <c r="O34" t="s">
        <v>170</v>
      </c>
      <c r="P34" t="s">
        <v>171</v>
      </c>
      <c r="Q34" t="s">
        <v>49</v>
      </c>
      <c r="R34" t="s">
        <v>76</v>
      </c>
      <c r="S34" s="1">
        <v>45839</v>
      </c>
      <c r="U34" t="s">
        <v>51</v>
      </c>
      <c r="X34" t="s">
        <v>52</v>
      </c>
      <c r="Y34" s="2">
        <v>0</v>
      </c>
      <c r="Z34" s="2">
        <v>25</v>
      </c>
      <c r="AA34">
        <v>1</v>
      </c>
      <c r="AB34" s="3">
        <v>1</v>
      </c>
      <c r="AC34" s="2">
        <v>25</v>
      </c>
      <c r="AD34" s="3">
        <v>0</v>
      </c>
      <c r="AE34" s="2">
        <v>0</v>
      </c>
      <c r="AF34" s="2">
        <v>25</v>
      </c>
      <c r="AK34">
        <v>5492968</v>
      </c>
      <c r="AL34" t="s">
        <v>172</v>
      </c>
    </row>
    <row r="35" spans="1:38" x14ac:dyDescent="0.25">
      <c r="A35" s="1">
        <v>45805</v>
      </c>
      <c r="B35" s="1">
        <v>45805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173</v>
      </c>
      <c r="J35" t="s">
        <v>174</v>
      </c>
      <c r="M35" t="s">
        <v>61</v>
      </c>
      <c r="O35" t="s">
        <v>175</v>
      </c>
      <c r="P35" t="s">
        <v>176</v>
      </c>
      <c r="Q35" t="s">
        <v>49</v>
      </c>
      <c r="R35" t="s">
        <v>76</v>
      </c>
      <c r="S35" s="1">
        <v>45809</v>
      </c>
      <c r="U35" t="s">
        <v>51</v>
      </c>
      <c r="X35" t="s">
        <v>52</v>
      </c>
      <c r="Y35" s="2">
        <v>0</v>
      </c>
      <c r="Z35" s="2">
        <v>29.17</v>
      </c>
      <c r="AA35">
        <v>1</v>
      </c>
      <c r="AB35" s="3">
        <v>1</v>
      </c>
      <c r="AC35" s="2">
        <v>29.17</v>
      </c>
      <c r="AD35" s="3">
        <v>0</v>
      </c>
      <c r="AE35" s="2">
        <v>0</v>
      </c>
      <c r="AF35" s="2">
        <v>29.17</v>
      </c>
      <c r="AK35">
        <v>5492973</v>
      </c>
      <c r="AL35" t="s">
        <v>166</v>
      </c>
    </row>
    <row r="36" spans="1:38" x14ac:dyDescent="0.25">
      <c r="A36" s="1">
        <v>45805</v>
      </c>
      <c r="B36" s="1">
        <v>45805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177</v>
      </c>
      <c r="J36" t="s">
        <v>178</v>
      </c>
      <c r="M36" t="s">
        <v>87</v>
      </c>
      <c r="O36" t="s">
        <v>88</v>
      </c>
      <c r="P36" t="s">
        <v>89</v>
      </c>
      <c r="Q36" t="s">
        <v>49</v>
      </c>
      <c r="R36" t="s">
        <v>76</v>
      </c>
      <c r="S36" s="1">
        <v>45809</v>
      </c>
      <c r="U36" t="s">
        <v>51</v>
      </c>
      <c r="X36" t="s">
        <v>52</v>
      </c>
      <c r="Y36" s="2">
        <v>0</v>
      </c>
      <c r="Z36" s="2">
        <v>29.17</v>
      </c>
      <c r="AA36">
        <v>1</v>
      </c>
      <c r="AB36" s="3">
        <v>1</v>
      </c>
      <c r="AC36" s="2">
        <v>29.17</v>
      </c>
      <c r="AD36" s="3">
        <v>0</v>
      </c>
      <c r="AE36" s="2">
        <v>0</v>
      </c>
      <c r="AF36" s="2">
        <v>29.17</v>
      </c>
      <c r="AK36">
        <v>5492974</v>
      </c>
      <c r="AL36" t="s">
        <v>166</v>
      </c>
    </row>
    <row r="37" spans="1:38" x14ac:dyDescent="0.25">
      <c r="A37" s="1">
        <v>45805</v>
      </c>
      <c r="B37" s="1">
        <v>45805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179</v>
      </c>
      <c r="J37" t="s">
        <v>180</v>
      </c>
      <c r="M37" t="s">
        <v>73</v>
      </c>
      <c r="O37" t="s">
        <v>92</v>
      </c>
      <c r="P37" t="s">
        <v>93</v>
      </c>
      <c r="Q37" t="s">
        <v>49</v>
      </c>
      <c r="R37" t="s">
        <v>76</v>
      </c>
      <c r="S37" s="1">
        <v>45870</v>
      </c>
      <c r="U37" t="s">
        <v>51</v>
      </c>
      <c r="X37" t="s">
        <v>52</v>
      </c>
      <c r="Y37" s="2">
        <v>0</v>
      </c>
      <c r="Z37" s="2">
        <v>20.83</v>
      </c>
      <c r="AA37">
        <v>1</v>
      </c>
      <c r="AB37" s="3">
        <v>1</v>
      </c>
      <c r="AC37" s="2">
        <v>20.83</v>
      </c>
      <c r="AD37" s="3">
        <v>0</v>
      </c>
      <c r="AE37" s="2">
        <v>0</v>
      </c>
      <c r="AF37" s="2">
        <v>20.83</v>
      </c>
      <c r="AK37">
        <v>5492950</v>
      </c>
      <c r="AL37" t="s">
        <v>161</v>
      </c>
    </row>
    <row r="38" spans="1:38" x14ac:dyDescent="0.25">
      <c r="A38" s="1">
        <v>45805</v>
      </c>
      <c r="B38" s="1">
        <v>45805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181</v>
      </c>
      <c r="J38" t="s">
        <v>182</v>
      </c>
      <c r="M38" t="s">
        <v>73</v>
      </c>
      <c r="O38" t="s">
        <v>74</v>
      </c>
      <c r="P38" t="s">
        <v>75</v>
      </c>
      <c r="Q38" t="s">
        <v>49</v>
      </c>
      <c r="R38" t="s">
        <v>183</v>
      </c>
      <c r="S38" s="1">
        <v>45870</v>
      </c>
      <c r="U38" t="s">
        <v>51</v>
      </c>
      <c r="X38" t="s">
        <v>52</v>
      </c>
      <c r="Y38" s="2">
        <v>0</v>
      </c>
      <c r="Z38" s="2">
        <v>100</v>
      </c>
      <c r="AA38">
        <v>1</v>
      </c>
      <c r="AB38" s="3">
        <v>1</v>
      </c>
      <c r="AC38" s="2">
        <v>100</v>
      </c>
      <c r="AD38" s="3">
        <v>0</v>
      </c>
      <c r="AE38" s="2">
        <v>0</v>
      </c>
      <c r="AF38" s="2">
        <v>100</v>
      </c>
      <c r="AK38">
        <v>5493197</v>
      </c>
    </row>
    <row r="39" spans="1:38" x14ac:dyDescent="0.25">
      <c r="A39" s="1">
        <v>45805</v>
      </c>
      <c r="B39" s="1">
        <v>45805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184</v>
      </c>
      <c r="J39" t="s">
        <v>185</v>
      </c>
      <c r="M39" t="s">
        <v>55</v>
      </c>
      <c r="O39" t="s">
        <v>117</v>
      </c>
      <c r="P39" t="s">
        <v>118</v>
      </c>
      <c r="Q39" t="s">
        <v>49</v>
      </c>
      <c r="R39" t="s">
        <v>186</v>
      </c>
      <c r="S39" s="1">
        <v>45717</v>
      </c>
      <c r="U39" t="s">
        <v>51</v>
      </c>
      <c r="X39" t="s">
        <v>52</v>
      </c>
      <c r="Y39" s="2">
        <v>0</v>
      </c>
      <c r="Z39" s="2">
        <v>260.83</v>
      </c>
      <c r="AA39">
        <v>1</v>
      </c>
      <c r="AB39" s="3">
        <v>1</v>
      </c>
      <c r="AC39" s="2">
        <v>260.83</v>
      </c>
      <c r="AD39" s="3">
        <v>0</v>
      </c>
      <c r="AE39" s="2">
        <v>0</v>
      </c>
      <c r="AF39" s="2">
        <v>260.83</v>
      </c>
      <c r="AK39">
        <v>5493353</v>
      </c>
      <c r="AL39" t="s">
        <v>187</v>
      </c>
    </row>
    <row r="40" spans="1:38" x14ac:dyDescent="0.25">
      <c r="A40" s="1">
        <v>45805</v>
      </c>
      <c r="B40" s="1">
        <v>45805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188</v>
      </c>
      <c r="J40" t="s">
        <v>185</v>
      </c>
      <c r="M40" t="s">
        <v>55</v>
      </c>
      <c r="O40" t="s">
        <v>117</v>
      </c>
      <c r="P40" t="s">
        <v>118</v>
      </c>
      <c r="Q40" t="s">
        <v>49</v>
      </c>
      <c r="R40" t="s">
        <v>189</v>
      </c>
      <c r="S40" s="1">
        <v>45717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5493354</v>
      </c>
    </row>
    <row r="41" spans="1:38" x14ac:dyDescent="0.25">
      <c r="A41" s="1">
        <v>45805</v>
      </c>
      <c r="B41" s="1">
        <v>45805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190</v>
      </c>
      <c r="J41" t="s">
        <v>191</v>
      </c>
      <c r="M41" t="s">
        <v>55</v>
      </c>
      <c r="O41" t="s">
        <v>117</v>
      </c>
      <c r="P41" t="s">
        <v>118</v>
      </c>
      <c r="Q41" t="s">
        <v>49</v>
      </c>
      <c r="R41" t="s">
        <v>186</v>
      </c>
      <c r="S41" s="1">
        <v>45717</v>
      </c>
      <c r="U41" t="s">
        <v>51</v>
      </c>
      <c r="X41" t="s">
        <v>52</v>
      </c>
      <c r="Y41" s="2">
        <v>0</v>
      </c>
      <c r="Z41" s="2">
        <v>260.83</v>
      </c>
      <c r="AA41">
        <v>1</v>
      </c>
      <c r="AB41" s="3">
        <v>1</v>
      </c>
      <c r="AC41" s="2">
        <v>260.83</v>
      </c>
      <c r="AD41" s="3">
        <v>0</v>
      </c>
      <c r="AE41" s="2">
        <v>0</v>
      </c>
      <c r="AF41" s="2">
        <v>260.83</v>
      </c>
      <c r="AK41">
        <v>5493355</v>
      </c>
      <c r="AL41" t="s">
        <v>187</v>
      </c>
    </row>
    <row r="42" spans="1:38" x14ac:dyDescent="0.25">
      <c r="A42" s="1">
        <v>45805</v>
      </c>
      <c r="B42" s="1">
        <v>45805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192</v>
      </c>
      <c r="J42" t="s">
        <v>191</v>
      </c>
      <c r="M42" t="s">
        <v>55</v>
      </c>
      <c r="O42" t="s">
        <v>117</v>
      </c>
      <c r="P42" t="s">
        <v>118</v>
      </c>
      <c r="Q42" t="s">
        <v>49</v>
      </c>
      <c r="R42" t="s">
        <v>189</v>
      </c>
      <c r="S42" s="1">
        <v>45717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5493356</v>
      </c>
    </row>
    <row r="43" spans="1:38" x14ac:dyDescent="0.25">
      <c r="A43" s="1">
        <v>45805</v>
      </c>
      <c r="B43" s="1">
        <v>45805</v>
      </c>
      <c r="C43" t="s">
        <v>193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194</v>
      </c>
      <c r="J43" t="s">
        <v>195</v>
      </c>
      <c r="M43" t="s">
        <v>196</v>
      </c>
      <c r="O43" t="s">
        <v>47</v>
      </c>
      <c r="P43" t="s">
        <v>48</v>
      </c>
      <c r="Q43" t="s">
        <v>197</v>
      </c>
      <c r="R43" t="s">
        <v>58</v>
      </c>
      <c r="S43" s="1">
        <v>45689</v>
      </c>
      <c r="U43" t="s">
        <v>51</v>
      </c>
      <c r="X43" t="s">
        <v>52</v>
      </c>
      <c r="AF43" s="2">
        <v>108</v>
      </c>
      <c r="AG43" s="2">
        <v>0</v>
      </c>
      <c r="AJ43" s="2">
        <v>72.36</v>
      </c>
    </row>
    <row r="44" spans="1:38" x14ac:dyDescent="0.25">
      <c r="A44" s="1">
        <v>45805</v>
      </c>
      <c r="B44" s="1">
        <v>45805</v>
      </c>
      <c r="C44" t="s">
        <v>193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198</v>
      </c>
      <c r="J44" t="s">
        <v>199</v>
      </c>
      <c r="M44" t="s">
        <v>196</v>
      </c>
      <c r="O44" t="s">
        <v>133</v>
      </c>
      <c r="P44" t="s">
        <v>134</v>
      </c>
      <c r="Q44" t="s">
        <v>197</v>
      </c>
      <c r="R44" t="s">
        <v>50</v>
      </c>
      <c r="S44" s="1">
        <v>45689</v>
      </c>
      <c r="U44" t="s">
        <v>51</v>
      </c>
      <c r="X44" t="s">
        <v>52</v>
      </c>
      <c r="AF44" s="2">
        <v>175</v>
      </c>
      <c r="AG44" s="2">
        <v>0</v>
      </c>
      <c r="AJ44" s="2">
        <v>117.25</v>
      </c>
    </row>
    <row r="45" spans="1:38" x14ac:dyDescent="0.25">
      <c r="A45" s="1">
        <v>45805</v>
      </c>
      <c r="B45" s="1">
        <v>45805</v>
      </c>
      <c r="C45" t="s">
        <v>193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200</v>
      </c>
      <c r="J45" t="s">
        <v>201</v>
      </c>
      <c r="M45" t="s">
        <v>73</v>
      </c>
      <c r="O45" t="s">
        <v>92</v>
      </c>
      <c r="P45" t="s">
        <v>93</v>
      </c>
      <c r="Q45" t="s">
        <v>197</v>
      </c>
      <c r="R45" t="s">
        <v>76</v>
      </c>
      <c r="S45" s="1">
        <v>45689</v>
      </c>
      <c r="U45" t="s">
        <v>51</v>
      </c>
      <c r="X45" t="s">
        <v>52</v>
      </c>
      <c r="AF45" s="2">
        <v>45.83</v>
      </c>
      <c r="AG45" s="2">
        <v>0</v>
      </c>
      <c r="AJ45" s="2">
        <v>29.16</v>
      </c>
    </row>
    <row r="46" spans="1:38" x14ac:dyDescent="0.25">
      <c r="A46" s="1">
        <v>45805</v>
      </c>
      <c r="B46" s="1">
        <v>45805</v>
      </c>
      <c r="C46" t="s">
        <v>193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202</v>
      </c>
      <c r="J46" t="s">
        <v>203</v>
      </c>
      <c r="M46" t="s">
        <v>73</v>
      </c>
      <c r="O46" t="s">
        <v>204</v>
      </c>
      <c r="P46" t="s">
        <v>205</v>
      </c>
      <c r="Q46" t="s">
        <v>197</v>
      </c>
      <c r="R46" t="s">
        <v>76</v>
      </c>
      <c r="S46" s="1">
        <v>45689</v>
      </c>
      <c r="U46" t="s">
        <v>51</v>
      </c>
      <c r="X46" t="s">
        <v>52</v>
      </c>
      <c r="AF46" s="2">
        <v>45.83</v>
      </c>
      <c r="AG46" s="2">
        <v>0</v>
      </c>
      <c r="AJ46" s="2">
        <v>33.33</v>
      </c>
    </row>
    <row r="47" spans="1:38" x14ac:dyDescent="0.25">
      <c r="A47" s="1">
        <v>45805</v>
      </c>
      <c r="B47" s="1">
        <v>45805</v>
      </c>
      <c r="C47" t="s">
        <v>193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206</v>
      </c>
      <c r="J47" t="s">
        <v>79</v>
      </c>
      <c r="O47" t="s">
        <v>80</v>
      </c>
      <c r="P47" t="s">
        <v>81</v>
      </c>
      <c r="Q47" t="s">
        <v>197</v>
      </c>
      <c r="R47" t="s">
        <v>76</v>
      </c>
      <c r="S47" s="1">
        <v>45778</v>
      </c>
      <c r="U47" t="s">
        <v>51</v>
      </c>
      <c r="X47" t="s">
        <v>52</v>
      </c>
      <c r="AF47" s="2">
        <v>33.33</v>
      </c>
      <c r="AG47" s="2">
        <v>0</v>
      </c>
      <c r="AJ47" s="2">
        <v>33.33</v>
      </c>
    </row>
    <row r="48" spans="1:38" x14ac:dyDescent="0.25">
      <c r="A48" s="1">
        <v>45805</v>
      </c>
      <c r="B48" s="1">
        <v>45805</v>
      </c>
      <c r="C48" t="s">
        <v>193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207</v>
      </c>
      <c r="J48" t="s">
        <v>84</v>
      </c>
      <c r="M48" t="s">
        <v>61</v>
      </c>
      <c r="O48" t="s">
        <v>66</v>
      </c>
      <c r="P48" t="s">
        <v>67</v>
      </c>
      <c r="Q48" t="s">
        <v>197</v>
      </c>
      <c r="R48" t="s">
        <v>76</v>
      </c>
      <c r="S48" s="1">
        <v>45778</v>
      </c>
      <c r="U48" t="s">
        <v>51</v>
      </c>
      <c r="X48" t="s">
        <v>52</v>
      </c>
      <c r="AF48" s="2">
        <v>33.33</v>
      </c>
      <c r="AG48" s="2">
        <v>0</v>
      </c>
      <c r="AJ48" s="2">
        <v>33.33</v>
      </c>
    </row>
    <row r="49" spans="1:36" x14ac:dyDescent="0.25">
      <c r="A49" s="1">
        <v>45805</v>
      </c>
      <c r="B49" s="1">
        <v>45805</v>
      </c>
      <c r="C49" t="s">
        <v>193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208</v>
      </c>
      <c r="J49" t="s">
        <v>91</v>
      </c>
      <c r="M49" t="s">
        <v>73</v>
      </c>
      <c r="O49" t="s">
        <v>92</v>
      </c>
      <c r="P49" t="s">
        <v>93</v>
      </c>
      <c r="Q49" t="s">
        <v>197</v>
      </c>
      <c r="R49" t="s">
        <v>76</v>
      </c>
      <c r="S49" s="1">
        <v>45748</v>
      </c>
      <c r="U49" t="s">
        <v>51</v>
      </c>
      <c r="X49" t="s">
        <v>52</v>
      </c>
      <c r="AF49" s="2">
        <v>37.5</v>
      </c>
      <c r="AG49" s="2">
        <v>0</v>
      </c>
      <c r="AJ49" s="2">
        <v>37.5</v>
      </c>
    </row>
    <row r="50" spans="1:36" x14ac:dyDescent="0.25">
      <c r="A50" s="1">
        <v>45805</v>
      </c>
      <c r="B50" s="1">
        <v>45805</v>
      </c>
      <c r="C50" t="s">
        <v>193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209</v>
      </c>
      <c r="J50" t="s">
        <v>95</v>
      </c>
      <c r="M50" t="s">
        <v>61</v>
      </c>
      <c r="O50" t="s">
        <v>96</v>
      </c>
      <c r="P50" t="s">
        <v>97</v>
      </c>
      <c r="Q50" t="s">
        <v>197</v>
      </c>
      <c r="R50" t="s">
        <v>76</v>
      </c>
      <c r="S50" s="1">
        <v>45778</v>
      </c>
      <c r="U50" t="s">
        <v>51</v>
      </c>
      <c r="X50" t="s">
        <v>52</v>
      </c>
      <c r="AF50" s="2">
        <v>33.33</v>
      </c>
      <c r="AG50" s="2">
        <v>0</v>
      </c>
      <c r="AJ50" s="2">
        <v>33.33</v>
      </c>
    </row>
    <row r="51" spans="1:36" x14ac:dyDescent="0.25">
      <c r="A51" s="1">
        <v>45805</v>
      </c>
      <c r="B51" s="1">
        <v>45805</v>
      </c>
      <c r="C51" t="s">
        <v>193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210</v>
      </c>
      <c r="J51" t="s">
        <v>99</v>
      </c>
      <c r="M51" t="s">
        <v>100</v>
      </c>
      <c r="O51" t="s">
        <v>101</v>
      </c>
      <c r="P51" t="s">
        <v>102</v>
      </c>
      <c r="Q51" t="s">
        <v>197</v>
      </c>
      <c r="R51" t="s">
        <v>76</v>
      </c>
      <c r="S51" s="1">
        <v>45839</v>
      </c>
      <c r="U51" t="s">
        <v>51</v>
      </c>
      <c r="X51" t="s">
        <v>52</v>
      </c>
      <c r="AF51" s="2">
        <v>25</v>
      </c>
      <c r="AG51" s="2">
        <v>0</v>
      </c>
      <c r="AJ51" s="2">
        <v>25</v>
      </c>
    </row>
    <row r="52" spans="1:36" x14ac:dyDescent="0.25">
      <c r="A52" s="1">
        <v>45805</v>
      </c>
      <c r="B52" s="1">
        <v>45805</v>
      </c>
      <c r="C52" t="s">
        <v>193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211</v>
      </c>
      <c r="J52" t="s">
        <v>104</v>
      </c>
      <c r="M52" t="s">
        <v>61</v>
      </c>
      <c r="O52" t="s">
        <v>105</v>
      </c>
      <c r="P52" t="s">
        <v>106</v>
      </c>
      <c r="Q52" t="s">
        <v>197</v>
      </c>
      <c r="R52" t="s">
        <v>76</v>
      </c>
      <c r="S52" s="1">
        <v>45778</v>
      </c>
      <c r="U52" t="s">
        <v>51</v>
      </c>
      <c r="X52" t="s">
        <v>52</v>
      </c>
      <c r="AF52" s="2">
        <v>33.33</v>
      </c>
      <c r="AG52" s="2">
        <v>0</v>
      </c>
      <c r="AJ52" s="2">
        <v>33.33</v>
      </c>
    </row>
    <row r="53" spans="1:36" x14ac:dyDescent="0.25">
      <c r="A53" s="1">
        <v>45805</v>
      </c>
      <c r="B53" s="1">
        <v>45805</v>
      </c>
      <c r="C53" t="s">
        <v>193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212</v>
      </c>
      <c r="J53" t="s">
        <v>108</v>
      </c>
      <c r="O53" t="s">
        <v>92</v>
      </c>
      <c r="P53" t="s">
        <v>93</v>
      </c>
      <c r="Q53" t="s">
        <v>197</v>
      </c>
      <c r="R53" t="s">
        <v>76</v>
      </c>
      <c r="S53" s="1">
        <v>45809</v>
      </c>
      <c r="U53" t="s">
        <v>51</v>
      </c>
      <c r="X53" t="s">
        <v>52</v>
      </c>
      <c r="AF53" s="2">
        <v>29.17</v>
      </c>
      <c r="AG53" s="2">
        <v>0</v>
      </c>
      <c r="AJ53" s="2">
        <v>29.17</v>
      </c>
    </row>
    <row r="54" spans="1:36" x14ac:dyDescent="0.25">
      <c r="A54" s="1">
        <v>45805</v>
      </c>
      <c r="B54" s="1">
        <v>45805</v>
      </c>
      <c r="C54" t="s">
        <v>193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213</v>
      </c>
      <c r="J54" t="s">
        <v>110</v>
      </c>
      <c r="O54" t="s">
        <v>111</v>
      </c>
      <c r="P54" t="s">
        <v>112</v>
      </c>
      <c r="Q54" t="s">
        <v>197</v>
      </c>
      <c r="R54" t="s">
        <v>76</v>
      </c>
      <c r="S54" s="1">
        <v>45778</v>
      </c>
      <c r="U54" t="s">
        <v>51</v>
      </c>
      <c r="X54" t="s">
        <v>52</v>
      </c>
      <c r="AF54" s="2">
        <v>33.33</v>
      </c>
      <c r="AG54" s="2">
        <v>0</v>
      </c>
      <c r="AJ54" s="2">
        <v>33.33</v>
      </c>
    </row>
    <row r="55" spans="1:36" x14ac:dyDescent="0.25">
      <c r="A55" s="1">
        <v>45805</v>
      </c>
      <c r="B55" s="1">
        <v>45805</v>
      </c>
      <c r="C55" t="s">
        <v>193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214</v>
      </c>
      <c r="J55" t="s">
        <v>114</v>
      </c>
      <c r="O55" t="s">
        <v>47</v>
      </c>
      <c r="P55" t="s">
        <v>48</v>
      </c>
      <c r="Q55" t="s">
        <v>197</v>
      </c>
      <c r="R55" t="s">
        <v>76</v>
      </c>
      <c r="S55" s="1">
        <v>45809</v>
      </c>
      <c r="U55" t="s">
        <v>51</v>
      </c>
      <c r="X55" t="s">
        <v>52</v>
      </c>
      <c r="AF55" s="2">
        <v>29.17</v>
      </c>
      <c r="AG55" s="2">
        <v>0</v>
      </c>
      <c r="AJ55" s="2">
        <v>29.17</v>
      </c>
    </row>
    <row r="56" spans="1:36" x14ac:dyDescent="0.25">
      <c r="A56" s="1">
        <v>45805</v>
      </c>
      <c r="B56" s="1">
        <v>45805</v>
      </c>
      <c r="C56" t="s">
        <v>193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215</v>
      </c>
      <c r="J56" t="s">
        <v>116</v>
      </c>
      <c r="O56" t="s">
        <v>117</v>
      </c>
      <c r="P56" t="s">
        <v>118</v>
      </c>
      <c r="Q56" t="s">
        <v>197</v>
      </c>
      <c r="R56" t="s">
        <v>76</v>
      </c>
      <c r="S56" s="1">
        <v>45778</v>
      </c>
      <c r="U56" t="s">
        <v>51</v>
      </c>
      <c r="X56" t="s">
        <v>52</v>
      </c>
      <c r="AF56" s="2">
        <v>33.33</v>
      </c>
      <c r="AG56" s="2">
        <v>0</v>
      </c>
      <c r="AJ56" s="2">
        <v>33.33</v>
      </c>
    </row>
    <row r="57" spans="1:36" x14ac:dyDescent="0.25">
      <c r="A57" s="1">
        <v>45805</v>
      </c>
      <c r="B57" s="1">
        <v>45805</v>
      </c>
      <c r="C57" t="s">
        <v>193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216</v>
      </c>
      <c r="J57" t="s">
        <v>120</v>
      </c>
      <c r="O57" t="s">
        <v>121</v>
      </c>
      <c r="P57" t="s">
        <v>122</v>
      </c>
      <c r="Q57" t="s">
        <v>197</v>
      </c>
      <c r="R57" t="s">
        <v>76</v>
      </c>
      <c r="S57" s="1">
        <v>45778</v>
      </c>
      <c r="U57" t="s">
        <v>51</v>
      </c>
      <c r="X57" t="s">
        <v>52</v>
      </c>
      <c r="AF57" s="2">
        <v>33.33</v>
      </c>
      <c r="AG57" s="2">
        <v>0</v>
      </c>
      <c r="AJ57" s="2">
        <v>33.33</v>
      </c>
    </row>
    <row r="58" spans="1:36" x14ac:dyDescent="0.25">
      <c r="A58" s="1">
        <v>45805</v>
      </c>
      <c r="B58" s="1">
        <v>45805</v>
      </c>
      <c r="C58" t="s">
        <v>193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217</v>
      </c>
      <c r="J58" t="s">
        <v>124</v>
      </c>
      <c r="M58" t="s">
        <v>73</v>
      </c>
      <c r="O58" t="s">
        <v>111</v>
      </c>
      <c r="P58" t="s">
        <v>112</v>
      </c>
      <c r="Q58" t="s">
        <v>197</v>
      </c>
      <c r="R58" t="s">
        <v>76</v>
      </c>
      <c r="S58" s="1">
        <v>45778</v>
      </c>
      <c r="U58" t="s">
        <v>51</v>
      </c>
      <c r="X58" t="s">
        <v>52</v>
      </c>
      <c r="AF58" s="2">
        <v>33.33</v>
      </c>
      <c r="AG58" s="2">
        <v>0</v>
      </c>
      <c r="AJ58" s="2">
        <v>33.33</v>
      </c>
    </row>
    <row r="59" spans="1:36" x14ac:dyDescent="0.25">
      <c r="A59" s="1">
        <v>45805</v>
      </c>
      <c r="B59" s="1">
        <v>45805</v>
      </c>
      <c r="C59" t="s">
        <v>193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218</v>
      </c>
      <c r="J59" t="s">
        <v>126</v>
      </c>
      <c r="M59" t="s">
        <v>61</v>
      </c>
      <c r="O59" t="s">
        <v>96</v>
      </c>
      <c r="P59" t="s">
        <v>97</v>
      </c>
      <c r="Q59" t="s">
        <v>197</v>
      </c>
      <c r="R59" t="s">
        <v>76</v>
      </c>
      <c r="S59" s="1">
        <v>45778</v>
      </c>
      <c r="U59" t="s">
        <v>51</v>
      </c>
      <c r="X59" t="s">
        <v>52</v>
      </c>
      <c r="AF59" s="2">
        <v>33.33</v>
      </c>
      <c r="AG59" s="2">
        <v>0</v>
      </c>
      <c r="AJ59" s="2">
        <v>33.33</v>
      </c>
    </row>
    <row r="60" spans="1:36" x14ac:dyDescent="0.25">
      <c r="A60" s="1">
        <v>45805</v>
      </c>
      <c r="B60" s="1">
        <v>45805</v>
      </c>
      <c r="C60" t="s">
        <v>193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219</v>
      </c>
      <c r="J60" t="s">
        <v>128</v>
      </c>
      <c r="M60" t="s">
        <v>73</v>
      </c>
      <c r="O60" t="s">
        <v>129</v>
      </c>
      <c r="P60" t="s">
        <v>130</v>
      </c>
      <c r="Q60" t="s">
        <v>197</v>
      </c>
      <c r="R60" t="s">
        <v>76</v>
      </c>
      <c r="S60" s="1">
        <v>45809</v>
      </c>
      <c r="U60" t="s">
        <v>51</v>
      </c>
      <c r="X60" t="s">
        <v>52</v>
      </c>
      <c r="AF60" s="2">
        <v>29.17</v>
      </c>
      <c r="AG60" s="2">
        <v>0</v>
      </c>
      <c r="AJ60" s="2">
        <v>29.17</v>
      </c>
    </row>
    <row r="61" spans="1:36" x14ac:dyDescent="0.25">
      <c r="A61" s="1">
        <v>45805</v>
      </c>
      <c r="B61" s="1">
        <v>45805</v>
      </c>
      <c r="C61" t="s">
        <v>193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220</v>
      </c>
      <c r="J61" t="s">
        <v>132</v>
      </c>
      <c r="M61" t="s">
        <v>61</v>
      </c>
      <c r="O61" t="s">
        <v>133</v>
      </c>
      <c r="P61" t="s">
        <v>134</v>
      </c>
      <c r="Q61" t="s">
        <v>197</v>
      </c>
      <c r="R61" t="s">
        <v>76</v>
      </c>
      <c r="S61" s="1">
        <v>45778</v>
      </c>
      <c r="U61" t="s">
        <v>51</v>
      </c>
      <c r="X61" t="s">
        <v>52</v>
      </c>
      <c r="AF61" s="2">
        <v>33.33</v>
      </c>
      <c r="AG61" s="2">
        <v>0</v>
      </c>
      <c r="AJ61" s="2">
        <v>33.33</v>
      </c>
    </row>
    <row r="62" spans="1:36" x14ac:dyDescent="0.25">
      <c r="A62" s="1">
        <v>45805</v>
      </c>
      <c r="B62" s="1">
        <v>45805</v>
      </c>
      <c r="C62" t="s">
        <v>193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221</v>
      </c>
      <c r="J62" t="s">
        <v>136</v>
      </c>
      <c r="M62" t="s">
        <v>61</v>
      </c>
      <c r="O62" t="s">
        <v>117</v>
      </c>
      <c r="P62" t="s">
        <v>118</v>
      </c>
      <c r="Q62" t="s">
        <v>197</v>
      </c>
      <c r="R62" t="s">
        <v>76</v>
      </c>
      <c r="S62" s="1">
        <v>45778</v>
      </c>
      <c r="U62" t="s">
        <v>51</v>
      </c>
      <c r="X62" t="s">
        <v>52</v>
      </c>
      <c r="AF62" s="2">
        <v>33.33</v>
      </c>
      <c r="AG62" s="2">
        <v>0</v>
      </c>
      <c r="AJ62" s="2">
        <v>33.33</v>
      </c>
    </row>
    <row r="63" spans="1:36" x14ac:dyDescent="0.25">
      <c r="A63" s="1">
        <v>45805</v>
      </c>
      <c r="B63" s="1">
        <v>45805</v>
      </c>
      <c r="C63" t="s">
        <v>193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222</v>
      </c>
      <c r="J63" t="s">
        <v>138</v>
      </c>
      <c r="M63" t="s">
        <v>139</v>
      </c>
      <c r="O63" t="s">
        <v>140</v>
      </c>
      <c r="P63" t="s">
        <v>141</v>
      </c>
      <c r="Q63" t="s">
        <v>197</v>
      </c>
      <c r="R63" t="s">
        <v>76</v>
      </c>
      <c r="S63" s="1">
        <v>45839</v>
      </c>
      <c r="U63" t="s">
        <v>51</v>
      </c>
      <c r="X63" t="s">
        <v>52</v>
      </c>
      <c r="AF63" s="2">
        <v>25</v>
      </c>
      <c r="AG63" s="2">
        <v>0</v>
      </c>
      <c r="AJ63" s="2">
        <v>25</v>
      </c>
    </row>
    <row r="64" spans="1:36" x14ac:dyDescent="0.25">
      <c r="A64" s="1">
        <v>45805</v>
      </c>
      <c r="B64" s="1">
        <v>45805</v>
      </c>
      <c r="C64" t="s">
        <v>193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223</v>
      </c>
      <c r="J64" t="s">
        <v>143</v>
      </c>
      <c r="M64" t="s">
        <v>61</v>
      </c>
      <c r="O64" t="s">
        <v>111</v>
      </c>
      <c r="P64" t="s">
        <v>112</v>
      </c>
      <c r="Q64" t="s">
        <v>197</v>
      </c>
      <c r="R64" t="s">
        <v>76</v>
      </c>
      <c r="S64" s="1">
        <v>45778</v>
      </c>
      <c r="U64" t="s">
        <v>51</v>
      </c>
      <c r="X64" t="s">
        <v>52</v>
      </c>
      <c r="AF64" s="2">
        <v>33.33</v>
      </c>
      <c r="AG64" s="2">
        <v>0</v>
      </c>
      <c r="AJ64" s="2">
        <v>33.33</v>
      </c>
    </row>
    <row r="65" spans="1:36" x14ac:dyDescent="0.25">
      <c r="A65" s="1">
        <v>45805</v>
      </c>
      <c r="B65" s="1">
        <v>45805</v>
      </c>
      <c r="C65" t="s">
        <v>193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224</v>
      </c>
      <c r="J65" t="s">
        <v>145</v>
      </c>
      <c r="M65" t="s">
        <v>61</v>
      </c>
      <c r="O65" t="s">
        <v>146</v>
      </c>
      <c r="P65" t="s">
        <v>147</v>
      </c>
      <c r="Q65" t="s">
        <v>197</v>
      </c>
      <c r="R65" t="s">
        <v>76</v>
      </c>
      <c r="S65" s="1">
        <v>45809</v>
      </c>
      <c r="U65" t="s">
        <v>51</v>
      </c>
      <c r="X65" t="s">
        <v>52</v>
      </c>
      <c r="AF65" s="2">
        <v>29.17</v>
      </c>
      <c r="AG65" s="2">
        <v>0</v>
      </c>
      <c r="AJ65" s="2">
        <v>29.17</v>
      </c>
    </row>
    <row r="66" spans="1:36" x14ac:dyDescent="0.25">
      <c r="A66" s="1">
        <v>45805</v>
      </c>
      <c r="B66" s="1">
        <v>45805</v>
      </c>
      <c r="C66" t="s">
        <v>193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225</v>
      </c>
      <c r="J66" t="s">
        <v>149</v>
      </c>
      <c r="M66" t="s">
        <v>73</v>
      </c>
      <c r="O66" t="s">
        <v>121</v>
      </c>
      <c r="P66" t="s">
        <v>122</v>
      </c>
      <c r="Q66" t="s">
        <v>197</v>
      </c>
      <c r="R66" t="s">
        <v>76</v>
      </c>
      <c r="S66" s="1">
        <v>45778</v>
      </c>
      <c r="U66" t="s">
        <v>51</v>
      </c>
      <c r="X66" t="s">
        <v>52</v>
      </c>
      <c r="AF66" s="2">
        <v>33.33</v>
      </c>
      <c r="AG66" s="2">
        <v>0</v>
      </c>
      <c r="AJ66" s="2">
        <v>33.33</v>
      </c>
    </row>
    <row r="67" spans="1:36" x14ac:dyDescent="0.25">
      <c r="A67" s="1">
        <v>45805</v>
      </c>
      <c r="B67" s="1">
        <v>45805</v>
      </c>
      <c r="C67" t="s">
        <v>193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226</v>
      </c>
      <c r="J67" t="s">
        <v>151</v>
      </c>
      <c r="M67" t="s">
        <v>55</v>
      </c>
      <c r="O67" t="s">
        <v>152</v>
      </c>
      <c r="P67" t="s">
        <v>151</v>
      </c>
      <c r="Q67" t="s">
        <v>197</v>
      </c>
      <c r="R67" t="s">
        <v>76</v>
      </c>
      <c r="S67" s="1">
        <v>45778</v>
      </c>
      <c r="U67" t="s">
        <v>51</v>
      </c>
      <c r="X67" t="s">
        <v>52</v>
      </c>
      <c r="AF67" s="2">
        <v>33.33</v>
      </c>
      <c r="AG67" s="2">
        <v>0</v>
      </c>
      <c r="AJ67" s="2">
        <v>33.33</v>
      </c>
    </row>
    <row r="68" spans="1:36" x14ac:dyDescent="0.25">
      <c r="A68" s="1">
        <v>45805</v>
      </c>
      <c r="B68" s="1">
        <v>45805</v>
      </c>
      <c r="C68" t="s">
        <v>193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227</v>
      </c>
      <c r="J68" t="s">
        <v>154</v>
      </c>
      <c r="M68" t="s">
        <v>61</v>
      </c>
      <c r="O68" t="s">
        <v>96</v>
      </c>
      <c r="P68" t="s">
        <v>97</v>
      </c>
      <c r="Q68" t="s">
        <v>197</v>
      </c>
      <c r="R68" t="s">
        <v>76</v>
      </c>
      <c r="S68" s="1">
        <v>45778</v>
      </c>
      <c r="U68" t="s">
        <v>51</v>
      </c>
      <c r="X68" t="s">
        <v>52</v>
      </c>
      <c r="AF68" s="2">
        <v>33.33</v>
      </c>
      <c r="AG68" s="2">
        <v>0</v>
      </c>
      <c r="AJ68" s="2">
        <v>33.33</v>
      </c>
    </row>
    <row r="69" spans="1:36" x14ac:dyDescent="0.25">
      <c r="A69" s="1">
        <v>45805</v>
      </c>
      <c r="B69" s="1">
        <v>45805</v>
      </c>
      <c r="C69" t="s">
        <v>193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228</v>
      </c>
      <c r="J69" t="s">
        <v>229</v>
      </c>
      <c r="M69" t="s">
        <v>87</v>
      </c>
      <c r="O69" t="s">
        <v>117</v>
      </c>
      <c r="P69" t="s">
        <v>118</v>
      </c>
      <c r="Q69" t="s">
        <v>197</v>
      </c>
      <c r="R69" t="s">
        <v>230</v>
      </c>
      <c r="S69" s="1">
        <v>45809</v>
      </c>
      <c r="U69" t="s">
        <v>51</v>
      </c>
      <c r="X69" t="s">
        <v>52</v>
      </c>
      <c r="AF69" s="2">
        <v>626</v>
      </c>
      <c r="AG69" s="2">
        <v>0</v>
      </c>
      <c r="AJ69" s="2">
        <v>626</v>
      </c>
    </row>
    <row r="70" spans="1:36" x14ac:dyDescent="0.25">
      <c r="A70" s="1">
        <v>45805</v>
      </c>
      <c r="B70" s="1">
        <v>45805</v>
      </c>
      <c r="C70" t="s">
        <v>193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231</v>
      </c>
      <c r="J70" t="s">
        <v>229</v>
      </c>
      <c r="M70" t="s">
        <v>87</v>
      </c>
      <c r="O70" t="s">
        <v>117</v>
      </c>
      <c r="P70" t="s">
        <v>118</v>
      </c>
      <c r="Q70" t="s">
        <v>197</v>
      </c>
      <c r="R70" t="s">
        <v>189</v>
      </c>
      <c r="S70" s="1">
        <v>45809</v>
      </c>
      <c r="U70" t="s">
        <v>51</v>
      </c>
      <c r="X70" t="s">
        <v>52</v>
      </c>
      <c r="AF70" s="2">
        <v>175</v>
      </c>
      <c r="AG70" s="2">
        <v>0</v>
      </c>
      <c r="AJ70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26CF-0A1D-408C-87F4-63F484C9A519}">
  <dimension ref="A1:N70"/>
  <sheetViews>
    <sheetView tabSelected="1" topLeftCell="A19" workbookViewId="0">
      <selection activeCell="H29" sqref="H29"/>
    </sheetView>
  </sheetViews>
  <sheetFormatPr defaultRowHeight="15" x14ac:dyDescent="0.25"/>
  <cols>
    <col min="1" max="1" width="16" bestFit="1" customWidth="1"/>
    <col min="2" max="2" width="16" customWidth="1"/>
    <col min="6" max="6" width="11.140625" customWidth="1"/>
    <col min="7" max="7" width="23.7109375" bestFit="1" customWidth="1"/>
    <col min="8" max="8" width="47.140625" bestFit="1" customWidth="1"/>
    <col min="12" max="12" width="16.140625" bestFit="1" customWidth="1"/>
    <col min="13" max="13" width="23.28515625" bestFit="1" customWidth="1"/>
  </cols>
  <sheetData>
    <row r="1" spans="1:13" x14ac:dyDescent="0.25">
      <c r="A1" t="s">
        <v>8</v>
      </c>
      <c r="C1" t="s">
        <v>9</v>
      </c>
      <c r="D1" t="s">
        <v>10</v>
      </c>
      <c r="E1" t="s">
        <v>12</v>
      </c>
      <c r="G1" t="s">
        <v>15</v>
      </c>
      <c r="H1" t="s">
        <v>17</v>
      </c>
      <c r="I1" t="s">
        <v>18</v>
      </c>
      <c r="J1" t="s">
        <v>23</v>
      </c>
      <c r="K1" t="s">
        <v>28</v>
      </c>
      <c r="L1" t="s">
        <v>37</v>
      </c>
    </row>
    <row r="2" spans="1:13" x14ac:dyDescent="0.25">
      <c r="A2" s="5">
        <v>101645939000</v>
      </c>
      <c r="B2" s="5" t="str">
        <f>CONCATENATE(A2,0)</f>
        <v>1016459390000</v>
      </c>
      <c r="C2" t="s">
        <v>79</v>
      </c>
      <c r="F2">
        <v>20411454</v>
      </c>
      <c r="G2" t="s">
        <v>276</v>
      </c>
      <c r="H2" t="s">
        <v>82</v>
      </c>
      <c r="I2" s="1">
        <v>45778</v>
      </c>
      <c r="J2" t="s">
        <v>52</v>
      </c>
      <c r="K2" s="2">
        <v>50</v>
      </c>
      <c r="M2" t="s">
        <v>268</v>
      </c>
    </row>
    <row r="3" spans="1:13" x14ac:dyDescent="0.25">
      <c r="A3" s="5">
        <v>101861054800</v>
      </c>
      <c r="B3" s="5" t="str">
        <f t="shared" ref="B3:B32" si="0">CONCATENATE(A3,0)</f>
        <v>1018610548000</v>
      </c>
      <c r="C3" t="s">
        <v>84</v>
      </c>
      <c r="E3" t="s">
        <v>61</v>
      </c>
      <c r="F3">
        <v>20411454</v>
      </c>
      <c r="G3" t="s">
        <v>276</v>
      </c>
      <c r="H3" t="s">
        <v>82</v>
      </c>
      <c r="I3" s="1">
        <v>45778</v>
      </c>
      <c r="J3" t="s">
        <v>52</v>
      </c>
      <c r="K3" s="2">
        <v>50</v>
      </c>
      <c r="M3" t="s">
        <v>268</v>
      </c>
    </row>
    <row r="4" spans="1:13" x14ac:dyDescent="0.25">
      <c r="A4" s="5">
        <v>102163400200</v>
      </c>
      <c r="B4" s="5" t="str">
        <f t="shared" si="0"/>
        <v>1021634002000</v>
      </c>
      <c r="C4" t="s">
        <v>91</v>
      </c>
      <c r="E4" t="s">
        <v>73</v>
      </c>
      <c r="F4">
        <v>20411454</v>
      </c>
      <c r="G4" t="s">
        <v>276</v>
      </c>
      <c r="H4" t="s">
        <v>82</v>
      </c>
      <c r="I4" s="1">
        <v>45748</v>
      </c>
      <c r="J4" t="s">
        <v>52</v>
      </c>
      <c r="K4" s="2">
        <v>50</v>
      </c>
      <c r="M4" t="s">
        <v>268</v>
      </c>
    </row>
    <row r="5" spans="1:13" x14ac:dyDescent="0.25">
      <c r="A5" s="5">
        <v>102163976800</v>
      </c>
      <c r="B5" s="5" t="str">
        <f t="shared" si="0"/>
        <v>1021639768000</v>
      </c>
      <c r="C5" t="s">
        <v>95</v>
      </c>
      <c r="E5" t="s">
        <v>61</v>
      </c>
      <c r="F5">
        <v>20411454</v>
      </c>
      <c r="G5" t="s">
        <v>276</v>
      </c>
      <c r="H5" t="s">
        <v>82</v>
      </c>
      <c r="I5" s="1">
        <v>45778</v>
      </c>
      <c r="J5" t="s">
        <v>52</v>
      </c>
      <c r="K5" s="2">
        <v>50</v>
      </c>
      <c r="M5" t="s">
        <v>268</v>
      </c>
    </row>
    <row r="6" spans="1:13" x14ac:dyDescent="0.25">
      <c r="A6" s="5">
        <v>102164266800</v>
      </c>
      <c r="B6" s="5" t="str">
        <f t="shared" si="0"/>
        <v>1021642668000</v>
      </c>
      <c r="C6" t="s">
        <v>99</v>
      </c>
      <c r="E6" t="s">
        <v>100</v>
      </c>
      <c r="F6">
        <v>20411454</v>
      </c>
      <c r="G6" t="s">
        <v>276</v>
      </c>
      <c r="H6" t="s">
        <v>82</v>
      </c>
      <c r="I6" s="1">
        <v>45839</v>
      </c>
      <c r="J6" t="s">
        <v>52</v>
      </c>
      <c r="K6" s="2">
        <v>50</v>
      </c>
      <c r="M6" t="s">
        <v>268</v>
      </c>
    </row>
    <row r="7" spans="1:13" x14ac:dyDescent="0.25">
      <c r="A7" s="5">
        <v>102164311600</v>
      </c>
      <c r="B7" s="5" t="str">
        <f t="shared" si="0"/>
        <v>1021643116000</v>
      </c>
      <c r="C7" t="s">
        <v>104</v>
      </c>
      <c r="E7" t="s">
        <v>61</v>
      </c>
      <c r="F7">
        <v>20411454</v>
      </c>
      <c r="G7" t="s">
        <v>276</v>
      </c>
      <c r="H7" t="s">
        <v>82</v>
      </c>
      <c r="I7" s="1">
        <v>45778</v>
      </c>
      <c r="J7" t="s">
        <v>52</v>
      </c>
      <c r="K7" s="2">
        <v>50</v>
      </c>
      <c r="M7" t="s">
        <v>268</v>
      </c>
    </row>
    <row r="8" spans="1:13" x14ac:dyDescent="0.25">
      <c r="A8" s="5">
        <v>102164482000</v>
      </c>
      <c r="B8" s="5" t="str">
        <f t="shared" si="0"/>
        <v>1021644820000</v>
      </c>
      <c r="C8" t="s">
        <v>108</v>
      </c>
      <c r="F8">
        <v>20411454</v>
      </c>
      <c r="G8" t="s">
        <v>276</v>
      </c>
      <c r="H8" t="s">
        <v>82</v>
      </c>
      <c r="I8" s="1">
        <v>45809</v>
      </c>
      <c r="J8" t="s">
        <v>52</v>
      </c>
      <c r="K8" s="2">
        <v>50</v>
      </c>
      <c r="M8" t="s">
        <v>268</v>
      </c>
    </row>
    <row r="9" spans="1:13" x14ac:dyDescent="0.25">
      <c r="A9" s="5">
        <v>102165144500</v>
      </c>
      <c r="B9" s="5" t="str">
        <f t="shared" si="0"/>
        <v>1021651445000</v>
      </c>
      <c r="C9" t="s">
        <v>110</v>
      </c>
      <c r="F9">
        <v>20411454</v>
      </c>
      <c r="G9" t="s">
        <v>276</v>
      </c>
      <c r="H9" t="s">
        <v>82</v>
      </c>
      <c r="I9" s="1">
        <v>45778</v>
      </c>
      <c r="J9" t="s">
        <v>52</v>
      </c>
      <c r="K9" s="2">
        <v>50</v>
      </c>
      <c r="M9" t="s">
        <v>268</v>
      </c>
    </row>
    <row r="10" spans="1:13" x14ac:dyDescent="0.25">
      <c r="A10" s="5">
        <v>102165156900</v>
      </c>
      <c r="B10" s="5" t="str">
        <f t="shared" si="0"/>
        <v>1021651569000</v>
      </c>
      <c r="C10" t="s">
        <v>114</v>
      </c>
      <c r="F10">
        <v>20411454</v>
      </c>
      <c r="G10" t="s">
        <v>276</v>
      </c>
      <c r="H10" t="s">
        <v>82</v>
      </c>
      <c r="I10" s="1">
        <v>45809</v>
      </c>
      <c r="J10" t="s">
        <v>52</v>
      </c>
      <c r="K10" s="2">
        <v>50</v>
      </c>
      <c r="M10" t="s">
        <v>268</v>
      </c>
    </row>
    <row r="11" spans="1:13" x14ac:dyDescent="0.25">
      <c r="A11" s="5">
        <v>102165383900</v>
      </c>
      <c r="B11" s="5" t="str">
        <f t="shared" si="0"/>
        <v>1021653839000</v>
      </c>
      <c r="C11" t="s">
        <v>116</v>
      </c>
      <c r="F11">
        <v>20411454</v>
      </c>
      <c r="G11" t="s">
        <v>276</v>
      </c>
      <c r="H11" t="s">
        <v>82</v>
      </c>
      <c r="I11" s="1">
        <v>45778</v>
      </c>
      <c r="J11" t="s">
        <v>52</v>
      </c>
      <c r="K11" s="2">
        <v>50</v>
      </c>
      <c r="M11" t="s">
        <v>268</v>
      </c>
    </row>
    <row r="12" spans="1:13" x14ac:dyDescent="0.25">
      <c r="A12" s="5">
        <v>102165563500</v>
      </c>
      <c r="B12" s="5" t="str">
        <f t="shared" si="0"/>
        <v>1021655635000</v>
      </c>
      <c r="C12" t="s">
        <v>120</v>
      </c>
      <c r="F12">
        <v>20411454</v>
      </c>
      <c r="G12" t="s">
        <v>276</v>
      </c>
      <c r="H12" t="s">
        <v>82</v>
      </c>
      <c r="I12" s="1">
        <v>45778</v>
      </c>
      <c r="J12" t="s">
        <v>52</v>
      </c>
      <c r="K12" s="2">
        <v>50</v>
      </c>
      <c r="M12" t="s">
        <v>268</v>
      </c>
    </row>
    <row r="13" spans="1:13" x14ac:dyDescent="0.25">
      <c r="A13" s="5">
        <v>102166131000</v>
      </c>
      <c r="B13" s="5" t="str">
        <f t="shared" si="0"/>
        <v>1021661310000</v>
      </c>
      <c r="C13" t="s">
        <v>124</v>
      </c>
      <c r="E13" t="s">
        <v>73</v>
      </c>
      <c r="F13">
        <v>20411454</v>
      </c>
      <c r="G13" t="s">
        <v>276</v>
      </c>
      <c r="H13" t="s">
        <v>82</v>
      </c>
      <c r="I13" s="1">
        <v>45778</v>
      </c>
      <c r="J13" t="s">
        <v>52</v>
      </c>
      <c r="K13" s="2">
        <v>50</v>
      </c>
      <c r="M13" t="s">
        <v>268</v>
      </c>
    </row>
    <row r="14" spans="1:13" x14ac:dyDescent="0.25">
      <c r="A14" s="5">
        <v>102167666500</v>
      </c>
      <c r="B14" s="5" t="str">
        <f t="shared" si="0"/>
        <v>1021676665000</v>
      </c>
      <c r="C14" t="s">
        <v>126</v>
      </c>
      <c r="E14" t="s">
        <v>61</v>
      </c>
      <c r="F14">
        <v>20411454</v>
      </c>
      <c r="G14" t="s">
        <v>276</v>
      </c>
      <c r="H14" t="s">
        <v>82</v>
      </c>
      <c r="I14" s="1">
        <v>45778</v>
      </c>
      <c r="J14" t="s">
        <v>52</v>
      </c>
      <c r="K14" s="2">
        <v>50</v>
      </c>
      <c r="M14" t="s">
        <v>268</v>
      </c>
    </row>
    <row r="15" spans="1:13" x14ac:dyDescent="0.25">
      <c r="A15" s="5">
        <v>102167672000</v>
      </c>
      <c r="B15" s="5" t="str">
        <f t="shared" si="0"/>
        <v>1021676720000</v>
      </c>
      <c r="C15" t="s">
        <v>128</v>
      </c>
      <c r="E15" t="s">
        <v>73</v>
      </c>
      <c r="F15">
        <v>20411454</v>
      </c>
      <c r="G15" t="s">
        <v>276</v>
      </c>
      <c r="H15" t="s">
        <v>82</v>
      </c>
      <c r="I15" s="1">
        <v>45809</v>
      </c>
      <c r="J15" t="s">
        <v>52</v>
      </c>
      <c r="K15" s="2">
        <v>50</v>
      </c>
      <c r="M15" t="s">
        <v>268</v>
      </c>
    </row>
    <row r="16" spans="1:13" x14ac:dyDescent="0.25">
      <c r="A16" s="5">
        <v>102168084000</v>
      </c>
      <c r="B16" s="5" t="str">
        <f t="shared" si="0"/>
        <v>1021680840000</v>
      </c>
      <c r="C16" t="s">
        <v>132</v>
      </c>
      <c r="E16" t="s">
        <v>61</v>
      </c>
      <c r="F16">
        <v>20411454</v>
      </c>
      <c r="G16" t="s">
        <v>276</v>
      </c>
      <c r="H16" t="s">
        <v>82</v>
      </c>
      <c r="I16" s="1">
        <v>45778</v>
      </c>
      <c r="J16" t="s">
        <v>52</v>
      </c>
      <c r="K16" s="2">
        <v>50</v>
      </c>
      <c r="M16" t="s">
        <v>268</v>
      </c>
    </row>
    <row r="17" spans="1:13" x14ac:dyDescent="0.25">
      <c r="A17" s="5">
        <v>102168241300</v>
      </c>
      <c r="B17" s="5" t="str">
        <f t="shared" si="0"/>
        <v>1021682413000</v>
      </c>
      <c r="C17" t="s">
        <v>136</v>
      </c>
      <c r="E17" t="s">
        <v>61</v>
      </c>
      <c r="F17">
        <v>20411454</v>
      </c>
      <c r="G17" t="s">
        <v>276</v>
      </c>
      <c r="H17" t="s">
        <v>82</v>
      </c>
      <c r="I17" s="1">
        <v>45778</v>
      </c>
      <c r="J17" t="s">
        <v>52</v>
      </c>
      <c r="K17" s="2">
        <v>50</v>
      </c>
      <c r="M17" t="s">
        <v>268</v>
      </c>
    </row>
    <row r="18" spans="1:13" x14ac:dyDescent="0.25">
      <c r="A18" s="5">
        <v>102168444600</v>
      </c>
      <c r="B18" s="5" t="str">
        <f t="shared" si="0"/>
        <v>1021684446000</v>
      </c>
      <c r="C18" t="s">
        <v>138</v>
      </c>
      <c r="E18" t="s">
        <v>139</v>
      </c>
      <c r="F18">
        <v>20411454</v>
      </c>
      <c r="G18" t="s">
        <v>276</v>
      </c>
      <c r="H18" t="s">
        <v>82</v>
      </c>
      <c r="I18" s="1">
        <v>45839</v>
      </c>
      <c r="J18" t="s">
        <v>52</v>
      </c>
      <c r="K18" s="2">
        <v>50</v>
      </c>
      <c r="M18" t="s">
        <v>268</v>
      </c>
    </row>
    <row r="19" spans="1:13" x14ac:dyDescent="0.25">
      <c r="A19" s="5">
        <v>102169042300</v>
      </c>
      <c r="B19" s="5" t="str">
        <f t="shared" si="0"/>
        <v>1021690423000</v>
      </c>
      <c r="C19" t="s">
        <v>143</v>
      </c>
      <c r="E19" t="s">
        <v>61</v>
      </c>
      <c r="F19">
        <v>20411454</v>
      </c>
      <c r="G19" t="s">
        <v>276</v>
      </c>
      <c r="H19" t="s">
        <v>82</v>
      </c>
      <c r="I19" s="1">
        <v>45778</v>
      </c>
      <c r="J19" t="s">
        <v>52</v>
      </c>
      <c r="K19" s="2">
        <v>50</v>
      </c>
      <c r="M19" t="s">
        <v>268</v>
      </c>
    </row>
    <row r="20" spans="1:13" x14ac:dyDescent="0.25">
      <c r="A20" s="5">
        <v>102169457000</v>
      </c>
      <c r="B20" s="5" t="str">
        <f t="shared" si="0"/>
        <v>1021694570000</v>
      </c>
      <c r="C20" t="s">
        <v>145</v>
      </c>
      <c r="E20" t="s">
        <v>61</v>
      </c>
      <c r="F20">
        <v>20411454</v>
      </c>
      <c r="G20" t="s">
        <v>276</v>
      </c>
      <c r="H20" t="s">
        <v>82</v>
      </c>
      <c r="I20" s="1">
        <v>45809</v>
      </c>
      <c r="J20" t="s">
        <v>52</v>
      </c>
      <c r="K20" s="2">
        <v>50</v>
      </c>
      <c r="M20" t="s">
        <v>268</v>
      </c>
    </row>
    <row r="21" spans="1:13" x14ac:dyDescent="0.25">
      <c r="A21" s="5">
        <v>102169501600</v>
      </c>
      <c r="B21" s="5" t="str">
        <f t="shared" si="0"/>
        <v>1021695016000</v>
      </c>
      <c r="C21" t="s">
        <v>149</v>
      </c>
      <c r="E21" t="s">
        <v>73</v>
      </c>
      <c r="F21">
        <v>20411454</v>
      </c>
      <c r="G21" t="s">
        <v>276</v>
      </c>
      <c r="H21" t="s">
        <v>82</v>
      </c>
      <c r="I21" s="1">
        <v>45778</v>
      </c>
      <c r="J21" t="s">
        <v>52</v>
      </c>
      <c r="K21" s="2">
        <v>50</v>
      </c>
      <c r="M21" t="s">
        <v>268</v>
      </c>
    </row>
    <row r="22" spans="1:13" x14ac:dyDescent="0.25">
      <c r="A22" s="5">
        <v>102169513200</v>
      </c>
      <c r="B22" s="5" t="str">
        <f t="shared" si="0"/>
        <v>1021695132000</v>
      </c>
      <c r="C22" t="s">
        <v>151</v>
      </c>
      <c r="E22" t="s">
        <v>55</v>
      </c>
      <c r="F22">
        <v>20411454</v>
      </c>
      <c r="G22" t="s">
        <v>276</v>
      </c>
      <c r="H22" t="s">
        <v>82</v>
      </c>
      <c r="I22" s="1">
        <v>45778</v>
      </c>
      <c r="J22" t="s">
        <v>52</v>
      </c>
      <c r="K22" s="2">
        <v>50</v>
      </c>
      <c r="M22" t="s">
        <v>268</v>
      </c>
    </row>
    <row r="23" spans="1:13" x14ac:dyDescent="0.25">
      <c r="A23" s="5">
        <v>102169514800</v>
      </c>
      <c r="B23" s="5" t="str">
        <f t="shared" si="0"/>
        <v>1021695148000</v>
      </c>
      <c r="C23" t="s">
        <v>154</v>
      </c>
      <c r="E23" t="s">
        <v>61</v>
      </c>
      <c r="F23">
        <v>20411454</v>
      </c>
      <c r="G23" t="s">
        <v>276</v>
      </c>
      <c r="H23" t="s">
        <v>82</v>
      </c>
      <c r="I23" s="1">
        <v>45778</v>
      </c>
      <c r="J23" t="s">
        <v>52</v>
      </c>
      <c r="K23" s="2">
        <v>50</v>
      </c>
      <c r="M23" t="s">
        <v>268</v>
      </c>
    </row>
    <row r="24" spans="1:13" x14ac:dyDescent="0.25">
      <c r="A24" s="5">
        <v>101201236100</v>
      </c>
      <c r="B24" s="5" t="str">
        <f t="shared" si="0"/>
        <v>1012012361000</v>
      </c>
      <c r="C24" t="s">
        <v>72</v>
      </c>
      <c r="E24" t="s">
        <v>73</v>
      </c>
      <c r="F24">
        <v>20411454</v>
      </c>
      <c r="G24" t="s">
        <v>276</v>
      </c>
      <c r="H24" t="s">
        <v>76</v>
      </c>
      <c r="I24" s="1">
        <v>45778</v>
      </c>
      <c r="J24" t="s">
        <v>52</v>
      </c>
      <c r="K24" s="2">
        <v>33.33</v>
      </c>
      <c r="L24" t="s">
        <v>77</v>
      </c>
      <c r="M24" t="s">
        <v>268</v>
      </c>
    </row>
    <row r="25" spans="1:13" x14ac:dyDescent="0.25">
      <c r="A25" s="5">
        <v>102081378500</v>
      </c>
      <c r="B25" s="5" t="str">
        <f t="shared" si="0"/>
        <v>1020813785000</v>
      </c>
      <c r="C25" t="s">
        <v>86</v>
      </c>
      <c r="E25" t="s">
        <v>87</v>
      </c>
      <c r="F25">
        <v>20411454</v>
      </c>
      <c r="G25" t="s">
        <v>276</v>
      </c>
      <c r="H25" t="s">
        <v>76</v>
      </c>
      <c r="I25" s="1">
        <v>45778</v>
      </c>
      <c r="J25" t="s">
        <v>52</v>
      </c>
      <c r="K25" s="2">
        <v>33.33</v>
      </c>
      <c r="L25" t="s">
        <v>77</v>
      </c>
      <c r="M25" t="s">
        <v>268</v>
      </c>
    </row>
    <row r="26" spans="1:13" x14ac:dyDescent="0.25">
      <c r="A26" s="5">
        <v>102169838900</v>
      </c>
      <c r="B26" s="5" t="str">
        <f t="shared" si="0"/>
        <v>1021698389000</v>
      </c>
      <c r="C26" t="s">
        <v>156</v>
      </c>
      <c r="E26" t="s">
        <v>61</v>
      </c>
      <c r="F26">
        <v>20411454</v>
      </c>
      <c r="G26" t="s">
        <v>276</v>
      </c>
      <c r="H26" t="s">
        <v>76</v>
      </c>
      <c r="I26" s="1">
        <v>45778</v>
      </c>
      <c r="J26" t="s">
        <v>52</v>
      </c>
      <c r="K26" s="2">
        <v>33.33</v>
      </c>
      <c r="L26" t="s">
        <v>77</v>
      </c>
      <c r="M26" t="s">
        <v>268</v>
      </c>
    </row>
    <row r="27" spans="1:13" x14ac:dyDescent="0.25">
      <c r="A27" s="5">
        <v>102170274000</v>
      </c>
      <c r="B27" s="5" t="str">
        <f t="shared" si="0"/>
        <v>1021702740000</v>
      </c>
      <c r="C27" t="s">
        <v>160</v>
      </c>
      <c r="E27" t="s">
        <v>73</v>
      </c>
      <c r="F27">
        <v>20411454</v>
      </c>
      <c r="G27" t="s">
        <v>276</v>
      </c>
      <c r="H27" t="s">
        <v>76</v>
      </c>
      <c r="I27" s="1">
        <v>45870</v>
      </c>
      <c r="J27" t="s">
        <v>52</v>
      </c>
      <c r="K27" s="2">
        <v>20.83</v>
      </c>
      <c r="L27" t="s">
        <v>161</v>
      </c>
      <c r="M27" t="s">
        <v>268</v>
      </c>
    </row>
    <row r="28" spans="1:13" x14ac:dyDescent="0.25">
      <c r="A28" s="5">
        <v>102170749100</v>
      </c>
      <c r="B28" s="5" t="str">
        <f t="shared" si="0"/>
        <v>1021707491000</v>
      </c>
      <c r="C28" t="s">
        <v>163</v>
      </c>
      <c r="E28" t="s">
        <v>61</v>
      </c>
      <c r="F28">
        <v>20411454</v>
      </c>
      <c r="G28" t="s">
        <v>276</v>
      </c>
      <c r="H28" t="s">
        <v>76</v>
      </c>
      <c r="I28" s="1">
        <v>45809</v>
      </c>
      <c r="J28" t="s">
        <v>52</v>
      </c>
      <c r="K28" s="2">
        <v>29.17</v>
      </c>
      <c r="L28" t="s">
        <v>166</v>
      </c>
      <c r="M28" t="s">
        <v>268</v>
      </c>
    </row>
    <row r="29" spans="1:13" x14ac:dyDescent="0.25">
      <c r="A29" s="5">
        <v>102170848000</v>
      </c>
      <c r="B29" s="5" t="str">
        <f t="shared" si="0"/>
        <v>1021708480000</v>
      </c>
      <c r="C29" t="s">
        <v>168</v>
      </c>
      <c r="E29" t="s">
        <v>169</v>
      </c>
      <c r="F29">
        <v>20411454</v>
      </c>
      <c r="G29" t="s">
        <v>276</v>
      </c>
      <c r="H29" t="s">
        <v>76</v>
      </c>
      <c r="I29" s="1">
        <v>45839</v>
      </c>
      <c r="J29" t="s">
        <v>52</v>
      </c>
      <c r="K29" s="2">
        <v>25</v>
      </c>
      <c r="L29" t="s">
        <v>172</v>
      </c>
      <c r="M29" t="s">
        <v>268</v>
      </c>
    </row>
    <row r="30" spans="1:13" x14ac:dyDescent="0.25">
      <c r="A30" s="5">
        <v>102170861900</v>
      </c>
      <c r="B30" s="5" t="str">
        <f t="shared" si="0"/>
        <v>1021708619000</v>
      </c>
      <c r="C30" t="s">
        <v>174</v>
      </c>
      <c r="E30" t="s">
        <v>61</v>
      </c>
      <c r="F30">
        <v>20411454</v>
      </c>
      <c r="G30" t="s">
        <v>276</v>
      </c>
      <c r="H30" t="s">
        <v>76</v>
      </c>
      <c r="I30" s="1">
        <v>45809</v>
      </c>
      <c r="J30" t="s">
        <v>52</v>
      </c>
      <c r="K30" s="2">
        <v>29.17</v>
      </c>
      <c r="L30" t="s">
        <v>166</v>
      </c>
      <c r="M30" t="s">
        <v>268</v>
      </c>
    </row>
    <row r="31" spans="1:13" x14ac:dyDescent="0.25">
      <c r="A31" s="5">
        <v>102170865500</v>
      </c>
      <c r="B31" s="5" t="str">
        <f t="shared" si="0"/>
        <v>1021708655000</v>
      </c>
      <c r="C31" t="s">
        <v>178</v>
      </c>
      <c r="E31" t="s">
        <v>87</v>
      </c>
      <c r="F31">
        <v>20411454</v>
      </c>
      <c r="G31" t="s">
        <v>276</v>
      </c>
      <c r="H31" t="s">
        <v>76</v>
      </c>
      <c r="I31" s="1">
        <v>45809</v>
      </c>
      <c r="J31" t="s">
        <v>52</v>
      </c>
      <c r="K31" s="2">
        <v>29.17</v>
      </c>
      <c r="L31" t="s">
        <v>166</v>
      </c>
      <c r="M31" t="s">
        <v>268</v>
      </c>
    </row>
    <row r="32" spans="1:13" x14ac:dyDescent="0.25">
      <c r="A32" s="5">
        <v>102170912900</v>
      </c>
      <c r="B32" s="5" t="str">
        <f t="shared" si="0"/>
        <v>1021709129000</v>
      </c>
      <c r="C32" t="s">
        <v>180</v>
      </c>
      <c r="E32" t="s">
        <v>73</v>
      </c>
      <c r="F32">
        <v>20411454</v>
      </c>
      <c r="G32" t="s">
        <v>276</v>
      </c>
      <c r="H32" t="s">
        <v>76</v>
      </c>
      <c r="I32" s="1">
        <v>45870</v>
      </c>
      <c r="J32" t="s">
        <v>52</v>
      </c>
      <c r="K32" s="2">
        <v>20.83</v>
      </c>
      <c r="L32" t="s">
        <v>161</v>
      </c>
      <c r="M32" t="s">
        <v>268</v>
      </c>
    </row>
    <row r="33" spans="1:13" x14ac:dyDescent="0.25">
      <c r="A33" s="5" t="s">
        <v>242</v>
      </c>
      <c r="B33" s="5" t="s">
        <v>242</v>
      </c>
      <c r="C33" t="s">
        <v>201</v>
      </c>
      <c r="E33" t="s">
        <v>73</v>
      </c>
      <c r="F33">
        <v>20411454</v>
      </c>
      <c r="G33" t="s">
        <v>276</v>
      </c>
      <c r="H33" t="s">
        <v>76</v>
      </c>
      <c r="I33" s="1">
        <v>45689</v>
      </c>
      <c r="J33" t="s">
        <v>52</v>
      </c>
      <c r="K33" s="4">
        <v>-29.16</v>
      </c>
      <c r="M33" t="s">
        <v>268</v>
      </c>
    </row>
    <row r="34" spans="1:13" x14ac:dyDescent="0.25">
      <c r="A34" s="5" t="s">
        <v>243</v>
      </c>
      <c r="B34" s="5" t="s">
        <v>243</v>
      </c>
      <c r="C34" t="s">
        <v>203</v>
      </c>
      <c r="E34" t="s">
        <v>73</v>
      </c>
      <c r="F34">
        <v>20411454</v>
      </c>
      <c r="G34" t="s">
        <v>276</v>
      </c>
      <c r="H34" t="s">
        <v>76</v>
      </c>
      <c r="I34" s="1">
        <v>45689</v>
      </c>
      <c r="J34" t="s">
        <v>52</v>
      </c>
      <c r="K34" s="4">
        <v>-33.33</v>
      </c>
      <c r="M34" t="s">
        <v>268</v>
      </c>
    </row>
    <row r="35" spans="1:13" x14ac:dyDescent="0.25">
      <c r="A35" s="5" t="s">
        <v>244</v>
      </c>
      <c r="B35" s="5" t="s">
        <v>244</v>
      </c>
      <c r="C35" t="s">
        <v>79</v>
      </c>
      <c r="F35">
        <v>20411454</v>
      </c>
      <c r="G35" t="s">
        <v>276</v>
      </c>
      <c r="H35" t="s">
        <v>76</v>
      </c>
      <c r="I35" s="1">
        <v>45778</v>
      </c>
      <c r="J35" t="s">
        <v>52</v>
      </c>
      <c r="K35" s="4">
        <v>-33.33</v>
      </c>
      <c r="M35" t="s">
        <v>268</v>
      </c>
    </row>
    <row r="36" spans="1:13" x14ac:dyDescent="0.25">
      <c r="A36" s="5" t="s">
        <v>245</v>
      </c>
      <c r="B36" s="5" t="s">
        <v>245</v>
      </c>
      <c r="C36" t="s">
        <v>84</v>
      </c>
      <c r="E36" t="s">
        <v>61</v>
      </c>
      <c r="F36">
        <v>20411454</v>
      </c>
      <c r="G36" t="s">
        <v>276</v>
      </c>
      <c r="H36" t="s">
        <v>76</v>
      </c>
      <c r="I36" s="1">
        <v>45778</v>
      </c>
      <c r="J36" t="s">
        <v>52</v>
      </c>
      <c r="K36" s="4">
        <v>-33.33</v>
      </c>
      <c r="M36" t="s">
        <v>268</v>
      </c>
    </row>
    <row r="37" spans="1:13" x14ac:dyDescent="0.25">
      <c r="A37" s="5" t="s">
        <v>246</v>
      </c>
      <c r="B37" s="5" t="s">
        <v>246</v>
      </c>
      <c r="C37" t="s">
        <v>91</v>
      </c>
      <c r="E37" t="s">
        <v>73</v>
      </c>
      <c r="F37">
        <v>20411454</v>
      </c>
      <c r="G37" t="s">
        <v>276</v>
      </c>
      <c r="H37" t="s">
        <v>76</v>
      </c>
      <c r="I37" s="1">
        <v>45748</v>
      </c>
      <c r="J37" t="s">
        <v>52</v>
      </c>
      <c r="K37" s="4">
        <v>-37.5</v>
      </c>
      <c r="M37" t="s">
        <v>268</v>
      </c>
    </row>
    <row r="38" spans="1:13" x14ac:dyDescent="0.25">
      <c r="A38" s="5" t="s">
        <v>247</v>
      </c>
      <c r="B38" s="5" t="s">
        <v>247</v>
      </c>
      <c r="C38" t="s">
        <v>95</v>
      </c>
      <c r="E38" t="s">
        <v>61</v>
      </c>
      <c r="F38">
        <v>20411454</v>
      </c>
      <c r="G38" t="s">
        <v>276</v>
      </c>
      <c r="H38" t="s">
        <v>76</v>
      </c>
      <c r="I38" s="1">
        <v>45778</v>
      </c>
      <c r="J38" t="s">
        <v>52</v>
      </c>
      <c r="K38" s="4">
        <v>-33.33</v>
      </c>
      <c r="M38" t="s">
        <v>268</v>
      </c>
    </row>
    <row r="39" spans="1:13" x14ac:dyDescent="0.25">
      <c r="A39" s="5" t="s">
        <v>248</v>
      </c>
      <c r="B39" s="5" t="s">
        <v>248</v>
      </c>
      <c r="C39" t="s">
        <v>99</v>
      </c>
      <c r="E39" t="s">
        <v>100</v>
      </c>
      <c r="F39">
        <v>20411454</v>
      </c>
      <c r="G39" t="s">
        <v>276</v>
      </c>
      <c r="H39" t="s">
        <v>76</v>
      </c>
      <c r="I39" s="1">
        <v>45839</v>
      </c>
      <c r="J39" t="s">
        <v>52</v>
      </c>
      <c r="K39" s="4">
        <v>-25</v>
      </c>
      <c r="M39" t="s">
        <v>268</v>
      </c>
    </row>
    <row r="40" spans="1:13" x14ac:dyDescent="0.25">
      <c r="A40" s="5" t="s">
        <v>249</v>
      </c>
      <c r="B40" s="5" t="s">
        <v>249</v>
      </c>
      <c r="C40" t="s">
        <v>104</v>
      </c>
      <c r="E40" t="s">
        <v>61</v>
      </c>
      <c r="F40">
        <v>20411454</v>
      </c>
      <c r="G40" t="s">
        <v>276</v>
      </c>
      <c r="H40" t="s">
        <v>76</v>
      </c>
      <c r="I40" s="1">
        <v>45778</v>
      </c>
      <c r="J40" t="s">
        <v>52</v>
      </c>
      <c r="K40" s="4">
        <v>-33.33</v>
      </c>
      <c r="M40" t="s">
        <v>268</v>
      </c>
    </row>
    <row r="41" spans="1:13" x14ac:dyDescent="0.25">
      <c r="A41" s="5" t="s">
        <v>250</v>
      </c>
      <c r="B41" s="5" t="s">
        <v>250</v>
      </c>
      <c r="C41" t="s">
        <v>108</v>
      </c>
      <c r="F41">
        <v>20411454</v>
      </c>
      <c r="G41" t="s">
        <v>276</v>
      </c>
      <c r="H41" t="s">
        <v>76</v>
      </c>
      <c r="I41" s="1">
        <v>45809</v>
      </c>
      <c r="J41" t="s">
        <v>52</v>
      </c>
      <c r="K41" s="4">
        <v>-29.17</v>
      </c>
      <c r="M41" t="s">
        <v>268</v>
      </c>
    </row>
    <row r="42" spans="1:13" x14ac:dyDescent="0.25">
      <c r="A42" s="5" t="s">
        <v>251</v>
      </c>
      <c r="B42" s="5" t="s">
        <v>251</v>
      </c>
      <c r="C42" t="s">
        <v>110</v>
      </c>
      <c r="F42">
        <v>20411454</v>
      </c>
      <c r="G42" t="s">
        <v>276</v>
      </c>
      <c r="H42" t="s">
        <v>76</v>
      </c>
      <c r="I42" s="1">
        <v>45778</v>
      </c>
      <c r="J42" t="s">
        <v>52</v>
      </c>
      <c r="K42" s="4">
        <v>-33.33</v>
      </c>
      <c r="M42" t="s">
        <v>268</v>
      </c>
    </row>
    <row r="43" spans="1:13" x14ac:dyDescent="0.25">
      <c r="A43" s="5" t="s">
        <v>252</v>
      </c>
      <c r="B43" s="5" t="s">
        <v>252</v>
      </c>
      <c r="C43" t="s">
        <v>114</v>
      </c>
      <c r="F43">
        <v>20411454</v>
      </c>
      <c r="G43" t="s">
        <v>276</v>
      </c>
      <c r="H43" t="s">
        <v>76</v>
      </c>
      <c r="I43" s="1">
        <v>45809</v>
      </c>
      <c r="J43" t="s">
        <v>52</v>
      </c>
      <c r="K43" s="4">
        <v>-29.17</v>
      </c>
      <c r="M43" t="s">
        <v>268</v>
      </c>
    </row>
    <row r="44" spans="1:13" x14ac:dyDescent="0.25">
      <c r="A44" s="5" t="s">
        <v>253</v>
      </c>
      <c r="B44" s="5" t="s">
        <v>253</v>
      </c>
      <c r="C44" t="s">
        <v>116</v>
      </c>
      <c r="F44">
        <v>20411454</v>
      </c>
      <c r="G44" t="s">
        <v>276</v>
      </c>
      <c r="H44" t="s">
        <v>76</v>
      </c>
      <c r="I44" s="1">
        <v>45778</v>
      </c>
      <c r="J44" t="s">
        <v>52</v>
      </c>
      <c r="K44" s="4">
        <v>-33.33</v>
      </c>
      <c r="M44" t="s">
        <v>268</v>
      </c>
    </row>
    <row r="45" spans="1:13" x14ac:dyDescent="0.25">
      <c r="A45" s="5" t="s">
        <v>254</v>
      </c>
      <c r="B45" s="5" t="s">
        <v>254</v>
      </c>
      <c r="C45" t="s">
        <v>120</v>
      </c>
      <c r="F45">
        <v>20411454</v>
      </c>
      <c r="G45" t="s">
        <v>276</v>
      </c>
      <c r="H45" t="s">
        <v>76</v>
      </c>
      <c r="I45" s="1">
        <v>45778</v>
      </c>
      <c r="J45" t="s">
        <v>52</v>
      </c>
      <c r="K45" s="4">
        <v>-33.33</v>
      </c>
      <c r="M45" t="s">
        <v>268</v>
      </c>
    </row>
    <row r="46" spans="1:13" x14ac:dyDescent="0.25">
      <c r="A46" s="5" t="s">
        <v>255</v>
      </c>
      <c r="B46" s="5" t="s">
        <v>255</v>
      </c>
      <c r="C46" t="s">
        <v>124</v>
      </c>
      <c r="E46" t="s">
        <v>73</v>
      </c>
      <c r="F46">
        <v>20411454</v>
      </c>
      <c r="G46" t="s">
        <v>276</v>
      </c>
      <c r="H46" t="s">
        <v>76</v>
      </c>
      <c r="I46" s="1">
        <v>45778</v>
      </c>
      <c r="J46" t="s">
        <v>52</v>
      </c>
      <c r="K46" s="4">
        <v>-33.33</v>
      </c>
      <c r="M46" t="s">
        <v>268</v>
      </c>
    </row>
    <row r="47" spans="1:13" x14ac:dyDescent="0.25">
      <c r="A47" s="5" t="s">
        <v>256</v>
      </c>
      <c r="B47" s="5" t="s">
        <v>256</v>
      </c>
      <c r="C47" t="s">
        <v>126</v>
      </c>
      <c r="E47" t="s">
        <v>61</v>
      </c>
      <c r="F47">
        <v>20411454</v>
      </c>
      <c r="G47" t="s">
        <v>276</v>
      </c>
      <c r="H47" t="s">
        <v>76</v>
      </c>
      <c r="I47" s="1">
        <v>45778</v>
      </c>
      <c r="J47" t="s">
        <v>52</v>
      </c>
      <c r="K47" s="4">
        <v>-33.33</v>
      </c>
      <c r="M47" t="s">
        <v>268</v>
      </c>
    </row>
    <row r="48" spans="1:13" x14ac:dyDescent="0.25">
      <c r="A48" s="5" t="s">
        <v>257</v>
      </c>
      <c r="B48" s="5" t="s">
        <v>257</v>
      </c>
      <c r="C48" t="s">
        <v>128</v>
      </c>
      <c r="E48" t="s">
        <v>73</v>
      </c>
      <c r="F48">
        <v>20411454</v>
      </c>
      <c r="G48" t="s">
        <v>276</v>
      </c>
      <c r="H48" t="s">
        <v>76</v>
      </c>
      <c r="I48" s="1">
        <v>45809</v>
      </c>
      <c r="J48" t="s">
        <v>52</v>
      </c>
      <c r="K48" s="4">
        <v>-29.17</v>
      </c>
      <c r="M48" t="s">
        <v>268</v>
      </c>
    </row>
    <row r="49" spans="1:13" x14ac:dyDescent="0.25">
      <c r="A49" s="5" t="s">
        <v>258</v>
      </c>
      <c r="B49" s="5" t="s">
        <v>258</v>
      </c>
      <c r="C49" t="s">
        <v>132</v>
      </c>
      <c r="E49" t="s">
        <v>61</v>
      </c>
      <c r="F49">
        <v>20411454</v>
      </c>
      <c r="G49" t="s">
        <v>276</v>
      </c>
      <c r="H49" t="s">
        <v>76</v>
      </c>
      <c r="I49" s="1">
        <v>45778</v>
      </c>
      <c r="J49" t="s">
        <v>52</v>
      </c>
      <c r="K49" s="4">
        <v>-33.33</v>
      </c>
      <c r="M49" t="s">
        <v>268</v>
      </c>
    </row>
    <row r="50" spans="1:13" x14ac:dyDescent="0.25">
      <c r="A50" s="5" t="s">
        <v>259</v>
      </c>
      <c r="B50" s="5" t="s">
        <v>259</v>
      </c>
      <c r="C50" t="s">
        <v>136</v>
      </c>
      <c r="E50" t="s">
        <v>61</v>
      </c>
      <c r="F50">
        <v>20411454</v>
      </c>
      <c r="G50" t="s">
        <v>276</v>
      </c>
      <c r="H50" t="s">
        <v>76</v>
      </c>
      <c r="I50" s="1">
        <v>45778</v>
      </c>
      <c r="J50" t="s">
        <v>52</v>
      </c>
      <c r="K50" s="4">
        <v>-33.33</v>
      </c>
      <c r="M50" t="s">
        <v>268</v>
      </c>
    </row>
    <row r="51" spans="1:13" x14ac:dyDescent="0.25">
      <c r="A51" s="5" t="s">
        <v>260</v>
      </c>
      <c r="B51" s="5" t="s">
        <v>260</v>
      </c>
      <c r="C51" t="s">
        <v>138</v>
      </c>
      <c r="E51" t="s">
        <v>139</v>
      </c>
      <c r="F51">
        <v>20411454</v>
      </c>
      <c r="G51" t="s">
        <v>276</v>
      </c>
      <c r="H51" t="s">
        <v>76</v>
      </c>
      <c r="I51" s="1">
        <v>45839</v>
      </c>
      <c r="J51" t="s">
        <v>52</v>
      </c>
      <c r="K51" s="4">
        <v>-25</v>
      </c>
      <c r="M51" t="s">
        <v>268</v>
      </c>
    </row>
    <row r="52" spans="1:13" x14ac:dyDescent="0.25">
      <c r="A52" s="5" t="s">
        <v>261</v>
      </c>
      <c r="B52" s="5" t="s">
        <v>261</v>
      </c>
      <c r="C52" t="s">
        <v>143</v>
      </c>
      <c r="E52" t="s">
        <v>61</v>
      </c>
      <c r="F52">
        <v>20411454</v>
      </c>
      <c r="G52" t="s">
        <v>276</v>
      </c>
      <c r="H52" t="s">
        <v>76</v>
      </c>
      <c r="I52" s="1">
        <v>45778</v>
      </c>
      <c r="J52" t="s">
        <v>52</v>
      </c>
      <c r="K52" s="4">
        <v>-33.33</v>
      </c>
      <c r="M52" t="s">
        <v>268</v>
      </c>
    </row>
    <row r="53" spans="1:13" x14ac:dyDescent="0.25">
      <c r="A53" s="5" t="s">
        <v>262</v>
      </c>
      <c r="B53" s="5" t="s">
        <v>262</v>
      </c>
      <c r="C53" t="s">
        <v>145</v>
      </c>
      <c r="E53" t="s">
        <v>61</v>
      </c>
      <c r="F53">
        <v>20411454</v>
      </c>
      <c r="G53" t="s">
        <v>276</v>
      </c>
      <c r="H53" t="s">
        <v>76</v>
      </c>
      <c r="I53" s="1">
        <v>45809</v>
      </c>
      <c r="J53" t="s">
        <v>52</v>
      </c>
      <c r="K53" s="4">
        <v>-29.17</v>
      </c>
      <c r="M53" t="s">
        <v>268</v>
      </c>
    </row>
    <row r="54" spans="1:13" x14ac:dyDescent="0.25">
      <c r="A54" s="5" t="s">
        <v>263</v>
      </c>
      <c r="B54" s="5" t="s">
        <v>263</v>
      </c>
      <c r="C54" t="s">
        <v>149</v>
      </c>
      <c r="E54" t="s">
        <v>73</v>
      </c>
      <c r="F54">
        <v>20411454</v>
      </c>
      <c r="G54" t="s">
        <v>276</v>
      </c>
      <c r="H54" t="s">
        <v>76</v>
      </c>
      <c r="I54" s="1">
        <v>45778</v>
      </c>
      <c r="J54" t="s">
        <v>52</v>
      </c>
      <c r="K54" s="4">
        <v>-33.33</v>
      </c>
      <c r="M54" t="s">
        <v>268</v>
      </c>
    </row>
    <row r="55" spans="1:13" x14ac:dyDescent="0.25">
      <c r="A55" s="5" t="s">
        <v>264</v>
      </c>
      <c r="B55" s="5" t="s">
        <v>264</v>
      </c>
      <c r="C55" t="s">
        <v>151</v>
      </c>
      <c r="E55" t="s">
        <v>55</v>
      </c>
      <c r="F55">
        <v>20411454</v>
      </c>
      <c r="G55" t="s">
        <v>276</v>
      </c>
      <c r="H55" t="s">
        <v>76</v>
      </c>
      <c r="I55" s="1">
        <v>45778</v>
      </c>
      <c r="J55" t="s">
        <v>52</v>
      </c>
      <c r="K55" s="4">
        <v>-33.33</v>
      </c>
      <c r="M55" t="s">
        <v>268</v>
      </c>
    </row>
    <row r="56" spans="1:13" x14ac:dyDescent="0.25">
      <c r="A56" s="5" t="s">
        <v>265</v>
      </c>
      <c r="B56" s="5" t="s">
        <v>265</v>
      </c>
      <c r="C56" t="s">
        <v>154</v>
      </c>
      <c r="E56" t="s">
        <v>61</v>
      </c>
      <c r="F56">
        <v>20411454</v>
      </c>
      <c r="G56" t="s">
        <v>276</v>
      </c>
      <c r="H56" t="s">
        <v>76</v>
      </c>
      <c r="I56" s="1">
        <v>45778</v>
      </c>
      <c r="J56" t="s">
        <v>52</v>
      </c>
      <c r="K56" s="4">
        <v>-33.33</v>
      </c>
      <c r="M56" t="s">
        <v>268</v>
      </c>
    </row>
    <row r="57" spans="1:13" x14ac:dyDescent="0.25">
      <c r="A57" s="5" t="s">
        <v>237</v>
      </c>
      <c r="B57" s="5" t="str">
        <f t="shared" ref="B57:B61" si="1">CONCATENATE(A57,0)</f>
        <v>54L1L3X990</v>
      </c>
      <c r="C57" t="s">
        <v>182</v>
      </c>
      <c r="E57" t="s">
        <v>73</v>
      </c>
      <c r="F57">
        <v>20411454</v>
      </c>
      <c r="G57" t="s">
        <v>276</v>
      </c>
      <c r="H57" t="s">
        <v>183</v>
      </c>
      <c r="I57" s="1">
        <v>45870</v>
      </c>
      <c r="J57" t="s">
        <v>52</v>
      </c>
      <c r="K57" s="2">
        <v>100</v>
      </c>
      <c r="M57" t="s">
        <v>269</v>
      </c>
    </row>
    <row r="58" spans="1:13" x14ac:dyDescent="0.25">
      <c r="A58" s="5" t="s">
        <v>232</v>
      </c>
      <c r="B58" s="5" t="str">
        <f t="shared" si="1"/>
        <v>00000646024D0</v>
      </c>
      <c r="C58" t="s">
        <v>45</v>
      </c>
      <c r="E58" t="s">
        <v>46</v>
      </c>
      <c r="F58">
        <v>20411454</v>
      </c>
      <c r="G58" t="s">
        <v>276</v>
      </c>
      <c r="H58" t="s">
        <v>50</v>
      </c>
      <c r="I58" s="1">
        <v>45809</v>
      </c>
      <c r="J58" t="s">
        <v>52</v>
      </c>
      <c r="K58" s="2">
        <v>175</v>
      </c>
      <c r="M58" t="s">
        <v>270</v>
      </c>
    </row>
    <row r="59" spans="1:13" x14ac:dyDescent="0.25">
      <c r="A59" s="5" t="s">
        <v>234</v>
      </c>
      <c r="B59" s="5" t="str">
        <f t="shared" si="1"/>
        <v>00023345760K0</v>
      </c>
      <c r="C59" t="s">
        <v>60</v>
      </c>
      <c r="E59" t="s">
        <v>61</v>
      </c>
      <c r="F59">
        <v>20411454</v>
      </c>
      <c r="G59" t="s">
        <v>276</v>
      </c>
      <c r="H59" t="s">
        <v>50</v>
      </c>
      <c r="I59" s="1">
        <v>45839</v>
      </c>
      <c r="J59" t="s">
        <v>52</v>
      </c>
      <c r="K59" s="2">
        <v>175</v>
      </c>
      <c r="M59" t="s">
        <v>270</v>
      </c>
    </row>
    <row r="60" spans="1:13" x14ac:dyDescent="0.25">
      <c r="A60" s="5" t="s">
        <v>235</v>
      </c>
      <c r="B60" s="5" t="str">
        <f t="shared" si="1"/>
        <v>00023351659K0</v>
      </c>
      <c r="C60" t="s">
        <v>65</v>
      </c>
      <c r="E60" t="s">
        <v>61</v>
      </c>
      <c r="F60">
        <v>20411454</v>
      </c>
      <c r="G60" t="s">
        <v>276</v>
      </c>
      <c r="H60" t="s">
        <v>50</v>
      </c>
      <c r="I60" s="1">
        <v>45809</v>
      </c>
      <c r="J60" t="s">
        <v>52</v>
      </c>
      <c r="K60" s="2">
        <v>175</v>
      </c>
      <c r="M60" t="s">
        <v>270</v>
      </c>
    </row>
    <row r="61" spans="1:13" x14ac:dyDescent="0.25">
      <c r="A61" s="5" t="s">
        <v>236</v>
      </c>
      <c r="B61" s="5" t="str">
        <f t="shared" si="1"/>
        <v>00023358106K0</v>
      </c>
      <c r="C61" t="s">
        <v>69</v>
      </c>
      <c r="E61" t="s">
        <v>70</v>
      </c>
      <c r="F61">
        <v>20411454</v>
      </c>
      <c r="G61" t="s">
        <v>276</v>
      </c>
      <c r="H61" t="s">
        <v>50</v>
      </c>
      <c r="I61" s="1">
        <v>45809</v>
      </c>
      <c r="J61" t="s">
        <v>52</v>
      </c>
      <c r="K61" s="2">
        <v>175</v>
      </c>
      <c r="M61" t="s">
        <v>270</v>
      </c>
    </row>
    <row r="62" spans="1:13" x14ac:dyDescent="0.25">
      <c r="A62" s="5" t="s">
        <v>241</v>
      </c>
      <c r="B62" s="5" t="s">
        <v>241</v>
      </c>
      <c r="C62" t="s">
        <v>199</v>
      </c>
      <c r="E62" t="s">
        <v>196</v>
      </c>
      <c r="F62">
        <v>20411454</v>
      </c>
      <c r="G62" t="s">
        <v>276</v>
      </c>
      <c r="H62" t="s">
        <v>50</v>
      </c>
      <c r="I62" s="1">
        <v>45689</v>
      </c>
      <c r="J62" t="s">
        <v>52</v>
      </c>
      <c r="K62" s="4">
        <v>-117.25</v>
      </c>
      <c r="M62" t="s">
        <v>270</v>
      </c>
    </row>
    <row r="63" spans="1:13" x14ac:dyDescent="0.25">
      <c r="A63" s="5" t="s">
        <v>233</v>
      </c>
      <c r="B63" s="5" t="str">
        <f t="shared" ref="B63" si="2">CONCATENATE(A63,0)</f>
        <v>00014214997K0</v>
      </c>
      <c r="C63" t="s">
        <v>54</v>
      </c>
      <c r="E63" t="s">
        <v>55</v>
      </c>
      <c r="F63">
        <v>20411454</v>
      </c>
      <c r="G63" t="s">
        <v>276</v>
      </c>
      <c r="H63" t="s">
        <v>58</v>
      </c>
      <c r="I63" s="1">
        <v>45809</v>
      </c>
      <c r="J63" t="s">
        <v>52</v>
      </c>
      <c r="K63" s="2">
        <v>108</v>
      </c>
      <c r="M63" t="s">
        <v>270</v>
      </c>
    </row>
    <row r="64" spans="1:13" x14ac:dyDescent="0.25">
      <c r="A64" s="5" t="s">
        <v>240</v>
      </c>
      <c r="B64" s="5" t="s">
        <v>240</v>
      </c>
      <c r="C64" t="s">
        <v>195</v>
      </c>
      <c r="E64" t="s">
        <v>196</v>
      </c>
      <c r="F64">
        <v>20411454</v>
      </c>
      <c r="G64" t="s">
        <v>276</v>
      </c>
      <c r="H64" t="s">
        <v>58</v>
      </c>
      <c r="I64" s="1">
        <v>45689</v>
      </c>
      <c r="J64" t="s">
        <v>52</v>
      </c>
      <c r="K64" s="4">
        <v>-72.36</v>
      </c>
      <c r="M64" t="s">
        <v>270</v>
      </c>
    </row>
    <row r="65" spans="1:14" x14ac:dyDescent="0.25">
      <c r="A65" s="5" t="s">
        <v>238</v>
      </c>
      <c r="B65" s="5" t="s">
        <v>238</v>
      </c>
      <c r="C65" t="s">
        <v>185</v>
      </c>
      <c r="E65" t="s">
        <v>55</v>
      </c>
      <c r="F65">
        <v>20411454</v>
      </c>
      <c r="G65" t="s">
        <v>276</v>
      </c>
      <c r="H65" t="s">
        <v>189</v>
      </c>
      <c r="I65" s="1">
        <v>45717</v>
      </c>
      <c r="J65" t="s">
        <v>52</v>
      </c>
      <c r="K65" s="2">
        <v>175</v>
      </c>
      <c r="M65" t="s">
        <v>271</v>
      </c>
    </row>
    <row r="66" spans="1:14" x14ac:dyDescent="0.25">
      <c r="A66" s="5" t="s">
        <v>239</v>
      </c>
      <c r="B66" s="5" t="s">
        <v>239</v>
      </c>
      <c r="C66" t="s">
        <v>191</v>
      </c>
      <c r="E66" t="s">
        <v>55</v>
      </c>
      <c r="F66">
        <v>20411454</v>
      </c>
      <c r="G66" t="s">
        <v>276</v>
      </c>
      <c r="H66" t="s">
        <v>189</v>
      </c>
      <c r="I66" s="1">
        <v>45717</v>
      </c>
      <c r="J66" t="s">
        <v>52</v>
      </c>
      <c r="K66" s="2">
        <v>175</v>
      </c>
      <c r="M66" t="s">
        <v>271</v>
      </c>
    </row>
    <row r="67" spans="1:14" x14ac:dyDescent="0.25">
      <c r="A67" s="5" t="s">
        <v>267</v>
      </c>
      <c r="B67" s="5" t="s">
        <v>267</v>
      </c>
      <c r="C67" t="s">
        <v>229</v>
      </c>
      <c r="E67" t="s">
        <v>87</v>
      </c>
      <c r="F67">
        <v>20411454</v>
      </c>
      <c r="G67" t="s">
        <v>276</v>
      </c>
      <c r="H67" t="s">
        <v>189</v>
      </c>
      <c r="I67" s="1">
        <v>45809</v>
      </c>
      <c r="J67" t="s">
        <v>52</v>
      </c>
      <c r="K67" s="4">
        <v>-175</v>
      </c>
      <c r="M67" t="s">
        <v>271</v>
      </c>
    </row>
    <row r="68" spans="1:14" s="7" customFormat="1" x14ac:dyDescent="0.25">
      <c r="A68" s="6" t="s">
        <v>266</v>
      </c>
      <c r="B68" s="6">
        <v>93782458298</v>
      </c>
      <c r="C68" s="7" t="s">
        <v>229</v>
      </c>
      <c r="E68" s="7" t="s">
        <v>87</v>
      </c>
      <c r="F68" s="7">
        <v>19645587</v>
      </c>
      <c r="G68" s="7" t="s">
        <v>118</v>
      </c>
      <c r="H68" s="7" t="s">
        <v>230</v>
      </c>
      <c r="I68" s="8">
        <v>45809</v>
      </c>
      <c r="J68" s="7" t="s">
        <v>52</v>
      </c>
      <c r="K68" s="9">
        <v>-626</v>
      </c>
      <c r="M68" s="7" t="s">
        <v>272</v>
      </c>
      <c r="N68" s="7" t="s">
        <v>275</v>
      </c>
    </row>
    <row r="69" spans="1:14" s="7" customFormat="1" x14ac:dyDescent="0.25">
      <c r="A69" s="6">
        <v>907822980</v>
      </c>
      <c r="B69" s="6" t="str">
        <f>CONCATENATE(A69,1)</f>
        <v>9078229801</v>
      </c>
      <c r="C69" s="7" t="s">
        <v>185</v>
      </c>
      <c r="E69" s="7" t="s">
        <v>55</v>
      </c>
      <c r="F69" s="7">
        <v>19645587</v>
      </c>
      <c r="G69" s="7" t="s">
        <v>118</v>
      </c>
      <c r="H69" s="7" t="s">
        <v>186</v>
      </c>
      <c r="I69" s="8">
        <v>45717</v>
      </c>
      <c r="J69" s="7" t="s">
        <v>52</v>
      </c>
      <c r="K69" s="10">
        <v>260.83</v>
      </c>
      <c r="L69" s="7" t="s">
        <v>187</v>
      </c>
      <c r="M69" s="7" t="s">
        <v>273</v>
      </c>
      <c r="N69" s="7" t="s">
        <v>274</v>
      </c>
    </row>
    <row r="70" spans="1:14" s="7" customFormat="1" x14ac:dyDescent="0.25">
      <c r="A70" s="6">
        <v>979062658</v>
      </c>
      <c r="B70" s="6" t="str">
        <f>CONCATENATE(A70,1)</f>
        <v>9790626581</v>
      </c>
      <c r="C70" s="7" t="s">
        <v>191</v>
      </c>
      <c r="E70" s="7" t="s">
        <v>55</v>
      </c>
      <c r="F70" s="7">
        <v>19645587</v>
      </c>
      <c r="G70" s="7" t="s">
        <v>118</v>
      </c>
      <c r="H70" s="7" t="s">
        <v>186</v>
      </c>
      <c r="I70" s="8">
        <v>45717</v>
      </c>
      <c r="J70" s="7" t="s">
        <v>52</v>
      </c>
      <c r="K70" s="10">
        <v>260.83</v>
      </c>
      <c r="L70" s="7" t="s">
        <v>187</v>
      </c>
      <c r="M70" s="7" t="s">
        <v>273</v>
      </c>
      <c r="N70" s="7" t="s">
        <v>274</v>
      </c>
    </row>
  </sheetData>
  <sortState xmlns:xlrd2="http://schemas.microsoft.com/office/spreadsheetml/2017/richdata2" ref="A2:AN70">
    <sortCondition ref="H2:H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2025-05-28T19:35:03Z</dcterms:created>
  <dcterms:modified xsi:type="dcterms:W3CDTF">2025-06-02T17:54:32Z</dcterms:modified>
</cp:coreProperties>
</file>