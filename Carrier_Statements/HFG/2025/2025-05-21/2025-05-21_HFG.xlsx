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5-21-25\"/>
    </mc:Choice>
  </mc:AlternateContent>
  <xr:revisionPtr revIDLastSave="0" documentId="13_ncr:1_{C7FFA4AB-30D5-4ED7-B3DA-AFA1912098DF}" xr6:coauthVersionLast="47" xr6:coauthVersionMax="47" xr10:uidLastSave="{00000000-0000-0000-0000-000000000000}"/>
  <bookViews>
    <workbookView xWindow="28680" yWindow="-120" windowWidth="29040" windowHeight="16440" activeTab="1" xr2:uid="{72F0E538-E806-4A0A-B924-44757378EC76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6" i="2" l="1"/>
  <c r="B45" i="2"/>
  <c r="B44" i="2"/>
  <c r="B43" i="2"/>
  <c r="B42" i="2"/>
  <c r="B33" i="2"/>
  <c r="B38" i="2"/>
  <c r="B37" i="2"/>
  <c r="B36" i="2"/>
  <c r="B35" i="2"/>
  <c r="B34" i="2"/>
  <c r="B27" i="2"/>
  <c r="B26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" i="2"/>
  <c r="W42" i="2"/>
</calcChain>
</file>

<file path=xl/sharedStrings.xml><?xml version="1.0" encoding="utf-8"?>
<sst xmlns="http://schemas.openxmlformats.org/spreadsheetml/2006/main" count="1249" uniqueCount="245">
  <si>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</si>
  <si>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</si>
  <si>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</si>
  <si>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</si>
  <si>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</si>
  <si>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</si>
  <si>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</si>
  <si>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</si>
  <si>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</si>
  <si>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</si>
  <si>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</si>
  <si>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</si>
  <si>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</si>
  <si>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</si>
  <si>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</si>
  <si>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</si>
  <si>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</si>
  <si>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</si>
  <si>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</si>
  <si>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</si>
  <si>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</si>
  <si>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</si>
  <si>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</si>
  <si>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</si>
  <si>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</si>
  <si>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</si>
  <si>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</si>
  <si>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</si>
  <si>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</si>
  <si>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</si>
  <si>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</si>
  <si>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</si>
  <si>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</si>
  <si>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</si>
  <si>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</si>
  <si>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</si>
  <si>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</si>
  <si>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</si>
  <si>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</si>
  <si>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</si>
  <si>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</si>
  <si>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</si>
  <si>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</si>
  <si>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</si>
  <si>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'00022508972K</t>
  </si>
  <si>
    <t>MARGARET ORTMANN</t>
  </si>
  <si>
    <t>WI</t>
  </si>
  <si>
    <t>'043629</t>
  </si>
  <si>
    <t>PAUL ROBINSON</t>
  </si>
  <si>
    <t>ACTIVE</t>
  </si>
  <si>
    <t>Humana MA 2019+ Level 15- 175/108 Repl 2024</t>
  </si>
  <si>
    <t>Monthly</t>
  </si>
  <si>
    <t>AV</t>
  </si>
  <si>
    <t>'00022869335K</t>
  </si>
  <si>
    <t>GARY ORTMANN</t>
  </si>
  <si>
    <t>'00023330660KPDP</t>
  </si>
  <si>
    <t>BARBARA MCCONLOGUE</t>
  </si>
  <si>
    <t>PA</t>
  </si>
  <si>
    <t>'043689</t>
  </si>
  <si>
    <t>ANNE MARIE KOZACHECK</t>
  </si>
  <si>
    <t>Humana PDP 2019+ Level 15- 15/0</t>
  </si>
  <si>
    <t>'00023330781K</t>
  </si>
  <si>
    <t>JUCELIA IZENSTARK</t>
  </si>
  <si>
    <t>FL</t>
  </si>
  <si>
    <t>'045601</t>
  </si>
  <si>
    <t>CAROL FOLEY</t>
  </si>
  <si>
    <t>Humana MA 2019+ Level 15- 175/108</t>
  </si>
  <si>
    <t>'00023334479K</t>
  </si>
  <si>
    <t>JAMES ZARDESKAS</t>
  </si>
  <si>
    <t>'045622</t>
  </si>
  <si>
    <t>JACOB YALE</t>
  </si>
  <si>
    <t>'00023335576KPDP</t>
  </si>
  <si>
    <t>DIANNE LAUBACH</t>
  </si>
  <si>
    <t>'045634</t>
  </si>
  <si>
    <t>PATRICIA LONG</t>
  </si>
  <si>
    <t>'00023335925KPDP</t>
  </si>
  <si>
    <t>KRYSTAL TRIPP</t>
  </si>
  <si>
    <t>MD</t>
  </si>
  <si>
    <t>'045717</t>
  </si>
  <si>
    <t>RONALD MAX</t>
  </si>
  <si>
    <t>'00023336024K</t>
  </si>
  <si>
    <t>DAVID DRAPER</t>
  </si>
  <si>
    <t>CO</t>
  </si>
  <si>
    <t>'043713</t>
  </si>
  <si>
    <t>JOEL LEE</t>
  </si>
  <si>
    <t>'00023338585K</t>
  </si>
  <si>
    <t>K WALKER-WILLIAMSON</t>
  </si>
  <si>
    <t>IL</t>
  </si>
  <si>
    <t>'045612</t>
  </si>
  <si>
    <t>ANTHONY HUNSBERGER</t>
  </si>
  <si>
    <t>'00023340223K</t>
  </si>
  <si>
    <t>SYLVIA KARAKOSTA</t>
  </si>
  <si>
    <t>'043618</t>
  </si>
  <si>
    <t>SAADIA ABDUL</t>
  </si>
  <si>
    <t>'00023341972K</t>
  </si>
  <si>
    <t>DEBORAH FRIEDEN</t>
  </si>
  <si>
    <t>'043969</t>
  </si>
  <si>
    <t>STACEY PORTUGAL</t>
  </si>
  <si>
    <t>'00023342286K</t>
  </si>
  <si>
    <t>JAMES FRIEDEN</t>
  </si>
  <si>
    <t>'102000821100</t>
  </si>
  <si>
    <t>LESLIE LUHRSEN</t>
  </si>
  <si>
    <t>'045605</t>
  </si>
  <si>
    <t>GARY PORTUGAL</t>
  </si>
  <si>
    <t>Active</t>
  </si>
  <si>
    <t>Aetna MAPD NMO to GMO - 4-1-23+  New E-App</t>
  </si>
  <si>
    <t>Aetna MA Bonus Upload 05-21-2025.xlsx</t>
  </si>
  <si>
    <t>'102065660900</t>
  </si>
  <si>
    <t>DEBORAH MITCHELL</t>
  </si>
  <si>
    <t>'043610</t>
  </si>
  <si>
    <t>KLAUS HERCHENRODER</t>
  </si>
  <si>
    <t>Aetna MAPD NMO to GMO - 4-1-23+  Replace Paper</t>
  </si>
  <si>
    <t>8/12 PRORATE</t>
  </si>
  <si>
    <t>'102168084000</t>
  </si>
  <si>
    <t>JANET JOHNSON</t>
  </si>
  <si>
    <t>'045709</t>
  </si>
  <si>
    <t>ESTHER HERRERA-LARSEN</t>
  </si>
  <si>
    <t>Aetna MAPD NMO to GMO - 4-1-23+  Replace E-App</t>
  </si>
  <si>
    <t>'102168241300</t>
  </si>
  <si>
    <t>DWAYNE DIGBY</t>
  </si>
  <si>
    <t>'102168444600</t>
  </si>
  <si>
    <t>WILLIAM WEATHERSTONE</t>
  </si>
  <si>
    <t>TX</t>
  </si>
  <si>
    <t>'043678</t>
  </si>
  <si>
    <t>MATTHEW DAUGHERTY</t>
  </si>
  <si>
    <t>6/12 PRORATE</t>
  </si>
  <si>
    <t>'102169042300</t>
  </si>
  <si>
    <t>ALAN DUGOSH</t>
  </si>
  <si>
    <t>'043682</t>
  </si>
  <si>
    <t>GREGORY TEIPEL</t>
  </si>
  <si>
    <t>'102169457000</t>
  </si>
  <si>
    <t>SUSAN PRICE</t>
  </si>
  <si>
    <t>'045604</t>
  </si>
  <si>
    <t>JEFFREY HORN</t>
  </si>
  <si>
    <t>7/12 PRORATE</t>
  </si>
  <si>
    <t>'102169501600</t>
  </si>
  <si>
    <t>PAMELA KARENBAUER</t>
  </si>
  <si>
    <t>'043611</t>
  </si>
  <si>
    <t>TIMOTHY POWERS</t>
  </si>
  <si>
    <t>'102169513200</t>
  </si>
  <si>
    <t>PETER RICHTER</t>
  </si>
  <si>
    <t>'043585</t>
  </si>
  <si>
    <t>'102169514800</t>
  </si>
  <si>
    <t>ROBERT KRYST</t>
  </si>
  <si>
    <t>'133085724</t>
  </si>
  <si>
    <t>LAWANNA PULLIAM</t>
  </si>
  <si>
    <t>KS</t>
  </si>
  <si>
    <t>UHC MAPD Street payable to upline- 2025 Replace</t>
  </si>
  <si>
    <t>'133085724OV</t>
  </si>
  <si>
    <t>UHC MA Direct 2024 New Full</t>
  </si>
  <si>
    <t>'23A9F4R86</t>
  </si>
  <si>
    <t>KAREN JOHNSON</t>
  </si>
  <si>
    <t>Cigna MAPD FMO to GA 1-1-19+ - New</t>
  </si>
  <si>
    <t>'942028233</t>
  </si>
  <si>
    <t>MARK SCHMIEDBAUER</t>
  </si>
  <si>
    <t>WY</t>
  </si>
  <si>
    <t>'942028233OV</t>
  </si>
  <si>
    <t>'945012501</t>
  </si>
  <si>
    <t>JEANETTE SCHMIEDBAUER</t>
  </si>
  <si>
    <t>'945012501OV</t>
  </si>
  <si>
    <t>'971266277</t>
  </si>
  <si>
    <t>ELIZABETH ROBERTS</t>
  </si>
  <si>
    <t>'971266277OV</t>
  </si>
  <si>
    <t>'974593974</t>
  </si>
  <si>
    <t>STEVEN MORTENSEN</t>
  </si>
  <si>
    <t>'974593974OV</t>
  </si>
  <si>
    <t>'A04273868</t>
  </si>
  <si>
    <t>CALVIN HIGHLEY</t>
  </si>
  <si>
    <t>UHC AARP Med Supp PA Area 1- Plan  B C F G</t>
  </si>
  <si>
    <t>CB</t>
  </si>
  <si>
    <t>'00002377726KPC</t>
  </si>
  <si>
    <t>DHARAM SHAH</t>
  </si>
  <si>
    <t>NA</t>
  </si>
  <si>
    <t>'045611</t>
  </si>
  <si>
    <t>FRANK LISKOVEC</t>
  </si>
  <si>
    <t>CHARGEBACK</t>
  </si>
  <si>
    <t>'00012639611KPC</t>
  </si>
  <si>
    <t>PANNA SHAH</t>
  </si>
  <si>
    <t>'00014878762KPC</t>
  </si>
  <si>
    <t>CAROL MCFARLAND</t>
  </si>
  <si>
    <t>'043633</t>
  </si>
  <si>
    <t>RICHARD WUENSCH</t>
  </si>
  <si>
    <t>'00017197685KPC</t>
  </si>
  <si>
    <t>MICHAEL JONES</t>
  </si>
  <si>
    <t>'00022508972KPC</t>
  </si>
  <si>
    <t>'045639</t>
  </si>
  <si>
    <t>STEVEN WERNER</t>
  </si>
  <si>
    <t>'00022869335KPC</t>
  </si>
  <si>
    <t>'00023070047KPC</t>
  </si>
  <si>
    <t>MARLA STANGL</t>
  </si>
  <si>
    <t>'102060869600PC</t>
  </si>
  <si>
    <t>MARYANN JACKSON</t>
  </si>
  <si>
    <t>'907822980CB</t>
  </si>
  <si>
    <t>'907822980OVCB</t>
  </si>
  <si>
    <t>'944957860OVPC</t>
  </si>
  <si>
    <t>DEXTER RINEHART</t>
  </si>
  <si>
    <t>'045642</t>
  </si>
  <si>
    <t>JONATHAN ALOFF</t>
  </si>
  <si>
    <t>'944957860PC</t>
  </si>
  <si>
    <t>'979062658CB</t>
  </si>
  <si>
    <t>'979062658OVCB</t>
  </si>
  <si>
    <t>00022508972K</t>
  </si>
  <si>
    <t>00022869335K</t>
  </si>
  <si>
    <t>00023330660KPDP</t>
  </si>
  <si>
    <t>00023330781K</t>
  </si>
  <si>
    <t>00023334479K</t>
  </si>
  <si>
    <t>00023335576KPDP</t>
  </si>
  <si>
    <t>00023335925KPDP</t>
  </si>
  <si>
    <t>00023336024K</t>
  </si>
  <si>
    <t>00023338585K</t>
  </si>
  <si>
    <t>00023340223K</t>
  </si>
  <si>
    <t>00023341972K</t>
  </si>
  <si>
    <t>00023342286K</t>
  </si>
  <si>
    <t>133085724OV</t>
  </si>
  <si>
    <t>23A9F4R86</t>
  </si>
  <si>
    <t>942028233OV</t>
  </si>
  <si>
    <t>945012501OV</t>
  </si>
  <si>
    <t>971266277OV</t>
  </si>
  <si>
    <t>974593974OV</t>
  </si>
  <si>
    <t>A04273868</t>
  </si>
  <si>
    <t>00002377726KPC</t>
  </si>
  <si>
    <t>00012639611KPC</t>
  </si>
  <si>
    <t>00014878762KPC</t>
  </si>
  <si>
    <t>00017197685KPC</t>
  </si>
  <si>
    <t>00022508972KPC</t>
  </si>
  <si>
    <t>00022869335KPC</t>
  </si>
  <si>
    <t>00023070047KPC</t>
  </si>
  <si>
    <t>102060869600PC</t>
  </si>
  <si>
    <t>907822980CB</t>
  </si>
  <si>
    <t>907822980OVCB</t>
  </si>
  <si>
    <t>944957860OVPC</t>
  </si>
  <si>
    <t>944957860PC</t>
  </si>
  <si>
    <t>979062658CB</t>
  </si>
  <si>
    <t>979062658OVCB</t>
  </si>
  <si>
    <t>Aetna MAPD OVR 2025</t>
  </si>
  <si>
    <t>Cigna MAPD 2025 Ovr</t>
  </si>
  <si>
    <t>Humana MAPD OVR 2025</t>
  </si>
  <si>
    <t>Humana PDP 2025!</t>
  </si>
  <si>
    <t>UHC MAPD Ovr 2025</t>
  </si>
  <si>
    <t>UHC AARP MS PA Area 1- Plan B C F G 2024</t>
  </si>
  <si>
    <t>UHC MAPD 2025*</t>
  </si>
  <si>
    <t>[%/$=313][prorate=7/12]</t>
  </si>
  <si>
    <t>[%/$=313][prorate=8/12]</t>
  </si>
  <si>
    <t>[%/$=313][prorate=10/12]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</si>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</sst>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14" fillId="0" borderId="0" xfId="0" applyNumberFormat="1" applyFont="1" applyAlignment="1">
      <alignment horizontal="left"/>
    </xf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10" fontId="14" fillId="0" borderId="0" xfId="0" applyNumberFormat="1" applyFont="1"/>
    <xf numFmtId="0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4CCD-5EF2-460B-96D2-3F82F89E2530}">
  <dimension ref="A1:AL49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45798</v>
      </c>
      <c r="B2" s="1">
        <v>45798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45809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5465482</v>
      </c>
    </row>
    <row r="3" spans="1:38" x14ac:dyDescent="0.25">
      <c r="A3" s="1">
        <v>45798</v>
      </c>
      <c r="B3" s="1">
        <v>45798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45809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5465484</v>
      </c>
    </row>
    <row r="4" spans="1:38" x14ac:dyDescent="0.25">
      <c r="A4" s="1">
        <v>45798</v>
      </c>
      <c r="B4" s="1">
        <v>45798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57</v>
      </c>
      <c r="O4" t="s">
        <v>58</v>
      </c>
      <c r="P4" t="s">
        <v>59</v>
      </c>
      <c r="Q4" t="s">
        <v>49</v>
      </c>
      <c r="R4" t="s">
        <v>60</v>
      </c>
      <c r="S4" s="1">
        <v>45809</v>
      </c>
      <c r="U4" t="s">
        <v>51</v>
      </c>
      <c r="X4" t="s">
        <v>52</v>
      </c>
      <c r="Y4" s="2">
        <v>0</v>
      </c>
      <c r="Z4" s="2">
        <v>15</v>
      </c>
      <c r="AA4">
        <v>1</v>
      </c>
      <c r="AB4" s="3">
        <v>1</v>
      </c>
      <c r="AC4" s="2">
        <v>15</v>
      </c>
      <c r="AD4" s="3">
        <v>0</v>
      </c>
      <c r="AE4" s="2">
        <v>0</v>
      </c>
      <c r="AF4" s="2">
        <v>15</v>
      </c>
      <c r="AK4">
        <v>5465574</v>
      </c>
    </row>
    <row r="5" spans="1:38" x14ac:dyDescent="0.25">
      <c r="A5" s="1">
        <v>45798</v>
      </c>
      <c r="B5" s="1">
        <v>45798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63</v>
      </c>
      <c r="O5" t="s">
        <v>64</v>
      </c>
      <c r="P5" t="s">
        <v>65</v>
      </c>
      <c r="Q5" t="s">
        <v>49</v>
      </c>
      <c r="R5" t="s">
        <v>66</v>
      </c>
      <c r="S5" s="1">
        <v>45809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5465575</v>
      </c>
    </row>
    <row r="6" spans="1:38" x14ac:dyDescent="0.25">
      <c r="A6" s="1">
        <v>45798</v>
      </c>
      <c r="B6" s="1">
        <v>45798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63</v>
      </c>
      <c r="O6" t="s">
        <v>69</v>
      </c>
      <c r="P6" t="s">
        <v>70</v>
      </c>
      <c r="Q6" t="s">
        <v>49</v>
      </c>
      <c r="R6" t="s">
        <v>66</v>
      </c>
      <c r="S6" s="1">
        <v>45809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5465518</v>
      </c>
    </row>
    <row r="7" spans="1:38" x14ac:dyDescent="0.25">
      <c r="A7" s="1">
        <v>45798</v>
      </c>
      <c r="B7" s="1">
        <v>45798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57</v>
      </c>
      <c r="O7" t="s">
        <v>73</v>
      </c>
      <c r="P7" t="s">
        <v>74</v>
      </c>
      <c r="Q7" t="s">
        <v>49</v>
      </c>
      <c r="R7" t="s">
        <v>60</v>
      </c>
      <c r="S7" s="1">
        <v>45839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5465583</v>
      </c>
    </row>
    <row r="8" spans="1:38" x14ac:dyDescent="0.25">
      <c r="A8" s="1">
        <v>45798</v>
      </c>
      <c r="B8" s="1">
        <v>45798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77</v>
      </c>
      <c r="O8" t="s">
        <v>78</v>
      </c>
      <c r="P8" t="s">
        <v>79</v>
      </c>
      <c r="Q8" t="s">
        <v>49</v>
      </c>
      <c r="R8" t="s">
        <v>60</v>
      </c>
      <c r="S8" s="1">
        <v>45809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5465584</v>
      </c>
    </row>
    <row r="9" spans="1:38" x14ac:dyDescent="0.25">
      <c r="A9" s="1">
        <v>45798</v>
      </c>
      <c r="B9" s="1">
        <v>45798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82</v>
      </c>
      <c r="O9" t="s">
        <v>83</v>
      </c>
      <c r="P9" t="s">
        <v>84</v>
      </c>
      <c r="Q9" t="s">
        <v>49</v>
      </c>
      <c r="R9" t="s">
        <v>66</v>
      </c>
      <c r="S9" s="1">
        <v>45809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5465585</v>
      </c>
    </row>
    <row r="10" spans="1:38" x14ac:dyDescent="0.25">
      <c r="A10" s="1">
        <v>45798</v>
      </c>
      <c r="B10" s="1">
        <v>45798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88</v>
      </c>
      <c r="P10" t="s">
        <v>89</v>
      </c>
      <c r="Q10" t="s">
        <v>49</v>
      </c>
      <c r="R10" t="s">
        <v>66</v>
      </c>
      <c r="S10" s="1">
        <v>45809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5465533</v>
      </c>
    </row>
    <row r="11" spans="1:38" x14ac:dyDescent="0.25">
      <c r="A11" s="1">
        <v>45798</v>
      </c>
      <c r="B11" s="1">
        <v>45798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87</v>
      </c>
      <c r="O11" t="s">
        <v>92</v>
      </c>
      <c r="P11" t="s">
        <v>93</v>
      </c>
      <c r="Q11" t="s">
        <v>49</v>
      </c>
      <c r="R11" t="s">
        <v>66</v>
      </c>
      <c r="S11" s="1">
        <v>45809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5465595</v>
      </c>
    </row>
    <row r="12" spans="1:38" x14ac:dyDescent="0.25">
      <c r="A12" s="1">
        <v>45798</v>
      </c>
      <c r="B12" s="1">
        <v>45798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63</v>
      </c>
      <c r="O12" t="s">
        <v>96</v>
      </c>
      <c r="P12" t="s">
        <v>97</v>
      </c>
      <c r="Q12" t="s">
        <v>49</v>
      </c>
      <c r="R12" t="s">
        <v>66</v>
      </c>
      <c r="S12" s="1">
        <v>45809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5465547</v>
      </c>
    </row>
    <row r="13" spans="1:38" x14ac:dyDescent="0.25">
      <c r="A13" s="1">
        <v>45798</v>
      </c>
      <c r="B13" s="1">
        <v>45798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98</v>
      </c>
      <c r="J13" t="s">
        <v>99</v>
      </c>
      <c r="M13" t="s">
        <v>63</v>
      </c>
      <c r="O13" t="s">
        <v>96</v>
      </c>
      <c r="P13" t="s">
        <v>97</v>
      </c>
      <c r="Q13" t="s">
        <v>49</v>
      </c>
      <c r="R13" t="s">
        <v>66</v>
      </c>
      <c r="S13" s="1">
        <v>45809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5465551</v>
      </c>
    </row>
    <row r="14" spans="1:38" x14ac:dyDescent="0.25">
      <c r="A14" s="1">
        <v>45798</v>
      </c>
      <c r="B14" s="1">
        <v>45798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87</v>
      </c>
      <c r="O14" t="s">
        <v>102</v>
      </c>
      <c r="P14" t="s">
        <v>103</v>
      </c>
      <c r="Q14" t="s">
        <v>104</v>
      </c>
      <c r="R14" t="s">
        <v>105</v>
      </c>
      <c r="S14" s="1">
        <v>45658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0</v>
      </c>
      <c r="AL14" t="s">
        <v>106</v>
      </c>
    </row>
    <row r="15" spans="1:38" x14ac:dyDescent="0.25">
      <c r="A15" s="1">
        <v>45798</v>
      </c>
      <c r="B15" s="1">
        <v>45798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107</v>
      </c>
      <c r="J15" t="s">
        <v>108</v>
      </c>
      <c r="M15" t="s">
        <v>57</v>
      </c>
      <c r="O15" t="s">
        <v>109</v>
      </c>
      <c r="P15" t="s">
        <v>110</v>
      </c>
      <c r="Q15" t="s">
        <v>49</v>
      </c>
      <c r="R15" t="s">
        <v>111</v>
      </c>
      <c r="S15" s="1">
        <v>45778</v>
      </c>
      <c r="U15" t="s">
        <v>51</v>
      </c>
      <c r="X15" t="s">
        <v>52</v>
      </c>
      <c r="Y15" s="2">
        <v>0</v>
      </c>
      <c r="Z15" s="2">
        <v>26.67</v>
      </c>
      <c r="AA15">
        <v>1</v>
      </c>
      <c r="AB15" s="3">
        <v>1</v>
      </c>
      <c r="AC15" s="2">
        <v>26.67</v>
      </c>
      <c r="AD15" s="3">
        <v>0</v>
      </c>
      <c r="AE15" s="2">
        <v>0</v>
      </c>
      <c r="AF15" s="2">
        <v>26.67</v>
      </c>
      <c r="AK15">
        <v>5465279</v>
      </c>
      <c r="AL15" t="s">
        <v>112</v>
      </c>
    </row>
    <row r="16" spans="1:38" x14ac:dyDescent="0.25">
      <c r="A16" s="1">
        <v>45798</v>
      </c>
      <c r="B16" s="1">
        <v>45798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113</v>
      </c>
      <c r="J16" t="s">
        <v>114</v>
      </c>
      <c r="M16" t="s">
        <v>87</v>
      </c>
      <c r="O16" t="s">
        <v>115</v>
      </c>
      <c r="P16" t="s">
        <v>116</v>
      </c>
      <c r="Q16" t="s">
        <v>49</v>
      </c>
      <c r="R16" t="s">
        <v>117</v>
      </c>
      <c r="S16" s="1">
        <v>45778</v>
      </c>
      <c r="U16" t="s">
        <v>51</v>
      </c>
      <c r="X16" t="s">
        <v>52</v>
      </c>
      <c r="Y16" s="2">
        <v>0</v>
      </c>
      <c r="Z16" s="2">
        <v>33.33</v>
      </c>
      <c r="AA16">
        <v>1</v>
      </c>
      <c r="AB16" s="3">
        <v>1</v>
      </c>
      <c r="AC16" s="2">
        <v>33.33</v>
      </c>
      <c r="AD16" s="3">
        <v>0</v>
      </c>
      <c r="AE16" s="2">
        <v>0</v>
      </c>
      <c r="AF16" s="2">
        <v>33.33</v>
      </c>
      <c r="AK16">
        <v>5465288</v>
      </c>
      <c r="AL16" t="s">
        <v>112</v>
      </c>
    </row>
    <row r="17" spans="1:38" x14ac:dyDescent="0.25">
      <c r="A17" s="1">
        <v>45798</v>
      </c>
      <c r="B17" s="1">
        <v>45798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118</v>
      </c>
      <c r="J17" t="s">
        <v>119</v>
      </c>
      <c r="M17" t="s">
        <v>87</v>
      </c>
      <c r="O17" t="s">
        <v>96</v>
      </c>
      <c r="P17" t="s">
        <v>97</v>
      </c>
      <c r="Q17" t="s">
        <v>49</v>
      </c>
      <c r="R17" t="s">
        <v>117</v>
      </c>
      <c r="S17" s="1">
        <v>45778</v>
      </c>
      <c r="U17" t="s">
        <v>51</v>
      </c>
      <c r="X17" t="s">
        <v>52</v>
      </c>
      <c r="Y17" s="2">
        <v>0</v>
      </c>
      <c r="Z17" s="2">
        <v>33.33</v>
      </c>
      <c r="AA17">
        <v>1</v>
      </c>
      <c r="AB17" s="3">
        <v>1</v>
      </c>
      <c r="AC17" s="2">
        <v>33.33</v>
      </c>
      <c r="AD17" s="3">
        <v>0</v>
      </c>
      <c r="AE17" s="2">
        <v>0</v>
      </c>
      <c r="AF17" s="2">
        <v>33.33</v>
      </c>
      <c r="AK17">
        <v>5465297</v>
      </c>
      <c r="AL17" t="s">
        <v>112</v>
      </c>
    </row>
    <row r="18" spans="1:38" x14ac:dyDescent="0.25">
      <c r="A18" s="1">
        <v>45798</v>
      </c>
      <c r="B18" s="1">
        <v>45798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120</v>
      </c>
      <c r="J18" t="s">
        <v>121</v>
      </c>
      <c r="M18" t="s">
        <v>122</v>
      </c>
      <c r="O18" t="s">
        <v>123</v>
      </c>
      <c r="P18" t="s">
        <v>124</v>
      </c>
      <c r="Q18" t="s">
        <v>49</v>
      </c>
      <c r="R18" t="s">
        <v>117</v>
      </c>
      <c r="S18" s="1">
        <v>45839</v>
      </c>
      <c r="U18" t="s">
        <v>51</v>
      </c>
      <c r="X18" t="s">
        <v>52</v>
      </c>
      <c r="Y18" s="2">
        <v>0</v>
      </c>
      <c r="Z18" s="2">
        <v>25</v>
      </c>
      <c r="AA18">
        <v>1</v>
      </c>
      <c r="AB18" s="3">
        <v>1</v>
      </c>
      <c r="AC18" s="2">
        <v>25</v>
      </c>
      <c r="AD18" s="3">
        <v>0</v>
      </c>
      <c r="AE18" s="2">
        <v>0</v>
      </c>
      <c r="AF18" s="2">
        <v>25</v>
      </c>
      <c r="AK18">
        <v>5465301</v>
      </c>
      <c r="AL18" t="s">
        <v>125</v>
      </c>
    </row>
    <row r="19" spans="1:38" x14ac:dyDescent="0.25">
      <c r="A19" s="1">
        <v>45798</v>
      </c>
      <c r="B19" s="1">
        <v>45798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126</v>
      </c>
      <c r="J19" t="s">
        <v>127</v>
      </c>
      <c r="M19" t="s">
        <v>87</v>
      </c>
      <c r="O19" t="s">
        <v>128</v>
      </c>
      <c r="P19" t="s">
        <v>129</v>
      </c>
      <c r="Q19" t="s">
        <v>49</v>
      </c>
      <c r="R19" t="s">
        <v>117</v>
      </c>
      <c r="S19" s="1">
        <v>45778</v>
      </c>
      <c r="U19" t="s">
        <v>51</v>
      </c>
      <c r="X19" t="s">
        <v>52</v>
      </c>
      <c r="Y19" s="2">
        <v>0</v>
      </c>
      <c r="Z19" s="2">
        <v>33.33</v>
      </c>
      <c r="AA19">
        <v>1</v>
      </c>
      <c r="AB19" s="3">
        <v>1</v>
      </c>
      <c r="AC19" s="2">
        <v>33.33</v>
      </c>
      <c r="AD19" s="3">
        <v>0</v>
      </c>
      <c r="AE19" s="2">
        <v>0</v>
      </c>
      <c r="AF19" s="2">
        <v>33.33</v>
      </c>
      <c r="AK19">
        <v>5465323</v>
      </c>
      <c r="AL19" t="s">
        <v>112</v>
      </c>
    </row>
    <row r="20" spans="1:38" x14ac:dyDescent="0.25">
      <c r="A20" s="1">
        <v>45798</v>
      </c>
      <c r="B20" s="1">
        <v>45798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130</v>
      </c>
      <c r="J20" t="s">
        <v>131</v>
      </c>
      <c r="M20" t="s">
        <v>87</v>
      </c>
      <c r="O20" t="s">
        <v>132</v>
      </c>
      <c r="P20" t="s">
        <v>133</v>
      </c>
      <c r="Q20" t="s">
        <v>49</v>
      </c>
      <c r="R20" t="s">
        <v>117</v>
      </c>
      <c r="S20" s="1">
        <v>45809</v>
      </c>
      <c r="U20" t="s">
        <v>51</v>
      </c>
      <c r="X20" t="s">
        <v>52</v>
      </c>
      <c r="Y20" s="2">
        <v>0</v>
      </c>
      <c r="Z20" s="2">
        <v>29.17</v>
      </c>
      <c r="AA20">
        <v>1</v>
      </c>
      <c r="AB20" s="3">
        <v>1</v>
      </c>
      <c r="AC20" s="2">
        <v>29.17</v>
      </c>
      <c r="AD20" s="3">
        <v>0</v>
      </c>
      <c r="AE20" s="2">
        <v>0</v>
      </c>
      <c r="AF20" s="2">
        <v>29.17</v>
      </c>
      <c r="AK20">
        <v>5465333</v>
      </c>
      <c r="AL20" t="s">
        <v>134</v>
      </c>
    </row>
    <row r="21" spans="1:38" x14ac:dyDescent="0.25">
      <c r="A21" s="1">
        <v>45798</v>
      </c>
      <c r="B21" s="1">
        <v>45798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135</v>
      </c>
      <c r="J21" t="s">
        <v>136</v>
      </c>
      <c r="M21" t="s">
        <v>57</v>
      </c>
      <c r="O21" t="s">
        <v>137</v>
      </c>
      <c r="P21" t="s">
        <v>138</v>
      </c>
      <c r="Q21" t="s">
        <v>49</v>
      </c>
      <c r="R21" t="s">
        <v>117</v>
      </c>
      <c r="S21" s="1">
        <v>45778</v>
      </c>
      <c r="U21" t="s">
        <v>51</v>
      </c>
      <c r="X21" t="s">
        <v>52</v>
      </c>
      <c r="Y21" s="2">
        <v>0</v>
      </c>
      <c r="Z21" s="2">
        <v>33.33</v>
      </c>
      <c r="AA21">
        <v>1</v>
      </c>
      <c r="AB21" s="3">
        <v>1</v>
      </c>
      <c r="AC21" s="2">
        <v>33.33</v>
      </c>
      <c r="AD21" s="3">
        <v>0</v>
      </c>
      <c r="AE21" s="2">
        <v>0</v>
      </c>
      <c r="AF21" s="2">
        <v>33.33</v>
      </c>
      <c r="AK21">
        <v>5465334</v>
      </c>
      <c r="AL21" t="s">
        <v>112</v>
      </c>
    </row>
    <row r="22" spans="1:38" x14ac:dyDescent="0.25">
      <c r="A22" s="1">
        <v>45798</v>
      </c>
      <c r="B22" s="1">
        <v>45798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139</v>
      </c>
      <c r="J22" t="s">
        <v>140</v>
      </c>
      <c r="M22" t="s">
        <v>63</v>
      </c>
      <c r="O22" t="s">
        <v>141</v>
      </c>
      <c r="P22" t="s">
        <v>140</v>
      </c>
      <c r="Q22" t="s">
        <v>49</v>
      </c>
      <c r="R22" t="s">
        <v>117</v>
      </c>
      <c r="S22" s="1">
        <v>45778</v>
      </c>
      <c r="U22" t="s">
        <v>51</v>
      </c>
      <c r="X22" t="s">
        <v>52</v>
      </c>
      <c r="Y22" s="2">
        <v>0</v>
      </c>
      <c r="Z22" s="2">
        <v>33.33</v>
      </c>
      <c r="AA22">
        <v>1</v>
      </c>
      <c r="AB22" s="3">
        <v>1</v>
      </c>
      <c r="AC22" s="2">
        <v>33.33</v>
      </c>
      <c r="AD22" s="3">
        <v>0</v>
      </c>
      <c r="AE22" s="2">
        <v>0</v>
      </c>
      <c r="AF22" s="2">
        <v>33.33</v>
      </c>
      <c r="AK22">
        <v>5465336</v>
      </c>
      <c r="AL22" t="s">
        <v>112</v>
      </c>
    </row>
    <row r="23" spans="1:38" x14ac:dyDescent="0.25">
      <c r="A23" s="1">
        <v>45798</v>
      </c>
      <c r="B23" s="1">
        <v>45798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142</v>
      </c>
      <c r="J23" t="s">
        <v>143</v>
      </c>
      <c r="M23" t="s">
        <v>87</v>
      </c>
      <c r="O23" t="s">
        <v>88</v>
      </c>
      <c r="P23" t="s">
        <v>89</v>
      </c>
      <c r="Q23" t="s">
        <v>49</v>
      </c>
      <c r="R23" t="s">
        <v>117</v>
      </c>
      <c r="S23" s="1">
        <v>45778</v>
      </c>
      <c r="U23" t="s">
        <v>51</v>
      </c>
      <c r="X23" t="s">
        <v>52</v>
      </c>
      <c r="Y23" s="2">
        <v>0</v>
      </c>
      <c r="Z23" s="2">
        <v>33.33</v>
      </c>
      <c r="AA23">
        <v>1</v>
      </c>
      <c r="AB23" s="3">
        <v>1</v>
      </c>
      <c r="AC23" s="2">
        <v>33.33</v>
      </c>
      <c r="AD23" s="3">
        <v>0</v>
      </c>
      <c r="AE23" s="2">
        <v>0</v>
      </c>
      <c r="AF23" s="2">
        <v>33.33</v>
      </c>
      <c r="AK23">
        <v>5465337</v>
      </c>
      <c r="AL23" t="s">
        <v>112</v>
      </c>
    </row>
    <row r="24" spans="1:38" x14ac:dyDescent="0.25">
      <c r="A24" s="1">
        <v>45798</v>
      </c>
      <c r="B24" s="1">
        <v>45798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144</v>
      </c>
      <c r="J24" t="s">
        <v>145</v>
      </c>
      <c r="M24" t="s">
        <v>146</v>
      </c>
      <c r="O24" t="s">
        <v>96</v>
      </c>
      <c r="P24" t="s">
        <v>97</v>
      </c>
      <c r="Q24" t="s">
        <v>49</v>
      </c>
      <c r="R24" t="s">
        <v>147</v>
      </c>
      <c r="S24" s="1">
        <v>45809</v>
      </c>
      <c r="U24" t="s">
        <v>51</v>
      </c>
      <c r="X24" t="s">
        <v>52</v>
      </c>
      <c r="Y24" s="2">
        <v>0</v>
      </c>
      <c r="Z24" s="2">
        <v>182.58</v>
      </c>
      <c r="AA24">
        <v>1</v>
      </c>
      <c r="AB24" s="3">
        <v>1</v>
      </c>
      <c r="AC24" s="2">
        <v>182.58</v>
      </c>
      <c r="AD24" s="3">
        <v>0</v>
      </c>
      <c r="AE24" s="2">
        <v>0</v>
      </c>
      <c r="AF24" s="2">
        <v>182.58</v>
      </c>
      <c r="AK24">
        <v>5465781</v>
      </c>
      <c r="AL24" t="s">
        <v>134</v>
      </c>
    </row>
    <row r="25" spans="1:38" x14ac:dyDescent="0.25">
      <c r="A25" s="1">
        <v>45798</v>
      </c>
      <c r="B25" s="1">
        <v>45798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148</v>
      </c>
      <c r="J25" t="s">
        <v>145</v>
      </c>
      <c r="M25" t="s">
        <v>146</v>
      </c>
      <c r="O25" t="s">
        <v>96</v>
      </c>
      <c r="P25" t="s">
        <v>97</v>
      </c>
      <c r="Q25" t="s">
        <v>49</v>
      </c>
      <c r="R25" t="s">
        <v>149</v>
      </c>
      <c r="S25" s="1">
        <v>45809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5465782</v>
      </c>
    </row>
    <row r="26" spans="1:38" x14ac:dyDescent="0.25">
      <c r="A26" s="1">
        <v>45798</v>
      </c>
      <c r="B26" s="1">
        <v>45798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150</v>
      </c>
      <c r="J26" t="s">
        <v>151</v>
      </c>
      <c r="M26" t="s">
        <v>122</v>
      </c>
      <c r="O26" t="s">
        <v>96</v>
      </c>
      <c r="P26" t="s">
        <v>97</v>
      </c>
      <c r="Q26" t="s">
        <v>49</v>
      </c>
      <c r="R26" t="s">
        <v>152</v>
      </c>
      <c r="S26" s="1">
        <v>45778</v>
      </c>
      <c r="U26" t="s">
        <v>51</v>
      </c>
      <c r="X26" t="s">
        <v>52</v>
      </c>
      <c r="Y26" s="2">
        <v>0</v>
      </c>
      <c r="Z26" s="2">
        <v>100</v>
      </c>
      <c r="AA26">
        <v>1</v>
      </c>
      <c r="AB26" s="3">
        <v>1</v>
      </c>
      <c r="AC26" s="2">
        <v>100</v>
      </c>
      <c r="AD26" s="3">
        <v>0</v>
      </c>
      <c r="AE26" s="2">
        <v>0</v>
      </c>
      <c r="AF26" s="2">
        <v>100</v>
      </c>
      <c r="AK26">
        <v>5465441</v>
      </c>
    </row>
    <row r="27" spans="1:38" x14ac:dyDescent="0.25">
      <c r="A27" s="1">
        <v>45798</v>
      </c>
      <c r="B27" s="1">
        <v>45798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153</v>
      </c>
      <c r="J27" t="s">
        <v>154</v>
      </c>
      <c r="M27" t="s">
        <v>155</v>
      </c>
      <c r="O27" t="s">
        <v>83</v>
      </c>
      <c r="P27" t="s">
        <v>84</v>
      </c>
      <c r="Q27" t="s">
        <v>49</v>
      </c>
      <c r="R27" t="s">
        <v>147</v>
      </c>
      <c r="S27" s="1">
        <v>45778</v>
      </c>
      <c r="U27" t="s">
        <v>51</v>
      </c>
      <c r="X27" t="s">
        <v>52</v>
      </c>
      <c r="Y27" s="2">
        <v>0</v>
      </c>
      <c r="Z27" s="2">
        <v>208.67</v>
      </c>
      <c r="AA27">
        <v>1</v>
      </c>
      <c r="AB27" s="3">
        <v>1</v>
      </c>
      <c r="AC27" s="2">
        <v>208.67</v>
      </c>
      <c r="AD27" s="3">
        <v>0</v>
      </c>
      <c r="AE27" s="2">
        <v>0</v>
      </c>
      <c r="AF27" s="2">
        <v>208.67</v>
      </c>
      <c r="AK27">
        <v>5465789</v>
      </c>
      <c r="AL27" t="s">
        <v>112</v>
      </c>
    </row>
    <row r="28" spans="1:38" x14ac:dyDescent="0.25">
      <c r="A28" s="1">
        <v>45798</v>
      </c>
      <c r="B28" s="1">
        <v>45798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156</v>
      </c>
      <c r="J28" t="s">
        <v>154</v>
      </c>
      <c r="M28" t="s">
        <v>155</v>
      </c>
      <c r="O28" t="s">
        <v>83</v>
      </c>
      <c r="P28" t="s">
        <v>84</v>
      </c>
      <c r="Q28" t="s">
        <v>49</v>
      </c>
      <c r="R28" t="s">
        <v>149</v>
      </c>
      <c r="S28" s="1">
        <v>45778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5465790</v>
      </c>
    </row>
    <row r="29" spans="1:38" x14ac:dyDescent="0.25">
      <c r="A29" s="1">
        <v>45798</v>
      </c>
      <c r="B29" s="1">
        <v>45798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157</v>
      </c>
      <c r="J29" t="s">
        <v>158</v>
      </c>
      <c r="M29" t="s">
        <v>155</v>
      </c>
      <c r="O29" t="s">
        <v>83</v>
      </c>
      <c r="P29" t="s">
        <v>84</v>
      </c>
      <c r="Q29" t="s">
        <v>49</v>
      </c>
      <c r="R29" t="s">
        <v>147</v>
      </c>
      <c r="S29" s="1">
        <v>45778</v>
      </c>
      <c r="U29" t="s">
        <v>51</v>
      </c>
      <c r="X29" t="s">
        <v>52</v>
      </c>
      <c r="Y29" s="2">
        <v>0</v>
      </c>
      <c r="Z29" s="2">
        <v>208.67</v>
      </c>
      <c r="AA29">
        <v>1</v>
      </c>
      <c r="AB29" s="3">
        <v>1</v>
      </c>
      <c r="AC29" s="2">
        <v>208.67</v>
      </c>
      <c r="AD29" s="3">
        <v>0</v>
      </c>
      <c r="AE29" s="2">
        <v>0</v>
      </c>
      <c r="AF29" s="2">
        <v>208.67</v>
      </c>
      <c r="AK29">
        <v>5465791</v>
      </c>
      <c r="AL29" t="s">
        <v>112</v>
      </c>
    </row>
    <row r="30" spans="1:38" x14ac:dyDescent="0.25">
      <c r="A30" s="1">
        <v>45798</v>
      </c>
      <c r="B30" s="1">
        <v>45798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159</v>
      </c>
      <c r="J30" t="s">
        <v>158</v>
      </c>
      <c r="M30" t="s">
        <v>155</v>
      </c>
      <c r="O30" t="s">
        <v>83</v>
      </c>
      <c r="P30" t="s">
        <v>84</v>
      </c>
      <c r="Q30" t="s">
        <v>49</v>
      </c>
      <c r="R30" t="s">
        <v>149</v>
      </c>
      <c r="S30" s="1">
        <v>45778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5465792</v>
      </c>
    </row>
    <row r="31" spans="1:38" x14ac:dyDescent="0.25">
      <c r="A31" s="1">
        <v>45798</v>
      </c>
      <c r="B31" s="1">
        <v>45798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160</v>
      </c>
      <c r="J31" t="s">
        <v>161</v>
      </c>
      <c r="M31" t="s">
        <v>82</v>
      </c>
      <c r="O31" t="s">
        <v>83</v>
      </c>
      <c r="P31" t="s">
        <v>84</v>
      </c>
      <c r="Q31" t="s">
        <v>49</v>
      </c>
      <c r="R31" t="s">
        <v>147</v>
      </c>
      <c r="S31" s="1">
        <v>45809</v>
      </c>
      <c r="U31" t="s">
        <v>51</v>
      </c>
      <c r="X31" t="s">
        <v>52</v>
      </c>
      <c r="Y31" s="2">
        <v>0</v>
      </c>
      <c r="Z31" s="2">
        <v>182.58</v>
      </c>
      <c r="AA31">
        <v>1</v>
      </c>
      <c r="AB31" s="3">
        <v>1</v>
      </c>
      <c r="AC31" s="2">
        <v>182.58</v>
      </c>
      <c r="AD31" s="3">
        <v>0</v>
      </c>
      <c r="AE31" s="2">
        <v>0</v>
      </c>
      <c r="AF31" s="2">
        <v>182.58</v>
      </c>
      <c r="AK31">
        <v>5465785</v>
      </c>
      <c r="AL31" t="s">
        <v>134</v>
      </c>
    </row>
    <row r="32" spans="1:38" x14ac:dyDescent="0.25">
      <c r="A32" s="1">
        <v>45798</v>
      </c>
      <c r="B32" s="1">
        <v>45798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162</v>
      </c>
      <c r="J32" t="s">
        <v>161</v>
      </c>
      <c r="M32" t="s">
        <v>82</v>
      </c>
      <c r="O32" t="s">
        <v>83</v>
      </c>
      <c r="P32" t="s">
        <v>84</v>
      </c>
      <c r="Q32" t="s">
        <v>49</v>
      </c>
      <c r="R32" t="s">
        <v>149</v>
      </c>
      <c r="S32" s="1">
        <v>45809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5465786</v>
      </c>
    </row>
    <row r="33" spans="1:38" x14ac:dyDescent="0.25">
      <c r="A33" s="1">
        <v>45798</v>
      </c>
      <c r="B33" s="1">
        <v>45798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163</v>
      </c>
      <c r="J33" t="s">
        <v>164</v>
      </c>
      <c r="M33" t="s">
        <v>82</v>
      </c>
      <c r="O33" t="s">
        <v>83</v>
      </c>
      <c r="P33" t="s">
        <v>84</v>
      </c>
      <c r="Q33" t="s">
        <v>49</v>
      </c>
      <c r="R33" t="s">
        <v>147</v>
      </c>
      <c r="S33" s="1">
        <v>45809</v>
      </c>
      <c r="U33" t="s">
        <v>51</v>
      </c>
      <c r="X33" t="s">
        <v>52</v>
      </c>
      <c r="Y33" s="2">
        <v>0</v>
      </c>
      <c r="Z33" s="2">
        <v>182.58</v>
      </c>
      <c r="AA33">
        <v>1</v>
      </c>
      <c r="AB33" s="3">
        <v>1</v>
      </c>
      <c r="AC33" s="2">
        <v>182.58</v>
      </c>
      <c r="AD33" s="3">
        <v>0</v>
      </c>
      <c r="AE33" s="2">
        <v>0</v>
      </c>
      <c r="AF33" s="2">
        <v>182.58</v>
      </c>
      <c r="AK33">
        <v>5465787</v>
      </c>
      <c r="AL33" t="s">
        <v>134</v>
      </c>
    </row>
    <row r="34" spans="1:38" x14ac:dyDescent="0.25">
      <c r="A34" s="1">
        <v>45798</v>
      </c>
      <c r="B34" s="1">
        <v>45798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164</v>
      </c>
      <c r="M34" t="s">
        <v>82</v>
      </c>
      <c r="O34" t="s">
        <v>83</v>
      </c>
      <c r="P34" t="s">
        <v>84</v>
      </c>
      <c r="Q34" t="s">
        <v>49</v>
      </c>
      <c r="R34" t="s">
        <v>149</v>
      </c>
      <c r="S34" s="1">
        <v>45809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5465788</v>
      </c>
    </row>
    <row r="35" spans="1:38" x14ac:dyDescent="0.25">
      <c r="A35" s="1">
        <v>45798</v>
      </c>
      <c r="B35" s="1">
        <v>45798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166</v>
      </c>
      <c r="J35" t="s">
        <v>167</v>
      </c>
      <c r="M35" t="s">
        <v>57</v>
      </c>
      <c r="O35" t="s">
        <v>58</v>
      </c>
      <c r="P35" t="s">
        <v>59</v>
      </c>
      <c r="Q35" t="s">
        <v>49</v>
      </c>
      <c r="R35" t="s">
        <v>168</v>
      </c>
      <c r="S35" s="1">
        <v>45839</v>
      </c>
      <c r="U35" t="s">
        <v>51</v>
      </c>
      <c r="X35" t="s">
        <v>52</v>
      </c>
      <c r="Y35" s="2">
        <v>0</v>
      </c>
      <c r="Z35" s="2">
        <v>36.479999999999997</v>
      </c>
      <c r="AA35">
        <v>9</v>
      </c>
      <c r="AB35" s="3">
        <v>1</v>
      </c>
      <c r="AC35" s="2">
        <v>328.32</v>
      </c>
      <c r="AD35" s="3">
        <v>0</v>
      </c>
      <c r="AE35" s="2">
        <v>0</v>
      </c>
      <c r="AF35" s="2">
        <v>328.32</v>
      </c>
      <c r="AK35">
        <v>5465604</v>
      </c>
    </row>
    <row r="36" spans="1:38" x14ac:dyDescent="0.25">
      <c r="A36" s="1">
        <v>45798</v>
      </c>
      <c r="B36" s="1">
        <v>45798</v>
      </c>
      <c r="C36" t="s">
        <v>169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170</v>
      </c>
      <c r="J36" t="s">
        <v>171</v>
      </c>
      <c r="M36" t="s">
        <v>172</v>
      </c>
      <c r="O36" t="s">
        <v>173</v>
      </c>
      <c r="P36" t="s">
        <v>174</v>
      </c>
      <c r="Q36" t="s">
        <v>175</v>
      </c>
      <c r="R36" t="s">
        <v>50</v>
      </c>
      <c r="S36" s="1">
        <v>45778</v>
      </c>
      <c r="U36" t="s">
        <v>51</v>
      </c>
      <c r="X36" t="s">
        <v>52</v>
      </c>
      <c r="AF36" s="2">
        <v>108</v>
      </c>
      <c r="AG36" s="2">
        <v>0</v>
      </c>
      <c r="AJ36" s="2">
        <v>99.36</v>
      </c>
    </row>
    <row r="37" spans="1:38" x14ac:dyDescent="0.25">
      <c r="A37" s="1">
        <v>45798</v>
      </c>
      <c r="B37" s="1">
        <v>45798</v>
      </c>
      <c r="C37" t="s">
        <v>169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176</v>
      </c>
      <c r="J37" t="s">
        <v>177</v>
      </c>
      <c r="M37" t="s">
        <v>172</v>
      </c>
      <c r="O37" t="s">
        <v>173</v>
      </c>
      <c r="P37" t="s">
        <v>174</v>
      </c>
      <c r="Q37" t="s">
        <v>175</v>
      </c>
      <c r="R37" t="s">
        <v>50</v>
      </c>
      <c r="S37" s="1">
        <v>45778</v>
      </c>
      <c r="U37" t="s">
        <v>51</v>
      </c>
      <c r="X37" t="s">
        <v>52</v>
      </c>
      <c r="AF37" s="2">
        <v>108</v>
      </c>
      <c r="AG37" s="2">
        <v>0</v>
      </c>
      <c r="AJ37" s="2">
        <v>99.36</v>
      </c>
    </row>
    <row r="38" spans="1:38" x14ac:dyDescent="0.25">
      <c r="A38" s="1">
        <v>45798</v>
      </c>
      <c r="B38" s="1">
        <v>45798</v>
      </c>
      <c r="C38" t="s">
        <v>169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178</v>
      </c>
      <c r="J38" t="s">
        <v>179</v>
      </c>
      <c r="M38" t="s">
        <v>172</v>
      </c>
      <c r="O38" t="s">
        <v>180</v>
      </c>
      <c r="P38" t="s">
        <v>181</v>
      </c>
      <c r="Q38" t="s">
        <v>175</v>
      </c>
      <c r="R38" t="s">
        <v>66</v>
      </c>
      <c r="S38" s="1">
        <v>45658</v>
      </c>
      <c r="U38" t="s">
        <v>51</v>
      </c>
      <c r="X38" t="s">
        <v>52</v>
      </c>
      <c r="AF38" s="2">
        <v>175</v>
      </c>
      <c r="AG38" s="2">
        <v>0</v>
      </c>
      <c r="AJ38" s="2">
        <v>117.25</v>
      </c>
    </row>
    <row r="39" spans="1:38" x14ac:dyDescent="0.25">
      <c r="A39" s="1">
        <v>45798</v>
      </c>
      <c r="B39" s="1">
        <v>45798</v>
      </c>
      <c r="C39" t="s">
        <v>169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182</v>
      </c>
      <c r="J39" t="s">
        <v>183</v>
      </c>
      <c r="M39" t="s">
        <v>172</v>
      </c>
      <c r="O39" t="s">
        <v>83</v>
      </c>
      <c r="P39" t="s">
        <v>84</v>
      </c>
      <c r="Q39" t="s">
        <v>175</v>
      </c>
      <c r="R39" t="s">
        <v>66</v>
      </c>
      <c r="S39" s="1">
        <v>45658</v>
      </c>
      <c r="U39" t="s">
        <v>51</v>
      </c>
      <c r="X39" t="s">
        <v>52</v>
      </c>
      <c r="AF39" s="2">
        <v>175</v>
      </c>
      <c r="AG39" s="2">
        <v>0</v>
      </c>
      <c r="AJ39" s="2">
        <v>101.5</v>
      </c>
    </row>
    <row r="40" spans="1:38" x14ac:dyDescent="0.25">
      <c r="A40" s="1">
        <v>45798</v>
      </c>
      <c r="B40" s="1">
        <v>45798</v>
      </c>
      <c r="C40" t="s">
        <v>169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184</v>
      </c>
      <c r="J40" t="s">
        <v>45</v>
      </c>
      <c r="M40" t="s">
        <v>172</v>
      </c>
      <c r="O40" t="s">
        <v>185</v>
      </c>
      <c r="P40" t="s">
        <v>186</v>
      </c>
      <c r="Q40" t="s">
        <v>175</v>
      </c>
      <c r="R40" t="s">
        <v>66</v>
      </c>
      <c r="S40" s="1">
        <v>45658</v>
      </c>
      <c r="U40" t="s">
        <v>51</v>
      </c>
      <c r="X40" t="s">
        <v>52</v>
      </c>
      <c r="AF40" s="2">
        <v>175</v>
      </c>
      <c r="AG40" s="2">
        <v>0</v>
      </c>
      <c r="AJ40" s="2">
        <v>101.5</v>
      </c>
    </row>
    <row r="41" spans="1:38" x14ac:dyDescent="0.25">
      <c r="A41" s="1">
        <v>45798</v>
      </c>
      <c r="B41" s="1">
        <v>45798</v>
      </c>
      <c r="C41" t="s">
        <v>169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187</v>
      </c>
      <c r="J41" t="s">
        <v>54</v>
      </c>
      <c r="M41" t="s">
        <v>172</v>
      </c>
      <c r="O41" t="s">
        <v>47</v>
      </c>
      <c r="P41" t="s">
        <v>48</v>
      </c>
      <c r="Q41" t="s">
        <v>175</v>
      </c>
      <c r="R41" t="s">
        <v>66</v>
      </c>
      <c r="S41" s="1">
        <v>45658</v>
      </c>
      <c r="U41" t="s">
        <v>51</v>
      </c>
      <c r="X41" t="s">
        <v>52</v>
      </c>
      <c r="AF41" s="2">
        <v>175</v>
      </c>
      <c r="AG41" s="2">
        <v>0</v>
      </c>
      <c r="AJ41" s="2">
        <v>101.5</v>
      </c>
    </row>
    <row r="42" spans="1:38" x14ac:dyDescent="0.25">
      <c r="A42" s="1">
        <v>45798</v>
      </c>
      <c r="B42" s="1">
        <v>45798</v>
      </c>
      <c r="C42" t="s">
        <v>169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188</v>
      </c>
      <c r="J42" t="s">
        <v>189</v>
      </c>
      <c r="M42" t="s">
        <v>172</v>
      </c>
      <c r="O42" t="s">
        <v>128</v>
      </c>
      <c r="P42" t="s">
        <v>129</v>
      </c>
      <c r="Q42" t="s">
        <v>175</v>
      </c>
      <c r="R42" t="s">
        <v>66</v>
      </c>
      <c r="S42" s="1">
        <v>45778</v>
      </c>
      <c r="U42" t="s">
        <v>51</v>
      </c>
      <c r="X42" t="s">
        <v>52</v>
      </c>
      <c r="AF42" s="2">
        <v>175</v>
      </c>
      <c r="AG42" s="2">
        <v>0</v>
      </c>
      <c r="AJ42" s="2">
        <v>101.5</v>
      </c>
    </row>
    <row r="43" spans="1:38" x14ac:dyDescent="0.25">
      <c r="A43" s="1">
        <v>45798</v>
      </c>
      <c r="B43" s="1">
        <v>45798</v>
      </c>
      <c r="C43" t="s">
        <v>169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191</v>
      </c>
      <c r="M43" t="s">
        <v>87</v>
      </c>
      <c r="O43" t="s">
        <v>96</v>
      </c>
      <c r="P43" t="s">
        <v>97</v>
      </c>
      <c r="Q43" t="s">
        <v>175</v>
      </c>
      <c r="R43" t="s">
        <v>105</v>
      </c>
      <c r="S43" s="1">
        <v>45658</v>
      </c>
      <c r="U43" t="s">
        <v>51</v>
      </c>
      <c r="X43" t="s">
        <v>52</v>
      </c>
      <c r="AF43" s="2">
        <v>50</v>
      </c>
      <c r="AG43" s="2">
        <v>0</v>
      </c>
      <c r="AJ43" s="2">
        <v>33.340000000000003</v>
      </c>
    </row>
    <row r="44" spans="1:38" x14ac:dyDescent="0.25">
      <c r="A44" s="1">
        <v>45798</v>
      </c>
      <c r="B44" s="1">
        <v>45798</v>
      </c>
      <c r="C44" t="s">
        <v>169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192</v>
      </c>
      <c r="J44" t="s">
        <v>95</v>
      </c>
      <c r="M44" t="s">
        <v>63</v>
      </c>
      <c r="O44" t="s">
        <v>96</v>
      </c>
      <c r="P44" t="s">
        <v>97</v>
      </c>
      <c r="Q44" t="s">
        <v>175</v>
      </c>
      <c r="R44" t="s">
        <v>147</v>
      </c>
      <c r="S44" s="1">
        <v>45717</v>
      </c>
      <c r="U44" t="s">
        <v>51</v>
      </c>
      <c r="X44" t="s">
        <v>52</v>
      </c>
      <c r="AF44" s="2">
        <v>260.83</v>
      </c>
      <c r="AG44" s="2">
        <v>0</v>
      </c>
      <c r="AJ44" s="2">
        <v>260.83</v>
      </c>
    </row>
    <row r="45" spans="1:38" x14ac:dyDescent="0.25">
      <c r="A45" s="1">
        <v>45798</v>
      </c>
      <c r="B45" s="1">
        <v>45798</v>
      </c>
      <c r="C45" t="s">
        <v>169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193</v>
      </c>
      <c r="J45" t="s">
        <v>95</v>
      </c>
      <c r="M45" t="s">
        <v>63</v>
      </c>
      <c r="O45" t="s">
        <v>96</v>
      </c>
      <c r="P45" t="s">
        <v>97</v>
      </c>
      <c r="Q45" t="s">
        <v>175</v>
      </c>
      <c r="R45" t="s">
        <v>149</v>
      </c>
      <c r="S45" s="1">
        <v>45717</v>
      </c>
      <c r="U45" t="s">
        <v>51</v>
      </c>
      <c r="X45" t="s">
        <v>52</v>
      </c>
      <c r="AF45" s="2">
        <v>175</v>
      </c>
      <c r="AG45" s="2">
        <v>0</v>
      </c>
      <c r="AJ45" s="2">
        <v>175</v>
      </c>
    </row>
    <row r="46" spans="1:38" x14ac:dyDescent="0.25">
      <c r="A46" s="1">
        <v>45798</v>
      </c>
      <c r="B46" s="1">
        <v>45798</v>
      </c>
      <c r="C46" t="s">
        <v>169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194</v>
      </c>
      <c r="J46" t="s">
        <v>195</v>
      </c>
      <c r="M46" t="s">
        <v>122</v>
      </c>
      <c r="O46" t="s">
        <v>196</v>
      </c>
      <c r="P46" t="s">
        <v>197</v>
      </c>
      <c r="Q46" t="s">
        <v>175</v>
      </c>
      <c r="R46" t="s">
        <v>149</v>
      </c>
      <c r="S46" s="1">
        <v>45658</v>
      </c>
      <c r="U46" t="s">
        <v>51</v>
      </c>
      <c r="X46" t="s">
        <v>52</v>
      </c>
      <c r="AF46" s="2">
        <v>175</v>
      </c>
      <c r="AG46" s="2">
        <v>0</v>
      </c>
      <c r="AJ46" s="2">
        <v>102.08</v>
      </c>
    </row>
    <row r="47" spans="1:38" x14ac:dyDescent="0.25">
      <c r="A47" s="1">
        <v>45798</v>
      </c>
      <c r="B47" s="1">
        <v>45798</v>
      </c>
      <c r="C47" t="s">
        <v>169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198</v>
      </c>
      <c r="J47" t="s">
        <v>195</v>
      </c>
      <c r="M47" t="s">
        <v>122</v>
      </c>
      <c r="O47" t="s">
        <v>196</v>
      </c>
      <c r="P47" t="s">
        <v>197</v>
      </c>
      <c r="Q47" t="s">
        <v>175</v>
      </c>
      <c r="R47" t="s">
        <v>147</v>
      </c>
      <c r="S47" s="1">
        <v>45658</v>
      </c>
      <c r="U47" t="s">
        <v>51</v>
      </c>
      <c r="X47" t="s">
        <v>52</v>
      </c>
      <c r="AF47" s="2">
        <v>313</v>
      </c>
      <c r="AG47" s="2">
        <v>0</v>
      </c>
      <c r="AJ47" s="2">
        <v>182.58</v>
      </c>
    </row>
    <row r="48" spans="1:38" x14ac:dyDescent="0.25">
      <c r="A48" s="1">
        <v>45798</v>
      </c>
      <c r="B48" s="1">
        <v>45798</v>
      </c>
      <c r="C48" t="s">
        <v>169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199</v>
      </c>
      <c r="J48" t="s">
        <v>99</v>
      </c>
      <c r="M48" t="s">
        <v>63</v>
      </c>
      <c r="O48" t="s">
        <v>96</v>
      </c>
      <c r="P48" t="s">
        <v>97</v>
      </c>
      <c r="Q48" t="s">
        <v>175</v>
      </c>
      <c r="R48" t="s">
        <v>147</v>
      </c>
      <c r="S48" s="1">
        <v>45717</v>
      </c>
      <c r="U48" t="s">
        <v>51</v>
      </c>
      <c r="X48" t="s">
        <v>52</v>
      </c>
      <c r="AF48" s="2">
        <v>260.83</v>
      </c>
      <c r="AG48" s="2">
        <v>0</v>
      </c>
      <c r="AJ48" s="2">
        <v>260.83</v>
      </c>
    </row>
    <row r="49" spans="1:36" x14ac:dyDescent="0.25">
      <c r="A49" s="1">
        <v>45798</v>
      </c>
      <c r="B49" s="1">
        <v>45798</v>
      </c>
      <c r="C49" t="s">
        <v>169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200</v>
      </c>
      <c r="J49" t="s">
        <v>99</v>
      </c>
      <c r="M49" t="s">
        <v>63</v>
      </c>
      <c r="O49" t="s">
        <v>96</v>
      </c>
      <c r="P49" t="s">
        <v>97</v>
      </c>
      <c r="Q49" t="s">
        <v>175</v>
      </c>
      <c r="R49" t="s">
        <v>149</v>
      </c>
      <c r="S49" s="1">
        <v>45717</v>
      </c>
      <c r="U49" t="s">
        <v>51</v>
      </c>
      <c r="X49" t="s">
        <v>52</v>
      </c>
      <c r="AF49" s="2">
        <v>175</v>
      </c>
      <c r="AG49" s="2">
        <v>0</v>
      </c>
      <c r="AJ49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BFF9-863A-4A1C-9248-762A46C1A7C7}">
  <dimension ref="A1:W49"/>
  <sheetViews>
    <sheetView tabSelected="1" topLeftCell="F49" workbookViewId="0">
      <selection activeCell="V2" sqref="V2:V49"/>
    </sheetView>
  </sheetViews>
  <sheetFormatPr defaultRowHeight="15" x14ac:dyDescent="0.25"/>
  <cols>
    <col min="1" max="1" width="16.85546875" style="5" bestFit="1" customWidth="1"/>
    <col min="2" max="2" width="16.85546875" style="5" customWidth="1"/>
    <col min="5" max="5" width="11.7109375" customWidth="1"/>
    <col min="6" max="6" width="23.7109375" bestFit="1" customWidth="1"/>
    <col min="7" max="7" width="10.7109375" customWidth="1"/>
    <col min="8" max="8" width="47.140625" bestFit="1" customWidth="1"/>
    <col min="21" max="21" width="38.7109375" bestFit="1" customWidth="1"/>
    <col min="22" max="22" width="23.140625" bestFit="1" customWidth="1"/>
  </cols>
  <sheetData>
    <row r="1" spans="1:21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37</v>
      </c>
    </row>
    <row r="2" spans="1:21" x14ac:dyDescent="0.25">
      <c r="A2" s="5">
        <v>102000821100</v>
      </c>
      <c r="B2" s="5" t="str">
        <f>CONCATENATE(A2,0)</f>
        <v>1020008211000</v>
      </c>
      <c r="C2" t="s">
        <v>101</v>
      </c>
      <c r="D2" t="s">
        <v>87</v>
      </c>
      <c r="E2">
        <v>20411454</v>
      </c>
      <c r="F2" t="s">
        <v>244</v>
      </c>
      <c r="G2" t="s">
        <v>104</v>
      </c>
      <c r="H2" t="s">
        <v>105</v>
      </c>
      <c r="I2" s="1">
        <v>45658</v>
      </c>
      <c r="K2" t="s">
        <v>51</v>
      </c>
      <c r="N2" t="s">
        <v>52</v>
      </c>
      <c r="O2" s="2">
        <v>0</v>
      </c>
      <c r="P2" s="2">
        <v>25</v>
      </c>
      <c r="Q2">
        <v>1</v>
      </c>
      <c r="R2" s="3">
        <v>1</v>
      </c>
      <c r="S2" s="2">
        <v>25</v>
      </c>
      <c r="T2" t="s">
        <v>106</v>
      </c>
      <c r="U2" t="s">
        <v>234</v>
      </c>
    </row>
    <row r="3" spans="1:21" x14ac:dyDescent="0.25">
      <c r="A3" s="5" t="s">
        <v>227</v>
      </c>
      <c r="B3" s="5" t="s">
        <v>227</v>
      </c>
      <c r="C3" t="s">
        <v>191</v>
      </c>
      <c r="D3" t="s">
        <v>87</v>
      </c>
      <c r="E3">
        <v>20411454</v>
      </c>
      <c r="F3" t="s">
        <v>244</v>
      </c>
      <c r="G3" t="s">
        <v>175</v>
      </c>
      <c r="H3" t="s">
        <v>105</v>
      </c>
      <c r="I3" s="1">
        <v>45658</v>
      </c>
      <c r="K3" t="s">
        <v>51</v>
      </c>
      <c r="N3" t="s">
        <v>52</v>
      </c>
      <c r="S3" s="4">
        <v>-33.340000000000003</v>
      </c>
      <c r="U3" t="s">
        <v>234</v>
      </c>
    </row>
    <row r="4" spans="1:21" x14ac:dyDescent="0.25">
      <c r="A4" s="5">
        <v>102168084000</v>
      </c>
      <c r="B4" s="5" t="str">
        <f t="shared" ref="B3:B29" si="0">CONCATENATE(A4,0)</f>
        <v>1021680840000</v>
      </c>
      <c r="C4" t="s">
        <v>114</v>
      </c>
      <c r="D4" t="s">
        <v>87</v>
      </c>
      <c r="E4">
        <v>20411454</v>
      </c>
      <c r="F4" t="s">
        <v>244</v>
      </c>
      <c r="G4" t="s">
        <v>49</v>
      </c>
      <c r="H4" t="s">
        <v>117</v>
      </c>
      <c r="I4" s="1">
        <v>45778</v>
      </c>
      <c r="K4" t="s">
        <v>51</v>
      </c>
      <c r="N4" t="s">
        <v>52</v>
      </c>
      <c r="O4" s="2">
        <v>0</v>
      </c>
      <c r="P4" s="2">
        <v>33.33</v>
      </c>
      <c r="Q4">
        <v>1</v>
      </c>
      <c r="R4" s="3">
        <v>1</v>
      </c>
      <c r="S4" s="2">
        <v>33.33</v>
      </c>
      <c r="T4" t="s">
        <v>112</v>
      </c>
      <c r="U4" t="s">
        <v>234</v>
      </c>
    </row>
    <row r="5" spans="1:21" x14ac:dyDescent="0.25">
      <c r="A5" s="5">
        <v>102168241300</v>
      </c>
      <c r="B5" s="5" t="str">
        <f t="shared" si="0"/>
        <v>1021682413000</v>
      </c>
      <c r="C5" t="s">
        <v>119</v>
      </c>
      <c r="D5" t="s">
        <v>87</v>
      </c>
      <c r="E5">
        <v>20411454</v>
      </c>
      <c r="F5" t="s">
        <v>244</v>
      </c>
      <c r="G5" t="s">
        <v>49</v>
      </c>
      <c r="H5" t="s">
        <v>117</v>
      </c>
      <c r="I5" s="1">
        <v>45778</v>
      </c>
      <c r="K5" t="s">
        <v>51</v>
      </c>
      <c r="N5" t="s">
        <v>52</v>
      </c>
      <c r="O5" s="2">
        <v>0</v>
      </c>
      <c r="P5" s="2">
        <v>33.33</v>
      </c>
      <c r="Q5">
        <v>1</v>
      </c>
      <c r="R5" s="3">
        <v>1</v>
      </c>
      <c r="S5" s="2">
        <v>33.33</v>
      </c>
      <c r="T5" t="s">
        <v>112</v>
      </c>
      <c r="U5" t="s">
        <v>234</v>
      </c>
    </row>
    <row r="6" spans="1:21" x14ac:dyDescent="0.25">
      <c r="A6" s="5">
        <v>102168444600</v>
      </c>
      <c r="B6" s="5" t="str">
        <f t="shared" si="0"/>
        <v>1021684446000</v>
      </c>
      <c r="C6" t="s">
        <v>121</v>
      </c>
      <c r="D6" t="s">
        <v>122</v>
      </c>
      <c r="E6">
        <v>20411454</v>
      </c>
      <c r="F6" t="s">
        <v>244</v>
      </c>
      <c r="G6" t="s">
        <v>49</v>
      </c>
      <c r="H6" t="s">
        <v>117</v>
      </c>
      <c r="I6" s="1">
        <v>45839</v>
      </c>
      <c r="K6" t="s">
        <v>51</v>
      </c>
      <c r="N6" t="s">
        <v>52</v>
      </c>
      <c r="O6" s="2">
        <v>0</v>
      </c>
      <c r="P6" s="2">
        <v>25</v>
      </c>
      <c r="Q6">
        <v>1</v>
      </c>
      <c r="R6" s="3">
        <v>1</v>
      </c>
      <c r="S6" s="2">
        <v>25</v>
      </c>
      <c r="T6" t="s">
        <v>125</v>
      </c>
      <c r="U6" t="s">
        <v>234</v>
      </c>
    </row>
    <row r="7" spans="1:21" x14ac:dyDescent="0.25">
      <c r="A7" s="5">
        <v>102169042300</v>
      </c>
      <c r="B7" s="5" t="str">
        <f t="shared" si="0"/>
        <v>1021690423000</v>
      </c>
      <c r="C7" t="s">
        <v>127</v>
      </c>
      <c r="D7" t="s">
        <v>87</v>
      </c>
      <c r="E7">
        <v>20411454</v>
      </c>
      <c r="F7" t="s">
        <v>244</v>
      </c>
      <c r="G7" t="s">
        <v>49</v>
      </c>
      <c r="H7" t="s">
        <v>117</v>
      </c>
      <c r="I7" s="1">
        <v>45778</v>
      </c>
      <c r="K7" t="s">
        <v>51</v>
      </c>
      <c r="N7" t="s">
        <v>52</v>
      </c>
      <c r="O7" s="2">
        <v>0</v>
      </c>
      <c r="P7" s="2">
        <v>33.33</v>
      </c>
      <c r="Q7">
        <v>1</v>
      </c>
      <c r="R7" s="3">
        <v>1</v>
      </c>
      <c r="S7" s="2">
        <v>33.33</v>
      </c>
      <c r="T7" t="s">
        <v>112</v>
      </c>
      <c r="U7" t="s">
        <v>234</v>
      </c>
    </row>
    <row r="8" spans="1:21" x14ac:dyDescent="0.25">
      <c r="A8" s="5">
        <v>102169457000</v>
      </c>
      <c r="B8" s="5" t="str">
        <f t="shared" si="0"/>
        <v>1021694570000</v>
      </c>
      <c r="C8" t="s">
        <v>131</v>
      </c>
      <c r="D8" t="s">
        <v>87</v>
      </c>
      <c r="E8">
        <v>20411454</v>
      </c>
      <c r="F8" t="s">
        <v>244</v>
      </c>
      <c r="G8" t="s">
        <v>49</v>
      </c>
      <c r="H8" t="s">
        <v>117</v>
      </c>
      <c r="I8" s="1">
        <v>45809</v>
      </c>
      <c r="K8" t="s">
        <v>51</v>
      </c>
      <c r="N8" t="s">
        <v>52</v>
      </c>
      <c r="O8" s="2">
        <v>0</v>
      </c>
      <c r="P8" s="2">
        <v>29.17</v>
      </c>
      <c r="Q8">
        <v>1</v>
      </c>
      <c r="R8" s="3">
        <v>1</v>
      </c>
      <c r="S8" s="2">
        <v>29.17</v>
      </c>
      <c r="T8" t="s">
        <v>134</v>
      </c>
      <c r="U8" t="s">
        <v>234</v>
      </c>
    </row>
    <row r="9" spans="1:21" x14ac:dyDescent="0.25">
      <c r="A9" s="5">
        <v>102169501600</v>
      </c>
      <c r="B9" s="5" t="str">
        <f t="shared" si="0"/>
        <v>1021695016000</v>
      </c>
      <c r="C9" t="s">
        <v>136</v>
      </c>
      <c r="D9" t="s">
        <v>57</v>
      </c>
      <c r="E9">
        <v>20411454</v>
      </c>
      <c r="F9" t="s">
        <v>244</v>
      </c>
      <c r="G9" t="s">
        <v>49</v>
      </c>
      <c r="H9" t="s">
        <v>117</v>
      </c>
      <c r="I9" s="1">
        <v>45778</v>
      </c>
      <c r="K9" t="s">
        <v>51</v>
      </c>
      <c r="N9" t="s">
        <v>52</v>
      </c>
      <c r="O9" s="2">
        <v>0</v>
      </c>
      <c r="P9" s="2">
        <v>33.33</v>
      </c>
      <c r="Q9">
        <v>1</v>
      </c>
      <c r="R9" s="3">
        <v>1</v>
      </c>
      <c r="S9" s="2">
        <v>33.33</v>
      </c>
      <c r="T9" t="s">
        <v>112</v>
      </c>
      <c r="U9" t="s">
        <v>234</v>
      </c>
    </row>
    <row r="10" spans="1:21" x14ac:dyDescent="0.25">
      <c r="A10" s="5">
        <v>102169513200</v>
      </c>
      <c r="B10" s="5" t="str">
        <f t="shared" si="0"/>
        <v>1021695132000</v>
      </c>
      <c r="C10" t="s">
        <v>140</v>
      </c>
      <c r="D10" t="s">
        <v>63</v>
      </c>
      <c r="E10">
        <v>20411454</v>
      </c>
      <c r="F10" t="s">
        <v>244</v>
      </c>
      <c r="G10" t="s">
        <v>49</v>
      </c>
      <c r="H10" t="s">
        <v>117</v>
      </c>
      <c r="I10" s="1">
        <v>45778</v>
      </c>
      <c r="K10" t="s">
        <v>51</v>
      </c>
      <c r="N10" t="s">
        <v>52</v>
      </c>
      <c r="O10" s="2">
        <v>0</v>
      </c>
      <c r="P10" s="2">
        <v>33.33</v>
      </c>
      <c r="Q10">
        <v>1</v>
      </c>
      <c r="R10" s="3">
        <v>1</v>
      </c>
      <c r="S10" s="2">
        <v>33.33</v>
      </c>
      <c r="T10" t="s">
        <v>112</v>
      </c>
      <c r="U10" t="s">
        <v>234</v>
      </c>
    </row>
    <row r="11" spans="1:21" x14ac:dyDescent="0.25">
      <c r="A11" s="5">
        <v>102169514800</v>
      </c>
      <c r="B11" s="5" t="str">
        <f t="shared" si="0"/>
        <v>1021695148000</v>
      </c>
      <c r="C11" t="s">
        <v>143</v>
      </c>
      <c r="D11" t="s">
        <v>87</v>
      </c>
      <c r="E11">
        <v>20411454</v>
      </c>
      <c r="F11" t="s">
        <v>244</v>
      </c>
      <c r="G11" t="s">
        <v>49</v>
      </c>
      <c r="H11" t="s">
        <v>117</v>
      </c>
      <c r="I11" s="1">
        <v>45778</v>
      </c>
      <c r="K11" t="s">
        <v>51</v>
      </c>
      <c r="N11" t="s">
        <v>52</v>
      </c>
      <c r="O11" s="2">
        <v>0</v>
      </c>
      <c r="P11" s="2">
        <v>33.33</v>
      </c>
      <c r="Q11">
        <v>1</v>
      </c>
      <c r="R11" s="3">
        <v>1</v>
      </c>
      <c r="S11" s="2">
        <v>33.33</v>
      </c>
      <c r="T11" t="s">
        <v>112</v>
      </c>
      <c r="U11" t="s">
        <v>234</v>
      </c>
    </row>
    <row r="12" spans="1:21" x14ac:dyDescent="0.25">
      <c r="A12" s="5">
        <v>102065660900</v>
      </c>
      <c r="B12" s="5" t="str">
        <f t="shared" si="0"/>
        <v>1020656609000</v>
      </c>
      <c r="C12" t="s">
        <v>108</v>
      </c>
      <c r="D12" t="s">
        <v>57</v>
      </c>
      <c r="E12">
        <v>20411454</v>
      </c>
      <c r="F12" t="s">
        <v>244</v>
      </c>
      <c r="G12" t="s">
        <v>49</v>
      </c>
      <c r="H12" t="s">
        <v>111</v>
      </c>
      <c r="I12" s="1">
        <v>45778</v>
      </c>
      <c r="K12" t="s">
        <v>51</v>
      </c>
      <c r="N12" t="s">
        <v>52</v>
      </c>
      <c r="O12" s="2">
        <v>0</v>
      </c>
      <c r="P12" s="2">
        <v>26.67</v>
      </c>
      <c r="Q12">
        <v>1</v>
      </c>
      <c r="R12" s="3">
        <v>1</v>
      </c>
      <c r="S12" s="2">
        <v>26.67</v>
      </c>
      <c r="T12" t="s">
        <v>112</v>
      </c>
      <c r="U12" t="s">
        <v>234</v>
      </c>
    </row>
    <row r="13" spans="1:21" x14ac:dyDescent="0.25">
      <c r="A13" s="5" t="s">
        <v>214</v>
      </c>
      <c r="B13" s="5" t="str">
        <f t="shared" si="0"/>
        <v>23A9F4R860</v>
      </c>
      <c r="C13" t="s">
        <v>151</v>
      </c>
      <c r="D13" t="s">
        <v>122</v>
      </c>
      <c r="E13">
        <v>20411454</v>
      </c>
      <c r="F13" t="s">
        <v>244</v>
      </c>
      <c r="G13" t="s">
        <v>49</v>
      </c>
      <c r="H13" t="s">
        <v>152</v>
      </c>
      <c r="I13" s="1">
        <v>45778</v>
      </c>
      <c r="K13" t="s">
        <v>51</v>
      </c>
      <c r="N13" t="s">
        <v>52</v>
      </c>
      <c r="O13" s="2">
        <v>0</v>
      </c>
      <c r="P13" s="2">
        <v>100</v>
      </c>
      <c r="Q13">
        <v>1</v>
      </c>
      <c r="R13" s="3">
        <v>1</v>
      </c>
      <c r="S13" s="2">
        <v>100</v>
      </c>
      <c r="U13" t="s">
        <v>235</v>
      </c>
    </row>
    <row r="14" spans="1:21" x14ac:dyDescent="0.25">
      <c r="A14" s="5" t="s">
        <v>204</v>
      </c>
      <c r="B14" s="5" t="str">
        <f t="shared" si="0"/>
        <v>00023330781K0</v>
      </c>
      <c r="C14" t="s">
        <v>62</v>
      </c>
      <c r="D14" t="s">
        <v>63</v>
      </c>
      <c r="E14">
        <v>20411454</v>
      </c>
      <c r="F14" t="s">
        <v>244</v>
      </c>
      <c r="G14" t="s">
        <v>49</v>
      </c>
      <c r="H14" t="s">
        <v>66</v>
      </c>
      <c r="I14" s="1">
        <v>45809</v>
      </c>
      <c r="K14" t="s">
        <v>51</v>
      </c>
      <c r="N14" t="s">
        <v>52</v>
      </c>
      <c r="O14" s="2">
        <v>0</v>
      </c>
      <c r="P14" s="2">
        <v>175</v>
      </c>
      <c r="Q14">
        <v>1</v>
      </c>
      <c r="R14" s="3">
        <v>1</v>
      </c>
      <c r="S14" s="2">
        <v>175</v>
      </c>
      <c r="U14" t="s">
        <v>236</v>
      </c>
    </row>
    <row r="15" spans="1:21" x14ac:dyDescent="0.25">
      <c r="A15" s="5" t="s">
        <v>205</v>
      </c>
      <c r="B15" s="5" t="str">
        <f t="shared" si="0"/>
        <v>00023334479K0</v>
      </c>
      <c r="C15" t="s">
        <v>68</v>
      </c>
      <c r="D15" t="s">
        <v>63</v>
      </c>
      <c r="E15">
        <v>20411454</v>
      </c>
      <c r="F15" t="s">
        <v>244</v>
      </c>
      <c r="G15" t="s">
        <v>49</v>
      </c>
      <c r="H15" t="s">
        <v>66</v>
      </c>
      <c r="I15" s="1">
        <v>45809</v>
      </c>
      <c r="K15" t="s">
        <v>51</v>
      </c>
      <c r="N15" t="s">
        <v>52</v>
      </c>
      <c r="O15" s="2">
        <v>0</v>
      </c>
      <c r="P15" s="2">
        <v>175</v>
      </c>
      <c r="Q15">
        <v>1</v>
      </c>
      <c r="R15" s="3">
        <v>1</v>
      </c>
      <c r="S15" s="2">
        <v>175</v>
      </c>
      <c r="U15" t="s">
        <v>236</v>
      </c>
    </row>
    <row r="16" spans="1:21" x14ac:dyDescent="0.25">
      <c r="A16" s="5" t="s">
        <v>208</v>
      </c>
      <c r="B16" s="5" t="str">
        <f t="shared" si="0"/>
        <v>00023336024K0</v>
      </c>
      <c r="C16" t="s">
        <v>81</v>
      </c>
      <c r="D16" t="s">
        <v>82</v>
      </c>
      <c r="E16">
        <v>20411454</v>
      </c>
      <c r="F16" t="s">
        <v>244</v>
      </c>
      <c r="G16" t="s">
        <v>49</v>
      </c>
      <c r="H16" t="s">
        <v>66</v>
      </c>
      <c r="I16" s="1">
        <v>45809</v>
      </c>
      <c r="K16" t="s">
        <v>51</v>
      </c>
      <c r="N16" t="s">
        <v>52</v>
      </c>
      <c r="O16" s="2">
        <v>0</v>
      </c>
      <c r="P16" s="2">
        <v>175</v>
      </c>
      <c r="Q16">
        <v>1</v>
      </c>
      <c r="R16" s="3">
        <v>1</v>
      </c>
      <c r="S16" s="2">
        <v>175</v>
      </c>
      <c r="U16" t="s">
        <v>236</v>
      </c>
    </row>
    <row r="17" spans="1:21" x14ac:dyDescent="0.25">
      <c r="A17" s="5" t="s">
        <v>209</v>
      </c>
      <c r="B17" s="5" t="str">
        <f t="shared" si="0"/>
        <v>00023338585K0</v>
      </c>
      <c r="C17" t="s">
        <v>86</v>
      </c>
      <c r="D17" t="s">
        <v>87</v>
      </c>
      <c r="E17">
        <v>20411454</v>
      </c>
      <c r="F17" t="s">
        <v>244</v>
      </c>
      <c r="G17" t="s">
        <v>49</v>
      </c>
      <c r="H17" t="s">
        <v>66</v>
      </c>
      <c r="I17" s="1">
        <v>45809</v>
      </c>
      <c r="K17" t="s">
        <v>51</v>
      </c>
      <c r="N17" t="s">
        <v>52</v>
      </c>
      <c r="O17" s="2">
        <v>0</v>
      </c>
      <c r="P17" s="2">
        <v>175</v>
      </c>
      <c r="Q17">
        <v>1</v>
      </c>
      <c r="R17" s="3">
        <v>1</v>
      </c>
      <c r="S17" s="2">
        <v>175</v>
      </c>
      <c r="U17" t="s">
        <v>236</v>
      </c>
    </row>
    <row r="18" spans="1:21" x14ac:dyDescent="0.25">
      <c r="A18" s="5" t="s">
        <v>210</v>
      </c>
      <c r="B18" s="5" t="str">
        <f t="shared" si="0"/>
        <v>00023340223K0</v>
      </c>
      <c r="C18" t="s">
        <v>91</v>
      </c>
      <c r="D18" t="s">
        <v>87</v>
      </c>
      <c r="E18">
        <v>20411454</v>
      </c>
      <c r="F18" t="s">
        <v>244</v>
      </c>
      <c r="G18" t="s">
        <v>49</v>
      </c>
      <c r="H18" t="s">
        <v>66</v>
      </c>
      <c r="I18" s="1">
        <v>45809</v>
      </c>
      <c r="K18" t="s">
        <v>51</v>
      </c>
      <c r="N18" t="s">
        <v>52</v>
      </c>
      <c r="O18" s="2">
        <v>0</v>
      </c>
      <c r="P18" s="2">
        <v>175</v>
      </c>
      <c r="Q18">
        <v>1</v>
      </c>
      <c r="R18" s="3">
        <v>1</v>
      </c>
      <c r="S18" s="2">
        <v>175</v>
      </c>
      <c r="U18" t="s">
        <v>236</v>
      </c>
    </row>
    <row r="19" spans="1:21" x14ac:dyDescent="0.25">
      <c r="A19" s="5" t="s">
        <v>211</v>
      </c>
      <c r="B19" s="5" t="str">
        <f t="shared" si="0"/>
        <v>00023341972K0</v>
      </c>
      <c r="C19" t="s">
        <v>95</v>
      </c>
      <c r="D19" t="s">
        <v>63</v>
      </c>
      <c r="E19">
        <v>20411454</v>
      </c>
      <c r="F19" t="s">
        <v>244</v>
      </c>
      <c r="G19" t="s">
        <v>49</v>
      </c>
      <c r="H19" t="s">
        <v>66</v>
      </c>
      <c r="I19" s="1">
        <v>45809</v>
      </c>
      <c r="K19" t="s">
        <v>51</v>
      </c>
      <c r="N19" t="s">
        <v>52</v>
      </c>
      <c r="O19" s="2">
        <v>0</v>
      </c>
      <c r="P19" s="2">
        <v>175</v>
      </c>
      <c r="Q19">
        <v>1</v>
      </c>
      <c r="R19" s="3">
        <v>1</v>
      </c>
      <c r="S19" s="2">
        <v>175</v>
      </c>
      <c r="U19" t="s">
        <v>236</v>
      </c>
    </row>
    <row r="20" spans="1:21" x14ac:dyDescent="0.25">
      <c r="A20" s="5" t="s">
        <v>212</v>
      </c>
      <c r="B20" s="5" t="str">
        <f t="shared" si="0"/>
        <v>00023342286K0</v>
      </c>
      <c r="C20" t="s">
        <v>99</v>
      </c>
      <c r="D20" t="s">
        <v>63</v>
      </c>
      <c r="E20">
        <v>20411454</v>
      </c>
      <c r="F20" t="s">
        <v>244</v>
      </c>
      <c r="G20" t="s">
        <v>49</v>
      </c>
      <c r="H20" t="s">
        <v>66</v>
      </c>
      <c r="I20" s="1">
        <v>45809</v>
      </c>
      <c r="K20" t="s">
        <v>51</v>
      </c>
      <c r="N20" t="s">
        <v>52</v>
      </c>
      <c r="O20" s="2">
        <v>0</v>
      </c>
      <c r="P20" s="2">
        <v>175</v>
      </c>
      <c r="Q20">
        <v>1</v>
      </c>
      <c r="R20" s="3">
        <v>1</v>
      </c>
      <c r="S20" s="2">
        <v>175</v>
      </c>
      <c r="U20" t="s">
        <v>236</v>
      </c>
    </row>
    <row r="21" spans="1:21" x14ac:dyDescent="0.25">
      <c r="A21" s="5" t="s">
        <v>222</v>
      </c>
      <c r="B21" s="5" t="s">
        <v>222</v>
      </c>
      <c r="C21" t="s">
        <v>179</v>
      </c>
      <c r="D21" t="s">
        <v>172</v>
      </c>
      <c r="E21">
        <v>20411454</v>
      </c>
      <c r="F21" t="s">
        <v>244</v>
      </c>
      <c r="G21" t="s">
        <v>175</v>
      </c>
      <c r="H21" t="s">
        <v>66</v>
      </c>
      <c r="I21" s="1">
        <v>45658</v>
      </c>
      <c r="K21" t="s">
        <v>51</v>
      </c>
      <c r="N21" t="s">
        <v>52</v>
      </c>
      <c r="S21" s="4">
        <v>-117.25</v>
      </c>
      <c r="U21" t="s">
        <v>236</v>
      </c>
    </row>
    <row r="22" spans="1:21" x14ac:dyDescent="0.25">
      <c r="A22" s="5" t="s">
        <v>223</v>
      </c>
      <c r="B22" s="5" t="s">
        <v>223</v>
      </c>
      <c r="C22" t="s">
        <v>183</v>
      </c>
      <c r="D22" t="s">
        <v>172</v>
      </c>
      <c r="E22">
        <v>20411454</v>
      </c>
      <c r="F22" t="s">
        <v>244</v>
      </c>
      <c r="G22" t="s">
        <v>175</v>
      </c>
      <c r="H22" t="s">
        <v>66</v>
      </c>
      <c r="I22" s="1">
        <v>45658</v>
      </c>
      <c r="K22" t="s">
        <v>51</v>
      </c>
      <c r="N22" t="s">
        <v>52</v>
      </c>
      <c r="S22" s="4">
        <v>-101.5</v>
      </c>
      <c r="U22" t="s">
        <v>236</v>
      </c>
    </row>
    <row r="23" spans="1:21" x14ac:dyDescent="0.25">
      <c r="A23" s="5" t="s">
        <v>224</v>
      </c>
      <c r="B23" s="5" t="s">
        <v>224</v>
      </c>
      <c r="C23" t="s">
        <v>45</v>
      </c>
      <c r="D23" t="s">
        <v>172</v>
      </c>
      <c r="E23">
        <v>20411454</v>
      </c>
      <c r="F23" t="s">
        <v>244</v>
      </c>
      <c r="G23" t="s">
        <v>175</v>
      </c>
      <c r="H23" t="s">
        <v>66</v>
      </c>
      <c r="I23" s="1">
        <v>45658</v>
      </c>
      <c r="K23" t="s">
        <v>51</v>
      </c>
      <c r="N23" t="s">
        <v>52</v>
      </c>
      <c r="S23" s="4">
        <v>-101.5</v>
      </c>
      <c r="U23" t="s">
        <v>236</v>
      </c>
    </row>
    <row r="24" spans="1:21" x14ac:dyDescent="0.25">
      <c r="A24" s="5" t="s">
        <v>225</v>
      </c>
      <c r="B24" s="5" t="s">
        <v>225</v>
      </c>
      <c r="C24" t="s">
        <v>54</v>
      </c>
      <c r="D24" t="s">
        <v>172</v>
      </c>
      <c r="E24">
        <v>20411454</v>
      </c>
      <c r="F24" t="s">
        <v>244</v>
      </c>
      <c r="G24" t="s">
        <v>175</v>
      </c>
      <c r="H24" t="s">
        <v>66</v>
      </c>
      <c r="I24" s="1">
        <v>45658</v>
      </c>
      <c r="K24" t="s">
        <v>51</v>
      </c>
      <c r="N24" t="s">
        <v>52</v>
      </c>
      <c r="S24" s="4">
        <v>-101.5</v>
      </c>
      <c r="U24" t="s">
        <v>236</v>
      </c>
    </row>
    <row r="25" spans="1:21" x14ac:dyDescent="0.25">
      <c r="A25" s="5" t="s">
        <v>226</v>
      </c>
      <c r="B25" s="5" t="s">
        <v>226</v>
      </c>
      <c r="C25" t="s">
        <v>189</v>
      </c>
      <c r="D25" t="s">
        <v>172</v>
      </c>
      <c r="E25">
        <v>20411454</v>
      </c>
      <c r="F25" t="s">
        <v>244</v>
      </c>
      <c r="G25" t="s">
        <v>175</v>
      </c>
      <c r="H25" t="s">
        <v>66</v>
      </c>
      <c r="I25" s="1">
        <v>45778</v>
      </c>
      <c r="K25" t="s">
        <v>51</v>
      </c>
      <c r="N25" t="s">
        <v>52</v>
      </c>
      <c r="S25" s="4">
        <v>-101.5</v>
      </c>
      <c r="U25" t="s">
        <v>236</v>
      </c>
    </row>
    <row r="26" spans="1:21" x14ac:dyDescent="0.25">
      <c r="A26" s="5" t="s">
        <v>201</v>
      </c>
      <c r="B26" s="5" t="str">
        <f t="shared" si="0"/>
        <v>00022508972K0</v>
      </c>
      <c r="C26" t="s">
        <v>45</v>
      </c>
      <c r="D26" t="s">
        <v>46</v>
      </c>
      <c r="E26">
        <v>20411454</v>
      </c>
      <c r="F26" t="s">
        <v>244</v>
      </c>
      <c r="G26" t="s">
        <v>49</v>
      </c>
      <c r="H26" t="s">
        <v>50</v>
      </c>
      <c r="I26" s="1">
        <v>45809</v>
      </c>
      <c r="K26" t="s">
        <v>51</v>
      </c>
      <c r="N26" t="s">
        <v>52</v>
      </c>
      <c r="O26" s="2">
        <v>0</v>
      </c>
      <c r="P26" s="2">
        <v>108</v>
      </c>
      <c r="Q26">
        <v>1</v>
      </c>
      <c r="R26" s="3">
        <v>1</v>
      </c>
      <c r="S26" s="2">
        <v>108</v>
      </c>
      <c r="U26" t="s">
        <v>236</v>
      </c>
    </row>
    <row r="27" spans="1:21" x14ac:dyDescent="0.25">
      <c r="A27" s="5" t="s">
        <v>202</v>
      </c>
      <c r="B27" s="5" t="str">
        <f t="shared" si="0"/>
        <v>00022869335K0</v>
      </c>
      <c r="C27" t="s">
        <v>54</v>
      </c>
      <c r="D27" t="s">
        <v>46</v>
      </c>
      <c r="E27">
        <v>20411454</v>
      </c>
      <c r="F27" t="s">
        <v>244</v>
      </c>
      <c r="G27" t="s">
        <v>49</v>
      </c>
      <c r="H27" t="s">
        <v>50</v>
      </c>
      <c r="I27" s="1">
        <v>45809</v>
      </c>
      <c r="K27" t="s">
        <v>51</v>
      </c>
      <c r="N27" t="s">
        <v>52</v>
      </c>
      <c r="O27" s="2">
        <v>0</v>
      </c>
      <c r="P27" s="2">
        <v>108</v>
      </c>
      <c r="Q27">
        <v>1</v>
      </c>
      <c r="R27" s="3">
        <v>1</v>
      </c>
      <c r="S27" s="2">
        <v>108</v>
      </c>
      <c r="U27" t="s">
        <v>236</v>
      </c>
    </row>
    <row r="28" spans="1:21" x14ac:dyDescent="0.25">
      <c r="A28" s="5" t="s">
        <v>220</v>
      </c>
      <c r="B28" s="5" t="s">
        <v>220</v>
      </c>
      <c r="C28" t="s">
        <v>171</v>
      </c>
      <c r="D28" t="s">
        <v>172</v>
      </c>
      <c r="E28">
        <v>20411454</v>
      </c>
      <c r="F28" t="s">
        <v>244</v>
      </c>
      <c r="G28" t="s">
        <v>175</v>
      </c>
      <c r="H28" t="s">
        <v>50</v>
      </c>
      <c r="I28" s="1">
        <v>45778</v>
      </c>
      <c r="K28" t="s">
        <v>51</v>
      </c>
      <c r="N28" t="s">
        <v>52</v>
      </c>
      <c r="S28" s="4">
        <v>-99.36</v>
      </c>
      <c r="U28" t="s">
        <v>236</v>
      </c>
    </row>
    <row r="29" spans="1:21" x14ac:dyDescent="0.25">
      <c r="A29" s="5" t="s">
        <v>221</v>
      </c>
      <c r="B29" s="5" t="s">
        <v>221</v>
      </c>
      <c r="C29" t="s">
        <v>177</v>
      </c>
      <c r="D29" t="s">
        <v>172</v>
      </c>
      <c r="E29">
        <v>20411454</v>
      </c>
      <c r="F29" t="s">
        <v>244</v>
      </c>
      <c r="G29" t="s">
        <v>175</v>
      </c>
      <c r="H29" t="s">
        <v>50</v>
      </c>
      <c r="I29" s="1">
        <v>45778</v>
      </c>
      <c r="K29" t="s">
        <v>51</v>
      </c>
      <c r="N29" t="s">
        <v>52</v>
      </c>
      <c r="S29" s="4">
        <v>-99.36</v>
      </c>
      <c r="U29" t="s">
        <v>236</v>
      </c>
    </row>
    <row r="30" spans="1:21" s="7" customFormat="1" x14ac:dyDescent="0.25">
      <c r="A30" s="6" t="s">
        <v>203</v>
      </c>
      <c r="B30" s="6" t="s">
        <v>203</v>
      </c>
      <c r="C30" s="7" t="s">
        <v>56</v>
      </c>
      <c r="D30" s="7" t="s">
        <v>57</v>
      </c>
      <c r="E30" s="7">
        <v>19278370</v>
      </c>
      <c r="F30" s="7" t="s">
        <v>59</v>
      </c>
      <c r="G30" s="7" t="s">
        <v>49</v>
      </c>
      <c r="H30" s="7" t="s">
        <v>60</v>
      </c>
      <c r="I30" s="8">
        <v>45809</v>
      </c>
      <c r="K30" s="7" t="s">
        <v>51</v>
      </c>
      <c r="N30" s="7" t="s">
        <v>52</v>
      </c>
      <c r="O30" s="9">
        <v>0</v>
      </c>
      <c r="P30" s="9">
        <v>15</v>
      </c>
      <c r="Q30" s="7">
        <v>1</v>
      </c>
      <c r="R30" s="10">
        <v>1</v>
      </c>
      <c r="S30" s="9">
        <v>15</v>
      </c>
      <c r="U30" s="7" t="s">
        <v>237</v>
      </c>
    </row>
    <row r="31" spans="1:21" s="7" customFormat="1" x14ac:dyDescent="0.25">
      <c r="A31" s="6" t="s">
        <v>206</v>
      </c>
      <c r="B31" s="6" t="s">
        <v>206</v>
      </c>
      <c r="C31" s="7" t="s">
        <v>72</v>
      </c>
      <c r="D31" s="7" t="s">
        <v>57</v>
      </c>
      <c r="E31" s="7">
        <v>18794740</v>
      </c>
      <c r="F31" s="7" t="s">
        <v>74</v>
      </c>
      <c r="G31" s="7" t="s">
        <v>49</v>
      </c>
      <c r="H31" s="7" t="s">
        <v>60</v>
      </c>
      <c r="I31" s="8">
        <v>45839</v>
      </c>
      <c r="K31" s="7" t="s">
        <v>51</v>
      </c>
      <c r="N31" s="7" t="s">
        <v>52</v>
      </c>
      <c r="O31" s="9">
        <v>0</v>
      </c>
      <c r="P31" s="9">
        <v>15</v>
      </c>
      <c r="Q31" s="7">
        <v>1</v>
      </c>
      <c r="R31" s="10">
        <v>1</v>
      </c>
      <c r="S31" s="9">
        <v>15</v>
      </c>
      <c r="U31" s="7" t="s">
        <v>237</v>
      </c>
    </row>
    <row r="32" spans="1:21" s="7" customFormat="1" x14ac:dyDescent="0.25">
      <c r="A32" s="6" t="s">
        <v>207</v>
      </c>
      <c r="B32" s="6" t="s">
        <v>207</v>
      </c>
      <c r="C32" s="7" t="s">
        <v>76</v>
      </c>
      <c r="D32" s="7" t="s">
        <v>77</v>
      </c>
      <c r="E32" s="7">
        <v>5442438</v>
      </c>
      <c r="F32" s="7" t="s">
        <v>79</v>
      </c>
      <c r="G32" s="7" t="s">
        <v>49</v>
      </c>
      <c r="H32" s="7" t="s">
        <v>60</v>
      </c>
      <c r="I32" s="8">
        <v>45809</v>
      </c>
      <c r="K32" s="7" t="s">
        <v>51</v>
      </c>
      <c r="N32" s="7" t="s">
        <v>52</v>
      </c>
      <c r="O32" s="9">
        <v>0</v>
      </c>
      <c r="P32" s="9">
        <v>15</v>
      </c>
      <c r="Q32" s="7">
        <v>1</v>
      </c>
      <c r="R32" s="10">
        <v>1</v>
      </c>
      <c r="S32" s="9">
        <v>15</v>
      </c>
      <c r="U32" s="7" t="s">
        <v>237</v>
      </c>
    </row>
    <row r="33" spans="1:23" s="7" customFormat="1" x14ac:dyDescent="0.25">
      <c r="A33" s="6" t="s">
        <v>219</v>
      </c>
      <c r="B33" s="5" t="str">
        <f>CONCATENATE(A33,1)</f>
        <v>A042738681</v>
      </c>
      <c r="C33" s="7" t="s">
        <v>167</v>
      </c>
      <c r="D33" s="7" t="s">
        <v>57</v>
      </c>
      <c r="E33" s="7">
        <v>19278370</v>
      </c>
      <c r="F33" s="7" t="s">
        <v>59</v>
      </c>
      <c r="G33" s="7" t="s">
        <v>49</v>
      </c>
      <c r="H33" s="7" t="s">
        <v>168</v>
      </c>
      <c r="I33" s="8">
        <v>45839</v>
      </c>
      <c r="K33" s="7" t="s">
        <v>51</v>
      </c>
      <c r="N33" s="7" t="s">
        <v>52</v>
      </c>
      <c r="O33" s="9">
        <v>0</v>
      </c>
      <c r="P33" s="9">
        <v>36.479999999999997</v>
      </c>
      <c r="Q33" s="7">
        <v>9</v>
      </c>
      <c r="R33" s="10">
        <v>1</v>
      </c>
      <c r="S33" s="9">
        <v>328.32</v>
      </c>
      <c r="U33" s="7" t="s">
        <v>239</v>
      </c>
    </row>
    <row r="34" spans="1:23" x14ac:dyDescent="0.25">
      <c r="A34" s="5" t="s">
        <v>213</v>
      </c>
      <c r="B34" s="5" t="str">
        <f t="shared" ref="B34:B38" si="1">CONCATENATE(A34,0)</f>
        <v>133085724OV0</v>
      </c>
      <c r="C34" t="s">
        <v>145</v>
      </c>
      <c r="D34" t="s">
        <v>146</v>
      </c>
      <c r="E34">
        <v>20411454</v>
      </c>
      <c r="F34" t="s">
        <v>244</v>
      </c>
      <c r="G34" t="s">
        <v>49</v>
      </c>
      <c r="H34" t="s">
        <v>149</v>
      </c>
      <c r="I34" s="1">
        <v>45809</v>
      </c>
      <c r="K34" t="s">
        <v>51</v>
      </c>
      <c r="N34" t="s">
        <v>52</v>
      </c>
      <c r="O34" s="2">
        <v>0</v>
      </c>
      <c r="P34" s="2">
        <v>175</v>
      </c>
      <c r="Q34">
        <v>1</v>
      </c>
      <c r="R34" s="3">
        <v>1</v>
      </c>
      <c r="S34" s="2">
        <v>175</v>
      </c>
      <c r="U34" t="s">
        <v>238</v>
      </c>
    </row>
    <row r="35" spans="1:23" x14ac:dyDescent="0.25">
      <c r="A35" s="5" t="s">
        <v>215</v>
      </c>
      <c r="B35" s="5" t="str">
        <f t="shared" si="1"/>
        <v>942028233OV0</v>
      </c>
      <c r="C35" t="s">
        <v>154</v>
      </c>
      <c r="D35" t="s">
        <v>155</v>
      </c>
      <c r="E35">
        <v>20411454</v>
      </c>
      <c r="F35" t="s">
        <v>244</v>
      </c>
      <c r="G35" t="s">
        <v>49</v>
      </c>
      <c r="H35" t="s">
        <v>149</v>
      </c>
      <c r="I35" s="1">
        <v>45778</v>
      </c>
      <c r="K35" t="s">
        <v>51</v>
      </c>
      <c r="N35" t="s">
        <v>52</v>
      </c>
      <c r="O35" s="2">
        <v>0</v>
      </c>
      <c r="P35" s="2">
        <v>175</v>
      </c>
      <c r="Q35">
        <v>1</v>
      </c>
      <c r="R35" s="3">
        <v>1</v>
      </c>
      <c r="S35" s="2">
        <v>175</v>
      </c>
      <c r="U35" t="s">
        <v>238</v>
      </c>
    </row>
    <row r="36" spans="1:23" x14ac:dyDescent="0.25">
      <c r="A36" s="5" t="s">
        <v>216</v>
      </c>
      <c r="B36" s="5" t="str">
        <f t="shared" si="1"/>
        <v>945012501OV0</v>
      </c>
      <c r="C36" t="s">
        <v>158</v>
      </c>
      <c r="D36" t="s">
        <v>155</v>
      </c>
      <c r="E36">
        <v>20411454</v>
      </c>
      <c r="F36" t="s">
        <v>244</v>
      </c>
      <c r="G36" t="s">
        <v>49</v>
      </c>
      <c r="H36" t="s">
        <v>149</v>
      </c>
      <c r="I36" s="1">
        <v>45778</v>
      </c>
      <c r="K36" t="s">
        <v>51</v>
      </c>
      <c r="N36" t="s">
        <v>52</v>
      </c>
      <c r="O36" s="2">
        <v>0</v>
      </c>
      <c r="P36" s="2">
        <v>175</v>
      </c>
      <c r="Q36">
        <v>1</v>
      </c>
      <c r="R36" s="3">
        <v>1</v>
      </c>
      <c r="S36" s="2">
        <v>175</v>
      </c>
      <c r="U36" t="s">
        <v>238</v>
      </c>
    </row>
    <row r="37" spans="1:23" x14ac:dyDescent="0.25">
      <c r="A37" s="5" t="s">
        <v>217</v>
      </c>
      <c r="B37" s="5" t="str">
        <f t="shared" si="1"/>
        <v>971266277OV0</v>
      </c>
      <c r="C37" t="s">
        <v>161</v>
      </c>
      <c r="D37" t="s">
        <v>82</v>
      </c>
      <c r="E37">
        <v>20411454</v>
      </c>
      <c r="F37" t="s">
        <v>244</v>
      </c>
      <c r="G37" t="s">
        <v>49</v>
      </c>
      <c r="H37" t="s">
        <v>149</v>
      </c>
      <c r="I37" s="1">
        <v>45809</v>
      </c>
      <c r="K37" t="s">
        <v>51</v>
      </c>
      <c r="N37" t="s">
        <v>52</v>
      </c>
      <c r="O37" s="2">
        <v>0</v>
      </c>
      <c r="P37" s="2">
        <v>175</v>
      </c>
      <c r="Q37">
        <v>1</v>
      </c>
      <c r="R37" s="3">
        <v>1</v>
      </c>
      <c r="S37" s="2">
        <v>175</v>
      </c>
      <c r="U37" t="s">
        <v>238</v>
      </c>
    </row>
    <row r="38" spans="1:23" x14ac:dyDescent="0.25">
      <c r="A38" s="5" t="s">
        <v>218</v>
      </c>
      <c r="B38" s="5" t="str">
        <f t="shared" si="1"/>
        <v>974593974OV0</v>
      </c>
      <c r="C38" t="s">
        <v>164</v>
      </c>
      <c r="D38" t="s">
        <v>82</v>
      </c>
      <c r="E38">
        <v>20411454</v>
      </c>
      <c r="F38" t="s">
        <v>244</v>
      </c>
      <c r="G38" t="s">
        <v>49</v>
      </c>
      <c r="H38" t="s">
        <v>149</v>
      </c>
      <c r="I38" s="1">
        <v>45809</v>
      </c>
      <c r="K38" t="s">
        <v>51</v>
      </c>
      <c r="N38" t="s">
        <v>52</v>
      </c>
      <c r="O38" s="2">
        <v>0</v>
      </c>
      <c r="P38" s="2">
        <v>175</v>
      </c>
      <c r="Q38">
        <v>1</v>
      </c>
      <c r="R38" s="3">
        <v>1</v>
      </c>
      <c r="S38" s="2">
        <v>175</v>
      </c>
      <c r="U38" t="s">
        <v>238</v>
      </c>
    </row>
    <row r="39" spans="1:23" x14ac:dyDescent="0.25">
      <c r="A39" s="5" t="s">
        <v>229</v>
      </c>
      <c r="B39" s="5" t="s">
        <v>229</v>
      </c>
      <c r="C39" t="s">
        <v>95</v>
      </c>
      <c r="D39" t="s">
        <v>63</v>
      </c>
      <c r="E39">
        <v>20411454</v>
      </c>
      <c r="F39" t="s">
        <v>244</v>
      </c>
      <c r="G39" t="s">
        <v>175</v>
      </c>
      <c r="H39" t="s">
        <v>149</v>
      </c>
      <c r="I39" s="1">
        <v>45717</v>
      </c>
      <c r="K39" t="s">
        <v>51</v>
      </c>
      <c r="N39" t="s">
        <v>52</v>
      </c>
      <c r="S39" s="4">
        <v>-175</v>
      </c>
      <c r="U39" t="s">
        <v>238</v>
      </c>
    </row>
    <row r="40" spans="1:23" x14ac:dyDescent="0.25">
      <c r="A40" s="5" t="s">
        <v>230</v>
      </c>
      <c r="B40" s="5" t="s">
        <v>230</v>
      </c>
      <c r="C40" t="s">
        <v>195</v>
      </c>
      <c r="D40" t="s">
        <v>122</v>
      </c>
      <c r="E40">
        <v>20411454</v>
      </c>
      <c r="F40" t="s">
        <v>244</v>
      </c>
      <c r="G40" t="s">
        <v>175</v>
      </c>
      <c r="H40" t="s">
        <v>149</v>
      </c>
      <c r="I40" s="1">
        <v>45658</v>
      </c>
      <c r="K40" t="s">
        <v>51</v>
      </c>
      <c r="N40" t="s">
        <v>52</v>
      </c>
      <c r="S40" s="4">
        <v>-102.08</v>
      </c>
      <c r="U40" t="s">
        <v>238</v>
      </c>
    </row>
    <row r="41" spans="1:23" x14ac:dyDescent="0.25">
      <c r="A41" s="5" t="s">
        <v>233</v>
      </c>
      <c r="B41" s="5" t="s">
        <v>233</v>
      </c>
      <c r="C41" t="s">
        <v>99</v>
      </c>
      <c r="D41" t="s">
        <v>63</v>
      </c>
      <c r="E41">
        <v>20411454</v>
      </c>
      <c r="F41" t="s">
        <v>244</v>
      </c>
      <c r="G41" t="s">
        <v>175</v>
      </c>
      <c r="H41" t="s">
        <v>149</v>
      </c>
      <c r="I41" s="1">
        <v>45717</v>
      </c>
      <c r="K41" t="s">
        <v>51</v>
      </c>
      <c r="N41" t="s">
        <v>52</v>
      </c>
      <c r="S41" s="4">
        <v>-175</v>
      </c>
      <c r="U41" t="s">
        <v>238</v>
      </c>
    </row>
    <row r="42" spans="1:23" s="7" customFormat="1" x14ac:dyDescent="0.25">
      <c r="A42" s="6">
        <v>133085724</v>
      </c>
      <c r="B42" s="5" t="str">
        <f t="shared" ref="B42:B46" si="2">CONCATENATE(A42,1)</f>
        <v>1330857241</v>
      </c>
      <c r="C42" s="7" t="s">
        <v>145</v>
      </c>
      <c r="D42" s="7" t="s">
        <v>146</v>
      </c>
      <c r="E42" s="7">
        <v>19645587</v>
      </c>
      <c r="F42" s="7" t="s">
        <v>97</v>
      </c>
      <c r="G42" s="7" t="s">
        <v>49</v>
      </c>
      <c r="H42" s="7" t="s">
        <v>147</v>
      </c>
      <c r="I42" s="8">
        <v>45809</v>
      </c>
      <c r="K42" s="7" t="s">
        <v>51</v>
      </c>
      <c r="N42" s="7" t="s">
        <v>52</v>
      </c>
      <c r="O42" s="9">
        <v>0</v>
      </c>
      <c r="P42" s="9">
        <v>182.58</v>
      </c>
      <c r="Q42" s="7">
        <v>1</v>
      </c>
      <c r="R42" s="10">
        <v>1</v>
      </c>
      <c r="S42" s="9">
        <v>182.58</v>
      </c>
      <c r="T42" s="7" t="s">
        <v>134</v>
      </c>
      <c r="U42" s="7" t="s">
        <v>240</v>
      </c>
      <c r="V42" s="7" t="s">
        <v>241</v>
      </c>
      <c r="W42" s="7">
        <f>313/12*7</f>
        <v>182.58333333333331</v>
      </c>
    </row>
    <row r="43" spans="1:23" s="7" customFormat="1" x14ac:dyDescent="0.25">
      <c r="A43" s="6">
        <v>942028233</v>
      </c>
      <c r="B43" s="5" t="str">
        <f t="shared" si="2"/>
        <v>9420282331</v>
      </c>
      <c r="C43" s="7" t="s">
        <v>154</v>
      </c>
      <c r="D43" s="7" t="s">
        <v>155</v>
      </c>
      <c r="E43" s="7">
        <v>6634327</v>
      </c>
      <c r="F43" s="7" t="s">
        <v>84</v>
      </c>
      <c r="G43" s="7" t="s">
        <v>49</v>
      </c>
      <c r="H43" s="7" t="s">
        <v>147</v>
      </c>
      <c r="I43" s="8">
        <v>45778</v>
      </c>
      <c r="K43" s="7" t="s">
        <v>51</v>
      </c>
      <c r="N43" s="7" t="s">
        <v>52</v>
      </c>
      <c r="O43" s="9">
        <v>0</v>
      </c>
      <c r="P43" s="9">
        <v>208.67</v>
      </c>
      <c r="Q43" s="7">
        <v>1</v>
      </c>
      <c r="R43" s="10">
        <v>1</v>
      </c>
      <c r="S43" s="9">
        <v>208.67</v>
      </c>
      <c r="T43" s="7" t="s">
        <v>112</v>
      </c>
      <c r="U43" s="7" t="s">
        <v>240</v>
      </c>
      <c r="V43" s="7" t="s">
        <v>242</v>
      </c>
    </row>
    <row r="44" spans="1:23" s="7" customFormat="1" x14ac:dyDescent="0.25">
      <c r="A44" s="6">
        <v>945012501</v>
      </c>
      <c r="B44" s="5" t="str">
        <f t="shared" si="2"/>
        <v>9450125011</v>
      </c>
      <c r="C44" s="7" t="s">
        <v>158</v>
      </c>
      <c r="D44" s="7" t="s">
        <v>155</v>
      </c>
      <c r="E44" s="7">
        <v>6634327</v>
      </c>
      <c r="F44" s="7" t="s">
        <v>84</v>
      </c>
      <c r="G44" s="7" t="s">
        <v>49</v>
      </c>
      <c r="H44" s="7" t="s">
        <v>147</v>
      </c>
      <c r="I44" s="8">
        <v>45778</v>
      </c>
      <c r="K44" s="7" t="s">
        <v>51</v>
      </c>
      <c r="N44" s="7" t="s">
        <v>52</v>
      </c>
      <c r="O44" s="9">
        <v>0</v>
      </c>
      <c r="P44" s="9">
        <v>208.67</v>
      </c>
      <c r="Q44" s="7">
        <v>1</v>
      </c>
      <c r="R44" s="10">
        <v>1</v>
      </c>
      <c r="S44" s="9">
        <v>208.67</v>
      </c>
      <c r="T44" s="7" t="s">
        <v>112</v>
      </c>
      <c r="U44" s="7" t="s">
        <v>240</v>
      </c>
      <c r="V44" s="7" t="s">
        <v>242</v>
      </c>
    </row>
    <row r="45" spans="1:23" s="7" customFormat="1" x14ac:dyDescent="0.25">
      <c r="A45" s="6">
        <v>971266277</v>
      </c>
      <c r="B45" s="5" t="str">
        <f t="shared" si="2"/>
        <v>9712662771</v>
      </c>
      <c r="C45" s="7" t="s">
        <v>161</v>
      </c>
      <c r="D45" s="7" t="s">
        <v>82</v>
      </c>
      <c r="E45" s="7">
        <v>6634327</v>
      </c>
      <c r="F45" s="7" t="s">
        <v>84</v>
      </c>
      <c r="G45" s="7" t="s">
        <v>49</v>
      </c>
      <c r="H45" s="7" t="s">
        <v>147</v>
      </c>
      <c r="I45" s="8">
        <v>45809</v>
      </c>
      <c r="K45" s="7" t="s">
        <v>51</v>
      </c>
      <c r="N45" s="7" t="s">
        <v>52</v>
      </c>
      <c r="O45" s="9">
        <v>0</v>
      </c>
      <c r="P45" s="9">
        <v>182.58</v>
      </c>
      <c r="Q45" s="7">
        <v>1</v>
      </c>
      <c r="R45" s="10">
        <v>1</v>
      </c>
      <c r="S45" s="9">
        <v>182.58</v>
      </c>
      <c r="T45" s="7" t="s">
        <v>134</v>
      </c>
      <c r="U45" s="7" t="s">
        <v>240</v>
      </c>
      <c r="V45" s="7" t="s">
        <v>241</v>
      </c>
    </row>
    <row r="46" spans="1:23" s="7" customFormat="1" x14ac:dyDescent="0.25">
      <c r="A46" s="6">
        <v>974593974</v>
      </c>
      <c r="B46" s="5" t="str">
        <f t="shared" si="2"/>
        <v>9745939741</v>
      </c>
      <c r="C46" s="7" t="s">
        <v>164</v>
      </c>
      <c r="D46" s="7" t="s">
        <v>82</v>
      </c>
      <c r="E46" s="7">
        <v>6634327</v>
      </c>
      <c r="F46" s="7" t="s">
        <v>84</v>
      </c>
      <c r="G46" s="7" t="s">
        <v>49</v>
      </c>
      <c r="H46" s="7" t="s">
        <v>147</v>
      </c>
      <c r="I46" s="8">
        <v>45809</v>
      </c>
      <c r="K46" s="7" t="s">
        <v>51</v>
      </c>
      <c r="N46" s="7" t="s">
        <v>52</v>
      </c>
      <c r="O46" s="9">
        <v>0</v>
      </c>
      <c r="P46" s="9">
        <v>182.58</v>
      </c>
      <c r="Q46" s="7">
        <v>1</v>
      </c>
      <c r="R46" s="10">
        <v>1</v>
      </c>
      <c r="S46" s="9">
        <v>182.58</v>
      </c>
      <c r="T46" s="7" t="s">
        <v>134</v>
      </c>
      <c r="U46" s="7" t="s">
        <v>240</v>
      </c>
      <c r="V46" s="7" t="s">
        <v>241</v>
      </c>
    </row>
    <row r="47" spans="1:23" s="7" customFormat="1" x14ac:dyDescent="0.25">
      <c r="A47" s="6" t="s">
        <v>228</v>
      </c>
      <c r="B47" s="6" t="s">
        <v>228</v>
      </c>
      <c r="C47" s="7" t="s">
        <v>95</v>
      </c>
      <c r="D47" s="7" t="s">
        <v>63</v>
      </c>
      <c r="E47" s="7">
        <v>19645587</v>
      </c>
      <c r="F47" s="7" t="s">
        <v>97</v>
      </c>
      <c r="G47" s="7" t="s">
        <v>175</v>
      </c>
      <c r="H47" s="7" t="s">
        <v>147</v>
      </c>
      <c r="I47" s="8">
        <v>45717</v>
      </c>
      <c r="K47" s="7" t="s">
        <v>51</v>
      </c>
      <c r="N47" s="7" t="s">
        <v>52</v>
      </c>
      <c r="S47" s="11">
        <v>-260.83</v>
      </c>
      <c r="U47" s="7" t="s">
        <v>240</v>
      </c>
      <c r="V47" s="7" t="s">
        <v>243</v>
      </c>
    </row>
    <row r="48" spans="1:23" s="7" customFormat="1" x14ac:dyDescent="0.25">
      <c r="A48" s="6" t="s">
        <v>231</v>
      </c>
      <c r="B48" s="6" t="s">
        <v>231</v>
      </c>
      <c r="C48" s="7" t="s">
        <v>195</v>
      </c>
      <c r="D48" s="7" t="s">
        <v>122</v>
      </c>
      <c r="E48" s="7">
        <v>16683808</v>
      </c>
      <c r="F48" s="7" t="s">
        <v>197</v>
      </c>
      <c r="G48" s="7" t="s">
        <v>175</v>
      </c>
      <c r="H48" s="7" t="s">
        <v>147</v>
      </c>
      <c r="I48" s="8">
        <v>45658</v>
      </c>
      <c r="K48" s="7" t="s">
        <v>51</v>
      </c>
      <c r="N48" s="7" t="s">
        <v>52</v>
      </c>
      <c r="S48" s="11">
        <v>-182.58</v>
      </c>
      <c r="U48" s="7" t="s">
        <v>240</v>
      </c>
      <c r="V48" s="7" t="s">
        <v>241</v>
      </c>
    </row>
    <row r="49" spans="1:22" s="7" customFormat="1" x14ac:dyDescent="0.25">
      <c r="A49" s="6" t="s">
        <v>232</v>
      </c>
      <c r="B49" s="6" t="s">
        <v>232</v>
      </c>
      <c r="C49" s="7" t="s">
        <v>99</v>
      </c>
      <c r="D49" s="7" t="s">
        <v>63</v>
      </c>
      <c r="E49" s="7">
        <v>19645587</v>
      </c>
      <c r="F49" s="7" t="s">
        <v>97</v>
      </c>
      <c r="G49" s="7" t="s">
        <v>175</v>
      </c>
      <c r="H49" s="7" t="s">
        <v>147</v>
      </c>
      <c r="I49" s="8">
        <v>45717</v>
      </c>
      <c r="K49" s="7" t="s">
        <v>51</v>
      </c>
      <c r="N49" s="7" t="s">
        <v>52</v>
      </c>
      <c r="S49" s="11">
        <v>-260.83</v>
      </c>
      <c r="U49" s="7" t="s">
        <v>240</v>
      </c>
      <c r="V49" s="7" t="s">
        <v>243</v>
      </c>
    </row>
  </sheetData>
  <sortState xmlns:xlrd2="http://schemas.microsoft.com/office/spreadsheetml/2017/richdata2" ref="A2:AM49">
    <sortCondition ref="H2:H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2025-05-21T18:18:49Z</dcterms:created>
  <dcterms:modified xsi:type="dcterms:W3CDTF">2025-05-23T20:42:00Z</dcterms:modified>
</cp:coreProperties>
</file>