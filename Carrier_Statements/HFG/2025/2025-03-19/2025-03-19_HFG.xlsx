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3-19-25\"/>
    </mc:Choice>
  </mc:AlternateContent>
  <xr:revisionPtr revIDLastSave="0" documentId="13_ncr:1_{87399C3D-0530-42BD-AC0F-B5DAC1295B0D}" xr6:coauthVersionLast="47" xr6:coauthVersionMax="47" xr10:uidLastSave="{00000000-0000-0000-0000-000000000000}"/>
  <bookViews>
    <workbookView xWindow="28680" yWindow="-120" windowWidth="29040" windowHeight="16440" activeTab="1" xr2:uid="{44198D94-9647-4F34-AA4F-6B4A35FA782F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57" i="2" l="1"/>
  <c r="B58" i="2"/>
  <c r="B59" i="2"/>
  <c r="B56" i="2"/>
  <c r="B55" i="2"/>
  <c r="B4" i="2"/>
  <c r="B5" i="2"/>
  <c r="B6" i="2"/>
  <c r="B7" i="2"/>
  <c r="B8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3" i="2"/>
  <c r="B2" i="2"/>
</calcChain>
</file>

<file path=xl/sharedStrings.xml><?xml version="1.0" encoding="utf-8"?>
<sst xmlns="http://schemas.openxmlformats.org/spreadsheetml/2006/main" count="1330" uniqueCount="285">
  <si>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</si>
  <si>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</si>
  <si>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</si>
  <si>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</si>
  <si>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</si>
  <si>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</si>
  <si>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</si>
  <si>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</si>
  <si>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</si>
  <si>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</si>
  <si>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</si>
  <si>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</si>
  <si>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</si>
  <si>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</si>
  <si>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</si>
  <si>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</si>
  <si>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</si>
  <si>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</si>
  <si>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</si>
  <si>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</si>
  <si>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</si>
  <si>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</si>
  <si>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</si>
  <si>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</si>
  <si>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</si>
  <si>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</si>
  <si>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</si>
  <si>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</si>
  <si>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</si>
  <si>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</si>
  <si>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</si>
  <si>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</si>
  <si>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</si>
  <si>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</si>
  <si>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</si>
  <si>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</si>
  <si>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</si>
  <si>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</si>
  <si>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</si>
  <si>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</si>
  <si>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</si>
  <si>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</si>
  <si>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</si>
  <si>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</si>
  <si>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'00000192144F</t>
  </si>
  <si>
    <t>RICHARD BROCKMAN</t>
  </si>
  <si>
    <t>NA</t>
  </si>
  <si>
    <t>'043705</t>
  </si>
  <si>
    <t>MICHAEL DUNAVANT</t>
  </si>
  <si>
    <t>ACTIVE</t>
  </si>
  <si>
    <t>Humana MA 2019+ Level 15- 175/108</t>
  </si>
  <si>
    <t>Monthly</t>
  </si>
  <si>
    <t>AV</t>
  </si>
  <si>
    <t>'00008794496K</t>
  </si>
  <si>
    <t>RITA RICHARDSON</t>
  </si>
  <si>
    <t>'045618</t>
  </si>
  <si>
    <t>STEPHANIE DRAPAC</t>
  </si>
  <si>
    <t>'00010220392K</t>
  </si>
  <si>
    <t>PATRICIA HUNSBERGER</t>
  </si>
  <si>
    <t>'045612</t>
  </si>
  <si>
    <t>ANTHONY HUNSBERGER</t>
  </si>
  <si>
    <t>'00013294955K</t>
  </si>
  <si>
    <t>BONNIE ONEAL</t>
  </si>
  <si>
    <t>'043969</t>
  </si>
  <si>
    <t>STACEY PORTUGAL</t>
  </si>
  <si>
    <t>Humana MA 2019+ Level 15- 175/108 Repl 2024</t>
  </si>
  <si>
    <t>'00013714586K</t>
  </si>
  <si>
    <t>ADOLFO PENA</t>
  </si>
  <si>
    <t>'043633</t>
  </si>
  <si>
    <t>RICHARD WUENSCH</t>
  </si>
  <si>
    <t>'00018658012K</t>
  </si>
  <si>
    <t>GRACIELA PENA</t>
  </si>
  <si>
    <t>'00021558272K</t>
  </si>
  <si>
    <t>NATHAN HARTRY</t>
  </si>
  <si>
    <t>'043682</t>
  </si>
  <si>
    <t>GREGORY TEIPEL</t>
  </si>
  <si>
    <t>'00023154864K</t>
  </si>
  <si>
    <t>MARINA SHARAPOVA</t>
  </si>
  <si>
    <t>'045613</t>
  </si>
  <si>
    <t>RICARDO SANTOS</t>
  </si>
  <si>
    <t>'00023154874K</t>
  </si>
  <si>
    <t>RETHA DYMOND</t>
  </si>
  <si>
    <t>'045603</t>
  </si>
  <si>
    <t>ANDREW CHOI</t>
  </si>
  <si>
    <t>'00023157542K</t>
  </si>
  <si>
    <t>THERESA REMIAS</t>
  </si>
  <si>
    <t>'00023161838K</t>
  </si>
  <si>
    <t>AIMEE COHEN</t>
  </si>
  <si>
    <t>'045638</t>
  </si>
  <si>
    <t>RICHARD YALE</t>
  </si>
  <si>
    <t>'00023163634K</t>
  </si>
  <si>
    <t>JOANNE HRONOPOULOS</t>
  </si>
  <si>
    <t>'043701</t>
  </si>
  <si>
    <t>ARNOLD ALOFF</t>
  </si>
  <si>
    <t>'00023163873K</t>
  </si>
  <si>
    <t>JAMES CLOW</t>
  </si>
  <si>
    <t>'041686</t>
  </si>
  <si>
    <t>DALE WALENGA</t>
  </si>
  <si>
    <t>'00023168907KPDP</t>
  </si>
  <si>
    <t>THOMAS BOGARDUS</t>
  </si>
  <si>
    <t>Humana PDP 2019+ Level 15- 15/0</t>
  </si>
  <si>
    <t>'00023171146K</t>
  </si>
  <si>
    <t>CHARLES KAJOHN</t>
  </si>
  <si>
    <t>'043618</t>
  </si>
  <si>
    <t>SAADIA ABDUL</t>
  </si>
  <si>
    <t>'00023171733K</t>
  </si>
  <si>
    <t>SHARI BRAMMEIER</t>
  </si>
  <si>
    <t>'00023174017K</t>
  </si>
  <si>
    <t>LORI CERNY-BRACHER</t>
  </si>
  <si>
    <t>'045611</t>
  </si>
  <si>
    <t>FRANK LISKOVEC</t>
  </si>
  <si>
    <t>'00023174321K</t>
  </si>
  <si>
    <t>KURTISH BEXHETI</t>
  </si>
  <si>
    <t>'00023177736K</t>
  </si>
  <si>
    <t>LISA COLOVOS</t>
  </si>
  <si>
    <t>'00023178815K</t>
  </si>
  <si>
    <t>RENEE FITZPATRICK</t>
  </si>
  <si>
    <t>'045605</t>
  </si>
  <si>
    <t>GARY PORTUGAL</t>
  </si>
  <si>
    <t>'023056622</t>
  </si>
  <si>
    <t>TIMOTHY STANGL</t>
  </si>
  <si>
    <t>CO</t>
  </si>
  <si>
    <t>'045621</t>
  </si>
  <si>
    <t>HEATHER GESKE</t>
  </si>
  <si>
    <t>UHC PDP Direct 2024 New Initial Prorated</t>
  </si>
  <si>
    <t>9/12 PRORATE</t>
  </si>
  <si>
    <t>'023056622OV</t>
  </si>
  <si>
    <t>UHC PDP Street payable to upline - 2025 Replace</t>
  </si>
  <si>
    <t>'023058170</t>
  </si>
  <si>
    <t>THOMAS HINKLE</t>
  </si>
  <si>
    <t>PA</t>
  </si>
  <si>
    <t>'043689</t>
  </si>
  <si>
    <t>ANNE MARIE KOZACHECK</t>
  </si>
  <si>
    <t>'023058170OV</t>
  </si>
  <si>
    <t>'101238392400</t>
  </si>
  <si>
    <t>MICHAEL WALLACE</t>
  </si>
  <si>
    <t>'043713</t>
  </si>
  <si>
    <t>JOEL LEE</t>
  </si>
  <si>
    <t>Aetna MAPD NMO to GMO - 4-1-23+  New E-App</t>
  </si>
  <si>
    <t>'101475058700</t>
  </si>
  <si>
    <t>JOANNE PIEMONTE</t>
  </si>
  <si>
    <t>IL</t>
  </si>
  <si>
    <t>Aetna MAPD NMO to GMO - 4-1-23+  Replace E-App</t>
  </si>
  <si>
    <t>10/12 PRORATE</t>
  </si>
  <si>
    <t>'101475116300</t>
  </si>
  <si>
    <t>MARK PIEMONTE</t>
  </si>
  <si>
    <t>'101485743900</t>
  </si>
  <si>
    <t>WILLIAM BRENNAN</t>
  </si>
  <si>
    <t>'101599640900</t>
  </si>
  <si>
    <t>PAMELA ROPEK</t>
  </si>
  <si>
    <t>TN</t>
  </si>
  <si>
    <t>'101873728700</t>
  </si>
  <si>
    <t>MARIA DAVILA</t>
  </si>
  <si>
    <t>'101961096900</t>
  </si>
  <si>
    <t>CHERYL BOGGS</t>
  </si>
  <si>
    <t>WI</t>
  </si>
  <si>
    <t>'102077405900</t>
  </si>
  <si>
    <t>ABIGAIL ELLIOTT</t>
  </si>
  <si>
    <t>'102151874000</t>
  </si>
  <si>
    <t>RHODA GWION</t>
  </si>
  <si>
    <t>'043743</t>
  </si>
  <si>
    <t>FREDERICK GBASSANA</t>
  </si>
  <si>
    <t>11/12 PRORATE</t>
  </si>
  <si>
    <t>'102152260000</t>
  </si>
  <si>
    <t>SEINAH KOLLIE</t>
  </si>
  <si>
    <t>DE</t>
  </si>
  <si>
    <t>'102152521300</t>
  </si>
  <si>
    <t>ROGELIA ROMAN</t>
  </si>
  <si>
    <t>'043589</t>
  </si>
  <si>
    <t>JOSE TORRES</t>
  </si>
  <si>
    <t>'102152552400</t>
  </si>
  <si>
    <t>KEVIN WILKER</t>
  </si>
  <si>
    <t>'043679</t>
  </si>
  <si>
    <t>DEBORAH INSKIPT</t>
  </si>
  <si>
    <t>'102152554700</t>
  </si>
  <si>
    <t>LAURIE CARLSON</t>
  </si>
  <si>
    <t>TX</t>
  </si>
  <si>
    <t>8/12 PRORATE</t>
  </si>
  <si>
    <t>'102152584900</t>
  </si>
  <si>
    <t>PAULA STONE BOND</t>
  </si>
  <si>
    <t>GA</t>
  </si>
  <si>
    <t>'102152902400</t>
  </si>
  <si>
    <t>DARLA DAVIS</t>
  </si>
  <si>
    <t>'043786</t>
  </si>
  <si>
    <t>MARGARET SMITH</t>
  </si>
  <si>
    <t>'102153324100</t>
  </si>
  <si>
    <t>RONALD CARLSON</t>
  </si>
  <si>
    <t>'102153409000</t>
  </si>
  <si>
    <t>HOBART KENTON</t>
  </si>
  <si>
    <t>'102153840400</t>
  </si>
  <si>
    <t>SUZANNE BRADLEY</t>
  </si>
  <si>
    <t>MI</t>
  </si>
  <si>
    <t>'102154272500</t>
  </si>
  <si>
    <t>ERYNN TAITEL</t>
  </si>
  <si>
    <t>FL</t>
  </si>
  <si>
    <t>'045622</t>
  </si>
  <si>
    <t>JACOB YALE</t>
  </si>
  <si>
    <t>'917385228</t>
  </si>
  <si>
    <t>JENNY AGUILERA</t>
  </si>
  <si>
    <t>'045709</t>
  </si>
  <si>
    <t>ESTHER HERRERA-LARSEN</t>
  </si>
  <si>
    <t>UHC MAPD Street payable to upline- 2025 Replace</t>
  </si>
  <si>
    <t>'917385228OV</t>
  </si>
  <si>
    <t>UHC MA Direct 2024 New Initial Prorated</t>
  </si>
  <si>
    <t>'971633104</t>
  </si>
  <si>
    <t>GRACIANO SOTO-ANDRADE</t>
  </si>
  <si>
    <t>'971633104OV</t>
  </si>
  <si>
    <t>UHC MA Direct 2024 New Full</t>
  </si>
  <si>
    <t>'992296804</t>
  </si>
  <si>
    <t>JIMMIE PERKINS</t>
  </si>
  <si>
    <t>UHC MAPD Street payable to upline- 2025 Pro New</t>
  </si>
  <si>
    <t>'992296804OV</t>
  </si>
  <si>
    <t>Active</t>
  </si>
  <si>
    <t>UHC MA Direct 2024 New Prorated</t>
  </si>
  <si>
    <t>CB</t>
  </si>
  <si>
    <t>'00011177340KPC</t>
  </si>
  <si>
    <t>JAMES LIGGETT</t>
  </si>
  <si>
    <t>CHARGEBACK</t>
  </si>
  <si>
    <t>'00013294955KAPC</t>
  </si>
  <si>
    <t>'00022601965KPC</t>
  </si>
  <si>
    <t>GERALDINE BEIGEL</t>
  </si>
  <si>
    <t>'00022963642KPDPPC</t>
  </si>
  <si>
    <t>MILTON FRIEDMAN</t>
  </si>
  <si>
    <t>'00023132160KCB</t>
  </si>
  <si>
    <t>JAMES MISSENDA</t>
  </si>
  <si>
    <t>'101197965500CB</t>
  </si>
  <si>
    <t>MARILYN COX</t>
  </si>
  <si>
    <t>'101847644200CB</t>
  </si>
  <si>
    <t>DIANE CLIFFORD</t>
  </si>
  <si>
    <t>'101937726400CB</t>
  </si>
  <si>
    <t>PATRICIA JACKSON</t>
  </si>
  <si>
    <t>'043740</t>
  </si>
  <si>
    <t>RANDY TAPPER</t>
  </si>
  <si>
    <t>'102069739000CB</t>
  </si>
  <si>
    <t>MARSHA KURTH</t>
  </si>
  <si>
    <t>'102082435800CB</t>
  </si>
  <si>
    <t>JAMES HADDAD</t>
  </si>
  <si>
    <t>'043736</t>
  </si>
  <si>
    <t>DENNIS HOLYN</t>
  </si>
  <si>
    <t>'992296804OVCB</t>
  </si>
  <si>
    <t>Aetna MAPD OVR 2025</t>
  </si>
  <si>
    <t>Humana MAPD OVR 2025</t>
  </si>
  <si>
    <t>101197965500CB</t>
  </si>
  <si>
    <t>101847644200CB</t>
  </si>
  <si>
    <t>101937726400CB</t>
  </si>
  <si>
    <t>102069739000CB</t>
  </si>
  <si>
    <t>102082435800CB</t>
  </si>
  <si>
    <t>00000192144F</t>
  </si>
  <si>
    <t>00008794496K</t>
  </si>
  <si>
    <t>00010220392K</t>
  </si>
  <si>
    <t>00013714586K</t>
  </si>
  <si>
    <t>00018658012K</t>
  </si>
  <si>
    <t>00021558272K</t>
  </si>
  <si>
    <t>00023154864K</t>
  </si>
  <si>
    <t>00023154874K</t>
  </si>
  <si>
    <t>00023157542K</t>
  </si>
  <si>
    <t>00023161838K</t>
  </si>
  <si>
    <t>00023163634K</t>
  </si>
  <si>
    <t>00023163873K</t>
  </si>
  <si>
    <t>00023171146K</t>
  </si>
  <si>
    <t>00023171733K</t>
  </si>
  <si>
    <t>00023174017K</t>
  </si>
  <si>
    <t>00023174321K</t>
  </si>
  <si>
    <t>00023177736K</t>
  </si>
  <si>
    <t>00023178815K</t>
  </si>
  <si>
    <t>00011177340KPC</t>
  </si>
  <si>
    <t>00022601965KPC</t>
  </si>
  <si>
    <t>00023132160KCB</t>
  </si>
  <si>
    <t>00013294955K</t>
  </si>
  <si>
    <t>00013294955KAPC</t>
  </si>
  <si>
    <t>00023168907KPDP</t>
  </si>
  <si>
    <t>00022963642KPDPPC</t>
  </si>
  <si>
    <t>971633104OV</t>
  </si>
  <si>
    <t>917385228OV</t>
  </si>
  <si>
    <t>992296804OVCB</t>
  </si>
  <si>
    <t>992296804OV</t>
  </si>
  <si>
    <t>023056622OV</t>
  </si>
  <si>
    <t>023058170OV</t>
  </si>
  <si>
    <t>UHC MAPD Ovr 2025</t>
  </si>
  <si>
    <t>UHC PDP 2025!</t>
  </si>
  <si>
    <t>UHC 2025</t>
  </si>
  <si>
    <t>UHC MAPD 2025*</t>
  </si>
  <si>
    <t>[%/$=626][prorate=10/12]</t>
  </si>
  <si>
    <t>[%/$=313][prorate=9/12]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</si>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</sst>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Fill="1"/>
    <xf numFmtId="0" fontId="0" fillId="0" borderId="0" xfId="0" applyFill="1"/>
    <xf numFmtId="0" fontId="0" fillId="0" borderId="0" xfId="0" applyNumberFormat="1" applyFill="1"/>
    <xf numFmtId="1" fontId="0" fillId="0" borderId="0" xfId="0" applyNumberFormat="1" applyFill="1" applyAlignment="1">
      <alignment horizontal="left"/>
    </xf>
    <xf numFmtId="14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3BF9-C6F3-461C-ABF3-3CCA72AE6E65}">
  <dimension ref="A1:AL61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45734</v>
      </c>
      <c r="B2" s="1">
        <v>45735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45748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5199385</v>
      </c>
    </row>
    <row r="3" spans="1:38" x14ac:dyDescent="0.25">
      <c r="A3" s="1">
        <v>45734</v>
      </c>
      <c r="B3" s="1">
        <v>45735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45717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5199400</v>
      </c>
    </row>
    <row r="4" spans="1:38" x14ac:dyDescent="0.25">
      <c r="A4" s="1">
        <v>45734</v>
      </c>
      <c r="B4" s="1">
        <v>45735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46</v>
      </c>
      <c r="O4" t="s">
        <v>59</v>
      </c>
      <c r="P4" t="s">
        <v>60</v>
      </c>
      <c r="Q4" t="s">
        <v>49</v>
      </c>
      <c r="R4" t="s">
        <v>50</v>
      </c>
      <c r="S4" s="1">
        <v>45748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5199406</v>
      </c>
    </row>
    <row r="5" spans="1:38" x14ac:dyDescent="0.25">
      <c r="A5" s="1">
        <v>45734</v>
      </c>
      <c r="B5" s="1">
        <v>45735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46</v>
      </c>
      <c r="O5" t="s">
        <v>63</v>
      </c>
      <c r="P5" t="s">
        <v>64</v>
      </c>
      <c r="Q5" t="s">
        <v>49</v>
      </c>
      <c r="R5" t="s">
        <v>65</v>
      </c>
      <c r="S5" s="1">
        <v>45748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5199414</v>
      </c>
    </row>
    <row r="6" spans="1:38" x14ac:dyDescent="0.25">
      <c r="A6" s="1">
        <v>45734</v>
      </c>
      <c r="B6" s="1">
        <v>45735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46</v>
      </c>
      <c r="O6" t="s">
        <v>68</v>
      </c>
      <c r="P6" t="s">
        <v>69</v>
      </c>
      <c r="Q6" t="s">
        <v>49</v>
      </c>
      <c r="R6" t="s">
        <v>50</v>
      </c>
      <c r="S6" s="1">
        <v>45748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5199419</v>
      </c>
    </row>
    <row r="7" spans="1:38" x14ac:dyDescent="0.25">
      <c r="A7" s="1">
        <v>45734</v>
      </c>
      <c r="B7" s="1">
        <v>45735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46</v>
      </c>
      <c r="O7" t="s">
        <v>68</v>
      </c>
      <c r="P7" t="s">
        <v>69</v>
      </c>
      <c r="Q7" t="s">
        <v>49</v>
      </c>
      <c r="R7" t="s">
        <v>50</v>
      </c>
      <c r="S7" s="1">
        <v>45748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5199436</v>
      </c>
    </row>
    <row r="8" spans="1:38" x14ac:dyDescent="0.25">
      <c r="A8" s="1">
        <v>45734</v>
      </c>
      <c r="B8" s="1">
        <v>45735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72</v>
      </c>
      <c r="J8" t="s">
        <v>73</v>
      </c>
      <c r="M8" t="s">
        <v>46</v>
      </c>
      <c r="O8" t="s">
        <v>74</v>
      </c>
      <c r="P8" t="s">
        <v>75</v>
      </c>
      <c r="Q8" t="s">
        <v>49</v>
      </c>
      <c r="R8" t="s">
        <v>50</v>
      </c>
      <c r="S8" s="1">
        <v>45748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5199452</v>
      </c>
    </row>
    <row r="9" spans="1:38" x14ac:dyDescent="0.25">
      <c r="A9" s="1">
        <v>45734</v>
      </c>
      <c r="B9" s="1">
        <v>45735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46</v>
      </c>
      <c r="O9" t="s">
        <v>78</v>
      </c>
      <c r="P9" t="s">
        <v>79</v>
      </c>
      <c r="Q9" t="s">
        <v>49</v>
      </c>
      <c r="R9" t="s">
        <v>50</v>
      </c>
      <c r="S9" s="1">
        <v>45748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5199473</v>
      </c>
    </row>
    <row r="10" spans="1:38" x14ac:dyDescent="0.25">
      <c r="A10" s="1">
        <v>45734</v>
      </c>
      <c r="B10" s="1">
        <v>45735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82</v>
      </c>
      <c r="P10" t="s">
        <v>83</v>
      </c>
      <c r="Q10" t="s">
        <v>49</v>
      </c>
      <c r="R10" t="s">
        <v>50</v>
      </c>
      <c r="S10" s="1">
        <v>45748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5199474</v>
      </c>
    </row>
    <row r="11" spans="1:38" x14ac:dyDescent="0.25">
      <c r="A11" s="1">
        <v>45734</v>
      </c>
      <c r="B11" s="1">
        <v>45735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46</v>
      </c>
      <c r="O11" t="s">
        <v>82</v>
      </c>
      <c r="P11" t="s">
        <v>83</v>
      </c>
      <c r="Q11" t="s">
        <v>49</v>
      </c>
      <c r="R11" t="s">
        <v>50</v>
      </c>
      <c r="S11" s="1">
        <v>45748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5199485</v>
      </c>
    </row>
    <row r="12" spans="1:38" x14ac:dyDescent="0.25">
      <c r="A12" s="1">
        <v>45734</v>
      </c>
      <c r="B12" s="1">
        <v>45735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86</v>
      </c>
      <c r="J12" t="s">
        <v>87</v>
      </c>
      <c r="M12" t="s">
        <v>46</v>
      </c>
      <c r="O12" t="s">
        <v>88</v>
      </c>
      <c r="P12" t="s">
        <v>89</v>
      </c>
      <c r="Q12" t="s">
        <v>49</v>
      </c>
      <c r="R12" t="s">
        <v>50</v>
      </c>
      <c r="S12" s="1">
        <v>45748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5199497</v>
      </c>
    </row>
    <row r="13" spans="1:38" x14ac:dyDescent="0.25">
      <c r="A13" s="1">
        <v>45734</v>
      </c>
      <c r="B13" s="1">
        <v>45735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46</v>
      </c>
      <c r="O13" t="s">
        <v>92</v>
      </c>
      <c r="P13" t="s">
        <v>93</v>
      </c>
      <c r="Q13" t="s">
        <v>49</v>
      </c>
      <c r="R13" t="s">
        <v>50</v>
      </c>
      <c r="S13" s="1">
        <v>45717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5199502</v>
      </c>
    </row>
    <row r="14" spans="1:38" x14ac:dyDescent="0.25">
      <c r="A14" s="1">
        <v>45734</v>
      </c>
      <c r="B14" s="1">
        <v>45735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94</v>
      </c>
      <c r="J14" t="s">
        <v>95</v>
      </c>
      <c r="M14" t="s">
        <v>46</v>
      </c>
      <c r="O14" t="s">
        <v>96</v>
      </c>
      <c r="P14" t="s">
        <v>97</v>
      </c>
      <c r="Q14" t="s">
        <v>49</v>
      </c>
      <c r="R14" t="s">
        <v>50</v>
      </c>
      <c r="S14" s="1">
        <v>45748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5199503</v>
      </c>
    </row>
    <row r="15" spans="1:38" x14ac:dyDescent="0.25">
      <c r="A15" s="1">
        <v>45734</v>
      </c>
      <c r="B15" s="1">
        <v>45735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46</v>
      </c>
      <c r="O15" t="s">
        <v>82</v>
      </c>
      <c r="P15" t="s">
        <v>83</v>
      </c>
      <c r="Q15" t="s">
        <v>49</v>
      </c>
      <c r="R15" t="s">
        <v>100</v>
      </c>
      <c r="S15" s="1">
        <v>45809</v>
      </c>
      <c r="U15" t="s">
        <v>51</v>
      </c>
      <c r="X15" t="s">
        <v>52</v>
      </c>
      <c r="Y15" s="2">
        <v>0</v>
      </c>
      <c r="Z15" s="2">
        <v>15</v>
      </c>
      <c r="AA15">
        <v>1</v>
      </c>
      <c r="AB15" s="3">
        <v>1</v>
      </c>
      <c r="AC15" s="2">
        <v>15</v>
      </c>
      <c r="AD15" s="3">
        <v>0</v>
      </c>
      <c r="AE15" s="2">
        <v>0</v>
      </c>
      <c r="AF15" s="2">
        <v>15</v>
      </c>
      <c r="AK15">
        <v>5199516</v>
      </c>
    </row>
    <row r="16" spans="1:38" x14ac:dyDescent="0.25">
      <c r="A16" s="1">
        <v>45734</v>
      </c>
      <c r="B16" s="1">
        <v>45735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101</v>
      </c>
      <c r="J16" t="s">
        <v>102</v>
      </c>
      <c r="M16" t="s">
        <v>46</v>
      </c>
      <c r="O16" t="s">
        <v>103</v>
      </c>
      <c r="P16" t="s">
        <v>104</v>
      </c>
      <c r="Q16" t="s">
        <v>49</v>
      </c>
      <c r="R16" t="s">
        <v>50</v>
      </c>
      <c r="S16" s="1">
        <v>45748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5199526</v>
      </c>
    </row>
    <row r="17" spans="1:38" x14ac:dyDescent="0.25">
      <c r="A17" s="1">
        <v>45734</v>
      </c>
      <c r="B17" s="1">
        <v>45735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105</v>
      </c>
      <c r="J17" t="s">
        <v>106</v>
      </c>
      <c r="M17" t="s">
        <v>46</v>
      </c>
      <c r="O17" t="s">
        <v>47</v>
      </c>
      <c r="P17" t="s">
        <v>48</v>
      </c>
      <c r="Q17" t="s">
        <v>49</v>
      </c>
      <c r="R17" t="s">
        <v>50</v>
      </c>
      <c r="S17" s="1">
        <v>45809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5199529</v>
      </c>
    </row>
    <row r="18" spans="1:38" x14ac:dyDescent="0.25">
      <c r="A18" s="1">
        <v>45734</v>
      </c>
      <c r="B18" s="1">
        <v>45735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107</v>
      </c>
      <c r="J18" t="s">
        <v>108</v>
      </c>
      <c r="M18" t="s">
        <v>46</v>
      </c>
      <c r="O18" t="s">
        <v>109</v>
      </c>
      <c r="P18" t="s">
        <v>110</v>
      </c>
      <c r="Q18" t="s">
        <v>49</v>
      </c>
      <c r="R18" t="s">
        <v>50</v>
      </c>
      <c r="S18" s="1">
        <v>45778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5199538</v>
      </c>
    </row>
    <row r="19" spans="1:38" x14ac:dyDescent="0.25">
      <c r="A19" s="1">
        <v>45734</v>
      </c>
      <c r="B19" s="1">
        <v>45735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46</v>
      </c>
      <c r="O19" t="s">
        <v>59</v>
      </c>
      <c r="P19" t="s">
        <v>60</v>
      </c>
      <c r="Q19" t="s">
        <v>49</v>
      </c>
      <c r="R19" t="s">
        <v>50</v>
      </c>
      <c r="S19" s="1">
        <v>45748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5199541</v>
      </c>
    </row>
    <row r="20" spans="1:38" x14ac:dyDescent="0.25">
      <c r="A20" s="1">
        <v>45734</v>
      </c>
      <c r="B20" s="1">
        <v>45735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113</v>
      </c>
      <c r="J20" t="s">
        <v>114</v>
      </c>
      <c r="M20" t="s">
        <v>46</v>
      </c>
      <c r="O20" t="s">
        <v>59</v>
      </c>
      <c r="P20" t="s">
        <v>60</v>
      </c>
      <c r="Q20" t="s">
        <v>49</v>
      </c>
      <c r="R20" t="s">
        <v>50</v>
      </c>
      <c r="S20" s="1">
        <v>45748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5199555</v>
      </c>
    </row>
    <row r="21" spans="1:38" x14ac:dyDescent="0.25">
      <c r="A21" s="1">
        <v>45734</v>
      </c>
      <c r="B21" s="1">
        <v>45735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115</v>
      </c>
      <c r="J21" t="s">
        <v>116</v>
      </c>
      <c r="M21" t="s">
        <v>46</v>
      </c>
      <c r="O21" t="s">
        <v>117</v>
      </c>
      <c r="P21" t="s">
        <v>118</v>
      </c>
      <c r="Q21" t="s">
        <v>49</v>
      </c>
      <c r="R21" t="s">
        <v>50</v>
      </c>
      <c r="S21" s="1">
        <v>45748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5199558</v>
      </c>
    </row>
    <row r="22" spans="1:38" x14ac:dyDescent="0.25">
      <c r="A22" s="1">
        <v>45734</v>
      </c>
      <c r="B22" s="1">
        <v>45735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119</v>
      </c>
      <c r="J22" t="s">
        <v>120</v>
      </c>
      <c r="M22" t="s">
        <v>121</v>
      </c>
      <c r="O22" t="s">
        <v>122</v>
      </c>
      <c r="P22" t="s">
        <v>123</v>
      </c>
      <c r="Q22" t="s">
        <v>49</v>
      </c>
      <c r="R22" t="s">
        <v>124</v>
      </c>
      <c r="S22" s="1">
        <v>45748</v>
      </c>
      <c r="U22" t="s">
        <v>51</v>
      </c>
      <c r="X22" t="s">
        <v>52</v>
      </c>
      <c r="Y22" s="2">
        <v>0</v>
      </c>
      <c r="Z22" s="2">
        <v>0</v>
      </c>
      <c r="AA22">
        <v>1</v>
      </c>
      <c r="AB22" s="3">
        <v>0</v>
      </c>
      <c r="AC22" s="2">
        <v>0</v>
      </c>
      <c r="AD22" s="3">
        <v>0</v>
      </c>
      <c r="AE22" s="2">
        <v>0</v>
      </c>
      <c r="AF22" s="2">
        <v>0</v>
      </c>
      <c r="AK22">
        <v>5199682</v>
      </c>
      <c r="AL22" t="s">
        <v>125</v>
      </c>
    </row>
    <row r="23" spans="1:38" x14ac:dyDescent="0.25">
      <c r="A23" s="1">
        <v>45734</v>
      </c>
      <c r="B23" s="1">
        <v>45735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126</v>
      </c>
      <c r="J23" t="s">
        <v>120</v>
      </c>
      <c r="M23" t="s">
        <v>121</v>
      </c>
      <c r="O23" t="s">
        <v>122</v>
      </c>
      <c r="P23" t="s">
        <v>123</v>
      </c>
      <c r="Q23" t="s">
        <v>49</v>
      </c>
      <c r="R23" t="s">
        <v>127</v>
      </c>
      <c r="S23" s="1">
        <v>45748</v>
      </c>
      <c r="U23" t="s">
        <v>51</v>
      </c>
      <c r="X23" t="s">
        <v>52</v>
      </c>
      <c r="Y23" s="2">
        <v>0</v>
      </c>
      <c r="Z23" s="2">
        <v>41.25</v>
      </c>
      <c r="AA23">
        <v>1</v>
      </c>
      <c r="AB23" s="3">
        <v>1</v>
      </c>
      <c r="AC23" s="2">
        <v>41.25</v>
      </c>
      <c r="AD23" s="3">
        <v>0</v>
      </c>
      <c r="AE23" s="2">
        <v>0</v>
      </c>
      <c r="AF23" s="2">
        <v>41.25</v>
      </c>
      <c r="AK23">
        <v>5199683</v>
      </c>
      <c r="AL23" t="s">
        <v>125</v>
      </c>
    </row>
    <row r="24" spans="1:38" x14ac:dyDescent="0.25">
      <c r="A24" s="1">
        <v>45734</v>
      </c>
      <c r="B24" s="1">
        <v>45735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128</v>
      </c>
      <c r="J24" t="s">
        <v>129</v>
      </c>
      <c r="M24" t="s">
        <v>130</v>
      </c>
      <c r="O24" t="s">
        <v>131</v>
      </c>
      <c r="P24" t="s">
        <v>132</v>
      </c>
      <c r="Q24" t="s">
        <v>49</v>
      </c>
      <c r="R24" t="s">
        <v>124</v>
      </c>
      <c r="S24" s="1">
        <v>45748</v>
      </c>
      <c r="U24" t="s">
        <v>51</v>
      </c>
      <c r="X24" t="s">
        <v>52</v>
      </c>
      <c r="Y24" s="2">
        <v>0</v>
      </c>
      <c r="Z24" s="2">
        <v>0</v>
      </c>
      <c r="AA24">
        <v>1</v>
      </c>
      <c r="AB24" s="3">
        <v>0</v>
      </c>
      <c r="AC24" s="2">
        <v>0</v>
      </c>
      <c r="AD24" s="3">
        <v>0</v>
      </c>
      <c r="AE24" s="2">
        <v>0</v>
      </c>
      <c r="AF24" s="2">
        <v>0</v>
      </c>
      <c r="AK24">
        <v>5199684</v>
      </c>
      <c r="AL24" t="s">
        <v>125</v>
      </c>
    </row>
    <row r="25" spans="1:38" x14ac:dyDescent="0.25">
      <c r="A25" s="1">
        <v>45734</v>
      </c>
      <c r="B25" s="1">
        <v>45735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133</v>
      </c>
      <c r="J25" t="s">
        <v>129</v>
      </c>
      <c r="M25" t="s">
        <v>130</v>
      </c>
      <c r="O25" t="s">
        <v>131</v>
      </c>
      <c r="P25" t="s">
        <v>132</v>
      </c>
      <c r="Q25" t="s">
        <v>49</v>
      </c>
      <c r="R25" t="s">
        <v>127</v>
      </c>
      <c r="S25" s="1">
        <v>45748</v>
      </c>
      <c r="U25" t="s">
        <v>51</v>
      </c>
      <c r="X25" t="s">
        <v>52</v>
      </c>
      <c r="Y25" s="2">
        <v>0</v>
      </c>
      <c r="Z25" s="2">
        <v>41.25</v>
      </c>
      <c r="AA25">
        <v>1</v>
      </c>
      <c r="AB25" s="3">
        <v>1</v>
      </c>
      <c r="AC25" s="2">
        <v>41.25</v>
      </c>
      <c r="AD25" s="3">
        <v>0</v>
      </c>
      <c r="AE25" s="2">
        <v>0</v>
      </c>
      <c r="AF25" s="2">
        <v>41.25</v>
      </c>
      <c r="AK25">
        <v>5199685</v>
      </c>
      <c r="AL25" t="s">
        <v>125</v>
      </c>
    </row>
    <row r="26" spans="1:38" x14ac:dyDescent="0.25">
      <c r="A26" s="1">
        <v>45734</v>
      </c>
      <c r="B26" s="1">
        <v>45735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134</v>
      </c>
      <c r="J26" t="s">
        <v>135</v>
      </c>
      <c r="M26" t="s">
        <v>121</v>
      </c>
      <c r="O26" t="s">
        <v>136</v>
      </c>
      <c r="P26" t="s">
        <v>137</v>
      </c>
      <c r="Q26" t="s">
        <v>49</v>
      </c>
      <c r="R26" t="s">
        <v>138</v>
      </c>
      <c r="S26" s="1">
        <v>45658</v>
      </c>
      <c r="U26" t="s">
        <v>51</v>
      </c>
      <c r="X26" t="s">
        <v>52</v>
      </c>
      <c r="Y26" s="2">
        <v>0</v>
      </c>
      <c r="Z26" s="2">
        <v>50</v>
      </c>
      <c r="AA26">
        <v>1</v>
      </c>
      <c r="AB26" s="3">
        <v>1</v>
      </c>
      <c r="AC26" s="2">
        <v>50</v>
      </c>
      <c r="AD26" s="3">
        <v>0</v>
      </c>
      <c r="AE26" s="2">
        <v>0</v>
      </c>
      <c r="AF26" s="2">
        <v>50</v>
      </c>
      <c r="AK26">
        <v>5199315</v>
      </c>
    </row>
    <row r="27" spans="1:38" x14ac:dyDescent="0.25">
      <c r="A27" s="1">
        <v>45734</v>
      </c>
      <c r="B27" s="1">
        <v>45735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139</v>
      </c>
      <c r="J27" t="s">
        <v>140</v>
      </c>
      <c r="M27" t="s">
        <v>141</v>
      </c>
      <c r="O27" t="s">
        <v>109</v>
      </c>
      <c r="P27" t="s">
        <v>110</v>
      </c>
      <c r="Q27" t="s">
        <v>49</v>
      </c>
      <c r="R27" t="s">
        <v>142</v>
      </c>
      <c r="S27" s="1">
        <v>45717</v>
      </c>
      <c r="U27" t="s">
        <v>51</v>
      </c>
      <c r="X27" t="s">
        <v>52</v>
      </c>
      <c r="Y27" s="2">
        <v>0</v>
      </c>
      <c r="Z27" s="2">
        <v>41.67</v>
      </c>
      <c r="AA27">
        <v>1</v>
      </c>
      <c r="AB27" s="3">
        <v>1</v>
      </c>
      <c r="AC27" s="2">
        <v>41.67</v>
      </c>
      <c r="AD27" s="3">
        <v>0</v>
      </c>
      <c r="AE27" s="2">
        <v>0</v>
      </c>
      <c r="AF27" s="2">
        <v>41.67</v>
      </c>
      <c r="AK27">
        <v>5199177</v>
      </c>
      <c r="AL27" t="s">
        <v>143</v>
      </c>
    </row>
    <row r="28" spans="1:38" x14ac:dyDescent="0.25">
      <c r="A28" s="1">
        <v>45734</v>
      </c>
      <c r="B28" s="1">
        <v>45735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144</v>
      </c>
      <c r="J28" t="s">
        <v>145</v>
      </c>
      <c r="M28" t="s">
        <v>141</v>
      </c>
      <c r="O28" t="s">
        <v>109</v>
      </c>
      <c r="P28" t="s">
        <v>110</v>
      </c>
      <c r="Q28" t="s">
        <v>49</v>
      </c>
      <c r="R28" t="s">
        <v>142</v>
      </c>
      <c r="S28" s="1">
        <v>45717</v>
      </c>
      <c r="U28" t="s">
        <v>51</v>
      </c>
      <c r="X28" t="s">
        <v>52</v>
      </c>
      <c r="Y28" s="2">
        <v>0</v>
      </c>
      <c r="Z28" s="2">
        <v>41.67</v>
      </c>
      <c r="AA28">
        <v>1</v>
      </c>
      <c r="AB28" s="3">
        <v>1</v>
      </c>
      <c r="AC28" s="2">
        <v>41.67</v>
      </c>
      <c r="AD28" s="3">
        <v>0</v>
      </c>
      <c r="AE28" s="2">
        <v>0</v>
      </c>
      <c r="AF28" s="2">
        <v>41.67</v>
      </c>
      <c r="AK28">
        <v>5199178</v>
      </c>
      <c r="AL28" t="s">
        <v>143</v>
      </c>
    </row>
    <row r="29" spans="1:38" x14ac:dyDescent="0.25">
      <c r="A29" s="1">
        <v>45734</v>
      </c>
      <c r="B29" s="1">
        <v>45735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146</v>
      </c>
      <c r="J29" t="s">
        <v>147</v>
      </c>
      <c r="M29" t="s">
        <v>141</v>
      </c>
      <c r="O29" t="s">
        <v>82</v>
      </c>
      <c r="P29" t="s">
        <v>83</v>
      </c>
      <c r="Q29" t="s">
        <v>49</v>
      </c>
      <c r="R29" t="s">
        <v>142</v>
      </c>
      <c r="S29" s="1">
        <v>45717</v>
      </c>
      <c r="U29" t="s">
        <v>51</v>
      </c>
      <c r="X29" t="s">
        <v>52</v>
      </c>
      <c r="Y29" s="2">
        <v>0</v>
      </c>
      <c r="Z29" s="2">
        <v>41.67</v>
      </c>
      <c r="AA29">
        <v>1</v>
      </c>
      <c r="AB29" s="3">
        <v>1</v>
      </c>
      <c r="AC29" s="2">
        <v>41.67</v>
      </c>
      <c r="AD29" s="3">
        <v>0</v>
      </c>
      <c r="AE29" s="2">
        <v>0</v>
      </c>
      <c r="AF29" s="2">
        <v>41.67</v>
      </c>
      <c r="AK29">
        <v>5199180</v>
      </c>
      <c r="AL29" t="s">
        <v>143</v>
      </c>
    </row>
    <row r="30" spans="1:38" x14ac:dyDescent="0.25">
      <c r="A30" s="1">
        <v>45734</v>
      </c>
      <c r="B30" s="1">
        <v>45735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148</v>
      </c>
      <c r="J30" t="s">
        <v>149</v>
      </c>
      <c r="M30" t="s">
        <v>150</v>
      </c>
      <c r="O30" t="s">
        <v>117</v>
      </c>
      <c r="P30" t="s">
        <v>118</v>
      </c>
      <c r="Q30" t="s">
        <v>49</v>
      </c>
      <c r="R30" t="s">
        <v>142</v>
      </c>
      <c r="S30" s="1">
        <v>45717</v>
      </c>
      <c r="U30" t="s">
        <v>51</v>
      </c>
      <c r="X30" t="s">
        <v>52</v>
      </c>
      <c r="Y30" s="2">
        <v>0</v>
      </c>
      <c r="Z30" s="2">
        <v>41.67</v>
      </c>
      <c r="AA30">
        <v>1</v>
      </c>
      <c r="AB30" s="3">
        <v>1</v>
      </c>
      <c r="AC30" s="2">
        <v>41.67</v>
      </c>
      <c r="AD30" s="3">
        <v>0</v>
      </c>
      <c r="AE30" s="2">
        <v>0</v>
      </c>
      <c r="AF30" s="2">
        <v>41.67</v>
      </c>
      <c r="AK30">
        <v>5199184</v>
      </c>
      <c r="AL30" t="s">
        <v>143</v>
      </c>
    </row>
    <row r="31" spans="1:38" x14ac:dyDescent="0.25">
      <c r="A31" s="1">
        <v>45734</v>
      </c>
      <c r="B31" s="1">
        <v>45735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151</v>
      </c>
      <c r="J31" t="s">
        <v>152</v>
      </c>
      <c r="M31" t="s">
        <v>141</v>
      </c>
      <c r="O31" t="s">
        <v>117</v>
      </c>
      <c r="P31" t="s">
        <v>118</v>
      </c>
      <c r="Q31" t="s">
        <v>49</v>
      </c>
      <c r="R31" t="s">
        <v>138</v>
      </c>
      <c r="S31" s="1">
        <v>45658</v>
      </c>
      <c r="U31" t="s">
        <v>51</v>
      </c>
      <c r="X31" t="s">
        <v>52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5199196</v>
      </c>
    </row>
    <row r="32" spans="1:38" x14ac:dyDescent="0.25">
      <c r="A32" s="1">
        <v>45734</v>
      </c>
      <c r="B32" s="1">
        <v>45735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153</v>
      </c>
      <c r="J32" t="s">
        <v>154</v>
      </c>
      <c r="M32" t="s">
        <v>155</v>
      </c>
      <c r="O32" t="s">
        <v>74</v>
      </c>
      <c r="P32" t="s">
        <v>75</v>
      </c>
      <c r="Q32" t="s">
        <v>49</v>
      </c>
      <c r="R32" t="s">
        <v>142</v>
      </c>
      <c r="S32" s="1">
        <v>45717</v>
      </c>
      <c r="U32" t="s">
        <v>51</v>
      </c>
      <c r="X32" t="s">
        <v>52</v>
      </c>
      <c r="Y32" s="2">
        <v>0</v>
      </c>
      <c r="Z32" s="2">
        <v>41.67</v>
      </c>
      <c r="AA32">
        <v>1</v>
      </c>
      <c r="AB32" s="3">
        <v>1</v>
      </c>
      <c r="AC32" s="2">
        <v>41.67</v>
      </c>
      <c r="AD32" s="3">
        <v>0</v>
      </c>
      <c r="AE32" s="2">
        <v>0</v>
      </c>
      <c r="AF32" s="2">
        <v>41.67</v>
      </c>
      <c r="AK32">
        <v>5199206</v>
      </c>
      <c r="AL32" t="s">
        <v>143</v>
      </c>
    </row>
    <row r="33" spans="1:38" x14ac:dyDescent="0.25">
      <c r="A33" s="1">
        <v>45734</v>
      </c>
      <c r="B33" s="1">
        <v>45735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156</v>
      </c>
      <c r="J33" t="s">
        <v>157</v>
      </c>
      <c r="M33" t="s">
        <v>46</v>
      </c>
      <c r="O33" t="s">
        <v>63</v>
      </c>
      <c r="P33" t="s">
        <v>64</v>
      </c>
      <c r="Q33" t="s">
        <v>49</v>
      </c>
      <c r="R33" t="s">
        <v>142</v>
      </c>
      <c r="S33" s="1">
        <v>45717</v>
      </c>
      <c r="U33" t="s">
        <v>51</v>
      </c>
      <c r="X33" t="s">
        <v>52</v>
      </c>
      <c r="Y33" s="2">
        <v>0</v>
      </c>
      <c r="Z33" s="2">
        <v>41.67</v>
      </c>
      <c r="AA33">
        <v>1</v>
      </c>
      <c r="AB33" s="3">
        <v>1</v>
      </c>
      <c r="AC33" s="2">
        <v>41.67</v>
      </c>
      <c r="AD33" s="3">
        <v>0</v>
      </c>
      <c r="AE33" s="2">
        <v>0</v>
      </c>
      <c r="AF33" s="2">
        <v>41.67</v>
      </c>
      <c r="AK33">
        <v>5199214</v>
      </c>
      <c r="AL33" t="s">
        <v>143</v>
      </c>
    </row>
    <row r="34" spans="1:38" x14ac:dyDescent="0.25">
      <c r="A34" s="1">
        <v>45734</v>
      </c>
      <c r="B34" s="1">
        <v>45735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158</v>
      </c>
      <c r="J34" t="s">
        <v>159</v>
      </c>
      <c r="M34" t="s">
        <v>130</v>
      </c>
      <c r="O34" t="s">
        <v>160</v>
      </c>
      <c r="P34" t="s">
        <v>161</v>
      </c>
      <c r="Q34" t="s">
        <v>49</v>
      </c>
      <c r="R34" t="s">
        <v>142</v>
      </c>
      <c r="S34" s="1">
        <v>45689</v>
      </c>
      <c r="U34" t="s">
        <v>51</v>
      </c>
      <c r="X34" t="s">
        <v>52</v>
      </c>
      <c r="Y34" s="2">
        <v>0</v>
      </c>
      <c r="Z34" s="2">
        <v>45.83</v>
      </c>
      <c r="AA34">
        <v>1</v>
      </c>
      <c r="AB34" s="3">
        <v>1</v>
      </c>
      <c r="AC34" s="2">
        <v>45.83</v>
      </c>
      <c r="AD34" s="3">
        <v>0</v>
      </c>
      <c r="AE34" s="2">
        <v>0</v>
      </c>
      <c r="AF34" s="2">
        <v>45.83</v>
      </c>
      <c r="AK34">
        <v>5199223</v>
      </c>
      <c r="AL34" t="s">
        <v>162</v>
      </c>
    </row>
    <row r="35" spans="1:38" x14ac:dyDescent="0.25">
      <c r="A35" s="1">
        <v>45734</v>
      </c>
      <c r="B35" s="1">
        <v>45735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163</v>
      </c>
      <c r="J35" t="s">
        <v>164</v>
      </c>
      <c r="M35" t="s">
        <v>165</v>
      </c>
      <c r="O35" t="s">
        <v>160</v>
      </c>
      <c r="P35" t="s">
        <v>161</v>
      </c>
      <c r="Q35" t="s">
        <v>49</v>
      </c>
      <c r="R35" t="s">
        <v>142</v>
      </c>
      <c r="S35" s="1">
        <v>45717</v>
      </c>
      <c r="U35" t="s">
        <v>51</v>
      </c>
      <c r="X35" t="s">
        <v>52</v>
      </c>
      <c r="Y35" s="2">
        <v>0</v>
      </c>
      <c r="Z35" s="2">
        <v>41.67</v>
      </c>
      <c r="AA35">
        <v>1</v>
      </c>
      <c r="AB35" s="3">
        <v>1</v>
      </c>
      <c r="AC35" s="2">
        <v>41.67</v>
      </c>
      <c r="AD35" s="3">
        <v>0</v>
      </c>
      <c r="AE35" s="2">
        <v>0</v>
      </c>
      <c r="AF35" s="2">
        <v>41.67</v>
      </c>
      <c r="AK35">
        <v>5199235</v>
      </c>
      <c r="AL35" t="s">
        <v>143</v>
      </c>
    </row>
    <row r="36" spans="1:38" x14ac:dyDescent="0.25">
      <c r="A36" s="1">
        <v>45734</v>
      </c>
      <c r="B36" s="1">
        <v>45735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166</v>
      </c>
      <c r="J36" t="s">
        <v>167</v>
      </c>
      <c r="M36" t="s">
        <v>141</v>
      </c>
      <c r="O36" t="s">
        <v>168</v>
      </c>
      <c r="P36" t="s">
        <v>169</v>
      </c>
      <c r="Q36" t="s">
        <v>49</v>
      </c>
      <c r="R36" t="s">
        <v>142</v>
      </c>
      <c r="S36" s="1">
        <v>45717</v>
      </c>
      <c r="U36" t="s">
        <v>51</v>
      </c>
      <c r="X36" t="s">
        <v>52</v>
      </c>
      <c r="Y36" s="2">
        <v>0</v>
      </c>
      <c r="Z36" s="2">
        <v>41.67</v>
      </c>
      <c r="AA36">
        <v>1</v>
      </c>
      <c r="AB36" s="3">
        <v>1</v>
      </c>
      <c r="AC36" s="2">
        <v>41.67</v>
      </c>
      <c r="AD36" s="3">
        <v>0</v>
      </c>
      <c r="AE36" s="2">
        <v>0</v>
      </c>
      <c r="AF36" s="2">
        <v>41.67</v>
      </c>
      <c r="AK36">
        <v>5199241</v>
      </c>
      <c r="AL36" t="s">
        <v>143</v>
      </c>
    </row>
    <row r="37" spans="1:38" x14ac:dyDescent="0.25">
      <c r="A37" s="1">
        <v>45734</v>
      </c>
      <c r="B37" s="1">
        <v>45735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170</v>
      </c>
      <c r="J37" t="s">
        <v>171</v>
      </c>
      <c r="M37" t="s">
        <v>130</v>
      </c>
      <c r="O37" t="s">
        <v>172</v>
      </c>
      <c r="P37" t="s">
        <v>173</v>
      </c>
      <c r="Q37" t="s">
        <v>49</v>
      </c>
      <c r="R37" t="s">
        <v>142</v>
      </c>
      <c r="S37" s="1">
        <v>45717</v>
      </c>
      <c r="U37" t="s">
        <v>51</v>
      </c>
      <c r="X37" t="s">
        <v>52</v>
      </c>
      <c r="Y37" s="2">
        <v>0</v>
      </c>
      <c r="Z37" s="2">
        <v>41.67</v>
      </c>
      <c r="AA37">
        <v>1</v>
      </c>
      <c r="AB37" s="3">
        <v>1</v>
      </c>
      <c r="AC37" s="2">
        <v>41.67</v>
      </c>
      <c r="AD37" s="3">
        <v>0</v>
      </c>
      <c r="AE37" s="2">
        <v>0</v>
      </c>
      <c r="AF37" s="2">
        <v>41.67</v>
      </c>
      <c r="AK37">
        <v>5199246</v>
      </c>
      <c r="AL37" t="s">
        <v>143</v>
      </c>
    </row>
    <row r="38" spans="1:38" x14ac:dyDescent="0.25">
      <c r="A38" s="1">
        <v>45734</v>
      </c>
      <c r="B38" s="1">
        <v>45735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174</v>
      </c>
      <c r="J38" t="s">
        <v>175</v>
      </c>
      <c r="M38" t="s">
        <v>176</v>
      </c>
      <c r="O38" t="s">
        <v>117</v>
      </c>
      <c r="P38" t="s">
        <v>118</v>
      </c>
      <c r="Q38" t="s">
        <v>49</v>
      </c>
      <c r="R38" t="s">
        <v>142</v>
      </c>
      <c r="S38" s="1">
        <v>45778</v>
      </c>
      <c r="U38" t="s">
        <v>51</v>
      </c>
      <c r="X38" t="s">
        <v>52</v>
      </c>
      <c r="Y38" s="2">
        <v>0</v>
      </c>
      <c r="Z38" s="2">
        <v>33.33</v>
      </c>
      <c r="AA38">
        <v>1</v>
      </c>
      <c r="AB38" s="3">
        <v>1</v>
      </c>
      <c r="AC38" s="2">
        <v>33.33</v>
      </c>
      <c r="AD38" s="3">
        <v>0</v>
      </c>
      <c r="AE38" s="2">
        <v>0</v>
      </c>
      <c r="AF38" s="2">
        <v>33.33</v>
      </c>
      <c r="AK38">
        <v>5199247</v>
      </c>
      <c r="AL38" t="s">
        <v>177</v>
      </c>
    </row>
    <row r="39" spans="1:38" x14ac:dyDescent="0.25">
      <c r="A39" s="1">
        <v>45734</v>
      </c>
      <c r="B39" s="1">
        <v>45735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178</v>
      </c>
      <c r="J39" t="s">
        <v>179</v>
      </c>
      <c r="M39" t="s">
        <v>180</v>
      </c>
      <c r="O39" t="s">
        <v>117</v>
      </c>
      <c r="P39" t="s">
        <v>118</v>
      </c>
      <c r="Q39" t="s">
        <v>49</v>
      </c>
      <c r="R39" t="s">
        <v>142</v>
      </c>
      <c r="S39" s="1">
        <v>45748</v>
      </c>
      <c r="U39" t="s">
        <v>51</v>
      </c>
      <c r="X39" t="s">
        <v>52</v>
      </c>
      <c r="Y39" s="2">
        <v>0</v>
      </c>
      <c r="Z39" s="2">
        <v>37.5</v>
      </c>
      <c r="AA39">
        <v>1</v>
      </c>
      <c r="AB39" s="3">
        <v>1</v>
      </c>
      <c r="AC39" s="2">
        <v>37.5</v>
      </c>
      <c r="AD39" s="3">
        <v>0</v>
      </c>
      <c r="AE39" s="2">
        <v>0</v>
      </c>
      <c r="AF39" s="2">
        <v>37.5</v>
      </c>
      <c r="AK39">
        <v>5199251</v>
      </c>
      <c r="AL39" t="s">
        <v>125</v>
      </c>
    </row>
    <row r="40" spans="1:38" x14ac:dyDescent="0.25">
      <c r="A40" s="1">
        <v>45734</v>
      </c>
      <c r="B40" s="1">
        <v>45735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181</v>
      </c>
      <c r="J40" t="s">
        <v>182</v>
      </c>
      <c r="M40" t="s">
        <v>130</v>
      </c>
      <c r="O40" t="s">
        <v>183</v>
      </c>
      <c r="P40" t="s">
        <v>184</v>
      </c>
      <c r="Q40" t="s">
        <v>49</v>
      </c>
      <c r="R40" t="s">
        <v>142</v>
      </c>
      <c r="S40" s="1">
        <v>45778</v>
      </c>
      <c r="U40" t="s">
        <v>51</v>
      </c>
      <c r="X40" t="s">
        <v>52</v>
      </c>
      <c r="Y40" s="2">
        <v>0</v>
      </c>
      <c r="Z40" s="2">
        <v>33.33</v>
      </c>
      <c r="AA40">
        <v>1</v>
      </c>
      <c r="AB40" s="3">
        <v>1</v>
      </c>
      <c r="AC40" s="2">
        <v>33.33</v>
      </c>
      <c r="AD40" s="3">
        <v>0</v>
      </c>
      <c r="AE40" s="2">
        <v>0</v>
      </c>
      <c r="AF40" s="2">
        <v>33.33</v>
      </c>
      <c r="AK40">
        <v>5199264</v>
      </c>
      <c r="AL40" t="s">
        <v>177</v>
      </c>
    </row>
    <row r="41" spans="1:38" x14ac:dyDescent="0.25">
      <c r="A41" s="1">
        <v>45734</v>
      </c>
      <c r="B41" s="1">
        <v>45735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185</v>
      </c>
      <c r="J41" t="s">
        <v>186</v>
      </c>
      <c r="M41" t="s">
        <v>176</v>
      </c>
      <c r="O41" t="s">
        <v>117</v>
      </c>
      <c r="P41" t="s">
        <v>118</v>
      </c>
      <c r="Q41" t="s">
        <v>49</v>
      </c>
      <c r="R41" t="s">
        <v>142</v>
      </c>
      <c r="S41" s="1">
        <v>45717</v>
      </c>
      <c r="U41" t="s">
        <v>51</v>
      </c>
      <c r="X41" t="s">
        <v>52</v>
      </c>
      <c r="Y41" s="2">
        <v>0</v>
      </c>
      <c r="Z41" s="2">
        <v>41.67</v>
      </c>
      <c r="AA41">
        <v>1</v>
      </c>
      <c r="AB41" s="3">
        <v>1</v>
      </c>
      <c r="AC41" s="2">
        <v>41.67</v>
      </c>
      <c r="AD41" s="3">
        <v>0</v>
      </c>
      <c r="AE41" s="2">
        <v>0</v>
      </c>
      <c r="AF41" s="2">
        <v>41.67</v>
      </c>
      <c r="AK41">
        <v>5199272</v>
      </c>
      <c r="AL41" t="s">
        <v>143</v>
      </c>
    </row>
    <row r="42" spans="1:38" x14ac:dyDescent="0.25">
      <c r="A42" s="1">
        <v>45734</v>
      </c>
      <c r="B42" s="1">
        <v>45735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187</v>
      </c>
      <c r="J42" t="s">
        <v>188</v>
      </c>
      <c r="M42" t="s">
        <v>130</v>
      </c>
      <c r="O42" t="s">
        <v>183</v>
      </c>
      <c r="P42" t="s">
        <v>184</v>
      </c>
      <c r="Q42" t="s">
        <v>49</v>
      </c>
      <c r="R42" t="s">
        <v>142</v>
      </c>
      <c r="S42" s="1">
        <v>45778</v>
      </c>
      <c r="U42" t="s">
        <v>51</v>
      </c>
      <c r="X42" t="s">
        <v>52</v>
      </c>
      <c r="Y42" s="2">
        <v>0</v>
      </c>
      <c r="Z42" s="2">
        <v>33.33</v>
      </c>
      <c r="AA42">
        <v>1</v>
      </c>
      <c r="AB42" s="3">
        <v>1</v>
      </c>
      <c r="AC42" s="2">
        <v>33.33</v>
      </c>
      <c r="AD42" s="3">
        <v>0</v>
      </c>
      <c r="AE42" s="2">
        <v>0</v>
      </c>
      <c r="AF42" s="2">
        <v>33.33</v>
      </c>
      <c r="AK42">
        <v>5199275</v>
      </c>
      <c r="AL42" t="s">
        <v>177</v>
      </c>
    </row>
    <row r="43" spans="1:38" x14ac:dyDescent="0.25">
      <c r="A43" s="1">
        <v>45734</v>
      </c>
      <c r="B43" s="1">
        <v>45735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189</v>
      </c>
      <c r="J43" t="s">
        <v>190</v>
      </c>
      <c r="M43" t="s">
        <v>191</v>
      </c>
      <c r="O43" t="s">
        <v>96</v>
      </c>
      <c r="P43" t="s">
        <v>97</v>
      </c>
      <c r="Q43" t="s">
        <v>49</v>
      </c>
      <c r="R43" t="s">
        <v>142</v>
      </c>
      <c r="S43" s="1">
        <v>45717</v>
      </c>
      <c r="U43" t="s">
        <v>51</v>
      </c>
      <c r="X43" t="s">
        <v>52</v>
      </c>
      <c r="Y43" s="2">
        <v>0</v>
      </c>
      <c r="Z43" s="2">
        <v>41.67</v>
      </c>
      <c r="AA43">
        <v>1</v>
      </c>
      <c r="AB43" s="3">
        <v>1</v>
      </c>
      <c r="AC43" s="2">
        <v>41.67</v>
      </c>
      <c r="AD43" s="3">
        <v>0</v>
      </c>
      <c r="AE43" s="2">
        <v>0</v>
      </c>
      <c r="AF43" s="2">
        <v>41.67</v>
      </c>
      <c r="AK43">
        <v>5199294</v>
      </c>
      <c r="AL43" t="s">
        <v>143</v>
      </c>
    </row>
    <row r="44" spans="1:38" x14ac:dyDescent="0.25">
      <c r="A44" s="1">
        <v>45734</v>
      </c>
      <c r="B44" s="1">
        <v>45735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192</v>
      </c>
      <c r="J44" t="s">
        <v>193</v>
      </c>
      <c r="M44" t="s">
        <v>194</v>
      </c>
      <c r="O44" t="s">
        <v>195</v>
      </c>
      <c r="P44" t="s">
        <v>196</v>
      </c>
      <c r="Q44" t="s">
        <v>49</v>
      </c>
      <c r="R44" t="s">
        <v>142</v>
      </c>
      <c r="S44" s="1">
        <v>45717</v>
      </c>
      <c r="U44" t="s">
        <v>51</v>
      </c>
      <c r="X44" t="s">
        <v>52</v>
      </c>
      <c r="Y44" s="2">
        <v>0</v>
      </c>
      <c r="Z44" s="2">
        <v>41.67</v>
      </c>
      <c r="AA44">
        <v>1</v>
      </c>
      <c r="AB44" s="3">
        <v>1</v>
      </c>
      <c r="AC44" s="2">
        <v>41.67</v>
      </c>
      <c r="AD44" s="3">
        <v>0</v>
      </c>
      <c r="AE44" s="2">
        <v>0</v>
      </c>
      <c r="AF44" s="2">
        <v>41.67</v>
      </c>
      <c r="AK44">
        <v>5199312</v>
      </c>
      <c r="AL44" t="s">
        <v>143</v>
      </c>
    </row>
    <row r="45" spans="1:38" x14ac:dyDescent="0.25">
      <c r="A45" s="1">
        <v>45734</v>
      </c>
      <c r="B45" s="1">
        <v>45735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197</v>
      </c>
      <c r="J45" t="s">
        <v>198</v>
      </c>
      <c r="M45" t="s">
        <v>141</v>
      </c>
      <c r="O45" t="s">
        <v>199</v>
      </c>
      <c r="P45" t="s">
        <v>200</v>
      </c>
      <c r="Q45" t="s">
        <v>49</v>
      </c>
      <c r="R45" t="s">
        <v>201</v>
      </c>
      <c r="S45" s="1">
        <v>45748</v>
      </c>
      <c r="U45" t="s">
        <v>51</v>
      </c>
      <c r="X45" t="s">
        <v>52</v>
      </c>
      <c r="Y45" s="2">
        <v>0</v>
      </c>
      <c r="Z45" s="2">
        <v>234.75</v>
      </c>
      <c r="AA45">
        <v>1</v>
      </c>
      <c r="AB45" s="3">
        <v>1</v>
      </c>
      <c r="AC45" s="2">
        <v>234.75</v>
      </c>
      <c r="AD45" s="3">
        <v>0</v>
      </c>
      <c r="AE45" s="2">
        <v>0</v>
      </c>
      <c r="AF45" s="2">
        <v>234.75</v>
      </c>
      <c r="AK45">
        <v>5199787</v>
      </c>
      <c r="AL45" t="s">
        <v>125</v>
      </c>
    </row>
    <row r="46" spans="1:38" x14ac:dyDescent="0.25">
      <c r="A46" s="1">
        <v>45734</v>
      </c>
      <c r="B46" s="1">
        <v>45735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202</v>
      </c>
      <c r="J46" t="s">
        <v>198</v>
      </c>
      <c r="M46" t="s">
        <v>141</v>
      </c>
      <c r="O46" t="s">
        <v>199</v>
      </c>
      <c r="P46" t="s">
        <v>200</v>
      </c>
      <c r="Q46" t="s">
        <v>49</v>
      </c>
      <c r="R46" t="s">
        <v>203</v>
      </c>
      <c r="S46" s="1">
        <v>45748</v>
      </c>
      <c r="U46" t="s">
        <v>51</v>
      </c>
      <c r="X46" t="s">
        <v>52</v>
      </c>
      <c r="Y46" s="2">
        <v>0</v>
      </c>
      <c r="Z46" s="2">
        <v>54</v>
      </c>
      <c r="AA46">
        <v>1</v>
      </c>
      <c r="AB46" s="3">
        <v>1</v>
      </c>
      <c r="AC46" s="2">
        <v>54</v>
      </c>
      <c r="AD46" s="3">
        <v>0</v>
      </c>
      <c r="AE46" s="2">
        <v>0</v>
      </c>
      <c r="AF46" s="2">
        <v>54</v>
      </c>
      <c r="AK46">
        <v>5199788</v>
      </c>
      <c r="AL46" t="s">
        <v>125</v>
      </c>
    </row>
    <row r="47" spans="1:38" x14ac:dyDescent="0.25">
      <c r="A47" s="1">
        <v>45734</v>
      </c>
      <c r="B47" s="1">
        <v>45735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204</v>
      </c>
      <c r="J47" t="s">
        <v>205</v>
      </c>
      <c r="M47" t="s">
        <v>141</v>
      </c>
      <c r="O47" t="s">
        <v>168</v>
      </c>
      <c r="P47" t="s">
        <v>169</v>
      </c>
      <c r="Q47" t="s">
        <v>49</v>
      </c>
      <c r="R47" t="s">
        <v>201</v>
      </c>
      <c r="S47" s="1">
        <v>45748</v>
      </c>
      <c r="U47" t="s">
        <v>51</v>
      </c>
      <c r="X47" t="s">
        <v>52</v>
      </c>
      <c r="Y47" s="2">
        <v>0</v>
      </c>
      <c r="Z47" s="2">
        <v>234.75</v>
      </c>
      <c r="AA47">
        <v>1</v>
      </c>
      <c r="AB47" s="3">
        <v>1</v>
      </c>
      <c r="AC47" s="2">
        <v>234.75</v>
      </c>
      <c r="AD47" s="3">
        <v>0</v>
      </c>
      <c r="AE47" s="2">
        <v>0</v>
      </c>
      <c r="AF47" s="2">
        <v>234.75</v>
      </c>
      <c r="AK47">
        <v>5199801</v>
      </c>
      <c r="AL47" t="s">
        <v>125</v>
      </c>
    </row>
    <row r="48" spans="1:38" x14ac:dyDescent="0.25">
      <c r="A48" s="1">
        <v>45734</v>
      </c>
      <c r="B48" s="1">
        <v>45735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206</v>
      </c>
      <c r="J48" t="s">
        <v>205</v>
      </c>
      <c r="M48" t="s">
        <v>141</v>
      </c>
      <c r="O48" t="s">
        <v>168</v>
      </c>
      <c r="P48" t="s">
        <v>169</v>
      </c>
      <c r="Q48" t="s">
        <v>49</v>
      </c>
      <c r="R48" t="s">
        <v>207</v>
      </c>
      <c r="S48" s="1">
        <v>45748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5199802</v>
      </c>
    </row>
    <row r="49" spans="1:38" x14ac:dyDescent="0.25">
      <c r="A49" s="1">
        <v>45734</v>
      </c>
      <c r="B49" s="1">
        <v>45735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208</v>
      </c>
      <c r="J49" t="s">
        <v>209</v>
      </c>
      <c r="M49" t="s">
        <v>141</v>
      </c>
      <c r="O49" t="s">
        <v>199</v>
      </c>
      <c r="P49" t="s">
        <v>200</v>
      </c>
      <c r="Q49" t="s">
        <v>49</v>
      </c>
      <c r="R49" t="s">
        <v>210</v>
      </c>
      <c r="S49" s="1">
        <v>45717</v>
      </c>
      <c r="U49" t="s">
        <v>51</v>
      </c>
      <c r="X49" t="s">
        <v>52</v>
      </c>
      <c r="Y49" s="2">
        <v>0</v>
      </c>
      <c r="Z49" s="2">
        <v>521.66999999999996</v>
      </c>
      <c r="AA49">
        <v>1</v>
      </c>
      <c r="AB49" s="3">
        <v>1</v>
      </c>
      <c r="AC49" s="2">
        <v>521.66999999999996</v>
      </c>
      <c r="AD49" s="3">
        <v>0</v>
      </c>
      <c r="AE49" s="2">
        <v>0</v>
      </c>
      <c r="AF49" s="2">
        <v>521.66999999999996</v>
      </c>
      <c r="AK49">
        <v>5199817</v>
      </c>
      <c r="AL49" t="s">
        <v>143</v>
      </c>
    </row>
    <row r="50" spans="1:38" x14ac:dyDescent="0.25">
      <c r="A50" s="1">
        <v>45734</v>
      </c>
      <c r="B50" s="1">
        <v>45735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211</v>
      </c>
      <c r="J50" t="s">
        <v>209</v>
      </c>
      <c r="M50" t="s">
        <v>141</v>
      </c>
      <c r="O50" t="s">
        <v>199</v>
      </c>
      <c r="P50" t="s">
        <v>200</v>
      </c>
      <c r="Q50" t="s">
        <v>212</v>
      </c>
      <c r="R50" t="s">
        <v>213</v>
      </c>
      <c r="S50" s="1">
        <v>45717</v>
      </c>
      <c r="U50" t="s">
        <v>51</v>
      </c>
      <c r="X50" t="s">
        <v>52</v>
      </c>
      <c r="Y50" s="2">
        <v>0</v>
      </c>
      <c r="Z50" s="2">
        <v>145.83000000000001</v>
      </c>
      <c r="AA50">
        <v>1</v>
      </c>
      <c r="AB50" s="3">
        <v>1</v>
      </c>
      <c r="AC50" s="2">
        <v>145.83000000000001</v>
      </c>
      <c r="AD50" s="3">
        <v>0</v>
      </c>
      <c r="AE50" s="2">
        <v>0</v>
      </c>
      <c r="AF50" s="2">
        <v>145.83000000000001</v>
      </c>
      <c r="AK50">
        <v>5199818</v>
      </c>
      <c r="AL50" t="s">
        <v>143</v>
      </c>
    </row>
    <row r="51" spans="1:38" x14ac:dyDescent="0.25">
      <c r="A51" s="1">
        <v>45734</v>
      </c>
      <c r="B51" s="1">
        <v>45735</v>
      </c>
      <c r="C51" t="s">
        <v>214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215</v>
      </c>
      <c r="J51" t="s">
        <v>216</v>
      </c>
      <c r="M51" t="s">
        <v>46</v>
      </c>
      <c r="O51" t="s">
        <v>59</v>
      </c>
      <c r="P51" t="s">
        <v>60</v>
      </c>
      <c r="Q51" t="s">
        <v>217</v>
      </c>
      <c r="R51" t="s">
        <v>50</v>
      </c>
      <c r="S51" s="1">
        <v>45658</v>
      </c>
      <c r="U51" t="s">
        <v>51</v>
      </c>
      <c r="X51" t="s">
        <v>52</v>
      </c>
      <c r="AF51" s="2">
        <v>175</v>
      </c>
      <c r="AG51" s="2">
        <v>0</v>
      </c>
      <c r="AJ51" s="2">
        <v>131.25</v>
      </c>
    </row>
    <row r="52" spans="1:38" x14ac:dyDescent="0.25">
      <c r="A52" s="1">
        <v>45734</v>
      </c>
      <c r="B52" s="1">
        <v>45735</v>
      </c>
      <c r="C52" t="s">
        <v>214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218</v>
      </c>
      <c r="J52" t="s">
        <v>62</v>
      </c>
      <c r="M52" t="s">
        <v>46</v>
      </c>
      <c r="O52" t="s">
        <v>63</v>
      </c>
      <c r="P52" t="s">
        <v>64</v>
      </c>
      <c r="Q52" t="s">
        <v>217</v>
      </c>
      <c r="R52" t="s">
        <v>65</v>
      </c>
      <c r="S52" s="1">
        <v>45658</v>
      </c>
      <c r="U52" t="s">
        <v>51</v>
      </c>
      <c r="X52" t="s">
        <v>52</v>
      </c>
      <c r="AF52" s="2">
        <v>108</v>
      </c>
      <c r="AG52" s="2">
        <v>0</v>
      </c>
      <c r="AJ52" s="2">
        <v>81</v>
      </c>
    </row>
    <row r="53" spans="1:38" x14ac:dyDescent="0.25">
      <c r="A53" s="1">
        <v>45734</v>
      </c>
      <c r="B53" s="1">
        <v>45735</v>
      </c>
      <c r="C53" t="s">
        <v>214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219</v>
      </c>
      <c r="J53" t="s">
        <v>220</v>
      </c>
      <c r="M53" t="s">
        <v>46</v>
      </c>
      <c r="O53" t="s">
        <v>96</v>
      </c>
      <c r="P53" t="s">
        <v>97</v>
      </c>
      <c r="Q53" t="s">
        <v>217</v>
      </c>
      <c r="R53" t="s">
        <v>50</v>
      </c>
      <c r="S53" s="1">
        <v>45658</v>
      </c>
      <c r="U53" t="s">
        <v>51</v>
      </c>
      <c r="X53" t="s">
        <v>52</v>
      </c>
      <c r="AF53" s="2">
        <v>175</v>
      </c>
      <c r="AG53" s="2">
        <v>0</v>
      </c>
      <c r="AJ53" s="2">
        <v>131.25</v>
      </c>
    </row>
    <row r="54" spans="1:38" x14ac:dyDescent="0.25">
      <c r="A54" s="1">
        <v>45734</v>
      </c>
      <c r="B54" s="1">
        <v>45735</v>
      </c>
      <c r="C54" t="s">
        <v>214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221</v>
      </c>
      <c r="J54" t="s">
        <v>222</v>
      </c>
      <c r="M54" t="s">
        <v>46</v>
      </c>
      <c r="O54" t="s">
        <v>59</v>
      </c>
      <c r="P54" t="s">
        <v>60</v>
      </c>
      <c r="Q54" t="s">
        <v>217</v>
      </c>
      <c r="R54" t="s">
        <v>100</v>
      </c>
      <c r="S54" s="1">
        <v>45658</v>
      </c>
      <c r="U54" t="s">
        <v>51</v>
      </c>
      <c r="X54" t="s">
        <v>52</v>
      </c>
      <c r="AF54" s="2">
        <v>15</v>
      </c>
      <c r="AG54" s="2">
        <v>0</v>
      </c>
      <c r="AJ54" s="2">
        <v>13.8</v>
      </c>
    </row>
    <row r="55" spans="1:38" x14ac:dyDescent="0.25">
      <c r="A55" s="1">
        <v>45734</v>
      </c>
      <c r="B55" s="1">
        <v>45735</v>
      </c>
      <c r="C55" t="s">
        <v>214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223</v>
      </c>
      <c r="J55" t="s">
        <v>224</v>
      </c>
      <c r="M55" t="s">
        <v>46</v>
      </c>
      <c r="O55" t="s">
        <v>172</v>
      </c>
      <c r="P55" t="s">
        <v>173</v>
      </c>
      <c r="Q55" t="s">
        <v>217</v>
      </c>
      <c r="R55" t="s">
        <v>50</v>
      </c>
      <c r="S55" s="1">
        <v>45717</v>
      </c>
      <c r="U55" t="s">
        <v>51</v>
      </c>
      <c r="X55" t="s">
        <v>52</v>
      </c>
      <c r="AF55" s="2">
        <v>175</v>
      </c>
      <c r="AG55" s="2">
        <v>0</v>
      </c>
      <c r="AJ55" s="2">
        <v>175</v>
      </c>
    </row>
    <row r="56" spans="1:38" x14ac:dyDescent="0.25">
      <c r="A56" s="1">
        <v>45734</v>
      </c>
      <c r="B56" s="1">
        <v>45735</v>
      </c>
      <c r="C56" t="s">
        <v>214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225</v>
      </c>
      <c r="J56" t="s">
        <v>226</v>
      </c>
      <c r="M56" t="s">
        <v>191</v>
      </c>
      <c r="O56" t="s">
        <v>117</v>
      </c>
      <c r="P56" t="s">
        <v>118</v>
      </c>
      <c r="Q56" t="s">
        <v>217</v>
      </c>
      <c r="R56" t="s">
        <v>138</v>
      </c>
      <c r="S56" s="1">
        <v>45658</v>
      </c>
      <c r="U56" t="s">
        <v>51</v>
      </c>
      <c r="X56" t="s">
        <v>52</v>
      </c>
      <c r="AF56" s="2">
        <v>50</v>
      </c>
      <c r="AG56" s="2">
        <v>0</v>
      </c>
      <c r="AJ56" s="2">
        <v>50</v>
      </c>
    </row>
    <row r="57" spans="1:38" x14ac:dyDescent="0.25">
      <c r="A57" s="1">
        <v>45734</v>
      </c>
      <c r="B57" s="1">
        <v>45735</v>
      </c>
      <c r="C57" t="s">
        <v>214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227</v>
      </c>
      <c r="J57" t="s">
        <v>228</v>
      </c>
      <c r="M57" t="s">
        <v>130</v>
      </c>
      <c r="O57" t="s">
        <v>172</v>
      </c>
      <c r="P57" t="s">
        <v>173</v>
      </c>
      <c r="Q57" t="s">
        <v>217</v>
      </c>
      <c r="R57" t="s">
        <v>138</v>
      </c>
      <c r="S57" s="1">
        <v>45658</v>
      </c>
      <c r="U57" t="s">
        <v>51</v>
      </c>
      <c r="X57" t="s">
        <v>52</v>
      </c>
      <c r="AF57" s="2">
        <v>50</v>
      </c>
      <c r="AG57" s="2">
        <v>0</v>
      </c>
      <c r="AJ57" s="2">
        <v>50</v>
      </c>
    </row>
    <row r="58" spans="1:38" x14ac:dyDescent="0.25">
      <c r="A58" s="1">
        <v>45734</v>
      </c>
      <c r="B58" s="1">
        <v>45735</v>
      </c>
      <c r="C58" t="s">
        <v>214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229</v>
      </c>
      <c r="J58" t="s">
        <v>230</v>
      </c>
      <c r="M58" t="s">
        <v>141</v>
      </c>
      <c r="O58" t="s">
        <v>231</v>
      </c>
      <c r="P58" t="s">
        <v>232</v>
      </c>
      <c r="Q58" t="s">
        <v>217</v>
      </c>
      <c r="R58" t="s">
        <v>138</v>
      </c>
      <c r="S58" s="1">
        <v>45658</v>
      </c>
      <c r="U58" t="s">
        <v>51</v>
      </c>
      <c r="X58" t="s">
        <v>52</v>
      </c>
      <c r="AF58" s="2">
        <v>50</v>
      </c>
      <c r="AG58" s="2">
        <v>0</v>
      </c>
      <c r="AJ58" s="2">
        <v>50</v>
      </c>
    </row>
    <row r="59" spans="1:38" x14ac:dyDescent="0.25">
      <c r="A59" s="1">
        <v>45734</v>
      </c>
      <c r="B59" s="1">
        <v>45735</v>
      </c>
      <c r="C59" t="s">
        <v>214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233</v>
      </c>
      <c r="J59" t="s">
        <v>234</v>
      </c>
      <c r="M59" t="s">
        <v>141</v>
      </c>
      <c r="O59" t="s">
        <v>63</v>
      </c>
      <c r="P59" t="s">
        <v>64</v>
      </c>
      <c r="Q59" t="s">
        <v>217</v>
      </c>
      <c r="R59" t="s">
        <v>138</v>
      </c>
      <c r="S59" s="1">
        <v>45658</v>
      </c>
      <c r="U59" t="s">
        <v>51</v>
      </c>
      <c r="X59" t="s">
        <v>52</v>
      </c>
      <c r="AF59" s="2">
        <v>50</v>
      </c>
      <c r="AG59" s="2">
        <v>0</v>
      </c>
      <c r="AJ59" s="2">
        <v>50</v>
      </c>
    </row>
    <row r="60" spans="1:38" x14ac:dyDescent="0.25">
      <c r="A60" s="1">
        <v>45734</v>
      </c>
      <c r="B60" s="1">
        <v>45735</v>
      </c>
      <c r="C60" t="s">
        <v>214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235</v>
      </c>
      <c r="J60" t="s">
        <v>236</v>
      </c>
      <c r="M60" t="s">
        <v>141</v>
      </c>
      <c r="O60" t="s">
        <v>237</v>
      </c>
      <c r="P60" t="s">
        <v>238</v>
      </c>
      <c r="Q60" t="s">
        <v>217</v>
      </c>
      <c r="R60" t="s">
        <v>138</v>
      </c>
      <c r="S60" s="1">
        <v>45658</v>
      </c>
      <c r="U60" t="s">
        <v>51</v>
      </c>
      <c r="X60" t="s">
        <v>52</v>
      </c>
      <c r="AF60" s="2">
        <v>50</v>
      </c>
      <c r="AG60" s="2">
        <v>0</v>
      </c>
      <c r="AJ60" s="2">
        <v>50</v>
      </c>
    </row>
    <row r="61" spans="1:38" x14ac:dyDescent="0.25">
      <c r="A61" s="1">
        <v>45734</v>
      </c>
      <c r="B61" s="1">
        <v>45735</v>
      </c>
      <c r="C61" t="s">
        <v>214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239</v>
      </c>
      <c r="J61" t="s">
        <v>209</v>
      </c>
      <c r="M61" t="s">
        <v>141</v>
      </c>
      <c r="O61" t="s">
        <v>199</v>
      </c>
      <c r="P61" t="s">
        <v>200</v>
      </c>
      <c r="Q61" t="s">
        <v>217</v>
      </c>
      <c r="R61" t="s">
        <v>203</v>
      </c>
      <c r="S61" s="1">
        <v>45717</v>
      </c>
      <c r="U61" t="s">
        <v>51</v>
      </c>
      <c r="X61" t="s">
        <v>52</v>
      </c>
      <c r="AF61" s="2">
        <v>60</v>
      </c>
      <c r="AG61" s="2">
        <v>0</v>
      </c>
      <c r="AJ61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E0F6-A7C3-4867-8C55-A9154746B607}">
  <dimension ref="A1:P59"/>
  <sheetViews>
    <sheetView tabSelected="1" topLeftCell="D33" workbookViewId="0">
      <selection activeCell="J59" sqref="J59"/>
    </sheetView>
  </sheetViews>
  <sheetFormatPr defaultRowHeight="15" x14ac:dyDescent="0.25"/>
  <cols>
    <col min="1" max="1" width="19.7109375" style="4" bestFit="1" customWidth="1"/>
    <col min="2" max="2" width="19.7109375" style="4" customWidth="1"/>
    <col min="3" max="3" width="25.85546875" style="5" bestFit="1" customWidth="1"/>
    <col min="4" max="4" width="5.5703125" style="5" bestFit="1" customWidth="1"/>
    <col min="5" max="5" width="15.7109375" style="5" bestFit="1" customWidth="1"/>
    <col min="6" max="6" width="23.7109375" style="5" bestFit="1" customWidth="1"/>
    <col min="7" max="7" width="47.140625" style="5" bestFit="1" customWidth="1"/>
    <col min="8" max="8" width="10.140625" style="5" bestFit="1" customWidth="1"/>
    <col min="9" max="9" width="18.28515625" style="5" bestFit="1" customWidth="1"/>
    <col min="10" max="10" width="15.85546875" style="5" bestFit="1" customWidth="1"/>
    <col min="11" max="11" width="17" style="5" bestFit="1" customWidth="1"/>
    <col min="12" max="12" width="16.42578125" style="5" bestFit="1" customWidth="1"/>
    <col min="13" max="13" width="17.42578125" style="6" bestFit="1" customWidth="1"/>
    <col min="14" max="14" width="16.140625" style="5" bestFit="1" customWidth="1"/>
    <col min="15" max="15" width="23.28515625" style="5" bestFit="1" customWidth="1"/>
    <col min="16" max="16384" width="9.140625" style="5"/>
  </cols>
  <sheetData>
    <row r="1" spans="1:15" x14ac:dyDescent="0.25">
      <c r="A1" s="4" t="s">
        <v>8</v>
      </c>
      <c r="C1" s="5" t="s">
        <v>9</v>
      </c>
      <c r="D1" s="5" t="s">
        <v>12</v>
      </c>
      <c r="E1" s="5" t="s">
        <v>14</v>
      </c>
      <c r="F1" s="5" t="s">
        <v>15</v>
      </c>
      <c r="G1" s="5" t="s">
        <v>17</v>
      </c>
      <c r="H1" s="5" t="s">
        <v>18</v>
      </c>
      <c r="I1" s="5" t="s">
        <v>24</v>
      </c>
      <c r="J1" s="5" t="s">
        <v>25</v>
      </c>
      <c r="K1" s="5" t="s">
        <v>26</v>
      </c>
      <c r="L1" s="5" t="s">
        <v>27</v>
      </c>
      <c r="M1" s="6" t="s">
        <v>28</v>
      </c>
      <c r="N1" s="5" t="s">
        <v>37</v>
      </c>
    </row>
    <row r="2" spans="1:15" x14ac:dyDescent="0.25">
      <c r="A2" s="7">
        <v>101238392400</v>
      </c>
      <c r="B2" s="7" t="str">
        <f>CONCATENATE(A2,9)</f>
        <v>1012383924009</v>
      </c>
      <c r="C2" s="5" t="s">
        <v>135</v>
      </c>
      <c r="D2" s="5" t="s">
        <v>121</v>
      </c>
      <c r="E2" s="5">
        <v>20411454</v>
      </c>
      <c r="F2" s="5" t="s">
        <v>284</v>
      </c>
      <c r="G2" s="5" t="s">
        <v>138</v>
      </c>
      <c r="H2" s="8">
        <v>45658</v>
      </c>
      <c r="I2" s="9">
        <v>0</v>
      </c>
      <c r="J2" s="9">
        <v>50</v>
      </c>
      <c r="K2" s="5">
        <v>1</v>
      </c>
      <c r="L2" s="10">
        <v>1</v>
      </c>
      <c r="M2" s="6">
        <v>50</v>
      </c>
      <c r="O2" s="5" t="s">
        <v>240</v>
      </c>
    </row>
    <row r="3" spans="1:15" x14ac:dyDescent="0.25">
      <c r="A3" s="7">
        <v>101873728700</v>
      </c>
      <c r="B3" s="7" t="str">
        <f>CONCATENATE(A3,9)</f>
        <v>1018737287009</v>
      </c>
      <c r="C3" s="5" t="s">
        <v>152</v>
      </c>
      <c r="D3" s="5" t="s">
        <v>141</v>
      </c>
      <c r="E3" s="5">
        <v>20411454</v>
      </c>
      <c r="F3" s="5" t="s">
        <v>284</v>
      </c>
      <c r="G3" s="5" t="s">
        <v>138</v>
      </c>
      <c r="H3" s="8">
        <v>45658</v>
      </c>
      <c r="I3" s="9">
        <v>0</v>
      </c>
      <c r="J3" s="9">
        <v>50</v>
      </c>
      <c r="K3" s="5">
        <v>1</v>
      </c>
      <c r="L3" s="10">
        <v>1</v>
      </c>
      <c r="M3" s="6">
        <v>50</v>
      </c>
      <c r="O3" s="5" t="s">
        <v>240</v>
      </c>
    </row>
    <row r="4" spans="1:15" x14ac:dyDescent="0.25">
      <c r="A4" s="7" t="s">
        <v>242</v>
      </c>
      <c r="B4" s="7" t="str">
        <f t="shared" ref="B4:B8" si="0">CONCATENATE(A4,9)</f>
        <v>101197965500CB9</v>
      </c>
      <c r="C4" s="5" t="s">
        <v>226</v>
      </c>
      <c r="D4" s="5" t="s">
        <v>191</v>
      </c>
      <c r="E4" s="5">
        <v>20411454</v>
      </c>
      <c r="F4" s="5" t="s">
        <v>284</v>
      </c>
      <c r="G4" s="5" t="s">
        <v>138</v>
      </c>
      <c r="H4" s="8">
        <v>45658</v>
      </c>
      <c r="M4" s="6">
        <v>-50</v>
      </c>
      <c r="O4" s="5" t="s">
        <v>240</v>
      </c>
    </row>
    <row r="5" spans="1:15" x14ac:dyDescent="0.25">
      <c r="A5" s="7" t="s">
        <v>243</v>
      </c>
      <c r="B5" s="7" t="str">
        <f t="shared" si="0"/>
        <v>101847644200CB9</v>
      </c>
      <c r="C5" s="5" t="s">
        <v>228</v>
      </c>
      <c r="D5" s="5" t="s">
        <v>130</v>
      </c>
      <c r="E5" s="5">
        <v>20411454</v>
      </c>
      <c r="F5" s="5" t="s">
        <v>284</v>
      </c>
      <c r="G5" s="5" t="s">
        <v>138</v>
      </c>
      <c r="H5" s="8">
        <v>45658</v>
      </c>
      <c r="M5" s="6">
        <v>-50</v>
      </c>
      <c r="O5" s="5" t="s">
        <v>240</v>
      </c>
    </row>
    <row r="6" spans="1:15" x14ac:dyDescent="0.25">
      <c r="A6" s="7" t="s">
        <v>244</v>
      </c>
      <c r="B6" s="7" t="str">
        <f t="shared" si="0"/>
        <v>101937726400CB9</v>
      </c>
      <c r="C6" s="5" t="s">
        <v>230</v>
      </c>
      <c r="D6" s="5" t="s">
        <v>141</v>
      </c>
      <c r="E6" s="5">
        <v>20411454</v>
      </c>
      <c r="F6" s="5" t="s">
        <v>284</v>
      </c>
      <c r="G6" s="5" t="s">
        <v>138</v>
      </c>
      <c r="H6" s="8">
        <v>45658</v>
      </c>
      <c r="M6" s="6">
        <v>-50</v>
      </c>
      <c r="O6" s="5" t="s">
        <v>240</v>
      </c>
    </row>
    <row r="7" spans="1:15" x14ac:dyDescent="0.25">
      <c r="A7" s="7" t="s">
        <v>245</v>
      </c>
      <c r="B7" s="7" t="str">
        <f t="shared" si="0"/>
        <v>102069739000CB9</v>
      </c>
      <c r="C7" s="5" t="s">
        <v>234</v>
      </c>
      <c r="D7" s="5" t="s">
        <v>141</v>
      </c>
      <c r="E7" s="5">
        <v>20411454</v>
      </c>
      <c r="F7" s="5" t="s">
        <v>284</v>
      </c>
      <c r="G7" s="5" t="s">
        <v>138</v>
      </c>
      <c r="H7" s="8">
        <v>45658</v>
      </c>
      <c r="M7" s="6">
        <v>-50</v>
      </c>
      <c r="O7" s="5" t="s">
        <v>240</v>
      </c>
    </row>
    <row r="8" spans="1:15" x14ac:dyDescent="0.25">
      <c r="A8" s="7" t="s">
        <v>246</v>
      </c>
      <c r="B8" s="7" t="str">
        <f t="shared" si="0"/>
        <v>102082435800CB9</v>
      </c>
      <c r="C8" s="5" t="s">
        <v>236</v>
      </c>
      <c r="D8" s="5" t="s">
        <v>141</v>
      </c>
      <c r="E8" s="5">
        <v>20411454</v>
      </c>
      <c r="F8" s="5" t="s">
        <v>284</v>
      </c>
      <c r="G8" s="5" t="s">
        <v>138</v>
      </c>
      <c r="H8" s="8">
        <v>45658</v>
      </c>
      <c r="M8" s="6">
        <v>-50</v>
      </c>
      <c r="O8" s="5" t="s">
        <v>240</v>
      </c>
    </row>
    <row r="9" spans="1:15" x14ac:dyDescent="0.25">
      <c r="A9" s="7">
        <v>101475058700</v>
      </c>
      <c r="B9" s="7" t="str">
        <f t="shared" ref="B9:B55" si="1">CONCATENATE(A9,9)</f>
        <v>1014750587009</v>
      </c>
      <c r="C9" s="5" t="s">
        <v>140</v>
      </c>
      <c r="D9" s="5" t="s">
        <v>141</v>
      </c>
      <c r="E9" s="5">
        <v>20411454</v>
      </c>
      <c r="F9" s="5" t="s">
        <v>284</v>
      </c>
      <c r="G9" s="5" t="s">
        <v>142</v>
      </c>
      <c r="H9" s="8">
        <v>45717</v>
      </c>
      <c r="I9" s="9">
        <v>0</v>
      </c>
      <c r="J9" s="9">
        <v>41.67</v>
      </c>
      <c r="K9" s="5">
        <v>1</v>
      </c>
      <c r="L9" s="10">
        <v>1</v>
      </c>
      <c r="M9" s="6">
        <v>41.67</v>
      </c>
      <c r="N9" s="5" t="s">
        <v>143</v>
      </c>
      <c r="O9" s="5" t="s">
        <v>240</v>
      </c>
    </row>
    <row r="10" spans="1:15" x14ac:dyDescent="0.25">
      <c r="A10" s="7">
        <v>101475116300</v>
      </c>
      <c r="B10" s="7" t="str">
        <f t="shared" si="1"/>
        <v>1014751163009</v>
      </c>
      <c r="C10" s="5" t="s">
        <v>145</v>
      </c>
      <c r="D10" s="5" t="s">
        <v>141</v>
      </c>
      <c r="E10" s="5">
        <v>20411454</v>
      </c>
      <c r="F10" s="5" t="s">
        <v>284</v>
      </c>
      <c r="G10" s="5" t="s">
        <v>142</v>
      </c>
      <c r="H10" s="8">
        <v>45717</v>
      </c>
      <c r="I10" s="9">
        <v>0</v>
      </c>
      <c r="J10" s="9">
        <v>41.67</v>
      </c>
      <c r="K10" s="5">
        <v>1</v>
      </c>
      <c r="L10" s="10">
        <v>1</v>
      </c>
      <c r="M10" s="6">
        <v>41.67</v>
      </c>
      <c r="N10" s="5" t="s">
        <v>143</v>
      </c>
      <c r="O10" s="5" t="s">
        <v>240</v>
      </c>
    </row>
    <row r="11" spans="1:15" x14ac:dyDescent="0.25">
      <c r="A11" s="7">
        <v>101485743900</v>
      </c>
      <c r="B11" s="7" t="str">
        <f t="shared" si="1"/>
        <v>1014857439009</v>
      </c>
      <c r="C11" s="5" t="s">
        <v>147</v>
      </c>
      <c r="D11" s="5" t="s">
        <v>141</v>
      </c>
      <c r="E11" s="5">
        <v>20411454</v>
      </c>
      <c r="F11" s="5" t="s">
        <v>284</v>
      </c>
      <c r="G11" s="5" t="s">
        <v>142</v>
      </c>
      <c r="H11" s="8">
        <v>45717</v>
      </c>
      <c r="I11" s="9">
        <v>0</v>
      </c>
      <c r="J11" s="9">
        <v>41.67</v>
      </c>
      <c r="K11" s="5">
        <v>1</v>
      </c>
      <c r="L11" s="10">
        <v>1</v>
      </c>
      <c r="M11" s="6">
        <v>41.67</v>
      </c>
      <c r="N11" s="5" t="s">
        <v>143</v>
      </c>
      <c r="O11" s="5" t="s">
        <v>240</v>
      </c>
    </row>
    <row r="12" spans="1:15" x14ac:dyDescent="0.25">
      <c r="A12" s="7">
        <v>101599640900</v>
      </c>
      <c r="B12" s="7" t="str">
        <f t="shared" si="1"/>
        <v>1015996409009</v>
      </c>
      <c r="C12" s="5" t="s">
        <v>149</v>
      </c>
      <c r="D12" s="5" t="s">
        <v>150</v>
      </c>
      <c r="E12" s="5">
        <v>20411454</v>
      </c>
      <c r="F12" s="5" t="s">
        <v>284</v>
      </c>
      <c r="G12" s="5" t="s">
        <v>142</v>
      </c>
      <c r="H12" s="8">
        <v>45717</v>
      </c>
      <c r="I12" s="9">
        <v>0</v>
      </c>
      <c r="J12" s="9">
        <v>41.67</v>
      </c>
      <c r="K12" s="5">
        <v>1</v>
      </c>
      <c r="L12" s="10">
        <v>1</v>
      </c>
      <c r="M12" s="6">
        <v>41.67</v>
      </c>
      <c r="N12" s="5" t="s">
        <v>143</v>
      </c>
      <c r="O12" s="5" t="s">
        <v>240</v>
      </c>
    </row>
    <row r="13" spans="1:15" x14ac:dyDescent="0.25">
      <c r="A13" s="7">
        <v>101961096900</v>
      </c>
      <c r="B13" s="7" t="str">
        <f t="shared" si="1"/>
        <v>1019610969009</v>
      </c>
      <c r="C13" s="5" t="s">
        <v>154</v>
      </c>
      <c r="D13" s="5" t="s">
        <v>155</v>
      </c>
      <c r="E13" s="5">
        <v>20411454</v>
      </c>
      <c r="F13" s="5" t="s">
        <v>284</v>
      </c>
      <c r="G13" s="5" t="s">
        <v>142</v>
      </c>
      <c r="H13" s="8">
        <v>45717</v>
      </c>
      <c r="I13" s="9">
        <v>0</v>
      </c>
      <c r="J13" s="9">
        <v>41.67</v>
      </c>
      <c r="K13" s="5">
        <v>1</v>
      </c>
      <c r="L13" s="10">
        <v>1</v>
      </c>
      <c r="M13" s="6">
        <v>41.67</v>
      </c>
      <c r="N13" s="5" t="s">
        <v>143</v>
      </c>
      <c r="O13" s="5" t="s">
        <v>240</v>
      </c>
    </row>
    <row r="14" spans="1:15" x14ac:dyDescent="0.25">
      <c r="A14" s="7">
        <v>102077405900</v>
      </c>
      <c r="B14" s="7" t="str">
        <f t="shared" si="1"/>
        <v>1020774059009</v>
      </c>
      <c r="C14" s="5" t="s">
        <v>157</v>
      </c>
      <c r="D14" s="5" t="s">
        <v>46</v>
      </c>
      <c r="E14" s="5">
        <v>20411454</v>
      </c>
      <c r="F14" s="5" t="s">
        <v>284</v>
      </c>
      <c r="G14" s="5" t="s">
        <v>142</v>
      </c>
      <c r="H14" s="8">
        <v>45717</v>
      </c>
      <c r="I14" s="9">
        <v>0</v>
      </c>
      <c r="J14" s="9">
        <v>41.67</v>
      </c>
      <c r="K14" s="5">
        <v>1</v>
      </c>
      <c r="L14" s="10">
        <v>1</v>
      </c>
      <c r="M14" s="6">
        <v>41.67</v>
      </c>
      <c r="N14" s="5" t="s">
        <v>143</v>
      </c>
      <c r="O14" s="5" t="s">
        <v>240</v>
      </c>
    </row>
    <row r="15" spans="1:15" x14ac:dyDescent="0.25">
      <c r="A15" s="7">
        <v>102151874000</v>
      </c>
      <c r="B15" s="7" t="str">
        <f t="shared" si="1"/>
        <v>1021518740009</v>
      </c>
      <c r="C15" s="5" t="s">
        <v>159</v>
      </c>
      <c r="D15" s="5" t="s">
        <v>130</v>
      </c>
      <c r="E15" s="5">
        <v>20411454</v>
      </c>
      <c r="F15" s="5" t="s">
        <v>284</v>
      </c>
      <c r="G15" s="5" t="s">
        <v>142</v>
      </c>
      <c r="H15" s="8">
        <v>45689</v>
      </c>
      <c r="I15" s="9">
        <v>0</v>
      </c>
      <c r="J15" s="9">
        <v>45.83</v>
      </c>
      <c r="K15" s="5">
        <v>1</v>
      </c>
      <c r="L15" s="10">
        <v>1</v>
      </c>
      <c r="M15" s="6">
        <v>45.83</v>
      </c>
      <c r="N15" s="5" t="s">
        <v>162</v>
      </c>
      <c r="O15" s="5" t="s">
        <v>240</v>
      </c>
    </row>
    <row r="16" spans="1:15" x14ac:dyDescent="0.25">
      <c r="A16" s="7">
        <v>102152260000</v>
      </c>
      <c r="B16" s="7" t="str">
        <f t="shared" si="1"/>
        <v>1021522600009</v>
      </c>
      <c r="C16" s="5" t="s">
        <v>164</v>
      </c>
      <c r="D16" s="5" t="s">
        <v>165</v>
      </c>
      <c r="E16" s="5">
        <v>20411454</v>
      </c>
      <c r="F16" s="5" t="s">
        <v>284</v>
      </c>
      <c r="G16" s="5" t="s">
        <v>142</v>
      </c>
      <c r="H16" s="8">
        <v>45717</v>
      </c>
      <c r="I16" s="9">
        <v>0</v>
      </c>
      <c r="J16" s="9">
        <v>41.67</v>
      </c>
      <c r="K16" s="5">
        <v>1</v>
      </c>
      <c r="L16" s="10">
        <v>1</v>
      </c>
      <c r="M16" s="6">
        <v>41.67</v>
      </c>
      <c r="N16" s="5" t="s">
        <v>143</v>
      </c>
      <c r="O16" s="5" t="s">
        <v>240</v>
      </c>
    </row>
    <row r="17" spans="1:15" x14ac:dyDescent="0.25">
      <c r="A17" s="7">
        <v>102152521300</v>
      </c>
      <c r="B17" s="7" t="str">
        <f t="shared" si="1"/>
        <v>1021525213009</v>
      </c>
      <c r="C17" s="5" t="s">
        <v>167</v>
      </c>
      <c r="D17" s="5" t="s">
        <v>141</v>
      </c>
      <c r="E17" s="5">
        <v>20411454</v>
      </c>
      <c r="F17" s="5" t="s">
        <v>284</v>
      </c>
      <c r="G17" s="5" t="s">
        <v>142</v>
      </c>
      <c r="H17" s="8">
        <v>45717</v>
      </c>
      <c r="I17" s="9">
        <v>0</v>
      </c>
      <c r="J17" s="9">
        <v>41.67</v>
      </c>
      <c r="K17" s="5">
        <v>1</v>
      </c>
      <c r="L17" s="10">
        <v>1</v>
      </c>
      <c r="M17" s="6">
        <v>41.67</v>
      </c>
      <c r="N17" s="5" t="s">
        <v>143</v>
      </c>
      <c r="O17" s="5" t="s">
        <v>240</v>
      </c>
    </row>
    <row r="18" spans="1:15" x14ac:dyDescent="0.25">
      <c r="A18" s="7">
        <v>102152552400</v>
      </c>
      <c r="B18" s="7" t="str">
        <f t="shared" si="1"/>
        <v>1021525524009</v>
      </c>
      <c r="C18" s="5" t="s">
        <v>171</v>
      </c>
      <c r="D18" s="5" t="s">
        <v>130</v>
      </c>
      <c r="E18" s="5">
        <v>20411454</v>
      </c>
      <c r="F18" s="5" t="s">
        <v>284</v>
      </c>
      <c r="G18" s="5" t="s">
        <v>142</v>
      </c>
      <c r="H18" s="8">
        <v>45717</v>
      </c>
      <c r="I18" s="9">
        <v>0</v>
      </c>
      <c r="J18" s="9">
        <v>41.67</v>
      </c>
      <c r="K18" s="5">
        <v>1</v>
      </c>
      <c r="L18" s="10">
        <v>1</v>
      </c>
      <c r="M18" s="6">
        <v>41.67</v>
      </c>
      <c r="N18" s="5" t="s">
        <v>143</v>
      </c>
      <c r="O18" s="5" t="s">
        <v>240</v>
      </c>
    </row>
    <row r="19" spans="1:15" x14ac:dyDescent="0.25">
      <c r="A19" s="7">
        <v>102152554700</v>
      </c>
      <c r="B19" s="7" t="str">
        <f t="shared" si="1"/>
        <v>1021525547009</v>
      </c>
      <c r="C19" s="5" t="s">
        <v>175</v>
      </c>
      <c r="D19" s="5" t="s">
        <v>176</v>
      </c>
      <c r="E19" s="5">
        <v>20411454</v>
      </c>
      <c r="F19" s="5" t="s">
        <v>284</v>
      </c>
      <c r="G19" s="5" t="s">
        <v>142</v>
      </c>
      <c r="H19" s="8">
        <v>45778</v>
      </c>
      <c r="I19" s="9">
        <v>0</v>
      </c>
      <c r="J19" s="9">
        <v>33.33</v>
      </c>
      <c r="K19" s="5">
        <v>1</v>
      </c>
      <c r="L19" s="10">
        <v>1</v>
      </c>
      <c r="M19" s="6">
        <v>33.33</v>
      </c>
      <c r="N19" s="5" t="s">
        <v>177</v>
      </c>
      <c r="O19" s="5" t="s">
        <v>240</v>
      </c>
    </row>
    <row r="20" spans="1:15" x14ac:dyDescent="0.25">
      <c r="A20" s="7">
        <v>102152584900</v>
      </c>
      <c r="B20" s="7" t="str">
        <f t="shared" si="1"/>
        <v>1021525849009</v>
      </c>
      <c r="C20" s="5" t="s">
        <v>179</v>
      </c>
      <c r="D20" s="5" t="s">
        <v>180</v>
      </c>
      <c r="E20" s="5">
        <v>20411454</v>
      </c>
      <c r="F20" s="5" t="s">
        <v>284</v>
      </c>
      <c r="G20" s="5" t="s">
        <v>142</v>
      </c>
      <c r="H20" s="8">
        <v>45748</v>
      </c>
      <c r="I20" s="9">
        <v>0</v>
      </c>
      <c r="J20" s="9">
        <v>37.5</v>
      </c>
      <c r="K20" s="5">
        <v>1</v>
      </c>
      <c r="L20" s="10">
        <v>1</v>
      </c>
      <c r="M20" s="6">
        <v>37.5</v>
      </c>
      <c r="N20" s="5" t="s">
        <v>125</v>
      </c>
      <c r="O20" s="5" t="s">
        <v>240</v>
      </c>
    </row>
    <row r="21" spans="1:15" x14ac:dyDescent="0.25">
      <c r="A21" s="7">
        <v>102152902400</v>
      </c>
      <c r="B21" s="7" t="str">
        <f t="shared" si="1"/>
        <v>1021529024009</v>
      </c>
      <c r="C21" s="5" t="s">
        <v>182</v>
      </c>
      <c r="D21" s="5" t="s">
        <v>130</v>
      </c>
      <c r="E21" s="5">
        <v>20411454</v>
      </c>
      <c r="F21" s="5" t="s">
        <v>284</v>
      </c>
      <c r="G21" s="5" t="s">
        <v>142</v>
      </c>
      <c r="H21" s="8">
        <v>45778</v>
      </c>
      <c r="I21" s="9">
        <v>0</v>
      </c>
      <c r="J21" s="9">
        <v>33.33</v>
      </c>
      <c r="K21" s="5">
        <v>1</v>
      </c>
      <c r="L21" s="10">
        <v>1</v>
      </c>
      <c r="M21" s="6">
        <v>33.33</v>
      </c>
      <c r="N21" s="5" t="s">
        <v>177</v>
      </c>
      <c r="O21" s="5" t="s">
        <v>240</v>
      </c>
    </row>
    <row r="22" spans="1:15" x14ac:dyDescent="0.25">
      <c r="A22" s="7">
        <v>102153324100</v>
      </c>
      <c r="B22" s="7" t="str">
        <f t="shared" si="1"/>
        <v>1021533241009</v>
      </c>
      <c r="C22" s="5" t="s">
        <v>186</v>
      </c>
      <c r="D22" s="5" t="s">
        <v>176</v>
      </c>
      <c r="E22" s="5">
        <v>20411454</v>
      </c>
      <c r="F22" s="5" t="s">
        <v>284</v>
      </c>
      <c r="G22" s="5" t="s">
        <v>142</v>
      </c>
      <c r="H22" s="8">
        <v>45717</v>
      </c>
      <c r="I22" s="9">
        <v>0</v>
      </c>
      <c r="J22" s="9">
        <v>41.67</v>
      </c>
      <c r="K22" s="5">
        <v>1</v>
      </c>
      <c r="L22" s="10">
        <v>1</v>
      </c>
      <c r="M22" s="6">
        <v>41.67</v>
      </c>
      <c r="N22" s="5" t="s">
        <v>143</v>
      </c>
      <c r="O22" s="5" t="s">
        <v>240</v>
      </c>
    </row>
    <row r="23" spans="1:15" x14ac:dyDescent="0.25">
      <c r="A23" s="7">
        <v>102153409000</v>
      </c>
      <c r="B23" s="7" t="str">
        <f t="shared" si="1"/>
        <v>1021534090009</v>
      </c>
      <c r="C23" s="5" t="s">
        <v>188</v>
      </c>
      <c r="D23" s="5" t="s">
        <v>130</v>
      </c>
      <c r="E23" s="5">
        <v>20411454</v>
      </c>
      <c r="F23" s="5" t="s">
        <v>284</v>
      </c>
      <c r="G23" s="5" t="s">
        <v>142</v>
      </c>
      <c r="H23" s="8">
        <v>45778</v>
      </c>
      <c r="I23" s="9">
        <v>0</v>
      </c>
      <c r="J23" s="9">
        <v>33.33</v>
      </c>
      <c r="K23" s="5">
        <v>1</v>
      </c>
      <c r="L23" s="10">
        <v>1</v>
      </c>
      <c r="M23" s="6">
        <v>33.33</v>
      </c>
      <c r="N23" s="5" t="s">
        <v>177</v>
      </c>
      <c r="O23" s="5" t="s">
        <v>240</v>
      </c>
    </row>
    <row r="24" spans="1:15" x14ac:dyDescent="0.25">
      <c r="A24" s="7">
        <v>102153840400</v>
      </c>
      <c r="B24" s="7" t="str">
        <f t="shared" si="1"/>
        <v>1021538404009</v>
      </c>
      <c r="C24" s="5" t="s">
        <v>190</v>
      </c>
      <c r="D24" s="5" t="s">
        <v>191</v>
      </c>
      <c r="E24" s="5">
        <v>20411454</v>
      </c>
      <c r="F24" s="5" t="s">
        <v>284</v>
      </c>
      <c r="G24" s="5" t="s">
        <v>142</v>
      </c>
      <c r="H24" s="8">
        <v>45717</v>
      </c>
      <c r="I24" s="9">
        <v>0</v>
      </c>
      <c r="J24" s="9">
        <v>41.67</v>
      </c>
      <c r="K24" s="5">
        <v>1</v>
      </c>
      <c r="L24" s="10">
        <v>1</v>
      </c>
      <c r="M24" s="6">
        <v>41.67</v>
      </c>
      <c r="N24" s="5" t="s">
        <v>143</v>
      </c>
      <c r="O24" s="5" t="s">
        <v>240</v>
      </c>
    </row>
    <row r="25" spans="1:15" x14ac:dyDescent="0.25">
      <c r="A25" s="7">
        <v>102154272500</v>
      </c>
      <c r="B25" s="7" t="str">
        <f t="shared" si="1"/>
        <v>1021542725009</v>
      </c>
      <c r="C25" s="5" t="s">
        <v>193</v>
      </c>
      <c r="D25" s="5" t="s">
        <v>194</v>
      </c>
      <c r="E25" s="5">
        <v>20411454</v>
      </c>
      <c r="F25" s="5" t="s">
        <v>284</v>
      </c>
      <c r="G25" s="5" t="s">
        <v>142</v>
      </c>
      <c r="H25" s="8">
        <v>45717</v>
      </c>
      <c r="I25" s="9">
        <v>0</v>
      </c>
      <c r="J25" s="9">
        <v>41.67</v>
      </c>
      <c r="K25" s="5">
        <v>1</v>
      </c>
      <c r="L25" s="10">
        <v>1</v>
      </c>
      <c r="M25" s="6">
        <v>41.67</v>
      </c>
      <c r="N25" s="5" t="s">
        <v>143</v>
      </c>
      <c r="O25" s="5" t="s">
        <v>240</v>
      </c>
    </row>
    <row r="26" spans="1:15" x14ac:dyDescent="0.25">
      <c r="A26" s="7" t="s">
        <v>247</v>
      </c>
      <c r="B26" s="7" t="str">
        <f t="shared" si="1"/>
        <v>00000192144F9</v>
      </c>
      <c r="C26" s="5" t="s">
        <v>45</v>
      </c>
      <c r="D26" s="5" t="s">
        <v>46</v>
      </c>
      <c r="E26" s="5">
        <v>20411454</v>
      </c>
      <c r="F26" s="5" t="s">
        <v>284</v>
      </c>
      <c r="G26" s="5" t="s">
        <v>50</v>
      </c>
      <c r="H26" s="8">
        <v>45748</v>
      </c>
      <c r="I26" s="9">
        <v>0</v>
      </c>
      <c r="J26" s="9">
        <v>175</v>
      </c>
      <c r="K26" s="5">
        <v>1</v>
      </c>
      <c r="L26" s="10">
        <v>1</v>
      </c>
      <c r="M26" s="6">
        <v>175</v>
      </c>
      <c r="O26" s="5" t="s">
        <v>241</v>
      </c>
    </row>
    <row r="27" spans="1:15" x14ac:dyDescent="0.25">
      <c r="A27" s="7" t="s">
        <v>248</v>
      </c>
      <c r="B27" s="7" t="str">
        <f t="shared" si="1"/>
        <v>00008794496K9</v>
      </c>
      <c r="C27" s="5" t="s">
        <v>54</v>
      </c>
      <c r="D27" s="5" t="s">
        <v>46</v>
      </c>
      <c r="E27" s="5">
        <v>20411454</v>
      </c>
      <c r="F27" s="5" t="s">
        <v>284</v>
      </c>
      <c r="G27" s="5" t="s">
        <v>50</v>
      </c>
      <c r="H27" s="8">
        <v>45717</v>
      </c>
      <c r="I27" s="9">
        <v>0</v>
      </c>
      <c r="J27" s="9">
        <v>175</v>
      </c>
      <c r="K27" s="5">
        <v>1</v>
      </c>
      <c r="L27" s="10">
        <v>1</v>
      </c>
      <c r="M27" s="6">
        <v>175</v>
      </c>
      <c r="O27" s="5" t="s">
        <v>241</v>
      </c>
    </row>
    <row r="28" spans="1:15" x14ac:dyDescent="0.25">
      <c r="A28" s="7" t="s">
        <v>249</v>
      </c>
      <c r="B28" s="7" t="str">
        <f t="shared" si="1"/>
        <v>00010220392K9</v>
      </c>
      <c r="C28" s="5" t="s">
        <v>58</v>
      </c>
      <c r="D28" s="5" t="s">
        <v>46</v>
      </c>
      <c r="E28" s="5">
        <v>20411454</v>
      </c>
      <c r="F28" s="5" t="s">
        <v>284</v>
      </c>
      <c r="G28" s="5" t="s">
        <v>50</v>
      </c>
      <c r="H28" s="8">
        <v>45748</v>
      </c>
      <c r="I28" s="9">
        <v>0</v>
      </c>
      <c r="J28" s="9">
        <v>175</v>
      </c>
      <c r="K28" s="5">
        <v>1</v>
      </c>
      <c r="L28" s="10">
        <v>1</v>
      </c>
      <c r="M28" s="6">
        <v>175</v>
      </c>
      <c r="O28" s="5" t="s">
        <v>241</v>
      </c>
    </row>
    <row r="29" spans="1:15" x14ac:dyDescent="0.25">
      <c r="A29" s="7" t="s">
        <v>250</v>
      </c>
      <c r="B29" s="7" t="str">
        <f t="shared" si="1"/>
        <v>00013714586K9</v>
      </c>
      <c r="C29" s="5" t="s">
        <v>67</v>
      </c>
      <c r="D29" s="5" t="s">
        <v>46</v>
      </c>
      <c r="E29" s="5">
        <v>20411454</v>
      </c>
      <c r="F29" s="5" t="s">
        <v>284</v>
      </c>
      <c r="G29" s="5" t="s">
        <v>50</v>
      </c>
      <c r="H29" s="8">
        <v>45748</v>
      </c>
      <c r="I29" s="9">
        <v>0</v>
      </c>
      <c r="J29" s="9">
        <v>175</v>
      </c>
      <c r="K29" s="5">
        <v>1</v>
      </c>
      <c r="L29" s="10">
        <v>1</v>
      </c>
      <c r="M29" s="6">
        <v>175</v>
      </c>
      <c r="O29" s="5" t="s">
        <v>241</v>
      </c>
    </row>
    <row r="30" spans="1:15" x14ac:dyDescent="0.25">
      <c r="A30" s="7" t="s">
        <v>251</v>
      </c>
      <c r="B30" s="7" t="str">
        <f t="shared" si="1"/>
        <v>00018658012K9</v>
      </c>
      <c r="C30" s="5" t="s">
        <v>71</v>
      </c>
      <c r="D30" s="5" t="s">
        <v>46</v>
      </c>
      <c r="E30" s="5">
        <v>20411454</v>
      </c>
      <c r="F30" s="5" t="s">
        <v>284</v>
      </c>
      <c r="G30" s="5" t="s">
        <v>50</v>
      </c>
      <c r="H30" s="8">
        <v>45748</v>
      </c>
      <c r="I30" s="9">
        <v>0</v>
      </c>
      <c r="J30" s="9">
        <v>175</v>
      </c>
      <c r="K30" s="5">
        <v>1</v>
      </c>
      <c r="L30" s="10">
        <v>1</v>
      </c>
      <c r="M30" s="6">
        <v>175</v>
      </c>
      <c r="O30" s="5" t="s">
        <v>241</v>
      </c>
    </row>
    <row r="31" spans="1:15" x14ac:dyDescent="0.25">
      <c r="A31" s="7" t="s">
        <v>252</v>
      </c>
      <c r="B31" s="7" t="str">
        <f t="shared" si="1"/>
        <v>00021558272K9</v>
      </c>
      <c r="C31" s="5" t="s">
        <v>73</v>
      </c>
      <c r="D31" s="5" t="s">
        <v>46</v>
      </c>
      <c r="E31" s="5">
        <v>20411454</v>
      </c>
      <c r="F31" s="5" t="s">
        <v>284</v>
      </c>
      <c r="G31" s="5" t="s">
        <v>50</v>
      </c>
      <c r="H31" s="8">
        <v>45748</v>
      </c>
      <c r="I31" s="9">
        <v>0</v>
      </c>
      <c r="J31" s="9">
        <v>175</v>
      </c>
      <c r="K31" s="5">
        <v>1</v>
      </c>
      <c r="L31" s="10">
        <v>1</v>
      </c>
      <c r="M31" s="6">
        <v>175</v>
      </c>
      <c r="O31" s="5" t="s">
        <v>241</v>
      </c>
    </row>
    <row r="32" spans="1:15" x14ac:dyDescent="0.25">
      <c r="A32" s="7" t="s">
        <v>253</v>
      </c>
      <c r="B32" s="7" t="str">
        <f t="shared" si="1"/>
        <v>00023154864K9</v>
      </c>
      <c r="C32" s="5" t="s">
        <v>77</v>
      </c>
      <c r="D32" s="5" t="s">
        <v>46</v>
      </c>
      <c r="E32" s="5">
        <v>20411454</v>
      </c>
      <c r="F32" s="5" t="s">
        <v>284</v>
      </c>
      <c r="G32" s="5" t="s">
        <v>50</v>
      </c>
      <c r="H32" s="8">
        <v>45748</v>
      </c>
      <c r="I32" s="9">
        <v>0</v>
      </c>
      <c r="J32" s="9">
        <v>175</v>
      </c>
      <c r="K32" s="5">
        <v>1</v>
      </c>
      <c r="L32" s="10">
        <v>1</v>
      </c>
      <c r="M32" s="6">
        <v>175</v>
      </c>
      <c r="O32" s="5" t="s">
        <v>241</v>
      </c>
    </row>
    <row r="33" spans="1:15" x14ac:dyDescent="0.25">
      <c r="A33" s="7" t="s">
        <v>254</v>
      </c>
      <c r="B33" s="7" t="str">
        <f t="shared" si="1"/>
        <v>00023154874K9</v>
      </c>
      <c r="C33" s="5" t="s">
        <v>81</v>
      </c>
      <c r="D33" s="5" t="s">
        <v>46</v>
      </c>
      <c r="E33" s="5">
        <v>20411454</v>
      </c>
      <c r="F33" s="5" t="s">
        <v>284</v>
      </c>
      <c r="G33" s="5" t="s">
        <v>50</v>
      </c>
      <c r="H33" s="8">
        <v>45748</v>
      </c>
      <c r="I33" s="9">
        <v>0</v>
      </c>
      <c r="J33" s="9">
        <v>175</v>
      </c>
      <c r="K33" s="5">
        <v>1</v>
      </c>
      <c r="L33" s="10">
        <v>1</v>
      </c>
      <c r="M33" s="6">
        <v>175</v>
      </c>
      <c r="O33" s="5" t="s">
        <v>241</v>
      </c>
    </row>
    <row r="34" spans="1:15" x14ac:dyDescent="0.25">
      <c r="A34" s="7" t="s">
        <v>255</v>
      </c>
      <c r="B34" s="7" t="str">
        <f t="shared" si="1"/>
        <v>00023157542K9</v>
      </c>
      <c r="C34" s="5" t="s">
        <v>85</v>
      </c>
      <c r="D34" s="5" t="s">
        <v>46</v>
      </c>
      <c r="E34" s="5">
        <v>20411454</v>
      </c>
      <c r="F34" s="5" t="s">
        <v>284</v>
      </c>
      <c r="G34" s="5" t="s">
        <v>50</v>
      </c>
      <c r="H34" s="8">
        <v>45748</v>
      </c>
      <c r="I34" s="9">
        <v>0</v>
      </c>
      <c r="J34" s="9">
        <v>175</v>
      </c>
      <c r="K34" s="5">
        <v>1</v>
      </c>
      <c r="L34" s="10">
        <v>1</v>
      </c>
      <c r="M34" s="6">
        <v>175</v>
      </c>
      <c r="O34" s="5" t="s">
        <v>241</v>
      </c>
    </row>
    <row r="35" spans="1:15" x14ac:dyDescent="0.25">
      <c r="A35" s="7" t="s">
        <v>256</v>
      </c>
      <c r="B35" s="7" t="str">
        <f t="shared" si="1"/>
        <v>00023161838K9</v>
      </c>
      <c r="C35" s="5" t="s">
        <v>87</v>
      </c>
      <c r="D35" s="5" t="s">
        <v>46</v>
      </c>
      <c r="E35" s="5">
        <v>20411454</v>
      </c>
      <c r="F35" s="5" t="s">
        <v>284</v>
      </c>
      <c r="G35" s="5" t="s">
        <v>50</v>
      </c>
      <c r="H35" s="8">
        <v>45748</v>
      </c>
      <c r="I35" s="9">
        <v>0</v>
      </c>
      <c r="J35" s="9">
        <v>175</v>
      </c>
      <c r="K35" s="5">
        <v>1</v>
      </c>
      <c r="L35" s="10">
        <v>1</v>
      </c>
      <c r="M35" s="6">
        <v>175</v>
      </c>
      <c r="O35" s="5" t="s">
        <v>241</v>
      </c>
    </row>
    <row r="36" spans="1:15" x14ac:dyDescent="0.25">
      <c r="A36" s="7" t="s">
        <v>257</v>
      </c>
      <c r="B36" s="7" t="str">
        <f t="shared" si="1"/>
        <v>00023163634K9</v>
      </c>
      <c r="C36" s="5" t="s">
        <v>91</v>
      </c>
      <c r="D36" s="5" t="s">
        <v>46</v>
      </c>
      <c r="E36" s="5">
        <v>20411454</v>
      </c>
      <c r="F36" s="5" t="s">
        <v>284</v>
      </c>
      <c r="G36" s="5" t="s">
        <v>50</v>
      </c>
      <c r="H36" s="8">
        <v>45717</v>
      </c>
      <c r="I36" s="9">
        <v>0</v>
      </c>
      <c r="J36" s="9">
        <v>175</v>
      </c>
      <c r="K36" s="5">
        <v>1</v>
      </c>
      <c r="L36" s="10">
        <v>1</v>
      </c>
      <c r="M36" s="6">
        <v>175</v>
      </c>
      <c r="O36" s="5" t="s">
        <v>241</v>
      </c>
    </row>
    <row r="37" spans="1:15" x14ac:dyDescent="0.25">
      <c r="A37" s="7" t="s">
        <v>258</v>
      </c>
      <c r="B37" s="7" t="str">
        <f t="shared" si="1"/>
        <v>00023163873K9</v>
      </c>
      <c r="C37" s="5" t="s">
        <v>95</v>
      </c>
      <c r="D37" s="5" t="s">
        <v>46</v>
      </c>
      <c r="E37" s="5">
        <v>20411454</v>
      </c>
      <c r="F37" s="5" t="s">
        <v>284</v>
      </c>
      <c r="G37" s="5" t="s">
        <v>50</v>
      </c>
      <c r="H37" s="8">
        <v>45748</v>
      </c>
      <c r="I37" s="9">
        <v>0</v>
      </c>
      <c r="J37" s="9">
        <v>175</v>
      </c>
      <c r="K37" s="5">
        <v>1</v>
      </c>
      <c r="L37" s="10">
        <v>1</v>
      </c>
      <c r="M37" s="6">
        <v>175</v>
      </c>
      <c r="O37" s="5" t="s">
        <v>241</v>
      </c>
    </row>
    <row r="38" spans="1:15" x14ac:dyDescent="0.25">
      <c r="A38" s="7" t="s">
        <v>259</v>
      </c>
      <c r="B38" s="7" t="str">
        <f t="shared" si="1"/>
        <v>00023171146K9</v>
      </c>
      <c r="C38" s="5" t="s">
        <v>102</v>
      </c>
      <c r="D38" s="5" t="s">
        <v>46</v>
      </c>
      <c r="E38" s="5">
        <v>20411454</v>
      </c>
      <c r="F38" s="5" t="s">
        <v>284</v>
      </c>
      <c r="G38" s="5" t="s">
        <v>50</v>
      </c>
      <c r="H38" s="8">
        <v>45748</v>
      </c>
      <c r="I38" s="9">
        <v>0</v>
      </c>
      <c r="J38" s="9">
        <v>175</v>
      </c>
      <c r="K38" s="5">
        <v>1</v>
      </c>
      <c r="L38" s="10">
        <v>1</v>
      </c>
      <c r="M38" s="6">
        <v>175</v>
      </c>
      <c r="O38" s="5" t="s">
        <v>241</v>
      </c>
    </row>
    <row r="39" spans="1:15" x14ac:dyDescent="0.25">
      <c r="A39" s="7" t="s">
        <v>260</v>
      </c>
      <c r="B39" s="7" t="str">
        <f t="shared" si="1"/>
        <v>00023171733K9</v>
      </c>
      <c r="C39" s="5" t="s">
        <v>106</v>
      </c>
      <c r="D39" s="5" t="s">
        <v>46</v>
      </c>
      <c r="E39" s="5">
        <v>20411454</v>
      </c>
      <c r="F39" s="5" t="s">
        <v>284</v>
      </c>
      <c r="G39" s="5" t="s">
        <v>50</v>
      </c>
      <c r="H39" s="8">
        <v>45809</v>
      </c>
      <c r="I39" s="9">
        <v>0</v>
      </c>
      <c r="J39" s="9">
        <v>175</v>
      </c>
      <c r="K39" s="5">
        <v>1</v>
      </c>
      <c r="L39" s="10">
        <v>1</v>
      </c>
      <c r="M39" s="6">
        <v>175</v>
      </c>
      <c r="O39" s="5" t="s">
        <v>241</v>
      </c>
    </row>
    <row r="40" spans="1:15" x14ac:dyDescent="0.25">
      <c r="A40" s="7" t="s">
        <v>261</v>
      </c>
      <c r="B40" s="7" t="str">
        <f t="shared" si="1"/>
        <v>00023174017K9</v>
      </c>
      <c r="C40" s="5" t="s">
        <v>108</v>
      </c>
      <c r="D40" s="5" t="s">
        <v>46</v>
      </c>
      <c r="E40" s="5">
        <v>20411454</v>
      </c>
      <c r="F40" s="5" t="s">
        <v>284</v>
      </c>
      <c r="G40" s="5" t="s">
        <v>50</v>
      </c>
      <c r="H40" s="8">
        <v>45778</v>
      </c>
      <c r="I40" s="9">
        <v>0</v>
      </c>
      <c r="J40" s="9">
        <v>175</v>
      </c>
      <c r="K40" s="5">
        <v>1</v>
      </c>
      <c r="L40" s="10">
        <v>1</v>
      </c>
      <c r="M40" s="6">
        <v>175</v>
      </c>
      <c r="O40" s="5" t="s">
        <v>241</v>
      </c>
    </row>
    <row r="41" spans="1:15" x14ac:dyDescent="0.25">
      <c r="A41" s="7" t="s">
        <v>262</v>
      </c>
      <c r="B41" s="7" t="str">
        <f t="shared" si="1"/>
        <v>00023174321K9</v>
      </c>
      <c r="C41" s="5" t="s">
        <v>112</v>
      </c>
      <c r="D41" s="5" t="s">
        <v>46</v>
      </c>
      <c r="E41" s="5">
        <v>20411454</v>
      </c>
      <c r="F41" s="5" t="s">
        <v>284</v>
      </c>
      <c r="G41" s="5" t="s">
        <v>50</v>
      </c>
      <c r="H41" s="8">
        <v>45748</v>
      </c>
      <c r="I41" s="9">
        <v>0</v>
      </c>
      <c r="J41" s="9">
        <v>175</v>
      </c>
      <c r="K41" s="5">
        <v>1</v>
      </c>
      <c r="L41" s="10">
        <v>1</v>
      </c>
      <c r="M41" s="6">
        <v>175</v>
      </c>
      <c r="O41" s="5" t="s">
        <v>241</v>
      </c>
    </row>
    <row r="42" spans="1:15" x14ac:dyDescent="0.25">
      <c r="A42" s="7" t="s">
        <v>263</v>
      </c>
      <c r="B42" s="7" t="str">
        <f t="shared" si="1"/>
        <v>00023177736K9</v>
      </c>
      <c r="C42" s="5" t="s">
        <v>114</v>
      </c>
      <c r="D42" s="5" t="s">
        <v>46</v>
      </c>
      <c r="E42" s="5">
        <v>20411454</v>
      </c>
      <c r="F42" s="5" t="s">
        <v>284</v>
      </c>
      <c r="G42" s="5" t="s">
        <v>50</v>
      </c>
      <c r="H42" s="8">
        <v>45748</v>
      </c>
      <c r="I42" s="9">
        <v>0</v>
      </c>
      <c r="J42" s="9">
        <v>175</v>
      </c>
      <c r="K42" s="5">
        <v>1</v>
      </c>
      <c r="L42" s="10">
        <v>1</v>
      </c>
      <c r="M42" s="6">
        <v>175</v>
      </c>
      <c r="O42" s="5" t="s">
        <v>241</v>
      </c>
    </row>
    <row r="43" spans="1:15" x14ac:dyDescent="0.25">
      <c r="A43" s="7" t="s">
        <v>264</v>
      </c>
      <c r="B43" s="7" t="str">
        <f t="shared" si="1"/>
        <v>00023178815K9</v>
      </c>
      <c r="C43" s="5" t="s">
        <v>116</v>
      </c>
      <c r="D43" s="5" t="s">
        <v>46</v>
      </c>
      <c r="E43" s="5">
        <v>20411454</v>
      </c>
      <c r="F43" s="5" t="s">
        <v>284</v>
      </c>
      <c r="G43" s="5" t="s">
        <v>50</v>
      </c>
      <c r="H43" s="8">
        <v>45748</v>
      </c>
      <c r="I43" s="9">
        <v>0</v>
      </c>
      <c r="J43" s="9">
        <v>175</v>
      </c>
      <c r="K43" s="5">
        <v>1</v>
      </c>
      <c r="L43" s="10">
        <v>1</v>
      </c>
      <c r="M43" s="6">
        <v>175</v>
      </c>
      <c r="O43" s="5" t="s">
        <v>241</v>
      </c>
    </row>
    <row r="44" spans="1:15" x14ac:dyDescent="0.25">
      <c r="A44" s="7" t="s">
        <v>265</v>
      </c>
      <c r="B44" s="7" t="str">
        <f t="shared" si="1"/>
        <v>00011177340KPC9</v>
      </c>
      <c r="C44" s="5" t="s">
        <v>216</v>
      </c>
      <c r="D44" s="5" t="s">
        <v>46</v>
      </c>
      <c r="E44" s="5">
        <v>20411454</v>
      </c>
      <c r="F44" s="5" t="s">
        <v>284</v>
      </c>
      <c r="G44" s="5" t="s">
        <v>50</v>
      </c>
      <c r="H44" s="8">
        <v>45658</v>
      </c>
      <c r="M44" s="6">
        <v>-131.25</v>
      </c>
      <c r="O44" s="5" t="s">
        <v>241</v>
      </c>
    </row>
    <row r="45" spans="1:15" x14ac:dyDescent="0.25">
      <c r="A45" s="7" t="s">
        <v>266</v>
      </c>
      <c r="B45" s="7" t="str">
        <f t="shared" si="1"/>
        <v>00022601965KPC9</v>
      </c>
      <c r="C45" s="5" t="s">
        <v>220</v>
      </c>
      <c r="D45" s="5" t="s">
        <v>46</v>
      </c>
      <c r="E45" s="5">
        <v>20411454</v>
      </c>
      <c r="F45" s="5" t="s">
        <v>284</v>
      </c>
      <c r="G45" s="5" t="s">
        <v>50</v>
      </c>
      <c r="H45" s="8">
        <v>45658</v>
      </c>
      <c r="M45" s="6">
        <v>-131.25</v>
      </c>
      <c r="O45" s="5" t="s">
        <v>241</v>
      </c>
    </row>
    <row r="46" spans="1:15" x14ac:dyDescent="0.25">
      <c r="A46" s="7" t="s">
        <v>267</v>
      </c>
      <c r="B46" s="7" t="str">
        <f t="shared" si="1"/>
        <v>00023132160KCB9</v>
      </c>
      <c r="C46" s="5" t="s">
        <v>224</v>
      </c>
      <c r="D46" s="5" t="s">
        <v>46</v>
      </c>
      <c r="E46" s="5">
        <v>20411454</v>
      </c>
      <c r="F46" s="5" t="s">
        <v>284</v>
      </c>
      <c r="G46" s="5" t="s">
        <v>50</v>
      </c>
      <c r="H46" s="8">
        <v>45717</v>
      </c>
      <c r="M46" s="6">
        <v>-175</v>
      </c>
      <c r="O46" s="5" t="s">
        <v>241</v>
      </c>
    </row>
    <row r="47" spans="1:15" x14ac:dyDescent="0.25">
      <c r="A47" s="7" t="s">
        <v>268</v>
      </c>
      <c r="B47" s="7" t="str">
        <f t="shared" si="1"/>
        <v>00013294955K9</v>
      </c>
      <c r="C47" s="5" t="s">
        <v>62</v>
      </c>
      <c r="D47" s="5" t="s">
        <v>46</v>
      </c>
      <c r="E47" s="5">
        <v>20411454</v>
      </c>
      <c r="F47" s="5" t="s">
        <v>284</v>
      </c>
      <c r="G47" s="5" t="s">
        <v>65</v>
      </c>
      <c r="H47" s="8">
        <v>45748</v>
      </c>
      <c r="I47" s="9">
        <v>0</v>
      </c>
      <c r="J47" s="9">
        <v>108</v>
      </c>
      <c r="K47" s="5">
        <v>1</v>
      </c>
      <c r="L47" s="10">
        <v>1</v>
      </c>
      <c r="M47" s="6">
        <v>108</v>
      </c>
      <c r="O47" s="5" t="s">
        <v>241</v>
      </c>
    </row>
    <row r="48" spans="1:15" x14ac:dyDescent="0.25">
      <c r="A48" s="7" t="s">
        <v>269</v>
      </c>
      <c r="B48" s="7" t="str">
        <f t="shared" si="1"/>
        <v>00013294955KAPC9</v>
      </c>
      <c r="C48" s="5" t="s">
        <v>62</v>
      </c>
      <c r="D48" s="5" t="s">
        <v>46</v>
      </c>
      <c r="E48" s="5">
        <v>20411454</v>
      </c>
      <c r="F48" s="5" t="s">
        <v>284</v>
      </c>
      <c r="G48" s="5" t="s">
        <v>65</v>
      </c>
      <c r="H48" s="8">
        <v>45658</v>
      </c>
      <c r="M48" s="6">
        <v>-81</v>
      </c>
      <c r="O48" s="5" t="s">
        <v>241</v>
      </c>
    </row>
    <row r="49" spans="1:16" x14ac:dyDescent="0.25">
      <c r="A49" s="7" t="s">
        <v>270</v>
      </c>
      <c r="B49" s="7" t="str">
        <f t="shared" si="1"/>
        <v>00023168907KPDP9</v>
      </c>
      <c r="C49" s="5" t="s">
        <v>99</v>
      </c>
      <c r="D49" s="5" t="s">
        <v>46</v>
      </c>
      <c r="E49" s="5">
        <v>20411454</v>
      </c>
      <c r="F49" s="5" t="s">
        <v>284</v>
      </c>
      <c r="G49" s="5" t="s">
        <v>100</v>
      </c>
      <c r="H49" s="8">
        <v>45809</v>
      </c>
      <c r="I49" s="9">
        <v>0</v>
      </c>
      <c r="J49" s="9">
        <v>15</v>
      </c>
      <c r="K49" s="5">
        <v>1</v>
      </c>
      <c r="L49" s="10">
        <v>1</v>
      </c>
      <c r="M49" s="6">
        <v>15</v>
      </c>
      <c r="O49" s="5" t="s">
        <v>241</v>
      </c>
    </row>
    <row r="50" spans="1:16" x14ac:dyDescent="0.25">
      <c r="A50" s="7" t="s">
        <v>271</v>
      </c>
      <c r="B50" s="7" t="str">
        <f t="shared" si="1"/>
        <v>00022963642KPDPPC9</v>
      </c>
      <c r="C50" s="5" t="s">
        <v>222</v>
      </c>
      <c r="D50" s="5" t="s">
        <v>46</v>
      </c>
      <c r="E50" s="5">
        <v>20411454</v>
      </c>
      <c r="F50" s="5" t="s">
        <v>284</v>
      </c>
      <c r="G50" s="5" t="s">
        <v>100</v>
      </c>
      <c r="H50" s="8">
        <v>45658</v>
      </c>
      <c r="M50" s="6">
        <v>-13.8</v>
      </c>
      <c r="O50" s="5" t="s">
        <v>241</v>
      </c>
    </row>
    <row r="51" spans="1:16" x14ac:dyDescent="0.25">
      <c r="A51" s="7" t="s">
        <v>272</v>
      </c>
      <c r="B51" s="7" t="str">
        <f t="shared" si="1"/>
        <v>971633104OV9</v>
      </c>
      <c r="C51" s="5" t="s">
        <v>205</v>
      </c>
      <c r="D51" s="5" t="s">
        <v>141</v>
      </c>
      <c r="E51" s="5">
        <v>20411454</v>
      </c>
      <c r="F51" s="5" t="s">
        <v>284</v>
      </c>
      <c r="G51" s="5" t="s">
        <v>207</v>
      </c>
      <c r="H51" s="8">
        <v>45748</v>
      </c>
      <c r="I51" s="9">
        <v>0</v>
      </c>
      <c r="J51" s="9">
        <v>175</v>
      </c>
      <c r="K51" s="5">
        <v>1</v>
      </c>
      <c r="L51" s="10">
        <v>1</v>
      </c>
      <c r="M51" s="6">
        <v>175</v>
      </c>
      <c r="O51" s="5" t="s">
        <v>278</v>
      </c>
    </row>
    <row r="52" spans="1:16" x14ac:dyDescent="0.25">
      <c r="A52" s="7" t="s">
        <v>273</v>
      </c>
      <c r="B52" s="7" t="str">
        <f t="shared" si="1"/>
        <v>917385228OV9</v>
      </c>
      <c r="C52" s="5" t="s">
        <v>198</v>
      </c>
      <c r="D52" s="5" t="s">
        <v>141</v>
      </c>
      <c r="E52" s="5">
        <v>20411454</v>
      </c>
      <c r="F52" s="5" t="s">
        <v>284</v>
      </c>
      <c r="G52" s="5" t="s">
        <v>203</v>
      </c>
      <c r="H52" s="8">
        <v>45748</v>
      </c>
      <c r="I52" s="9">
        <v>0</v>
      </c>
      <c r="J52" s="9">
        <v>54</v>
      </c>
      <c r="K52" s="5">
        <v>1</v>
      </c>
      <c r="L52" s="10">
        <v>1</v>
      </c>
      <c r="M52" s="6">
        <v>54</v>
      </c>
      <c r="N52" s="5" t="s">
        <v>125</v>
      </c>
      <c r="O52" s="5" t="s">
        <v>278</v>
      </c>
    </row>
    <row r="53" spans="1:16" x14ac:dyDescent="0.25">
      <c r="A53" s="7" t="s">
        <v>274</v>
      </c>
      <c r="B53" s="7" t="str">
        <f t="shared" si="1"/>
        <v>992296804OVCB9</v>
      </c>
      <c r="C53" s="5" t="s">
        <v>209</v>
      </c>
      <c r="D53" s="5" t="s">
        <v>141</v>
      </c>
      <c r="E53" s="5">
        <v>20411454</v>
      </c>
      <c r="F53" s="5" t="s">
        <v>284</v>
      </c>
      <c r="G53" s="5" t="s">
        <v>203</v>
      </c>
      <c r="H53" s="8">
        <v>45717</v>
      </c>
      <c r="M53" s="6">
        <v>-60</v>
      </c>
      <c r="O53" s="5" t="s">
        <v>278</v>
      </c>
    </row>
    <row r="54" spans="1:16" x14ac:dyDescent="0.25">
      <c r="A54" s="7" t="s">
        <v>275</v>
      </c>
      <c r="B54" s="7" t="str">
        <f t="shared" si="1"/>
        <v>992296804OV9</v>
      </c>
      <c r="C54" s="5" t="s">
        <v>209</v>
      </c>
      <c r="D54" s="5" t="s">
        <v>141</v>
      </c>
      <c r="E54" s="5">
        <v>20411454</v>
      </c>
      <c r="F54" s="5" t="s">
        <v>284</v>
      </c>
      <c r="G54" s="5" t="s">
        <v>213</v>
      </c>
      <c r="H54" s="8">
        <v>45717</v>
      </c>
      <c r="I54" s="9">
        <v>0</v>
      </c>
      <c r="J54" s="9">
        <v>145.83000000000001</v>
      </c>
      <c r="K54" s="5">
        <v>1</v>
      </c>
      <c r="L54" s="10">
        <v>1</v>
      </c>
      <c r="M54" s="6">
        <v>145.83000000000001</v>
      </c>
      <c r="N54" s="5" t="s">
        <v>143</v>
      </c>
      <c r="O54" s="5" t="s">
        <v>278</v>
      </c>
    </row>
    <row r="55" spans="1:16" x14ac:dyDescent="0.25">
      <c r="A55" s="7">
        <v>992296804</v>
      </c>
      <c r="B55" s="7" t="str">
        <f>CONCATENATE(A55,98)</f>
        <v>99229680498</v>
      </c>
      <c r="C55" s="5" t="s">
        <v>209</v>
      </c>
      <c r="D55" s="5" t="s">
        <v>141</v>
      </c>
      <c r="E55" s="5">
        <v>17301495</v>
      </c>
      <c r="F55" s="5" t="s">
        <v>200</v>
      </c>
      <c r="G55" s="5" t="s">
        <v>210</v>
      </c>
      <c r="H55" s="8">
        <v>45717</v>
      </c>
      <c r="I55" s="9">
        <v>0</v>
      </c>
      <c r="J55" s="9">
        <v>521.66999999999996</v>
      </c>
      <c r="K55" s="5">
        <v>1</v>
      </c>
      <c r="L55" s="10">
        <v>1</v>
      </c>
      <c r="M55" s="6">
        <v>521.66999999999996</v>
      </c>
      <c r="N55" s="5" t="s">
        <v>143</v>
      </c>
      <c r="O55" s="5" t="s">
        <v>280</v>
      </c>
      <c r="P55" s="5" t="s">
        <v>282</v>
      </c>
    </row>
    <row r="56" spans="1:16" x14ac:dyDescent="0.25">
      <c r="A56" s="7">
        <v>917385228</v>
      </c>
      <c r="B56" s="7" t="str">
        <f>CONCATENATE(A56,99)</f>
        <v>91738522899</v>
      </c>
      <c r="C56" s="5" t="s">
        <v>198</v>
      </c>
      <c r="D56" s="5" t="s">
        <v>141</v>
      </c>
      <c r="E56" s="5">
        <v>17301495</v>
      </c>
      <c r="F56" s="5" t="s">
        <v>200</v>
      </c>
      <c r="G56" s="5" t="s">
        <v>201</v>
      </c>
      <c r="H56" s="8">
        <v>45748</v>
      </c>
      <c r="I56" s="9">
        <v>0</v>
      </c>
      <c r="J56" s="9">
        <v>234.75</v>
      </c>
      <c r="K56" s="5">
        <v>1</v>
      </c>
      <c r="L56" s="10">
        <v>1</v>
      </c>
      <c r="M56" s="6">
        <v>234.75</v>
      </c>
      <c r="N56" s="5" t="s">
        <v>125</v>
      </c>
      <c r="O56" s="5" t="s">
        <v>281</v>
      </c>
      <c r="P56" s="5" t="s">
        <v>283</v>
      </c>
    </row>
    <row r="57" spans="1:16" x14ac:dyDescent="0.25">
      <c r="A57" s="7">
        <v>971633104</v>
      </c>
      <c r="B57" s="7" t="str">
        <f t="shared" ref="B57:B59" si="2">CONCATENATE(A57,99)</f>
        <v>97163310499</v>
      </c>
      <c r="C57" s="5" t="s">
        <v>205</v>
      </c>
      <c r="D57" s="5" t="s">
        <v>141</v>
      </c>
      <c r="E57" s="5">
        <v>20212926</v>
      </c>
      <c r="F57" s="5" t="s">
        <v>169</v>
      </c>
      <c r="G57" s="5" t="s">
        <v>201</v>
      </c>
      <c r="H57" s="8">
        <v>45748</v>
      </c>
      <c r="I57" s="9">
        <v>0</v>
      </c>
      <c r="J57" s="9">
        <v>234.75</v>
      </c>
      <c r="K57" s="5">
        <v>1</v>
      </c>
      <c r="L57" s="10">
        <v>1</v>
      </c>
      <c r="M57" s="6">
        <v>234.75</v>
      </c>
      <c r="N57" s="5" t="s">
        <v>125</v>
      </c>
      <c r="O57" s="5" t="s">
        <v>281</v>
      </c>
      <c r="P57" s="5" t="s">
        <v>283</v>
      </c>
    </row>
    <row r="58" spans="1:16" x14ac:dyDescent="0.25">
      <c r="A58" s="7" t="s">
        <v>276</v>
      </c>
      <c r="B58" s="7" t="str">
        <f t="shared" si="2"/>
        <v>023056622OV99</v>
      </c>
      <c r="C58" s="5" t="s">
        <v>120</v>
      </c>
      <c r="D58" s="5" t="s">
        <v>121</v>
      </c>
      <c r="E58" s="5">
        <v>16865615</v>
      </c>
      <c r="F58" s="5" t="s">
        <v>123</v>
      </c>
      <c r="G58" s="5" t="s">
        <v>127</v>
      </c>
      <c r="H58" s="8">
        <v>45748</v>
      </c>
      <c r="I58" s="9">
        <v>0</v>
      </c>
      <c r="J58" s="9">
        <v>41.25</v>
      </c>
      <c r="K58" s="5">
        <v>1</v>
      </c>
      <c r="L58" s="10">
        <v>1</v>
      </c>
      <c r="M58" s="6">
        <v>41.25</v>
      </c>
      <c r="N58" s="5" t="s">
        <v>125</v>
      </c>
      <c r="O58" s="5" t="s">
        <v>279</v>
      </c>
    </row>
    <row r="59" spans="1:16" x14ac:dyDescent="0.25">
      <c r="A59" s="7" t="s">
        <v>277</v>
      </c>
      <c r="B59" s="7" t="str">
        <f t="shared" si="2"/>
        <v>023058170OV99</v>
      </c>
      <c r="C59" s="5" t="s">
        <v>129</v>
      </c>
      <c r="D59" s="5" t="s">
        <v>130</v>
      </c>
      <c r="E59" s="5">
        <v>19278370</v>
      </c>
      <c r="F59" s="5" t="s">
        <v>132</v>
      </c>
      <c r="G59" s="5" t="s">
        <v>127</v>
      </c>
      <c r="H59" s="8">
        <v>45748</v>
      </c>
      <c r="I59" s="9">
        <v>0</v>
      </c>
      <c r="J59" s="9">
        <v>41.25</v>
      </c>
      <c r="K59" s="5">
        <v>1</v>
      </c>
      <c r="L59" s="10">
        <v>1</v>
      </c>
      <c r="M59" s="6">
        <v>41.25</v>
      </c>
      <c r="N59" s="5" t="s">
        <v>125</v>
      </c>
      <c r="O59" s="5" t="s">
        <v>279</v>
      </c>
    </row>
  </sheetData>
  <sortState xmlns:xlrd2="http://schemas.microsoft.com/office/spreadsheetml/2017/richdata2" ref="A2:AM59">
    <sortCondition ref="G2:G5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2025-03-19T15:00:14Z</dcterms:created>
  <dcterms:modified xsi:type="dcterms:W3CDTF">2025-03-20T18:47:25Z</dcterms:modified>
</cp:coreProperties>
</file>