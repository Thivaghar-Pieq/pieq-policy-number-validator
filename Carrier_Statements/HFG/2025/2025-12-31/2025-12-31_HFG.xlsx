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2-31-25\"/>
    </mc:Choice>
  </mc:AlternateContent>
  <xr:revisionPtr revIDLastSave="0" documentId="13_ncr:1_{376E2C39-9705-4DB2-959E-1461F0762076}" xr6:coauthVersionLast="47" xr6:coauthVersionMax="47" xr10:uidLastSave="{00000000-0000-0000-0000-000000000000}"/>
  <bookViews>
    <workbookView xWindow="28680" yWindow="-120" windowWidth="29040" windowHeight="16440" activeTab="2" xr2:uid="{3F13EF21-0EA4-4A6B-8482-9500E8F4D4FA}"/>
  </bookViews>
  <sheets>
    <sheet name="New Business Agent Statement - 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Q3" i="3" l="1"/>
  <c r="Q2" i="3"/>
  <c r="M9" i="3"/>
  <c r="N9" i="3" s="1"/>
  <c r="O9" i="3" s="1"/>
  <c r="M8" i="3"/>
  <c r="N8" i="3" s="1"/>
  <c r="O8" i="3" s="1"/>
  <c r="M7" i="3"/>
  <c r="N7" i="3" s="1"/>
  <c r="O7" i="3" s="1"/>
  <c r="M6" i="3"/>
  <c r="N6" i="3" s="1"/>
  <c r="O6" i="3" s="1"/>
  <c r="B331" i="2"/>
  <c r="B330" i="2"/>
  <c r="B329" i="2"/>
  <c r="B338" i="2"/>
  <c r="B337" i="2"/>
  <c r="B336" i="2"/>
  <c r="B335" i="2"/>
  <c r="B334" i="2"/>
  <c r="B333" i="2"/>
  <c r="B332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<sst xmlns="http://schemas.openxmlformats.org/spreadsheetml/2006/main" count="7927" uniqueCount="975">
  <si>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</si>
  <si>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</si>
  <si>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</si>
  <si>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</si>
  <si>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</si>
  <si>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</si>
  <si>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</si>
  <si>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</si>
  <si>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</si>
  <si>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</si>
  <si>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</si>
  <si>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</si>
  <si>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</si>
  <si>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</si>
  <si>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</si>
  <si>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</si>
  <si>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</si>
  <si>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</si>
  <si>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</si>
  <si>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</si>
  <si>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</si>
  <si>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</si>
  <si>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</si>
  <si>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</si>
  <si>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</si>
  <si>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</si>
  <si>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</si>
  <si>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</si>
  <si>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</si>
  <si>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</si>
  <si>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</si>
  <si>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</si>
  <si>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</si>
  <si>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</si>
  <si>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</si>
  <si>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</si>
  <si>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</si>
  <si>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</si>
  <si>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</si>
  <si>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</si>
  <si>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</si>
  <si>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</si>
  <si>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</si>
  <si>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</si>
  <si>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'00001575600K</t>
  </si>
  <si>
    <t>ANDREW BROWN</t>
  </si>
  <si>
    <t>TX</t>
  </si>
  <si>
    <t>'045591</t>
  </si>
  <si>
    <t>CHRISTOPHER BROUSSEAU</t>
  </si>
  <si>
    <t>ACTIVE</t>
  </si>
  <si>
    <t>Humana MA 2019+ Level 15- 175/108 Repl 2024</t>
  </si>
  <si>
    <t>Monthly</t>
  </si>
  <si>
    <t>AV</t>
  </si>
  <si>
    <t>'00004994397K</t>
  </si>
  <si>
    <t>TAMMY SMITH</t>
  </si>
  <si>
    <t>'046024</t>
  </si>
  <si>
    <t>LATESHA (TC) ROSE</t>
  </si>
  <si>
    <t>'00015578397K</t>
  </si>
  <si>
    <t>EVARISTO RODRIGUEZ</t>
  </si>
  <si>
    <t>IL</t>
  </si>
  <si>
    <t>'045966</t>
  </si>
  <si>
    <t>ANTONIA NEVAREZ</t>
  </si>
  <si>
    <t>'00018284945K</t>
  </si>
  <si>
    <t>RICHARD NESS</t>
  </si>
  <si>
    <t>FL</t>
  </si>
  <si>
    <t>'045605</t>
  </si>
  <si>
    <t>GARY PORTUGAL</t>
  </si>
  <si>
    <t>'00019432374K</t>
  </si>
  <si>
    <t>CASSANDRA KAHL LLOYD</t>
  </si>
  <si>
    <t>'00019455353K</t>
  </si>
  <si>
    <t>JULIA MOSKOVITZ</t>
  </si>
  <si>
    <t>'045603</t>
  </si>
  <si>
    <t>ANDREW CHOI</t>
  </si>
  <si>
    <t>'00019774297K</t>
  </si>
  <si>
    <t>ERNEST UZZELL</t>
  </si>
  <si>
    <t>'043678</t>
  </si>
  <si>
    <t>MATTHEW DAUGHERTY</t>
  </si>
  <si>
    <t>'00019776787K</t>
  </si>
  <si>
    <t>VICTORIA UZZELL</t>
  </si>
  <si>
    <t>'00019914757K</t>
  </si>
  <si>
    <t>LEONOR SOTELO</t>
  </si>
  <si>
    <t>'045601</t>
  </si>
  <si>
    <t>CAROL FOLEY</t>
  </si>
  <si>
    <t>'00020112400K</t>
  </si>
  <si>
    <t>MICHAEL COOK</t>
  </si>
  <si>
    <t>'00020529722K</t>
  </si>
  <si>
    <t>KATHRYN HOSKINS</t>
  </si>
  <si>
    <t>VA</t>
  </si>
  <si>
    <t>'045904</t>
  </si>
  <si>
    <t>BRITTANY OLIVER</t>
  </si>
  <si>
    <t>'00020835806K</t>
  </si>
  <si>
    <t>APRIL COX</t>
  </si>
  <si>
    <t>'043682</t>
  </si>
  <si>
    <t>GREGORY TEIPEL</t>
  </si>
  <si>
    <t>'00021528337K</t>
  </si>
  <si>
    <t>CARLOS MARTINEZ FLORES</t>
  </si>
  <si>
    <t>'045709</t>
  </si>
  <si>
    <t>ESTHER HERRERA-LARSEN</t>
  </si>
  <si>
    <t>'00022031158KB</t>
  </si>
  <si>
    <t>LESLIE IANNACE</t>
  </si>
  <si>
    <t>SC</t>
  </si>
  <si>
    <t>Active</t>
  </si>
  <si>
    <t>'00022149995K</t>
  </si>
  <si>
    <t>AMOS TWO BABIES</t>
  </si>
  <si>
    <t>OK</t>
  </si>
  <si>
    <t>'043638</t>
  </si>
  <si>
    <t>THOMAS PARDUE</t>
  </si>
  <si>
    <t>'00022193875K</t>
  </si>
  <si>
    <t>CONNIE MYERS</t>
  </si>
  <si>
    <t>'00022196511K</t>
  </si>
  <si>
    <t>GREGG FARENWALD</t>
  </si>
  <si>
    <t>'00022592167K</t>
  </si>
  <si>
    <t>DAVID BERARDI</t>
  </si>
  <si>
    <t>'00022872951K</t>
  </si>
  <si>
    <t>PAMELINE WALLACE</t>
  </si>
  <si>
    <t>'043813</t>
  </si>
  <si>
    <t>VICTOR FUENTES</t>
  </si>
  <si>
    <t>'00023413989K</t>
  </si>
  <si>
    <t>KIMBERLY NOWAKOWSKI</t>
  </si>
  <si>
    <t>'00023522226K</t>
  </si>
  <si>
    <t>DINA CUCUNATO</t>
  </si>
  <si>
    <t>WI</t>
  </si>
  <si>
    <t>'043637</t>
  </si>
  <si>
    <t>CHRISTIAN TAUGNER</t>
  </si>
  <si>
    <t>'00023704400K</t>
  </si>
  <si>
    <t>GORDANA KATUSIC</t>
  </si>
  <si>
    <t>Humana MA 2019+ Level 15- 175/108</t>
  </si>
  <si>
    <t>'00025806241K</t>
  </si>
  <si>
    <t>HAROLD GAVIN</t>
  </si>
  <si>
    <t>'045612</t>
  </si>
  <si>
    <t>ANTHONY HUNSBERGER</t>
  </si>
  <si>
    <t>'00025808671K</t>
  </si>
  <si>
    <t>PAULA PILOLLA ZINTL</t>
  </si>
  <si>
    <t>'00025809595K</t>
  </si>
  <si>
    <t>KRISTINE SMITH</t>
  </si>
  <si>
    <t>'00025809995K</t>
  </si>
  <si>
    <t>IRENE SUAREZ</t>
  </si>
  <si>
    <t>'00025810559K</t>
  </si>
  <si>
    <t>LYNN NAVALANY</t>
  </si>
  <si>
    <t>'00025810757K</t>
  </si>
  <si>
    <t>MARIA ACOSTA</t>
  </si>
  <si>
    <t>'00025811000K</t>
  </si>
  <si>
    <t>SYLVIA VALENTIN</t>
  </si>
  <si>
    <t>'00025812287K</t>
  </si>
  <si>
    <t>PAUL KELLY</t>
  </si>
  <si>
    <t>OH</t>
  </si>
  <si>
    <t>'045684</t>
  </si>
  <si>
    <t>JILL SHEPARD</t>
  </si>
  <si>
    <t>'00025812903K</t>
  </si>
  <si>
    <t>GWENDA PHIEL</t>
  </si>
  <si>
    <t>CO</t>
  </si>
  <si>
    <t>'043713</t>
  </si>
  <si>
    <t>JOEL LEE</t>
  </si>
  <si>
    <t>'00025814217K</t>
  </si>
  <si>
    <t>DANAMARIE HAYLOCK</t>
  </si>
  <si>
    <t>'043969</t>
  </si>
  <si>
    <t>STACEY PORTUGAL</t>
  </si>
  <si>
    <t>'00025816114K</t>
  </si>
  <si>
    <t>LAURA LINGENFIELD</t>
  </si>
  <si>
    <t>'00025817764K</t>
  </si>
  <si>
    <t>JEROME SUERTH</t>
  </si>
  <si>
    <t>'043618</t>
  </si>
  <si>
    <t>SAADIA ABDUL</t>
  </si>
  <si>
    <t>'00025818017K</t>
  </si>
  <si>
    <t>CHRISTOPHER BONK</t>
  </si>
  <si>
    <t>'043739</t>
  </si>
  <si>
    <t>ANDREA PETRUNGARO</t>
  </si>
  <si>
    <t>'00025818707K</t>
  </si>
  <si>
    <t>WILLIAM LAUR</t>
  </si>
  <si>
    <t>MD</t>
  </si>
  <si>
    <t>'00025818830K</t>
  </si>
  <si>
    <t>ORVA BUSH</t>
  </si>
  <si>
    <t>'00025819861K</t>
  </si>
  <si>
    <t>PATRICIA BUSH</t>
  </si>
  <si>
    <t>'00025822773K</t>
  </si>
  <si>
    <t>KAREN LORD</t>
  </si>
  <si>
    <t>'043690</t>
  </si>
  <si>
    <t>THOMAS KUCAN</t>
  </si>
  <si>
    <t>'00025822793K</t>
  </si>
  <si>
    <t>LINDA HANSON</t>
  </si>
  <si>
    <t>'045638</t>
  </si>
  <si>
    <t>RICHARD YALE</t>
  </si>
  <si>
    <t>'00025823367K</t>
  </si>
  <si>
    <t>ROBERT HANSON</t>
  </si>
  <si>
    <t>'00025823609K</t>
  </si>
  <si>
    <t>GREGORY HARRISON</t>
  </si>
  <si>
    <t>'00025823864K</t>
  </si>
  <si>
    <t>SUSAN NORBERTE</t>
  </si>
  <si>
    <t>'045613</t>
  </si>
  <si>
    <t>RICARDO SANTOS</t>
  </si>
  <si>
    <t>'00025824924K</t>
  </si>
  <si>
    <t>MARGARET HEATH</t>
  </si>
  <si>
    <t>'00025824964K</t>
  </si>
  <si>
    <t>RONALD LIPSEY</t>
  </si>
  <si>
    <t>'045421</t>
  </si>
  <si>
    <t>MATTHEW SHERMAN</t>
  </si>
  <si>
    <t>'00025825486K</t>
  </si>
  <si>
    <t>CARLA HARRISON</t>
  </si>
  <si>
    <t>'00025825801K</t>
  </si>
  <si>
    <t>JOHN MARGESON</t>
  </si>
  <si>
    <t>PA</t>
  </si>
  <si>
    <t>'043679</t>
  </si>
  <si>
    <t>DEBORAH INSKIPT</t>
  </si>
  <si>
    <t>'00025829148K</t>
  </si>
  <si>
    <t>TINA SMITH</t>
  </si>
  <si>
    <t>'00025830422K</t>
  </si>
  <si>
    <t>MICHAEL ANGELOFF</t>
  </si>
  <si>
    <t>'00025831149K</t>
  </si>
  <si>
    <t>PATRICK BERRYHILL</t>
  </si>
  <si>
    <t>'00025831526K</t>
  </si>
  <si>
    <t>MARVIN MARTIN</t>
  </si>
  <si>
    <t>'00025831651K</t>
  </si>
  <si>
    <t>ANN CATALANO</t>
  </si>
  <si>
    <t>'046124</t>
  </si>
  <si>
    <t>KENNETH WEITZMAN</t>
  </si>
  <si>
    <t>'00025833409K</t>
  </si>
  <si>
    <t>LISA SWIDEREK</t>
  </si>
  <si>
    <t>'00025835076K</t>
  </si>
  <si>
    <t>RIGOBERTO SALINAS</t>
  </si>
  <si>
    <t>'00025835334K</t>
  </si>
  <si>
    <t>RICHARD SKOKAN</t>
  </si>
  <si>
    <t>'00025837030K</t>
  </si>
  <si>
    <t>SUSAN WILSON</t>
  </si>
  <si>
    <t>'00025837037K</t>
  </si>
  <si>
    <t>ROY WILSON</t>
  </si>
  <si>
    <t>'00025839731K</t>
  </si>
  <si>
    <t>VALENTIN TORRES</t>
  </si>
  <si>
    <t>'00025839811K</t>
  </si>
  <si>
    <t>CHARLES DOUGLAS</t>
  </si>
  <si>
    <t>'00025840003K</t>
  </si>
  <si>
    <t>CARMEN VAZQUEZ</t>
  </si>
  <si>
    <t>'00025840076K</t>
  </si>
  <si>
    <t>ANN THATCHER</t>
  </si>
  <si>
    <t>'101046985700</t>
  </si>
  <si>
    <t>SHELLEY PILKEY</t>
  </si>
  <si>
    <t>'045607</t>
  </si>
  <si>
    <t>PAMELA DEATON</t>
  </si>
  <si>
    <t>Aetna MAPD NMO to MMO - 2025+ New E-App</t>
  </si>
  <si>
    <t>'101049698100</t>
  </si>
  <si>
    <t>ALBERT SEFCIK</t>
  </si>
  <si>
    <t>'043611</t>
  </si>
  <si>
    <t>TIMOTHY POWERS</t>
  </si>
  <si>
    <t>'101064544300</t>
  </si>
  <si>
    <t>CONSTANCE MIHELIC</t>
  </si>
  <si>
    <t>Aetna MAPD NMO to MMO - 2025+ New Paper</t>
  </si>
  <si>
    <t>'101076919700</t>
  </si>
  <si>
    <t>JOAN SEFCIK</t>
  </si>
  <si>
    <t>'101082161100</t>
  </si>
  <si>
    <t>BARBARA KELLY</t>
  </si>
  <si>
    <t>'101088612200</t>
  </si>
  <si>
    <t>HENRY KRZEMIEN</t>
  </si>
  <si>
    <t>'101089001300</t>
  </si>
  <si>
    <t>RICHARD COLE</t>
  </si>
  <si>
    <t>'101089010700</t>
  </si>
  <si>
    <t>FRANCES DRAPER</t>
  </si>
  <si>
    <t>'101092242400</t>
  </si>
  <si>
    <t>PATRICIA PEIFFER</t>
  </si>
  <si>
    <t>'101134953100</t>
  </si>
  <si>
    <t>JANET KELLY</t>
  </si>
  <si>
    <t>'101135167500</t>
  </si>
  <si>
    <t>ANNA HOSZWA</t>
  </si>
  <si>
    <t>'101144481000</t>
  </si>
  <si>
    <t>JENNIFER ROCA</t>
  </si>
  <si>
    <t>'101179412800</t>
  </si>
  <si>
    <t>PAUL CROWELL</t>
  </si>
  <si>
    <t>'043705</t>
  </si>
  <si>
    <t>MICHAEL DUNAVANT</t>
  </si>
  <si>
    <t>'101183426500</t>
  </si>
  <si>
    <t>MICHAEL SARSFIELD</t>
  </si>
  <si>
    <t>'101187793200</t>
  </si>
  <si>
    <t>JEFFRY DAVIS</t>
  </si>
  <si>
    <t>'101190000900</t>
  </si>
  <si>
    <t>SHIRLEY BILLIPS</t>
  </si>
  <si>
    <t>'101193732400</t>
  </si>
  <si>
    <t>AGNES WARNER</t>
  </si>
  <si>
    <t>'101197526600</t>
  </si>
  <si>
    <t>JOHN WARNER</t>
  </si>
  <si>
    <t>'101202729500</t>
  </si>
  <si>
    <t>JANICE SCHMIDLEY</t>
  </si>
  <si>
    <t>'101209891900</t>
  </si>
  <si>
    <t>BETTY QUICK</t>
  </si>
  <si>
    <t>'045637</t>
  </si>
  <si>
    <t>ALISON LUSE</t>
  </si>
  <si>
    <t>'101213863100</t>
  </si>
  <si>
    <t>ELEANOR HILTON</t>
  </si>
  <si>
    <t>'045670</t>
  </si>
  <si>
    <t>STEVEN BRANDT</t>
  </si>
  <si>
    <t>'101261348100</t>
  </si>
  <si>
    <t>SUSAN ROTH</t>
  </si>
  <si>
    <t>'101265768200</t>
  </si>
  <si>
    <t>AGATA DIVENERE</t>
  </si>
  <si>
    <t>'101267237100</t>
  </si>
  <si>
    <t>NICOLA DILORENZO</t>
  </si>
  <si>
    <t>'101269799200</t>
  </si>
  <si>
    <t>MICHAEL HRAHA</t>
  </si>
  <si>
    <t>'101279531500</t>
  </si>
  <si>
    <t>MARIA DILORENZO</t>
  </si>
  <si>
    <t>'101302887100</t>
  </si>
  <si>
    <t>LAURA THOME</t>
  </si>
  <si>
    <t>'101304842400</t>
  </si>
  <si>
    <t>EDWIN GOOD</t>
  </si>
  <si>
    <t>'101324402000</t>
  </si>
  <si>
    <t>RICHARD OLSON</t>
  </si>
  <si>
    <t>TN</t>
  </si>
  <si>
    <t>Aetna MAPD NMO to MMO - 2025+ Replace E-App</t>
  </si>
  <si>
    <t>2/12 PRORATE</t>
  </si>
  <si>
    <t>'101330229200</t>
  </si>
  <si>
    <t>MARSHA WALLACE</t>
  </si>
  <si>
    <t>'101377388700</t>
  </si>
  <si>
    <t>TRICIA SLEZAK</t>
  </si>
  <si>
    <t>'045618</t>
  </si>
  <si>
    <t>STEPHANIE DRAPAC</t>
  </si>
  <si>
    <t>'101379098000</t>
  </si>
  <si>
    <t>JUDITH MORRIS</t>
  </si>
  <si>
    <t>'101459178100</t>
  </si>
  <si>
    <t>CHERYL DAVIS</t>
  </si>
  <si>
    <t>'101466595900</t>
  </si>
  <si>
    <t>GREGORY FLOREY</t>
  </si>
  <si>
    <t>'101470734700</t>
  </si>
  <si>
    <t>MICHEAL CALHOON</t>
  </si>
  <si>
    <t>KS</t>
  </si>
  <si>
    <t>'101478384000</t>
  </si>
  <si>
    <t>CAROL MCCLEARY</t>
  </si>
  <si>
    <t>'045673</t>
  </si>
  <si>
    <t>MARK ROCCIA</t>
  </si>
  <si>
    <t>'101483057100</t>
  </si>
  <si>
    <t>BETH SEILER</t>
  </si>
  <si>
    <t>'101494500300</t>
  </si>
  <si>
    <t>VICKI SHANE</t>
  </si>
  <si>
    <t>'101502420400</t>
  </si>
  <si>
    <t>JOHN BAUER</t>
  </si>
  <si>
    <t>'101505586300</t>
  </si>
  <si>
    <t>CHARLES SHUKAS</t>
  </si>
  <si>
    <t>'101517146700</t>
  </si>
  <si>
    <t>JOHN DANKO</t>
  </si>
  <si>
    <t>'101517376200</t>
  </si>
  <si>
    <t>DEBORAH BRACKEN</t>
  </si>
  <si>
    <t>'101519777300A</t>
  </si>
  <si>
    <t>ANNA PAPA</t>
  </si>
  <si>
    <t>'101523661600</t>
  </si>
  <si>
    <t>SHARON BIEVER</t>
  </si>
  <si>
    <t>NA</t>
  </si>
  <si>
    <t>'101528686000</t>
  </si>
  <si>
    <t>JOSEPH KEREKES</t>
  </si>
  <si>
    <t>'043691</t>
  </si>
  <si>
    <t>MICHELLE MCCORKLE</t>
  </si>
  <si>
    <t>'101538173300</t>
  </si>
  <si>
    <t>WILLIAM SCHNIDE</t>
  </si>
  <si>
    <t>'101552717700</t>
  </si>
  <si>
    <t>ROBERTA FEDDERSEN</t>
  </si>
  <si>
    <t>'101554524700</t>
  </si>
  <si>
    <t>BARBARA KENNEY</t>
  </si>
  <si>
    <t>'101556886800</t>
  </si>
  <si>
    <t>CHARLOTTE WATSON</t>
  </si>
  <si>
    <t>'043633</t>
  </si>
  <si>
    <t>RICHARD WUENSCH</t>
  </si>
  <si>
    <t>'101564560300</t>
  </si>
  <si>
    <t>JOYCE BRENENBORG</t>
  </si>
  <si>
    <t>'101615215200</t>
  </si>
  <si>
    <t>KEVIN LINGARD</t>
  </si>
  <si>
    <t>IA</t>
  </si>
  <si>
    <t>'045712</t>
  </si>
  <si>
    <t>GREGORY HANSFORD</t>
  </si>
  <si>
    <t>'101621602600</t>
  </si>
  <si>
    <t>SHARLENE LUBITZ</t>
  </si>
  <si>
    <t>'101621835400</t>
  </si>
  <si>
    <t>JAMES LUBITZ</t>
  </si>
  <si>
    <t>'101625918100</t>
  </si>
  <si>
    <t>JO WEEMS</t>
  </si>
  <si>
    <t>IN</t>
  </si>
  <si>
    <t>'045967</t>
  </si>
  <si>
    <t>DANNA GREEN</t>
  </si>
  <si>
    <t>'101626215300</t>
  </si>
  <si>
    <t>ALAN WEEMS</t>
  </si>
  <si>
    <t>'101666004700</t>
  </si>
  <si>
    <t>DONNA BURLEIGH</t>
  </si>
  <si>
    <t>LA</t>
  </si>
  <si>
    <t>'101666911900</t>
  </si>
  <si>
    <t>ROBERT KOHLMYER</t>
  </si>
  <si>
    <t>'101677580300</t>
  </si>
  <si>
    <t>MARK JATICH</t>
  </si>
  <si>
    <t>'101692079100</t>
  </si>
  <si>
    <t>JAMIE WEIS</t>
  </si>
  <si>
    <t>'101696886700</t>
  </si>
  <si>
    <t>ASHLEY PIERCE</t>
  </si>
  <si>
    <t>GA</t>
  </si>
  <si>
    <t>'045622</t>
  </si>
  <si>
    <t>JACOB YALE</t>
  </si>
  <si>
    <t>'101702854800</t>
  </si>
  <si>
    <t>PAMELA MERRIMAN</t>
  </si>
  <si>
    <t>'101716203900</t>
  </si>
  <si>
    <t>BEVERLY SCHONS</t>
  </si>
  <si>
    <t>'101716457100</t>
  </si>
  <si>
    <t>GLEN SIAS</t>
  </si>
  <si>
    <t>'045671</t>
  </si>
  <si>
    <t>ROBERT SHAPIRO</t>
  </si>
  <si>
    <t>'101716467200</t>
  </si>
  <si>
    <t>LAURIE SIAS</t>
  </si>
  <si>
    <t>'101766340200</t>
  </si>
  <si>
    <t>LINDA KEREKES</t>
  </si>
  <si>
    <t>'101786082500</t>
  </si>
  <si>
    <t>DONALD BRENENBORG</t>
  </si>
  <si>
    <t>'101790141800</t>
  </si>
  <si>
    <t>MARY HORGAN SIEGWORTH</t>
  </si>
  <si>
    <t>'101794101100</t>
  </si>
  <si>
    <t>HARRISON MORRIS</t>
  </si>
  <si>
    <t>'101809175900</t>
  </si>
  <si>
    <t>PATRICIA DESMOND</t>
  </si>
  <si>
    <t>'101815051300</t>
  </si>
  <si>
    <t>SCOTT CONBOY</t>
  </si>
  <si>
    <t>'101846277000</t>
  </si>
  <si>
    <t>WILLIAM WEIS</t>
  </si>
  <si>
    <t>'101867318500</t>
  </si>
  <si>
    <t>KAREN NAUSLEY</t>
  </si>
  <si>
    <t>'101867621000</t>
  </si>
  <si>
    <t>GLORIA OCHONICKY</t>
  </si>
  <si>
    <t>'101868591200</t>
  </si>
  <si>
    <t>FRANCES MAZZOLA</t>
  </si>
  <si>
    <t>'101868598000</t>
  </si>
  <si>
    <t>SALVATORE MAZZOLA</t>
  </si>
  <si>
    <t>'101874275000</t>
  </si>
  <si>
    <t>ARTHUR MOWINSKI</t>
  </si>
  <si>
    <t>MI</t>
  </si>
  <si>
    <t>'043718</t>
  </si>
  <si>
    <t>CHAD YALE</t>
  </si>
  <si>
    <t>'101878578700</t>
  </si>
  <si>
    <t>MICHAEL BURLEIGH</t>
  </si>
  <si>
    <t>'101890972100</t>
  </si>
  <si>
    <t>KENNETH LIMMER</t>
  </si>
  <si>
    <t>'101905914200</t>
  </si>
  <si>
    <t>JILL HAUSER</t>
  </si>
  <si>
    <t>'101908015900</t>
  </si>
  <si>
    <t>DEBORAH MILLER</t>
  </si>
  <si>
    <t>'101914136600</t>
  </si>
  <si>
    <t>MARTHA HERRERA</t>
  </si>
  <si>
    <t>'101921208000</t>
  </si>
  <si>
    <t>TERESA STROUSE</t>
  </si>
  <si>
    <t>'045604</t>
  </si>
  <si>
    <t>JEFFREY HORN</t>
  </si>
  <si>
    <t>'101924025100</t>
  </si>
  <si>
    <t>ROBERT WESTCOTT</t>
  </si>
  <si>
    <t>'101930269300</t>
  </si>
  <si>
    <t>LORNA ESTANDA</t>
  </si>
  <si>
    <t>'101942398200</t>
  </si>
  <si>
    <t>BONNIE BOULTON</t>
  </si>
  <si>
    <t>'101946055400</t>
  </si>
  <si>
    <t>RICK KRIESS</t>
  </si>
  <si>
    <t>'101948584500</t>
  </si>
  <si>
    <t>LISA BROSCH</t>
  </si>
  <si>
    <t>'101952824700</t>
  </si>
  <si>
    <t>JOSEPH TAGUE</t>
  </si>
  <si>
    <t>'101954684300</t>
  </si>
  <si>
    <t>JOE THORNTON</t>
  </si>
  <si>
    <t>'101958622800</t>
  </si>
  <si>
    <t>ROBERT VINCENTI</t>
  </si>
  <si>
    <t>'101977920700</t>
  </si>
  <si>
    <t>PETER PONTIKIS</t>
  </si>
  <si>
    <t>'045632</t>
  </si>
  <si>
    <t>BARRY SCHUMANN</t>
  </si>
  <si>
    <t>'102008876900</t>
  </si>
  <si>
    <t>MICHAEL ANGLIN</t>
  </si>
  <si>
    <t>'043686</t>
  </si>
  <si>
    <t>SCOTT AGUGLIA</t>
  </si>
  <si>
    <t>'102030760700A</t>
  </si>
  <si>
    <t>BILLY FONG</t>
  </si>
  <si>
    <t>'102030825500A</t>
  </si>
  <si>
    <t>GUADALUPE FONG</t>
  </si>
  <si>
    <t>'102032573000</t>
  </si>
  <si>
    <t>KENNETH ZIEMIANSKI</t>
  </si>
  <si>
    <t>'102059559800A</t>
  </si>
  <si>
    <t>MARK KESSLER</t>
  </si>
  <si>
    <t>'043585</t>
  </si>
  <si>
    <t>PETER RICHTER</t>
  </si>
  <si>
    <t>'102075310400</t>
  </si>
  <si>
    <t>MELVIN WOLLENSCHLAGER</t>
  </si>
  <si>
    <t>'102075366200</t>
  </si>
  <si>
    <t>LINDA WOLLENSCHLAG</t>
  </si>
  <si>
    <t>'102083319200</t>
  </si>
  <si>
    <t>KENNETH MARKS</t>
  </si>
  <si>
    <t>'102094840600</t>
  </si>
  <si>
    <t>JERRY SCHELLING</t>
  </si>
  <si>
    <t>WA</t>
  </si>
  <si>
    <t>'102103988700</t>
  </si>
  <si>
    <t>DEBBIE DALTON</t>
  </si>
  <si>
    <t>SD</t>
  </si>
  <si>
    <t>'102104068100</t>
  </si>
  <si>
    <t>CHARLOTTE SUING</t>
  </si>
  <si>
    <t>'102104814500</t>
  </si>
  <si>
    <t>KIENGKHAM KINGPHAVONG</t>
  </si>
  <si>
    <t>'043625</t>
  </si>
  <si>
    <t>PATSAMON THANADABOUTH</t>
  </si>
  <si>
    <t>'102112256600</t>
  </si>
  <si>
    <t>LEONARD MAJUK</t>
  </si>
  <si>
    <t>CA</t>
  </si>
  <si>
    <t>'102119257500</t>
  </si>
  <si>
    <t>RICKEY PARTRIDGE</t>
  </si>
  <si>
    <t>AL</t>
  </si>
  <si>
    <t>'102152554700</t>
  </si>
  <si>
    <t>LAURIE CARLSON</t>
  </si>
  <si>
    <t>'102154272500</t>
  </si>
  <si>
    <t>ERYNN TAITEL</t>
  </si>
  <si>
    <t>'102160129600</t>
  </si>
  <si>
    <t>KEVIN WATSON</t>
  </si>
  <si>
    <t>'102161130800</t>
  </si>
  <si>
    <t>RICHARD TROCCIOLA</t>
  </si>
  <si>
    <t>NJ</t>
  </si>
  <si>
    <t>'102179360200</t>
  </si>
  <si>
    <t>ANGELA DAVIS</t>
  </si>
  <si>
    <t>'102186791500</t>
  </si>
  <si>
    <t>ANN JOHNSON</t>
  </si>
  <si>
    <t>'102211543800</t>
  </si>
  <si>
    <t>MARILYN HOHULIN</t>
  </si>
  <si>
    <t>'102212376700</t>
  </si>
  <si>
    <t>TIMOTHY ELLISON</t>
  </si>
  <si>
    <t>'102213890000</t>
  </si>
  <si>
    <t>LINDA EVANS</t>
  </si>
  <si>
    <t>'041686</t>
  </si>
  <si>
    <t>DALE WALENGA</t>
  </si>
  <si>
    <t>'102214678200</t>
  </si>
  <si>
    <t>LEAH KILLEEN</t>
  </si>
  <si>
    <t>'046098</t>
  </si>
  <si>
    <t>ARICK MARTIN</t>
  </si>
  <si>
    <t>'102214680800</t>
  </si>
  <si>
    <t>PATRICIA GRAMS</t>
  </si>
  <si>
    <t>'043644</t>
  </si>
  <si>
    <t>TIMOTHY HODGMAN</t>
  </si>
  <si>
    <t>'102214683400</t>
  </si>
  <si>
    <t>TROY WALLS</t>
  </si>
  <si>
    <t>'102217272200</t>
  </si>
  <si>
    <t>COLLEEN COLQUHOUN</t>
  </si>
  <si>
    <t>'043867</t>
  </si>
  <si>
    <t>RYAN STOCKER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</si>
  <si>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</si>
  <si>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</si>
  <si>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</si>
  <si>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</si>
  <si>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</si>
  <si>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</si>
  <si>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</si>
  <si>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</si>
  <si>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</si>
  <si>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</si>
  <si>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'102232220500</t>
  </si>
  <si>
    <t>MARIA LATUSZEK</t>
  </si>
  <si>
    <t>'102232220500A</t>
  </si>
  <si>
    <t>'102232752000</t>
  </si>
  <si>
    <t>MARILYN LARRIMER</t>
  </si>
  <si>
    <t>'043786</t>
  </si>
  <si>
    <t>MARGARET SMITH</t>
  </si>
  <si>
    <t>'102232767500</t>
  </si>
  <si>
    <t>THOMAS LARRIMER</t>
  </si>
  <si>
    <t>'102232794000</t>
  </si>
  <si>
    <t>MARK GUILL</t>
  </si>
  <si>
    <t>'102232794000A</t>
  </si>
  <si>
    <t>'102234300900</t>
  </si>
  <si>
    <t>CHESTER STARKS</t>
  </si>
  <si>
    <t>'102239189500</t>
  </si>
  <si>
    <t>MARY WILLIAMSON</t>
  </si>
  <si>
    <t>'102239591500</t>
  </si>
  <si>
    <t>ANNIE APPLETON</t>
  </si>
  <si>
    <t>'102242500700</t>
  </si>
  <si>
    <t>DAVID ALTEMOSE</t>
  </si>
  <si>
    <t>'102242745700</t>
  </si>
  <si>
    <t>GARY GAINES</t>
  </si>
  <si>
    <t>'102242747100</t>
  </si>
  <si>
    <t>MICHAEL SHAFFER</t>
  </si>
  <si>
    <t>'102242747800</t>
  </si>
  <si>
    <t>LISA GAINES</t>
  </si>
  <si>
    <t>'102242748900</t>
  </si>
  <si>
    <t>BRENDA GOLDMAN</t>
  </si>
  <si>
    <t>'102243086500</t>
  </si>
  <si>
    <t>JOYCE WALKER</t>
  </si>
  <si>
    <t>'102243096500</t>
  </si>
  <si>
    <t>KAREN MCDOWELL</t>
  </si>
  <si>
    <t>'102243111900</t>
  </si>
  <si>
    <t>KATHERINE HIRSCH</t>
  </si>
  <si>
    <t>'102243123400</t>
  </si>
  <si>
    <t>MILES WALKER</t>
  </si>
  <si>
    <t>'102243138400</t>
  </si>
  <si>
    <t>WILLIAM KERN</t>
  </si>
  <si>
    <t>'102243147300</t>
  </si>
  <si>
    <t>MATTHEW YEAKEL</t>
  </si>
  <si>
    <t>'102243360500</t>
  </si>
  <si>
    <t>DAVID CADDY</t>
  </si>
  <si>
    <t>'046034</t>
  </si>
  <si>
    <t>INES BERG</t>
  </si>
  <si>
    <t>'102243526400</t>
  </si>
  <si>
    <t>MARGARET MILLER</t>
  </si>
  <si>
    <t>'102243613300</t>
  </si>
  <si>
    <t>CINDY CALHOUN</t>
  </si>
  <si>
    <t>'102243697700</t>
  </si>
  <si>
    <t>LARRY CALHOUN</t>
  </si>
  <si>
    <t>'102243721100</t>
  </si>
  <si>
    <t>JAMES CORZATT</t>
  </si>
  <si>
    <t>'102243729600</t>
  </si>
  <si>
    <t>MARY CORZATT</t>
  </si>
  <si>
    <t>'102243749700</t>
  </si>
  <si>
    <t>KEEGAN TERRY</t>
  </si>
  <si>
    <t>'102243848800</t>
  </si>
  <si>
    <t>JOYCE BILLMAN</t>
  </si>
  <si>
    <t>'102243861300</t>
  </si>
  <si>
    <t>DORIS ADLE</t>
  </si>
  <si>
    <t>'102243994000</t>
  </si>
  <si>
    <t>HENRY JACINTO</t>
  </si>
  <si>
    <t>'102244049900</t>
  </si>
  <si>
    <t>DONNA ZIPP</t>
  </si>
  <si>
    <t>'102244065300</t>
  </si>
  <si>
    <t>RODNEY ZIPP</t>
  </si>
  <si>
    <t>'102244762600</t>
  </si>
  <si>
    <t>JEFFREY RASOR</t>
  </si>
  <si>
    <t>'102244921900</t>
  </si>
  <si>
    <t>KATHY RASOR</t>
  </si>
  <si>
    <t>'102244928700</t>
  </si>
  <si>
    <t>ANGELA COLLINS</t>
  </si>
  <si>
    <t>DE</t>
  </si>
  <si>
    <t>11/12 PRORATE</t>
  </si>
  <si>
    <t>'102245244300</t>
  </si>
  <si>
    <t>GREGORY GILLES</t>
  </si>
  <si>
    <t>'102245342600</t>
  </si>
  <si>
    <t>RICHARD DIPIETRANTONIO</t>
  </si>
  <si>
    <t>'102245394200</t>
  </si>
  <si>
    <t>NANCY TAGUE</t>
  </si>
  <si>
    <t>'102245415500</t>
  </si>
  <si>
    <t>RICHARD DEAN</t>
  </si>
  <si>
    <t>'102245700500</t>
  </si>
  <si>
    <t>JEFFREY MILLER</t>
  </si>
  <si>
    <t>'102245722100</t>
  </si>
  <si>
    <t>CHRIS KENNEDY</t>
  </si>
  <si>
    <t>'102245909400</t>
  </si>
  <si>
    <t>RICHARD MAGEE</t>
  </si>
  <si>
    <t>'102246201600</t>
  </si>
  <si>
    <t>DAVID SIMPKINS</t>
  </si>
  <si>
    <t>'102246215900</t>
  </si>
  <si>
    <t>VELMA BORCZ</t>
  </si>
  <si>
    <t>'102246236900</t>
  </si>
  <si>
    <t>KATHERINE BERNAL</t>
  </si>
  <si>
    <t>'102246537000</t>
  </si>
  <si>
    <t>DIANE LARSEN</t>
  </si>
  <si>
    <t>'102246566400</t>
  </si>
  <si>
    <t>NANG MALAYTHONG</t>
  </si>
  <si>
    <t>'102246668300</t>
  </si>
  <si>
    <t>MARILYN SHOEL</t>
  </si>
  <si>
    <t>'102246744200</t>
  </si>
  <si>
    <t>CLAUDE COLLINS</t>
  </si>
  <si>
    <t>'102246817000</t>
  </si>
  <si>
    <t>CARRIE SCHENK</t>
  </si>
  <si>
    <t>'102246824100</t>
  </si>
  <si>
    <t>MERLE COILE</t>
  </si>
  <si>
    <t>'102246828600</t>
  </si>
  <si>
    <t>ELIZABETH KESSLER</t>
  </si>
  <si>
    <t>'102246895500</t>
  </si>
  <si>
    <t>JOANN COILE</t>
  </si>
  <si>
    <t>'102246910800</t>
  </si>
  <si>
    <t>LOWELL FRAILEY</t>
  </si>
  <si>
    <t>'102246976600</t>
  </si>
  <si>
    <t>MAEVE FRAILEY</t>
  </si>
  <si>
    <t>'102247026400</t>
  </si>
  <si>
    <t>VICKI HOLLAND</t>
  </si>
  <si>
    <t>'102247349600</t>
  </si>
  <si>
    <t>LORI RODGERS</t>
  </si>
  <si>
    <t>'102247376400</t>
  </si>
  <si>
    <t>ROBERT RODGERS</t>
  </si>
  <si>
    <t>'102247489500</t>
  </si>
  <si>
    <t>KATHRYN CLARK</t>
  </si>
  <si>
    <t>'102247514600</t>
  </si>
  <si>
    <t>JOSEPH COONEY</t>
  </si>
  <si>
    <t>'102247520500</t>
  </si>
  <si>
    <t>CURT ZINGARO</t>
  </si>
  <si>
    <t>'102247547100</t>
  </si>
  <si>
    <t>MARIAN ZINGARO</t>
  </si>
  <si>
    <t>'102247696200</t>
  </si>
  <si>
    <t>PATRICIA VITOLA</t>
  </si>
  <si>
    <t>NY</t>
  </si>
  <si>
    <t>'102248185200</t>
  </si>
  <si>
    <t>CIERRA LESTER</t>
  </si>
  <si>
    <t>'102248239900</t>
  </si>
  <si>
    <t>DMITRI BOULAVINOV</t>
  </si>
  <si>
    <t>'043610</t>
  </si>
  <si>
    <t>KLAUS HERCHENRODER</t>
  </si>
  <si>
    <t>'102248244100</t>
  </si>
  <si>
    <t>JOHN BROWNSON</t>
  </si>
  <si>
    <t>'102248445200</t>
  </si>
  <si>
    <t>CONSTANCE RITZMAN</t>
  </si>
  <si>
    <t>'102248472400</t>
  </si>
  <si>
    <t>LERMA ARROJO</t>
  </si>
  <si>
    <t>'102248473700</t>
  </si>
  <si>
    <t>STACEY DOWD</t>
  </si>
  <si>
    <t>'045984</t>
  </si>
  <si>
    <t>JEANET REYES</t>
  </si>
  <si>
    <t>'102248534900</t>
  </si>
  <si>
    <t>BRADLEY FOX</t>
  </si>
  <si>
    <t>'102248541400</t>
  </si>
  <si>
    <t>MARGARET TERLESKI</t>
  </si>
  <si>
    <t>'102248570800</t>
  </si>
  <si>
    <t>ANGELA WELDON</t>
  </si>
  <si>
    <t>'045611</t>
  </si>
  <si>
    <t>FRANK LISKOVEC</t>
  </si>
  <si>
    <t>'102248651000</t>
  </si>
  <si>
    <t>KATHY POPA</t>
  </si>
  <si>
    <t>'102248663600</t>
  </si>
  <si>
    <t>BEVERLY HIERMEIER</t>
  </si>
  <si>
    <t>'102248721400</t>
  </si>
  <si>
    <t>DOLORES DAILEY</t>
  </si>
  <si>
    <t>'102248815100</t>
  </si>
  <si>
    <t>WILLIAM DAILEY</t>
  </si>
  <si>
    <t>'102248824000</t>
  </si>
  <si>
    <t>SUSAN TINNISH</t>
  </si>
  <si>
    <t>'102248826500</t>
  </si>
  <si>
    <t>ROSALYN WILSON</t>
  </si>
  <si>
    <t>'102248827600</t>
  </si>
  <si>
    <t>ROBERT DICK</t>
  </si>
  <si>
    <t>'102249000300</t>
  </si>
  <si>
    <t>JUDITH FELDT</t>
  </si>
  <si>
    <t>'102249119900</t>
  </si>
  <si>
    <t>ROSEMARY OCOIN</t>
  </si>
  <si>
    <t>'102249280100</t>
  </si>
  <si>
    <t>NOLA HAISS</t>
  </si>
  <si>
    <t>'102249668100</t>
  </si>
  <si>
    <t>CHARLSEY MATHIS</t>
  </si>
  <si>
    <t>'102250452900</t>
  </si>
  <si>
    <t>SALLY WILKINSON</t>
  </si>
  <si>
    <t>'102250519900</t>
  </si>
  <si>
    <t>HELEN CASILLAS</t>
  </si>
  <si>
    <t>'102250531700</t>
  </si>
  <si>
    <t>KRISTIN HERNANDEZ</t>
  </si>
  <si>
    <t>'045981</t>
  </si>
  <si>
    <t>JAKE SHULMAN</t>
  </si>
  <si>
    <t>'102250709700</t>
  </si>
  <si>
    <t>OUN KHAM</t>
  </si>
  <si>
    <t>'102250752000</t>
  </si>
  <si>
    <t>JOSEPH ARCABELLA</t>
  </si>
  <si>
    <t>'102250781600</t>
  </si>
  <si>
    <t>BRENDA JACKSON</t>
  </si>
  <si>
    <t>'102250857100</t>
  </si>
  <si>
    <t>CAROL NOVY</t>
  </si>
  <si>
    <t>'102250916600</t>
  </si>
  <si>
    <t>WILMER PRESTON</t>
  </si>
  <si>
    <t>'102250980500</t>
  </si>
  <si>
    <t>SUSAN PRESTON</t>
  </si>
  <si>
    <t>'102250984500</t>
  </si>
  <si>
    <t>LEO DROUHARD</t>
  </si>
  <si>
    <t>'102251134600</t>
  </si>
  <si>
    <t>STAR DROUHARD</t>
  </si>
  <si>
    <t>'102251197200</t>
  </si>
  <si>
    <t>CARRIE HARBISON</t>
  </si>
  <si>
    <t>'102251351600</t>
  </si>
  <si>
    <t>JANICE MALONE</t>
  </si>
  <si>
    <t>'102251761000</t>
  </si>
  <si>
    <t>MICHAEL WILLIAMS</t>
  </si>
  <si>
    <t>'102251965400</t>
  </si>
  <si>
    <t>JOHN KWIT</t>
  </si>
  <si>
    <t>'045772</t>
  </si>
  <si>
    <t>JASON ROLLER</t>
  </si>
  <si>
    <t>'102251990000</t>
  </si>
  <si>
    <t>CATHLEEN COSENZA</t>
  </si>
  <si>
    <t>'102252008500</t>
  </si>
  <si>
    <t>KATHERINE KWIT</t>
  </si>
  <si>
    <t>'102252059800</t>
  </si>
  <si>
    <t>BETSY GRAY</t>
  </si>
  <si>
    <t>'102252128600</t>
  </si>
  <si>
    <t>RHONDA FRIEDOWITZ</t>
  </si>
  <si>
    <t>'102252450100</t>
  </si>
  <si>
    <t>VALERIE OLSEN</t>
  </si>
  <si>
    <t>'043714</t>
  </si>
  <si>
    <t>BRIAN STROHMAN</t>
  </si>
  <si>
    <t>'102253080000</t>
  </si>
  <si>
    <t>SHELBY LUSE</t>
  </si>
  <si>
    <t>'102253292400</t>
  </si>
  <si>
    <t>JAMES HILTON</t>
  </si>
  <si>
    <t>MO</t>
  </si>
  <si>
    <t>'102253394300</t>
  </si>
  <si>
    <t>LISA HOLLEY</t>
  </si>
  <si>
    <t>'102253480600</t>
  </si>
  <si>
    <t>CONSTANCE CULBERTSON</t>
  </si>
  <si>
    <t>'102253501500</t>
  </si>
  <si>
    <t>HOWARD BELLAIRE</t>
  </si>
  <si>
    <t>'102253578300</t>
  </si>
  <si>
    <t>JOHN FERGUSON</t>
  </si>
  <si>
    <t>'102253590300</t>
  </si>
  <si>
    <t>LORRAINE BROWNSON</t>
  </si>
  <si>
    <t>'910479691</t>
  </si>
  <si>
    <t>CHRISTINE SHAW</t>
  </si>
  <si>
    <t>UHC MA Direct 2025 New Full</t>
  </si>
  <si>
    <t>'914414427</t>
  </si>
  <si>
    <t>CHRISTINE WALSH</t>
  </si>
  <si>
    <t>'925781093</t>
  </si>
  <si>
    <t>EDWARD BAUER</t>
  </si>
  <si>
    <t>'927551590</t>
  </si>
  <si>
    <t>AUSTIN HEPBURN</t>
  </si>
  <si>
    <t>'043689</t>
  </si>
  <si>
    <t>ANNE MARIE KOZACHECK</t>
  </si>
  <si>
    <t>UHC MA Direct 2025 New Full - Other</t>
  </si>
  <si>
    <t>'938289187</t>
  </si>
  <si>
    <t>JOHN CULLEN</t>
  </si>
  <si>
    <t>UHC MA Direct 2025 New Initial Prorated</t>
  </si>
  <si>
    <t>12/12 PRORATE</t>
  </si>
  <si>
    <t>'992644120</t>
  </si>
  <si>
    <t>RICK SPURLOCK</t>
  </si>
  <si>
    <t>'045621</t>
  </si>
  <si>
    <t>HEATHER GESKE</t>
  </si>
  <si>
    <t>'A04159142</t>
  </si>
  <si>
    <t>MANU PARIKH</t>
  </si>
  <si>
    <t>'043974</t>
  </si>
  <si>
    <t>JENNIFER HALSAVER</t>
  </si>
  <si>
    <t>UHC AARP Med Supp 2025+ OH -Plans B C F G - Int Repl</t>
  </si>
  <si>
    <t>'A04400624</t>
  </si>
  <si>
    <t>KATHLEEN THORN</t>
  </si>
  <si>
    <t>UHC AARP Med Supp 2025+ IN All Plans</t>
  </si>
  <si>
    <t>'A04400626</t>
  </si>
  <si>
    <t>ROBERT THORN</t>
  </si>
  <si>
    <t>'A04401707</t>
  </si>
  <si>
    <t>BEVERLY HENDERSON</t>
  </si>
  <si>
    <t>'045896</t>
  </si>
  <si>
    <t>LENSIE GONZALEZ</t>
  </si>
  <si>
    <t>UHC AARP Med Supp 2026+ AL GU HI PR RI SD UT VT -Plans B C F G</t>
  </si>
  <si>
    <t>'A04405975</t>
  </si>
  <si>
    <t>CATHERINE VONDERAHE</t>
  </si>
  <si>
    <t>UHC AARP Med Supp 2026+ AZ IL KS ME NC TN WV Plan B C D F G</t>
  </si>
  <si>
    <t>'MEQNDVYM00000151102</t>
  </si>
  <si>
    <t>FARHAT AHMED</t>
  </si>
  <si>
    <t>'MEQNDVYM00000152310</t>
  </si>
  <si>
    <t>THOMAS ALLEN</t>
  </si>
  <si>
    <t>'MEQNDVYM00000153261</t>
  </si>
  <si>
    <t>MARTHA SMITH</t>
  </si>
  <si>
    <t>CB</t>
  </si>
  <si>
    <t>'00005776809KCB</t>
  </si>
  <si>
    <t>JR CRAMER</t>
  </si>
  <si>
    <t>CHARGEBACK</t>
  </si>
  <si>
    <t>'00006953965KCB</t>
  </si>
  <si>
    <t>PAULA BAYUK</t>
  </si>
  <si>
    <t>'00008035060KACB</t>
  </si>
  <si>
    <t>GIOVANNA BIRAZZI</t>
  </si>
  <si>
    <t>'00008126753KCB</t>
  </si>
  <si>
    <t>RICHARD MASTERS</t>
  </si>
  <si>
    <t>'043748</t>
  </si>
  <si>
    <t>SCOTT FINE</t>
  </si>
  <si>
    <t>'00010794079KCB</t>
  </si>
  <si>
    <t>MARJORIE MAYES</t>
  </si>
  <si>
    <t>'00014797937KCB</t>
  </si>
  <si>
    <t>MARK BRADBURY</t>
  </si>
  <si>
    <t>'00023847824KCB</t>
  </si>
  <si>
    <t>DORIS WILLIAMS</t>
  </si>
  <si>
    <t>'00025627750KCB</t>
  </si>
  <si>
    <t>DONALD PANKRATZ</t>
  </si>
  <si>
    <t>'00025738654KCB</t>
  </si>
  <si>
    <t>JOHN THOMAS</t>
  </si>
  <si>
    <t>'101466789000CB</t>
  </si>
  <si>
    <t>CHARLENE CARTER</t>
  </si>
  <si>
    <t>'101615215200CB</t>
  </si>
  <si>
    <t>'101951418100CB</t>
  </si>
  <si>
    <t>CARSON HAYNES</t>
  </si>
  <si>
    <t>'102051237700CB</t>
  </si>
  <si>
    <t>KRISTY RICHARD</t>
  </si>
  <si>
    <t>'102211543800CB</t>
  </si>
  <si>
    <t>Aetna MAPD NMO to MMO - 2025+ Replace Paper</t>
  </si>
  <si>
    <t>'102212376700CB</t>
  </si>
  <si>
    <t>'102214678200CB</t>
  </si>
  <si>
    <t>'102214680800CB</t>
  </si>
  <si>
    <t>'102214683400CB</t>
  </si>
  <si>
    <t>'102214734600CB</t>
  </si>
  <si>
    <t>BEVERLY PALMATIER</t>
  </si>
  <si>
    <t>'102217272200CB</t>
  </si>
  <si>
    <t>'102218977300CB</t>
  </si>
  <si>
    <t>'102232220500CB</t>
  </si>
  <si>
    <t>'102232752000CB</t>
  </si>
  <si>
    <t>'102232767500CB</t>
  </si>
  <si>
    <t>'102232794000CB</t>
  </si>
  <si>
    <t>'102234300900CB</t>
  </si>
  <si>
    <t>'102239189500CB</t>
  </si>
  <si>
    <t>'102239591500CB</t>
  </si>
  <si>
    <t>'498W24972PC</t>
  </si>
  <si>
    <t>JAMES WOMBLES</t>
  </si>
  <si>
    <t>Anthem MA 2025</t>
  </si>
  <si>
    <t>'919189179CB</t>
  </si>
  <si>
    <t>JUANITA MONTAGUE</t>
  </si>
  <si>
    <t>'MEQNDVYM00000144308CB</t>
  </si>
  <si>
    <t>DERRICK WILLIAMS</t>
  </si>
  <si>
    <t>'043736</t>
  </si>
  <si>
    <t>DENNIS HOLYN</t>
  </si>
  <si>
    <t>'MEQNDVYM00000147342CB</t>
  </si>
  <si>
    <t>ENGIN DASDELEN</t>
  </si>
  <si>
    <t>00001575600K</t>
  </si>
  <si>
    <t>00004994397K</t>
  </si>
  <si>
    <t>00015578397K</t>
  </si>
  <si>
    <t>00018284945K</t>
  </si>
  <si>
    <t>00019432374K</t>
  </si>
  <si>
    <t>00019455353K</t>
  </si>
  <si>
    <t>00019774297K</t>
  </si>
  <si>
    <t>00019776787K</t>
  </si>
  <si>
    <t>00019914757K</t>
  </si>
  <si>
    <t>00020112400K</t>
  </si>
  <si>
    <t>00020529722K</t>
  </si>
  <si>
    <t>00020835806K</t>
  </si>
  <si>
    <t>00021528337K</t>
  </si>
  <si>
    <t>00022031158KB</t>
  </si>
  <si>
    <t>00022149995K</t>
  </si>
  <si>
    <t>00022193875K</t>
  </si>
  <si>
    <t>00022196511K</t>
  </si>
  <si>
    <t>00022592167K</t>
  </si>
  <si>
    <t>00022872951K</t>
  </si>
  <si>
    <t>00023413989K</t>
  </si>
  <si>
    <t>00023522226K</t>
  </si>
  <si>
    <t>00023704400K</t>
  </si>
  <si>
    <t>00025806241K</t>
  </si>
  <si>
    <t>00025808671K</t>
  </si>
  <si>
    <t>00025809595K</t>
  </si>
  <si>
    <t>00025809995K</t>
  </si>
  <si>
    <t>00025810559K</t>
  </si>
  <si>
    <t>00025810757K</t>
  </si>
  <si>
    <t>00025811000K</t>
  </si>
  <si>
    <t>00025812287K</t>
  </si>
  <si>
    <t>00025812903K</t>
  </si>
  <si>
    <t>00025814217K</t>
  </si>
  <si>
    <t>00025816114K</t>
  </si>
  <si>
    <t>00025817764K</t>
  </si>
  <si>
    <t>00025818017K</t>
  </si>
  <si>
    <t>00025818707K</t>
  </si>
  <si>
    <t>00025818830K</t>
  </si>
  <si>
    <t>00025819861K</t>
  </si>
  <si>
    <t>00025822773K</t>
  </si>
  <si>
    <t>00025822793K</t>
  </si>
  <si>
    <t>00025823367K</t>
  </si>
  <si>
    <t>00025823609K</t>
  </si>
  <si>
    <t>00025823864K</t>
  </si>
  <si>
    <t>00025824924K</t>
  </si>
  <si>
    <t>00025824964K</t>
  </si>
  <si>
    <t>00025825486K</t>
  </si>
  <si>
    <t>00025825801K</t>
  </si>
  <si>
    <t>00025829148K</t>
  </si>
  <si>
    <t>00025830422K</t>
  </si>
  <si>
    <t>00025831149K</t>
  </si>
  <si>
    <t>00025831526K</t>
  </si>
  <si>
    <t>00025831651K</t>
  </si>
  <si>
    <t>00025833409K</t>
  </si>
  <si>
    <t>00025835076K</t>
  </si>
  <si>
    <t>00025835334K</t>
  </si>
  <si>
    <t>00025837030K</t>
  </si>
  <si>
    <t>00025837037K</t>
  </si>
  <si>
    <t>00025839731K</t>
  </si>
  <si>
    <t>00025839811K</t>
  </si>
  <si>
    <t>00025840003K</t>
  </si>
  <si>
    <t>00025840076K</t>
  </si>
  <si>
    <t>101519777300A</t>
  </si>
  <si>
    <t>102030760700A</t>
  </si>
  <si>
    <t>102030825500A</t>
  </si>
  <si>
    <t>102059559800A</t>
  </si>
  <si>
    <t>102232220500A</t>
  </si>
  <si>
    <t>102232794000A</t>
  </si>
  <si>
    <t>A04159142</t>
  </si>
  <si>
    <t>A04400624</t>
  </si>
  <si>
    <t>A04400626</t>
  </si>
  <si>
    <t>A04401707</t>
  </si>
  <si>
    <t>A04405975</t>
  </si>
  <si>
    <t>MEQNDVYM00000151102</t>
  </si>
  <si>
    <t>MEQNDVYM00000152310</t>
  </si>
  <si>
    <t>MEQNDVYM00000153261</t>
  </si>
  <si>
    <t>498W24972PC</t>
  </si>
  <si>
    <t>00005776809K</t>
  </si>
  <si>
    <t>00006953965K</t>
  </si>
  <si>
    <t>00008035060KA</t>
  </si>
  <si>
    <t>00008126753K</t>
  </si>
  <si>
    <t>00010794079K</t>
  </si>
  <si>
    <t>00014797937K</t>
  </si>
  <si>
    <t>00023847824K</t>
  </si>
  <si>
    <t>00025627750K</t>
  </si>
  <si>
    <t>00025738654K</t>
  </si>
  <si>
    <t>MEQNDVYM00000144308</t>
  </si>
  <si>
    <t>MEQNDVYM00000147342</t>
  </si>
  <si>
    <t>Aetna MAPD OVR 2025</t>
  </si>
  <si>
    <t>Anthem MAPD 2025 OVR</t>
  </si>
  <si>
    <t>Humana MAPD OVR 2025</t>
  </si>
  <si>
    <t>UHC MAPD Ovr 2025</t>
  </si>
  <si>
    <t>UHC AARP Med Supp 2025+ OH -Plans B C F G 90%</t>
  </si>
  <si>
    <t>Main Line Benefits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</si>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</sst>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2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8D48-C078-4308-9E1E-AFA6C045F52E}">
  <dimension ref="A1:AL340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46020</v>
      </c>
      <c r="B2" s="1">
        <v>46022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6122572</v>
      </c>
    </row>
    <row r="3" spans="1:38" x14ac:dyDescent="0.25">
      <c r="A3" s="1">
        <v>46020</v>
      </c>
      <c r="B3" s="1">
        <v>46022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6122573</v>
      </c>
    </row>
    <row r="4" spans="1:38" x14ac:dyDescent="0.25">
      <c r="A4" s="1">
        <v>46020</v>
      </c>
      <c r="B4" s="1">
        <v>46022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59</v>
      </c>
      <c r="O4" t="s">
        <v>60</v>
      </c>
      <c r="P4" t="s">
        <v>61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6122574</v>
      </c>
    </row>
    <row r="5" spans="1:38" x14ac:dyDescent="0.25">
      <c r="A5" s="1">
        <v>46020</v>
      </c>
      <c r="B5" s="1">
        <v>46022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64</v>
      </c>
      <c r="O5" t="s">
        <v>65</v>
      </c>
      <c r="P5" t="s">
        <v>66</v>
      </c>
      <c r="Q5" t="s">
        <v>49</v>
      </c>
      <c r="R5" t="s">
        <v>50</v>
      </c>
      <c r="S5" s="1">
        <v>46023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6122575</v>
      </c>
    </row>
    <row r="6" spans="1:38" x14ac:dyDescent="0.25">
      <c r="A6" s="1">
        <v>46020</v>
      </c>
      <c r="B6" s="1">
        <v>46022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64</v>
      </c>
      <c r="O6" t="s">
        <v>65</v>
      </c>
      <c r="P6" t="s">
        <v>66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6122576</v>
      </c>
    </row>
    <row r="7" spans="1:38" x14ac:dyDescent="0.25">
      <c r="A7" s="1">
        <v>46020</v>
      </c>
      <c r="B7" s="1">
        <v>46022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59</v>
      </c>
      <c r="O7" t="s">
        <v>71</v>
      </c>
      <c r="P7" t="s">
        <v>72</v>
      </c>
      <c r="Q7" t="s">
        <v>49</v>
      </c>
      <c r="R7" t="s">
        <v>50</v>
      </c>
      <c r="S7" s="1">
        <v>46023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6122577</v>
      </c>
    </row>
    <row r="8" spans="1:38" x14ac:dyDescent="0.25">
      <c r="A8" s="1">
        <v>46020</v>
      </c>
      <c r="B8" s="1">
        <v>46022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108</v>
      </c>
      <c r="AA8">
        <v>1</v>
      </c>
      <c r="AB8" s="3">
        <v>1</v>
      </c>
      <c r="AC8" s="2">
        <v>108</v>
      </c>
      <c r="AD8" s="3">
        <v>0</v>
      </c>
      <c r="AE8" s="2">
        <v>0</v>
      </c>
      <c r="AF8" s="2">
        <v>108</v>
      </c>
      <c r="AK8">
        <v>6122578</v>
      </c>
    </row>
    <row r="9" spans="1:38" x14ac:dyDescent="0.25">
      <c r="A9" s="1">
        <v>46020</v>
      </c>
      <c r="B9" s="1">
        <v>46022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75</v>
      </c>
      <c r="P9" t="s">
        <v>76</v>
      </c>
      <c r="Q9" t="s">
        <v>49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6122579</v>
      </c>
    </row>
    <row r="10" spans="1:38" x14ac:dyDescent="0.25">
      <c r="A10" s="1">
        <v>46020</v>
      </c>
      <c r="B10" s="1">
        <v>46022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46</v>
      </c>
      <c r="O10" t="s">
        <v>81</v>
      </c>
      <c r="P10" t="s">
        <v>82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108</v>
      </c>
      <c r="AA10">
        <v>1</v>
      </c>
      <c r="AB10" s="3">
        <v>1</v>
      </c>
      <c r="AC10" s="2">
        <v>108</v>
      </c>
      <c r="AD10" s="3">
        <v>0</v>
      </c>
      <c r="AE10" s="2">
        <v>0</v>
      </c>
      <c r="AF10" s="2">
        <v>108</v>
      </c>
      <c r="AK10">
        <v>6122580</v>
      </c>
    </row>
    <row r="11" spans="1:38" x14ac:dyDescent="0.25">
      <c r="A11" s="1">
        <v>46020</v>
      </c>
      <c r="B11" s="1">
        <v>46022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64</v>
      </c>
      <c r="O11" t="s">
        <v>65</v>
      </c>
      <c r="P11" t="s">
        <v>66</v>
      </c>
      <c r="Q11" t="s">
        <v>49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6122581</v>
      </c>
    </row>
    <row r="12" spans="1:38" x14ac:dyDescent="0.25">
      <c r="A12" s="1">
        <v>46020</v>
      </c>
      <c r="B12" s="1">
        <v>46022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86</v>
      </c>
      <c r="M12" t="s">
        <v>87</v>
      </c>
      <c r="O12" t="s">
        <v>88</v>
      </c>
      <c r="P12" t="s">
        <v>89</v>
      </c>
      <c r="Q12" t="s">
        <v>49</v>
      </c>
      <c r="R12" t="s">
        <v>50</v>
      </c>
      <c r="S12" s="1">
        <v>46023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6122582</v>
      </c>
    </row>
    <row r="13" spans="1:38" x14ac:dyDescent="0.25">
      <c r="A13" s="1">
        <v>46020</v>
      </c>
      <c r="B13" s="1">
        <v>46022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92</v>
      </c>
      <c r="P13" t="s">
        <v>93</v>
      </c>
      <c r="Q13" t="s">
        <v>49</v>
      </c>
      <c r="R13" t="s">
        <v>50</v>
      </c>
      <c r="S13" s="1">
        <v>46023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6122583</v>
      </c>
    </row>
    <row r="14" spans="1:38" x14ac:dyDescent="0.25">
      <c r="A14" s="1">
        <v>46020</v>
      </c>
      <c r="B14" s="1">
        <v>46022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59</v>
      </c>
      <c r="O14" t="s">
        <v>96</v>
      </c>
      <c r="P14" t="s">
        <v>97</v>
      </c>
      <c r="Q14" t="s">
        <v>49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108</v>
      </c>
      <c r="AA14">
        <v>1</v>
      </c>
      <c r="AB14" s="3">
        <v>1</v>
      </c>
      <c r="AC14" s="2">
        <v>108</v>
      </c>
      <c r="AD14" s="3">
        <v>0</v>
      </c>
      <c r="AE14" s="2">
        <v>0</v>
      </c>
      <c r="AF14" s="2">
        <v>108</v>
      </c>
      <c r="AK14">
        <v>6122584</v>
      </c>
    </row>
    <row r="15" spans="1:38" x14ac:dyDescent="0.25">
      <c r="A15" s="1">
        <v>46020</v>
      </c>
      <c r="B15" s="1">
        <v>46022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100</v>
      </c>
      <c r="O15" t="s">
        <v>71</v>
      </c>
      <c r="P15" t="s">
        <v>72</v>
      </c>
      <c r="Q15" t="s">
        <v>101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6122585</v>
      </c>
    </row>
    <row r="16" spans="1:38" x14ac:dyDescent="0.25">
      <c r="A16" s="1">
        <v>46020</v>
      </c>
      <c r="B16" s="1">
        <v>46022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104</v>
      </c>
      <c r="O16" t="s">
        <v>105</v>
      </c>
      <c r="P16" t="s">
        <v>106</v>
      </c>
      <c r="Q16" t="s">
        <v>49</v>
      </c>
      <c r="R16" t="s">
        <v>50</v>
      </c>
      <c r="S16" s="1">
        <v>46023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6122586</v>
      </c>
    </row>
    <row r="17" spans="1:37" x14ac:dyDescent="0.25">
      <c r="A17" s="1">
        <v>46020</v>
      </c>
      <c r="B17" s="1">
        <v>46022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107</v>
      </c>
      <c r="J17" t="s">
        <v>108</v>
      </c>
      <c r="M17" t="s">
        <v>46</v>
      </c>
      <c r="O17" t="s">
        <v>92</v>
      </c>
      <c r="P17" t="s">
        <v>93</v>
      </c>
      <c r="Q17" t="s">
        <v>49</v>
      </c>
      <c r="R17" t="s">
        <v>50</v>
      </c>
      <c r="S17" s="1">
        <v>46023</v>
      </c>
      <c r="U17" t="s">
        <v>51</v>
      </c>
      <c r="X17" t="s">
        <v>52</v>
      </c>
      <c r="Y17" s="2">
        <v>0</v>
      </c>
      <c r="Z17" s="2">
        <v>108</v>
      </c>
      <c r="AA17">
        <v>1</v>
      </c>
      <c r="AB17" s="3">
        <v>1</v>
      </c>
      <c r="AC17" s="2">
        <v>108</v>
      </c>
      <c r="AD17" s="3">
        <v>0</v>
      </c>
      <c r="AE17" s="2">
        <v>0</v>
      </c>
      <c r="AF17" s="2">
        <v>108</v>
      </c>
      <c r="AK17">
        <v>6122587</v>
      </c>
    </row>
    <row r="18" spans="1:37" x14ac:dyDescent="0.25">
      <c r="A18" s="1">
        <v>46020</v>
      </c>
      <c r="B18" s="1">
        <v>46022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109</v>
      </c>
      <c r="J18" t="s">
        <v>110</v>
      </c>
      <c r="M18" t="s">
        <v>64</v>
      </c>
      <c r="O18" t="s">
        <v>41</v>
      </c>
      <c r="P18" t="s">
        <v>43</v>
      </c>
      <c r="Q18" t="s">
        <v>49</v>
      </c>
      <c r="R18" t="s">
        <v>50</v>
      </c>
      <c r="S18" s="1">
        <v>46023</v>
      </c>
      <c r="U18" t="s">
        <v>51</v>
      </c>
      <c r="X18" t="s">
        <v>52</v>
      </c>
      <c r="Y18" s="2">
        <v>0</v>
      </c>
      <c r="Z18" s="2">
        <v>108</v>
      </c>
      <c r="AA18">
        <v>1</v>
      </c>
      <c r="AB18" s="3">
        <v>1</v>
      </c>
      <c r="AC18" s="2">
        <v>108</v>
      </c>
      <c r="AD18" s="3">
        <v>0</v>
      </c>
      <c r="AE18" s="2">
        <v>0</v>
      </c>
      <c r="AF18" s="2">
        <v>108</v>
      </c>
      <c r="AK18">
        <v>6122588</v>
      </c>
    </row>
    <row r="19" spans="1:37" x14ac:dyDescent="0.25">
      <c r="A19" s="1">
        <v>46020</v>
      </c>
      <c r="B19" s="1">
        <v>46022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64</v>
      </c>
      <c r="O19" t="s">
        <v>105</v>
      </c>
      <c r="P19" t="s">
        <v>106</v>
      </c>
      <c r="Q19" t="s">
        <v>49</v>
      </c>
      <c r="R19" t="s">
        <v>50</v>
      </c>
      <c r="S19" s="1">
        <v>46023</v>
      </c>
      <c r="U19" t="s">
        <v>51</v>
      </c>
      <c r="X19" t="s">
        <v>52</v>
      </c>
      <c r="Y19" s="2">
        <v>0</v>
      </c>
      <c r="Z19" s="2">
        <v>108</v>
      </c>
      <c r="AA19">
        <v>1</v>
      </c>
      <c r="AB19" s="3">
        <v>1</v>
      </c>
      <c r="AC19" s="2">
        <v>108</v>
      </c>
      <c r="AD19" s="3">
        <v>0</v>
      </c>
      <c r="AE19" s="2">
        <v>0</v>
      </c>
      <c r="AF19" s="2">
        <v>108</v>
      </c>
      <c r="AK19">
        <v>6122589</v>
      </c>
    </row>
    <row r="20" spans="1:37" x14ac:dyDescent="0.25">
      <c r="A20" s="1">
        <v>46020</v>
      </c>
      <c r="B20" s="1">
        <v>46022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100</v>
      </c>
      <c r="O20" t="s">
        <v>115</v>
      </c>
      <c r="P20" t="s">
        <v>116</v>
      </c>
      <c r="Q20" t="s">
        <v>49</v>
      </c>
      <c r="R20" t="s">
        <v>50</v>
      </c>
      <c r="S20" s="1">
        <v>46023</v>
      </c>
      <c r="U20" t="s">
        <v>51</v>
      </c>
      <c r="X20" t="s">
        <v>52</v>
      </c>
      <c r="Y20" s="2">
        <v>0</v>
      </c>
      <c r="Z20" s="2">
        <v>108</v>
      </c>
      <c r="AA20">
        <v>1</v>
      </c>
      <c r="AB20" s="3">
        <v>1</v>
      </c>
      <c r="AC20" s="2">
        <v>108</v>
      </c>
      <c r="AD20" s="3">
        <v>0</v>
      </c>
      <c r="AE20" s="2">
        <v>0</v>
      </c>
      <c r="AF20" s="2">
        <v>108</v>
      </c>
      <c r="AK20">
        <v>6122590</v>
      </c>
    </row>
    <row r="21" spans="1:37" x14ac:dyDescent="0.25">
      <c r="A21" s="1">
        <v>46020</v>
      </c>
      <c r="B21" s="1">
        <v>46022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59</v>
      </c>
      <c r="O21" t="s">
        <v>71</v>
      </c>
      <c r="P21" t="s">
        <v>72</v>
      </c>
      <c r="Q21" t="s">
        <v>49</v>
      </c>
      <c r="R21" t="s">
        <v>50</v>
      </c>
      <c r="S21" s="1">
        <v>46023</v>
      </c>
      <c r="U21" t="s">
        <v>51</v>
      </c>
      <c r="X21" t="s">
        <v>52</v>
      </c>
      <c r="Y21" s="2">
        <v>0</v>
      </c>
      <c r="Z21" s="2">
        <v>108</v>
      </c>
      <c r="AA21">
        <v>1</v>
      </c>
      <c r="AB21" s="3">
        <v>1</v>
      </c>
      <c r="AC21" s="2">
        <v>108</v>
      </c>
      <c r="AD21" s="3">
        <v>0</v>
      </c>
      <c r="AE21" s="2">
        <v>0</v>
      </c>
      <c r="AF21" s="2">
        <v>108</v>
      </c>
      <c r="AK21">
        <v>6122591</v>
      </c>
    </row>
    <row r="22" spans="1:37" x14ac:dyDescent="0.25">
      <c r="A22" s="1">
        <v>46020</v>
      </c>
      <c r="B22" s="1">
        <v>46022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121</v>
      </c>
      <c r="O22" t="s">
        <v>122</v>
      </c>
      <c r="P22" t="s">
        <v>123</v>
      </c>
      <c r="Q22" t="s">
        <v>49</v>
      </c>
      <c r="R22" t="s">
        <v>50</v>
      </c>
      <c r="S22" s="1">
        <v>46023</v>
      </c>
      <c r="U22" t="s">
        <v>51</v>
      </c>
      <c r="X22" t="s">
        <v>52</v>
      </c>
      <c r="Y22" s="2">
        <v>0</v>
      </c>
      <c r="Z22" s="2">
        <v>108</v>
      </c>
      <c r="AA22">
        <v>1</v>
      </c>
      <c r="AB22" s="3">
        <v>1</v>
      </c>
      <c r="AC22" s="2">
        <v>108</v>
      </c>
      <c r="AD22" s="3">
        <v>0</v>
      </c>
      <c r="AE22" s="2">
        <v>0</v>
      </c>
      <c r="AF22" s="2">
        <v>108</v>
      </c>
      <c r="AK22">
        <v>6122553</v>
      </c>
    </row>
    <row r="23" spans="1:37" x14ac:dyDescent="0.25">
      <c r="A23" s="1">
        <v>46020</v>
      </c>
      <c r="B23" s="1">
        <v>46022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124</v>
      </c>
      <c r="J23" t="s">
        <v>125</v>
      </c>
      <c r="M23" t="s">
        <v>64</v>
      </c>
      <c r="O23" t="s">
        <v>65</v>
      </c>
      <c r="P23" t="s">
        <v>66</v>
      </c>
      <c r="Q23" t="s">
        <v>49</v>
      </c>
      <c r="R23" t="s">
        <v>126</v>
      </c>
      <c r="S23" s="1">
        <v>46023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6122692</v>
      </c>
    </row>
    <row r="24" spans="1:37" x14ac:dyDescent="0.25">
      <c r="A24" s="1">
        <v>46020</v>
      </c>
      <c r="B24" s="1">
        <v>46022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127</v>
      </c>
      <c r="J24" t="s">
        <v>128</v>
      </c>
      <c r="M24" t="s">
        <v>59</v>
      </c>
      <c r="O24" t="s">
        <v>129</v>
      </c>
      <c r="P24" t="s">
        <v>130</v>
      </c>
      <c r="Q24" t="s">
        <v>49</v>
      </c>
      <c r="R24" t="s">
        <v>126</v>
      </c>
      <c r="S24" s="1">
        <v>46023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6122693</v>
      </c>
    </row>
    <row r="25" spans="1:37" x14ac:dyDescent="0.25">
      <c r="A25" s="1">
        <v>46020</v>
      </c>
      <c r="B25" s="1">
        <v>46022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131</v>
      </c>
      <c r="J25" t="s">
        <v>132</v>
      </c>
      <c r="M25" t="s">
        <v>59</v>
      </c>
      <c r="O25" t="s">
        <v>129</v>
      </c>
      <c r="P25" t="s">
        <v>130</v>
      </c>
      <c r="Q25" t="s">
        <v>49</v>
      </c>
      <c r="R25" t="s">
        <v>126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6122694</v>
      </c>
    </row>
    <row r="26" spans="1:37" x14ac:dyDescent="0.25">
      <c r="A26" s="1">
        <v>46020</v>
      </c>
      <c r="B26" s="1">
        <v>46022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133</v>
      </c>
      <c r="J26" t="s">
        <v>134</v>
      </c>
      <c r="M26" t="s">
        <v>59</v>
      </c>
      <c r="O26" t="s">
        <v>129</v>
      </c>
      <c r="P26" t="s">
        <v>130</v>
      </c>
      <c r="Q26" t="s">
        <v>49</v>
      </c>
      <c r="R26" t="s">
        <v>126</v>
      </c>
      <c r="S26" s="1">
        <v>46023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6122695</v>
      </c>
    </row>
    <row r="27" spans="1:37" x14ac:dyDescent="0.25">
      <c r="A27" s="1">
        <v>46020</v>
      </c>
      <c r="B27" s="1">
        <v>46022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135</v>
      </c>
      <c r="J27" t="s">
        <v>136</v>
      </c>
      <c r="M27" t="s">
        <v>59</v>
      </c>
      <c r="O27" t="s">
        <v>60</v>
      </c>
      <c r="P27" t="s">
        <v>61</v>
      </c>
      <c r="Q27" t="s">
        <v>49</v>
      </c>
      <c r="R27" t="s">
        <v>126</v>
      </c>
      <c r="S27" s="1">
        <v>46082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6122696</v>
      </c>
    </row>
    <row r="28" spans="1:37" x14ac:dyDescent="0.25">
      <c r="A28" s="1">
        <v>46020</v>
      </c>
      <c r="B28" s="1">
        <v>46022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137</v>
      </c>
      <c r="J28" t="s">
        <v>138</v>
      </c>
      <c r="M28" t="s">
        <v>59</v>
      </c>
      <c r="O28" t="s">
        <v>129</v>
      </c>
      <c r="P28" t="s">
        <v>130</v>
      </c>
      <c r="Q28" t="s">
        <v>49</v>
      </c>
      <c r="R28" t="s">
        <v>126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6122697</v>
      </c>
    </row>
    <row r="29" spans="1:37" x14ac:dyDescent="0.25">
      <c r="A29" s="1">
        <v>46020</v>
      </c>
      <c r="B29" s="1">
        <v>46022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139</v>
      </c>
      <c r="J29" t="s">
        <v>140</v>
      </c>
      <c r="M29" t="s">
        <v>59</v>
      </c>
      <c r="O29" t="s">
        <v>60</v>
      </c>
      <c r="P29" t="s">
        <v>61</v>
      </c>
      <c r="Q29" t="s">
        <v>49</v>
      </c>
      <c r="R29" t="s">
        <v>126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6122698</v>
      </c>
    </row>
    <row r="30" spans="1:37" x14ac:dyDescent="0.25">
      <c r="A30" s="1">
        <v>46020</v>
      </c>
      <c r="B30" s="1">
        <v>46022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141</v>
      </c>
      <c r="J30" t="s">
        <v>142</v>
      </c>
      <c r="M30" t="s">
        <v>59</v>
      </c>
      <c r="O30" t="s">
        <v>71</v>
      </c>
      <c r="P30" t="s">
        <v>72</v>
      </c>
      <c r="Q30" t="s">
        <v>49</v>
      </c>
      <c r="R30" t="s">
        <v>126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6122699</v>
      </c>
    </row>
    <row r="31" spans="1:37" x14ac:dyDescent="0.25">
      <c r="A31" s="1">
        <v>46020</v>
      </c>
      <c r="B31" s="1">
        <v>46022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143</v>
      </c>
      <c r="J31" t="s">
        <v>144</v>
      </c>
      <c r="M31" t="s">
        <v>145</v>
      </c>
      <c r="O31" t="s">
        <v>146</v>
      </c>
      <c r="P31" t="s">
        <v>147</v>
      </c>
      <c r="Q31" t="s">
        <v>49</v>
      </c>
      <c r="R31" t="s">
        <v>126</v>
      </c>
      <c r="S31" s="1">
        <v>46054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6122678</v>
      </c>
    </row>
    <row r="32" spans="1:37" x14ac:dyDescent="0.25">
      <c r="A32" s="1">
        <v>46020</v>
      </c>
      <c r="B32" s="1">
        <v>46022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148</v>
      </c>
      <c r="J32" t="s">
        <v>149</v>
      </c>
      <c r="M32" t="s">
        <v>150</v>
      </c>
      <c r="O32" t="s">
        <v>151</v>
      </c>
      <c r="P32" t="s">
        <v>152</v>
      </c>
      <c r="Q32" t="s">
        <v>49</v>
      </c>
      <c r="R32" t="s">
        <v>126</v>
      </c>
      <c r="S32" s="1">
        <v>46023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6122679</v>
      </c>
    </row>
    <row r="33" spans="1:37" x14ac:dyDescent="0.25">
      <c r="A33" s="1">
        <v>46020</v>
      </c>
      <c r="B33" s="1">
        <v>46022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153</v>
      </c>
      <c r="J33" t="s">
        <v>154</v>
      </c>
      <c r="M33" t="s">
        <v>64</v>
      </c>
      <c r="O33" t="s">
        <v>155</v>
      </c>
      <c r="P33" t="s">
        <v>156</v>
      </c>
      <c r="Q33" t="s">
        <v>49</v>
      </c>
      <c r="R33" t="s">
        <v>126</v>
      </c>
      <c r="S33" s="1">
        <v>46023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6122700</v>
      </c>
    </row>
    <row r="34" spans="1:37" x14ac:dyDescent="0.25">
      <c r="A34" s="1">
        <v>46020</v>
      </c>
      <c r="B34" s="1">
        <v>46022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157</v>
      </c>
      <c r="J34" t="s">
        <v>158</v>
      </c>
      <c r="M34" t="s">
        <v>145</v>
      </c>
      <c r="O34" t="s">
        <v>146</v>
      </c>
      <c r="P34" t="s">
        <v>147</v>
      </c>
      <c r="Q34" t="s">
        <v>49</v>
      </c>
      <c r="R34" t="s">
        <v>126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6122680</v>
      </c>
    </row>
    <row r="35" spans="1:37" x14ac:dyDescent="0.25">
      <c r="A35" s="1">
        <v>46020</v>
      </c>
      <c r="B35" s="1">
        <v>46022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159</v>
      </c>
      <c r="J35" t="s">
        <v>160</v>
      </c>
      <c r="M35" t="s">
        <v>59</v>
      </c>
      <c r="O35" t="s">
        <v>161</v>
      </c>
      <c r="P35" t="s">
        <v>162</v>
      </c>
      <c r="Q35" t="s">
        <v>49</v>
      </c>
      <c r="R35" t="s">
        <v>126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6122701</v>
      </c>
    </row>
    <row r="36" spans="1:37" x14ac:dyDescent="0.25">
      <c r="A36" s="1">
        <v>46020</v>
      </c>
      <c r="B36" s="1">
        <v>46022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163</v>
      </c>
      <c r="J36" t="s">
        <v>164</v>
      </c>
      <c r="M36" t="s">
        <v>59</v>
      </c>
      <c r="O36" t="s">
        <v>165</v>
      </c>
      <c r="P36" t="s">
        <v>166</v>
      </c>
      <c r="Q36" t="s">
        <v>49</v>
      </c>
      <c r="R36" t="s">
        <v>126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6122702</v>
      </c>
    </row>
    <row r="37" spans="1:37" x14ac:dyDescent="0.25">
      <c r="A37" s="1">
        <v>46020</v>
      </c>
      <c r="B37" s="1">
        <v>46022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167</v>
      </c>
      <c r="J37" t="s">
        <v>168</v>
      </c>
      <c r="M37" t="s">
        <v>169</v>
      </c>
      <c r="O37" t="s">
        <v>88</v>
      </c>
      <c r="P37" t="s">
        <v>89</v>
      </c>
      <c r="Q37" t="s">
        <v>49</v>
      </c>
      <c r="R37" t="s">
        <v>126</v>
      </c>
      <c r="S37" s="1">
        <v>46023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6122703</v>
      </c>
    </row>
    <row r="38" spans="1:37" x14ac:dyDescent="0.25">
      <c r="A38" s="1">
        <v>46020</v>
      </c>
      <c r="B38" s="1">
        <v>46022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170</v>
      </c>
      <c r="J38" t="s">
        <v>171</v>
      </c>
      <c r="M38" t="s">
        <v>145</v>
      </c>
      <c r="O38" t="s">
        <v>146</v>
      </c>
      <c r="P38" t="s">
        <v>147</v>
      </c>
      <c r="Q38" t="s">
        <v>49</v>
      </c>
      <c r="R38" t="s">
        <v>126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6122681</v>
      </c>
    </row>
    <row r="39" spans="1:37" x14ac:dyDescent="0.25">
      <c r="A39" s="1">
        <v>46020</v>
      </c>
      <c r="B39" s="1">
        <v>46022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172</v>
      </c>
      <c r="J39" t="s">
        <v>173</v>
      </c>
      <c r="M39" t="s">
        <v>145</v>
      </c>
      <c r="O39" t="s">
        <v>146</v>
      </c>
      <c r="P39" t="s">
        <v>147</v>
      </c>
      <c r="Q39" t="s">
        <v>49</v>
      </c>
      <c r="R39" t="s">
        <v>126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6122682</v>
      </c>
    </row>
    <row r="40" spans="1:37" x14ac:dyDescent="0.25">
      <c r="A40" s="1">
        <v>46020</v>
      </c>
      <c r="B40" s="1">
        <v>46022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174</v>
      </c>
      <c r="J40" t="s">
        <v>175</v>
      </c>
      <c r="M40" t="s">
        <v>169</v>
      </c>
      <c r="O40" t="s">
        <v>176</v>
      </c>
      <c r="P40" t="s">
        <v>177</v>
      </c>
      <c r="Q40" t="s">
        <v>49</v>
      </c>
      <c r="R40" t="s">
        <v>126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6122704</v>
      </c>
    </row>
    <row r="41" spans="1:37" x14ac:dyDescent="0.25">
      <c r="A41" s="1">
        <v>46020</v>
      </c>
      <c r="B41" s="1">
        <v>46022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178</v>
      </c>
      <c r="J41" t="s">
        <v>179</v>
      </c>
      <c r="M41" t="s">
        <v>59</v>
      </c>
      <c r="O41" t="s">
        <v>180</v>
      </c>
      <c r="P41" t="s">
        <v>181</v>
      </c>
      <c r="Q41" t="s">
        <v>49</v>
      </c>
      <c r="R41" t="s">
        <v>126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6122705</v>
      </c>
    </row>
    <row r="42" spans="1:37" x14ac:dyDescent="0.25">
      <c r="A42" s="1">
        <v>46020</v>
      </c>
      <c r="B42" s="1">
        <v>46022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182</v>
      </c>
      <c r="J42" t="s">
        <v>183</v>
      </c>
      <c r="M42" t="s">
        <v>59</v>
      </c>
      <c r="O42" t="s">
        <v>180</v>
      </c>
      <c r="P42" t="s">
        <v>181</v>
      </c>
      <c r="Q42" t="s">
        <v>49</v>
      </c>
      <c r="R42" t="s">
        <v>126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6122706</v>
      </c>
    </row>
    <row r="43" spans="1:37" x14ac:dyDescent="0.25">
      <c r="A43" s="1">
        <v>46020</v>
      </c>
      <c r="B43" s="1">
        <v>46022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184</v>
      </c>
      <c r="J43" t="s">
        <v>185</v>
      </c>
      <c r="M43" t="s">
        <v>46</v>
      </c>
      <c r="O43" t="s">
        <v>47</v>
      </c>
      <c r="P43" t="s">
        <v>48</v>
      </c>
      <c r="Q43" t="s">
        <v>49</v>
      </c>
      <c r="R43" t="s">
        <v>126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6122707</v>
      </c>
    </row>
    <row r="44" spans="1:37" x14ac:dyDescent="0.25">
      <c r="A44" s="1">
        <v>46020</v>
      </c>
      <c r="B44" s="1">
        <v>46022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186</v>
      </c>
      <c r="J44" t="s">
        <v>187</v>
      </c>
      <c r="M44" t="s">
        <v>59</v>
      </c>
      <c r="O44" t="s">
        <v>188</v>
      </c>
      <c r="P44" t="s">
        <v>189</v>
      </c>
      <c r="Q44" t="s">
        <v>49</v>
      </c>
      <c r="R44" t="s">
        <v>126</v>
      </c>
      <c r="S44" s="1">
        <v>46023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6122708</v>
      </c>
    </row>
    <row r="45" spans="1:37" x14ac:dyDescent="0.25">
      <c r="A45" s="1">
        <v>46020</v>
      </c>
      <c r="B45" s="1">
        <v>46022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190</v>
      </c>
      <c r="J45" t="s">
        <v>191</v>
      </c>
      <c r="M45" t="s">
        <v>145</v>
      </c>
      <c r="O45" t="s">
        <v>146</v>
      </c>
      <c r="P45" t="s">
        <v>147</v>
      </c>
      <c r="Q45" t="s">
        <v>49</v>
      </c>
      <c r="R45" t="s">
        <v>126</v>
      </c>
      <c r="S45" s="1">
        <v>46023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6122683</v>
      </c>
    </row>
    <row r="46" spans="1:37" x14ac:dyDescent="0.25">
      <c r="A46" s="1">
        <v>46020</v>
      </c>
      <c r="B46" s="1">
        <v>46022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192</v>
      </c>
      <c r="J46" t="s">
        <v>193</v>
      </c>
      <c r="M46" t="s">
        <v>59</v>
      </c>
      <c r="O46" t="s">
        <v>194</v>
      </c>
      <c r="P46" t="s">
        <v>195</v>
      </c>
      <c r="Q46" t="s">
        <v>49</v>
      </c>
      <c r="R46" t="s">
        <v>126</v>
      </c>
      <c r="S46" s="1">
        <v>46054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6122709</v>
      </c>
    </row>
    <row r="47" spans="1:37" x14ac:dyDescent="0.25">
      <c r="A47" s="1">
        <v>46020</v>
      </c>
      <c r="B47" s="1">
        <v>46022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196</v>
      </c>
      <c r="J47" t="s">
        <v>197</v>
      </c>
      <c r="M47" t="s">
        <v>46</v>
      </c>
      <c r="O47" t="s">
        <v>47</v>
      </c>
      <c r="P47" t="s">
        <v>48</v>
      </c>
      <c r="Q47" t="s">
        <v>49</v>
      </c>
      <c r="R47" t="s">
        <v>126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6122710</v>
      </c>
    </row>
    <row r="48" spans="1:37" x14ac:dyDescent="0.25">
      <c r="A48" s="1">
        <v>46020</v>
      </c>
      <c r="B48" s="1">
        <v>46022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198</v>
      </c>
      <c r="J48" t="s">
        <v>199</v>
      </c>
      <c r="M48" t="s">
        <v>200</v>
      </c>
      <c r="O48" t="s">
        <v>201</v>
      </c>
      <c r="P48" t="s">
        <v>202</v>
      </c>
      <c r="Q48" t="s">
        <v>49</v>
      </c>
      <c r="R48" t="s">
        <v>126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6122711</v>
      </c>
    </row>
    <row r="49" spans="1:37" x14ac:dyDescent="0.25">
      <c r="A49" s="1">
        <v>46020</v>
      </c>
      <c r="B49" s="1">
        <v>46022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203</v>
      </c>
      <c r="J49" t="s">
        <v>204</v>
      </c>
      <c r="M49" t="s">
        <v>59</v>
      </c>
      <c r="O49" t="s">
        <v>71</v>
      </c>
      <c r="P49" t="s">
        <v>72</v>
      </c>
      <c r="Q49" t="s">
        <v>49</v>
      </c>
      <c r="R49" t="s">
        <v>126</v>
      </c>
      <c r="S49" s="1">
        <v>46023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6122712</v>
      </c>
    </row>
    <row r="50" spans="1:37" x14ac:dyDescent="0.25">
      <c r="A50" s="1">
        <v>46020</v>
      </c>
      <c r="B50" s="1">
        <v>46022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205</v>
      </c>
      <c r="J50" t="s">
        <v>206</v>
      </c>
      <c r="M50" t="s">
        <v>145</v>
      </c>
      <c r="O50" t="s">
        <v>146</v>
      </c>
      <c r="P50" t="s">
        <v>147</v>
      </c>
      <c r="Q50" t="s">
        <v>49</v>
      </c>
      <c r="R50" t="s">
        <v>126</v>
      </c>
      <c r="S50" s="1">
        <v>46023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6122684</v>
      </c>
    </row>
    <row r="51" spans="1:37" x14ac:dyDescent="0.25">
      <c r="A51" s="1">
        <v>46020</v>
      </c>
      <c r="B51" s="1">
        <v>46022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207</v>
      </c>
      <c r="J51" t="s">
        <v>208</v>
      </c>
      <c r="M51" t="s">
        <v>59</v>
      </c>
      <c r="O51" t="s">
        <v>55</v>
      </c>
      <c r="P51" t="s">
        <v>56</v>
      </c>
      <c r="Q51" t="s">
        <v>49</v>
      </c>
      <c r="R51" t="s">
        <v>126</v>
      </c>
      <c r="S51" s="1">
        <v>46023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6122713</v>
      </c>
    </row>
    <row r="52" spans="1:37" x14ac:dyDescent="0.25">
      <c r="A52" s="1">
        <v>46020</v>
      </c>
      <c r="B52" s="1">
        <v>46022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209</v>
      </c>
      <c r="J52" t="s">
        <v>210</v>
      </c>
      <c r="M52" t="s">
        <v>64</v>
      </c>
      <c r="O52" t="s">
        <v>155</v>
      </c>
      <c r="P52" t="s">
        <v>156</v>
      </c>
      <c r="Q52" t="s">
        <v>49</v>
      </c>
      <c r="R52" t="s">
        <v>126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6122714</v>
      </c>
    </row>
    <row r="53" spans="1:37" x14ac:dyDescent="0.25">
      <c r="A53" s="1">
        <v>46020</v>
      </c>
      <c r="B53" s="1">
        <v>46022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211</v>
      </c>
      <c r="J53" t="s">
        <v>212</v>
      </c>
      <c r="M53" t="s">
        <v>59</v>
      </c>
      <c r="O53" t="s">
        <v>213</v>
      </c>
      <c r="P53" t="s">
        <v>214</v>
      </c>
      <c r="Q53" t="s">
        <v>49</v>
      </c>
      <c r="R53" t="s">
        <v>126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6122685</v>
      </c>
    </row>
    <row r="54" spans="1:37" x14ac:dyDescent="0.25">
      <c r="A54" s="1">
        <v>46020</v>
      </c>
      <c r="B54" s="1">
        <v>46022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215</v>
      </c>
      <c r="J54" t="s">
        <v>216</v>
      </c>
      <c r="M54" t="s">
        <v>59</v>
      </c>
      <c r="O54" t="s">
        <v>60</v>
      </c>
      <c r="P54" t="s">
        <v>61</v>
      </c>
      <c r="Q54" t="s">
        <v>49</v>
      </c>
      <c r="R54" t="s">
        <v>126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6122715</v>
      </c>
    </row>
    <row r="55" spans="1:37" x14ac:dyDescent="0.25">
      <c r="A55" s="1">
        <v>46020</v>
      </c>
      <c r="B55" s="1">
        <v>46022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217</v>
      </c>
      <c r="J55" t="s">
        <v>218</v>
      </c>
      <c r="M55" t="s">
        <v>59</v>
      </c>
      <c r="O55" t="s">
        <v>60</v>
      </c>
      <c r="P55" t="s">
        <v>61</v>
      </c>
      <c r="Q55" t="s">
        <v>49</v>
      </c>
      <c r="R55" t="s">
        <v>126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6122716</v>
      </c>
    </row>
    <row r="56" spans="1:37" x14ac:dyDescent="0.25">
      <c r="A56" s="1">
        <v>46020</v>
      </c>
      <c r="B56" s="1">
        <v>46022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219</v>
      </c>
      <c r="J56" t="s">
        <v>220</v>
      </c>
      <c r="M56" t="s">
        <v>59</v>
      </c>
      <c r="O56" t="s">
        <v>188</v>
      </c>
      <c r="P56" t="s">
        <v>189</v>
      </c>
      <c r="Q56" t="s">
        <v>49</v>
      </c>
      <c r="R56" t="s">
        <v>126</v>
      </c>
      <c r="S56" s="1">
        <v>46023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6122717</v>
      </c>
    </row>
    <row r="57" spans="1:37" x14ac:dyDescent="0.25">
      <c r="A57" s="1">
        <v>46020</v>
      </c>
      <c r="B57" s="1">
        <v>46022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221</v>
      </c>
      <c r="J57" t="s">
        <v>222</v>
      </c>
      <c r="M57" t="s">
        <v>59</v>
      </c>
      <c r="O57" t="s">
        <v>161</v>
      </c>
      <c r="P57" t="s">
        <v>162</v>
      </c>
      <c r="Q57" t="s">
        <v>49</v>
      </c>
      <c r="R57" t="s">
        <v>126</v>
      </c>
      <c r="S57" s="1">
        <v>46023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6122718</v>
      </c>
    </row>
    <row r="58" spans="1:37" x14ac:dyDescent="0.25">
      <c r="A58" s="1">
        <v>46020</v>
      </c>
      <c r="B58" s="1">
        <v>46022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223</v>
      </c>
      <c r="J58" t="s">
        <v>224</v>
      </c>
      <c r="M58" t="s">
        <v>59</v>
      </c>
      <c r="O58" t="s">
        <v>161</v>
      </c>
      <c r="P58" t="s">
        <v>162</v>
      </c>
      <c r="Q58" t="s">
        <v>49</v>
      </c>
      <c r="R58" t="s">
        <v>126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6122719</v>
      </c>
    </row>
    <row r="59" spans="1:37" x14ac:dyDescent="0.25">
      <c r="A59" s="1">
        <v>46020</v>
      </c>
      <c r="B59" s="1">
        <v>46022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225</v>
      </c>
      <c r="J59" t="s">
        <v>226</v>
      </c>
      <c r="M59" t="s">
        <v>59</v>
      </c>
      <c r="O59" t="s">
        <v>180</v>
      </c>
      <c r="P59" t="s">
        <v>181</v>
      </c>
      <c r="Q59" t="s">
        <v>49</v>
      </c>
      <c r="R59" t="s">
        <v>126</v>
      </c>
      <c r="S59" s="1">
        <v>45992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6122720</v>
      </c>
    </row>
    <row r="60" spans="1:37" x14ac:dyDescent="0.25">
      <c r="A60" s="1">
        <v>46020</v>
      </c>
      <c r="B60" s="1">
        <v>46022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227</v>
      </c>
      <c r="J60" t="s">
        <v>228</v>
      </c>
      <c r="M60" t="s">
        <v>59</v>
      </c>
      <c r="O60" t="s">
        <v>129</v>
      </c>
      <c r="P60" t="s">
        <v>130</v>
      </c>
      <c r="Q60" t="s">
        <v>49</v>
      </c>
      <c r="R60" t="s">
        <v>126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6122721</v>
      </c>
    </row>
    <row r="61" spans="1:37" x14ac:dyDescent="0.25">
      <c r="A61" s="1">
        <v>46020</v>
      </c>
      <c r="B61" s="1">
        <v>46022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229</v>
      </c>
      <c r="J61" t="s">
        <v>230</v>
      </c>
      <c r="M61" t="s">
        <v>59</v>
      </c>
      <c r="O61" t="s">
        <v>155</v>
      </c>
      <c r="P61" t="s">
        <v>156</v>
      </c>
      <c r="Q61" t="s">
        <v>49</v>
      </c>
      <c r="R61" t="s">
        <v>126</v>
      </c>
      <c r="S61" s="1">
        <v>46023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6122722</v>
      </c>
    </row>
    <row r="62" spans="1:37" x14ac:dyDescent="0.25">
      <c r="A62" s="1">
        <v>46020</v>
      </c>
      <c r="B62" s="1">
        <v>46022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231</v>
      </c>
      <c r="J62" t="s">
        <v>232</v>
      </c>
      <c r="M62" t="s">
        <v>59</v>
      </c>
      <c r="O62" t="s">
        <v>161</v>
      </c>
      <c r="P62" t="s">
        <v>162</v>
      </c>
      <c r="Q62" t="s">
        <v>49</v>
      </c>
      <c r="R62" t="s">
        <v>126</v>
      </c>
      <c r="S62" s="1">
        <v>46023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6122723</v>
      </c>
    </row>
    <row r="63" spans="1:37" x14ac:dyDescent="0.25">
      <c r="A63" s="1">
        <v>46020</v>
      </c>
      <c r="B63" s="1">
        <v>46022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233</v>
      </c>
      <c r="J63" t="s">
        <v>234</v>
      </c>
      <c r="M63" t="s">
        <v>59</v>
      </c>
      <c r="O63" t="s">
        <v>235</v>
      </c>
      <c r="P63" t="s">
        <v>236</v>
      </c>
      <c r="Q63" t="s">
        <v>49</v>
      </c>
      <c r="R63" t="s">
        <v>237</v>
      </c>
      <c r="S63" s="1">
        <v>46023</v>
      </c>
      <c r="U63" t="s">
        <v>51</v>
      </c>
      <c r="X63" t="s">
        <v>52</v>
      </c>
      <c r="Y63" s="2">
        <v>0</v>
      </c>
      <c r="Z63" s="2">
        <v>25</v>
      </c>
      <c r="AA63">
        <v>1</v>
      </c>
      <c r="AB63" s="3">
        <v>1</v>
      </c>
      <c r="AC63" s="2">
        <v>25</v>
      </c>
      <c r="AD63" s="3">
        <v>0</v>
      </c>
      <c r="AE63" s="2">
        <v>0</v>
      </c>
      <c r="AF63" s="2">
        <v>25</v>
      </c>
      <c r="AK63">
        <v>6121324</v>
      </c>
    </row>
    <row r="64" spans="1:37" x14ac:dyDescent="0.25">
      <c r="A64" s="1">
        <v>46020</v>
      </c>
      <c r="B64" s="1">
        <v>46022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238</v>
      </c>
      <c r="J64" t="s">
        <v>239</v>
      </c>
      <c r="M64" t="s">
        <v>200</v>
      </c>
      <c r="O64" t="s">
        <v>240</v>
      </c>
      <c r="P64" t="s">
        <v>241</v>
      </c>
      <c r="Q64" t="s">
        <v>49</v>
      </c>
      <c r="R64" t="s">
        <v>237</v>
      </c>
      <c r="S64" s="1">
        <v>46023</v>
      </c>
      <c r="U64" t="s">
        <v>51</v>
      </c>
      <c r="X64" t="s">
        <v>52</v>
      </c>
      <c r="Y64" s="2">
        <v>0</v>
      </c>
      <c r="Z64" s="2">
        <v>25</v>
      </c>
      <c r="AA64">
        <v>1</v>
      </c>
      <c r="AB64" s="3">
        <v>1</v>
      </c>
      <c r="AC64" s="2">
        <v>25</v>
      </c>
      <c r="AD64" s="3">
        <v>0</v>
      </c>
      <c r="AE64" s="2">
        <v>0</v>
      </c>
      <c r="AF64" s="2">
        <v>25</v>
      </c>
      <c r="AK64">
        <v>6121326</v>
      </c>
    </row>
    <row r="65" spans="1:37" x14ac:dyDescent="0.25">
      <c r="A65" s="1">
        <v>46020</v>
      </c>
      <c r="B65" s="1">
        <v>46022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242</v>
      </c>
      <c r="J65" t="s">
        <v>243</v>
      </c>
      <c r="M65" t="s">
        <v>200</v>
      </c>
      <c r="O65" t="s">
        <v>201</v>
      </c>
      <c r="P65" t="s">
        <v>202</v>
      </c>
      <c r="Q65" t="s">
        <v>49</v>
      </c>
      <c r="R65" t="s">
        <v>244</v>
      </c>
      <c r="S65" s="1">
        <v>46023</v>
      </c>
      <c r="U65" t="s">
        <v>51</v>
      </c>
      <c r="X65" t="s">
        <v>52</v>
      </c>
      <c r="Y65" s="2">
        <v>0</v>
      </c>
      <c r="Z65" s="2">
        <v>15</v>
      </c>
      <c r="AA65">
        <v>1</v>
      </c>
      <c r="AB65" s="3">
        <v>1</v>
      </c>
      <c r="AC65" s="2">
        <v>15</v>
      </c>
      <c r="AD65" s="3">
        <v>0</v>
      </c>
      <c r="AE65" s="2">
        <v>0</v>
      </c>
      <c r="AF65" s="2">
        <v>15</v>
      </c>
      <c r="AK65">
        <v>6121335</v>
      </c>
    </row>
    <row r="66" spans="1:37" x14ac:dyDescent="0.25">
      <c r="A66" s="1">
        <v>46020</v>
      </c>
      <c r="B66" s="1">
        <v>46022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245</v>
      </c>
      <c r="J66" t="s">
        <v>246</v>
      </c>
      <c r="M66" t="s">
        <v>200</v>
      </c>
      <c r="O66" t="s">
        <v>240</v>
      </c>
      <c r="P66" t="s">
        <v>241</v>
      </c>
      <c r="Q66" t="s">
        <v>49</v>
      </c>
      <c r="R66" t="s">
        <v>237</v>
      </c>
      <c r="S66" s="1">
        <v>46023</v>
      </c>
      <c r="U66" t="s">
        <v>51</v>
      </c>
      <c r="X66" t="s">
        <v>52</v>
      </c>
      <c r="Y66" s="2">
        <v>0</v>
      </c>
      <c r="Z66" s="2">
        <v>25</v>
      </c>
      <c r="AA66">
        <v>1</v>
      </c>
      <c r="AB66" s="3">
        <v>1</v>
      </c>
      <c r="AC66" s="2">
        <v>25</v>
      </c>
      <c r="AD66" s="3">
        <v>0</v>
      </c>
      <c r="AE66" s="2">
        <v>0</v>
      </c>
      <c r="AF66" s="2">
        <v>25</v>
      </c>
      <c r="AK66">
        <v>6121338</v>
      </c>
    </row>
    <row r="67" spans="1:37" x14ac:dyDescent="0.25">
      <c r="A67" s="1">
        <v>46020</v>
      </c>
      <c r="B67" s="1">
        <v>46022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247</v>
      </c>
      <c r="J67" t="s">
        <v>248</v>
      </c>
      <c r="M67" t="s">
        <v>200</v>
      </c>
      <c r="O67" t="s">
        <v>240</v>
      </c>
      <c r="P67" t="s">
        <v>241</v>
      </c>
      <c r="Q67" t="s">
        <v>49</v>
      </c>
      <c r="R67" t="s">
        <v>237</v>
      </c>
      <c r="S67" s="1">
        <v>46023</v>
      </c>
      <c r="U67" t="s">
        <v>51</v>
      </c>
      <c r="X67" t="s">
        <v>52</v>
      </c>
      <c r="Y67" s="2">
        <v>0</v>
      </c>
      <c r="Z67" s="2">
        <v>25</v>
      </c>
      <c r="AA67">
        <v>1</v>
      </c>
      <c r="AB67" s="3">
        <v>1</v>
      </c>
      <c r="AC67" s="2">
        <v>25</v>
      </c>
      <c r="AD67" s="3">
        <v>0</v>
      </c>
      <c r="AE67" s="2">
        <v>0</v>
      </c>
      <c r="AF67" s="2">
        <v>25</v>
      </c>
      <c r="AK67">
        <v>6121340</v>
      </c>
    </row>
    <row r="68" spans="1:37" x14ac:dyDescent="0.25">
      <c r="A68" s="1">
        <v>46020</v>
      </c>
      <c r="B68" s="1">
        <v>46022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249</v>
      </c>
      <c r="J68" t="s">
        <v>250</v>
      </c>
      <c r="M68" t="s">
        <v>145</v>
      </c>
      <c r="O68" t="s">
        <v>146</v>
      </c>
      <c r="P68" t="s">
        <v>147</v>
      </c>
      <c r="Q68" t="s">
        <v>49</v>
      </c>
      <c r="R68" t="s">
        <v>237</v>
      </c>
      <c r="S68" s="1">
        <v>46023</v>
      </c>
      <c r="U68" t="s">
        <v>51</v>
      </c>
      <c r="X68" t="s">
        <v>52</v>
      </c>
      <c r="Y68" s="2">
        <v>0</v>
      </c>
      <c r="Z68" s="2">
        <v>25</v>
      </c>
      <c r="AA68">
        <v>1</v>
      </c>
      <c r="AB68" s="3">
        <v>1</v>
      </c>
      <c r="AC68" s="2">
        <v>25</v>
      </c>
      <c r="AD68" s="3">
        <v>0</v>
      </c>
      <c r="AE68" s="2">
        <v>0</v>
      </c>
      <c r="AF68" s="2">
        <v>25</v>
      </c>
      <c r="AK68">
        <v>6121346</v>
      </c>
    </row>
    <row r="69" spans="1:37" x14ac:dyDescent="0.25">
      <c r="A69" s="1">
        <v>46020</v>
      </c>
      <c r="B69" s="1">
        <v>46022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251</v>
      </c>
      <c r="J69" t="s">
        <v>252</v>
      </c>
      <c r="M69" t="s">
        <v>200</v>
      </c>
      <c r="O69" t="s">
        <v>201</v>
      </c>
      <c r="P69" t="s">
        <v>202</v>
      </c>
      <c r="Q69" t="s">
        <v>49</v>
      </c>
      <c r="R69" t="s">
        <v>237</v>
      </c>
      <c r="S69" s="1">
        <v>46023</v>
      </c>
      <c r="U69" t="s">
        <v>51</v>
      </c>
      <c r="X69" t="s">
        <v>52</v>
      </c>
      <c r="Y69" s="2">
        <v>0</v>
      </c>
      <c r="Z69" s="2">
        <v>25</v>
      </c>
      <c r="AA69">
        <v>1</v>
      </c>
      <c r="AB69" s="3">
        <v>1</v>
      </c>
      <c r="AC69" s="2">
        <v>25</v>
      </c>
      <c r="AD69" s="3">
        <v>0</v>
      </c>
      <c r="AE69" s="2">
        <v>0</v>
      </c>
      <c r="AF69" s="2">
        <v>25</v>
      </c>
      <c r="AK69">
        <v>6121347</v>
      </c>
    </row>
    <row r="70" spans="1:37" x14ac:dyDescent="0.25">
      <c r="A70" s="1">
        <v>46020</v>
      </c>
      <c r="B70" s="1">
        <v>46022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253</v>
      </c>
      <c r="J70" t="s">
        <v>254</v>
      </c>
      <c r="M70" t="s">
        <v>200</v>
      </c>
      <c r="O70" t="s">
        <v>240</v>
      </c>
      <c r="P70" t="s">
        <v>241</v>
      </c>
      <c r="Q70" t="s">
        <v>49</v>
      </c>
      <c r="R70" t="s">
        <v>237</v>
      </c>
      <c r="S70" s="1">
        <v>46023</v>
      </c>
      <c r="U70" t="s">
        <v>51</v>
      </c>
      <c r="X70" t="s">
        <v>52</v>
      </c>
      <c r="Y70" s="2">
        <v>0</v>
      </c>
      <c r="Z70" s="2">
        <v>25</v>
      </c>
      <c r="AA70">
        <v>1</v>
      </c>
      <c r="AB70" s="3">
        <v>1</v>
      </c>
      <c r="AC70" s="2">
        <v>25</v>
      </c>
      <c r="AD70" s="3">
        <v>0</v>
      </c>
      <c r="AE70" s="2">
        <v>0</v>
      </c>
      <c r="AF70" s="2">
        <v>25</v>
      </c>
      <c r="AK70">
        <v>6121348</v>
      </c>
    </row>
    <row r="71" spans="1:37" x14ac:dyDescent="0.25">
      <c r="A71" s="1">
        <v>46020</v>
      </c>
      <c r="B71" s="1">
        <v>46022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255</v>
      </c>
      <c r="J71" t="s">
        <v>256</v>
      </c>
      <c r="M71" t="s">
        <v>200</v>
      </c>
      <c r="O71" t="s">
        <v>240</v>
      </c>
      <c r="P71" t="s">
        <v>241</v>
      </c>
      <c r="Q71" t="s">
        <v>49</v>
      </c>
      <c r="R71" t="s">
        <v>237</v>
      </c>
      <c r="S71" s="1">
        <v>46023</v>
      </c>
      <c r="U71" t="s">
        <v>51</v>
      </c>
      <c r="X71" t="s">
        <v>52</v>
      </c>
      <c r="Y71" s="2">
        <v>0</v>
      </c>
      <c r="Z71" s="2">
        <v>25</v>
      </c>
      <c r="AA71">
        <v>1</v>
      </c>
      <c r="AB71" s="3">
        <v>1</v>
      </c>
      <c r="AC71" s="2">
        <v>25</v>
      </c>
      <c r="AD71" s="3">
        <v>0</v>
      </c>
      <c r="AE71" s="2">
        <v>0</v>
      </c>
      <c r="AF71" s="2">
        <v>25</v>
      </c>
      <c r="AK71">
        <v>6121350</v>
      </c>
    </row>
    <row r="72" spans="1:37" x14ac:dyDescent="0.25">
      <c r="A72" s="1">
        <v>46020</v>
      </c>
      <c r="B72" s="1">
        <v>46022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257</v>
      </c>
      <c r="J72" t="s">
        <v>258</v>
      </c>
      <c r="M72" t="s">
        <v>200</v>
      </c>
      <c r="O72" t="s">
        <v>240</v>
      </c>
      <c r="P72" t="s">
        <v>241</v>
      </c>
      <c r="Q72" t="s">
        <v>49</v>
      </c>
      <c r="R72" t="s">
        <v>237</v>
      </c>
      <c r="S72" s="1">
        <v>46023</v>
      </c>
      <c r="U72" t="s">
        <v>51</v>
      </c>
      <c r="X72" t="s">
        <v>52</v>
      </c>
      <c r="Y72" s="2">
        <v>0</v>
      </c>
      <c r="Z72" s="2">
        <v>25</v>
      </c>
      <c r="AA72">
        <v>1</v>
      </c>
      <c r="AB72" s="3">
        <v>1</v>
      </c>
      <c r="AC72" s="2">
        <v>25</v>
      </c>
      <c r="AD72" s="3">
        <v>0</v>
      </c>
      <c r="AE72" s="2">
        <v>0</v>
      </c>
      <c r="AF72" s="2">
        <v>25</v>
      </c>
      <c r="AK72">
        <v>6121392</v>
      </c>
    </row>
    <row r="73" spans="1:37" x14ac:dyDescent="0.25">
      <c r="A73" s="1">
        <v>46020</v>
      </c>
      <c r="B73" s="1">
        <v>46022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259</v>
      </c>
      <c r="J73" t="s">
        <v>260</v>
      </c>
      <c r="M73" t="s">
        <v>200</v>
      </c>
      <c r="O73" t="s">
        <v>240</v>
      </c>
      <c r="P73" t="s">
        <v>241</v>
      </c>
      <c r="Q73" t="s">
        <v>49</v>
      </c>
      <c r="R73" t="s">
        <v>237</v>
      </c>
      <c r="S73" s="1">
        <v>46023</v>
      </c>
      <c r="U73" t="s">
        <v>51</v>
      </c>
      <c r="X73" t="s">
        <v>52</v>
      </c>
      <c r="Y73" s="2">
        <v>0</v>
      </c>
      <c r="Z73" s="2">
        <v>25</v>
      </c>
      <c r="AA73">
        <v>1</v>
      </c>
      <c r="AB73" s="3">
        <v>1</v>
      </c>
      <c r="AC73" s="2">
        <v>25</v>
      </c>
      <c r="AD73" s="3">
        <v>0</v>
      </c>
      <c r="AE73" s="2">
        <v>0</v>
      </c>
      <c r="AF73" s="2">
        <v>25</v>
      </c>
      <c r="AK73">
        <v>6121393</v>
      </c>
    </row>
    <row r="74" spans="1:37" x14ac:dyDescent="0.25">
      <c r="A74" s="1">
        <v>46020</v>
      </c>
      <c r="B74" s="1">
        <v>46022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261</v>
      </c>
      <c r="J74" t="s">
        <v>262</v>
      </c>
      <c r="M74" t="s">
        <v>100</v>
      </c>
      <c r="O74" t="s">
        <v>88</v>
      </c>
      <c r="P74" t="s">
        <v>89</v>
      </c>
      <c r="Q74" t="s">
        <v>49</v>
      </c>
      <c r="R74" t="s">
        <v>237</v>
      </c>
      <c r="S74" s="1">
        <v>46023</v>
      </c>
      <c r="U74" t="s">
        <v>51</v>
      </c>
      <c r="X74" t="s">
        <v>52</v>
      </c>
      <c r="Y74" s="2">
        <v>0</v>
      </c>
      <c r="Z74" s="2">
        <v>25</v>
      </c>
      <c r="AA74">
        <v>1</v>
      </c>
      <c r="AB74" s="3">
        <v>1</v>
      </c>
      <c r="AC74" s="2">
        <v>25</v>
      </c>
      <c r="AD74" s="3">
        <v>0</v>
      </c>
      <c r="AE74" s="2">
        <v>0</v>
      </c>
      <c r="AF74" s="2">
        <v>25</v>
      </c>
      <c r="AK74">
        <v>6121396</v>
      </c>
    </row>
    <row r="75" spans="1:37" x14ac:dyDescent="0.25">
      <c r="A75" s="1">
        <v>46020</v>
      </c>
      <c r="B75" s="1">
        <v>46022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263</v>
      </c>
      <c r="J75" t="s">
        <v>264</v>
      </c>
      <c r="M75" t="s">
        <v>59</v>
      </c>
      <c r="O75" t="s">
        <v>265</v>
      </c>
      <c r="P75" t="s">
        <v>266</v>
      </c>
      <c r="Q75" t="s">
        <v>49</v>
      </c>
      <c r="R75" t="s">
        <v>237</v>
      </c>
      <c r="S75" s="1">
        <v>46023</v>
      </c>
      <c r="U75" t="s">
        <v>51</v>
      </c>
      <c r="X75" t="s">
        <v>52</v>
      </c>
      <c r="Y75" s="2">
        <v>0</v>
      </c>
      <c r="Z75" s="2">
        <v>25</v>
      </c>
      <c r="AA75">
        <v>1</v>
      </c>
      <c r="AB75" s="3">
        <v>1</v>
      </c>
      <c r="AC75" s="2">
        <v>25</v>
      </c>
      <c r="AD75" s="3">
        <v>0</v>
      </c>
      <c r="AE75" s="2">
        <v>0</v>
      </c>
      <c r="AF75" s="2">
        <v>25</v>
      </c>
      <c r="AK75">
        <v>6121402</v>
      </c>
    </row>
    <row r="76" spans="1:37" x14ac:dyDescent="0.25">
      <c r="A76" s="1">
        <v>46020</v>
      </c>
      <c r="B76" s="1">
        <v>46022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267</v>
      </c>
      <c r="J76" t="s">
        <v>268</v>
      </c>
      <c r="M76" t="s">
        <v>200</v>
      </c>
      <c r="O76" t="s">
        <v>201</v>
      </c>
      <c r="P76" t="s">
        <v>202</v>
      </c>
      <c r="Q76" t="s">
        <v>49</v>
      </c>
      <c r="R76" t="s">
        <v>237</v>
      </c>
      <c r="S76" s="1">
        <v>46023</v>
      </c>
      <c r="U76" t="s">
        <v>51</v>
      </c>
      <c r="X76" t="s">
        <v>52</v>
      </c>
      <c r="Y76" s="2">
        <v>0</v>
      </c>
      <c r="Z76" s="2">
        <v>25</v>
      </c>
      <c r="AA76">
        <v>1</v>
      </c>
      <c r="AB76" s="3">
        <v>1</v>
      </c>
      <c r="AC76" s="2">
        <v>25</v>
      </c>
      <c r="AD76" s="3">
        <v>0</v>
      </c>
      <c r="AE76" s="2">
        <v>0</v>
      </c>
      <c r="AF76" s="2">
        <v>25</v>
      </c>
      <c r="AK76">
        <v>6121406</v>
      </c>
    </row>
    <row r="77" spans="1:37" x14ac:dyDescent="0.25">
      <c r="A77" s="1">
        <v>46020</v>
      </c>
      <c r="B77" s="1">
        <v>46022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269</v>
      </c>
      <c r="J77" t="s">
        <v>270</v>
      </c>
      <c r="M77" t="s">
        <v>200</v>
      </c>
      <c r="O77" t="s">
        <v>201</v>
      </c>
      <c r="P77" t="s">
        <v>202</v>
      </c>
      <c r="Q77" t="s">
        <v>49</v>
      </c>
      <c r="R77" t="s">
        <v>244</v>
      </c>
      <c r="S77" s="1">
        <v>46023</v>
      </c>
      <c r="U77" t="s">
        <v>51</v>
      </c>
      <c r="X77" t="s">
        <v>52</v>
      </c>
      <c r="Y77" s="2">
        <v>0</v>
      </c>
      <c r="Z77" s="2">
        <v>15</v>
      </c>
      <c r="AA77">
        <v>1</v>
      </c>
      <c r="AB77" s="3">
        <v>1</v>
      </c>
      <c r="AC77" s="2">
        <v>15</v>
      </c>
      <c r="AD77" s="3">
        <v>0</v>
      </c>
      <c r="AE77" s="2">
        <v>0</v>
      </c>
      <c r="AF77" s="2">
        <v>15</v>
      </c>
      <c r="AK77">
        <v>6121408</v>
      </c>
    </row>
    <row r="78" spans="1:37" x14ac:dyDescent="0.25">
      <c r="A78" s="1">
        <v>46020</v>
      </c>
      <c r="B78" s="1">
        <v>46022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271</v>
      </c>
      <c r="J78" t="s">
        <v>272</v>
      </c>
      <c r="M78" t="s">
        <v>145</v>
      </c>
      <c r="O78" t="s">
        <v>146</v>
      </c>
      <c r="P78" t="s">
        <v>147</v>
      </c>
      <c r="Q78" t="s">
        <v>49</v>
      </c>
      <c r="R78" t="s">
        <v>237</v>
      </c>
      <c r="S78" s="1">
        <v>46023</v>
      </c>
      <c r="U78" t="s">
        <v>51</v>
      </c>
      <c r="X78" t="s">
        <v>52</v>
      </c>
      <c r="Y78" s="2">
        <v>0</v>
      </c>
      <c r="Z78" s="2">
        <v>25</v>
      </c>
      <c r="AA78">
        <v>1</v>
      </c>
      <c r="AB78" s="3">
        <v>1</v>
      </c>
      <c r="AC78" s="2">
        <v>25</v>
      </c>
      <c r="AD78" s="3">
        <v>0</v>
      </c>
      <c r="AE78" s="2">
        <v>0</v>
      </c>
      <c r="AF78" s="2">
        <v>25</v>
      </c>
      <c r="AK78">
        <v>6121411</v>
      </c>
    </row>
    <row r="79" spans="1:37" x14ac:dyDescent="0.25">
      <c r="A79" s="1">
        <v>46020</v>
      </c>
      <c r="B79" s="1">
        <v>46022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273</v>
      </c>
      <c r="J79" t="s">
        <v>274</v>
      </c>
      <c r="M79" t="s">
        <v>200</v>
      </c>
      <c r="O79" t="s">
        <v>201</v>
      </c>
      <c r="P79" t="s">
        <v>202</v>
      </c>
      <c r="Q79" t="s">
        <v>49</v>
      </c>
      <c r="R79" t="s">
        <v>237</v>
      </c>
      <c r="S79" s="1">
        <v>46023</v>
      </c>
      <c r="U79" t="s">
        <v>51</v>
      </c>
      <c r="X79" t="s">
        <v>52</v>
      </c>
      <c r="Y79" s="2">
        <v>0</v>
      </c>
      <c r="Z79" s="2">
        <v>25</v>
      </c>
      <c r="AA79">
        <v>1</v>
      </c>
      <c r="AB79" s="3">
        <v>1</v>
      </c>
      <c r="AC79" s="2">
        <v>25</v>
      </c>
      <c r="AD79" s="3">
        <v>0</v>
      </c>
      <c r="AE79" s="2">
        <v>0</v>
      </c>
      <c r="AF79" s="2">
        <v>25</v>
      </c>
      <c r="AK79">
        <v>6121413</v>
      </c>
    </row>
    <row r="80" spans="1:37" x14ac:dyDescent="0.25">
      <c r="A80" s="1">
        <v>46020</v>
      </c>
      <c r="B80" s="1">
        <v>46022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275</v>
      </c>
      <c r="J80" t="s">
        <v>276</v>
      </c>
      <c r="M80" t="s">
        <v>200</v>
      </c>
      <c r="O80" t="s">
        <v>201</v>
      </c>
      <c r="P80" t="s">
        <v>202</v>
      </c>
      <c r="Q80" t="s">
        <v>49</v>
      </c>
      <c r="R80" t="s">
        <v>237</v>
      </c>
      <c r="S80" s="1">
        <v>46023</v>
      </c>
      <c r="U80" t="s">
        <v>51</v>
      </c>
      <c r="X80" t="s">
        <v>52</v>
      </c>
      <c r="Y80" s="2">
        <v>0</v>
      </c>
      <c r="Z80" s="2">
        <v>25</v>
      </c>
      <c r="AA80">
        <v>1</v>
      </c>
      <c r="AB80" s="3">
        <v>1</v>
      </c>
      <c r="AC80" s="2">
        <v>25</v>
      </c>
      <c r="AD80" s="3">
        <v>0</v>
      </c>
      <c r="AE80" s="2">
        <v>0</v>
      </c>
      <c r="AF80" s="2">
        <v>25</v>
      </c>
      <c r="AK80">
        <v>6121418</v>
      </c>
    </row>
    <row r="81" spans="1:38" x14ac:dyDescent="0.25">
      <c r="A81" s="1">
        <v>46020</v>
      </c>
      <c r="B81" s="1">
        <v>46022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277</v>
      </c>
      <c r="J81" t="s">
        <v>278</v>
      </c>
      <c r="M81" t="s">
        <v>200</v>
      </c>
      <c r="O81" t="s">
        <v>201</v>
      </c>
      <c r="P81" t="s">
        <v>202</v>
      </c>
      <c r="Q81" t="s">
        <v>49</v>
      </c>
      <c r="R81" t="s">
        <v>237</v>
      </c>
      <c r="S81" s="1">
        <v>46023</v>
      </c>
      <c r="U81" t="s">
        <v>51</v>
      </c>
      <c r="X81" t="s">
        <v>52</v>
      </c>
      <c r="Y81" s="2">
        <v>0</v>
      </c>
      <c r="Z81" s="2">
        <v>25</v>
      </c>
      <c r="AA81">
        <v>1</v>
      </c>
      <c r="AB81" s="3">
        <v>1</v>
      </c>
      <c r="AC81" s="2">
        <v>25</v>
      </c>
      <c r="AD81" s="3">
        <v>0</v>
      </c>
      <c r="AE81" s="2">
        <v>0</v>
      </c>
      <c r="AF81" s="2">
        <v>25</v>
      </c>
      <c r="AK81">
        <v>6121421</v>
      </c>
    </row>
    <row r="82" spans="1:38" x14ac:dyDescent="0.25">
      <c r="A82" s="1">
        <v>46020</v>
      </c>
      <c r="B82" s="1">
        <v>46022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279</v>
      </c>
      <c r="J82" t="s">
        <v>280</v>
      </c>
      <c r="M82" t="s">
        <v>200</v>
      </c>
      <c r="O82" t="s">
        <v>281</v>
      </c>
      <c r="P82" t="s">
        <v>282</v>
      </c>
      <c r="Q82" t="s">
        <v>49</v>
      </c>
      <c r="R82" t="s">
        <v>244</v>
      </c>
      <c r="S82" s="1">
        <v>46023</v>
      </c>
      <c r="U82" t="s">
        <v>51</v>
      </c>
      <c r="X82" t="s">
        <v>52</v>
      </c>
      <c r="Y82" s="2">
        <v>0</v>
      </c>
      <c r="Z82" s="2">
        <v>15</v>
      </c>
      <c r="AA82">
        <v>1</v>
      </c>
      <c r="AB82" s="3">
        <v>1</v>
      </c>
      <c r="AC82" s="2">
        <v>15</v>
      </c>
      <c r="AD82" s="3">
        <v>0</v>
      </c>
      <c r="AE82" s="2">
        <v>0</v>
      </c>
      <c r="AF82" s="2">
        <v>15</v>
      </c>
      <c r="AK82">
        <v>6121424</v>
      </c>
    </row>
    <row r="83" spans="1:38" x14ac:dyDescent="0.25">
      <c r="A83" s="1">
        <v>46020</v>
      </c>
      <c r="B83" s="1">
        <v>46022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283</v>
      </c>
      <c r="J83" t="s">
        <v>284</v>
      </c>
      <c r="M83" t="s">
        <v>145</v>
      </c>
      <c r="O83" t="s">
        <v>285</v>
      </c>
      <c r="P83" t="s">
        <v>286</v>
      </c>
      <c r="Q83" t="s">
        <v>49</v>
      </c>
      <c r="R83" t="s">
        <v>237</v>
      </c>
      <c r="S83" s="1">
        <v>46023</v>
      </c>
      <c r="U83" t="s">
        <v>51</v>
      </c>
      <c r="X83" t="s">
        <v>52</v>
      </c>
      <c r="Y83" s="2">
        <v>0</v>
      </c>
      <c r="Z83" s="2">
        <v>25</v>
      </c>
      <c r="AA83">
        <v>1</v>
      </c>
      <c r="AB83" s="3">
        <v>1</v>
      </c>
      <c r="AC83" s="2">
        <v>25</v>
      </c>
      <c r="AD83" s="3">
        <v>0</v>
      </c>
      <c r="AE83" s="2">
        <v>0</v>
      </c>
      <c r="AF83" s="2">
        <v>25</v>
      </c>
      <c r="AK83">
        <v>6121425</v>
      </c>
    </row>
    <row r="84" spans="1:38" x14ac:dyDescent="0.25">
      <c r="A84" s="1">
        <v>46020</v>
      </c>
      <c r="B84" s="1">
        <v>46022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287</v>
      </c>
      <c r="J84" t="s">
        <v>288</v>
      </c>
      <c r="M84" t="s">
        <v>59</v>
      </c>
      <c r="O84" t="s">
        <v>129</v>
      </c>
      <c r="P84" t="s">
        <v>130</v>
      </c>
      <c r="Q84" t="s">
        <v>49</v>
      </c>
      <c r="R84" t="s">
        <v>237</v>
      </c>
      <c r="S84" s="1">
        <v>46023</v>
      </c>
      <c r="U84" t="s">
        <v>51</v>
      </c>
      <c r="X84" t="s">
        <v>52</v>
      </c>
      <c r="Y84" s="2">
        <v>0</v>
      </c>
      <c r="Z84" s="2">
        <v>25</v>
      </c>
      <c r="AA84">
        <v>1</v>
      </c>
      <c r="AB84" s="3">
        <v>1</v>
      </c>
      <c r="AC84" s="2">
        <v>25</v>
      </c>
      <c r="AD84" s="3">
        <v>0</v>
      </c>
      <c r="AE84" s="2">
        <v>0</v>
      </c>
      <c r="AF84" s="2">
        <v>25</v>
      </c>
      <c r="AK84">
        <v>6121435</v>
      </c>
    </row>
    <row r="85" spans="1:38" x14ac:dyDescent="0.25">
      <c r="A85" s="1">
        <v>46020</v>
      </c>
      <c r="B85" s="1">
        <v>46022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289</v>
      </c>
      <c r="J85" t="s">
        <v>290</v>
      </c>
      <c r="M85" t="s">
        <v>59</v>
      </c>
      <c r="O85" t="s">
        <v>65</v>
      </c>
      <c r="P85" t="s">
        <v>66</v>
      </c>
      <c r="Q85" t="s">
        <v>49</v>
      </c>
      <c r="R85" t="s">
        <v>237</v>
      </c>
      <c r="S85" s="1">
        <v>46023</v>
      </c>
      <c r="U85" t="s">
        <v>51</v>
      </c>
      <c r="X85" t="s">
        <v>52</v>
      </c>
      <c r="Y85" s="2">
        <v>0</v>
      </c>
      <c r="Z85" s="2">
        <v>25</v>
      </c>
      <c r="AA85">
        <v>1</v>
      </c>
      <c r="AB85" s="3">
        <v>1</v>
      </c>
      <c r="AC85" s="2">
        <v>25</v>
      </c>
      <c r="AD85" s="3">
        <v>0</v>
      </c>
      <c r="AE85" s="2">
        <v>0</v>
      </c>
      <c r="AF85" s="2">
        <v>25</v>
      </c>
      <c r="AK85">
        <v>6121436</v>
      </c>
    </row>
    <row r="86" spans="1:38" x14ac:dyDescent="0.25">
      <c r="A86" s="1">
        <v>46020</v>
      </c>
      <c r="B86" s="1">
        <v>46022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291</v>
      </c>
      <c r="J86" t="s">
        <v>292</v>
      </c>
      <c r="M86" t="s">
        <v>59</v>
      </c>
      <c r="O86" t="s">
        <v>65</v>
      </c>
      <c r="P86" t="s">
        <v>66</v>
      </c>
      <c r="Q86" t="s">
        <v>49</v>
      </c>
      <c r="R86" t="s">
        <v>237</v>
      </c>
      <c r="S86" s="1">
        <v>46023</v>
      </c>
      <c r="U86" t="s">
        <v>51</v>
      </c>
      <c r="X86" t="s">
        <v>52</v>
      </c>
      <c r="Y86" s="2">
        <v>0</v>
      </c>
      <c r="Z86" s="2">
        <v>25</v>
      </c>
      <c r="AA86">
        <v>1</v>
      </c>
      <c r="AB86" s="3">
        <v>1</v>
      </c>
      <c r="AC86" s="2">
        <v>25</v>
      </c>
      <c r="AD86" s="3">
        <v>0</v>
      </c>
      <c r="AE86" s="2">
        <v>0</v>
      </c>
      <c r="AF86" s="2">
        <v>25</v>
      </c>
      <c r="AK86">
        <v>6121437</v>
      </c>
    </row>
    <row r="87" spans="1:38" x14ac:dyDescent="0.25">
      <c r="A87" s="1">
        <v>46020</v>
      </c>
      <c r="B87" s="1">
        <v>46022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293</v>
      </c>
      <c r="J87" t="s">
        <v>294</v>
      </c>
      <c r="M87" t="s">
        <v>59</v>
      </c>
      <c r="O87" t="s">
        <v>188</v>
      </c>
      <c r="P87" t="s">
        <v>189</v>
      </c>
      <c r="Q87" t="s">
        <v>49</v>
      </c>
      <c r="R87" t="s">
        <v>237</v>
      </c>
      <c r="S87" s="1">
        <v>46023</v>
      </c>
      <c r="U87" t="s">
        <v>51</v>
      </c>
      <c r="X87" t="s">
        <v>52</v>
      </c>
      <c r="Y87" s="2">
        <v>0</v>
      </c>
      <c r="Z87" s="2">
        <v>25</v>
      </c>
      <c r="AA87">
        <v>1</v>
      </c>
      <c r="AB87" s="3">
        <v>1</v>
      </c>
      <c r="AC87" s="2">
        <v>25</v>
      </c>
      <c r="AD87" s="3">
        <v>0</v>
      </c>
      <c r="AE87" s="2">
        <v>0</v>
      </c>
      <c r="AF87" s="2">
        <v>25</v>
      </c>
      <c r="AK87">
        <v>6121438</v>
      </c>
    </row>
    <row r="88" spans="1:38" x14ac:dyDescent="0.25">
      <c r="A88" s="1">
        <v>46020</v>
      </c>
      <c r="B88" s="1">
        <v>46022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295</v>
      </c>
      <c r="J88" t="s">
        <v>296</v>
      </c>
      <c r="M88" t="s">
        <v>59</v>
      </c>
      <c r="O88" t="s">
        <v>65</v>
      </c>
      <c r="P88" t="s">
        <v>66</v>
      </c>
      <c r="Q88" t="s">
        <v>49</v>
      </c>
      <c r="R88" t="s">
        <v>237</v>
      </c>
      <c r="S88" s="1">
        <v>46023</v>
      </c>
      <c r="U88" t="s">
        <v>51</v>
      </c>
      <c r="X88" t="s">
        <v>52</v>
      </c>
      <c r="Y88" s="2">
        <v>0</v>
      </c>
      <c r="Z88" s="2">
        <v>25</v>
      </c>
      <c r="AA88">
        <v>1</v>
      </c>
      <c r="AB88" s="3">
        <v>1</v>
      </c>
      <c r="AC88" s="2">
        <v>25</v>
      </c>
      <c r="AD88" s="3">
        <v>0</v>
      </c>
      <c r="AE88" s="2">
        <v>0</v>
      </c>
      <c r="AF88" s="2">
        <v>25</v>
      </c>
      <c r="AK88">
        <v>6121442</v>
      </c>
    </row>
    <row r="89" spans="1:38" x14ac:dyDescent="0.25">
      <c r="A89" s="1">
        <v>46020</v>
      </c>
      <c r="B89" s="1">
        <v>46022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297</v>
      </c>
      <c r="J89" t="s">
        <v>298</v>
      </c>
      <c r="M89" t="s">
        <v>59</v>
      </c>
      <c r="O89" t="s">
        <v>71</v>
      </c>
      <c r="P89" t="s">
        <v>72</v>
      </c>
      <c r="Q89" t="s">
        <v>49</v>
      </c>
      <c r="R89" t="s">
        <v>237</v>
      </c>
      <c r="S89" s="1">
        <v>46023</v>
      </c>
      <c r="U89" t="s">
        <v>51</v>
      </c>
      <c r="X89" t="s">
        <v>52</v>
      </c>
      <c r="Y89" s="2">
        <v>0</v>
      </c>
      <c r="Z89" s="2">
        <v>25</v>
      </c>
      <c r="AA89">
        <v>1</v>
      </c>
      <c r="AB89" s="3">
        <v>1</v>
      </c>
      <c r="AC89" s="2">
        <v>25</v>
      </c>
      <c r="AD89" s="3">
        <v>0</v>
      </c>
      <c r="AE89" s="2">
        <v>0</v>
      </c>
      <c r="AF89" s="2">
        <v>25</v>
      </c>
      <c r="AK89">
        <v>6121446</v>
      </c>
    </row>
    <row r="90" spans="1:38" x14ac:dyDescent="0.25">
      <c r="A90" s="1">
        <v>46020</v>
      </c>
      <c r="B90" s="1">
        <v>46022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299</v>
      </c>
      <c r="J90" t="s">
        <v>300</v>
      </c>
      <c r="M90" t="s">
        <v>145</v>
      </c>
      <c r="O90" t="s">
        <v>146</v>
      </c>
      <c r="P90" t="s">
        <v>147</v>
      </c>
      <c r="Q90" t="s">
        <v>49</v>
      </c>
      <c r="R90" t="s">
        <v>237</v>
      </c>
      <c r="S90" s="1">
        <v>46023</v>
      </c>
      <c r="U90" t="s">
        <v>51</v>
      </c>
      <c r="X90" t="s">
        <v>52</v>
      </c>
      <c r="Y90" s="2">
        <v>0</v>
      </c>
      <c r="Z90" s="2">
        <v>25</v>
      </c>
      <c r="AA90">
        <v>1</v>
      </c>
      <c r="AB90" s="3">
        <v>1</v>
      </c>
      <c r="AC90" s="2">
        <v>25</v>
      </c>
      <c r="AD90" s="3">
        <v>0</v>
      </c>
      <c r="AE90" s="2">
        <v>0</v>
      </c>
      <c r="AF90" s="2">
        <v>25</v>
      </c>
      <c r="AK90">
        <v>6121449</v>
      </c>
    </row>
    <row r="91" spans="1:38" x14ac:dyDescent="0.25">
      <c r="A91" s="1">
        <v>46020</v>
      </c>
      <c r="B91" s="1">
        <v>46022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301</v>
      </c>
      <c r="J91" t="s">
        <v>302</v>
      </c>
      <c r="M91" t="s">
        <v>303</v>
      </c>
      <c r="O91" t="s">
        <v>65</v>
      </c>
      <c r="P91" t="s">
        <v>66</v>
      </c>
      <c r="Q91" t="s">
        <v>49</v>
      </c>
      <c r="R91" t="s">
        <v>304</v>
      </c>
      <c r="S91" s="1">
        <v>45962</v>
      </c>
      <c r="U91" t="s">
        <v>51</v>
      </c>
      <c r="X91" t="s">
        <v>52</v>
      </c>
      <c r="Y91" s="2">
        <v>0</v>
      </c>
      <c r="Z91" s="2">
        <v>4.17</v>
      </c>
      <c r="AA91">
        <v>1</v>
      </c>
      <c r="AB91" s="3">
        <v>1</v>
      </c>
      <c r="AC91" s="2">
        <v>4.17</v>
      </c>
      <c r="AD91" s="3">
        <v>0</v>
      </c>
      <c r="AE91" s="2">
        <v>0</v>
      </c>
      <c r="AF91" s="2">
        <v>4.17</v>
      </c>
      <c r="AK91">
        <v>6122369</v>
      </c>
      <c r="AL91" t="s">
        <v>305</v>
      </c>
    </row>
    <row r="92" spans="1:38" x14ac:dyDescent="0.25">
      <c r="A92" s="1">
        <v>46020</v>
      </c>
      <c r="B92" s="1">
        <v>46022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306</v>
      </c>
      <c r="J92" t="s">
        <v>307</v>
      </c>
      <c r="M92" t="s">
        <v>150</v>
      </c>
      <c r="O92" t="s">
        <v>151</v>
      </c>
      <c r="P92" t="s">
        <v>152</v>
      </c>
      <c r="Q92" t="s">
        <v>49</v>
      </c>
      <c r="R92" t="s">
        <v>237</v>
      </c>
      <c r="S92" s="1">
        <v>46023</v>
      </c>
      <c r="U92" t="s">
        <v>51</v>
      </c>
      <c r="X92" t="s">
        <v>52</v>
      </c>
      <c r="Y92" s="2">
        <v>0</v>
      </c>
      <c r="Z92" s="2">
        <v>25</v>
      </c>
      <c r="AA92">
        <v>1</v>
      </c>
      <c r="AB92" s="3">
        <v>1</v>
      </c>
      <c r="AC92" s="2">
        <v>25</v>
      </c>
      <c r="AD92" s="3">
        <v>0</v>
      </c>
      <c r="AE92" s="2">
        <v>0</v>
      </c>
      <c r="AF92" s="2">
        <v>25</v>
      </c>
      <c r="AK92">
        <v>6121454</v>
      </c>
    </row>
    <row r="93" spans="1:38" x14ac:dyDescent="0.25">
      <c r="A93" s="1">
        <v>46020</v>
      </c>
      <c r="B93" s="1">
        <v>46022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308</v>
      </c>
      <c r="J93" t="s">
        <v>309</v>
      </c>
      <c r="M93" t="s">
        <v>46</v>
      </c>
      <c r="O93" t="s">
        <v>310</v>
      </c>
      <c r="P93" t="s">
        <v>311</v>
      </c>
      <c r="Q93" t="s">
        <v>49</v>
      </c>
      <c r="R93" t="s">
        <v>237</v>
      </c>
      <c r="S93" s="1">
        <v>46023</v>
      </c>
      <c r="U93" t="s">
        <v>51</v>
      </c>
      <c r="X93" t="s">
        <v>52</v>
      </c>
      <c r="Y93" s="2">
        <v>0</v>
      </c>
      <c r="Z93" s="2">
        <v>25</v>
      </c>
      <c r="AA93">
        <v>1</v>
      </c>
      <c r="AB93" s="3">
        <v>1</v>
      </c>
      <c r="AC93" s="2">
        <v>25</v>
      </c>
      <c r="AD93" s="3">
        <v>0</v>
      </c>
      <c r="AE93" s="2">
        <v>0</v>
      </c>
      <c r="AF93" s="2">
        <v>25</v>
      </c>
      <c r="AK93">
        <v>6121459</v>
      </c>
    </row>
    <row r="94" spans="1:38" x14ac:dyDescent="0.25">
      <c r="A94" s="1">
        <v>46020</v>
      </c>
      <c r="B94" s="1">
        <v>46022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312</v>
      </c>
      <c r="J94" t="s">
        <v>313</v>
      </c>
      <c r="M94" t="s">
        <v>59</v>
      </c>
      <c r="O94" t="s">
        <v>65</v>
      </c>
      <c r="P94" t="s">
        <v>66</v>
      </c>
      <c r="Q94" t="s">
        <v>49</v>
      </c>
      <c r="R94" t="s">
        <v>237</v>
      </c>
      <c r="S94" s="1">
        <v>46023</v>
      </c>
      <c r="U94" t="s">
        <v>51</v>
      </c>
      <c r="X94" t="s">
        <v>52</v>
      </c>
      <c r="Y94" s="2">
        <v>0</v>
      </c>
      <c r="Z94" s="2">
        <v>25</v>
      </c>
      <c r="AA94">
        <v>1</v>
      </c>
      <c r="AB94" s="3">
        <v>1</v>
      </c>
      <c r="AC94" s="2">
        <v>25</v>
      </c>
      <c r="AD94" s="3">
        <v>0</v>
      </c>
      <c r="AE94" s="2">
        <v>0</v>
      </c>
      <c r="AF94" s="2">
        <v>25</v>
      </c>
      <c r="AK94">
        <v>6121461</v>
      </c>
    </row>
    <row r="95" spans="1:38" x14ac:dyDescent="0.25">
      <c r="A95" s="1">
        <v>46020</v>
      </c>
      <c r="B95" s="1">
        <v>46022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314</v>
      </c>
      <c r="J95" t="s">
        <v>315</v>
      </c>
      <c r="M95" t="s">
        <v>200</v>
      </c>
      <c r="O95" t="s">
        <v>201</v>
      </c>
      <c r="P95" t="s">
        <v>202</v>
      </c>
      <c r="Q95" t="s">
        <v>49</v>
      </c>
      <c r="R95" t="s">
        <v>244</v>
      </c>
      <c r="S95" s="1">
        <v>46023</v>
      </c>
      <c r="U95" t="s">
        <v>51</v>
      </c>
      <c r="X95" t="s">
        <v>52</v>
      </c>
      <c r="Y95" s="2">
        <v>0</v>
      </c>
      <c r="Z95" s="2">
        <v>15</v>
      </c>
      <c r="AA95">
        <v>1</v>
      </c>
      <c r="AB95" s="3">
        <v>1</v>
      </c>
      <c r="AC95" s="2">
        <v>15</v>
      </c>
      <c r="AD95" s="3">
        <v>0</v>
      </c>
      <c r="AE95" s="2">
        <v>0</v>
      </c>
      <c r="AF95" s="2">
        <v>15</v>
      </c>
      <c r="AK95">
        <v>6121466</v>
      </c>
    </row>
    <row r="96" spans="1:38" x14ac:dyDescent="0.25">
      <c r="A96" s="1">
        <v>46020</v>
      </c>
      <c r="B96" s="1">
        <v>46022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316</v>
      </c>
      <c r="J96" t="s">
        <v>317</v>
      </c>
      <c r="M96" t="s">
        <v>59</v>
      </c>
      <c r="O96" t="s">
        <v>188</v>
      </c>
      <c r="P96" t="s">
        <v>189</v>
      </c>
      <c r="Q96" t="s">
        <v>49</v>
      </c>
      <c r="R96" t="s">
        <v>237</v>
      </c>
      <c r="S96" s="1">
        <v>46023</v>
      </c>
      <c r="U96" t="s">
        <v>51</v>
      </c>
      <c r="X96" t="s">
        <v>52</v>
      </c>
      <c r="Y96" s="2">
        <v>0</v>
      </c>
      <c r="Z96" s="2">
        <v>25</v>
      </c>
      <c r="AA96">
        <v>1</v>
      </c>
      <c r="AB96" s="3">
        <v>1</v>
      </c>
      <c r="AC96" s="2">
        <v>25</v>
      </c>
      <c r="AD96" s="3">
        <v>0</v>
      </c>
      <c r="AE96" s="2">
        <v>0</v>
      </c>
      <c r="AF96" s="2">
        <v>25</v>
      </c>
      <c r="AK96">
        <v>6121471</v>
      </c>
    </row>
    <row r="97" spans="1:37" x14ac:dyDescent="0.25">
      <c r="A97" s="1">
        <v>46020</v>
      </c>
      <c r="B97" s="1">
        <v>46022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318</v>
      </c>
      <c r="J97" t="s">
        <v>319</v>
      </c>
      <c r="M97" t="s">
        <v>320</v>
      </c>
      <c r="O97" t="s">
        <v>92</v>
      </c>
      <c r="P97" t="s">
        <v>93</v>
      </c>
      <c r="Q97" t="s">
        <v>49</v>
      </c>
      <c r="R97" t="s">
        <v>237</v>
      </c>
      <c r="S97" s="1">
        <v>46023</v>
      </c>
      <c r="U97" t="s">
        <v>51</v>
      </c>
      <c r="X97" t="s">
        <v>52</v>
      </c>
      <c r="Y97" s="2">
        <v>0</v>
      </c>
      <c r="Z97" s="2">
        <v>25</v>
      </c>
      <c r="AA97">
        <v>1</v>
      </c>
      <c r="AB97" s="3">
        <v>1</v>
      </c>
      <c r="AC97" s="2">
        <v>25</v>
      </c>
      <c r="AD97" s="3">
        <v>0</v>
      </c>
      <c r="AE97" s="2">
        <v>0</v>
      </c>
      <c r="AF97" s="2">
        <v>25</v>
      </c>
      <c r="AK97">
        <v>6121472</v>
      </c>
    </row>
    <row r="98" spans="1:37" x14ac:dyDescent="0.25">
      <c r="A98" s="1">
        <v>46020</v>
      </c>
      <c r="B98" s="1">
        <v>46022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321</v>
      </c>
      <c r="J98" t="s">
        <v>322</v>
      </c>
      <c r="M98" t="s">
        <v>200</v>
      </c>
      <c r="O98" t="s">
        <v>323</v>
      </c>
      <c r="P98" t="s">
        <v>324</v>
      </c>
      <c r="Q98" t="s">
        <v>49</v>
      </c>
      <c r="R98" t="s">
        <v>237</v>
      </c>
      <c r="S98" s="1">
        <v>46023</v>
      </c>
      <c r="U98" t="s">
        <v>51</v>
      </c>
      <c r="X98" t="s">
        <v>52</v>
      </c>
      <c r="Y98" s="2">
        <v>0</v>
      </c>
      <c r="Z98" s="2">
        <v>25</v>
      </c>
      <c r="AA98">
        <v>1</v>
      </c>
      <c r="AB98" s="3">
        <v>1</v>
      </c>
      <c r="AC98" s="2">
        <v>25</v>
      </c>
      <c r="AD98" s="3">
        <v>0</v>
      </c>
      <c r="AE98" s="2">
        <v>0</v>
      </c>
      <c r="AF98" s="2">
        <v>25</v>
      </c>
      <c r="AK98">
        <v>6121476</v>
      </c>
    </row>
    <row r="99" spans="1:37" x14ac:dyDescent="0.25">
      <c r="A99" s="1">
        <v>46020</v>
      </c>
      <c r="B99" s="1">
        <v>46022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325</v>
      </c>
      <c r="J99" t="s">
        <v>326</v>
      </c>
      <c r="M99" t="s">
        <v>200</v>
      </c>
      <c r="O99" t="s">
        <v>201</v>
      </c>
      <c r="P99" t="s">
        <v>202</v>
      </c>
      <c r="Q99" t="s">
        <v>49</v>
      </c>
      <c r="R99" t="s">
        <v>237</v>
      </c>
      <c r="S99" s="1">
        <v>46023</v>
      </c>
      <c r="U99" t="s">
        <v>51</v>
      </c>
      <c r="X99" t="s">
        <v>52</v>
      </c>
      <c r="Y99" s="2">
        <v>0</v>
      </c>
      <c r="Z99" s="2">
        <v>25</v>
      </c>
      <c r="AA99">
        <v>1</v>
      </c>
      <c r="AB99" s="3">
        <v>1</v>
      </c>
      <c r="AC99" s="2">
        <v>25</v>
      </c>
      <c r="AD99" s="3">
        <v>0</v>
      </c>
      <c r="AE99" s="2">
        <v>0</v>
      </c>
      <c r="AF99" s="2">
        <v>25</v>
      </c>
      <c r="AK99">
        <v>6121477</v>
      </c>
    </row>
    <row r="100" spans="1:37" x14ac:dyDescent="0.25">
      <c r="A100" s="1">
        <v>46020</v>
      </c>
      <c r="B100" s="1">
        <v>46022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327</v>
      </c>
      <c r="J100" t="s">
        <v>328</v>
      </c>
      <c r="M100" t="s">
        <v>59</v>
      </c>
      <c r="O100" t="s">
        <v>235</v>
      </c>
      <c r="P100" t="s">
        <v>236</v>
      </c>
      <c r="Q100" t="s">
        <v>49</v>
      </c>
      <c r="R100" t="s">
        <v>237</v>
      </c>
      <c r="S100" s="1">
        <v>46023</v>
      </c>
      <c r="U100" t="s">
        <v>51</v>
      </c>
      <c r="X100" t="s">
        <v>52</v>
      </c>
      <c r="Y100" s="2">
        <v>0</v>
      </c>
      <c r="Z100" s="2">
        <v>25</v>
      </c>
      <c r="AA100">
        <v>1</v>
      </c>
      <c r="AB100" s="3">
        <v>1</v>
      </c>
      <c r="AC100" s="2">
        <v>25</v>
      </c>
      <c r="AD100" s="3">
        <v>0</v>
      </c>
      <c r="AE100" s="2">
        <v>0</v>
      </c>
      <c r="AF100" s="2">
        <v>25</v>
      </c>
      <c r="AK100">
        <v>6121481</v>
      </c>
    </row>
    <row r="101" spans="1:37" x14ac:dyDescent="0.25">
      <c r="A101" s="1">
        <v>46020</v>
      </c>
      <c r="B101" s="1">
        <v>46022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329</v>
      </c>
      <c r="J101" t="s">
        <v>330</v>
      </c>
      <c r="M101" t="s">
        <v>200</v>
      </c>
      <c r="O101" t="s">
        <v>201</v>
      </c>
      <c r="P101" t="s">
        <v>202</v>
      </c>
      <c r="Q101" t="s">
        <v>49</v>
      </c>
      <c r="R101" t="s">
        <v>237</v>
      </c>
      <c r="S101" s="1">
        <v>46023</v>
      </c>
      <c r="U101" t="s">
        <v>51</v>
      </c>
      <c r="X101" t="s">
        <v>52</v>
      </c>
      <c r="Y101" s="2">
        <v>0</v>
      </c>
      <c r="Z101" s="2">
        <v>25</v>
      </c>
      <c r="AA101">
        <v>1</v>
      </c>
      <c r="AB101" s="3">
        <v>1</v>
      </c>
      <c r="AC101" s="2">
        <v>25</v>
      </c>
      <c r="AD101" s="3">
        <v>0</v>
      </c>
      <c r="AE101" s="2">
        <v>0</v>
      </c>
      <c r="AF101" s="2">
        <v>25</v>
      </c>
      <c r="AK101">
        <v>6121487</v>
      </c>
    </row>
    <row r="102" spans="1:37" x14ac:dyDescent="0.25">
      <c r="A102" s="1">
        <v>46020</v>
      </c>
      <c r="B102" s="1">
        <v>46022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331</v>
      </c>
      <c r="J102" t="s">
        <v>332</v>
      </c>
      <c r="M102" t="s">
        <v>59</v>
      </c>
      <c r="O102" t="s">
        <v>310</v>
      </c>
      <c r="P102" t="s">
        <v>311</v>
      </c>
      <c r="Q102" t="s">
        <v>49</v>
      </c>
      <c r="R102" t="s">
        <v>237</v>
      </c>
      <c r="S102" s="1">
        <v>46023</v>
      </c>
      <c r="U102" t="s">
        <v>51</v>
      </c>
      <c r="X102" t="s">
        <v>52</v>
      </c>
      <c r="Y102" s="2">
        <v>0</v>
      </c>
      <c r="Z102" s="2">
        <v>25</v>
      </c>
      <c r="AA102">
        <v>1</v>
      </c>
      <c r="AB102" s="3">
        <v>1</v>
      </c>
      <c r="AC102" s="2">
        <v>25</v>
      </c>
      <c r="AD102" s="3">
        <v>0</v>
      </c>
      <c r="AE102" s="2">
        <v>0</v>
      </c>
      <c r="AF102" s="2">
        <v>25</v>
      </c>
      <c r="AK102">
        <v>6121488</v>
      </c>
    </row>
    <row r="103" spans="1:37" x14ac:dyDescent="0.25">
      <c r="A103" s="1">
        <v>46020</v>
      </c>
      <c r="B103" s="1">
        <v>46022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333</v>
      </c>
      <c r="J103" t="s">
        <v>334</v>
      </c>
      <c r="M103" t="s">
        <v>145</v>
      </c>
      <c r="O103" t="s">
        <v>146</v>
      </c>
      <c r="P103" t="s">
        <v>147</v>
      </c>
      <c r="Q103" t="s">
        <v>49</v>
      </c>
      <c r="R103" t="s">
        <v>237</v>
      </c>
      <c r="S103" s="1">
        <v>46023</v>
      </c>
      <c r="U103" t="s">
        <v>51</v>
      </c>
      <c r="X103" t="s">
        <v>52</v>
      </c>
      <c r="Y103" s="2">
        <v>0</v>
      </c>
      <c r="Z103" s="2">
        <v>25</v>
      </c>
      <c r="AA103">
        <v>1</v>
      </c>
      <c r="AB103" s="3">
        <v>1</v>
      </c>
      <c r="AC103" s="2">
        <v>25</v>
      </c>
      <c r="AD103" s="3">
        <v>0</v>
      </c>
      <c r="AE103" s="2">
        <v>0</v>
      </c>
      <c r="AF103" s="2">
        <v>25</v>
      </c>
      <c r="AK103">
        <v>6121497</v>
      </c>
    </row>
    <row r="104" spans="1:37" x14ac:dyDescent="0.25">
      <c r="A104" s="1">
        <v>46020</v>
      </c>
      <c r="B104" s="1">
        <v>46022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335</v>
      </c>
      <c r="J104" t="s">
        <v>336</v>
      </c>
      <c r="M104" t="s">
        <v>200</v>
      </c>
      <c r="O104" t="s">
        <v>201</v>
      </c>
      <c r="P104" t="s">
        <v>202</v>
      </c>
      <c r="Q104" t="s">
        <v>49</v>
      </c>
      <c r="R104" t="s">
        <v>244</v>
      </c>
      <c r="S104" s="1">
        <v>46023</v>
      </c>
      <c r="U104" t="s">
        <v>51</v>
      </c>
      <c r="X104" t="s">
        <v>52</v>
      </c>
      <c r="Y104" s="2">
        <v>0</v>
      </c>
      <c r="Z104" s="2">
        <v>15</v>
      </c>
      <c r="AA104">
        <v>1</v>
      </c>
      <c r="AB104" s="3">
        <v>1</v>
      </c>
      <c r="AC104" s="2">
        <v>15</v>
      </c>
      <c r="AD104" s="3">
        <v>0</v>
      </c>
      <c r="AE104" s="2">
        <v>0</v>
      </c>
      <c r="AF104" s="2">
        <v>15</v>
      </c>
      <c r="AK104">
        <v>6121498</v>
      </c>
    </row>
    <row r="105" spans="1:37" x14ac:dyDescent="0.25">
      <c r="A105" s="1">
        <v>46020</v>
      </c>
      <c r="B105" s="1">
        <v>46022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337</v>
      </c>
      <c r="J105" t="s">
        <v>338</v>
      </c>
      <c r="M105" t="s">
        <v>200</v>
      </c>
      <c r="O105" t="s">
        <v>240</v>
      </c>
      <c r="P105" t="s">
        <v>241</v>
      </c>
      <c r="Q105" t="s">
        <v>101</v>
      </c>
      <c r="R105" t="s">
        <v>237</v>
      </c>
      <c r="S105" s="1">
        <v>46023</v>
      </c>
      <c r="U105" t="s">
        <v>51</v>
      </c>
      <c r="X105" t="s">
        <v>52</v>
      </c>
      <c r="Y105" s="2">
        <v>0</v>
      </c>
      <c r="Z105" s="2">
        <v>25</v>
      </c>
      <c r="AA105">
        <v>1</v>
      </c>
      <c r="AB105" s="3">
        <v>1</v>
      </c>
      <c r="AC105" s="2">
        <v>25</v>
      </c>
      <c r="AD105" s="3">
        <v>0</v>
      </c>
      <c r="AE105" s="2">
        <v>0</v>
      </c>
      <c r="AF105" s="2">
        <v>25</v>
      </c>
      <c r="AK105">
        <v>6121500</v>
      </c>
    </row>
    <row r="106" spans="1:37" x14ac:dyDescent="0.25">
      <c r="A106" s="1">
        <v>46020</v>
      </c>
      <c r="B106" s="1">
        <v>46022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339</v>
      </c>
      <c r="J106" t="s">
        <v>340</v>
      </c>
      <c r="M106" t="s">
        <v>341</v>
      </c>
      <c r="O106" t="s">
        <v>129</v>
      </c>
      <c r="P106" t="s">
        <v>130</v>
      </c>
      <c r="Q106" t="s">
        <v>49</v>
      </c>
      <c r="R106" t="s">
        <v>237</v>
      </c>
      <c r="S106" s="1">
        <v>46023</v>
      </c>
      <c r="U106" t="s">
        <v>51</v>
      </c>
      <c r="X106" t="s">
        <v>52</v>
      </c>
      <c r="Y106" s="2">
        <v>0</v>
      </c>
      <c r="Z106" s="2">
        <v>25</v>
      </c>
      <c r="AA106">
        <v>1</v>
      </c>
      <c r="AB106" s="3">
        <v>1</v>
      </c>
      <c r="AC106" s="2">
        <v>25</v>
      </c>
      <c r="AD106" s="3">
        <v>0</v>
      </c>
      <c r="AE106" s="2">
        <v>0</v>
      </c>
      <c r="AF106" s="2">
        <v>25</v>
      </c>
      <c r="AK106">
        <v>6121503</v>
      </c>
    </row>
    <row r="107" spans="1:37" x14ac:dyDescent="0.25">
      <c r="A107" s="1">
        <v>46020</v>
      </c>
      <c r="B107" s="1">
        <v>46022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342</v>
      </c>
      <c r="J107" t="s">
        <v>343</v>
      </c>
      <c r="M107" t="s">
        <v>200</v>
      </c>
      <c r="O107" t="s">
        <v>344</v>
      </c>
      <c r="P107" t="s">
        <v>345</v>
      </c>
      <c r="Q107" t="s">
        <v>49</v>
      </c>
      <c r="R107" t="s">
        <v>237</v>
      </c>
      <c r="S107" s="1">
        <v>46023</v>
      </c>
      <c r="U107" t="s">
        <v>51</v>
      </c>
      <c r="X107" t="s">
        <v>52</v>
      </c>
      <c r="Y107" s="2">
        <v>0</v>
      </c>
      <c r="Z107" s="2">
        <v>25</v>
      </c>
      <c r="AA107">
        <v>1</v>
      </c>
      <c r="AB107" s="3">
        <v>1</v>
      </c>
      <c r="AC107" s="2">
        <v>25</v>
      </c>
      <c r="AD107" s="3">
        <v>0</v>
      </c>
      <c r="AE107" s="2">
        <v>0</v>
      </c>
      <c r="AF107" s="2">
        <v>25</v>
      </c>
      <c r="AK107">
        <v>6121506</v>
      </c>
    </row>
    <row r="108" spans="1:37" x14ac:dyDescent="0.25">
      <c r="A108" s="1">
        <v>46020</v>
      </c>
      <c r="B108" s="1">
        <v>46022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346</v>
      </c>
      <c r="J108" t="s">
        <v>347</v>
      </c>
      <c r="M108" t="s">
        <v>59</v>
      </c>
      <c r="O108" t="s">
        <v>71</v>
      </c>
      <c r="P108" t="s">
        <v>72</v>
      </c>
      <c r="Q108" t="s">
        <v>49</v>
      </c>
      <c r="R108" t="s">
        <v>237</v>
      </c>
      <c r="S108" s="1">
        <v>46023</v>
      </c>
      <c r="U108" t="s">
        <v>51</v>
      </c>
      <c r="X108" t="s">
        <v>52</v>
      </c>
      <c r="Y108" s="2">
        <v>0</v>
      </c>
      <c r="Z108" s="2">
        <v>25</v>
      </c>
      <c r="AA108">
        <v>1</v>
      </c>
      <c r="AB108" s="3">
        <v>1</v>
      </c>
      <c r="AC108" s="2">
        <v>25</v>
      </c>
      <c r="AD108" s="3">
        <v>0</v>
      </c>
      <c r="AE108" s="2">
        <v>0</v>
      </c>
      <c r="AF108" s="2">
        <v>25</v>
      </c>
      <c r="AK108">
        <v>6121511</v>
      </c>
    </row>
    <row r="109" spans="1:37" x14ac:dyDescent="0.25">
      <c r="A109" s="1">
        <v>46020</v>
      </c>
      <c r="B109" s="1">
        <v>46022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348</v>
      </c>
      <c r="J109" t="s">
        <v>349</v>
      </c>
      <c r="M109" t="s">
        <v>200</v>
      </c>
      <c r="O109" t="s">
        <v>201</v>
      </c>
      <c r="P109" t="s">
        <v>202</v>
      </c>
      <c r="Q109" t="s">
        <v>49</v>
      </c>
      <c r="R109" t="s">
        <v>244</v>
      </c>
      <c r="S109" s="1">
        <v>46023</v>
      </c>
      <c r="U109" t="s">
        <v>51</v>
      </c>
      <c r="X109" t="s">
        <v>52</v>
      </c>
      <c r="Y109" s="2">
        <v>0</v>
      </c>
      <c r="Z109" s="2">
        <v>15</v>
      </c>
      <c r="AA109">
        <v>1</v>
      </c>
      <c r="AB109" s="3">
        <v>1</v>
      </c>
      <c r="AC109" s="2">
        <v>15</v>
      </c>
      <c r="AD109" s="3">
        <v>0</v>
      </c>
      <c r="AE109" s="2">
        <v>0</v>
      </c>
      <c r="AF109" s="2">
        <v>15</v>
      </c>
      <c r="AK109">
        <v>6121517</v>
      </c>
    </row>
    <row r="110" spans="1:37" x14ac:dyDescent="0.25">
      <c r="A110" s="1">
        <v>46020</v>
      </c>
      <c r="B110" s="1">
        <v>46022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350</v>
      </c>
      <c r="J110" t="s">
        <v>351</v>
      </c>
      <c r="M110" t="s">
        <v>59</v>
      </c>
      <c r="O110" t="s">
        <v>65</v>
      </c>
      <c r="P110" t="s">
        <v>66</v>
      </c>
      <c r="Q110" t="s">
        <v>49</v>
      </c>
      <c r="R110" t="s">
        <v>244</v>
      </c>
      <c r="S110" s="1">
        <v>46023</v>
      </c>
      <c r="U110" t="s">
        <v>51</v>
      </c>
      <c r="X110" t="s">
        <v>52</v>
      </c>
      <c r="Y110" s="2">
        <v>0</v>
      </c>
      <c r="Z110" s="2">
        <v>15</v>
      </c>
      <c r="AA110">
        <v>1</v>
      </c>
      <c r="AB110" s="3">
        <v>1</v>
      </c>
      <c r="AC110" s="2">
        <v>15</v>
      </c>
      <c r="AD110" s="3">
        <v>0</v>
      </c>
      <c r="AE110" s="2">
        <v>0</v>
      </c>
      <c r="AF110" s="2">
        <v>15</v>
      </c>
      <c r="AK110">
        <v>6121518</v>
      </c>
    </row>
    <row r="111" spans="1:37" x14ac:dyDescent="0.25">
      <c r="A111" s="1">
        <v>46020</v>
      </c>
      <c r="B111" s="1">
        <v>46022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352</v>
      </c>
      <c r="J111" t="s">
        <v>353</v>
      </c>
      <c r="M111" t="s">
        <v>59</v>
      </c>
      <c r="O111" t="s">
        <v>354</v>
      </c>
      <c r="P111" t="s">
        <v>355</v>
      </c>
      <c r="Q111" t="s">
        <v>49</v>
      </c>
      <c r="R111" t="s">
        <v>237</v>
      </c>
      <c r="S111" s="1">
        <v>46023</v>
      </c>
      <c r="U111" t="s">
        <v>51</v>
      </c>
      <c r="X111" t="s">
        <v>52</v>
      </c>
      <c r="Y111" s="2">
        <v>0</v>
      </c>
      <c r="Z111" s="2">
        <v>25</v>
      </c>
      <c r="AA111">
        <v>1</v>
      </c>
      <c r="AB111" s="3">
        <v>1</v>
      </c>
      <c r="AC111" s="2">
        <v>25</v>
      </c>
      <c r="AD111" s="3">
        <v>0</v>
      </c>
      <c r="AE111" s="2">
        <v>0</v>
      </c>
      <c r="AF111" s="2">
        <v>25</v>
      </c>
      <c r="AK111">
        <v>6121519</v>
      </c>
    </row>
    <row r="112" spans="1:37" x14ac:dyDescent="0.25">
      <c r="A112" s="1">
        <v>46020</v>
      </c>
      <c r="B112" s="1">
        <v>46022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356</v>
      </c>
      <c r="J112" t="s">
        <v>357</v>
      </c>
      <c r="M112" t="s">
        <v>200</v>
      </c>
      <c r="O112" t="s">
        <v>240</v>
      </c>
      <c r="P112" t="s">
        <v>241</v>
      </c>
      <c r="Q112" t="s">
        <v>49</v>
      </c>
      <c r="R112" t="s">
        <v>237</v>
      </c>
      <c r="S112" s="1">
        <v>46023</v>
      </c>
      <c r="U112" t="s">
        <v>51</v>
      </c>
      <c r="X112" t="s">
        <v>52</v>
      </c>
      <c r="Y112" s="2">
        <v>0</v>
      </c>
      <c r="Z112" s="2">
        <v>25</v>
      </c>
      <c r="AA112">
        <v>1</v>
      </c>
      <c r="AB112" s="3">
        <v>1</v>
      </c>
      <c r="AC112" s="2">
        <v>25</v>
      </c>
      <c r="AD112" s="3">
        <v>0</v>
      </c>
      <c r="AE112" s="2">
        <v>0</v>
      </c>
      <c r="AF112" s="2">
        <v>25</v>
      </c>
      <c r="AK112">
        <v>6121523</v>
      </c>
    </row>
    <row r="113" spans="1:37" x14ac:dyDescent="0.25">
      <c r="A113" s="1">
        <v>46020</v>
      </c>
      <c r="B113" s="1">
        <v>46022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358</v>
      </c>
      <c r="J113" t="s">
        <v>359</v>
      </c>
      <c r="M113" t="s">
        <v>360</v>
      </c>
      <c r="O113" t="s">
        <v>361</v>
      </c>
      <c r="P113" t="s">
        <v>362</v>
      </c>
      <c r="Q113" t="s">
        <v>49</v>
      </c>
      <c r="R113" t="s">
        <v>237</v>
      </c>
      <c r="S113" s="1">
        <v>46023</v>
      </c>
      <c r="U113" t="s">
        <v>51</v>
      </c>
      <c r="X113" t="s">
        <v>52</v>
      </c>
      <c r="Y113" s="2">
        <v>0</v>
      </c>
      <c r="Z113" s="2">
        <v>25</v>
      </c>
      <c r="AA113">
        <v>1</v>
      </c>
      <c r="AB113" s="3">
        <v>1</v>
      </c>
      <c r="AC113" s="2">
        <v>25</v>
      </c>
      <c r="AD113" s="3">
        <v>0</v>
      </c>
      <c r="AE113" s="2">
        <v>0</v>
      </c>
      <c r="AF113" s="2">
        <v>25</v>
      </c>
      <c r="AK113">
        <v>6122371</v>
      </c>
    </row>
    <row r="114" spans="1:37" x14ac:dyDescent="0.25">
      <c r="A114" s="1">
        <v>46020</v>
      </c>
      <c r="B114" s="1">
        <v>46022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363</v>
      </c>
      <c r="J114" t="s">
        <v>364</v>
      </c>
      <c r="M114" t="s">
        <v>200</v>
      </c>
      <c r="O114" t="s">
        <v>201</v>
      </c>
      <c r="P114" t="s">
        <v>202</v>
      </c>
      <c r="Q114" t="s">
        <v>49</v>
      </c>
      <c r="R114" t="s">
        <v>237</v>
      </c>
      <c r="S114" s="1">
        <v>46023</v>
      </c>
      <c r="U114" t="s">
        <v>51</v>
      </c>
      <c r="X114" t="s">
        <v>52</v>
      </c>
      <c r="Y114" s="2">
        <v>0</v>
      </c>
      <c r="Z114" s="2">
        <v>25</v>
      </c>
      <c r="AA114">
        <v>1</v>
      </c>
      <c r="AB114" s="3">
        <v>1</v>
      </c>
      <c r="AC114" s="2">
        <v>25</v>
      </c>
      <c r="AD114" s="3">
        <v>0</v>
      </c>
      <c r="AE114" s="2">
        <v>0</v>
      </c>
      <c r="AF114" s="2">
        <v>25</v>
      </c>
      <c r="AK114">
        <v>6121541</v>
      </c>
    </row>
    <row r="115" spans="1:37" x14ac:dyDescent="0.25">
      <c r="A115" s="1">
        <v>46020</v>
      </c>
      <c r="B115" s="1">
        <v>46022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365</v>
      </c>
      <c r="J115" t="s">
        <v>366</v>
      </c>
      <c r="M115" t="s">
        <v>200</v>
      </c>
      <c r="O115" t="s">
        <v>201</v>
      </c>
      <c r="P115" t="s">
        <v>202</v>
      </c>
      <c r="Q115" t="s">
        <v>49</v>
      </c>
      <c r="R115" t="s">
        <v>237</v>
      </c>
      <c r="S115" s="1">
        <v>46023</v>
      </c>
      <c r="U115" t="s">
        <v>51</v>
      </c>
      <c r="X115" t="s">
        <v>52</v>
      </c>
      <c r="Y115" s="2">
        <v>0</v>
      </c>
      <c r="Z115" s="2">
        <v>25</v>
      </c>
      <c r="AA115">
        <v>1</v>
      </c>
      <c r="AB115" s="3">
        <v>1</v>
      </c>
      <c r="AC115" s="2">
        <v>25</v>
      </c>
      <c r="AD115" s="3">
        <v>0</v>
      </c>
      <c r="AE115" s="2">
        <v>0</v>
      </c>
      <c r="AF115" s="2">
        <v>25</v>
      </c>
      <c r="AK115">
        <v>6121543</v>
      </c>
    </row>
    <row r="116" spans="1:37" x14ac:dyDescent="0.25">
      <c r="A116" s="1">
        <v>46020</v>
      </c>
      <c r="B116" s="1">
        <v>46022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367</v>
      </c>
      <c r="J116" t="s">
        <v>368</v>
      </c>
      <c r="M116" t="s">
        <v>369</v>
      </c>
      <c r="O116" t="s">
        <v>370</v>
      </c>
      <c r="P116" t="s">
        <v>371</v>
      </c>
      <c r="Q116" t="s">
        <v>49</v>
      </c>
      <c r="R116" t="s">
        <v>237</v>
      </c>
      <c r="S116" s="1">
        <v>46023</v>
      </c>
      <c r="U116" t="s">
        <v>51</v>
      </c>
      <c r="X116" t="s">
        <v>52</v>
      </c>
      <c r="Y116" s="2">
        <v>0</v>
      </c>
      <c r="Z116" s="2">
        <v>25</v>
      </c>
      <c r="AA116">
        <v>1</v>
      </c>
      <c r="AB116" s="3">
        <v>1</v>
      </c>
      <c r="AC116" s="2">
        <v>25</v>
      </c>
      <c r="AD116" s="3">
        <v>0</v>
      </c>
      <c r="AE116" s="2">
        <v>0</v>
      </c>
      <c r="AF116" s="2">
        <v>25</v>
      </c>
      <c r="AK116">
        <v>6121547</v>
      </c>
    </row>
    <row r="117" spans="1:37" x14ac:dyDescent="0.25">
      <c r="A117" s="1">
        <v>46020</v>
      </c>
      <c r="B117" s="1">
        <v>46022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372</v>
      </c>
      <c r="J117" t="s">
        <v>373</v>
      </c>
      <c r="M117" t="s">
        <v>369</v>
      </c>
      <c r="O117" t="s">
        <v>370</v>
      </c>
      <c r="P117" t="s">
        <v>371</v>
      </c>
      <c r="Q117" t="s">
        <v>49</v>
      </c>
      <c r="R117" t="s">
        <v>237</v>
      </c>
      <c r="S117" s="1">
        <v>46023</v>
      </c>
      <c r="U117" t="s">
        <v>51</v>
      </c>
      <c r="X117" t="s">
        <v>52</v>
      </c>
      <c r="Y117" s="2">
        <v>0</v>
      </c>
      <c r="Z117" s="2">
        <v>25</v>
      </c>
      <c r="AA117">
        <v>1</v>
      </c>
      <c r="AB117" s="3">
        <v>1</v>
      </c>
      <c r="AC117" s="2">
        <v>25</v>
      </c>
      <c r="AD117" s="3">
        <v>0</v>
      </c>
      <c r="AE117" s="2">
        <v>0</v>
      </c>
      <c r="AF117" s="2">
        <v>25</v>
      </c>
      <c r="AK117">
        <v>6121548</v>
      </c>
    </row>
    <row r="118" spans="1:37" x14ac:dyDescent="0.25">
      <c r="A118" s="1">
        <v>46020</v>
      </c>
      <c r="B118" s="1">
        <v>46022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374</v>
      </c>
      <c r="J118" t="s">
        <v>375</v>
      </c>
      <c r="M118" t="s">
        <v>376</v>
      </c>
      <c r="O118" t="s">
        <v>188</v>
      </c>
      <c r="P118" t="s">
        <v>189</v>
      </c>
      <c r="Q118" t="s">
        <v>49</v>
      </c>
      <c r="R118" t="s">
        <v>237</v>
      </c>
      <c r="S118" s="1">
        <v>46023</v>
      </c>
      <c r="U118" t="s">
        <v>51</v>
      </c>
      <c r="X118" t="s">
        <v>52</v>
      </c>
      <c r="Y118" s="2">
        <v>0</v>
      </c>
      <c r="Z118" s="2">
        <v>25</v>
      </c>
      <c r="AA118">
        <v>1</v>
      </c>
      <c r="AB118" s="3">
        <v>1</v>
      </c>
      <c r="AC118" s="2">
        <v>25</v>
      </c>
      <c r="AD118" s="3">
        <v>0</v>
      </c>
      <c r="AE118" s="2">
        <v>0</v>
      </c>
      <c r="AF118" s="2">
        <v>25</v>
      </c>
      <c r="AK118">
        <v>6121556</v>
      </c>
    </row>
    <row r="119" spans="1:37" x14ac:dyDescent="0.25">
      <c r="A119" s="1">
        <v>46020</v>
      </c>
      <c r="B119" s="1">
        <v>46022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377</v>
      </c>
      <c r="J119" t="s">
        <v>378</v>
      </c>
      <c r="M119" t="s">
        <v>200</v>
      </c>
      <c r="O119" t="s">
        <v>201</v>
      </c>
      <c r="P119" t="s">
        <v>202</v>
      </c>
      <c r="Q119" t="s">
        <v>49</v>
      </c>
      <c r="R119" t="s">
        <v>237</v>
      </c>
      <c r="S119" s="1">
        <v>46023</v>
      </c>
      <c r="U119" t="s">
        <v>51</v>
      </c>
      <c r="X119" t="s">
        <v>52</v>
      </c>
      <c r="Y119" s="2">
        <v>0</v>
      </c>
      <c r="Z119" s="2">
        <v>25</v>
      </c>
      <c r="AA119">
        <v>1</v>
      </c>
      <c r="AB119" s="3">
        <v>1</v>
      </c>
      <c r="AC119" s="2">
        <v>25</v>
      </c>
      <c r="AD119" s="3">
        <v>0</v>
      </c>
      <c r="AE119" s="2">
        <v>0</v>
      </c>
      <c r="AF119" s="2">
        <v>25</v>
      </c>
      <c r="AK119">
        <v>6121557</v>
      </c>
    </row>
    <row r="120" spans="1:37" x14ac:dyDescent="0.25">
      <c r="A120" s="1">
        <v>46020</v>
      </c>
      <c r="B120" s="1">
        <v>46022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379</v>
      </c>
      <c r="J120" t="s">
        <v>380</v>
      </c>
      <c r="M120" t="s">
        <v>145</v>
      </c>
      <c r="O120" t="s">
        <v>146</v>
      </c>
      <c r="P120" t="s">
        <v>147</v>
      </c>
      <c r="Q120" t="s">
        <v>49</v>
      </c>
      <c r="R120" t="s">
        <v>237</v>
      </c>
      <c r="S120" s="1">
        <v>46023</v>
      </c>
      <c r="U120" t="s">
        <v>51</v>
      </c>
      <c r="X120" t="s">
        <v>52</v>
      </c>
      <c r="Y120" s="2">
        <v>0</v>
      </c>
      <c r="Z120" s="2">
        <v>25</v>
      </c>
      <c r="AA120">
        <v>1</v>
      </c>
      <c r="AB120" s="3">
        <v>1</v>
      </c>
      <c r="AC120" s="2">
        <v>25</v>
      </c>
      <c r="AD120" s="3">
        <v>0</v>
      </c>
      <c r="AE120" s="2">
        <v>0</v>
      </c>
      <c r="AF120" s="2">
        <v>25</v>
      </c>
      <c r="AK120">
        <v>6121558</v>
      </c>
    </row>
    <row r="121" spans="1:37" x14ac:dyDescent="0.25">
      <c r="A121" s="1">
        <v>46020</v>
      </c>
      <c r="B121" s="1">
        <v>46022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381</v>
      </c>
      <c r="J121" t="s">
        <v>382</v>
      </c>
      <c r="M121" t="s">
        <v>59</v>
      </c>
      <c r="O121" t="s">
        <v>92</v>
      </c>
      <c r="P121" t="s">
        <v>93</v>
      </c>
      <c r="Q121" t="s">
        <v>49</v>
      </c>
      <c r="R121" t="s">
        <v>237</v>
      </c>
      <c r="S121" s="1">
        <v>46023</v>
      </c>
      <c r="U121" t="s">
        <v>51</v>
      </c>
      <c r="X121" t="s">
        <v>52</v>
      </c>
      <c r="Y121" s="2">
        <v>0</v>
      </c>
      <c r="Z121" s="2">
        <v>25</v>
      </c>
      <c r="AA121">
        <v>1</v>
      </c>
      <c r="AB121" s="3">
        <v>1</v>
      </c>
      <c r="AC121" s="2">
        <v>25</v>
      </c>
      <c r="AD121" s="3">
        <v>0</v>
      </c>
      <c r="AE121" s="2">
        <v>0</v>
      </c>
      <c r="AF121" s="2">
        <v>25</v>
      </c>
      <c r="AK121">
        <v>6121560</v>
      </c>
    </row>
    <row r="122" spans="1:37" x14ac:dyDescent="0.25">
      <c r="A122" s="1">
        <v>46020</v>
      </c>
      <c r="B122" s="1">
        <v>46022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383</v>
      </c>
      <c r="J122" t="s">
        <v>384</v>
      </c>
      <c r="M122" t="s">
        <v>385</v>
      </c>
      <c r="O122" t="s">
        <v>386</v>
      </c>
      <c r="P122" t="s">
        <v>387</v>
      </c>
      <c r="Q122" t="s">
        <v>49</v>
      </c>
      <c r="R122" t="s">
        <v>237</v>
      </c>
      <c r="S122" s="1">
        <v>46023</v>
      </c>
      <c r="U122" t="s">
        <v>51</v>
      </c>
      <c r="X122" t="s">
        <v>52</v>
      </c>
      <c r="Y122" s="2">
        <v>0</v>
      </c>
      <c r="Z122" s="2">
        <v>25</v>
      </c>
      <c r="AA122">
        <v>1</v>
      </c>
      <c r="AB122" s="3">
        <v>1</v>
      </c>
      <c r="AC122" s="2">
        <v>25</v>
      </c>
      <c r="AD122" s="3">
        <v>0</v>
      </c>
      <c r="AE122" s="2">
        <v>0</v>
      </c>
      <c r="AF122" s="2">
        <v>25</v>
      </c>
      <c r="AK122">
        <v>6121565</v>
      </c>
    </row>
    <row r="123" spans="1:37" x14ac:dyDescent="0.25">
      <c r="A123" s="1">
        <v>46020</v>
      </c>
      <c r="B123" s="1">
        <v>46022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388</v>
      </c>
      <c r="J123" t="s">
        <v>389</v>
      </c>
      <c r="M123" t="s">
        <v>46</v>
      </c>
      <c r="O123" t="s">
        <v>65</v>
      </c>
      <c r="P123" t="s">
        <v>66</v>
      </c>
      <c r="Q123" t="s">
        <v>49</v>
      </c>
      <c r="R123" t="s">
        <v>237</v>
      </c>
      <c r="S123" s="1">
        <v>46023</v>
      </c>
      <c r="U123" t="s">
        <v>51</v>
      </c>
      <c r="X123" t="s">
        <v>52</v>
      </c>
      <c r="Y123" s="2">
        <v>0</v>
      </c>
      <c r="Z123" s="2">
        <v>25</v>
      </c>
      <c r="AA123">
        <v>1</v>
      </c>
      <c r="AB123" s="3">
        <v>1</v>
      </c>
      <c r="AC123" s="2">
        <v>25</v>
      </c>
      <c r="AD123" s="3">
        <v>0</v>
      </c>
      <c r="AE123" s="2">
        <v>0</v>
      </c>
      <c r="AF123" s="2">
        <v>25</v>
      </c>
      <c r="AK123">
        <v>6121570</v>
      </c>
    </row>
    <row r="124" spans="1:37" x14ac:dyDescent="0.25">
      <c r="A124" s="1">
        <v>46020</v>
      </c>
      <c r="B124" s="1">
        <v>46022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390</v>
      </c>
      <c r="J124" t="s">
        <v>391</v>
      </c>
      <c r="M124" t="s">
        <v>200</v>
      </c>
      <c r="O124" t="s">
        <v>201</v>
      </c>
      <c r="P124" t="s">
        <v>202</v>
      </c>
      <c r="Q124" t="s">
        <v>49</v>
      </c>
      <c r="R124" t="s">
        <v>244</v>
      </c>
      <c r="S124" s="1">
        <v>46023</v>
      </c>
      <c r="U124" t="s">
        <v>51</v>
      </c>
      <c r="X124" t="s">
        <v>52</v>
      </c>
      <c r="Y124" s="2">
        <v>0</v>
      </c>
      <c r="Z124" s="2">
        <v>15</v>
      </c>
      <c r="AA124">
        <v>1</v>
      </c>
      <c r="AB124" s="3">
        <v>1</v>
      </c>
      <c r="AC124" s="2">
        <v>15</v>
      </c>
      <c r="AD124" s="3">
        <v>0</v>
      </c>
      <c r="AE124" s="2">
        <v>0</v>
      </c>
      <c r="AF124" s="2">
        <v>15</v>
      </c>
      <c r="AK124">
        <v>6121573</v>
      </c>
    </row>
    <row r="125" spans="1:37" x14ac:dyDescent="0.25">
      <c r="A125" s="1">
        <v>46020</v>
      </c>
      <c r="B125" s="1">
        <v>46022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392</v>
      </c>
      <c r="J125" t="s">
        <v>393</v>
      </c>
      <c r="M125" t="s">
        <v>59</v>
      </c>
      <c r="O125" t="s">
        <v>394</v>
      </c>
      <c r="P125" t="s">
        <v>395</v>
      </c>
      <c r="Q125" t="s">
        <v>49</v>
      </c>
      <c r="R125" t="s">
        <v>237</v>
      </c>
      <c r="S125" s="1">
        <v>46023</v>
      </c>
      <c r="U125" t="s">
        <v>51</v>
      </c>
      <c r="X125" t="s">
        <v>52</v>
      </c>
      <c r="Y125" s="2">
        <v>0</v>
      </c>
      <c r="Z125" s="2">
        <v>25</v>
      </c>
      <c r="AA125">
        <v>1</v>
      </c>
      <c r="AB125" s="3">
        <v>1</v>
      </c>
      <c r="AC125" s="2">
        <v>25</v>
      </c>
      <c r="AD125" s="3">
        <v>0</v>
      </c>
      <c r="AE125" s="2">
        <v>0</v>
      </c>
      <c r="AF125" s="2">
        <v>25</v>
      </c>
      <c r="AK125">
        <v>6121574</v>
      </c>
    </row>
    <row r="126" spans="1:37" x14ac:dyDescent="0.25">
      <c r="A126" s="1">
        <v>46020</v>
      </c>
      <c r="B126" s="1">
        <v>46022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396</v>
      </c>
      <c r="J126" t="s">
        <v>397</v>
      </c>
      <c r="M126" t="s">
        <v>59</v>
      </c>
      <c r="O126" t="s">
        <v>394</v>
      </c>
      <c r="P126" t="s">
        <v>395</v>
      </c>
      <c r="Q126" t="s">
        <v>49</v>
      </c>
      <c r="R126" t="s">
        <v>237</v>
      </c>
      <c r="S126" s="1">
        <v>46023</v>
      </c>
      <c r="U126" t="s">
        <v>51</v>
      </c>
      <c r="X126" t="s">
        <v>52</v>
      </c>
      <c r="Y126" s="2">
        <v>0</v>
      </c>
      <c r="Z126" s="2">
        <v>25</v>
      </c>
      <c r="AA126">
        <v>1</v>
      </c>
      <c r="AB126" s="3">
        <v>1</v>
      </c>
      <c r="AC126" s="2">
        <v>25</v>
      </c>
      <c r="AD126" s="3">
        <v>0</v>
      </c>
      <c r="AE126" s="2">
        <v>0</v>
      </c>
      <c r="AF126" s="2">
        <v>25</v>
      </c>
      <c r="AK126">
        <v>6121575</v>
      </c>
    </row>
    <row r="127" spans="1:37" x14ac:dyDescent="0.25">
      <c r="A127" s="1">
        <v>46020</v>
      </c>
      <c r="B127" s="1">
        <v>46022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398</v>
      </c>
      <c r="J127" t="s">
        <v>399</v>
      </c>
      <c r="M127" t="s">
        <v>200</v>
      </c>
      <c r="O127" t="s">
        <v>344</v>
      </c>
      <c r="P127" t="s">
        <v>345</v>
      </c>
      <c r="Q127" t="s">
        <v>49</v>
      </c>
      <c r="R127" t="s">
        <v>237</v>
      </c>
      <c r="S127" s="1">
        <v>46023</v>
      </c>
      <c r="U127" t="s">
        <v>51</v>
      </c>
      <c r="X127" t="s">
        <v>52</v>
      </c>
      <c r="Y127" s="2">
        <v>0</v>
      </c>
      <c r="Z127" s="2">
        <v>25</v>
      </c>
      <c r="AA127">
        <v>1</v>
      </c>
      <c r="AB127" s="3">
        <v>1</v>
      </c>
      <c r="AC127" s="2">
        <v>25</v>
      </c>
      <c r="AD127" s="3">
        <v>0</v>
      </c>
      <c r="AE127" s="2">
        <v>0</v>
      </c>
      <c r="AF127" s="2">
        <v>25</v>
      </c>
      <c r="AK127">
        <v>6121583</v>
      </c>
    </row>
    <row r="128" spans="1:37" x14ac:dyDescent="0.25">
      <c r="A128" s="1">
        <v>46020</v>
      </c>
      <c r="B128" s="1">
        <v>46022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400</v>
      </c>
      <c r="J128" t="s">
        <v>401</v>
      </c>
      <c r="M128" t="s">
        <v>200</v>
      </c>
      <c r="O128" t="s">
        <v>240</v>
      </c>
      <c r="P128" t="s">
        <v>241</v>
      </c>
      <c r="Q128" t="s">
        <v>49</v>
      </c>
      <c r="R128" t="s">
        <v>237</v>
      </c>
      <c r="S128" s="1">
        <v>46023</v>
      </c>
      <c r="U128" t="s">
        <v>51</v>
      </c>
      <c r="X128" t="s">
        <v>52</v>
      </c>
      <c r="Y128" s="2">
        <v>0</v>
      </c>
      <c r="Z128" s="2">
        <v>25</v>
      </c>
      <c r="AA128">
        <v>1</v>
      </c>
      <c r="AB128" s="3">
        <v>1</v>
      </c>
      <c r="AC128" s="2">
        <v>25</v>
      </c>
      <c r="AD128" s="3">
        <v>0</v>
      </c>
      <c r="AE128" s="2">
        <v>0</v>
      </c>
      <c r="AF128" s="2">
        <v>25</v>
      </c>
      <c r="AK128">
        <v>6121589</v>
      </c>
    </row>
    <row r="129" spans="1:37" x14ac:dyDescent="0.25">
      <c r="A129" s="1">
        <v>46020</v>
      </c>
      <c r="B129" s="1">
        <v>46022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402</v>
      </c>
      <c r="J129" t="s">
        <v>403</v>
      </c>
      <c r="M129" t="s">
        <v>59</v>
      </c>
      <c r="O129" t="s">
        <v>235</v>
      </c>
      <c r="P129" t="s">
        <v>236</v>
      </c>
      <c r="Q129" t="s">
        <v>49</v>
      </c>
      <c r="R129" t="s">
        <v>237</v>
      </c>
      <c r="S129" s="1">
        <v>46023</v>
      </c>
      <c r="U129" t="s">
        <v>51</v>
      </c>
      <c r="X129" t="s">
        <v>52</v>
      </c>
      <c r="Y129" s="2">
        <v>0</v>
      </c>
      <c r="Z129" s="2">
        <v>25</v>
      </c>
      <c r="AA129">
        <v>1</v>
      </c>
      <c r="AB129" s="3">
        <v>1</v>
      </c>
      <c r="AC129" s="2">
        <v>25</v>
      </c>
      <c r="AD129" s="3">
        <v>0</v>
      </c>
      <c r="AE129" s="2">
        <v>0</v>
      </c>
      <c r="AF129" s="2">
        <v>25</v>
      </c>
      <c r="AK129">
        <v>6121594</v>
      </c>
    </row>
    <row r="130" spans="1:37" x14ac:dyDescent="0.25">
      <c r="A130" s="1">
        <v>46020</v>
      </c>
      <c r="B130" s="1">
        <v>46022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404</v>
      </c>
      <c r="J130" t="s">
        <v>405</v>
      </c>
      <c r="M130" t="s">
        <v>59</v>
      </c>
      <c r="O130" t="s">
        <v>129</v>
      </c>
      <c r="P130" t="s">
        <v>130</v>
      </c>
      <c r="Q130" t="s">
        <v>49</v>
      </c>
      <c r="R130" t="s">
        <v>237</v>
      </c>
      <c r="S130" s="1">
        <v>46023</v>
      </c>
      <c r="U130" t="s">
        <v>51</v>
      </c>
      <c r="X130" t="s">
        <v>52</v>
      </c>
      <c r="Y130" s="2">
        <v>0</v>
      </c>
      <c r="Z130" s="2">
        <v>25</v>
      </c>
      <c r="AA130">
        <v>1</v>
      </c>
      <c r="AB130" s="3">
        <v>1</v>
      </c>
      <c r="AC130" s="2">
        <v>25</v>
      </c>
      <c r="AD130" s="3">
        <v>0</v>
      </c>
      <c r="AE130" s="2">
        <v>0</v>
      </c>
      <c r="AF130" s="2">
        <v>25</v>
      </c>
      <c r="AK130">
        <v>6121598</v>
      </c>
    </row>
    <row r="131" spans="1:37" x14ac:dyDescent="0.25">
      <c r="A131" s="1">
        <v>46020</v>
      </c>
      <c r="B131" s="1">
        <v>46022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406</v>
      </c>
      <c r="J131" t="s">
        <v>407</v>
      </c>
      <c r="M131" t="s">
        <v>59</v>
      </c>
      <c r="O131" t="s">
        <v>265</v>
      </c>
      <c r="P131" t="s">
        <v>266</v>
      </c>
      <c r="Q131" t="s">
        <v>49</v>
      </c>
      <c r="R131" t="s">
        <v>237</v>
      </c>
      <c r="S131" s="1">
        <v>46023</v>
      </c>
      <c r="U131" t="s">
        <v>51</v>
      </c>
      <c r="X131" t="s">
        <v>52</v>
      </c>
      <c r="Y131" s="2">
        <v>0</v>
      </c>
      <c r="Z131" s="2">
        <v>25</v>
      </c>
      <c r="AA131">
        <v>1</v>
      </c>
      <c r="AB131" s="3">
        <v>1</v>
      </c>
      <c r="AC131" s="2">
        <v>25</v>
      </c>
      <c r="AD131" s="3">
        <v>0</v>
      </c>
      <c r="AE131" s="2">
        <v>0</v>
      </c>
      <c r="AF131" s="2">
        <v>25</v>
      </c>
      <c r="AK131">
        <v>6121608</v>
      </c>
    </row>
    <row r="132" spans="1:37" x14ac:dyDescent="0.25">
      <c r="A132" s="1">
        <v>46020</v>
      </c>
      <c r="B132" s="1">
        <v>46022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408</v>
      </c>
      <c r="J132" t="s">
        <v>409</v>
      </c>
      <c r="M132" t="s">
        <v>200</v>
      </c>
      <c r="O132" t="s">
        <v>201</v>
      </c>
      <c r="P132" t="s">
        <v>202</v>
      </c>
      <c r="Q132" t="s">
        <v>49</v>
      </c>
      <c r="R132" t="s">
        <v>237</v>
      </c>
      <c r="S132" s="1">
        <v>46023</v>
      </c>
      <c r="U132" t="s">
        <v>51</v>
      </c>
      <c r="X132" t="s">
        <v>52</v>
      </c>
      <c r="Y132" s="2">
        <v>0</v>
      </c>
      <c r="Z132" s="2">
        <v>25</v>
      </c>
      <c r="AA132">
        <v>1</v>
      </c>
      <c r="AB132" s="3">
        <v>1</v>
      </c>
      <c r="AC132" s="2">
        <v>25</v>
      </c>
      <c r="AD132" s="3">
        <v>0</v>
      </c>
      <c r="AE132" s="2">
        <v>0</v>
      </c>
      <c r="AF132" s="2">
        <v>25</v>
      </c>
      <c r="AK132">
        <v>6121613</v>
      </c>
    </row>
    <row r="133" spans="1:37" x14ac:dyDescent="0.25">
      <c r="A133" s="1">
        <v>46020</v>
      </c>
      <c r="B133" s="1">
        <v>46022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410</v>
      </c>
      <c r="J133" t="s">
        <v>411</v>
      </c>
      <c r="M133" t="s">
        <v>59</v>
      </c>
      <c r="O133" t="s">
        <v>92</v>
      </c>
      <c r="P133" t="s">
        <v>93</v>
      </c>
      <c r="Q133" t="s">
        <v>49</v>
      </c>
      <c r="R133" t="s">
        <v>237</v>
      </c>
      <c r="S133" s="1">
        <v>46023</v>
      </c>
      <c r="U133" t="s">
        <v>51</v>
      </c>
      <c r="X133" t="s">
        <v>52</v>
      </c>
      <c r="Y133" s="2">
        <v>0</v>
      </c>
      <c r="Z133" s="2">
        <v>25</v>
      </c>
      <c r="AA133">
        <v>1</v>
      </c>
      <c r="AB133" s="3">
        <v>1</v>
      </c>
      <c r="AC133" s="2">
        <v>25</v>
      </c>
      <c r="AD133" s="3">
        <v>0</v>
      </c>
      <c r="AE133" s="2">
        <v>0</v>
      </c>
      <c r="AF133" s="2">
        <v>25</v>
      </c>
      <c r="AK133">
        <v>6121642</v>
      </c>
    </row>
    <row r="134" spans="1:37" x14ac:dyDescent="0.25">
      <c r="A134" s="1">
        <v>46020</v>
      </c>
      <c r="B134" s="1">
        <v>46022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412</v>
      </c>
      <c r="J134" t="s">
        <v>413</v>
      </c>
      <c r="M134" t="s">
        <v>59</v>
      </c>
      <c r="O134" t="s">
        <v>265</v>
      </c>
      <c r="P134" t="s">
        <v>266</v>
      </c>
      <c r="Q134" t="s">
        <v>49</v>
      </c>
      <c r="R134" t="s">
        <v>244</v>
      </c>
      <c r="S134" s="1">
        <v>46023</v>
      </c>
      <c r="U134" t="s">
        <v>51</v>
      </c>
      <c r="X134" t="s">
        <v>52</v>
      </c>
      <c r="Y134" s="2">
        <v>0</v>
      </c>
      <c r="Z134" s="2">
        <v>15</v>
      </c>
      <c r="AA134">
        <v>1</v>
      </c>
      <c r="AB134" s="3">
        <v>1</v>
      </c>
      <c r="AC134" s="2">
        <v>15</v>
      </c>
      <c r="AD134" s="3">
        <v>0</v>
      </c>
      <c r="AE134" s="2">
        <v>0</v>
      </c>
      <c r="AF134" s="2">
        <v>15</v>
      </c>
      <c r="AK134">
        <v>6121658</v>
      </c>
    </row>
    <row r="135" spans="1:37" x14ac:dyDescent="0.25">
      <c r="A135" s="1">
        <v>46020</v>
      </c>
      <c r="B135" s="1">
        <v>46022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414</v>
      </c>
      <c r="J135" t="s">
        <v>415</v>
      </c>
      <c r="M135" t="s">
        <v>369</v>
      </c>
      <c r="O135" t="s">
        <v>370</v>
      </c>
      <c r="P135" t="s">
        <v>371</v>
      </c>
      <c r="Q135" t="s">
        <v>49</v>
      </c>
      <c r="R135" t="s">
        <v>237</v>
      </c>
      <c r="S135" s="1">
        <v>46023</v>
      </c>
      <c r="U135" t="s">
        <v>51</v>
      </c>
      <c r="X135" t="s">
        <v>52</v>
      </c>
      <c r="Y135" s="2">
        <v>0</v>
      </c>
      <c r="Z135" s="2">
        <v>25</v>
      </c>
      <c r="AA135">
        <v>1</v>
      </c>
      <c r="AB135" s="3">
        <v>1</v>
      </c>
      <c r="AC135" s="2">
        <v>25</v>
      </c>
      <c r="AD135" s="3">
        <v>0</v>
      </c>
      <c r="AE135" s="2">
        <v>0</v>
      </c>
      <c r="AF135" s="2">
        <v>25</v>
      </c>
      <c r="AK135">
        <v>6121659</v>
      </c>
    </row>
    <row r="136" spans="1:37" x14ac:dyDescent="0.25">
      <c r="A136" s="1">
        <v>46020</v>
      </c>
      <c r="B136" s="1">
        <v>46022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416</v>
      </c>
      <c r="J136" t="s">
        <v>417</v>
      </c>
      <c r="M136" t="s">
        <v>200</v>
      </c>
      <c r="O136" t="s">
        <v>323</v>
      </c>
      <c r="P136" t="s">
        <v>324</v>
      </c>
      <c r="Q136" t="s">
        <v>49</v>
      </c>
      <c r="R136" t="s">
        <v>237</v>
      </c>
      <c r="S136" s="1">
        <v>46023</v>
      </c>
      <c r="U136" t="s">
        <v>51</v>
      </c>
      <c r="X136" t="s">
        <v>52</v>
      </c>
      <c r="Y136" s="2">
        <v>0</v>
      </c>
      <c r="Z136" s="2">
        <v>25</v>
      </c>
      <c r="AA136">
        <v>1</v>
      </c>
      <c r="AB136" s="3">
        <v>1</v>
      </c>
      <c r="AC136" s="2">
        <v>25</v>
      </c>
      <c r="AD136" s="3">
        <v>0</v>
      </c>
      <c r="AE136" s="2">
        <v>0</v>
      </c>
      <c r="AF136" s="2">
        <v>25</v>
      </c>
      <c r="AK136">
        <v>6121660</v>
      </c>
    </row>
    <row r="137" spans="1:37" x14ac:dyDescent="0.25">
      <c r="A137" s="1">
        <v>46020</v>
      </c>
      <c r="B137" s="1">
        <v>46022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418</v>
      </c>
      <c r="J137" t="s">
        <v>419</v>
      </c>
      <c r="M137" t="s">
        <v>200</v>
      </c>
      <c r="O137" t="s">
        <v>323</v>
      </c>
      <c r="P137" t="s">
        <v>324</v>
      </c>
      <c r="Q137" t="s">
        <v>49</v>
      </c>
      <c r="R137" t="s">
        <v>237</v>
      </c>
      <c r="S137" s="1">
        <v>46023</v>
      </c>
      <c r="U137" t="s">
        <v>51</v>
      </c>
      <c r="X137" t="s">
        <v>52</v>
      </c>
      <c r="Y137" s="2">
        <v>0</v>
      </c>
      <c r="Z137" s="2">
        <v>25</v>
      </c>
      <c r="AA137">
        <v>1</v>
      </c>
      <c r="AB137" s="3">
        <v>1</v>
      </c>
      <c r="AC137" s="2">
        <v>25</v>
      </c>
      <c r="AD137" s="3">
        <v>0</v>
      </c>
      <c r="AE137" s="2">
        <v>0</v>
      </c>
      <c r="AF137" s="2">
        <v>25</v>
      </c>
      <c r="AK137">
        <v>6121661</v>
      </c>
    </row>
    <row r="138" spans="1:37" x14ac:dyDescent="0.25">
      <c r="A138" s="1">
        <v>46020</v>
      </c>
      <c r="B138" s="1">
        <v>46022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420</v>
      </c>
      <c r="J138" t="s">
        <v>421</v>
      </c>
      <c r="M138" t="s">
        <v>422</v>
      </c>
      <c r="O138" t="s">
        <v>423</v>
      </c>
      <c r="P138" t="s">
        <v>424</v>
      </c>
      <c r="Q138" t="s">
        <v>49</v>
      </c>
      <c r="R138" t="s">
        <v>237</v>
      </c>
      <c r="S138" s="1">
        <v>46023</v>
      </c>
      <c r="U138" t="s">
        <v>51</v>
      </c>
      <c r="X138" t="s">
        <v>52</v>
      </c>
      <c r="Y138" s="2">
        <v>0</v>
      </c>
      <c r="Z138" s="2">
        <v>25</v>
      </c>
      <c r="AA138">
        <v>1</v>
      </c>
      <c r="AB138" s="3">
        <v>1</v>
      </c>
      <c r="AC138" s="2">
        <v>25</v>
      </c>
      <c r="AD138" s="3">
        <v>0</v>
      </c>
      <c r="AE138" s="2">
        <v>0</v>
      </c>
      <c r="AF138" s="2">
        <v>25</v>
      </c>
      <c r="AK138">
        <v>6121668</v>
      </c>
    </row>
    <row r="139" spans="1:37" x14ac:dyDescent="0.25">
      <c r="A139" s="1">
        <v>46020</v>
      </c>
      <c r="B139" s="1">
        <v>46022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425</v>
      </c>
      <c r="J139" t="s">
        <v>426</v>
      </c>
      <c r="M139" t="s">
        <v>376</v>
      </c>
      <c r="O139" t="s">
        <v>188</v>
      </c>
      <c r="P139" t="s">
        <v>189</v>
      </c>
      <c r="Q139" t="s">
        <v>49</v>
      </c>
      <c r="R139" t="s">
        <v>237</v>
      </c>
      <c r="S139" s="1">
        <v>46023</v>
      </c>
      <c r="U139" t="s">
        <v>51</v>
      </c>
      <c r="X139" t="s">
        <v>52</v>
      </c>
      <c r="Y139" s="2">
        <v>0</v>
      </c>
      <c r="Z139" s="2">
        <v>25</v>
      </c>
      <c r="AA139">
        <v>1</v>
      </c>
      <c r="AB139" s="3">
        <v>1</v>
      </c>
      <c r="AC139" s="2">
        <v>25</v>
      </c>
      <c r="AD139" s="3">
        <v>0</v>
      </c>
      <c r="AE139" s="2">
        <v>0</v>
      </c>
      <c r="AF139" s="2">
        <v>25</v>
      </c>
      <c r="AK139">
        <v>6121674</v>
      </c>
    </row>
    <row r="140" spans="1:37" x14ac:dyDescent="0.25">
      <c r="A140" s="1">
        <v>46020</v>
      </c>
      <c r="B140" s="1">
        <v>46022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427</v>
      </c>
      <c r="J140" t="s">
        <v>428</v>
      </c>
      <c r="M140" t="s">
        <v>200</v>
      </c>
      <c r="O140" t="s">
        <v>201</v>
      </c>
      <c r="P140" t="s">
        <v>202</v>
      </c>
      <c r="Q140" t="s">
        <v>49</v>
      </c>
      <c r="R140" t="s">
        <v>237</v>
      </c>
      <c r="S140" s="1">
        <v>46023</v>
      </c>
      <c r="U140" t="s">
        <v>51</v>
      </c>
      <c r="X140" t="s">
        <v>52</v>
      </c>
      <c r="Y140" s="2">
        <v>0</v>
      </c>
      <c r="Z140" s="2">
        <v>25</v>
      </c>
      <c r="AA140">
        <v>1</v>
      </c>
      <c r="AB140" s="3">
        <v>1</v>
      </c>
      <c r="AC140" s="2">
        <v>25</v>
      </c>
      <c r="AD140" s="3">
        <v>0</v>
      </c>
      <c r="AE140" s="2">
        <v>0</v>
      </c>
      <c r="AF140" s="2">
        <v>25</v>
      </c>
      <c r="AK140">
        <v>6121680</v>
      </c>
    </row>
    <row r="141" spans="1:37" x14ac:dyDescent="0.25">
      <c r="A141" s="1">
        <v>46020</v>
      </c>
      <c r="B141" s="1">
        <v>46022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429</v>
      </c>
      <c r="J141" t="s">
        <v>430</v>
      </c>
      <c r="M141" t="s">
        <v>59</v>
      </c>
      <c r="O141" t="s">
        <v>129</v>
      </c>
      <c r="P141" t="s">
        <v>130</v>
      </c>
      <c r="Q141" t="s">
        <v>49</v>
      </c>
      <c r="R141" t="s">
        <v>237</v>
      </c>
      <c r="S141" s="1">
        <v>46023</v>
      </c>
      <c r="U141" t="s">
        <v>51</v>
      </c>
      <c r="X141" t="s">
        <v>52</v>
      </c>
      <c r="Y141" s="2">
        <v>0</v>
      </c>
      <c r="Z141" s="2">
        <v>25</v>
      </c>
      <c r="AA141">
        <v>1</v>
      </c>
      <c r="AB141" s="3">
        <v>1</v>
      </c>
      <c r="AC141" s="2">
        <v>25</v>
      </c>
      <c r="AD141" s="3">
        <v>0</v>
      </c>
      <c r="AE141" s="2">
        <v>0</v>
      </c>
      <c r="AF141" s="2">
        <v>25</v>
      </c>
      <c r="AK141">
        <v>6121684</v>
      </c>
    </row>
    <row r="142" spans="1:37" x14ac:dyDescent="0.25">
      <c r="A142" s="1">
        <v>46020</v>
      </c>
      <c r="B142" s="1">
        <v>46022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431</v>
      </c>
      <c r="J142" t="s">
        <v>432</v>
      </c>
      <c r="M142" t="s">
        <v>200</v>
      </c>
      <c r="O142" t="s">
        <v>344</v>
      </c>
      <c r="P142" t="s">
        <v>345</v>
      </c>
      <c r="Q142" t="s">
        <v>49</v>
      </c>
      <c r="R142" t="s">
        <v>237</v>
      </c>
      <c r="S142" s="1">
        <v>46023</v>
      </c>
      <c r="U142" t="s">
        <v>51</v>
      </c>
      <c r="X142" t="s">
        <v>52</v>
      </c>
      <c r="Y142" s="2">
        <v>0</v>
      </c>
      <c r="Z142" s="2">
        <v>25</v>
      </c>
      <c r="AA142">
        <v>1</v>
      </c>
      <c r="AB142" s="3">
        <v>1</v>
      </c>
      <c r="AC142" s="2">
        <v>25</v>
      </c>
      <c r="AD142" s="3">
        <v>0</v>
      </c>
      <c r="AE142" s="2">
        <v>0</v>
      </c>
      <c r="AF142" s="2">
        <v>25</v>
      </c>
      <c r="AK142">
        <v>6121686</v>
      </c>
    </row>
    <row r="143" spans="1:37" x14ac:dyDescent="0.25">
      <c r="A143" s="1">
        <v>46020</v>
      </c>
      <c r="B143" s="1">
        <v>46022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433</v>
      </c>
      <c r="J143" t="s">
        <v>434</v>
      </c>
      <c r="M143" t="s">
        <v>59</v>
      </c>
      <c r="O143" t="s">
        <v>96</v>
      </c>
      <c r="P143" t="s">
        <v>97</v>
      </c>
      <c r="Q143" t="s">
        <v>49</v>
      </c>
      <c r="R143" t="s">
        <v>237</v>
      </c>
      <c r="S143" s="1">
        <v>46023</v>
      </c>
      <c r="U143" t="s">
        <v>51</v>
      </c>
      <c r="X143" t="s">
        <v>52</v>
      </c>
      <c r="Y143" s="2">
        <v>0</v>
      </c>
      <c r="Z143" s="2">
        <v>25</v>
      </c>
      <c r="AA143">
        <v>1</v>
      </c>
      <c r="AB143" s="3">
        <v>1</v>
      </c>
      <c r="AC143" s="2">
        <v>25</v>
      </c>
      <c r="AD143" s="3">
        <v>0</v>
      </c>
      <c r="AE143" s="2">
        <v>0</v>
      </c>
      <c r="AF143" s="2">
        <v>25</v>
      </c>
      <c r="AK143">
        <v>6121690</v>
      </c>
    </row>
    <row r="144" spans="1:37" x14ac:dyDescent="0.25">
      <c r="A144" s="1">
        <v>46020</v>
      </c>
      <c r="B144" s="1">
        <v>46022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435</v>
      </c>
      <c r="J144" t="s">
        <v>436</v>
      </c>
      <c r="M144" t="s">
        <v>59</v>
      </c>
      <c r="O144" t="s">
        <v>437</v>
      </c>
      <c r="P144" t="s">
        <v>438</v>
      </c>
      <c r="Q144" t="s">
        <v>49</v>
      </c>
      <c r="R144" t="s">
        <v>237</v>
      </c>
      <c r="S144" s="1">
        <v>46023</v>
      </c>
      <c r="U144" t="s">
        <v>51</v>
      </c>
      <c r="X144" t="s">
        <v>52</v>
      </c>
      <c r="Y144" s="2">
        <v>0</v>
      </c>
      <c r="Z144" s="2">
        <v>25</v>
      </c>
      <c r="AA144">
        <v>1</v>
      </c>
      <c r="AB144" s="3">
        <v>1</v>
      </c>
      <c r="AC144" s="2">
        <v>25</v>
      </c>
      <c r="AD144" s="3">
        <v>0</v>
      </c>
      <c r="AE144" s="2">
        <v>0</v>
      </c>
      <c r="AF144" s="2">
        <v>25</v>
      </c>
      <c r="AK144">
        <v>6121696</v>
      </c>
    </row>
    <row r="145" spans="1:37" x14ac:dyDescent="0.25">
      <c r="A145" s="1">
        <v>46020</v>
      </c>
      <c r="B145" s="1">
        <v>46022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439</v>
      </c>
      <c r="J145" t="s">
        <v>440</v>
      </c>
      <c r="M145" t="s">
        <v>200</v>
      </c>
      <c r="O145" t="s">
        <v>344</v>
      </c>
      <c r="P145" t="s">
        <v>345</v>
      </c>
      <c r="Q145" t="s">
        <v>49</v>
      </c>
      <c r="R145" t="s">
        <v>244</v>
      </c>
      <c r="S145" s="1">
        <v>46023</v>
      </c>
      <c r="U145" t="s">
        <v>51</v>
      </c>
      <c r="X145" t="s">
        <v>52</v>
      </c>
      <c r="Y145" s="2">
        <v>0</v>
      </c>
      <c r="Z145" s="2">
        <v>15</v>
      </c>
      <c r="AA145">
        <v>1</v>
      </c>
      <c r="AB145" s="3">
        <v>1</v>
      </c>
      <c r="AC145" s="2">
        <v>15</v>
      </c>
      <c r="AD145" s="3">
        <v>0</v>
      </c>
      <c r="AE145" s="2">
        <v>0</v>
      </c>
      <c r="AF145" s="2">
        <v>15</v>
      </c>
      <c r="AK145">
        <v>6121698</v>
      </c>
    </row>
    <row r="146" spans="1:37" x14ac:dyDescent="0.25">
      <c r="A146" s="1">
        <v>46020</v>
      </c>
      <c r="B146" s="1">
        <v>46022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441</v>
      </c>
      <c r="J146" t="s">
        <v>442</v>
      </c>
      <c r="M146" t="s">
        <v>59</v>
      </c>
      <c r="O146" t="s">
        <v>188</v>
      </c>
      <c r="P146" t="s">
        <v>189</v>
      </c>
      <c r="Q146" t="s">
        <v>49</v>
      </c>
      <c r="R146" t="s">
        <v>237</v>
      </c>
      <c r="S146" s="1">
        <v>46023</v>
      </c>
      <c r="U146" t="s">
        <v>51</v>
      </c>
      <c r="X146" t="s">
        <v>52</v>
      </c>
      <c r="Y146" s="2">
        <v>0</v>
      </c>
      <c r="Z146" s="2">
        <v>25</v>
      </c>
      <c r="AA146">
        <v>1</v>
      </c>
      <c r="AB146" s="3">
        <v>1</v>
      </c>
      <c r="AC146" s="2">
        <v>25</v>
      </c>
      <c r="AD146" s="3">
        <v>0</v>
      </c>
      <c r="AE146" s="2">
        <v>0</v>
      </c>
      <c r="AF146" s="2">
        <v>25</v>
      </c>
      <c r="AK146">
        <v>6121701</v>
      </c>
    </row>
    <row r="147" spans="1:37" x14ac:dyDescent="0.25">
      <c r="A147" s="1">
        <v>46020</v>
      </c>
      <c r="B147" s="1">
        <v>46022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443</v>
      </c>
      <c r="J147" t="s">
        <v>444</v>
      </c>
      <c r="M147" t="s">
        <v>360</v>
      </c>
      <c r="O147" t="s">
        <v>65</v>
      </c>
      <c r="P147" t="s">
        <v>66</v>
      </c>
      <c r="Q147" t="s">
        <v>49</v>
      </c>
      <c r="R147" t="s">
        <v>237</v>
      </c>
      <c r="S147" s="1">
        <v>46023</v>
      </c>
      <c r="U147" t="s">
        <v>51</v>
      </c>
      <c r="X147" t="s">
        <v>52</v>
      </c>
      <c r="Y147" s="2">
        <v>0</v>
      </c>
      <c r="Z147" s="2">
        <v>25</v>
      </c>
      <c r="AA147">
        <v>1</v>
      </c>
      <c r="AB147" s="3">
        <v>1</v>
      </c>
      <c r="AC147" s="2">
        <v>25</v>
      </c>
      <c r="AD147" s="3">
        <v>0</v>
      </c>
      <c r="AE147" s="2">
        <v>0</v>
      </c>
      <c r="AF147" s="2">
        <v>25</v>
      </c>
      <c r="AK147">
        <v>6121709</v>
      </c>
    </row>
    <row r="148" spans="1:37" x14ac:dyDescent="0.25">
      <c r="A148" s="1">
        <v>46020</v>
      </c>
      <c r="B148" s="1">
        <v>46022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445</v>
      </c>
      <c r="J148" t="s">
        <v>446</v>
      </c>
      <c r="M148" t="s">
        <v>200</v>
      </c>
      <c r="O148" t="s">
        <v>240</v>
      </c>
      <c r="P148" t="s">
        <v>241</v>
      </c>
      <c r="Q148" t="s">
        <v>49</v>
      </c>
      <c r="R148" t="s">
        <v>237</v>
      </c>
      <c r="S148" s="1">
        <v>46023</v>
      </c>
      <c r="U148" t="s">
        <v>51</v>
      </c>
      <c r="X148" t="s">
        <v>52</v>
      </c>
      <c r="Y148" s="2">
        <v>0</v>
      </c>
      <c r="Z148" s="2">
        <v>25</v>
      </c>
      <c r="AA148">
        <v>1</v>
      </c>
      <c r="AB148" s="3">
        <v>1</v>
      </c>
      <c r="AC148" s="2">
        <v>25</v>
      </c>
      <c r="AD148" s="3">
        <v>0</v>
      </c>
      <c r="AE148" s="2">
        <v>0</v>
      </c>
      <c r="AF148" s="2">
        <v>25</v>
      </c>
      <c r="AK148">
        <v>6121710</v>
      </c>
    </row>
    <row r="149" spans="1:37" x14ac:dyDescent="0.25">
      <c r="A149" s="1">
        <v>46020</v>
      </c>
      <c r="B149" s="1">
        <v>46022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447</v>
      </c>
      <c r="J149" t="s">
        <v>448</v>
      </c>
      <c r="M149" t="s">
        <v>46</v>
      </c>
      <c r="O149" t="s">
        <v>65</v>
      </c>
      <c r="P149" t="s">
        <v>66</v>
      </c>
      <c r="Q149" t="s">
        <v>49</v>
      </c>
      <c r="R149" t="s">
        <v>244</v>
      </c>
      <c r="S149" s="1">
        <v>46023</v>
      </c>
      <c r="U149" t="s">
        <v>51</v>
      </c>
      <c r="X149" t="s">
        <v>52</v>
      </c>
      <c r="Y149" s="2">
        <v>0</v>
      </c>
      <c r="Z149" s="2">
        <v>15</v>
      </c>
      <c r="AA149">
        <v>1</v>
      </c>
      <c r="AB149" s="3">
        <v>1</v>
      </c>
      <c r="AC149" s="2">
        <v>15</v>
      </c>
      <c r="AD149" s="3">
        <v>0</v>
      </c>
      <c r="AE149" s="2">
        <v>0</v>
      </c>
      <c r="AF149" s="2">
        <v>15</v>
      </c>
      <c r="AK149">
        <v>6121713</v>
      </c>
    </row>
    <row r="150" spans="1:37" x14ac:dyDescent="0.25">
      <c r="A150" s="1">
        <v>46020</v>
      </c>
      <c r="B150" s="1">
        <v>46022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449</v>
      </c>
      <c r="J150" t="s">
        <v>450</v>
      </c>
      <c r="M150" t="s">
        <v>200</v>
      </c>
      <c r="O150" t="s">
        <v>201</v>
      </c>
      <c r="P150" t="s">
        <v>202</v>
      </c>
      <c r="Q150" t="s">
        <v>49</v>
      </c>
      <c r="R150" t="s">
        <v>237</v>
      </c>
      <c r="S150" s="1">
        <v>46023</v>
      </c>
      <c r="U150" t="s">
        <v>51</v>
      </c>
      <c r="X150" t="s">
        <v>52</v>
      </c>
      <c r="Y150" s="2">
        <v>0</v>
      </c>
      <c r="Z150" s="2">
        <v>25</v>
      </c>
      <c r="AA150">
        <v>1</v>
      </c>
      <c r="AB150" s="3">
        <v>1</v>
      </c>
      <c r="AC150" s="2">
        <v>25</v>
      </c>
      <c r="AD150" s="3">
        <v>0</v>
      </c>
      <c r="AE150" s="2">
        <v>0</v>
      </c>
      <c r="AF150" s="2">
        <v>25</v>
      </c>
      <c r="AK150">
        <v>6121715</v>
      </c>
    </row>
    <row r="151" spans="1:37" x14ac:dyDescent="0.25">
      <c r="A151" s="1">
        <v>46020</v>
      </c>
      <c r="B151" s="1">
        <v>46022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451</v>
      </c>
      <c r="J151" t="s">
        <v>452</v>
      </c>
      <c r="M151" t="s">
        <v>59</v>
      </c>
      <c r="O151" t="s">
        <v>423</v>
      </c>
      <c r="P151" t="s">
        <v>424</v>
      </c>
      <c r="Q151" t="s">
        <v>49</v>
      </c>
      <c r="R151" t="s">
        <v>237</v>
      </c>
      <c r="S151" s="1">
        <v>46023</v>
      </c>
      <c r="U151" t="s">
        <v>51</v>
      </c>
      <c r="X151" t="s">
        <v>52</v>
      </c>
      <c r="Y151" s="2">
        <v>0</v>
      </c>
      <c r="Z151" s="2">
        <v>25</v>
      </c>
      <c r="AA151">
        <v>1</v>
      </c>
      <c r="AB151" s="3">
        <v>1</v>
      </c>
      <c r="AC151" s="2">
        <v>25</v>
      </c>
      <c r="AD151" s="3">
        <v>0</v>
      </c>
      <c r="AE151" s="2">
        <v>0</v>
      </c>
      <c r="AF151" s="2">
        <v>25</v>
      </c>
      <c r="AK151">
        <v>6121717</v>
      </c>
    </row>
    <row r="152" spans="1:37" x14ac:dyDescent="0.25">
      <c r="A152" s="1">
        <v>46020</v>
      </c>
      <c r="B152" s="1">
        <v>46022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453</v>
      </c>
      <c r="J152" t="s">
        <v>454</v>
      </c>
      <c r="M152" t="s">
        <v>200</v>
      </c>
      <c r="O152" t="s">
        <v>201</v>
      </c>
      <c r="P152" t="s">
        <v>202</v>
      </c>
      <c r="Q152" t="s">
        <v>49</v>
      </c>
      <c r="R152" t="s">
        <v>237</v>
      </c>
      <c r="S152" s="1">
        <v>46023</v>
      </c>
      <c r="U152" t="s">
        <v>51</v>
      </c>
      <c r="X152" t="s">
        <v>52</v>
      </c>
      <c r="Y152" s="2">
        <v>0</v>
      </c>
      <c r="Z152" s="2">
        <v>25</v>
      </c>
      <c r="AA152">
        <v>1</v>
      </c>
      <c r="AB152" s="3">
        <v>1</v>
      </c>
      <c r="AC152" s="2">
        <v>25</v>
      </c>
      <c r="AD152" s="3">
        <v>0</v>
      </c>
      <c r="AE152" s="2">
        <v>0</v>
      </c>
      <c r="AF152" s="2">
        <v>25</v>
      </c>
      <c r="AK152">
        <v>6121719</v>
      </c>
    </row>
    <row r="153" spans="1:37" x14ac:dyDescent="0.25">
      <c r="A153" s="1">
        <v>46020</v>
      </c>
      <c r="B153" s="1">
        <v>46022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455</v>
      </c>
      <c r="J153" t="s">
        <v>456</v>
      </c>
      <c r="M153" t="s">
        <v>59</v>
      </c>
      <c r="O153" t="s">
        <v>457</v>
      </c>
      <c r="P153" t="s">
        <v>458</v>
      </c>
      <c r="Q153" t="s">
        <v>49</v>
      </c>
      <c r="R153" t="s">
        <v>237</v>
      </c>
      <c r="S153" s="1">
        <v>46023</v>
      </c>
      <c r="U153" t="s">
        <v>51</v>
      </c>
      <c r="X153" t="s">
        <v>52</v>
      </c>
      <c r="Y153" s="2">
        <v>0</v>
      </c>
      <c r="Z153" s="2">
        <v>25</v>
      </c>
      <c r="AA153">
        <v>1</v>
      </c>
      <c r="AB153" s="3">
        <v>1</v>
      </c>
      <c r="AC153" s="2">
        <v>25</v>
      </c>
      <c r="AD153" s="3">
        <v>0</v>
      </c>
      <c r="AE153" s="2">
        <v>0</v>
      </c>
      <c r="AF153" s="2">
        <v>25</v>
      </c>
      <c r="AK153">
        <v>6121728</v>
      </c>
    </row>
    <row r="154" spans="1:37" x14ac:dyDescent="0.25">
      <c r="A154" s="1">
        <v>46020</v>
      </c>
      <c r="B154" s="1">
        <v>46022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459</v>
      </c>
      <c r="J154" t="s">
        <v>460</v>
      </c>
      <c r="M154" t="s">
        <v>200</v>
      </c>
      <c r="O154" t="s">
        <v>461</v>
      </c>
      <c r="P154" t="s">
        <v>462</v>
      </c>
      <c r="Q154" t="s">
        <v>49</v>
      </c>
      <c r="R154" t="s">
        <v>237</v>
      </c>
      <c r="S154" s="1">
        <v>46023</v>
      </c>
      <c r="U154" t="s">
        <v>51</v>
      </c>
      <c r="X154" t="s">
        <v>52</v>
      </c>
      <c r="Y154" s="2">
        <v>0</v>
      </c>
      <c r="Z154" s="2">
        <v>25</v>
      </c>
      <c r="AA154">
        <v>1</v>
      </c>
      <c r="AB154" s="3">
        <v>1</v>
      </c>
      <c r="AC154" s="2">
        <v>25</v>
      </c>
      <c r="AD154" s="3">
        <v>0</v>
      </c>
      <c r="AE154" s="2">
        <v>0</v>
      </c>
      <c r="AF154" s="2">
        <v>25</v>
      </c>
      <c r="AK154">
        <v>6121750</v>
      </c>
    </row>
    <row r="155" spans="1:37" x14ac:dyDescent="0.25">
      <c r="A155" s="1">
        <v>46020</v>
      </c>
      <c r="B155" s="1">
        <v>46022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463</v>
      </c>
      <c r="J155" t="s">
        <v>464</v>
      </c>
      <c r="M155" t="s">
        <v>59</v>
      </c>
      <c r="O155" t="s">
        <v>188</v>
      </c>
      <c r="P155" t="s">
        <v>189</v>
      </c>
      <c r="Q155" t="s">
        <v>101</v>
      </c>
      <c r="R155" t="s">
        <v>237</v>
      </c>
      <c r="S155" s="1">
        <v>46023</v>
      </c>
      <c r="U155" t="s">
        <v>51</v>
      </c>
      <c r="X155" t="s">
        <v>52</v>
      </c>
      <c r="Y155" s="2">
        <v>0</v>
      </c>
      <c r="Z155" s="2">
        <v>25</v>
      </c>
      <c r="AA155">
        <v>1</v>
      </c>
      <c r="AB155" s="3">
        <v>1</v>
      </c>
      <c r="AC155" s="2">
        <v>25</v>
      </c>
      <c r="AD155" s="3">
        <v>0</v>
      </c>
      <c r="AE155" s="2">
        <v>0</v>
      </c>
      <c r="AF155" s="2">
        <v>25</v>
      </c>
      <c r="AK155">
        <v>6121760</v>
      </c>
    </row>
    <row r="156" spans="1:37" x14ac:dyDescent="0.25">
      <c r="A156" s="1">
        <v>46020</v>
      </c>
      <c r="B156" s="1">
        <v>46022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465</v>
      </c>
      <c r="J156" t="s">
        <v>466</v>
      </c>
      <c r="M156" t="s">
        <v>59</v>
      </c>
      <c r="O156" t="s">
        <v>188</v>
      </c>
      <c r="P156" t="s">
        <v>189</v>
      </c>
      <c r="Q156" t="s">
        <v>101</v>
      </c>
      <c r="R156" t="s">
        <v>237</v>
      </c>
      <c r="S156" s="1">
        <v>46023</v>
      </c>
      <c r="U156" t="s">
        <v>51</v>
      </c>
      <c r="X156" t="s">
        <v>52</v>
      </c>
      <c r="Y156" s="2">
        <v>0</v>
      </c>
      <c r="Z156" s="2">
        <v>25</v>
      </c>
      <c r="AA156">
        <v>1</v>
      </c>
      <c r="AB156" s="3">
        <v>1</v>
      </c>
      <c r="AC156" s="2">
        <v>25</v>
      </c>
      <c r="AD156" s="3">
        <v>0</v>
      </c>
      <c r="AE156" s="2">
        <v>0</v>
      </c>
      <c r="AF156" s="2">
        <v>25</v>
      </c>
      <c r="AK156">
        <v>6121761</v>
      </c>
    </row>
    <row r="157" spans="1:37" x14ac:dyDescent="0.25">
      <c r="A157" s="1">
        <v>46020</v>
      </c>
      <c r="B157" s="1">
        <v>46022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467</v>
      </c>
      <c r="J157" t="s">
        <v>468</v>
      </c>
      <c r="M157" t="s">
        <v>200</v>
      </c>
      <c r="O157" t="s">
        <v>201</v>
      </c>
      <c r="P157" t="s">
        <v>202</v>
      </c>
      <c r="Q157" t="s">
        <v>49</v>
      </c>
      <c r="R157" t="s">
        <v>237</v>
      </c>
      <c r="S157" s="1">
        <v>46023</v>
      </c>
      <c r="U157" t="s">
        <v>51</v>
      </c>
      <c r="X157" t="s">
        <v>52</v>
      </c>
      <c r="Y157" s="2">
        <v>0</v>
      </c>
      <c r="Z157" s="2">
        <v>25</v>
      </c>
      <c r="AA157">
        <v>1</v>
      </c>
      <c r="AB157" s="3">
        <v>1</v>
      </c>
      <c r="AC157" s="2">
        <v>25</v>
      </c>
      <c r="AD157" s="3">
        <v>0</v>
      </c>
      <c r="AE157" s="2">
        <v>0</v>
      </c>
      <c r="AF157" s="2">
        <v>25</v>
      </c>
      <c r="AK157">
        <v>6121763</v>
      </c>
    </row>
    <row r="158" spans="1:37" x14ac:dyDescent="0.25">
      <c r="A158" s="1">
        <v>46020</v>
      </c>
      <c r="B158" s="1">
        <v>46022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469</v>
      </c>
      <c r="J158" t="s">
        <v>470</v>
      </c>
      <c r="M158" t="s">
        <v>200</v>
      </c>
      <c r="O158" t="s">
        <v>471</v>
      </c>
      <c r="P158" t="s">
        <v>472</v>
      </c>
      <c r="Q158" t="s">
        <v>101</v>
      </c>
      <c r="R158" t="s">
        <v>237</v>
      </c>
      <c r="S158" s="1">
        <v>46023</v>
      </c>
      <c r="U158" t="s">
        <v>51</v>
      </c>
      <c r="X158" t="s">
        <v>52</v>
      </c>
      <c r="Y158" s="2">
        <v>0</v>
      </c>
      <c r="Z158" s="2">
        <v>25</v>
      </c>
      <c r="AA158">
        <v>1</v>
      </c>
      <c r="AB158" s="3">
        <v>1</v>
      </c>
      <c r="AC158" s="2">
        <v>25</v>
      </c>
      <c r="AD158" s="3">
        <v>0</v>
      </c>
      <c r="AE158" s="2">
        <v>0</v>
      </c>
      <c r="AF158" s="2">
        <v>25</v>
      </c>
      <c r="AK158">
        <v>6121777</v>
      </c>
    </row>
    <row r="159" spans="1:37" x14ac:dyDescent="0.25">
      <c r="A159" s="1">
        <v>46020</v>
      </c>
      <c r="B159" s="1">
        <v>46022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473</v>
      </c>
      <c r="J159" t="s">
        <v>474</v>
      </c>
      <c r="M159" t="s">
        <v>59</v>
      </c>
      <c r="O159" t="s">
        <v>265</v>
      </c>
      <c r="P159" t="s">
        <v>266</v>
      </c>
      <c r="Q159" t="s">
        <v>49</v>
      </c>
      <c r="R159" t="s">
        <v>237</v>
      </c>
      <c r="S159" s="1">
        <v>46023</v>
      </c>
      <c r="U159" t="s">
        <v>51</v>
      </c>
      <c r="X159" t="s">
        <v>52</v>
      </c>
      <c r="Y159" s="2">
        <v>0</v>
      </c>
      <c r="Z159" s="2">
        <v>25</v>
      </c>
      <c r="AA159">
        <v>1</v>
      </c>
      <c r="AB159" s="3">
        <v>1</v>
      </c>
      <c r="AC159" s="2">
        <v>25</v>
      </c>
      <c r="AD159" s="3">
        <v>0</v>
      </c>
      <c r="AE159" s="2">
        <v>0</v>
      </c>
      <c r="AF159" s="2">
        <v>25</v>
      </c>
      <c r="AK159">
        <v>6121785</v>
      </c>
    </row>
    <row r="160" spans="1:37" x14ac:dyDescent="0.25">
      <c r="A160" s="1">
        <v>46020</v>
      </c>
      <c r="B160" s="1">
        <v>46022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475</v>
      </c>
      <c r="J160" t="s">
        <v>476</v>
      </c>
      <c r="M160" t="s">
        <v>59</v>
      </c>
      <c r="O160" t="s">
        <v>265</v>
      </c>
      <c r="P160" t="s">
        <v>266</v>
      </c>
      <c r="Q160" t="s">
        <v>49</v>
      </c>
      <c r="R160" t="s">
        <v>237</v>
      </c>
      <c r="S160" s="1">
        <v>46023</v>
      </c>
      <c r="U160" t="s">
        <v>51</v>
      </c>
      <c r="X160" t="s">
        <v>52</v>
      </c>
      <c r="Y160" s="2">
        <v>0</v>
      </c>
      <c r="Z160" s="2">
        <v>25</v>
      </c>
      <c r="AA160">
        <v>1</v>
      </c>
      <c r="AB160" s="3">
        <v>1</v>
      </c>
      <c r="AC160" s="2">
        <v>25</v>
      </c>
      <c r="AD160" s="3">
        <v>0</v>
      </c>
      <c r="AE160" s="2">
        <v>0</v>
      </c>
      <c r="AF160" s="2">
        <v>25</v>
      </c>
      <c r="AK160">
        <v>6121786</v>
      </c>
    </row>
    <row r="161" spans="1:37" x14ac:dyDescent="0.25">
      <c r="A161" s="1">
        <v>46020</v>
      </c>
      <c r="B161" s="1">
        <v>46022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477</v>
      </c>
      <c r="J161" t="s">
        <v>478</v>
      </c>
      <c r="M161" t="s">
        <v>200</v>
      </c>
      <c r="O161" t="s">
        <v>344</v>
      </c>
      <c r="P161" t="s">
        <v>345</v>
      </c>
      <c r="Q161" t="s">
        <v>49</v>
      </c>
      <c r="R161" t="s">
        <v>244</v>
      </c>
      <c r="S161" s="1">
        <v>46023</v>
      </c>
      <c r="U161" t="s">
        <v>51</v>
      </c>
      <c r="X161" t="s">
        <v>52</v>
      </c>
      <c r="Y161" s="2">
        <v>0</v>
      </c>
      <c r="Z161" s="2">
        <v>15</v>
      </c>
      <c r="AA161">
        <v>1</v>
      </c>
      <c r="AB161" s="3">
        <v>1</v>
      </c>
      <c r="AC161" s="2">
        <v>15</v>
      </c>
      <c r="AD161" s="3">
        <v>0</v>
      </c>
      <c r="AE161" s="2">
        <v>0</v>
      </c>
      <c r="AF161" s="2">
        <v>15</v>
      </c>
      <c r="AK161">
        <v>6121793</v>
      </c>
    </row>
    <row r="162" spans="1:37" x14ac:dyDescent="0.25">
      <c r="A162" s="1">
        <v>46020</v>
      </c>
      <c r="B162" s="1">
        <v>46022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479</v>
      </c>
      <c r="J162" t="s">
        <v>480</v>
      </c>
      <c r="M162" t="s">
        <v>481</v>
      </c>
      <c r="O162" t="s">
        <v>155</v>
      </c>
      <c r="P162" t="s">
        <v>156</v>
      </c>
      <c r="Q162" t="s">
        <v>49</v>
      </c>
      <c r="R162" t="s">
        <v>237</v>
      </c>
      <c r="S162" s="1">
        <v>46023</v>
      </c>
      <c r="U162" t="s">
        <v>51</v>
      </c>
      <c r="X162" t="s">
        <v>52</v>
      </c>
      <c r="Y162" s="2">
        <v>0</v>
      </c>
      <c r="Z162" s="2">
        <v>25</v>
      </c>
      <c r="AA162">
        <v>1</v>
      </c>
      <c r="AB162" s="3">
        <v>1</v>
      </c>
      <c r="AC162" s="2">
        <v>25</v>
      </c>
      <c r="AD162" s="3">
        <v>0</v>
      </c>
      <c r="AE162" s="2">
        <v>0</v>
      </c>
      <c r="AF162" s="2">
        <v>25</v>
      </c>
      <c r="AK162">
        <v>6121809</v>
      </c>
    </row>
    <row r="163" spans="1:37" x14ac:dyDescent="0.25">
      <c r="A163" s="1">
        <v>46020</v>
      </c>
      <c r="B163" s="1">
        <v>46022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482</v>
      </c>
      <c r="J163" t="s">
        <v>483</v>
      </c>
      <c r="M163" t="s">
        <v>484</v>
      </c>
      <c r="O163" t="s">
        <v>92</v>
      </c>
      <c r="P163" t="s">
        <v>93</v>
      </c>
      <c r="Q163" t="s">
        <v>49</v>
      </c>
      <c r="R163" t="s">
        <v>237</v>
      </c>
      <c r="S163" s="1">
        <v>46023</v>
      </c>
      <c r="U163" t="s">
        <v>51</v>
      </c>
      <c r="X163" t="s">
        <v>52</v>
      </c>
      <c r="Y163" s="2">
        <v>0</v>
      </c>
      <c r="Z163" s="2">
        <v>25</v>
      </c>
      <c r="AA163">
        <v>1</v>
      </c>
      <c r="AB163" s="3">
        <v>1</v>
      </c>
      <c r="AC163" s="2">
        <v>25</v>
      </c>
      <c r="AD163" s="3">
        <v>0</v>
      </c>
      <c r="AE163" s="2">
        <v>0</v>
      </c>
      <c r="AF163" s="2">
        <v>25</v>
      </c>
      <c r="AK163">
        <v>6121818</v>
      </c>
    </row>
    <row r="164" spans="1:37" x14ac:dyDescent="0.25">
      <c r="A164" s="1">
        <v>46020</v>
      </c>
      <c r="B164" s="1">
        <v>46022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485</v>
      </c>
      <c r="J164" t="s">
        <v>486</v>
      </c>
      <c r="M164" t="s">
        <v>59</v>
      </c>
      <c r="O164" t="s">
        <v>394</v>
      </c>
      <c r="P164" t="s">
        <v>395</v>
      </c>
      <c r="Q164" t="s">
        <v>49</v>
      </c>
      <c r="R164" t="s">
        <v>237</v>
      </c>
      <c r="S164" s="1">
        <v>46023</v>
      </c>
      <c r="U164" t="s">
        <v>51</v>
      </c>
      <c r="X164" t="s">
        <v>52</v>
      </c>
      <c r="Y164" s="2">
        <v>0</v>
      </c>
      <c r="Z164" s="2">
        <v>25</v>
      </c>
      <c r="AA164">
        <v>1</v>
      </c>
      <c r="AB164" s="3">
        <v>1</v>
      </c>
      <c r="AC164" s="2">
        <v>25</v>
      </c>
      <c r="AD164" s="3">
        <v>0</v>
      </c>
      <c r="AE164" s="2">
        <v>0</v>
      </c>
      <c r="AF164" s="2">
        <v>25</v>
      </c>
      <c r="AK164">
        <v>6121819</v>
      </c>
    </row>
    <row r="165" spans="1:37" x14ac:dyDescent="0.25">
      <c r="A165" s="1">
        <v>46020</v>
      </c>
      <c r="B165" s="1">
        <v>46022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487</v>
      </c>
      <c r="J165" t="s">
        <v>488</v>
      </c>
      <c r="M165" t="s">
        <v>59</v>
      </c>
      <c r="O165" t="s">
        <v>489</v>
      </c>
      <c r="P165" t="s">
        <v>490</v>
      </c>
      <c r="Q165" t="s">
        <v>49</v>
      </c>
      <c r="R165" t="s">
        <v>237</v>
      </c>
      <c r="S165" s="1">
        <v>46023</v>
      </c>
      <c r="U165" t="s">
        <v>51</v>
      </c>
      <c r="X165" t="s">
        <v>52</v>
      </c>
      <c r="Y165" s="2">
        <v>0</v>
      </c>
      <c r="Z165" s="2">
        <v>25</v>
      </c>
      <c r="AA165">
        <v>1</v>
      </c>
      <c r="AB165" s="3">
        <v>1</v>
      </c>
      <c r="AC165" s="2">
        <v>25</v>
      </c>
      <c r="AD165" s="3">
        <v>0</v>
      </c>
      <c r="AE165" s="2">
        <v>0</v>
      </c>
      <c r="AF165" s="2">
        <v>25</v>
      </c>
      <c r="AK165">
        <v>6121821</v>
      </c>
    </row>
    <row r="166" spans="1:37" x14ac:dyDescent="0.25">
      <c r="A166" s="1">
        <v>46020</v>
      </c>
      <c r="B166" s="1">
        <v>46022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491</v>
      </c>
      <c r="J166" t="s">
        <v>492</v>
      </c>
      <c r="M166" t="s">
        <v>493</v>
      </c>
      <c r="O166" t="s">
        <v>155</v>
      </c>
      <c r="P166" t="s">
        <v>156</v>
      </c>
      <c r="Q166" t="s">
        <v>49</v>
      </c>
      <c r="R166" t="s">
        <v>237</v>
      </c>
      <c r="S166" s="1">
        <v>46023</v>
      </c>
      <c r="U166" t="s">
        <v>51</v>
      </c>
      <c r="X166" t="s">
        <v>52</v>
      </c>
      <c r="Y166" s="2">
        <v>0</v>
      </c>
      <c r="Z166" s="2">
        <v>25</v>
      </c>
      <c r="AA166">
        <v>1</v>
      </c>
      <c r="AB166" s="3">
        <v>1</v>
      </c>
      <c r="AC166" s="2">
        <v>25</v>
      </c>
      <c r="AD166" s="3">
        <v>0</v>
      </c>
      <c r="AE166" s="2">
        <v>0</v>
      </c>
      <c r="AF166" s="2">
        <v>25</v>
      </c>
      <c r="AK166">
        <v>6121830</v>
      </c>
    </row>
    <row r="167" spans="1:37" x14ac:dyDescent="0.25">
      <c r="A167" s="1">
        <v>46020</v>
      </c>
      <c r="B167" s="1">
        <v>46022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494</v>
      </c>
      <c r="J167" t="s">
        <v>495</v>
      </c>
      <c r="M167" t="s">
        <v>496</v>
      </c>
      <c r="O167" t="s">
        <v>47</v>
      </c>
      <c r="P167" t="s">
        <v>48</v>
      </c>
      <c r="Q167" t="s">
        <v>49</v>
      </c>
      <c r="R167" t="s">
        <v>237</v>
      </c>
      <c r="S167" s="1">
        <v>46023</v>
      </c>
      <c r="U167" t="s">
        <v>51</v>
      </c>
      <c r="X167" t="s">
        <v>52</v>
      </c>
      <c r="Y167" s="2">
        <v>0</v>
      </c>
      <c r="Z167" s="2">
        <v>25</v>
      </c>
      <c r="AA167">
        <v>1</v>
      </c>
      <c r="AB167" s="3">
        <v>1</v>
      </c>
      <c r="AC167" s="2">
        <v>25</v>
      </c>
      <c r="AD167" s="3">
        <v>0</v>
      </c>
      <c r="AE167" s="2">
        <v>0</v>
      </c>
      <c r="AF167" s="2">
        <v>25</v>
      </c>
      <c r="AK167">
        <v>6121839</v>
      </c>
    </row>
    <row r="168" spans="1:37" x14ac:dyDescent="0.25">
      <c r="A168" s="1">
        <v>46020</v>
      </c>
      <c r="B168" s="1">
        <v>46022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497</v>
      </c>
      <c r="J168" t="s">
        <v>498</v>
      </c>
      <c r="M168" t="s">
        <v>46</v>
      </c>
      <c r="O168" t="s">
        <v>65</v>
      </c>
      <c r="P168" t="s">
        <v>66</v>
      </c>
      <c r="Q168" t="s">
        <v>49</v>
      </c>
      <c r="R168" t="s">
        <v>237</v>
      </c>
      <c r="S168" s="1">
        <v>46023</v>
      </c>
      <c r="U168" t="s">
        <v>51</v>
      </c>
      <c r="X168" t="s">
        <v>52</v>
      </c>
      <c r="Y168" s="2">
        <v>0</v>
      </c>
      <c r="Z168" s="2">
        <v>25</v>
      </c>
      <c r="AA168">
        <v>1</v>
      </c>
      <c r="AB168" s="3">
        <v>1</v>
      </c>
      <c r="AC168" s="2">
        <v>25</v>
      </c>
      <c r="AD168" s="3">
        <v>0</v>
      </c>
      <c r="AE168" s="2">
        <v>0</v>
      </c>
      <c r="AF168" s="2">
        <v>25</v>
      </c>
      <c r="AK168">
        <v>6121861</v>
      </c>
    </row>
    <row r="169" spans="1:37" x14ac:dyDescent="0.25">
      <c r="A169" s="1">
        <v>46020</v>
      </c>
      <c r="B169" s="1">
        <v>46022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499</v>
      </c>
      <c r="J169" t="s">
        <v>500</v>
      </c>
      <c r="M169" t="s">
        <v>64</v>
      </c>
      <c r="O169" t="s">
        <v>386</v>
      </c>
      <c r="P169" t="s">
        <v>387</v>
      </c>
      <c r="Q169" t="s">
        <v>49</v>
      </c>
      <c r="R169" t="s">
        <v>237</v>
      </c>
      <c r="S169" s="1">
        <v>46023</v>
      </c>
      <c r="U169" t="s">
        <v>51</v>
      </c>
      <c r="X169" t="s">
        <v>52</v>
      </c>
      <c r="Y169" s="2">
        <v>0</v>
      </c>
      <c r="Z169" s="2">
        <v>25</v>
      </c>
      <c r="AA169">
        <v>1</v>
      </c>
      <c r="AB169" s="3">
        <v>1</v>
      </c>
      <c r="AC169" s="2">
        <v>25</v>
      </c>
      <c r="AD169" s="3">
        <v>0</v>
      </c>
      <c r="AE169" s="2">
        <v>0</v>
      </c>
      <c r="AF169" s="2">
        <v>25</v>
      </c>
      <c r="AK169">
        <v>6121864</v>
      </c>
    </row>
    <row r="170" spans="1:37" x14ac:dyDescent="0.25">
      <c r="A170" s="1">
        <v>46020</v>
      </c>
      <c r="B170" s="1">
        <v>46022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501</v>
      </c>
      <c r="J170" t="s">
        <v>502</v>
      </c>
      <c r="M170" t="s">
        <v>59</v>
      </c>
      <c r="O170" t="s">
        <v>457</v>
      </c>
      <c r="P170" t="s">
        <v>458</v>
      </c>
      <c r="Q170" t="s">
        <v>49</v>
      </c>
      <c r="R170" t="s">
        <v>237</v>
      </c>
      <c r="S170" s="1">
        <v>46023</v>
      </c>
      <c r="U170" t="s">
        <v>51</v>
      </c>
      <c r="X170" t="s">
        <v>52</v>
      </c>
      <c r="Y170" s="2">
        <v>0</v>
      </c>
      <c r="Z170" s="2">
        <v>25</v>
      </c>
      <c r="AA170">
        <v>1</v>
      </c>
      <c r="AB170" s="3">
        <v>1</v>
      </c>
      <c r="AC170" s="2">
        <v>25</v>
      </c>
      <c r="AD170" s="3">
        <v>0</v>
      </c>
      <c r="AE170" s="2">
        <v>0</v>
      </c>
      <c r="AF170" s="2">
        <v>25</v>
      </c>
      <c r="AK170">
        <v>6121868</v>
      </c>
    </row>
    <row r="171" spans="1:37" x14ac:dyDescent="0.25">
      <c r="A171" s="1">
        <v>46020</v>
      </c>
      <c r="B171" s="1">
        <v>46022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503</v>
      </c>
      <c r="J171" t="s">
        <v>504</v>
      </c>
      <c r="M171" t="s">
        <v>505</v>
      </c>
      <c r="O171" t="s">
        <v>41</v>
      </c>
      <c r="P171" t="s">
        <v>43</v>
      </c>
      <c r="Q171" t="s">
        <v>49</v>
      </c>
      <c r="R171" t="s">
        <v>237</v>
      </c>
      <c r="S171" s="1">
        <v>46023</v>
      </c>
      <c r="U171" t="s">
        <v>51</v>
      </c>
      <c r="X171" t="s">
        <v>52</v>
      </c>
      <c r="Y171" s="2">
        <v>0</v>
      </c>
      <c r="Z171" s="2">
        <v>25</v>
      </c>
      <c r="AA171">
        <v>1</v>
      </c>
      <c r="AB171" s="3">
        <v>1</v>
      </c>
      <c r="AC171" s="2">
        <v>25</v>
      </c>
      <c r="AD171" s="3">
        <v>0</v>
      </c>
      <c r="AE171" s="2">
        <v>0</v>
      </c>
      <c r="AF171" s="2">
        <v>25</v>
      </c>
      <c r="AK171">
        <v>6121871</v>
      </c>
    </row>
    <row r="172" spans="1:37" x14ac:dyDescent="0.25">
      <c r="A172" s="1">
        <v>46020</v>
      </c>
      <c r="B172" s="1">
        <v>46022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506</v>
      </c>
      <c r="J172" t="s">
        <v>507</v>
      </c>
      <c r="M172" t="s">
        <v>59</v>
      </c>
      <c r="O172" t="s">
        <v>122</v>
      </c>
      <c r="P172" t="s">
        <v>123</v>
      </c>
      <c r="Q172" t="s">
        <v>49</v>
      </c>
      <c r="R172" t="s">
        <v>237</v>
      </c>
      <c r="S172" s="1">
        <v>46023</v>
      </c>
      <c r="U172" t="s">
        <v>51</v>
      </c>
      <c r="X172" t="s">
        <v>52</v>
      </c>
      <c r="Y172" s="2">
        <v>0</v>
      </c>
      <c r="Z172" s="2">
        <v>25</v>
      </c>
      <c r="AA172">
        <v>1</v>
      </c>
      <c r="AB172" s="3">
        <v>1</v>
      </c>
      <c r="AC172" s="2">
        <v>25</v>
      </c>
      <c r="AD172" s="3">
        <v>0</v>
      </c>
      <c r="AE172" s="2">
        <v>0</v>
      </c>
      <c r="AF172" s="2">
        <v>25</v>
      </c>
      <c r="AK172">
        <v>6121886</v>
      </c>
    </row>
    <row r="173" spans="1:37" x14ac:dyDescent="0.25">
      <c r="A173" s="1">
        <v>46020</v>
      </c>
      <c r="B173" s="1">
        <v>46022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508</v>
      </c>
      <c r="J173" t="s">
        <v>509</v>
      </c>
      <c r="M173" t="s">
        <v>59</v>
      </c>
      <c r="O173" t="s">
        <v>129</v>
      </c>
      <c r="P173" t="s">
        <v>130</v>
      </c>
      <c r="Q173" t="s">
        <v>49</v>
      </c>
      <c r="R173" t="s">
        <v>237</v>
      </c>
      <c r="S173" s="1">
        <v>46023</v>
      </c>
      <c r="U173" t="s">
        <v>51</v>
      </c>
      <c r="X173" t="s">
        <v>52</v>
      </c>
      <c r="Y173" s="2">
        <v>0</v>
      </c>
      <c r="Z173" s="2">
        <v>25</v>
      </c>
      <c r="AA173">
        <v>1</v>
      </c>
      <c r="AB173" s="3">
        <v>1</v>
      </c>
      <c r="AC173" s="2">
        <v>25</v>
      </c>
      <c r="AD173" s="3">
        <v>0</v>
      </c>
      <c r="AE173" s="2">
        <v>0</v>
      </c>
      <c r="AF173" s="2">
        <v>25</v>
      </c>
      <c r="AK173">
        <v>6121892</v>
      </c>
    </row>
    <row r="174" spans="1:37" x14ac:dyDescent="0.25">
      <c r="A174" s="1">
        <v>46020</v>
      </c>
      <c r="B174" s="1">
        <v>46022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510</v>
      </c>
      <c r="J174" t="s">
        <v>511</v>
      </c>
      <c r="M174" t="s">
        <v>59</v>
      </c>
      <c r="O174" t="s">
        <v>235</v>
      </c>
      <c r="P174" t="s">
        <v>236</v>
      </c>
      <c r="Q174" t="s">
        <v>49</v>
      </c>
      <c r="R174" t="s">
        <v>244</v>
      </c>
      <c r="S174" s="1">
        <v>45962</v>
      </c>
      <c r="U174" t="s">
        <v>51</v>
      </c>
      <c r="X174" t="s">
        <v>52</v>
      </c>
      <c r="Y174" s="2">
        <v>0</v>
      </c>
      <c r="Z174" s="2">
        <v>15</v>
      </c>
      <c r="AA174">
        <v>1</v>
      </c>
      <c r="AB174" s="3">
        <v>1</v>
      </c>
      <c r="AC174" s="2">
        <v>15</v>
      </c>
      <c r="AD174" s="3">
        <v>0</v>
      </c>
      <c r="AE174" s="2">
        <v>0</v>
      </c>
      <c r="AF174" s="2">
        <v>15</v>
      </c>
      <c r="AK174">
        <v>6122386</v>
      </c>
    </row>
    <row r="175" spans="1:37" x14ac:dyDescent="0.25">
      <c r="A175" s="1">
        <v>46020</v>
      </c>
      <c r="B175" s="1">
        <v>46022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512</v>
      </c>
      <c r="J175" t="s">
        <v>513</v>
      </c>
      <c r="M175" t="s">
        <v>200</v>
      </c>
      <c r="O175" t="s">
        <v>201</v>
      </c>
      <c r="P175" t="s">
        <v>202</v>
      </c>
      <c r="Q175" t="s">
        <v>49</v>
      </c>
      <c r="R175" t="s">
        <v>244</v>
      </c>
      <c r="S175" s="1">
        <v>45962</v>
      </c>
      <c r="U175" t="s">
        <v>51</v>
      </c>
      <c r="X175" t="s">
        <v>52</v>
      </c>
      <c r="Y175" s="2">
        <v>0</v>
      </c>
      <c r="Z175" s="2">
        <v>15</v>
      </c>
      <c r="AA175">
        <v>1</v>
      </c>
      <c r="AB175" s="3">
        <v>1</v>
      </c>
      <c r="AC175" s="2">
        <v>15</v>
      </c>
      <c r="AD175" s="3">
        <v>0</v>
      </c>
      <c r="AE175" s="2">
        <v>0</v>
      </c>
      <c r="AF175" s="2">
        <v>15</v>
      </c>
      <c r="AK175">
        <v>6122392</v>
      </c>
    </row>
    <row r="176" spans="1:37" x14ac:dyDescent="0.25">
      <c r="A176" s="1">
        <v>46020</v>
      </c>
      <c r="B176" s="1">
        <v>46022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514</v>
      </c>
      <c r="J176" t="s">
        <v>515</v>
      </c>
      <c r="M176" t="s">
        <v>121</v>
      </c>
      <c r="O176" t="s">
        <v>516</v>
      </c>
      <c r="P176" t="s">
        <v>517</v>
      </c>
      <c r="Q176" t="s">
        <v>49</v>
      </c>
      <c r="R176" t="s">
        <v>237</v>
      </c>
      <c r="S176" s="1">
        <v>46023</v>
      </c>
      <c r="U176" t="s">
        <v>51</v>
      </c>
      <c r="X176" t="s">
        <v>52</v>
      </c>
      <c r="Y176" s="2">
        <v>0</v>
      </c>
      <c r="Z176" s="2">
        <v>25</v>
      </c>
      <c r="AA176">
        <v>1</v>
      </c>
      <c r="AB176" s="3">
        <v>1</v>
      </c>
      <c r="AC176" s="2">
        <v>25</v>
      </c>
      <c r="AD176" s="3">
        <v>0</v>
      </c>
      <c r="AE176" s="2">
        <v>0</v>
      </c>
      <c r="AF176" s="2">
        <v>25</v>
      </c>
      <c r="AK176">
        <v>6121923</v>
      </c>
    </row>
    <row r="177" spans="1:37" x14ac:dyDescent="0.25">
      <c r="A177" s="1">
        <v>46020</v>
      </c>
      <c r="B177" s="1">
        <v>46022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518</v>
      </c>
      <c r="J177" t="s">
        <v>519</v>
      </c>
      <c r="M177" t="s">
        <v>200</v>
      </c>
      <c r="O177" t="s">
        <v>520</v>
      </c>
      <c r="P177" t="s">
        <v>521</v>
      </c>
      <c r="Q177" t="s">
        <v>49</v>
      </c>
      <c r="R177" t="s">
        <v>244</v>
      </c>
      <c r="S177" s="1">
        <v>45962</v>
      </c>
      <c r="U177" t="s">
        <v>51</v>
      </c>
      <c r="X177" t="s">
        <v>52</v>
      </c>
      <c r="Y177" s="2">
        <v>0</v>
      </c>
      <c r="Z177" s="2">
        <v>15</v>
      </c>
      <c r="AA177">
        <v>1</v>
      </c>
      <c r="AB177" s="3">
        <v>1</v>
      </c>
      <c r="AC177" s="2">
        <v>15</v>
      </c>
      <c r="AD177" s="3">
        <v>0</v>
      </c>
      <c r="AE177" s="2">
        <v>0</v>
      </c>
      <c r="AF177" s="2">
        <v>15</v>
      </c>
      <c r="AK177">
        <v>6122399</v>
      </c>
    </row>
    <row r="178" spans="1:37" x14ac:dyDescent="0.25">
      <c r="A178" s="1">
        <v>46020</v>
      </c>
      <c r="B178" s="1">
        <v>46022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522</v>
      </c>
      <c r="J178" t="s">
        <v>523</v>
      </c>
      <c r="M178" t="s">
        <v>121</v>
      </c>
      <c r="O178" t="s">
        <v>524</v>
      </c>
      <c r="P178" t="s">
        <v>525</v>
      </c>
      <c r="Q178" t="s">
        <v>49</v>
      </c>
      <c r="R178" t="s">
        <v>244</v>
      </c>
      <c r="S178" s="1">
        <v>45992</v>
      </c>
      <c r="U178" t="s">
        <v>51</v>
      </c>
      <c r="X178" t="s">
        <v>52</v>
      </c>
      <c r="Y178" s="2">
        <v>0</v>
      </c>
      <c r="Z178" s="2">
        <v>15</v>
      </c>
      <c r="AA178">
        <v>1</v>
      </c>
      <c r="AB178" s="3">
        <v>1</v>
      </c>
      <c r="AC178" s="2">
        <v>15</v>
      </c>
      <c r="AD178" s="3">
        <v>0</v>
      </c>
      <c r="AE178" s="2">
        <v>0</v>
      </c>
      <c r="AF178" s="2">
        <v>15</v>
      </c>
      <c r="AK178">
        <v>6122400</v>
      </c>
    </row>
    <row r="179" spans="1:37" x14ac:dyDescent="0.25">
      <c r="A179" s="1">
        <v>46020</v>
      </c>
      <c r="B179" s="1">
        <v>46022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526</v>
      </c>
      <c r="J179" t="s">
        <v>527</v>
      </c>
      <c r="M179" t="s">
        <v>59</v>
      </c>
      <c r="O179" t="s">
        <v>265</v>
      </c>
      <c r="P179" t="s">
        <v>266</v>
      </c>
      <c r="Q179" t="s">
        <v>49</v>
      </c>
      <c r="R179" t="s">
        <v>244</v>
      </c>
      <c r="S179" s="1">
        <v>45962</v>
      </c>
      <c r="U179" t="s">
        <v>51</v>
      </c>
      <c r="X179" t="s">
        <v>52</v>
      </c>
      <c r="Y179" s="2">
        <v>0</v>
      </c>
      <c r="Z179" s="2">
        <v>15</v>
      </c>
      <c r="AA179">
        <v>1</v>
      </c>
      <c r="AB179" s="3">
        <v>1</v>
      </c>
      <c r="AC179" s="2">
        <v>15</v>
      </c>
      <c r="AD179" s="3">
        <v>0</v>
      </c>
      <c r="AE179" s="2">
        <v>0</v>
      </c>
      <c r="AF179" s="2">
        <v>15</v>
      </c>
      <c r="AK179">
        <v>6122401</v>
      </c>
    </row>
    <row r="180" spans="1:37" x14ac:dyDescent="0.25">
      <c r="A180" s="1">
        <v>46020</v>
      </c>
      <c r="B180" s="1">
        <v>46022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528</v>
      </c>
      <c r="J180" t="s">
        <v>529</v>
      </c>
      <c r="M180" t="s">
        <v>200</v>
      </c>
      <c r="O180" t="s">
        <v>530</v>
      </c>
      <c r="P180" t="s">
        <v>531</v>
      </c>
      <c r="Q180" t="s">
        <v>49</v>
      </c>
      <c r="R180" t="s">
        <v>244</v>
      </c>
      <c r="S180" s="1">
        <v>45992</v>
      </c>
      <c r="U180" t="s">
        <v>51</v>
      </c>
      <c r="X180" t="s">
        <v>52</v>
      </c>
      <c r="Y180" s="2">
        <v>0</v>
      </c>
      <c r="Z180" s="2">
        <v>15</v>
      </c>
      <c r="AA180">
        <v>1</v>
      </c>
      <c r="AB180" s="3">
        <v>1</v>
      </c>
      <c r="AC180" s="2">
        <v>15</v>
      </c>
      <c r="AD180" s="3">
        <v>0</v>
      </c>
      <c r="AE180" s="2">
        <v>0</v>
      </c>
      <c r="AF180" s="2">
        <v>15</v>
      </c>
      <c r="AK180">
        <v>6122406</v>
      </c>
    </row>
    <row r="181" spans="1:37" x14ac:dyDescent="0.25">
      <c r="A181" s="1">
        <v>46020</v>
      </c>
      <c r="B181" s="1">
        <v>46022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532</v>
      </c>
      <c r="J181" t="s">
        <v>533</v>
      </c>
      <c r="M181" t="s">
        <v>200</v>
      </c>
      <c r="O181" t="s">
        <v>240</v>
      </c>
      <c r="P181" t="s">
        <v>241</v>
      </c>
      <c r="Q181" t="s">
        <v>49</v>
      </c>
      <c r="R181" t="s">
        <v>237</v>
      </c>
      <c r="S181" s="1">
        <v>45992</v>
      </c>
      <c r="U181" t="s">
        <v>51</v>
      </c>
      <c r="X181" t="s">
        <v>52</v>
      </c>
      <c r="Y181" s="2">
        <v>0</v>
      </c>
      <c r="Z181" s="2">
        <v>25</v>
      </c>
      <c r="AA181">
        <v>1</v>
      </c>
      <c r="AB181" s="3">
        <v>1</v>
      </c>
      <c r="AC181" s="2">
        <v>25</v>
      </c>
      <c r="AD181" s="3">
        <v>0</v>
      </c>
      <c r="AE181" s="2">
        <v>0</v>
      </c>
      <c r="AF181" s="2">
        <v>25</v>
      </c>
      <c r="AK181">
        <v>6122408</v>
      </c>
    </row>
    <row r="182" spans="1:37" x14ac:dyDescent="0.25">
      <c r="A182" s="1">
        <v>46020</v>
      </c>
      <c r="B182" s="1">
        <v>46022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534</v>
      </c>
      <c r="J182" t="s">
        <v>535</v>
      </c>
      <c r="M182" t="s">
        <v>200</v>
      </c>
      <c r="O182" t="s">
        <v>201</v>
      </c>
      <c r="P182" t="s">
        <v>202</v>
      </c>
      <c r="Q182" t="s">
        <v>49</v>
      </c>
      <c r="R182" t="s">
        <v>244</v>
      </c>
      <c r="S182" s="1">
        <v>45992</v>
      </c>
      <c r="U182" t="s">
        <v>51</v>
      </c>
      <c r="X182" t="s">
        <v>52</v>
      </c>
      <c r="Y182" s="2">
        <v>0</v>
      </c>
      <c r="Z182" s="2">
        <v>15</v>
      </c>
      <c r="AA182">
        <v>1</v>
      </c>
      <c r="AB182" s="3">
        <v>1</v>
      </c>
      <c r="AC182" s="2">
        <v>15</v>
      </c>
      <c r="AD182" s="3">
        <v>0</v>
      </c>
      <c r="AE182" s="2">
        <v>0</v>
      </c>
      <c r="AF182" s="2">
        <v>15</v>
      </c>
      <c r="AK182">
        <v>6122416</v>
      </c>
    </row>
    <row r="183" spans="1:37" x14ac:dyDescent="0.25">
      <c r="A183" s="1">
        <v>46020</v>
      </c>
      <c r="B183" s="1">
        <v>46022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536</v>
      </c>
      <c r="J183" t="s">
        <v>537</v>
      </c>
      <c r="M183" t="s">
        <v>59</v>
      </c>
      <c r="O183" t="s">
        <v>516</v>
      </c>
      <c r="P183" t="s">
        <v>517</v>
      </c>
      <c r="Q183" t="s">
        <v>49</v>
      </c>
      <c r="R183" t="s">
        <v>244</v>
      </c>
      <c r="S183" s="1">
        <v>45992</v>
      </c>
      <c r="U183" t="s">
        <v>51</v>
      </c>
      <c r="X183" t="s">
        <v>52</v>
      </c>
      <c r="Y183" s="2">
        <v>0</v>
      </c>
      <c r="Z183" s="2">
        <v>15</v>
      </c>
      <c r="AA183">
        <v>1</v>
      </c>
      <c r="AB183" s="3">
        <v>1</v>
      </c>
      <c r="AC183" s="2">
        <v>15</v>
      </c>
      <c r="AD183" s="3">
        <v>0</v>
      </c>
      <c r="AE183" s="2">
        <v>0</v>
      </c>
      <c r="AF183" s="2">
        <v>15</v>
      </c>
      <c r="AK183">
        <v>6122425</v>
      </c>
    </row>
    <row r="184" spans="1:37" x14ac:dyDescent="0.25">
      <c r="A184" s="1">
        <v>46020</v>
      </c>
      <c r="B184" s="1">
        <v>46022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538</v>
      </c>
      <c r="J184" t="s">
        <v>539</v>
      </c>
      <c r="M184" t="s">
        <v>64</v>
      </c>
      <c r="O184" t="s">
        <v>540</v>
      </c>
      <c r="P184" t="s">
        <v>541</v>
      </c>
      <c r="Q184" t="s">
        <v>49</v>
      </c>
      <c r="R184" t="s">
        <v>244</v>
      </c>
      <c r="S184" s="1">
        <v>45992</v>
      </c>
      <c r="U184" t="s">
        <v>51</v>
      </c>
      <c r="X184" t="s">
        <v>52</v>
      </c>
      <c r="Y184" s="2">
        <v>0</v>
      </c>
      <c r="Z184" s="2">
        <v>15</v>
      </c>
      <c r="AA184">
        <v>1</v>
      </c>
      <c r="AB184" s="3">
        <v>1</v>
      </c>
      <c r="AC184" s="2">
        <v>15</v>
      </c>
      <c r="AD184" s="3">
        <v>0</v>
      </c>
      <c r="AE184" s="2">
        <v>0</v>
      </c>
      <c r="AF184" s="2">
        <v>15</v>
      </c>
      <c r="AK184">
        <v>6122430</v>
      </c>
    </row>
    <row r="185" spans="1:37" x14ac:dyDescent="0.25">
      <c r="A185" s="1">
        <v>46020</v>
      </c>
      <c r="B185" s="1">
        <v>46022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542</v>
      </c>
      <c r="J185" t="s">
        <v>543</v>
      </c>
      <c r="O185" t="s">
        <v>65</v>
      </c>
      <c r="P185" t="s">
        <v>66</v>
      </c>
      <c r="Q185" t="s">
        <v>49</v>
      </c>
      <c r="R185" t="s">
        <v>237</v>
      </c>
      <c r="S185" s="1">
        <v>46023</v>
      </c>
      <c r="U185" t="s">
        <v>51</v>
      </c>
      <c r="X185" t="s">
        <v>52</v>
      </c>
      <c r="Y185" s="2">
        <v>0</v>
      </c>
      <c r="Z185" s="2">
        <v>25</v>
      </c>
      <c r="AA185">
        <v>1</v>
      </c>
      <c r="AB185" s="3">
        <v>1</v>
      </c>
      <c r="AC185" s="2">
        <v>25</v>
      </c>
      <c r="AD185" s="3">
        <v>0</v>
      </c>
      <c r="AE185" s="2">
        <v>0</v>
      </c>
      <c r="AF185" s="2">
        <v>25</v>
      </c>
      <c r="AK185">
        <v>6122436</v>
      </c>
    </row>
    <row r="186" spans="1:37" x14ac:dyDescent="0.25">
      <c r="A186" s="1">
        <v>46020</v>
      </c>
      <c r="B186" s="1">
        <v>46022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544</v>
      </c>
      <c r="J186" t="s">
        <v>543</v>
      </c>
      <c r="O186" t="s">
        <v>65</v>
      </c>
      <c r="P186" t="s">
        <v>66</v>
      </c>
      <c r="Q186" t="s">
        <v>49</v>
      </c>
      <c r="R186" t="s">
        <v>237</v>
      </c>
      <c r="S186" s="1">
        <v>45992</v>
      </c>
      <c r="U186" t="s">
        <v>51</v>
      </c>
      <c r="X186" t="s">
        <v>52</v>
      </c>
      <c r="Y186" s="2">
        <v>0</v>
      </c>
      <c r="Z186" s="2">
        <v>25</v>
      </c>
      <c r="AA186">
        <v>1</v>
      </c>
      <c r="AB186" s="3">
        <v>1</v>
      </c>
      <c r="AC186" s="2">
        <v>25</v>
      </c>
      <c r="AD186" s="3">
        <v>0</v>
      </c>
      <c r="AE186" s="2">
        <v>0</v>
      </c>
      <c r="AF186" s="2">
        <v>25</v>
      </c>
      <c r="AK186">
        <v>6122435</v>
      </c>
    </row>
    <row r="187" spans="1:37" x14ac:dyDescent="0.25">
      <c r="A187" s="1">
        <v>46020</v>
      </c>
      <c r="B187" s="1">
        <v>46022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545</v>
      </c>
      <c r="J187" t="s">
        <v>546</v>
      </c>
      <c r="O187" t="s">
        <v>547</v>
      </c>
      <c r="P187" t="s">
        <v>548</v>
      </c>
      <c r="Q187" t="s">
        <v>49</v>
      </c>
      <c r="R187" t="s">
        <v>237</v>
      </c>
      <c r="S187" s="1">
        <v>45992</v>
      </c>
      <c r="U187" t="s">
        <v>51</v>
      </c>
      <c r="X187" t="s">
        <v>52</v>
      </c>
      <c r="Y187" s="2">
        <v>0</v>
      </c>
      <c r="Z187" s="2">
        <v>25</v>
      </c>
      <c r="AA187">
        <v>1</v>
      </c>
      <c r="AB187" s="3">
        <v>1</v>
      </c>
      <c r="AC187" s="2">
        <v>25</v>
      </c>
      <c r="AD187" s="3">
        <v>0</v>
      </c>
      <c r="AE187" s="2">
        <v>0</v>
      </c>
      <c r="AF187" s="2">
        <v>25</v>
      </c>
      <c r="AK187">
        <v>6122438</v>
      </c>
    </row>
    <row r="188" spans="1:37" x14ac:dyDescent="0.25">
      <c r="A188" s="1">
        <v>46020</v>
      </c>
      <c r="B188" s="1">
        <v>46022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549</v>
      </c>
      <c r="J188" t="s">
        <v>550</v>
      </c>
      <c r="O188" t="s">
        <v>547</v>
      </c>
      <c r="P188" t="s">
        <v>548</v>
      </c>
      <c r="Q188" t="s">
        <v>49</v>
      </c>
      <c r="R188" t="s">
        <v>237</v>
      </c>
      <c r="S188" s="1">
        <v>45992</v>
      </c>
      <c r="U188" t="s">
        <v>51</v>
      </c>
      <c r="X188" t="s">
        <v>52</v>
      </c>
      <c r="Y188" s="2">
        <v>0</v>
      </c>
      <c r="Z188" s="2">
        <v>25</v>
      </c>
      <c r="AA188">
        <v>1</v>
      </c>
      <c r="AB188" s="3">
        <v>1</v>
      </c>
      <c r="AC188" s="2">
        <v>25</v>
      </c>
      <c r="AD188" s="3">
        <v>0</v>
      </c>
      <c r="AE188" s="2">
        <v>0</v>
      </c>
      <c r="AF188" s="2">
        <v>25</v>
      </c>
      <c r="AK188">
        <v>6122439</v>
      </c>
    </row>
    <row r="189" spans="1:37" x14ac:dyDescent="0.25">
      <c r="A189" s="1">
        <v>46020</v>
      </c>
      <c r="B189" s="1">
        <v>46022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551</v>
      </c>
      <c r="J189" t="s">
        <v>552</v>
      </c>
      <c r="O189" t="s">
        <v>146</v>
      </c>
      <c r="P189" t="s">
        <v>147</v>
      </c>
      <c r="Q189" t="s">
        <v>49</v>
      </c>
      <c r="R189" t="s">
        <v>237</v>
      </c>
      <c r="S189" s="1">
        <v>46023</v>
      </c>
      <c r="U189" t="s">
        <v>51</v>
      </c>
      <c r="X189" t="s">
        <v>52</v>
      </c>
      <c r="Y189" s="2">
        <v>0</v>
      </c>
      <c r="Z189" s="2">
        <v>25</v>
      </c>
      <c r="AA189">
        <v>1</v>
      </c>
      <c r="AB189" s="3">
        <v>1</v>
      </c>
      <c r="AC189" s="2">
        <v>25</v>
      </c>
      <c r="AD189" s="3">
        <v>0</v>
      </c>
      <c r="AE189" s="2">
        <v>0</v>
      </c>
      <c r="AF189" s="2">
        <v>25</v>
      </c>
      <c r="AK189">
        <v>6122441</v>
      </c>
    </row>
    <row r="190" spans="1:37" x14ac:dyDescent="0.25">
      <c r="A190" s="1">
        <v>46020</v>
      </c>
      <c r="B190" s="1">
        <v>46022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553</v>
      </c>
      <c r="J190" t="s">
        <v>552</v>
      </c>
      <c r="O190" t="s">
        <v>146</v>
      </c>
      <c r="P190" t="s">
        <v>147</v>
      </c>
      <c r="Q190" t="s">
        <v>49</v>
      </c>
      <c r="R190" t="s">
        <v>237</v>
      </c>
      <c r="S190" s="1">
        <v>45992</v>
      </c>
      <c r="U190" t="s">
        <v>51</v>
      </c>
      <c r="X190" t="s">
        <v>52</v>
      </c>
      <c r="Y190" s="2">
        <v>0</v>
      </c>
      <c r="Z190" s="2">
        <v>25</v>
      </c>
      <c r="AA190">
        <v>1</v>
      </c>
      <c r="AB190" s="3">
        <v>1</v>
      </c>
      <c r="AC190" s="2">
        <v>25</v>
      </c>
      <c r="AD190" s="3">
        <v>0</v>
      </c>
      <c r="AE190" s="2">
        <v>0</v>
      </c>
      <c r="AF190" s="2">
        <v>25</v>
      </c>
      <c r="AK190">
        <v>6122440</v>
      </c>
    </row>
    <row r="191" spans="1:37" x14ac:dyDescent="0.25">
      <c r="A191" s="1">
        <v>46020</v>
      </c>
      <c r="B191" s="1">
        <v>46022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554</v>
      </c>
      <c r="J191" t="s">
        <v>555</v>
      </c>
      <c r="O191" t="s">
        <v>155</v>
      </c>
      <c r="P191" t="s">
        <v>156</v>
      </c>
      <c r="Q191" t="s">
        <v>49</v>
      </c>
      <c r="R191" t="s">
        <v>237</v>
      </c>
      <c r="S191" s="1">
        <v>45992</v>
      </c>
      <c r="U191" t="s">
        <v>51</v>
      </c>
      <c r="X191" t="s">
        <v>52</v>
      </c>
      <c r="Y191" s="2">
        <v>0</v>
      </c>
      <c r="Z191" s="2">
        <v>25</v>
      </c>
      <c r="AA191">
        <v>1</v>
      </c>
      <c r="AB191" s="3">
        <v>1</v>
      </c>
      <c r="AC191" s="2">
        <v>25</v>
      </c>
      <c r="AD191" s="3">
        <v>0</v>
      </c>
      <c r="AE191" s="2">
        <v>0</v>
      </c>
      <c r="AF191" s="2">
        <v>25</v>
      </c>
      <c r="AK191">
        <v>6122444</v>
      </c>
    </row>
    <row r="192" spans="1:37" x14ac:dyDescent="0.25">
      <c r="A192" s="1">
        <v>46020</v>
      </c>
      <c r="B192" s="1">
        <v>46022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556</v>
      </c>
      <c r="J192" t="s">
        <v>557</v>
      </c>
      <c r="O192" t="s">
        <v>240</v>
      </c>
      <c r="P192" t="s">
        <v>241</v>
      </c>
      <c r="Q192" t="s">
        <v>49</v>
      </c>
      <c r="R192" t="s">
        <v>237</v>
      </c>
      <c r="S192" s="1">
        <v>45992</v>
      </c>
      <c r="U192" t="s">
        <v>51</v>
      </c>
      <c r="X192" t="s">
        <v>52</v>
      </c>
      <c r="Y192" s="2">
        <v>0</v>
      </c>
      <c r="Z192" s="2">
        <v>25</v>
      </c>
      <c r="AA192">
        <v>1</v>
      </c>
      <c r="AB192" s="3">
        <v>1</v>
      </c>
      <c r="AC192" s="2">
        <v>25</v>
      </c>
      <c r="AD192" s="3">
        <v>0</v>
      </c>
      <c r="AE192" s="2">
        <v>0</v>
      </c>
      <c r="AF192" s="2">
        <v>25</v>
      </c>
      <c r="AK192">
        <v>6122451</v>
      </c>
    </row>
    <row r="193" spans="1:37" x14ac:dyDescent="0.25">
      <c r="A193" s="1">
        <v>46020</v>
      </c>
      <c r="B193" s="1">
        <v>46022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558</v>
      </c>
      <c r="J193" t="s">
        <v>559</v>
      </c>
      <c r="O193" t="s">
        <v>146</v>
      </c>
      <c r="P193" t="s">
        <v>147</v>
      </c>
      <c r="Q193" t="s">
        <v>49</v>
      </c>
      <c r="R193" t="s">
        <v>237</v>
      </c>
      <c r="S193" s="1">
        <v>45992</v>
      </c>
      <c r="U193" t="s">
        <v>51</v>
      </c>
      <c r="X193" t="s">
        <v>52</v>
      </c>
      <c r="Y193" s="2">
        <v>0</v>
      </c>
      <c r="Z193" s="2">
        <v>25</v>
      </c>
      <c r="AA193">
        <v>1</v>
      </c>
      <c r="AB193" s="3">
        <v>1</v>
      </c>
      <c r="AC193" s="2">
        <v>25</v>
      </c>
      <c r="AD193" s="3">
        <v>0</v>
      </c>
      <c r="AE193" s="2">
        <v>0</v>
      </c>
      <c r="AF193" s="2">
        <v>25</v>
      </c>
      <c r="AK193">
        <v>6122452</v>
      </c>
    </row>
    <row r="194" spans="1:37" x14ac:dyDescent="0.25">
      <c r="A194" s="1">
        <v>46020</v>
      </c>
      <c r="B194" s="1">
        <v>46022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560</v>
      </c>
      <c r="J194" t="s">
        <v>561</v>
      </c>
      <c r="M194" t="s">
        <v>200</v>
      </c>
      <c r="O194" t="s">
        <v>530</v>
      </c>
      <c r="P194" t="s">
        <v>531</v>
      </c>
      <c r="Q194" t="s">
        <v>49</v>
      </c>
      <c r="R194" t="s">
        <v>237</v>
      </c>
      <c r="S194" s="1">
        <v>46023</v>
      </c>
      <c r="U194" t="s">
        <v>51</v>
      </c>
      <c r="X194" t="s">
        <v>52</v>
      </c>
      <c r="Y194" s="2">
        <v>0</v>
      </c>
      <c r="Z194" s="2">
        <v>25</v>
      </c>
      <c r="AA194">
        <v>1</v>
      </c>
      <c r="AB194" s="3">
        <v>1</v>
      </c>
      <c r="AC194" s="2">
        <v>25</v>
      </c>
      <c r="AD194" s="3">
        <v>0</v>
      </c>
      <c r="AE194" s="2">
        <v>0</v>
      </c>
      <c r="AF194" s="2">
        <v>25</v>
      </c>
      <c r="AK194">
        <v>6121928</v>
      </c>
    </row>
    <row r="195" spans="1:37" x14ac:dyDescent="0.25">
      <c r="A195" s="1">
        <v>46020</v>
      </c>
      <c r="B195" s="1">
        <v>46022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562</v>
      </c>
      <c r="J195" t="s">
        <v>563</v>
      </c>
      <c r="M195" t="s">
        <v>200</v>
      </c>
      <c r="O195" t="s">
        <v>281</v>
      </c>
      <c r="P195" t="s">
        <v>282</v>
      </c>
      <c r="Q195" t="s">
        <v>49</v>
      </c>
      <c r="R195" t="s">
        <v>244</v>
      </c>
      <c r="S195" s="1">
        <v>46023</v>
      </c>
      <c r="U195" t="s">
        <v>51</v>
      </c>
      <c r="X195" t="s">
        <v>52</v>
      </c>
      <c r="Y195" s="2">
        <v>0</v>
      </c>
      <c r="Z195" s="2">
        <v>15</v>
      </c>
      <c r="AA195">
        <v>1</v>
      </c>
      <c r="AB195" s="3">
        <v>1</v>
      </c>
      <c r="AC195" s="2">
        <v>15</v>
      </c>
      <c r="AD195" s="3">
        <v>0</v>
      </c>
      <c r="AE195" s="2">
        <v>0</v>
      </c>
      <c r="AF195" s="2">
        <v>15</v>
      </c>
      <c r="AK195">
        <v>6121929</v>
      </c>
    </row>
    <row r="196" spans="1:37" x14ac:dyDescent="0.25">
      <c r="A196" s="1">
        <v>46020</v>
      </c>
      <c r="B196" s="1">
        <v>46022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564</v>
      </c>
      <c r="J196" t="s">
        <v>565</v>
      </c>
      <c r="M196" t="s">
        <v>200</v>
      </c>
      <c r="O196" t="s">
        <v>281</v>
      </c>
      <c r="P196" t="s">
        <v>282</v>
      </c>
      <c r="Q196" t="s">
        <v>49</v>
      </c>
      <c r="R196" t="s">
        <v>244</v>
      </c>
      <c r="S196" s="1">
        <v>46023</v>
      </c>
      <c r="U196" t="s">
        <v>51</v>
      </c>
      <c r="X196" t="s">
        <v>52</v>
      </c>
      <c r="Y196" s="2">
        <v>0</v>
      </c>
      <c r="Z196" s="2">
        <v>15</v>
      </c>
      <c r="AA196">
        <v>1</v>
      </c>
      <c r="AB196" s="3">
        <v>1</v>
      </c>
      <c r="AC196" s="2">
        <v>15</v>
      </c>
      <c r="AD196" s="3">
        <v>0</v>
      </c>
      <c r="AE196" s="2">
        <v>0</v>
      </c>
      <c r="AF196" s="2">
        <v>15</v>
      </c>
      <c r="AK196">
        <v>6121930</v>
      </c>
    </row>
    <row r="197" spans="1:37" x14ac:dyDescent="0.25">
      <c r="A197" s="1">
        <v>46020</v>
      </c>
      <c r="B197" s="1">
        <v>46022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566</v>
      </c>
      <c r="J197" t="s">
        <v>567</v>
      </c>
      <c r="M197" t="s">
        <v>200</v>
      </c>
      <c r="O197" t="s">
        <v>281</v>
      </c>
      <c r="P197" t="s">
        <v>282</v>
      </c>
      <c r="Q197" t="s">
        <v>49</v>
      </c>
      <c r="R197" t="s">
        <v>244</v>
      </c>
      <c r="S197" s="1">
        <v>46023</v>
      </c>
      <c r="U197" t="s">
        <v>51</v>
      </c>
      <c r="X197" t="s">
        <v>52</v>
      </c>
      <c r="Y197" s="2">
        <v>0</v>
      </c>
      <c r="Z197" s="2">
        <v>15</v>
      </c>
      <c r="AA197">
        <v>1</v>
      </c>
      <c r="AB197" s="3">
        <v>1</v>
      </c>
      <c r="AC197" s="2">
        <v>15</v>
      </c>
      <c r="AD197" s="3">
        <v>0</v>
      </c>
      <c r="AE197" s="2">
        <v>0</v>
      </c>
      <c r="AF197" s="2">
        <v>15</v>
      </c>
      <c r="AK197">
        <v>6121931</v>
      </c>
    </row>
    <row r="198" spans="1:37" x14ac:dyDescent="0.25">
      <c r="A198" s="1">
        <v>46020</v>
      </c>
      <c r="B198" s="1">
        <v>46022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568</v>
      </c>
      <c r="J198" t="s">
        <v>569</v>
      </c>
      <c r="M198" t="s">
        <v>200</v>
      </c>
      <c r="O198" t="s">
        <v>281</v>
      </c>
      <c r="P198" t="s">
        <v>282</v>
      </c>
      <c r="Q198" t="s">
        <v>49</v>
      </c>
      <c r="R198" t="s">
        <v>244</v>
      </c>
      <c r="S198" s="1">
        <v>46023</v>
      </c>
      <c r="U198" t="s">
        <v>51</v>
      </c>
      <c r="X198" t="s">
        <v>52</v>
      </c>
      <c r="Y198" s="2">
        <v>0</v>
      </c>
      <c r="Z198" s="2">
        <v>15</v>
      </c>
      <c r="AA198">
        <v>1</v>
      </c>
      <c r="AB198" s="3">
        <v>1</v>
      </c>
      <c r="AC198" s="2">
        <v>15</v>
      </c>
      <c r="AD198" s="3">
        <v>0</v>
      </c>
      <c r="AE198" s="2">
        <v>0</v>
      </c>
      <c r="AF198" s="2">
        <v>15</v>
      </c>
      <c r="AK198">
        <v>6121932</v>
      </c>
    </row>
    <row r="199" spans="1:37" x14ac:dyDescent="0.25">
      <c r="A199" s="1">
        <v>46020</v>
      </c>
      <c r="B199" s="1">
        <v>46022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570</v>
      </c>
      <c r="J199" t="s">
        <v>571</v>
      </c>
      <c r="M199" t="s">
        <v>59</v>
      </c>
      <c r="O199" t="s">
        <v>194</v>
      </c>
      <c r="P199" t="s">
        <v>195</v>
      </c>
      <c r="Q199" t="s">
        <v>49</v>
      </c>
      <c r="R199" t="s">
        <v>237</v>
      </c>
      <c r="S199" s="1">
        <v>46023</v>
      </c>
      <c r="U199" t="s">
        <v>51</v>
      </c>
      <c r="X199" t="s">
        <v>52</v>
      </c>
      <c r="Y199" s="2">
        <v>0</v>
      </c>
      <c r="Z199" s="2">
        <v>25</v>
      </c>
      <c r="AA199">
        <v>1</v>
      </c>
      <c r="AB199" s="3">
        <v>1</v>
      </c>
      <c r="AC199" s="2">
        <v>25</v>
      </c>
      <c r="AD199" s="3">
        <v>0</v>
      </c>
      <c r="AE199" s="2">
        <v>0</v>
      </c>
      <c r="AF199" s="2">
        <v>25</v>
      </c>
      <c r="AK199">
        <v>6121953</v>
      </c>
    </row>
    <row r="200" spans="1:37" x14ac:dyDescent="0.25">
      <c r="A200" s="1">
        <v>46020</v>
      </c>
      <c r="B200" s="1">
        <v>46022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572</v>
      </c>
      <c r="J200" t="s">
        <v>573</v>
      </c>
      <c r="M200" t="s">
        <v>59</v>
      </c>
      <c r="O200" t="s">
        <v>235</v>
      </c>
      <c r="P200" t="s">
        <v>236</v>
      </c>
      <c r="Q200" t="s">
        <v>49</v>
      </c>
      <c r="R200" t="s">
        <v>237</v>
      </c>
      <c r="S200" s="1">
        <v>46023</v>
      </c>
      <c r="U200" t="s">
        <v>51</v>
      </c>
      <c r="X200" t="s">
        <v>52</v>
      </c>
      <c r="Y200" s="2">
        <v>0</v>
      </c>
      <c r="Z200" s="2">
        <v>25</v>
      </c>
      <c r="AA200">
        <v>1</v>
      </c>
      <c r="AB200" s="3">
        <v>1</v>
      </c>
      <c r="AC200" s="2">
        <v>25</v>
      </c>
      <c r="AD200" s="3">
        <v>0</v>
      </c>
      <c r="AE200" s="2">
        <v>0</v>
      </c>
      <c r="AF200" s="2">
        <v>25</v>
      </c>
      <c r="AK200">
        <v>6121954</v>
      </c>
    </row>
    <row r="201" spans="1:37" x14ac:dyDescent="0.25">
      <c r="A201" s="1">
        <v>46020</v>
      </c>
      <c r="B201" s="1">
        <v>46022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574</v>
      </c>
      <c r="J201" t="s">
        <v>575</v>
      </c>
      <c r="M201" t="s">
        <v>59</v>
      </c>
      <c r="O201" t="s">
        <v>235</v>
      </c>
      <c r="P201" t="s">
        <v>236</v>
      </c>
      <c r="Q201" t="s">
        <v>49</v>
      </c>
      <c r="R201" t="s">
        <v>237</v>
      </c>
      <c r="S201" s="1">
        <v>46023</v>
      </c>
      <c r="U201" t="s">
        <v>51</v>
      </c>
      <c r="X201" t="s">
        <v>52</v>
      </c>
      <c r="Y201" s="2">
        <v>0</v>
      </c>
      <c r="Z201" s="2">
        <v>25</v>
      </c>
      <c r="AA201">
        <v>1</v>
      </c>
      <c r="AB201" s="3">
        <v>1</v>
      </c>
      <c r="AC201" s="2">
        <v>25</v>
      </c>
      <c r="AD201" s="3">
        <v>0</v>
      </c>
      <c r="AE201" s="2">
        <v>0</v>
      </c>
      <c r="AF201" s="2">
        <v>25</v>
      </c>
      <c r="AK201">
        <v>6121955</v>
      </c>
    </row>
    <row r="202" spans="1:37" x14ac:dyDescent="0.25">
      <c r="A202" s="1">
        <v>46020</v>
      </c>
      <c r="B202" s="1">
        <v>46022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576</v>
      </c>
      <c r="J202" t="s">
        <v>577</v>
      </c>
      <c r="M202" t="s">
        <v>59</v>
      </c>
      <c r="O202" t="s">
        <v>194</v>
      </c>
      <c r="P202" t="s">
        <v>195</v>
      </c>
      <c r="Q202" t="s">
        <v>49</v>
      </c>
      <c r="R202" t="s">
        <v>237</v>
      </c>
      <c r="S202" s="1">
        <v>46023</v>
      </c>
      <c r="U202" t="s">
        <v>51</v>
      </c>
      <c r="X202" t="s">
        <v>52</v>
      </c>
      <c r="Y202" s="2">
        <v>0</v>
      </c>
      <c r="Z202" s="2">
        <v>25</v>
      </c>
      <c r="AA202">
        <v>1</v>
      </c>
      <c r="AB202" s="3">
        <v>1</v>
      </c>
      <c r="AC202" s="2">
        <v>25</v>
      </c>
      <c r="AD202" s="3">
        <v>0</v>
      </c>
      <c r="AE202" s="2">
        <v>0</v>
      </c>
      <c r="AF202" s="2">
        <v>25</v>
      </c>
      <c r="AK202">
        <v>6121960</v>
      </c>
    </row>
    <row r="203" spans="1:37" x14ac:dyDescent="0.25">
      <c r="A203" s="1">
        <v>46020</v>
      </c>
      <c r="B203" s="1">
        <v>46022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578</v>
      </c>
      <c r="J203" t="s">
        <v>579</v>
      </c>
      <c r="M203" t="s">
        <v>59</v>
      </c>
      <c r="O203" t="s">
        <v>235</v>
      </c>
      <c r="P203" t="s">
        <v>236</v>
      </c>
      <c r="Q203" t="s">
        <v>49</v>
      </c>
      <c r="R203" t="s">
        <v>237</v>
      </c>
      <c r="S203" s="1">
        <v>46023</v>
      </c>
      <c r="U203" t="s">
        <v>51</v>
      </c>
      <c r="X203" t="s">
        <v>52</v>
      </c>
      <c r="Y203" s="2">
        <v>0</v>
      </c>
      <c r="Z203" s="2">
        <v>25</v>
      </c>
      <c r="AA203">
        <v>1</v>
      </c>
      <c r="AB203" s="3">
        <v>1</v>
      </c>
      <c r="AC203" s="2">
        <v>25</v>
      </c>
      <c r="AD203" s="3">
        <v>0</v>
      </c>
      <c r="AE203" s="2">
        <v>0</v>
      </c>
      <c r="AF203" s="2">
        <v>25</v>
      </c>
      <c r="AK203">
        <v>6121961</v>
      </c>
    </row>
    <row r="204" spans="1:37" x14ac:dyDescent="0.25">
      <c r="A204" s="1">
        <v>46020</v>
      </c>
      <c r="B204" s="1">
        <v>46022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580</v>
      </c>
      <c r="J204" t="s">
        <v>581</v>
      </c>
      <c r="M204" t="s">
        <v>59</v>
      </c>
      <c r="O204" t="s">
        <v>194</v>
      </c>
      <c r="P204" t="s">
        <v>195</v>
      </c>
      <c r="Q204" t="s">
        <v>49</v>
      </c>
      <c r="R204" t="s">
        <v>237</v>
      </c>
      <c r="S204" s="1">
        <v>46023</v>
      </c>
      <c r="U204" t="s">
        <v>51</v>
      </c>
      <c r="X204" t="s">
        <v>52</v>
      </c>
      <c r="Y204" s="2">
        <v>0</v>
      </c>
      <c r="Z204" s="2">
        <v>25</v>
      </c>
      <c r="AA204">
        <v>1</v>
      </c>
      <c r="AB204" s="3">
        <v>1</v>
      </c>
      <c r="AC204" s="2">
        <v>25</v>
      </c>
      <c r="AD204" s="3">
        <v>0</v>
      </c>
      <c r="AE204" s="2">
        <v>0</v>
      </c>
      <c r="AF204" s="2">
        <v>25</v>
      </c>
      <c r="AK204">
        <v>6121962</v>
      </c>
    </row>
    <row r="205" spans="1:37" x14ac:dyDescent="0.25">
      <c r="A205" s="1">
        <v>46020</v>
      </c>
      <c r="B205" s="1">
        <v>46022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582</v>
      </c>
      <c r="J205" t="s">
        <v>583</v>
      </c>
      <c r="M205" t="s">
        <v>64</v>
      </c>
      <c r="O205" t="s">
        <v>584</v>
      </c>
      <c r="P205" t="s">
        <v>585</v>
      </c>
      <c r="Q205" t="s">
        <v>49</v>
      </c>
      <c r="R205" t="s">
        <v>237</v>
      </c>
      <c r="S205" s="1">
        <v>46023</v>
      </c>
      <c r="U205" t="s">
        <v>51</v>
      </c>
      <c r="X205" t="s">
        <v>52</v>
      </c>
      <c r="Y205" s="2">
        <v>0</v>
      </c>
      <c r="Z205" s="2">
        <v>25</v>
      </c>
      <c r="AA205">
        <v>1</v>
      </c>
      <c r="AB205" s="3">
        <v>1</v>
      </c>
      <c r="AC205" s="2">
        <v>25</v>
      </c>
      <c r="AD205" s="3">
        <v>0</v>
      </c>
      <c r="AE205" s="2">
        <v>0</v>
      </c>
      <c r="AF205" s="2">
        <v>25</v>
      </c>
      <c r="AK205">
        <v>6121974</v>
      </c>
    </row>
    <row r="206" spans="1:37" x14ac:dyDescent="0.25">
      <c r="A206" s="1">
        <v>46020</v>
      </c>
      <c r="B206" s="1">
        <v>46022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586</v>
      </c>
      <c r="J206" t="s">
        <v>587</v>
      </c>
      <c r="M206" t="s">
        <v>145</v>
      </c>
      <c r="O206" t="s">
        <v>285</v>
      </c>
      <c r="P206" t="s">
        <v>286</v>
      </c>
      <c r="Q206" t="s">
        <v>49</v>
      </c>
      <c r="R206" t="s">
        <v>237</v>
      </c>
      <c r="S206" s="1">
        <v>46023</v>
      </c>
      <c r="U206" t="s">
        <v>51</v>
      </c>
      <c r="X206" t="s">
        <v>52</v>
      </c>
      <c r="Y206" s="2">
        <v>0</v>
      </c>
      <c r="Z206" s="2">
        <v>25</v>
      </c>
      <c r="AA206">
        <v>1</v>
      </c>
      <c r="AB206" s="3">
        <v>1</v>
      </c>
      <c r="AC206" s="2">
        <v>25</v>
      </c>
      <c r="AD206" s="3">
        <v>0</v>
      </c>
      <c r="AE206" s="2">
        <v>0</v>
      </c>
      <c r="AF206" s="2">
        <v>25</v>
      </c>
      <c r="AK206">
        <v>6121977</v>
      </c>
    </row>
    <row r="207" spans="1:37" x14ac:dyDescent="0.25">
      <c r="A207" s="1">
        <v>46020</v>
      </c>
      <c r="B207" s="1">
        <v>46022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588</v>
      </c>
      <c r="J207" t="s">
        <v>589</v>
      </c>
      <c r="M207" t="s">
        <v>59</v>
      </c>
      <c r="O207" t="s">
        <v>194</v>
      </c>
      <c r="P207" t="s">
        <v>195</v>
      </c>
      <c r="Q207" t="s">
        <v>49</v>
      </c>
      <c r="R207" t="s">
        <v>237</v>
      </c>
      <c r="S207" s="1">
        <v>46023</v>
      </c>
      <c r="U207" t="s">
        <v>51</v>
      </c>
      <c r="X207" t="s">
        <v>52</v>
      </c>
      <c r="Y207" s="2">
        <v>0</v>
      </c>
      <c r="Z207" s="2">
        <v>25</v>
      </c>
      <c r="AA207">
        <v>1</v>
      </c>
      <c r="AB207" s="3">
        <v>1</v>
      </c>
      <c r="AC207" s="2">
        <v>25</v>
      </c>
      <c r="AD207" s="3">
        <v>0</v>
      </c>
      <c r="AE207" s="2">
        <v>0</v>
      </c>
      <c r="AF207" s="2">
        <v>25</v>
      </c>
      <c r="AK207">
        <v>6121981</v>
      </c>
    </row>
    <row r="208" spans="1:37" x14ac:dyDescent="0.25">
      <c r="A208" s="1">
        <v>46020</v>
      </c>
      <c r="B208" s="1">
        <v>46022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590</v>
      </c>
      <c r="J208" t="s">
        <v>591</v>
      </c>
      <c r="M208" t="s">
        <v>59</v>
      </c>
      <c r="O208" t="s">
        <v>194</v>
      </c>
      <c r="P208" t="s">
        <v>195</v>
      </c>
      <c r="Q208" t="s">
        <v>49</v>
      </c>
      <c r="R208" t="s">
        <v>237</v>
      </c>
      <c r="S208" s="1">
        <v>46023</v>
      </c>
      <c r="U208" t="s">
        <v>51</v>
      </c>
      <c r="X208" t="s">
        <v>52</v>
      </c>
      <c r="Y208" s="2">
        <v>0</v>
      </c>
      <c r="Z208" s="2">
        <v>25</v>
      </c>
      <c r="AA208">
        <v>1</v>
      </c>
      <c r="AB208" s="3">
        <v>1</v>
      </c>
      <c r="AC208" s="2">
        <v>25</v>
      </c>
      <c r="AD208" s="3">
        <v>0</v>
      </c>
      <c r="AE208" s="2">
        <v>0</v>
      </c>
      <c r="AF208" s="2">
        <v>25</v>
      </c>
      <c r="AK208">
        <v>6121983</v>
      </c>
    </row>
    <row r="209" spans="1:38" x14ac:dyDescent="0.25">
      <c r="A209" s="1">
        <v>46020</v>
      </c>
      <c r="B209" s="1">
        <v>46022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592</v>
      </c>
      <c r="J209" t="s">
        <v>593</v>
      </c>
      <c r="M209" t="s">
        <v>59</v>
      </c>
      <c r="O209" t="s">
        <v>423</v>
      </c>
      <c r="P209" t="s">
        <v>424</v>
      </c>
      <c r="Q209" t="s">
        <v>49</v>
      </c>
      <c r="R209" t="s">
        <v>237</v>
      </c>
      <c r="S209" s="1">
        <v>46023</v>
      </c>
      <c r="U209" t="s">
        <v>51</v>
      </c>
      <c r="X209" t="s">
        <v>52</v>
      </c>
      <c r="Y209" s="2">
        <v>0</v>
      </c>
      <c r="Z209" s="2">
        <v>25</v>
      </c>
      <c r="AA209">
        <v>1</v>
      </c>
      <c r="AB209" s="3">
        <v>1</v>
      </c>
      <c r="AC209" s="2">
        <v>25</v>
      </c>
      <c r="AD209" s="3">
        <v>0</v>
      </c>
      <c r="AE209" s="2">
        <v>0</v>
      </c>
      <c r="AF209" s="2">
        <v>25</v>
      </c>
      <c r="AK209">
        <v>6121985</v>
      </c>
    </row>
    <row r="210" spans="1:38" x14ac:dyDescent="0.25">
      <c r="A210" s="1">
        <v>46020</v>
      </c>
      <c r="B210" s="1">
        <v>46022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594</v>
      </c>
      <c r="J210" t="s">
        <v>595</v>
      </c>
      <c r="M210" t="s">
        <v>59</v>
      </c>
      <c r="O210" t="s">
        <v>423</v>
      </c>
      <c r="P210" t="s">
        <v>424</v>
      </c>
      <c r="Q210" t="s">
        <v>49</v>
      </c>
      <c r="R210" t="s">
        <v>237</v>
      </c>
      <c r="S210" s="1">
        <v>46023</v>
      </c>
      <c r="U210" t="s">
        <v>51</v>
      </c>
      <c r="X210" t="s">
        <v>52</v>
      </c>
      <c r="Y210" s="2">
        <v>0</v>
      </c>
      <c r="Z210" s="2">
        <v>25</v>
      </c>
      <c r="AA210">
        <v>1</v>
      </c>
      <c r="AB210" s="3">
        <v>1</v>
      </c>
      <c r="AC210" s="2">
        <v>25</v>
      </c>
      <c r="AD210" s="3">
        <v>0</v>
      </c>
      <c r="AE210" s="2">
        <v>0</v>
      </c>
      <c r="AF210" s="2">
        <v>25</v>
      </c>
      <c r="AK210">
        <v>6121986</v>
      </c>
    </row>
    <row r="211" spans="1:38" x14ac:dyDescent="0.25">
      <c r="A211" s="1">
        <v>46020</v>
      </c>
      <c r="B211" s="1">
        <v>46022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596</v>
      </c>
      <c r="J211" t="s">
        <v>597</v>
      </c>
      <c r="M211" t="s">
        <v>59</v>
      </c>
      <c r="O211" t="s">
        <v>423</v>
      </c>
      <c r="P211" t="s">
        <v>424</v>
      </c>
      <c r="Q211" t="s">
        <v>49</v>
      </c>
      <c r="R211" t="s">
        <v>237</v>
      </c>
      <c r="S211" s="1">
        <v>46023</v>
      </c>
      <c r="U211" t="s">
        <v>51</v>
      </c>
      <c r="X211" t="s">
        <v>52</v>
      </c>
      <c r="Y211" s="2">
        <v>0</v>
      </c>
      <c r="Z211" s="2">
        <v>25</v>
      </c>
      <c r="AA211">
        <v>1</v>
      </c>
      <c r="AB211" s="3">
        <v>1</v>
      </c>
      <c r="AC211" s="2">
        <v>25</v>
      </c>
      <c r="AD211" s="3">
        <v>0</v>
      </c>
      <c r="AE211" s="2">
        <v>0</v>
      </c>
      <c r="AF211" s="2">
        <v>25</v>
      </c>
      <c r="AK211">
        <v>6121987</v>
      </c>
    </row>
    <row r="212" spans="1:38" x14ac:dyDescent="0.25">
      <c r="A212" s="1">
        <v>46020</v>
      </c>
      <c r="B212" s="1">
        <v>46022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598</v>
      </c>
      <c r="J212" t="s">
        <v>599</v>
      </c>
      <c r="M212" t="s">
        <v>145</v>
      </c>
      <c r="O212" t="s">
        <v>146</v>
      </c>
      <c r="P212" t="s">
        <v>147</v>
      </c>
      <c r="Q212" t="s">
        <v>49</v>
      </c>
      <c r="R212" t="s">
        <v>237</v>
      </c>
      <c r="S212" s="1">
        <v>46023</v>
      </c>
      <c r="U212" t="s">
        <v>51</v>
      </c>
      <c r="X212" t="s">
        <v>52</v>
      </c>
      <c r="Y212" s="2">
        <v>0</v>
      </c>
      <c r="Z212" s="2">
        <v>25</v>
      </c>
      <c r="AA212">
        <v>1</v>
      </c>
      <c r="AB212" s="3">
        <v>1</v>
      </c>
      <c r="AC212" s="2">
        <v>25</v>
      </c>
      <c r="AD212" s="3">
        <v>0</v>
      </c>
      <c r="AE212" s="2">
        <v>0</v>
      </c>
      <c r="AF212" s="2">
        <v>25</v>
      </c>
      <c r="AK212">
        <v>6121991</v>
      </c>
    </row>
    <row r="213" spans="1:38" x14ac:dyDescent="0.25">
      <c r="A213" s="1">
        <v>46020</v>
      </c>
      <c r="B213" s="1">
        <v>46022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600</v>
      </c>
      <c r="J213" t="s">
        <v>601</v>
      </c>
      <c r="M213" t="s">
        <v>46</v>
      </c>
      <c r="O213" t="s">
        <v>423</v>
      </c>
      <c r="P213" t="s">
        <v>424</v>
      </c>
      <c r="Q213" t="s">
        <v>49</v>
      </c>
      <c r="R213" t="s">
        <v>237</v>
      </c>
      <c r="S213" s="1">
        <v>46023</v>
      </c>
      <c r="U213" t="s">
        <v>51</v>
      </c>
      <c r="X213" t="s">
        <v>52</v>
      </c>
      <c r="Y213" s="2">
        <v>0</v>
      </c>
      <c r="Z213" s="2">
        <v>25</v>
      </c>
      <c r="AA213">
        <v>1</v>
      </c>
      <c r="AB213" s="3">
        <v>1</v>
      </c>
      <c r="AC213" s="2">
        <v>25</v>
      </c>
      <c r="AD213" s="3">
        <v>0</v>
      </c>
      <c r="AE213" s="2">
        <v>0</v>
      </c>
      <c r="AF213" s="2">
        <v>25</v>
      </c>
      <c r="AK213">
        <v>6121993</v>
      </c>
    </row>
    <row r="214" spans="1:38" x14ac:dyDescent="0.25">
      <c r="A214" s="1">
        <v>46020</v>
      </c>
      <c r="B214" s="1">
        <v>46022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602</v>
      </c>
      <c r="J214" t="s">
        <v>603</v>
      </c>
      <c r="M214" t="s">
        <v>59</v>
      </c>
      <c r="O214" t="s">
        <v>92</v>
      </c>
      <c r="P214" t="s">
        <v>93</v>
      </c>
      <c r="Q214" t="s">
        <v>49</v>
      </c>
      <c r="R214" t="s">
        <v>237</v>
      </c>
      <c r="S214" s="1">
        <v>46023</v>
      </c>
      <c r="U214" t="s">
        <v>51</v>
      </c>
      <c r="X214" t="s">
        <v>52</v>
      </c>
      <c r="Y214" s="2">
        <v>0</v>
      </c>
      <c r="Z214" s="2">
        <v>25</v>
      </c>
      <c r="AA214">
        <v>1</v>
      </c>
      <c r="AB214" s="3">
        <v>1</v>
      </c>
      <c r="AC214" s="2">
        <v>25</v>
      </c>
      <c r="AD214" s="3">
        <v>0</v>
      </c>
      <c r="AE214" s="2">
        <v>0</v>
      </c>
      <c r="AF214" s="2">
        <v>25</v>
      </c>
      <c r="AK214">
        <v>6121996</v>
      </c>
    </row>
    <row r="215" spans="1:38" x14ac:dyDescent="0.25">
      <c r="A215" s="1">
        <v>46020</v>
      </c>
      <c r="B215" s="1">
        <v>46022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604</v>
      </c>
      <c r="J215" t="s">
        <v>605</v>
      </c>
      <c r="M215" t="s">
        <v>46</v>
      </c>
      <c r="O215" t="s">
        <v>92</v>
      </c>
      <c r="P215" t="s">
        <v>93</v>
      </c>
      <c r="Q215" t="s">
        <v>49</v>
      </c>
      <c r="R215" t="s">
        <v>237</v>
      </c>
      <c r="S215" s="1">
        <v>46023</v>
      </c>
      <c r="U215" t="s">
        <v>51</v>
      </c>
      <c r="X215" t="s">
        <v>52</v>
      </c>
      <c r="Y215" s="2">
        <v>0</v>
      </c>
      <c r="Z215" s="2">
        <v>25</v>
      </c>
      <c r="AA215">
        <v>1</v>
      </c>
      <c r="AB215" s="3">
        <v>1</v>
      </c>
      <c r="AC215" s="2">
        <v>25</v>
      </c>
      <c r="AD215" s="3">
        <v>0</v>
      </c>
      <c r="AE215" s="2">
        <v>0</v>
      </c>
      <c r="AF215" s="2">
        <v>25</v>
      </c>
      <c r="AK215">
        <v>6121998</v>
      </c>
    </row>
    <row r="216" spans="1:38" x14ac:dyDescent="0.25">
      <c r="A216" s="1">
        <v>46020</v>
      </c>
      <c r="B216" s="1">
        <v>46022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606</v>
      </c>
      <c r="J216" t="s">
        <v>607</v>
      </c>
      <c r="M216" t="s">
        <v>46</v>
      </c>
      <c r="O216" t="s">
        <v>92</v>
      </c>
      <c r="P216" t="s">
        <v>93</v>
      </c>
      <c r="Q216" t="s">
        <v>49</v>
      </c>
      <c r="R216" t="s">
        <v>237</v>
      </c>
      <c r="S216" s="1">
        <v>46023</v>
      </c>
      <c r="U216" t="s">
        <v>51</v>
      </c>
      <c r="X216" t="s">
        <v>52</v>
      </c>
      <c r="Y216" s="2">
        <v>0</v>
      </c>
      <c r="Z216" s="2">
        <v>25</v>
      </c>
      <c r="AA216">
        <v>1</v>
      </c>
      <c r="AB216" s="3">
        <v>1</v>
      </c>
      <c r="AC216" s="2">
        <v>25</v>
      </c>
      <c r="AD216" s="3">
        <v>0</v>
      </c>
      <c r="AE216" s="2">
        <v>0</v>
      </c>
      <c r="AF216" s="2">
        <v>25</v>
      </c>
      <c r="AK216">
        <v>6121999</v>
      </c>
    </row>
    <row r="217" spans="1:38" x14ac:dyDescent="0.25">
      <c r="A217" s="1">
        <v>46020</v>
      </c>
      <c r="B217" s="1">
        <v>46022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608</v>
      </c>
      <c r="J217" t="s">
        <v>609</v>
      </c>
      <c r="M217" t="s">
        <v>59</v>
      </c>
      <c r="O217" t="s">
        <v>194</v>
      </c>
      <c r="P217" t="s">
        <v>195</v>
      </c>
      <c r="Q217" t="s">
        <v>49</v>
      </c>
      <c r="R217" t="s">
        <v>237</v>
      </c>
      <c r="S217" s="1">
        <v>46023</v>
      </c>
      <c r="U217" t="s">
        <v>51</v>
      </c>
      <c r="X217" t="s">
        <v>52</v>
      </c>
      <c r="Y217" s="2">
        <v>0</v>
      </c>
      <c r="Z217" s="2">
        <v>25</v>
      </c>
      <c r="AA217">
        <v>1</v>
      </c>
      <c r="AB217" s="3">
        <v>1</v>
      </c>
      <c r="AC217" s="2">
        <v>25</v>
      </c>
      <c r="AD217" s="3">
        <v>0</v>
      </c>
      <c r="AE217" s="2">
        <v>0</v>
      </c>
      <c r="AF217" s="2">
        <v>25</v>
      </c>
      <c r="AK217">
        <v>6122011</v>
      </c>
    </row>
    <row r="218" spans="1:38" x14ac:dyDescent="0.25">
      <c r="A218" s="1">
        <v>46020</v>
      </c>
      <c r="B218" s="1">
        <v>46022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610</v>
      </c>
      <c r="J218" t="s">
        <v>611</v>
      </c>
      <c r="M218" t="s">
        <v>59</v>
      </c>
      <c r="O218" t="s">
        <v>194</v>
      </c>
      <c r="P218" t="s">
        <v>195</v>
      </c>
      <c r="Q218" t="s">
        <v>49</v>
      </c>
      <c r="R218" t="s">
        <v>237</v>
      </c>
      <c r="S218" s="1">
        <v>46023</v>
      </c>
      <c r="U218" t="s">
        <v>51</v>
      </c>
      <c r="X218" t="s">
        <v>52</v>
      </c>
      <c r="Y218" s="2">
        <v>0</v>
      </c>
      <c r="Z218" s="2">
        <v>25</v>
      </c>
      <c r="AA218">
        <v>1</v>
      </c>
      <c r="AB218" s="3">
        <v>1</v>
      </c>
      <c r="AC218" s="2">
        <v>25</v>
      </c>
      <c r="AD218" s="3">
        <v>0</v>
      </c>
      <c r="AE218" s="2">
        <v>0</v>
      </c>
      <c r="AF218" s="2">
        <v>25</v>
      </c>
      <c r="AK218">
        <v>6122015</v>
      </c>
    </row>
    <row r="219" spans="1:38" x14ac:dyDescent="0.25">
      <c r="A219" s="1">
        <v>46020</v>
      </c>
      <c r="B219" s="1">
        <v>46022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612</v>
      </c>
      <c r="J219" t="s">
        <v>613</v>
      </c>
      <c r="M219" t="s">
        <v>614</v>
      </c>
      <c r="O219" t="s">
        <v>323</v>
      </c>
      <c r="P219" t="s">
        <v>324</v>
      </c>
      <c r="Q219" t="s">
        <v>49</v>
      </c>
      <c r="R219" t="s">
        <v>304</v>
      </c>
      <c r="S219" s="1">
        <v>46054</v>
      </c>
      <c r="U219" t="s">
        <v>51</v>
      </c>
      <c r="X219" t="s">
        <v>52</v>
      </c>
      <c r="Y219" s="2">
        <v>0</v>
      </c>
      <c r="Z219" s="2">
        <v>22.92</v>
      </c>
      <c r="AA219">
        <v>1</v>
      </c>
      <c r="AB219" s="3">
        <v>1</v>
      </c>
      <c r="AC219" s="2">
        <v>22.92</v>
      </c>
      <c r="AD219" s="3">
        <v>0</v>
      </c>
      <c r="AE219" s="2">
        <v>0</v>
      </c>
      <c r="AF219" s="2">
        <v>22.92</v>
      </c>
      <c r="AK219">
        <v>6122016</v>
      </c>
      <c r="AL219" t="s">
        <v>615</v>
      </c>
    </row>
    <row r="220" spans="1:38" x14ac:dyDescent="0.25">
      <c r="A220" s="1">
        <v>46020</v>
      </c>
      <c r="B220" s="1">
        <v>46022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616</v>
      </c>
      <c r="J220" t="s">
        <v>617</v>
      </c>
      <c r="M220" t="s">
        <v>59</v>
      </c>
      <c r="O220" t="s">
        <v>265</v>
      </c>
      <c r="P220" t="s">
        <v>266</v>
      </c>
      <c r="Q220" t="s">
        <v>49</v>
      </c>
      <c r="R220" t="s">
        <v>237</v>
      </c>
      <c r="S220" s="1">
        <v>46023</v>
      </c>
      <c r="U220" t="s">
        <v>51</v>
      </c>
      <c r="X220" t="s">
        <v>52</v>
      </c>
      <c r="Y220" s="2">
        <v>0</v>
      </c>
      <c r="Z220" s="2">
        <v>25</v>
      </c>
      <c r="AA220">
        <v>1</v>
      </c>
      <c r="AB220" s="3">
        <v>1</v>
      </c>
      <c r="AC220" s="2">
        <v>25</v>
      </c>
      <c r="AD220" s="3">
        <v>0</v>
      </c>
      <c r="AE220" s="2">
        <v>0</v>
      </c>
      <c r="AF220" s="2">
        <v>25</v>
      </c>
      <c r="AK220">
        <v>6122028</v>
      </c>
    </row>
    <row r="221" spans="1:38" x14ac:dyDescent="0.25">
      <c r="A221" s="1">
        <v>46020</v>
      </c>
      <c r="B221" s="1">
        <v>46022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618</v>
      </c>
      <c r="J221" t="s">
        <v>619</v>
      </c>
      <c r="M221" t="s">
        <v>59</v>
      </c>
      <c r="O221" t="s">
        <v>235</v>
      </c>
      <c r="P221" t="s">
        <v>236</v>
      </c>
      <c r="Q221" t="s">
        <v>49</v>
      </c>
      <c r="R221" t="s">
        <v>237</v>
      </c>
      <c r="S221" s="1">
        <v>46023</v>
      </c>
      <c r="U221" t="s">
        <v>51</v>
      </c>
      <c r="X221" t="s">
        <v>52</v>
      </c>
      <c r="Y221" s="2">
        <v>0</v>
      </c>
      <c r="Z221" s="2">
        <v>25</v>
      </c>
      <c r="AA221">
        <v>1</v>
      </c>
      <c r="AB221" s="3">
        <v>1</v>
      </c>
      <c r="AC221" s="2">
        <v>25</v>
      </c>
      <c r="AD221" s="3">
        <v>0</v>
      </c>
      <c r="AE221" s="2">
        <v>0</v>
      </c>
      <c r="AF221" s="2">
        <v>25</v>
      </c>
      <c r="AK221">
        <v>6122031</v>
      </c>
    </row>
    <row r="222" spans="1:38" x14ac:dyDescent="0.25">
      <c r="A222" s="1">
        <v>46020</v>
      </c>
      <c r="B222" s="1">
        <v>46022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620</v>
      </c>
      <c r="J222" t="s">
        <v>621</v>
      </c>
      <c r="M222" t="s">
        <v>59</v>
      </c>
      <c r="O222" t="s">
        <v>235</v>
      </c>
      <c r="P222" t="s">
        <v>236</v>
      </c>
      <c r="Q222" t="s">
        <v>49</v>
      </c>
      <c r="R222" t="s">
        <v>237</v>
      </c>
      <c r="S222" s="1">
        <v>46023</v>
      </c>
      <c r="U222" t="s">
        <v>51</v>
      </c>
      <c r="X222" t="s">
        <v>52</v>
      </c>
      <c r="Y222" s="2">
        <v>0</v>
      </c>
      <c r="Z222" s="2">
        <v>25</v>
      </c>
      <c r="AA222">
        <v>1</v>
      </c>
      <c r="AB222" s="3">
        <v>1</v>
      </c>
      <c r="AC222" s="2">
        <v>25</v>
      </c>
      <c r="AD222" s="3">
        <v>0</v>
      </c>
      <c r="AE222" s="2">
        <v>0</v>
      </c>
      <c r="AF222" s="2">
        <v>25</v>
      </c>
      <c r="AK222">
        <v>6122032</v>
      </c>
    </row>
    <row r="223" spans="1:38" x14ac:dyDescent="0.25">
      <c r="A223" s="1">
        <v>46020</v>
      </c>
      <c r="B223" s="1">
        <v>46022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622</v>
      </c>
      <c r="J223" t="s">
        <v>623</v>
      </c>
      <c r="M223" t="s">
        <v>59</v>
      </c>
      <c r="O223" t="s">
        <v>235</v>
      </c>
      <c r="P223" t="s">
        <v>236</v>
      </c>
      <c r="Q223" t="s">
        <v>49</v>
      </c>
      <c r="R223" t="s">
        <v>237</v>
      </c>
      <c r="S223" s="1">
        <v>46023</v>
      </c>
      <c r="U223" t="s">
        <v>51</v>
      </c>
      <c r="X223" t="s">
        <v>52</v>
      </c>
      <c r="Y223" s="2">
        <v>0</v>
      </c>
      <c r="Z223" s="2">
        <v>25</v>
      </c>
      <c r="AA223">
        <v>1</v>
      </c>
      <c r="AB223" s="3">
        <v>1</v>
      </c>
      <c r="AC223" s="2">
        <v>25</v>
      </c>
      <c r="AD223" s="3">
        <v>0</v>
      </c>
      <c r="AE223" s="2">
        <v>0</v>
      </c>
      <c r="AF223" s="2">
        <v>25</v>
      </c>
      <c r="AK223">
        <v>6122033</v>
      </c>
    </row>
    <row r="224" spans="1:38" x14ac:dyDescent="0.25">
      <c r="A224" s="1">
        <v>46020</v>
      </c>
      <c r="B224" s="1">
        <v>46022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624</v>
      </c>
      <c r="J224" t="s">
        <v>625</v>
      </c>
      <c r="M224" t="s">
        <v>200</v>
      </c>
      <c r="O224" t="s">
        <v>547</v>
      </c>
      <c r="P224" t="s">
        <v>548</v>
      </c>
      <c r="Q224" t="s">
        <v>49</v>
      </c>
      <c r="R224" t="s">
        <v>237</v>
      </c>
      <c r="S224" s="1">
        <v>46023</v>
      </c>
      <c r="U224" t="s">
        <v>51</v>
      </c>
      <c r="X224" t="s">
        <v>52</v>
      </c>
      <c r="Y224" s="2">
        <v>0</v>
      </c>
      <c r="Z224" s="2">
        <v>25</v>
      </c>
      <c r="AA224">
        <v>1</v>
      </c>
      <c r="AB224" s="3">
        <v>1</v>
      </c>
      <c r="AC224" s="2">
        <v>25</v>
      </c>
      <c r="AD224" s="3">
        <v>0</v>
      </c>
      <c r="AE224" s="2">
        <v>0</v>
      </c>
      <c r="AF224" s="2">
        <v>25</v>
      </c>
      <c r="AK224">
        <v>6122040</v>
      </c>
    </row>
    <row r="225" spans="1:38" x14ac:dyDescent="0.25">
      <c r="A225" s="1">
        <v>46020</v>
      </c>
      <c r="B225" s="1">
        <v>46022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626</v>
      </c>
      <c r="J225" t="s">
        <v>627</v>
      </c>
      <c r="M225" t="s">
        <v>200</v>
      </c>
      <c r="O225" t="s">
        <v>240</v>
      </c>
      <c r="P225" t="s">
        <v>241</v>
      </c>
      <c r="Q225" t="s">
        <v>49</v>
      </c>
      <c r="R225" t="s">
        <v>237</v>
      </c>
      <c r="S225" s="1">
        <v>46023</v>
      </c>
      <c r="U225" t="s">
        <v>51</v>
      </c>
      <c r="X225" t="s">
        <v>52</v>
      </c>
      <c r="Y225" s="2">
        <v>0</v>
      </c>
      <c r="Z225" s="2">
        <v>25</v>
      </c>
      <c r="AA225">
        <v>1</v>
      </c>
      <c r="AB225" s="3">
        <v>1</v>
      </c>
      <c r="AC225" s="2">
        <v>25</v>
      </c>
      <c r="AD225" s="3">
        <v>0</v>
      </c>
      <c r="AE225" s="2">
        <v>0</v>
      </c>
      <c r="AF225" s="2">
        <v>25</v>
      </c>
      <c r="AK225">
        <v>6122042</v>
      </c>
    </row>
    <row r="226" spans="1:38" x14ac:dyDescent="0.25">
      <c r="A226" s="1">
        <v>46020</v>
      </c>
      <c r="B226" s="1">
        <v>46022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628</v>
      </c>
      <c r="J226" t="s">
        <v>629</v>
      </c>
      <c r="M226" t="s">
        <v>200</v>
      </c>
      <c r="O226" t="s">
        <v>240</v>
      </c>
      <c r="P226" t="s">
        <v>241</v>
      </c>
      <c r="Q226" t="s">
        <v>49</v>
      </c>
      <c r="R226" t="s">
        <v>304</v>
      </c>
      <c r="S226" s="1">
        <v>46054</v>
      </c>
      <c r="U226" t="s">
        <v>51</v>
      </c>
      <c r="X226" t="s">
        <v>52</v>
      </c>
      <c r="Y226" s="2">
        <v>0</v>
      </c>
      <c r="Z226" s="2">
        <v>22.92</v>
      </c>
      <c r="AA226">
        <v>1</v>
      </c>
      <c r="AB226" s="3">
        <v>1</v>
      </c>
      <c r="AC226" s="2">
        <v>22.92</v>
      </c>
      <c r="AD226" s="3">
        <v>0</v>
      </c>
      <c r="AE226" s="2">
        <v>0</v>
      </c>
      <c r="AF226" s="2">
        <v>22.92</v>
      </c>
      <c r="AK226">
        <v>6122048</v>
      </c>
      <c r="AL226" t="s">
        <v>615</v>
      </c>
    </row>
    <row r="227" spans="1:38" x14ac:dyDescent="0.25">
      <c r="A227" s="1">
        <v>46020</v>
      </c>
      <c r="B227" s="1">
        <v>46022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630</v>
      </c>
      <c r="J227" t="s">
        <v>631</v>
      </c>
      <c r="M227" t="s">
        <v>145</v>
      </c>
      <c r="O227" t="s">
        <v>47</v>
      </c>
      <c r="P227" t="s">
        <v>48</v>
      </c>
      <c r="Q227" t="s">
        <v>49</v>
      </c>
      <c r="R227" t="s">
        <v>237</v>
      </c>
      <c r="S227" s="1">
        <v>46023</v>
      </c>
      <c r="U227" t="s">
        <v>51</v>
      </c>
      <c r="X227" t="s">
        <v>52</v>
      </c>
      <c r="Y227" s="2">
        <v>0</v>
      </c>
      <c r="Z227" s="2">
        <v>25</v>
      </c>
      <c r="AA227">
        <v>1</v>
      </c>
      <c r="AB227" s="3">
        <v>1</v>
      </c>
      <c r="AC227" s="2">
        <v>25</v>
      </c>
      <c r="AD227" s="3">
        <v>0</v>
      </c>
      <c r="AE227" s="2">
        <v>0</v>
      </c>
      <c r="AF227" s="2">
        <v>25</v>
      </c>
      <c r="AK227">
        <v>6122052</v>
      </c>
    </row>
    <row r="228" spans="1:38" x14ac:dyDescent="0.25">
      <c r="A228" s="1">
        <v>46020</v>
      </c>
      <c r="B228" s="1">
        <v>46022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632</v>
      </c>
      <c r="J228" t="s">
        <v>633</v>
      </c>
      <c r="M228" t="s">
        <v>200</v>
      </c>
      <c r="O228" t="s">
        <v>240</v>
      </c>
      <c r="P228" t="s">
        <v>241</v>
      </c>
      <c r="Q228" t="s">
        <v>49</v>
      </c>
      <c r="R228" t="s">
        <v>237</v>
      </c>
      <c r="S228" s="1">
        <v>46023</v>
      </c>
      <c r="U228" t="s">
        <v>51</v>
      </c>
      <c r="X228" t="s">
        <v>52</v>
      </c>
      <c r="Y228" s="2">
        <v>0</v>
      </c>
      <c r="Z228" s="2">
        <v>25</v>
      </c>
      <c r="AA228">
        <v>1</v>
      </c>
      <c r="AB228" s="3">
        <v>1</v>
      </c>
      <c r="AC228" s="2">
        <v>25</v>
      </c>
      <c r="AD228" s="3">
        <v>0</v>
      </c>
      <c r="AE228" s="2">
        <v>0</v>
      </c>
      <c r="AF228" s="2">
        <v>25</v>
      </c>
      <c r="AK228">
        <v>6122055</v>
      </c>
    </row>
    <row r="229" spans="1:38" x14ac:dyDescent="0.25">
      <c r="A229" s="1">
        <v>46020</v>
      </c>
      <c r="B229" s="1">
        <v>46022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634</v>
      </c>
      <c r="J229" t="s">
        <v>635</v>
      </c>
      <c r="M229" t="s">
        <v>145</v>
      </c>
      <c r="O229" t="s">
        <v>146</v>
      </c>
      <c r="P229" t="s">
        <v>147</v>
      </c>
      <c r="Q229" t="s">
        <v>49</v>
      </c>
      <c r="R229" t="s">
        <v>237</v>
      </c>
      <c r="S229" s="1">
        <v>46023</v>
      </c>
      <c r="U229" t="s">
        <v>51</v>
      </c>
      <c r="X229" t="s">
        <v>52</v>
      </c>
      <c r="Y229" s="2">
        <v>0</v>
      </c>
      <c r="Z229" s="2">
        <v>25</v>
      </c>
      <c r="AA229">
        <v>1</v>
      </c>
      <c r="AB229" s="3">
        <v>1</v>
      </c>
      <c r="AC229" s="2">
        <v>25</v>
      </c>
      <c r="AD229" s="3">
        <v>0</v>
      </c>
      <c r="AE229" s="2">
        <v>0</v>
      </c>
      <c r="AF229" s="2">
        <v>25</v>
      </c>
      <c r="AK229">
        <v>6122057</v>
      </c>
    </row>
    <row r="230" spans="1:38" x14ac:dyDescent="0.25">
      <c r="A230" s="1">
        <v>46020</v>
      </c>
      <c r="B230" s="1">
        <v>46022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636</v>
      </c>
      <c r="J230" t="s">
        <v>637</v>
      </c>
      <c r="M230" t="s">
        <v>121</v>
      </c>
      <c r="O230" t="s">
        <v>386</v>
      </c>
      <c r="P230" t="s">
        <v>387</v>
      </c>
      <c r="Q230" t="s">
        <v>49</v>
      </c>
      <c r="R230" t="s">
        <v>237</v>
      </c>
      <c r="S230" s="1">
        <v>46023</v>
      </c>
      <c r="U230" t="s">
        <v>51</v>
      </c>
      <c r="X230" t="s">
        <v>52</v>
      </c>
      <c r="Y230" s="2">
        <v>0</v>
      </c>
      <c r="Z230" s="2">
        <v>25</v>
      </c>
      <c r="AA230">
        <v>1</v>
      </c>
      <c r="AB230" s="3">
        <v>1</v>
      </c>
      <c r="AC230" s="2">
        <v>25</v>
      </c>
      <c r="AD230" s="3">
        <v>0</v>
      </c>
      <c r="AE230" s="2">
        <v>0</v>
      </c>
      <c r="AF230" s="2">
        <v>25</v>
      </c>
      <c r="AK230">
        <v>6122061</v>
      </c>
    </row>
    <row r="231" spans="1:38" x14ac:dyDescent="0.25">
      <c r="A231" s="1">
        <v>46020</v>
      </c>
      <c r="B231" s="1">
        <v>46022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638</v>
      </c>
      <c r="J231" t="s">
        <v>639</v>
      </c>
      <c r="M231" t="s">
        <v>59</v>
      </c>
      <c r="O231" t="s">
        <v>489</v>
      </c>
      <c r="P231" t="s">
        <v>490</v>
      </c>
      <c r="Q231" t="s">
        <v>49</v>
      </c>
      <c r="R231" t="s">
        <v>237</v>
      </c>
      <c r="S231" s="1">
        <v>46023</v>
      </c>
      <c r="U231" t="s">
        <v>51</v>
      </c>
      <c r="X231" t="s">
        <v>52</v>
      </c>
      <c r="Y231" s="2">
        <v>0</v>
      </c>
      <c r="Z231" s="2">
        <v>25</v>
      </c>
      <c r="AA231">
        <v>1</v>
      </c>
      <c r="AB231" s="3">
        <v>1</v>
      </c>
      <c r="AC231" s="2">
        <v>25</v>
      </c>
      <c r="AD231" s="3">
        <v>0</v>
      </c>
      <c r="AE231" s="2">
        <v>0</v>
      </c>
      <c r="AF231" s="2">
        <v>25</v>
      </c>
      <c r="AK231">
        <v>6122063</v>
      </c>
    </row>
    <row r="232" spans="1:38" x14ac:dyDescent="0.25">
      <c r="A232" s="1">
        <v>46020</v>
      </c>
      <c r="B232" s="1">
        <v>46022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640</v>
      </c>
      <c r="J232" t="s">
        <v>641</v>
      </c>
      <c r="M232" t="s">
        <v>59</v>
      </c>
      <c r="O232" t="s">
        <v>265</v>
      </c>
      <c r="P232" t="s">
        <v>266</v>
      </c>
      <c r="Q232" t="s">
        <v>49</v>
      </c>
      <c r="R232" t="s">
        <v>237</v>
      </c>
      <c r="S232" s="1">
        <v>46023</v>
      </c>
      <c r="U232" t="s">
        <v>51</v>
      </c>
      <c r="X232" t="s">
        <v>52</v>
      </c>
      <c r="Y232" s="2">
        <v>0</v>
      </c>
      <c r="Z232" s="2">
        <v>25</v>
      </c>
      <c r="AA232">
        <v>1</v>
      </c>
      <c r="AB232" s="3">
        <v>1</v>
      </c>
      <c r="AC232" s="2">
        <v>25</v>
      </c>
      <c r="AD232" s="3">
        <v>0</v>
      </c>
      <c r="AE232" s="2">
        <v>0</v>
      </c>
      <c r="AF232" s="2">
        <v>25</v>
      </c>
      <c r="AK232">
        <v>6122067</v>
      </c>
    </row>
    <row r="233" spans="1:38" x14ac:dyDescent="0.25">
      <c r="A233" s="1">
        <v>46020</v>
      </c>
      <c r="B233" s="1">
        <v>46022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642</v>
      </c>
      <c r="J233" t="s">
        <v>643</v>
      </c>
      <c r="M233" t="s">
        <v>614</v>
      </c>
      <c r="O233" t="s">
        <v>323</v>
      </c>
      <c r="P233" t="s">
        <v>324</v>
      </c>
      <c r="Q233" t="s">
        <v>49</v>
      </c>
      <c r="R233" t="s">
        <v>237</v>
      </c>
      <c r="S233" s="1">
        <v>46023</v>
      </c>
      <c r="U233" t="s">
        <v>51</v>
      </c>
      <c r="X233" t="s">
        <v>52</v>
      </c>
      <c r="Y233" s="2">
        <v>0</v>
      </c>
      <c r="Z233" s="2">
        <v>25</v>
      </c>
      <c r="AA233">
        <v>1</v>
      </c>
      <c r="AB233" s="3">
        <v>1</v>
      </c>
      <c r="AC233" s="2">
        <v>25</v>
      </c>
      <c r="AD233" s="3">
        <v>0</v>
      </c>
      <c r="AE233" s="2">
        <v>0</v>
      </c>
      <c r="AF233" s="2">
        <v>25</v>
      </c>
      <c r="AK233">
        <v>6122071</v>
      </c>
    </row>
    <row r="234" spans="1:38" x14ac:dyDescent="0.25">
      <c r="A234" s="1">
        <v>46020</v>
      </c>
      <c r="B234" s="1">
        <v>46022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644</v>
      </c>
      <c r="J234" t="s">
        <v>645</v>
      </c>
      <c r="M234" t="s">
        <v>59</v>
      </c>
      <c r="O234" t="s">
        <v>265</v>
      </c>
      <c r="P234" t="s">
        <v>266</v>
      </c>
      <c r="Q234" t="s">
        <v>49</v>
      </c>
      <c r="R234" t="s">
        <v>237</v>
      </c>
      <c r="S234" s="1">
        <v>46023</v>
      </c>
      <c r="U234" t="s">
        <v>51</v>
      </c>
      <c r="X234" t="s">
        <v>52</v>
      </c>
      <c r="Y234" s="2">
        <v>0</v>
      </c>
      <c r="Z234" s="2">
        <v>25</v>
      </c>
      <c r="AA234">
        <v>1</v>
      </c>
      <c r="AB234" s="3">
        <v>1</v>
      </c>
      <c r="AC234" s="2">
        <v>25</v>
      </c>
      <c r="AD234" s="3">
        <v>0</v>
      </c>
      <c r="AE234" s="2">
        <v>0</v>
      </c>
      <c r="AF234" s="2">
        <v>25</v>
      </c>
      <c r="AK234">
        <v>6122074</v>
      </c>
    </row>
    <row r="235" spans="1:38" x14ac:dyDescent="0.25">
      <c r="A235" s="1">
        <v>46020</v>
      </c>
      <c r="B235" s="1">
        <v>46022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646</v>
      </c>
      <c r="J235" t="s">
        <v>647</v>
      </c>
      <c r="M235" t="s">
        <v>59</v>
      </c>
      <c r="O235" t="s">
        <v>235</v>
      </c>
      <c r="P235" t="s">
        <v>236</v>
      </c>
      <c r="Q235" t="s">
        <v>49</v>
      </c>
      <c r="R235" t="s">
        <v>237</v>
      </c>
      <c r="S235" s="1">
        <v>46023</v>
      </c>
      <c r="U235" t="s">
        <v>51</v>
      </c>
      <c r="X235" t="s">
        <v>52</v>
      </c>
      <c r="Y235" s="2">
        <v>0</v>
      </c>
      <c r="Z235" s="2">
        <v>25</v>
      </c>
      <c r="AA235">
        <v>1</v>
      </c>
      <c r="AB235" s="3">
        <v>1</v>
      </c>
      <c r="AC235" s="2">
        <v>25</v>
      </c>
      <c r="AD235" s="3">
        <v>0</v>
      </c>
      <c r="AE235" s="2">
        <v>0</v>
      </c>
      <c r="AF235" s="2">
        <v>25</v>
      </c>
      <c r="AK235">
        <v>6122075</v>
      </c>
    </row>
    <row r="236" spans="1:38" x14ac:dyDescent="0.25">
      <c r="A236" s="1">
        <v>46020</v>
      </c>
      <c r="B236" s="1">
        <v>46022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648</v>
      </c>
      <c r="J236" t="s">
        <v>649</v>
      </c>
      <c r="M236" t="s">
        <v>200</v>
      </c>
      <c r="O236" t="s">
        <v>471</v>
      </c>
      <c r="P236" t="s">
        <v>472</v>
      </c>
      <c r="Q236" t="s">
        <v>49</v>
      </c>
      <c r="R236" t="s">
        <v>237</v>
      </c>
      <c r="S236" s="1">
        <v>46023</v>
      </c>
      <c r="U236" t="s">
        <v>51</v>
      </c>
      <c r="X236" t="s">
        <v>52</v>
      </c>
      <c r="Y236" s="2">
        <v>0</v>
      </c>
      <c r="Z236" s="2">
        <v>25</v>
      </c>
      <c r="AA236">
        <v>1</v>
      </c>
      <c r="AB236" s="3">
        <v>1</v>
      </c>
      <c r="AC236" s="2">
        <v>25</v>
      </c>
      <c r="AD236" s="3">
        <v>0</v>
      </c>
      <c r="AE236" s="2">
        <v>0</v>
      </c>
      <c r="AF236" s="2">
        <v>25</v>
      </c>
      <c r="AK236">
        <v>6122076</v>
      </c>
    </row>
    <row r="237" spans="1:38" x14ac:dyDescent="0.25">
      <c r="A237" s="1">
        <v>46020</v>
      </c>
      <c r="B237" s="1">
        <v>46022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650</v>
      </c>
      <c r="J237" t="s">
        <v>651</v>
      </c>
      <c r="M237" t="s">
        <v>59</v>
      </c>
      <c r="O237" t="s">
        <v>235</v>
      </c>
      <c r="P237" t="s">
        <v>236</v>
      </c>
      <c r="Q237" t="s">
        <v>49</v>
      </c>
      <c r="R237" t="s">
        <v>237</v>
      </c>
      <c r="S237" s="1">
        <v>46023</v>
      </c>
      <c r="U237" t="s">
        <v>51</v>
      </c>
      <c r="X237" t="s">
        <v>52</v>
      </c>
      <c r="Y237" s="2">
        <v>0</v>
      </c>
      <c r="Z237" s="2">
        <v>25</v>
      </c>
      <c r="AA237">
        <v>1</v>
      </c>
      <c r="AB237" s="3">
        <v>1</v>
      </c>
      <c r="AC237" s="2">
        <v>25</v>
      </c>
      <c r="AD237" s="3">
        <v>0</v>
      </c>
      <c r="AE237" s="2">
        <v>0</v>
      </c>
      <c r="AF237" s="2">
        <v>25</v>
      </c>
      <c r="AK237">
        <v>6122079</v>
      </c>
    </row>
    <row r="238" spans="1:38" x14ac:dyDescent="0.25">
      <c r="A238" s="1">
        <v>46020</v>
      </c>
      <c r="B238" s="1">
        <v>46022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652</v>
      </c>
      <c r="J238" t="s">
        <v>653</v>
      </c>
      <c r="M238" t="s">
        <v>59</v>
      </c>
      <c r="O238" t="s">
        <v>194</v>
      </c>
      <c r="P238" t="s">
        <v>195</v>
      </c>
      <c r="Q238" t="s">
        <v>49</v>
      </c>
      <c r="R238" t="s">
        <v>237</v>
      </c>
      <c r="S238" s="1">
        <v>46023</v>
      </c>
      <c r="U238" t="s">
        <v>51</v>
      </c>
      <c r="X238" t="s">
        <v>52</v>
      </c>
      <c r="Y238" s="2">
        <v>0</v>
      </c>
      <c r="Z238" s="2">
        <v>25</v>
      </c>
      <c r="AA238">
        <v>1</v>
      </c>
      <c r="AB238" s="3">
        <v>1</v>
      </c>
      <c r="AC238" s="2">
        <v>25</v>
      </c>
      <c r="AD238" s="3">
        <v>0</v>
      </c>
      <c r="AE238" s="2">
        <v>0</v>
      </c>
      <c r="AF238" s="2">
        <v>25</v>
      </c>
      <c r="AK238">
        <v>6122081</v>
      </c>
    </row>
    <row r="239" spans="1:38" x14ac:dyDescent="0.25">
      <c r="A239" s="1">
        <v>46020</v>
      </c>
      <c r="B239" s="1">
        <v>46022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654</v>
      </c>
      <c r="J239" t="s">
        <v>655</v>
      </c>
      <c r="M239" t="s">
        <v>59</v>
      </c>
      <c r="O239" t="s">
        <v>194</v>
      </c>
      <c r="P239" t="s">
        <v>195</v>
      </c>
      <c r="Q239" t="s">
        <v>49</v>
      </c>
      <c r="R239" t="s">
        <v>237</v>
      </c>
      <c r="S239" s="1">
        <v>46023</v>
      </c>
      <c r="U239" t="s">
        <v>51</v>
      </c>
      <c r="X239" t="s">
        <v>52</v>
      </c>
      <c r="Y239" s="2">
        <v>0</v>
      </c>
      <c r="Z239" s="2">
        <v>25</v>
      </c>
      <c r="AA239">
        <v>1</v>
      </c>
      <c r="AB239" s="3">
        <v>1</v>
      </c>
      <c r="AC239" s="2">
        <v>25</v>
      </c>
      <c r="AD239" s="3">
        <v>0</v>
      </c>
      <c r="AE239" s="2">
        <v>0</v>
      </c>
      <c r="AF239" s="2">
        <v>25</v>
      </c>
      <c r="AK239">
        <v>6122084</v>
      </c>
    </row>
    <row r="240" spans="1:38" x14ac:dyDescent="0.25">
      <c r="A240" s="1">
        <v>46020</v>
      </c>
      <c r="B240" s="1">
        <v>46022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656</v>
      </c>
      <c r="J240" t="s">
        <v>657</v>
      </c>
      <c r="M240" t="s">
        <v>145</v>
      </c>
      <c r="O240" t="s">
        <v>285</v>
      </c>
      <c r="P240" t="s">
        <v>286</v>
      </c>
      <c r="Q240" t="s">
        <v>49</v>
      </c>
      <c r="R240" t="s">
        <v>237</v>
      </c>
      <c r="S240" s="1">
        <v>46023</v>
      </c>
      <c r="U240" t="s">
        <v>51</v>
      </c>
      <c r="X240" t="s">
        <v>52</v>
      </c>
      <c r="Y240" s="2">
        <v>0</v>
      </c>
      <c r="Z240" s="2">
        <v>25</v>
      </c>
      <c r="AA240">
        <v>1</v>
      </c>
      <c r="AB240" s="3">
        <v>1</v>
      </c>
      <c r="AC240" s="2">
        <v>25</v>
      </c>
      <c r="AD240" s="3">
        <v>0</v>
      </c>
      <c r="AE240" s="2">
        <v>0</v>
      </c>
      <c r="AF240" s="2">
        <v>25</v>
      </c>
      <c r="AK240">
        <v>6122088</v>
      </c>
    </row>
    <row r="241" spans="1:37" x14ac:dyDescent="0.25">
      <c r="A241" s="1">
        <v>46020</v>
      </c>
      <c r="B241" s="1">
        <v>46022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658</v>
      </c>
      <c r="J241" t="s">
        <v>659</v>
      </c>
      <c r="M241" t="s">
        <v>341</v>
      </c>
      <c r="O241" t="s">
        <v>92</v>
      </c>
      <c r="P241" t="s">
        <v>93</v>
      </c>
      <c r="Q241" t="s">
        <v>49</v>
      </c>
      <c r="R241" t="s">
        <v>237</v>
      </c>
      <c r="S241" s="1">
        <v>46023</v>
      </c>
      <c r="U241" t="s">
        <v>51</v>
      </c>
      <c r="X241" t="s">
        <v>52</v>
      </c>
      <c r="Y241" s="2">
        <v>0</v>
      </c>
      <c r="Z241" s="2">
        <v>25</v>
      </c>
      <c r="AA241">
        <v>1</v>
      </c>
      <c r="AB241" s="3">
        <v>1</v>
      </c>
      <c r="AC241" s="2">
        <v>25</v>
      </c>
      <c r="AD241" s="3">
        <v>0</v>
      </c>
      <c r="AE241" s="2">
        <v>0</v>
      </c>
      <c r="AF241" s="2">
        <v>25</v>
      </c>
      <c r="AK241">
        <v>6122100</v>
      </c>
    </row>
    <row r="242" spans="1:37" x14ac:dyDescent="0.25">
      <c r="A242" s="1">
        <v>46020</v>
      </c>
      <c r="B242" s="1">
        <v>46022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660</v>
      </c>
      <c r="J242" t="s">
        <v>661</v>
      </c>
      <c r="M242" t="s">
        <v>341</v>
      </c>
      <c r="O242" t="s">
        <v>92</v>
      </c>
      <c r="P242" t="s">
        <v>93</v>
      </c>
      <c r="Q242" t="s">
        <v>49</v>
      </c>
      <c r="R242" t="s">
        <v>237</v>
      </c>
      <c r="S242" s="1">
        <v>46023</v>
      </c>
      <c r="U242" t="s">
        <v>51</v>
      </c>
      <c r="X242" t="s">
        <v>52</v>
      </c>
      <c r="Y242" s="2">
        <v>0</v>
      </c>
      <c r="Z242" s="2">
        <v>25</v>
      </c>
      <c r="AA242">
        <v>1</v>
      </c>
      <c r="AB242" s="3">
        <v>1</v>
      </c>
      <c r="AC242" s="2">
        <v>25</v>
      </c>
      <c r="AD242" s="3">
        <v>0</v>
      </c>
      <c r="AE242" s="2">
        <v>0</v>
      </c>
      <c r="AF242" s="2">
        <v>25</v>
      </c>
      <c r="AK242">
        <v>6122101</v>
      </c>
    </row>
    <row r="243" spans="1:37" x14ac:dyDescent="0.25">
      <c r="A243" s="1">
        <v>46020</v>
      </c>
      <c r="B243" s="1">
        <v>46022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662</v>
      </c>
      <c r="J243" t="s">
        <v>663</v>
      </c>
      <c r="M243" t="s">
        <v>422</v>
      </c>
      <c r="O243" t="s">
        <v>423</v>
      </c>
      <c r="P243" t="s">
        <v>424</v>
      </c>
      <c r="Q243" t="s">
        <v>49</v>
      </c>
      <c r="R243" t="s">
        <v>237</v>
      </c>
      <c r="S243" s="1">
        <v>46023</v>
      </c>
      <c r="U243" t="s">
        <v>51</v>
      </c>
      <c r="X243" t="s">
        <v>52</v>
      </c>
      <c r="Y243" s="2">
        <v>0</v>
      </c>
      <c r="Z243" s="2">
        <v>25</v>
      </c>
      <c r="AA243">
        <v>1</v>
      </c>
      <c r="AB243" s="3">
        <v>1</v>
      </c>
      <c r="AC243" s="2">
        <v>25</v>
      </c>
      <c r="AD243" s="3">
        <v>0</v>
      </c>
      <c r="AE243" s="2">
        <v>0</v>
      </c>
      <c r="AF243" s="2">
        <v>25</v>
      </c>
      <c r="AK243">
        <v>6122106</v>
      </c>
    </row>
    <row r="244" spans="1:37" x14ac:dyDescent="0.25">
      <c r="A244" s="1">
        <v>46020</v>
      </c>
      <c r="B244" s="1">
        <v>46022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664</v>
      </c>
      <c r="J244" t="s">
        <v>665</v>
      </c>
      <c r="M244" t="s">
        <v>145</v>
      </c>
      <c r="O244" t="s">
        <v>146</v>
      </c>
      <c r="P244" t="s">
        <v>147</v>
      </c>
      <c r="Q244" t="s">
        <v>49</v>
      </c>
      <c r="R244" t="s">
        <v>237</v>
      </c>
      <c r="S244" s="1">
        <v>46023</v>
      </c>
      <c r="U244" t="s">
        <v>51</v>
      </c>
      <c r="X244" t="s">
        <v>52</v>
      </c>
      <c r="Y244" s="2">
        <v>0</v>
      </c>
      <c r="Z244" s="2">
        <v>25</v>
      </c>
      <c r="AA244">
        <v>1</v>
      </c>
      <c r="AB244" s="3">
        <v>1</v>
      </c>
      <c r="AC244" s="2">
        <v>25</v>
      </c>
      <c r="AD244" s="3">
        <v>0</v>
      </c>
      <c r="AE244" s="2">
        <v>0</v>
      </c>
      <c r="AF244" s="2">
        <v>25</v>
      </c>
      <c r="AK244">
        <v>6122107</v>
      </c>
    </row>
    <row r="245" spans="1:37" x14ac:dyDescent="0.25">
      <c r="A245" s="1">
        <v>46020</v>
      </c>
      <c r="B245" s="1">
        <v>46022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666</v>
      </c>
      <c r="J245" t="s">
        <v>667</v>
      </c>
      <c r="M245" t="s">
        <v>200</v>
      </c>
      <c r="O245" t="s">
        <v>240</v>
      </c>
      <c r="P245" t="s">
        <v>241</v>
      </c>
      <c r="Q245" t="s">
        <v>49</v>
      </c>
      <c r="R245" t="s">
        <v>237</v>
      </c>
      <c r="S245" s="1">
        <v>46023</v>
      </c>
      <c r="U245" t="s">
        <v>51</v>
      </c>
      <c r="X245" t="s">
        <v>52</v>
      </c>
      <c r="Y245" s="2">
        <v>0</v>
      </c>
      <c r="Z245" s="2">
        <v>25</v>
      </c>
      <c r="AA245">
        <v>1</v>
      </c>
      <c r="AB245" s="3">
        <v>1</v>
      </c>
      <c r="AC245" s="2">
        <v>25</v>
      </c>
      <c r="AD245" s="3">
        <v>0</v>
      </c>
      <c r="AE245" s="2">
        <v>0</v>
      </c>
      <c r="AF245" s="2">
        <v>25</v>
      </c>
      <c r="AK245">
        <v>6122108</v>
      </c>
    </row>
    <row r="246" spans="1:37" x14ac:dyDescent="0.25">
      <c r="A246" s="1">
        <v>46020</v>
      </c>
      <c r="B246" s="1">
        <v>46022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668</v>
      </c>
      <c r="J246" t="s">
        <v>669</v>
      </c>
      <c r="M246" t="s">
        <v>200</v>
      </c>
      <c r="O246" t="s">
        <v>240</v>
      </c>
      <c r="P246" t="s">
        <v>241</v>
      </c>
      <c r="Q246" t="s">
        <v>49</v>
      </c>
      <c r="R246" t="s">
        <v>237</v>
      </c>
      <c r="S246" s="1">
        <v>46023</v>
      </c>
      <c r="U246" t="s">
        <v>51</v>
      </c>
      <c r="X246" t="s">
        <v>52</v>
      </c>
      <c r="Y246" s="2">
        <v>0</v>
      </c>
      <c r="Z246" s="2">
        <v>25</v>
      </c>
      <c r="AA246">
        <v>1</v>
      </c>
      <c r="AB246" s="3">
        <v>1</v>
      </c>
      <c r="AC246" s="2">
        <v>25</v>
      </c>
      <c r="AD246" s="3">
        <v>0</v>
      </c>
      <c r="AE246" s="2">
        <v>0</v>
      </c>
      <c r="AF246" s="2">
        <v>25</v>
      </c>
      <c r="AK246">
        <v>6122109</v>
      </c>
    </row>
    <row r="247" spans="1:37" x14ac:dyDescent="0.25">
      <c r="A247" s="1">
        <v>46020</v>
      </c>
      <c r="B247" s="1">
        <v>46022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670</v>
      </c>
      <c r="J247" t="s">
        <v>671</v>
      </c>
      <c r="M247" t="s">
        <v>672</v>
      </c>
      <c r="O247" t="s">
        <v>47</v>
      </c>
      <c r="P247" t="s">
        <v>48</v>
      </c>
      <c r="Q247" t="s">
        <v>49</v>
      </c>
      <c r="R247" t="s">
        <v>237</v>
      </c>
      <c r="S247" s="1">
        <v>46023</v>
      </c>
      <c r="U247" t="s">
        <v>51</v>
      </c>
      <c r="X247" t="s">
        <v>52</v>
      </c>
      <c r="Y247" s="2">
        <v>0</v>
      </c>
      <c r="Z247" s="2">
        <v>25</v>
      </c>
      <c r="AA247">
        <v>1</v>
      </c>
      <c r="AB247" s="3">
        <v>1</v>
      </c>
      <c r="AC247" s="2">
        <v>25</v>
      </c>
      <c r="AD247" s="3">
        <v>0</v>
      </c>
      <c r="AE247" s="2">
        <v>0</v>
      </c>
      <c r="AF247" s="2">
        <v>25</v>
      </c>
      <c r="AK247">
        <v>6122117</v>
      </c>
    </row>
    <row r="248" spans="1:37" x14ac:dyDescent="0.25">
      <c r="A248" s="1">
        <v>46020</v>
      </c>
      <c r="B248" s="1">
        <v>46022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673</v>
      </c>
      <c r="J248" t="s">
        <v>674</v>
      </c>
      <c r="M248" t="s">
        <v>200</v>
      </c>
      <c r="O248" t="s">
        <v>201</v>
      </c>
      <c r="P248" t="s">
        <v>202</v>
      </c>
      <c r="Q248" t="s">
        <v>49</v>
      </c>
      <c r="R248" t="s">
        <v>237</v>
      </c>
      <c r="S248" s="1">
        <v>46023</v>
      </c>
      <c r="U248" t="s">
        <v>51</v>
      </c>
      <c r="X248" t="s">
        <v>52</v>
      </c>
      <c r="Y248" s="2">
        <v>0</v>
      </c>
      <c r="Z248" s="2">
        <v>25</v>
      </c>
      <c r="AA248">
        <v>1</v>
      </c>
      <c r="AB248" s="3">
        <v>1</v>
      </c>
      <c r="AC248" s="2">
        <v>25</v>
      </c>
      <c r="AD248" s="3">
        <v>0</v>
      </c>
      <c r="AE248" s="2">
        <v>0</v>
      </c>
      <c r="AF248" s="2">
        <v>25</v>
      </c>
      <c r="AK248">
        <v>6122130</v>
      </c>
    </row>
    <row r="249" spans="1:37" x14ac:dyDescent="0.25">
      <c r="A249" s="1">
        <v>46020</v>
      </c>
      <c r="B249" s="1">
        <v>46022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675</v>
      </c>
      <c r="J249" t="s">
        <v>676</v>
      </c>
      <c r="M249" t="s">
        <v>200</v>
      </c>
      <c r="O249" t="s">
        <v>677</v>
      </c>
      <c r="P249" t="s">
        <v>678</v>
      </c>
      <c r="Q249" t="s">
        <v>49</v>
      </c>
      <c r="R249" t="s">
        <v>244</v>
      </c>
      <c r="S249" s="1">
        <v>46023</v>
      </c>
      <c r="U249" t="s">
        <v>51</v>
      </c>
      <c r="X249" t="s">
        <v>52</v>
      </c>
      <c r="Y249" s="2">
        <v>0</v>
      </c>
      <c r="Z249" s="2">
        <v>15</v>
      </c>
      <c r="AA249">
        <v>1</v>
      </c>
      <c r="AB249" s="3">
        <v>1</v>
      </c>
      <c r="AC249" s="2">
        <v>15</v>
      </c>
      <c r="AD249" s="3">
        <v>0</v>
      </c>
      <c r="AE249" s="2">
        <v>0</v>
      </c>
      <c r="AF249" s="2">
        <v>15</v>
      </c>
      <c r="AK249">
        <v>6122133</v>
      </c>
    </row>
    <row r="250" spans="1:37" x14ac:dyDescent="0.25">
      <c r="A250" s="1">
        <v>46020</v>
      </c>
      <c r="B250" s="1">
        <v>46022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679</v>
      </c>
      <c r="J250" t="s">
        <v>680</v>
      </c>
      <c r="M250" t="s">
        <v>200</v>
      </c>
      <c r="O250" t="s">
        <v>281</v>
      </c>
      <c r="P250" t="s">
        <v>282</v>
      </c>
      <c r="Q250" t="s">
        <v>49</v>
      </c>
      <c r="R250" t="s">
        <v>244</v>
      </c>
      <c r="S250" s="1">
        <v>46023</v>
      </c>
      <c r="U250" t="s">
        <v>51</v>
      </c>
      <c r="X250" t="s">
        <v>52</v>
      </c>
      <c r="Y250" s="2">
        <v>0</v>
      </c>
      <c r="Z250" s="2">
        <v>15</v>
      </c>
      <c r="AA250">
        <v>1</v>
      </c>
      <c r="AB250" s="3">
        <v>1</v>
      </c>
      <c r="AC250" s="2">
        <v>15</v>
      </c>
      <c r="AD250" s="3">
        <v>0</v>
      </c>
      <c r="AE250" s="2">
        <v>0</v>
      </c>
      <c r="AF250" s="2">
        <v>15</v>
      </c>
      <c r="AK250">
        <v>6122135</v>
      </c>
    </row>
    <row r="251" spans="1:37" x14ac:dyDescent="0.25">
      <c r="A251" s="1">
        <v>46020</v>
      </c>
      <c r="B251" s="1">
        <v>46022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681</v>
      </c>
      <c r="J251" t="s">
        <v>682</v>
      </c>
      <c r="M251" t="s">
        <v>341</v>
      </c>
      <c r="O251" t="s">
        <v>65</v>
      </c>
      <c r="P251" t="s">
        <v>66</v>
      </c>
      <c r="Q251" t="s">
        <v>49</v>
      </c>
      <c r="R251" t="s">
        <v>237</v>
      </c>
      <c r="S251" s="1">
        <v>46023</v>
      </c>
      <c r="U251" t="s">
        <v>51</v>
      </c>
      <c r="X251" t="s">
        <v>52</v>
      </c>
      <c r="Y251" s="2">
        <v>0</v>
      </c>
      <c r="Z251" s="2">
        <v>25</v>
      </c>
      <c r="AA251">
        <v>1</v>
      </c>
      <c r="AB251" s="3">
        <v>1</v>
      </c>
      <c r="AC251" s="2">
        <v>25</v>
      </c>
      <c r="AD251" s="3">
        <v>0</v>
      </c>
      <c r="AE251" s="2">
        <v>0</v>
      </c>
      <c r="AF251" s="2">
        <v>25</v>
      </c>
      <c r="AK251">
        <v>6122138</v>
      </c>
    </row>
    <row r="252" spans="1:37" x14ac:dyDescent="0.25">
      <c r="A252" s="1">
        <v>46020</v>
      </c>
      <c r="B252" s="1">
        <v>46022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683</v>
      </c>
      <c r="J252" t="s">
        <v>684</v>
      </c>
      <c r="M252" t="s">
        <v>59</v>
      </c>
      <c r="O252" t="s">
        <v>188</v>
      </c>
      <c r="P252" t="s">
        <v>189</v>
      </c>
      <c r="Q252" t="s">
        <v>49</v>
      </c>
      <c r="R252" t="s">
        <v>237</v>
      </c>
      <c r="S252" s="1">
        <v>46023</v>
      </c>
      <c r="U252" t="s">
        <v>51</v>
      </c>
      <c r="X252" t="s">
        <v>52</v>
      </c>
      <c r="Y252" s="2">
        <v>0</v>
      </c>
      <c r="Z252" s="2">
        <v>25</v>
      </c>
      <c r="AA252">
        <v>1</v>
      </c>
      <c r="AB252" s="3">
        <v>1</v>
      </c>
      <c r="AC252" s="2">
        <v>25</v>
      </c>
      <c r="AD252" s="3">
        <v>0</v>
      </c>
      <c r="AE252" s="2">
        <v>0</v>
      </c>
      <c r="AF252" s="2">
        <v>25</v>
      </c>
      <c r="AK252">
        <v>6122143</v>
      </c>
    </row>
    <row r="253" spans="1:37" x14ac:dyDescent="0.25">
      <c r="A253" s="1">
        <v>46020</v>
      </c>
      <c r="B253" s="1">
        <v>46022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685</v>
      </c>
      <c r="J253" t="s">
        <v>686</v>
      </c>
      <c r="M253" t="s">
        <v>59</v>
      </c>
      <c r="O253" t="s">
        <v>687</v>
      </c>
      <c r="P253" t="s">
        <v>688</v>
      </c>
      <c r="Q253" t="s">
        <v>49</v>
      </c>
      <c r="R253" t="s">
        <v>237</v>
      </c>
      <c r="S253" s="1">
        <v>46023</v>
      </c>
      <c r="U253" t="s">
        <v>51</v>
      </c>
      <c r="X253" t="s">
        <v>52</v>
      </c>
      <c r="Y253" s="2">
        <v>0</v>
      </c>
      <c r="Z253" s="2">
        <v>25</v>
      </c>
      <c r="AA253">
        <v>1</v>
      </c>
      <c r="AB253" s="3">
        <v>1</v>
      </c>
      <c r="AC253" s="2">
        <v>25</v>
      </c>
      <c r="AD253" s="3">
        <v>0</v>
      </c>
      <c r="AE253" s="2">
        <v>0</v>
      </c>
      <c r="AF253" s="2">
        <v>25</v>
      </c>
      <c r="AK253">
        <v>6122144</v>
      </c>
    </row>
    <row r="254" spans="1:37" x14ac:dyDescent="0.25">
      <c r="A254" s="1">
        <v>46020</v>
      </c>
      <c r="B254" s="1">
        <v>46022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689</v>
      </c>
      <c r="J254" t="s">
        <v>690</v>
      </c>
      <c r="M254" t="s">
        <v>59</v>
      </c>
      <c r="O254" t="s">
        <v>361</v>
      </c>
      <c r="P254" t="s">
        <v>362</v>
      </c>
      <c r="Q254" t="s">
        <v>49</v>
      </c>
      <c r="R254" t="s">
        <v>237</v>
      </c>
      <c r="S254" s="1">
        <v>46023</v>
      </c>
      <c r="U254" t="s">
        <v>51</v>
      </c>
      <c r="X254" t="s">
        <v>52</v>
      </c>
      <c r="Y254" s="2">
        <v>0</v>
      </c>
      <c r="Z254" s="2">
        <v>25</v>
      </c>
      <c r="AA254">
        <v>1</v>
      </c>
      <c r="AB254" s="3">
        <v>1</v>
      </c>
      <c r="AC254" s="2">
        <v>25</v>
      </c>
      <c r="AD254" s="3">
        <v>0</v>
      </c>
      <c r="AE254" s="2">
        <v>0</v>
      </c>
      <c r="AF254" s="2">
        <v>25</v>
      </c>
      <c r="AK254">
        <v>6122148</v>
      </c>
    </row>
    <row r="255" spans="1:37" x14ac:dyDescent="0.25">
      <c r="A255" s="1">
        <v>46020</v>
      </c>
      <c r="B255" s="1">
        <v>46022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691</v>
      </c>
      <c r="J255" t="s">
        <v>692</v>
      </c>
      <c r="M255" t="s">
        <v>200</v>
      </c>
      <c r="O255" t="s">
        <v>530</v>
      </c>
      <c r="P255" t="s">
        <v>531</v>
      </c>
      <c r="Q255" t="s">
        <v>49</v>
      </c>
      <c r="R255" t="s">
        <v>237</v>
      </c>
      <c r="S255" s="1">
        <v>46023</v>
      </c>
      <c r="U255" t="s">
        <v>51</v>
      </c>
      <c r="X255" t="s">
        <v>52</v>
      </c>
      <c r="Y255" s="2">
        <v>0</v>
      </c>
      <c r="Z255" s="2">
        <v>25</v>
      </c>
      <c r="AA255">
        <v>1</v>
      </c>
      <c r="AB255" s="3">
        <v>1</v>
      </c>
      <c r="AC255" s="2">
        <v>25</v>
      </c>
      <c r="AD255" s="3">
        <v>0</v>
      </c>
      <c r="AE255" s="2">
        <v>0</v>
      </c>
      <c r="AF255" s="2">
        <v>25</v>
      </c>
      <c r="AK255">
        <v>6122149</v>
      </c>
    </row>
    <row r="256" spans="1:37" x14ac:dyDescent="0.25">
      <c r="A256" s="1">
        <v>46020</v>
      </c>
      <c r="B256" s="1">
        <v>46022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693</v>
      </c>
      <c r="J256" t="s">
        <v>694</v>
      </c>
      <c r="M256" t="s">
        <v>59</v>
      </c>
      <c r="O256" t="s">
        <v>695</v>
      </c>
      <c r="P256" t="s">
        <v>696</v>
      </c>
      <c r="Q256" t="s">
        <v>49</v>
      </c>
      <c r="R256" t="s">
        <v>237</v>
      </c>
      <c r="S256" s="1">
        <v>46023</v>
      </c>
      <c r="U256" t="s">
        <v>51</v>
      </c>
      <c r="X256" t="s">
        <v>52</v>
      </c>
      <c r="Y256" s="2">
        <v>0</v>
      </c>
      <c r="Z256" s="2">
        <v>25</v>
      </c>
      <c r="AA256">
        <v>1</v>
      </c>
      <c r="AB256" s="3">
        <v>1</v>
      </c>
      <c r="AC256" s="2">
        <v>25</v>
      </c>
      <c r="AD256" s="3">
        <v>0</v>
      </c>
      <c r="AE256" s="2">
        <v>0</v>
      </c>
      <c r="AF256" s="2">
        <v>25</v>
      </c>
      <c r="AK256">
        <v>6122150</v>
      </c>
    </row>
    <row r="257" spans="1:37" x14ac:dyDescent="0.25">
      <c r="A257" s="1">
        <v>46020</v>
      </c>
      <c r="B257" s="1">
        <v>46022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697</v>
      </c>
      <c r="J257" t="s">
        <v>698</v>
      </c>
      <c r="M257" t="s">
        <v>200</v>
      </c>
      <c r="O257" t="s">
        <v>201</v>
      </c>
      <c r="P257" t="s">
        <v>202</v>
      </c>
      <c r="Q257" t="s">
        <v>49</v>
      </c>
      <c r="R257" t="s">
        <v>237</v>
      </c>
      <c r="S257" s="1">
        <v>46023</v>
      </c>
      <c r="U257" t="s">
        <v>51</v>
      </c>
      <c r="X257" t="s">
        <v>52</v>
      </c>
      <c r="Y257" s="2">
        <v>0</v>
      </c>
      <c r="Z257" s="2">
        <v>25</v>
      </c>
      <c r="AA257">
        <v>1</v>
      </c>
      <c r="AB257" s="3">
        <v>1</v>
      </c>
      <c r="AC257" s="2">
        <v>25</v>
      </c>
      <c r="AD257" s="3">
        <v>0</v>
      </c>
      <c r="AE257" s="2">
        <v>0</v>
      </c>
      <c r="AF257" s="2">
        <v>25</v>
      </c>
      <c r="AK257">
        <v>6122156</v>
      </c>
    </row>
    <row r="258" spans="1:37" x14ac:dyDescent="0.25">
      <c r="A258" s="1">
        <v>46020</v>
      </c>
      <c r="B258" s="1">
        <v>46022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699</v>
      </c>
      <c r="J258" t="s">
        <v>700</v>
      </c>
      <c r="M258" t="s">
        <v>59</v>
      </c>
      <c r="O258" t="s">
        <v>194</v>
      </c>
      <c r="P258" t="s">
        <v>195</v>
      </c>
      <c r="Q258" t="s">
        <v>49</v>
      </c>
      <c r="R258" t="s">
        <v>237</v>
      </c>
      <c r="S258" s="1">
        <v>46023</v>
      </c>
      <c r="U258" t="s">
        <v>51</v>
      </c>
      <c r="X258" t="s">
        <v>52</v>
      </c>
      <c r="Y258" s="2">
        <v>0</v>
      </c>
      <c r="Z258" s="2">
        <v>25</v>
      </c>
      <c r="AA258">
        <v>1</v>
      </c>
      <c r="AB258" s="3">
        <v>1</v>
      </c>
      <c r="AC258" s="2">
        <v>25</v>
      </c>
      <c r="AD258" s="3">
        <v>0</v>
      </c>
      <c r="AE258" s="2">
        <v>0</v>
      </c>
      <c r="AF258" s="2">
        <v>25</v>
      </c>
      <c r="AK258">
        <v>6122158</v>
      </c>
    </row>
    <row r="259" spans="1:37" x14ac:dyDescent="0.25">
      <c r="A259" s="1">
        <v>46020</v>
      </c>
      <c r="B259" s="1">
        <v>46022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701</v>
      </c>
      <c r="J259" t="s">
        <v>702</v>
      </c>
      <c r="M259" t="s">
        <v>200</v>
      </c>
      <c r="O259" t="s">
        <v>530</v>
      </c>
      <c r="P259" t="s">
        <v>531</v>
      </c>
      <c r="Q259" t="s">
        <v>49</v>
      </c>
      <c r="R259" t="s">
        <v>237</v>
      </c>
      <c r="S259" s="1">
        <v>46023</v>
      </c>
      <c r="U259" t="s">
        <v>51</v>
      </c>
      <c r="X259" t="s">
        <v>52</v>
      </c>
      <c r="Y259" s="2">
        <v>0</v>
      </c>
      <c r="Z259" s="2">
        <v>25</v>
      </c>
      <c r="AA259">
        <v>1</v>
      </c>
      <c r="AB259" s="3">
        <v>1</v>
      </c>
      <c r="AC259" s="2">
        <v>25</v>
      </c>
      <c r="AD259" s="3">
        <v>0</v>
      </c>
      <c r="AE259" s="2">
        <v>0</v>
      </c>
      <c r="AF259" s="2">
        <v>25</v>
      </c>
      <c r="AK259">
        <v>6122162</v>
      </c>
    </row>
    <row r="260" spans="1:37" x14ac:dyDescent="0.25">
      <c r="A260" s="1">
        <v>46020</v>
      </c>
      <c r="B260" s="1">
        <v>46022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703</v>
      </c>
      <c r="J260" t="s">
        <v>704</v>
      </c>
      <c r="M260" t="s">
        <v>200</v>
      </c>
      <c r="O260" t="s">
        <v>530</v>
      </c>
      <c r="P260" t="s">
        <v>531</v>
      </c>
      <c r="Q260" t="s">
        <v>49</v>
      </c>
      <c r="R260" t="s">
        <v>237</v>
      </c>
      <c r="S260" s="1">
        <v>46023</v>
      </c>
      <c r="U260" t="s">
        <v>51</v>
      </c>
      <c r="X260" t="s">
        <v>52</v>
      </c>
      <c r="Y260" s="2">
        <v>0</v>
      </c>
      <c r="Z260" s="2">
        <v>25</v>
      </c>
      <c r="AA260">
        <v>1</v>
      </c>
      <c r="AB260" s="3">
        <v>1</v>
      </c>
      <c r="AC260" s="2">
        <v>25</v>
      </c>
      <c r="AD260" s="3">
        <v>0</v>
      </c>
      <c r="AE260" s="2">
        <v>0</v>
      </c>
      <c r="AF260" s="2">
        <v>25</v>
      </c>
      <c r="AK260">
        <v>6122166</v>
      </c>
    </row>
    <row r="261" spans="1:37" x14ac:dyDescent="0.25">
      <c r="A261" s="1">
        <v>46020</v>
      </c>
      <c r="B261" s="1">
        <v>46022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705</v>
      </c>
      <c r="J261" t="s">
        <v>706</v>
      </c>
      <c r="M261" t="s">
        <v>59</v>
      </c>
      <c r="O261" t="s">
        <v>457</v>
      </c>
      <c r="P261" t="s">
        <v>458</v>
      </c>
      <c r="Q261" t="s">
        <v>49</v>
      </c>
      <c r="R261" t="s">
        <v>237</v>
      </c>
      <c r="S261" s="1">
        <v>46023</v>
      </c>
      <c r="U261" t="s">
        <v>51</v>
      </c>
      <c r="X261" t="s">
        <v>52</v>
      </c>
      <c r="Y261" s="2">
        <v>0</v>
      </c>
      <c r="Z261" s="2">
        <v>25</v>
      </c>
      <c r="AA261">
        <v>1</v>
      </c>
      <c r="AB261" s="3">
        <v>1</v>
      </c>
      <c r="AC261" s="2">
        <v>25</v>
      </c>
      <c r="AD261" s="3">
        <v>0</v>
      </c>
      <c r="AE261" s="2">
        <v>0</v>
      </c>
      <c r="AF261" s="2">
        <v>25</v>
      </c>
      <c r="AK261">
        <v>6122168</v>
      </c>
    </row>
    <row r="262" spans="1:37" x14ac:dyDescent="0.25">
      <c r="A262" s="1">
        <v>46020</v>
      </c>
      <c r="B262" s="1">
        <v>46022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707</v>
      </c>
      <c r="J262" t="s">
        <v>708</v>
      </c>
      <c r="M262" t="s">
        <v>59</v>
      </c>
      <c r="O262" t="s">
        <v>310</v>
      </c>
      <c r="P262" t="s">
        <v>311</v>
      </c>
      <c r="Q262" t="s">
        <v>49</v>
      </c>
      <c r="R262" t="s">
        <v>237</v>
      </c>
      <c r="S262" s="1">
        <v>46023</v>
      </c>
      <c r="U262" t="s">
        <v>51</v>
      </c>
      <c r="X262" t="s">
        <v>52</v>
      </c>
      <c r="Y262" s="2">
        <v>0</v>
      </c>
      <c r="Z262" s="2">
        <v>25</v>
      </c>
      <c r="AA262">
        <v>1</v>
      </c>
      <c r="AB262" s="3">
        <v>1</v>
      </c>
      <c r="AC262" s="2">
        <v>25</v>
      </c>
      <c r="AD262" s="3">
        <v>0</v>
      </c>
      <c r="AE262" s="2">
        <v>0</v>
      </c>
      <c r="AF262" s="2">
        <v>25</v>
      </c>
      <c r="AK262">
        <v>6122169</v>
      </c>
    </row>
    <row r="263" spans="1:37" x14ac:dyDescent="0.25">
      <c r="A263" s="1">
        <v>46020</v>
      </c>
      <c r="B263" s="1">
        <v>46022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709</v>
      </c>
      <c r="J263" t="s">
        <v>710</v>
      </c>
      <c r="M263" t="s">
        <v>59</v>
      </c>
      <c r="O263" t="s">
        <v>695</v>
      </c>
      <c r="P263" t="s">
        <v>696</v>
      </c>
      <c r="Q263" t="s">
        <v>49</v>
      </c>
      <c r="R263" t="s">
        <v>237</v>
      </c>
      <c r="S263" s="1">
        <v>46023</v>
      </c>
      <c r="U263" t="s">
        <v>51</v>
      </c>
      <c r="X263" t="s">
        <v>52</v>
      </c>
      <c r="Y263" s="2">
        <v>0</v>
      </c>
      <c r="Z263" s="2">
        <v>25</v>
      </c>
      <c r="AA263">
        <v>1</v>
      </c>
      <c r="AB263" s="3">
        <v>1</v>
      </c>
      <c r="AC263" s="2">
        <v>25</v>
      </c>
      <c r="AD263" s="3">
        <v>0</v>
      </c>
      <c r="AE263" s="2">
        <v>0</v>
      </c>
      <c r="AF263" s="2">
        <v>25</v>
      </c>
      <c r="AK263">
        <v>6122171</v>
      </c>
    </row>
    <row r="264" spans="1:37" x14ac:dyDescent="0.25">
      <c r="A264" s="1">
        <v>46020</v>
      </c>
      <c r="B264" s="1">
        <v>46022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711</v>
      </c>
      <c r="J264" t="s">
        <v>712</v>
      </c>
      <c r="M264" t="s">
        <v>672</v>
      </c>
      <c r="O264" t="s">
        <v>47</v>
      </c>
      <c r="P264" t="s">
        <v>48</v>
      </c>
      <c r="Q264" t="s">
        <v>49</v>
      </c>
      <c r="R264" t="s">
        <v>237</v>
      </c>
      <c r="S264" s="1">
        <v>46023</v>
      </c>
      <c r="U264" t="s">
        <v>51</v>
      </c>
      <c r="X264" t="s">
        <v>52</v>
      </c>
      <c r="Y264" s="2">
        <v>0</v>
      </c>
      <c r="Z264" s="2">
        <v>25</v>
      </c>
      <c r="AA264">
        <v>1</v>
      </c>
      <c r="AB264" s="3">
        <v>1</v>
      </c>
      <c r="AC264" s="2">
        <v>25</v>
      </c>
      <c r="AD264" s="3">
        <v>0</v>
      </c>
      <c r="AE264" s="2">
        <v>0</v>
      </c>
      <c r="AF264" s="2">
        <v>25</v>
      </c>
      <c r="AK264">
        <v>6122174</v>
      </c>
    </row>
    <row r="265" spans="1:37" x14ac:dyDescent="0.25">
      <c r="A265" s="1">
        <v>46020</v>
      </c>
      <c r="B265" s="1">
        <v>46022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713</v>
      </c>
      <c r="J265" t="s">
        <v>714</v>
      </c>
      <c r="M265" t="s">
        <v>145</v>
      </c>
      <c r="O265" t="s">
        <v>146</v>
      </c>
      <c r="P265" t="s">
        <v>147</v>
      </c>
      <c r="Q265" t="s">
        <v>49</v>
      </c>
      <c r="R265" t="s">
        <v>237</v>
      </c>
      <c r="S265" s="1">
        <v>46023</v>
      </c>
      <c r="U265" t="s">
        <v>51</v>
      </c>
      <c r="X265" t="s">
        <v>52</v>
      </c>
      <c r="Y265" s="2">
        <v>0</v>
      </c>
      <c r="Z265" s="2">
        <v>25</v>
      </c>
      <c r="AA265">
        <v>1</v>
      </c>
      <c r="AB265" s="3">
        <v>1</v>
      </c>
      <c r="AC265" s="2">
        <v>25</v>
      </c>
      <c r="AD265" s="3">
        <v>0</v>
      </c>
      <c r="AE265" s="2">
        <v>0</v>
      </c>
      <c r="AF265" s="2">
        <v>25</v>
      </c>
      <c r="AK265">
        <v>6122177</v>
      </c>
    </row>
    <row r="266" spans="1:37" x14ac:dyDescent="0.25">
      <c r="A266" s="1">
        <v>46020</v>
      </c>
      <c r="B266" s="1">
        <v>46022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715</v>
      </c>
      <c r="J266" t="s">
        <v>716</v>
      </c>
      <c r="M266" t="s">
        <v>145</v>
      </c>
      <c r="O266" t="s">
        <v>146</v>
      </c>
      <c r="P266" t="s">
        <v>147</v>
      </c>
      <c r="Q266" t="s">
        <v>49</v>
      </c>
      <c r="R266" t="s">
        <v>237</v>
      </c>
      <c r="S266" s="1">
        <v>46023</v>
      </c>
      <c r="U266" t="s">
        <v>51</v>
      </c>
      <c r="X266" t="s">
        <v>52</v>
      </c>
      <c r="Y266" s="2">
        <v>0</v>
      </c>
      <c r="Z266" s="2">
        <v>25</v>
      </c>
      <c r="AA266">
        <v>1</v>
      </c>
      <c r="AB266" s="3">
        <v>1</v>
      </c>
      <c r="AC266" s="2">
        <v>25</v>
      </c>
      <c r="AD266" s="3">
        <v>0</v>
      </c>
      <c r="AE266" s="2">
        <v>0</v>
      </c>
      <c r="AF266" s="2">
        <v>25</v>
      </c>
      <c r="AK266">
        <v>6122189</v>
      </c>
    </row>
    <row r="267" spans="1:37" x14ac:dyDescent="0.25">
      <c r="A267" s="1">
        <v>46020</v>
      </c>
      <c r="B267" s="1">
        <v>46022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717</v>
      </c>
      <c r="J267" t="s">
        <v>718</v>
      </c>
      <c r="M267" t="s">
        <v>104</v>
      </c>
      <c r="O267" t="s">
        <v>240</v>
      </c>
      <c r="P267" t="s">
        <v>241</v>
      </c>
      <c r="Q267" t="s">
        <v>49</v>
      </c>
      <c r="R267" t="s">
        <v>237</v>
      </c>
      <c r="S267" s="1">
        <v>46023</v>
      </c>
      <c r="U267" t="s">
        <v>51</v>
      </c>
      <c r="X267" t="s">
        <v>52</v>
      </c>
      <c r="Y267" s="2">
        <v>0</v>
      </c>
      <c r="Z267" s="2">
        <v>25</v>
      </c>
      <c r="AA267">
        <v>1</v>
      </c>
      <c r="AB267" s="3">
        <v>1</v>
      </c>
      <c r="AC267" s="2">
        <v>25</v>
      </c>
      <c r="AD267" s="3">
        <v>0</v>
      </c>
      <c r="AE267" s="2">
        <v>0</v>
      </c>
      <c r="AF267" s="2">
        <v>25</v>
      </c>
      <c r="AK267">
        <v>6122195</v>
      </c>
    </row>
    <row r="268" spans="1:37" x14ac:dyDescent="0.25">
      <c r="A268" s="1">
        <v>46020</v>
      </c>
      <c r="B268" s="1">
        <v>46022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719</v>
      </c>
      <c r="J268" t="s">
        <v>720</v>
      </c>
      <c r="M268" t="s">
        <v>493</v>
      </c>
      <c r="O268" t="s">
        <v>155</v>
      </c>
      <c r="P268" t="s">
        <v>156</v>
      </c>
      <c r="Q268" t="s">
        <v>49</v>
      </c>
      <c r="R268" t="s">
        <v>237</v>
      </c>
      <c r="S268" s="1">
        <v>46023</v>
      </c>
      <c r="U268" t="s">
        <v>51</v>
      </c>
      <c r="X268" t="s">
        <v>52</v>
      </c>
      <c r="Y268" s="2">
        <v>0</v>
      </c>
      <c r="Z268" s="2">
        <v>25</v>
      </c>
      <c r="AA268">
        <v>1</v>
      </c>
      <c r="AB268" s="3">
        <v>1</v>
      </c>
      <c r="AC268" s="2">
        <v>25</v>
      </c>
      <c r="AD268" s="3">
        <v>0</v>
      </c>
      <c r="AE268" s="2">
        <v>0</v>
      </c>
      <c r="AF268" s="2">
        <v>25</v>
      </c>
      <c r="AK268">
        <v>6122232</v>
      </c>
    </row>
    <row r="269" spans="1:37" x14ac:dyDescent="0.25">
      <c r="A269" s="1">
        <v>46020</v>
      </c>
      <c r="B269" s="1">
        <v>46022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721</v>
      </c>
      <c r="J269" t="s">
        <v>722</v>
      </c>
      <c r="M269" t="s">
        <v>59</v>
      </c>
      <c r="O269" t="s">
        <v>65</v>
      </c>
      <c r="P269" t="s">
        <v>66</v>
      </c>
      <c r="Q269" t="s">
        <v>49</v>
      </c>
      <c r="R269" t="s">
        <v>237</v>
      </c>
      <c r="S269" s="1">
        <v>46023</v>
      </c>
      <c r="U269" t="s">
        <v>51</v>
      </c>
      <c r="X269" t="s">
        <v>52</v>
      </c>
      <c r="Y269" s="2">
        <v>0</v>
      </c>
      <c r="Z269" s="2">
        <v>25</v>
      </c>
      <c r="AA269">
        <v>1</v>
      </c>
      <c r="AB269" s="3">
        <v>1</v>
      </c>
      <c r="AC269" s="2">
        <v>25</v>
      </c>
      <c r="AD269" s="3">
        <v>0</v>
      </c>
      <c r="AE269" s="2">
        <v>0</v>
      </c>
      <c r="AF269" s="2">
        <v>25</v>
      </c>
      <c r="AK269">
        <v>6122235</v>
      </c>
    </row>
    <row r="270" spans="1:37" x14ac:dyDescent="0.25">
      <c r="A270" s="1">
        <v>46020</v>
      </c>
      <c r="B270" s="1">
        <v>46022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723</v>
      </c>
      <c r="J270" t="s">
        <v>724</v>
      </c>
      <c r="M270" t="s">
        <v>46</v>
      </c>
      <c r="O270" t="s">
        <v>725</v>
      </c>
      <c r="P270" t="s">
        <v>726</v>
      </c>
      <c r="Q270" t="s">
        <v>49</v>
      </c>
      <c r="R270" t="s">
        <v>237</v>
      </c>
      <c r="S270" s="1">
        <v>46023</v>
      </c>
      <c r="U270" t="s">
        <v>51</v>
      </c>
      <c r="X270" t="s">
        <v>52</v>
      </c>
      <c r="Y270" s="2">
        <v>0</v>
      </c>
      <c r="Z270" s="2">
        <v>25</v>
      </c>
      <c r="AA270">
        <v>1</v>
      </c>
      <c r="AB270" s="3">
        <v>1</v>
      </c>
      <c r="AC270" s="2">
        <v>25</v>
      </c>
      <c r="AD270" s="3">
        <v>0</v>
      </c>
      <c r="AE270" s="2">
        <v>0</v>
      </c>
      <c r="AF270" s="2">
        <v>25</v>
      </c>
      <c r="AK270">
        <v>6122236</v>
      </c>
    </row>
    <row r="271" spans="1:37" x14ac:dyDescent="0.25">
      <c r="A271" s="1">
        <v>46020</v>
      </c>
      <c r="B271" s="1">
        <v>46022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727</v>
      </c>
      <c r="J271" t="s">
        <v>728</v>
      </c>
      <c r="M271" t="s">
        <v>59</v>
      </c>
      <c r="O271" t="s">
        <v>489</v>
      </c>
      <c r="P271" t="s">
        <v>490</v>
      </c>
      <c r="Q271" t="s">
        <v>49</v>
      </c>
      <c r="R271" t="s">
        <v>237</v>
      </c>
      <c r="S271" s="1">
        <v>46023</v>
      </c>
      <c r="U271" t="s">
        <v>51</v>
      </c>
      <c r="X271" t="s">
        <v>52</v>
      </c>
      <c r="Y271" s="2">
        <v>0</v>
      </c>
      <c r="Z271" s="2">
        <v>25</v>
      </c>
      <c r="AA271">
        <v>1</v>
      </c>
      <c r="AB271" s="3">
        <v>1</v>
      </c>
      <c r="AC271" s="2">
        <v>25</v>
      </c>
      <c r="AD271" s="3">
        <v>0</v>
      </c>
      <c r="AE271" s="2">
        <v>0</v>
      </c>
      <c r="AF271" s="2">
        <v>25</v>
      </c>
      <c r="AK271">
        <v>6122238</v>
      </c>
    </row>
    <row r="272" spans="1:37" x14ac:dyDescent="0.25">
      <c r="A272" s="1">
        <v>46020</v>
      </c>
      <c r="B272" s="1">
        <v>46022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729</v>
      </c>
      <c r="J272" t="s">
        <v>730</v>
      </c>
      <c r="M272" t="s">
        <v>64</v>
      </c>
      <c r="O272" t="s">
        <v>115</v>
      </c>
      <c r="P272" t="s">
        <v>116</v>
      </c>
      <c r="Q272" t="s">
        <v>49</v>
      </c>
      <c r="R272" t="s">
        <v>237</v>
      </c>
      <c r="S272" s="1">
        <v>46023</v>
      </c>
      <c r="U272" t="s">
        <v>51</v>
      </c>
      <c r="X272" t="s">
        <v>52</v>
      </c>
      <c r="Y272" s="2">
        <v>0</v>
      </c>
      <c r="Z272" s="2">
        <v>25</v>
      </c>
      <c r="AA272">
        <v>1</v>
      </c>
      <c r="AB272" s="3">
        <v>1</v>
      </c>
      <c r="AC272" s="2">
        <v>25</v>
      </c>
      <c r="AD272" s="3">
        <v>0</v>
      </c>
      <c r="AE272" s="2">
        <v>0</v>
      </c>
      <c r="AF272" s="2">
        <v>25</v>
      </c>
      <c r="AK272">
        <v>6122239</v>
      </c>
    </row>
    <row r="273" spans="1:37" x14ac:dyDescent="0.25">
      <c r="A273" s="1">
        <v>46020</v>
      </c>
      <c r="B273" s="1">
        <v>46022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731</v>
      </c>
      <c r="J273" t="s">
        <v>732</v>
      </c>
      <c r="M273" t="s">
        <v>46</v>
      </c>
      <c r="O273" t="s">
        <v>213</v>
      </c>
      <c r="P273" t="s">
        <v>214</v>
      </c>
      <c r="Q273" t="s">
        <v>49</v>
      </c>
      <c r="R273" t="s">
        <v>237</v>
      </c>
      <c r="S273" s="1">
        <v>46023</v>
      </c>
      <c r="U273" t="s">
        <v>51</v>
      </c>
      <c r="X273" t="s">
        <v>52</v>
      </c>
      <c r="Y273" s="2">
        <v>0</v>
      </c>
      <c r="Z273" s="2">
        <v>25</v>
      </c>
      <c r="AA273">
        <v>1</v>
      </c>
      <c r="AB273" s="3">
        <v>1</v>
      </c>
      <c r="AC273" s="2">
        <v>25</v>
      </c>
      <c r="AD273" s="3">
        <v>0</v>
      </c>
      <c r="AE273" s="2">
        <v>0</v>
      </c>
      <c r="AF273" s="2">
        <v>25</v>
      </c>
      <c r="AK273">
        <v>6122241</v>
      </c>
    </row>
    <row r="274" spans="1:37" x14ac:dyDescent="0.25">
      <c r="A274" s="1">
        <v>46020</v>
      </c>
      <c r="B274" s="1">
        <v>46022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733</v>
      </c>
      <c r="J274" t="s">
        <v>734</v>
      </c>
      <c r="M274" t="s">
        <v>200</v>
      </c>
      <c r="O274" t="s">
        <v>240</v>
      </c>
      <c r="P274" t="s">
        <v>241</v>
      </c>
      <c r="Q274" t="s">
        <v>49</v>
      </c>
      <c r="R274" t="s">
        <v>237</v>
      </c>
      <c r="S274" s="1">
        <v>46023</v>
      </c>
      <c r="U274" t="s">
        <v>51</v>
      </c>
      <c r="X274" t="s">
        <v>52</v>
      </c>
      <c r="Y274" s="2">
        <v>0</v>
      </c>
      <c r="Z274" s="2">
        <v>25</v>
      </c>
      <c r="AA274">
        <v>1</v>
      </c>
      <c r="AB274" s="3">
        <v>1</v>
      </c>
      <c r="AC274" s="2">
        <v>25</v>
      </c>
      <c r="AD274" s="3">
        <v>0</v>
      </c>
      <c r="AE274" s="2">
        <v>0</v>
      </c>
      <c r="AF274" s="2">
        <v>25</v>
      </c>
      <c r="AK274">
        <v>6122244</v>
      </c>
    </row>
    <row r="275" spans="1:37" x14ac:dyDescent="0.25">
      <c r="A275" s="1">
        <v>46020</v>
      </c>
      <c r="B275" s="1">
        <v>46022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735</v>
      </c>
      <c r="J275" t="s">
        <v>736</v>
      </c>
      <c r="M275" t="s">
        <v>145</v>
      </c>
      <c r="O275" t="s">
        <v>146</v>
      </c>
      <c r="P275" t="s">
        <v>147</v>
      </c>
      <c r="Q275" t="s">
        <v>49</v>
      </c>
      <c r="R275" t="s">
        <v>237</v>
      </c>
      <c r="S275" s="1">
        <v>46023</v>
      </c>
      <c r="U275" t="s">
        <v>51</v>
      </c>
      <c r="X275" t="s">
        <v>52</v>
      </c>
      <c r="Y275" s="2">
        <v>0</v>
      </c>
      <c r="Z275" s="2">
        <v>25</v>
      </c>
      <c r="AA275">
        <v>1</v>
      </c>
      <c r="AB275" s="3">
        <v>1</v>
      </c>
      <c r="AC275" s="2">
        <v>25</v>
      </c>
      <c r="AD275" s="3">
        <v>0</v>
      </c>
      <c r="AE275" s="2">
        <v>0</v>
      </c>
      <c r="AF275" s="2">
        <v>25</v>
      </c>
      <c r="AK275">
        <v>6122247</v>
      </c>
    </row>
    <row r="276" spans="1:37" x14ac:dyDescent="0.25">
      <c r="A276" s="1">
        <v>46020</v>
      </c>
      <c r="B276" s="1">
        <v>46022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737</v>
      </c>
      <c r="J276" t="s">
        <v>738</v>
      </c>
      <c r="M276" t="s">
        <v>145</v>
      </c>
      <c r="O276" t="s">
        <v>146</v>
      </c>
      <c r="P276" t="s">
        <v>147</v>
      </c>
      <c r="Q276" t="s">
        <v>49</v>
      </c>
      <c r="R276" t="s">
        <v>237</v>
      </c>
      <c r="S276" s="1">
        <v>46023</v>
      </c>
      <c r="U276" t="s">
        <v>51</v>
      </c>
      <c r="X276" t="s">
        <v>52</v>
      </c>
      <c r="Y276" s="2">
        <v>0</v>
      </c>
      <c r="Z276" s="2">
        <v>25</v>
      </c>
      <c r="AA276">
        <v>1</v>
      </c>
      <c r="AB276" s="3">
        <v>1</v>
      </c>
      <c r="AC276" s="2">
        <v>25</v>
      </c>
      <c r="AD276" s="3">
        <v>0</v>
      </c>
      <c r="AE276" s="2">
        <v>0</v>
      </c>
      <c r="AF276" s="2">
        <v>25</v>
      </c>
      <c r="AK276">
        <v>6122251</v>
      </c>
    </row>
    <row r="277" spans="1:37" x14ac:dyDescent="0.25">
      <c r="A277" s="1">
        <v>46020</v>
      </c>
      <c r="B277" s="1">
        <v>46022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739</v>
      </c>
      <c r="J277" t="s">
        <v>740</v>
      </c>
      <c r="M277" t="s">
        <v>145</v>
      </c>
      <c r="O277" t="s">
        <v>146</v>
      </c>
      <c r="P277" t="s">
        <v>147</v>
      </c>
      <c r="Q277" t="s">
        <v>49</v>
      </c>
      <c r="R277" t="s">
        <v>237</v>
      </c>
      <c r="S277" s="1">
        <v>46023</v>
      </c>
      <c r="U277" t="s">
        <v>51</v>
      </c>
      <c r="X277" t="s">
        <v>52</v>
      </c>
      <c r="Y277" s="2">
        <v>0</v>
      </c>
      <c r="Z277" s="2">
        <v>25</v>
      </c>
      <c r="AA277">
        <v>1</v>
      </c>
      <c r="AB277" s="3">
        <v>1</v>
      </c>
      <c r="AC277" s="2">
        <v>25</v>
      </c>
      <c r="AD277" s="3">
        <v>0</v>
      </c>
      <c r="AE277" s="2">
        <v>0</v>
      </c>
      <c r="AF277" s="2">
        <v>25</v>
      </c>
      <c r="AK277">
        <v>6122252</v>
      </c>
    </row>
    <row r="278" spans="1:37" x14ac:dyDescent="0.25">
      <c r="A278" s="1">
        <v>46020</v>
      </c>
      <c r="B278" s="1">
        <v>46022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741</v>
      </c>
      <c r="J278" t="s">
        <v>742</v>
      </c>
      <c r="M278" t="s">
        <v>145</v>
      </c>
      <c r="O278" t="s">
        <v>146</v>
      </c>
      <c r="P278" t="s">
        <v>147</v>
      </c>
      <c r="Q278" t="s">
        <v>49</v>
      </c>
      <c r="R278" t="s">
        <v>237</v>
      </c>
      <c r="S278" s="1">
        <v>46023</v>
      </c>
      <c r="U278" t="s">
        <v>51</v>
      </c>
      <c r="X278" t="s">
        <v>52</v>
      </c>
      <c r="Y278" s="2">
        <v>0</v>
      </c>
      <c r="Z278" s="2">
        <v>25</v>
      </c>
      <c r="AA278">
        <v>1</v>
      </c>
      <c r="AB278" s="3">
        <v>1</v>
      </c>
      <c r="AC278" s="2">
        <v>25</v>
      </c>
      <c r="AD278" s="3">
        <v>0</v>
      </c>
      <c r="AE278" s="2">
        <v>0</v>
      </c>
      <c r="AF278" s="2">
        <v>25</v>
      </c>
      <c r="AK278">
        <v>6122254</v>
      </c>
    </row>
    <row r="279" spans="1:37" x14ac:dyDescent="0.25">
      <c r="A279" s="1">
        <v>46020</v>
      </c>
      <c r="B279" s="1">
        <v>46022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743</v>
      </c>
      <c r="J279" t="s">
        <v>744</v>
      </c>
      <c r="M279" t="s">
        <v>200</v>
      </c>
      <c r="O279" t="s">
        <v>240</v>
      </c>
      <c r="P279" t="s">
        <v>241</v>
      </c>
      <c r="Q279" t="s">
        <v>49</v>
      </c>
      <c r="R279" t="s">
        <v>237</v>
      </c>
      <c r="S279" s="1">
        <v>46023</v>
      </c>
      <c r="U279" t="s">
        <v>51</v>
      </c>
      <c r="X279" t="s">
        <v>52</v>
      </c>
      <c r="Y279" s="2">
        <v>0</v>
      </c>
      <c r="Z279" s="2">
        <v>25</v>
      </c>
      <c r="AA279">
        <v>1</v>
      </c>
      <c r="AB279" s="3">
        <v>1</v>
      </c>
      <c r="AC279" s="2">
        <v>25</v>
      </c>
      <c r="AD279" s="3">
        <v>0</v>
      </c>
      <c r="AE279" s="2">
        <v>0</v>
      </c>
      <c r="AF279" s="2">
        <v>25</v>
      </c>
      <c r="AK279">
        <v>6122258</v>
      </c>
    </row>
    <row r="280" spans="1:37" x14ac:dyDescent="0.25">
      <c r="A280" s="1">
        <v>46020</v>
      </c>
      <c r="B280" s="1">
        <v>46022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745</v>
      </c>
      <c r="J280" t="s">
        <v>746</v>
      </c>
      <c r="M280" t="s">
        <v>59</v>
      </c>
      <c r="O280" t="s">
        <v>47</v>
      </c>
      <c r="P280" t="s">
        <v>48</v>
      </c>
      <c r="Q280" t="s">
        <v>49</v>
      </c>
      <c r="R280" t="s">
        <v>237</v>
      </c>
      <c r="S280" s="1">
        <v>46023</v>
      </c>
      <c r="U280" t="s">
        <v>51</v>
      </c>
      <c r="X280" t="s">
        <v>52</v>
      </c>
      <c r="Y280" s="2">
        <v>0</v>
      </c>
      <c r="Z280" s="2">
        <v>25</v>
      </c>
      <c r="AA280">
        <v>1</v>
      </c>
      <c r="AB280" s="3">
        <v>1</v>
      </c>
      <c r="AC280" s="2">
        <v>25</v>
      </c>
      <c r="AD280" s="3">
        <v>0</v>
      </c>
      <c r="AE280" s="2">
        <v>0</v>
      </c>
      <c r="AF280" s="2">
        <v>25</v>
      </c>
      <c r="AK280">
        <v>6122263</v>
      </c>
    </row>
    <row r="281" spans="1:37" x14ac:dyDescent="0.25">
      <c r="A281" s="1">
        <v>46020</v>
      </c>
      <c r="B281" s="1">
        <v>46022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747</v>
      </c>
      <c r="J281" t="s">
        <v>748</v>
      </c>
      <c r="M281" t="s">
        <v>46</v>
      </c>
      <c r="O281" t="s">
        <v>155</v>
      </c>
      <c r="P281" t="s">
        <v>156</v>
      </c>
      <c r="Q281" t="s">
        <v>49</v>
      </c>
      <c r="R281" t="s">
        <v>237</v>
      </c>
      <c r="S281" s="1">
        <v>46023</v>
      </c>
      <c r="U281" t="s">
        <v>51</v>
      </c>
      <c r="X281" t="s">
        <v>52</v>
      </c>
      <c r="Y281" s="2">
        <v>0</v>
      </c>
      <c r="Z281" s="2">
        <v>25</v>
      </c>
      <c r="AA281">
        <v>1</v>
      </c>
      <c r="AB281" s="3">
        <v>1</v>
      </c>
      <c r="AC281" s="2">
        <v>25</v>
      </c>
      <c r="AD281" s="3">
        <v>0</v>
      </c>
      <c r="AE281" s="2">
        <v>0</v>
      </c>
      <c r="AF281" s="2">
        <v>25</v>
      </c>
      <c r="AK281">
        <v>6122279</v>
      </c>
    </row>
    <row r="282" spans="1:37" x14ac:dyDescent="0.25">
      <c r="A282" s="1">
        <v>46020</v>
      </c>
      <c r="B282" s="1">
        <v>46022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749</v>
      </c>
      <c r="J282" t="s">
        <v>750</v>
      </c>
      <c r="M282" t="s">
        <v>59</v>
      </c>
      <c r="O282" t="s">
        <v>751</v>
      </c>
      <c r="P282" t="s">
        <v>752</v>
      </c>
      <c r="Q282" t="s">
        <v>49</v>
      </c>
      <c r="R282" t="s">
        <v>237</v>
      </c>
      <c r="S282" s="1">
        <v>46023</v>
      </c>
      <c r="U282" t="s">
        <v>51</v>
      </c>
      <c r="X282" t="s">
        <v>52</v>
      </c>
      <c r="Y282" s="2">
        <v>0</v>
      </c>
      <c r="Z282" s="2">
        <v>25</v>
      </c>
      <c r="AA282">
        <v>1</v>
      </c>
      <c r="AB282" s="3">
        <v>1</v>
      </c>
      <c r="AC282" s="2">
        <v>25</v>
      </c>
      <c r="AD282" s="3">
        <v>0</v>
      </c>
      <c r="AE282" s="2">
        <v>0</v>
      </c>
      <c r="AF282" s="2">
        <v>25</v>
      </c>
      <c r="AK282">
        <v>6122290</v>
      </c>
    </row>
    <row r="283" spans="1:37" x14ac:dyDescent="0.25">
      <c r="A283" s="1">
        <v>46020</v>
      </c>
      <c r="B283" s="1">
        <v>46022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753</v>
      </c>
      <c r="J283" t="s">
        <v>754</v>
      </c>
      <c r="M283" t="s">
        <v>200</v>
      </c>
      <c r="O283" t="s">
        <v>530</v>
      </c>
      <c r="P283" t="s">
        <v>531</v>
      </c>
      <c r="Q283" t="s">
        <v>49</v>
      </c>
      <c r="R283" t="s">
        <v>237</v>
      </c>
      <c r="S283" s="1">
        <v>46023</v>
      </c>
      <c r="U283" t="s">
        <v>51</v>
      </c>
      <c r="X283" t="s">
        <v>52</v>
      </c>
      <c r="Y283" s="2">
        <v>0</v>
      </c>
      <c r="Z283" s="2">
        <v>25</v>
      </c>
      <c r="AA283">
        <v>1</v>
      </c>
      <c r="AB283" s="3">
        <v>1</v>
      </c>
      <c r="AC283" s="2">
        <v>25</v>
      </c>
      <c r="AD283" s="3">
        <v>0</v>
      </c>
      <c r="AE283" s="2">
        <v>0</v>
      </c>
      <c r="AF283" s="2">
        <v>25</v>
      </c>
      <c r="AK283">
        <v>6122291</v>
      </c>
    </row>
    <row r="284" spans="1:37" x14ac:dyDescent="0.25">
      <c r="A284" s="1">
        <v>46020</v>
      </c>
      <c r="B284" s="1">
        <v>46022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755</v>
      </c>
      <c r="J284" t="s">
        <v>756</v>
      </c>
      <c r="M284" t="s">
        <v>59</v>
      </c>
      <c r="O284" t="s">
        <v>751</v>
      </c>
      <c r="P284" t="s">
        <v>752</v>
      </c>
      <c r="Q284" t="s">
        <v>49</v>
      </c>
      <c r="R284" t="s">
        <v>237</v>
      </c>
      <c r="S284" s="1">
        <v>46023</v>
      </c>
      <c r="U284" t="s">
        <v>51</v>
      </c>
      <c r="X284" t="s">
        <v>52</v>
      </c>
      <c r="Y284" s="2">
        <v>0</v>
      </c>
      <c r="Z284" s="2">
        <v>25</v>
      </c>
      <c r="AA284">
        <v>1</v>
      </c>
      <c r="AB284" s="3">
        <v>1</v>
      </c>
      <c r="AC284" s="2">
        <v>25</v>
      </c>
      <c r="AD284" s="3">
        <v>0</v>
      </c>
      <c r="AE284" s="2">
        <v>0</v>
      </c>
      <c r="AF284" s="2">
        <v>25</v>
      </c>
      <c r="AK284">
        <v>6122292</v>
      </c>
    </row>
    <row r="285" spans="1:37" x14ac:dyDescent="0.25">
      <c r="A285" s="1">
        <v>46020</v>
      </c>
      <c r="B285" s="1">
        <v>46022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757</v>
      </c>
      <c r="J285" t="s">
        <v>758</v>
      </c>
      <c r="M285" t="s">
        <v>481</v>
      </c>
      <c r="O285" t="s">
        <v>165</v>
      </c>
      <c r="P285" t="s">
        <v>166</v>
      </c>
      <c r="Q285" t="s">
        <v>49</v>
      </c>
      <c r="R285" t="s">
        <v>237</v>
      </c>
      <c r="S285" s="1">
        <v>46023</v>
      </c>
      <c r="U285" t="s">
        <v>51</v>
      </c>
      <c r="X285" t="s">
        <v>52</v>
      </c>
      <c r="Y285" s="2">
        <v>0</v>
      </c>
      <c r="Z285" s="2">
        <v>25</v>
      </c>
      <c r="AA285">
        <v>1</v>
      </c>
      <c r="AB285" s="3">
        <v>1</v>
      </c>
      <c r="AC285" s="2">
        <v>25</v>
      </c>
      <c r="AD285" s="3">
        <v>0</v>
      </c>
      <c r="AE285" s="2">
        <v>0</v>
      </c>
      <c r="AF285" s="2">
        <v>25</v>
      </c>
      <c r="AK285">
        <v>6122294</v>
      </c>
    </row>
    <row r="286" spans="1:37" x14ac:dyDescent="0.25">
      <c r="A286" s="1">
        <v>46020</v>
      </c>
      <c r="B286" s="1">
        <v>46022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759</v>
      </c>
      <c r="J286" t="s">
        <v>760</v>
      </c>
      <c r="M286" t="s">
        <v>493</v>
      </c>
      <c r="O286" t="s">
        <v>155</v>
      </c>
      <c r="P286" t="s">
        <v>156</v>
      </c>
      <c r="Q286" t="s">
        <v>49</v>
      </c>
      <c r="R286" t="s">
        <v>237</v>
      </c>
      <c r="S286" s="1">
        <v>46023</v>
      </c>
      <c r="U286" t="s">
        <v>51</v>
      </c>
      <c r="X286" t="s">
        <v>52</v>
      </c>
      <c r="Y286" s="2">
        <v>0</v>
      </c>
      <c r="Z286" s="2">
        <v>25</v>
      </c>
      <c r="AA286">
        <v>1</v>
      </c>
      <c r="AB286" s="3">
        <v>1</v>
      </c>
      <c r="AC286" s="2">
        <v>25</v>
      </c>
      <c r="AD286" s="3">
        <v>0</v>
      </c>
      <c r="AE286" s="2">
        <v>0</v>
      </c>
      <c r="AF286" s="2">
        <v>25</v>
      </c>
      <c r="AK286">
        <v>6122295</v>
      </c>
    </row>
    <row r="287" spans="1:37" x14ac:dyDescent="0.25">
      <c r="A287" s="1">
        <v>46020</v>
      </c>
      <c r="B287" s="1">
        <v>46022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761</v>
      </c>
      <c r="J287" t="s">
        <v>762</v>
      </c>
      <c r="M287" t="s">
        <v>121</v>
      </c>
      <c r="O287" t="s">
        <v>763</v>
      </c>
      <c r="P287" t="s">
        <v>764</v>
      </c>
      <c r="Q287" t="s">
        <v>49</v>
      </c>
      <c r="R287" t="s">
        <v>237</v>
      </c>
      <c r="S287" s="1">
        <v>46023</v>
      </c>
      <c r="U287" t="s">
        <v>51</v>
      </c>
      <c r="X287" t="s">
        <v>52</v>
      </c>
      <c r="Y287" s="2">
        <v>0</v>
      </c>
      <c r="Z287" s="2">
        <v>25</v>
      </c>
      <c r="AA287">
        <v>1</v>
      </c>
      <c r="AB287" s="3">
        <v>1</v>
      </c>
      <c r="AC287" s="2">
        <v>25</v>
      </c>
      <c r="AD287" s="3">
        <v>0</v>
      </c>
      <c r="AE287" s="2">
        <v>0</v>
      </c>
      <c r="AF287" s="2">
        <v>25</v>
      </c>
      <c r="AK287">
        <v>6122309</v>
      </c>
    </row>
    <row r="288" spans="1:37" x14ac:dyDescent="0.25">
      <c r="A288" s="1">
        <v>46020</v>
      </c>
      <c r="B288" s="1">
        <v>46022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765</v>
      </c>
      <c r="J288" t="s">
        <v>766</v>
      </c>
      <c r="M288" t="s">
        <v>200</v>
      </c>
      <c r="O288" t="s">
        <v>281</v>
      </c>
      <c r="P288" t="s">
        <v>282</v>
      </c>
      <c r="Q288" t="s">
        <v>49</v>
      </c>
      <c r="R288" t="s">
        <v>244</v>
      </c>
      <c r="S288" s="1">
        <v>46023</v>
      </c>
      <c r="U288" t="s">
        <v>51</v>
      </c>
      <c r="X288" t="s">
        <v>52</v>
      </c>
      <c r="Y288" s="2">
        <v>0</v>
      </c>
      <c r="Z288" s="2">
        <v>15</v>
      </c>
      <c r="AA288">
        <v>1</v>
      </c>
      <c r="AB288" s="3">
        <v>1</v>
      </c>
      <c r="AC288" s="2">
        <v>15</v>
      </c>
      <c r="AD288" s="3">
        <v>0</v>
      </c>
      <c r="AE288" s="2">
        <v>0</v>
      </c>
      <c r="AF288" s="2">
        <v>15</v>
      </c>
      <c r="AK288">
        <v>6122326</v>
      </c>
    </row>
    <row r="289" spans="1:38" x14ac:dyDescent="0.25">
      <c r="A289" s="1">
        <v>46020</v>
      </c>
      <c r="B289" s="1">
        <v>46022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767</v>
      </c>
      <c r="J289" t="s">
        <v>768</v>
      </c>
      <c r="M289" t="s">
        <v>769</v>
      </c>
      <c r="O289" t="s">
        <v>105</v>
      </c>
      <c r="P289" t="s">
        <v>106</v>
      </c>
      <c r="Q289" t="s">
        <v>49</v>
      </c>
      <c r="R289" t="s">
        <v>237</v>
      </c>
      <c r="S289" s="1">
        <v>46023</v>
      </c>
      <c r="U289" t="s">
        <v>51</v>
      </c>
      <c r="X289" t="s">
        <v>52</v>
      </c>
      <c r="Y289" s="2">
        <v>0</v>
      </c>
      <c r="Z289" s="2">
        <v>25</v>
      </c>
      <c r="AA289">
        <v>1</v>
      </c>
      <c r="AB289" s="3">
        <v>1</v>
      </c>
      <c r="AC289" s="2">
        <v>25</v>
      </c>
      <c r="AD289" s="3">
        <v>0</v>
      </c>
      <c r="AE289" s="2">
        <v>0</v>
      </c>
      <c r="AF289" s="2">
        <v>25</v>
      </c>
      <c r="AK289">
        <v>6122336</v>
      </c>
    </row>
    <row r="290" spans="1:38" x14ac:dyDescent="0.25">
      <c r="A290" s="1">
        <v>46020</v>
      </c>
      <c r="B290" s="1">
        <v>46022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770</v>
      </c>
      <c r="J290" t="s">
        <v>771</v>
      </c>
      <c r="M290" t="s">
        <v>145</v>
      </c>
      <c r="O290" t="s">
        <v>146</v>
      </c>
      <c r="P290" t="s">
        <v>147</v>
      </c>
      <c r="Q290" t="s">
        <v>49</v>
      </c>
      <c r="R290" t="s">
        <v>237</v>
      </c>
      <c r="S290" s="1">
        <v>46023</v>
      </c>
      <c r="U290" t="s">
        <v>51</v>
      </c>
      <c r="X290" t="s">
        <v>52</v>
      </c>
      <c r="Y290" s="2">
        <v>0</v>
      </c>
      <c r="Z290" s="2">
        <v>25</v>
      </c>
      <c r="AA290">
        <v>1</v>
      </c>
      <c r="AB290" s="3">
        <v>1</v>
      </c>
      <c r="AC290" s="2">
        <v>25</v>
      </c>
      <c r="AD290" s="3">
        <v>0</v>
      </c>
      <c r="AE290" s="2">
        <v>0</v>
      </c>
      <c r="AF290" s="2">
        <v>25</v>
      </c>
      <c r="AK290">
        <v>6122338</v>
      </c>
    </row>
    <row r="291" spans="1:38" x14ac:dyDescent="0.25">
      <c r="A291" s="1">
        <v>46020</v>
      </c>
      <c r="B291" s="1">
        <v>46022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772</v>
      </c>
      <c r="J291" t="s">
        <v>773</v>
      </c>
      <c r="M291" t="s">
        <v>200</v>
      </c>
      <c r="O291" t="s">
        <v>201</v>
      </c>
      <c r="P291" t="s">
        <v>202</v>
      </c>
      <c r="Q291" t="s">
        <v>49</v>
      </c>
      <c r="R291" t="s">
        <v>237</v>
      </c>
      <c r="S291" s="1">
        <v>46023</v>
      </c>
      <c r="U291" t="s">
        <v>51</v>
      </c>
      <c r="X291" t="s">
        <v>52</v>
      </c>
      <c r="Y291" s="2">
        <v>0</v>
      </c>
      <c r="Z291" s="2">
        <v>25</v>
      </c>
      <c r="AA291">
        <v>1</v>
      </c>
      <c r="AB291" s="3">
        <v>1</v>
      </c>
      <c r="AC291" s="2">
        <v>25</v>
      </c>
      <c r="AD291" s="3">
        <v>0</v>
      </c>
      <c r="AE291" s="2">
        <v>0</v>
      </c>
      <c r="AF291" s="2">
        <v>25</v>
      </c>
      <c r="AK291">
        <v>6122339</v>
      </c>
    </row>
    <row r="292" spans="1:38" x14ac:dyDescent="0.25">
      <c r="A292" s="1">
        <v>46020</v>
      </c>
      <c r="B292" s="1">
        <v>46022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774</v>
      </c>
      <c r="J292" t="s">
        <v>775</v>
      </c>
      <c r="M292" t="s">
        <v>200</v>
      </c>
      <c r="O292" t="s">
        <v>201</v>
      </c>
      <c r="P292" t="s">
        <v>202</v>
      </c>
      <c r="Q292" t="s">
        <v>49</v>
      </c>
      <c r="R292" t="s">
        <v>304</v>
      </c>
      <c r="S292" s="1">
        <v>46054</v>
      </c>
      <c r="U292" t="s">
        <v>51</v>
      </c>
      <c r="X292" t="s">
        <v>52</v>
      </c>
      <c r="Y292" s="2">
        <v>0</v>
      </c>
      <c r="Z292" s="2">
        <v>22.92</v>
      </c>
      <c r="AA292">
        <v>1</v>
      </c>
      <c r="AB292" s="3">
        <v>1</v>
      </c>
      <c r="AC292" s="2">
        <v>22.92</v>
      </c>
      <c r="AD292" s="3">
        <v>0</v>
      </c>
      <c r="AE292" s="2">
        <v>0</v>
      </c>
      <c r="AF292" s="2">
        <v>22.92</v>
      </c>
      <c r="AK292">
        <v>6122342</v>
      </c>
      <c r="AL292" t="s">
        <v>615</v>
      </c>
    </row>
    <row r="293" spans="1:38" x14ac:dyDescent="0.25">
      <c r="A293" s="1">
        <v>46020</v>
      </c>
      <c r="B293" s="1">
        <v>46022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776</v>
      </c>
      <c r="J293" t="s">
        <v>777</v>
      </c>
      <c r="M293" t="s">
        <v>200</v>
      </c>
      <c r="O293" t="s">
        <v>547</v>
      </c>
      <c r="P293" t="s">
        <v>548</v>
      </c>
      <c r="Q293" t="s">
        <v>49</v>
      </c>
      <c r="R293" t="s">
        <v>237</v>
      </c>
      <c r="S293" s="1">
        <v>46023</v>
      </c>
      <c r="U293" t="s">
        <v>51</v>
      </c>
      <c r="X293" t="s">
        <v>52</v>
      </c>
      <c r="Y293" s="2">
        <v>0</v>
      </c>
      <c r="Z293" s="2">
        <v>25</v>
      </c>
      <c r="AA293">
        <v>1</v>
      </c>
      <c r="AB293" s="3">
        <v>1</v>
      </c>
      <c r="AC293" s="2">
        <v>25</v>
      </c>
      <c r="AD293" s="3">
        <v>0</v>
      </c>
      <c r="AE293" s="2">
        <v>0</v>
      </c>
      <c r="AF293" s="2">
        <v>25</v>
      </c>
      <c r="AK293">
        <v>6122344</v>
      </c>
    </row>
    <row r="294" spans="1:38" x14ac:dyDescent="0.25">
      <c r="A294" s="1">
        <v>46020</v>
      </c>
      <c r="B294" s="1">
        <v>46022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778</v>
      </c>
      <c r="J294" t="s">
        <v>779</v>
      </c>
      <c r="M294" t="s">
        <v>200</v>
      </c>
      <c r="O294" t="s">
        <v>281</v>
      </c>
      <c r="P294" t="s">
        <v>282</v>
      </c>
      <c r="Q294" t="s">
        <v>49</v>
      </c>
      <c r="R294" t="s">
        <v>244</v>
      </c>
      <c r="S294" s="1">
        <v>46023</v>
      </c>
      <c r="U294" t="s">
        <v>51</v>
      </c>
      <c r="X294" t="s">
        <v>52</v>
      </c>
      <c r="Y294" s="2">
        <v>0</v>
      </c>
      <c r="Z294" s="2">
        <v>15</v>
      </c>
      <c r="AA294">
        <v>1</v>
      </c>
      <c r="AB294" s="3">
        <v>1</v>
      </c>
      <c r="AC294" s="2">
        <v>15</v>
      </c>
      <c r="AD294" s="3">
        <v>0</v>
      </c>
      <c r="AE294" s="2">
        <v>0</v>
      </c>
      <c r="AF294" s="2">
        <v>15</v>
      </c>
      <c r="AK294">
        <v>6122345</v>
      </c>
    </row>
    <row r="295" spans="1:38" x14ac:dyDescent="0.25">
      <c r="A295" s="1">
        <v>46020</v>
      </c>
      <c r="B295" s="1">
        <v>46022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780</v>
      </c>
      <c r="J295" t="s">
        <v>781</v>
      </c>
      <c r="M295" t="s">
        <v>46</v>
      </c>
      <c r="O295" t="s">
        <v>188</v>
      </c>
      <c r="P295" t="s">
        <v>189</v>
      </c>
      <c r="Q295" t="s">
        <v>49</v>
      </c>
      <c r="R295" t="s">
        <v>782</v>
      </c>
      <c r="S295" s="1">
        <v>46023</v>
      </c>
      <c r="U295" t="s">
        <v>51</v>
      </c>
      <c r="X295" t="s">
        <v>52</v>
      </c>
      <c r="Y295" s="2">
        <v>0</v>
      </c>
      <c r="Z295" s="2">
        <v>175</v>
      </c>
      <c r="AA295">
        <v>1</v>
      </c>
      <c r="AB295" s="3">
        <v>1</v>
      </c>
      <c r="AC295" s="2">
        <v>175</v>
      </c>
      <c r="AD295" s="3">
        <v>0</v>
      </c>
      <c r="AE295" s="2">
        <v>0</v>
      </c>
      <c r="AF295" s="2">
        <v>175</v>
      </c>
      <c r="AK295">
        <v>6122850</v>
      </c>
    </row>
    <row r="296" spans="1:38" x14ac:dyDescent="0.25">
      <c r="A296" s="1">
        <v>46020</v>
      </c>
      <c r="B296" s="1">
        <v>46022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783</v>
      </c>
      <c r="J296" t="s">
        <v>784</v>
      </c>
      <c r="M296" t="s">
        <v>59</v>
      </c>
      <c r="O296" t="s">
        <v>65</v>
      </c>
      <c r="P296" t="s">
        <v>66</v>
      </c>
      <c r="Q296" t="s">
        <v>49</v>
      </c>
      <c r="R296" t="s">
        <v>782</v>
      </c>
      <c r="S296" s="1">
        <v>46023</v>
      </c>
      <c r="U296" t="s">
        <v>51</v>
      </c>
      <c r="X296" t="s">
        <v>52</v>
      </c>
      <c r="Y296" s="2">
        <v>0</v>
      </c>
      <c r="Z296" s="2">
        <v>175</v>
      </c>
      <c r="AA296">
        <v>1</v>
      </c>
      <c r="AB296" s="3">
        <v>1</v>
      </c>
      <c r="AC296" s="2">
        <v>175</v>
      </c>
      <c r="AD296" s="3">
        <v>0</v>
      </c>
      <c r="AE296" s="2">
        <v>0</v>
      </c>
      <c r="AF296" s="2">
        <v>175</v>
      </c>
      <c r="AK296">
        <v>6122849</v>
      </c>
    </row>
    <row r="297" spans="1:38" x14ac:dyDescent="0.25">
      <c r="A297" s="1">
        <v>46020</v>
      </c>
      <c r="B297" s="1">
        <v>46022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785</v>
      </c>
      <c r="J297" t="s">
        <v>786</v>
      </c>
      <c r="M297" t="s">
        <v>59</v>
      </c>
      <c r="O297" t="s">
        <v>516</v>
      </c>
      <c r="P297" t="s">
        <v>517</v>
      </c>
      <c r="Q297" t="s">
        <v>49</v>
      </c>
      <c r="R297" t="s">
        <v>782</v>
      </c>
      <c r="S297" s="1">
        <v>46023</v>
      </c>
      <c r="U297" t="s">
        <v>51</v>
      </c>
      <c r="X297" t="s">
        <v>52</v>
      </c>
      <c r="Y297" s="2">
        <v>0</v>
      </c>
      <c r="Z297" s="2">
        <v>175</v>
      </c>
      <c r="AA297">
        <v>1</v>
      </c>
      <c r="AB297" s="3">
        <v>1</v>
      </c>
      <c r="AC297" s="2">
        <v>175</v>
      </c>
      <c r="AD297" s="3">
        <v>0</v>
      </c>
      <c r="AE297" s="2">
        <v>0</v>
      </c>
      <c r="AF297" s="2">
        <v>175</v>
      </c>
      <c r="AK297">
        <v>6122848</v>
      </c>
    </row>
    <row r="298" spans="1:38" x14ac:dyDescent="0.25">
      <c r="A298" s="1">
        <v>46020</v>
      </c>
      <c r="B298" s="1">
        <v>46022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787</v>
      </c>
      <c r="J298" t="s">
        <v>788</v>
      </c>
      <c r="M298" t="s">
        <v>200</v>
      </c>
      <c r="O298" t="s">
        <v>789</v>
      </c>
      <c r="P298" t="s">
        <v>790</v>
      </c>
      <c r="Q298" t="s">
        <v>49</v>
      </c>
      <c r="R298" t="s">
        <v>791</v>
      </c>
      <c r="S298" s="1">
        <v>46023</v>
      </c>
      <c r="U298" t="s">
        <v>51</v>
      </c>
      <c r="X298" t="s">
        <v>52</v>
      </c>
      <c r="Y298" s="2">
        <v>0</v>
      </c>
      <c r="Z298" s="2">
        <v>113</v>
      </c>
      <c r="AA298">
        <v>1</v>
      </c>
      <c r="AB298" s="3">
        <v>1</v>
      </c>
      <c r="AC298" s="2">
        <v>113</v>
      </c>
      <c r="AD298" s="3">
        <v>0</v>
      </c>
      <c r="AE298" s="2">
        <v>0</v>
      </c>
      <c r="AF298" s="2">
        <v>113</v>
      </c>
      <c r="AK298">
        <v>6122847</v>
      </c>
    </row>
    <row r="299" spans="1:38" x14ac:dyDescent="0.25">
      <c r="A299" s="1">
        <v>46020</v>
      </c>
      <c r="B299" s="1">
        <v>46022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792</v>
      </c>
      <c r="J299" t="s">
        <v>793</v>
      </c>
      <c r="M299" t="s">
        <v>145</v>
      </c>
      <c r="O299" t="s">
        <v>201</v>
      </c>
      <c r="P299" t="s">
        <v>202</v>
      </c>
      <c r="Q299" t="s">
        <v>49</v>
      </c>
      <c r="R299" t="s">
        <v>794</v>
      </c>
      <c r="S299" s="1">
        <v>46023</v>
      </c>
      <c r="U299" t="s">
        <v>51</v>
      </c>
      <c r="X299" t="s">
        <v>52</v>
      </c>
      <c r="Y299" s="2">
        <v>0</v>
      </c>
      <c r="Z299" s="2">
        <v>72</v>
      </c>
      <c r="AA299">
        <v>1</v>
      </c>
      <c r="AB299" s="3">
        <v>1</v>
      </c>
      <c r="AC299" s="2">
        <v>72</v>
      </c>
      <c r="AD299" s="3">
        <v>0</v>
      </c>
      <c r="AE299" s="2">
        <v>0</v>
      </c>
      <c r="AF299" s="2">
        <v>72</v>
      </c>
      <c r="AK299">
        <v>6122846</v>
      </c>
      <c r="AL299" t="s">
        <v>795</v>
      </c>
    </row>
    <row r="300" spans="1:38" x14ac:dyDescent="0.25">
      <c r="A300" s="1">
        <v>46020</v>
      </c>
      <c r="B300" s="1">
        <v>46022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796</v>
      </c>
      <c r="J300" t="s">
        <v>797</v>
      </c>
      <c r="M300" t="s">
        <v>150</v>
      </c>
      <c r="O300" t="s">
        <v>798</v>
      </c>
      <c r="P300" t="s">
        <v>799</v>
      </c>
      <c r="Q300" t="s">
        <v>49</v>
      </c>
      <c r="R300" t="s">
        <v>794</v>
      </c>
      <c r="S300" s="1">
        <v>46023</v>
      </c>
      <c r="U300" t="s">
        <v>51</v>
      </c>
      <c r="X300" t="s">
        <v>52</v>
      </c>
      <c r="Y300" s="2">
        <v>0</v>
      </c>
      <c r="Z300" s="2">
        <v>72</v>
      </c>
      <c r="AA300">
        <v>1</v>
      </c>
      <c r="AB300" s="3">
        <v>1</v>
      </c>
      <c r="AC300" s="2">
        <v>72</v>
      </c>
      <c r="AD300" s="3">
        <v>0</v>
      </c>
      <c r="AE300" s="2">
        <v>0</v>
      </c>
      <c r="AF300" s="2">
        <v>72</v>
      </c>
      <c r="AK300">
        <v>6122845</v>
      </c>
      <c r="AL300" t="s">
        <v>795</v>
      </c>
    </row>
    <row r="301" spans="1:38" x14ac:dyDescent="0.25">
      <c r="A301" s="1">
        <v>46020</v>
      </c>
      <c r="B301" s="1">
        <v>46022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800</v>
      </c>
      <c r="J301" t="s">
        <v>801</v>
      </c>
      <c r="M301" t="s">
        <v>145</v>
      </c>
      <c r="O301" t="s">
        <v>802</v>
      </c>
      <c r="P301" t="s">
        <v>803</v>
      </c>
      <c r="Q301" t="s">
        <v>49</v>
      </c>
      <c r="R301" t="s">
        <v>804</v>
      </c>
      <c r="S301" s="1">
        <v>45992</v>
      </c>
      <c r="U301" t="s">
        <v>51</v>
      </c>
      <c r="X301" t="s">
        <v>52</v>
      </c>
      <c r="Y301" s="2">
        <v>0</v>
      </c>
      <c r="Z301" s="2">
        <v>23.38</v>
      </c>
      <c r="AA301">
        <v>1</v>
      </c>
      <c r="AB301" s="3">
        <v>1</v>
      </c>
      <c r="AC301" s="2">
        <v>23.38</v>
      </c>
      <c r="AD301" s="3">
        <v>0</v>
      </c>
      <c r="AE301" s="2">
        <v>0</v>
      </c>
      <c r="AF301" s="2">
        <v>23.38</v>
      </c>
      <c r="AK301">
        <v>6122738</v>
      </c>
    </row>
    <row r="302" spans="1:38" x14ac:dyDescent="0.25">
      <c r="A302" s="1">
        <v>46020</v>
      </c>
      <c r="B302" s="1">
        <v>46022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805</v>
      </c>
      <c r="J302" t="s">
        <v>806</v>
      </c>
      <c r="M302" t="s">
        <v>369</v>
      </c>
      <c r="O302" t="s">
        <v>370</v>
      </c>
      <c r="P302" t="s">
        <v>371</v>
      </c>
      <c r="Q302" t="s">
        <v>49</v>
      </c>
      <c r="R302" t="s">
        <v>807</v>
      </c>
      <c r="S302" s="1">
        <v>46023</v>
      </c>
      <c r="U302" t="s">
        <v>51</v>
      </c>
      <c r="X302" t="s">
        <v>52</v>
      </c>
      <c r="Y302" s="2">
        <v>0</v>
      </c>
      <c r="Z302" s="2">
        <v>31.02</v>
      </c>
      <c r="AA302">
        <v>9</v>
      </c>
      <c r="AB302" s="3">
        <v>1</v>
      </c>
      <c r="AC302" s="2">
        <v>279.18</v>
      </c>
      <c r="AD302" s="3">
        <v>0</v>
      </c>
      <c r="AE302" s="2">
        <v>0</v>
      </c>
      <c r="AF302" s="2">
        <v>279.18</v>
      </c>
      <c r="AK302">
        <v>6122737</v>
      </c>
    </row>
    <row r="303" spans="1:38" x14ac:dyDescent="0.25">
      <c r="A303" s="1">
        <v>46020</v>
      </c>
      <c r="B303" s="1">
        <v>46022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808</v>
      </c>
      <c r="J303" t="s">
        <v>809</v>
      </c>
      <c r="M303" t="s">
        <v>369</v>
      </c>
      <c r="O303" t="s">
        <v>370</v>
      </c>
      <c r="P303" t="s">
        <v>371</v>
      </c>
      <c r="Q303" t="s">
        <v>49</v>
      </c>
      <c r="R303" t="s">
        <v>807</v>
      </c>
      <c r="S303" s="1">
        <v>46023</v>
      </c>
      <c r="U303" t="s">
        <v>51</v>
      </c>
      <c r="X303" t="s">
        <v>52</v>
      </c>
      <c r="Y303" s="2">
        <v>0</v>
      </c>
      <c r="Z303" s="2">
        <v>31.02</v>
      </c>
      <c r="AA303">
        <v>9</v>
      </c>
      <c r="AB303" s="3">
        <v>1</v>
      </c>
      <c r="AC303" s="2">
        <v>279.18</v>
      </c>
      <c r="AD303" s="3">
        <v>0</v>
      </c>
      <c r="AE303" s="2">
        <v>0</v>
      </c>
      <c r="AF303" s="2">
        <v>279.18</v>
      </c>
      <c r="AK303">
        <v>6122736</v>
      </c>
    </row>
    <row r="304" spans="1:38" x14ac:dyDescent="0.25">
      <c r="A304" s="1">
        <v>46020</v>
      </c>
      <c r="B304" s="1">
        <v>46022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810</v>
      </c>
      <c r="J304" t="s">
        <v>811</v>
      </c>
      <c r="M304" t="s">
        <v>496</v>
      </c>
      <c r="O304" t="s">
        <v>812</v>
      </c>
      <c r="P304" t="s">
        <v>813</v>
      </c>
      <c r="Q304" t="s">
        <v>49</v>
      </c>
      <c r="R304" t="s">
        <v>814</v>
      </c>
      <c r="S304" s="1">
        <v>46023</v>
      </c>
      <c r="U304" t="s">
        <v>51</v>
      </c>
      <c r="X304" t="s">
        <v>52</v>
      </c>
      <c r="Y304" s="2">
        <v>0</v>
      </c>
      <c r="Z304" s="2">
        <v>21</v>
      </c>
      <c r="AA304">
        <v>9</v>
      </c>
      <c r="AB304" s="3">
        <v>1</v>
      </c>
      <c r="AC304" s="2">
        <v>189</v>
      </c>
      <c r="AD304" s="3">
        <v>0</v>
      </c>
      <c r="AE304" s="2">
        <v>0</v>
      </c>
      <c r="AF304" s="2">
        <v>189</v>
      </c>
      <c r="AK304">
        <v>6122735</v>
      </c>
    </row>
    <row r="305" spans="1:37" x14ac:dyDescent="0.25">
      <c r="A305" s="1">
        <v>46020</v>
      </c>
      <c r="B305" s="1">
        <v>46022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815</v>
      </c>
      <c r="J305" t="s">
        <v>816</v>
      </c>
      <c r="M305" t="s">
        <v>59</v>
      </c>
      <c r="O305" t="s">
        <v>165</v>
      </c>
      <c r="P305" t="s">
        <v>166</v>
      </c>
      <c r="Q305" t="s">
        <v>49</v>
      </c>
      <c r="R305" t="s">
        <v>817</v>
      </c>
      <c r="S305" s="1">
        <v>46023</v>
      </c>
      <c r="U305" t="s">
        <v>51</v>
      </c>
      <c r="X305" t="s">
        <v>52</v>
      </c>
      <c r="Y305" s="2">
        <v>0</v>
      </c>
      <c r="Z305" s="2">
        <v>31.5</v>
      </c>
      <c r="AA305">
        <v>9</v>
      </c>
      <c r="AB305" s="3">
        <v>1</v>
      </c>
      <c r="AC305" s="2">
        <v>283.5</v>
      </c>
      <c r="AD305" s="3">
        <v>0</v>
      </c>
      <c r="AE305" s="2">
        <v>0</v>
      </c>
      <c r="AF305" s="2">
        <v>283.5</v>
      </c>
      <c r="AK305">
        <v>6122734</v>
      </c>
    </row>
    <row r="306" spans="1:37" x14ac:dyDescent="0.25">
      <c r="A306" s="1">
        <v>46020</v>
      </c>
      <c r="B306" s="1">
        <v>46022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818</v>
      </c>
      <c r="J306" t="s">
        <v>819</v>
      </c>
      <c r="M306" t="s">
        <v>59</v>
      </c>
      <c r="O306" t="s">
        <v>161</v>
      </c>
      <c r="P306" t="s">
        <v>162</v>
      </c>
      <c r="Q306" t="s">
        <v>49</v>
      </c>
      <c r="R306" t="s">
        <v>237</v>
      </c>
      <c r="S306" s="1">
        <v>46023</v>
      </c>
      <c r="U306" t="s">
        <v>51</v>
      </c>
      <c r="X306" t="s">
        <v>52</v>
      </c>
      <c r="Y306" s="2">
        <v>0</v>
      </c>
      <c r="Z306" s="2">
        <v>25</v>
      </c>
      <c r="AA306">
        <v>1</v>
      </c>
      <c r="AB306" s="3">
        <v>1</v>
      </c>
      <c r="AC306" s="2">
        <v>25</v>
      </c>
      <c r="AD306" s="3">
        <v>0</v>
      </c>
      <c r="AE306" s="2">
        <v>0</v>
      </c>
      <c r="AF306" s="2">
        <v>25</v>
      </c>
      <c r="AK306">
        <v>6122350</v>
      </c>
    </row>
    <row r="307" spans="1:37" x14ac:dyDescent="0.25">
      <c r="A307" s="1">
        <v>46020</v>
      </c>
      <c r="B307" s="1">
        <v>46022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820</v>
      </c>
      <c r="J307" t="s">
        <v>821</v>
      </c>
      <c r="M307" t="s">
        <v>59</v>
      </c>
      <c r="O307" t="s">
        <v>129</v>
      </c>
      <c r="P307" t="s">
        <v>130</v>
      </c>
      <c r="Q307" t="s">
        <v>49</v>
      </c>
      <c r="R307" t="s">
        <v>237</v>
      </c>
      <c r="S307" s="1">
        <v>46023</v>
      </c>
      <c r="U307" t="s">
        <v>51</v>
      </c>
      <c r="X307" t="s">
        <v>52</v>
      </c>
      <c r="Y307" s="2">
        <v>0</v>
      </c>
      <c r="Z307" s="2">
        <v>25</v>
      </c>
      <c r="AA307">
        <v>1</v>
      </c>
      <c r="AB307" s="3">
        <v>1</v>
      </c>
      <c r="AC307" s="2">
        <v>25</v>
      </c>
      <c r="AD307" s="3">
        <v>0</v>
      </c>
      <c r="AE307" s="2">
        <v>0</v>
      </c>
      <c r="AF307" s="2">
        <v>25</v>
      </c>
      <c r="AK307">
        <v>6122353</v>
      </c>
    </row>
    <row r="308" spans="1:37" x14ac:dyDescent="0.25">
      <c r="A308" s="1">
        <v>46020</v>
      </c>
      <c r="B308" s="1">
        <v>46022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822</v>
      </c>
      <c r="J308" t="s">
        <v>823</v>
      </c>
      <c r="M308" t="s">
        <v>59</v>
      </c>
      <c r="O308" t="s">
        <v>394</v>
      </c>
      <c r="P308" t="s">
        <v>395</v>
      </c>
      <c r="Q308" t="s">
        <v>49</v>
      </c>
      <c r="R308" t="s">
        <v>237</v>
      </c>
      <c r="S308" s="1">
        <v>46023</v>
      </c>
      <c r="U308" t="s">
        <v>51</v>
      </c>
      <c r="X308" t="s">
        <v>52</v>
      </c>
      <c r="Y308" s="2">
        <v>0</v>
      </c>
      <c r="Z308" s="2">
        <v>25</v>
      </c>
      <c r="AA308">
        <v>1</v>
      </c>
      <c r="AB308" s="3">
        <v>1</v>
      </c>
      <c r="AC308" s="2">
        <v>25</v>
      </c>
      <c r="AD308" s="3">
        <v>0</v>
      </c>
      <c r="AE308" s="2">
        <v>0</v>
      </c>
      <c r="AF308" s="2">
        <v>25</v>
      </c>
      <c r="AK308">
        <v>6122360</v>
      </c>
    </row>
    <row r="309" spans="1:37" x14ac:dyDescent="0.25">
      <c r="A309" s="1">
        <v>46020</v>
      </c>
      <c r="B309" s="1">
        <v>46022</v>
      </c>
      <c r="C309" t="s">
        <v>824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825</v>
      </c>
      <c r="J309" t="s">
        <v>826</v>
      </c>
      <c r="M309" t="s">
        <v>369</v>
      </c>
      <c r="O309" t="s">
        <v>105</v>
      </c>
      <c r="P309" t="s">
        <v>106</v>
      </c>
      <c r="Q309" t="s">
        <v>827</v>
      </c>
      <c r="R309" t="s">
        <v>126</v>
      </c>
      <c r="S309" s="1">
        <v>46023</v>
      </c>
      <c r="U309" t="s">
        <v>51</v>
      </c>
      <c r="X309" t="s">
        <v>52</v>
      </c>
      <c r="AF309" s="2">
        <v>175</v>
      </c>
      <c r="AG309" s="2">
        <v>0</v>
      </c>
      <c r="AJ309" s="2">
        <v>175</v>
      </c>
    </row>
    <row r="310" spans="1:37" x14ac:dyDescent="0.25">
      <c r="A310" s="1">
        <v>46020</v>
      </c>
      <c r="B310" s="1">
        <v>46022</v>
      </c>
      <c r="C310" t="s">
        <v>824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828</v>
      </c>
      <c r="J310" t="s">
        <v>829</v>
      </c>
      <c r="M310" t="s">
        <v>769</v>
      </c>
      <c r="O310" t="s">
        <v>47</v>
      </c>
      <c r="P310" t="s">
        <v>48</v>
      </c>
      <c r="Q310" t="s">
        <v>827</v>
      </c>
      <c r="R310" t="s">
        <v>50</v>
      </c>
      <c r="S310" s="1">
        <v>46023</v>
      </c>
      <c r="U310" t="s">
        <v>51</v>
      </c>
      <c r="X310" t="s">
        <v>52</v>
      </c>
      <c r="AF310" s="2">
        <v>108</v>
      </c>
      <c r="AG310" s="2">
        <v>0</v>
      </c>
      <c r="AJ310" s="2">
        <v>108</v>
      </c>
    </row>
    <row r="311" spans="1:37" x14ac:dyDescent="0.25">
      <c r="A311" s="1">
        <v>46020</v>
      </c>
      <c r="B311" s="1">
        <v>46022</v>
      </c>
      <c r="C311" t="s">
        <v>824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830</v>
      </c>
      <c r="J311" t="s">
        <v>831</v>
      </c>
      <c r="M311" t="s">
        <v>59</v>
      </c>
      <c r="O311" t="s">
        <v>763</v>
      </c>
      <c r="P311" t="s">
        <v>764</v>
      </c>
      <c r="Q311" t="s">
        <v>827</v>
      </c>
      <c r="R311" t="s">
        <v>50</v>
      </c>
      <c r="S311" s="1">
        <v>46023</v>
      </c>
      <c r="U311" t="s">
        <v>51</v>
      </c>
      <c r="X311" t="s">
        <v>52</v>
      </c>
      <c r="AF311" s="2">
        <v>108</v>
      </c>
      <c r="AG311" s="2">
        <v>0</v>
      </c>
      <c r="AJ311" s="2">
        <v>108</v>
      </c>
    </row>
    <row r="312" spans="1:37" x14ac:dyDescent="0.25">
      <c r="A312" s="1">
        <v>46020</v>
      </c>
      <c r="B312" s="1">
        <v>46022</v>
      </c>
      <c r="C312" t="s">
        <v>824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832</v>
      </c>
      <c r="J312" t="s">
        <v>833</v>
      </c>
      <c r="M312" t="s">
        <v>64</v>
      </c>
      <c r="O312" t="s">
        <v>834</v>
      </c>
      <c r="P312" t="s">
        <v>835</v>
      </c>
      <c r="Q312" t="s">
        <v>827</v>
      </c>
      <c r="R312" t="s">
        <v>126</v>
      </c>
      <c r="S312" s="1">
        <v>46023</v>
      </c>
      <c r="U312" t="s">
        <v>51</v>
      </c>
      <c r="X312" t="s">
        <v>52</v>
      </c>
      <c r="AF312" s="2">
        <v>175</v>
      </c>
      <c r="AG312" s="2">
        <v>0</v>
      </c>
      <c r="AJ312" s="2">
        <v>175</v>
      </c>
    </row>
    <row r="313" spans="1:37" x14ac:dyDescent="0.25">
      <c r="A313" s="1">
        <v>46020</v>
      </c>
      <c r="B313" s="1">
        <v>46022</v>
      </c>
      <c r="C313" t="s">
        <v>824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836</v>
      </c>
      <c r="J313" t="s">
        <v>837</v>
      </c>
      <c r="M313" t="s">
        <v>59</v>
      </c>
      <c r="O313" t="s">
        <v>180</v>
      </c>
      <c r="P313" t="s">
        <v>181</v>
      </c>
      <c r="Q313" t="s">
        <v>827</v>
      </c>
      <c r="R313" t="s">
        <v>50</v>
      </c>
      <c r="S313" s="1">
        <v>46023</v>
      </c>
      <c r="U313" t="s">
        <v>51</v>
      </c>
      <c r="X313" t="s">
        <v>52</v>
      </c>
      <c r="AF313" s="2">
        <v>108</v>
      </c>
      <c r="AG313" s="2">
        <v>0</v>
      </c>
      <c r="AJ313" s="2">
        <v>108</v>
      </c>
    </row>
    <row r="314" spans="1:37" x14ac:dyDescent="0.25">
      <c r="A314" s="1">
        <v>46020</v>
      </c>
      <c r="B314" s="1">
        <v>46022</v>
      </c>
      <c r="C314" t="s">
        <v>824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838</v>
      </c>
      <c r="J314" t="s">
        <v>839</v>
      </c>
      <c r="M314" t="s">
        <v>422</v>
      </c>
      <c r="O314" t="s">
        <v>423</v>
      </c>
      <c r="P314" t="s">
        <v>424</v>
      </c>
      <c r="Q314" t="s">
        <v>827</v>
      </c>
      <c r="R314" t="s">
        <v>50</v>
      </c>
      <c r="S314" s="1">
        <v>46023</v>
      </c>
      <c r="U314" t="s">
        <v>51</v>
      </c>
      <c r="X314" t="s">
        <v>52</v>
      </c>
      <c r="AF314" s="2">
        <v>108</v>
      </c>
      <c r="AG314" s="2">
        <v>0</v>
      </c>
      <c r="AJ314" s="2">
        <v>108</v>
      </c>
    </row>
    <row r="315" spans="1:37" x14ac:dyDescent="0.25">
      <c r="A315" s="1">
        <v>46020</v>
      </c>
      <c r="B315" s="1">
        <v>46022</v>
      </c>
      <c r="C315" t="s">
        <v>824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840</v>
      </c>
      <c r="J315" t="s">
        <v>841</v>
      </c>
      <c r="M315" t="s">
        <v>121</v>
      </c>
      <c r="O315" t="s">
        <v>55</v>
      </c>
      <c r="P315" t="s">
        <v>56</v>
      </c>
      <c r="Q315" t="s">
        <v>827</v>
      </c>
      <c r="R315" t="s">
        <v>126</v>
      </c>
      <c r="S315" s="1">
        <v>46023</v>
      </c>
      <c r="U315" t="s">
        <v>51</v>
      </c>
      <c r="X315" t="s">
        <v>52</v>
      </c>
      <c r="AF315" s="2">
        <v>175</v>
      </c>
      <c r="AG315" s="2">
        <v>0</v>
      </c>
      <c r="AJ315" s="2">
        <v>175</v>
      </c>
    </row>
    <row r="316" spans="1:37" x14ac:dyDescent="0.25">
      <c r="A316" s="1">
        <v>46020</v>
      </c>
      <c r="B316" s="1">
        <v>46022</v>
      </c>
      <c r="C316" t="s">
        <v>824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842</v>
      </c>
      <c r="J316" t="s">
        <v>843</v>
      </c>
      <c r="M316" t="s">
        <v>121</v>
      </c>
      <c r="O316" t="s">
        <v>155</v>
      </c>
      <c r="P316" t="s">
        <v>156</v>
      </c>
      <c r="Q316" t="s">
        <v>827</v>
      </c>
      <c r="R316" t="s">
        <v>126</v>
      </c>
      <c r="S316" s="1">
        <v>46023</v>
      </c>
      <c r="U316" t="s">
        <v>51</v>
      </c>
      <c r="X316" t="s">
        <v>52</v>
      </c>
      <c r="AF316" s="2">
        <v>175</v>
      </c>
      <c r="AG316" s="2">
        <v>0</v>
      </c>
      <c r="AJ316" s="2">
        <v>175</v>
      </c>
    </row>
    <row r="317" spans="1:37" x14ac:dyDescent="0.25">
      <c r="A317" s="1">
        <v>46020</v>
      </c>
      <c r="B317" s="1">
        <v>46022</v>
      </c>
      <c r="C317" t="s">
        <v>824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844</v>
      </c>
      <c r="J317" t="s">
        <v>845</v>
      </c>
      <c r="M317" t="s">
        <v>150</v>
      </c>
      <c r="O317" t="s">
        <v>457</v>
      </c>
      <c r="P317" t="s">
        <v>458</v>
      </c>
      <c r="Q317" t="s">
        <v>827</v>
      </c>
      <c r="R317" t="s">
        <v>126</v>
      </c>
      <c r="S317" s="1">
        <v>46023</v>
      </c>
      <c r="U317" t="s">
        <v>51</v>
      </c>
      <c r="X317" t="s">
        <v>52</v>
      </c>
      <c r="AF317" s="2">
        <v>175</v>
      </c>
      <c r="AG317" s="2">
        <v>0</v>
      </c>
      <c r="AJ317" s="2">
        <v>175</v>
      </c>
    </row>
    <row r="318" spans="1:37" x14ac:dyDescent="0.25">
      <c r="A318" s="1">
        <v>46020</v>
      </c>
      <c r="B318" s="1">
        <v>46022</v>
      </c>
      <c r="C318" t="s">
        <v>824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846</v>
      </c>
      <c r="J318" t="s">
        <v>847</v>
      </c>
      <c r="M318" t="s">
        <v>200</v>
      </c>
      <c r="O318" t="s">
        <v>201</v>
      </c>
      <c r="P318" t="s">
        <v>202</v>
      </c>
      <c r="Q318" t="s">
        <v>827</v>
      </c>
      <c r="R318" t="s">
        <v>237</v>
      </c>
      <c r="S318" s="1">
        <v>46023</v>
      </c>
      <c r="U318" t="s">
        <v>51</v>
      </c>
      <c r="X318" t="s">
        <v>52</v>
      </c>
      <c r="AF318" s="2">
        <v>25</v>
      </c>
      <c r="AG318" s="2">
        <v>0</v>
      </c>
      <c r="AJ318" s="2">
        <v>25</v>
      </c>
    </row>
    <row r="319" spans="1:37" x14ac:dyDescent="0.25">
      <c r="A319" s="1">
        <v>46020</v>
      </c>
      <c r="B319" s="1">
        <v>46022</v>
      </c>
      <c r="C319" t="s">
        <v>824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848</v>
      </c>
      <c r="J319" t="s">
        <v>359</v>
      </c>
      <c r="M319" t="s">
        <v>360</v>
      </c>
      <c r="O319" t="s">
        <v>361</v>
      </c>
      <c r="P319" t="s">
        <v>362</v>
      </c>
      <c r="Q319" t="s">
        <v>827</v>
      </c>
      <c r="R319" t="s">
        <v>244</v>
      </c>
      <c r="S319" s="1">
        <v>46023</v>
      </c>
      <c r="U319" t="s">
        <v>51</v>
      </c>
      <c r="X319" t="s">
        <v>52</v>
      </c>
      <c r="AF319" s="2">
        <v>15</v>
      </c>
      <c r="AG319" s="2">
        <v>0</v>
      </c>
      <c r="AJ319" s="2">
        <v>15</v>
      </c>
    </row>
    <row r="320" spans="1:37" x14ac:dyDescent="0.25">
      <c r="A320" s="1">
        <v>46020</v>
      </c>
      <c r="B320" s="1">
        <v>46022</v>
      </c>
      <c r="C320" t="s">
        <v>824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849</v>
      </c>
      <c r="J320" t="s">
        <v>850</v>
      </c>
      <c r="O320" t="s">
        <v>437</v>
      </c>
      <c r="P320" t="s">
        <v>438</v>
      </c>
      <c r="Q320" t="s">
        <v>827</v>
      </c>
      <c r="R320" t="s">
        <v>237</v>
      </c>
      <c r="S320" s="1">
        <v>46023</v>
      </c>
      <c r="U320" t="s">
        <v>51</v>
      </c>
      <c r="X320" t="s">
        <v>52</v>
      </c>
      <c r="AF320" s="2">
        <v>25</v>
      </c>
      <c r="AG320" s="2">
        <v>0</v>
      </c>
      <c r="AJ320" s="2">
        <v>25</v>
      </c>
    </row>
    <row r="321" spans="1:36" x14ac:dyDescent="0.25">
      <c r="A321" s="1">
        <v>46020</v>
      </c>
      <c r="B321" s="1">
        <v>46022</v>
      </c>
      <c r="C321" t="s">
        <v>824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851</v>
      </c>
      <c r="J321" t="s">
        <v>852</v>
      </c>
      <c r="O321" t="s">
        <v>812</v>
      </c>
      <c r="P321" t="s">
        <v>813</v>
      </c>
      <c r="Q321" t="s">
        <v>827</v>
      </c>
      <c r="R321" t="s">
        <v>237</v>
      </c>
      <c r="S321" s="1">
        <v>46023</v>
      </c>
      <c r="U321" t="s">
        <v>51</v>
      </c>
      <c r="X321" t="s">
        <v>52</v>
      </c>
      <c r="AF321" s="2">
        <v>25</v>
      </c>
      <c r="AG321" s="2">
        <v>0</v>
      </c>
      <c r="AJ321" s="2">
        <v>25</v>
      </c>
    </row>
    <row r="322" spans="1:36" x14ac:dyDescent="0.25">
      <c r="A322" s="1">
        <v>46020</v>
      </c>
      <c r="B322" s="1">
        <v>46022</v>
      </c>
      <c r="C322" t="s">
        <v>824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853</v>
      </c>
      <c r="J322" t="s">
        <v>511</v>
      </c>
      <c r="M322" t="s">
        <v>59</v>
      </c>
      <c r="O322" t="s">
        <v>235</v>
      </c>
      <c r="P322" t="s">
        <v>236</v>
      </c>
      <c r="Q322" t="s">
        <v>827</v>
      </c>
      <c r="R322" t="s">
        <v>854</v>
      </c>
      <c r="S322" s="1">
        <v>45962</v>
      </c>
      <c r="U322" t="s">
        <v>51</v>
      </c>
      <c r="X322" t="s">
        <v>52</v>
      </c>
      <c r="AF322" s="2">
        <v>2.5</v>
      </c>
      <c r="AG322" s="2">
        <v>0</v>
      </c>
      <c r="AJ322" s="2">
        <v>2.5</v>
      </c>
    </row>
    <row r="323" spans="1:36" x14ac:dyDescent="0.25">
      <c r="A323" s="1">
        <v>46020</v>
      </c>
      <c r="B323" s="1">
        <v>46022</v>
      </c>
      <c r="C323" t="s">
        <v>824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855</v>
      </c>
      <c r="J323" t="s">
        <v>513</v>
      </c>
      <c r="M323" t="s">
        <v>200</v>
      </c>
      <c r="O323" t="s">
        <v>201</v>
      </c>
      <c r="P323" t="s">
        <v>202</v>
      </c>
      <c r="Q323" t="s">
        <v>827</v>
      </c>
      <c r="R323" t="s">
        <v>854</v>
      </c>
      <c r="S323" s="1">
        <v>45962</v>
      </c>
      <c r="U323" t="s">
        <v>51</v>
      </c>
      <c r="X323" t="s">
        <v>52</v>
      </c>
      <c r="AF323" s="2">
        <v>2.5</v>
      </c>
      <c r="AG323" s="2">
        <v>0</v>
      </c>
      <c r="AJ323" s="2">
        <v>2.5</v>
      </c>
    </row>
    <row r="324" spans="1:36" x14ac:dyDescent="0.25">
      <c r="A324" s="1">
        <v>46020</v>
      </c>
      <c r="B324" s="1">
        <v>46022</v>
      </c>
      <c r="C324" t="s">
        <v>824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856</v>
      </c>
      <c r="J324" t="s">
        <v>519</v>
      </c>
      <c r="M324" t="s">
        <v>200</v>
      </c>
      <c r="O324" t="s">
        <v>520</v>
      </c>
      <c r="P324" t="s">
        <v>521</v>
      </c>
      <c r="Q324" t="s">
        <v>827</v>
      </c>
      <c r="R324" t="s">
        <v>854</v>
      </c>
      <c r="S324" s="1">
        <v>45962</v>
      </c>
      <c r="U324" t="s">
        <v>51</v>
      </c>
      <c r="X324" t="s">
        <v>52</v>
      </c>
      <c r="AF324" s="2">
        <v>2.5</v>
      </c>
      <c r="AG324" s="2">
        <v>0</v>
      </c>
      <c r="AJ324" s="2">
        <v>2.5</v>
      </c>
    </row>
    <row r="325" spans="1:36" x14ac:dyDescent="0.25">
      <c r="A325" s="1">
        <v>46020</v>
      </c>
      <c r="B325" s="1">
        <v>46022</v>
      </c>
      <c r="C325" t="s">
        <v>824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857</v>
      </c>
      <c r="J325" t="s">
        <v>523</v>
      </c>
      <c r="M325" t="s">
        <v>121</v>
      </c>
      <c r="O325" t="s">
        <v>524</v>
      </c>
      <c r="P325" t="s">
        <v>525</v>
      </c>
      <c r="Q325" t="s">
        <v>827</v>
      </c>
      <c r="R325" t="s">
        <v>854</v>
      </c>
      <c r="S325" s="1">
        <v>45992</v>
      </c>
      <c r="U325" t="s">
        <v>51</v>
      </c>
      <c r="X325" t="s">
        <v>52</v>
      </c>
      <c r="AF325" s="2">
        <v>1.25</v>
      </c>
      <c r="AG325" s="2">
        <v>0</v>
      </c>
      <c r="AJ325" s="2">
        <v>1.25</v>
      </c>
    </row>
    <row r="326" spans="1:36" x14ac:dyDescent="0.25">
      <c r="A326" s="1">
        <v>46020</v>
      </c>
      <c r="B326" s="1">
        <v>46022</v>
      </c>
      <c r="C326" t="s">
        <v>824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858</v>
      </c>
      <c r="J326" t="s">
        <v>527</v>
      </c>
      <c r="M326" t="s">
        <v>59</v>
      </c>
      <c r="O326" t="s">
        <v>265</v>
      </c>
      <c r="P326" t="s">
        <v>266</v>
      </c>
      <c r="Q326" t="s">
        <v>827</v>
      </c>
      <c r="R326" t="s">
        <v>854</v>
      </c>
      <c r="S326" s="1">
        <v>45962</v>
      </c>
      <c r="U326" t="s">
        <v>51</v>
      </c>
      <c r="X326" t="s">
        <v>52</v>
      </c>
      <c r="AF326" s="2">
        <v>2.5</v>
      </c>
      <c r="AG326" s="2">
        <v>0</v>
      </c>
      <c r="AJ326" s="2">
        <v>2.5</v>
      </c>
    </row>
    <row r="327" spans="1:36" x14ac:dyDescent="0.25">
      <c r="A327" s="1">
        <v>46020</v>
      </c>
      <c r="B327" s="1">
        <v>46022</v>
      </c>
      <c r="C327" t="s">
        <v>824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859</v>
      </c>
      <c r="J327" t="s">
        <v>860</v>
      </c>
      <c r="M327" t="s">
        <v>59</v>
      </c>
      <c r="O327" t="s">
        <v>235</v>
      </c>
      <c r="P327" t="s">
        <v>236</v>
      </c>
      <c r="Q327" t="s">
        <v>827</v>
      </c>
      <c r="R327" t="s">
        <v>237</v>
      </c>
      <c r="S327" s="1">
        <v>46023</v>
      </c>
      <c r="U327" t="s">
        <v>51</v>
      </c>
      <c r="X327" t="s">
        <v>52</v>
      </c>
      <c r="AF327" s="2">
        <v>25</v>
      </c>
      <c r="AG327" s="2">
        <v>0</v>
      </c>
      <c r="AJ327" s="2">
        <v>25</v>
      </c>
    </row>
    <row r="328" spans="1:36" x14ac:dyDescent="0.25">
      <c r="A328" s="1">
        <v>46020</v>
      </c>
      <c r="B328" s="1">
        <v>46022</v>
      </c>
      <c r="C328" t="s">
        <v>824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861</v>
      </c>
      <c r="J328" t="s">
        <v>529</v>
      </c>
      <c r="M328" t="s">
        <v>200</v>
      </c>
      <c r="O328" t="s">
        <v>530</v>
      </c>
      <c r="P328" t="s">
        <v>531</v>
      </c>
      <c r="Q328" t="s">
        <v>827</v>
      </c>
      <c r="R328" t="s">
        <v>854</v>
      </c>
      <c r="S328" s="1">
        <v>45992</v>
      </c>
      <c r="U328" t="s">
        <v>51</v>
      </c>
      <c r="X328" t="s">
        <v>52</v>
      </c>
      <c r="AF328" s="2">
        <v>1.25</v>
      </c>
      <c r="AG328" s="2">
        <v>0</v>
      </c>
      <c r="AJ328" s="2">
        <v>1.25</v>
      </c>
    </row>
    <row r="329" spans="1:36" x14ac:dyDescent="0.25">
      <c r="A329" s="1">
        <v>46020</v>
      </c>
      <c r="B329" s="1">
        <v>46022</v>
      </c>
      <c r="C329" t="s">
        <v>824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862</v>
      </c>
      <c r="J329" t="s">
        <v>533</v>
      </c>
      <c r="M329" t="s">
        <v>200</v>
      </c>
      <c r="O329" t="s">
        <v>240</v>
      </c>
      <c r="P329" t="s">
        <v>241</v>
      </c>
      <c r="Q329" t="s">
        <v>827</v>
      </c>
      <c r="R329" t="s">
        <v>304</v>
      </c>
      <c r="S329" s="1">
        <v>45992</v>
      </c>
      <c r="U329" t="s">
        <v>51</v>
      </c>
      <c r="X329" t="s">
        <v>52</v>
      </c>
      <c r="AF329" s="2">
        <v>2.08</v>
      </c>
      <c r="AG329" s="2">
        <v>0</v>
      </c>
      <c r="AJ329" s="2">
        <v>2.08</v>
      </c>
    </row>
    <row r="330" spans="1:36" x14ac:dyDescent="0.25">
      <c r="A330" s="1">
        <v>46020</v>
      </c>
      <c r="B330" s="1">
        <v>46022</v>
      </c>
      <c r="C330" t="s">
        <v>824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863</v>
      </c>
      <c r="J330" t="s">
        <v>543</v>
      </c>
      <c r="O330" t="s">
        <v>65</v>
      </c>
      <c r="P330" t="s">
        <v>66</v>
      </c>
      <c r="Q330" t="s">
        <v>827</v>
      </c>
      <c r="R330" t="s">
        <v>304</v>
      </c>
      <c r="S330" s="1">
        <v>45992</v>
      </c>
      <c r="U330" t="s">
        <v>51</v>
      </c>
      <c r="X330" t="s">
        <v>52</v>
      </c>
      <c r="AF330" s="2">
        <v>2.08</v>
      </c>
      <c r="AG330" s="2">
        <v>0</v>
      </c>
      <c r="AJ330" s="2">
        <v>2.08</v>
      </c>
    </row>
    <row r="331" spans="1:36" x14ac:dyDescent="0.25">
      <c r="A331" s="1">
        <v>46020</v>
      </c>
      <c r="B331" s="1">
        <v>46022</v>
      </c>
      <c r="C331" t="s">
        <v>824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864</v>
      </c>
      <c r="J331" t="s">
        <v>546</v>
      </c>
      <c r="O331" t="s">
        <v>547</v>
      </c>
      <c r="P331" t="s">
        <v>548</v>
      </c>
      <c r="Q331" t="s">
        <v>827</v>
      </c>
      <c r="R331" t="s">
        <v>304</v>
      </c>
      <c r="S331" s="1">
        <v>45992</v>
      </c>
      <c r="U331" t="s">
        <v>51</v>
      </c>
      <c r="X331" t="s">
        <v>52</v>
      </c>
      <c r="AF331" s="2">
        <v>2.08</v>
      </c>
      <c r="AG331" s="2">
        <v>0</v>
      </c>
      <c r="AJ331" s="2">
        <v>2.08</v>
      </c>
    </row>
    <row r="332" spans="1:36" x14ac:dyDescent="0.25">
      <c r="A332" s="1">
        <v>46020</v>
      </c>
      <c r="B332" s="1">
        <v>46022</v>
      </c>
      <c r="C332" t="s">
        <v>824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865</v>
      </c>
      <c r="J332" t="s">
        <v>550</v>
      </c>
      <c r="O332" t="s">
        <v>547</v>
      </c>
      <c r="P332" t="s">
        <v>548</v>
      </c>
      <c r="Q332" t="s">
        <v>827</v>
      </c>
      <c r="R332" t="s">
        <v>304</v>
      </c>
      <c r="S332" s="1">
        <v>45992</v>
      </c>
      <c r="U332" t="s">
        <v>51</v>
      </c>
      <c r="X332" t="s">
        <v>52</v>
      </c>
      <c r="AF332" s="2">
        <v>2.08</v>
      </c>
      <c r="AG332" s="2">
        <v>0</v>
      </c>
      <c r="AJ332" s="2">
        <v>2.08</v>
      </c>
    </row>
    <row r="333" spans="1:36" x14ac:dyDescent="0.25">
      <c r="A333" s="1">
        <v>46020</v>
      </c>
      <c r="B333" s="1">
        <v>46022</v>
      </c>
      <c r="C333" t="s">
        <v>824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866</v>
      </c>
      <c r="J333" t="s">
        <v>552</v>
      </c>
      <c r="O333" t="s">
        <v>146</v>
      </c>
      <c r="P333" t="s">
        <v>147</v>
      </c>
      <c r="Q333" t="s">
        <v>827</v>
      </c>
      <c r="R333" t="s">
        <v>304</v>
      </c>
      <c r="S333" s="1">
        <v>45992</v>
      </c>
      <c r="U333" t="s">
        <v>51</v>
      </c>
      <c r="X333" t="s">
        <v>52</v>
      </c>
      <c r="AF333" s="2">
        <v>2.08</v>
      </c>
      <c r="AG333" s="2">
        <v>0</v>
      </c>
      <c r="AJ333" s="2">
        <v>2.08</v>
      </c>
    </row>
    <row r="334" spans="1:36" x14ac:dyDescent="0.25">
      <c r="A334" s="1">
        <v>46020</v>
      </c>
      <c r="B334" s="1">
        <v>46022</v>
      </c>
      <c r="C334" t="s">
        <v>824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867</v>
      </c>
      <c r="J334" t="s">
        <v>555</v>
      </c>
      <c r="O334" t="s">
        <v>155</v>
      </c>
      <c r="P334" t="s">
        <v>156</v>
      </c>
      <c r="Q334" t="s">
        <v>827</v>
      </c>
      <c r="R334" t="s">
        <v>304</v>
      </c>
      <c r="S334" s="1">
        <v>45992</v>
      </c>
      <c r="U334" t="s">
        <v>51</v>
      </c>
      <c r="X334" t="s">
        <v>52</v>
      </c>
      <c r="AF334" s="2">
        <v>2.08</v>
      </c>
      <c r="AG334" s="2">
        <v>0</v>
      </c>
      <c r="AJ334" s="2">
        <v>2.08</v>
      </c>
    </row>
    <row r="335" spans="1:36" x14ac:dyDescent="0.25">
      <c r="A335" s="1">
        <v>46020</v>
      </c>
      <c r="B335" s="1">
        <v>46022</v>
      </c>
      <c r="C335" t="s">
        <v>824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868</v>
      </c>
      <c r="J335" t="s">
        <v>557</v>
      </c>
      <c r="O335" t="s">
        <v>240</v>
      </c>
      <c r="P335" t="s">
        <v>241</v>
      </c>
      <c r="Q335" t="s">
        <v>827</v>
      </c>
      <c r="R335" t="s">
        <v>304</v>
      </c>
      <c r="S335" s="1">
        <v>45992</v>
      </c>
      <c r="U335" t="s">
        <v>51</v>
      </c>
      <c r="X335" t="s">
        <v>52</v>
      </c>
      <c r="AF335" s="2">
        <v>2.08</v>
      </c>
      <c r="AG335" s="2">
        <v>0</v>
      </c>
      <c r="AJ335" s="2">
        <v>2.08</v>
      </c>
    </row>
    <row r="336" spans="1:36" x14ac:dyDescent="0.25">
      <c r="A336" s="1">
        <v>46020</v>
      </c>
      <c r="B336" s="1">
        <v>46022</v>
      </c>
      <c r="C336" t="s">
        <v>824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869</v>
      </c>
      <c r="J336" t="s">
        <v>559</v>
      </c>
      <c r="O336" t="s">
        <v>146</v>
      </c>
      <c r="P336" t="s">
        <v>147</v>
      </c>
      <c r="Q336" t="s">
        <v>827</v>
      </c>
      <c r="R336" t="s">
        <v>304</v>
      </c>
      <c r="S336" s="1">
        <v>45992</v>
      </c>
      <c r="U336" t="s">
        <v>51</v>
      </c>
      <c r="X336" t="s">
        <v>52</v>
      </c>
      <c r="AF336" s="2">
        <v>2.08</v>
      </c>
      <c r="AG336" s="2">
        <v>0</v>
      </c>
      <c r="AJ336" s="2">
        <v>2.08</v>
      </c>
    </row>
    <row r="337" spans="1:36" x14ac:dyDescent="0.25">
      <c r="A337" s="1">
        <v>46020</v>
      </c>
      <c r="B337" s="1">
        <v>46022</v>
      </c>
      <c r="C337" t="s">
        <v>824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870</v>
      </c>
      <c r="J337" t="s">
        <v>871</v>
      </c>
      <c r="M337" t="s">
        <v>341</v>
      </c>
      <c r="O337" t="s">
        <v>155</v>
      </c>
      <c r="P337" t="s">
        <v>156</v>
      </c>
      <c r="Q337" t="s">
        <v>827</v>
      </c>
      <c r="R337" t="s">
        <v>872</v>
      </c>
      <c r="S337" s="1">
        <v>45962</v>
      </c>
      <c r="U337" t="s">
        <v>51</v>
      </c>
      <c r="X337" t="s">
        <v>52</v>
      </c>
      <c r="AF337" s="2">
        <v>175</v>
      </c>
      <c r="AG337" s="2">
        <v>0</v>
      </c>
      <c r="AJ337" s="2">
        <v>19.440000000000001</v>
      </c>
    </row>
    <row r="338" spans="1:36" x14ac:dyDescent="0.25">
      <c r="A338" s="1">
        <v>46020</v>
      </c>
      <c r="B338" s="1">
        <v>46022</v>
      </c>
      <c r="C338" t="s">
        <v>824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873</v>
      </c>
      <c r="J338" t="s">
        <v>874</v>
      </c>
      <c r="M338" t="s">
        <v>422</v>
      </c>
      <c r="O338" t="s">
        <v>47</v>
      </c>
      <c r="P338" t="s">
        <v>48</v>
      </c>
      <c r="Q338" t="s">
        <v>827</v>
      </c>
      <c r="R338" t="s">
        <v>791</v>
      </c>
      <c r="S338" s="1">
        <v>46023</v>
      </c>
      <c r="U338" t="s">
        <v>51</v>
      </c>
      <c r="X338" t="s">
        <v>52</v>
      </c>
      <c r="AF338" s="2">
        <v>113</v>
      </c>
      <c r="AG338" s="2">
        <v>0</v>
      </c>
      <c r="AJ338" s="2">
        <v>113</v>
      </c>
    </row>
    <row r="339" spans="1:36" x14ac:dyDescent="0.25">
      <c r="A339" s="1">
        <v>46020</v>
      </c>
      <c r="B339" s="1">
        <v>46022</v>
      </c>
      <c r="C339" t="s">
        <v>824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875</v>
      </c>
      <c r="J339" t="s">
        <v>876</v>
      </c>
      <c r="O339" t="s">
        <v>877</v>
      </c>
      <c r="P339" t="s">
        <v>878</v>
      </c>
      <c r="Q339" t="s">
        <v>827</v>
      </c>
      <c r="R339" t="s">
        <v>237</v>
      </c>
      <c r="S339" s="1">
        <v>46023</v>
      </c>
      <c r="U339" t="s">
        <v>51</v>
      </c>
      <c r="X339" t="s">
        <v>52</v>
      </c>
      <c r="AF339" s="2">
        <v>25</v>
      </c>
      <c r="AG339" s="2">
        <v>0</v>
      </c>
      <c r="AJ339" s="2">
        <v>25</v>
      </c>
    </row>
    <row r="340" spans="1:36" x14ac:dyDescent="0.25">
      <c r="A340" s="1">
        <v>46020</v>
      </c>
      <c r="B340" s="1">
        <v>46022</v>
      </c>
      <c r="C340" t="s">
        <v>824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879</v>
      </c>
      <c r="J340" t="s">
        <v>880</v>
      </c>
      <c r="O340" t="s">
        <v>129</v>
      </c>
      <c r="P340" t="s">
        <v>130</v>
      </c>
      <c r="Q340" t="s">
        <v>827</v>
      </c>
      <c r="R340" t="s">
        <v>237</v>
      </c>
      <c r="S340" s="1">
        <v>46023</v>
      </c>
      <c r="U340" t="s">
        <v>51</v>
      </c>
      <c r="X340" t="s">
        <v>52</v>
      </c>
      <c r="AF340" s="2">
        <v>25</v>
      </c>
      <c r="AG340" s="2">
        <v>0</v>
      </c>
      <c r="AJ340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68A7-C6A8-4324-B916-B1CCE31D350F}">
  <dimension ref="A1:Y339"/>
  <sheetViews>
    <sheetView topLeftCell="C305" workbookViewId="0">
      <selection activeCell="P2" sqref="P2:P338"/>
    </sheetView>
  </sheetViews>
  <sheetFormatPr defaultRowHeight="15" x14ac:dyDescent="0.25"/>
  <cols>
    <col min="1" max="2" width="20" customWidth="1"/>
    <col min="3" max="3" width="26.42578125" bestFit="1" customWidth="1"/>
    <col min="6" max="6" width="27.28515625" bestFit="1" customWidth="1"/>
    <col min="8" max="8" width="59.42578125" bestFit="1" customWidth="1"/>
    <col min="9" max="9" width="10.140625" bestFit="1" customWidth="1"/>
  </cols>
  <sheetData>
    <row r="1" spans="1:18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37</v>
      </c>
    </row>
    <row r="2" spans="1:18" x14ac:dyDescent="0.25">
      <c r="A2" s="4">
        <v>101046985700</v>
      </c>
      <c r="B2" s="4" t="str">
        <f>CONCATENATE(A2,"OVR")</f>
        <v>101046985700OVR</v>
      </c>
      <c r="C2" t="s">
        <v>234</v>
      </c>
      <c r="D2" t="s">
        <v>59</v>
      </c>
      <c r="E2">
        <v>20411454</v>
      </c>
      <c r="F2" t="s">
        <v>973</v>
      </c>
      <c r="G2" t="s">
        <v>49</v>
      </c>
      <c r="H2" t="s">
        <v>237</v>
      </c>
      <c r="I2" s="1">
        <v>46023</v>
      </c>
      <c r="J2" t="s">
        <v>51</v>
      </c>
      <c r="K2" t="s">
        <v>52</v>
      </c>
      <c r="L2" s="2">
        <v>0</v>
      </c>
      <c r="M2" s="2">
        <v>25</v>
      </c>
      <c r="N2">
        <v>1</v>
      </c>
      <c r="O2" s="3">
        <v>1</v>
      </c>
      <c r="P2" s="2">
        <v>25</v>
      </c>
      <c r="R2" t="s">
        <v>968</v>
      </c>
    </row>
    <row r="3" spans="1:18" x14ac:dyDescent="0.25">
      <c r="A3" s="4">
        <v>101049698100</v>
      </c>
      <c r="B3" s="4" t="str">
        <f t="shared" ref="B3:B66" si="0">CONCATENATE(A3,"OVR")</f>
        <v>101049698100OVR</v>
      </c>
      <c r="C3" t="s">
        <v>239</v>
      </c>
      <c r="D3" t="s">
        <v>200</v>
      </c>
      <c r="E3">
        <v>20411454</v>
      </c>
      <c r="F3" t="s">
        <v>973</v>
      </c>
      <c r="G3" t="s">
        <v>49</v>
      </c>
      <c r="H3" t="s">
        <v>237</v>
      </c>
      <c r="I3" s="1">
        <v>46023</v>
      </c>
      <c r="J3" t="s">
        <v>51</v>
      </c>
      <c r="K3" t="s">
        <v>52</v>
      </c>
      <c r="L3" s="2">
        <v>0</v>
      </c>
      <c r="M3" s="2">
        <v>25</v>
      </c>
      <c r="N3">
        <v>1</v>
      </c>
      <c r="O3" s="3">
        <v>1</v>
      </c>
      <c r="P3" s="2">
        <v>25</v>
      </c>
      <c r="R3" t="s">
        <v>968</v>
      </c>
    </row>
    <row r="4" spans="1:18" x14ac:dyDescent="0.25">
      <c r="A4" s="4">
        <v>101076919700</v>
      </c>
      <c r="B4" s="4" t="str">
        <f t="shared" si="0"/>
        <v>101076919700OVR</v>
      </c>
      <c r="C4" t="s">
        <v>246</v>
      </c>
      <c r="D4" t="s">
        <v>200</v>
      </c>
      <c r="E4">
        <v>20411454</v>
      </c>
      <c r="F4" t="s">
        <v>973</v>
      </c>
      <c r="G4" t="s">
        <v>49</v>
      </c>
      <c r="H4" t="s">
        <v>237</v>
      </c>
      <c r="I4" s="1">
        <v>46023</v>
      </c>
      <c r="J4" t="s">
        <v>51</v>
      </c>
      <c r="K4" t="s">
        <v>52</v>
      </c>
      <c r="L4" s="2">
        <v>0</v>
      </c>
      <c r="M4" s="2">
        <v>25</v>
      </c>
      <c r="N4">
        <v>1</v>
      </c>
      <c r="O4" s="3">
        <v>1</v>
      </c>
      <c r="P4" s="2">
        <v>25</v>
      </c>
      <c r="R4" t="s">
        <v>968</v>
      </c>
    </row>
    <row r="5" spans="1:18" x14ac:dyDescent="0.25">
      <c r="A5" s="4">
        <v>101082161100</v>
      </c>
      <c r="B5" s="4" t="str">
        <f t="shared" si="0"/>
        <v>101082161100OVR</v>
      </c>
      <c r="C5" t="s">
        <v>248</v>
      </c>
      <c r="D5" t="s">
        <v>200</v>
      </c>
      <c r="E5">
        <v>20411454</v>
      </c>
      <c r="F5" t="s">
        <v>973</v>
      </c>
      <c r="G5" t="s">
        <v>49</v>
      </c>
      <c r="H5" t="s">
        <v>237</v>
      </c>
      <c r="I5" s="1">
        <v>46023</v>
      </c>
      <c r="J5" t="s">
        <v>51</v>
      </c>
      <c r="K5" t="s">
        <v>52</v>
      </c>
      <c r="L5" s="2">
        <v>0</v>
      </c>
      <c r="M5" s="2">
        <v>25</v>
      </c>
      <c r="N5">
        <v>1</v>
      </c>
      <c r="O5" s="3">
        <v>1</v>
      </c>
      <c r="P5" s="2">
        <v>25</v>
      </c>
      <c r="R5" t="s">
        <v>968</v>
      </c>
    </row>
    <row r="6" spans="1:18" x14ac:dyDescent="0.25">
      <c r="A6" s="4">
        <v>101088612200</v>
      </c>
      <c r="B6" s="4" t="str">
        <f t="shared" si="0"/>
        <v>101088612200OVR</v>
      </c>
      <c r="C6" t="s">
        <v>250</v>
      </c>
      <c r="D6" t="s">
        <v>145</v>
      </c>
      <c r="E6">
        <v>20411454</v>
      </c>
      <c r="F6" t="s">
        <v>973</v>
      </c>
      <c r="G6" t="s">
        <v>49</v>
      </c>
      <c r="H6" t="s">
        <v>237</v>
      </c>
      <c r="I6" s="1">
        <v>46023</v>
      </c>
      <c r="J6" t="s">
        <v>51</v>
      </c>
      <c r="K6" t="s">
        <v>52</v>
      </c>
      <c r="L6" s="2">
        <v>0</v>
      </c>
      <c r="M6" s="2">
        <v>25</v>
      </c>
      <c r="N6">
        <v>1</v>
      </c>
      <c r="O6" s="3">
        <v>1</v>
      </c>
      <c r="P6" s="2">
        <v>25</v>
      </c>
      <c r="R6" t="s">
        <v>968</v>
      </c>
    </row>
    <row r="7" spans="1:18" x14ac:dyDescent="0.25">
      <c r="A7" s="4">
        <v>101089001300</v>
      </c>
      <c r="B7" s="4" t="str">
        <f t="shared" si="0"/>
        <v>101089001300OVR</v>
      </c>
      <c r="C7" t="s">
        <v>252</v>
      </c>
      <c r="D7" t="s">
        <v>200</v>
      </c>
      <c r="E7">
        <v>20411454</v>
      </c>
      <c r="F7" t="s">
        <v>973</v>
      </c>
      <c r="G7" t="s">
        <v>49</v>
      </c>
      <c r="H7" t="s">
        <v>237</v>
      </c>
      <c r="I7" s="1">
        <v>46023</v>
      </c>
      <c r="J7" t="s">
        <v>51</v>
      </c>
      <c r="K7" t="s">
        <v>52</v>
      </c>
      <c r="L7" s="2">
        <v>0</v>
      </c>
      <c r="M7" s="2">
        <v>25</v>
      </c>
      <c r="N7">
        <v>1</v>
      </c>
      <c r="O7" s="3">
        <v>1</v>
      </c>
      <c r="P7" s="2">
        <v>25</v>
      </c>
      <c r="R7" t="s">
        <v>968</v>
      </c>
    </row>
    <row r="8" spans="1:18" x14ac:dyDescent="0.25">
      <c r="A8" s="4">
        <v>101089010700</v>
      </c>
      <c r="B8" s="4" t="str">
        <f t="shared" si="0"/>
        <v>101089010700OVR</v>
      </c>
      <c r="C8" t="s">
        <v>254</v>
      </c>
      <c r="D8" t="s">
        <v>200</v>
      </c>
      <c r="E8">
        <v>20411454</v>
      </c>
      <c r="F8" t="s">
        <v>973</v>
      </c>
      <c r="G8" t="s">
        <v>49</v>
      </c>
      <c r="H8" t="s">
        <v>237</v>
      </c>
      <c r="I8" s="1">
        <v>46023</v>
      </c>
      <c r="J8" t="s">
        <v>51</v>
      </c>
      <c r="K8" t="s">
        <v>52</v>
      </c>
      <c r="L8" s="2">
        <v>0</v>
      </c>
      <c r="M8" s="2">
        <v>25</v>
      </c>
      <c r="N8">
        <v>1</v>
      </c>
      <c r="O8" s="3">
        <v>1</v>
      </c>
      <c r="P8" s="2">
        <v>25</v>
      </c>
      <c r="R8" t="s">
        <v>968</v>
      </c>
    </row>
    <row r="9" spans="1:18" x14ac:dyDescent="0.25">
      <c r="A9" s="4">
        <v>101092242400</v>
      </c>
      <c r="B9" s="4" t="str">
        <f t="shared" si="0"/>
        <v>101092242400OVR</v>
      </c>
      <c r="C9" t="s">
        <v>256</v>
      </c>
      <c r="D9" t="s">
        <v>200</v>
      </c>
      <c r="E9">
        <v>20411454</v>
      </c>
      <c r="F9" t="s">
        <v>973</v>
      </c>
      <c r="G9" t="s">
        <v>49</v>
      </c>
      <c r="H9" t="s">
        <v>237</v>
      </c>
      <c r="I9" s="1">
        <v>46023</v>
      </c>
      <c r="J9" t="s">
        <v>51</v>
      </c>
      <c r="K9" t="s">
        <v>52</v>
      </c>
      <c r="L9" s="2">
        <v>0</v>
      </c>
      <c r="M9" s="2">
        <v>25</v>
      </c>
      <c r="N9">
        <v>1</v>
      </c>
      <c r="O9" s="3">
        <v>1</v>
      </c>
      <c r="P9" s="2">
        <v>25</v>
      </c>
      <c r="R9" t="s">
        <v>968</v>
      </c>
    </row>
    <row r="10" spans="1:18" x14ac:dyDescent="0.25">
      <c r="A10" s="4">
        <v>101134953100</v>
      </c>
      <c r="B10" s="4" t="str">
        <f t="shared" si="0"/>
        <v>101134953100OVR</v>
      </c>
      <c r="C10" t="s">
        <v>258</v>
      </c>
      <c r="D10" t="s">
        <v>200</v>
      </c>
      <c r="E10">
        <v>20411454</v>
      </c>
      <c r="F10" t="s">
        <v>973</v>
      </c>
      <c r="G10" t="s">
        <v>49</v>
      </c>
      <c r="H10" t="s">
        <v>237</v>
      </c>
      <c r="I10" s="1">
        <v>46023</v>
      </c>
      <c r="J10" t="s">
        <v>51</v>
      </c>
      <c r="K10" t="s">
        <v>52</v>
      </c>
      <c r="L10" s="2">
        <v>0</v>
      </c>
      <c r="M10" s="2">
        <v>25</v>
      </c>
      <c r="N10">
        <v>1</v>
      </c>
      <c r="O10" s="3">
        <v>1</v>
      </c>
      <c r="P10" s="2">
        <v>25</v>
      </c>
      <c r="R10" t="s">
        <v>968</v>
      </c>
    </row>
    <row r="11" spans="1:18" x14ac:dyDescent="0.25">
      <c r="A11" s="4">
        <v>101135167500</v>
      </c>
      <c r="B11" s="4" t="str">
        <f t="shared" si="0"/>
        <v>101135167500OVR</v>
      </c>
      <c r="C11" t="s">
        <v>260</v>
      </c>
      <c r="D11" t="s">
        <v>200</v>
      </c>
      <c r="E11">
        <v>20411454</v>
      </c>
      <c r="F11" t="s">
        <v>973</v>
      </c>
      <c r="G11" t="s">
        <v>49</v>
      </c>
      <c r="H11" t="s">
        <v>237</v>
      </c>
      <c r="I11" s="1">
        <v>46023</v>
      </c>
      <c r="J11" t="s">
        <v>51</v>
      </c>
      <c r="K11" t="s">
        <v>52</v>
      </c>
      <c r="L11" s="2">
        <v>0</v>
      </c>
      <c r="M11" s="2">
        <v>25</v>
      </c>
      <c r="N11">
        <v>1</v>
      </c>
      <c r="O11" s="3">
        <v>1</v>
      </c>
      <c r="P11" s="2">
        <v>25</v>
      </c>
      <c r="R11" t="s">
        <v>968</v>
      </c>
    </row>
    <row r="12" spans="1:18" x14ac:dyDescent="0.25">
      <c r="A12" s="4">
        <v>101144481000</v>
      </c>
      <c r="B12" s="4" t="str">
        <f t="shared" si="0"/>
        <v>101144481000OVR</v>
      </c>
      <c r="C12" t="s">
        <v>262</v>
      </c>
      <c r="D12" t="s">
        <v>100</v>
      </c>
      <c r="E12">
        <v>20411454</v>
      </c>
      <c r="F12" t="s">
        <v>973</v>
      </c>
      <c r="G12" t="s">
        <v>49</v>
      </c>
      <c r="H12" t="s">
        <v>237</v>
      </c>
      <c r="I12" s="1">
        <v>46023</v>
      </c>
      <c r="J12" t="s">
        <v>51</v>
      </c>
      <c r="K12" t="s">
        <v>52</v>
      </c>
      <c r="L12" s="2">
        <v>0</v>
      </c>
      <c r="M12" s="2">
        <v>25</v>
      </c>
      <c r="N12">
        <v>1</v>
      </c>
      <c r="O12" s="3">
        <v>1</v>
      </c>
      <c r="P12" s="2">
        <v>25</v>
      </c>
      <c r="R12" t="s">
        <v>968</v>
      </c>
    </row>
    <row r="13" spans="1:18" x14ac:dyDescent="0.25">
      <c r="A13" s="4">
        <v>101179412800</v>
      </c>
      <c r="B13" s="4" t="str">
        <f t="shared" si="0"/>
        <v>101179412800OVR</v>
      </c>
      <c r="C13" t="s">
        <v>264</v>
      </c>
      <c r="D13" t="s">
        <v>59</v>
      </c>
      <c r="E13">
        <v>20411454</v>
      </c>
      <c r="F13" t="s">
        <v>973</v>
      </c>
      <c r="G13" t="s">
        <v>49</v>
      </c>
      <c r="H13" t="s">
        <v>237</v>
      </c>
      <c r="I13" s="1">
        <v>46023</v>
      </c>
      <c r="J13" t="s">
        <v>51</v>
      </c>
      <c r="K13" t="s">
        <v>52</v>
      </c>
      <c r="L13" s="2">
        <v>0</v>
      </c>
      <c r="M13" s="2">
        <v>25</v>
      </c>
      <c r="N13">
        <v>1</v>
      </c>
      <c r="O13" s="3">
        <v>1</v>
      </c>
      <c r="P13" s="2">
        <v>25</v>
      </c>
      <c r="R13" t="s">
        <v>968</v>
      </c>
    </row>
    <row r="14" spans="1:18" x14ac:dyDescent="0.25">
      <c r="A14" s="4">
        <v>101183426500</v>
      </c>
      <c r="B14" s="4" t="str">
        <f t="shared" si="0"/>
        <v>101183426500OVR</v>
      </c>
      <c r="C14" t="s">
        <v>268</v>
      </c>
      <c r="D14" t="s">
        <v>200</v>
      </c>
      <c r="E14">
        <v>20411454</v>
      </c>
      <c r="F14" t="s">
        <v>973</v>
      </c>
      <c r="G14" t="s">
        <v>49</v>
      </c>
      <c r="H14" t="s">
        <v>237</v>
      </c>
      <c r="I14" s="1">
        <v>46023</v>
      </c>
      <c r="J14" t="s">
        <v>51</v>
      </c>
      <c r="K14" t="s">
        <v>52</v>
      </c>
      <c r="L14" s="2">
        <v>0</v>
      </c>
      <c r="M14" s="2">
        <v>25</v>
      </c>
      <c r="N14">
        <v>1</v>
      </c>
      <c r="O14" s="3">
        <v>1</v>
      </c>
      <c r="P14" s="2">
        <v>25</v>
      </c>
      <c r="R14" t="s">
        <v>968</v>
      </c>
    </row>
    <row r="15" spans="1:18" x14ac:dyDescent="0.25">
      <c r="A15" s="4">
        <v>101190000900</v>
      </c>
      <c r="B15" s="4" t="str">
        <f t="shared" si="0"/>
        <v>101190000900OVR</v>
      </c>
      <c r="C15" t="s">
        <v>272</v>
      </c>
      <c r="D15" t="s">
        <v>145</v>
      </c>
      <c r="E15">
        <v>20411454</v>
      </c>
      <c r="F15" t="s">
        <v>973</v>
      </c>
      <c r="G15" t="s">
        <v>49</v>
      </c>
      <c r="H15" t="s">
        <v>237</v>
      </c>
      <c r="I15" s="1">
        <v>46023</v>
      </c>
      <c r="J15" t="s">
        <v>51</v>
      </c>
      <c r="K15" t="s">
        <v>52</v>
      </c>
      <c r="L15" s="2">
        <v>0</v>
      </c>
      <c r="M15" s="2">
        <v>25</v>
      </c>
      <c r="N15">
        <v>1</v>
      </c>
      <c r="O15" s="3">
        <v>1</v>
      </c>
      <c r="P15" s="2">
        <v>25</v>
      </c>
      <c r="R15" t="s">
        <v>968</v>
      </c>
    </row>
    <row r="16" spans="1:18" x14ac:dyDescent="0.25">
      <c r="A16" s="4">
        <v>101193732400</v>
      </c>
      <c r="B16" s="4" t="str">
        <f t="shared" si="0"/>
        <v>101193732400OVR</v>
      </c>
      <c r="C16" t="s">
        <v>274</v>
      </c>
      <c r="D16" t="s">
        <v>200</v>
      </c>
      <c r="E16">
        <v>20411454</v>
      </c>
      <c r="F16" t="s">
        <v>973</v>
      </c>
      <c r="G16" t="s">
        <v>49</v>
      </c>
      <c r="H16" t="s">
        <v>237</v>
      </c>
      <c r="I16" s="1">
        <v>46023</v>
      </c>
      <c r="J16" t="s">
        <v>51</v>
      </c>
      <c r="K16" t="s">
        <v>52</v>
      </c>
      <c r="L16" s="2">
        <v>0</v>
      </c>
      <c r="M16" s="2">
        <v>25</v>
      </c>
      <c r="N16">
        <v>1</v>
      </c>
      <c r="O16" s="3">
        <v>1</v>
      </c>
      <c r="P16" s="2">
        <v>25</v>
      </c>
      <c r="R16" t="s">
        <v>968</v>
      </c>
    </row>
    <row r="17" spans="1:18" x14ac:dyDescent="0.25">
      <c r="A17" s="4">
        <v>101197526600</v>
      </c>
      <c r="B17" s="4" t="str">
        <f t="shared" si="0"/>
        <v>101197526600OVR</v>
      </c>
      <c r="C17" t="s">
        <v>276</v>
      </c>
      <c r="D17" t="s">
        <v>200</v>
      </c>
      <c r="E17">
        <v>20411454</v>
      </c>
      <c r="F17" t="s">
        <v>973</v>
      </c>
      <c r="G17" t="s">
        <v>49</v>
      </c>
      <c r="H17" t="s">
        <v>237</v>
      </c>
      <c r="I17" s="1">
        <v>46023</v>
      </c>
      <c r="J17" t="s">
        <v>51</v>
      </c>
      <c r="K17" t="s">
        <v>52</v>
      </c>
      <c r="L17" s="2">
        <v>0</v>
      </c>
      <c r="M17" s="2">
        <v>25</v>
      </c>
      <c r="N17">
        <v>1</v>
      </c>
      <c r="O17" s="3">
        <v>1</v>
      </c>
      <c r="P17" s="2">
        <v>25</v>
      </c>
      <c r="R17" t="s">
        <v>968</v>
      </c>
    </row>
    <row r="18" spans="1:18" x14ac:dyDescent="0.25">
      <c r="A18" s="4">
        <v>101202729500</v>
      </c>
      <c r="B18" s="4" t="str">
        <f t="shared" si="0"/>
        <v>101202729500OVR</v>
      </c>
      <c r="C18" t="s">
        <v>278</v>
      </c>
      <c r="D18" t="s">
        <v>200</v>
      </c>
      <c r="E18">
        <v>20411454</v>
      </c>
      <c r="F18" t="s">
        <v>973</v>
      </c>
      <c r="G18" t="s">
        <v>49</v>
      </c>
      <c r="H18" t="s">
        <v>237</v>
      </c>
      <c r="I18" s="1">
        <v>46023</v>
      </c>
      <c r="J18" t="s">
        <v>51</v>
      </c>
      <c r="K18" t="s">
        <v>52</v>
      </c>
      <c r="L18" s="2">
        <v>0</v>
      </c>
      <c r="M18" s="2">
        <v>25</v>
      </c>
      <c r="N18">
        <v>1</v>
      </c>
      <c r="O18" s="3">
        <v>1</v>
      </c>
      <c r="P18" s="2">
        <v>25</v>
      </c>
      <c r="R18" t="s">
        <v>968</v>
      </c>
    </row>
    <row r="19" spans="1:18" x14ac:dyDescent="0.25">
      <c r="A19" s="4">
        <v>101213863100</v>
      </c>
      <c r="B19" s="4" t="str">
        <f t="shared" si="0"/>
        <v>101213863100OVR</v>
      </c>
      <c r="C19" t="s">
        <v>284</v>
      </c>
      <c r="D19" t="s">
        <v>145</v>
      </c>
      <c r="E19">
        <v>20411454</v>
      </c>
      <c r="F19" t="s">
        <v>973</v>
      </c>
      <c r="G19" t="s">
        <v>49</v>
      </c>
      <c r="H19" t="s">
        <v>237</v>
      </c>
      <c r="I19" s="1">
        <v>46023</v>
      </c>
      <c r="J19" t="s">
        <v>51</v>
      </c>
      <c r="K19" t="s">
        <v>52</v>
      </c>
      <c r="L19" s="2">
        <v>0</v>
      </c>
      <c r="M19" s="2">
        <v>25</v>
      </c>
      <c r="N19">
        <v>1</v>
      </c>
      <c r="O19" s="3">
        <v>1</v>
      </c>
      <c r="P19" s="2">
        <v>25</v>
      </c>
      <c r="R19" t="s">
        <v>968</v>
      </c>
    </row>
    <row r="20" spans="1:18" x14ac:dyDescent="0.25">
      <c r="A20" s="4">
        <v>101261348100</v>
      </c>
      <c r="B20" s="4" t="str">
        <f t="shared" si="0"/>
        <v>101261348100OVR</v>
      </c>
      <c r="C20" t="s">
        <v>288</v>
      </c>
      <c r="D20" t="s">
        <v>59</v>
      </c>
      <c r="E20">
        <v>20411454</v>
      </c>
      <c r="F20" t="s">
        <v>973</v>
      </c>
      <c r="G20" t="s">
        <v>49</v>
      </c>
      <c r="H20" t="s">
        <v>237</v>
      </c>
      <c r="I20" s="1">
        <v>46023</v>
      </c>
      <c r="J20" t="s">
        <v>51</v>
      </c>
      <c r="K20" t="s">
        <v>52</v>
      </c>
      <c r="L20" s="2">
        <v>0</v>
      </c>
      <c r="M20" s="2">
        <v>25</v>
      </c>
      <c r="N20">
        <v>1</v>
      </c>
      <c r="O20" s="3">
        <v>1</v>
      </c>
      <c r="P20" s="2">
        <v>25</v>
      </c>
      <c r="R20" t="s">
        <v>968</v>
      </c>
    </row>
    <row r="21" spans="1:18" x14ac:dyDescent="0.25">
      <c r="A21" s="4">
        <v>101265768200</v>
      </c>
      <c r="B21" s="4" t="str">
        <f t="shared" si="0"/>
        <v>101265768200OVR</v>
      </c>
      <c r="C21" t="s">
        <v>290</v>
      </c>
      <c r="D21" t="s">
        <v>59</v>
      </c>
      <c r="E21">
        <v>20411454</v>
      </c>
      <c r="F21" t="s">
        <v>973</v>
      </c>
      <c r="G21" t="s">
        <v>49</v>
      </c>
      <c r="H21" t="s">
        <v>237</v>
      </c>
      <c r="I21" s="1">
        <v>46023</v>
      </c>
      <c r="J21" t="s">
        <v>51</v>
      </c>
      <c r="K21" t="s">
        <v>52</v>
      </c>
      <c r="L21" s="2">
        <v>0</v>
      </c>
      <c r="M21" s="2">
        <v>25</v>
      </c>
      <c r="N21">
        <v>1</v>
      </c>
      <c r="O21" s="3">
        <v>1</v>
      </c>
      <c r="P21" s="2">
        <v>25</v>
      </c>
      <c r="R21" t="s">
        <v>968</v>
      </c>
    </row>
    <row r="22" spans="1:18" x14ac:dyDescent="0.25">
      <c r="A22" s="4">
        <v>101267237100</v>
      </c>
      <c r="B22" s="4" t="str">
        <f t="shared" si="0"/>
        <v>101267237100OVR</v>
      </c>
      <c r="C22" t="s">
        <v>292</v>
      </c>
      <c r="D22" t="s">
        <v>59</v>
      </c>
      <c r="E22">
        <v>20411454</v>
      </c>
      <c r="F22" t="s">
        <v>973</v>
      </c>
      <c r="G22" t="s">
        <v>49</v>
      </c>
      <c r="H22" t="s">
        <v>237</v>
      </c>
      <c r="I22" s="1">
        <v>46023</v>
      </c>
      <c r="J22" t="s">
        <v>51</v>
      </c>
      <c r="K22" t="s">
        <v>52</v>
      </c>
      <c r="L22" s="2">
        <v>0</v>
      </c>
      <c r="M22" s="2">
        <v>25</v>
      </c>
      <c r="N22">
        <v>1</v>
      </c>
      <c r="O22" s="3">
        <v>1</v>
      </c>
      <c r="P22" s="2">
        <v>25</v>
      </c>
      <c r="R22" t="s">
        <v>968</v>
      </c>
    </row>
    <row r="23" spans="1:18" x14ac:dyDescent="0.25">
      <c r="A23" s="4">
        <v>101269799200</v>
      </c>
      <c r="B23" s="4" t="str">
        <f t="shared" si="0"/>
        <v>101269799200OVR</v>
      </c>
      <c r="C23" t="s">
        <v>294</v>
      </c>
      <c r="D23" t="s">
        <v>59</v>
      </c>
      <c r="E23">
        <v>20411454</v>
      </c>
      <c r="F23" t="s">
        <v>973</v>
      </c>
      <c r="G23" t="s">
        <v>49</v>
      </c>
      <c r="H23" t="s">
        <v>237</v>
      </c>
      <c r="I23" s="1">
        <v>46023</v>
      </c>
      <c r="J23" t="s">
        <v>51</v>
      </c>
      <c r="K23" t="s">
        <v>52</v>
      </c>
      <c r="L23" s="2">
        <v>0</v>
      </c>
      <c r="M23" s="2">
        <v>25</v>
      </c>
      <c r="N23">
        <v>1</v>
      </c>
      <c r="O23" s="3">
        <v>1</v>
      </c>
      <c r="P23" s="2">
        <v>25</v>
      </c>
      <c r="R23" t="s">
        <v>968</v>
      </c>
    </row>
    <row r="24" spans="1:18" x14ac:dyDescent="0.25">
      <c r="A24" s="4">
        <v>101279531500</v>
      </c>
      <c r="B24" s="4" t="str">
        <f t="shared" si="0"/>
        <v>101279531500OVR</v>
      </c>
      <c r="C24" t="s">
        <v>296</v>
      </c>
      <c r="D24" t="s">
        <v>59</v>
      </c>
      <c r="E24">
        <v>20411454</v>
      </c>
      <c r="F24" t="s">
        <v>973</v>
      </c>
      <c r="G24" t="s">
        <v>49</v>
      </c>
      <c r="H24" t="s">
        <v>237</v>
      </c>
      <c r="I24" s="1">
        <v>46023</v>
      </c>
      <c r="J24" t="s">
        <v>51</v>
      </c>
      <c r="K24" t="s">
        <v>52</v>
      </c>
      <c r="L24" s="2">
        <v>0</v>
      </c>
      <c r="M24" s="2">
        <v>25</v>
      </c>
      <c r="N24">
        <v>1</v>
      </c>
      <c r="O24" s="3">
        <v>1</v>
      </c>
      <c r="P24" s="2">
        <v>25</v>
      </c>
      <c r="R24" t="s">
        <v>968</v>
      </c>
    </row>
    <row r="25" spans="1:18" x14ac:dyDescent="0.25">
      <c r="A25" s="4">
        <v>101302887100</v>
      </c>
      <c r="B25" s="4" t="str">
        <f t="shared" si="0"/>
        <v>101302887100OVR</v>
      </c>
      <c r="C25" t="s">
        <v>298</v>
      </c>
      <c r="D25" t="s">
        <v>59</v>
      </c>
      <c r="E25">
        <v>20411454</v>
      </c>
      <c r="F25" t="s">
        <v>973</v>
      </c>
      <c r="G25" t="s">
        <v>49</v>
      </c>
      <c r="H25" t="s">
        <v>237</v>
      </c>
      <c r="I25" s="1">
        <v>46023</v>
      </c>
      <c r="J25" t="s">
        <v>51</v>
      </c>
      <c r="K25" t="s">
        <v>52</v>
      </c>
      <c r="L25" s="2">
        <v>0</v>
      </c>
      <c r="M25" s="2">
        <v>25</v>
      </c>
      <c r="N25">
        <v>1</v>
      </c>
      <c r="O25" s="3">
        <v>1</v>
      </c>
      <c r="P25" s="2">
        <v>25</v>
      </c>
      <c r="R25" t="s">
        <v>968</v>
      </c>
    </row>
    <row r="26" spans="1:18" x14ac:dyDescent="0.25">
      <c r="A26" s="4">
        <v>101304842400</v>
      </c>
      <c r="B26" s="4" t="str">
        <f t="shared" si="0"/>
        <v>101304842400OVR</v>
      </c>
      <c r="C26" t="s">
        <v>300</v>
      </c>
      <c r="D26" t="s">
        <v>145</v>
      </c>
      <c r="E26">
        <v>20411454</v>
      </c>
      <c r="F26" t="s">
        <v>973</v>
      </c>
      <c r="G26" t="s">
        <v>49</v>
      </c>
      <c r="H26" t="s">
        <v>237</v>
      </c>
      <c r="I26" s="1">
        <v>46023</v>
      </c>
      <c r="J26" t="s">
        <v>51</v>
      </c>
      <c r="K26" t="s">
        <v>52</v>
      </c>
      <c r="L26" s="2">
        <v>0</v>
      </c>
      <c r="M26" s="2">
        <v>25</v>
      </c>
      <c r="N26">
        <v>1</v>
      </c>
      <c r="O26" s="3">
        <v>1</v>
      </c>
      <c r="P26" s="2">
        <v>25</v>
      </c>
      <c r="R26" t="s">
        <v>968</v>
      </c>
    </row>
    <row r="27" spans="1:18" x14ac:dyDescent="0.25">
      <c r="A27" s="4">
        <v>101330229200</v>
      </c>
      <c r="B27" s="4" t="str">
        <f t="shared" si="0"/>
        <v>101330229200OVR</v>
      </c>
      <c r="C27" t="s">
        <v>307</v>
      </c>
      <c r="D27" t="s">
        <v>150</v>
      </c>
      <c r="E27">
        <v>20411454</v>
      </c>
      <c r="F27" t="s">
        <v>973</v>
      </c>
      <c r="G27" t="s">
        <v>49</v>
      </c>
      <c r="H27" t="s">
        <v>237</v>
      </c>
      <c r="I27" s="1">
        <v>46023</v>
      </c>
      <c r="J27" t="s">
        <v>51</v>
      </c>
      <c r="K27" t="s">
        <v>52</v>
      </c>
      <c r="L27" s="2">
        <v>0</v>
      </c>
      <c r="M27" s="2">
        <v>25</v>
      </c>
      <c r="N27">
        <v>1</v>
      </c>
      <c r="O27" s="3">
        <v>1</v>
      </c>
      <c r="P27" s="2">
        <v>25</v>
      </c>
      <c r="R27" t="s">
        <v>968</v>
      </c>
    </row>
    <row r="28" spans="1:18" x14ac:dyDescent="0.25">
      <c r="A28" s="4">
        <v>101377388700</v>
      </c>
      <c r="B28" s="4" t="str">
        <f t="shared" si="0"/>
        <v>101377388700OVR</v>
      </c>
      <c r="C28" t="s">
        <v>309</v>
      </c>
      <c r="D28" t="s">
        <v>46</v>
      </c>
      <c r="E28">
        <v>20411454</v>
      </c>
      <c r="F28" t="s">
        <v>973</v>
      </c>
      <c r="G28" t="s">
        <v>49</v>
      </c>
      <c r="H28" t="s">
        <v>237</v>
      </c>
      <c r="I28" s="1">
        <v>46023</v>
      </c>
      <c r="J28" t="s">
        <v>51</v>
      </c>
      <c r="K28" t="s">
        <v>52</v>
      </c>
      <c r="L28" s="2">
        <v>0</v>
      </c>
      <c r="M28" s="2">
        <v>25</v>
      </c>
      <c r="N28">
        <v>1</v>
      </c>
      <c r="O28" s="3">
        <v>1</v>
      </c>
      <c r="P28" s="2">
        <v>25</v>
      </c>
      <c r="R28" t="s">
        <v>968</v>
      </c>
    </row>
    <row r="29" spans="1:18" x14ac:dyDescent="0.25">
      <c r="A29" s="4">
        <v>101379098000</v>
      </c>
      <c r="B29" s="4" t="str">
        <f t="shared" si="0"/>
        <v>101379098000OVR</v>
      </c>
      <c r="C29" t="s">
        <v>313</v>
      </c>
      <c r="D29" t="s">
        <v>59</v>
      </c>
      <c r="E29">
        <v>20411454</v>
      </c>
      <c r="F29" t="s">
        <v>973</v>
      </c>
      <c r="G29" t="s">
        <v>49</v>
      </c>
      <c r="H29" t="s">
        <v>237</v>
      </c>
      <c r="I29" s="1">
        <v>46023</v>
      </c>
      <c r="J29" t="s">
        <v>51</v>
      </c>
      <c r="K29" t="s">
        <v>52</v>
      </c>
      <c r="L29" s="2">
        <v>0</v>
      </c>
      <c r="M29" s="2">
        <v>25</v>
      </c>
      <c r="N29">
        <v>1</v>
      </c>
      <c r="O29" s="3">
        <v>1</v>
      </c>
      <c r="P29" s="2">
        <v>25</v>
      </c>
      <c r="R29" t="s">
        <v>968</v>
      </c>
    </row>
    <row r="30" spans="1:18" x14ac:dyDescent="0.25">
      <c r="A30" s="4">
        <v>101466595900</v>
      </c>
      <c r="B30" s="4" t="str">
        <f t="shared" si="0"/>
        <v>101466595900OVR</v>
      </c>
      <c r="C30" t="s">
        <v>317</v>
      </c>
      <c r="D30" t="s">
        <v>59</v>
      </c>
      <c r="E30">
        <v>20411454</v>
      </c>
      <c r="F30" t="s">
        <v>973</v>
      </c>
      <c r="G30" t="s">
        <v>49</v>
      </c>
      <c r="H30" t="s">
        <v>237</v>
      </c>
      <c r="I30" s="1">
        <v>46023</v>
      </c>
      <c r="J30" t="s">
        <v>51</v>
      </c>
      <c r="K30" t="s">
        <v>52</v>
      </c>
      <c r="L30" s="2">
        <v>0</v>
      </c>
      <c r="M30" s="2">
        <v>25</v>
      </c>
      <c r="N30">
        <v>1</v>
      </c>
      <c r="O30" s="3">
        <v>1</v>
      </c>
      <c r="P30" s="2">
        <v>25</v>
      </c>
      <c r="R30" t="s">
        <v>968</v>
      </c>
    </row>
    <row r="31" spans="1:18" x14ac:dyDescent="0.25">
      <c r="A31" s="4">
        <v>101470734700</v>
      </c>
      <c r="B31" s="4" t="str">
        <f t="shared" si="0"/>
        <v>101470734700OVR</v>
      </c>
      <c r="C31" t="s">
        <v>319</v>
      </c>
      <c r="D31" t="s">
        <v>320</v>
      </c>
      <c r="E31">
        <v>20411454</v>
      </c>
      <c r="F31" t="s">
        <v>973</v>
      </c>
      <c r="G31" t="s">
        <v>49</v>
      </c>
      <c r="H31" t="s">
        <v>237</v>
      </c>
      <c r="I31" s="1">
        <v>46023</v>
      </c>
      <c r="J31" t="s">
        <v>51</v>
      </c>
      <c r="K31" t="s">
        <v>52</v>
      </c>
      <c r="L31" s="2">
        <v>0</v>
      </c>
      <c r="M31" s="2">
        <v>25</v>
      </c>
      <c r="N31">
        <v>1</v>
      </c>
      <c r="O31" s="3">
        <v>1</v>
      </c>
      <c r="P31" s="2">
        <v>25</v>
      </c>
      <c r="R31" t="s">
        <v>968</v>
      </c>
    </row>
    <row r="32" spans="1:18" x14ac:dyDescent="0.25">
      <c r="A32" s="4">
        <v>101478384000</v>
      </c>
      <c r="B32" s="4" t="str">
        <f t="shared" si="0"/>
        <v>101478384000OVR</v>
      </c>
      <c r="C32" t="s">
        <v>322</v>
      </c>
      <c r="D32" t="s">
        <v>200</v>
      </c>
      <c r="E32">
        <v>20411454</v>
      </c>
      <c r="F32" t="s">
        <v>973</v>
      </c>
      <c r="G32" t="s">
        <v>49</v>
      </c>
      <c r="H32" t="s">
        <v>237</v>
      </c>
      <c r="I32" s="1">
        <v>46023</v>
      </c>
      <c r="J32" t="s">
        <v>51</v>
      </c>
      <c r="K32" t="s">
        <v>52</v>
      </c>
      <c r="L32" s="2">
        <v>0</v>
      </c>
      <c r="M32" s="2">
        <v>25</v>
      </c>
      <c r="N32">
        <v>1</v>
      </c>
      <c r="O32" s="3">
        <v>1</v>
      </c>
      <c r="P32" s="2">
        <v>25</v>
      </c>
      <c r="R32" t="s">
        <v>968</v>
      </c>
    </row>
    <row r="33" spans="1:18" x14ac:dyDescent="0.25">
      <c r="A33" s="4">
        <v>101483057100</v>
      </c>
      <c r="B33" s="4" t="str">
        <f t="shared" si="0"/>
        <v>101483057100OVR</v>
      </c>
      <c r="C33" t="s">
        <v>326</v>
      </c>
      <c r="D33" t="s">
        <v>200</v>
      </c>
      <c r="E33">
        <v>20411454</v>
      </c>
      <c r="F33" t="s">
        <v>973</v>
      </c>
      <c r="G33" t="s">
        <v>49</v>
      </c>
      <c r="H33" t="s">
        <v>237</v>
      </c>
      <c r="I33" s="1">
        <v>46023</v>
      </c>
      <c r="J33" t="s">
        <v>51</v>
      </c>
      <c r="K33" t="s">
        <v>52</v>
      </c>
      <c r="L33" s="2">
        <v>0</v>
      </c>
      <c r="M33" s="2">
        <v>25</v>
      </c>
      <c r="N33">
        <v>1</v>
      </c>
      <c r="O33" s="3">
        <v>1</v>
      </c>
      <c r="P33" s="2">
        <v>25</v>
      </c>
      <c r="R33" t="s">
        <v>968</v>
      </c>
    </row>
    <row r="34" spans="1:18" x14ac:dyDescent="0.25">
      <c r="A34" s="4">
        <v>101494500300</v>
      </c>
      <c r="B34" s="4" t="str">
        <f t="shared" si="0"/>
        <v>101494500300OVR</v>
      </c>
      <c r="C34" t="s">
        <v>328</v>
      </c>
      <c r="D34" t="s">
        <v>59</v>
      </c>
      <c r="E34">
        <v>20411454</v>
      </c>
      <c r="F34" t="s">
        <v>973</v>
      </c>
      <c r="G34" t="s">
        <v>49</v>
      </c>
      <c r="H34" t="s">
        <v>237</v>
      </c>
      <c r="I34" s="1">
        <v>46023</v>
      </c>
      <c r="J34" t="s">
        <v>51</v>
      </c>
      <c r="K34" t="s">
        <v>52</v>
      </c>
      <c r="L34" s="2">
        <v>0</v>
      </c>
      <c r="M34" s="2">
        <v>25</v>
      </c>
      <c r="N34">
        <v>1</v>
      </c>
      <c r="O34" s="3">
        <v>1</v>
      </c>
      <c r="P34" s="2">
        <v>25</v>
      </c>
      <c r="R34" t="s">
        <v>968</v>
      </c>
    </row>
    <row r="35" spans="1:18" x14ac:dyDescent="0.25">
      <c r="A35" s="4">
        <v>101502420400</v>
      </c>
      <c r="B35" s="4" t="str">
        <f t="shared" si="0"/>
        <v>101502420400OVR</v>
      </c>
      <c r="C35" t="s">
        <v>330</v>
      </c>
      <c r="D35" t="s">
        <v>200</v>
      </c>
      <c r="E35">
        <v>20411454</v>
      </c>
      <c r="F35" t="s">
        <v>973</v>
      </c>
      <c r="G35" t="s">
        <v>49</v>
      </c>
      <c r="H35" t="s">
        <v>237</v>
      </c>
      <c r="I35" s="1">
        <v>46023</v>
      </c>
      <c r="J35" t="s">
        <v>51</v>
      </c>
      <c r="K35" t="s">
        <v>52</v>
      </c>
      <c r="L35" s="2">
        <v>0</v>
      </c>
      <c r="M35" s="2">
        <v>25</v>
      </c>
      <c r="N35">
        <v>1</v>
      </c>
      <c r="O35" s="3">
        <v>1</v>
      </c>
      <c r="P35" s="2">
        <v>25</v>
      </c>
      <c r="R35" t="s">
        <v>968</v>
      </c>
    </row>
    <row r="36" spans="1:18" x14ac:dyDescent="0.25">
      <c r="A36" s="4">
        <v>101505586300</v>
      </c>
      <c r="B36" s="4" t="str">
        <f t="shared" si="0"/>
        <v>101505586300OVR</v>
      </c>
      <c r="C36" t="s">
        <v>332</v>
      </c>
      <c r="D36" t="s">
        <v>59</v>
      </c>
      <c r="E36">
        <v>20411454</v>
      </c>
      <c r="F36" t="s">
        <v>973</v>
      </c>
      <c r="G36" t="s">
        <v>49</v>
      </c>
      <c r="H36" t="s">
        <v>237</v>
      </c>
      <c r="I36" s="1">
        <v>46023</v>
      </c>
      <c r="J36" t="s">
        <v>51</v>
      </c>
      <c r="K36" t="s">
        <v>52</v>
      </c>
      <c r="L36" s="2">
        <v>0</v>
      </c>
      <c r="M36" s="2">
        <v>25</v>
      </c>
      <c r="N36">
        <v>1</v>
      </c>
      <c r="O36" s="3">
        <v>1</v>
      </c>
      <c r="P36" s="2">
        <v>25</v>
      </c>
      <c r="R36" t="s">
        <v>968</v>
      </c>
    </row>
    <row r="37" spans="1:18" x14ac:dyDescent="0.25">
      <c r="A37" s="4">
        <v>101517146700</v>
      </c>
      <c r="B37" s="4" t="str">
        <f t="shared" si="0"/>
        <v>101517146700OVR</v>
      </c>
      <c r="C37" t="s">
        <v>334</v>
      </c>
      <c r="D37" t="s">
        <v>145</v>
      </c>
      <c r="E37">
        <v>20411454</v>
      </c>
      <c r="F37" t="s">
        <v>973</v>
      </c>
      <c r="G37" t="s">
        <v>49</v>
      </c>
      <c r="H37" t="s">
        <v>237</v>
      </c>
      <c r="I37" s="1">
        <v>46023</v>
      </c>
      <c r="J37" t="s">
        <v>51</v>
      </c>
      <c r="K37" t="s">
        <v>52</v>
      </c>
      <c r="L37" s="2">
        <v>0</v>
      </c>
      <c r="M37" s="2">
        <v>25</v>
      </c>
      <c r="N37">
        <v>1</v>
      </c>
      <c r="O37" s="3">
        <v>1</v>
      </c>
      <c r="P37" s="2">
        <v>25</v>
      </c>
      <c r="R37" t="s">
        <v>968</v>
      </c>
    </row>
    <row r="38" spans="1:18" x14ac:dyDescent="0.25">
      <c r="A38" s="4" t="s">
        <v>942</v>
      </c>
      <c r="B38" s="4" t="str">
        <f t="shared" si="0"/>
        <v>101519777300AOVR</v>
      </c>
      <c r="C38" t="s">
        <v>338</v>
      </c>
      <c r="D38" t="s">
        <v>200</v>
      </c>
      <c r="E38">
        <v>20411454</v>
      </c>
      <c r="F38" t="s">
        <v>973</v>
      </c>
      <c r="G38" t="s">
        <v>101</v>
      </c>
      <c r="H38" t="s">
        <v>237</v>
      </c>
      <c r="I38" s="1">
        <v>46023</v>
      </c>
      <c r="J38" t="s">
        <v>51</v>
      </c>
      <c r="K38" t="s">
        <v>52</v>
      </c>
      <c r="L38" s="2">
        <v>0</v>
      </c>
      <c r="M38" s="2">
        <v>25</v>
      </c>
      <c r="N38">
        <v>1</v>
      </c>
      <c r="O38" s="3">
        <v>1</v>
      </c>
      <c r="P38" s="2">
        <v>25</v>
      </c>
      <c r="R38" t="s">
        <v>968</v>
      </c>
    </row>
    <row r="39" spans="1:18" x14ac:dyDescent="0.25">
      <c r="A39" s="4">
        <v>101523661600</v>
      </c>
      <c r="B39" s="4" t="str">
        <f t="shared" si="0"/>
        <v>101523661600OVR</v>
      </c>
      <c r="C39" t="s">
        <v>340</v>
      </c>
      <c r="D39" t="s">
        <v>341</v>
      </c>
      <c r="E39">
        <v>20411454</v>
      </c>
      <c r="F39" t="s">
        <v>973</v>
      </c>
      <c r="G39" t="s">
        <v>49</v>
      </c>
      <c r="H39" t="s">
        <v>237</v>
      </c>
      <c r="I39" s="1">
        <v>46023</v>
      </c>
      <c r="J39" t="s">
        <v>51</v>
      </c>
      <c r="K39" t="s">
        <v>52</v>
      </c>
      <c r="L39" s="2">
        <v>0</v>
      </c>
      <c r="M39" s="2">
        <v>25</v>
      </c>
      <c r="N39">
        <v>1</v>
      </c>
      <c r="O39" s="3">
        <v>1</v>
      </c>
      <c r="P39" s="2">
        <v>25</v>
      </c>
      <c r="R39" t="s">
        <v>968</v>
      </c>
    </row>
    <row r="40" spans="1:18" x14ac:dyDescent="0.25">
      <c r="A40" s="4">
        <v>101528686000</v>
      </c>
      <c r="B40" s="4" t="str">
        <f t="shared" si="0"/>
        <v>101528686000OVR</v>
      </c>
      <c r="C40" t="s">
        <v>343</v>
      </c>
      <c r="D40" t="s">
        <v>200</v>
      </c>
      <c r="E40">
        <v>20411454</v>
      </c>
      <c r="F40" t="s">
        <v>973</v>
      </c>
      <c r="G40" t="s">
        <v>49</v>
      </c>
      <c r="H40" t="s">
        <v>237</v>
      </c>
      <c r="I40" s="1">
        <v>46023</v>
      </c>
      <c r="J40" t="s">
        <v>51</v>
      </c>
      <c r="K40" t="s">
        <v>52</v>
      </c>
      <c r="L40" s="2">
        <v>0</v>
      </c>
      <c r="M40" s="2">
        <v>25</v>
      </c>
      <c r="N40">
        <v>1</v>
      </c>
      <c r="O40" s="3">
        <v>1</v>
      </c>
      <c r="P40" s="2">
        <v>25</v>
      </c>
      <c r="R40" t="s">
        <v>968</v>
      </c>
    </row>
    <row r="41" spans="1:18" x14ac:dyDescent="0.25">
      <c r="A41" s="4">
        <v>101538173300</v>
      </c>
      <c r="B41" s="4" t="str">
        <f t="shared" si="0"/>
        <v>101538173300OVR</v>
      </c>
      <c r="C41" t="s">
        <v>347</v>
      </c>
      <c r="D41" t="s">
        <v>59</v>
      </c>
      <c r="E41">
        <v>20411454</v>
      </c>
      <c r="F41" t="s">
        <v>973</v>
      </c>
      <c r="G41" t="s">
        <v>49</v>
      </c>
      <c r="H41" t="s">
        <v>237</v>
      </c>
      <c r="I41" s="1">
        <v>46023</v>
      </c>
      <c r="J41" t="s">
        <v>51</v>
      </c>
      <c r="K41" t="s">
        <v>52</v>
      </c>
      <c r="L41" s="2">
        <v>0</v>
      </c>
      <c r="M41" s="2">
        <v>25</v>
      </c>
      <c r="N41">
        <v>1</v>
      </c>
      <c r="O41" s="3">
        <v>1</v>
      </c>
      <c r="P41" s="2">
        <v>25</v>
      </c>
      <c r="R41" t="s">
        <v>968</v>
      </c>
    </row>
    <row r="42" spans="1:18" x14ac:dyDescent="0.25">
      <c r="A42" s="4">
        <v>101556886800</v>
      </c>
      <c r="B42" s="4" t="str">
        <f t="shared" si="0"/>
        <v>101556886800OVR</v>
      </c>
      <c r="C42" t="s">
        <v>353</v>
      </c>
      <c r="D42" t="s">
        <v>59</v>
      </c>
      <c r="E42">
        <v>20411454</v>
      </c>
      <c r="F42" t="s">
        <v>973</v>
      </c>
      <c r="G42" t="s">
        <v>49</v>
      </c>
      <c r="H42" t="s">
        <v>237</v>
      </c>
      <c r="I42" s="1">
        <v>46023</v>
      </c>
      <c r="J42" t="s">
        <v>51</v>
      </c>
      <c r="K42" t="s">
        <v>52</v>
      </c>
      <c r="L42" s="2">
        <v>0</v>
      </c>
      <c r="M42" s="2">
        <v>25</v>
      </c>
      <c r="N42">
        <v>1</v>
      </c>
      <c r="O42" s="3">
        <v>1</v>
      </c>
      <c r="P42" s="2">
        <v>25</v>
      </c>
      <c r="R42" t="s">
        <v>968</v>
      </c>
    </row>
    <row r="43" spans="1:18" x14ac:dyDescent="0.25">
      <c r="A43" s="4">
        <v>101564560300</v>
      </c>
      <c r="B43" s="4" t="str">
        <f t="shared" si="0"/>
        <v>101564560300OVR</v>
      </c>
      <c r="C43" t="s">
        <v>357</v>
      </c>
      <c r="D43" t="s">
        <v>200</v>
      </c>
      <c r="E43">
        <v>20411454</v>
      </c>
      <c r="F43" t="s">
        <v>973</v>
      </c>
      <c r="G43" t="s">
        <v>49</v>
      </c>
      <c r="H43" t="s">
        <v>237</v>
      </c>
      <c r="I43" s="1">
        <v>46023</v>
      </c>
      <c r="J43" t="s">
        <v>51</v>
      </c>
      <c r="K43" t="s">
        <v>52</v>
      </c>
      <c r="L43" s="2">
        <v>0</v>
      </c>
      <c r="M43" s="2">
        <v>25</v>
      </c>
      <c r="N43">
        <v>1</v>
      </c>
      <c r="O43" s="3">
        <v>1</v>
      </c>
      <c r="P43" s="2">
        <v>25</v>
      </c>
      <c r="R43" t="s">
        <v>968</v>
      </c>
    </row>
    <row r="44" spans="1:18" x14ac:dyDescent="0.25">
      <c r="A44" s="4">
        <v>101615215200</v>
      </c>
      <c r="B44" s="4" t="str">
        <f t="shared" si="0"/>
        <v>101615215200OVR</v>
      </c>
      <c r="C44" t="s">
        <v>359</v>
      </c>
      <c r="D44" t="s">
        <v>360</v>
      </c>
      <c r="E44">
        <v>20411454</v>
      </c>
      <c r="F44" t="s">
        <v>973</v>
      </c>
      <c r="G44" t="s">
        <v>49</v>
      </c>
      <c r="H44" t="s">
        <v>237</v>
      </c>
      <c r="I44" s="1">
        <v>46023</v>
      </c>
      <c r="J44" t="s">
        <v>51</v>
      </c>
      <c r="K44" t="s">
        <v>52</v>
      </c>
      <c r="L44" s="2">
        <v>0</v>
      </c>
      <c r="M44" s="2">
        <v>25</v>
      </c>
      <c r="N44">
        <v>1</v>
      </c>
      <c r="O44" s="3">
        <v>1</v>
      </c>
      <c r="P44" s="2">
        <v>25</v>
      </c>
      <c r="R44" t="s">
        <v>968</v>
      </c>
    </row>
    <row r="45" spans="1:18" x14ac:dyDescent="0.25">
      <c r="A45" s="4">
        <v>101621602600</v>
      </c>
      <c r="B45" s="4" t="str">
        <f t="shared" si="0"/>
        <v>101621602600OVR</v>
      </c>
      <c r="C45" t="s">
        <v>364</v>
      </c>
      <c r="D45" t="s">
        <v>200</v>
      </c>
      <c r="E45">
        <v>20411454</v>
      </c>
      <c r="F45" t="s">
        <v>973</v>
      </c>
      <c r="G45" t="s">
        <v>49</v>
      </c>
      <c r="H45" t="s">
        <v>237</v>
      </c>
      <c r="I45" s="1">
        <v>46023</v>
      </c>
      <c r="J45" t="s">
        <v>51</v>
      </c>
      <c r="K45" t="s">
        <v>52</v>
      </c>
      <c r="L45" s="2">
        <v>0</v>
      </c>
      <c r="M45" s="2">
        <v>25</v>
      </c>
      <c r="N45">
        <v>1</v>
      </c>
      <c r="O45" s="3">
        <v>1</v>
      </c>
      <c r="P45" s="2">
        <v>25</v>
      </c>
      <c r="R45" t="s">
        <v>968</v>
      </c>
    </row>
    <row r="46" spans="1:18" x14ac:dyDescent="0.25">
      <c r="A46" s="4">
        <v>101621835400</v>
      </c>
      <c r="B46" s="4" t="str">
        <f t="shared" si="0"/>
        <v>101621835400OVR</v>
      </c>
      <c r="C46" t="s">
        <v>366</v>
      </c>
      <c r="D46" t="s">
        <v>200</v>
      </c>
      <c r="E46">
        <v>20411454</v>
      </c>
      <c r="F46" t="s">
        <v>973</v>
      </c>
      <c r="G46" t="s">
        <v>49</v>
      </c>
      <c r="H46" t="s">
        <v>237</v>
      </c>
      <c r="I46" s="1">
        <v>46023</v>
      </c>
      <c r="J46" t="s">
        <v>51</v>
      </c>
      <c r="K46" t="s">
        <v>52</v>
      </c>
      <c r="L46" s="2">
        <v>0</v>
      </c>
      <c r="M46" s="2">
        <v>25</v>
      </c>
      <c r="N46">
        <v>1</v>
      </c>
      <c r="O46" s="3">
        <v>1</v>
      </c>
      <c r="P46" s="2">
        <v>25</v>
      </c>
      <c r="R46" t="s">
        <v>968</v>
      </c>
    </row>
    <row r="47" spans="1:18" x14ac:dyDescent="0.25">
      <c r="A47" s="4">
        <v>101625918100</v>
      </c>
      <c r="B47" s="4" t="str">
        <f t="shared" si="0"/>
        <v>101625918100OVR</v>
      </c>
      <c r="C47" t="s">
        <v>368</v>
      </c>
      <c r="D47" t="s">
        <v>369</v>
      </c>
      <c r="E47">
        <v>20411454</v>
      </c>
      <c r="F47" t="s">
        <v>973</v>
      </c>
      <c r="G47" t="s">
        <v>49</v>
      </c>
      <c r="H47" t="s">
        <v>237</v>
      </c>
      <c r="I47" s="1">
        <v>46023</v>
      </c>
      <c r="J47" t="s">
        <v>51</v>
      </c>
      <c r="K47" t="s">
        <v>52</v>
      </c>
      <c r="L47" s="2">
        <v>0</v>
      </c>
      <c r="M47" s="2">
        <v>25</v>
      </c>
      <c r="N47">
        <v>1</v>
      </c>
      <c r="O47" s="3">
        <v>1</v>
      </c>
      <c r="P47" s="2">
        <v>25</v>
      </c>
      <c r="R47" t="s">
        <v>968</v>
      </c>
    </row>
    <row r="48" spans="1:18" x14ac:dyDescent="0.25">
      <c r="A48" s="4">
        <v>101626215300</v>
      </c>
      <c r="B48" s="4" t="str">
        <f t="shared" si="0"/>
        <v>101626215300OVR</v>
      </c>
      <c r="C48" t="s">
        <v>373</v>
      </c>
      <c r="D48" t="s">
        <v>369</v>
      </c>
      <c r="E48">
        <v>20411454</v>
      </c>
      <c r="F48" t="s">
        <v>973</v>
      </c>
      <c r="G48" t="s">
        <v>49</v>
      </c>
      <c r="H48" t="s">
        <v>237</v>
      </c>
      <c r="I48" s="1">
        <v>46023</v>
      </c>
      <c r="J48" t="s">
        <v>51</v>
      </c>
      <c r="K48" t="s">
        <v>52</v>
      </c>
      <c r="L48" s="2">
        <v>0</v>
      </c>
      <c r="M48" s="2">
        <v>25</v>
      </c>
      <c r="N48">
        <v>1</v>
      </c>
      <c r="O48" s="3">
        <v>1</v>
      </c>
      <c r="P48" s="2">
        <v>25</v>
      </c>
      <c r="R48" t="s">
        <v>968</v>
      </c>
    </row>
    <row r="49" spans="1:18" x14ac:dyDescent="0.25">
      <c r="A49" s="4">
        <v>101666004700</v>
      </c>
      <c r="B49" s="4" t="str">
        <f t="shared" si="0"/>
        <v>101666004700OVR</v>
      </c>
      <c r="C49" t="s">
        <v>375</v>
      </c>
      <c r="D49" t="s">
        <v>376</v>
      </c>
      <c r="E49">
        <v>20411454</v>
      </c>
      <c r="F49" t="s">
        <v>973</v>
      </c>
      <c r="G49" t="s">
        <v>49</v>
      </c>
      <c r="H49" t="s">
        <v>237</v>
      </c>
      <c r="I49" s="1">
        <v>46023</v>
      </c>
      <c r="J49" t="s">
        <v>51</v>
      </c>
      <c r="K49" t="s">
        <v>52</v>
      </c>
      <c r="L49" s="2">
        <v>0</v>
      </c>
      <c r="M49" s="2">
        <v>25</v>
      </c>
      <c r="N49">
        <v>1</v>
      </c>
      <c r="O49" s="3">
        <v>1</v>
      </c>
      <c r="P49" s="2">
        <v>25</v>
      </c>
      <c r="R49" t="s">
        <v>968</v>
      </c>
    </row>
    <row r="50" spans="1:18" x14ac:dyDescent="0.25">
      <c r="A50" s="4">
        <v>101666911900</v>
      </c>
      <c r="B50" s="4" t="str">
        <f t="shared" si="0"/>
        <v>101666911900OVR</v>
      </c>
      <c r="C50" t="s">
        <v>378</v>
      </c>
      <c r="D50" t="s">
        <v>200</v>
      </c>
      <c r="E50">
        <v>20411454</v>
      </c>
      <c r="F50" t="s">
        <v>973</v>
      </c>
      <c r="G50" t="s">
        <v>49</v>
      </c>
      <c r="H50" t="s">
        <v>237</v>
      </c>
      <c r="I50" s="1">
        <v>46023</v>
      </c>
      <c r="J50" t="s">
        <v>51</v>
      </c>
      <c r="K50" t="s">
        <v>52</v>
      </c>
      <c r="L50" s="2">
        <v>0</v>
      </c>
      <c r="M50" s="2">
        <v>25</v>
      </c>
      <c r="N50">
        <v>1</v>
      </c>
      <c r="O50" s="3">
        <v>1</v>
      </c>
      <c r="P50" s="2">
        <v>25</v>
      </c>
      <c r="R50" t="s">
        <v>968</v>
      </c>
    </row>
    <row r="51" spans="1:18" x14ac:dyDescent="0.25">
      <c r="A51" s="4">
        <v>101677580300</v>
      </c>
      <c r="B51" s="4" t="str">
        <f t="shared" si="0"/>
        <v>101677580300OVR</v>
      </c>
      <c r="C51" t="s">
        <v>380</v>
      </c>
      <c r="D51" t="s">
        <v>145</v>
      </c>
      <c r="E51">
        <v>20411454</v>
      </c>
      <c r="F51" t="s">
        <v>973</v>
      </c>
      <c r="G51" t="s">
        <v>49</v>
      </c>
      <c r="H51" t="s">
        <v>237</v>
      </c>
      <c r="I51" s="1">
        <v>46023</v>
      </c>
      <c r="J51" t="s">
        <v>51</v>
      </c>
      <c r="K51" t="s">
        <v>52</v>
      </c>
      <c r="L51" s="2">
        <v>0</v>
      </c>
      <c r="M51" s="2">
        <v>25</v>
      </c>
      <c r="N51">
        <v>1</v>
      </c>
      <c r="O51" s="3">
        <v>1</v>
      </c>
      <c r="P51" s="2">
        <v>25</v>
      </c>
      <c r="R51" t="s">
        <v>968</v>
      </c>
    </row>
    <row r="52" spans="1:18" x14ac:dyDescent="0.25">
      <c r="A52" s="4">
        <v>101692079100</v>
      </c>
      <c r="B52" s="4" t="str">
        <f t="shared" si="0"/>
        <v>101692079100OVR</v>
      </c>
      <c r="C52" t="s">
        <v>382</v>
      </c>
      <c r="D52" t="s">
        <v>59</v>
      </c>
      <c r="E52">
        <v>20411454</v>
      </c>
      <c r="F52" t="s">
        <v>973</v>
      </c>
      <c r="G52" t="s">
        <v>49</v>
      </c>
      <c r="H52" t="s">
        <v>237</v>
      </c>
      <c r="I52" s="1">
        <v>46023</v>
      </c>
      <c r="J52" t="s">
        <v>51</v>
      </c>
      <c r="K52" t="s">
        <v>52</v>
      </c>
      <c r="L52" s="2">
        <v>0</v>
      </c>
      <c r="M52" s="2">
        <v>25</v>
      </c>
      <c r="N52">
        <v>1</v>
      </c>
      <c r="O52" s="3">
        <v>1</v>
      </c>
      <c r="P52" s="2">
        <v>25</v>
      </c>
      <c r="R52" t="s">
        <v>968</v>
      </c>
    </row>
    <row r="53" spans="1:18" x14ac:dyDescent="0.25">
      <c r="A53" s="4">
        <v>101696886700</v>
      </c>
      <c r="B53" s="4" t="str">
        <f t="shared" si="0"/>
        <v>101696886700OVR</v>
      </c>
      <c r="C53" t="s">
        <v>384</v>
      </c>
      <c r="D53" t="s">
        <v>385</v>
      </c>
      <c r="E53">
        <v>20411454</v>
      </c>
      <c r="F53" t="s">
        <v>973</v>
      </c>
      <c r="G53" t="s">
        <v>49</v>
      </c>
      <c r="H53" t="s">
        <v>237</v>
      </c>
      <c r="I53" s="1">
        <v>46023</v>
      </c>
      <c r="J53" t="s">
        <v>51</v>
      </c>
      <c r="K53" t="s">
        <v>52</v>
      </c>
      <c r="L53" s="2">
        <v>0</v>
      </c>
      <c r="M53" s="2">
        <v>25</v>
      </c>
      <c r="N53">
        <v>1</v>
      </c>
      <c r="O53" s="3">
        <v>1</v>
      </c>
      <c r="P53" s="2">
        <v>25</v>
      </c>
      <c r="R53" t="s">
        <v>968</v>
      </c>
    </row>
    <row r="54" spans="1:18" x14ac:dyDescent="0.25">
      <c r="A54" s="4">
        <v>101702854800</v>
      </c>
      <c r="B54" s="4" t="str">
        <f t="shared" si="0"/>
        <v>101702854800OVR</v>
      </c>
      <c r="C54" t="s">
        <v>389</v>
      </c>
      <c r="D54" t="s">
        <v>46</v>
      </c>
      <c r="E54">
        <v>20411454</v>
      </c>
      <c r="F54" t="s">
        <v>973</v>
      </c>
      <c r="G54" t="s">
        <v>49</v>
      </c>
      <c r="H54" t="s">
        <v>237</v>
      </c>
      <c r="I54" s="1">
        <v>46023</v>
      </c>
      <c r="J54" t="s">
        <v>51</v>
      </c>
      <c r="K54" t="s">
        <v>52</v>
      </c>
      <c r="L54" s="2">
        <v>0</v>
      </c>
      <c r="M54" s="2">
        <v>25</v>
      </c>
      <c r="N54">
        <v>1</v>
      </c>
      <c r="O54" s="3">
        <v>1</v>
      </c>
      <c r="P54" s="2">
        <v>25</v>
      </c>
      <c r="R54" t="s">
        <v>968</v>
      </c>
    </row>
    <row r="55" spans="1:18" x14ac:dyDescent="0.25">
      <c r="A55" s="4">
        <v>101716457100</v>
      </c>
      <c r="B55" s="4" t="str">
        <f t="shared" si="0"/>
        <v>101716457100OVR</v>
      </c>
      <c r="C55" t="s">
        <v>393</v>
      </c>
      <c r="D55" t="s">
        <v>59</v>
      </c>
      <c r="E55">
        <v>20411454</v>
      </c>
      <c r="F55" t="s">
        <v>973</v>
      </c>
      <c r="G55" t="s">
        <v>49</v>
      </c>
      <c r="H55" t="s">
        <v>237</v>
      </c>
      <c r="I55" s="1">
        <v>46023</v>
      </c>
      <c r="J55" t="s">
        <v>51</v>
      </c>
      <c r="K55" t="s">
        <v>52</v>
      </c>
      <c r="L55" s="2">
        <v>0</v>
      </c>
      <c r="M55" s="2">
        <v>25</v>
      </c>
      <c r="N55">
        <v>1</v>
      </c>
      <c r="O55" s="3">
        <v>1</v>
      </c>
      <c r="P55" s="2">
        <v>25</v>
      </c>
      <c r="R55" t="s">
        <v>968</v>
      </c>
    </row>
    <row r="56" spans="1:18" x14ac:dyDescent="0.25">
      <c r="A56" s="4">
        <v>101716467200</v>
      </c>
      <c r="B56" s="4" t="str">
        <f t="shared" si="0"/>
        <v>101716467200OVR</v>
      </c>
      <c r="C56" t="s">
        <v>397</v>
      </c>
      <c r="D56" t="s">
        <v>59</v>
      </c>
      <c r="E56">
        <v>20411454</v>
      </c>
      <c r="F56" t="s">
        <v>973</v>
      </c>
      <c r="G56" t="s">
        <v>49</v>
      </c>
      <c r="H56" t="s">
        <v>237</v>
      </c>
      <c r="I56" s="1">
        <v>46023</v>
      </c>
      <c r="J56" t="s">
        <v>51</v>
      </c>
      <c r="K56" t="s">
        <v>52</v>
      </c>
      <c r="L56" s="2">
        <v>0</v>
      </c>
      <c r="M56" s="2">
        <v>25</v>
      </c>
      <c r="N56">
        <v>1</v>
      </c>
      <c r="O56" s="3">
        <v>1</v>
      </c>
      <c r="P56" s="2">
        <v>25</v>
      </c>
      <c r="R56" t="s">
        <v>968</v>
      </c>
    </row>
    <row r="57" spans="1:18" x14ac:dyDescent="0.25">
      <c r="A57" s="4">
        <v>101766340200</v>
      </c>
      <c r="B57" s="4" t="str">
        <f t="shared" si="0"/>
        <v>101766340200OVR</v>
      </c>
      <c r="C57" t="s">
        <v>399</v>
      </c>
      <c r="D57" t="s">
        <v>200</v>
      </c>
      <c r="E57">
        <v>20411454</v>
      </c>
      <c r="F57" t="s">
        <v>973</v>
      </c>
      <c r="G57" t="s">
        <v>49</v>
      </c>
      <c r="H57" t="s">
        <v>237</v>
      </c>
      <c r="I57" s="1">
        <v>46023</v>
      </c>
      <c r="J57" t="s">
        <v>51</v>
      </c>
      <c r="K57" t="s">
        <v>52</v>
      </c>
      <c r="L57" s="2">
        <v>0</v>
      </c>
      <c r="M57" s="2">
        <v>25</v>
      </c>
      <c r="N57">
        <v>1</v>
      </c>
      <c r="O57" s="3">
        <v>1</v>
      </c>
      <c r="P57" s="2">
        <v>25</v>
      </c>
      <c r="R57" t="s">
        <v>968</v>
      </c>
    </row>
    <row r="58" spans="1:18" x14ac:dyDescent="0.25">
      <c r="A58" s="4">
        <v>101786082500</v>
      </c>
      <c r="B58" s="4" t="str">
        <f t="shared" si="0"/>
        <v>101786082500OVR</v>
      </c>
      <c r="C58" t="s">
        <v>401</v>
      </c>
      <c r="D58" t="s">
        <v>200</v>
      </c>
      <c r="E58">
        <v>20411454</v>
      </c>
      <c r="F58" t="s">
        <v>973</v>
      </c>
      <c r="G58" t="s">
        <v>49</v>
      </c>
      <c r="H58" t="s">
        <v>237</v>
      </c>
      <c r="I58" s="1">
        <v>46023</v>
      </c>
      <c r="J58" t="s">
        <v>51</v>
      </c>
      <c r="K58" t="s">
        <v>52</v>
      </c>
      <c r="L58" s="2">
        <v>0</v>
      </c>
      <c r="M58" s="2">
        <v>25</v>
      </c>
      <c r="N58">
        <v>1</v>
      </c>
      <c r="O58" s="3">
        <v>1</v>
      </c>
      <c r="P58" s="2">
        <v>25</v>
      </c>
      <c r="R58" t="s">
        <v>968</v>
      </c>
    </row>
    <row r="59" spans="1:18" x14ac:dyDescent="0.25">
      <c r="A59" s="4">
        <v>101790141800</v>
      </c>
      <c r="B59" s="4" t="str">
        <f t="shared" si="0"/>
        <v>101790141800OVR</v>
      </c>
      <c r="C59" t="s">
        <v>403</v>
      </c>
      <c r="D59" t="s">
        <v>59</v>
      </c>
      <c r="E59">
        <v>20411454</v>
      </c>
      <c r="F59" t="s">
        <v>973</v>
      </c>
      <c r="G59" t="s">
        <v>49</v>
      </c>
      <c r="H59" t="s">
        <v>237</v>
      </c>
      <c r="I59" s="1">
        <v>46023</v>
      </c>
      <c r="J59" t="s">
        <v>51</v>
      </c>
      <c r="K59" t="s">
        <v>52</v>
      </c>
      <c r="L59" s="2">
        <v>0</v>
      </c>
      <c r="M59" s="2">
        <v>25</v>
      </c>
      <c r="N59">
        <v>1</v>
      </c>
      <c r="O59" s="3">
        <v>1</v>
      </c>
      <c r="P59" s="2">
        <v>25</v>
      </c>
      <c r="R59" t="s">
        <v>968</v>
      </c>
    </row>
    <row r="60" spans="1:18" x14ac:dyDescent="0.25">
      <c r="A60" s="4">
        <v>101794101100</v>
      </c>
      <c r="B60" s="4" t="str">
        <f t="shared" si="0"/>
        <v>101794101100OVR</v>
      </c>
      <c r="C60" t="s">
        <v>405</v>
      </c>
      <c r="D60" t="s">
        <v>59</v>
      </c>
      <c r="E60">
        <v>20411454</v>
      </c>
      <c r="F60" t="s">
        <v>973</v>
      </c>
      <c r="G60" t="s">
        <v>49</v>
      </c>
      <c r="H60" t="s">
        <v>237</v>
      </c>
      <c r="I60" s="1">
        <v>46023</v>
      </c>
      <c r="J60" t="s">
        <v>51</v>
      </c>
      <c r="K60" t="s">
        <v>52</v>
      </c>
      <c r="L60" s="2">
        <v>0</v>
      </c>
      <c r="M60" s="2">
        <v>25</v>
      </c>
      <c r="N60">
        <v>1</v>
      </c>
      <c r="O60" s="3">
        <v>1</v>
      </c>
      <c r="P60" s="2">
        <v>25</v>
      </c>
      <c r="R60" t="s">
        <v>968</v>
      </c>
    </row>
    <row r="61" spans="1:18" x14ac:dyDescent="0.25">
      <c r="A61" s="4">
        <v>101809175900</v>
      </c>
      <c r="B61" s="4" t="str">
        <f t="shared" si="0"/>
        <v>101809175900OVR</v>
      </c>
      <c r="C61" t="s">
        <v>407</v>
      </c>
      <c r="D61" t="s">
        <v>59</v>
      </c>
      <c r="E61">
        <v>20411454</v>
      </c>
      <c r="F61" t="s">
        <v>973</v>
      </c>
      <c r="G61" t="s">
        <v>49</v>
      </c>
      <c r="H61" t="s">
        <v>237</v>
      </c>
      <c r="I61" s="1">
        <v>46023</v>
      </c>
      <c r="J61" t="s">
        <v>51</v>
      </c>
      <c r="K61" t="s">
        <v>52</v>
      </c>
      <c r="L61" s="2">
        <v>0</v>
      </c>
      <c r="M61" s="2">
        <v>25</v>
      </c>
      <c r="N61">
        <v>1</v>
      </c>
      <c r="O61" s="3">
        <v>1</v>
      </c>
      <c r="P61" s="2">
        <v>25</v>
      </c>
      <c r="R61" t="s">
        <v>968</v>
      </c>
    </row>
    <row r="62" spans="1:18" x14ac:dyDescent="0.25">
      <c r="A62" s="4">
        <v>101815051300</v>
      </c>
      <c r="B62" s="4" t="str">
        <f t="shared" si="0"/>
        <v>101815051300OVR</v>
      </c>
      <c r="C62" t="s">
        <v>409</v>
      </c>
      <c r="D62" t="s">
        <v>200</v>
      </c>
      <c r="E62">
        <v>20411454</v>
      </c>
      <c r="F62" t="s">
        <v>973</v>
      </c>
      <c r="G62" t="s">
        <v>49</v>
      </c>
      <c r="H62" t="s">
        <v>237</v>
      </c>
      <c r="I62" s="1">
        <v>46023</v>
      </c>
      <c r="J62" t="s">
        <v>51</v>
      </c>
      <c r="K62" t="s">
        <v>52</v>
      </c>
      <c r="L62" s="2">
        <v>0</v>
      </c>
      <c r="M62" s="2">
        <v>25</v>
      </c>
      <c r="N62">
        <v>1</v>
      </c>
      <c r="O62" s="3">
        <v>1</v>
      </c>
      <c r="P62" s="2">
        <v>25</v>
      </c>
      <c r="R62" t="s">
        <v>968</v>
      </c>
    </row>
    <row r="63" spans="1:18" x14ac:dyDescent="0.25">
      <c r="A63" s="4">
        <v>101846277000</v>
      </c>
      <c r="B63" s="4" t="str">
        <f t="shared" si="0"/>
        <v>101846277000OVR</v>
      </c>
      <c r="C63" t="s">
        <v>411</v>
      </c>
      <c r="D63" t="s">
        <v>59</v>
      </c>
      <c r="E63">
        <v>20411454</v>
      </c>
      <c r="F63" t="s">
        <v>973</v>
      </c>
      <c r="G63" t="s">
        <v>49</v>
      </c>
      <c r="H63" t="s">
        <v>237</v>
      </c>
      <c r="I63" s="1">
        <v>46023</v>
      </c>
      <c r="J63" t="s">
        <v>51</v>
      </c>
      <c r="K63" t="s">
        <v>52</v>
      </c>
      <c r="L63" s="2">
        <v>0</v>
      </c>
      <c r="M63" s="2">
        <v>25</v>
      </c>
      <c r="N63">
        <v>1</v>
      </c>
      <c r="O63" s="3">
        <v>1</v>
      </c>
      <c r="P63" s="2">
        <v>25</v>
      </c>
      <c r="R63" t="s">
        <v>968</v>
      </c>
    </row>
    <row r="64" spans="1:18" x14ac:dyDescent="0.25">
      <c r="A64" s="4">
        <v>101867621000</v>
      </c>
      <c r="B64" s="4" t="str">
        <f t="shared" si="0"/>
        <v>101867621000OVR</v>
      </c>
      <c r="C64" t="s">
        <v>415</v>
      </c>
      <c r="D64" t="s">
        <v>369</v>
      </c>
      <c r="E64">
        <v>20411454</v>
      </c>
      <c r="F64" t="s">
        <v>973</v>
      </c>
      <c r="G64" t="s">
        <v>49</v>
      </c>
      <c r="H64" t="s">
        <v>237</v>
      </c>
      <c r="I64" s="1">
        <v>46023</v>
      </c>
      <c r="J64" t="s">
        <v>51</v>
      </c>
      <c r="K64" t="s">
        <v>52</v>
      </c>
      <c r="L64" s="2">
        <v>0</v>
      </c>
      <c r="M64" s="2">
        <v>25</v>
      </c>
      <c r="N64">
        <v>1</v>
      </c>
      <c r="O64" s="3">
        <v>1</v>
      </c>
      <c r="P64" s="2">
        <v>25</v>
      </c>
      <c r="R64" t="s">
        <v>968</v>
      </c>
    </row>
    <row r="65" spans="1:18" x14ac:dyDescent="0.25">
      <c r="A65" s="4">
        <v>101868591200</v>
      </c>
      <c r="B65" s="4" t="str">
        <f t="shared" si="0"/>
        <v>101868591200OVR</v>
      </c>
      <c r="C65" t="s">
        <v>417</v>
      </c>
      <c r="D65" t="s">
        <v>200</v>
      </c>
      <c r="E65">
        <v>20411454</v>
      </c>
      <c r="F65" t="s">
        <v>973</v>
      </c>
      <c r="G65" t="s">
        <v>49</v>
      </c>
      <c r="H65" t="s">
        <v>237</v>
      </c>
      <c r="I65" s="1">
        <v>46023</v>
      </c>
      <c r="J65" t="s">
        <v>51</v>
      </c>
      <c r="K65" t="s">
        <v>52</v>
      </c>
      <c r="L65" s="2">
        <v>0</v>
      </c>
      <c r="M65" s="2">
        <v>25</v>
      </c>
      <c r="N65">
        <v>1</v>
      </c>
      <c r="O65" s="3">
        <v>1</v>
      </c>
      <c r="P65" s="2">
        <v>25</v>
      </c>
      <c r="R65" t="s">
        <v>968</v>
      </c>
    </row>
    <row r="66" spans="1:18" x14ac:dyDescent="0.25">
      <c r="A66" s="4">
        <v>101868598000</v>
      </c>
      <c r="B66" s="4" t="str">
        <f t="shared" si="0"/>
        <v>101868598000OVR</v>
      </c>
      <c r="C66" t="s">
        <v>419</v>
      </c>
      <c r="D66" t="s">
        <v>200</v>
      </c>
      <c r="E66">
        <v>20411454</v>
      </c>
      <c r="F66" t="s">
        <v>973</v>
      </c>
      <c r="G66" t="s">
        <v>49</v>
      </c>
      <c r="H66" t="s">
        <v>237</v>
      </c>
      <c r="I66" s="1">
        <v>46023</v>
      </c>
      <c r="J66" t="s">
        <v>51</v>
      </c>
      <c r="K66" t="s">
        <v>52</v>
      </c>
      <c r="L66" s="2">
        <v>0</v>
      </c>
      <c r="M66" s="2">
        <v>25</v>
      </c>
      <c r="N66">
        <v>1</v>
      </c>
      <c r="O66" s="3">
        <v>1</v>
      </c>
      <c r="P66" s="2">
        <v>25</v>
      </c>
      <c r="R66" t="s">
        <v>968</v>
      </c>
    </row>
    <row r="67" spans="1:18" x14ac:dyDescent="0.25">
      <c r="A67" s="4">
        <v>101874275000</v>
      </c>
      <c r="B67" s="4" t="str">
        <f t="shared" ref="B67:B130" si="1">CONCATENATE(A67,"OVR")</f>
        <v>101874275000OVR</v>
      </c>
      <c r="C67" t="s">
        <v>421</v>
      </c>
      <c r="D67" t="s">
        <v>422</v>
      </c>
      <c r="E67">
        <v>20411454</v>
      </c>
      <c r="F67" t="s">
        <v>973</v>
      </c>
      <c r="G67" t="s">
        <v>49</v>
      </c>
      <c r="H67" t="s">
        <v>237</v>
      </c>
      <c r="I67" s="1">
        <v>46023</v>
      </c>
      <c r="J67" t="s">
        <v>51</v>
      </c>
      <c r="K67" t="s">
        <v>52</v>
      </c>
      <c r="L67" s="2">
        <v>0</v>
      </c>
      <c r="M67" s="2">
        <v>25</v>
      </c>
      <c r="N67">
        <v>1</v>
      </c>
      <c r="O67" s="3">
        <v>1</v>
      </c>
      <c r="P67" s="2">
        <v>25</v>
      </c>
      <c r="R67" t="s">
        <v>968</v>
      </c>
    </row>
    <row r="68" spans="1:18" x14ac:dyDescent="0.25">
      <c r="A68" s="4">
        <v>101878578700</v>
      </c>
      <c r="B68" s="4" t="str">
        <f t="shared" si="1"/>
        <v>101878578700OVR</v>
      </c>
      <c r="C68" t="s">
        <v>426</v>
      </c>
      <c r="D68" t="s">
        <v>376</v>
      </c>
      <c r="E68">
        <v>20411454</v>
      </c>
      <c r="F68" t="s">
        <v>973</v>
      </c>
      <c r="G68" t="s">
        <v>49</v>
      </c>
      <c r="H68" t="s">
        <v>237</v>
      </c>
      <c r="I68" s="1">
        <v>46023</v>
      </c>
      <c r="J68" t="s">
        <v>51</v>
      </c>
      <c r="K68" t="s">
        <v>52</v>
      </c>
      <c r="L68" s="2">
        <v>0</v>
      </c>
      <c r="M68" s="2">
        <v>25</v>
      </c>
      <c r="N68">
        <v>1</v>
      </c>
      <c r="O68" s="3">
        <v>1</v>
      </c>
      <c r="P68" s="2">
        <v>25</v>
      </c>
      <c r="R68" t="s">
        <v>968</v>
      </c>
    </row>
    <row r="69" spans="1:18" x14ac:dyDescent="0.25">
      <c r="A69" s="4">
        <v>101890972100</v>
      </c>
      <c r="B69" s="4" t="str">
        <f t="shared" si="1"/>
        <v>101890972100OVR</v>
      </c>
      <c r="C69" t="s">
        <v>428</v>
      </c>
      <c r="D69" t="s">
        <v>200</v>
      </c>
      <c r="E69">
        <v>20411454</v>
      </c>
      <c r="F69" t="s">
        <v>973</v>
      </c>
      <c r="G69" t="s">
        <v>49</v>
      </c>
      <c r="H69" t="s">
        <v>237</v>
      </c>
      <c r="I69" s="1">
        <v>46023</v>
      </c>
      <c r="J69" t="s">
        <v>51</v>
      </c>
      <c r="K69" t="s">
        <v>52</v>
      </c>
      <c r="L69" s="2">
        <v>0</v>
      </c>
      <c r="M69" s="2">
        <v>25</v>
      </c>
      <c r="N69">
        <v>1</v>
      </c>
      <c r="O69" s="3">
        <v>1</v>
      </c>
      <c r="P69" s="2">
        <v>25</v>
      </c>
      <c r="R69" t="s">
        <v>968</v>
      </c>
    </row>
    <row r="70" spans="1:18" x14ac:dyDescent="0.25">
      <c r="A70" s="4">
        <v>101905914200</v>
      </c>
      <c r="B70" s="4" t="str">
        <f t="shared" si="1"/>
        <v>101905914200OVR</v>
      </c>
      <c r="C70" t="s">
        <v>430</v>
      </c>
      <c r="D70" t="s">
        <v>59</v>
      </c>
      <c r="E70">
        <v>20411454</v>
      </c>
      <c r="F70" t="s">
        <v>973</v>
      </c>
      <c r="G70" t="s">
        <v>49</v>
      </c>
      <c r="H70" t="s">
        <v>237</v>
      </c>
      <c r="I70" s="1">
        <v>46023</v>
      </c>
      <c r="J70" t="s">
        <v>51</v>
      </c>
      <c r="K70" t="s">
        <v>52</v>
      </c>
      <c r="L70" s="2">
        <v>0</v>
      </c>
      <c r="M70" s="2">
        <v>25</v>
      </c>
      <c r="N70">
        <v>1</v>
      </c>
      <c r="O70" s="3">
        <v>1</v>
      </c>
      <c r="P70" s="2">
        <v>25</v>
      </c>
      <c r="R70" t="s">
        <v>968</v>
      </c>
    </row>
    <row r="71" spans="1:18" x14ac:dyDescent="0.25">
      <c r="A71" s="4">
        <v>101908015900</v>
      </c>
      <c r="B71" s="4" t="str">
        <f t="shared" si="1"/>
        <v>101908015900OVR</v>
      </c>
      <c r="C71" t="s">
        <v>432</v>
      </c>
      <c r="D71" t="s">
        <v>200</v>
      </c>
      <c r="E71">
        <v>20411454</v>
      </c>
      <c r="F71" t="s">
        <v>973</v>
      </c>
      <c r="G71" t="s">
        <v>49</v>
      </c>
      <c r="H71" t="s">
        <v>237</v>
      </c>
      <c r="I71" s="1">
        <v>46023</v>
      </c>
      <c r="J71" t="s">
        <v>51</v>
      </c>
      <c r="K71" t="s">
        <v>52</v>
      </c>
      <c r="L71" s="2">
        <v>0</v>
      </c>
      <c r="M71" s="2">
        <v>25</v>
      </c>
      <c r="N71">
        <v>1</v>
      </c>
      <c r="O71" s="3">
        <v>1</v>
      </c>
      <c r="P71" s="2">
        <v>25</v>
      </c>
      <c r="R71" t="s">
        <v>968</v>
      </c>
    </row>
    <row r="72" spans="1:18" x14ac:dyDescent="0.25">
      <c r="A72" s="4">
        <v>101914136600</v>
      </c>
      <c r="B72" s="4" t="str">
        <f t="shared" si="1"/>
        <v>101914136600OVR</v>
      </c>
      <c r="C72" t="s">
        <v>434</v>
      </c>
      <c r="D72" t="s">
        <v>59</v>
      </c>
      <c r="E72">
        <v>20411454</v>
      </c>
      <c r="F72" t="s">
        <v>973</v>
      </c>
      <c r="G72" t="s">
        <v>49</v>
      </c>
      <c r="H72" t="s">
        <v>237</v>
      </c>
      <c r="I72" s="1">
        <v>46023</v>
      </c>
      <c r="J72" t="s">
        <v>51</v>
      </c>
      <c r="K72" t="s">
        <v>52</v>
      </c>
      <c r="L72" s="2">
        <v>0</v>
      </c>
      <c r="M72" s="2">
        <v>25</v>
      </c>
      <c r="N72">
        <v>1</v>
      </c>
      <c r="O72" s="3">
        <v>1</v>
      </c>
      <c r="P72" s="2">
        <v>25</v>
      </c>
      <c r="R72" t="s">
        <v>968</v>
      </c>
    </row>
    <row r="73" spans="1:18" x14ac:dyDescent="0.25">
      <c r="A73" s="4">
        <v>101921208000</v>
      </c>
      <c r="B73" s="4" t="str">
        <f t="shared" si="1"/>
        <v>101921208000OVR</v>
      </c>
      <c r="C73" t="s">
        <v>436</v>
      </c>
      <c r="D73" t="s">
        <v>59</v>
      </c>
      <c r="E73">
        <v>20411454</v>
      </c>
      <c r="F73" t="s">
        <v>973</v>
      </c>
      <c r="G73" t="s">
        <v>49</v>
      </c>
      <c r="H73" t="s">
        <v>237</v>
      </c>
      <c r="I73" s="1">
        <v>46023</v>
      </c>
      <c r="J73" t="s">
        <v>51</v>
      </c>
      <c r="K73" t="s">
        <v>52</v>
      </c>
      <c r="L73" s="2">
        <v>0</v>
      </c>
      <c r="M73" s="2">
        <v>25</v>
      </c>
      <c r="N73">
        <v>1</v>
      </c>
      <c r="O73" s="3">
        <v>1</v>
      </c>
      <c r="P73" s="2">
        <v>25</v>
      </c>
      <c r="R73" t="s">
        <v>968</v>
      </c>
    </row>
    <row r="74" spans="1:18" x14ac:dyDescent="0.25">
      <c r="A74" s="4">
        <v>101930269300</v>
      </c>
      <c r="B74" s="4" t="str">
        <f t="shared" si="1"/>
        <v>101930269300OVR</v>
      </c>
      <c r="C74" t="s">
        <v>442</v>
      </c>
      <c r="D74" t="s">
        <v>59</v>
      </c>
      <c r="E74">
        <v>20411454</v>
      </c>
      <c r="F74" t="s">
        <v>973</v>
      </c>
      <c r="G74" t="s">
        <v>49</v>
      </c>
      <c r="H74" t="s">
        <v>237</v>
      </c>
      <c r="I74" s="1">
        <v>46023</v>
      </c>
      <c r="J74" t="s">
        <v>51</v>
      </c>
      <c r="K74" t="s">
        <v>52</v>
      </c>
      <c r="L74" s="2">
        <v>0</v>
      </c>
      <c r="M74" s="2">
        <v>25</v>
      </c>
      <c r="N74">
        <v>1</v>
      </c>
      <c r="O74" s="3">
        <v>1</v>
      </c>
      <c r="P74" s="2">
        <v>25</v>
      </c>
      <c r="R74" t="s">
        <v>968</v>
      </c>
    </row>
    <row r="75" spans="1:18" x14ac:dyDescent="0.25">
      <c r="A75" s="4">
        <v>101942398200</v>
      </c>
      <c r="B75" s="4" t="str">
        <f t="shared" si="1"/>
        <v>101942398200OVR</v>
      </c>
      <c r="C75" t="s">
        <v>444</v>
      </c>
      <c r="D75" t="s">
        <v>360</v>
      </c>
      <c r="E75">
        <v>20411454</v>
      </c>
      <c r="F75" t="s">
        <v>973</v>
      </c>
      <c r="G75" t="s">
        <v>49</v>
      </c>
      <c r="H75" t="s">
        <v>237</v>
      </c>
      <c r="I75" s="1">
        <v>46023</v>
      </c>
      <c r="J75" t="s">
        <v>51</v>
      </c>
      <c r="K75" t="s">
        <v>52</v>
      </c>
      <c r="L75" s="2">
        <v>0</v>
      </c>
      <c r="M75" s="2">
        <v>25</v>
      </c>
      <c r="N75">
        <v>1</v>
      </c>
      <c r="O75" s="3">
        <v>1</v>
      </c>
      <c r="P75" s="2">
        <v>25</v>
      </c>
      <c r="R75" t="s">
        <v>968</v>
      </c>
    </row>
    <row r="76" spans="1:18" x14ac:dyDescent="0.25">
      <c r="A76" s="4">
        <v>101946055400</v>
      </c>
      <c r="B76" s="4" t="str">
        <f t="shared" si="1"/>
        <v>101946055400OVR</v>
      </c>
      <c r="C76" t="s">
        <v>446</v>
      </c>
      <c r="D76" t="s">
        <v>200</v>
      </c>
      <c r="E76">
        <v>20411454</v>
      </c>
      <c r="F76" t="s">
        <v>973</v>
      </c>
      <c r="G76" t="s">
        <v>49</v>
      </c>
      <c r="H76" t="s">
        <v>237</v>
      </c>
      <c r="I76" s="1">
        <v>46023</v>
      </c>
      <c r="J76" t="s">
        <v>51</v>
      </c>
      <c r="K76" t="s">
        <v>52</v>
      </c>
      <c r="L76" s="2">
        <v>0</v>
      </c>
      <c r="M76" s="2">
        <v>25</v>
      </c>
      <c r="N76">
        <v>1</v>
      </c>
      <c r="O76" s="3">
        <v>1</v>
      </c>
      <c r="P76" s="2">
        <v>25</v>
      </c>
      <c r="R76" t="s">
        <v>968</v>
      </c>
    </row>
    <row r="77" spans="1:18" x14ac:dyDescent="0.25">
      <c r="A77" s="4">
        <v>101952824700</v>
      </c>
      <c r="B77" s="4" t="str">
        <f t="shared" si="1"/>
        <v>101952824700OVR</v>
      </c>
      <c r="C77" t="s">
        <v>450</v>
      </c>
      <c r="D77" t="s">
        <v>200</v>
      </c>
      <c r="E77">
        <v>20411454</v>
      </c>
      <c r="F77" t="s">
        <v>973</v>
      </c>
      <c r="G77" t="s">
        <v>49</v>
      </c>
      <c r="H77" t="s">
        <v>237</v>
      </c>
      <c r="I77" s="1">
        <v>46023</v>
      </c>
      <c r="J77" t="s">
        <v>51</v>
      </c>
      <c r="K77" t="s">
        <v>52</v>
      </c>
      <c r="L77" s="2">
        <v>0</v>
      </c>
      <c r="M77" s="2">
        <v>25</v>
      </c>
      <c r="N77">
        <v>1</v>
      </c>
      <c r="O77" s="3">
        <v>1</v>
      </c>
      <c r="P77" s="2">
        <v>25</v>
      </c>
      <c r="R77" t="s">
        <v>968</v>
      </c>
    </row>
    <row r="78" spans="1:18" x14ac:dyDescent="0.25">
      <c r="A78" s="4">
        <v>101954684300</v>
      </c>
      <c r="B78" s="4" t="str">
        <f t="shared" si="1"/>
        <v>101954684300OVR</v>
      </c>
      <c r="C78" t="s">
        <v>452</v>
      </c>
      <c r="D78" t="s">
        <v>59</v>
      </c>
      <c r="E78">
        <v>20411454</v>
      </c>
      <c r="F78" t="s">
        <v>973</v>
      </c>
      <c r="G78" t="s">
        <v>49</v>
      </c>
      <c r="H78" t="s">
        <v>237</v>
      </c>
      <c r="I78" s="1">
        <v>46023</v>
      </c>
      <c r="J78" t="s">
        <v>51</v>
      </c>
      <c r="K78" t="s">
        <v>52</v>
      </c>
      <c r="L78" s="2">
        <v>0</v>
      </c>
      <c r="M78" s="2">
        <v>25</v>
      </c>
      <c r="N78">
        <v>1</v>
      </c>
      <c r="O78" s="3">
        <v>1</v>
      </c>
      <c r="P78" s="2">
        <v>25</v>
      </c>
      <c r="R78" t="s">
        <v>968</v>
      </c>
    </row>
    <row r="79" spans="1:18" x14ac:dyDescent="0.25">
      <c r="A79" s="4">
        <v>101958622800</v>
      </c>
      <c r="B79" s="4" t="str">
        <f t="shared" si="1"/>
        <v>101958622800OVR</v>
      </c>
      <c r="C79" t="s">
        <v>454</v>
      </c>
      <c r="D79" t="s">
        <v>200</v>
      </c>
      <c r="E79">
        <v>20411454</v>
      </c>
      <c r="F79" t="s">
        <v>973</v>
      </c>
      <c r="G79" t="s">
        <v>49</v>
      </c>
      <c r="H79" t="s">
        <v>237</v>
      </c>
      <c r="I79" s="1">
        <v>46023</v>
      </c>
      <c r="J79" t="s">
        <v>51</v>
      </c>
      <c r="K79" t="s">
        <v>52</v>
      </c>
      <c r="L79" s="2">
        <v>0</v>
      </c>
      <c r="M79" s="2">
        <v>25</v>
      </c>
      <c r="N79">
        <v>1</v>
      </c>
      <c r="O79" s="3">
        <v>1</v>
      </c>
      <c r="P79" s="2">
        <v>25</v>
      </c>
      <c r="R79" t="s">
        <v>968</v>
      </c>
    </row>
    <row r="80" spans="1:18" x14ac:dyDescent="0.25">
      <c r="A80" s="4">
        <v>101977920700</v>
      </c>
      <c r="B80" s="4" t="str">
        <f t="shared" si="1"/>
        <v>101977920700OVR</v>
      </c>
      <c r="C80" t="s">
        <v>456</v>
      </c>
      <c r="D80" t="s">
        <v>59</v>
      </c>
      <c r="E80">
        <v>20411454</v>
      </c>
      <c r="F80" t="s">
        <v>973</v>
      </c>
      <c r="G80" t="s">
        <v>49</v>
      </c>
      <c r="H80" t="s">
        <v>237</v>
      </c>
      <c r="I80" s="1">
        <v>46023</v>
      </c>
      <c r="J80" t="s">
        <v>51</v>
      </c>
      <c r="K80" t="s">
        <v>52</v>
      </c>
      <c r="L80" s="2">
        <v>0</v>
      </c>
      <c r="M80" s="2">
        <v>25</v>
      </c>
      <c r="N80">
        <v>1</v>
      </c>
      <c r="O80" s="3">
        <v>1</v>
      </c>
      <c r="P80" s="2">
        <v>25</v>
      </c>
      <c r="R80" t="s">
        <v>968</v>
      </c>
    </row>
    <row r="81" spans="1:18" x14ac:dyDescent="0.25">
      <c r="A81" s="4">
        <v>102008876900</v>
      </c>
      <c r="B81" s="4" t="str">
        <f t="shared" si="1"/>
        <v>102008876900OVR</v>
      </c>
      <c r="C81" t="s">
        <v>460</v>
      </c>
      <c r="D81" t="s">
        <v>200</v>
      </c>
      <c r="E81">
        <v>20411454</v>
      </c>
      <c r="F81" t="s">
        <v>973</v>
      </c>
      <c r="G81" t="s">
        <v>49</v>
      </c>
      <c r="H81" t="s">
        <v>237</v>
      </c>
      <c r="I81" s="1">
        <v>46023</v>
      </c>
      <c r="J81" t="s">
        <v>51</v>
      </c>
      <c r="K81" t="s">
        <v>52</v>
      </c>
      <c r="L81" s="2">
        <v>0</v>
      </c>
      <c r="M81" s="2">
        <v>25</v>
      </c>
      <c r="N81">
        <v>1</v>
      </c>
      <c r="O81" s="3">
        <v>1</v>
      </c>
      <c r="P81" s="2">
        <v>25</v>
      </c>
      <c r="R81" t="s">
        <v>968</v>
      </c>
    </row>
    <row r="82" spans="1:18" x14ac:dyDescent="0.25">
      <c r="A82" s="4" t="s">
        <v>943</v>
      </c>
      <c r="B82" s="4" t="str">
        <f t="shared" si="1"/>
        <v>102030760700AOVR</v>
      </c>
      <c r="C82" t="s">
        <v>464</v>
      </c>
      <c r="D82" t="s">
        <v>59</v>
      </c>
      <c r="E82">
        <v>20411454</v>
      </c>
      <c r="F82" t="s">
        <v>973</v>
      </c>
      <c r="G82" t="s">
        <v>101</v>
      </c>
      <c r="H82" t="s">
        <v>237</v>
      </c>
      <c r="I82" s="1">
        <v>46023</v>
      </c>
      <c r="J82" t="s">
        <v>51</v>
      </c>
      <c r="K82" t="s">
        <v>52</v>
      </c>
      <c r="L82" s="2">
        <v>0</v>
      </c>
      <c r="M82" s="2">
        <v>25</v>
      </c>
      <c r="N82">
        <v>1</v>
      </c>
      <c r="O82" s="3">
        <v>1</v>
      </c>
      <c r="P82" s="2">
        <v>25</v>
      </c>
      <c r="R82" t="s">
        <v>968</v>
      </c>
    </row>
    <row r="83" spans="1:18" x14ac:dyDescent="0.25">
      <c r="A83" s="4" t="s">
        <v>944</v>
      </c>
      <c r="B83" s="4" t="str">
        <f t="shared" si="1"/>
        <v>102030825500AOVR</v>
      </c>
      <c r="C83" t="s">
        <v>466</v>
      </c>
      <c r="D83" t="s">
        <v>59</v>
      </c>
      <c r="E83">
        <v>20411454</v>
      </c>
      <c r="F83" t="s">
        <v>973</v>
      </c>
      <c r="G83" t="s">
        <v>101</v>
      </c>
      <c r="H83" t="s">
        <v>237</v>
      </c>
      <c r="I83" s="1">
        <v>46023</v>
      </c>
      <c r="J83" t="s">
        <v>51</v>
      </c>
      <c r="K83" t="s">
        <v>52</v>
      </c>
      <c r="L83" s="2">
        <v>0</v>
      </c>
      <c r="M83" s="2">
        <v>25</v>
      </c>
      <c r="N83">
        <v>1</v>
      </c>
      <c r="O83" s="3">
        <v>1</v>
      </c>
      <c r="P83" s="2">
        <v>25</v>
      </c>
      <c r="R83" t="s">
        <v>968</v>
      </c>
    </row>
    <row r="84" spans="1:18" x14ac:dyDescent="0.25">
      <c r="A84" s="4">
        <v>102032573000</v>
      </c>
      <c r="B84" s="4" t="str">
        <f t="shared" si="1"/>
        <v>102032573000OVR</v>
      </c>
      <c r="C84" t="s">
        <v>468</v>
      </c>
      <c r="D84" t="s">
        <v>200</v>
      </c>
      <c r="E84">
        <v>20411454</v>
      </c>
      <c r="F84" t="s">
        <v>973</v>
      </c>
      <c r="G84" t="s">
        <v>49</v>
      </c>
      <c r="H84" t="s">
        <v>237</v>
      </c>
      <c r="I84" s="1">
        <v>46023</v>
      </c>
      <c r="J84" t="s">
        <v>51</v>
      </c>
      <c r="K84" t="s">
        <v>52</v>
      </c>
      <c r="L84" s="2">
        <v>0</v>
      </c>
      <c r="M84" s="2">
        <v>25</v>
      </c>
      <c r="N84">
        <v>1</v>
      </c>
      <c r="O84" s="3">
        <v>1</v>
      </c>
      <c r="P84" s="2">
        <v>25</v>
      </c>
      <c r="R84" t="s">
        <v>968</v>
      </c>
    </row>
    <row r="85" spans="1:18" x14ac:dyDescent="0.25">
      <c r="A85" s="4" t="s">
        <v>945</v>
      </c>
      <c r="B85" s="4" t="str">
        <f t="shared" si="1"/>
        <v>102059559800AOVR</v>
      </c>
      <c r="C85" t="s">
        <v>470</v>
      </c>
      <c r="D85" t="s">
        <v>200</v>
      </c>
      <c r="E85">
        <v>20411454</v>
      </c>
      <c r="F85" t="s">
        <v>973</v>
      </c>
      <c r="G85" t="s">
        <v>101</v>
      </c>
      <c r="H85" t="s">
        <v>237</v>
      </c>
      <c r="I85" s="1">
        <v>46023</v>
      </c>
      <c r="J85" t="s">
        <v>51</v>
      </c>
      <c r="K85" t="s">
        <v>52</v>
      </c>
      <c r="L85" s="2">
        <v>0</v>
      </c>
      <c r="M85" s="2">
        <v>25</v>
      </c>
      <c r="N85">
        <v>1</v>
      </c>
      <c r="O85" s="3">
        <v>1</v>
      </c>
      <c r="P85" s="2">
        <v>25</v>
      </c>
      <c r="R85" t="s">
        <v>968</v>
      </c>
    </row>
    <row r="86" spans="1:18" x14ac:dyDescent="0.25">
      <c r="A86" s="4">
        <v>102075310400</v>
      </c>
      <c r="B86" s="4" t="str">
        <f t="shared" si="1"/>
        <v>102075310400OVR</v>
      </c>
      <c r="C86" t="s">
        <v>474</v>
      </c>
      <c r="D86" t="s">
        <v>59</v>
      </c>
      <c r="E86">
        <v>20411454</v>
      </c>
      <c r="F86" t="s">
        <v>973</v>
      </c>
      <c r="G86" t="s">
        <v>49</v>
      </c>
      <c r="H86" t="s">
        <v>237</v>
      </c>
      <c r="I86" s="1">
        <v>46023</v>
      </c>
      <c r="J86" t="s">
        <v>51</v>
      </c>
      <c r="K86" t="s">
        <v>52</v>
      </c>
      <c r="L86" s="2">
        <v>0</v>
      </c>
      <c r="M86" s="2">
        <v>25</v>
      </c>
      <c r="N86">
        <v>1</v>
      </c>
      <c r="O86" s="3">
        <v>1</v>
      </c>
      <c r="P86" s="2">
        <v>25</v>
      </c>
      <c r="R86" t="s">
        <v>968</v>
      </c>
    </row>
    <row r="87" spans="1:18" x14ac:dyDescent="0.25">
      <c r="A87" s="4">
        <v>102075366200</v>
      </c>
      <c r="B87" s="4" t="str">
        <f t="shared" si="1"/>
        <v>102075366200OVR</v>
      </c>
      <c r="C87" t="s">
        <v>476</v>
      </c>
      <c r="D87" t="s">
        <v>59</v>
      </c>
      <c r="E87">
        <v>20411454</v>
      </c>
      <c r="F87" t="s">
        <v>973</v>
      </c>
      <c r="G87" t="s">
        <v>49</v>
      </c>
      <c r="H87" t="s">
        <v>237</v>
      </c>
      <c r="I87" s="1">
        <v>46023</v>
      </c>
      <c r="J87" t="s">
        <v>51</v>
      </c>
      <c r="K87" t="s">
        <v>52</v>
      </c>
      <c r="L87" s="2">
        <v>0</v>
      </c>
      <c r="M87" s="2">
        <v>25</v>
      </c>
      <c r="N87">
        <v>1</v>
      </c>
      <c r="O87" s="3">
        <v>1</v>
      </c>
      <c r="P87" s="2">
        <v>25</v>
      </c>
      <c r="R87" t="s">
        <v>968</v>
      </c>
    </row>
    <row r="88" spans="1:18" x14ac:dyDescent="0.25">
      <c r="A88" s="4">
        <v>102094840600</v>
      </c>
      <c r="B88" s="4" t="str">
        <f t="shared" si="1"/>
        <v>102094840600OVR</v>
      </c>
      <c r="C88" t="s">
        <v>480</v>
      </c>
      <c r="D88" t="s">
        <v>481</v>
      </c>
      <c r="E88">
        <v>20411454</v>
      </c>
      <c r="F88" t="s">
        <v>973</v>
      </c>
      <c r="G88" t="s">
        <v>49</v>
      </c>
      <c r="H88" t="s">
        <v>237</v>
      </c>
      <c r="I88" s="1">
        <v>46023</v>
      </c>
      <c r="J88" t="s">
        <v>51</v>
      </c>
      <c r="K88" t="s">
        <v>52</v>
      </c>
      <c r="L88" s="2">
        <v>0</v>
      </c>
      <c r="M88" s="2">
        <v>25</v>
      </c>
      <c r="N88">
        <v>1</v>
      </c>
      <c r="O88" s="3">
        <v>1</v>
      </c>
      <c r="P88" s="2">
        <v>25</v>
      </c>
      <c r="R88" t="s">
        <v>968</v>
      </c>
    </row>
    <row r="89" spans="1:18" x14ac:dyDescent="0.25">
      <c r="A89" s="4">
        <v>102103988700</v>
      </c>
      <c r="B89" s="4" t="str">
        <f t="shared" si="1"/>
        <v>102103988700OVR</v>
      </c>
      <c r="C89" t="s">
        <v>483</v>
      </c>
      <c r="D89" t="s">
        <v>484</v>
      </c>
      <c r="E89">
        <v>20411454</v>
      </c>
      <c r="F89" t="s">
        <v>973</v>
      </c>
      <c r="G89" t="s">
        <v>49</v>
      </c>
      <c r="H89" t="s">
        <v>237</v>
      </c>
      <c r="I89" s="1">
        <v>46023</v>
      </c>
      <c r="J89" t="s">
        <v>51</v>
      </c>
      <c r="K89" t="s">
        <v>52</v>
      </c>
      <c r="L89" s="2">
        <v>0</v>
      </c>
      <c r="M89" s="2">
        <v>25</v>
      </c>
      <c r="N89">
        <v>1</v>
      </c>
      <c r="O89" s="3">
        <v>1</v>
      </c>
      <c r="P89" s="2">
        <v>25</v>
      </c>
      <c r="R89" t="s">
        <v>968</v>
      </c>
    </row>
    <row r="90" spans="1:18" x14ac:dyDescent="0.25">
      <c r="A90" s="4">
        <v>102104068100</v>
      </c>
      <c r="B90" s="4" t="str">
        <f t="shared" si="1"/>
        <v>102104068100OVR</v>
      </c>
      <c r="C90" t="s">
        <v>486</v>
      </c>
      <c r="D90" t="s">
        <v>59</v>
      </c>
      <c r="E90">
        <v>20411454</v>
      </c>
      <c r="F90" t="s">
        <v>973</v>
      </c>
      <c r="G90" t="s">
        <v>49</v>
      </c>
      <c r="H90" t="s">
        <v>237</v>
      </c>
      <c r="I90" s="1">
        <v>46023</v>
      </c>
      <c r="J90" t="s">
        <v>51</v>
      </c>
      <c r="K90" t="s">
        <v>52</v>
      </c>
      <c r="L90" s="2">
        <v>0</v>
      </c>
      <c r="M90" s="2">
        <v>25</v>
      </c>
      <c r="N90">
        <v>1</v>
      </c>
      <c r="O90" s="3">
        <v>1</v>
      </c>
      <c r="P90" s="2">
        <v>25</v>
      </c>
      <c r="R90" t="s">
        <v>968</v>
      </c>
    </row>
    <row r="91" spans="1:18" x14ac:dyDescent="0.25">
      <c r="A91" s="4">
        <v>102104814500</v>
      </c>
      <c r="B91" s="4" t="str">
        <f t="shared" si="1"/>
        <v>102104814500OVR</v>
      </c>
      <c r="C91" t="s">
        <v>488</v>
      </c>
      <c r="D91" t="s">
        <v>59</v>
      </c>
      <c r="E91">
        <v>20411454</v>
      </c>
      <c r="F91" t="s">
        <v>973</v>
      </c>
      <c r="G91" t="s">
        <v>49</v>
      </c>
      <c r="H91" t="s">
        <v>237</v>
      </c>
      <c r="I91" s="1">
        <v>46023</v>
      </c>
      <c r="J91" t="s">
        <v>51</v>
      </c>
      <c r="K91" t="s">
        <v>52</v>
      </c>
      <c r="L91" s="2">
        <v>0</v>
      </c>
      <c r="M91" s="2">
        <v>25</v>
      </c>
      <c r="N91">
        <v>1</v>
      </c>
      <c r="O91" s="3">
        <v>1</v>
      </c>
      <c r="P91" s="2">
        <v>25</v>
      </c>
      <c r="R91" t="s">
        <v>968</v>
      </c>
    </row>
    <row r="92" spans="1:18" x14ac:dyDescent="0.25">
      <c r="A92" s="4">
        <v>102112256600</v>
      </c>
      <c r="B92" s="4" t="str">
        <f t="shared" si="1"/>
        <v>102112256600OVR</v>
      </c>
      <c r="C92" t="s">
        <v>492</v>
      </c>
      <c r="D92" t="s">
        <v>493</v>
      </c>
      <c r="E92">
        <v>20411454</v>
      </c>
      <c r="F92" t="s">
        <v>973</v>
      </c>
      <c r="G92" t="s">
        <v>49</v>
      </c>
      <c r="H92" t="s">
        <v>237</v>
      </c>
      <c r="I92" s="1">
        <v>46023</v>
      </c>
      <c r="J92" t="s">
        <v>51</v>
      </c>
      <c r="K92" t="s">
        <v>52</v>
      </c>
      <c r="L92" s="2">
        <v>0</v>
      </c>
      <c r="M92" s="2">
        <v>25</v>
      </c>
      <c r="N92">
        <v>1</v>
      </c>
      <c r="O92" s="3">
        <v>1</v>
      </c>
      <c r="P92" s="2">
        <v>25</v>
      </c>
      <c r="R92" t="s">
        <v>968</v>
      </c>
    </row>
    <row r="93" spans="1:18" x14ac:dyDescent="0.25">
      <c r="A93" s="4">
        <v>102119257500</v>
      </c>
      <c r="B93" s="4" t="str">
        <f t="shared" si="1"/>
        <v>102119257500OVR</v>
      </c>
      <c r="C93" t="s">
        <v>495</v>
      </c>
      <c r="D93" t="s">
        <v>496</v>
      </c>
      <c r="E93">
        <v>20411454</v>
      </c>
      <c r="F93" t="s">
        <v>973</v>
      </c>
      <c r="G93" t="s">
        <v>49</v>
      </c>
      <c r="H93" t="s">
        <v>237</v>
      </c>
      <c r="I93" s="1">
        <v>46023</v>
      </c>
      <c r="J93" t="s">
        <v>51</v>
      </c>
      <c r="K93" t="s">
        <v>52</v>
      </c>
      <c r="L93" s="2">
        <v>0</v>
      </c>
      <c r="M93" s="2">
        <v>25</v>
      </c>
      <c r="N93">
        <v>1</v>
      </c>
      <c r="O93" s="3">
        <v>1</v>
      </c>
      <c r="P93" s="2">
        <v>25</v>
      </c>
      <c r="R93" t="s">
        <v>968</v>
      </c>
    </row>
    <row r="94" spans="1:18" x14ac:dyDescent="0.25">
      <c r="A94" s="4">
        <v>102152554700</v>
      </c>
      <c r="B94" s="4" t="str">
        <f t="shared" si="1"/>
        <v>102152554700OVR</v>
      </c>
      <c r="C94" t="s">
        <v>498</v>
      </c>
      <c r="D94" t="s">
        <v>46</v>
      </c>
      <c r="E94">
        <v>20411454</v>
      </c>
      <c r="F94" t="s">
        <v>973</v>
      </c>
      <c r="G94" t="s">
        <v>49</v>
      </c>
      <c r="H94" t="s">
        <v>237</v>
      </c>
      <c r="I94" s="1">
        <v>46023</v>
      </c>
      <c r="J94" t="s">
        <v>51</v>
      </c>
      <c r="K94" t="s">
        <v>52</v>
      </c>
      <c r="L94" s="2">
        <v>0</v>
      </c>
      <c r="M94" s="2">
        <v>25</v>
      </c>
      <c r="N94">
        <v>1</v>
      </c>
      <c r="O94" s="3">
        <v>1</v>
      </c>
      <c r="P94" s="2">
        <v>25</v>
      </c>
      <c r="R94" t="s">
        <v>968</v>
      </c>
    </row>
    <row r="95" spans="1:18" x14ac:dyDescent="0.25">
      <c r="A95" s="4">
        <v>102154272500</v>
      </c>
      <c r="B95" s="4" t="str">
        <f t="shared" si="1"/>
        <v>102154272500OVR</v>
      </c>
      <c r="C95" t="s">
        <v>500</v>
      </c>
      <c r="D95" t="s">
        <v>64</v>
      </c>
      <c r="E95">
        <v>20411454</v>
      </c>
      <c r="F95" t="s">
        <v>973</v>
      </c>
      <c r="G95" t="s">
        <v>49</v>
      </c>
      <c r="H95" t="s">
        <v>237</v>
      </c>
      <c r="I95" s="1">
        <v>46023</v>
      </c>
      <c r="J95" t="s">
        <v>51</v>
      </c>
      <c r="K95" t="s">
        <v>52</v>
      </c>
      <c r="L95" s="2">
        <v>0</v>
      </c>
      <c r="M95" s="2">
        <v>25</v>
      </c>
      <c r="N95">
        <v>1</v>
      </c>
      <c r="O95" s="3">
        <v>1</v>
      </c>
      <c r="P95" s="2">
        <v>25</v>
      </c>
      <c r="R95" t="s">
        <v>968</v>
      </c>
    </row>
    <row r="96" spans="1:18" x14ac:dyDescent="0.25">
      <c r="A96" s="4">
        <v>102160129600</v>
      </c>
      <c r="B96" s="4" t="str">
        <f t="shared" si="1"/>
        <v>102160129600OVR</v>
      </c>
      <c r="C96" t="s">
        <v>502</v>
      </c>
      <c r="D96" t="s">
        <v>59</v>
      </c>
      <c r="E96">
        <v>20411454</v>
      </c>
      <c r="F96" t="s">
        <v>973</v>
      </c>
      <c r="G96" t="s">
        <v>49</v>
      </c>
      <c r="H96" t="s">
        <v>237</v>
      </c>
      <c r="I96" s="1">
        <v>46023</v>
      </c>
      <c r="J96" t="s">
        <v>51</v>
      </c>
      <c r="K96" t="s">
        <v>52</v>
      </c>
      <c r="L96" s="2">
        <v>0</v>
      </c>
      <c r="M96" s="2">
        <v>25</v>
      </c>
      <c r="N96">
        <v>1</v>
      </c>
      <c r="O96" s="3">
        <v>1</v>
      </c>
      <c r="P96" s="2">
        <v>25</v>
      </c>
      <c r="R96" t="s">
        <v>968</v>
      </c>
    </row>
    <row r="97" spans="1:18" x14ac:dyDescent="0.25">
      <c r="A97" s="4">
        <v>102161130800</v>
      </c>
      <c r="B97" s="4" t="str">
        <f t="shared" si="1"/>
        <v>102161130800OVR</v>
      </c>
      <c r="C97" t="s">
        <v>504</v>
      </c>
      <c r="D97" t="s">
        <v>505</v>
      </c>
      <c r="E97">
        <v>20411454</v>
      </c>
      <c r="F97" t="s">
        <v>973</v>
      </c>
      <c r="G97" t="s">
        <v>49</v>
      </c>
      <c r="H97" t="s">
        <v>237</v>
      </c>
      <c r="I97" s="1">
        <v>46023</v>
      </c>
      <c r="J97" t="s">
        <v>51</v>
      </c>
      <c r="K97" t="s">
        <v>52</v>
      </c>
      <c r="L97" s="2">
        <v>0</v>
      </c>
      <c r="M97" s="2">
        <v>25</v>
      </c>
      <c r="N97">
        <v>1</v>
      </c>
      <c r="O97" s="3">
        <v>1</v>
      </c>
      <c r="P97" s="2">
        <v>25</v>
      </c>
      <c r="R97" t="s">
        <v>968</v>
      </c>
    </row>
    <row r="98" spans="1:18" x14ac:dyDescent="0.25">
      <c r="A98" s="4">
        <v>102179360200</v>
      </c>
      <c r="B98" s="4" t="str">
        <f t="shared" si="1"/>
        <v>102179360200OVR</v>
      </c>
      <c r="C98" t="s">
        <v>507</v>
      </c>
      <c r="D98" t="s">
        <v>59</v>
      </c>
      <c r="E98">
        <v>20411454</v>
      </c>
      <c r="F98" t="s">
        <v>973</v>
      </c>
      <c r="G98" t="s">
        <v>49</v>
      </c>
      <c r="H98" t="s">
        <v>237</v>
      </c>
      <c r="I98" s="1">
        <v>46023</v>
      </c>
      <c r="J98" t="s">
        <v>51</v>
      </c>
      <c r="K98" t="s">
        <v>52</v>
      </c>
      <c r="L98" s="2">
        <v>0</v>
      </c>
      <c r="M98" s="2">
        <v>25</v>
      </c>
      <c r="N98">
        <v>1</v>
      </c>
      <c r="O98" s="3">
        <v>1</v>
      </c>
      <c r="P98" s="2">
        <v>25</v>
      </c>
      <c r="R98" t="s">
        <v>968</v>
      </c>
    </row>
    <row r="99" spans="1:18" x14ac:dyDescent="0.25">
      <c r="A99" s="4">
        <v>102186791500</v>
      </c>
      <c r="B99" s="4" t="str">
        <f t="shared" si="1"/>
        <v>102186791500OVR</v>
      </c>
      <c r="C99" t="s">
        <v>509</v>
      </c>
      <c r="D99" t="s">
        <v>59</v>
      </c>
      <c r="E99">
        <v>20411454</v>
      </c>
      <c r="F99" t="s">
        <v>973</v>
      </c>
      <c r="G99" t="s">
        <v>49</v>
      </c>
      <c r="H99" t="s">
        <v>237</v>
      </c>
      <c r="I99" s="1">
        <v>46023</v>
      </c>
      <c r="J99" t="s">
        <v>51</v>
      </c>
      <c r="K99" t="s">
        <v>52</v>
      </c>
      <c r="L99" s="2">
        <v>0</v>
      </c>
      <c r="M99" s="2">
        <v>25</v>
      </c>
      <c r="N99">
        <v>1</v>
      </c>
      <c r="O99" s="3">
        <v>1</v>
      </c>
      <c r="P99" s="2">
        <v>25</v>
      </c>
      <c r="R99" t="s">
        <v>968</v>
      </c>
    </row>
    <row r="100" spans="1:18" x14ac:dyDescent="0.25">
      <c r="A100" s="4">
        <v>102213890000</v>
      </c>
      <c r="B100" s="4" t="str">
        <f t="shared" si="1"/>
        <v>102213890000OVR</v>
      </c>
      <c r="C100" t="s">
        <v>515</v>
      </c>
      <c r="D100" t="s">
        <v>121</v>
      </c>
      <c r="E100">
        <v>20411454</v>
      </c>
      <c r="F100" t="s">
        <v>973</v>
      </c>
      <c r="G100" t="s">
        <v>49</v>
      </c>
      <c r="H100" t="s">
        <v>237</v>
      </c>
      <c r="I100" s="1">
        <v>46023</v>
      </c>
      <c r="J100" t="s">
        <v>51</v>
      </c>
      <c r="K100" t="s">
        <v>52</v>
      </c>
      <c r="L100" s="2">
        <v>0</v>
      </c>
      <c r="M100" s="2">
        <v>25</v>
      </c>
      <c r="N100">
        <v>1</v>
      </c>
      <c r="O100" s="3">
        <v>1</v>
      </c>
      <c r="P100" s="2">
        <v>25</v>
      </c>
      <c r="R100" t="s">
        <v>968</v>
      </c>
    </row>
    <row r="101" spans="1:18" x14ac:dyDescent="0.25">
      <c r="A101" s="4">
        <v>102218977300</v>
      </c>
      <c r="B101" s="4" t="str">
        <f t="shared" si="1"/>
        <v>102218977300OVR</v>
      </c>
      <c r="C101" t="s">
        <v>533</v>
      </c>
      <c r="D101" t="s">
        <v>200</v>
      </c>
      <c r="E101">
        <v>20411454</v>
      </c>
      <c r="F101" t="s">
        <v>973</v>
      </c>
      <c r="G101" t="s">
        <v>49</v>
      </c>
      <c r="H101" t="s">
        <v>237</v>
      </c>
      <c r="I101" s="1">
        <v>45992</v>
      </c>
      <c r="J101" t="s">
        <v>51</v>
      </c>
      <c r="K101" t="s">
        <v>52</v>
      </c>
      <c r="L101" s="2">
        <v>0</v>
      </c>
      <c r="M101" s="2">
        <v>25</v>
      </c>
      <c r="N101">
        <v>1</v>
      </c>
      <c r="O101" s="3">
        <v>1</v>
      </c>
      <c r="P101" s="2">
        <v>25</v>
      </c>
      <c r="R101" t="s">
        <v>968</v>
      </c>
    </row>
    <row r="102" spans="1:18" x14ac:dyDescent="0.25">
      <c r="A102" s="4">
        <v>102232220500</v>
      </c>
      <c r="B102" s="4" t="str">
        <f t="shared" si="1"/>
        <v>102232220500OVR</v>
      </c>
      <c r="C102" t="s">
        <v>543</v>
      </c>
      <c r="E102">
        <v>20411454</v>
      </c>
      <c r="F102" t="s">
        <v>973</v>
      </c>
      <c r="G102" t="s">
        <v>49</v>
      </c>
      <c r="H102" t="s">
        <v>237</v>
      </c>
      <c r="I102" s="1">
        <v>46023</v>
      </c>
      <c r="J102" t="s">
        <v>51</v>
      </c>
      <c r="K102" t="s">
        <v>52</v>
      </c>
      <c r="L102" s="2">
        <v>0</v>
      </c>
      <c r="M102" s="2">
        <v>25</v>
      </c>
      <c r="N102">
        <v>1</v>
      </c>
      <c r="O102" s="3">
        <v>1</v>
      </c>
      <c r="P102" s="2">
        <v>25</v>
      </c>
      <c r="R102" t="s">
        <v>968</v>
      </c>
    </row>
    <row r="103" spans="1:18" x14ac:dyDescent="0.25">
      <c r="A103" s="4" t="s">
        <v>946</v>
      </c>
      <c r="B103" s="4" t="str">
        <f t="shared" si="1"/>
        <v>102232220500AOVR</v>
      </c>
      <c r="C103" t="s">
        <v>543</v>
      </c>
      <c r="E103">
        <v>20411454</v>
      </c>
      <c r="F103" t="s">
        <v>973</v>
      </c>
      <c r="G103" t="s">
        <v>49</v>
      </c>
      <c r="H103" t="s">
        <v>237</v>
      </c>
      <c r="I103" s="1">
        <v>45992</v>
      </c>
      <c r="J103" t="s">
        <v>51</v>
      </c>
      <c r="K103" t="s">
        <v>52</v>
      </c>
      <c r="L103" s="2">
        <v>0</v>
      </c>
      <c r="M103" s="2">
        <v>25</v>
      </c>
      <c r="N103">
        <v>1</v>
      </c>
      <c r="O103" s="3">
        <v>1</v>
      </c>
      <c r="P103" s="2">
        <v>25</v>
      </c>
      <c r="R103" t="s">
        <v>968</v>
      </c>
    </row>
    <row r="104" spans="1:18" x14ac:dyDescent="0.25">
      <c r="A104" s="4">
        <v>102232752000</v>
      </c>
      <c r="B104" s="4" t="str">
        <f t="shared" si="1"/>
        <v>102232752000OVR</v>
      </c>
      <c r="C104" t="s">
        <v>546</v>
      </c>
      <c r="E104">
        <v>20411454</v>
      </c>
      <c r="F104" t="s">
        <v>973</v>
      </c>
      <c r="G104" t="s">
        <v>49</v>
      </c>
      <c r="H104" t="s">
        <v>237</v>
      </c>
      <c r="I104" s="1">
        <v>45992</v>
      </c>
      <c r="J104" t="s">
        <v>51</v>
      </c>
      <c r="K104" t="s">
        <v>52</v>
      </c>
      <c r="L104" s="2">
        <v>0</v>
      </c>
      <c r="M104" s="2">
        <v>25</v>
      </c>
      <c r="N104">
        <v>1</v>
      </c>
      <c r="O104" s="3">
        <v>1</v>
      </c>
      <c r="P104" s="2">
        <v>25</v>
      </c>
      <c r="R104" t="s">
        <v>968</v>
      </c>
    </row>
    <row r="105" spans="1:18" x14ac:dyDescent="0.25">
      <c r="A105" s="4">
        <v>102232767500</v>
      </c>
      <c r="B105" s="4" t="str">
        <f t="shared" si="1"/>
        <v>102232767500OVR</v>
      </c>
      <c r="C105" t="s">
        <v>550</v>
      </c>
      <c r="E105">
        <v>20411454</v>
      </c>
      <c r="F105" t="s">
        <v>973</v>
      </c>
      <c r="G105" t="s">
        <v>49</v>
      </c>
      <c r="H105" t="s">
        <v>237</v>
      </c>
      <c r="I105" s="1">
        <v>45992</v>
      </c>
      <c r="J105" t="s">
        <v>51</v>
      </c>
      <c r="K105" t="s">
        <v>52</v>
      </c>
      <c r="L105" s="2">
        <v>0</v>
      </c>
      <c r="M105" s="2">
        <v>25</v>
      </c>
      <c r="N105">
        <v>1</v>
      </c>
      <c r="O105" s="3">
        <v>1</v>
      </c>
      <c r="P105" s="2">
        <v>25</v>
      </c>
      <c r="R105" t="s">
        <v>968</v>
      </c>
    </row>
    <row r="106" spans="1:18" x14ac:dyDescent="0.25">
      <c r="A106" s="4">
        <v>102232794000</v>
      </c>
      <c r="B106" s="4" t="str">
        <f t="shared" si="1"/>
        <v>102232794000OVR</v>
      </c>
      <c r="C106" t="s">
        <v>552</v>
      </c>
      <c r="E106">
        <v>20411454</v>
      </c>
      <c r="F106" t="s">
        <v>973</v>
      </c>
      <c r="G106" t="s">
        <v>49</v>
      </c>
      <c r="H106" t="s">
        <v>237</v>
      </c>
      <c r="I106" s="1">
        <v>46023</v>
      </c>
      <c r="J106" t="s">
        <v>51</v>
      </c>
      <c r="K106" t="s">
        <v>52</v>
      </c>
      <c r="L106" s="2">
        <v>0</v>
      </c>
      <c r="M106" s="2">
        <v>25</v>
      </c>
      <c r="N106">
        <v>1</v>
      </c>
      <c r="O106" s="3">
        <v>1</v>
      </c>
      <c r="P106" s="2">
        <v>25</v>
      </c>
      <c r="R106" t="s">
        <v>968</v>
      </c>
    </row>
    <row r="107" spans="1:18" x14ac:dyDescent="0.25">
      <c r="A107" s="4" t="s">
        <v>947</v>
      </c>
      <c r="B107" s="4" t="str">
        <f t="shared" si="1"/>
        <v>102232794000AOVR</v>
      </c>
      <c r="C107" t="s">
        <v>552</v>
      </c>
      <c r="E107">
        <v>20411454</v>
      </c>
      <c r="F107" t="s">
        <v>973</v>
      </c>
      <c r="G107" t="s">
        <v>49</v>
      </c>
      <c r="H107" t="s">
        <v>237</v>
      </c>
      <c r="I107" s="1">
        <v>45992</v>
      </c>
      <c r="J107" t="s">
        <v>51</v>
      </c>
      <c r="K107" t="s">
        <v>52</v>
      </c>
      <c r="L107" s="2">
        <v>0</v>
      </c>
      <c r="M107" s="2">
        <v>25</v>
      </c>
      <c r="N107">
        <v>1</v>
      </c>
      <c r="O107" s="3">
        <v>1</v>
      </c>
      <c r="P107" s="2">
        <v>25</v>
      </c>
      <c r="R107" t="s">
        <v>968</v>
      </c>
    </row>
    <row r="108" spans="1:18" x14ac:dyDescent="0.25">
      <c r="A108" s="4">
        <v>102234300900</v>
      </c>
      <c r="B108" s="4" t="str">
        <f t="shared" si="1"/>
        <v>102234300900OVR</v>
      </c>
      <c r="C108" t="s">
        <v>555</v>
      </c>
      <c r="E108">
        <v>20411454</v>
      </c>
      <c r="F108" t="s">
        <v>973</v>
      </c>
      <c r="G108" t="s">
        <v>49</v>
      </c>
      <c r="H108" t="s">
        <v>237</v>
      </c>
      <c r="I108" s="1">
        <v>45992</v>
      </c>
      <c r="J108" t="s">
        <v>51</v>
      </c>
      <c r="K108" t="s">
        <v>52</v>
      </c>
      <c r="L108" s="2">
        <v>0</v>
      </c>
      <c r="M108" s="2">
        <v>25</v>
      </c>
      <c r="N108">
        <v>1</v>
      </c>
      <c r="O108" s="3">
        <v>1</v>
      </c>
      <c r="P108" s="2">
        <v>25</v>
      </c>
      <c r="R108" t="s">
        <v>968</v>
      </c>
    </row>
    <row r="109" spans="1:18" x14ac:dyDescent="0.25">
      <c r="A109" s="4">
        <v>102239189500</v>
      </c>
      <c r="B109" s="4" t="str">
        <f t="shared" si="1"/>
        <v>102239189500OVR</v>
      </c>
      <c r="C109" t="s">
        <v>557</v>
      </c>
      <c r="E109">
        <v>20411454</v>
      </c>
      <c r="F109" t="s">
        <v>973</v>
      </c>
      <c r="G109" t="s">
        <v>49</v>
      </c>
      <c r="H109" t="s">
        <v>237</v>
      </c>
      <c r="I109" s="1">
        <v>45992</v>
      </c>
      <c r="J109" t="s">
        <v>51</v>
      </c>
      <c r="K109" t="s">
        <v>52</v>
      </c>
      <c r="L109" s="2">
        <v>0</v>
      </c>
      <c r="M109" s="2">
        <v>25</v>
      </c>
      <c r="N109">
        <v>1</v>
      </c>
      <c r="O109" s="3">
        <v>1</v>
      </c>
      <c r="P109" s="2">
        <v>25</v>
      </c>
      <c r="R109" t="s">
        <v>968</v>
      </c>
    </row>
    <row r="110" spans="1:18" x14ac:dyDescent="0.25">
      <c r="A110" s="4">
        <v>102239591500</v>
      </c>
      <c r="B110" s="4" t="str">
        <f t="shared" si="1"/>
        <v>102239591500OVR</v>
      </c>
      <c r="C110" t="s">
        <v>559</v>
      </c>
      <c r="E110">
        <v>20411454</v>
      </c>
      <c r="F110" t="s">
        <v>973</v>
      </c>
      <c r="G110" t="s">
        <v>49</v>
      </c>
      <c r="H110" t="s">
        <v>237</v>
      </c>
      <c r="I110" s="1">
        <v>45992</v>
      </c>
      <c r="J110" t="s">
        <v>51</v>
      </c>
      <c r="K110" t="s">
        <v>52</v>
      </c>
      <c r="L110" s="2">
        <v>0</v>
      </c>
      <c r="M110" s="2">
        <v>25</v>
      </c>
      <c r="N110">
        <v>1</v>
      </c>
      <c r="O110" s="3">
        <v>1</v>
      </c>
      <c r="P110" s="2">
        <v>25</v>
      </c>
      <c r="R110" t="s">
        <v>968</v>
      </c>
    </row>
    <row r="111" spans="1:18" x14ac:dyDescent="0.25">
      <c r="A111" s="4">
        <v>102242500700</v>
      </c>
      <c r="B111" s="4" t="str">
        <f t="shared" si="1"/>
        <v>102242500700OVR</v>
      </c>
      <c r="C111" t="s">
        <v>561</v>
      </c>
      <c r="D111" t="s">
        <v>200</v>
      </c>
      <c r="E111">
        <v>20411454</v>
      </c>
      <c r="F111" t="s">
        <v>973</v>
      </c>
      <c r="G111" t="s">
        <v>49</v>
      </c>
      <c r="H111" t="s">
        <v>237</v>
      </c>
      <c r="I111" s="1">
        <v>46023</v>
      </c>
      <c r="J111" t="s">
        <v>51</v>
      </c>
      <c r="K111" t="s">
        <v>52</v>
      </c>
      <c r="L111" s="2">
        <v>0</v>
      </c>
      <c r="M111" s="2">
        <v>25</v>
      </c>
      <c r="N111">
        <v>1</v>
      </c>
      <c r="O111" s="3">
        <v>1</v>
      </c>
      <c r="P111" s="2">
        <v>25</v>
      </c>
      <c r="R111" t="s">
        <v>968</v>
      </c>
    </row>
    <row r="112" spans="1:18" x14ac:dyDescent="0.25">
      <c r="A112" s="4">
        <v>102243086500</v>
      </c>
      <c r="B112" s="4" t="str">
        <f t="shared" si="1"/>
        <v>102243086500OVR</v>
      </c>
      <c r="C112" t="s">
        <v>571</v>
      </c>
      <c r="D112" t="s">
        <v>59</v>
      </c>
      <c r="E112">
        <v>20411454</v>
      </c>
      <c r="F112" t="s">
        <v>973</v>
      </c>
      <c r="G112" t="s">
        <v>49</v>
      </c>
      <c r="H112" t="s">
        <v>237</v>
      </c>
      <c r="I112" s="1">
        <v>46023</v>
      </c>
      <c r="J112" t="s">
        <v>51</v>
      </c>
      <c r="K112" t="s">
        <v>52</v>
      </c>
      <c r="L112" s="2">
        <v>0</v>
      </c>
      <c r="M112" s="2">
        <v>25</v>
      </c>
      <c r="N112">
        <v>1</v>
      </c>
      <c r="O112" s="3">
        <v>1</v>
      </c>
      <c r="P112" s="2">
        <v>25</v>
      </c>
      <c r="R112" t="s">
        <v>968</v>
      </c>
    </row>
    <row r="113" spans="1:18" x14ac:dyDescent="0.25">
      <c r="A113" s="4">
        <v>102243096500</v>
      </c>
      <c r="B113" s="4" t="str">
        <f t="shared" si="1"/>
        <v>102243096500OVR</v>
      </c>
      <c r="C113" t="s">
        <v>573</v>
      </c>
      <c r="D113" t="s">
        <v>59</v>
      </c>
      <c r="E113">
        <v>20411454</v>
      </c>
      <c r="F113" t="s">
        <v>973</v>
      </c>
      <c r="G113" t="s">
        <v>49</v>
      </c>
      <c r="H113" t="s">
        <v>237</v>
      </c>
      <c r="I113" s="1">
        <v>46023</v>
      </c>
      <c r="J113" t="s">
        <v>51</v>
      </c>
      <c r="K113" t="s">
        <v>52</v>
      </c>
      <c r="L113" s="2">
        <v>0</v>
      </c>
      <c r="M113" s="2">
        <v>25</v>
      </c>
      <c r="N113">
        <v>1</v>
      </c>
      <c r="O113" s="3">
        <v>1</v>
      </c>
      <c r="P113" s="2">
        <v>25</v>
      </c>
      <c r="R113" t="s">
        <v>968</v>
      </c>
    </row>
    <row r="114" spans="1:18" x14ac:dyDescent="0.25">
      <c r="A114" s="4">
        <v>102243111900</v>
      </c>
      <c r="B114" s="4" t="str">
        <f t="shared" si="1"/>
        <v>102243111900OVR</v>
      </c>
      <c r="C114" t="s">
        <v>575</v>
      </c>
      <c r="D114" t="s">
        <v>59</v>
      </c>
      <c r="E114">
        <v>20411454</v>
      </c>
      <c r="F114" t="s">
        <v>973</v>
      </c>
      <c r="G114" t="s">
        <v>49</v>
      </c>
      <c r="H114" t="s">
        <v>237</v>
      </c>
      <c r="I114" s="1">
        <v>46023</v>
      </c>
      <c r="J114" t="s">
        <v>51</v>
      </c>
      <c r="K114" t="s">
        <v>52</v>
      </c>
      <c r="L114" s="2">
        <v>0</v>
      </c>
      <c r="M114" s="2">
        <v>25</v>
      </c>
      <c r="N114">
        <v>1</v>
      </c>
      <c r="O114" s="3">
        <v>1</v>
      </c>
      <c r="P114" s="2">
        <v>25</v>
      </c>
      <c r="R114" t="s">
        <v>968</v>
      </c>
    </row>
    <row r="115" spans="1:18" x14ac:dyDescent="0.25">
      <c r="A115" s="4">
        <v>102243123400</v>
      </c>
      <c r="B115" s="4" t="str">
        <f t="shared" si="1"/>
        <v>102243123400OVR</v>
      </c>
      <c r="C115" t="s">
        <v>577</v>
      </c>
      <c r="D115" t="s">
        <v>59</v>
      </c>
      <c r="E115">
        <v>20411454</v>
      </c>
      <c r="F115" t="s">
        <v>973</v>
      </c>
      <c r="G115" t="s">
        <v>49</v>
      </c>
      <c r="H115" t="s">
        <v>237</v>
      </c>
      <c r="I115" s="1">
        <v>46023</v>
      </c>
      <c r="J115" t="s">
        <v>51</v>
      </c>
      <c r="K115" t="s">
        <v>52</v>
      </c>
      <c r="L115" s="2">
        <v>0</v>
      </c>
      <c r="M115" s="2">
        <v>25</v>
      </c>
      <c r="N115">
        <v>1</v>
      </c>
      <c r="O115" s="3">
        <v>1</v>
      </c>
      <c r="P115" s="2">
        <v>25</v>
      </c>
      <c r="R115" t="s">
        <v>968</v>
      </c>
    </row>
    <row r="116" spans="1:18" x14ac:dyDescent="0.25">
      <c r="A116" s="4">
        <v>102243138400</v>
      </c>
      <c r="B116" s="4" t="str">
        <f t="shared" si="1"/>
        <v>102243138400OVR</v>
      </c>
      <c r="C116" t="s">
        <v>579</v>
      </c>
      <c r="D116" t="s">
        <v>59</v>
      </c>
      <c r="E116">
        <v>20411454</v>
      </c>
      <c r="F116" t="s">
        <v>973</v>
      </c>
      <c r="G116" t="s">
        <v>49</v>
      </c>
      <c r="H116" t="s">
        <v>237</v>
      </c>
      <c r="I116" s="1">
        <v>46023</v>
      </c>
      <c r="J116" t="s">
        <v>51</v>
      </c>
      <c r="K116" t="s">
        <v>52</v>
      </c>
      <c r="L116" s="2">
        <v>0</v>
      </c>
      <c r="M116" s="2">
        <v>25</v>
      </c>
      <c r="N116">
        <v>1</v>
      </c>
      <c r="O116" s="3">
        <v>1</v>
      </c>
      <c r="P116" s="2">
        <v>25</v>
      </c>
      <c r="R116" t="s">
        <v>968</v>
      </c>
    </row>
    <row r="117" spans="1:18" x14ac:dyDescent="0.25">
      <c r="A117" s="4">
        <v>102243147300</v>
      </c>
      <c r="B117" s="4" t="str">
        <f t="shared" si="1"/>
        <v>102243147300OVR</v>
      </c>
      <c r="C117" t="s">
        <v>581</v>
      </c>
      <c r="D117" t="s">
        <v>59</v>
      </c>
      <c r="E117">
        <v>20411454</v>
      </c>
      <c r="F117" t="s">
        <v>973</v>
      </c>
      <c r="G117" t="s">
        <v>49</v>
      </c>
      <c r="H117" t="s">
        <v>237</v>
      </c>
      <c r="I117" s="1">
        <v>46023</v>
      </c>
      <c r="J117" t="s">
        <v>51</v>
      </c>
      <c r="K117" t="s">
        <v>52</v>
      </c>
      <c r="L117" s="2">
        <v>0</v>
      </c>
      <c r="M117" s="2">
        <v>25</v>
      </c>
      <c r="N117">
        <v>1</v>
      </c>
      <c r="O117" s="3">
        <v>1</v>
      </c>
      <c r="P117" s="2">
        <v>25</v>
      </c>
      <c r="R117" t="s">
        <v>968</v>
      </c>
    </row>
    <row r="118" spans="1:18" x14ac:dyDescent="0.25">
      <c r="A118" s="4">
        <v>102243360500</v>
      </c>
      <c r="B118" s="4" t="str">
        <f t="shared" si="1"/>
        <v>102243360500OVR</v>
      </c>
      <c r="C118" t="s">
        <v>583</v>
      </c>
      <c r="D118" t="s">
        <v>64</v>
      </c>
      <c r="E118">
        <v>20411454</v>
      </c>
      <c r="F118" t="s">
        <v>973</v>
      </c>
      <c r="G118" t="s">
        <v>49</v>
      </c>
      <c r="H118" t="s">
        <v>237</v>
      </c>
      <c r="I118" s="1">
        <v>46023</v>
      </c>
      <c r="J118" t="s">
        <v>51</v>
      </c>
      <c r="K118" t="s">
        <v>52</v>
      </c>
      <c r="L118" s="2">
        <v>0</v>
      </c>
      <c r="M118" s="2">
        <v>25</v>
      </c>
      <c r="N118">
        <v>1</v>
      </c>
      <c r="O118" s="3">
        <v>1</v>
      </c>
      <c r="P118" s="2">
        <v>25</v>
      </c>
      <c r="R118" t="s">
        <v>968</v>
      </c>
    </row>
    <row r="119" spans="1:18" x14ac:dyDescent="0.25">
      <c r="A119" s="4">
        <v>102243526400</v>
      </c>
      <c r="B119" s="4" t="str">
        <f t="shared" si="1"/>
        <v>102243526400OVR</v>
      </c>
      <c r="C119" t="s">
        <v>587</v>
      </c>
      <c r="D119" t="s">
        <v>145</v>
      </c>
      <c r="E119">
        <v>20411454</v>
      </c>
      <c r="F119" t="s">
        <v>973</v>
      </c>
      <c r="G119" t="s">
        <v>49</v>
      </c>
      <c r="H119" t="s">
        <v>237</v>
      </c>
      <c r="I119" s="1">
        <v>46023</v>
      </c>
      <c r="J119" t="s">
        <v>51</v>
      </c>
      <c r="K119" t="s">
        <v>52</v>
      </c>
      <c r="L119" s="2">
        <v>0</v>
      </c>
      <c r="M119" s="2">
        <v>25</v>
      </c>
      <c r="N119">
        <v>1</v>
      </c>
      <c r="O119" s="3">
        <v>1</v>
      </c>
      <c r="P119" s="2">
        <v>25</v>
      </c>
      <c r="R119" t="s">
        <v>968</v>
      </c>
    </row>
    <row r="120" spans="1:18" x14ac:dyDescent="0.25">
      <c r="A120" s="4">
        <v>102243613300</v>
      </c>
      <c r="B120" s="4" t="str">
        <f t="shared" si="1"/>
        <v>102243613300OVR</v>
      </c>
      <c r="C120" t="s">
        <v>589</v>
      </c>
      <c r="D120" t="s">
        <v>59</v>
      </c>
      <c r="E120">
        <v>20411454</v>
      </c>
      <c r="F120" t="s">
        <v>973</v>
      </c>
      <c r="G120" t="s">
        <v>49</v>
      </c>
      <c r="H120" t="s">
        <v>237</v>
      </c>
      <c r="I120" s="1">
        <v>46023</v>
      </c>
      <c r="J120" t="s">
        <v>51</v>
      </c>
      <c r="K120" t="s">
        <v>52</v>
      </c>
      <c r="L120" s="2">
        <v>0</v>
      </c>
      <c r="M120" s="2">
        <v>25</v>
      </c>
      <c r="N120">
        <v>1</v>
      </c>
      <c r="O120" s="3">
        <v>1</v>
      </c>
      <c r="P120" s="2">
        <v>25</v>
      </c>
      <c r="R120" t="s">
        <v>968</v>
      </c>
    </row>
    <row r="121" spans="1:18" x14ac:dyDescent="0.25">
      <c r="A121" s="4">
        <v>102243697700</v>
      </c>
      <c r="B121" s="4" t="str">
        <f t="shared" si="1"/>
        <v>102243697700OVR</v>
      </c>
      <c r="C121" t="s">
        <v>591</v>
      </c>
      <c r="D121" t="s">
        <v>59</v>
      </c>
      <c r="E121">
        <v>20411454</v>
      </c>
      <c r="F121" t="s">
        <v>973</v>
      </c>
      <c r="G121" t="s">
        <v>49</v>
      </c>
      <c r="H121" t="s">
        <v>237</v>
      </c>
      <c r="I121" s="1">
        <v>46023</v>
      </c>
      <c r="J121" t="s">
        <v>51</v>
      </c>
      <c r="K121" t="s">
        <v>52</v>
      </c>
      <c r="L121" s="2">
        <v>0</v>
      </c>
      <c r="M121" s="2">
        <v>25</v>
      </c>
      <c r="N121">
        <v>1</v>
      </c>
      <c r="O121" s="3">
        <v>1</v>
      </c>
      <c r="P121" s="2">
        <v>25</v>
      </c>
      <c r="R121" t="s">
        <v>968</v>
      </c>
    </row>
    <row r="122" spans="1:18" x14ac:dyDescent="0.25">
      <c r="A122" s="4">
        <v>102243721100</v>
      </c>
      <c r="B122" s="4" t="str">
        <f t="shared" si="1"/>
        <v>102243721100OVR</v>
      </c>
      <c r="C122" t="s">
        <v>593</v>
      </c>
      <c r="D122" t="s">
        <v>59</v>
      </c>
      <c r="E122">
        <v>20411454</v>
      </c>
      <c r="F122" t="s">
        <v>973</v>
      </c>
      <c r="G122" t="s">
        <v>49</v>
      </c>
      <c r="H122" t="s">
        <v>237</v>
      </c>
      <c r="I122" s="1">
        <v>46023</v>
      </c>
      <c r="J122" t="s">
        <v>51</v>
      </c>
      <c r="K122" t="s">
        <v>52</v>
      </c>
      <c r="L122" s="2">
        <v>0</v>
      </c>
      <c r="M122" s="2">
        <v>25</v>
      </c>
      <c r="N122">
        <v>1</v>
      </c>
      <c r="O122" s="3">
        <v>1</v>
      </c>
      <c r="P122" s="2">
        <v>25</v>
      </c>
      <c r="R122" t="s">
        <v>968</v>
      </c>
    </row>
    <row r="123" spans="1:18" x14ac:dyDescent="0.25">
      <c r="A123" s="4">
        <v>102243729600</v>
      </c>
      <c r="B123" s="4" t="str">
        <f t="shared" si="1"/>
        <v>102243729600OVR</v>
      </c>
      <c r="C123" t="s">
        <v>595</v>
      </c>
      <c r="D123" t="s">
        <v>59</v>
      </c>
      <c r="E123">
        <v>20411454</v>
      </c>
      <c r="F123" t="s">
        <v>973</v>
      </c>
      <c r="G123" t="s">
        <v>49</v>
      </c>
      <c r="H123" t="s">
        <v>237</v>
      </c>
      <c r="I123" s="1">
        <v>46023</v>
      </c>
      <c r="J123" t="s">
        <v>51</v>
      </c>
      <c r="K123" t="s">
        <v>52</v>
      </c>
      <c r="L123" s="2">
        <v>0</v>
      </c>
      <c r="M123" s="2">
        <v>25</v>
      </c>
      <c r="N123">
        <v>1</v>
      </c>
      <c r="O123" s="3">
        <v>1</v>
      </c>
      <c r="P123" s="2">
        <v>25</v>
      </c>
      <c r="R123" t="s">
        <v>968</v>
      </c>
    </row>
    <row r="124" spans="1:18" x14ac:dyDescent="0.25">
      <c r="A124" s="4">
        <v>102243749700</v>
      </c>
      <c r="B124" s="4" t="str">
        <f t="shared" si="1"/>
        <v>102243749700OVR</v>
      </c>
      <c r="C124" t="s">
        <v>597</v>
      </c>
      <c r="D124" t="s">
        <v>59</v>
      </c>
      <c r="E124">
        <v>20411454</v>
      </c>
      <c r="F124" t="s">
        <v>973</v>
      </c>
      <c r="G124" t="s">
        <v>49</v>
      </c>
      <c r="H124" t="s">
        <v>237</v>
      </c>
      <c r="I124" s="1">
        <v>46023</v>
      </c>
      <c r="J124" t="s">
        <v>51</v>
      </c>
      <c r="K124" t="s">
        <v>52</v>
      </c>
      <c r="L124" s="2">
        <v>0</v>
      </c>
      <c r="M124" s="2">
        <v>25</v>
      </c>
      <c r="N124">
        <v>1</v>
      </c>
      <c r="O124" s="3">
        <v>1</v>
      </c>
      <c r="P124" s="2">
        <v>25</v>
      </c>
      <c r="R124" t="s">
        <v>968</v>
      </c>
    </row>
    <row r="125" spans="1:18" x14ac:dyDescent="0.25">
      <c r="A125" s="4">
        <v>102243848800</v>
      </c>
      <c r="B125" s="4" t="str">
        <f t="shared" si="1"/>
        <v>102243848800OVR</v>
      </c>
      <c r="C125" t="s">
        <v>599</v>
      </c>
      <c r="D125" t="s">
        <v>145</v>
      </c>
      <c r="E125">
        <v>20411454</v>
      </c>
      <c r="F125" t="s">
        <v>973</v>
      </c>
      <c r="G125" t="s">
        <v>49</v>
      </c>
      <c r="H125" t="s">
        <v>237</v>
      </c>
      <c r="I125" s="1">
        <v>46023</v>
      </c>
      <c r="J125" t="s">
        <v>51</v>
      </c>
      <c r="K125" t="s">
        <v>52</v>
      </c>
      <c r="L125" s="2">
        <v>0</v>
      </c>
      <c r="M125" s="2">
        <v>25</v>
      </c>
      <c r="N125">
        <v>1</v>
      </c>
      <c r="O125" s="3">
        <v>1</v>
      </c>
      <c r="P125" s="2">
        <v>25</v>
      </c>
      <c r="R125" t="s">
        <v>968</v>
      </c>
    </row>
    <row r="126" spans="1:18" x14ac:dyDescent="0.25">
      <c r="A126" s="4">
        <v>102243861300</v>
      </c>
      <c r="B126" s="4" t="str">
        <f t="shared" si="1"/>
        <v>102243861300OVR</v>
      </c>
      <c r="C126" t="s">
        <v>601</v>
      </c>
      <c r="D126" t="s">
        <v>46</v>
      </c>
      <c r="E126">
        <v>20411454</v>
      </c>
      <c r="F126" t="s">
        <v>973</v>
      </c>
      <c r="G126" t="s">
        <v>49</v>
      </c>
      <c r="H126" t="s">
        <v>237</v>
      </c>
      <c r="I126" s="1">
        <v>46023</v>
      </c>
      <c r="J126" t="s">
        <v>51</v>
      </c>
      <c r="K126" t="s">
        <v>52</v>
      </c>
      <c r="L126" s="2">
        <v>0</v>
      </c>
      <c r="M126" s="2">
        <v>25</v>
      </c>
      <c r="N126">
        <v>1</v>
      </c>
      <c r="O126" s="3">
        <v>1</v>
      </c>
      <c r="P126" s="2">
        <v>25</v>
      </c>
      <c r="R126" t="s">
        <v>968</v>
      </c>
    </row>
    <row r="127" spans="1:18" x14ac:dyDescent="0.25">
      <c r="A127" s="4">
        <v>102243994000</v>
      </c>
      <c r="B127" s="4" t="str">
        <f t="shared" si="1"/>
        <v>102243994000OVR</v>
      </c>
      <c r="C127" t="s">
        <v>603</v>
      </c>
      <c r="D127" t="s">
        <v>59</v>
      </c>
      <c r="E127">
        <v>20411454</v>
      </c>
      <c r="F127" t="s">
        <v>973</v>
      </c>
      <c r="G127" t="s">
        <v>49</v>
      </c>
      <c r="H127" t="s">
        <v>237</v>
      </c>
      <c r="I127" s="1">
        <v>46023</v>
      </c>
      <c r="J127" t="s">
        <v>51</v>
      </c>
      <c r="K127" t="s">
        <v>52</v>
      </c>
      <c r="L127" s="2">
        <v>0</v>
      </c>
      <c r="M127" s="2">
        <v>25</v>
      </c>
      <c r="N127">
        <v>1</v>
      </c>
      <c r="O127" s="3">
        <v>1</v>
      </c>
      <c r="P127" s="2">
        <v>25</v>
      </c>
      <c r="R127" t="s">
        <v>968</v>
      </c>
    </row>
    <row r="128" spans="1:18" x14ac:dyDescent="0.25">
      <c r="A128" s="4">
        <v>102244049900</v>
      </c>
      <c r="B128" s="4" t="str">
        <f t="shared" si="1"/>
        <v>102244049900OVR</v>
      </c>
      <c r="C128" t="s">
        <v>605</v>
      </c>
      <c r="D128" t="s">
        <v>46</v>
      </c>
      <c r="E128">
        <v>20411454</v>
      </c>
      <c r="F128" t="s">
        <v>973</v>
      </c>
      <c r="G128" t="s">
        <v>49</v>
      </c>
      <c r="H128" t="s">
        <v>237</v>
      </c>
      <c r="I128" s="1">
        <v>46023</v>
      </c>
      <c r="J128" t="s">
        <v>51</v>
      </c>
      <c r="K128" t="s">
        <v>52</v>
      </c>
      <c r="L128" s="2">
        <v>0</v>
      </c>
      <c r="M128" s="2">
        <v>25</v>
      </c>
      <c r="N128">
        <v>1</v>
      </c>
      <c r="O128" s="3">
        <v>1</v>
      </c>
      <c r="P128" s="2">
        <v>25</v>
      </c>
      <c r="R128" t="s">
        <v>968</v>
      </c>
    </row>
    <row r="129" spans="1:18" x14ac:dyDescent="0.25">
      <c r="A129" s="4">
        <v>102244065300</v>
      </c>
      <c r="B129" s="4" t="str">
        <f t="shared" si="1"/>
        <v>102244065300OVR</v>
      </c>
      <c r="C129" t="s">
        <v>607</v>
      </c>
      <c r="D129" t="s">
        <v>46</v>
      </c>
      <c r="E129">
        <v>20411454</v>
      </c>
      <c r="F129" t="s">
        <v>973</v>
      </c>
      <c r="G129" t="s">
        <v>49</v>
      </c>
      <c r="H129" t="s">
        <v>237</v>
      </c>
      <c r="I129" s="1">
        <v>46023</v>
      </c>
      <c r="J129" t="s">
        <v>51</v>
      </c>
      <c r="K129" t="s">
        <v>52</v>
      </c>
      <c r="L129" s="2">
        <v>0</v>
      </c>
      <c r="M129" s="2">
        <v>25</v>
      </c>
      <c r="N129">
        <v>1</v>
      </c>
      <c r="O129" s="3">
        <v>1</v>
      </c>
      <c r="P129" s="2">
        <v>25</v>
      </c>
      <c r="R129" t="s">
        <v>968</v>
      </c>
    </row>
    <row r="130" spans="1:18" x14ac:dyDescent="0.25">
      <c r="A130" s="4">
        <v>102244762600</v>
      </c>
      <c r="B130" s="4" t="str">
        <f t="shared" si="1"/>
        <v>102244762600OVR</v>
      </c>
      <c r="C130" t="s">
        <v>609</v>
      </c>
      <c r="D130" t="s">
        <v>59</v>
      </c>
      <c r="E130">
        <v>20411454</v>
      </c>
      <c r="F130" t="s">
        <v>973</v>
      </c>
      <c r="G130" t="s">
        <v>49</v>
      </c>
      <c r="H130" t="s">
        <v>237</v>
      </c>
      <c r="I130" s="1">
        <v>46023</v>
      </c>
      <c r="J130" t="s">
        <v>51</v>
      </c>
      <c r="K130" t="s">
        <v>52</v>
      </c>
      <c r="L130" s="2">
        <v>0</v>
      </c>
      <c r="M130" s="2">
        <v>25</v>
      </c>
      <c r="N130">
        <v>1</v>
      </c>
      <c r="O130" s="3">
        <v>1</v>
      </c>
      <c r="P130" s="2">
        <v>25</v>
      </c>
      <c r="R130" t="s">
        <v>968</v>
      </c>
    </row>
    <row r="131" spans="1:18" x14ac:dyDescent="0.25">
      <c r="A131" s="4">
        <v>102244921900</v>
      </c>
      <c r="B131" s="4" t="str">
        <f t="shared" ref="B131:B194" si="2">CONCATENATE(A131,"OVR")</f>
        <v>102244921900OVR</v>
      </c>
      <c r="C131" t="s">
        <v>611</v>
      </c>
      <c r="D131" t="s">
        <v>59</v>
      </c>
      <c r="E131">
        <v>20411454</v>
      </c>
      <c r="F131" t="s">
        <v>973</v>
      </c>
      <c r="G131" t="s">
        <v>49</v>
      </c>
      <c r="H131" t="s">
        <v>237</v>
      </c>
      <c r="I131" s="1">
        <v>46023</v>
      </c>
      <c r="J131" t="s">
        <v>51</v>
      </c>
      <c r="K131" t="s">
        <v>52</v>
      </c>
      <c r="L131" s="2">
        <v>0</v>
      </c>
      <c r="M131" s="2">
        <v>25</v>
      </c>
      <c r="N131">
        <v>1</v>
      </c>
      <c r="O131" s="3">
        <v>1</v>
      </c>
      <c r="P131" s="2">
        <v>25</v>
      </c>
      <c r="R131" t="s">
        <v>968</v>
      </c>
    </row>
    <row r="132" spans="1:18" x14ac:dyDescent="0.25">
      <c r="A132" s="4">
        <v>102245244300</v>
      </c>
      <c r="B132" s="4" t="str">
        <f t="shared" si="2"/>
        <v>102245244300OVR</v>
      </c>
      <c r="C132" t="s">
        <v>617</v>
      </c>
      <c r="D132" t="s">
        <v>59</v>
      </c>
      <c r="E132">
        <v>20411454</v>
      </c>
      <c r="F132" t="s">
        <v>973</v>
      </c>
      <c r="G132" t="s">
        <v>49</v>
      </c>
      <c r="H132" t="s">
        <v>237</v>
      </c>
      <c r="I132" s="1">
        <v>46023</v>
      </c>
      <c r="J132" t="s">
        <v>51</v>
      </c>
      <c r="K132" t="s">
        <v>52</v>
      </c>
      <c r="L132" s="2">
        <v>0</v>
      </c>
      <c r="M132" s="2">
        <v>25</v>
      </c>
      <c r="N132">
        <v>1</v>
      </c>
      <c r="O132" s="3">
        <v>1</v>
      </c>
      <c r="P132" s="2">
        <v>25</v>
      </c>
      <c r="R132" t="s">
        <v>968</v>
      </c>
    </row>
    <row r="133" spans="1:18" x14ac:dyDescent="0.25">
      <c r="A133" s="4">
        <v>102245342600</v>
      </c>
      <c r="B133" s="4" t="str">
        <f t="shared" si="2"/>
        <v>102245342600OVR</v>
      </c>
      <c r="C133" t="s">
        <v>619</v>
      </c>
      <c r="D133" t="s">
        <v>59</v>
      </c>
      <c r="E133">
        <v>20411454</v>
      </c>
      <c r="F133" t="s">
        <v>973</v>
      </c>
      <c r="G133" t="s">
        <v>49</v>
      </c>
      <c r="H133" t="s">
        <v>237</v>
      </c>
      <c r="I133" s="1">
        <v>46023</v>
      </c>
      <c r="J133" t="s">
        <v>51</v>
      </c>
      <c r="K133" t="s">
        <v>52</v>
      </c>
      <c r="L133" s="2">
        <v>0</v>
      </c>
      <c r="M133" s="2">
        <v>25</v>
      </c>
      <c r="N133">
        <v>1</v>
      </c>
      <c r="O133" s="3">
        <v>1</v>
      </c>
      <c r="P133" s="2">
        <v>25</v>
      </c>
      <c r="R133" t="s">
        <v>968</v>
      </c>
    </row>
    <row r="134" spans="1:18" x14ac:dyDescent="0.25">
      <c r="A134" s="4">
        <v>102245394200</v>
      </c>
      <c r="B134" s="4" t="str">
        <f t="shared" si="2"/>
        <v>102245394200OVR</v>
      </c>
      <c r="C134" t="s">
        <v>621</v>
      </c>
      <c r="D134" t="s">
        <v>59</v>
      </c>
      <c r="E134">
        <v>20411454</v>
      </c>
      <c r="F134" t="s">
        <v>973</v>
      </c>
      <c r="G134" t="s">
        <v>49</v>
      </c>
      <c r="H134" t="s">
        <v>237</v>
      </c>
      <c r="I134" s="1">
        <v>46023</v>
      </c>
      <c r="J134" t="s">
        <v>51</v>
      </c>
      <c r="K134" t="s">
        <v>52</v>
      </c>
      <c r="L134" s="2">
        <v>0</v>
      </c>
      <c r="M134" s="2">
        <v>25</v>
      </c>
      <c r="N134">
        <v>1</v>
      </c>
      <c r="O134" s="3">
        <v>1</v>
      </c>
      <c r="P134" s="2">
        <v>25</v>
      </c>
      <c r="R134" t="s">
        <v>968</v>
      </c>
    </row>
    <row r="135" spans="1:18" x14ac:dyDescent="0.25">
      <c r="A135" s="4">
        <v>102245415500</v>
      </c>
      <c r="B135" s="4" t="str">
        <f t="shared" si="2"/>
        <v>102245415500OVR</v>
      </c>
      <c r="C135" t="s">
        <v>623</v>
      </c>
      <c r="D135" t="s">
        <v>59</v>
      </c>
      <c r="E135">
        <v>20411454</v>
      </c>
      <c r="F135" t="s">
        <v>973</v>
      </c>
      <c r="G135" t="s">
        <v>49</v>
      </c>
      <c r="H135" t="s">
        <v>237</v>
      </c>
      <c r="I135" s="1">
        <v>46023</v>
      </c>
      <c r="J135" t="s">
        <v>51</v>
      </c>
      <c r="K135" t="s">
        <v>52</v>
      </c>
      <c r="L135" s="2">
        <v>0</v>
      </c>
      <c r="M135" s="2">
        <v>25</v>
      </c>
      <c r="N135">
        <v>1</v>
      </c>
      <c r="O135" s="3">
        <v>1</v>
      </c>
      <c r="P135" s="2">
        <v>25</v>
      </c>
      <c r="R135" t="s">
        <v>968</v>
      </c>
    </row>
    <row r="136" spans="1:18" x14ac:dyDescent="0.25">
      <c r="A136" s="4">
        <v>102245700500</v>
      </c>
      <c r="B136" s="4" t="str">
        <f t="shared" si="2"/>
        <v>102245700500OVR</v>
      </c>
      <c r="C136" t="s">
        <v>625</v>
      </c>
      <c r="D136" t="s">
        <v>200</v>
      </c>
      <c r="E136">
        <v>20411454</v>
      </c>
      <c r="F136" t="s">
        <v>973</v>
      </c>
      <c r="G136" t="s">
        <v>49</v>
      </c>
      <c r="H136" t="s">
        <v>237</v>
      </c>
      <c r="I136" s="1">
        <v>46023</v>
      </c>
      <c r="J136" t="s">
        <v>51</v>
      </c>
      <c r="K136" t="s">
        <v>52</v>
      </c>
      <c r="L136" s="2">
        <v>0</v>
      </c>
      <c r="M136" s="2">
        <v>25</v>
      </c>
      <c r="N136">
        <v>1</v>
      </c>
      <c r="O136" s="3">
        <v>1</v>
      </c>
      <c r="P136" s="2">
        <v>25</v>
      </c>
      <c r="R136" t="s">
        <v>968</v>
      </c>
    </row>
    <row r="137" spans="1:18" x14ac:dyDescent="0.25">
      <c r="A137" s="4">
        <v>102245722100</v>
      </c>
      <c r="B137" s="4" t="str">
        <f t="shared" si="2"/>
        <v>102245722100OVR</v>
      </c>
      <c r="C137" t="s">
        <v>627</v>
      </c>
      <c r="D137" t="s">
        <v>200</v>
      </c>
      <c r="E137">
        <v>20411454</v>
      </c>
      <c r="F137" t="s">
        <v>973</v>
      </c>
      <c r="G137" t="s">
        <v>49</v>
      </c>
      <c r="H137" t="s">
        <v>237</v>
      </c>
      <c r="I137" s="1">
        <v>46023</v>
      </c>
      <c r="J137" t="s">
        <v>51</v>
      </c>
      <c r="K137" t="s">
        <v>52</v>
      </c>
      <c r="L137" s="2">
        <v>0</v>
      </c>
      <c r="M137" s="2">
        <v>25</v>
      </c>
      <c r="N137">
        <v>1</v>
      </c>
      <c r="O137" s="3">
        <v>1</v>
      </c>
      <c r="P137" s="2">
        <v>25</v>
      </c>
      <c r="R137" t="s">
        <v>968</v>
      </c>
    </row>
    <row r="138" spans="1:18" x14ac:dyDescent="0.25">
      <c r="A138" s="4">
        <v>102246201600</v>
      </c>
      <c r="B138" s="4" t="str">
        <f t="shared" si="2"/>
        <v>102246201600OVR</v>
      </c>
      <c r="C138" t="s">
        <v>631</v>
      </c>
      <c r="D138" t="s">
        <v>145</v>
      </c>
      <c r="E138">
        <v>20411454</v>
      </c>
      <c r="F138" t="s">
        <v>973</v>
      </c>
      <c r="G138" t="s">
        <v>49</v>
      </c>
      <c r="H138" t="s">
        <v>237</v>
      </c>
      <c r="I138" s="1">
        <v>46023</v>
      </c>
      <c r="J138" t="s">
        <v>51</v>
      </c>
      <c r="K138" t="s">
        <v>52</v>
      </c>
      <c r="L138" s="2">
        <v>0</v>
      </c>
      <c r="M138" s="2">
        <v>25</v>
      </c>
      <c r="N138">
        <v>1</v>
      </c>
      <c r="O138" s="3">
        <v>1</v>
      </c>
      <c r="P138" s="2">
        <v>25</v>
      </c>
      <c r="R138" t="s">
        <v>968</v>
      </c>
    </row>
    <row r="139" spans="1:18" x14ac:dyDescent="0.25">
      <c r="A139" s="4">
        <v>102246215900</v>
      </c>
      <c r="B139" s="4" t="str">
        <f t="shared" si="2"/>
        <v>102246215900OVR</v>
      </c>
      <c r="C139" t="s">
        <v>633</v>
      </c>
      <c r="D139" t="s">
        <v>200</v>
      </c>
      <c r="E139">
        <v>20411454</v>
      </c>
      <c r="F139" t="s">
        <v>973</v>
      </c>
      <c r="G139" t="s">
        <v>49</v>
      </c>
      <c r="H139" t="s">
        <v>237</v>
      </c>
      <c r="I139" s="1">
        <v>46023</v>
      </c>
      <c r="J139" t="s">
        <v>51</v>
      </c>
      <c r="K139" t="s">
        <v>52</v>
      </c>
      <c r="L139" s="2">
        <v>0</v>
      </c>
      <c r="M139" s="2">
        <v>25</v>
      </c>
      <c r="N139">
        <v>1</v>
      </c>
      <c r="O139" s="3">
        <v>1</v>
      </c>
      <c r="P139" s="2">
        <v>25</v>
      </c>
      <c r="R139" t="s">
        <v>968</v>
      </c>
    </row>
    <row r="140" spans="1:18" x14ac:dyDescent="0.25">
      <c r="A140" s="4">
        <v>102246236900</v>
      </c>
      <c r="B140" s="4" t="str">
        <f t="shared" si="2"/>
        <v>102246236900OVR</v>
      </c>
      <c r="C140" t="s">
        <v>635</v>
      </c>
      <c r="D140" t="s">
        <v>145</v>
      </c>
      <c r="E140">
        <v>20411454</v>
      </c>
      <c r="F140" t="s">
        <v>973</v>
      </c>
      <c r="G140" t="s">
        <v>49</v>
      </c>
      <c r="H140" t="s">
        <v>237</v>
      </c>
      <c r="I140" s="1">
        <v>46023</v>
      </c>
      <c r="J140" t="s">
        <v>51</v>
      </c>
      <c r="K140" t="s">
        <v>52</v>
      </c>
      <c r="L140" s="2">
        <v>0</v>
      </c>
      <c r="M140" s="2">
        <v>25</v>
      </c>
      <c r="N140">
        <v>1</v>
      </c>
      <c r="O140" s="3">
        <v>1</v>
      </c>
      <c r="P140" s="2">
        <v>25</v>
      </c>
      <c r="R140" t="s">
        <v>968</v>
      </c>
    </row>
    <row r="141" spans="1:18" x14ac:dyDescent="0.25">
      <c r="A141" s="4">
        <v>102246537000</v>
      </c>
      <c r="B141" s="4" t="str">
        <f t="shared" si="2"/>
        <v>102246537000OVR</v>
      </c>
      <c r="C141" t="s">
        <v>637</v>
      </c>
      <c r="D141" t="s">
        <v>121</v>
      </c>
      <c r="E141">
        <v>20411454</v>
      </c>
      <c r="F141" t="s">
        <v>973</v>
      </c>
      <c r="G141" t="s">
        <v>49</v>
      </c>
      <c r="H141" t="s">
        <v>237</v>
      </c>
      <c r="I141" s="1">
        <v>46023</v>
      </c>
      <c r="J141" t="s">
        <v>51</v>
      </c>
      <c r="K141" t="s">
        <v>52</v>
      </c>
      <c r="L141" s="2">
        <v>0</v>
      </c>
      <c r="M141" s="2">
        <v>25</v>
      </c>
      <c r="N141">
        <v>1</v>
      </c>
      <c r="O141" s="3">
        <v>1</v>
      </c>
      <c r="P141" s="2">
        <v>25</v>
      </c>
      <c r="R141" t="s">
        <v>968</v>
      </c>
    </row>
    <row r="142" spans="1:18" x14ac:dyDescent="0.25">
      <c r="A142" s="4">
        <v>102246566400</v>
      </c>
      <c r="B142" s="4" t="str">
        <f t="shared" si="2"/>
        <v>102246566400OVR</v>
      </c>
      <c r="C142" t="s">
        <v>639</v>
      </c>
      <c r="D142" t="s">
        <v>59</v>
      </c>
      <c r="E142">
        <v>20411454</v>
      </c>
      <c r="F142" t="s">
        <v>973</v>
      </c>
      <c r="G142" t="s">
        <v>49</v>
      </c>
      <c r="H142" t="s">
        <v>237</v>
      </c>
      <c r="I142" s="1">
        <v>46023</v>
      </c>
      <c r="J142" t="s">
        <v>51</v>
      </c>
      <c r="K142" t="s">
        <v>52</v>
      </c>
      <c r="L142" s="2">
        <v>0</v>
      </c>
      <c r="M142" s="2">
        <v>25</v>
      </c>
      <c r="N142">
        <v>1</v>
      </c>
      <c r="O142" s="3">
        <v>1</v>
      </c>
      <c r="P142" s="2">
        <v>25</v>
      </c>
      <c r="R142" t="s">
        <v>968</v>
      </c>
    </row>
    <row r="143" spans="1:18" x14ac:dyDescent="0.25">
      <c r="A143" s="4">
        <v>102246668300</v>
      </c>
      <c r="B143" s="4" t="str">
        <f t="shared" si="2"/>
        <v>102246668300OVR</v>
      </c>
      <c r="C143" t="s">
        <v>641</v>
      </c>
      <c r="D143" t="s">
        <v>59</v>
      </c>
      <c r="E143">
        <v>20411454</v>
      </c>
      <c r="F143" t="s">
        <v>973</v>
      </c>
      <c r="G143" t="s">
        <v>49</v>
      </c>
      <c r="H143" t="s">
        <v>237</v>
      </c>
      <c r="I143" s="1">
        <v>46023</v>
      </c>
      <c r="J143" t="s">
        <v>51</v>
      </c>
      <c r="K143" t="s">
        <v>52</v>
      </c>
      <c r="L143" s="2">
        <v>0</v>
      </c>
      <c r="M143" s="2">
        <v>25</v>
      </c>
      <c r="N143">
        <v>1</v>
      </c>
      <c r="O143" s="3">
        <v>1</v>
      </c>
      <c r="P143" s="2">
        <v>25</v>
      </c>
      <c r="R143" t="s">
        <v>968</v>
      </c>
    </row>
    <row r="144" spans="1:18" x14ac:dyDescent="0.25">
      <c r="A144" s="4">
        <v>102246744200</v>
      </c>
      <c r="B144" s="4" t="str">
        <f t="shared" si="2"/>
        <v>102246744200OVR</v>
      </c>
      <c r="C144" t="s">
        <v>643</v>
      </c>
      <c r="D144" t="s">
        <v>614</v>
      </c>
      <c r="E144">
        <v>20411454</v>
      </c>
      <c r="F144" t="s">
        <v>973</v>
      </c>
      <c r="G144" t="s">
        <v>49</v>
      </c>
      <c r="H144" t="s">
        <v>237</v>
      </c>
      <c r="I144" s="1">
        <v>46023</v>
      </c>
      <c r="J144" t="s">
        <v>51</v>
      </c>
      <c r="K144" t="s">
        <v>52</v>
      </c>
      <c r="L144" s="2">
        <v>0</v>
      </c>
      <c r="M144" s="2">
        <v>25</v>
      </c>
      <c r="N144">
        <v>1</v>
      </c>
      <c r="O144" s="3">
        <v>1</v>
      </c>
      <c r="P144" s="2">
        <v>25</v>
      </c>
      <c r="R144" t="s">
        <v>968</v>
      </c>
    </row>
    <row r="145" spans="1:18" x14ac:dyDescent="0.25">
      <c r="A145" s="4">
        <v>102246817000</v>
      </c>
      <c r="B145" s="4" t="str">
        <f t="shared" si="2"/>
        <v>102246817000OVR</v>
      </c>
      <c r="C145" t="s">
        <v>645</v>
      </c>
      <c r="D145" t="s">
        <v>59</v>
      </c>
      <c r="E145">
        <v>20411454</v>
      </c>
      <c r="F145" t="s">
        <v>973</v>
      </c>
      <c r="G145" t="s">
        <v>49</v>
      </c>
      <c r="H145" t="s">
        <v>237</v>
      </c>
      <c r="I145" s="1">
        <v>46023</v>
      </c>
      <c r="J145" t="s">
        <v>51</v>
      </c>
      <c r="K145" t="s">
        <v>52</v>
      </c>
      <c r="L145" s="2">
        <v>0</v>
      </c>
      <c r="M145" s="2">
        <v>25</v>
      </c>
      <c r="N145">
        <v>1</v>
      </c>
      <c r="O145" s="3">
        <v>1</v>
      </c>
      <c r="P145" s="2">
        <v>25</v>
      </c>
      <c r="R145" t="s">
        <v>968</v>
      </c>
    </row>
    <row r="146" spans="1:18" x14ac:dyDescent="0.25">
      <c r="A146" s="4">
        <v>102246824100</v>
      </c>
      <c r="B146" s="4" t="str">
        <f t="shared" si="2"/>
        <v>102246824100OVR</v>
      </c>
      <c r="C146" t="s">
        <v>647</v>
      </c>
      <c r="D146" t="s">
        <v>59</v>
      </c>
      <c r="E146">
        <v>20411454</v>
      </c>
      <c r="F146" t="s">
        <v>973</v>
      </c>
      <c r="G146" t="s">
        <v>49</v>
      </c>
      <c r="H146" t="s">
        <v>237</v>
      </c>
      <c r="I146" s="1">
        <v>46023</v>
      </c>
      <c r="J146" t="s">
        <v>51</v>
      </c>
      <c r="K146" t="s">
        <v>52</v>
      </c>
      <c r="L146" s="2">
        <v>0</v>
      </c>
      <c r="M146" s="2">
        <v>25</v>
      </c>
      <c r="N146">
        <v>1</v>
      </c>
      <c r="O146" s="3">
        <v>1</v>
      </c>
      <c r="P146" s="2">
        <v>25</v>
      </c>
      <c r="R146" t="s">
        <v>968</v>
      </c>
    </row>
    <row r="147" spans="1:18" x14ac:dyDescent="0.25">
      <c r="A147" s="4">
        <v>102246828600</v>
      </c>
      <c r="B147" s="4" t="str">
        <f t="shared" si="2"/>
        <v>102246828600OVR</v>
      </c>
      <c r="C147" t="s">
        <v>649</v>
      </c>
      <c r="D147" t="s">
        <v>200</v>
      </c>
      <c r="E147">
        <v>20411454</v>
      </c>
      <c r="F147" t="s">
        <v>973</v>
      </c>
      <c r="G147" t="s">
        <v>49</v>
      </c>
      <c r="H147" t="s">
        <v>237</v>
      </c>
      <c r="I147" s="1">
        <v>46023</v>
      </c>
      <c r="J147" t="s">
        <v>51</v>
      </c>
      <c r="K147" t="s">
        <v>52</v>
      </c>
      <c r="L147" s="2">
        <v>0</v>
      </c>
      <c r="M147" s="2">
        <v>25</v>
      </c>
      <c r="N147">
        <v>1</v>
      </c>
      <c r="O147" s="3">
        <v>1</v>
      </c>
      <c r="P147" s="2">
        <v>25</v>
      </c>
      <c r="R147" t="s">
        <v>968</v>
      </c>
    </row>
    <row r="148" spans="1:18" x14ac:dyDescent="0.25">
      <c r="A148" s="4">
        <v>102246895500</v>
      </c>
      <c r="B148" s="4" t="str">
        <f t="shared" si="2"/>
        <v>102246895500OVR</v>
      </c>
      <c r="C148" t="s">
        <v>651</v>
      </c>
      <c r="D148" t="s">
        <v>59</v>
      </c>
      <c r="E148">
        <v>20411454</v>
      </c>
      <c r="F148" t="s">
        <v>973</v>
      </c>
      <c r="G148" t="s">
        <v>49</v>
      </c>
      <c r="H148" t="s">
        <v>237</v>
      </c>
      <c r="I148" s="1">
        <v>46023</v>
      </c>
      <c r="J148" t="s">
        <v>51</v>
      </c>
      <c r="K148" t="s">
        <v>52</v>
      </c>
      <c r="L148" s="2">
        <v>0</v>
      </c>
      <c r="M148" s="2">
        <v>25</v>
      </c>
      <c r="N148">
        <v>1</v>
      </c>
      <c r="O148" s="3">
        <v>1</v>
      </c>
      <c r="P148" s="2">
        <v>25</v>
      </c>
      <c r="R148" t="s">
        <v>968</v>
      </c>
    </row>
    <row r="149" spans="1:18" x14ac:dyDescent="0.25">
      <c r="A149" s="4">
        <v>102246910800</v>
      </c>
      <c r="B149" s="4" t="str">
        <f t="shared" si="2"/>
        <v>102246910800OVR</v>
      </c>
      <c r="C149" t="s">
        <v>653</v>
      </c>
      <c r="D149" t="s">
        <v>59</v>
      </c>
      <c r="E149">
        <v>20411454</v>
      </c>
      <c r="F149" t="s">
        <v>973</v>
      </c>
      <c r="G149" t="s">
        <v>49</v>
      </c>
      <c r="H149" t="s">
        <v>237</v>
      </c>
      <c r="I149" s="1">
        <v>46023</v>
      </c>
      <c r="J149" t="s">
        <v>51</v>
      </c>
      <c r="K149" t="s">
        <v>52</v>
      </c>
      <c r="L149" s="2">
        <v>0</v>
      </c>
      <c r="M149" s="2">
        <v>25</v>
      </c>
      <c r="N149">
        <v>1</v>
      </c>
      <c r="O149" s="3">
        <v>1</v>
      </c>
      <c r="P149" s="2">
        <v>25</v>
      </c>
      <c r="R149" t="s">
        <v>968</v>
      </c>
    </row>
    <row r="150" spans="1:18" x14ac:dyDescent="0.25">
      <c r="A150" s="4">
        <v>102246976600</v>
      </c>
      <c r="B150" s="4" t="str">
        <f t="shared" si="2"/>
        <v>102246976600OVR</v>
      </c>
      <c r="C150" t="s">
        <v>655</v>
      </c>
      <c r="D150" t="s">
        <v>59</v>
      </c>
      <c r="E150">
        <v>20411454</v>
      </c>
      <c r="F150" t="s">
        <v>973</v>
      </c>
      <c r="G150" t="s">
        <v>49</v>
      </c>
      <c r="H150" t="s">
        <v>237</v>
      </c>
      <c r="I150" s="1">
        <v>46023</v>
      </c>
      <c r="J150" t="s">
        <v>51</v>
      </c>
      <c r="K150" t="s">
        <v>52</v>
      </c>
      <c r="L150" s="2">
        <v>0</v>
      </c>
      <c r="M150" s="2">
        <v>25</v>
      </c>
      <c r="N150">
        <v>1</v>
      </c>
      <c r="O150" s="3">
        <v>1</v>
      </c>
      <c r="P150" s="2">
        <v>25</v>
      </c>
      <c r="R150" t="s">
        <v>968</v>
      </c>
    </row>
    <row r="151" spans="1:18" x14ac:dyDescent="0.25">
      <c r="A151" s="4">
        <v>102247026400</v>
      </c>
      <c r="B151" s="4" t="str">
        <f t="shared" si="2"/>
        <v>102247026400OVR</v>
      </c>
      <c r="C151" t="s">
        <v>657</v>
      </c>
      <c r="D151" t="s">
        <v>145</v>
      </c>
      <c r="E151">
        <v>20411454</v>
      </c>
      <c r="F151" t="s">
        <v>973</v>
      </c>
      <c r="G151" t="s">
        <v>49</v>
      </c>
      <c r="H151" t="s">
        <v>237</v>
      </c>
      <c r="I151" s="1">
        <v>46023</v>
      </c>
      <c r="J151" t="s">
        <v>51</v>
      </c>
      <c r="K151" t="s">
        <v>52</v>
      </c>
      <c r="L151" s="2">
        <v>0</v>
      </c>
      <c r="M151" s="2">
        <v>25</v>
      </c>
      <c r="N151">
        <v>1</v>
      </c>
      <c r="O151" s="3">
        <v>1</v>
      </c>
      <c r="P151" s="2">
        <v>25</v>
      </c>
      <c r="R151" t="s">
        <v>968</v>
      </c>
    </row>
    <row r="152" spans="1:18" x14ac:dyDescent="0.25">
      <c r="A152" s="4">
        <v>102247349600</v>
      </c>
      <c r="B152" s="4" t="str">
        <f t="shared" si="2"/>
        <v>102247349600OVR</v>
      </c>
      <c r="C152" t="s">
        <v>659</v>
      </c>
      <c r="D152" t="s">
        <v>341</v>
      </c>
      <c r="E152">
        <v>20411454</v>
      </c>
      <c r="F152" t="s">
        <v>973</v>
      </c>
      <c r="G152" t="s">
        <v>49</v>
      </c>
      <c r="H152" t="s">
        <v>237</v>
      </c>
      <c r="I152" s="1">
        <v>46023</v>
      </c>
      <c r="J152" t="s">
        <v>51</v>
      </c>
      <c r="K152" t="s">
        <v>52</v>
      </c>
      <c r="L152" s="2">
        <v>0</v>
      </c>
      <c r="M152" s="2">
        <v>25</v>
      </c>
      <c r="N152">
        <v>1</v>
      </c>
      <c r="O152" s="3">
        <v>1</v>
      </c>
      <c r="P152" s="2">
        <v>25</v>
      </c>
      <c r="R152" t="s">
        <v>968</v>
      </c>
    </row>
    <row r="153" spans="1:18" x14ac:dyDescent="0.25">
      <c r="A153" s="4">
        <v>102247376400</v>
      </c>
      <c r="B153" s="4" t="str">
        <f t="shared" si="2"/>
        <v>102247376400OVR</v>
      </c>
      <c r="C153" t="s">
        <v>661</v>
      </c>
      <c r="D153" t="s">
        <v>341</v>
      </c>
      <c r="E153">
        <v>20411454</v>
      </c>
      <c r="F153" t="s">
        <v>973</v>
      </c>
      <c r="G153" t="s">
        <v>49</v>
      </c>
      <c r="H153" t="s">
        <v>237</v>
      </c>
      <c r="I153" s="1">
        <v>46023</v>
      </c>
      <c r="J153" t="s">
        <v>51</v>
      </c>
      <c r="K153" t="s">
        <v>52</v>
      </c>
      <c r="L153" s="2">
        <v>0</v>
      </c>
      <c r="M153" s="2">
        <v>25</v>
      </c>
      <c r="N153">
        <v>1</v>
      </c>
      <c r="O153" s="3">
        <v>1</v>
      </c>
      <c r="P153" s="2">
        <v>25</v>
      </c>
      <c r="R153" t="s">
        <v>968</v>
      </c>
    </row>
    <row r="154" spans="1:18" x14ac:dyDescent="0.25">
      <c r="A154" s="4">
        <v>102247489500</v>
      </c>
      <c r="B154" s="4" t="str">
        <f t="shared" si="2"/>
        <v>102247489500OVR</v>
      </c>
      <c r="C154" t="s">
        <v>663</v>
      </c>
      <c r="D154" t="s">
        <v>422</v>
      </c>
      <c r="E154">
        <v>20411454</v>
      </c>
      <c r="F154" t="s">
        <v>973</v>
      </c>
      <c r="G154" t="s">
        <v>49</v>
      </c>
      <c r="H154" t="s">
        <v>237</v>
      </c>
      <c r="I154" s="1">
        <v>46023</v>
      </c>
      <c r="J154" t="s">
        <v>51</v>
      </c>
      <c r="K154" t="s">
        <v>52</v>
      </c>
      <c r="L154" s="2">
        <v>0</v>
      </c>
      <c r="M154" s="2">
        <v>25</v>
      </c>
      <c r="N154">
        <v>1</v>
      </c>
      <c r="O154" s="3">
        <v>1</v>
      </c>
      <c r="P154" s="2">
        <v>25</v>
      </c>
      <c r="R154" t="s">
        <v>968</v>
      </c>
    </row>
    <row r="155" spans="1:18" x14ac:dyDescent="0.25">
      <c r="A155" s="4">
        <v>102247514600</v>
      </c>
      <c r="B155" s="4" t="str">
        <f t="shared" si="2"/>
        <v>102247514600OVR</v>
      </c>
      <c r="C155" t="s">
        <v>665</v>
      </c>
      <c r="D155" t="s">
        <v>145</v>
      </c>
      <c r="E155">
        <v>20411454</v>
      </c>
      <c r="F155" t="s">
        <v>973</v>
      </c>
      <c r="G155" t="s">
        <v>49</v>
      </c>
      <c r="H155" t="s">
        <v>237</v>
      </c>
      <c r="I155" s="1">
        <v>46023</v>
      </c>
      <c r="J155" t="s">
        <v>51</v>
      </c>
      <c r="K155" t="s">
        <v>52</v>
      </c>
      <c r="L155" s="2">
        <v>0</v>
      </c>
      <c r="M155" s="2">
        <v>25</v>
      </c>
      <c r="N155">
        <v>1</v>
      </c>
      <c r="O155" s="3">
        <v>1</v>
      </c>
      <c r="P155" s="2">
        <v>25</v>
      </c>
      <c r="R155" t="s">
        <v>968</v>
      </c>
    </row>
    <row r="156" spans="1:18" x14ac:dyDescent="0.25">
      <c r="A156" s="4">
        <v>102247520500</v>
      </c>
      <c r="B156" s="4" t="str">
        <f t="shared" si="2"/>
        <v>102247520500OVR</v>
      </c>
      <c r="C156" t="s">
        <v>667</v>
      </c>
      <c r="D156" t="s">
        <v>200</v>
      </c>
      <c r="E156">
        <v>20411454</v>
      </c>
      <c r="F156" t="s">
        <v>973</v>
      </c>
      <c r="G156" t="s">
        <v>49</v>
      </c>
      <c r="H156" t="s">
        <v>237</v>
      </c>
      <c r="I156" s="1">
        <v>46023</v>
      </c>
      <c r="J156" t="s">
        <v>51</v>
      </c>
      <c r="K156" t="s">
        <v>52</v>
      </c>
      <c r="L156" s="2">
        <v>0</v>
      </c>
      <c r="M156" s="2">
        <v>25</v>
      </c>
      <c r="N156">
        <v>1</v>
      </c>
      <c r="O156" s="3">
        <v>1</v>
      </c>
      <c r="P156" s="2">
        <v>25</v>
      </c>
      <c r="R156" t="s">
        <v>968</v>
      </c>
    </row>
    <row r="157" spans="1:18" x14ac:dyDescent="0.25">
      <c r="A157" s="4">
        <v>102247547100</v>
      </c>
      <c r="B157" s="4" t="str">
        <f t="shared" si="2"/>
        <v>102247547100OVR</v>
      </c>
      <c r="C157" t="s">
        <v>669</v>
      </c>
      <c r="D157" t="s">
        <v>200</v>
      </c>
      <c r="E157">
        <v>20411454</v>
      </c>
      <c r="F157" t="s">
        <v>973</v>
      </c>
      <c r="G157" t="s">
        <v>49</v>
      </c>
      <c r="H157" t="s">
        <v>237</v>
      </c>
      <c r="I157" s="1">
        <v>46023</v>
      </c>
      <c r="J157" t="s">
        <v>51</v>
      </c>
      <c r="K157" t="s">
        <v>52</v>
      </c>
      <c r="L157" s="2">
        <v>0</v>
      </c>
      <c r="M157" s="2">
        <v>25</v>
      </c>
      <c r="N157">
        <v>1</v>
      </c>
      <c r="O157" s="3">
        <v>1</v>
      </c>
      <c r="P157" s="2">
        <v>25</v>
      </c>
      <c r="R157" t="s">
        <v>968</v>
      </c>
    </row>
    <row r="158" spans="1:18" x14ac:dyDescent="0.25">
      <c r="A158" s="4">
        <v>102247696200</v>
      </c>
      <c r="B158" s="4" t="str">
        <f t="shared" si="2"/>
        <v>102247696200OVR</v>
      </c>
      <c r="C158" t="s">
        <v>671</v>
      </c>
      <c r="D158" t="s">
        <v>672</v>
      </c>
      <c r="E158">
        <v>20411454</v>
      </c>
      <c r="F158" t="s">
        <v>973</v>
      </c>
      <c r="G158" t="s">
        <v>49</v>
      </c>
      <c r="H158" t="s">
        <v>237</v>
      </c>
      <c r="I158" s="1">
        <v>46023</v>
      </c>
      <c r="J158" t="s">
        <v>51</v>
      </c>
      <c r="K158" t="s">
        <v>52</v>
      </c>
      <c r="L158" s="2">
        <v>0</v>
      </c>
      <c r="M158" s="2">
        <v>25</v>
      </c>
      <c r="N158">
        <v>1</v>
      </c>
      <c r="O158" s="3">
        <v>1</v>
      </c>
      <c r="P158" s="2">
        <v>25</v>
      </c>
      <c r="R158" t="s">
        <v>968</v>
      </c>
    </row>
    <row r="159" spans="1:18" x14ac:dyDescent="0.25">
      <c r="A159" s="4">
        <v>102248185200</v>
      </c>
      <c r="B159" s="4" t="str">
        <f t="shared" si="2"/>
        <v>102248185200OVR</v>
      </c>
      <c r="C159" t="s">
        <v>674</v>
      </c>
      <c r="D159" t="s">
        <v>200</v>
      </c>
      <c r="E159">
        <v>20411454</v>
      </c>
      <c r="F159" t="s">
        <v>973</v>
      </c>
      <c r="G159" t="s">
        <v>49</v>
      </c>
      <c r="H159" t="s">
        <v>237</v>
      </c>
      <c r="I159" s="1">
        <v>46023</v>
      </c>
      <c r="J159" t="s">
        <v>51</v>
      </c>
      <c r="K159" t="s">
        <v>52</v>
      </c>
      <c r="L159" s="2">
        <v>0</v>
      </c>
      <c r="M159" s="2">
        <v>25</v>
      </c>
      <c r="N159">
        <v>1</v>
      </c>
      <c r="O159" s="3">
        <v>1</v>
      </c>
      <c r="P159" s="2">
        <v>25</v>
      </c>
      <c r="R159" t="s">
        <v>968</v>
      </c>
    </row>
    <row r="160" spans="1:18" x14ac:dyDescent="0.25">
      <c r="A160" s="4">
        <v>102248445200</v>
      </c>
      <c r="B160" s="4" t="str">
        <f t="shared" si="2"/>
        <v>102248445200OVR</v>
      </c>
      <c r="C160" t="s">
        <v>682</v>
      </c>
      <c r="D160" t="s">
        <v>341</v>
      </c>
      <c r="E160">
        <v>20411454</v>
      </c>
      <c r="F160" t="s">
        <v>973</v>
      </c>
      <c r="G160" t="s">
        <v>49</v>
      </c>
      <c r="H160" t="s">
        <v>237</v>
      </c>
      <c r="I160" s="1">
        <v>46023</v>
      </c>
      <c r="J160" t="s">
        <v>51</v>
      </c>
      <c r="K160" t="s">
        <v>52</v>
      </c>
      <c r="L160" s="2">
        <v>0</v>
      </c>
      <c r="M160" s="2">
        <v>25</v>
      </c>
      <c r="N160">
        <v>1</v>
      </c>
      <c r="O160" s="3">
        <v>1</v>
      </c>
      <c r="P160" s="2">
        <v>25</v>
      </c>
      <c r="R160" t="s">
        <v>968</v>
      </c>
    </row>
    <row r="161" spans="1:18" x14ac:dyDescent="0.25">
      <c r="A161" s="4">
        <v>102248472400</v>
      </c>
      <c r="B161" s="4" t="str">
        <f t="shared" si="2"/>
        <v>102248472400OVR</v>
      </c>
      <c r="C161" t="s">
        <v>684</v>
      </c>
      <c r="D161" t="s">
        <v>59</v>
      </c>
      <c r="E161">
        <v>20411454</v>
      </c>
      <c r="F161" t="s">
        <v>973</v>
      </c>
      <c r="G161" t="s">
        <v>49</v>
      </c>
      <c r="H161" t="s">
        <v>237</v>
      </c>
      <c r="I161" s="1">
        <v>46023</v>
      </c>
      <c r="J161" t="s">
        <v>51</v>
      </c>
      <c r="K161" t="s">
        <v>52</v>
      </c>
      <c r="L161" s="2">
        <v>0</v>
      </c>
      <c r="M161" s="2">
        <v>25</v>
      </c>
      <c r="N161">
        <v>1</v>
      </c>
      <c r="O161" s="3">
        <v>1</v>
      </c>
      <c r="P161" s="2">
        <v>25</v>
      </c>
      <c r="R161" t="s">
        <v>968</v>
      </c>
    </row>
    <row r="162" spans="1:18" x14ac:dyDescent="0.25">
      <c r="A162" s="4">
        <v>102248473700</v>
      </c>
      <c r="B162" s="4" t="str">
        <f t="shared" si="2"/>
        <v>102248473700OVR</v>
      </c>
      <c r="C162" t="s">
        <v>686</v>
      </c>
      <c r="D162" t="s">
        <v>59</v>
      </c>
      <c r="E162">
        <v>20411454</v>
      </c>
      <c r="F162" t="s">
        <v>973</v>
      </c>
      <c r="G162" t="s">
        <v>49</v>
      </c>
      <c r="H162" t="s">
        <v>237</v>
      </c>
      <c r="I162" s="1">
        <v>46023</v>
      </c>
      <c r="J162" t="s">
        <v>51</v>
      </c>
      <c r="K162" t="s">
        <v>52</v>
      </c>
      <c r="L162" s="2">
        <v>0</v>
      </c>
      <c r="M162" s="2">
        <v>25</v>
      </c>
      <c r="N162">
        <v>1</v>
      </c>
      <c r="O162" s="3">
        <v>1</v>
      </c>
      <c r="P162" s="2">
        <v>25</v>
      </c>
      <c r="R162" t="s">
        <v>968</v>
      </c>
    </row>
    <row r="163" spans="1:18" x14ac:dyDescent="0.25">
      <c r="A163" s="4">
        <v>102248534900</v>
      </c>
      <c r="B163" s="4" t="str">
        <f t="shared" si="2"/>
        <v>102248534900OVR</v>
      </c>
      <c r="C163" t="s">
        <v>690</v>
      </c>
      <c r="D163" t="s">
        <v>59</v>
      </c>
      <c r="E163">
        <v>20411454</v>
      </c>
      <c r="F163" t="s">
        <v>973</v>
      </c>
      <c r="G163" t="s">
        <v>49</v>
      </c>
      <c r="H163" t="s">
        <v>237</v>
      </c>
      <c r="I163" s="1">
        <v>46023</v>
      </c>
      <c r="J163" t="s">
        <v>51</v>
      </c>
      <c r="K163" t="s">
        <v>52</v>
      </c>
      <c r="L163" s="2">
        <v>0</v>
      </c>
      <c r="M163" s="2">
        <v>25</v>
      </c>
      <c r="N163">
        <v>1</v>
      </c>
      <c r="O163" s="3">
        <v>1</v>
      </c>
      <c r="P163" s="2">
        <v>25</v>
      </c>
      <c r="R163" t="s">
        <v>968</v>
      </c>
    </row>
    <row r="164" spans="1:18" x14ac:dyDescent="0.25">
      <c r="A164" s="4">
        <v>102248541400</v>
      </c>
      <c r="B164" s="4" t="str">
        <f t="shared" si="2"/>
        <v>102248541400OVR</v>
      </c>
      <c r="C164" t="s">
        <v>692</v>
      </c>
      <c r="D164" t="s">
        <v>200</v>
      </c>
      <c r="E164">
        <v>20411454</v>
      </c>
      <c r="F164" t="s">
        <v>973</v>
      </c>
      <c r="G164" t="s">
        <v>49</v>
      </c>
      <c r="H164" t="s">
        <v>237</v>
      </c>
      <c r="I164" s="1">
        <v>46023</v>
      </c>
      <c r="J164" t="s">
        <v>51</v>
      </c>
      <c r="K164" t="s">
        <v>52</v>
      </c>
      <c r="L164" s="2">
        <v>0</v>
      </c>
      <c r="M164" s="2">
        <v>25</v>
      </c>
      <c r="N164">
        <v>1</v>
      </c>
      <c r="O164" s="3">
        <v>1</v>
      </c>
      <c r="P164" s="2">
        <v>25</v>
      </c>
      <c r="R164" t="s">
        <v>968</v>
      </c>
    </row>
    <row r="165" spans="1:18" x14ac:dyDescent="0.25">
      <c r="A165" s="4">
        <v>102248570800</v>
      </c>
      <c r="B165" s="4" t="str">
        <f t="shared" si="2"/>
        <v>102248570800OVR</v>
      </c>
      <c r="C165" t="s">
        <v>694</v>
      </c>
      <c r="D165" t="s">
        <v>59</v>
      </c>
      <c r="E165">
        <v>20411454</v>
      </c>
      <c r="F165" t="s">
        <v>973</v>
      </c>
      <c r="G165" t="s">
        <v>49</v>
      </c>
      <c r="H165" t="s">
        <v>237</v>
      </c>
      <c r="I165" s="1">
        <v>46023</v>
      </c>
      <c r="J165" t="s">
        <v>51</v>
      </c>
      <c r="K165" t="s">
        <v>52</v>
      </c>
      <c r="L165" s="2">
        <v>0</v>
      </c>
      <c r="M165" s="2">
        <v>25</v>
      </c>
      <c r="N165">
        <v>1</v>
      </c>
      <c r="O165" s="3">
        <v>1</v>
      </c>
      <c r="P165" s="2">
        <v>25</v>
      </c>
      <c r="R165" t="s">
        <v>968</v>
      </c>
    </row>
    <row r="166" spans="1:18" x14ac:dyDescent="0.25">
      <c r="A166" s="4">
        <v>102248651000</v>
      </c>
      <c r="B166" s="4" t="str">
        <f t="shared" si="2"/>
        <v>102248651000OVR</v>
      </c>
      <c r="C166" t="s">
        <v>698</v>
      </c>
      <c r="D166" t="s">
        <v>200</v>
      </c>
      <c r="E166">
        <v>20411454</v>
      </c>
      <c r="F166" t="s">
        <v>973</v>
      </c>
      <c r="G166" t="s">
        <v>49</v>
      </c>
      <c r="H166" t="s">
        <v>237</v>
      </c>
      <c r="I166" s="1">
        <v>46023</v>
      </c>
      <c r="J166" t="s">
        <v>51</v>
      </c>
      <c r="K166" t="s">
        <v>52</v>
      </c>
      <c r="L166" s="2">
        <v>0</v>
      </c>
      <c r="M166" s="2">
        <v>25</v>
      </c>
      <c r="N166">
        <v>1</v>
      </c>
      <c r="O166" s="3">
        <v>1</v>
      </c>
      <c r="P166" s="2">
        <v>25</v>
      </c>
      <c r="R166" t="s">
        <v>968</v>
      </c>
    </row>
    <row r="167" spans="1:18" x14ac:dyDescent="0.25">
      <c r="A167" s="4">
        <v>102248663600</v>
      </c>
      <c r="B167" s="4" t="str">
        <f t="shared" si="2"/>
        <v>102248663600OVR</v>
      </c>
      <c r="C167" t="s">
        <v>700</v>
      </c>
      <c r="D167" t="s">
        <v>59</v>
      </c>
      <c r="E167">
        <v>20411454</v>
      </c>
      <c r="F167" t="s">
        <v>973</v>
      </c>
      <c r="G167" t="s">
        <v>49</v>
      </c>
      <c r="H167" t="s">
        <v>237</v>
      </c>
      <c r="I167" s="1">
        <v>46023</v>
      </c>
      <c r="J167" t="s">
        <v>51</v>
      </c>
      <c r="K167" t="s">
        <v>52</v>
      </c>
      <c r="L167" s="2">
        <v>0</v>
      </c>
      <c r="M167" s="2">
        <v>25</v>
      </c>
      <c r="N167">
        <v>1</v>
      </c>
      <c r="O167" s="3">
        <v>1</v>
      </c>
      <c r="P167" s="2">
        <v>25</v>
      </c>
      <c r="R167" t="s">
        <v>968</v>
      </c>
    </row>
    <row r="168" spans="1:18" x14ac:dyDescent="0.25">
      <c r="A168" s="4">
        <v>102248721400</v>
      </c>
      <c r="B168" s="4" t="str">
        <f t="shared" si="2"/>
        <v>102248721400OVR</v>
      </c>
      <c r="C168" t="s">
        <v>702</v>
      </c>
      <c r="D168" t="s">
        <v>200</v>
      </c>
      <c r="E168">
        <v>20411454</v>
      </c>
      <c r="F168" t="s">
        <v>973</v>
      </c>
      <c r="G168" t="s">
        <v>49</v>
      </c>
      <c r="H168" t="s">
        <v>237</v>
      </c>
      <c r="I168" s="1">
        <v>46023</v>
      </c>
      <c r="J168" t="s">
        <v>51</v>
      </c>
      <c r="K168" t="s">
        <v>52</v>
      </c>
      <c r="L168" s="2">
        <v>0</v>
      </c>
      <c r="M168" s="2">
        <v>25</v>
      </c>
      <c r="N168">
        <v>1</v>
      </c>
      <c r="O168" s="3">
        <v>1</v>
      </c>
      <c r="P168" s="2">
        <v>25</v>
      </c>
      <c r="R168" t="s">
        <v>968</v>
      </c>
    </row>
    <row r="169" spans="1:18" x14ac:dyDescent="0.25">
      <c r="A169" s="4">
        <v>102248815100</v>
      </c>
      <c r="B169" s="4" t="str">
        <f t="shared" si="2"/>
        <v>102248815100OVR</v>
      </c>
      <c r="C169" t="s">
        <v>704</v>
      </c>
      <c r="D169" t="s">
        <v>200</v>
      </c>
      <c r="E169">
        <v>20411454</v>
      </c>
      <c r="F169" t="s">
        <v>973</v>
      </c>
      <c r="G169" t="s">
        <v>49</v>
      </c>
      <c r="H169" t="s">
        <v>237</v>
      </c>
      <c r="I169" s="1">
        <v>46023</v>
      </c>
      <c r="J169" t="s">
        <v>51</v>
      </c>
      <c r="K169" t="s">
        <v>52</v>
      </c>
      <c r="L169" s="2">
        <v>0</v>
      </c>
      <c r="M169" s="2">
        <v>25</v>
      </c>
      <c r="N169">
        <v>1</v>
      </c>
      <c r="O169" s="3">
        <v>1</v>
      </c>
      <c r="P169" s="2">
        <v>25</v>
      </c>
      <c r="R169" t="s">
        <v>968</v>
      </c>
    </row>
    <row r="170" spans="1:18" x14ac:dyDescent="0.25">
      <c r="A170" s="4">
        <v>102248824000</v>
      </c>
      <c r="B170" s="4" t="str">
        <f t="shared" si="2"/>
        <v>102248824000OVR</v>
      </c>
      <c r="C170" t="s">
        <v>706</v>
      </c>
      <c r="D170" t="s">
        <v>59</v>
      </c>
      <c r="E170">
        <v>20411454</v>
      </c>
      <c r="F170" t="s">
        <v>973</v>
      </c>
      <c r="G170" t="s">
        <v>49</v>
      </c>
      <c r="H170" t="s">
        <v>237</v>
      </c>
      <c r="I170" s="1">
        <v>46023</v>
      </c>
      <c r="J170" t="s">
        <v>51</v>
      </c>
      <c r="K170" t="s">
        <v>52</v>
      </c>
      <c r="L170" s="2">
        <v>0</v>
      </c>
      <c r="M170" s="2">
        <v>25</v>
      </c>
      <c r="N170">
        <v>1</v>
      </c>
      <c r="O170" s="3">
        <v>1</v>
      </c>
      <c r="P170" s="2">
        <v>25</v>
      </c>
      <c r="R170" t="s">
        <v>968</v>
      </c>
    </row>
    <row r="171" spans="1:18" x14ac:dyDescent="0.25">
      <c r="A171" s="4">
        <v>102248826500</v>
      </c>
      <c r="B171" s="4" t="str">
        <f t="shared" si="2"/>
        <v>102248826500OVR</v>
      </c>
      <c r="C171" t="s">
        <v>708</v>
      </c>
      <c r="D171" t="s">
        <v>59</v>
      </c>
      <c r="E171">
        <v>20411454</v>
      </c>
      <c r="F171" t="s">
        <v>973</v>
      </c>
      <c r="G171" t="s">
        <v>49</v>
      </c>
      <c r="H171" t="s">
        <v>237</v>
      </c>
      <c r="I171" s="1">
        <v>46023</v>
      </c>
      <c r="J171" t="s">
        <v>51</v>
      </c>
      <c r="K171" t="s">
        <v>52</v>
      </c>
      <c r="L171" s="2">
        <v>0</v>
      </c>
      <c r="M171" s="2">
        <v>25</v>
      </c>
      <c r="N171">
        <v>1</v>
      </c>
      <c r="O171" s="3">
        <v>1</v>
      </c>
      <c r="P171" s="2">
        <v>25</v>
      </c>
      <c r="R171" t="s">
        <v>968</v>
      </c>
    </row>
    <row r="172" spans="1:18" x14ac:dyDescent="0.25">
      <c r="A172" s="4">
        <v>102248827600</v>
      </c>
      <c r="B172" s="4" t="str">
        <f t="shared" si="2"/>
        <v>102248827600OVR</v>
      </c>
      <c r="C172" t="s">
        <v>710</v>
      </c>
      <c r="D172" t="s">
        <v>59</v>
      </c>
      <c r="E172">
        <v>20411454</v>
      </c>
      <c r="F172" t="s">
        <v>973</v>
      </c>
      <c r="G172" t="s">
        <v>49</v>
      </c>
      <c r="H172" t="s">
        <v>237</v>
      </c>
      <c r="I172" s="1">
        <v>46023</v>
      </c>
      <c r="J172" t="s">
        <v>51</v>
      </c>
      <c r="K172" t="s">
        <v>52</v>
      </c>
      <c r="L172" s="2">
        <v>0</v>
      </c>
      <c r="M172" s="2">
        <v>25</v>
      </c>
      <c r="N172">
        <v>1</v>
      </c>
      <c r="O172" s="3">
        <v>1</v>
      </c>
      <c r="P172" s="2">
        <v>25</v>
      </c>
      <c r="R172" t="s">
        <v>968</v>
      </c>
    </row>
    <row r="173" spans="1:18" x14ac:dyDescent="0.25">
      <c r="A173" s="4">
        <v>102249000300</v>
      </c>
      <c r="B173" s="4" t="str">
        <f t="shared" si="2"/>
        <v>102249000300OVR</v>
      </c>
      <c r="C173" t="s">
        <v>712</v>
      </c>
      <c r="D173" t="s">
        <v>672</v>
      </c>
      <c r="E173">
        <v>20411454</v>
      </c>
      <c r="F173" t="s">
        <v>973</v>
      </c>
      <c r="G173" t="s">
        <v>49</v>
      </c>
      <c r="H173" t="s">
        <v>237</v>
      </c>
      <c r="I173" s="1">
        <v>46023</v>
      </c>
      <c r="J173" t="s">
        <v>51</v>
      </c>
      <c r="K173" t="s">
        <v>52</v>
      </c>
      <c r="L173" s="2">
        <v>0</v>
      </c>
      <c r="M173" s="2">
        <v>25</v>
      </c>
      <c r="N173">
        <v>1</v>
      </c>
      <c r="O173" s="3">
        <v>1</v>
      </c>
      <c r="P173" s="2">
        <v>25</v>
      </c>
      <c r="R173" t="s">
        <v>968</v>
      </c>
    </row>
    <row r="174" spans="1:18" x14ac:dyDescent="0.25">
      <c r="A174" s="4">
        <v>102249119900</v>
      </c>
      <c r="B174" s="4" t="str">
        <f t="shared" si="2"/>
        <v>102249119900OVR</v>
      </c>
      <c r="C174" t="s">
        <v>714</v>
      </c>
      <c r="D174" t="s">
        <v>145</v>
      </c>
      <c r="E174">
        <v>20411454</v>
      </c>
      <c r="F174" t="s">
        <v>973</v>
      </c>
      <c r="G174" t="s">
        <v>49</v>
      </c>
      <c r="H174" t="s">
        <v>237</v>
      </c>
      <c r="I174" s="1">
        <v>46023</v>
      </c>
      <c r="J174" t="s">
        <v>51</v>
      </c>
      <c r="K174" t="s">
        <v>52</v>
      </c>
      <c r="L174" s="2">
        <v>0</v>
      </c>
      <c r="M174" s="2">
        <v>25</v>
      </c>
      <c r="N174">
        <v>1</v>
      </c>
      <c r="O174" s="3">
        <v>1</v>
      </c>
      <c r="P174" s="2">
        <v>25</v>
      </c>
      <c r="R174" t="s">
        <v>968</v>
      </c>
    </row>
    <row r="175" spans="1:18" x14ac:dyDescent="0.25">
      <c r="A175" s="4">
        <v>102249280100</v>
      </c>
      <c r="B175" s="4" t="str">
        <f t="shared" si="2"/>
        <v>102249280100OVR</v>
      </c>
      <c r="C175" t="s">
        <v>716</v>
      </c>
      <c r="D175" t="s">
        <v>145</v>
      </c>
      <c r="E175">
        <v>20411454</v>
      </c>
      <c r="F175" t="s">
        <v>973</v>
      </c>
      <c r="G175" t="s">
        <v>49</v>
      </c>
      <c r="H175" t="s">
        <v>237</v>
      </c>
      <c r="I175" s="1">
        <v>46023</v>
      </c>
      <c r="J175" t="s">
        <v>51</v>
      </c>
      <c r="K175" t="s">
        <v>52</v>
      </c>
      <c r="L175" s="2">
        <v>0</v>
      </c>
      <c r="M175" s="2">
        <v>25</v>
      </c>
      <c r="N175">
        <v>1</v>
      </c>
      <c r="O175" s="3">
        <v>1</v>
      </c>
      <c r="P175" s="2">
        <v>25</v>
      </c>
      <c r="R175" t="s">
        <v>968</v>
      </c>
    </row>
    <row r="176" spans="1:18" x14ac:dyDescent="0.25">
      <c r="A176" s="4">
        <v>102249668100</v>
      </c>
      <c r="B176" s="4" t="str">
        <f t="shared" si="2"/>
        <v>102249668100OVR</v>
      </c>
      <c r="C176" t="s">
        <v>718</v>
      </c>
      <c r="D176" t="s">
        <v>104</v>
      </c>
      <c r="E176">
        <v>20411454</v>
      </c>
      <c r="F176" t="s">
        <v>973</v>
      </c>
      <c r="G176" t="s">
        <v>49</v>
      </c>
      <c r="H176" t="s">
        <v>237</v>
      </c>
      <c r="I176" s="1">
        <v>46023</v>
      </c>
      <c r="J176" t="s">
        <v>51</v>
      </c>
      <c r="K176" t="s">
        <v>52</v>
      </c>
      <c r="L176" s="2">
        <v>0</v>
      </c>
      <c r="M176" s="2">
        <v>25</v>
      </c>
      <c r="N176">
        <v>1</v>
      </c>
      <c r="O176" s="3">
        <v>1</v>
      </c>
      <c r="P176" s="2">
        <v>25</v>
      </c>
      <c r="R176" t="s">
        <v>968</v>
      </c>
    </row>
    <row r="177" spans="1:18" x14ac:dyDescent="0.25">
      <c r="A177" s="4">
        <v>102250452900</v>
      </c>
      <c r="B177" s="4" t="str">
        <f t="shared" si="2"/>
        <v>102250452900OVR</v>
      </c>
      <c r="C177" t="s">
        <v>720</v>
      </c>
      <c r="D177" t="s">
        <v>493</v>
      </c>
      <c r="E177">
        <v>20411454</v>
      </c>
      <c r="F177" t="s">
        <v>973</v>
      </c>
      <c r="G177" t="s">
        <v>49</v>
      </c>
      <c r="H177" t="s">
        <v>237</v>
      </c>
      <c r="I177" s="1">
        <v>46023</v>
      </c>
      <c r="J177" t="s">
        <v>51</v>
      </c>
      <c r="K177" t="s">
        <v>52</v>
      </c>
      <c r="L177" s="2">
        <v>0</v>
      </c>
      <c r="M177" s="2">
        <v>25</v>
      </c>
      <c r="N177">
        <v>1</v>
      </c>
      <c r="O177" s="3">
        <v>1</v>
      </c>
      <c r="P177" s="2">
        <v>25</v>
      </c>
      <c r="R177" t="s">
        <v>968</v>
      </c>
    </row>
    <row r="178" spans="1:18" x14ac:dyDescent="0.25">
      <c r="A178" s="4">
        <v>102250519900</v>
      </c>
      <c r="B178" s="4" t="str">
        <f t="shared" si="2"/>
        <v>102250519900OVR</v>
      </c>
      <c r="C178" t="s">
        <v>722</v>
      </c>
      <c r="D178" t="s">
        <v>59</v>
      </c>
      <c r="E178">
        <v>20411454</v>
      </c>
      <c r="F178" t="s">
        <v>973</v>
      </c>
      <c r="G178" t="s">
        <v>49</v>
      </c>
      <c r="H178" t="s">
        <v>237</v>
      </c>
      <c r="I178" s="1">
        <v>46023</v>
      </c>
      <c r="J178" t="s">
        <v>51</v>
      </c>
      <c r="K178" t="s">
        <v>52</v>
      </c>
      <c r="L178" s="2">
        <v>0</v>
      </c>
      <c r="M178" s="2">
        <v>25</v>
      </c>
      <c r="N178">
        <v>1</v>
      </c>
      <c r="O178" s="3">
        <v>1</v>
      </c>
      <c r="P178" s="2">
        <v>25</v>
      </c>
      <c r="R178" t="s">
        <v>968</v>
      </c>
    </row>
    <row r="179" spans="1:18" x14ac:dyDescent="0.25">
      <c r="A179" s="4">
        <v>102250531700</v>
      </c>
      <c r="B179" s="4" t="str">
        <f t="shared" si="2"/>
        <v>102250531700OVR</v>
      </c>
      <c r="C179" t="s">
        <v>724</v>
      </c>
      <c r="D179" t="s">
        <v>46</v>
      </c>
      <c r="E179">
        <v>20411454</v>
      </c>
      <c r="F179" t="s">
        <v>973</v>
      </c>
      <c r="G179" t="s">
        <v>49</v>
      </c>
      <c r="H179" t="s">
        <v>237</v>
      </c>
      <c r="I179" s="1">
        <v>46023</v>
      </c>
      <c r="J179" t="s">
        <v>51</v>
      </c>
      <c r="K179" t="s">
        <v>52</v>
      </c>
      <c r="L179" s="2">
        <v>0</v>
      </c>
      <c r="M179" s="2">
        <v>25</v>
      </c>
      <c r="N179">
        <v>1</v>
      </c>
      <c r="O179" s="3">
        <v>1</v>
      </c>
      <c r="P179" s="2">
        <v>25</v>
      </c>
      <c r="R179" t="s">
        <v>968</v>
      </c>
    </row>
    <row r="180" spans="1:18" x14ac:dyDescent="0.25">
      <c r="A180" s="4">
        <v>102250709700</v>
      </c>
      <c r="B180" s="4" t="str">
        <f t="shared" si="2"/>
        <v>102250709700OVR</v>
      </c>
      <c r="C180" t="s">
        <v>728</v>
      </c>
      <c r="D180" t="s">
        <v>59</v>
      </c>
      <c r="E180">
        <v>20411454</v>
      </c>
      <c r="F180" t="s">
        <v>973</v>
      </c>
      <c r="G180" t="s">
        <v>49</v>
      </c>
      <c r="H180" t="s">
        <v>237</v>
      </c>
      <c r="I180" s="1">
        <v>46023</v>
      </c>
      <c r="J180" t="s">
        <v>51</v>
      </c>
      <c r="K180" t="s">
        <v>52</v>
      </c>
      <c r="L180" s="2">
        <v>0</v>
      </c>
      <c r="M180" s="2">
        <v>25</v>
      </c>
      <c r="N180">
        <v>1</v>
      </c>
      <c r="O180" s="3">
        <v>1</v>
      </c>
      <c r="P180" s="2">
        <v>25</v>
      </c>
      <c r="R180" t="s">
        <v>968</v>
      </c>
    </row>
    <row r="181" spans="1:18" x14ac:dyDescent="0.25">
      <c r="A181" s="4">
        <v>102250752000</v>
      </c>
      <c r="B181" s="4" t="str">
        <f t="shared" si="2"/>
        <v>102250752000OVR</v>
      </c>
      <c r="C181" t="s">
        <v>730</v>
      </c>
      <c r="D181" t="s">
        <v>64</v>
      </c>
      <c r="E181">
        <v>20411454</v>
      </c>
      <c r="F181" t="s">
        <v>973</v>
      </c>
      <c r="G181" t="s">
        <v>49</v>
      </c>
      <c r="H181" t="s">
        <v>237</v>
      </c>
      <c r="I181" s="1">
        <v>46023</v>
      </c>
      <c r="J181" t="s">
        <v>51</v>
      </c>
      <c r="K181" t="s">
        <v>52</v>
      </c>
      <c r="L181" s="2">
        <v>0</v>
      </c>
      <c r="M181" s="2">
        <v>25</v>
      </c>
      <c r="N181">
        <v>1</v>
      </c>
      <c r="O181" s="3">
        <v>1</v>
      </c>
      <c r="P181" s="2">
        <v>25</v>
      </c>
      <c r="R181" t="s">
        <v>968</v>
      </c>
    </row>
    <row r="182" spans="1:18" x14ac:dyDescent="0.25">
      <c r="A182" s="4">
        <v>102250781600</v>
      </c>
      <c r="B182" s="4" t="str">
        <f t="shared" si="2"/>
        <v>102250781600OVR</v>
      </c>
      <c r="C182" t="s">
        <v>732</v>
      </c>
      <c r="D182" t="s">
        <v>46</v>
      </c>
      <c r="E182">
        <v>20411454</v>
      </c>
      <c r="F182" t="s">
        <v>973</v>
      </c>
      <c r="G182" t="s">
        <v>49</v>
      </c>
      <c r="H182" t="s">
        <v>237</v>
      </c>
      <c r="I182" s="1">
        <v>46023</v>
      </c>
      <c r="J182" t="s">
        <v>51</v>
      </c>
      <c r="K182" t="s">
        <v>52</v>
      </c>
      <c r="L182" s="2">
        <v>0</v>
      </c>
      <c r="M182" s="2">
        <v>25</v>
      </c>
      <c r="N182">
        <v>1</v>
      </c>
      <c r="O182" s="3">
        <v>1</v>
      </c>
      <c r="P182" s="2">
        <v>25</v>
      </c>
      <c r="R182" t="s">
        <v>968</v>
      </c>
    </row>
    <row r="183" spans="1:18" x14ac:dyDescent="0.25">
      <c r="A183" s="4">
        <v>102250857100</v>
      </c>
      <c r="B183" s="4" t="str">
        <f t="shared" si="2"/>
        <v>102250857100OVR</v>
      </c>
      <c r="C183" t="s">
        <v>734</v>
      </c>
      <c r="D183" t="s">
        <v>200</v>
      </c>
      <c r="E183">
        <v>20411454</v>
      </c>
      <c r="F183" t="s">
        <v>973</v>
      </c>
      <c r="G183" t="s">
        <v>49</v>
      </c>
      <c r="H183" t="s">
        <v>237</v>
      </c>
      <c r="I183" s="1">
        <v>46023</v>
      </c>
      <c r="J183" t="s">
        <v>51</v>
      </c>
      <c r="K183" t="s">
        <v>52</v>
      </c>
      <c r="L183" s="2">
        <v>0</v>
      </c>
      <c r="M183" s="2">
        <v>25</v>
      </c>
      <c r="N183">
        <v>1</v>
      </c>
      <c r="O183" s="3">
        <v>1</v>
      </c>
      <c r="P183" s="2">
        <v>25</v>
      </c>
      <c r="R183" t="s">
        <v>968</v>
      </c>
    </row>
    <row r="184" spans="1:18" x14ac:dyDescent="0.25">
      <c r="A184" s="4">
        <v>102250916600</v>
      </c>
      <c r="B184" s="4" t="str">
        <f t="shared" si="2"/>
        <v>102250916600OVR</v>
      </c>
      <c r="C184" t="s">
        <v>736</v>
      </c>
      <c r="D184" t="s">
        <v>145</v>
      </c>
      <c r="E184">
        <v>20411454</v>
      </c>
      <c r="F184" t="s">
        <v>973</v>
      </c>
      <c r="G184" t="s">
        <v>49</v>
      </c>
      <c r="H184" t="s">
        <v>237</v>
      </c>
      <c r="I184" s="1">
        <v>46023</v>
      </c>
      <c r="J184" t="s">
        <v>51</v>
      </c>
      <c r="K184" t="s">
        <v>52</v>
      </c>
      <c r="L184" s="2">
        <v>0</v>
      </c>
      <c r="M184" s="2">
        <v>25</v>
      </c>
      <c r="N184">
        <v>1</v>
      </c>
      <c r="O184" s="3">
        <v>1</v>
      </c>
      <c r="P184" s="2">
        <v>25</v>
      </c>
      <c r="R184" t="s">
        <v>968</v>
      </c>
    </row>
    <row r="185" spans="1:18" x14ac:dyDescent="0.25">
      <c r="A185" s="4">
        <v>102250980500</v>
      </c>
      <c r="B185" s="4" t="str">
        <f t="shared" si="2"/>
        <v>102250980500OVR</v>
      </c>
      <c r="C185" t="s">
        <v>738</v>
      </c>
      <c r="D185" t="s">
        <v>145</v>
      </c>
      <c r="E185">
        <v>20411454</v>
      </c>
      <c r="F185" t="s">
        <v>973</v>
      </c>
      <c r="G185" t="s">
        <v>49</v>
      </c>
      <c r="H185" t="s">
        <v>237</v>
      </c>
      <c r="I185" s="1">
        <v>46023</v>
      </c>
      <c r="J185" t="s">
        <v>51</v>
      </c>
      <c r="K185" t="s">
        <v>52</v>
      </c>
      <c r="L185" s="2">
        <v>0</v>
      </c>
      <c r="M185" s="2">
        <v>25</v>
      </c>
      <c r="N185">
        <v>1</v>
      </c>
      <c r="O185" s="3">
        <v>1</v>
      </c>
      <c r="P185" s="2">
        <v>25</v>
      </c>
      <c r="R185" t="s">
        <v>968</v>
      </c>
    </row>
    <row r="186" spans="1:18" x14ac:dyDescent="0.25">
      <c r="A186" s="4">
        <v>102250984500</v>
      </c>
      <c r="B186" s="4" t="str">
        <f t="shared" si="2"/>
        <v>102250984500OVR</v>
      </c>
      <c r="C186" t="s">
        <v>740</v>
      </c>
      <c r="D186" t="s">
        <v>145</v>
      </c>
      <c r="E186">
        <v>20411454</v>
      </c>
      <c r="F186" t="s">
        <v>973</v>
      </c>
      <c r="G186" t="s">
        <v>49</v>
      </c>
      <c r="H186" t="s">
        <v>237</v>
      </c>
      <c r="I186" s="1">
        <v>46023</v>
      </c>
      <c r="J186" t="s">
        <v>51</v>
      </c>
      <c r="K186" t="s">
        <v>52</v>
      </c>
      <c r="L186" s="2">
        <v>0</v>
      </c>
      <c r="M186" s="2">
        <v>25</v>
      </c>
      <c r="N186">
        <v>1</v>
      </c>
      <c r="O186" s="3">
        <v>1</v>
      </c>
      <c r="P186" s="2">
        <v>25</v>
      </c>
      <c r="R186" t="s">
        <v>968</v>
      </c>
    </row>
    <row r="187" spans="1:18" x14ac:dyDescent="0.25">
      <c r="A187" s="4">
        <v>102251134600</v>
      </c>
      <c r="B187" s="4" t="str">
        <f t="shared" si="2"/>
        <v>102251134600OVR</v>
      </c>
      <c r="C187" t="s">
        <v>742</v>
      </c>
      <c r="D187" t="s">
        <v>145</v>
      </c>
      <c r="E187">
        <v>20411454</v>
      </c>
      <c r="F187" t="s">
        <v>973</v>
      </c>
      <c r="G187" t="s">
        <v>49</v>
      </c>
      <c r="H187" t="s">
        <v>237</v>
      </c>
      <c r="I187" s="1">
        <v>46023</v>
      </c>
      <c r="J187" t="s">
        <v>51</v>
      </c>
      <c r="K187" t="s">
        <v>52</v>
      </c>
      <c r="L187" s="2">
        <v>0</v>
      </c>
      <c r="M187" s="2">
        <v>25</v>
      </c>
      <c r="N187">
        <v>1</v>
      </c>
      <c r="O187" s="3">
        <v>1</v>
      </c>
      <c r="P187" s="2">
        <v>25</v>
      </c>
      <c r="R187" t="s">
        <v>968</v>
      </c>
    </row>
    <row r="188" spans="1:18" x14ac:dyDescent="0.25">
      <c r="A188" s="4">
        <v>102251197200</v>
      </c>
      <c r="B188" s="4" t="str">
        <f t="shared" si="2"/>
        <v>102251197200OVR</v>
      </c>
      <c r="C188" t="s">
        <v>744</v>
      </c>
      <c r="D188" t="s">
        <v>200</v>
      </c>
      <c r="E188">
        <v>20411454</v>
      </c>
      <c r="F188" t="s">
        <v>973</v>
      </c>
      <c r="G188" t="s">
        <v>49</v>
      </c>
      <c r="H188" t="s">
        <v>237</v>
      </c>
      <c r="I188" s="1">
        <v>46023</v>
      </c>
      <c r="J188" t="s">
        <v>51</v>
      </c>
      <c r="K188" t="s">
        <v>52</v>
      </c>
      <c r="L188" s="2">
        <v>0</v>
      </c>
      <c r="M188" s="2">
        <v>25</v>
      </c>
      <c r="N188">
        <v>1</v>
      </c>
      <c r="O188" s="3">
        <v>1</v>
      </c>
      <c r="P188" s="2">
        <v>25</v>
      </c>
      <c r="R188" t="s">
        <v>968</v>
      </c>
    </row>
    <row r="189" spans="1:18" x14ac:dyDescent="0.25">
      <c r="A189" s="4">
        <v>102251351600</v>
      </c>
      <c r="B189" s="4" t="str">
        <f t="shared" si="2"/>
        <v>102251351600OVR</v>
      </c>
      <c r="C189" t="s">
        <v>746</v>
      </c>
      <c r="D189" t="s">
        <v>59</v>
      </c>
      <c r="E189">
        <v>20411454</v>
      </c>
      <c r="F189" t="s">
        <v>973</v>
      </c>
      <c r="G189" t="s">
        <v>49</v>
      </c>
      <c r="H189" t="s">
        <v>237</v>
      </c>
      <c r="I189" s="1">
        <v>46023</v>
      </c>
      <c r="J189" t="s">
        <v>51</v>
      </c>
      <c r="K189" t="s">
        <v>52</v>
      </c>
      <c r="L189" s="2">
        <v>0</v>
      </c>
      <c r="M189" s="2">
        <v>25</v>
      </c>
      <c r="N189">
        <v>1</v>
      </c>
      <c r="O189" s="3">
        <v>1</v>
      </c>
      <c r="P189" s="2">
        <v>25</v>
      </c>
      <c r="R189" t="s">
        <v>968</v>
      </c>
    </row>
    <row r="190" spans="1:18" x14ac:dyDescent="0.25">
      <c r="A190" s="4">
        <v>102251761000</v>
      </c>
      <c r="B190" s="4" t="str">
        <f t="shared" si="2"/>
        <v>102251761000OVR</v>
      </c>
      <c r="C190" t="s">
        <v>748</v>
      </c>
      <c r="D190" t="s">
        <v>46</v>
      </c>
      <c r="E190">
        <v>20411454</v>
      </c>
      <c r="F190" t="s">
        <v>973</v>
      </c>
      <c r="G190" t="s">
        <v>49</v>
      </c>
      <c r="H190" t="s">
        <v>237</v>
      </c>
      <c r="I190" s="1">
        <v>46023</v>
      </c>
      <c r="J190" t="s">
        <v>51</v>
      </c>
      <c r="K190" t="s">
        <v>52</v>
      </c>
      <c r="L190" s="2">
        <v>0</v>
      </c>
      <c r="M190" s="2">
        <v>25</v>
      </c>
      <c r="N190">
        <v>1</v>
      </c>
      <c r="O190" s="3">
        <v>1</v>
      </c>
      <c r="P190" s="2">
        <v>25</v>
      </c>
      <c r="R190" t="s">
        <v>968</v>
      </c>
    </row>
    <row r="191" spans="1:18" x14ac:dyDescent="0.25">
      <c r="A191" s="4">
        <v>102251965400</v>
      </c>
      <c r="B191" s="4" t="str">
        <f t="shared" si="2"/>
        <v>102251965400OVR</v>
      </c>
      <c r="C191" t="s">
        <v>750</v>
      </c>
      <c r="D191" t="s">
        <v>59</v>
      </c>
      <c r="E191">
        <v>20411454</v>
      </c>
      <c r="F191" t="s">
        <v>973</v>
      </c>
      <c r="G191" t="s">
        <v>49</v>
      </c>
      <c r="H191" t="s">
        <v>237</v>
      </c>
      <c r="I191" s="1">
        <v>46023</v>
      </c>
      <c r="J191" t="s">
        <v>51</v>
      </c>
      <c r="K191" t="s">
        <v>52</v>
      </c>
      <c r="L191" s="2">
        <v>0</v>
      </c>
      <c r="M191" s="2">
        <v>25</v>
      </c>
      <c r="N191">
        <v>1</v>
      </c>
      <c r="O191" s="3">
        <v>1</v>
      </c>
      <c r="P191" s="2">
        <v>25</v>
      </c>
      <c r="R191" t="s">
        <v>968</v>
      </c>
    </row>
    <row r="192" spans="1:18" x14ac:dyDescent="0.25">
      <c r="A192" s="4">
        <v>102251990000</v>
      </c>
      <c r="B192" s="4" t="str">
        <f t="shared" si="2"/>
        <v>102251990000OVR</v>
      </c>
      <c r="C192" t="s">
        <v>754</v>
      </c>
      <c r="D192" t="s">
        <v>200</v>
      </c>
      <c r="E192">
        <v>20411454</v>
      </c>
      <c r="F192" t="s">
        <v>973</v>
      </c>
      <c r="G192" t="s">
        <v>49</v>
      </c>
      <c r="H192" t="s">
        <v>237</v>
      </c>
      <c r="I192" s="1">
        <v>46023</v>
      </c>
      <c r="J192" t="s">
        <v>51</v>
      </c>
      <c r="K192" t="s">
        <v>52</v>
      </c>
      <c r="L192" s="2">
        <v>0</v>
      </c>
      <c r="M192" s="2">
        <v>25</v>
      </c>
      <c r="N192">
        <v>1</v>
      </c>
      <c r="O192" s="3">
        <v>1</v>
      </c>
      <c r="P192" s="2">
        <v>25</v>
      </c>
      <c r="R192" t="s">
        <v>968</v>
      </c>
    </row>
    <row r="193" spans="1:18" x14ac:dyDescent="0.25">
      <c r="A193" s="4">
        <v>102252008500</v>
      </c>
      <c r="B193" s="4" t="str">
        <f t="shared" si="2"/>
        <v>102252008500OVR</v>
      </c>
      <c r="C193" t="s">
        <v>756</v>
      </c>
      <c r="D193" t="s">
        <v>59</v>
      </c>
      <c r="E193">
        <v>20411454</v>
      </c>
      <c r="F193" t="s">
        <v>973</v>
      </c>
      <c r="G193" t="s">
        <v>49</v>
      </c>
      <c r="H193" t="s">
        <v>237</v>
      </c>
      <c r="I193" s="1">
        <v>46023</v>
      </c>
      <c r="J193" t="s">
        <v>51</v>
      </c>
      <c r="K193" t="s">
        <v>52</v>
      </c>
      <c r="L193" s="2">
        <v>0</v>
      </c>
      <c r="M193" s="2">
        <v>25</v>
      </c>
      <c r="N193">
        <v>1</v>
      </c>
      <c r="O193" s="3">
        <v>1</v>
      </c>
      <c r="P193" s="2">
        <v>25</v>
      </c>
      <c r="R193" t="s">
        <v>968</v>
      </c>
    </row>
    <row r="194" spans="1:18" x14ac:dyDescent="0.25">
      <c r="A194" s="4">
        <v>102252059800</v>
      </c>
      <c r="B194" s="4" t="str">
        <f t="shared" si="2"/>
        <v>102252059800OVR</v>
      </c>
      <c r="C194" t="s">
        <v>758</v>
      </c>
      <c r="D194" t="s">
        <v>481</v>
      </c>
      <c r="E194">
        <v>20411454</v>
      </c>
      <c r="F194" t="s">
        <v>973</v>
      </c>
      <c r="G194" t="s">
        <v>49</v>
      </c>
      <c r="H194" t="s">
        <v>237</v>
      </c>
      <c r="I194" s="1">
        <v>46023</v>
      </c>
      <c r="J194" t="s">
        <v>51</v>
      </c>
      <c r="K194" t="s">
        <v>52</v>
      </c>
      <c r="L194" s="2">
        <v>0</v>
      </c>
      <c r="M194" s="2">
        <v>25</v>
      </c>
      <c r="N194">
        <v>1</v>
      </c>
      <c r="O194" s="3">
        <v>1</v>
      </c>
      <c r="P194" s="2">
        <v>25</v>
      </c>
      <c r="R194" t="s">
        <v>968</v>
      </c>
    </row>
    <row r="195" spans="1:18" x14ac:dyDescent="0.25">
      <c r="A195" s="4">
        <v>102252128600</v>
      </c>
      <c r="B195" s="4" t="str">
        <f t="shared" ref="B195:B258" si="3">CONCATENATE(A195,"OVR")</f>
        <v>102252128600OVR</v>
      </c>
      <c r="C195" t="s">
        <v>760</v>
      </c>
      <c r="D195" t="s">
        <v>493</v>
      </c>
      <c r="E195">
        <v>20411454</v>
      </c>
      <c r="F195" t="s">
        <v>973</v>
      </c>
      <c r="G195" t="s">
        <v>49</v>
      </c>
      <c r="H195" t="s">
        <v>237</v>
      </c>
      <c r="I195" s="1">
        <v>46023</v>
      </c>
      <c r="J195" t="s">
        <v>51</v>
      </c>
      <c r="K195" t="s">
        <v>52</v>
      </c>
      <c r="L195" s="2">
        <v>0</v>
      </c>
      <c r="M195" s="2">
        <v>25</v>
      </c>
      <c r="N195">
        <v>1</v>
      </c>
      <c r="O195" s="3">
        <v>1</v>
      </c>
      <c r="P195" s="2">
        <v>25</v>
      </c>
      <c r="R195" t="s">
        <v>968</v>
      </c>
    </row>
    <row r="196" spans="1:18" x14ac:dyDescent="0.25">
      <c r="A196" s="4">
        <v>102252450100</v>
      </c>
      <c r="B196" s="4" t="str">
        <f t="shared" si="3"/>
        <v>102252450100OVR</v>
      </c>
      <c r="C196" t="s">
        <v>762</v>
      </c>
      <c r="D196" t="s">
        <v>121</v>
      </c>
      <c r="E196">
        <v>20411454</v>
      </c>
      <c r="F196" t="s">
        <v>973</v>
      </c>
      <c r="G196" t="s">
        <v>49</v>
      </c>
      <c r="H196" t="s">
        <v>237</v>
      </c>
      <c r="I196" s="1">
        <v>46023</v>
      </c>
      <c r="J196" t="s">
        <v>51</v>
      </c>
      <c r="K196" t="s">
        <v>52</v>
      </c>
      <c r="L196" s="2">
        <v>0</v>
      </c>
      <c r="M196" s="2">
        <v>25</v>
      </c>
      <c r="N196">
        <v>1</v>
      </c>
      <c r="O196" s="3">
        <v>1</v>
      </c>
      <c r="P196" s="2">
        <v>25</v>
      </c>
      <c r="R196" t="s">
        <v>968</v>
      </c>
    </row>
    <row r="197" spans="1:18" x14ac:dyDescent="0.25">
      <c r="A197" s="4">
        <v>102253292400</v>
      </c>
      <c r="B197" s="4" t="str">
        <f t="shared" si="3"/>
        <v>102253292400OVR</v>
      </c>
      <c r="C197" t="s">
        <v>768</v>
      </c>
      <c r="D197" t="s">
        <v>769</v>
      </c>
      <c r="E197">
        <v>20411454</v>
      </c>
      <c r="F197" t="s">
        <v>973</v>
      </c>
      <c r="G197" t="s">
        <v>49</v>
      </c>
      <c r="H197" t="s">
        <v>237</v>
      </c>
      <c r="I197" s="1">
        <v>46023</v>
      </c>
      <c r="J197" t="s">
        <v>51</v>
      </c>
      <c r="K197" t="s">
        <v>52</v>
      </c>
      <c r="L197" s="2">
        <v>0</v>
      </c>
      <c r="M197" s="2">
        <v>25</v>
      </c>
      <c r="N197">
        <v>1</v>
      </c>
      <c r="O197" s="3">
        <v>1</v>
      </c>
      <c r="P197" s="2">
        <v>25</v>
      </c>
      <c r="R197" t="s">
        <v>968</v>
      </c>
    </row>
    <row r="198" spans="1:18" x14ac:dyDescent="0.25">
      <c r="A198" s="4">
        <v>102253394300</v>
      </c>
      <c r="B198" s="4" t="str">
        <f t="shared" si="3"/>
        <v>102253394300OVR</v>
      </c>
      <c r="C198" t="s">
        <v>771</v>
      </c>
      <c r="D198" t="s">
        <v>145</v>
      </c>
      <c r="E198">
        <v>20411454</v>
      </c>
      <c r="F198" t="s">
        <v>973</v>
      </c>
      <c r="G198" t="s">
        <v>49</v>
      </c>
      <c r="H198" t="s">
        <v>237</v>
      </c>
      <c r="I198" s="1">
        <v>46023</v>
      </c>
      <c r="J198" t="s">
        <v>51</v>
      </c>
      <c r="K198" t="s">
        <v>52</v>
      </c>
      <c r="L198" s="2">
        <v>0</v>
      </c>
      <c r="M198" s="2">
        <v>25</v>
      </c>
      <c r="N198">
        <v>1</v>
      </c>
      <c r="O198" s="3">
        <v>1</v>
      </c>
      <c r="P198" s="2">
        <v>25</v>
      </c>
      <c r="R198" t="s">
        <v>968</v>
      </c>
    </row>
    <row r="199" spans="1:18" x14ac:dyDescent="0.25">
      <c r="A199" s="4">
        <v>102253480600</v>
      </c>
      <c r="B199" s="4" t="str">
        <f t="shared" si="3"/>
        <v>102253480600OVR</v>
      </c>
      <c r="C199" t="s">
        <v>773</v>
      </c>
      <c r="D199" t="s">
        <v>200</v>
      </c>
      <c r="E199">
        <v>20411454</v>
      </c>
      <c r="F199" t="s">
        <v>973</v>
      </c>
      <c r="G199" t="s">
        <v>49</v>
      </c>
      <c r="H199" t="s">
        <v>237</v>
      </c>
      <c r="I199" s="1">
        <v>46023</v>
      </c>
      <c r="J199" t="s">
        <v>51</v>
      </c>
      <c r="K199" t="s">
        <v>52</v>
      </c>
      <c r="L199" s="2">
        <v>0</v>
      </c>
      <c r="M199" s="2">
        <v>25</v>
      </c>
      <c r="N199">
        <v>1</v>
      </c>
      <c r="O199" s="3">
        <v>1</v>
      </c>
      <c r="P199" s="2">
        <v>25</v>
      </c>
      <c r="R199" t="s">
        <v>968</v>
      </c>
    </row>
    <row r="200" spans="1:18" x14ac:dyDescent="0.25">
      <c r="A200" s="4">
        <v>102253578300</v>
      </c>
      <c r="B200" s="4" t="str">
        <f t="shared" si="3"/>
        <v>102253578300OVR</v>
      </c>
      <c r="C200" t="s">
        <v>777</v>
      </c>
      <c r="D200" t="s">
        <v>200</v>
      </c>
      <c r="E200">
        <v>20411454</v>
      </c>
      <c r="F200" t="s">
        <v>973</v>
      </c>
      <c r="G200" t="s">
        <v>49</v>
      </c>
      <c r="H200" t="s">
        <v>237</v>
      </c>
      <c r="I200" s="1">
        <v>46023</v>
      </c>
      <c r="J200" t="s">
        <v>51</v>
      </c>
      <c r="K200" t="s">
        <v>52</v>
      </c>
      <c r="L200" s="2">
        <v>0</v>
      </c>
      <c r="M200" s="2">
        <v>25</v>
      </c>
      <c r="N200">
        <v>1</v>
      </c>
      <c r="O200" s="3">
        <v>1</v>
      </c>
      <c r="P200" s="2">
        <v>25</v>
      </c>
      <c r="R200" t="s">
        <v>968</v>
      </c>
    </row>
    <row r="201" spans="1:18" x14ac:dyDescent="0.25">
      <c r="A201" s="4" t="s">
        <v>953</v>
      </c>
      <c r="B201" s="4" t="str">
        <f t="shared" si="3"/>
        <v>MEQNDVYM00000151102OVR</v>
      </c>
      <c r="C201" t="s">
        <v>819</v>
      </c>
      <c r="D201" t="s">
        <v>59</v>
      </c>
      <c r="E201">
        <v>20411454</v>
      </c>
      <c r="F201" t="s">
        <v>973</v>
      </c>
      <c r="G201" t="s">
        <v>49</v>
      </c>
      <c r="H201" t="s">
        <v>237</v>
      </c>
      <c r="I201" s="1">
        <v>46023</v>
      </c>
      <c r="J201" t="s">
        <v>51</v>
      </c>
      <c r="K201" t="s">
        <v>52</v>
      </c>
      <c r="L201" s="2">
        <v>0</v>
      </c>
      <c r="M201" s="2">
        <v>25</v>
      </c>
      <c r="N201">
        <v>1</v>
      </c>
      <c r="O201" s="3">
        <v>1</v>
      </c>
      <c r="P201" s="2">
        <v>25</v>
      </c>
      <c r="R201" t="s">
        <v>968</v>
      </c>
    </row>
    <row r="202" spans="1:18" x14ac:dyDescent="0.25">
      <c r="A202" s="4" t="s">
        <v>954</v>
      </c>
      <c r="B202" s="4" t="str">
        <f t="shared" si="3"/>
        <v>MEQNDVYM00000152310OVR</v>
      </c>
      <c r="C202" t="s">
        <v>821</v>
      </c>
      <c r="D202" t="s">
        <v>59</v>
      </c>
      <c r="E202">
        <v>20411454</v>
      </c>
      <c r="F202" t="s">
        <v>973</v>
      </c>
      <c r="G202" t="s">
        <v>49</v>
      </c>
      <c r="H202" t="s">
        <v>237</v>
      </c>
      <c r="I202" s="1">
        <v>46023</v>
      </c>
      <c r="J202" t="s">
        <v>51</v>
      </c>
      <c r="K202" t="s">
        <v>52</v>
      </c>
      <c r="L202" s="2">
        <v>0</v>
      </c>
      <c r="M202" s="2">
        <v>25</v>
      </c>
      <c r="N202">
        <v>1</v>
      </c>
      <c r="O202" s="3">
        <v>1</v>
      </c>
      <c r="P202" s="2">
        <v>25</v>
      </c>
      <c r="R202" t="s">
        <v>968</v>
      </c>
    </row>
    <row r="203" spans="1:18" x14ac:dyDescent="0.25">
      <c r="A203" s="4" t="s">
        <v>955</v>
      </c>
      <c r="B203" s="4" t="str">
        <f t="shared" si="3"/>
        <v>MEQNDVYM00000153261OVR</v>
      </c>
      <c r="C203" t="s">
        <v>823</v>
      </c>
      <c r="D203" t="s">
        <v>59</v>
      </c>
      <c r="E203">
        <v>20411454</v>
      </c>
      <c r="F203" t="s">
        <v>973</v>
      </c>
      <c r="G203" t="s">
        <v>49</v>
      </c>
      <c r="H203" t="s">
        <v>237</v>
      </c>
      <c r="I203" s="1">
        <v>46023</v>
      </c>
      <c r="J203" t="s">
        <v>51</v>
      </c>
      <c r="K203" t="s">
        <v>52</v>
      </c>
      <c r="L203" s="2">
        <v>0</v>
      </c>
      <c r="M203" s="2">
        <v>25</v>
      </c>
      <c r="N203">
        <v>1</v>
      </c>
      <c r="O203" s="3">
        <v>1</v>
      </c>
      <c r="P203" s="2">
        <v>25</v>
      </c>
      <c r="R203" t="s">
        <v>968</v>
      </c>
    </row>
    <row r="204" spans="1:18" x14ac:dyDescent="0.25">
      <c r="A204" s="4">
        <v>101466789000</v>
      </c>
      <c r="B204" s="4" t="str">
        <f t="shared" si="3"/>
        <v>101466789000OVR</v>
      </c>
      <c r="C204" t="s">
        <v>847</v>
      </c>
      <c r="D204" t="s">
        <v>200</v>
      </c>
      <c r="E204">
        <v>20411454</v>
      </c>
      <c r="F204" t="s">
        <v>973</v>
      </c>
      <c r="G204" t="s">
        <v>827</v>
      </c>
      <c r="H204" t="s">
        <v>237</v>
      </c>
      <c r="I204" s="1">
        <v>46023</v>
      </c>
      <c r="J204" t="s">
        <v>51</v>
      </c>
      <c r="K204" t="s">
        <v>52</v>
      </c>
      <c r="P204">
        <v>-25</v>
      </c>
      <c r="R204" t="s">
        <v>968</v>
      </c>
    </row>
    <row r="205" spans="1:18" x14ac:dyDescent="0.25">
      <c r="A205" s="4">
        <v>101951418100</v>
      </c>
      <c r="B205" s="4" t="str">
        <f t="shared" si="3"/>
        <v>101951418100OVR</v>
      </c>
      <c r="C205" t="s">
        <v>850</v>
      </c>
      <c r="E205">
        <v>20411454</v>
      </c>
      <c r="F205" t="s">
        <v>973</v>
      </c>
      <c r="G205" t="s">
        <v>827</v>
      </c>
      <c r="H205" t="s">
        <v>237</v>
      </c>
      <c r="I205" s="1">
        <v>46023</v>
      </c>
      <c r="J205" t="s">
        <v>51</v>
      </c>
      <c r="K205" t="s">
        <v>52</v>
      </c>
      <c r="P205">
        <v>-25</v>
      </c>
      <c r="R205" t="s">
        <v>968</v>
      </c>
    </row>
    <row r="206" spans="1:18" x14ac:dyDescent="0.25">
      <c r="A206" s="4">
        <v>102051237700</v>
      </c>
      <c r="B206" s="4" t="str">
        <f t="shared" si="3"/>
        <v>102051237700OVR</v>
      </c>
      <c r="C206" t="s">
        <v>852</v>
      </c>
      <c r="E206">
        <v>20411454</v>
      </c>
      <c r="F206" t="s">
        <v>973</v>
      </c>
      <c r="G206" t="s">
        <v>827</v>
      </c>
      <c r="H206" t="s">
        <v>237</v>
      </c>
      <c r="I206" s="1">
        <v>46023</v>
      </c>
      <c r="J206" t="s">
        <v>51</v>
      </c>
      <c r="K206" t="s">
        <v>52</v>
      </c>
      <c r="P206">
        <v>-25</v>
      </c>
      <c r="R206" t="s">
        <v>968</v>
      </c>
    </row>
    <row r="207" spans="1:18" x14ac:dyDescent="0.25">
      <c r="A207" s="4">
        <v>102214734600</v>
      </c>
      <c r="B207" s="4" t="str">
        <f t="shared" si="3"/>
        <v>102214734600OVR</v>
      </c>
      <c r="C207" t="s">
        <v>860</v>
      </c>
      <c r="D207" t="s">
        <v>59</v>
      </c>
      <c r="E207">
        <v>20411454</v>
      </c>
      <c r="F207" t="s">
        <v>973</v>
      </c>
      <c r="G207" t="s">
        <v>827</v>
      </c>
      <c r="H207" t="s">
        <v>237</v>
      </c>
      <c r="I207" s="1">
        <v>46023</v>
      </c>
      <c r="J207" t="s">
        <v>51</v>
      </c>
      <c r="K207" t="s">
        <v>52</v>
      </c>
      <c r="P207">
        <v>-25</v>
      </c>
      <c r="R207" t="s">
        <v>968</v>
      </c>
    </row>
    <row r="208" spans="1:18" x14ac:dyDescent="0.25">
      <c r="A208" s="4" t="s">
        <v>966</v>
      </c>
      <c r="B208" s="4" t="str">
        <f t="shared" si="3"/>
        <v>MEQNDVYM00000144308OVR</v>
      </c>
      <c r="C208" t="s">
        <v>876</v>
      </c>
      <c r="E208">
        <v>20411454</v>
      </c>
      <c r="F208" t="s">
        <v>973</v>
      </c>
      <c r="G208" t="s">
        <v>827</v>
      </c>
      <c r="H208" t="s">
        <v>237</v>
      </c>
      <c r="I208" s="1">
        <v>46023</v>
      </c>
      <c r="J208" t="s">
        <v>51</v>
      </c>
      <c r="K208" t="s">
        <v>52</v>
      </c>
      <c r="P208">
        <v>-25</v>
      </c>
      <c r="R208" t="s">
        <v>968</v>
      </c>
    </row>
    <row r="209" spans="1:18" x14ac:dyDescent="0.25">
      <c r="A209" s="4" t="s">
        <v>967</v>
      </c>
      <c r="B209" s="4" t="str">
        <f t="shared" si="3"/>
        <v>MEQNDVYM00000147342OVR</v>
      </c>
      <c r="C209" t="s">
        <v>880</v>
      </c>
      <c r="E209">
        <v>20411454</v>
      </c>
      <c r="F209" t="s">
        <v>973</v>
      </c>
      <c r="G209" t="s">
        <v>827</v>
      </c>
      <c r="H209" t="s">
        <v>237</v>
      </c>
      <c r="I209" s="1">
        <v>46023</v>
      </c>
      <c r="J209" t="s">
        <v>51</v>
      </c>
      <c r="K209" t="s">
        <v>52</v>
      </c>
      <c r="P209">
        <v>-25</v>
      </c>
      <c r="R209" t="s">
        <v>968</v>
      </c>
    </row>
    <row r="210" spans="1:18" x14ac:dyDescent="0.25">
      <c r="A210" s="4">
        <v>101064544300</v>
      </c>
      <c r="B210" s="4" t="str">
        <f t="shared" si="3"/>
        <v>101064544300OVR</v>
      </c>
      <c r="C210" t="s">
        <v>243</v>
      </c>
      <c r="D210" t="s">
        <v>200</v>
      </c>
      <c r="E210">
        <v>20411454</v>
      </c>
      <c r="F210" t="s">
        <v>973</v>
      </c>
      <c r="G210" t="s">
        <v>49</v>
      </c>
      <c r="H210" t="s">
        <v>244</v>
      </c>
      <c r="I210" s="1">
        <v>46023</v>
      </c>
      <c r="J210" t="s">
        <v>51</v>
      </c>
      <c r="K210" t="s">
        <v>52</v>
      </c>
      <c r="L210" s="2">
        <v>0</v>
      </c>
      <c r="M210" s="2">
        <v>15</v>
      </c>
      <c r="N210">
        <v>1</v>
      </c>
      <c r="O210" s="3">
        <v>1</v>
      </c>
      <c r="P210" s="2">
        <v>15</v>
      </c>
      <c r="R210" t="s">
        <v>968</v>
      </c>
    </row>
    <row r="211" spans="1:18" x14ac:dyDescent="0.25">
      <c r="A211" s="4">
        <v>101187793200</v>
      </c>
      <c r="B211" s="4" t="str">
        <f t="shared" si="3"/>
        <v>101187793200OVR</v>
      </c>
      <c r="C211" t="s">
        <v>270</v>
      </c>
      <c r="D211" t="s">
        <v>200</v>
      </c>
      <c r="E211">
        <v>20411454</v>
      </c>
      <c r="F211" t="s">
        <v>973</v>
      </c>
      <c r="G211" t="s">
        <v>49</v>
      </c>
      <c r="H211" t="s">
        <v>244</v>
      </c>
      <c r="I211" s="1">
        <v>46023</v>
      </c>
      <c r="J211" t="s">
        <v>51</v>
      </c>
      <c r="K211" t="s">
        <v>52</v>
      </c>
      <c r="L211" s="2">
        <v>0</v>
      </c>
      <c r="M211" s="2">
        <v>15</v>
      </c>
      <c r="N211">
        <v>1</v>
      </c>
      <c r="O211" s="3">
        <v>1</v>
      </c>
      <c r="P211" s="2">
        <v>15</v>
      </c>
      <c r="R211" t="s">
        <v>968</v>
      </c>
    </row>
    <row r="212" spans="1:18" x14ac:dyDescent="0.25">
      <c r="A212" s="4">
        <v>101209891900</v>
      </c>
      <c r="B212" s="4" t="str">
        <f t="shared" si="3"/>
        <v>101209891900OVR</v>
      </c>
      <c r="C212" t="s">
        <v>280</v>
      </c>
      <c r="D212" t="s">
        <v>200</v>
      </c>
      <c r="E212">
        <v>20411454</v>
      </c>
      <c r="F212" t="s">
        <v>973</v>
      </c>
      <c r="G212" t="s">
        <v>49</v>
      </c>
      <c r="H212" t="s">
        <v>244</v>
      </c>
      <c r="I212" s="1">
        <v>46023</v>
      </c>
      <c r="J212" t="s">
        <v>51</v>
      </c>
      <c r="K212" t="s">
        <v>52</v>
      </c>
      <c r="L212" s="2">
        <v>0</v>
      </c>
      <c r="M212" s="2">
        <v>15</v>
      </c>
      <c r="N212">
        <v>1</v>
      </c>
      <c r="O212" s="3">
        <v>1</v>
      </c>
      <c r="P212" s="2">
        <v>15</v>
      </c>
      <c r="R212" t="s">
        <v>968</v>
      </c>
    </row>
    <row r="213" spans="1:18" x14ac:dyDescent="0.25">
      <c r="A213" s="4">
        <v>101459178100</v>
      </c>
      <c r="B213" s="4" t="str">
        <f t="shared" si="3"/>
        <v>101459178100OVR</v>
      </c>
      <c r="C213" t="s">
        <v>315</v>
      </c>
      <c r="D213" t="s">
        <v>200</v>
      </c>
      <c r="E213">
        <v>20411454</v>
      </c>
      <c r="F213" t="s">
        <v>973</v>
      </c>
      <c r="G213" t="s">
        <v>49</v>
      </c>
      <c r="H213" t="s">
        <v>244</v>
      </c>
      <c r="I213" s="1">
        <v>46023</v>
      </c>
      <c r="J213" t="s">
        <v>51</v>
      </c>
      <c r="K213" t="s">
        <v>52</v>
      </c>
      <c r="L213" s="2">
        <v>0</v>
      </c>
      <c r="M213" s="2">
        <v>15</v>
      </c>
      <c r="N213">
        <v>1</v>
      </c>
      <c r="O213" s="3">
        <v>1</v>
      </c>
      <c r="P213" s="2">
        <v>15</v>
      </c>
      <c r="R213" t="s">
        <v>968</v>
      </c>
    </row>
    <row r="214" spans="1:18" x14ac:dyDescent="0.25">
      <c r="A214" s="4">
        <v>101517376200</v>
      </c>
      <c r="B214" s="4" t="str">
        <f t="shared" si="3"/>
        <v>101517376200OVR</v>
      </c>
      <c r="C214" t="s">
        <v>336</v>
      </c>
      <c r="D214" t="s">
        <v>200</v>
      </c>
      <c r="E214">
        <v>20411454</v>
      </c>
      <c r="F214" t="s">
        <v>973</v>
      </c>
      <c r="G214" t="s">
        <v>49</v>
      </c>
      <c r="H214" t="s">
        <v>244</v>
      </c>
      <c r="I214" s="1">
        <v>46023</v>
      </c>
      <c r="J214" t="s">
        <v>51</v>
      </c>
      <c r="K214" t="s">
        <v>52</v>
      </c>
      <c r="L214" s="2">
        <v>0</v>
      </c>
      <c r="M214" s="2">
        <v>15</v>
      </c>
      <c r="N214">
        <v>1</v>
      </c>
      <c r="O214" s="3">
        <v>1</v>
      </c>
      <c r="P214" s="2">
        <v>15</v>
      </c>
      <c r="R214" t="s">
        <v>968</v>
      </c>
    </row>
    <row r="215" spans="1:18" x14ac:dyDescent="0.25">
      <c r="A215" s="4">
        <v>101552717700</v>
      </c>
      <c r="B215" s="4" t="str">
        <f t="shared" si="3"/>
        <v>101552717700OVR</v>
      </c>
      <c r="C215" t="s">
        <v>349</v>
      </c>
      <c r="D215" t="s">
        <v>200</v>
      </c>
      <c r="E215">
        <v>20411454</v>
      </c>
      <c r="F215" t="s">
        <v>973</v>
      </c>
      <c r="G215" t="s">
        <v>49</v>
      </c>
      <c r="H215" t="s">
        <v>244</v>
      </c>
      <c r="I215" s="1">
        <v>46023</v>
      </c>
      <c r="J215" t="s">
        <v>51</v>
      </c>
      <c r="K215" t="s">
        <v>52</v>
      </c>
      <c r="L215" s="2">
        <v>0</v>
      </c>
      <c r="M215" s="2">
        <v>15</v>
      </c>
      <c r="N215">
        <v>1</v>
      </c>
      <c r="O215" s="3">
        <v>1</v>
      </c>
      <c r="P215" s="2">
        <v>15</v>
      </c>
      <c r="R215" t="s">
        <v>968</v>
      </c>
    </row>
    <row r="216" spans="1:18" x14ac:dyDescent="0.25">
      <c r="A216" s="4">
        <v>101554524700</v>
      </c>
      <c r="B216" s="4" t="str">
        <f t="shared" si="3"/>
        <v>101554524700OVR</v>
      </c>
      <c r="C216" t="s">
        <v>351</v>
      </c>
      <c r="D216" t="s">
        <v>59</v>
      </c>
      <c r="E216">
        <v>20411454</v>
      </c>
      <c r="F216" t="s">
        <v>973</v>
      </c>
      <c r="G216" t="s">
        <v>49</v>
      </c>
      <c r="H216" t="s">
        <v>244</v>
      </c>
      <c r="I216" s="1">
        <v>46023</v>
      </c>
      <c r="J216" t="s">
        <v>51</v>
      </c>
      <c r="K216" t="s">
        <v>52</v>
      </c>
      <c r="L216" s="2">
        <v>0</v>
      </c>
      <c r="M216" s="2">
        <v>15</v>
      </c>
      <c r="N216">
        <v>1</v>
      </c>
      <c r="O216" s="3">
        <v>1</v>
      </c>
      <c r="P216" s="2">
        <v>15</v>
      </c>
      <c r="R216" t="s">
        <v>968</v>
      </c>
    </row>
    <row r="217" spans="1:18" x14ac:dyDescent="0.25">
      <c r="A217" s="4">
        <v>101716203900</v>
      </c>
      <c r="B217" s="4" t="str">
        <f t="shared" si="3"/>
        <v>101716203900OVR</v>
      </c>
      <c r="C217" t="s">
        <v>391</v>
      </c>
      <c r="D217" t="s">
        <v>200</v>
      </c>
      <c r="E217">
        <v>20411454</v>
      </c>
      <c r="F217" t="s">
        <v>973</v>
      </c>
      <c r="G217" t="s">
        <v>49</v>
      </c>
      <c r="H217" t="s">
        <v>244</v>
      </c>
      <c r="I217" s="1">
        <v>46023</v>
      </c>
      <c r="J217" t="s">
        <v>51</v>
      </c>
      <c r="K217" t="s">
        <v>52</v>
      </c>
      <c r="L217" s="2">
        <v>0</v>
      </c>
      <c r="M217" s="2">
        <v>15</v>
      </c>
      <c r="N217">
        <v>1</v>
      </c>
      <c r="O217" s="3">
        <v>1</v>
      </c>
      <c r="P217" s="2">
        <v>15</v>
      </c>
      <c r="R217" t="s">
        <v>968</v>
      </c>
    </row>
    <row r="218" spans="1:18" x14ac:dyDescent="0.25">
      <c r="A218" s="4">
        <v>101867318500</v>
      </c>
      <c r="B218" s="4" t="str">
        <f t="shared" si="3"/>
        <v>101867318500OVR</v>
      </c>
      <c r="C218" t="s">
        <v>413</v>
      </c>
      <c r="D218" t="s">
        <v>59</v>
      </c>
      <c r="E218">
        <v>20411454</v>
      </c>
      <c r="F218" t="s">
        <v>973</v>
      </c>
      <c r="G218" t="s">
        <v>49</v>
      </c>
      <c r="H218" t="s">
        <v>244</v>
      </c>
      <c r="I218" s="1">
        <v>46023</v>
      </c>
      <c r="J218" t="s">
        <v>51</v>
      </c>
      <c r="K218" t="s">
        <v>52</v>
      </c>
      <c r="L218" s="2">
        <v>0</v>
      </c>
      <c r="M218" s="2">
        <v>15</v>
      </c>
      <c r="N218">
        <v>1</v>
      </c>
      <c r="O218" s="3">
        <v>1</v>
      </c>
      <c r="P218" s="2">
        <v>15</v>
      </c>
      <c r="R218" t="s">
        <v>968</v>
      </c>
    </row>
    <row r="219" spans="1:18" x14ac:dyDescent="0.25">
      <c r="A219" s="4">
        <v>101924025100</v>
      </c>
      <c r="B219" s="4" t="str">
        <f t="shared" si="3"/>
        <v>101924025100OVR</v>
      </c>
      <c r="C219" t="s">
        <v>440</v>
      </c>
      <c r="D219" t="s">
        <v>200</v>
      </c>
      <c r="E219">
        <v>20411454</v>
      </c>
      <c r="F219" t="s">
        <v>973</v>
      </c>
      <c r="G219" t="s">
        <v>49</v>
      </c>
      <c r="H219" t="s">
        <v>244</v>
      </c>
      <c r="I219" s="1">
        <v>46023</v>
      </c>
      <c r="J219" t="s">
        <v>51</v>
      </c>
      <c r="K219" t="s">
        <v>52</v>
      </c>
      <c r="L219" s="2">
        <v>0</v>
      </c>
      <c r="M219" s="2">
        <v>15</v>
      </c>
      <c r="N219">
        <v>1</v>
      </c>
      <c r="O219" s="3">
        <v>1</v>
      </c>
      <c r="P219" s="2">
        <v>15</v>
      </c>
      <c r="R219" t="s">
        <v>968</v>
      </c>
    </row>
    <row r="220" spans="1:18" x14ac:dyDescent="0.25">
      <c r="A220" s="4">
        <v>101948584500</v>
      </c>
      <c r="B220" s="4" t="str">
        <f t="shared" si="3"/>
        <v>101948584500OVR</v>
      </c>
      <c r="C220" t="s">
        <v>448</v>
      </c>
      <c r="D220" t="s">
        <v>46</v>
      </c>
      <c r="E220">
        <v>20411454</v>
      </c>
      <c r="F220" t="s">
        <v>973</v>
      </c>
      <c r="G220" t="s">
        <v>49</v>
      </c>
      <c r="H220" t="s">
        <v>244</v>
      </c>
      <c r="I220" s="1">
        <v>46023</v>
      </c>
      <c r="J220" t="s">
        <v>51</v>
      </c>
      <c r="K220" t="s">
        <v>52</v>
      </c>
      <c r="L220" s="2">
        <v>0</v>
      </c>
      <c r="M220" s="2">
        <v>15</v>
      </c>
      <c r="N220">
        <v>1</v>
      </c>
      <c r="O220" s="3">
        <v>1</v>
      </c>
      <c r="P220" s="2">
        <v>15</v>
      </c>
      <c r="R220" t="s">
        <v>968</v>
      </c>
    </row>
    <row r="221" spans="1:18" x14ac:dyDescent="0.25">
      <c r="A221" s="4">
        <v>102083319200</v>
      </c>
      <c r="B221" s="4" t="str">
        <f t="shared" si="3"/>
        <v>102083319200OVR</v>
      </c>
      <c r="C221" t="s">
        <v>478</v>
      </c>
      <c r="D221" t="s">
        <v>200</v>
      </c>
      <c r="E221">
        <v>20411454</v>
      </c>
      <c r="F221" t="s">
        <v>973</v>
      </c>
      <c r="G221" t="s">
        <v>49</v>
      </c>
      <c r="H221" t="s">
        <v>244</v>
      </c>
      <c r="I221" s="1">
        <v>46023</v>
      </c>
      <c r="J221" t="s">
        <v>51</v>
      </c>
      <c r="K221" t="s">
        <v>52</v>
      </c>
      <c r="L221" s="2">
        <v>0</v>
      </c>
      <c r="M221" s="2">
        <v>15</v>
      </c>
      <c r="N221">
        <v>1</v>
      </c>
      <c r="O221" s="3">
        <v>1</v>
      </c>
      <c r="P221" s="2">
        <v>15</v>
      </c>
      <c r="R221" t="s">
        <v>968</v>
      </c>
    </row>
    <row r="222" spans="1:18" x14ac:dyDescent="0.25">
      <c r="A222" s="4">
        <v>102211543800</v>
      </c>
      <c r="B222" s="4" t="str">
        <f t="shared" si="3"/>
        <v>102211543800OVR</v>
      </c>
      <c r="C222" t="s">
        <v>511</v>
      </c>
      <c r="D222" t="s">
        <v>59</v>
      </c>
      <c r="E222">
        <v>20411454</v>
      </c>
      <c r="F222" t="s">
        <v>973</v>
      </c>
      <c r="G222" t="s">
        <v>49</v>
      </c>
      <c r="H222" t="s">
        <v>244</v>
      </c>
      <c r="I222" s="1">
        <v>45962</v>
      </c>
      <c r="J222" t="s">
        <v>51</v>
      </c>
      <c r="K222" t="s">
        <v>52</v>
      </c>
      <c r="L222" s="2">
        <v>0</v>
      </c>
      <c r="M222" s="2">
        <v>15</v>
      </c>
      <c r="N222">
        <v>1</v>
      </c>
      <c r="O222" s="3">
        <v>1</v>
      </c>
      <c r="P222" s="2">
        <v>15</v>
      </c>
      <c r="R222" t="s">
        <v>968</v>
      </c>
    </row>
    <row r="223" spans="1:18" x14ac:dyDescent="0.25">
      <c r="A223" s="4">
        <v>102212376700</v>
      </c>
      <c r="B223" s="4" t="str">
        <f t="shared" si="3"/>
        <v>102212376700OVR</v>
      </c>
      <c r="C223" t="s">
        <v>513</v>
      </c>
      <c r="D223" t="s">
        <v>200</v>
      </c>
      <c r="E223">
        <v>20411454</v>
      </c>
      <c r="F223" t="s">
        <v>973</v>
      </c>
      <c r="G223" t="s">
        <v>49</v>
      </c>
      <c r="H223" t="s">
        <v>244</v>
      </c>
      <c r="I223" s="1">
        <v>45962</v>
      </c>
      <c r="J223" t="s">
        <v>51</v>
      </c>
      <c r="K223" t="s">
        <v>52</v>
      </c>
      <c r="L223" s="2">
        <v>0</v>
      </c>
      <c r="M223" s="2">
        <v>15</v>
      </c>
      <c r="N223">
        <v>1</v>
      </c>
      <c r="O223" s="3">
        <v>1</v>
      </c>
      <c r="P223" s="2">
        <v>15</v>
      </c>
      <c r="R223" t="s">
        <v>968</v>
      </c>
    </row>
    <row r="224" spans="1:18" x14ac:dyDescent="0.25">
      <c r="A224" s="4">
        <v>102214678200</v>
      </c>
      <c r="B224" s="4" t="str">
        <f t="shared" si="3"/>
        <v>102214678200OVR</v>
      </c>
      <c r="C224" t="s">
        <v>519</v>
      </c>
      <c r="D224" t="s">
        <v>200</v>
      </c>
      <c r="E224">
        <v>20411454</v>
      </c>
      <c r="F224" t="s">
        <v>973</v>
      </c>
      <c r="G224" t="s">
        <v>49</v>
      </c>
      <c r="H224" t="s">
        <v>244</v>
      </c>
      <c r="I224" s="1">
        <v>45962</v>
      </c>
      <c r="J224" t="s">
        <v>51</v>
      </c>
      <c r="K224" t="s">
        <v>52</v>
      </c>
      <c r="L224" s="2">
        <v>0</v>
      </c>
      <c r="M224" s="2">
        <v>15</v>
      </c>
      <c r="N224">
        <v>1</v>
      </c>
      <c r="O224" s="3">
        <v>1</v>
      </c>
      <c r="P224" s="2">
        <v>15</v>
      </c>
      <c r="R224" t="s">
        <v>968</v>
      </c>
    </row>
    <row r="225" spans="1:18" x14ac:dyDescent="0.25">
      <c r="A225" s="4">
        <v>102214680800</v>
      </c>
      <c r="B225" s="4" t="str">
        <f t="shared" si="3"/>
        <v>102214680800OVR</v>
      </c>
      <c r="C225" t="s">
        <v>523</v>
      </c>
      <c r="D225" t="s">
        <v>121</v>
      </c>
      <c r="E225">
        <v>20411454</v>
      </c>
      <c r="F225" t="s">
        <v>973</v>
      </c>
      <c r="G225" t="s">
        <v>49</v>
      </c>
      <c r="H225" t="s">
        <v>244</v>
      </c>
      <c r="I225" s="1">
        <v>45992</v>
      </c>
      <c r="J225" t="s">
        <v>51</v>
      </c>
      <c r="K225" t="s">
        <v>52</v>
      </c>
      <c r="L225" s="2">
        <v>0</v>
      </c>
      <c r="M225" s="2">
        <v>15</v>
      </c>
      <c r="N225">
        <v>1</v>
      </c>
      <c r="O225" s="3">
        <v>1</v>
      </c>
      <c r="P225" s="2">
        <v>15</v>
      </c>
      <c r="R225" t="s">
        <v>968</v>
      </c>
    </row>
    <row r="226" spans="1:18" x14ac:dyDescent="0.25">
      <c r="A226" s="4">
        <v>102214683400</v>
      </c>
      <c r="B226" s="4" t="str">
        <f t="shared" si="3"/>
        <v>102214683400OVR</v>
      </c>
      <c r="C226" t="s">
        <v>527</v>
      </c>
      <c r="D226" t="s">
        <v>59</v>
      </c>
      <c r="E226">
        <v>20411454</v>
      </c>
      <c r="F226" t="s">
        <v>973</v>
      </c>
      <c r="G226" t="s">
        <v>49</v>
      </c>
      <c r="H226" t="s">
        <v>244</v>
      </c>
      <c r="I226" s="1">
        <v>45962</v>
      </c>
      <c r="J226" t="s">
        <v>51</v>
      </c>
      <c r="K226" t="s">
        <v>52</v>
      </c>
      <c r="L226" s="2">
        <v>0</v>
      </c>
      <c r="M226" s="2">
        <v>15</v>
      </c>
      <c r="N226">
        <v>1</v>
      </c>
      <c r="O226" s="3">
        <v>1</v>
      </c>
      <c r="P226" s="2">
        <v>15</v>
      </c>
      <c r="R226" t="s">
        <v>968</v>
      </c>
    </row>
    <row r="227" spans="1:18" x14ac:dyDescent="0.25">
      <c r="A227" s="4">
        <v>102217272200</v>
      </c>
      <c r="B227" s="4" t="str">
        <f t="shared" si="3"/>
        <v>102217272200OVR</v>
      </c>
      <c r="C227" t="s">
        <v>529</v>
      </c>
      <c r="D227" t="s">
        <v>200</v>
      </c>
      <c r="E227">
        <v>20411454</v>
      </c>
      <c r="F227" t="s">
        <v>973</v>
      </c>
      <c r="G227" t="s">
        <v>49</v>
      </c>
      <c r="H227" t="s">
        <v>244</v>
      </c>
      <c r="I227" s="1">
        <v>45992</v>
      </c>
      <c r="J227" t="s">
        <v>51</v>
      </c>
      <c r="K227" t="s">
        <v>52</v>
      </c>
      <c r="L227" s="2">
        <v>0</v>
      </c>
      <c r="M227" s="2">
        <v>15</v>
      </c>
      <c r="N227">
        <v>1</v>
      </c>
      <c r="O227" s="3">
        <v>1</v>
      </c>
      <c r="P227" s="2">
        <v>15</v>
      </c>
      <c r="R227" t="s">
        <v>968</v>
      </c>
    </row>
    <row r="228" spans="1:18" x14ac:dyDescent="0.25">
      <c r="A228" s="4">
        <v>102222150200</v>
      </c>
      <c r="B228" s="4" t="str">
        <f t="shared" si="3"/>
        <v>102222150200OVR</v>
      </c>
      <c r="C228" t="s">
        <v>535</v>
      </c>
      <c r="D228" t="s">
        <v>200</v>
      </c>
      <c r="E228">
        <v>20411454</v>
      </c>
      <c r="F228" t="s">
        <v>973</v>
      </c>
      <c r="G228" t="s">
        <v>49</v>
      </c>
      <c r="H228" t="s">
        <v>244</v>
      </c>
      <c r="I228" s="1">
        <v>45992</v>
      </c>
      <c r="J228" t="s">
        <v>51</v>
      </c>
      <c r="K228" t="s">
        <v>52</v>
      </c>
      <c r="L228" s="2">
        <v>0</v>
      </c>
      <c r="M228" s="2">
        <v>15</v>
      </c>
      <c r="N228">
        <v>1</v>
      </c>
      <c r="O228" s="3">
        <v>1</v>
      </c>
      <c r="P228" s="2">
        <v>15</v>
      </c>
      <c r="R228" t="s">
        <v>968</v>
      </c>
    </row>
    <row r="229" spans="1:18" x14ac:dyDescent="0.25">
      <c r="A229" s="4">
        <v>102224268100</v>
      </c>
      <c r="B229" s="4" t="str">
        <f t="shared" si="3"/>
        <v>102224268100OVR</v>
      </c>
      <c r="C229" t="s">
        <v>537</v>
      </c>
      <c r="D229" t="s">
        <v>59</v>
      </c>
      <c r="E229">
        <v>20411454</v>
      </c>
      <c r="F229" t="s">
        <v>973</v>
      </c>
      <c r="G229" t="s">
        <v>49</v>
      </c>
      <c r="H229" t="s">
        <v>244</v>
      </c>
      <c r="I229" s="1">
        <v>45992</v>
      </c>
      <c r="J229" t="s">
        <v>51</v>
      </c>
      <c r="K229" t="s">
        <v>52</v>
      </c>
      <c r="L229" s="2">
        <v>0</v>
      </c>
      <c r="M229" s="2">
        <v>15</v>
      </c>
      <c r="N229">
        <v>1</v>
      </c>
      <c r="O229" s="3">
        <v>1</v>
      </c>
      <c r="P229" s="2">
        <v>15</v>
      </c>
      <c r="R229" t="s">
        <v>968</v>
      </c>
    </row>
    <row r="230" spans="1:18" x14ac:dyDescent="0.25">
      <c r="A230" s="4">
        <v>102227713000</v>
      </c>
      <c r="B230" s="4" t="str">
        <f t="shared" si="3"/>
        <v>102227713000OVR</v>
      </c>
      <c r="C230" t="s">
        <v>539</v>
      </c>
      <c r="D230" t="s">
        <v>64</v>
      </c>
      <c r="E230">
        <v>20411454</v>
      </c>
      <c r="F230" t="s">
        <v>973</v>
      </c>
      <c r="G230" t="s">
        <v>49</v>
      </c>
      <c r="H230" t="s">
        <v>244</v>
      </c>
      <c r="I230" s="1">
        <v>45992</v>
      </c>
      <c r="J230" t="s">
        <v>51</v>
      </c>
      <c r="K230" t="s">
        <v>52</v>
      </c>
      <c r="L230" s="2">
        <v>0</v>
      </c>
      <c r="M230" s="2">
        <v>15</v>
      </c>
      <c r="N230">
        <v>1</v>
      </c>
      <c r="O230" s="3">
        <v>1</v>
      </c>
      <c r="P230" s="2">
        <v>15</v>
      </c>
      <c r="R230" t="s">
        <v>968</v>
      </c>
    </row>
    <row r="231" spans="1:18" x14ac:dyDescent="0.25">
      <c r="A231" s="4">
        <v>102242745700</v>
      </c>
      <c r="B231" s="4" t="str">
        <f t="shared" si="3"/>
        <v>102242745700OVR</v>
      </c>
      <c r="C231" t="s">
        <v>563</v>
      </c>
      <c r="D231" t="s">
        <v>200</v>
      </c>
      <c r="E231">
        <v>20411454</v>
      </c>
      <c r="F231" t="s">
        <v>973</v>
      </c>
      <c r="G231" t="s">
        <v>49</v>
      </c>
      <c r="H231" t="s">
        <v>244</v>
      </c>
      <c r="I231" s="1">
        <v>46023</v>
      </c>
      <c r="J231" t="s">
        <v>51</v>
      </c>
      <c r="K231" t="s">
        <v>52</v>
      </c>
      <c r="L231" s="2">
        <v>0</v>
      </c>
      <c r="M231" s="2">
        <v>15</v>
      </c>
      <c r="N231">
        <v>1</v>
      </c>
      <c r="O231" s="3">
        <v>1</v>
      </c>
      <c r="P231" s="2">
        <v>15</v>
      </c>
      <c r="R231" t="s">
        <v>968</v>
      </c>
    </row>
    <row r="232" spans="1:18" x14ac:dyDescent="0.25">
      <c r="A232" s="4">
        <v>102242747100</v>
      </c>
      <c r="B232" s="4" t="str">
        <f t="shared" si="3"/>
        <v>102242747100OVR</v>
      </c>
      <c r="C232" t="s">
        <v>565</v>
      </c>
      <c r="D232" t="s">
        <v>200</v>
      </c>
      <c r="E232">
        <v>20411454</v>
      </c>
      <c r="F232" t="s">
        <v>973</v>
      </c>
      <c r="G232" t="s">
        <v>49</v>
      </c>
      <c r="H232" t="s">
        <v>244</v>
      </c>
      <c r="I232" s="1">
        <v>46023</v>
      </c>
      <c r="J232" t="s">
        <v>51</v>
      </c>
      <c r="K232" t="s">
        <v>52</v>
      </c>
      <c r="L232" s="2">
        <v>0</v>
      </c>
      <c r="M232" s="2">
        <v>15</v>
      </c>
      <c r="N232">
        <v>1</v>
      </c>
      <c r="O232" s="3">
        <v>1</v>
      </c>
      <c r="P232" s="2">
        <v>15</v>
      </c>
      <c r="R232" t="s">
        <v>968</v>
      </c>
    </row>
    <row r="233" spans="1:18" x14ac:dyDescent="0.25">
      <c r="A233" s="4">
        <v>102242747800</v>
      </c>
      <c r="B233" s="4" t="str">
        <f t="shared" si="3"/>
        <v>102242747800OVR</v>
      </c>
      <c r="C233" t="s">
        <v>567</v>
      </c>
      <c r="D233" t="s">
        <v>200</v>
      </c>
      <c r="E233">
        <v>20411454</v>
      </c>
      <c r="F233" t="s">
        <v>973</v>
      </c>
      <c r="G233" t="s">
        <v>49</v>
      </c>
      <c r="H233" t="s">
        <v>244</v>
      </c>
      <c r="I233" s="1">
        <v>46023</v>
      </c>
      <c r="J233" t="s">
        <v>51</v>
      </c>
      <c r="K233" t="s">
        <v>52</v>
      </c>
      <c r="L233" s="2">
        <v>0</v>
      </c>
      <c r="M233" s="2">
        <v>15</v>
      </c>
      <c r="N233">
        <v>1</v>
      </c>
      <c r="O233" s="3">
        <v>1</v>
      </c>
      <c r="P233" s="2">
        <v>15</v>
      </c>
      <c r="R233" t="s">
        <v>968</v>
      </c>
    </row>
    <row r="234" spans="1:18" x14ac:dyDescent="0.25">
      <c r="A234" s="4">
        <v>102242748900</v>
      </c>
      <c r="B234" s="4" t="str">
        <f t="shared" si="3"/>
        <v>102242748900OVR</v>
      </c>
      <c r="C234" t="s">
        <v>569</v>
      </c>
      <c r="D234" t="s">
        <v>200</v>
      </c>
      <c r="E234">
        <v>20411454</v>
      </c>
      <c r="F234" t="s">
        <v>973</v>
      </c>
      <c r="G234" t="s">
        <v>49</v>
      </c>
      <c r="H234" t="s">
        <v>244</v>
      </c>
      <c r="I234" s="1">
        <v>46023</v>
      </c>
      <c r="J234" t="s">
        <v>51</v>
      </c>
      <c r="K234" t="s">
        <v>52</v>
      </c>
      <c r="L234" s="2">
        <v>0</v>
      </c>
      <c r="M234" s="2">
        <v>15</v>
      </c>
      <c r="N234">
        <v>1</v>
      </c>
      <c r="O234" s="3">
        <v>1</v>
      </c>
      <c r="P234" s="2">
        <v>15</v>
      </c>
      <c r="R234" t="s">
        <v>968</v>
      </c>
    </row>
    <row r="235" spans="1:18" x14ac:dyDescent="0.25">
      <c r="A235" s="4">
        <v>102248239900</v>
      </c>
      <c r="B235" s="4" t="str">
        <f t="shared" si="3"/>
        <v>102248239900OVR</v>
      </c>
      <c r="C235" t="s">
        <v>676</v>
      </c>
      <c r="D235" t="s">
        <v>200</v>
      </c>
      <c r="E235">
        <v>20411454</v>
      </c>
      <c r="F235" t="s">
        <v>973</v>
      </c>
      <c r="G235" t="s">
        <v>49</v>
      </c>
      <c r="H235" t="s">
        <v>244</v>
      </c>
      <c r="I235" s="1">
        <v>46023</v>
      </c>
      <c r="J235" t="s">
        <v>51</v>
      </c>
      <c r="K235" t="s">
        <v>52</v>
      </c>
      <c r="L235" s="2">
        <v>0</v>
      </c>
      <c r="M235" s="2">
        <v>15</v>
      </c>
      <c r="N235">
        <v>1</v>
      </c>
      <c r="O235" s="3">
        <v>1</v>
      </c>
      <c r="P235" s="2">
        <v>15</v>
      </c>
      <c r="R235" t="s">
        <v>968</v>
      </c>
    </row>
    <row r="236" spans="1:18" x14ac:dyDescent="0.25">
      <c r="A236" s="4">
        <v>102248244100</v>
      </c>
      <c r="B236" s="4" t="str">
        <f t="shared" si="3"/>
        <v>102248244100OVR</v>
      </c>
      <c r="C236" t="s">
        <v>680</v>
      </c>
      <c r="D236" t="s">
        <v>200</v>
      </c>
      <c r="E236">
        <v>20411454</v>
      </c>
      <c r="F236" t="s">
        <v>973</v>
      </c>
      <c r="G236" t="s">
        <v>49</v>
      </c>
      <c r="H236" t="s">
        <v>244</v>
      </c>
      <c r="I236" s="1">
        <v>46023</v>
      </c>
      <c r="J236" t="s">
        <v>51</v>
      </c>
      <c r="K236" t="s">
        <v>52</v>
      </c>
      <c r="L236" s="2">
        <v>0</v>
      </c>
      <c r="M236" s="2">
        <v>15</v>
      </c>
      <c r="N236">
        <v>1</v>
      </c>
      <c r="O236" s="3">
        <v>1</v>
      </c>
      <c r="P236" s="2">
        <v>15</v>
      </c>
      <c r="R236" t="s">
        <v>968</v>
      </c>
    </row>
    <row r="237" spans="1:18" x14ac:dyDescent="0.25">
      <c r="A237" s="4">
        <v>102253080000</v>
      </c>
      <c r="B237" s="4" t="str">
        <f t="shared" si="3"/>
        <v>102253080000OVR</v>
      </c>
      <c r="C237" t="s">
        <v>766</v>
      </c>
      <c r="D237" t="s">
        <v>200</v>
      </c>
      <c r="E237">
        <v>20411454</v>
      </c>
      <c r="F237" t="s">
        <v>973</v>
      </c>
      <c r="G237" t="s">
        <v>49</v>
      </c>
      <c r="H237" t="s">
        <v>244</v>
      </c>
      <c r="I237" s="1">
        <v>46023</v>
      </c>
      <c r="J237" t="s">
        <v>51</v>
      </c>
      <c r="K237" t="s">
        <v>52</v>
      </c>
      <c r="L237" s="2">
        <v>0</v>
      </c>
      <c r="M237" s="2">
        <v>15</v>
      </c>
      <c r="N237">
        <v>1</v>
      </c>
      <c r="O237" s="3">
        <v>1</v>
      </c>
      <c r="P237" s="2">
        <v>15</v>
      </c>
      <c r="R237" t="s">
        <v>968</v>
      </c>
    </row>
    <row r="238" spans="1:18" x14ac:dyDescent="0.25">
      <c r="A238" s="4">
        <v>102253590300</v>
      </c>
      <c r="B238" s="4" t="str">
        <f t="shared" si="3"/>
        <v>102253590300OVR</v>
      </c>
      <c r="C238" t="s">
        <v>779</v>
      </c>
      <c r="D238" t="s">
        <v>200</v>
      </c>
      <c r="E238">
        <v>20411454</v>
      </c>
      <c r="F238" t="s">
        <v>973</v>
      </c>
      <c r="G238" t="s">
        <v>49</v>
      </c>
      <c r="H238" t="s">
        <v>244</v>
      </c>
      <c r="I238" s="1">
        <v>46023</v>
      </c>
      <c r="J238" t="s">
        <v>51</v>
      </c>
      <c r="K238" t="s">
        <v>52</v>
      </c>
      <c r="L238" s="2">
        <v>0</v>
      </c>
      <c r="M238" s="2">
        <v>15</v>
      </c>
      <c r="N238">
        <v>1</v>
      </c>
      <c r="O238" s="3">
        <v>1</v>
      </c>
      <c r="P238" s="2">
        <v>15</v>
      </c>
      <c r="R238" t="s">
        <v>968</v>
      </c>
    </row>
    <row r="239" spans="1:18" x14ac:dyDescent="0.25">
      <c r="A239" s="4">
        <v>101615215200</v>
      </c>
      <c r="B239" s="4" t="str">
        <f t="shared" si="3"/>
        <v>101615215200OVR</v>
      </c>
      <c r="C239" t="s">
        <v>359</v>
      </c>
      <c r="D239" t="s">
        <v>360</v>
      </c>
      <c r="E239">
        <v>20411454</v>
      </c>
      <c r="F239" t="s">
        <v>973</v>
      </c>
      <c r="G239" t="s">
        <v>827</v>
      </c>
      <c r="H239" t="s">
        <v>244</v>
      </c>
      <c r="I239" s="1">
        <v>46023</v>
      </c>
      <c r="J239" t="s">
        <v>51</v>
      </c>
      <c r="K239" t="s">
        <v>52</v>
      </c>
      <c r="P239">
        <v>-15</v>
      </c>
      <c r="R239" t="s">
        <v>968</v>
      </c>
    </row>
    <row r="240" spans="1:18" x14ac:dyDescent="0.25">
      <c r="A240" s="4">
        <v>101324402000</v>
      </c>
      <c r="B240" s="4" t="str">
        <f t="shared" si="3"/>
        <v>101324402000OVR</v>
      </c>
      <c r="C240" t="s">
        <v>302</v>
      </c>
      <c r="D240" t="s">
        <v>303</v>
      </c>
      <c r="E240">
        <v>20411454</v>
      </c>
      <c r="F240" t="s">
        <v>973</v>
      </c>
      <c r="G240" t="s">
        <v>49</v>
      </c>
      <c r="H240" t="s">
        <v>304</v>
      </c>
      <c r="I240" s="1">
        <v>45962</v>
      </c>
      <c r="J240" t="s">
        <v>51</v>
      </c>
      <c r="K240" t="s">
        <v>52</v>
      </c>
      <c r="L240" s="2">
        <v>0</v>
      </c>
      <c r="M240" s="2">
        <v>4.17</v>
      </c>
      <c r="N240">
        <v>1</v>
      </c>
      <c r="O240" s="3">
        <v>1</v>
      </c>
      <c r="P240" s="2">
        <v>4.17</v>
      </c>
      <c r="Q240" t="s">
        <v>305</v>
      </c>
      <c r="R240" t="s">
        <v>968</v>
      </c>
    </row>
    <row r="241" spans="1:18" x14ac:dyDescent="0.25">
      <c r="A241" s="4">
        <v>102244928700</v>
      </c>
      <c r="B241" s="4" t="str">
        <f t="shared" si="3"/>
        <v>102244928700OVR</v>
      </c>
      <c r="C241" t="s">
        <v>613</v>
      </c>
      <c r="D241" t="s">
        <v>614</v>
      </c>
      <c r="E241">
        <v>20411454</v>
      </c>
      <c r="F241" t="s">
        <v>973</v>
      </c>
      <c r="G241" t="s">
        <v>49</v>
      </c>
      <c r="H241" t="s">
        <v>304</v>
      </c>
      <c r="I241" s="1">
        <v>46054</v>
      </c>
      <c r="J241" t="s">
        <v>51</v>
      </c>
      <c r="K241" t="s">
        <v>52</v>
      </c>
      <c r="L241" s="2">
        <v>0</v>
      </c>
      <c r="M241" s="2">
        <v>22.92</v>
      </c>
      <c r="N241">
        <v>1</v>
      </c>
      <c r="O241" s="3">
        <v>1</v>
      </c>
      <c r="P241" s="2">
        <v>22.92</v>
      </c>
      <c r="Q241" t="s">
        <v>615</v>
      </c>
      <c r="R241" t="s">
        <v>968</v>
      </c>
    </row>
    <row r="242" spans="1:18" x14ac:dyDescent="0.25">
      <c r="A242" s="4">
        <v>102245909400</v>
      </c>
      <c r="B242" s="4" t="str">
        <f t="shared" si="3"/>
        <v>102245909400OVR</v>
      </c>
      <c r="C242" t="s">
        <v>629</v>
      </c>
      <c r="D242" t="s">
        <v>200</v>
      </c>
      <c r="E242">
        <v>20411454</v>
      </c>
      <c r="F242" t="s">
        <v>973</v>
      </c>
      <c r="G242" t="s">
        <v>49</v>
      </c>
      <c r="H242" t="s">
        <v>304</v>
      </c>
      <c r="I242" s="1">
        <v>46054</v>
      </c>
      <c r="J242" t="s">
        <v>51</v>
      </c>
      <c r="K242" t="s">
        <v>52</v>
      </c>
      <c r="L242" s="2">
        <v>0</v>
      </c>
      <c r="M242" s="2">
        <v>22.92</v>
      </c>
      <c r="N242">
        <v>1</v>
      </c>
      <c r="O242" s="3">
        <v>1</v>
      </c>
      <c r="P242" s="2">
        <v>22.92</v>
      </c>
      <c r="Q242" t="s">
        <v>615</v>
      </c>
      <c r="R242" t="s">
        <v>968</v>
      </c>
    </row>
    <row r="243" spans="1:18" x14ac:dyDescent="0.25">
      <c r="A243" s="4">
        <v>102253501500</v>
      </c>
      <c r="B243" s="4" t="str">
        <f t="shared" si="3"/>
        <v>102253501500OVR</v>
      </c>
      <c r="C243" t="s">
        <v>775</v>
      </c>
      <c r="D243" t="s">
        <v>200</v>
      </c>
      <c r="E243">
        <v>20411454</v>
      </c>
      <c r="F243" t="s">
        <v>973</v>
      </c>
      <c r="G243" t="s">
        <v>49</v>
      </c>
      <c r="H243" t="s">
        <v>304</v>
      </c>
      <c r="I243" s="1">
        <v>46054</v>
      </c>
      <c r="J243" t="s">
        <v>51</v>
      </c>
      <c r="K243" t="s">
        <v>52</v>
      </c>
      <c r="L243" s="2">
        <v>0</v>
      </c>
      <c r="M243" s="2">
        <v>22.92</v>
      </c>
      <c r="N243">
        <v>1</v>
      </c>
      <c r="O243" s="3">
        <v>1</v>
      </c>
      <c r="P243" s="2">
        <v>22.92</v>
      </c>
      <c r="Q243" t="s">
        <v>615</v>
      </c>
      <c r="R243" t="s">
        <v>968</v>
      </c>
    </row>
    <row r="244" spans="1:18" x14ac:dyDescent="0.25">
      <c r="A244" s="4">
        <v>102218977300</v>
      </c>
      <c r="B244" s="4" t="str">
        <f t="shared" si="3"/>
        <v>102218977300OVR</v>
      </c>
      <c r="C244" t="s">
        <v>533</v>
      </c>
      <c r="D244" t="s">
        <v>200</v>
      </c>
      <c r="E244">
        <v>20411454</v>
      </c>
      <c r="F244" t="s">
        <v>973</v>
      </c>
      <c r="G244" t="s">
        <v>827</v>
      </c>
      <c r="H244" t="s">
        <v>304</v>
      </c>
      <c r="I244" s="1">
        <v>45992</v>
      </c>
      <c r="J244" t="s">
        <v>51</v>
      </c>
      <c r="K244" t="s">
        <v>52</v>
      </c>
      <c r="P244">
        <v>-2.08</v>
      </c>
      <c r="R244" t="s">
        <v>968</v>
      </c>
    </row>
    <row r="245" spans="1:18" x14ac:dyDescent="0.25">
      <c r="A245" s="4">
        <v>102232220500</v>
      </c>
      <c r="B245" s="4" t="str">
        <f t="shared" si="3"/>
        <v>102232220500OVR</v>
      </c>
      <c r="C245" t="s">
        <v>543</v>
      </c>
      <c r="E245">
        <v>20411454</v>
      </c>
      <c r="F245" t="s">
        <v>973</v>
      </c>
      <c r="G245" t="s">
        <v>827</v>
      </c>
      <c r="H245" t="s">
        <v>304</v>
      </c>
      <c r="I245" s="1">
        <v>45992</v>
      </c>
      <c r="J245" t="s">
        <v>51</v>
      </c>
      <c r="K245" t="s">
        <v>52</v>
      </c>
      <c r="P245">
        <v>-2.08</v>
      </c>
      <c r="R245" t="s">
        <v>968</v>
      </c>
    </row>
    <row r="246" spans="1:18" x14ac:dyDescent="0.25">
      <c r="A246" s="4">
        <v>102232752000</v>
      </c>
      <c r="B246" s="4" t="str">
        <f t="shared" si="3"/>
        <v>102232752000OVR</v>
      </c>
      <c r="C246" t="s">
        <v>546</v>
      </c>
      <c r="E246">
        <v>20411454</v>
      </c>
      <c r="F246" t="s">
        <v>973</v>
      </c>
      <c r="G246" t="s">
        <v>827</v>
      </c>
      <c r="H246" t="s">
        <v>304</v>
      </c>
      <c r="I246" s="1">
        <v>45992</v>
      </c>
      <c r="J246" t="s">
        <v>51</v>
      </c>
      <c r="K246" t="s">
        <v>52</v>
      </c>
      <c r="P246">
        <v>-2.08</v>
      </c>
      <c r="R246" t="s">
        <v>968</v>
      </c>
    </row>
    <row r="247" spans="1:18" x14ac:dyDescent="0.25">
      <c r="A247" s="4">
        <v>102232767500</v>
      </c>
      <c r="B247" s="4" t="str">
        <f t="shared" si="3"/>
        <v>102232767500OVR</v>
      </c>
      <c r="C247" t="s">
        <v>550</v>
      </c>
      <c r="E247">
        <v>20411454</v>
      </c>
      <c r="F247" t="s">
        <v>973</v>
      </c>
      <c r="G247" t="s">
        <v>827</v>
      </c>
      <c r="H247" t="s">
        <v>304</v>
      </c>
      <c r="I247" s="1">
        <v>45992</v>
      </c>
      <c r="J247" t="s">
        <v>51</v>
      </c>
      <c r="K247" t="s">
        <v>52</v>
      </c>
      <c r="P247">
        <v>-2.08</v>
      </c>
      <c r="R247" t="s">
        <v>968</v>
      </c>
    </row>
    <row r="248" spans="1:18" x14ac:dyDescent="0.25">
      <c r="A248" s="4">
        <v>102232794000</v>
      </c>
      <c r="B248" s="4" t="str">
        <f t="shared" si="3"/>
        <v>102232794000OVR</v>
      </c>
      <c r="C248" t="s">
        <v>552</v>
      </c>
      <c r="E248">
        <v>20411454</v>
      </c>
      <c r="F248" t="s">
        <v>973</v>
      </c>
      <c r="G248" t="s">
        <v>827</v>
      </c>
      <c r="H248" t="s">
        <v>304</v>
      </c>
      <c r="I248" s="1">
        <v>45992</v>
      </c>
      <c r="J248" t="s">
        <v>51</v>
      </c>
      <c r="K248" t="s">
        <v>52</v>
      </c>
      <c r="P248">
        <v>-2.08</v>
      </c>
      <c r="R248" t="s">
        <v>968</v>
      </c>
    </row>
    <row r="249" spans="1:18" x14ac:dyDescent="0.25">
      <c r="A249" s="4">
        <v>102234300900</v>
      </c>
      <c r="B249" s="4" t="str">
        <f t="shared" si="3"/>
        <v>102234300900OVR</v>
      </c>
      <c r="C249" t="s">
        <v>555</v>
      </c>
      <c r="E249">
        <v>20411454</v>
      </c>
      <c r="F249" t="s">
        <v>973</v>
      </c>
      <c r="G249" t="s">
        <v>827</v>
      </c>
      <c r="H249" t="s">
        <v>304</v>
      </c>
      <c r="I249" s="1">
        <v>45992</v>
      </c>
      <c r="J249" t="s">
        <v>51</v>
      </c>
      <c r="K249" t="s">
        <v>52</v>
      </c>
      <c r="P249">
        <v>-2.08</v>
      </c>
      <c r="R249" t="s">
        <v>968</v>
      </c>
    </row>
    <row r="250" spans="1:18" x14ac:dyDescent="0.25">
      <c r="A250" s="4">
        <v>102239189500</v>
      </c>
      <c r="B250" s="4" t="str">
        <f t="shared" si="3"/>
        <v>102239189500OVR</v>
      </c>
      <c r="C250" t="s">
        <v>557</v>
      </c>
      <c r="E250">
        <v>20411454</v>
      </c>
      <c r="F250" t="s">
        <v>973</v>
      </c>
      <c r="G250" t="s">
        <v>827</v>
      </c>
      <c r="H250" t="s">
        <v>304</v>
      </c>
      <c r="I250" s="1">
        <v>45992</v>
      </c>
      <c r="J250" t="s">
        <v>51</v>
      </c>
      <c r="K250" t="s">
        <v>52</v>
      </c>
      <c r="P250">
        <v>-2.08</v>
      </c>
      <c r="R250" t="s">
        <v>968</v>
      </c>
    </row>
    <row r="251" spans="1:18" x14ac:dyDescent="0.25">
      <c r="A251" s="4">
        <v>102239591500</v>
      </c>
      <c r="B251" s="4" t="str">
        <f t="shared" si="3"/>
        <v>102239591500OVR</v>
      </c>
      <c r="C251" t="s">
        <v>559</v>
      </c>
      <c r="E251">
        <v>20411454</v>
      </c>
      <c r="F251" t="s">
        <v>973</v>
      </c>
      <c r="G251" t="s">
        <v>827</v>
      </c>
      <c r="H251" t="s">
        <v>304</v>
      </c>
      <c r="I251" s="1">
        <v>45992</v>
      </c>
      <c r="J251" t="s">
        <v>51</v>
      </c>
      <c r="K251" t="s">
        <v>52</v>
      </c>
      <c r="P251">
        <v>-2.08</v>
      </c>
      <c r="R251" t="s">
        <v>968</v>
      </c>
    </row>
    <row r="252" spans="1:18" x14ac:dyDescent="0.25">
      <c r="A252" s="4">
        <v>102211543800</v>
      </c>
      <c r="B252" s="4" t="str">
        <f t="shared" si="3"/>
        <v>102211543800OVR</v>
      </c>
      <c r="C252" t="s">
        <v>511</v>
      </c>
      <c r="D252" t="s">
        <v>59</v>
      </c>
      <c r="E252">
        <v>20411454</v>
      </c>
      <c r="F252" t="s">
        <v>973</v>
      </c>
      <c r="G252" t="s">
        <v>827</v>
      </c>
      <c r="H252" t="s">
        <v>854</v>
      </c>
      <c r="I252" s="1">
        <v>45962</v>
      </c>
      <c r="J252" t="s">
        <v>51</v>
      </c>
      <c r="K252" t="s">
        <v>52</v>
      </c>
      <c r="P252">
        <v>-2.5</v>
      </c>
      <c r="R252" t="s">
        <v>968</v>
      </c>
    </row>
    <row r="253" spans="1:18" x14ac:dyDescent="0.25">
      <c r="A253" s="4">
        <v>102212376700</v>
      </c>
      <c r="B253" s="4" t="str">
        <f t="shared" si="3"/>
        <v>102212376700OVR</v>
      </c>
      <c r="C253" t="s">
        <v>513</v>
      </c>
      <c r="D253" t="s">
        <v>200</v>
      </c>
      <c r="E253">
        <v>20411454</v>
      </c>
      <c r="F253" t="s">
        <v>973</v>
      </c>
      <c r="G253" t="s">
        <v>827</v>
      </c>
      <c r="H253" t="s">
        <v>854</v>
      </c>
      <c r="I253" s="1">
        <v>45962</v>
      </c>
      <c r="J253" t="s">
        <v>51</v>
      </c>
      <c r="K253" t="s">
        <v>52</v>
      </c>
      <c r="P253">
        <v>-2.5</v>
      </c>
      <c r="R253" t="s">
        <v>968</v>
      </c>
    </row>
    <row r="254" spans="1:18" x14ac:dyDescent="0.25">
      <c r="A254" s="4">
        <v>102214678200</v>
      </c>
      <c r="B254" s="4" t="str">
        <f t="shared" si="3"/>
        <v>102214678200OVR</v>
      </c>
      <c r="C254" t="s">
        <v>519</v>
      </c>
      <c r="D254" t="s">
        <v>200</v>
      </c>
      <c r="E254">
        <v>20411454</v>
      </c>
      <c r="F254" t="s">
        <v>973</v>
      </c>
      <c r="G254" t="s">
        <v>827</v>
      </c>
      <c r="H254" t="s">
        <v>854</v>
      </c>
      <c r="I254" s="1">
        <v>45962</v>
      </c>
      <c r="J254" t="s">
        <v>51</v>
      </c>
      <c r="K254" t="s">
        <v>52</v>
      </c>
      <c r="P254">
        <v>-2.5</v>
      </c>
      <c r="R254" t="s">
        <v>968</v>
      </c>
    </row>
    <row r="255" spans="1:18" x14ac:dyDescent="0.25">
      <c r="A255" s="4">
        <v>102214680800</v>
      </c>
      <c r="B255" s="4" t="str">
        <f t="shared" si="3"/>
        <v>102214680800OVR</v>
      </c>
      <c r="C255" t="s">
        <v>523</v>
      </c>
      <c r="D255" t="s">
        <v>121</v>
      </c>
      <c r="E255">
        <v>20411454</v>
      </c>
      <c r="F255" t="s">
        <v>973</v>
      </c>
      <c r="G255" t="s">
        <v>827</v>
      </c>
      <c r="H255" t="s">
        <v>854</v>
      </c>
      <c r="I255" s="1">
        <v>45992</v>
      </c>
      <c r="J255" t="s">
        <v>51</v>
      </c>
      <c r="K255" t="s">
        <v>52</v>
      </c>
      <c r="P255">
        <v>-1.25</v>
      </c>
      <c r="R255" t="s">
        <v>968</v>
      </c>
    </row>
    <row r="256" spans="1:18" x14ac:dyDescent="0.25">
      <c r="A256" s="4">
        <v>102214683400</v>
      </c>
      <c r="B256" s="4" t="str">
        <f t="shared" si="3"/>
        <v>102214683400OVR</v>
      </c>
      <c r="C256" t="s">
        <v>527</v>
      </c>
      <c r="D256" t="s">
        <v>59</v>
      </c>
      <c r="E256">
        <v>20411454</v>
      </c>
      <c r="F256" t="s">
        <v>973</v>
      </c>
      <c r="G256" t="s">
        <v>827</v>
      </c>
      <c r="H256" t="s">
        <v>854</v>
      </c>
      <c r="I256" s="1">
        <v>45962</v>
      </c>
      <c r="J256" t="s">
        <v>51</v>
      </c>
      <c r="K256" t="s">
        <v>52</v>
      </c>
      <c r="P256">
        <v>-2.5</v>
      </c>
      <c r="R256" t="s">
        <v>968</v>
      </c>
    </row>
    <row r="257" spans="1:18" x14ac:dyDescent="0.25">
      <c r="A257" s="4">
        <v>102217272200</v>
      </c>
      <c r="B257" s="4" t="str">
        <f t="shared" si="3"/>
        <v>102217272200OVR</v>
      </c>
      <c r="C257" t="s">
        <v>529</v>
      </c>
      <c r="D257" t="s">
        <v>200</v>
      </c>
      <c r="E257">
        <v>20411454</v>
      </c>
      <c r="F257" t="s">
        <v>973</v>
      </c>
      <c r="G257" t="s">
        <v>827</v>
      </c>
      <c r="H257" t="s">
        <v>854</v>
      </c>
      <c r="I257" s="1">
        <v>45992</v>
      </c>
      <c r="J257" t="s">
        <v>51</v>
      </c>
      <c r="K257" t="s">
        <v>52</v>
      </c>
      <c r="P257">
        <v>-1.25</v>
      </c>
      <c r="R257" t="s">
        <v>968</v>
      </c>
    </row>
    <row r="258" spans="1:18" x14ac:dyDescent="0.25">
      <c r="A258" s="4" t="s">
        <v>956</v>
      </c>
      <c r="B258" s="4" t="str">
        <f t="shared" si="3"/>
        <v>498W24972PCOVR</v>
      </c>
      <c r="C258" t="s">
        <v>871</v>
      </c>
      <c r="D258" t="s">
        <v>341</v>
      </c>
      <c r="E258">
        <v>20411454</v>
      </c>
      <c r="F258" t="s">
        <v>973</v>
      </c>
      <c r="G258" t="s">
        <v>827</v>
      </c>
      <c r="H258" t="s">
        <v>872</v>
      </c>
      <c r="I258" s="1">
        <v>45962</v>
      </c>
      <c r="J258" t="s">
        <v>51</v>
      </c>
      <c r="K258" t="s">
        <v>52</v>
      </c>
      <c r="P258">
        <v>-19.440000000000001</v>
      </c>
      <c r="R258" t="s">
        <v>969</v>
      </c>
    </row>
    <row r="259" spans="1:18" x14ac:dyDescent="0.25">
      <c r="A259" s="4" t="s">
        <v>902</v>
      </c>
      <c r="B259" s="4" t="str">
        <f t="shared" ref="B259:B322" si="4">CONCATENATE(A259,"OVR")</f>
        <v>00023704400KOVR</v>
      </c>
      <c r="C259" t="s">
        <v>125</v>
      </c>
      <c r="D259" t="s">
        <v>64</v>
      </c>
      <c r="E259">
        <v>20411454</v>
      </c>
      <c r="F259" t="s">
        <v>973</v>
      </c>
      <c r="G259" t="s">
        <v>49</v>
      </c>
      <c r="H259" t="s">
        <v>126</v>
      </c>
      <c r="I259" s="1">
        <v>46023</v>
      </c>
      <c r="J259" t="s">
        <v>51</v>
      </c>
      <c r="K259" t="s">
        <v>52</v>
      </c>
      <c r="L259" s="2">
        <v>0</v>
      </c>
      <c r="M259" s="2">
        <v>175</v>
      </c>
      <c r="N259">
        <v>1</v>
      </c>
      <c r="O259" s="3">
        <v>1</v>
      </c>
      <c r="P259" s="2">
        <v>175</v>
      </c>
      <c r="R259" t="s">
        <v>970</v>
      </c>
    </row>
    <row r="260" spans="1:18" x14ac:dyDescent="0.25">
      <c r="A260" s="4" t="s">
        <v>903</v>
      </c>
      <c r="B260" s="4" t="str">
        <f t="shared" si="4"/>
        <v>00025806241KOVR</v>
      </c>
      <c r="C260" t="s">
        <v>128</v>
      </c>
      <c r="D260" t="s">
        <v>59</v>
      </c>
      <c r="E260">
        <v>20411454</v>
      </c>
      <c r="F260" t="s">
        <v>973</v>
      </c>
      <c r="G260" t="s">
        <v>49</v>
      </c>
      <c r="H260" t="s">
        <v>126</v>
      </c>
      <c r="I260" s="1">
        <v>46023</v>
      </c>
      <c r="J260" t="s">
        <v>51</v>
      </c>
      <c r="K260" t="s">
        <v>52</v>
      </c>
      <c r="L260" s="2">
        <v>0</v>
      </c>
      <c r="M260" s="2">
        <v>175</v>
      </c>
      <c r="N260">
        <v>1</v>
      </c>
      <c r="O260" s="3">
        <v>1</v>
      </c>
      <c r="P260" s="2">
        <v>175</v>
      </c>
      <c r="R260" t="s">
        <v>970</v>
      </c>
    </row>
    <row r="261" spans="1:18" x14ac:dyDescent="0.25">
      <c r="A261" s="4" t="s">
        <v>904</v>
      </c>
      <c r="B261" s="4" t="str">
        <f t="shared" si="4"/>
        <v>00025808671KOVR</v>
      </c>
      <c r="C261" t="s">
        <v>132</v>
      </c>
      <c r="D261" t="s">
        <v>59</v>
      </c>
      <c r="E261">
        <v>20411454</v>
      </c>
      <c r="F261" t="s">
        <v>973</v>
      </c>
      <c r="G261" t="s">
        <v>49</v>
      </c>
      <c r="H261" t="s">
        <v>126</v>
      </c>
      <c r="I261" s="1">
        <v>46023</v>
      </c>
      <c r="J261" t="s">
        <v>51</v>
      </c>
      <c r="K261" t="s">
        <v>52</v>
      </c>
      <c r="L261" s="2">
        <v>0</v>
      </c>
      <c r="M261" s="2">
        <v>175</v>
      </c>
      <c r="N261">
        <v>1</v>
      </c>
      <c r="O261" s="3">
        <v>1</v>
      </c>
      <c r="P261" s="2">
        <v>175</v>
      </c>
      <c r="R261" t="s">
        <v>970</v>
      </c>
    </row>
    <row r="262" spans="1:18" x14ac:dyDescent="0.25">
      <c r="A262" s="4" t="s">
        <v>905</v>
      </c>
      <c r="B262" s="4" t="str">
        <f t="shared" si="4"/>
        <v>00025809595KOVR</v>
      </c>
      <c r="C262" t="s">
        <v>134</v>
      </c>
      <c r="D262" t="s">
        <v>59</v>
      </c>
      <c r="E262">
        <v>20411454</v>
      </c>
      <c r="F262" t="s">
        <v>973</v>
      </c>
      <c r="G262" t="s">
        <v>49</v>
      </c>
      <c r="H262" t="s">
        <v>126</v>
      </c>
      <c r="I262" s="1">
        <v>46023</v>
      </c>
      <c r="J262" t="s">
        <v>51</v>
      </c>
      <c r="K262" t="s">
        <v>52</v>
      </c>
      <c r="L262" s="2">
        <v>0</v>
      </c>
      <c r="M262" s="2">
        <v>175</v>
      </c>
      <c r="N262">
        <v>1</v>
      </c>
      <c r="O262" s="3">
        <v>1</v>
      </c>
      <c r="P262" s="2">
        <v>175</v>
      </c>
      <c r="R262" t="s">
        <v>970</v>
      </c>
    </row>
    <row r="263" spans="1:18" x14ac:dyDescent="0.25">
      <c r="A263" s="4" t="s">
        <v>906</v>
      </c>
      <c r="B263" s="4" t="str">
        <f t="shared" si="4"/>
        <v>00025809995KOVR</v>
      </c>
      <c r="C263" t="s">
        <v>136</v>
      </c>
      <c r="D263" t="s">
        <v>59</v>
      </c>
      <c r="E263">
        <v>20411454</v>
      </c>
      <c r="F263" t="s">
        <v>973</v>
      </c>
      <c r="G263" t="s">
        <v>49</v>
      </c>
      <c r="H263" t="s">
        <v>126</v>
      </c>
      <c r="I263" s="1">
        <v>46082</v>
      </c>
      <c r="J263" t="s">
        <v>51</v>
      </c>
      <c r="K263" t="s">
        <v>52</v>
      </c>
      <c r="L263" s="2">
        <v>0</v>
      </c>
      <c r="M263" s="2">
        <v>175</v>
      </c>
      <c r="N263">
        <v>1</v>
      </c>
      <c r="O263" s="3">
        <v>1</v>
      </c>
      <c r="P263" s="2">
        <v>175</v>
      </c>
      <c r="R263" t="s">
        <v>970</v>
      </c>
    </row>
    <row r="264" spans="1:18" x14ac:dyDescent="0.25">
      <c r="A264" s="4" t="s">
        <v>907</v>
      </c>
      <c r="B264" s="4" t="str">
        <f t="shared" si="4"/>
        <v>00025810559KOVR</v>
      </c>
      <c r="C264" t="s">
        <v>138</v>
      </c>
      <c r="D264" t="s">
        <v>59</v>
      </c>
      <c r="E264">
        <v>20411454</v>
      </c>
      <c r="F264" t="s">
        <v>973</v>
      </c>
      <c r="G264" t="s">
        <v>49</v>
      </c>
      <c r="H264" t="s">
        <v>126</v>
      </c>
      <c r="I264" s="1">
        <v>46023</v>
      </c>
      <c r="J264" t="s">
        <v>51</v>
      </c>
      <c r="K264" t="s">
        <v>52</v>
      </c>
      <c r="L264" s="2">
        <v>0</v>
      </c>
      <c r="M264" s="2">
        <v>175</v>
      </c>
      <c r="N264">
        <v>1</v>
      </c>
      <c r="O264" s="3">
        <v>1</v>
      </c>
      <c r="P264" s="2">
        <v>175</v>
      </c>
      <c r="R264" t="s">
        <v>970</v>
      </c>
    </row>
    <row r="265" spans="1:18" x14ac:dyDescent="0.25">
      <c r="A265" s="4" t="s">
        <v>908</v>
      </c>
      <c r="B265" s="4" t="str">
        <f t="shared" si="4"/>
        <v>00025810757KOVR</v>
      </c>
      <c r="C265" t="s">
        <v>140</v>
      </c>
      <c r="D265" t="s">
        <v>59</v>
      </c>
      <c r="E265">
        <v>20411454</v>
      </c>
      <c r="F265" t="s">
        <v>973</v>
      </c>
      <c r="G265" t="s">
        <v>49</v>
      </c>
      <c r="H265" t="s">
        <v>126</v>
      </c>
      <c r="I265" s="1">
        <v>46023</v>
      </c>
      <c r="J265" t="s">
        <v>51</v>
      </c>
      <c r="K265" t="s">
        <v>52</v>
      </c>
      <c r="L265" s="2">
        <v>0</v>
      </c>
      <c r="M265" s="2">
        <v>175</v>
      </c>
      <c r="N265">
        <v>1</v>
      </c>
      <c r="O265" s="3">
        <v>1</v>
      </c>
      <c r="P265" s="2">
        <v>175</v>
      </c>
      <c r="R265" t="s">
        <v>970</v>
      </c>
    </row>
    <row r="266" spans="1:18" x14ac:dyDescent="0.25">
      <c r="A266" s="4" t="s">
        <v>909</v>
      </c>
      <c r="B266" s="4" t="str">
        <f t="shared" si="4"/>
        <v>00025811000KOVR</v>
      </c>
      <c r="C266" t="s">
        <v>142</v>
      </c>
      <c r="D266" t="s">
        <v>59</v>
      </c>
      <c r="E266">
        <v>20411454</v>
      </c>
      <c r="F266" t="s">
        <v>973</v>
      </c>
      <c r="G266" t="s">
        <v>49</v>
      </c>
      <c r="H266" t="s">
        <v>126</v>
      </c>
      <c r="I266" s="1">
        <v>46023</v>
      </c>
      <c r="J266" t="s">
        <v>51</v>
      </c>
      <c r="K266" t="s">
        <v>52</v>
      </c>
      <c r="L266" s="2">
        <v>0</v>
      </c>
      <c r="M266" s="2">
        <v>175</v>
      </c>
      <c r="N266">
        <v>1</v>
      </c>
      <c r="O266" s="3">
        <v>1</v>
      </c>
      <c r="P266" s="2">
        <v>175</v>
      </c>
      <c r="R266" t="s">
        <v>970</v>
      </c>
    </row>
    <row r="267" spans="1:18" x14ac:dyDescent="0.25">
      <c r="A267" s="4" t="s">
        <v>910</v>
      </c>
      <c r="B267" s="4" t="str">
        <f t="shared" si="4"/>
        <v>00025812287KOVR</v>
      </c>
      <c r="C267" t="s">
        <v>144</v>
      </c>
      <c r="D267" t="s">
        <v>145</v>
      </c>
      <c r="E267">
        <v>20411454</v>
      </c>
      <c r="F267" t="s">
        <v>973</v>
      </c>
      <c r="G267" t="s">
        <v>49</v>
      </c>
      <c r="H267" t="s">
        <v>126</v>
      </c>
      <c r="I267" s="1">
        <v>46054</v>
      </c>
      <c r="J267" t="s">
        <v>51</v>
      </c>
      <c r="K267" t="s">
        <v>52</v>
      </c>
      <c r="L267" s="2">
        <v>0</v>
      </c>
      <c r="M267" s="2">
        <v>175</v>
      </c>
      <c r="N267">
        <v>1</v>
      </c>
      <c r="O267" s="3">
        <v>1</v>
      </c>
      <c r="P267" s="2">
        <v>175</v>
      </c>
      <c r="R267" t="s">
        <v>970</v>
      </c>
    </row>
    <row r="268" spans="1:18" x14ac:dyDescent="0.25">
      <c r="A268" s="4" t="s">
        <v>911</v>
      </c>
      <c r="B268" s="4" t="str">
        <f t="shared" si="4"/>
        <v>00025812903KOVR</v>
      </c>
      <c r="C268" t="s">
        <v>149</v>
      </c>
      <c r="D268" t="s">
        <v>150</v>
      </c>
      <c r="E268">
        <v>20411454</v>
      </c>
      <c r="F268" t="s">
        <v>973</v>
      </c>
      <c r="G268" t="s">
        <v>49</v>
      </c>
      <c r="H268" t="s">
        <v>126</v>
      </c>
      <c r="I268" s="1">
        <v>46023</v>
      </c>
      <c r="J268" t="s">
        <v>51</v>
      </c>
      <c r="K268" t="s">
        <v>52</v>
      </c>
      <c r="L268" s="2">
        <v>0</v>
      </c>
      <c r="M268" s="2">
        <v>175</v>
      </c>
      <c r="N268">
        <v>1</v>
      </c>
      <c r="O268" s="3">
        <v>1</v>
      </c>
      <c r="P268" s="2">
        <v>175</v>
      </c>
      <c r="R268" t="s">
        <v>970</v>
      </c>
    </row>
    <row r="269" spans="1:18" x14ac:dyDescent="0.25">
      <c r="A269" s="4" t="s">
        <v>912</v>
      </c>
      <c r="B269" s="4" t="str">
        <f t="shared" si="4"/>
        <v>00025814217KOVR</v>
      </c>
      <c r="C269" t="s">
        <v>154</v>
      </c>
      <c r="D269" t="s">
        <v>64</v>
      </c>
      <c r="E269">
        <v>20411454</v>
      </c>
      <c r="F269" t="s">
        <v>973</v>
      </c>
      <c r="G269" t="s">
        <v>49</v>
      </c>
      <c r="H269" t="s">
        <v>126</v>
      </c>
      <c r="I269" s="1">
        <v>46023</v>
      </c>
      <c r="J269" t="s">
        <v>51</v>
      </c>
      <c r="K269" t="s">
        <v>52</v>
      </c>
      <c r="L269" s="2">
        <v>0</v>
      </c>
      <c r="M269" s="2">
        <v>175</v>
      </c>
      <c r="N269">
        <v>1</v>
      </c>
      <c r="O269" s="3">
        <v>1</v>
      </c>
      <c r="P269" s="2">
        <v>175</v>
      </c>
      <c r="R269" t="s">
        <v>970</v>
      </c>
    </row>
    <row r="270" spans="1:18" x14ac:dyDescent="0.25">
      <c r="A270" s="4" t="s">
        <v>913</v>
      </c>
      <c r="B270" s="4" t="str">
        <f t="shared" si="4"/>
        <v>00025816114KOVR</v>
      </c>
      <c r="C270" t="s">
        <v>158</v>
      </c>
      <c r="D270" t="s">
        <v>145</v>
      </c>
      <c r="E270">
        <v>20411454</v>
      </c>
      <c r="F270" t="s">
        <v>973</v>
      </c>
      <c r="G270" t="s">
        <v>49</v>
      </c>
      <c r="H270" t="s">
        <v>126</v>
      </c>
      <c r="I270" s="1">
        <v>46023</v>
      </c>
      <c r="J270" t="s">
        <v>51</v>
      </c>
      <c r="K270" t="s">
        <v>52</v>
      </c>
      <c r="L270" s="2">
        <v>0</v>
      </c>
      <c r="M270" s="2">
        <v>175</v>
      </c>
      <c r="N270">
        <v>1</v>
      </c>
      <c r="O270" s="3">
        <v>1</v>
      </c>
      <c r="P270" s="2">
        <v>175</v>
      </c>
      <c r="R270" t="s">
        <v>970</v>
      </c>
    </row>
    <row r="271" spans="1:18" x14ac:dyDescent="0.25">
      <c r="A271" s="4" t="s">
        <v>914</v>
      </c>
      <c r="B271" s="4" t="str">
        <f t="shared" si="4"/>
        <v>00025817764KOVR</v>
      </c>
      <c r="C271" t="s">
        <v>160</v>
      </c>
      <c r="D271" t="s">
        <v>59</v>
      </c>
      <c r="E271">
        <v>20411454</v>
      </c>
      <c r="F271" t="s">
        <v>973</v>
      </c>
      <c r="G271" t="s">
        <v>49</v>
      </c>
      <c r="H271" t="s">
        <v>126</v>
      </c>
      <c r="I271" s="1">
        <v>46023</v>
      </c>
      <c r="J271" t="s">
        <v>51</v>
      </c>
      <c r="K271" t="s">
        <v>52</v>
      </c>
      <c r="L271" s="2">
        <v>0</v>
      </c>
      <c r="M271" s="2">
        <v>175</v>
      </c>
      <c r="N271">
        <v>1</v>
      </c>
      <c r="O271" s="3">
        <v>1</v>
      </c>
      <c r="P271" s="2">
        <v>175</v>
      </c>
      <c r="R271" t="s">
        <v>970</v>
      </c>
    </row>
    <row r="272" spans="1:18" x14ac:dyDescent="0.25">
      <c r="A272" s="4" t="s">
        <v>915</v>
      </c>
      <c r="B272" s="4" t="str">
        <f t="shared" si="4"/>
        <v>00025818017KOVR</v>
      </c>
      <c r="C272" t="s">
        <v>164</v>
      </c>
      <c r="D272" t="s">
        <v>59</v>
      </c>
      <c r="E272">
        <v>20411454</v>
      </c>
      <c r="F272" t="s">
        <v>973</v>
      </c>
      <c r="G272" t="s">
        <v>49</v>
      </c>
      <c r="H272" t="s">
        <v>126</v>
      </c>
      <c r="I272" s="1">
        <v>46023</v>
      </c>
      <c r="J272" t="s">
        <v>51</v>
      </c>
      <c r="K272" t="s">
        <v>52</v>
      </c>
      <c r="L272" s="2">
        <v>0</v>
      </c>
      <c r="M272" s="2">
        <v>175</v>
      </c>
      <c r="N272">
        <v>1</v>
      </c>
      <c r="O272" s="3">
        <v>1</v>
      </c>
      <c r="P272" s="2">
        <v>175</v>
      </c>
      <c r="R272" t="s">
        <v>970</v>
      </c>
    </row>
    <row r="273" spans="1:18" x14ac:dyDescent="0.25">
      <c r="A273" s="4" t="s">
        <v>916</v>
      </c>
      <c r="B273" s="4" t="str">
        <f t="shared" si="4"/>
        <v>00025818707KOVR</v>
      </c>
      <c r="C273" t="s">
        <v>168</v>
      </c>
      <c r="D273" t="s">
        <v>169</v>
      </c>
      <c r="E273">
        <v>20411454</v>
      </c>
      <c r="F273" t="s">
        <v>973</v>
      </c>
      <c r="G273" t="s">
        <v>49</v>
      </c>
      <c r="H273" t="s">
        <v>126</v>
      </c>
      <c r="I273" s="1">
        <v>46023</v>
      </c>
      <c r="J273" t="s">
        <v>51</v>
      </c>
      <c r="K273" t="s">
        <v>52</v>
      </c>
      <c r="L273" s="2">
        <v>0</v>
      </c>
      <c r="M273" s="2">
        <v>175</v>
      </c>
      <c r="N273">
        <v>1</v>
      </c>
      <c r="O273" s="3">
        <v>1</v>
      </c>
      <c r="P273" s="2">
        <v>175</v>
      </c>
      <c r="R273" t="s">
        <v>970</v>
      </c>
    </row>
    <row r="274" spans="1:18" x14ac:dyDescent="0.25">
      <c r="A274" s="4" t="s">
        <v>917</v>
      </c>
      <c r="B274" s="4" t="str">
        <f t="shared" si="4"/>
        <v>00025818830KOVR</v>
      </c>
      <c r="C274" t="s">
        <v>171</v>
      </c>
      <c r="D274" t="s">
        <v>145</v>
      </c>
      <c r="E274">
        <v>20411454</v>
      </c>
      <c r="F274" t="s">
        <v>973</v>
      </c>
      <c r="G274" t="s">
        <v>49</v>
      </c>
      <c r="H274" t="s">
        <v>126</v>
      </c>
      <c r="I274" s="1">
        <v>46023</v>
      </c>
      <c r="J274" t="s">
        <v>51</v>
      </c>
      <c r="K274" t="s">
        <v>52</v>
      </c>
      <c r="L274" s="2">
        <v>0</v>
      </c>
      <c r="M274" s="2">
        <v>175</v>
      </c>
      <c r="N274">
        <v>1</v>
      </c>
      <c r="O274" s="3">
        <v>1</v>
      </c>
      <c r="P274" s="2">
        <v>175</v>
      </c>
      <c r="R274" t="s">
        <v>970</v>
      </c>
    </row>
    <row r="275" spans="1:18" x14ac:dyDescent="0.25">
      <c r="A275" s="4" t="s">
        <v>918</v>
      </c>
      <c r="B275" s="4" t="str">
        <f t="shared" si="4"/>
        <v>00025819861KOVR</v>
      </c>
      <c r="C275" t="s">
        <v>173</v>
      </c>
      <c r="D275" t="s">
        <v>145</v>
      </c>
      <c r="E275">
        <v>20411454</v>
      </c>
      <c r="F275" t="s">
        <v>973</v>
      </c>
      <c r="G275" t="s">
        <v>49</v>
      </c>
      <c r="H275" t="s">
        <v>126</v>
      </c>
      <c r="I275" s="1">
        <v>46023</v>
      </c>
      <c r="J275" t="s">
        <v>51</v>
      </c>
      <c r="K275" t="s">
        <v>52</v>
      </c>
      <c r="L275" s="2">
        <v>0</v>
      </c>
      <c r="M275" s="2">
        <v>175</v>
      </c>
      <c r="N275">
        <v>1</v>
      </c>
      <c r="O275" s="3">
        <v>1</v>
      </c>
      <c r="P275" s="2">
        <v>175</v>
      </c>
      <c r="R275" t="s">
        <v>970</v>
      </c>
    </row>
    <row r="276" spans="1:18" x14ac:dyDescent="0.25">
      <c r="A276" s="4" t="s">
        <v>919</v>
      </c>
      <c r="B276" s="4" t="str">
        <f t="shared" si="4"/>
        <v>00025822773KOVR</v>
      </c>
      <c r="C276" t="s">
        <v>175</v>
      </c>
      <c r="D276" t="s">
        <v>169</v>
      </c>
      <c r="E276">
        <v>20411454</v>
      </c>
      <c r="F276" t="s">
        <v>973</v>
      </c>
      <c r="G276" t="s">
        <v>49</v>
      </c>
      <c r="H276" t="s">
        <v>126</v>
      </c>
      <c r="I276" s="1">
        <v>46023</v>
      </c>
      <c r="J276" t="s">
        <v>51</v>
      </c>
      <c r="K276" t="s">
        <v>52</v>
      </c>
      <c r="L276" s="2">
        <v>0</v>
      </c>
      <c r="M276" s="2">
        <v>175</v>
      </c>
      <c r="N276">
        <v>1</v>
      </c>
      <c r="O276" s="3">
        <v>1</v>
      </c>
      <c r="P276" s="2">
        <v>175</v>
      </c>
      <c r="R276" t="s">
        <v>970</v>
      </c>
    </row>
    <row r="277" spans="1:18" x14ac:dyDescent="0.25">
      <c r="A277" s="4" t="s">
        <v>920</v>
      </c>
      <c r="B277" s="4" t="str">
        <f t="shared" si="4"/>
        <v>00025822793KOVR</v>
      </c>
      <c r="C277" t="s">
        <v>179</v>
      </c>
      <c r="D277" t="s">
        <v>59</v>
      </c>
      <c r="E277">
        <v>20411454</v>
      </c>
      <c r="F277" t="s">
        <v>973</v>
      </c>
      <c r="G277" t="s">
        <v>49</v>
      </c>
      <c r="H277" t="s">
        <v>126</v>
      </c>
      <c r="I277" s="1">
        <v>46023</v>
      </c>
      <c r="J277" t="s">
        <v>51</v>
      </c>
      <c r="K277" t="s">
        <v>52</v>
      </c>
      <c r="L277" s="2">
        <v>0</v>
      </c>
      <c r="M277" s="2">
        <v>175</v>
      </c>
      <c r="N277">
        <v>1</v>
      </c>
      <c r="O277" s="3">
        <v>1</v>
      </c>
      <c r="P277" s="2">
        <v>175</v>
      </c>
      <c r="R277" t="s">
        <v>970</v>
      </c>
    </row>
    <row r="278" spans="1:18" x14ac:dyDescent="0.25">
      <c r="A278" s="4" t="s">
        <v>921</v>
      </c>
      <c r="B278" s="4" t="str">
        <f t="shared" si="4"/>
        <v>00025823367KOVR</v>
      </c>
      <c r="C278" t="s">
        <v>183</v>
      </c>
      <c r="D278" t="s">
        <v>59</v>
      </c>
      <c r="E278">
        <v>20411454</v>
      </c>
      <c r="F278" t="s">
        <v>973</v>
      </c>
      <c r="G278" t="s">
        <v>49</v>
      </c>
      <c r="H278" t="s">
        <v>126</v>
      </c>
      <c r="I278" s="1">
        <v>46023</v>
      </c>
      <c r="J278" t="s">
        <v>51</v>
      </c>
      <c r="K278" t="s">
        <v>52</v>
      </c>
      <c r="L278" s="2">
        <v>0</v>
      </c>
      <c r="M278" s="2">
        <v>175</v>
      </c>
      <c r="N278">
        <v>1</v>
      </c>
      <c r="O278" s="3">
        <v>1</v>
      </c>
      <c r="P278" s="2">
        <v>175</v>
      </c>
      <c r="R278" t="s">
        <v>970</v>
      </c>
    </row>
    <row r="279" spans="1:18" x14ac:dyDescent="0.25">
      <c r="A279" s="4" t="s">
        <v>922</v>
      </c>
      <c r="B279" s="4" t="str">
        <f t="shared" si="4"/>
        <v>00025823609KOVR</v>
      </c>
      <c r="C279" t="s">
        <v>185</v>
      </c>
      <c r="D279" t="s">
        <v>46</v>
      </c>
      <c r="E279">
        <v>20411454</v>
      </c>
      <c r="F279" t="s">
        <v>973</v>
      </c>
      <c r="G279" t="s">
        <v>49</v>
      </c>
      <c r="H279" t="s">
        <v>126</v>
      </c>
      <c r="I279" s="1">
        <v>46023</v>
      </c>
      <c r="J279" t="s">
        <v>51</v>
      </c>
      <c r="K279" t="s">
        <v>52</v>
      </c>
      <c r="L279" s="2">
        <v>0</v>
      </c>
      <c r="M279" s="2">
        <v>175</v>
      </c>
      <c r="N279">
        <v>1</v>
      </c>
      <c r="O279" s="3">
        <v>1</v>
      </c>
      <c r="P279" s="2">
        <v>175</v>
      </c>
      <c r="R279" t="s">
        <v>970</v>
      </c>
    </row>
    <row r="280" spans="1:18" x14ac:dyDescent="0.25">
      <c r="A280" s="4" t="s">
        <v>923</v>
      </c>
      <c r="B280" s="4" t="str">
        <f t="shared" si="4"/>
        <v>00025823864KOVR</v>
      </c>
      <c r="C280" t="s">
        <v>187</v>
      </c>
      <c r="D280" t="s">
        <v>59</v>
      </c>
      <c r="E280">
        <v>20411454</v>
      </c>
      <c r="F280" t="s">
        <v>973</v>
      </c>
      <c r="G280" t="s">
        <v>49</v>
      </c>
      <c r="H280" t="s">
        <v>126</v>
      </c>
      <c r="I280" s="1">
        <v>46023</v>
      </c>
      <c r="J280" t="s">
        <v>51</v>
      </c>
      <c r="K280" t="s">
        <v>52</v>
      </c>
      <c r="L280" s="2">
        <v>0</v>
      </c>
      <c r="M280" s="2">
        <v>175</v>
      </c>
      <c r="N280">
        <v>1</v>
      </c>
      <c r="O280" s="3">
        <v>1</v>
      </c>
      <c r="P280" s="2">
        <v>175</v>
      </c>
      <c r="R280" t="s">
        <v>970</v>
      </c>
    </row>
    <row r="281" spans="1:18" x14ac:dyDescent="0.25">
      <c r="A281" s="4" t="s">
        <v>924</v>
      </c>
      <c r="B281" s="4" t="str">
        <f t="shared" si="4"/>
        <v>00025824924KOVR</v>
      </c>
      <c r="C281" t="s">
        <v>191</v>
      </c>
      <c r="D281" t="s">
        <v>145</v>
      </c>
      <c r="E281">
        <v>20411454</v>
      </c>
      <c r="F281" t="s">
        <v>973</v>
      </c>
      <c r="G281" t="s">
        <v>49</v>
      </c>
      <c r="H281" t="s">
        <v>126</v>
      </c>
      <c r="I281" s="1">
        <v>46023</v>
      </c>
      <c r="J281" t="s">
        <v>51</v>
      </c>
      <c r="K281" t="s">
        <v>52</v>
      </c>
      <c r="L281" s="2">
        <v>0</v>
      </c>
      <c r="M281" s="2">
        <v>175</v>
      </c>
      <c r="N281">
        <v>1</v>
      </c>
      <c r="O281" s="3">
        <v>1</v>
      </c>
      <c r="P281" s="2">
        <v>175</v>
      </c>
      <c r="R281" t="s">
        <v>970</v>
      </c>
    </row>
    <row r="282" spans="1:18" x14ac:dyDescent="0.25">
      <c r="A282" s="4" t="s">
        <v>925</v>
      </c>
      <c r="B282" s="4" t="str">
        <f t="shared" si="4"/>
        <v>00025824964KOVR</v>
      </c>
      <c r="C282" t="s">
        <v>193</v>
      </c>
      <c r="D282" t="s">
        <v>59</v>
      </c>
      <c r="E282">
        <v>20411454</v>
      </c>
      <c r="F282" t="s">
        <v>973</v>
      </c>
      <c r="G282" t="s">
        <v>49</v>
      </c>
      <c r="H282" t="s">
        <v>126</v>
      </c>
      <c r="I282" s="1">
        <v>46054</v>
      </c>
      <c r="J282" t="s">
        <v>51</v>
      </c>
      <c r="K282" t="s">
        <v>52</v>
      </c>
      <c r="L282" s="2">
        <v>0</v>
      </c>
      <c r="M282" s="2">
        <v>175</v>
      </c>
      <c r="N282">
        <v>1</v>
      </c>
      <c r="O282" s="3">
        <v>1</v>
      </c>
      <c r="P282" s="2">
        <v>175</v>
      </c>
      <c r="R282" t="s">
        <v>970</v>
      </c>
    </row>
    <row r="283" spans="1:18" x14ac:dyDescent="0.25">
      <c r="A283" s="4" t="s">
        <v>926</v>
      </c>
      <c r="B283" s="4" t="str">
        <f t="shared" si="4"/>
        <v>00025825486KOVR</v>
      </c>
      <c r="C283" t="s">
        <v>197</v>
      </c>
      <c r="D283" t="s">
        <v>46</v>
      </c>
      <c r="E283">
        <v>20411454</v>
      </c>
      <c r="F283" t="s">
        <v>973</v>
      </c>
      <c r="G283" t="s">
        <v>49</v>
      </c>
      <c r="H283" t="s">
        <v>126</v>
      </c>
      <c r="I283" s="1">
        <v>46023</v>
      </c>
      <c r="J283" t="s">
        <v>51</v>
      </c>
      <c r="K283" t="s">
        <v>52</v>
      </c>
      <c r="L283" s="2">
        <v>0</v>
      </c>
      <c r="M283" s="2">
        <v>175</v>
      </c>
      <c r="N283">
        <v>1</v>
      </c>
      <c r="O283" s="3">
        <v>1</v>
      </c>
      <c r="P283" s="2">
        <v>175</v>
      </c>
      <c r="R283" t="s">
        <v>970</v>
      </c>
    </row>
    <row r="284" spans="1:18" x14ac:dyDescent="0.25">
      <c r="A284" s="4" t="s">
        <v>927</v>
      </c>
      <c r="B284" s="4" t="str">
        <f t="shared" si="4"/>
        <v>00025825801KOVR</v>
      </c>
      <c r="C284" t="s">
        <v>199</v>
      </c>
      <c r="D284" t="s">
        <v>200</v>
      </c>
      <c r="E284">
        <v>20411454</v>
      </c>
      <c r="F284" t="s">
        <v>973</v>
      </c>
      <c r="G284" t="s">
        <v>49</v>
      </c>
      <c r="H284" t="s">
        <v>126</v>
      </c>
      <c r="I284" s="1">
        <v>46023</v>
      </c>
      <c r="J284" t="s">
        <v>51</v>
      </c>
      <c r="K284" t="s">
        <v>52</v>
      </c>
      <c r="L284" s="2">
        <v>0</v>
      </c>
      <c r="M284" s="2">
        <v>175</v>
      </c>
      <c r="N284">
        <v>1</v>
      </c>
      <c r="O284" s="3">
        <v>1</v>
      </c>
      <c r="P284" s="2">
        <v>175</v>
      </c>
      <c r="R284" t="s">
        <v>970</v>
      </c>
    </row>
    <row r="285" spans="1:18" x14ac:dyDescent="0.25">
      <c r="A285" s="4" t="s">
        <v>928</v>
      </c>
      <c r="B285" s="4" t="str">
        <f t="shared" si="4"/>
        <v>00025829148KOVR</v>
      </c>
      <c r="C285" t="s">
        <v>204</v>
      </c>
      <c r="D285" t="s">
        <v>59</v>
      </c>
      <c r="E285">
        <v>20411454</v>
      </c>
      <c r="F285" t="s">
        <v>973</v>
      </c>
      <c r="G285" t="s">
        <v>49</v>
      </c>
      <c r="H285" t="s">
        <v>126</v>
      </c>
      <c r="I285" s="1">
        <v>46023</v>
      </c>
      <c r="J285" t="s">
        <v>51</v>
      </c>
      <c r="K285" t="s">
        <v>52</v>
      </c>
      <c r="L285" s="2">
        <v>0</v>
      </c>
      <c r="M285" s="2">
        <v>175</v>
      </c>
      <c r="N285">
        <v>1</v>
      </c>
      <c r="O285" s="3">
        <v>1</v>
      </c>
      <c r="P285" s="2">
        <v>175</v>
      </c>
      <c r="R285" t="s">
        <v>970</v>
      </c>
    </row>
    <row r="286" spans="1:18" x14ac:dyDescent="0.25">
      <c r="A286" s="4" t="s">
        <v>929</v>
      </c>
      <c r="B286" s="4" t="str">
        <f t="shared" si="4"/>
        <v>00025830422KOVR</v>
      </c>
      <c r="C286" t="s">
        <v>206</v>
      </c>
      <c r="D286" t="s">
        <v>145</v>
      </c>
      <c r="E286">
        <v>20411454</v>
      </c>
      <c r="F286" t="s">
        <v>973</v>
      </c>
      <c r="G286" t="s">
        <v>49</v>
      </c>
      <c r="H286" t="s">
        <v>126</v>
      </c>
      <c r="I286" s="1">
        <v>46023</v>
      </c>
      <c r="J286" t="s">
        <v>51</v>
      </c>
      <c r="K286" t="s">
        <v>52</v>
      </c>
      <c r="L286" s="2">
        <v>0</v>
      </c>
      <c r="M286" s="2">
        <v>175</v>
      </c>
      <c r="N286">
        <v>1</v>
      </c>
      <c r="O286" s="3">
        <v>1</v>
      </c>
      <c r="P286" s="2">
        <v>175</v>
      </c>
      <c r="R286" t="s">
        <v>970</v>
      </c>
    </row>
    <row r="287" spans="1:18" x14ac:dyDescent="0.25">
      <c r="A287" s="4" t="s">
        <v>930</v>
      </c>
      <c r="B287" s="4" t="str">
        <f t="shared" si="4"/>
        <v>00025831149KOVR</v>
      </c>
      <c r="C287" t="s">
        <v>208</v>
      </c>
      <c r="D287" t="s">
        <v>59</v>
      </c>
      <c r="E287">
        <v>20411454</v>
      </c>
      <c r="F287" t="s">
        <v>973</v>
      </c>
      <c r="G287" t="s">
        <v>49</v>
      </c>
      <c r="H287" t="s">
        <v>126</v>
      </c>
      <c r="I287" s="1">
        <v>46023</v>
      </c>
      <c r="J287" t="s">
        <v>51</v>
      </c>
      <c r="K287" t="s">
        <v>52</v>
      </c>
      <c r="L287" s="2">
        <v>0</v>
      </c>
      <c r="M287" s="2">
        <v>175</v>
      </c>
      <c r="N287">
        <v>1</v>
      </c>
      <c r="O287" s="3">
        <v>1</v>
      </c>
      <c r="P287" s="2">
        <v>175</v>
      </c>
      <c r="R287" t="s">
        <v>970</v>
      </c>
    </row>
    <row r="288" spans="1:18" x14ac:dyDescent="0.25">
      <c r="A288" s="4" t="s">
        <v>931</v>
      </c>
      <c r="B288" s="4" t="str">
        <f t="shared" si="4"/>
        <v>00025831526KOVR</v>
      </c>
      <c r="C288" t="s">
        <v>210</v>
      </c>
      <c r="D288" t="s">
        <v>64</v>
      </c>
      <c r="E288">
        <v>20411454</v>
      </c>
      <c r="F288" t="s">
        <v>973</v>
      </c>
      <c r="G288" t="s">
        <v>49</v>
      </c>
      <c r="H288" t="s">
        <v>126</v>
      </c>
      <c r="I288" s="1">
        <v>46023</v>
      </c>
      <c r="J288" t="s">
        <v>51</v>
      </c>
      <c r="K288" t="s">
        <v>52</v>
      </c>
      <c r="L288" s="2">
        <v>0</v>
      </c>
      <c r="M288" s="2">
        <v>175</v>
      </c>
      <c r="N288">
        <v>1</v>
      </c>
      <c r="O288" s="3">
        <v>1</v>
      </c>
      <c r="P288" s="2">
        <v>175</v>
      </c>
      <c r="R288" t="s">
        <v>970</v>
      </c>
    </row>
    <row r="289" spans="1:18" x14ac:dyDescent="0.25">
      <c r="A289" s="4" t="s">
        <v>932</v>
      </c>
      <c r="B289" s="4" t="str">
        <f t="shared" si="4"/>
        <v>00025831651KOVR</v>
      </c>
      <c r="C289" t="s">
        <v>212</v>
      </c>
      <c r="D289" t="s">
        <v>59</v>
      </c>
      <c r="E289">
        <v>20411454</v>
      </c>
      <c r="F289" t="s">
        <v>973</v>
      </c>
      <c r="G289" t="s">
        <v>49</v>
      </c>
      <c r="H289" t="s">
        <v>126</v>
      </c>
      <c r="I289" s="1">
        <v>46023</v>
      </c>
      <c r="J289" t="s">
        <v>51</v>
      </c>
      <c r="K289" t="s">
        <v>52</v>
      </c>
      <c r="L289" s="2">
        <v>0</v>
      </c>
      <c r="M289" s="2">
        <v>175</v>
      </c>
      <c r="N289">
        <v>1</v>
      </c>
      <c r="O289" s="3">
        <v>1</v>
      </c>
      <c r="P289" s="2">
        <v>175</v>
      </c>
      <c r="R289" t="s">
        <v>970</v>
      </c>
    </row>
    <row r="290" spans="1:18" x14ac:dyDescent="0.25">
      <c r="A290" s="4" t="s">
        <v>933</v>
      </c>
      <c r="B290" s="4" t="str">
        <f t="shared" si="4"/>
        <v>00025833409KOVR</v>
      </c>
      <c r="C290" t="s">
        <v>216</v>
      </c>
      <c r="D290" t="s">
        <v>59</v>
      </c>
      <c r="E290">
        <v>20411454</v>
      </c>
      <c r="F290" t="s">
        <v>973</v>
      </c>
      <c r="G290" t="s">
        <v>49</v>
      </c>
      <c r="H290" t="s">
        <v>126</v>
      </c>
      <c r="I290" s="1">
        <v>46023</v>
      </c>
      <c r="J290" t="s">
        <v>51</v>
      </c>
      <c r="K290" t="s">
        <v>52</v>
      </c>
      <c r="L290" s="2">
        <v>0</v>
      </c>
      <c r="M290" s="2">
        <v>175</v>
      </c>
      <c r="N290">
        <v>1</v>
      </c>
      <c r="O290" s="3">
        <v>1</v>
      </c>
      <c r="P290" s="2">
        <v>175</v>
      </c>
      <c r="R290" t="s">
        <v>970</v>
      </c>
    </row>
    <row r="291" spans="1:18" x14ac:dyDescent="0.25">
      <c r="A291" s="4" t="s">
        <v>934</v>
      </c>
      <c r="B291" s="4" t="str">
        <f t="shared" si="4"/>
        <v>00025835076KOVR</v>
      </c>
      <c r="C291" t="s">
        <v>218</v>
      </c>
      <c r="D291" t="s">
        <v>59</v>
      </c>
      <c r="E291">
        <v>20411454</v>
      </c>
      <c r="F291" t="s">
        <v>973</v>
      </c>
      <c r="G291" t="s">
        <v>49</v>
      </c>
      <c r="H291" t="s">
        <v>126</v>
      </c>
      <c r="I291" s="1">
        <v>46023</v>
      </c>
      <c r="J291" t="s">
        <v>51</v>
      </c>
      <c r="K291" t="s">
        <v>52</v>
      </c>
      <c r="L291" s="2">
        <v>0</v>
      </c>
      <c r="M291" s="2">
        <v>175</v>
      </c>
      <c r="N291">
        <v>1</v>
      </c>
      <c r="O291" s="3">
        <v>1</v>
      </c>
      <c r="P291" s="2">
        <v>175</v>
      </c>
      <c r="R291" t="s">
        <v>970</v>
      </c>
    </row>
    <row r="292" spans="1:18" x14ac:dyDescent="0.25">
      <c r="A292" s="4" t="s">
        <v>935</v>
      </c>
      <c r="B292" s="4" t="str">
        <f t="shared" si="4"/>
        <v>00025835334KOVR</v>
      </c>
      <c r="C292" t="s">
        <v>220</v>
      </c>
      <c r="D292" t="s">
        <v>59</v>
      </c>
      <c r="E292">
        <v>20411454</v>
      </c>
      <c r="F292" t="s">
        <v>973</v>
      </c>
      <c r="G292" t="s">
        <v>49</v>
      </c>
      <c r="H292" t="s">
        <v>126</v>
      </c>
      <c r="I292" s="1">
        <v>46023</v>
      </c>
      <c r="J292" t="s">
        <v>51</v>
      </c>
      <c r="K292" t="s">
        <v>52</v>
      </c>
      <c r="L292" s="2">
        <v>0</v>
      </c>
      <c r="M292" s="2">
        <v>175</v>
      </c>
      <c r="N292">
        <v>1</v>
      </c>
      <c r="O292" s="3">
        <v>1</v>
      </c>
      <c r="P292" s="2">
        <v>175</v>
      </c>
      <c r="R292" t="s">
        <v>970</v>
      </c>
    </row>
    <row r="293" spans="1:18" x14ac:dyDescent="0.25">
      <c r="A293" s="4" t="s">
        <v>936</v>
      </c>
      <c r="B293" s="4" t="str">
        <f t="shared" si="4"/>
        <v>00025837030KOVR</v>
      </c>
      <c r="C293" t="s">
        <v>222</v>
      </c>
      <c r="D293" t="s">
        <v>59</v>
      </c>
      <c r="E293">
        <v>20411454</v>
      </c>
      <c r="F293" t="s">
        <v>973</v>
      </c>
      <c r="G293" t="s">
        <v>49</v>
      </c>
      <c r="H293" t="s">
        <v>126</v>
      </c>
      <c r="I293" s="1">
        <v>46023</v>
      </c>
      <c r="J293" t="s">
        <v>51</v>
      </c>
      <c r="K293" t="s">
        <v>52</v>
      </c>
      <c r="L293" s="2">
        <v>0</v>
      </c>
      <c r="M293" s="2">
        <v>175</v>
      </c>
      <c r="N293">
        <v>1</v>
      </c>
      <c r="O293" s="3">
        <v>1</v>
      </c>
      <c r="P293" s="2">
        <v>175</v>
      </c>
      <c r="R293" t="s">
        <v>970</v>
      </c>
    </row>
    <row r="294" spans="1:18" x14ac:dyDescent="0.25">
      <c r="A294" s="4" t="s">
        <v>937</v>
      </c>
      <c r="B294" s="4" t="str">
        <f t="shared" si="4"/>
        <v>00025837037KOVR</v>
      </c>
      <c r="C294" t="s">
        <v>224</v>
      </c>
      <c r="D294" t="s">
        <v>59</v>
      </c>
      <c r="E294">
        <v>20411454</v>
      </c>
      <c r="F294" t="s">
        <v>973</v>
      </c>
      <c r="G294" t="s">
        <v>49</v>
      </c>
      <c r="H294" t="s">
        <v>126</v>
      </c>
      <c r="I294" s="1">
        <v>46023</v>
      </c>
      <c r="J294" t="s">
        <v>51</v>
      </c>
      <c r="K294" t="s">
        <v>52</v>
      </c>
      <c r="L294" s="2">
        <v>0</v>
      </c>
      <c r="M294" s="2">
        <v>175</v>
      </c>
      <c r="N294">
        <v>1</v>
      </c>
      <c r="O294" s="3">
        <v>1</v>
      </c>
      <c r="P294" s="2">
        <v>175</v>
      </c>
      <c r="R294" t="s">
        <v>970</v>
      </c>
    </row>
    <row r="295" spans="1:18" x14ac:dyDescent="0.25">
      <c r="A295" s="4" t="s">
        <v>938</v>
      </c>
      <c r="B295" s="4" t="str">
        <f t="shared" si="4"/>
        <v>00025839731KOVR</v>
      </c>
      <c r="C295" t="s">
        <v>226</v>
      </c>
      <c r="D295" t="s">
        <v>59</v>
      </c>
      <c r="E295">
        <v>20411454</v>
      </c>
      <c r="F295" t="s">
        <v>973</v>
      </c>
      <c r="G295" t="s">
        <v>49</v>
      </c>
      <c r="H295" t="s">
        <v>126</v>
      </c>
      <c r="I295" s="1">
        <v>45992</v>
      </c>
      <c r="J295" t="s">
        <v>51</v>
      </c>
      <c r="K295" t="s">
        <v>52</v>
      </c>
      <c r="L295" s="2">
        <v>0</v>
      </c>
      <c r="M295" s="2">
        <v>175</v>
      </c>
      <c r="N295">
        <v>1</v>
      </c>
      <c r="O295" s="3">
        <v>1</v>
      </c>
      <c r="P295" s="2">
        <v>175</v>
      </c>
      <c r="R295" t="s">
        <v>970</v>
      </c>
    </row>
    <row r="296" spans="1:18" x14ac:dyDescent="0.25">
      <c r="A296" s="4" t="s">
        <v>939</v>
      </c>
      <c r="B296" s="4" t="str">
        <f t="shared" si="4"/>
        <v>00025839811KOVR</v>
      </c>
      <c r="C296" t="s">
        <v>228</v>
      </c>
      <c r="D296" t="s">
        <v>59</v>
      </c>
      <c r="E296">
        <v>20411454</v>
      </c>
      <c r="F296" t="s">
        <v>973</v>
      </c>
      <c r="G296" t="s">
        <v>49</v>
      </c>
      <c r="H296" t="s">
        <v>126</v>
      </c>
      <c r="I296" s="1">
        <v>46023</v>
      </c>
      <c r="J296" t="s">
        <v>51</v>
      </c>
      <c r="K296" t="s">
        <v>52</v>
      </c>
      <c r="L296" s="2">
        <v>0</v>
      </c>
      <c r="M296" s="2">
        <v>175</v>
      </c>
      <c r="N296">
        <v>1</v>
      </c>
      <c r="O296" s="3">
        <v>1</v>
      </c>
      <c r="P296" s="2">
        <v>175</v>
      </c>
      <c r="R296" t="s">
        <v>970</v>
      </c>
    </row>
    <row r="297" spans="1:18" x14ac:dyDescent="0.25">
      <c r="A297" s="4" t="s">
        <v>940</v>
      </c>
      <c r="B297" s="4" t="str">
        <f t="shared" si="4"/>
        <v>00025840003KOVR</v>
      </c>
      <c r="C297" t="s">
        <v>230</v>
      </c>
      <c r="D297" t="s">
        <v>59</v>
      </c>
      <c r="E297">
        <v>20411454</v>
      </c>
      <c r="F297" t="s">
        <v>973</v>
      </c>
      <c r="G297" t="s">
        <v>49</v>
      </c>
      <c r="H297" t="s">
        <v>126</v>
      </c>
      <c r="I297" s="1">
        <v>46023</v>
      </c>
      <c r="J297" t="s">
        <v>51</v>
      </c>
      <c r="K297" t="s">
        <v>52</v>
      </c>
      <c r="L297" s="2">
        <v>0</v>
      </c>
      <c r="M297" s="2">
        <v>175</v>
      </c>
      <c r="N297">
        <v>1</v>
      </c>
      <c r="O297" s="3">
        <v>1</v>
      </c>
      <c r="P297" s="2">
        <v>175</v>
      </c>
      <c r="R297" t="s">
        <v>970</v>
      </c>
    </row>
    <row r="298" spans="1:18" x14ac:dyDescent="0.25">
      <c r="A298" s="4" t="s">
        <v>941</v>
      </c>
      <c r="B298" s="4" t="str">
        <f t="shared" si="4"/>
        <v>00025840076KOVR</v>
      </c>
      <c r="C298" t="s">
        <v>232</v>
      </c>
      <c r="D298" t="s">
        <v>59</v>
      </c>
      <c r="E298">
        <v>20411454</v>
      </c>
      <c r="F298" t="s">
        <v>973</v>
      </c>
      <c r="G298" t="s">
        <v>49</v>
      </c>
      <c r="H298" t="s">
        <v>126</v>
      </c>
      <c r="I298" s="1">
        <v>46023</v>
      </c>
      <c r="J298" t="s">
        <v>51</v>
      </c>
      <c r="K298" t="s">
        <v>52</v>
      </c>
      <c r="L298" s="2">
        <v>0</v>
      </c>
      <c r="M298" s="2">
        <v>175</v>
      </c>
      <c r="N298">
        <v>1</v>
      </c>
      <c r="O298" s="3">
        <v>1</v>
      </c>
      <c r="P298" s="2">
        <v>175</v>
      </c>
      <c r="R298" t="s">
        <v>970</v>
      </c>
    </row>
    <row r="299" spans="1:18" x14ac:dyDescent="0.25">
      <c r="A299" s="4" t="s">
        <v>957</v>
      </c>
      <c r="B299" s="4" t="str">
        <f t="shared" si="4"/>
        <v>00005776809KOVR</v>
      </c>
      <c r="C299" t="s">
        <v>826</v>
      </c>
      <c r="D299" t="s">
        <v>369</v>
      </c>
      <c r="E299">
        <v>20411454</v>
      </c>
      <c r="F299" t="s">
        <v>973</v>
      </c>
      <c r="G299" t="s">
        <v>827</v>
      </c>
      <c r="H299" t="s">
        <v>126</v>
      </c>
      <c r="I299" s="1">
        <v>46023</v>
      </c>
      <c r="J299" t="s">
        <v>51</v>
      </c>
      <c r="K299" t="s">
        <v>52</v>
      </c>
      <c r="P299">
        <v>-175</v>
      </c>
      <c r="R299" t="s">
        <v>970</v>
      </c>
    </row>
    <row r="300" spans="1:18" x14ac:dyDescent="0.25">
      <c r="A300" s="4" t="s">
        <v>960</v>
      </c>
      <c r="B300" s="4" t="str">
        <f t="shared" si="4"/>
        <v>00008126753KOVR</v>
      </c>
      <c r="C300" t="s">
        <v>833</v>
      </c>
      <c r="D300" t="s">
        <v>64</v>
      </c>
      <c r="E300">
        <v>20411454</v>
      </c>
      <c r="F300" t="s">
        <v>973</v>
      </c>
      <c r="G300" t="s">
        <v>827</v>
      </c>
      <c r="H300" t="s">
        <v>126</v>
      </c>
      <c r="I300" s="1">
        <v>46023</v>
      </c>
      <c r="J300" t="s">
        <v>51</v>
      </c>
      <c r="K300" t="s">
        <v>52</v>
      </c>
      <c r="P300">
        <v>-175</v>
      </c>
      <c r="R300" t="s">
        <v>970</v>
      </c>
    </row>
    <row r="301" spans="1:18" x14ac:dyDescent="0.25">
      <c r="A301" s="4" t="s">
        <v>963</v>
      </c>
      <c r="B301" s="4" t="str">
        <f t="shared" si="4"/>
        <v>00023847824KOVR</v>
      </c>
      <c r="C301" t="s">
        <v>841</v>
      </c>
      <c r="D301" t="s">
        <v>121</v>
      </c>
      <c r="E301">
        <v>20411454</v>
      </c>
      <c r="F301" t="s">
        <v>973</v>
      </c>
      <c r="G301" t="s">
        <v>827</v>
      </c>
      <c r="H301" t="s">
        <v>126</v>
      </c>
      <c r="I301" s="1">
        <v>46023</v>
      </c>
      <c r="J301" t="s">
        <v>51</v>
      </c>
      <c r="K301" t="s">
        <v>52</v>
      </c>
      <c r="P301">
        <v>-175</v>
      </c>
      <c r="R301" t="s">
        <v>970</v>
      </c>
    </row>
    <row r="302" spans="1:18" x14ac:dyDescent="0.25">
      <c r="A302" s="4" t="s">
        <v>964</v>
      </c>
      <c r="B302" s="4" t="str">
        <f t="shared" si="4"/>
        <v>00025627750KOVR</v>
      </c>
      <c r="C302" t="s">
        <v>843</v>
      </c>
      <c r="D302" t="s">
        <v>121</v>
      </c>
      <c r="E302">
        <v>20411454</v>
      </c>
      <c r="F302" t="s">
        <v>973</v>
      </c>
      <c r="G302" t="s">
        <v>827</v>
      </c>
      <c r="H302" t="s">
        <v>126</v>
      </c>
      <c r="I302" s="1">
        <v>46023</v>
      </c>
      <c r="J302" t="s">
        <v>51</v>
      </c>
      <c r="K302" t="s">
        <v>52</v>
      </c>
      <c r="P302">
        <v>-175</v>
      </c>
      <c r="R302" t="s">
        <v>970</v>
      </c>
    </row>
    <row r="303" spans="1:18" x14ac:dyDescent="0.25">
      <c r="A303" s="4" t="s">
        <v>965</v>
      </c>
      <c r="B303" s="4" t="str">
        <f t="shared" si="4"/>
        <v>00025738654KOVR</v>
      </c>
      <c r="C303" t="s">
        <v>845</v>
      </c>
      <c r="D303" t="s">
        <v>150</v>
      </c>
      <c r="E303">
        <v>20411454</v>
      </c>
      <c r="F303" t="s">
        <v>973</v>
      </c>
      <c r="G303" t="s">
        <v>827</v>
      </c>
      <c r="H303" t="s">
        <v>126</v>
      </c>
      <c r="I303" s="1">
        <v>46023</v>
      </c>
      <c r="J303" t="s">
        <v>51</v>
      </c>
      <c r="K303" t="s">
        <v>52</v>
      </c>
      <c r="P303">
        <v>-175</v>
      </c>
      <c r="R303" t="s">
        <v>970</v>
      </c>
    </row>
    <row r="304" spans="1:18" x14ac:dyDescent="0.25">
      <c r="A304" s="4" t="s">
        <v>881</v>
      </c>
      <c r="B304" s="4" t="str">
        <f t="shared" si="4"/>
        <v>00001575600KOVR</v>
      </c>
      <c r="C304" t="s">
        <v>45</v>
      </c>
      <c r="D304" t="s">
        <v>46</v>
      </c>
      <c r="E304">
        <v>20411454</v>
      </c>
      <c r="F304" t="s">
        <v>973</v>
      </c>
      <c r="G304" t="s">
        <v>49</v>
      </c>
      <c r="H304" t="s">
        <v>50</v>
      </c>
      <c r="I304" s="1">
        <v>46023</v>
      </c>
      <c r="J304" t="s">
        <v>51</v>
      </c>
      <c r="K304" t="s">
        <v>52</v>
      </c>
      <c r="L304" s="2">
        <v>0</v>
      </c>
      <c r="M304" s="2">
        <v>108</v>
      </c>
      <c r="N304">
        <v>1</v>
      </c>
      <c r="O304" s="3">
        <v>1</v>
      </c>
      <c r="P304" s="2">
        <v>108</v>
      </c>
      <c r="R304" t="s">
        <v>970</v>
      </c>
    </row>
    <row r="305" spans="1:18" x14ac:dyDescent="0.25">
      <c r="A305" s="4" t="s">
        <v>882</v>
      </c>
      <c r="B305" s="4" t="str">
        <f t="shared" si="4"/>
        <v>00004994397KOVR</v>
      </c>
      <c r="C305" t="s">
        <v>54</v>
      </c>
      <c r="D305" t="s">
        <v>46</v>
      </c>
      <c r="E305">
        <v>20411454</v>
      </c>
      <c r="F305" t="s">
        <v>973</v>
      </c>
      <c r="G305" t="s">
        <v>49</v>
      </c>
      <c r="H305" t="s">
        <v>50</v>
      </c>
      <c r="I305" s="1">
        <v>46023</v>
      </c>
      <c r="J305" t="s">
        <v>51</v>
      </c>
      <c r="K305" t="s">
        <v>52</v>
      </c>
      <c r="L305" s="2">
        <v>0</v>
      </c>
      <c r="M305" s="2">
        <v>108</v>
      </c>
      <c r="N305">
        <v>1</v>
      </c>
      <c r="O305" s="3">
        <v>1</v>
      </c>
      <c r="P305" s="2">
        <v>108</v>
      </c>
      <c r="R305" t="s">
        <v>970</v>
      </c>
    </row>
    <row r="306" spans="1:18" x14ac:dyDescent="0.25">
      <c r="A306" s="4" t="s">
        <v>883</v>
      </c>
      <c r="B306" s="4" t="str">
        <f t="shared" si="4"/>
        <v>00015578397KOVR</v>
      </c>
      <c r="C306" t="s">
        <v>58</v>
      </c>
      <c r="D306" t="s">
        <v>59</v>
      </c>
      <c r="E306">
        <v>20411454</v>
      </c>
      <c r="F306" t="s">
        <v>973</v>
      </c>
      <c r="G306" t="s">
        <v>49</v>
      </c>
      <c r="H306" t="s">
        <v>50</v>
      </c>
      <c r="I306" s="1">
        <v>46023</v>
      </c>
      <c r="J306" t="s">
        <v>51</v>
      </c>
      <c r="K306" t="s">
        <v>52</v>
      </c>
      <c r="L306" s="2">
        <v>0</v>
      </c>
      <c r="M306" s="2">
        <v>108</v>
      </c>
      <c r="N306">
        <v>1</v>
      </c>
      <c r="O306" s="3">
        <v>1</v>
      </c>
      <c r="P306" s="2">
        <v>108</v>
      </c>
      <c r="R306" t="s">
        <v>970</v>
      </c>
    </row>
    <row r="307" spans="1:18" x14ac:dyDescent="0.25">
      <c r="A307" s="4" t="s">
        <v>884</v>
      </c>
      <c r="B307" s="4" t="str">
        <f t="shared" si="4"/>
        <v>00018284945KOVR</v>
      </c>
      <c r="C307" t="s">
        <v>63</v>
      </c>
      <c r="D307" t="s">
        <v>64</v>
      </c>
      <c r="E307">
        <v>20411454</v>
      </c>
      <c r="F307" t="s">
        <v>973</v>
      </c>
      <c r="G307" t="s">
        <v>49</v>
      </c>
      <c r="H307" t="s">
        <v>50</v>
      </c>
      <c r="I307" s="1">
        <v>46023</v>
      </c>
      <c r="J307" t="s">
        <v>51</v>
      </c>
      <c r="K307" t="s">
        <v>52</v>
      </c>
      <c r="L307" s="2">
        <v>0</v>
      </c>
      <c r="M307" s="2">
        <v>108</v>
      </c>
      <c r="N307">
        <v>1</v>
      </c>
      <c r="O307" s="3">
        <v>1</v>
      </c>
      <c r="P307" s="2">
        <v>108</v>
      </c>
      <c r="R307" t="s">
        <v>970</v>
      </c>
    </row>
    <row r="308" spans="1:18" x14ac:dyDescent="0.25">
      <c r="A308" s="4" t="s">
        <v>885</v>
      </c>
      <c r="B308" s="4" t="str">
        <f t="shared" si="4"/>
        <v>00019432374KOVR</v>
      </c>
      <c r="C308" t="s">
        <v>68</v>
      </c>
      <c r="D308" t="s">
        <v>64</v>
      </c>
      <c r="E308">
        <v>20411454</v>
      </c>
      <c r="F308" t="s">
        <v>973</v>
      </c>
      <c r="G308" t="s">
        <v>49</v>
      </c>
      <c r="H308" t="s">
        <v>50</v>
      </c>
      <c r="I308" s="1">
        <v>46023</v>
      </c>
      <c r="J308" t="s">
        <v>51</v>
      </c>
      <c r="K308" t="s">
        <v>52</v>
      </c>
      <c r="L308" s="2">
        <v>0</v>
      </c>
      <c r="M308" s="2">
        <v>108</v>
      </c>
      <c r="N308">
        <v>1</v>
      </c>
      <c r="O308" s="3">
        <v>1</v>
      </c>
      <c r="P308" s="2">
        <v>108</v>
      </c>
      <c r="R308" t="s">
        <v>970</v>
      </c>
    </row>
    <row r="309" spans="1:18" x14ac:dyDescent="0.25">
      <c r="A309" s="4" t="s">
        <v>886</v>
      </c>
      <c r="B309" s="4" t="str">
        <f t="shared" si="4"/>
        <v>00019455353KOVR</v>
      </c>
      <c r="C309" t="s">
        <v>70</v>
      </c>
      <c r="D309" t="s">
        <v>59</v>
      </c>
      <c r="E309">
        <v>20411454</v>
      </c>
      <c r="F309" t="s">
        <v>973</v>
      </c>
      <c r="G309" t="s">
        <v>49</v>
      </c>
      <c r="H309" t="s">
        <v>50</v>
      </c>
      <c r="I309" s="1">
        <v>46023</v>
      </c>
      <c r="J309" t="s">
        <v>51</v>
      </c>
      <c r="K309" t="s">
        <v>52</v>
      </c>
      <c r="L309" s="2">
        <v>0</v>
      </c>
      <c r="M309" s="2">
        <v>108</v>
      </c>
      <c r="N309">
        <v>1</v>
      </c>
      <c r="O309" s="3">
        <v>1</v>
      </c>
      <c r="P309" s="2">
        <v>108</v>
      </c>
      <c r="R309" t="s">
        <v>970</v>
      </c>
    </row>
    <row r="310" spans="1:18" x14ac:dyDescent="0.25">
      <c r="A310" s="4" t="s">
        <v>887</v>
      </c>
      <c r="B310" s="4" t="str">
        <f t="shared" si="4"/>
        <v>00019774297KOVR</v>
      </c>
      <c r="C310" t="s">
        <v>74</v>
      </c>
      <c r="D310" t="s">
        <v>46</v>
      </c>
      <c r="E310">
        <v>20411454</v>
      </c>
      <c r="F310" t="s">
        <v>973</v>
      </c>
      <c r="G310" t="s">
        <v>49</v>
      </c>
      <c r="H310" t="s">
        <v>50</v>
      </c>
      <c r="I310" s="1">
        <v>46023</v>
      </c>
      <c r="J310" t="s">
        <v>51</v>
      </c>
      <c r="K310" t="s">
        <v>52</v>
      </c>
      <c r="L310" s="2">
        <v>0</v>
      </c>
      <c r="M310" s="2">
        <v>108</v>
      </c>
      <c r="N310">
        <v>1</v>
      </c>
      <c r="O310" s="3">
        <v>1</v>
      </c>
      <c r="P310" s="2">
        <v>108</v>
      </c>
      <c r="R310" t="s">
        <v>970</v>
      </c>
    </row>
    <row r="311" spans="1:18" x14ac:dyDescent="0.25">
      <c r="A311" s="4" t="s">
        <v>888</v>
      </c>
      <c r="B311" s="4" t="str">
        <f t="shared" si="4"/>
        <v>00019776787KOVR</v>
      </c>
      <c r="C311" t="s">
        <v>78</v>
      </c>
      <c r="D311" t="s">
        <v>46</v>
      </c>
      <c r="E311">
        <v>20411454</v>
      </c>
      <c r="F311" t="s">
        <v>973</v>
      </c>
      <c r="G311" t="s">
        <v>49</v>
      </c>
      <c r="H311" t="s">
        <v>50</v>
      </c>
      <c r="I311" s="1">
        <v>46023</v>
      </c>
      <c r="J311" t="s">
        <v>51</v>
      </c>
      <c r="K311" t="s">
        <v>52</v>
      </c>
      <c r="L311" s="2">
        <v>0</v>
      </c>
      <c r="M311" s="2">
        <v>108</v>
      </c>
      <c r="N311">
        <v>1</v>
      </c>
      <c r="O311" s="3">
        <v>1</v>
      </c>
      <c r="P311" s="2">
        <v>108</v>
      </c>
      <c r="R311" t="s">
        <v>970</v>
      </c>
    </row>
    <row r="312" spans="1:18" x14ac:dyDescent="0.25">
      <c r="A312" s="4" t="s">
        <v>889</v>
      </c>
      <c r="B312" s="4" t="str">
        <f t="shared" si="4"/>
        <v>00019914757KOVR</v>
      </c>
      <c r="C312" t="s">
        <v>80</v>
      </c>
      <c r="D312" t="s">
        <v>46</v>
      </c>
      <c r="E312">
        <v>20411454</v>
      </c>
      <c r="F312" t="s">
        <v>973</v>
      </c>
      <c r="G312" t="s">
        <v>49</v>
      </c>
      <c r="H312" t="s">
        <v>50</v>
      </c>
      <c r="I312" s="1">
        <v>46023</v>
      </c>
      <c r="J312" t="s">
        <v>51</v>
      </c>
      <c r="K312" t="s">
        <v>52</v>
      </c>
      <c r="L312" s="2">
        <v>0</v>
      </c>
      <c r="M312" s="2">
        <v>108</v>
      </c>
      <c r="N312">
        <v>1</v>
      </c>
      <c r="O312" s="3">
        <v>1</v>
      </c>
      <c r="P312" s="2">
        <v>108</v>
      </c>
      <c r="R312" t="s">
        <v>970</v>
      </c>
    </row>
    <row r="313" spans="1:18" x14ac:dyDescent="0.25">
      <c r="A313" s="4" t="s">
        <v>890</v>
      </c>
      <c r="B313" s="4" t="str">
        <f t="shared" si="4"/>
        <v>00020112400KOVR</v>
      </c>
      <c r="C313" t="s">
        <v>84</v>
      </c>
      <c r="D313" t="s">
        <v>64</v>
      </c>
      <c r="E313">
        <v>20411454</v>
      </c>
      <c r="F313" t="s">
        <v>973</v>
      </c>
      <c r="G313" t="s">
        <v>49</v>
      </c>
      <c r="H313" t="s">
        <v>50</v>
      </c>
      <c r="I313" s="1">
        <v>46023</v>
      </c>
      <c r="J313" t="s">
        <v>51</v>
      </c>
      <c r="K313" t="s">
        <v>52</v>
      </c>
      <c r="L313" s="2">
        <v>0</v>
      </c>
      <c r="M313" s="2">
        <v>108</v>
      </c>
      <c r="N313">
        <v>1</v>
      </c>
      <c r="O313" s="3">
        <v>1</v>
      </c>
      <c r="P313" s="2">
        <v>108</v>
      </c>
      <c r="R313" t="s">
        <v>970</v>
      </c>
    </row>
    <row r="314" spans="1:18" x14ac:dyDescent="0.25">
      <c r="A314" s="4" t="s">
        <v>891</v>
      </c>
      <c r="B314" s="4" t="str">
        <f t="shared" si="4"/>
        <v>00020529722KOVR</v>
      </c>
      <c r="C314" t="s">
        <v>86</v>
      </c>
      <c r="D314" t="s">
        <v>87</v>
      </c>
      <c r="E314">
        <v>20411454</v>
      </c>
      <c r="F314" t="s">
        <v>973</v>
      </c>
      <c r="G314" t="s">
        <v>49</v>
      </c>
      <c r="H314" t="s">
        <v>50</v>
      </c>
      <c r="I314" s="1">
        <v>46023</v>
      </c>
      <c r="J314" t="s">
        <v>51</v>
      </c>
      <c r="K314" t="s">
        <v>52</v>
      </c>
      <c r="L314" s="2">
        <v>0</v>
      </c>
      <c r="M314" s="2">
        <v>108</v>
      </c>
      <c r="N314">
        <v>1</v>
      </c>
      <c r="O314" s="3">
        <v>1</v>
      </c>
      <c r="P314" s="2">
        <v>108</v>
      </c>
      <c r="R314" t="s">
        <v>970</v>
      </c>
    </row>
    <row r="315" spans="1:18" x14ac:dyDescent="0.25">
      <c r="A315" s="4" t="s">
        <v>892</v>
      </c>
      <c r="B315" s="4" t="str">
        <f t="shared" si="4"/>
        <v>00020835806KOVR</v>
      </c>
      <c r="C315" t="s">
        <v>91</v>
      </c>
      <c r="D315" t="s">
        <v>46</v>
      </c>
      <c r="E315">
        <v>20411454</v>
      </c>
      <c r="F315" t="s">
        <v>973</v>
      </c>
      <c r="G315" t="s">
        <v>49</v>
      </c>
      <c r="H315" t="s">
        <v>50</v>
      </c>
      <c r="I315" s="1">
        <v>46023</v>
      </c>
      <c r="J315" t="s">
        <v>51</v>
      </c>
      <c r="K315" t="s">
        <v>52</v>
      </c>
      <c r="L315" s="2">
        <v>0</v>
      </c>
      <c r="M315" s="2">
        <v>108</v>
      </c>
      <c r="N315">
        <v>1</v>
      </c>
      <c r="O315" s="3">
        <v>1</v>
      </c>
      <c r="P315" s="2">
        <v>108</v>
      </c>
      <c r="R315" t="s">
        <v>970</v>
      </c>
    </row>
    <row r="316" spans="1:18" x14ac:dyDescent="0.25">
      <c r="A316" s="4" t="s">
        <v>893</v>
      </c>
      <c r="B316" s="4" t="str">
        <f t="shared" si="4"/>
        <v>00021528337KOVR</v>
      </c>
      <c r="C316" t="s">
        <v>95</v>
      </c>
      <c r="D316" t="s">
        <v>59</v>
      </c>
      <c r="E316">
        <v>20411454</v>
      </c>
      <c r="F316" t="s">
        <v>973</v>
      </c>
      <c r="G316" t="s">
        <v>49</v>
      </c>
      <c r="H316" t="s">
        <v>50</v>
      </c>
      <c r="I316" s="1">
        <v>46023</v>
      </c>
      <c r="J316" t="s">
        <v>51</v>
      </c>
      <c r="K316" t="s">
        <v>52</v>
      </c>
      <c r="L316" s="2">
        <v>0</v>
      </c>
      <c r="M316" s="2">
        <v>108</v>
      </c>
      <c r="N316">
        <v>1</v>
      </c>
      <c r="O316" s="3">
        <v>1</v>
      </c>
      <c r="P316" s="2">
        <v>108</v>
      </c>
      <c r="R316" t="s">
        <v>970</v>
      </c>
    </row>
    <row r="317" spans="1:18" x14ac:dyDescent="0.25">
      <c r="A317" s="4" t="s">
        <v>894</v>
      </c>
      <c r="B317" s="4" t="str">
        <f t="shared" si="4"/>
        <v>00022031158KBOVR</v>
      </c>
      <c r="C317" t="s">
        <v>99</v>
      </c>
      <c r="D317" t="s">
        <v>100</v>
      </c>
      <c r="E317">
        <v>20411454</v>
      </c>
      <c r="F317" t="s">
        <v>973</v>
      </c>
      <c r="G317" t="s">
        <v>101</v>
      </c>
      <c r="H317" t="s">
        <v>50</v>
      </c>
      <c r="I317" s="1">
        <v>46023</v>
      </c>
      <c r="J317" t="s">
        <v>51</v>
      </c>
      <c r="K317" t="s">
        <v>52</v>
      </c>
      <c r="L317" s="2">
        <v>0</v>
      </c>
      <c r="M317" s="2">
        <v>108</v>
      </c>
      <c r="N317">
        <v>1</v>
      </c>
      <c r="O317" s="3">
        <v>1</v>
      </c>
      <c r="P317" s="2">
        <v>108</v>
      </c>
      <c r="R317" t="s">
        <v>970</v>
      </c>
    </row>
    <row r="318" spans="1:18" x14ac:dyDescent="0.25">
      <c r="A318" s="4" t="s">
        <v>895</v>
      </c>
      <c r="B318" s="4" t="str">
        <f t="shared" si="4"/>
        <v>00022149995KOVR</v>
      </c>
      <c r="C318" t="s">
        <v>103</v>
      </c>
      <c r="D318" t="s">
        <v>104</v>
      </c>
      <c r="E318">
        <v>20411454</v>
      </c>
      <c r="F318" t="s">
        <v>973</v>
      </c>
      <c r="G318" t="s">
        <v>49</v>
      </c>
      <c r="H318" t="s">
        <v>50</v>
      </c>
      <c r="I318" s="1">
        <v>46023</v>
      </c>
      <c r="J318" t="s">
        <v>51</v>
      </c>
      <c r="K318" t="s">
        <v>52</v>
      </c>
      <c r="L318" s="2">
        <v>0</v>
      </c>
      <c r="M318" s="2">
        <v>108</v>
      </c>
      <c r="N318">
        <v>1</v>
      </c>
      <c r="O318" s="3">
        <v>1</v>
      </c>
      <c r="P318" s="2">
        <v>108</v>
      </c>
      <c r="R318" t="s">
        <v>970</v>
      </c>
    </row>
    <row r="319" spans="1:18" x14ac:dyDescent="0.25">
      <c r="A319" s="4" t="s">
        <v>896</v>
      </c>
      <c r="B319" s="4" t="str">
        <f t="shared" si="4"/>
        <v>00022193875KOVR</v>
      </c>
      <c r="C319" t="s">
        <v>108</v>
      </c>
      <c r="D319" t="s">
        <v>46</v>
      </c>
      <c r="E319">
        <v>20411454</v>
      </c>
      <c r="F319" t="s">
        <v>973</v>
      </c>
      <c r="G319" t="s">
        <v>49</v>
      </c>
      <c r="H319" t="s">
        <v>50</v>
      </c>
      <c r="I319" s="1">
        <v>46023</v>
      </c>
      <c r="J319" t="s">
        <v>51</v>
      </c>
      <c r="K319" t="s">
        <v>52</v>
      </c>
      <c r="L319" s="2">
        <v>0</v>
      </c>
      <c r="M319" s="2">
        <v>108</v>
      </c>
      <c r="N319">
        <v>1</v>
      </c>
      <c r="O319" s="3">
        <v>1</v>
      </c>
      <c r="P319" s="2">
        <v>108</v>
      </c>
      <c r="R319" t="s">
        <v>970</v>
      </c>
    </row>
    <row r="320" spans="1:18" x14ac:dyDescent="0.25">
      <c r="A320" s="4" t="s">
        <v>897</v>
      </c>
      <c r="B320" s="4" t="str">
        <f t="shared" si="4"/>
        <v>00022196511KOVR</v>
      </c>
      <c r="C320" t="s">
        <v>110</v>
      </c>
      <c r="D320" t="s">
        <v>64</v>
      </c>
      <c r="E320">
        <v>20411454</v>
      </c>
      <c r="F320" t="s">
        <v>973</v>
      </c>
      <c r="G320" t="s">
        <v>49</v>
      </c>
      <c r="H320" t="s">
        <v>50</v>
      </c>
      <c r="I320" s="1">
        <v>46023</v>
      </c>
      <c r="J320" t="s">
        <v>51</v>
      </c>
      <c r="K320" t="s">
        <v>52</v>
      </c>
      <c r="L320" s="2">
        <v>0</v>
      </c>
      <c r="M320" s="2">
        <v>108</v>
      </c>
      <c r="N320">
        <v>1</v>
      </c>
      <c r="O320" s="3">
        <v>1</v>
      </c>
      <c r="P320" s="2">
        <v>108</v>
      </c>
      <c r="R320" t="s">
        <v>970</v>
      </c>
    </row>
    <row r="321" spans="1:25" x14ac:dyDescent="0.25">
      <c r="A321" s="4" t="s">
        <v>898</v>
      </c>
      <c r="B321" s="4" t="str">
        <f t="shared" si="4"/>
        <v>00022592167KOVR</v>
      </c>
      <c r="C321" t="s">
        <v>112</v>
      </c>
      <c r="D321" t="s">
        <v>64</v>
      </c>
      <c r="E321">
        <v>20411454</v>
      </c>
      <c r="F321" t="s">
        <v>973</v>
      </c>
      <c r="G321" t="s">
        <v>49</v>
      </c>
      <c r="H321" t="s">
        <v>50</v>
      </c>
      <c r="I321" s="1">
        <v>46023</v>
      </c>
      <c r="J321" t="s">
        <v>51</v>
      </c>
      <c r="K321" t="s">
        <v>52</v>
      </c>
      <c r="L321" s="2">
        <v>0</v>
      </c>
      <c r="M321" s="2">
        <v>108</v>
      </c>
      <c r="N321">
        <v>1</v>
      </c>
      <c r="O321" s="3">
        <v>1</v>
      </c>
      <c r="P321" s="2">
        <v>108</v>
      </c>
      <c r="R321" t="s">
        <v>970</v>
      </c>
    </row>
    <row r="322" spans="1:25" x14ac:dyDescent="0.25">
      <c r="A322" s="4" t="s">
        <v>899</v>
      </c>
      <c r="B322" s="4" t="str">
        <f t="shared" si="4"/>
        <v>00022872951KOVR</v>
      </c>
      <c r="C322" t="s">
        <v>114</v>
      </c>
      <c r="D322" t="s">
        <v>100</v>
      </c>
      <c r="E322">
        <v>20411454</v>
      </c>
      <c r="F322" t="s">
        <v>973</v>
      </c>
      <c r="G322" t="s">
        <v>49</v>
      </c>
      <c r="H322" t="s">
        <v>50</v>
      </c>
      <c r="I322" s="1">
        <v>46023</v>
      </c>
      <c r="J322" t="s">
        <v>51</v>
      </c>
      <c r="K322" t="s">
        <v>52</v>
      </c>
      <c r="L322" s="2">
        <v>0</v>
      </c>
      <c r="M322" s="2">
        <v>108</v>
      </c>
      <c r="N322">
        <v>1</v>
      </c>
      <c r="O322" s="3">
        <v>1</v>
      </c>
      <c r="P322" s="2">
        <v>108</v>
      </c>
      <c r="R322" t="s">
        <v>970</v>
      </c>
    </row>
    <row r="323" spans="1:25" x14ac:dyDescent="0.25">
      <c r="A323" s="4" t="s">
        <v>900</v>
      </c>
      <c r="B323" s="4" t="str">
        <f t="shared" ref="B323:B328" si="5">CONCATENATE(A323,"OVR")</f>
        <v>00023413989KOVR</v>
      </c>
      <c r="C323" t="s">
        <v>118</v>
      </c>
      <c r="D323" t="s">
        <v>59</v>
      </c>
      <c r="E323">
        <v>20411454</v>
      </c>
      <c r="F323" t="s">
        <v>973</v>
      </c>
      <c r="G323" t="s">
        <v>49</v>
      </c>
      <c r="H323" t="s">
        <v>50</v>
      </c>
      <c r="I323" s="1">
        <v>46023</v>
      </c>
      <c r="J323" t="s">
        <v>51</v>
      </c>
      <c r="K323" t="s">
        <v>52</v>
      </c>
      <c r="L323" s="2">
        <v>0</v>
      </c>
      <c r="M323" s="2">
        <v>108</v>
      </c>
      <c r="N323">
        <v>1</v>
      </c>
      <c r="O323" s="3">
        <v>1</v>
      </c>
      <c r="P323" s="2">
        <v>108</v>
      </c>
      <c r="R323" t="s">
        <v>970</v>
      </c>
    </row>
    <row r="324" spans="1:25" x14ac:dyDescent="0.25">
      <c r="A324" s="4" t="s">
        <v>901</v>
      </c>
      <c r="B324" s="4" t="str">
        <f t="shared" si="5"/>
        <v>00023522226KOVR</v>
      </c>
      <c r="C324" t="s">
        <v>120</v>
      </c>
      <c r="D324" t="s">
        <v>121</v>
      </c>
      <c r="E324">
        <v>20411454</v>
      </c>
      <c r="F324" t="s">
        <v>973</v>
      </c>
      <c r="G324" t="s">
        <v>49</v>
      </c>
      <c r="H324" t="s">
        <v>50</v>
      </c>
      <c r="I324" s="1">
        <v>46023</v>
      </c>
      <c r="J324" t="s">
        <v>51</v>
      </c>
      <c r="K324" t="s">
        <v>52</v>
      </c>
      <c r="L324" s="2">
        <v>0</v>
      </c>
      <c r="M324" s="2">
        <v>108</v>
      </c>
      <c r="N324">
        <v>1</v>
      </c>
      <c r="O324" s="3">
        <v>1</v>
      </c>
      <c r="P324" s="2">
        <v>108</v>
      </c>
      <c r="R324" t="s">
        <v>970</v>
      </c>
    </row>
    <row r="325" spans="1:25" x14ac:dyDescent="0.25">
      <c r="A325" s="4" t="s">
        <v>958</v>
      </c>
      <c r="B325" s="4" t="str">
        <f t="shared" si="5"/>
        <v>00006953965KOVR</v>
      </c>
      <c r="C325" t="s">
        <v>829</v>
      </c>
      <c r="D325" t="s">
        <v>769</v>
      </c>
      <c r="E325">
        <v>20411454</v>
      </c>
      <c r="F325" t="s">
        <v>973</v>
      </c>
      <c r="G325" t="s">
        <v>827</v>
      </c>
      <c r="H325" t="s">
        <v>50</v>
      </c>
      <c r="I325" s="1">
        <v>46023</v>
      </c>
      <c r="J325" t="s">
        <v>51</v>
      </c>
      <c r="K325" t="s">
        <v>52</v>
      </c>
      <c r="P325">
        <v>-108</v>
      </c>
      <c r="R325" t="s">
        <v>970</v>
      </c>
    </row>
    <row r="326" spans="1:25" x14ac:dyDescent="0.25">
      <c r="A326" s="4" t="s">
        <v>959</v>
      </c>
      <c r="B326" s="4" t="str">
        <f t="shared" si="5"/>
        <v>00008035060KAOVR</v>
      </c>
      <c r="C326" t="s">
        <v>831</v>
      </c>
      <c r="D326" t="s">
        <v>59</v>
      </c>
      <c r="E326">
        <v>20411454</v>
      </c>
      <c r="F326" t="s">
        <v>973</v>
      </c>
      <c r="G326" t="s">
        <v>827</v>
      </c>
      <c r="H326" t="s">
        <v>50</v>
      </c>
      <c r="I326" s="1">
        <v>46023</v>
      </c>
      <c r="J326" t="s">
        <v>51</v>
      </c>
      <c r="K326" t="s">
        <v>52</v>
      </c>
      <c r="P326">
        <v>-108</v>
      </c>
      <c r="R326" t="s">
        <v>970</v>
      </c>
    </row>
    <row r="327" spans="1:25" x14ac:dyDescent="0.25">
      <c r="A327" s="4" t="s">
        <v>961</v>
      </c>
      <c r="B327" s="4" t="str">
        <f t="shared" si="5"/>
        <v>00010794079KOVR</v>
      </c>
      <c r="C327" t="s">
        <v>837</v>
      </c>
      <c r="D327" t="s">
        <v>59</v>
      </c>
      <c r="E327">
        <v>20411454</v>
      </c>
      <c r="F327" t="s">
        <v>973</v>
      </c>
      <c r="G327" t="s">
        <v>827</v>
      </c>
      <c r="H327" t="s">
        <v>50</v>
      </c>
      <c r="I327" s="1">
        <v>46023</v>
      </c>
      <c r="J327" t="s">
        <v>51</v>
      </c>
      <c r="K327" t="s">
        <v>52</v>
      </c>
      <c r="P327">
        <v>-108</v>
      </c>
      <c r="R327" t="s">
        <v>970</v>
      </c>
    </row>
    <row r="328" spans="1:25" x14ac:dyDescent="0.25">
      <c r="A328" s="4" t="s">
        <v>962</v>
      </c>
      <c r="B328" s="4" t="str">
        <f t="shared" si="5"/>
        <v>00014797937KOVR</v>
      </c>
      <c r="C328" t="s">
        <v>839</v>
      </c>
      <c r="D328" t="s">
        <v>422</v>
      </c>
      <c r="E328">
        <v>20411454</v>
      </c>
      <c r="F328" t="s">
        <v>973</v>
      </c>
      <c r="G328" t="s">
        <v>827</v>
      </c>
      <c r="H328" t="s">
        <v>50</v>
      </c>
      <c r="I328" s="1">
        <v>46023</v>
      </c>
      <c r="J328" t="s">
        <v>51</v>
      </c>
      <c r="K328" t="s">
        <v>52</v>
      </c>
      <c r="P328">
        <v>-108</v>
      </c>
      <c r="R328" t="s">
        <v>970</v>
      </c>
    </row>
    <row r="329" spans="1:25" s="6" customFormat="1" x14ac:dyDescent="0.25">
      <c r="A329" s="5" t="s">
        <v>949</v>
      </c>
      <c r="B329" s="5" t="str">
        <f>CONCATENATE(A329,1)</f>
        <v>A044006241</v>
      </c>
      <c r="C329" s="6" t="s">
        <v>806</v>
      </c>
      <c r="D329" s="6" t="s">
        <v>369</v>
      </c>
      <c r="E329" s="6">
        <v>16849453</v>
      </c>
      <c r="F329" s="6" t="s">
        <v>371</v>
      </c>
      <c r="G329" s="6" t="s">
        <v>49</v>
      </c>
      <c r="H329" s="6" t="s">
        <v>807</v>
      </c>
      <c r="I329" s="7">
        <v>46023</v>
      </c>
      <c r="J329" s="6" t="s">
        <v>51</v>
      </c>
      <c r="K329" s="6" t="s">
        <v>52</v>
      </c>
      <c r="L329" s="8">
        <v>0</v>
      </c>
      <c r="M329" s="8">
        <v>31.02</v>
      </c>
      <c r="N329" s="6">
        <v>9</v>
      </c>
      <c r="O329" s="9">
        <v>1</v>
      </c>
      <c r="P329" s="8">
        <v>279.18</v>
      </c>
      <c r="R329" s="6" t="s">
        <v>807</v>
      </c>
    </row>
    <row r="330" spans="1:25" s="6" customFormat="1" x14ac:dyDescent="0.25">
      <c r="A330" s="5" t="s">
        <v>950</v>
      </c>
      <c r="B330" s="5" t="str">
        <f t="shared" ref="B330:B331" si="6">CONCATENATE(A330,1)</f>
        <v>A044006261</v>
      </c>
      <c r="C330" s="6" t="s">
        <v>809</v>
      </c>
      <c r="D330" s="6" t="s">
        <v>369</v>
      </c>
      <c r="E330" s="6">
        <v>16849453</v>
      </c>
      <c r="F330" s="6" t="s">
        <v>371</v>
      </c>
      <c r="G330" s="6" t="s">
        <v>49</v>
      </c>
      <c r="H330" s="6" t="s">
        <v>807</v>
      </c>
      <c r="I330" s="7">
        <v>46023</v>
      </c>
      <c r="J330" s="6" t="s">
        <v>51</v>
      </c>
      <c r="K330" s="6" t="s">
        <v>52</v>
      </c>
      <c r="L330" s="8">
        <v>0</v>
      </c>
      <c r="M330" s="8">
        <v>31.02</v>
      </c>
      <c r="N330" s="6">
        <v>9</v>
      </c>
      <c r="O330" s="9">
        <v>1</v>
      </c>
      <c r="P330" s="8">
        <v>279.18</v>
      </c>
      <c r="R330" s="6" t="s">
        <v>807</v>
      </c>
    </row>
    <row r="331" spans="1:25" s="6" customFormat="1" x14ac:dyDescent="0.25">
      <c r="A331" s="5" t="s">
        <v>948</v>
      </c>
      <c r="B331" s="5" t="str">
        <f t="shared" si="6"/>
        <v>A041591421</v>
      </c>
      <c r="C331" s="6" t="s">
        <v>801</v>
      </c>
      <c r="D331" s="6" t="s">
        <v>145</v>
      </c>
      <c r="E331" s="6">
        <v>21564088</v>
      </c>
      <c r="F331" s="6" t="s">
        <v>803</v>
      </c>
      <c r="G331" s="6" t="s">
        <v>49</v>
      </c>
      <c r="H331" s="6" t="s">
        <v>804</v>
      </c>
      <c r="I331" s="7">
        <v>45992</v>
      </c>
      <c r="J331" s="6" t="s">
        <v>51</v>
      </c>
      <c r="K331" s="6" t="s">
        <v>52</v>
      </c>
      <c r="L331" s="8">
        <v>0</v>
      </c>
      <c r="M331" s="8">
        <v>23.38</v>
      </c>
      <c r="N331" s="6">
        <v>1</v>
      </c>
      <c r="O331" s="9">
        <v>1</v>
      </c>
      <c r="P331" s="8">
        <v>23.38</v>
      </c>
      <c r="R331" s="6" t="s">
        <v>972</v>
      </c>
      <c r="X331" s="10"/>
      <c r="Y331" s="10"/>
    </row>
    <row r="332" spans="1:25" x14ac:dyDescent="0.25">
      <c r="A332" s="4">
        <v>910479691</v>
      </c>
      <c r="B332" s="4" t="str">
        <f t="shared" ref="B332:B338" si="7">CONCATENATE(A332,"OVR")</f>
        <v>910479691OVR</v>
      </c>
      <c r="C332" t="s">
        <v>781</v>
      </c>
      <c r="D332" t="s">
        <v>46</v>
      </c>
      <c r="E332">
        <v>20411454</v>
      </c>
      <c r="F332" t="s">
        <v>973</v>
      </c>
      <c r="G332" t="s">
        <v>49</v>
      </c>
      <c r="H332" t="s">
        <v>782</v>
      </c>
      <c r="I332" s="1">
        <v>46023</v>
      </c>
      <c r="J332" t="s">
        <v>51</v>
      </c>
      <c r="K332" t="s">
        <v>52</v>
      </c>
      <c r="L332" s="2">
        <v>0</v>
      </c>
      <c r="M332" s="2">
        <v>175</v>
      </c>
      <c r="N332">
        <v>1</v>
      </c>
      <c r="O332" s="3">
        <v>1</v>
      </c>
      <c r="P332" s="2">
        <v>175</v>
      </c>
      <c r="R332" t="s">
        <v>971</v>
      </c>
    </row>
    <row r="333" spans="1:25" x14ac:dyDescent="0.25">
      <c r="A333" s="4">
        <v>914414427</v>
      </c>
      <c r="B333" s="4" t="str">
        <f t="shared" si="7"/>
        <v>914414427OVR</v>
      </c>
      <c r="C333" t="s">
        <v>784</v>
      </c>
      <c r="D333" t="s">
        <v>59</v>
      </c>
      <c r="E333">
        <v>20411454</v>
      </c>
      <c r="F333" t="s">
        <v>973</v>
      </c>
      <c r="G333" t="s">
        <v>49</v>
      </c>
      <c r="H333" t="s">
        <v>782</v>
      </c>
      <c r="I333" s="1">
        <v>46023</v>
      </c>
      <c r="J333" t="s">
        <v>51</v>
      </c>
      <c r="K333" t="s">
        <v>52</v>
      </c>
      <c r="L333" s="2">
        <v>0</v>
      </c>
      <c r="M333" s="2">
        <v>175</v>
      </c>
      <c r="N333">
        <v>1</v>
      </c>
      <c r="O333" s="3">
        <v>1</v>
      </c>
      <c r="P333" s="2">
        <v>175</v>
      </c>
      <c r="R333" t="s">
        <v>971</v>
      </c>
    </row>
    <row r="334" spans="1:25" x14ac:dyDescent="0.25">
      <c r="A334" s="4">
        <v>925781093</v>
      </c>
      <c r="B334" s="4" t="str">
        <f t="shared" si="7"/>
        <v>925781093OVR</v>
      </c>
      <c r="C334" t="s">
        <v>786</v>
      </c>
      <c r="D334" t="s">
        <v>59</v>
      </c>
      <c r="E334">
        <v>20411454</v>
      </c>
      <c r="F334" t="s">
        <v>973</v>
      </c>
      <c r="G334" t="s">
        <v>49</v>
      </c>
      <c r="H334" t="s">
        <v>782</v>
      </c>
      <c r="I334" s="1">
        <v>46023</v>
      </c>
      <c r="J334" t="s">
        <v>51</v>
      </c>
      <c r="K334" t="s">
        <v>52</v>
      </c>
      <c r="L334" s="2">
        <v>0</v>
      </c>
      <c r="M334" s="2">
        <v>175</v>
      </c>
      <c r="N334">
        <v>1</v>
      </c>
      <c r="O334" s="3">
        <v>1</v>
      </c>
      <c r="P334" s="2">
        <v>175</v>
      </c>
      <c r="R334" t="s">
        <v>971</v>
      </c>
    </row>
    <row r="335" spans="1:25" x14ac:dyDescent="0.25">
      <c r="A335" s="4">
        <v>927551590</v>
      </c>
      <c r="B335" s="4" t="str">
        <f t="shared" si="7"/>
        <v>927551590OVR</v>
      </c>
      <c r="C335" t="s">
        <v>788</v>
      </c>
      <c r="D335" t="s">
        <v>200</v>
      </c>
      <c r="E335">
        <v>20411454</v>
      </c>
      <c r="F335" t="s">
        <v>973</v>
      </c>
      <c r="G335" t="s">
        <v>49</v>
      </c>
      <c r="H335" t="s">
        <v>791</v>
      </c>
      <c r="I335" s="1">
        <v>46023</v>
      </c>
      <c r="J335" t="s">
        <v>51</v>
      </c>
      <c r="K335" t="s">
        <v>52</v>
      </c>
      <c r="L335" s="2">
        <v>0</v>
      </c>
      <c r="M335" s="2">
        <v>113</v>
      </c>
      <c r="N335">
        <v>1</v>
      </c>
      <c r="O335" s="3">
        <v>1</v>
      </c>
      <c r="P335" s="2">
        <v>113</v>
      </c>
      <c r="R335" t="s">
        <v>971</v>
      </c>
    </row>
    <row r="336" spans="1:25" x14ac:dyDescent="0.25">
      <c r="A336" s="4">
        <v>919189179</v>
      </c>
      <c r="B336" s="4" t="str">
        <f t="shared" si="7"/>
        <v>919189179OVR</v>
      </c>
      <c r="C336" t="s">
        <v>874</v>
      </c>
      <c r="D336" t="s">
        <v>422</v>
      </c>
      <c r="E336">
        <v>20411454</v>
      </c>
      <c r="F336" t="s">
        <v>973</v>
      </c>
      <c r="G336" t="s">
        <v>827</v>
      </c>
      <c r="H336" t="s">
        <v>791</v>
      </c>
      <c r="I336" s="1">
        <v>46023</v>
      </c>
      <c r="J336" t="s">
        <v>51</v>
      </c>
      <c r="K336" t="s">
        <v>52</v>
      </c>
      <c r="P336">
        <v>-113</v>
      </c>
      <c r="R336" t="s">
        <v>971</v>
      </c>
    </row>
    <row r="337" spans="1:18" x14ac:dyDescent="0.25">
      <c r="A337" s="4">
        <v>938289187</v>
      </c>
      <c r="B337" s="4" t="str">
        <f t="shared" si="7"/>
        <v>938289187OVR</v>
      </c>
      <c r="C337" t="s">
        <v>793</v>
      </c>
      <c r="D337" t="s">
        <v>145</v>
      </c>
      <c r="E337">
        <v>20411454</v>
      </c>
      <c r="F337" t="s">
        <v>973</v>
      </c>
      <c r="G337" t="s">
        <v>49</v>
      </c>
      <c r="H337" t="s">
        <v>794</v>
      </c>
      <c r="I337" s="1">
        <v>46023</v>
      </c>
      <c r="J337" t="s">
        <v>51</v>
      </c>
      <c r="K337" t="s">
        <v>52</v>
      </c>
      <c r="L337" s="2">
        <v>0</v>
      </c>
      <c r="M337" s="2">
        <v>72</v>
      </c>
      <c r="N337">
        <v>1</v>
      </c>
      <c r="O337" s="3">
        <v>1</v>
      </c>
      <c r="P337" s="2">
        <v>72</v>
      </c>
      <c r="Q337" t="s">
        <v>795</v>
      </c>
      <c r="R337" t="s">
        <v>971</v>
      </c>
    </row>
    <row r="338" spans="1:18" x14ac:dyDescent="0.25">
      <c r="A338" s="4">
        <v>992644120</v>
      </c>
      <c r="B338" s="4" t="str">
        <f t="shared" si="7"/>
        <v>992644120OVR</v>
      </c>
      <c r="C338" t="s">
        <v>797</v>
      </c>
      <c r="D338" t="s">
        <v>150</v>
      </c>
      <c r="E338">
        <v>20411454</v>
      </c>
      <c r="F338" t="s">
        <v>973</v>
      </c>
      <c r="G338" t="s">
        <v>49</v>
      </c>
      <c r="H338" t="s">
        <v>794</v>
      </c>
      <c r="I338" s="1">
        <v>46023</v>
      </c>
      <c r="J338" t="s">
        <v>51</v>
      </c>
      <c r="K338" t="s">
        <v>52</v>
      </c>
      <c r="L338" s="2">
        <v>0</v>
      </c>
      <c r="M338" s="2">
        <v>72</v>
      </c>
      <c r="N338">
        <v>1</v>
      </c>
      <c r="O338" s="3">
        <v>1</v>
      </c>
      <c r="P338" s="2">
        <v>72</v>
      </c>
      <c r="Q338" t="s">
        <v>795</v>
      </c>
      <c r="R338" t="s">
        <v>971</v>
      </c>
    </row>
    <row r="339" spans="1:18" x14ac:dyDescent="0.25">
      <c r="P339" s="2"/>
    </row>
  </sheetData>
  <sortState xmlns:xlrd2="http://schemas.microsoft.com/office/spreadsheetml/2017/richdata2" ref="A2:AM338">
    <sortCondition ref="H2:H3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1805-D160-40FC-9CD2-9A4B5DF54ABB}">
  <dimension ref="A1:Q9"/>
  <sheetViews>
    <sheetView tabSelected="1" workbookViewId="0">
      <selection activeCell="O2" sqref="O2:O3"/>
    </sheetView>
  </sheetViews>
  <sheetFormatPr defaultRowHeight="15" x14ac:dyDescent="0.25"/>
  <cols>
    <col min="5" max="5" width="21.42578125" bestFit="1" customWidth="1"/>
    <col min="7" max="7" width="59.42578125" bestFit="1" customWidth="1"/>
  </cols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20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7" s="12" customFormat="1" x14ac:dyDescent="0.25">
      <c r="A2" s="11" t="s">
        <v>951</v>
      </c>
      <c r="B2" s="12" t="s">
        <v>811</v>
      </c>
      <c r="C2" s="12" t="s">
        <v>496</v>
      </c>
      <c r="D2" s="12" t="s">
        <v>812</v>
      </c>
      <c r="E2" s="12" t="s">
        <v>813</v>
      </c>
      <c r="F2" s="12" t="s">
        <v>49</v>
      </c>
      <c r="G2" s="12" t="s">
        <v>814</v>
      </c>
      <c r="H2" s="13">
        <v>46023</v>
      </c>
      <c r="I2" s="12" t="s">
        <v>51</v>
      </c>
      <c r="J2" s="12" t="s">
        <v>52</v>
      </c>
      <c r="K2" s="14">
        <v>0</v>
      </c>
      <c r="L2" s="14">
        <v>21</v>
      </c>
      <c r="M2" s="12">
        <v>9</v>
      </c>
      <c r="N2" s="15">
        <v>1</v>
      </c>
      <c r="O2" s="14">
        <v>189</v>
      </c>
      <c r="Q2" s="12">
        <f>141.75+31.5+15.75</f>
        <v>189</v>
      </c>
    </row>
    <row r="3" spans="1:17" s="12" customFormat="1" x14ac:dyDescent="0.25">
      <c r="A3" s="11" t="s">
        <v>952</v>
      </c>
      <c r="B3" s="12" t="s">
        <v>816</v>
      </c>
      <c r="C3" s="12" t="s">
        <v>59</v>
      </c>
      <c r="D3" s="12" t="s">
        <v>165</v>
      </c>
      <c r="E3" s="12" t="s">
        <v>166</v>
      </c>
      <c r="F3" s="12" t="s">
        <v>49</v>
      </c>
      <c r="G3" s="12" t="s">
        <v>817</v>
      </c>
      <c r="H3" s="13">
        <v>46023</v>
      </c>
      <c r="I3" s="12" t="s">
        <v>51</v>
      </c>
      <c r="J3" s="12" t="s">
        <v>52</v>
      </c>
      <c r="K3" s="14">
        <v>0</v>
      </c>
      <c r="L3" s="14">
        <v>31.5</v>
      </c>
      <c r="M3" s="12">
        <v>9</v>
      </c>
      <c r="N3" s="15">
        <v>1</v>
      </c>
      <c r="O3" s="14">
        <v>283.5</v>
      </c>
      <c r="Q3" s="12">
        <f>224.46+17.01+42.03</f>
        <v>283.5</v>
      </c>
    </row>
    <row r="6" spans="1:17" x14ac:dyDescent="0.25">
      <c r="H6">
        <v>1</v>
      </c>
      <c r="I6">
        <v>12</v>
      </c>
      <c r="K6">
        <v>14</v>
      </c>
      <c r="L6">
        <v>210</v>
      </c>
      <c r="M6">
        <f>K6*3</f>
        <v>42</v>
      </c>
      <c r="N6">
        <f>M6+L6</f>
        <v>252</v>
      </c>
      <c r="O6" s="16">
        <f>N6/12</f>
        <v>21</v>
      </c>
    </row>
    <row r="7" spans="1:17" x14ac:dyDescent="0.25">
      <c r="H7">
        <v>13</v>
      </c>
      <c r="I7">
        <v>72</v>
      </c>
      <c r="K7">
        <v>14</v>
      </c>
      <c r="L7">
        <v>210</v>
      </c>
      <c r="M7">
        <f>K7*3</f>
        <v>42</v>
      </c>
      <c r="N7">
        <f>M7+L7</f>
        <v>252</v>
      </c>
      <c r="O7" s="16">
        <f>N7/12</f>
        <v>21</v>
      </c>
    </row>
    <row r="8" spans="1:17" x14ac:dyDescent="0.25">
      <c r="G8" t="s">
        <v>974</v>
      </c>
      <c r="H8">
        <v>73</v>
      </c>
      <c r="I8">
        <v>0</v>
      </c>
      <c r="K8">
        <v>5</v>
      </c>
      <c r="L8">
        <v>75</v>
      </c>
      <c r="M8">
        <f>K8*3</f>
        <v>15</v>
      </c>
      <c r="N8">
        <f>M8+L8</f>
        <v>90</v>
      </c>
      <c r="O8" s="16">
        <f>N8/12</f>
        <v>7.5</v>
      </c>
    </row>
    <row r="9" spans="1:17" x14ac:dyDescent="0.25">
      <c r="K9">
        <v>2</v>
      </c>
      <c r="L9">
        <v>30</v>
      </c>
      <c r="M9">
        <f>K9*3</f>
        <v>6</v>
      </c>
      <c r="N9">
        <f>M9+L9</f>
        <v>36</v>
      </c>
      <c r="O9" s="16">
        <f>N9/12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2025-12-30T21:40:52Z</dcterms:created>
  <dcterms:modified xsi:type="dcterms:W3CDTF">2026-01-30T16:32:48Z</dcterms:modified>
</cp:coreProperties>
</file>