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FG\2025\09-10-25\"/>
    </mc:Choice>
  </mc:AlternateContent>
  <xr:revisionPtr revIDLastSave="0" documentId="8_{0E48BCCA-AD9F-46FF-B17F-1226C21D972B}" xr6:coauthVersionLast="47" xr6:coauthVersionMax="47" xr10:uidLastSave="{00000000-0000-0000-0000-000000000000}"/>
  <bookViews>
    <workbookView xWindow="28680" yWindow="-120" windowWidth="29040" windowHeight="16440" activeTab="1" xr2:uid="{8524A193-3A1C-4868-B1E1-88FEAC385031}"/>
  </bookViews>
  <sheets>
    <sheet name="New Business Agent Statement - " sheetId="1" r:id="rId1"/>
    <sheet name="Sheet1" sheetId="2" r:id="rId2"/>
  </sheets>
  <calcPr calcId="181029"/>
  <fileRecoveryPr repairLoad="1"/>
</workbook>
</file>

<file path=xl/calcChain.xml><?xml version="1.0" encoding="utf-8"?>
<calcChain xmlns="http://schemas.openxmlformats.org/spreadsheetml/2006/main">
  <c r="B41" i="2" l="1"/>
  <c r="B39" i="2"/>
  <c r="B38" i="2"/>
  <c r="B37" i="2"/>
  <c r="B36" i="2"/>
  <c r="B35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B30" i="2"/>
  <c r="B29" i="2"/>
</calcChain>
</file>

<file path=xl/sharedStrings.xml><?xml version="1.0" encoding="utf-8"?>
<sst xmlns="http://schemas.openxmlformats.org/spreadsheetml/2006/main" count="916" uniqueCount="232">
  <si>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</si>
  <si>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</si>
  <si>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</si>
  <si>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</si>
  <si>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</si>
  <si>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</si>
  <si>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</si>
  <si>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</si>
  <si>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</si>
  <si>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</si>
  <si>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</si>
  <si>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</si>
  <si>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</si>
  <si>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</si>
  <si>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</si>
  <si>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</si>
  <si>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</si>
  <si>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</si>
  <si>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</si>
  <si>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</si>
  <si>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</si>
  <si>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</si>
  <si>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</si>
  <si>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</si>
  <si>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</si>
  <si>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</si>
  <si>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</si>
  <si>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</si>
  <si>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</si>
  <si>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</si>
  <si>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</si>
  <si>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</si>
  <si>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</si>
  <si>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</si>
  <si>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</si>
  <si>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</si>
  <si>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</si>
  <si>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</si>
  <si>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NB</t>
  </si>
  <si>
    <t>HEARTLAND</t>
  </si>
  <si>
    <t>HEARTLAND-FINANCIAL-GROUP</t>
  </si>
  <si>
    <t>'043677</t>
  </si>
  <si>
    <t>'</t>
  </si>
  <si>
    <t>JASON HOFFMANN</t>
  </si>
  <si>
    <t>'00018331316KPDP</t>
  </si>
  <si>
    <t>BARBARA WOODS</t>
  </si>
  <si>
    <t>IL</t>
  </si>
  <si>
    <t>'045611</t>
  </si>
  <si>
    <t>FRANK LISKOVEC</t>
  </si>
  <si>
    <t>ACTIVE</t>
  </si>
  <si>
    <t>Humana PDP 2019+ Level 15- 15/0</t>
  </si>
  <si>
    <t>Monthly</t>
  </si>
  <si>
    <t>AV</t>
  </si>
  <si>
    <t>'00023509197K</t>
  </si>
  <si>
    <t>RICHARD GALASINSKI</t>
  </si>
  <si>
    <t>'045671</t>
  </si>
  <si>
    <t>ROBERT SHAPIRO</t>
  </si>
  <si>
    <t>Active</t>
  </si>
  <si>
    <t>Humana MA 2019+ Level 15- 175/108</t>
  </si>
  <si>
    <t>Humana MA Bonus Upload 09-10-2025.xlsx</t>
  </si>
  <si>
    <t>'00023584777K</t>
  </si>
  <si>
    <t>RANDY VARJU</t>
  </si>
  <si>
    <t>'045603</t>
  </si>
  <si>
    <t>ANDREW CHOI</t>
  </si>
  <si>
    <t>'00023585917K</t>
  </si>
  <si>
    <t>SCOTT TURF</t>
  </si>
  <si>
    <t>'045605</t>
  </si>
  <si>
    <t>GARY PORTUGAL</t>
  </si>
  <si>
    <t>'00023586114K</t>
  </si>
  <si>
    <t>KATHERINE BROWN</t>
  </si>
  <si>
    <t>'045607</t>
  </si>
  <si>
    <t>PAMELA DEATON</t>
  </si>
  <si>
    <t>'00023589143K</t>
  </si>
  <si>
    <t>DAVIS SASAKI</t>
  </si>
  <si>
    <t>'00023589322K</t>
  </si>
  <si>
    <t>SAUL MENDEZ</t>
  </si>
  <si>
    <t>'045612</t>
  </si>
  <si>
    <t>ANTHONY HUNSBERGER</t>
  </si>
  <si>
    <t>'00023591468K</t>
  </si>
  <si>
    <t>SOMDETH KHOUSAKOUN</t>
  </si>
  <si>
    <t>'043625</t>
  </si>
  <si>
    <t>PATSAMON THANADABOUTH</t>
  </si>
  <si>
    <t>'00023592407K</t>
  </si>
  <si>
    <t>JOYCE MENDENHALL</t>
  </si>
  <si>
    <t>PA</t>
  </si>
  <si>
    <t>'043679</t>
  </si>
  <si>
    <t>DEBORAH INSKIPT</t>
  </si>
  <si>
    <t>'00023592603KPDP</t>
  </si>
  <si>
    <t>KATHLEEN RYSTED</t>
  </si>
  <si>
    <t>IN</t>
  </si>
  <si>
    <t>'045937</t>
  </si>
  <si>
    <t>MARSHA SANDEROCK</t>
  </si>
  <si>
    <t>'00023594897KPDP</t>
  </si>
  <si>
    <t>ANN VOOGD HILL</t>
  </si>
  <si>
    <t>'043714</t>
  </si>
  <si>
    <t>BRIAN STROHMAN</t>
  </si>
  <si>
    <t>'00023596308K</t>
  </si>
  <si>
    <t>KEN SAUNDERS</t>
  </si>
  <si>
    <t>'041686</t>
  </si>
  <si>
    <t>DALE WALENGA</t>
  </si>
  <si>
    <t>'00023596422K</t>
  </si>
  <si>
    <t>KARYN KELLY</t>
  </si>
  <si>
    <t>GA</t>
  </si>
  <si>
    <t>'045885</t>
  </si>
  <si>
    <t>CHAD BENDER</t>
  </si>
  <si>
    <t>'00023600065K</t>
  </si>
  <si>
    <t>JOSEPHINE BRADLEY</t>
  </si>
  <si>
    <t>'045772</t>
  </si>
  <si>
    <t>JASON ROLLER</t>
  </si>
  <si>
    <t>'102189954200</t>
  </si>
  <si>
    <t>LAURA LOPEZ</t>
  </si>
  <si>
    <t>Aetna MAPD NMO to GMO - 4-1-23+  Replace E-App</t>
  </si>
  <si>
    <t>3/12 PRORATE</t>
  </si>
  <si>
    <t>'102190026200</t>
  </si>
  <si>
    <t>CHARLOTTE FARLEY</t>
  </si>
  <si>
    <t>'043718</t>
  </si>
  <si>
    <t>CHAD YALE</t>
  </si>
  <si>
    <t>2/12 PRORATE</t>
  </si>
  <si>
    <t>'102190030600</t>
  </si>
  <si>
    <t>BARBARA MEISSNER-PLEGGE</t>
  </si>
  <si>
    <t>OH</t>
  </si>
  <si>
    <t>'045940</t>
  </si>
  <si>
    <t>JILL SHEPARD</t>
  </si>
  <si>
    <t>'102190156500</t>
  </si>
  <si>
    <t>JOELLEN CONEY</t>
  </si>
  <si>
    <t>5/12 PRORATE</t>
  </si>
  <si>
    <t>'102190169900</t>
  </si>
  <si>
    <t>JOHN RAMANIO</t>
  </si>
  <si>
    <t>WI</t>
  </si>
  <si>
    <t>Aetna MAPD NMO to GMO - 4-1-23+  Replace Paper</t>
  </si>
  <si>
    <t>4/12 PRORATE</t>
  </si>
  <si>
    <t>'102190173100</t>
  </si>
  <si>
    <t>THERESA PAYNE-PRICE</t>
  </si>
  <si>
    <t>'102190223100</t>
  </si>
  <si>
    <t>JUNE SMITH</t>
  </si>
  <si>
    <t>'102190247800</t>
  </si>
  <si>
    <t>EARL SCHULTE</t>
  </si>
  <si>
    <t>'102190262300</t>
  </si>
  <si>
    <t>JAMIE MCDONALD</t>
  </si>
  <si>
    <t>'102190732500</t>
  </si>
  <si>
    <t>MARVIN FOSTER</t>
  </si>
  <si>
    <t>KS</t>
  </si>
  <si>
    <t>'043682</t>
  </si>
  <si>
    <t>GREGORY TEIPEL</t>
  </si>
  <si>
    <t>'102190771300</t>
  </si>
  <si>
    <t>MARCY MEEHAN</t>
  </si>
  <si>
    <t>'102190926800</t>
  </si>
  <si>
    <t>MICHAEL LUNDIN</t>
  </si>
  <si>
    <t>'102190934800</t>
  </si>
  <si>
    <t>LISA BUCKLEY</t>
  </si>
  <si>
    <t>'102190996400</t>
  </si>
  <si>
    <t>GREGG HAVEL</t>
  </si>
  <si>
    <t>AR</t>
  </si>
  <si>
    <t>'102191007700</t>
  </si>
  <si>
    <t>CHERYL HACKATHORN</t>
  </si>
  <si>
    <t>'102191010500</t>
  </si>
  <si>
    <t>LORI DUDEK</t>
  </si>
  <si>
    <t>'043786</t>
  </si>
  <si>
    <t>MARGARET SMITH</t>
  </si>
  <si>
    <t>'945448053</t>
  </si>
  <si>
    <t>WADE JANECEK</t>
  </si>
  <si>
    <t>'043644</t>
  </si>
  <si>
    <t>TIMOTHY HODGMAN</t>
  </si>
  <si>
    <t>UHC MAPD Street payable to upline- 2025 Replace</t>
  </si>
  <si>
    <t>'945448053OV</t>
  </si>
  <si>
    <t>UHC MA Direct 2025 New Full - Other</t>
  </si>
  <si>
    <t>'A04324327</t>
  </si>
  <si>
    <t>MARK TOWNE</t>
  </si>
  <si>
    <t>UHC AARP Med Supp 2025+ IL Area 1 Plan B C F G</t>
  </si>
  <si>
    <t>'A04325334</t>
  </si>
  <si>
    <t>NANCY BEATTY</t>
  </si>
  <si>
    <t>'045601</t>
  </si>
  <si>
    <t>CAROL FOLEY</t>
  </si>
  <si>
    <t>UHC AARP Med Supp 2025+ PA Area 1 Plan N</t>
  </si>
  <si>
    <t>'A04325336</t>
  </si>
  <si>
    <t>MICHAEL BEATTY</t>
  </si>
  <si>
    <t>'A04326238</t>
  </si>
  <si>
    <t>MONTI HARRIS</t>
  </si>
  <si>
    <t>UHC AARP Med Supp 2025+ IN All Plans</t>
  </si>
  <si>
    <t>'A04326401</t>
  </si>
  <si>
    <t>JEAN SCHAEFFER</t>
  </si>
  <si>
    <t>MD</t>
  </si>
  <si>
    <t>'045627</t>
  </si>
  <si>
    <t>CATHY LEMON</t>
  </si>
  <si>
    <t>UHC AARP Med Supp 2025+ MD Plan N</t>
  </si>
  <si>
    <t>CB</t>
  </si>
  <si>
    <t>'00013199675KPDPPC</t>
  </si>
  <si>
    <t>FRYDA CASTILLO</t>
  </si>
  <si>
    <t>'045712</t>
  </si>
  <si>
    <t>GREGORY HANSFORD</t>
  </si>
  <si>
    <t>CHARGEBACK</t>
  </si>
  <si>
    <t>'00018331316KPC</t>
  </si>
  <si>
    <t>NA</t>
  </si>
  <si>
    <t>'00022898753KPC</t>
  </si>
  <si>
    <t>PAULA HOWARD</t>
  </si>
  <si>
    <t>'045618</t>
  </si>
  <si>
    <t>STEPHANIE DRAPAC</t>
  </si>
  <si>
    <t>00018331316KPDP</t>
  </si>
  <si>
    <t>00023509197K</t>
  </si>
  <si>
    <t>00023584777K</t>
  </si>
  <si>
    <t>00023585917K</t>
  </si>
  <si>
    <t>00023586114K</t>
  </si>
  <si>
    <t>00023589143K</t>
  </si>
  <si>
    <t>00023589322K</t>
  </si>
  <si>
    <t>00023591468K</t>
  </si>
  <si>
    <t>00023592407K</t>
  </si>
  <si>
    <t>00023592603KPDP</t>
  </si>
  <si>
    <t>00023594897KPDP</t>
  </si>
  <si>
    <t>00023596308K</t>
  </si>
  <si>
    <t>00023596422K</t>
  </si>
  <si>
    <t>00023600065K</t>
  </si>
  <si>
    <t>945448053OV</t>
  </si>
  <si>
    <t>A04324327</t>
  </si>
  <si>
    <t>A04325334</t>
  </si>
  <si>
    <t>A04325336</t>
  </si>
  <si>
    <t>A04326238</t>
  </si>
  <si>
    <t>A04326401</t>
  </si>
  <si>
    <t>00013199675KPDPPC</t>
  </si>
  <si>
    <t>Aetna MAPD OVR 2025</t>
  </si>
  <si>
    <t>Humana MAPD OVR 2025</t>
  </si>
  <si>
    <t>UHC AARP MS PA Area 1 2024- Plan N</t>
  </si>
  <si>
    <t>UHC AARP MS IL Area 1 - Plan B C F G</t>
  </si>
  <si>
    <t>UHC AARP MS OR - Plan N</t>
  </si>
  <si>
    <t>UHC MAPD Ovr 2025</t>
  </si>
  <si>
    <t>UHC MAPD 2025*</t>
  </si>
  <si>
    <t>[%/$=313][prorate=4/12]</t>
  </si>
  <si>
    <t>Main Line Benefits</t>
  </si>
  <si>
    <t>00013199675KPDP</t>
  </si>
  <si>
    <t>945448053OVR</t>
  </si>
  <si>
    <t>00018331316K</t>
  </si>
  <si>
    <t>00022898753K</t>
  </si>
  <si>
    <t>Humana PDP 2025!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</si>
</sst>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  <xf numFmtId="1" fontId="0" fillId="0" borderId="0" xfId="0" applyNumberFormat="1" applyFill="1" applyAlignment="1">
      <alignment horizontal="left"/>
    </xf>
    <xf numFmtId="0" fontId="0" fillId="0" borderId="0" xfId="0" applyFill="1"/>
    <xf numFmtId="14" fontId="0" fillId="0" borderId="0" xfId="0" applyNumberFormat="1" applyFill="1"/>
    <xf numFmtId="8" fontId="0" fillId="0" borderId="0" xfId="0" applyNumberFormat="1" applyFill="1"/>
    <xf numFmtId="10" fontId="0" fillId="0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1C8BA-98F2-4A11-85AA-E01AAA362135}">
  <dimension ref="A1:AL41"/>
  <sheetViews>
    <sheetView workbookViewId="0">
      <selection sqref="A1:XFD1048576"/>
    </sheetView>
  </sheetViews>
  <sheetFormatPr defaultRowHeight="15" x14ac:dyDescent="0.25"/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s="1">
        <v>45910</v>
      </c>
      <c r="B2" s="1">
        <v>45910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M2" t="s">
        <v>46</v>
      </c>
      <c r="O2" t="s">
        <v>47</v>
      </c>
      <c r="P2" t="s">
        <v>48</v>
      </c>
      <c r="Q2" t="s">
        <v>49</v>
      </c>
      <c r="R2" t="s">
        <v>50</v>
      </c>
      <c r="S2" s="1">
        <v>45901</v>
      </c>
      <c r="U2" t="s">
        <v>51</v>
      </c>
      <c r="X2" t="s">
        <v>52</v>
      </c>
      <c r="Y2" s="2">
        <v>0</v>
      </c>
      <c r="Z2" s="2">
        <v>15</v>
      </c>
      <c r="AA2">
        <v>1</v>
      </c>
      <c r="AB2" s="3">
        <v>1</v>
      </c>
      <c r="AC2" s="2">
        <v>15</v>
      </c>
      <c r="AD2" s="3">
        <v>0</v>
      </c>
      <c r="AE2" s="2">
        <v>0</v>
      </c>
      <c r="AF2" s="2">
        <v>15</v>
      </c>
      <c r="AK2">
        <v>5776370</v>
      </c>
    </row>
    <row r="3" spans="1:38" x14ac:dyDescent="0.25">
      <c r="A3" s="1">
        <v>45910</v>
      </c>
      <c r="B3" s="1">
        <v>45910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53</v>
      </c>
      <c r="J3" t="s">
        <v>54</v>
      </c>
      <c r="M3" t="s">
        <v>46</v>
      </c>
      <c r="O3" t="s">
        <v>55</v>
      </c>
      <c r="P3" t="s">
        <v>56</v>
      </c>
      <c r="Q3" t="s">
        <v>57</v>
      </c>
      <c r="R3" t="s">
        <v>58</v>
      </c>
      <c r="S3" s="1">
        <v>45870</v>
      </c>
      <c r="U3" t="s">
        <v>51</v>
      </c>
      <c r="X3" t="s">
        <v>52</v>
      </c>
      <c r="Y3" s="2">
        <v>0</v>
      </c>
      <c r="Z3" s="2">
        <v>161</v>
      </c>
      <c r="AA3">
        <v>1</v>
      </c>
      <c r="AB3" s="3">
        <v>1</v>
      </c>
      <c r="AC3" s="2">
        <v>161</v>
      </c>
      <c r="AD3" s="3">
        <v>0</v>
      </c>
      <c r="AE3" s="2">
        <v>0</v>
      </c>
      <c r="AF3" s="2">
        <v>161</v>
      </c>
      <c r="AK3">
        <v>0</v>
      </c>
      <c r="AL3" t="s">
        <v>59</v>
      </c>
    </row>
    <row r="4" spans="1:38" x14ac:dyDescent="0.25">
      <c r="A4" s="1">
        <v>45910</v>
      </c>
      <c r="B4" s="1">
        <v>45910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60</v>
      </c>
      <c r="J4" t="s">
        <v>61</v>
      </c>
      <c r="M4" t="s">
        <v>46</v>
      </c>
      <c r="O4" t="s">
        <v>62</v>
      </c>
      <c r="P4" t="s">
        <v>63</v>
      </c>
      <c r="Q4" t="s">
        <v>49</v>
      </c>
      <c r="R4" t="s">
        <v>58</v>
      </c>
      <c r="S4" s="1">
        <v>45931</v>
      </c>
      <c r="U4" t="s">
        <v>51</v>
      </c>
      <c r="X4" t="s">
        <v>52</v>
      </c>
      <c r="Y4" s="2">
        <v>0</v>
      </c>
      <c r="Z4" s="2">
        <v>175</v>
      </c>
      <c r="AA4">
        <v>1</v>
      </c>
      <c r="AB4" s="3">
        <v>1</v>
      </c>
      <c r="AC4" s="2">
        <v>175</v>
      </c>
      <c r="AD4" s="3">
        <v>0</v>
      </c>
      <c r="AE4" s="2">
        <v>0</v>
      </c>
      <c r="AF4" s="2">
        <v>175</v>
      </c>
      <c r="AK4">
        <v>5776472</v>
      </c>
    </row>
    <row r="5" spans="1:38" x14ac:dyDescent="0.25">
      <c r="A5" s="1">
        <v>45910</v>
      </c>
      <c r="B5" s="1">
        <v>45910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64</v>
      </c>
      <c r="J5" t="s">
        <v>65</v>
      </c>
      <c r="M5" t="s">
        <v>46</v>
      </c>
      <c r="O5" t="s">
        <v>66</v>
      </c>
      <c r="P5" t="s">
        <v>67</v>
      </c>
      <c r="Q5" t="s">
        <v>49</v>
      </c>
      <c r="R5" t="s">
        <v>58</v>
      </c>
      <c r="S5" s="1">
        <v>45901</v>
      </c>
      <c r="U5" t="s">
        <v>51</v>
      </c>
      <c r="X5" t="s">
        <v>52</v>
      </c>
      <c r="Y5" s="2">
        <v>0</v>
      </c>
      <c r="Z5" s="2">
        <v>175</v>
      </c>
      <c r="AA5">
        <v>1</v>
      </c>
      <c r="AB5" s="3">
        <v>1</v>
      </c>
      <c r="AC5" s="2">
        <v>175</v>
      </c>
      <c r="AD5" s="3">
        <v>0</v>
      </c>
      <c r="AE5" s="2">
        <v>0</v>
      </c>
      <c r="AF5" s="2">
        <v>175</v>
      </c>
      <c r="AK5">
        <v>5776475</v>
      </c>
    </row>
    <row r="6" spans="1:38" x14ac:dyDescent="0.25">
      <c r="A6" s="1">
        <v>45910</v>
      </c>
      <c r="B6" s="1">
        <v>45910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68</v>
      </c>
      <c r="J6" t="s">
        <v>69</v>
      </c>
      <c r="M6" t="s">
        <v>46</v>
      </c>
      <c r="O6" t="s">
        <v>70</v>
      </c>
      <c r="P6" t="s">
        <v>71</v>
      </c>
      <c r="Q6" t="s">
        <v>49</v>
      </c>
      <c r="R6" t="s">
        <v>58</v>
      </c>
      <c r="S6" s="1">
        <v>45901</v>
      </c>
      <c r="U6" t="s">
        <v>51</v>
      </c>
      <c r="X6" t="s">
        <v>52</v>
      </c>
      <c r="Y6" s="2">
        <v>0</v>
      </c>
      <c r="Z6" s="2">
        <v>175</v>
      </c>
      <c r="AA6">
        <v>1</v>
      </c>
      <c r="AB6" s="3">
        <v>1</v>
      </c>
      <c r="AC6" s="2">
        <v>175</v>
      </c>
      <c r="AD6" s="3">
        <v>0</v>
      </c>
      <c r="AE6" s="2">
        <v>0</v>
      </c>
      <c r="AF6" s="2">
        <v>175</v>
      </c>
      <c r="AK6">
        <v>5776477</v>
      </c>
    </row>
    <row r="7" spans="1:38" x14ac:dyDescent="0.25">
      <c r="A7" s="1">
        <v>45910</v>
      </c>
      <c r="B7" s="1">
        <v>45910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72</v>
      </c>
      <c r="J7" t="s">
        <v>73</v>
      </c>
      <c r="M7" t="s">
        <v>46</v>
      </c>
      <c r="O7" t="s">
        <v>62</v>
      </c>
      <c r="P7" t="s">
        <v>63</v>
      </c>
      <c r="Q7" t="s">
        <v>49</v>
      </c>
      <c r="R7" t="s">
        <v>58</v>
      </c>
      <c r="S7" s="1">
        <v>45931</v>
      </c>
      <c r="U7" t="s">
        <v>51</v>
      </c>
      <c r="X7" t="s">
        <v>52</v>
      </c>
      <c r="Y7" s="2">
        <v>0</v>
      </c>
      <c r="Z7" s="2">
        <v>175</v>
      </c>
      <c r="AA7">
        <v>1</v>
      </c>
      <c r="AB7" s="3">
        <v>1</v>
      </c>
      <c r="AC7" s="2">
        <v>175</v>
      </c>
      <c r="AD7" s="3">
        <v>0</v>
      </c>
      <c r="AE7" s="2">
        <v>0</v>
      </c>
      <c r="AF7" s="2">
        <v>175</v>
      </c>
      <c r="AK7">
        <v>5776485</v>
      </c>
    </row>
    <row r="8" spans="1:38" x14ac:dyDescent="0.25">
      <c r="A8" s="1">
        <v>45910</v>
      </c>
      <c r="B8" s="1">
        <v>45910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74</v>
      </c>
      <c r="J8" t="s">
        <v>75</v>
      </c>
      <c r="M8" t="s">
        <v>46</v>
      </c>
      <c r="O8" t="s">
        <v>76</v>
      </c>
      <c r="P8" t="s">
        <v>77</v>
      </c>
      <c r="Q8" t="s">
        <v>49</v>
      </c>
      <c r="R8" t="s">
        <v>58</v>
      </c>
      <c r="S8" s="1">
        <v>45901</v>
      </c>
      <c r="U8" t="s">
        <v>51</v>
      </c>
      <c r="X8" t="s">
        <v>52</v>
      </c>
      <c r="Y8" s="2">
        <v>0</v>
      </c>
      <c r="Z8" s="2">
        <v>175</v>
      </c>
      <c r="AA8">
        <v>1</v>
      </c>
      <c r="AB8" s="3">
        <v>1</v>
      </c>
      <c r="AC8" s="2">
        <v>175</v>
      </c>
      <c r="AD8" s="3">
        <v>0</v>
      </c>
      <c r="AE8" s="2">
        <v>0</v>
      </c>
      <c r="AF8" s="2">
        <v>175</v>
      </c>
      <c r="AK8">
        <v>5776486</v>
      </c>
    </row>
    <row r="9" spans="1:38" x14ac:dyDescent="0.25">
      <c r="A9" s="1">
        <v>45910</v>
      </c>
      <c r="B9" s="1">
        <v>45910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78</v>
      </c>
      <c r="J9" t="s">
        <v>79</v>
      </c>
      <c r="M9" t="s">
        <v>46</v>
      </c>
      <c r="O9" t="s">
        <v>80</v>
      </c>
      <c r="P9" t="s">
        <v>81</v>
      </c>
      <c r="Q9" t="s">
        <v>49</v>
      </c>
      <c r="R9" t="s">
        <v>58</v>
      </c>
      <c r="S9" s="1">
        <v>45901</v>
      </c>
      <c r="U9" t="s">
        <v>51</v>
      </c>
      <c r="X9" t="s">
        <v>52</v>
      </c>
      <c r="Y9" s="2">
        <v>0</v>
      </c>
      <c r="Z9" s="2">
        <v>175</v>
      </c>
      <c r="AA9">
        <v>1</v>
      </c>
      <c r="AB9" s="3">
        <v>1</v>
      </c>
      <c r="AC9" s="2">
        <v>175</v>
      </c>
      <c r="AD9" s="3">
        <v>0</v>
      </c>
      <c r="AE9" s="2">
        <v>0</v>
      </c>
      <c r="AF9" s="2">
        <v>175</v>
      </c>
      <c r="AK9">
        <v>5776493</v>
      </c>
    </row>
    <row r="10" spans="1:38" x14ac:dyDescent="0.25">
      <c r="A10" s="1">
        <v>45910</v>
      </c>
      <c r="B10" s="1">
        <v>45910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82</v>
      </c>
      <c r="J10" t="s">
        <v>83</v>
      </c>
      <c r="M10" t="s">
        <v>84</v>
      </c>
      <c r="O10" t="s">
        <v>85</v>
      </c>
      <c r="P10" t="s">
        <v>86</v>
      </c>
      <c r="Q10" t="s">
        <v>49</v>
      </c>
      <c r="R10" t="s">
        <v>58</v>
      </c>
      <c r="S10" s="1">
        <v>45931</v>
      </c>
      <c r="U10" t="s">
        <v>51</v>
      </c>
      <c r="X10" t="s">
        <v>52</v>
      </c>
      <c r="Y10" s="2">
        <v>0</v>
      </c>
      <c r="Z10" s="2">
        <v>175</v>
      </c>
      <c r="AA10">
        <v>1</v>
      </c>
      <c r="AB10" s="3">
        <v>1</v>
      </c>
      <c r="AC10" s="2">
        <v>175</v>
      </c>
      <c r="AD10" s="3">
        <v>0</v>
      </c>
      <c r="AE10" s="2">
        <v>0</v>
      </c>
      <c r="AF10" s="2">
        <v>175</v>
      </c>
      <c r="AK10">
        <v>5776499</v>
      </c>
    </row>
    <row r="11" spans="1:38" x14ac:dyDescent="0.25">
      <c r="A11" s="1">
        <v>45910</v>
      </c>
      <c r="B11" s="1">
        <v>45910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87</v>
      </c>
      <c r="J11" t="s">
        <v>88</v>
      </c>
      <c r="M11" t="s">
        <v>89</v>
      </c>
      <c r="O11" t="s">
        <v>90</v>
      </c>
      <c r="P11" t="s">
        <v>91</v>
      </c>
      <c r="Q11" t="s">
        <v>49</v>
      </c>
      <c r="R11" t="s">
        <v>50</v>
      </c>
      <c r="S11" s="1">
        <v>45931</v>
      </c>
      <c r="U11" t="s">
        <v>51</v>
      </c>
      <c r="X11" t="s">
        <v>52</v>
      </c>
      <c r="Y11" s="2">
        <v>0</v>
      </c>
      <c r="Z11" s="2">
        <v>15</v>
      </c>
      <c r="AA11">
        <v>1</v>
      </c>
      <c r="AB11" s="3">
        <v>1</v>
      </c>
      <c r="AC11" s="2">
        <v>15</v>
      </c>
      <c r="AD11" s="3">
        <v>0</v>
      </c>
      <c r="AE11" s="2">
        <v>0</v>
      </c>
      <c r="AF11" s="2">
        <v>15</v>
      </c>
      <c r="AK11">
        <v>5776373</v>
      </c>
    </row>
    <row r="12" spans="1:38" x14ac:dyDescent="0.25">
      <c r="A12" s="1">
        <v>45910</v>
      </c>
      <c r="B12" s="1">
        <v>45910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92</v>
      </c>
      <c r="J12" t="s">
        <v>93</v>
      </c>
      <c r="M12" t="s">
        <v>46</v>
      </c>
      <c r="O12" t="s">
        <v>94</v>
      </c>
      <c r="P12" t="s">
        <v>95</v>
      </c>
      <c r="Q12" t="s">
        <v>49</v>
      </c>
      <c r="R12" t="s">
        <v>50</v>
      </c>
      <c r="S12" s="1">
        <v>45901</v>
      </c>
      <c r="U12" t="s">
        <v>51</v>
      </c>
      <c r="X12" t="s">
        <v>52</v>
      </c>
      <c r="Y12" s="2">
        <v>0</v>
      </c>
      <c r="Z12" s="2">
        <v>15</v>
      </c>
      <c r="AA12">
        <v>1</v>
      </c>
      <c r="AB12" s="3">
        <v>1</v>
      </c>
      <c r="AC12" s="2">
        <v>15</v>
      </c>
      <c r="AD12" s="3">
        <v>0</v>
      </c>
      <c r="AE12" s="2">
        <v>0</v>
      </c>
      <c r="AF12" s="2">
        <v>15</v>
      </c>
      <c r="AK12">
        <v>5776374</v>
      </c>
    </row>
    <row r="13" spans="1:38" x14ac:dyDescent="0.25">
      <c r="A13" s="1">
        <v>45910</v>
      </c>
      <c r="B13" s="1">
        <v>45910</v>
      </c>
      <c r="C13" t="s">
        <v>38</v>
      </c>
      <c r="D13" t="s">
        <v>39</v>
      </c>
      <c r="E13" t="s">
        <v>40</v>
      </c>
      <c r="F13" t="s">
        <v>41</v>
      </c>
      <c r="G13" t="s">
        <v>42</v>
      </c>
      <c r="H13" t="s">
        <v>43</v>
      </c>
      <c r="I13" t="s">
        <v>96</v>
      </c>
      <c r="J13" t="s">
        <v>97</v>
      </c>
      <c r="M13" t="s">
        <v>46</v>
      </c>
      <c r="O13" t="s">
        <v>98</v>
      </c>
      <c r="P13" t="s">
        <v>99</v>
      </c>
      <c r="Q13" t="s">
        <v>49</v>
      </c>
      <c r="R13" t="s">
        <v>58</v>
      </c>
      <c r="S13" s="1">
        <v>45901</v>
      </c>
      <c r="U13" t="s">
        <v>51</v>
      </c>
      <c r="X13" t="s">
        <v>52</v>
      </c>
      <c r="Y13" s="2">
        <v>0</v>
      </c>
      <c r="Z13" s="2">
        <v>175</v>
      </c>
      <c r="AA13">
        <v>1</v>
      </c>
      <c r="AB13" s="3">
        <v>1</v>
      </c>
      <c r="AC13" s="2">
        <v>175</v>
      </c>
      <c r="AD13" s="3">
        <v>0</v>
      </c>
      <c r="AE13" s="2">
        <v>0</v>
      </c>
      <c r="AF13" s="2">
        <v>175</v>
      </c>
      <c r="AK13">
        <v>5776512</v>
      </c>
    </row>
    <row r="14" spans="1:38" x14ac:dyDescent="0.25">
      <c r="A14" s="1">
        <v>45910</v>
      </c>
      <c r="B14" s="1">
        <v>45910</v>
      </c>
      <c r="C14" t="s">
        <v>38</v>
      </c>
      <c r="D14" t="s">
        <v>39</v>
      </c>
      <c r="E14" t="s">
        <v>40</v>
      </c>
      <c r="F14" t="s">
        <v>41</v>
      </c>
      <c r="G14" t="s">
        <v>42</v>
      </c>
      <c r="H14" t="s">
        <v>43</v>
      </c>
      <c r="I14" t="s">
        <v>100</v>
      </c>
      <c r="J14" t="s">
        <v>101</v>
      </c>
      <c r="M14" t="s">
        <v>102</v>
      </c>
      <c r="O14" t="s">
        <v>103</v>
      </c>
      <c r="P14" t="s">
        <v>104</v>
      </c>
      <c r="Q14" t="s">
        <v>49</v>
      </c>
      <c r="R14" t="s">
        <v>58</v>
      </c>
      <c r="S14" s="1">
        <v>45931</v>
      </c>
      <c r="U14" t="s">
        <v>51</v>
      </c>
      <c r="X14" t="s">
        <v>52</v>
      </c>
      <c r="Y14" s="2">
        <v>0</v>
      </c>
      <c r="Z14" s="2">
        <v>175</v>
      </c>
      <c r="AA14">
        <v>1</v>
      </c>
      <c r="AB14" s="3">
        <v>1</v>
      </c>
      <c r="AC14" s="2">
        <v>175</v>
      </c>
      <c r="AD14" s="3">
        <v>0</v>
      </c>
      <c r="AE14" s="2">
        <v>0</v>
      </c>
      <c r="AF14" s="2">
        <v>175</v>
      </c>
      <c r="AK14">
        <v>5776514</v>
      </c>
    </row>
    <row r="15" spans="1:38" x14ac:dyDescent="0.25">
      <c r="A15" s="1">
        <v>45910</v>
      </c>
      <c r="B15" s="1">
        <v>45910</v>
      </c>
      <c r="C15" t="s">
        <v>38</v>
      </c>
      <c r="D15" t="s">
        <v>39</v>
      </c>
      <c r="E15" t="s">
        <v>40</v>
      </c>
      <c r="F15" t="s">
        <v>41</v>
      </c>
      <c r="G15" t="s">
        <v>42</v>
      </c>
      <c r="H15" t="s">
        <v>43</v>
      </c>
      <c r="I15" t="s">
        <v>105</v>
      </c>
      <c r="J15" t="s">
        <v>106</v>
      </c>
      <c r="M15" t="s">
        <v>46</v>
      </c>
      <c r="O15" t="s">
        <v>107</v>
      </c>
      <c r="P15" t="s">
        <v>108</v>
      </c>
      <c r="Q15" t="s">
        <v>49</v>
      </c>
      <c r="R15" t="s">
        <v>58</v>
      </c>
      <c r="S15" s="1">
        <v>45931</v>
      </c>
      <c r="U15" t="s">
        <v>51</v>
      </c>
      <c r="X15" t="s">
        <v>52</v>
      </c>
      <c r="Y15" s="2">
        <v>0</v>
      </c>
      <c r="Z15" s="2">
        <v>175</v>
      </c>
      <c r="AA15">
        <v>1</v>
      </c>
      <c r="AB15" s="3">
        <v>1</v>
      </c>
      <c r="AC15" s="2">
        <v>175</v>
      </c>
      <c r="AD15" s="3">
        <v>0</v>
      </c>
      <c r="AE15" s="2">
        <v>0</v>
      </c>
      <c r="AF15" s="2">
        <v>175</v>
      </c>
      <c r="AK15">
        <v>5776536</v>
      </c>
    </row>
    <row r="16" spans="1:38" x14ac:dyDescent="0.25">
      <c r="A16" s="1">
        <v>45910</v>
      </c>
      <c r="B16" s="1">
        <v>45910</v>
      </c>
      <c r="C16" t="s">
        <v>38</v>
      </c>
      <c r="D16" t="s">
        <v>39</v>
      </c>
      <c r="E16" t="s">
        <v>40</v>
      </c>
      <c r="F16" t="s">
        <v>41</v>
      </c>
      <c r="G16" t="s">
        <v>42</v>
      </c>
      <c r="H16" t="s">
        <v>43</v>
      </c>
      <c r="I16" t="s">
        <v>109</v>
      </c>
      <c r="J16" t="s">
        <v>110</v>
      </c>
      <c r="M16" t="s">
        <v>46</v>
      </c>
      <c r="O16" t="s">
        <v>66</v>
      </c>
      <c r="P16" t="s">
        <v>67</v>
      </c>
      <c r="Q16" t="s">
        <v>49</v>
      </c>
      <c r="R16" t="s">
        <v>111</v>
      </c>
      <c r="S16" s="1">
        <v>45931</v>
      </c>
      <c r="U16" t="s">
        <v>51</v>
      </c>
      <c r="X16" t="s">
        <v>52</v>
      </c>
      <c r="Y16" s="2">
        <v>0</v>
      </c>
      <c r="Z16" s="2">
        <v>12.5</v>
      </c>
      <c r="AA16">
        <v>1</v>
      </c>
      <c r="AB16" s="3">
        <v>1</v>
      </c>
      <c r="AC16" s="2">
        <v>12.5</v>
      </c>
      <c r="AD16" s="3">
        <v>0</v>
      </c>
      <c r="AE16" s="2">
        <v>0</v>
      </c>
      <c r="AF16" s="2">
        <v>12.5</v>
      </c>
      <c r="AK16">
        <v>5776277</v>
      </c>
      <c r="AL16" t="s">
        <v>112</v>
      </c>
    </row>
    <row r="17" spans="1:38" x14ac:dyDescent="0.25">
      <c r="A17" s="1">
        <v>45910</v>
      </c>
      <c r="B17" s="1">
        <v>45910</v>
      </c>
      <c r="C17" t="s">
        <v>38</v>
      </c>
      <c r="D17" t="s">
        <v>39</v>
      </c>
      <c r="E17" t="s">
        <v>40</v>
      </c>
      <c r="F17" t="s">
        <v>41</v>
      </c>
      <c r="G17" t="s">
        <v>42</v>
      </c>
      <c r="H17" t="s">
        <v>43</v>
      </c>
      <c r="I17" t="s">
        <v>113</v>
      </c>
      <c r="J17" t="s">
        <v>114</v>
      </c>
      <c r="M17" t="s">
        <v>46</v>
      </c>
      <c r="O17" t="s">
        <v>115</v>
      </c>
      <c r="P17" t="s">
        <v>116</v>
      </c>
      <c r="Q17" t="s">
        <v>49</v>
      </c>
      <c r="R17" t="s">
        <v>111</v>
      </c>
      <c r="S17" s="1">
        <v>45962</v>
      </c>
      <c r="U17" t="s">
        <v>51</v>
      </c>
      <c r="X17" t="s">
        <v>52</v>
      </c>
      <c r="Y17" s="2">
        <v>0</v>
      </c>
      <c r="Z17" s="2">
        <v>8.33</v>
      </c>
      <c r="AA17">
        <v>1</v>
      </c>
      <c r="AB17" s="3">
        <v>1</v>
      </c>
      <c r="AC17" s="2">
        <v>8.33</v>
      </c>
      <c r="AD17" s="3">
        <v>0</v>
      </c>
      <c r="AE17" s="2">
        <v>0</v>
      </c>
      <c r="AF17" s="2">
        <v>8.33</v>
      </c>
      <c r="AK17">
        <v>5776283</v>
      </c>
      <c r="AL17" t="s">
        <v>117</v>
      </c>
    </row>
    <row r="18" spans="1:38" x14ac:dyDescent="0.25">
      <c r="A18" s="1">
        <v>45910</v>
      </c>
      <c r="B18" s="1">
        <v>45910</v>
      </c>
      <c r="C18" t="s">
        <v>38</v>
      </c>
      <c r="D18" t="s">
        <v>39</v>
      </c>
      <c r="E18" t="s">
        <v>40</v>
      </c>
      <c r="F18" t="s">
        <v>41</v>
      </c>
      <c r="G18" t="s">
        <v>42</v>
      </c>
      <c r="H18" t="s">
        <v>43</v>
      </c>
      <c r="I18" t="s">
        <v>118</v>
      </c>
      <c r="J18" t="s">
        <v>119</v>
      </c>
      <c r="M18" t="s">
        <v>120</v>
      </c>
      <c r="O18" t="s">
        <v>121</v>
      </c>
      <c r="P18" t="s">
        <v>122</v>
      </c>
      <c r="Q18" t="s">
        <v>49</v>
      </c>
      <c r="R18" t="s">
        <v>111</v>
      </c>
      <c r="S18" s="1">
        <v>45962</v>
      </c>
      <c r="U18" t="s">
        <v>51</v>
      </c>
      <c r="X18" t="s">
        <v>52</v>
      </c>
      <c r="Y18" s="2">
        <v>0</v>
      </c>
      <c r="Z18" s="2">
        <v>8.33</v>
      </c>
      <c r="AA18">
        <v>1</v>
      </c>
      <c r="AB18" s="3">
        <v>1</v>
      </c>
      <c r="AC18" s="2">
        <v>8.33</v>
      </c>
      <c r="AD18" s="3">
        <v>0</v>
      </c>
      <c r="AE18" s="2">
        <v>0</v>
      </c>
      <c r="AF18" s="2">
        <v>8.33</v>
      </c>
      <c r="AK18">
        <v>5776285</v>
      </c>
      <c r="AL18" t="s">
        <v>117</v>
      </c>
    </row>
    <row r="19" spans="1:38" x14ac:dyDescent="0.25">
      <c r="A19" s="1">
        <v>45910</v>
      </c>
      <c r="B19" s="1">
        <v>45910</v>
      </c>
      <c r="C19" t="s">
        <v>38</v>
      </c>
      <c r="D19" t="s">
        <v>39</v>
      </c>
      <c r="E19" t="s">
        <v>40</v>
      </c>
      <c r="F19" t="s">
        <v>41</v>
      </c>
      <c r="G19" t="s">
        <v>42</v>
      </c>
      <c r="H19" t="s">
        <v>43</v>
      </c>
      <c r="I19" t="s">
        <v>123</v>
      </c>
      <c r="J19" t="s">
        <v>124</v>
      </c>
      <c r="M19" t="s">
        <v>46</v>
      </c>
      <c r="O19" t="s">
        <v>98</v>
      </c>
      <c r="P19" t="s">
        <v>99</v>
      </c>
      <c r="Q19" t="s">
        <v>49</v>
      </c>
      <c r="R19" t="s">
        <v>111</v>
      </c>
      <c r="S19" s="1">
        <v>45870</v>
      </c>
      <c r="U19" t="s">
        <v>51</v>
      </c>
      <c r="X19" t="s">
        <v>52</v>
      </c>
      <c r="Y19" s="2">
        <v>0</v>
      </c>
      <c r="Z19" s="2">
        <v>20.83</v>
      </c>
      <c r="AA19">
        <v>1</v>
      </c>
      <c r="AB19" s="3">
        <v>1</v>
      </c>
      <c r="AC19" s="2">
        <v>20.83</v>
      </c>
      <c r="AD19" s="3">
        <v>0</v>
      </c>
      <c r="AE19" s="2">
        <v>0</v>
      </c>
      <c r="AF19" s="2">
        <v>20.83</v>
      </c>
      <c r="AK19">
        <v>5776289</v>
      </c>
      <c r="AL19" t="s">
        <v>125</v>
      </c>
    </row>
    <row r="20" spans="1:38" x14ac:dyDescent="0.25">
      <c r="A20" s="1">
        <v>45910</v>
      </c>
      <c r="B20" s="1">
        <v>45910</v>
      </c>
      <c r="C20" t="s">
        <v>38</v>
      </c>
      <c r="D20" t="s">
        <v>39</v>
      </c>
      <c r="E20" t="s">
        <v>40</v>
      </c>
      <c r="F20" t="s">
        <v>41</v>
      </c>
      <c r="G20" t="s">
        <v>42</v>
      </c>
      <c r="H20" t="s">
        <v>43</v>
      </c>
      <c r="I20" t="s">
        <v>126</v>
      </c>
      <c r="J20" t="s">
        <v>127</v>
      </c>
      <c r="M20" t="s">
        <v>128</v>
      </c>
      <c r="O20" t="s">
        <v>98</v>
      </c>
      <c r="P20" t="s">
        <v>99</v>
      </c>
      <c r="Q20" t="s">
        <v>49</v>
      </c>
      <c r="R20" t="s">
        <v>129</v>
      </c>
      <c r="S20" s="1">
        <v>45901</v>
      </c>
      <c r="U20" t="s">
        <v>51</v>
      </c>
      <c r="X20" t="s">
        <v>52</v>
      </c>
      <c r="Y20" s="2">
        <v>0</v>
      </c>
      <c r="Z20" s="2">
        <v>13.33</v>
      </c>
      <c r="AA20">
        <v>1</v>
      </c>
      <c r="AB20" s="3">
        <v>1</v>
      </c>
      <c r="AC20" s="2">
        <v>13.33</v>
      </c>
      <c r="AD20" s="3">
        <v>0</v>
      </c>
      <c r="AE20" s="2">
        <v>0</v>
      </c>
      <c r="AF20" s="2">
        <v>13.33</v>
      </c>
      <c r="AK20">
        <v>5776290</v>
      </c>
      <c r="AL20" t="s">
        <v>130</v>
      </c>
    </row>
    <row r="21" spans="1:38" x14ac:dyDescent="0.25">
      <c r="A21" s="1">
        <v>45910</v>
      </c>
      <c r="B21" s="1">
        <v>45910</v>
      </c>
      <c r="C21" t="s">
        <v>38</v>
      </c>
      <c r="D21" t="s">
        <v>39</v>
      </c>
      <c r="E21" t="s">
        <v>40</v>
      </c>
      <c r="F21" t="s">
        <v>41</v>
      </c>
      <c r="G21" t="s">
        <v>42</v>
      </c>
      <c r="H21" t="s">
        <v>43</v>
      </c>
      <c r="I21" t="s">
        <v>131</v>
      </c>
      <c r="J21" t="s">
        <v>132</v>
      </c>
      <c r="M21" t="s">
        <v>84</v>
      </c>
      <c r="O21" t="s">
        <v>85</v>
      </c>
      <c r="P21" t="s">
        <v>86</v>
      </c>
      <c r="Q21" t="s">
        <v>49</v>
      </c>
      <c r="R21" t="s">
        <v>111</v>
      </c>
      <c r="S21" s="1">
        <v>45901</v>
      </c>
      <c r="U21" t="s">
        <v>51</v>
      </c>
      <c r="X21" t="s">
        <v>52</v>
      </c>
      <c r="Y21" s="2">
        <v>0</v>
      </c>
      <c r="Z21" s="2">
        <v>16.670000000000002</v>
      </c>
      <c r="AA21">
        <v>1</v>
      </c>
      <c r="AB21" s="3">
        <v>1</v>
      </c>
      <c r="AC21" s="2">
        <v>16.670000000000002</v>
      </c>
      <c r="AD21" s="3">
        <v>0</v>
      </c>
      <c r="AE21" s="2">
        <v>0</v>
      </c>
      <c r="AF21" s="2">
        <v>16.670000000000002</v>
      </c>
      <c r="AK21">
        <v>5776292</v>
      </c>
      <c r="AL21" t="s">
        <v>130</v>
      </c>
    </row>
    <row r="22" spans="1:38" x14ac:dyDescent="0.25">
      <c r="A22" s="1">
        <v>45910</v>
      </c>
      <c r="B22" s="1">
        <v>45910</v>
      </c>
      <c r="C22" t="s">
        <v>38</v>
      </c>
      <c r="D22" t="s">
        <v>39</v>
      </c>
      <c r="E22" t="s">
        <v>40</v>
      </c>
      <c r="F22" t="s">
        <v>41</v>
      </c>
      <c r="G22" t="s">
        <v>42</v>
      </c>
      <c r="H22" t="s">
        <v>43</v>
      </c>
      <c r="I22" t="s">
        <v>133</v>
      </c>
      <c r="J22" t="s">
        <v>134</v>
      </c>
      <c r="M22" t="s">
        <v>46</v>
      </c>
      <c r="O22" t="s">
        <v>47</v>
      </c>
      <c r="P22" t="s">
        <v>48</v>
      </c>
      <c r="Q22" t="s">
        <v>49</v>
      </c>
      <c r="R22" t="s">
        <v>111</v>
      </c>
      <c r="S22" s="1">
        <v>45901</v>
      </c>
      <c r="U22" t="s">
        <v>51</v>
      </c>
      <c r="X22" t="s">
        <v>52</v>
      </c>
      <c r="Y22" s="2">
        <v>0</v>
      </c>
      <c r="Z22" s="2">
        <v>16.670000000000002</v>
      </c>
      <c r="AA22">
        <v>1</v>
      </c>
      <c r="AB22" s="3">
        <v>1</v>
      </c>
      <c r="AC22" s="2">
        <v>16.670000000000002</v>
      </c>
      <c r="AD22" s="3">
        <v>0</v>
      </c>
      <c r="AE22" s="2">
        <v>0</v>
      </c>
      <c r="AF22" s="2">
        <v>16.670000000000002</v>
      </c>
      <c r="AK22">
        <v>5776297</v>
      </c>
      <c r="AL22" t="s">
        <v>130</v>
      </c>
    </row>
    <row r="23" spans="1:38" x14ac:dyDescent="0.25">
      <c r="A23" s="1">
        <v>45910</v>
      </c>
      <c r="B23" s="1">
        <v>45910</v>
      </c>
      <c r="C23" t="s">
        <v>38</v>
      </c>
      <c r="D23" t="s">
        <v>39</v>
      </c>
      <c r="E23" t="s">
        <v>40</v>
      </c>
      <c r="F23" t="s">
        <v>41</v>
      </c>
      <c r="G23" t="s">
        <v>42</v>
      </c>
      <c r="H23" t="s">
        <v>43</v>
      </c>
      <c r="I23" t="s">
        <v>135</v>
      </c>
      <c r="J23" t="s">
        <v>136</v>
      </c>
      <c r="M23" t="s">
        <v>120</v>
      </c>
      <c r="O23" t="s">
        <v>121</v>
      </c>
      <c r="P23" t="s">
        <v>122</v>
      </c>
      <c r="Q23" t="s">
        <v>49</v>
      </c>
      <c r="R23" t="s">
        <v>111</v>
      </c>
      <c r="S23" s="1">
        <v>45901</v>
      </c>
      <c r="U23" t="s">
        <v>51</v>
      </c>
      <c r="X23" t="s">
        <v>52</v>
      </c>
      <c r="Y23" s="2">
        <v>0</v>
      </c>
      <c r="Z23" s="2">
        <v>16.670000000000002</v>
      </c>
      <c r="AA23">
        <v>1</v>
      </c>
      <c r="AB23" s="3">
        <v>1</v>
      </c>
      <c r="AC23" s="2">
        <v>16.670000000000002</v>
      </c>
      <c r="AD23" s="3">
        <v>0</v>
      </c>
      <c r="AE23" s="2">
        <v>0</v>
      </c>
      <c r="AF23" s="2">
        <v>16.670000000000002</v>
      </c>
      <c r="AK23">
        <v>5776298</v>
      </c>
      <c r="AL23" t="s">
        <v>130</v>
      </c>
    </row>
    <row r="24" spans="1:38" x14ac:dyDescent="0.25">
      <c r="A24" s="1">
        <v>45910</v>
      </c>
      <c r="B24" s="1">
        <v>45910</v>
      </c>
      <c r="C24" t="s">
        <v>38</v>
      </c>
      <c r="D24" t="s">
        <v>39</v>
      </c>
      <c r="E24" t="s">
        <v>40</v>
      </c>
      <c r="F24" t="s">
        <v>41</v>
      </c>
      <c r="G24" t="s">
        <v>42</v>
      </c>
      <c r="H24" t="s">
        <v>43</v>
      </c>
      <c r="I24" t="s">
        <v>137</v>
      </c>
      <c r="J24" t="s">
        <v>138</v>
      </c>
      <c r="M24" t="s">
        <v>46</v>
      </c>
      <c r="O24" t="s">
        <v>76</v>
      </c>
      <c r="P24" t="s">
        <v>77</v>
      </c>
      <c r="Q24" t="s">
        <v>49</v>
      </c>
      <c r="R24" t="s">
        <v>111</v>
      </c>
      <c r="S24" s="1">
        <v>45901</v>
      </c>
      <c r="U24" t="s">
        <v>51</v>
      </c>
      <c r="X24" t="s">
        <v>52</v>
      </c>
      <c r="Y24" s="2">
        <v>0</v>
      </c>
      <c r="Z24" s="2">
        <v>16.670000000000002</v>
      </c>
      <c r="AA24">
        <v>1</v>
      </c>
      <c r="AB24" s="3">
        <v>1</v>
      </c>
      <c r="AC24" s="2">
        <v>16.670000000000002</v>
      </c>
      <c r="AD24" s="3">
        <v>0</v>
      </c>
      <c r="AE24" s="2">
        <v>0</v>
      </c>
      <c r="AF24" s="2">
        <v>16.670000000000002</v>
      </c>
      <c r="AK24">
        <v>5776300</v>
      </c>
      <c r="AL24" t="s">
        <v>130</v>
      </c>
    </row>
    <row r="25" spans="1:38" x14ac:dyDescent="0.25">
      <c r="A25" s="1">
        <v>45910</v>
      </c>
      <c r="B25" s="1">
        <v>45910</v>
      </c>
      <c r="C25" t="s">
        <v>38</v>
      </c>
      <c r="D25" t="s">
        <v>39</v>
      </c>
      <c r="E25" t="s">
        <v>40</v>
      </c>
      <c r="F25" t="s">
        <v>41</v>
      </c>
      <c r="G25" t="s">
        <v>42</v>
      </c>
      <c r="H25" t="s">
        <v>43</v>
      </c>
      <c r="I25" t="s">
        <v>139</v>
      </c>
      <c r="J25" t="s">
        <v>140</v>
      </c>
      <c r="M25" t="s">
        <v>141</v>
      </c>
      <c r="O25" t="s">
        <v>142</v>
      </c>
      <c r="P25" t="s">
        <v>143</v>
      </c>
      <c r="Q25" t="s">
        <v>49</v>
      </c>
      <c r="R25" t="s">
        <v>111</v>
      </c>
      <c r="S25" s="1">
        <v>45931</v>
      </c>
      <c r="U25" t="s">
        <v>51</v>
      </c>
      <c r="X25" t="s">
        <v>52</v>
      </c>
      <c r="Y25" s="2">
        <v>0</v>
      </c>
      <c r="Z25" s="2">
        <v>12.5</v>
      </c>
      <c r="AA25">
        <v>1</v>
      </c>
      <c r="AB25" s="3">
        <v>1</v>
      </c>
      <c r="AC25" s="2">
        <v>12.5</v>
      </c>
      <c r="AD25" s="3">
        <v>0</v>
      </c>
      <c r="AE25" s="2">
        <v>0</v>
      </c>
      <c r="AF25" s="2">
        <v>12.5</v>
      </c>
      <c r="AK25">
        <v>5776317</v>
      </c>
      <c r="AL25" t="s">
        <v>112</v>
      </c>
    </row>
    <row r="26" spans="1:38" x14ac:dyDescent="0.25">
      <c r="A26" s="1">
        <v>45910</v>
      </c>
      <c r="B26" s="1">
        <v>45910</v>
      </c>
      <c r="C26" t="s">
        <v>38</v>
      </c>
      <c r="D26" t="s">
        <v>39</v>
      </c>
      <c r="E26" t="s">
        <v>40</v>
      </c>
      <c r="F26" t="s">
        <v>41</v>
      </c>
      <c r="G26" t="s">
        <v>42</v>
      </c>
      <c r="H26" t="s">
        <v>43</v>
      </c>
      <c r="I26" t="s">
        <v>144</v>
      </c>
      <c r="J26" t="s">
        <v>145</v>
      </c>
      <c r="M26" t="s">
        <v>84</v>
      </c>
      <c r="O26" t="s">
        <v>85</v>
      </c>
      <c r="P26" t="s">
        <v>86</v>
      </c>
      <c r="Q26" t="s">
        <v>49</v>
      </c>
      <c r="R26" t="s">
        <v>111</v>
      </c>
      <c r="S26" s="1">
        <v>45901</v>
      </c>
      <c r="U26" t="s">
        <v>51</v>
      </c>
      <c r="X26" t="s">
        <v>52</v>
      </c>
      <c r="Y26" s="2">
        <v>0</v>
      </c>
      <c r="Z26" s="2">
        <v>16.670000000000002</v>
      </c>
      <c r="AA26">
        <v>1</v>
      </c>
      <c r="AB26" s="3">
        <v>1</v>
      </c>
      <c r="AC26" s="2">
        <v>16.670000000000002</v>
      </c>
      <c r="AD26" s="3">
        <v>0</v>
      </c>
      <c r="AE26" s="2">
        <v>0</v>
      </c>
      <c r="AF26" s="2">
        <v>16.670000000000002</v>
      </c>
      <c r="AK26">
        <v>5776318</v>
      </c>
      <c r="AL26" t="s">
        <v>130</v>
      </c>
    </row>
    <row r="27" spans="1:38" x14ac:dyDescent="0.25">
      <c r="A27" s="1">
        <v>45910</v>
      </c>
      <c r="B27" s="1">
        <v>45910</v>
      </c>
      <c r="C27" t="s">
        <v>38</v>
      </c>
      <c r="D27" t="s">
        <v>39</v>
      </c>
      <c r="E27" t="s">
        <v>40</v>
      </c>
      <c r="F27" t="s">
        <v>41</v>
      </c>
      <c r="G27" t="s">
        <v>42</v>
      </c>
      <c r="H27" t="s">
        <v>43</v>
      </c>
      <c r="I27" t="s">
        <v>146</v>
      </c>
      <c r="J27" t="s">
        <v>147</v>
      </c>
      <c r="M27" t="s">
        <v>46</v>
      </c>
      <c r="O27" t="s">
        <v>47</v>
      </c>
      <c r="P27" t="s">
        <v>48</v>
      </c>
      <c r="Q27" t="s">
        <v>49</v>
      </c>
      <c r="R27" t="s">
        <v>129</v>
      </c>
      <c r="S27" s="1">
        <v>45901</v>
      </c>
      <c r="U27" t="s">
        <v>51</v>
      </c>
      <c r="X27" t="s">
        <v>52</v>
      </c>
      <c r="Y27" s="2">
        <v>0</v>
      </c>
      <c r="Z27" s="2">
        <v>13.33</v>
      </c>
      <c r="AA27">
        <v>1</v>
      </c>
      <c r="AB27" s="3">
        <v>1</v>
      </c>
      <c r="AC27" s="2">
        <v>13.33</v>
      </c>
      <c r="AD27" s="3">
        <v>0</v>
      </c>
      <c r="AE27" s="2">
        <v>0</v>
      </c>
      <c r="AF27" s="2">
        <v>13.33</v>
      </c>
      <c r="AK27">
        <v>5776328</v>
      </c>
      <c r="AL27" t="s">
        <v>130</v>
      </c>
    </row>
    <row r="28" spans="1:38" x14ac:dyDescent="0.25">
      <c r="A28" s="1">
        <v>45910</v>
      </c>
      <c r="B28" s="1">
        <v>45910</v>
      </c>
      <c r="C28" t="s">
        <v>38</v>
      </c>
      <c r="D28" t="s">
        <v>39</v>
      </c>
      <c r="E28" t="s">
        <v>40</v>
      </c>
      <c r="F28" t="s">
        <v>41</v>
      </c>
      <c r="G28" t="s">
        <v>42</v>
      </c>
      <c r="H28" t="s">
        <v>43</v>
      </c>
      <c r="I28" t="s">
        <v>148</v>
      </c>
      <c r="J28" t="s">
        <v>149</v>
      </c>
      <c r="M28" t="s">
        <v>84</v>
      </c>
      <c r="O28" t="s">
        <v>85</v>
      </c>
      <c r="P28" t="s">
        <v>86</v>
      </c>
      <c r="Q28" t="s">
        <v>49</v>
      </c>
      <c r="R28" t="s">
        <v>111</v>
      </c>
      <c r="S28" s="1">
        <v>45901</v>
      </c>
      <c r="U28" t="s">
        <v>51</v>
      </c>
      <c r="X28" t="s">
        <v>52</v>
      </c>
      <c r="Y28" s="2">
        <v>0</v>
      </c>
      <c r="Z28" s="2">
        <v>16.670000000000002</v>
      </c>
      <c r="AA28">
        <v>1</v>
      </c>
      <c r="AB28" s="3">
        <v>1</v>
      </c>
      <c r="AC28" s="2">
        <v>16.670000000000002</v>
      </c>
      <c r="AD28" s="3">
        <v>0</v>
      </c>
      <c r="AE28" s="2">
        <v>0</v>
      </c>
      <c r="AF28" s="2">
        <v>16.670000000000002</v>
      </c>
      <c r="AK28">
        <v>5776329</v>
      </c>
      <c r="AL28" t="s">
        <v>130</v>
      </c>
    </row>
    <row r="29" spans="1:38" x14ac:dyDescent="0.25">
      <c r="A29" s="1">
        <v>45910</v>
      </c>
      <c r="B29" s="1">
        <v>45910</v>
      </c>
      <c r="C29" t="s">
        <v>38</v>
      </c>
      <c r="D29" t="s">
        <v>39</v>
      </c>
      <c r="E29" t="s">
        <v>40</v>
      </c>
      <c r="F29" t="s">
        <v>41</v>
      </c>
      <c r="G29" t="s">
        <v>42</v>
      </c>
      <c r="H29" t="s">
        <v>43</v>
      </c>
      <c r="I29" t="s">
        <v>150</v>
      </c>
      <c r="J29" t="s">
        <v>151</v>
      </c>
      <c r="M29" t="s">
        <v>152</v>
      </c>
      <c r="O29" t="s">
        <v>142</v>
      </c>
      <c r="P29" t="s">
        <v>143</v>
      </c>
      <c r="Q29" t="s">
        <v>49</v>
      </c>
      <c r="R29" t="s">
        <v>111</v>
      </c>
      <c r="S29" s="1">
        <v>45901</v>
      </c>
      <c r="U29" t="s">
        <v>51</v>
      </c>
      <c r="X29" t="s">
        <v>52</v>
      </c>
      <c r="Y29" s="2">
        <v>0</v>
      </c>
      <c r="Z29" s="2">
        <v>16.670000000000002</v>
      </c>
      <c r="AA29">
        <v>1</v>
      </c>
      <c r="AB29" s="3">
        <v>1</v>
      </c>
      <c r="AC29" s="2">
        <v>16.670000000000002</v>
      </c>
      <c r="AD29" s="3">
        <v>0</v>
      </c>
      <c r="AE29" s="2">
        <v>0</v>
      </c>
      <c r="AF29" s="2">
        <v>16.670000000000002</v>
      </c>
      <c r="AK29">
        <v>5776335</v>
      </c>
      <c r="AL29" t="s">
        <v>130</v>
      </c>
    </row>
    <row r="30" spans="1:38" x14ac:dyDescent="0.25">
      <c r="A30" s="1">
        <v>45910</v>
      </c>
      <c r="B30" s="1">
        <v>45910</v>
      </c>
      <c r="C30" t="s">
        <v>38</v>
      </c>
      <c r="D30" t="s">
        <v>39</v>
      </c>
      <c r="E30" t="s">
        <v>40</v>
      </c>
      <c r="F30" t="s">
        <v>41</v>
      </c>
      <c r="G30" t="s">
        <v>42</v>
      </c>
      <c r="H30" t="s">
        <v>43</v>
      </c>
      <c r="I30" t="s">
        <v>153</v>
      </c>
      <c r="J30" t="s">
        <v>154</v>
      </c>
      <c r="M30" t="s">
        <v>120</v>
      </c>
      <c r="O30" t="s">
        <v>121</v>
      </c>
      <c r="P30" t="s">
        <v>122</v>
      </c>
      <c r="Q30" t="s">
        <v>49</v>
      </c>
      <c r="R30" t="s">
        <v>111</v>
      </c>
      <c r="S30" s="1">
        <v>45901</v>
      </c>
      <c r="U30" t="s">
        <v>51</v>
      </c>
      <c r="X30" t="s">
        <v>52</v>
      </c>
      <c r="Y30" s="2">
        <v>0</v>
      </c>
      <c r="Z30" s="2">
        <v>16.670000000000002</v>
      </c>
      <c r="AA30">
        <v>1</v>
      </c>
      <c r="AB30" s="3">
        <v>1</v>
      </c>
      <c r="AC30" s="2">
        <v>16.670000000000002</v>
      </c>
      <c r="AD30" s="3">
        <v>0</v>
      </c>
      <c r="AE30" s="2">
        <v>0</v>
      </c>
      <c r="AF30" s="2">
        <v>16.670000000000002</v>
      </c>
      <c r="AK30">
        <v>5776337</v>
      </c>
      <c r="AL30" t="s">
        <v>130</v>
      </c>
    </row>
    <row r="31" spans="1:38" x14ac:dyDescent="0.25">
      <c r="A31" s="1">
        <v>45910</v>
      </c>
      <c r="B31" s="1">
        <v>45910</v>
      </c>
      <c r="C31" t="s">
        <v>38</v>
      </c>
      <c r="D31" t="s">
        <v>39</v>
      </c>
      <c r="E31" t="s">
        <v>40</v>
      </c>
      <c r="F31" t="s">
        <v>41</v>
      </c>
      <c r="G31" t="s">
        <v>42</v>
      </c>
      <c r="H31" t="s">
        <v>43</v>
      </c>
      <c r="I31" t="s">
        <v>155</v>
      </c>
      <c r="J31" t="s">
        <v>156</v>
      </c>
      <c r="M31" t="s">
        <v>84</v>
      </c>
      <c r="O31" t="s">
        <v>157</v>
      </c>
      <c r="P31" t="s">
        <v>158</v>
      </c>
      <c r="Q31" t="s">
        <v>49</v>
      </c>
      <c r="R31" t="s">
        <v>111</v>
      </c>
      <c r="S31" s="1">
        <v>45931</v>
      </c>
      <c r="U31" t="s">
        <v>51</v>
      </c>
      <c r="X31" t="s">
        <v>52</v>
      </c>
      <c r="Y31" s="2">
        <v>0</v>
      </c>
      <c r="Z31" s="2">
        <v>12.5</v>
      </c>
      <c r="AA31">
        <v>1</v>
      </c>
      <c r="AB31" s="3">
        <v>1</v>
      </c>
      <c r="AC31" s="2">
        <v>12.5</v>
      </c>
      <c r="AD31" s="3">
        <v>0</v>
      </c>
      <c r="AE31" s="2">
        <v>0</v>
      </c>
      <c r="AF31" s="2">
        <v>12.5</v>
      </c>
      <c r="AK31">
        <v>5776338</v>
      </c>
      <c r="AL31" t="s">
        <v>112</v>
      </c>
    </row>
    <row r="32" spans="1:38" x14ac:dyDescent="0.25">
      <c r="A32" s="1">
        <v>45910</v>
      </c>
      <c r="B32" s="1">
        <v>45910</v>
      </c>
      <c r="C32" t="s">
        <v>38</v>
      </c>
      <c r="D32" t="s">
        <v>39</v>
      </c>
      <c r="E32" t="s">
        <v>40</v>
      </c>
      <c r="F32" t="s">
        <v>41</v>
      </c>
      <c r="G32" t="s">
        <v>42</v>
      </c>
      <c r="H32" t="s">
        <v>43</v>
      </c>
      <c r="I32" t="s">
        <v>159</v>
      </c>
      <c r="J32" t="s">
        <v>160</v>
      </c>
      <c r="M32" t="s">
        <v>128</v>
      </c>
      <c r="O32" t="s">
        <v>161</v>
      </c>
      <c r="P32" t="s">
        <v>162</v>
      </c>
      <c r="Q32" t="s">
        <v>49</v>
      </c>
      <c r="R32" t="s">
        <v>163</v>
      </c>
      <c r="S32" s="1">
        <v>45901</v>
      </c>
      <c r="U32" t="s">
        <v>51</v>
      </c>
      <c r="X32" t="s">
        <v>52</v>
      </c>
      <c r="Y32" s="2">
        <v>0</v>
      </c>
      <c r="Z32" s="2">
        <v>104.33</v>
      </c>
      <c r="AA32">
        <v>1</v>
      </c>
      <c r="AB32" s="3">
        <v>1</v>
      </c>
      <c r="AC32" s="2">
        <v>104.33</v>
      </c>
      <c r="AD32" s="3">
        <v>0</v>
      </c>
      <c r="AE32" s="2">
        <v>0</v>
      </c>
      <c r="AF32" s="2">
        <v>104.33</v>
      </c>
      <c r="AK32">
        <v>5776746</v>
      </c>
      <c r="AL32" t="s">
        <v>130</v>
      </c>
    </row>
    <row r="33" spans="1:37" x14ac:dyDescent="0.25">
      <c r="A33" s="1">
        <v>45910</v>
      </c>
      <c r="B33" s="1">
        <v>45910</v>
      </c>
      <c r="C33" t="s">
        <v>38</v>
      </c>
      <c r="D33" t="s">
        <v>39</v>
      </c>
      <c r="E33" t="s">
        <v>40</v>
      </c>
      <c r="F33" t="s">
        <v>41</v>
      </c>
      <c r="G33" t="s">
        <v>42</v>
      </c>
      <c r="H33" t="s">
        <v>43</v>
      </c>
      <c r="I33" t="s">
        <v>164</v>
      </c>
      <c r="J33" t="s">
        <v>160</v>
      </c>
      <c r="M33" t="s">
        <v>128</v>
      </c>
      <c r="O33" t="s">
        <v>161</v>
      </c>
      <c r="P33" t="s">
        <v>162</v>
      </c>
      <c r="Q33" t="s">
        <v>49</v>
      </c>
      <c r="R33" t="s">
        <v>165</v>
      </c>
      <c r="S33" s="1">
        <v>45901</v>
      </c>
      <c r="U33" t="s">
        <v>51</v>
      </c>
      <c r="X33" t="s">
        <v>52</v>
      </c>
      <c r="Y33" s="2">
        <v>0</v>
      </c>
      <c r="Z33" s="2">
        <v>113</v>
      </c>
      <c r="AA33">
        <v>1</v>
      </c>
      <c r="AB33" s="3">
        <v>1</v>
      </c>
      <c r="AC33" s="2">
        <v>113</v>
      </c>
      <c r="AD33" s="3">
        <v>0</v>
      </c>
      <c r="AE33" s="2">
        <v>0</v>
      </c>
      <c r="AF33" s="2">
        <v>113</v>
      </c>
      <c r="AK33">
        <v>5776747</v>
      </c>
    </row>
    <row r="34" spans="1:37" x14ac:dyDescent="0.25">
      <c r="A34" s="1">
        <v>45910</v>
      </c>
      <c r="B34" s="1">
        <v>45910</v>
      </c>
      <c r="C34" t="s">
        <v>38</v>
      </c>
      <c r="D34" t="s">
        <v>39</v>
      </c>
      <c r="E34" t="s">
        <v>40</v>
      </c>
      <c r="F34" t="s">
        <v>41</v>
      </c>
      <c r="G34" t="s">
        <v>42</v>
      </c>
      <c r="H34" t="s">
        <v>43</v>
      </c>
      <c r="I34" t="s">
        <v>166</v>
      </c>
      <c r="J34" t="s">
        <v>167</v>
      </c>
      <c r="M34" t="s">
        <v>46</v>
      </c>
      <c r="O34" t="s">
        <v>66</v>
      </c>
      <c r="P34" t="s">
        <v>67</v>
      </c>
      <c r="Q34" t="s">
        <v>49</v>
      </c>
      <c r="R34" t="s">
        <v>168</v>
      </c>
      <c r="S34" s="1">
        <v>45901</v>
      </c>
      <c r="U34" t="s">
        <v>51</v>
      </c>
      <c r="X34" t="s">
        <v>52</v>
      </c>
      <c r="Y34" s="2">
        <v>0</v>
      </c>
      <c r="Z34" s="2">
        <v>31.98</v>
      </c>
      <c r="AA34">
        <v>9</v>
      </c>
      <c r="AB34" s="3">
        <v>1</v>
      </c>
      <c r="AC34" s="2">
        <v>287.82</v>
      </c>
      <c r="AD34" s="3">
        <v>0</v>
      </c>
      <c r="AE34" s="2">
        <v>0</v>
      </c>
      <c r="AF34" s="2">
        <v>287.82</v>
      </c>
      <c r="AK34">
        <v>5776550</v>
      </c>
    </row>
    <row r="35" spans="1:37" x14ac:dyDescent="0.25">
      <c r="A35" s="1">
        <v>45910</v>
      </c>
      <c r="B35" s="1">
        <v>45910</v>
      </c>
      <c r="C35" t="s">
        <v>38</v>
      </c>
      <c r="D35" t="s">
        <v>39</v>
      </c>
      <c r="E35" t="s">
        <v>40</v>
      </c>
      <c r="F35" t="s">
        <v>41</v>
      </c>
      <c r="G35" t="s">
        <v>42</v>
      </c>
      <c r="H35" t="s">
        <v>43</v>
      </c>
      <c r="I35" t="s">
        <v>169</v>
      </c>
      <c r="J35" t="s">
        <v>170</v>
      </c>
      <c r="M35" t="s">
        <v>84</v>
      </c>
      <c r="O35" t="s">
        <v>171</v>
      </c>
      <c r="P35" t="s">
        <v>172</v>
      </c>
      <c r="Q35" t="s">
        <v>49</v>
      </c>
      <c r="R35" t="s">
        <v>173</v>
      </c>
      <c r="S35" s="1">
        <v>45962</v>
      </c>
      <c r="U35" t="s">
        <v>51</v>
      </c>
      <c r="X35" t="s">
        <v>52</v>
      </c>
      <c r="Y35" s="2">
        <v>0</v>
      </c>
      <c r="Z35" s="2">
        <v>31.02</v>
      </c>
      <c r="AA35">
        <v>9</v>
      </c>
      <c r="AB35" s="3">
        <v>1</v>
      </c>
      <c r="AC35" s="2">
        <v>279.18</v>
      </c>
      <c r="AD35" s="3">
        <v>0</v>
      </c>
      <c r="AE35" s="2">
        <v>0</v>
      </c>
      <c r="AF35" s="2">
        <v>279.18</v>
      </c>
      <c r="AK35">
        <v>5776549</v>
      </c>
    </row>
    <row r="36" spans="1:37" x14ac:dyDescent="0.25">
      <c r="A36" s="1">
        <v>45910</v>
      </c>
      <c r="B36" s="1">
        <v>45910</v>
      </c>
      <c r="C36" t="s">
        <v>38</v>
      </c>
      <c r="D36" t="s">
        <v>39</v>
      </c>
      <c r="E36" t="s">
        <v>40</v>
      </c>
      <c r="F36" t="s">
        <v>41</v>
      </c>
      <c r="G36" t="s">
        <v>42</v>
      </c>
      <c r="H36" t="s">
        <v>43</v>
      </c>
      <c r="I36" t="s">
        <v>174</v>
      </c>
      <c r="J36" t="s">
        <v>175</v>
      </c>
      <c r="M36" t="s">
        <v>84</v>
      </c>
      <c r="O36" t="s">
        <v>171</v>
      </c>
      <c r="P36" t="s">
        <v>172</v>
      </c>
      <c r="Q36" t="s">
        <v>49</v>
      </c>
      <c r="R36" t="s">
        <v>173</v>
      </c>
      <c r="S36" s="1">
        <v>45901</v>
      </c>
      <c r="U36" t="s">
        <v>51</v>
      </c>
      <c r="X36" t="s">
        <v>52</v>
      </c>
      <c r="Y36" s="2">
        <v>0</v>
      </c>
      <c r="Z36" s="2">
        <v>31.02</v>
      </c>
      <c r="AA36">
        <v>9</v>
      </c>
      <c r="AB36" s="3">
        <v>1</v>
      </c>
      <c r="AC36" s="2">
        <v>279.18</v>
      </c>
      <c r="AD36" s="3">
        <v>0</v>
      </c>
      <c r="AE36" s="2">
        <v>0</v>
      </c>
      <c r="AF36" s="2">
        <v>279.18</v>
      </c>
      <c r="AK36">
        <v>5776548</v>
      </c>
    </row>
    <row r="37" spans="1:37" x14ac:dyDescent="0.25">
      <c r="A37" s="1">
        <v>45910</v>
      </c>
      <c r="B37" s="1">
        <v>45910</v>
      </c>
      <c r="C37" t="s">
        <v>38</v>
      </c>
      <c r="D37" t="s">
        <v>39</v>
      </c>
      <c r="E37" t="s">
        <v>40</v>
      </c>
      <c r="F37" t="s">
        <v>41</v>
      </c>
      <c r="G37" t="s">
        <v>42</v>
      </c>
      <c r="H37" t="s">
        <v>43</v>
      </c>
      <c r="I37" t="s">
        <v>176</v>
      </c>
      <c r="J37" t="s">
        <v>177</v>
      </c>
      <c r="M37" t="s">
        <v>89</v>
      </c>
      <c r="O37" t="s">
        <v>90</v>
      </c>
      <c r="P37" t="s">
        <v>91</v>
      </c>
      <c r="Q37" t="s">
        <v>49</v>
      </c>
      <c r="R37" t="s">
        <v>178</v>
      </c>
      <c r="S37" s="1">
        <v>45931</v>
      </c>
      <c r="U37" t="s">
        <v>51</v>
      </c>
      <c r="X37" t="s">
        <v>52</v>
      </c>
      <c r="Y37" s="2">
        <v>0</v>
      </c>
      <c r="Z37" s="2">
        <v>31.02</v>
      </c>
      <c r="AA37">
        <v>9</v>
      </c>
      <c r="AB37" s="3">
        <v>1</v>
      </c>
      <c r="AC37" s="2">
        <v>279.18</v>
      </c>
      <c r="AD37" s="3">
        <v>0</v>
      </c>
      <c r="AE37" s="2">
        <v>0</v>
      </c>
      <c r="AF37" s="2">
        <v>279.18</v>
      </c>
      <c r="AK37">
        <v>5776547</v>
      </c>
    </row>
    <row r="38" spans="1:37" x14ac:dyDescent="0.25">
      <c r="A38" s="1">
        <v>45910</v>
      </c>
      <c r="B38" s="1">
        <v>45910</v>
      </c>
      <c r="C38" t="s">
        <v>38</v>
      </c>
      <c r="D38" t="s">
        <v>39</v>
      </c>
      <c r="E38" t="s">
        <v>40</v>
      </c>
      <c r="F38" t="s">
        <v>41</v>
      </c>
      <c r="G38" t="s">
        <v>42</v>
      </c>
      <c r="H38" t="s">
        <v>43</v>
      </c>
      <c r="I38" t="s">
        <v>179</v>
      </c>
      <c r="J38" t="s">
        <v>180</v>
      </c>
      <c r="M38" t="s">
        <v>181</v>
      </c>
      <c r="O38" t="s">
        <v>182</v>
      </c>
      <c r="P38" t="s">
        <v>183</v>
      </c>
      <c r="Q38" t="s">
        <v>49</v>
      </c>
      <c r="R38" t="s">
        <v>184</v>
      </c>
      <c r="S38" s="1">
        <v>45901</v>
      </c>
      <c r="U38" t="s">
        <v>51</v>
      </c>
      <c r="X38" t="s">
        <v>52</v>
      </c>
      <c r="Y38" s="2">
        <v>0</v>
      </c>
      <c r="Z38" s="2">
        <v>30</v>
      </c>
      <c r="AA38">
        <v>9</v>
      </c>
      <c r="AB38" s="3">
        <v>1</v>
      </c>
      <c r="AC38" s="2">
        <v>270</v>
      </c>
      <c r="AD38" s="3">
        <v>0</v>
      </c>
      <c r="AE38" s="2">
        <v>0</v>
      </c>
      <c r="AF38" s="2">
        <v>270</v>
      </c>
      <c r="AK38">
        <v>5776546</v>
      </c>
    </row>
    <row r="39" spans="1:37" x14ac:dyDescent="0.25">
      <c r="A39" s="1">
        <v>45910</v>
      </c>
      <c r="B39" s="1">
        <v>45910</v>
      </c>
      <c r="C39" t="s">
        <v>185</v>
      </c>
      <c r="D39" t="s">
        <v>39</v>
      </c>
      <c r="E39" t="s">
        <v>40</v>
      </c>
      <c r="F39" t="s">
        <v>41</v>
      </c>
      <c r="G39" t="s">
        <v>42</v>
      </c>
      <c r="H39" t="s">
        <v>43</v>
      </c>
      <c r="I39" t="s">
        <v>186</v>
      </c>
      <c r="J39" t="s">
        <v>187</v>
      </c>
      <c r="M39" t="s">
        <v>46</v>
      </c>
      <c r="O39" t="s">
        <v>188</v>
      </c>
      <c r="P39" t="s">
        <v>189</v>
      </c>
      <c r="Q39" t="s">
        <v>190</v>
      </c>
      <c r="R39" t="s">
        <v>50</v>
      </c>
      <c r="S39" s="1">
        <v>45778</v>
      </c>
      <c r="U39" t="s">
        <v>51</v>
      </c>
      <c r="X39" t="s">
        <v>52</v>
      </c>
      <c r="AF39" s="2">
        <v>15</v>
      </c>
      <c r="AG39" s="2">
        <v>0</v>
      </c>
      <c r="AJ39" s="2">
        <v>10.050000000000001</v>
      </c>
    </row>
    <row r="40" spans="1:37" x14ac:dyDescent="0.25">
      <c r="A40" s="1">
        <v>45910</v>
      </c>
      <c r="B40" s="1">
        <v>45910</v>
      </c>
      <c r="C40" t="s">
        <v>185</v>
      </c>
      <c r="D40" t="s">
        <v>39</v>
      </c>
      <c r="E40" t="s">
        <v>40</v>
      </c>
      <c r="F40" t="s">
        <v>41</v>
      </c>
      <c r="G40" t="s">
        <v>42</v>
      </c>
      <c r="H40" t="s">
        <v>43</v>
      </c>
      <c r="I40" t="s">
        <v>191</v>
      </c>
      <c r="J40" t="s">
        <v>45</v>
      </c>
      <c r="M40" t="s">
        <v>192</v>
      </c>
      <c r="O40" t="s">
        <v>47</v>
      </c>
      <c r="P40" t="s">
        <v>48</v>
      </c>
      <c r="Q40" t="s">
        <v>190</v>
      </c>
      <c r="R40" t="s">
        <v>58</v>
      </c>
      <c r="S40" s="1">
        <v>45658</v>
      </c>
      <c r="U40" t="s">
        <v>51</v>
      </c>
      <c r="X40" t="s">
        <v>52</v>
      </c>
      <c r="AF40" s="2">
        <v>175</v>
      </c>
      <c r="AG40" s="2">
        <v>0</v>
      </c>
      <c r="AJ40" s="2">
        <v>57.75</v>
      </c>
    </row>
    <row r="41" spans="1:37" x14ac:dyDescent="0.25">
      <c r="A41" s="1">
        <v>45910</v>
      </c>
      <c r="B41" s="1">
        <v>45910</v>
      </c>
      <c r="C41" t="s">
        <v>185</v>
      </c>
      <c r="D41" t="s">
        <v>39</v>
      </c>
      <c r="E41" t="s">
        <v>40</v>
      </c>
      <c r="F41" t="s">
        <v>41</v>
      </c>
      <c r="G41" t="s">
        <v>42</v>
      </c>
      <c r="H41" t="s">
        <v>43</v>
      </c>
      <c r="I41" t="s">
        <v>193</v>
      </c>
      <c r="J41" t="s">
        <v>194</v>
      </c>
      <c r="M41" t="s">
        <v>192</v>
      </c>
      <c r="O41" t="s">
        <v>195</v>
      </c>
      <c r="P41" t="s">
        <v>196</v>
      </c>
      <c r="Q41" t="s">
        <v>190</v>
      </c>
      <c r="R41" t="s">
        <v>58</v>
      </c>
      <c r="S41" s="1">
        <v>45658</v>
      </c>
      <c r="U41" t="s">
        <v>51</v>
      </c>
      <c r="X41" t="s">
        <v>52</v>
      </c>
      <c r="AF41" s="2">
        <v>175</v>
      </c>
      <c r="AG41" s="2">
        <v>0</v>
      </c>
      <c r="AJ41" s="2">
        <v>57.75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021BC-BDF3-4DDD-8CDA-F3C3B529289C}">
  <dimension ref="A1:P41"/>
  <sheetViews>
    <sheetView tabSelected="1" workbookViewId="0">
      <selection activeCell="A38" sqref="A38:XFD38"/>
    </sheetView>
  </sheetViews>
  <sheetFormatPr defaultRowHeight="15" x14ac:dyDescent="0.25"/>
  <cols>
    <col min="1" max="1" width="19.7109375" style="5" bestFit="1" customWidth="1"/>
    <col min="2" max="2" width="19.7109375" style="5" customWidth="1"/>
    <col min="3" max="3" width="26.5703125" style="5" bestFit="1" customWidth="1"/>
    <col min="4" max="4" width="11.5703125" style="5" customWidth="1"/>
    <col min="5" max="5" width="27.28515625" style="5" bestFit="1" customWidth="1"/>
    <col min="6" max="6" width="9.140625" style="5"/>
    <col min="7" max="7" width="47.140625" style="5" bestFit="1" customWidth="1"/>
    <col min="8" max="8" width="10.140625" style="5" bestFit="1" customWidth="1"/>
    <col min="9" max="13" width="9.140625" style="5"/>
    <col min="14" max="14" width="39.140625" style="5" bestFit="1" customWidth="1"/>
    <col min="15" max="15" width="34.140625" style="5" bestFit="1" customWidth="1"/>
    <col min="16" max="16384" width="9.140625" style="5"/>
  </cols>
  <sheetData>
    <row r="1" spans="1:15" x14ac:dyDescent="0.25">
      <c r="A1" s="5" t="s">
        <v>8</v>
      </c>
      <c r="C1" s="5" t="s">
        <v>9</v>
      </c>
      <c r="D1" s="5" t="s">
        <v>14</v>
      </c>
      <c r="E1" s="5" t="s">
        <v>15</v>
      </c>
      <c r="F1" s="5" t="s">
        <v>16</v>
      </c>
      <c r="G1" s="5" t="s">
        <v>17</v>
      </c>
      <c r="H1" s="5" t="s">
        <v>18</v>
      </c>
      <c r="I1" s="5" t="s">
        <v>24</v>
      </c>
      <c r="J1" s="5" t="s">
        <v>25</v>
      </c>
      <c r="K1" s="5" t="s">
        <v>26</v>
      </c>
      <c r="L1" s="5" t="s">
        <v>27</v>
      </c>
      <c r="M1" s="5" t="s">
        <v>28</v>
      </c>
      <c r="N1" s="5" t="s">
        <v>37</v>
      </c>
    </row>
    <row r="2" spans="1:15" x14ac:dyDescent="0.25">
      <c r="A2" s="4">
        <v>102189954200</v>
      </c>
      <c r="B2" s="4" t="str">
        <f>CONCATENATE(A2,"OVR")</f>
        <v>102189954200OVR</v>
      </c>
      <c r="C2" s="5" t="s">
        <v>110</v>
      </c>
      <c r="D2" s="5">
        <v>20411454</v>
      </c>
      <c r="E2" s="5" t="s">
        <v>226</v>
      </c>
      <c r="F2" s="5" t="s">
        <v>49</v>
      </c>
      <c r="G2" s="5" t="s">
        <v>111</v>
      </c>
      <c r="H2" s="6">
        <v>45931</v>
      </c>
      <c r="I2" s="7">
        <v>0</v>
      </c>
      <c r="J2" s="7">
        <v>12.5</v>
      </c>
      <c r="K2" s="5">
        <v>1</v>
      </c>
      <c r="L2" s="8">
        <v>1</v>
      </c>
      <c r="M2" s="7">
        <v>12.5</v>
      </c>
      <c r="N2" s="5" t="s">
        <v>112</v>
      </c>
      <c r="O2" s="5" t="s">
        <v>218</v>
      </c>
    </row>
    <row r="3" spans="1:15" x14ac:dyDescent="0.25">
      <c r="A3" s="4">
        <v>102190026200</v>
      </c>
      <c r="B3" s="4" t="str">
        <f t="shared" ref="B3:B28" si="0">CONCATENATE(A3,"OVR")</f>
        <v>102190026200OVR</v>
      </c>
      <c r="C3" s="5" t="s">
        <v>114</v>
      </c>
      <c r="D3" s="5">
        <v>20411454</v>
      </c>
      <c r="E3" s="5" t="s">
        <v>226</v>
      </c>
      <c r="F3" s="5" t="s">
        <v>49</v>
      </c>
      <c r="G3" s="5" t="s">
        <v>111</v>
      </c>
      <c r="H3" s="6">
        <v>45962</v>
      </c>
      <c r="I3" s="7">
        <v>0</v>
      </c>
      <c r="J3" s="7">
        <v>8.33</v>
      </c>
      <c r="K3" s="5">
        <v>1</v>
      </c>
      <c r="L3" s="8">
        <v>1</v>
      </c>
      <c r="M3" s="7">
        <v>8.33</v>
      </c>
      <c r="N3" s="5" t="s">
        <v>117</v>
      </c>
      <c r="O3" s="5" t="s">
        <v>218</v>
      </c>
    </row>
    <row r="4" spans="1:15" x14ac:dyDescent="0.25">
      <c r="A4" s="4">
        <v>102190030600</v>
      </c>
      <c r="B4" s="4" t="str">
        <f t="shared" si="0"/>
        <v>102190030600OVR</v>
      </c>
      <c r="C4" s="5" t="s">
        <v>119</v>
      </c>
      <c r="D4" s="5">
        <v>20411454</v>
      </c>
      <c r="E4" s="5" t="s">
        <v>226</v>
      </c>
      <c r="F4" s="5" t="s">
        <v>49</v>
      </c>
      <c r="G4" s="5" t="s">
        <v>111</v>
      </c>
      <c r="H4" s="6">
        <v>45962</v>
      </c>
      <c r="I4" s="7">
        <v>0</v>
      </c>
      <c r="J4" s="7">
        <v>8.33</v>
      </c>
      <c r="K4" s="5">
        <v>1</v>
      </c>
      <c r="L4" s="8">
        <v>1</v>
      </c>
      <c r="M4" s="7">
        <v>8.33</v>
      </c>
      <c r="N4" s="5" t="s">
        <v>117</v>
      </c>
      <c r="O4" s="5" t="s">
        <v>218</v>
      </c>
    </row>
    <row r="5" spans="1:15" x14ac:dyDescent="0.25">
      <c r="A5" s="4">
        <v>102190156500</v>
      </c>
      <c r="B5" s="4" t="str">
        <f t="shared" si="0"/>
        <v>102190156500OVR</v>
      </c>
      <c r="C5" s="5" t="s">
        <v>124</v>
      </c>
      <c r="D5" s="5">
        <v>20411454</v>
      </c>
      <c r="E5" s="5" t="s">
        <v>226</v>
      </c>
      <c r="F5" s="5" t="s">
        <v>49</v>
      </c>
      <c r="G5" s="5" t="s">
        <v>111</v>
      </c>
      <c r="H5" s="6">
        <v>45870</v>
      </c>
      <c r="I5" s="7">
        <v>0</v>
      </c>
      <c r="J5" s="7">
        <v>20.83</v>
      </c>
      <c r="K5" s="5">
        <v>1</v>
      </c>
      <c r="L5" s="8">
        <v>1</v>
      </c>
      <c r="M5" s="7">
        <v>20.83</v>
      </c>
      <c r="N5" s="5" t="s">
        <v>125</v>
      </c>
      <c r="O5" s="5" t="s">
        <v>218</v>
      </c>
    </row>
    <row r="6" spans="1:15" x14ac:dyDescent="0.25">
      <c r="A6" s="4">
        <v>102190173100</v>
      </c>
      <c r="B6" s="4" t="str">
        <f t="shared" si="0"/>
        <v>102190173100OVR</v>
      </c>
      <c r="C6" s="5" t="s">
        <v>132</v>
      </c>
      <c r="D6" s="5">
        <v>20411454</v>
      </c>
      <c r="E6" s="5" t="s">
        <v>226</v>
      </c>
      <c r="F6" s="5" t="s">
        <v>49</v>
      </c>
      <c r="G6" s="5" t="s">
        <v>111</v>
      </c>
      <c r="H6" s="6">
        <v>45901</v>
      </c>
      <c r="I6" s="7">
        <v>0</v>
      </c>
      <c r="J6" s="7">
        <v>16.670000000000002</v>
      </c>
      <c r="K6" s="5">
        <v>1</v>
      </c>
      <c r="L6" s="8">
        <v>1</v>
      </c>
      <c r="M6" s="7">
        <v>16.670000000000002</v>
      </c>
      <c r="N6" s="5" t="s">
        <v>130</v>
      </c>
      <c r="O6" s="5" t="s">
        <v>218</v>
      </c>
    </row>
    <row r="7" spans="1:15" x14ac:dyDescent="0.25">
      <c r="A7" s="4">
        <v>102190223100</v>
      </c>
      <c r="B7" s="4" t="str">
        <f t="shared" si="0"/>
        <v>102190223100OVR</v>
      </c>
      <c r="C7" s="5" t="s">
        <v>134</v>
      </c>
      <c r="D7" s="5">
        <v>20411454</v>
      </c>
      <c r="E7" s="5" t="s">
        <v>226</v>
      </c>
      <c r="F7" s="5" t="s">
        <v>49</v>
      </c>
      <c r="G7" s="5" t="s">
        <v>111</v>
      </c>
      <c r="H7" s="6">
        <v>45901</v>
      </c>
      <c r="I7" s="7">
        <v>0</v>
      </c>
      <c r="J7" s="7">
        <v>16.670000000000002</v>
      </c>
      <c r="K7" s="5">
        <v>1</v>
      </c>
      <c r="L7" s="8">
        <v>1</v>
      </c>
      <c r="M7" s="7">
        <v>16.670000000000002</v>
      </c>
      <c r="N7" s="5" t="s">
        <v>130</v>
      </c>
      <c r="O7" s="5" t="s">
        <v>218</v>
      </c>
    </row>
    <row r="8" spans="1:15" x14ac:dyDescent="0.25">
      <c r="A8" s="4">
        <v>102190247800</v>
      </c>
      <c r="B8" s="4" t="str">
        <f t="shared" si="0"/>
        <v>102190247800OVR</v>
      </c>
      <c r="C8" s="5" t="s">
        <v>136</v>
      </c>
      <c r="D8" s="5">
        <v>20411454</v>
      </c>
      <c r="E8" s="5" t="s">
        <v>226</v>
      </c>
      <c r="F8" s="5" t="s">
        <v>49</v>
      </c>
      <c r="G8" s="5" t="s">
        <v>111</v>
      </c>
      <c r="H8" s="6">
        <v>45901</v>
      </c>
      <c r="I8" s="7">
        <v>0</v>
      </c>
      <c r="J8" s="7">
        <v>16.670000000000002</v>
      </c>
      <c r="K8" s="5">
        <v>1</v>
      </c>
      <c r="L8" s="8">
        <v>1</v>
      </c>
      <c r="M8" s="7">
        <v>16.670000000000002</v>
      </c>
      <c r="N8" s="5" t="s">
        <v>130</v>
      </c>
      <c r="O8" s="5" t="s">
        <v>218</v>
      </c>
    </row>
    <row r="9" spans="1:15" x14ac:dyDescent="0.25">
      <c r="A9" s="4">
        <v>102190262300</v>
      </c>
      <c r="B9" s="4" t="str">
        <f t="shared" si="0"/>
        <v>102190262300OVR</v>
      </c>
      <c r="C9" s="5" t="s">
        <v>138</v>
      </c>
      <c r="D9" s="5">
        <v>20411454</v>
      </c>
      <c r="E9" s="5" t="s">
        <v>226</v>
      </c>
      <c r="F9" s="5" t="s">
        <v>49</v>
      </c>
      <c r="G9" s="5" t="s">
        <v>111</v>
      </c>
      <c r="H9" s="6">
        <v>45901</v>
      </c>
      <c r="I9" s="7">
        <v>0</v>
      </c>
      <c r="J9" s="7">
        <v>16.670000000000002</v>
      </c>
      <c r="K9" s="5">
        <v>1</v>
      </c>
      <c r="L9" s="8">
        <v>1</v>
      </c>
      <c r="M9" s="7">
        <v>16.670000000000002</v>
      </c>
      <c r="N9" s="5" t="s">
        <v>130</v>
      </c>
      <c r="O9" s="5" t="s">
        <v>218</v>
      </c>
    </row>
    <row r="10" spans="1:15" x14ac:dyDescent="0.25">
      <c r="A10" s="4">
        <v>102190732500</v>
      </c>
      <c r="B10" s="4" t="str">
        <f t="shared" si="0"/>
        <v>102190732500OVR</v>
      </c>
      <c r="C10" s="5" t="s">
        <v>140</v>
      </c>
      <c r="D10" s="5">
        <v>20411454</v>
      </c>
      <c r="E10" s="5" t="s">
        <v>226</v>
      </c>
      <c r="F10" s="5" t="s">
        <v>49</v>
      </c>
      <c r="G10" s="5" t="s">
        <v>111</v>
      </c>
      <c r="H10" s="6">
        <v>45931</v>
      </c>
      <c r="I10" s="7">
        <v>0</v>
      </c>
      <c r="J10" s="7">
        <v>12.5</v>
      </c>
      <c r="K10" s="5">
        <v>1</v>
      </c>
      <c r="L10" s="8">
        <v>1</v>
      </c>
      <c r="M10" s="7">
        <v>12.5</v>
      </c>
      <c r="N10" s="5" t="s">
        <v>112</v>
      </c>
      <c r="O10" s="5" t="s">
        <v>218</v>
      </c>
    </row>
    <row r="11" spans="1:15" x14ac:dyDescent="0.25">
      <c r="A11" s="4">
        <v>102190771300</v>
      </c>
      <c r="B11" s="4" t="str">
        <f t="shared" si="0"/>
        <v>102190771300OVR</v>
      </c>
      <c r="C11" s="5" t="s">
        <v>145</v>
      </c>
      <c r="D11" s="5">
        <v>20411454</v>
      </c>
      <c r="E11" s="5" t="s">
        <v>226</v>
      </c>
      <c r="F11" s="5" t="s">
        <v>49</v>
      </c>
      <c r="G11" s="5" t="s">
        <v>111</v>
      </c>
      <c r="H11" s="6">
        <v>45901</v>
      </c>
      <c r="I11" s="7">
        <v>0</v>
      </c>
      <c r="J11" s="7">
        <v>16.670000000000002</v>
      </c>
      <c r="K11" s="5">
        <v>1</v>
      </c>
      <c r="L11" s="8">
        <v>1</v>
      </c>
      <c r="M11" s="7">
        <v>16.670000000000002</v>
      </c>
      <c r="N11" s="5" t="s">
        <v>130</v>
      </c>
      <c r="O11" s="5" t="s">
        <v>218</v>
      </c>
    </row>
    <row r="12" spans="1:15" x14ac:dyDescent="0.25">
      <c r="A12" s="4">
        <v>102190934800</v>
      </c>
      <c r="B12" s="4" t="str">
        <f t="shared" si="0"/>
        <v>102190934800OVR</v>
      </c>
      <c r="C12" s="5" t="s">
        <v>149</v>
      </c>
      <c r="D12" s="5">
        <v>20411454</v>
      </c>
      <c r="E12" s="5" t="s">
        <v>226</v>
      </c>
      <c r="F12" s="5" t="s">
        <v>49</v>
      </c>
      <c r="G12" s="5" t="s">
        <v>111</v>
      </c>
      <c r="H12" s="6">
        <v>45901</v>
      </c>
      <c r="I12" s="7">
        <v>0</v>
      </c>
      <c r="J12" s="7">
        <v>16.670000000000002</v>
      </c>
      <c r="K12" s="5">
        <v>1</v>
      </c>
      <c r="L12" s="8">
        <v>1</v>
      </c>
      <c r="M12" s="7">
        <v>16.670000000000002</v>
      </c>
      <c r="N12" s="5" t="s">
        <v>130</v>
      </c>
      <c r="O12" s="5" t="s">
        <v>218</v>
      </c>
    </row>
    <row r="13" spans="1:15" x14ac:dyDescent="0.25">
      <c r="A13" s="4">
        <v>102190996400</v>
      </c>
      <c r="B13" s="4" t="str">
        <f t="shared" si="0"/>
        <v>102190996400OVR</v>
      </c>
      <c r="C13" s="5" t="s">
        <v>151</v>
      </c>
      <c r="D13" s="5">
        <v>20411454</v>
      </c>
      <c r="E13" s="5" t="s">
        <v>226</v>
      </c>
      <c r="F13" s="5" t="s">
        <v>49</v>
      </c>
      <c r="G13" s="5" t="s">
        <v>111</v>
      </c>
      <c r="H13" s="6">
        <v>45901</v>
      </c>
      <c r="I13" s="7">
        <v>0</v>
      </c>
      <c r="J13" s="7">
        <v>16.670000000000002</v>
      </c>
      <c r="K13" s="5">
        <v>1</v>
      </c>
      <c r="L13" s="8">
        <v>1</v>
      </c>
      <c r="M13" s="7">
        <v>16.670000000000002</v>
      </c>
      <c r="N13" s="5" t="s">
        <v>130</v>
      </c>
      <c r="O13" s="5" t="s">
        <v>218</v>
      </c>
    </row>
    <row r="14" spans="1:15" x14ac:dyDescent="0.25">
      <c r="A14" s="4">
        <v>102191007700</v>
      </c>
      <c r="B14" s="4" t="str">
        <f t="shared" si="0"/>
        <v>102191007700OVR</v>
      </c>
      <c r="C14" s="5" t="s">
        <v>154</v>
      </c>
      <c r="D14" s="5">
        <v>20411454</v>
      </c>
      <c r="E14" s="5" t="s">
        <v>226</v>
      </c>
      <c r="F14" s="5" t="s">
        <v>49</v>
      </c>
      <c r="G14" s="5" t="s">
        <v>111</v>
      </c>
      <c r="H14" s="6">
        <v>45901</v>
      </c>
      <c r="I14" s="7">
        <v>0</v>
      </c>
      <c r="J14" s="7">
        <v>16.670000000000002</v>
      </c>
      <c r="K14" s="5">
        <v>1</v>
      </c>
      <c r="L14" s="8">
        <v>1</v>
      </c>
      <c r="M14" s="7">
        <v>16.670000000000002</v>
      </c>
      <c r="N14" s="5" t="s">
        <v>130</v>
      </c>
      <c r="O14" s="5" t="s">
        <v>218</v>
      </c>
    </row>
    <row r="15" spans="1:15" x14ac:dyDescent="0.25">
      <c r="A15" s="4">
        <v>102191010500</v>
      </c>
      <c r="B15" s="4" t="str">
        <f t="shared" si="0"/>
        <v>102191010500OVR</v>
      </c>
      <c r="C15" s="5" t="s">
        <v>156</v>
      </c>
      <c r="D15" s="5">
        <v>20411454</v>
      </c>
      <c r="E15" s="5" t="s">
        <v>226</v>
      </c>
      <c r="F15" s="5" t="s">
        <v>49</v>
      </c>
      <c r="G15" s="5" t="s">
        <v>111</v>
      </c>
      <c r="H15" s="6">
        <v>45931</v>
      </c>
      <c r="I15" s="7">
        <v>0</v>
      </c>
      <c r="J15" s="7">
        <v>12.5</v>
      </c>
      <c r="K15" s="5">
        <v>1</v>
      </c>
      <c r="L15" s="8">
        <v>1</v>
      </c>
      <c r="M15" s="7">
        <v>12.5</v>
      </c>
      <c r="N15" s="5" t="s">
        <v>112</v>
      </c>
      <c r="O15" s="5" t="s">
        <v>218</v>
      </c>
    </row>
    <row r="16" spans="1:15" x14ac:dyDescent="0.25">
      <c r="A16" s="4">
        <v>102190169900</v>
      </c>
      <c r="B16" s="4" t="str">
        <f t="shared" si="0"/>
        <v>102190169900OVR</v>
      </c>
      <c r="C16" s="5" t="s">
        <v>127</v>
      </c>
      <c r="D16" s="5">
        <v>20411454</v>
      </c>
      <c r="E16" s="5" t="s">
        <v>226</v>
      </c>
      <c r="F16" s="5" t="s">
        <v>49</v>
      </c>
      <c r="G16" s="5" t="s">
        <v>129</v>
      </c>
      <c r="H16" s="6">
        <v>45901</v>
      </c>
      <c r="I16" s="7">
        <v>0</v>
      </c>
      <c r="J16" s="7">
        <v>13.33</v>
      </c>
      <c r="K16" s="5">
        <v>1</v>
      </c>
      <c r="L16" s="8">
        <v>1</v>
      </c>
      <c r="M16" s="7">
        <v>13.33</v>
      </c>
      <c r="N16" s="5" t="s">
        <v>130</v>
      </c>
      <c r="O16" s="5" t="s">
        <v>218</v>
      </c>
    </row>
    <row r="17" spans="1:15" x14ac:dyDescent="0.25">
      <c r="A17" s="4">
        <v>102190926800</v>
      </c>
      <c r="B17" s="4" t="str">
        <f t="shared" si="0"/>
        <v>102190926800OVR</v>
      </c>
      <c r="C17" s="5" t="s">
        <v>147</v>
      </c>
      <c r="D17" s="5">
        <v>20411454</v>
      </c>
      <c r="E17" s="5" t="s">
        <v>226</v>
      </c>
      <c r="F17" s="5" t="s">
        <v>49</v>
      </c>
      <c r="G17" s="5" t="s">
        <v>129</v>
      </c>
      <c r="H17" s="6">
        <v>45901</v>
      </c>
      <c r="I17" s="7">
        <v>0</v>
      </c>
      <c r="J17" s="7">
        <v>13.33</v>
      </c>
      <c r="K17" s="5">
        <v>1</v>
      </c>
      <c r="L17" s="8">
        <v>1</v>
      </c>
      <c r="M17" s="7">
        <v>13.33</v>
      </c>
      <c r="N17" s="5" t="s">
        <v>130</v>
      </c>
      <c r="O17" s="5" t="s">
        <v>218</v>
      </c>
    </row>
    <row r="18" spans="1:15" x14ac:dyDescent="0.25">
      <c r="A18" s="4" t="s">
        <v>198</v>
      </c>
      <c r="B18" s="4" t="str">
        <f t="shared" si="0"/>
        <v>00023509197KOVR</v>
      </c>
      <c r="C18" s="5" t="s">
        <v>54</v>
      </c>
      <c r="D18" s="5">
        <v>20411454</v>
      </c>
      <c r="E18" s="5" t="s">
        <v>226</v>
      </c>
      <c r="F18" s="5" t="s">
        <v>57</v>
      </c>
      <c r="G18" s="5" t="s">
        <v>58</v>
      </c>
      <c r="H18" s="6">
        <v>45870</v>
      </c>
      <c r="I18" s="7">
        <v>0</v>
      </c>
      <c r="J18" s="7">
        <v>161</v>
      </c>
      <c r="K18" s="5">
        <v>1</v>
      </c>
      <c r="L18" s="8">
        <v>1</v>
      </c>
      <c r="M18" s="7">
        <v>161</v>
      </c>
      <c r="N18" s="5" t="s">
        <v>59</v>
      </c>
      <c r="O18" s="5" t="s">
        <v>219</v>
      </c>
    </row>
    <row r="19" spans="1:15" x14ac:dyDescent="0.25">
      <c r="A19" s="4" t="s">
        <v>199</v>
      </c>
      <c r="B19" s="4" t="str">
        <f t="shared" si="0"/>
        <v>00023584777KOVR</v>
      </c>
      <c r="C19" s="5" t="s">
        <v>61</v>
      </c>
      <c r="D19" s="5">
        <v>20411454</v>
      </c>
      <c r="E19" s="5" t="s">
        <v>226</v>
      </c>
      <c r="F19" s="5" t="s">
        <v>49</v>
      </c>
      <c r="G19" s="5" t="s">
        <v>58</v>
      </c>
      <c r="H19" s="6">
        <v>45931</v>
      </c>
      <c r="I19" s="7">
        <v>0</v>
      </c>
      <c r="J19" s="7">
        <v>175</v>
      </c>
      <c r="K19" s="5">
        <v>1</v>
      </c>
      <c r="L19" s="8">
        <v>1</v>
      </c>
      <c r="M19" s="7">
        <v>175</v>
      </c>
      <c r="O19" s="5" t="s">
        <v>219</v>
      </c>
    </row>
    <row r="20" spans="1:15" x14ac:dyDescent="0.25">
      <c r="A20" s="4" t="s">
        <v>200</v>
      </c>
      <c r="B20" s="4" t="str">
        <f t="shared" si="0"/>
        <v>00023585917KOVR</v>
      </c>
      <c r="C20" s="5" t="s">
        <v>65</v>
      </c>
      <c r="D20" s="5">
        <v>20411454</v>
      </c>
      <c r="E20" s="5" t="s">
        <v>226</v>
      </c>
      <c r="F20" s="5" t="s">
        <v>49</v>
      </c>
      <c r="G20" s="5" t="s">
        <v>58</v>
      </c>
      <c r="H20" s="6">
        <v>45901</v>
      </c>
      <c r="I20" s="7">
        <v>0</v>
      </c>
      <c r="J20" s="7">
        <v>175</v>
      </c>
      <c r="K20" s="5">
        <v>1</v>
      </c>
      <c r="L20" s="8">
        <v>1</v>
      </c>
      <c r="M20" s="7">
        <v>175</v>
      </c>
      <c r="O20" s="5" t="s">
        <v>219</v>
      </c>
    </row>
    <row r="21" spans="1:15" x14ac:dyDescent="0.25">
      <c r="A21" s="4" t="s">
        <v>201</v>
      </c>
      <c r="B21" s="4" t="str">
        <f t="shared" si="0"/>
        <v>00023586114KOVR</v>
      </c>
      <c r="C21" s="5" t="s">
        <v>69</v>
      </c>
      <c r="D21" s="5">
        <v>20411454</v>
      </c>
      <c r="E21" s="5" t="s">
        <v>226</v>
      </c>
      <c r="F21" s="5" t="s">
        <v>49</v>
      </c>
      <c r="G21" s="5" t="s">
        <v>58</v>
      </c>
      <c r="H21" s="6">
        <v>45901</v>
      </c>
      <c r="I21" s="7">
        <v>0</v>
      </c>
      <c r="J21" s="7">
        <v>175</v>
      </c>
      <c r="K21" s="5">
        <v>1</v>
      </c>
      <c r="L21" s="8">
        <v>1</v>
      </c>
      <c r="M21" s="7">
        <v>175</v>
      </c>
      <c r="O21" s="5" t="s">
        <v>219</v>
      </c>
    </row>
    <row r="22" spans="1:15" x14ac:dyDescent="0.25">
      <c r="A22" s="4" t="s">
        <v>202</v>
      </c>
      <c r="B22" s="4" t="str">
        <f t="shared" si="0"/>
        <v>00023589143KOVR</v>
      </c>
      <c r="C22" s="5" t="s">
        <v>73</v>
      </c>
      <c r="D22" s="5">
        <v>20411454</v>
      </c>
      <c r="E22" s="5" t="s">
        <v>226</v>
      </c>
      <c r="F22" s="5" t="s">
        <v>49</v>
      </c>
      <c r="G22" s="5" t="s">
        <v>58</v>
      </c>
      <c r="H22" s="6">
        <v>45931</v>
      </c>
      <c r="I22" s="7">
        <v>0</v>
      </c>
      <c r="J22" s="7">
        <v>175</v>
      </c>
      <c r="K22" s="5">
        <v>1</v>
      </c>
      <c r="L22" s="8">
        <v>1</v>
      </c>
      <c r="M22" s="7">
        <v>175</v>
      </c>
      <c r="O22" s="5" t="s">
        <v>219</v>
      </c>
    </row>
    <row r="23" spans="1:15" x14ac:dyDescent="0.25">
      <c r="A23" s="4" t="s">
        <v>203</v>
      </c>
      <c r="B23" s="4" t="str">
        <f t="shared" si="0"/>
        <v>00023589322KOVR</v>
      </c>
      <c r="C23" s="5" t="s">
        <v>75</v>
      </c>
      <c r="D23" s="5">
        <v>20411454</v>
      </c>
      <c r="E23" s="5" t="s">
        <v>226</v>
      </c>
      <c r="F23" s="5" t="s">
        <v>49</v>
      </c>
      <c r="G23" s="5" t="s">
        <v>58</v>
      </c>
      <c r="H23" s="6">
        <v>45901</v>
      </c>
      <c r="I23" s="7">
        <v>0</v>
      </c>
      <c r="J23" s="7">
        <v>175</v>
      </c>
      <c r="K23" s="5">
        <v>1</v>
      </c>
      <c r="L23" s="8">
        <v>1</v>
      </c>
      <c r="M23" s="7">
        <v>175</v>
      </c>
      <c r="O23" s="5" t="s">
        <v>219</v>
      </c>
    </row>
    <row r="24" spans="1:15" x14ac:dyDescent="0.25">
      <c r="A24" s="4" t="s">
        <v>204</v>
      </c>
      <c r="B24" s="4" t="str">
        <f t="shared" si="0"/>
        <v>00023591468KOVR</v>
      </c>
      <c r="C24" s="5" t="s">
        <v>79</v>
      </c>
      <c r="D24" s="5">
        <v>20411454</v>
      </c>
      <c r="E24" s="5" t="s">
        <v>226</v>
      </c>
      <c r="F24" s="5" t="s">
        <v>49</v>
      </c>
      <c r="G24" s="5" t="s">
        <v>58</v>
      </c>
      <c r="H24" s="6">
        <v>45901</v>
      </c>
      <c r="I24" s="7">
        <v>0</v>
      </c>
      <c r="J24" s="7">
        <v>175</v>
      </c>
      <c r="K24" s="5">
        <v>1</v>
      </c>
      <c r="L24" s="8">
        <v>1</v>
      </c>
      <c r="M24" s="7">
        <v>175</v>
      </c>
      <c r="O24" s="5" t="s">
        <v>219</v>
      </c>
    </row>
    <row r="25" spans="1:15" x14ac:dyDescent="0.25">
      <c r="A25" s="4" t="s">
        <v>205</v>
      </c>
      <c r="B25" s="4" t="str">
        <f t="shared" si="0"/>
        <v>00023592407KOVR</v>
      </c>
      <c r="C25" s="5" t="s">
        <v>83</v>
      </c>
      <c r="D25" s="5">
        <v>20411454</v>
      </c>
      <c r="E25" s="5" t="s">
        <v>226</v>
      </c>
      <c r="F25" s="5" t="s">
        <v>49</v>
      </c>
      <c r="G25" s="5" t="s">
        <v>58</v>
      </c>
      <c r="H25" s="6">
        <v>45931</v>
      </c>
      <c r="I25" s="7">
        <v>0</v>
      </c>
      <c r="J25" s="7">
        <v>175</v>
      </c>
      <c r="K25" s="5">
        <v>1</v>
      </c>
      <c r="L25" s="8">
        <v>1</v>
      </c>
      <c r="M25" s="7">
        <v>175</v>
      </c>
      <c r="O25" s="5" t="s">
        <v>219</v>
      </c>
    </row>
    <row r="26" spans="1:15" x14ac:dyDescent="0.25">
      <c r="A26" s="4" t="s">
        <v>208</v>
      </c>
      <c r="B26" s="4" t="str">
        <f t="shared" si="0"/>
        <v>00023596308KOVR</v>
      </c>
      <c r="C26" s="5" t="s">
        <v>97</v>
      </c>
      <c r="D26" s="5">
        <v>20411454</v>
      </c>
      <c r="E26" s="5" t="s">
        <v>226</v>
      </c>
      <c r="F26" s="5" t="s">
        <v>49</v>
      </c>
      <c r="G26" s="5" t="s">
        <v>58</v>
      </c>
      <c r="H26" s="6">
        <v>45901</v>
      </c>
      <c r="I26" s="7">
        <v>0</v>
      </c>
      <c r="J26" s="7">
        <v>175</v>
      </c>
      <c r="K26" s="5">
        <v>1</v>
      </c>
      <c r="L26" s="8">
        <v>1</v>
      </c>
      <c r="M26" s="7">
        <v>175</v>
      </c>
      <c r="O26" s="5" t="s">
        <v>219</v>
      </c>
    </row>
    <row r="27" spans="1:15" x14ac:dyDescent="0.25">
      <c r="A27" s="4" t="s">
        <v>209</v>
      </c>
      <c r="B27" s="4" t="str">
        <f t="shared" si="0"/>
        <v>00023596422KOVR</v>
      </c>
      <c r="C27" s="5" t="s">
        <v>101</v>
      </c>
      <c r="D27" s="5">
        <v>20411454</v>
      </c>
      <c r="E27" s="5" t="s">
        <v>226</v>
      </c>
      <c r="F27" s="5" t="s">
        <v>49</v>
      </c>
      <c r="G27" s="5" t="s">
        <v>58</v>
      </c>
      <c r="H27" s="6">
        <v>45931</v>
      </c>
      <c r="I27" s="7">
        <v>0</v>
      </c>
      <c r="J27" s="7">
        <v>175</v>
      </c>
      <c r="K27" s="5">
        <v>1</v>
      </c>
      <c r="L27" s="8">
        <v>1</v>
      </c>
      <c r="M27" s="7">
        <v>175</v>
      </c>
      <c r="O27" s="5" t="s">
        <v>219</v>
      </c>
    </row>
    <row r="28" spans="1:15" x14ac:dyDescent="0.25">
      <c r="A28" s="4" t="s">
        <v>210</v>
      </c>
      <c r="B28" s="4" t="str">
        <f t="shared" si="0"/>
        <v>00023600065KOVR</v>
      </c>
      <c r="C28" s="5" t="s">
        <v>106</v>
      </c>
      <c r="D28" s="5">
        <v>20411454</v>
      </c>
      <c r="E28" s="5" t="s">
        <v>226</v>
      </c>
      <c r="F28" s="5" t="s">
        <v>49</v>
      </c>
      <c r="G28" s="5" t="s">
        <v>58</v>
      </c>
      <c r="H28" s="6">
        <v>45931</v>
      </c>
      <c r="I28" s="7">
        <v>0</v>
      </c>
      <c r="J28" s="7">
        <v>175</v>
      </c>
      <c r="K28" s="5">
        <v>1</v>
      </c>
      <c r="L28" s="8">
        <v>1</v>
      </c>
      <c r="M28" s="7">
        <v>175</v>
      </c>
      <c r="O28" s="5" t="s">
        <v>219</v>
      </c>
    </row>
    <row r="29" spans="1:15" x14ac:dyDescent="0.25">
      <c r="A29" s="4" t="s">
        <v>229</v>
      </c>
      <c r="B29" s="4" t="str">
        <f>CONCATENATE(A29,9)</f>
        <v>00018331316K9</v>
      </c>
      <c r="C29" s="5" t="s">
        <v>45</v>
      </c>
      <c r="D29" s="5">
        <v>20411454</v>
      </c>
      <c r="E29" s="5" t="s">
        <v>226</v>
      </c>
      <c r="F29" s="5" t="s">
        <v>190</v>
      </c>
      <c r="G29" s="5" t="s">
        <v>58</v>
      </c>
      <c r="H29" s="6">
        <v>45658</v>
      </c>
      <c r="M29" s="5">
        <v>-57.75</v>
      </c>
      <c r="O29" s="5" t="s">
        <v>219</v>
      </c>
    </row>
    <row r="30" spans="1:15" x14ac:dyDescent="0.25">
      <c r="A30" s="4" t="s">
        <v>230</v>
      </c>
      <c r="B30" s="4" t="str">
        <f>CONCATENATE(A30,9)</f>
        <v>00022898753K9</v>
      </c>
      <c r="C30" s="5" t="s">
        <v>194</v>
      </c>
      <c r="D30" s="5">
        <v>20411454</v>
      </c>
      <c r="E30" s="5" t="s">
        <v>226</v>
      </c>
      <c r="F30" s="5" t="s">
        <v>190</v>
      </c>
      <c r="G30" s="5" t="s">
        <v>58</v>
      </c>
      <c r="H30" s="6">
        <v>45658</v>
      </c>
      <c r="M30" s="5">
        <v>-57.75</v>
      </c>
      <c r="O30" s="5" t="s">
        <v>219</v>
      </c>
    </row>
    <row r="31" spans="1:15" x14ac:dyDescent="0.25">
      <c r="A31" s="4" t="s">
        <v>197</v>
      </c>
      <c r="B31" s="4" t="s">
        <v>197</v>
      </c>
      <c r="C31" s="5" t="s">
        <v>45</v>
      </c>
      <c r="D31" s="5">
        <v>8814784</v>
      </c>
      <c r="E31" s="5" t="s">
        <v>48</v>
      </c>
      <c r="F31" s="5" t="s">
        <v>49</v>
      </c>
      <c r="G31" s="5" t="s">
        <v>50</v>
      </c>
      <c r="H31" s="6">
        <v>45901</v>
      </c>
      <c r="I31" s="7">
        <v>0</v>
      </c>
      <c r="J31" s="7">
        <v>15</v>
      </c>
      <c r="K31" s="5">
        <v>1</v>
      </c>
      <c r="L31" s="8">
        <v>1</v>
      </c>
      <c r="M31" s="7">
        <v>15</v>
      </c>
      <c r="O31" s="5" t="s">
        <v>231</v>
      </c>
    </row>
    <row r="32" spans="1:15" x14ac:dyDescent="0.25">
      <c r="A32" s="4" t="s">
        <v>206</v>
      </c>
      <c r="B32" s="4" t="s">
        <v>206</v>
      </c>
      <c r="C32" s="5" t="s">
        <v>88</v>
      </c>
      <c r="D32" s="5">
        <v>20724564</v>
      </c>
      <c r="E32" s="5" t="s">
        <v>91</v>
      </c>
      <c r="F32" s="5" t="s">
        <v>49</v>
      </c>
      <c r="G32" s="5" t="s">
        <v>50</v>
      </c>
      <c r="H32" s="6">
        <v>45931</v>
      </c>
      <c r="I32" s="7">
        <v>0</v>
      </c>
      <c r="J32" s="7">
        <v>15</v>
      </c>
      <c r="K32" s="5">
        <v>1</v>
      </c>
      <c r="L32" s="8">
        <v>1</v>
      </c>
      <c r="M32" s="7">
        <v>15</v>
      </c>
      <c r="O32" s="5" t="s">
        <v>231</v>
      </c>
    </row>
    <row r="33" spans="1:16" x14ac:dyDescent="0.25">
      <c r="A33" s="4" t="s">
        <v>207</v>
      </c>
      <c r="B33" s="4" t="s">
        <v>207</v>
      </c>
      <c r="C33" s="5" t="s">
        <v>93</v>
      </c>
      <c r="D33" s="5">
        <v>21104854</v>
      </c>
      <c r="E33" s="5" t="s">
        <v>95</v>
      </c>
      <c r="F33" s="5" t="s">
        <v>49</v>
      </c>
      <c r="G33" s="5" t="s">
        <v>50</v>
      </c>
      <c r="H33" s="6">
        <v>45901</v>
      </c>
      <c r="I33" s="7">
        <v>0</v>
      </c>
      <c r="J33" s="7">
        <v>15</v>
      </c>
      <c r="K33" s="5">
        <v>1</v>
      </c>
      <c r="L33" s="8">
        <v>1</v>
      </c>
      <c r="M33" s="7">
        <v>15</v>
      </c>
      <c r="O33" s="5" t="s">
        <v>231</v>
      </c>
    </row>
    <row r="34" spans="1:16" x14ac:dyDescent="0.25">
      <c r="A34" s="4" t="s">
        <v>217</v>
      </c>
      <c r="B34" s="4" t="s">
        <v>227</v>
      </c>
      <c r="C34" s="5" t="s">
        <v>187</v>
      </c>
      <c r="D34" s="5">
        <v>17094718</v>
      </c>
      <c r="E34" s="5" t="s">
        <v>189</v>
      </c>
      <c r="F34" s="5" t="s">
        <v>190</v>
      </c>
      <c r="G34" s="5" t="s">
        <v>50</v>
      </c>
      <c r="H34" s="6">
        <v>45778</v>
      </c>
      <c r="M34" s="5">
        <v>-10.050000000000001</v>
      </c>
      <c r="O34" s="5" t="s">
        <v>231</v>
      </c>
    </row>
    <row r="35" spans="1:16" x14ac:dyDescent="0.25">
      <c r="A35" s="4" t="s">
        <v>212</v>
      </c>
      <c r="B35" s="4" t="str">
        <f>CONCATENATE(A35,1)</f>
        <v>A043243271</v>
      </c>
      <c r="C35" s="5" t="s">
        <v>167</v>
      </c>
      <c r="D35" s="5">
        <v>9213293</v>
      </c>
      <c r="E35" s="5" t="s">
        <v>67</v>
      </c>
      <c r="F35" s="5" t="s">
        <v>49</v>
      </c>
      <c r="G35" s="5" t="s">
        <v>168</v>
      </c>
      <c r="H35" s="6">
        <v>45901</v>
      </c>
      <c r="I35" s="7">
        <v>0</v>
      </c>
      <c r="J35" s="7">
        <v>31.98</v>
      </c>
      <c r="K35" s="5">
        <v>9</v>
      </c>
      <c r="L35" s="8">
        <v>1</v>
      </c>
      <c r="M35" s="7">
        <v>287.82</v>
      </c>
      <c r="O35" s="5" t="s">
        <v>221</v>
      </c>
    </row>
    <row r="36" spans="1:16" x14ac:dyDescent="0.25">
      <c r="A36" s="4" t="s">
        <v>215</v>
      </c>
      <c r="B36" s="4" t="str">
        <f t="shared" ref="B36:B39" si="1">CONCATENATE(A36,1)</f>
        <v>A043262381</v>
      </c>
      <c r="C36" s="5" t="s">
        <v>177</v>
      </c>
      <c r="D36" s="5">
        <v>20724564</v>
      </c>
      <c r="E36" s="5" t="s">
        <v>91</v>
      </c>
      <c r="F36" s="5" t="s">
        <v>49</v>
      </c>
      <c r="G36" s="5" t="s">
        <v>178</v>
      </c>
      <c r="H36" s="6">
        <v>45931</v>
      </c>
      <c r="I36" s="7">
        <v>0</v>
      </c>
      <c r="J36" s="7">
        <v>31.02</v>
      </c>
      <c r="K36" s="5">
        <v>9</v>
      </c>
      <c r="L36" s="8">
        <v>1</v>
      </c>
      <c r="M36" s="7">
        <v>279.18</v>
      </c>
      <c r="O36" s="5" t="s">
        <v>220</v>
      </c>
    </row>
    <row r="37" spans="1:16" x14ac:dyDescent="0.25">
      <c r="A37" s="4" t="s">
        <v>216</v>
      </c>
      <c r="B37" s="4" t="str">
        <f t="shared" si="1"/>
        <v>A043264011</v>
      </c>
      <c r="C37" s="5" t="s">
        <v>180</v>
      </c>
      <c r="D37" s="5">
        <v>17195620</v>
      </c>
      <c r="E37" s="5" t="s">
        <v>183</v>
      </c>
      <c r="F37" s="5" t="s">
        <v>49</v>
      </c>
      <c r="G37" s="5" t="s">
        <v>184</v>
      </c>
      <c r="H37" s="6">
        <v>45901</v>
      </c>
      <c r="I37" s="7">
        <v>0</v>
      </c>
      <c r="J37" s="7">
        <v>30</v>
      </c>
      <c r="K37" s="5">
        <v>9</v>
      </c>
      <c r="L37" s="8">
        <v>1</v>
      </c>
      <c r="M37" s="7">
        <v>270</v>
      </c>
      <c r="O37" s="5" t="s">
        <v>222</v>
      </c>
    </row>
    <row r="38" spans="1:16" x14ac:dyDescent="0.25">
      <c r="A38" s="4" t="s">
        <v>213</v>
      </c>
      <c r="B38" s="4" t="str">
        <f t="shared" si="1"/>
        <v>A043253341</v>
      </c>
      <c r="C38" s="5" t="s">
        <v>170</v>
      </c>
      <c r="D38" s="5">
        <v>17425766</v>
      </c>
      <c r="E38" s="5" t="s">
        <v>172</v>
      </c>
      <c r="F38" s="5" t="s">
        <v>49</v>
      </c>
      <c r="G38" s="5" t="s">
        <v>173</v>
      </c>
      <c r="H38" s="6">
        <v>45962</v>
      </c>
      <c r="I38" s="7">
        <v>0</v>
      </c>
      <c r="J38" s="7">
        <v>31.02</v>
      </c>
      <c r="K38" s="5">
        <v>9</v>
      </c>
      <c r="L38" s="8">
        <v>1</v>
      </c>
      <c r="M38" s="7">
        <v>279.18</v>
      </c>
      <c r="O38" s="5" t="s">
        <v>220</v>
      </c>
    </row>
    <row r="39" spans="1:16" x14ac:dyDescent="0.25">
      <c r="A39" s="4" t="s">
        <v>214</v>
      </c>
      <c r="B39" s="4" t="str">
        <f t="shared" si="1"/>
        <v>A043253361</v>
      </c>
      <c r="C39" s="5" t="s">
        <v>175</v>
      </c>
      <c r="D39" s="5">
        <v>17425766</v>
      </c>
      <c r="E39" s="5" t="s">
        <v>172</v>
      </c>
      <c r="F39" s="5" t="s">
        <v>49</v>
      </c>
      <c r="G39" s="5" t="s">
        <v>173</v>
      </c>
      <c r="H39" s="6">
        <v>45901</v>
      </c>
      <c r="I39" s="7">
        <v>0</v>
      </c>
      <c r="J39" s="7">
        <v>31.02</v>
      </c>
      <c r="K39" s="5">
        <v>9</v>
      </c>
      <c r="L39" s="8">
        <v>1</v>
      </c>
      <c r="M39" s="7">
        <v>279.18</v>
      </c>
      <c r="O39" s="5" t="s">
        <v>220</v>
      </c>
    </row>
    <row r="40" spans="1:16" x14ac:dyDescent="0.25">
      <c r="A40" s="4" t="s">
        <v>211</v>
      </c>
      <c r="B40" s="4" t="s">
        <v>228</v>
      </c>
      <c r="C40" s="5" t="s">
        <v>160</v>
      </c>
      <c r="D40" s="5">
        <v>20411454</v>
      </c>
      <c r="E40" s="5" t="s">
        <v>226</v>
      </c>
      <c r="F40" s="5" t="s">
        <v>49</v>
      </c>
      <c r="G40" s="5" t="s">
        <v>165</v>
      </c>
      <c r="H40" s="6">
        <v>45901</v>
      </c>
      <c r="I40" s="7">
        <v>0</v>
      </c>
      <c r="J40" s="7">
        <v>113</v>
      </c>
      <c r="K40" s="5">
        <v>1</v>
      </c>
      <c r="L40" s="8">
        <v>1</v>
      </c>
      <c r="M40" s="7">
        <v>113</v>
      </c>
      <c r="O40" s="5" t="s">
        <v>223</v>
      </c>
    </row>
    <row r="41" spans="1:16" x14ac:dyDescent="0.25">
      <c r="A41" s="4">
        <v>945448053</v>
      </c>
      <c r="B41" s="4" t="str">
        <f>CONCATENATE(A41,1)</f>
        <v>9454480531</v>
      </c>
      <c r="C41" s="5" t="s">
        <v>160</v>
      </c>
      <c r="D41" s="5">
        <v>18581063</v>
      </c>
      <c r="E41" s="5" t="s">
        <v>162</v>
      </c>
      <c r="F41" s="5" t="s">
        <v>49</v>
      </c>
      <c r="G41" s="5" t="s">
        <v>163</v>
      </c>
      <c r="H41" s="6">
        <v>45901</v>
      </c>
      <c r="I41" s="7">
        <v>0</v>
      </c>
      <c r="J41" s="7">
        <v>104.33</v>
      </c>
      <c r="K41" s="5">
        <v>1</v>
      </c>
      <c r="L41" s="8">
        <v>1</v>
      </c>
      <c r="M41" s="7">
        <v>104.33</v>
      </c>
      <c r="N41" s="5" t="s">
        <v>130</v>
      </c>
      <c r="O41" s="5" t="s">
        <v>224</v>
      </c>
      <c r="P41" s="5" t="s">
        <v>225</v>
      </c>
    </row>
  </sheetData>
  <sortState xmlns:xlrd2="http://schemas.microsoft.com/office/spreadsheetml/2017/richdata2" ref="A2:AM41">
    <sortCondition ref="G2:G4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 Business Agent Statement - 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2025-09-11T17:39:30Z</dcterms:created>
  <dcterms:modified xsi:type="dcterms:W3CDTF">2025-09-12T12:19:57Z</dcterms:modified>
</cp:coreProperties>
</file>