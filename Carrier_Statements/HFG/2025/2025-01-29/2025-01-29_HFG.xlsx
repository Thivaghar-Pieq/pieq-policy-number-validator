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-29-25\"/>
    </mc:Choice>
  </mc:AlternateContent>
  <xr:revisionPtr revIDLastSave="0" documentId="13_ncr:1_{3A4AB8EF-5096-4C05-AF51-C6BEA45C8725}" xr6:coauthVersionLast="47" xr6:coauthVersionMax="47" xr10:uidLastSave="{00000000-0000-0000-0000-000000000000}"/>
  <bookViews>
    <workbookView xWindow="-28920" yWindow="1800" windowWidth="29040" windowHeight="15720" activeTab="2" xr2:uid="{604942A2-C5E8-B845-B7D3-3223AFD6E657}"/>
  </bookViews>
  <sheets>
    <sheet name="New Business Agent Statement - " sheetId="1" r:id="rId1"/>
    <sheet name="clean sheet" sheetId="2" r:id="rId2"/>
    <sheet name="UHC Med Su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2" l="1"/>
  <c r="B81" i="2"/>
  <c r="B82" i="2"/>
  <c r="B83" i="2"/>
  <c r="B7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84" i="2"/>
  <c r="B85" i="2"/>
  <c r="B2" i="2"/>
</calcChain>
</file>

<file path=xl/sharedStrings.xml><?xml version="1.0" encoding="utf-8"?>
<sst xmlns="http://schemas.openxmlformats.org/spreadsheetml/2006/main" count="2432" uniqueCount="387">
  <si>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</si>
  <si>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</si>
  <si>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</si>
  <si>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</si>
  <si>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</si>
  <si>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</si>
  <si>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</si>
  <si>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</si>
  <si>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</si>
  <si>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</si>
  <si>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</si>
  <si>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</si>
  <si>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</si>
  <si>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</si>
  <si>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</si>
  <si>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</si>
  <si>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</si>
  <si>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</si>
  <si>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</si>
  <si>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</si>
  <si>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</si>
  <si>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</si>
  <si>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</si>
  <si>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</si>
  <si>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</si>
  <si>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</si>
  <si>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</si>
  <si>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</si>
  <si>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</si>
  <si>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</si>
  <si>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</si>
  <si>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</si>
  <si>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</si>
  <si>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</si>
  <si>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</si>
  <si>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</si>
  <si>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</si>
  <si>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</si>
  <si>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</si>
  <si>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</si>
  <si>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</si>
  <si>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</si>
  <si>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</si>
  <si>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</si>
  <si>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'00009548051K</t>
  </si>
  <si>
    <t>KHAMPHONE CHANTHALA</t>
  </si>
  <si>
    <t>NA</t>
  </si>
  <si>
    <t>'043625</t>
  </si>
  <si>
    <t>PATSAMON THANADABOUTH</t>
  </si>
  <si>
    <t>ACTIVE</t>
  </si>
  <si>
    <t>Humana MA 2019+ Level 15- 175/108 Repl 2024</t>
  </si>
  <si>
    <t>Monthly</t>
  </si>
  <si>
    <t>AV</t>
  </si>
  <si>
    <t>$0.00</t>
  </si>
  <si>
    <t>$108.00</t>
  </si>
  <si>
    <t>'00010438260K</t>
  </si>
  <si>
    <t>VIDOSAVA MAISLINGER</t>
  </si>
  <si>
    <t>'045638</t>
  </si>
  <si>
    <t>RICHARD YALE</t>
  </si>
  <si>
    <t>Humana MA 2019+ Level 15- 175/108</t>
  </si>
  <si>
    <t>$175.00</t>
  </si>
  <si>
    <t>'00015921491K</t>
  </si>
  <si>
    <t>PHILIP TRAUSCH</t>
  </si>
  <si>
    <t>'00018587911K</t>
  </si>
  <si>
    <t>LINAS JABLONSKIS</t>
  </si>
  <si>
    <t>'045612</t>
  </si>
  <si>
    <t>ANTHONY HUNSBERGER</t>
  </si>
  <si>
    <t>'00018776777K</t>
  </si>
  <si>
    <t>YOLANDA HERRON</t>
  </si>
  <si>
    <t>'045709</t>
  </si>
  <si>
    <t>ESTHER HERRERA-LARSEN</t>
  </si>
  <si>
    <t>'00019550503K</t>
  </si>
  <si>
    <t>MARGUERITE REYES</t>
  </si>
  <si>
    <t>'045605</t>
  </si>
  <si>
    <t>GARY PORTUGAL</t>
  </si>
  <si>
    <t>'00019892298K</t>
  </si>
  <si>
    <t>MICHAEL TROTOCHAUD</t>
  </si>
  <si>
    <t>'045622</t>
  </si>
  <si>
    <t>JACOB YALE</t>
  </si>
  <si>
    <t>'00020653240K</t>
  </si>
  <si>
    <t>FELICIJA JABLONSKIS</t>
  </si>
  <si>
    <t>'00021097913K</t>
  </si>
  <si>
    <t>LINDA LEIGH</t>
  </si>
  <si>
    <t>'045618</t>
  </si>
  <si>
    <t>STEPHANIE DRAPAC</t>
  </si>
  <si>
    <t>'00021249134K</t>
  </si>
  <si>
    <t>SANDRA RODRIGUEZ</t>
  </si>
  <si>
    <t>'045601</t>
  </si>
  <si>
    <t>CAROL FOLEY</t>
  </si>
  <si>
    <t>'00022417706K</t>
  </si>
  <si>
    <t>MAXINE LOVE</t>
  </si>
  <si>
    <t>'045603</t>
  </si>
  <si>
    <t>ANDREW CHOI</t>
  </si>
  <si>
    <t>'00022478097K</t>
  </si>
  <si>
    <t>MICHAEL LOVE</t>
  </si>
  <si>
    <t>'00023000108K</t>
  </si>
  <si>
    <t>CHERYL GILBERT</t>
  </si>
  <si>
    <t>'043637</t>
  </si>
  <si>
    <t>CHRISTIAN TAUGNER</t>
  </si>
  <si>
    <t>'00023001038K</t>
  </si>
  <si>
    <t>TIMOTHY DONNELLY</t>
  </si>
  <si>
    <t>'043611</t>
  </si>
  <si>
    <t>TIMOTHY POWERS</t>
  </si>
  <si>
    <t>$50.00</t>
  </si>
  <si>
    <t>'00023005723K</t>
  </si>
  <si>
    <t>WAYNE WEAVER</t>
  </si>
  <si>
    <t>'043682</t>
  </si>
  <si>
    <t>GREGORY TEIPEL</t>
  </si>
  <si>
    <t>'00023007910K</t>
  </si>
  <si>
    <t>SYLVIA BRAY</t>
  </si>
  <si>
    <t>'00023011457K</t>
  </si>
  <si>
    <t>DAVID COMOLLI</t>
  </si>
  <si>
    <t>'043969</t>
  </si>
  <si>
    <t>STACEY PORTUGAL</t>
  </si>
  <si>
    <t>'00023014557K</t>
  </si>
  <si>
    <t>KAREN KNOWLES</t>
  </si>
  <si>
    <t>'00023014721K</t>
  </si>
  <si>
    <t>MINDY SEGERMEISTER</t>
  </si>
  <si>
    <t>'00023018094KPDP</t>
  </si>
  <si>
    <t>DEBBIE RICE</t>
  </si>
  <si>
    <t>'043690</t>
  </si>
  <si>
    <t>THOMAS KUCAN</t>
  </si>
  <si>
    <t>Humana PDP 2019+ Level 15- 15/0</t>
  </si>
  <si>
    <t>$15.00</t>
  </si>
  <si>
    <t>'00023018904K</t>
  </si>
  <si>
    <t>DENNIS CONNERY</t>
  </si>
  <si>
    <t>'023023469</t>
  </si>
  <si>
    <t>CHARLES SIMS</t>
  </si>
  <si>
    <t>VA</t>
  </si>
  <si>
    <t>'043692</t>
  </si>
  <si>
    <t>ADAM RICHTER</t>
  </si>
  <si>
    <t>UHC PDP Street payable to upline - 2025 Replace</t>
  </si>
  <si>
    <t>$50.42</t>
  </si>
  <si>
    <t>11/12 PRORATE</t>
  </si>
  <si>
    <t>'023023469OV</t>
  </si>
  <si>
    <t>UHC PDP Direct 2024 New Initial Prorated</t>
  </si>
  <si>
    <t>'023027763</t>
  </si>
  <si>
    <t>ILENE MCKINNEY</t>
  </si>
  <si>
    <t>PA</t>
  </si>
  <si>
    <t>'043689</t>
  </si>
  <si>
    <t>ANNE MARIE KOZACHECK</t>
  </si>
  <si>
    <t>'023027763OV</t>
  </si>
  <si>
    <t>'101071963100</t>
  </si>
  <si>
    <t>BETTY HENRY</t>
  </si>
  <si>
    <t>Aetna MAPD NMO to GMO - 4-1-23+  Replace E-App</t>
  </si>
  <si>
    <t>$45.83</t>
  </si>
  <si>
    <t>'101087826100</t>
  </si>
  <si>
    <t>FAITH CATAFFA</t>
  </si>
  <si>
    <t>'043679</t>
  </si>
  <si>
    <t>DEBORAH INSKIPT</t>
  </si>
  <si>
    <t>'101120497900</t>
  </si>
  <si>
    <t>MARGARETTA WASHINGTON</t>
  </si>
  <si>
    <t>'101137736000</t>
  </si>
  <si>
    <t>TERRACE DYER</t>
  </si>
  <si>
    <t>IL</t>
  </si>
  <si>
    <t>'045607</t>
  </si>
  <si>
    <t>PAMELA DEATON</t>
  </si>
  <si>
    <t>'101137742600</t>
  </si>
  <si>
    <t>NANCI DYER</t>
  </si>
  <si>
    <t>'101229950700</t>
  </si>
  <si>
    <t>JOAN BOURKE</t>
  </si>
  <si>
    <t>'101254642600</t>
  </si>
  <si>
    <t>JUDITH SELDESS</t>
  </si>
  <si>
    <t>'041686</t>
  </si>
  <si>
    <t>DALE WALENGA</t>
  </si>
  <si>
    <t>'101272930900</t>
  </si>
  <si>
    <t>MICHAEL FARNSWORTH</t>
  </si>
  <si>
    <t>'101279757100</t>
  </si>
  <si>
    <t>PETER POULOS</t>
  </si>
  <si>
    <t>'045611</t>
  </si>
  <si>
    <t>FRANK LISKOVEC</t>
  </si>
  <si>
    <t>'101475792600</t>
  </si>
  <si>
    <t>ROSETTA SHAW</t>
  </si>
  <si>
    <t>'043740</t>
  </si>
  <si>
    <t>RANDY TAPPER</t>
  </si>
  <si>
    <t>'101481177300</t>
  </si>
  <si>
    <t>SANTO BONAFEDE</t>
  </si>
  <si>
    <t>'101509863500</t>
  </si>
  <si>
    <t>LOUIS ROBAKIS</t>
  </si>
  <si>
    <t>'101867303600</t>
  </si>
  <si>
    <t>SYLVIA PANEBIANCO</t>
  </si>
  <si>
    <t>DE</t>
  </si>
  <si>
    <t>'043713</t>
  </si>
  <si>
    <t>JOEL LEE</t>
  </si>
  <si>
    <t>Aetna MAPD NMO to GMO - 4-1-23+  New E-App</t>
  </si>
  <si>
    <t>'102028519700</t>
  </si>
  <si>
    <t>TOMMY SCHMITZ</t>
  </si>
  <si>
    <t>MO</t>
  </si>
  <si>
    <t>'102085775200</t>
  </si>
  <si>
    <t>JON KOSKI</t>
  </si>
  <si>
    <t>MI</t>
  </si>
  <si>
    <t>'102095301000</t>
  </si>
  <si>
    <t>BRAD SCHWENK</t>
  </si>
  <si>
    <t>'043691</t>
  </si>
  <si>
    <t>MICHELLE MCCORKLE</t>
  </si>
  <si>
    <t>'102112669400</t>
  </si>
  <si>
    <t>VERNADEAN TOT</t>
  </si>
  <si>
    <t>'102124675200</t>
  </si>
  <si>
    <t>JANET LOPRESTI</t>
  </si>
  <si>
    <t>'102130874100</t>
  </si>
  <si>
    <t>KIMBERLEIGH MOTYKA</t>
  </si>
  <si>
    <t>'102134594100</t>
  </si>
  <si>
    <t>DEBORA KLEIN</t>
  </si>
  <si>
    <t>CO</t>
  </si>
  <si>
    <t>'102134596300</t>
  </si>
  <si>
    <t>THOMAS KLEIN</t>
  </si>
  <si>
    <t>'102135098200</t>
  </si>
  <si>
    <t>CAROLE POWER</t>
  </si>
  <si>
    <t>$37.50</t>
  </si>
  <si>
    <t>9/12 PRORATE</t>
  </si>
  <si>
    <t>'102135574000</t>
  </si>
  <si>
    <t>CATHERINE BETKA</t>
  </si>
  <si>
    <t>'102135585900</t>
  </si>
  <si>
    <t>VELMA WILLIAMS</t>
  </si>
  <si>
    <t>'102136243000</t>
  </si>
  <si>
    <t>WILLIAM FLEMING</t>
  </si>
  <si>
    <t>AL</t>
  </si>
  <si>
    <t>'102136258200</t>
  </si>
  <si>
    <t>LORETTA OKUNGBOWA</t>
  </si>
  <si>
    <t>TX</t>
  </si>
  <si>
    <t>'102136696000</t>
  </si>
  <si>
    <t>LINDA YOUNG</t>
  </si>
  <si>
    <t>$41.67</t>
  </si>
  <si>
    <t>10/12 PRORATE</t>
  </si>
  <si>
    <t>'102136755100</t>
  </si>
  <si>
    <t>JAMES YOUNG</t>
  </si>
  <si>
    <t>'102136760300</t>
  </si>
  <si>
    <t>JEFFREY NOULLET</t>
  </si>
  <si>
    <t>'102136793200</t>
  </si>
  <si>
    <t>APRIL WINN</t>
  </si>
  <si>
    <t>'102137196000</t>
  </si>
  <si>
    <t>QUEENAH SONYAH</t>
  </si>
  <si>
    <t>'043743</t>
  </si>
  <si>
    <t>FREDERICK GBASSANA</t>
  </si>
  <si>
    <t>'102137220900</t>
  </si>
  <si>
    <t>THOMAS ESSIG</t>
  </si>
  <si>
    <t>'102137252400</t>
  </si>
  <si>
    <t>CHRISTINE BAINE</t>
  </si>
  <si>
    <t>'102137272900</t>
  </si>
  <si>
    <t>JOHN GALIOTO</t>
  </si>
  <si>
    <t>'043629</t>
  </si>
  <si>
    <t>PAUL ROBINSON</t>
  </si>
  <si>
    <t>'2P35MK1CM91</t>
  </si>
  <si>
    <t>BRIAN BARR</t>
  </si>
  <si>
    <t>Wellcare MA 2025 SGA</t>
  </si>
  <si>
    <t>$150.00</t>
  </si>
  <si>
    <t>'48L8X7R44</t>
  </si>
  <si>
    <t>MARTHA BURT</t>
  </si>
  <si>
    <t>AZ</t>
  </si>
  <si>
    <t>'043633</t>
  </si>
  <si>
    <t>RICHARD WUENSCH</t>
  </si>
  <si>
    <t>Cigna MAPD FMO to GA 1-1-19+ - New</t>
  </si>
  <si>
    <t>$100.00</t>
  </si>
  <si>
    <t>'5R83P54NJ13</t>
  </si>
  <si>
    <t>JOANNE BARDER</t>
  </si>
  <si>
    <t>'043585</t>
  </si>
  <si>
    <t>PETER RICHTER</t>
  </si>
  <si>
    <t>'939827006</t>
  </si>
  <si>
    <t>BABETTE MEEK</t>
  </si>
  <si>
    <t>FL</t>
  </si>
  <si>
    <t>UHC MAPD Street payable to upline - 2025 New</t>
  </si>
  <si>
    <t>$626.00</t>
  </si>
  <si>
    <t>'939827006OV</t>
  </si>
  <si>
    <t>UHC MA Direct 2024 New Full</t>
  </si>
  <si>
    <t>'982728123</t>
  </si>
  <si>
    <t>PAMELA GARZA</t>
  </si>
  <si>
    <t>UHC MAPD Street payable to upline- 2025 Replace</t>
  </si>
  <si>
    <t>$286.92</t>
  </si>
  <si>
    <t>'982728123OV</t>
  </si>
  <si>
    <t>UHC MA Direct 2024 New Initial Prorated</t>
  </si>
  <si>
    <t>$66.00</t>
  </si>
  <si>
    <t>'A04212407</t>
  </si>
  <si>
    <t>UHC AARP Med Supp PA Area 1 2024- Plan  B F G</t>
  </si>
  <si>
    <t>$337.50</t>
  </si>
  <si>
    <t>'A04213560</t>
  </si>
  <si>
    <t>BEN CORTEZ</t>
  </si>
  <si>
    <t>UHC AARP Med Supp IL Area 1- Plan  B C F G</t>
  </si>
  <si>
    <t>$31.98</t>
  </si>
  <si>
    <t>$287.82</t>
  </si>
  <si>
    <t>CB</t>
  </si>
  <si>
    <t>'00002268815KPC</t>
  </si>
  <si>
    <t>RICARDO CASTELLANO</t>
  </si>
  <si>
    <t>CHARGEBACK</t>
  </si>
  <si>
    <t>$99.36</t>
  </si>
  <si>
    <t>'00008587923KPC</t>
  </si>
  <si>
    <t>HEIDI RUELOS</t>
  </si>
  <si>
    <t>$161.00</t>
  </si>
  <si>
    <t>'00012290150KPC</t>
  </si>
  <si>
    <t>VICKY DOWNS</t>
  </si>
  <si>
    <t>'00015921491KPC</t>
  </si>
  <si>
    <t>'00019371558KPC</t>
  </si>
  <si>
    <t>DARRELL ANDREWS</t>
  </si>
  <si>
    <t>'043705</t>
  </si>
  <si>
    <t>MICHAEL DUNAVANT</t>
  </si>
  <si>
    <t>'00019388448KPC</t>
  </si>
  <si>
    <t>CYNTHIA TRAUSCH</t>
  </si>
  <si>
    <t>'00022472812KPDPCB</t>
  </si>
  <si>
    <t>DORIS MCCALL-KAMERER</t>
  </si>
  <si>
    <t>'00022600289KPC</t>
  </si>
  <si>
    <t>GAY LAWRENCE</t>
  </si>
  <si>
    <t>'00022799835KPC</t>
  </si>
  <si>
    <t>ANDREW SCHAEFFER</t>
  </si>
  <si>
    <t>'045632</t>
  </si>
  <si>
    <t>BARRY SCHUMANN</t>
  </si>
  <si>
    <t>'102057277900CB</t>
  </si>
  <si>
    <t>DENISE GORHAM</t>
  </si>
  <si>
    <t>'102065679400CB</t>
  </si>
  <si>
    <t>MARIBETH KIMBER</t>
  </si>
  <si>
    <t>IA</t>
  </si>
  <si>
    <t>'102085775200CB</t>
  </si>
  <si>
    <t>'102095301000CB</t>
  </si>
  <si>
    <t>'102110200000CB</t>
  </si>
  <si>
    <t>ABDERRAHMANE KADRI</t>
  </si>
  <si>
    <t>'102112669400CB</t>
  </si>
  <si>
    <t>'102124675200CB</t>
  </si>
  <si>
    <t>'102130874100CB</t>
  </si>
  <si>
    <t>'614W13756PC</t>
  </si>
  <si>
    <t>DYWANNA CALLOWAY</t>
  </si>
  <si>
    <t>Anthem MA 2023</t>
  </si>
  <si>
    <t>$116.67</t>
  </si>
  <si>
    <t>'952774192CB</t>
  </si>
  <si>
    <t>SCOT STOLTZ</t>
  </si>
  <si>
    <t>UHC MAPD Street payable to upline - 2024 New</t>
  </si>
  <si>
    <t>$611.00</t>
  </si>
  <si>
    <t>'952774192OVCB</t>
  </si>
  <si>
    <t>00009548051K</t>
  </si>
  <si>
    <t>00010438260K</t>
  </si>
  <si>
    <t>00015921491K</t>
  </si>
  <si>
    <t>00018587911K</t>
  </si>
  <si>
    <t>00018776777K</t>
  </si>
  <si>
    <t>00019550503K</t>
  </si>
  <si>
    <t>00019892298K</t>
  </si>
  <si>
    <t>00020653240K</t>
  </si>
  <si>
    <t>00021097913K</t>
  </si>
  <si>
    <t>00021249134K</t>
  </si>
  <si>
    <t>00022417706K</t>
  </si>
  <si>
    <t>00022478097K</t>
  </si>
  <si>
    <t>00023000108K</t>
  </si>
  <si>
    <t>00023001038K</t>
  </si>
  <si>
    <t>00023005723K</t>
  </si>
  <si>
    <t>00023007910K</t>
  </si>
  <si>
    <t>00023011457K</t>
  </si>
  <si>
    <t>00023014557K</t>
  </si>
  <si>
    <t>00023014721K</t>
  </si>
  <si>
    <t>00023018094KPDP</t>
  </si>
  <si>
    <t>00023018904K</t>
  </si>
  <si>
    <t>2P35MK1CM91</t>
  </si>
  <si>
    <t>48L8X7R44</t>
  </si>
  <si>
    <t>5R83P54NJ13</t>
  </si>
  <si>
    <t>939827006OV</t>
  </si>
  <si>
    <t>982728123OV</t>
  </si>
  <si>
    <t>A04212407</t>
  </si>
  <si>
    <t>A04213560</t>
  </si>
  <si>
    <t>00002268815KPC</t>
  </si>
  <si>
    <t>00008587923KPC</t>
  </si>
  <si>
    <t>00012290150KPC</t>
  </si>
  <si>
    <t>00015921491KPC</t>
  </si>
  <si>
    <t>00019371558KPC</t>
  </si>
  <si>
    <t>00019388448KPC</t>
  </si>
  <si>
    <t>00022472812KPDPCB</t>
  </si>
  <si>
    <t>00022600289KPC</t>
  </si>
  <si>
    <t>00022799835KPC</t>
  </si>
  <si>
    <t>102057277900CB</t>
  </si>
  <si>
    <t>102065679400CB</t>
  </si>
  <si>
    <t>102085775200CB</t>
  </si>
  <si>
    <t>102095301000CB</t>
  </si>
  <si>
    <t>102110200000CB</t>
  </si>
  <si>
    <t>102112669400CB</t>
  </si>
  <si>
    <t>102124675200CB</t>
  </si>
  <si>
    <t>102130874100CB</t>
  </si>
  <si>
    <t>614W13756PC</t>
  </si>
  <si>
    <t>952774192CB</t>
  </si>
  <si>
    <t>952774192OVCB</t>
  </si>
  <si>
    <t>Aetna MAPD OVR 2025</t>
  </si>
  <si>
    <t>Anthem ovr</t>
  </si>
  <si>
    <t>Cigna MAPD 2025 Ovr</t>
  </si>
  <si>
    <t>Humana MAPD OVR 2025</t>
  </si>
  <si>
    <t>UHC PDP 2025!</t>
  </si>
  <si>
    <t>UHC MAPD Ovr 2025</t>
  </si>
  <si>
    <t>UHC 2025</t>
  </si>
  <si>
    <t>UHC 2025*</t>
  </si>
  <si>
    <t>UHC MAPD Nat 2024!</t>
  </si>
  <si>
    <t>Wellcare Ovr</t>
  </si>
  <si>
    <t>[%/$=313][prorate=11/12]</t>
  </si>
  <si>
    <t>Main Line Benefits</t>
  </si>
  <si>
    <t>UHC AARP MS PA Area 1 2024- Plan B F G</t>
  </si>
  <si>
    <t>UHC AARP MS IL Area 1-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</si>
</sst>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42" applyNumberFormat="1" applyFont="1"/>
    <xf numFmtId="0" fontId="0" fillId="0" borderId="0" xfId="42" applyNumberFormat="1" applyFont="1" applyFill="1"/>
    <xf numFmtId="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1C83-FE2E-5A4C-B2EC-21A4465344E0}">
  <dimension ref="A1:AL89"/>
  <sheetViews>
    <sheetView topLeftCell="D1" workbookViewId="0">
      <selection activeCell="D69" sqref="A68:XFD69"/>
    </sheetView>
  </sheetViews>
  <sheetFormatPr defaultColWidth="11" defaultRowHeight="15.75" x14ac:dyDescent="0.25"/>
  <cols>
    <col min="18" max="18" width="43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45686</v>
      </c>
      <c r="B2" s="1">
        <v>45686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45689</v>
      </c>
      <c r="U2" t="s">
        <v>51</v>
      </c>
      <c r="X2" t="s">
        <v>52</v>
      </c>
      <c r="Y2" t="s">
        <v>53</v>
      </c>
      <c r="Z2" t="s">
        <v>54</v>
      </c>
      <c r="AA2">
        <v>1</v>
      </c>
      <c r="AB2" s="2">
        <v>1</v>
      </c>
      <c r="AC2" t="s">
        <v>54</v>
      </c>
      <c r="AD2" s="2">
        <v>0</v>
      </c>
      <c r="AE2" t="s">
        <v>53</v>
      </c>
      <c r="AF2" t="s">
        <v>54</v>
      </c>
      <c r="AK2">
        <v>4980488</v>
      </c>
    </row>
    <row r="3" spans="1:38" x14ac:dyDescent="0.25">
      <c r="A3" s="1">
        <v>45686</v>
      </c>
      <c r="B3" s="1">
        <v>45686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55</v>
      </c>
      <c r="J3" t="s">
        <v>56</v>
      </c>
      <c r="M3" t="s">
        <v>46</v>
      </c>
      <c r="O3" t="s">
        <v>57</v>
      </c>
      <c r="P3" t="s">
        <v>58</v>
      </c>
      <c r="Q3" t="s">
        <v>49</v>
      </c>
      <c r="R3" t="s">
        <v>59</v>
      </c>
      <c r="S3" s="1">
        <v>45658</v>
      </c>
      <c r="U3" t="s">
        <v>51</v>
      </c>
      <c r="X3" t="s">
        <v>52</v>
      </c>
      <c r="Y3" t="s">
        <v>53</v>
      </c>
      <c r="Z3" t="s">
        <v>60</v>
      </c>
      <c r="AA3">
        <v>1</v>
      </c>
      <c r="AB3" s="2">
        <v>1</v>
      </c>
      <c r="AC3" t="s">
        <v>60</v>
      </c>
      <c r="AD3" s="2">
        <v>0</v>
      </c>
      <c r="AE3" t="s">
        <v>53</v>
      </c>
      <c r="AF3" t="s">
        <v>60</v>
      </c>
      <c r="AK3">
        <v>4980545</v>
      </c>
    </row>
    <row r="4" spans="1:38" x14ac:dyDescent="0.25">
      <c r="A4" s="1">
        <v>45686</v>
      </c>
      <c r="B4" s="1">
        <v>45686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61</v>
      </c>
      <c r="J4" t="s">
        <v>62</v>
      </c>
      <c r="M4" t="s">
        <v>46</v>
      </c>
      <c r="O4" t="s">
        <v>57</v>
      </c>
      <c r="P4" t="s">
        <v>58</v>
      </c>
      <c r="Q4" t="s">
        <v>49</v>
      </c>
      <c r="R4" t="s">
        <v>50</v>
      </c>
      <c r="S4" s="1">
        <v>45689</v>
      </c>
      <c r="U4" t="s">
        <v>51</v>
      </c>
      <c r="X4" t="s">
        <v>52</v>
      </c>
      <c r="Y4" t="s">
        <v>53</v>
      </c>
      <c r="Z4" t="s">
        <v>54</v>
      </c>
      <c r="AA4">
        <v>1</v>
      </c>
      <c r="AB4" s="2">
        <v>1</v>
      </c>
      <c r="AC4" t="s">
        <v>54</v>
      </c>
      <c r="AD4" s="2">
        <v>0</v>
      </c>
      <c r="AE4" t="s">
        <v>53</v>
      </c>
      <c r="AF4" t="s">
        <v>54</v>
      </c>
      <c r="AK4">
        <v>4980493</v>
      </c>
    </row>
    <row r="5" spans="1:38" x14ac:dyDescent="0.25">
      <c r="A5" s="1">
        <v>45686</v>
      </c>
      <c r="B5" s="1">
        <v>45686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46</v>
      </c>
      <c r="O5" t="s">
        <v>65</v>
      </c>
      <c r="P5" t="s">
        <v>66</v>
      </c>
      <c r="Q5" t="s">
        <v>49</v>
      </c>
      <c r="R5" t="s">
        <v>59</v>
      </c>
      <c r="S5" s="1">
        <v>45689</v>
      </c>
      <c r="U5" t="s">
        <v>51</v>
      </c>
      <c r="X5" t="s">
        <v>52</v>
      </c>
      <c r="Y5" t="s">
        <v>53</v>
      </c>
      <c r="Z5" t="s">
        <v>60</v>
      </c>
      <c r="AA5">
        <v>1</v>
      </c>
      <c r="AB5" s="2">
        <v>1</v>
      </c>
      <c r="AC5" t="s">
        <v>60</v>
      </c>
      <c r="AD5" s="2">
        <v>0</v>
      </c>
      <c r="AE5" t="s">
        <v>53</v>
      </c>
      <c r="AF5" t="s">
        <v>60</v>
      </c>
      <c r="AK5">
        <v>4980559</v>
      </c>
    </row>
    <row r="6" spans="1:38" x14ac:dyDescent="0.25">
      <c r="A6" s="1">
        <v>45686</v>
      </c>
      <c r="B6" s="1">
        <v>45686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46</v>
      </c>
      <c r="O6" t="s">
        <v>69</v>
      </c>
      <c r="P6" t="s">
        <v>70</v>
      </c>
      <c r="Q6" t="s">
        <v>49</v>
      </c>
      <c r="R6" t="s">
        <v>59</v>
      </c>
      <c r="S6" s="1">
        <v>45689</v>
      </c>
      <c r="U6" t="s">
        <v>51</v>
      </c>
      <c r="X6" t="s">
        <v>52</v>
      </c>
      <c r="Y6" t="s">
        <v>53</v>
      </c>
      <c r="Z6" t="s">
        <v>60</v>
      </c>
      <c r="AA6">
        <v>1</v>
      </c>
      <c r="AB6" s="2">
        <v>1</v>
      </c>
      <c r="AC6" t="s">
        <v>60</v>
      </c>
      <c r="AD6" s="2">
        <v>0</v>
      </c>
      <c r="AE6" t="s">
        <v>53</v>
      </c>
      <c r="AF6" t="s">
        <v>60</v>
      </c>
      <c r="AK6">
        <v>4980560</v>
      </c>
    </row>
    <row r="7" spans="1:38" x14ac:dyDescent="0.25">
      <c r="A7" s="1">
        <v>45686</v>
      </c>
      <c r="B7" s="1">
        <v>45686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46</v>
      </c>
      <c r="O7" t="s">
        <v>73</v>
      </c>
      <c r="P7" t="s">
        <v>74</v>
      </c>
      <c r="Q7" t="s">
        <v>49</v>
      </c>
      <c r="R7" t="s">
        <v>50</v>
      </c>
      <c r="S7" s="1">
        <v>45689</v>
      </c>
      <c r="U7" t="s">
        <v>51</v>
      </c>
      <c r="X7" t="s">
        <v>52</v>
      </c>
      <c r="Y7" t="s">
        <v>53</v>
      </c>
      <c r="Z7" t="s">
        <v>54</v>
      </c>
      <c r="AA7">
        <v>1</v>
      </c>
      <c r="AB7" s="2">
        <v>1</v>
      </c>
      <c r="AC7" t="s">
        <v>54</v>
      </c>
      <c r="AD7" s="2">
        <v>0</v>
      </c>
      <c r="AE7" t="s">
        <v>53</v>
      </c>
      <c r="AF7" t="s">
        <v>54</v>
      </c>
      <c r="AK7">
        <v>4980508</v>
      </c>
    </row>
    <row r="8" spans="1:38" x14ac:dyDescent="0.25">
      <c r="A8" s="1">
        <v>45686</v>
      </c>
      <c r="B8" s="1">
        <v>45686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46</v>
      </c>
      <c r="O8" t="s">
        <v>77</v>
      </c>
      <c r="P8" t="s">
        <v>78</v>
      </c>
      <c r="Q8" t="s">
        <v>49</v>
      </c>
      <c r="R8" t="s">
        <v>50</v>
      </c>
      <c r="S8" s="1">
        <v>45689</v>
      </c>
      <c r="U8" t="s">
        <v>51</v>
      </c>
      <c r="X8" t="s">
        <v>52</v>
      </c>
      <c r="Y8" t="s">
        <v>53</v>
      </c>
      <c r="Z8" t="s">
        <v>54</v>
      </c>
      <c r="AA8">
        <v>1</v>
      </c>
      <c r="AB8" s="2">
        <v>1</v>
      </c>
      <c r="AC8" t="s">
        <v>54</v>
      </c>
      <c r="AD8" s="2">
        <v>0</v>
      </c>
      <c r="AE8" t="s">
        <v>53</v>
      </c>
      <c r="AF8" t="s">
        <v>54</v>
      </c>
      <c r="AK8">
        <v>4980509</v>
      </c>
    </row>
    <row r="9" spans="1:38" x14ac:dyDescent="0.25">
      <c r="A9" s="1">
        <v>45686</v>
      </c>
      <c r="B9" s="1">
        <v>45686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46</v>
      </c>
      <c r="O9" t="s">
        <v>65</v>
      </c>
      <c r="P9" t="s">
        <v>66</v>
      </c>
      <c r="Q9" t="s">
        <v>49</v>
      </c>
      <c r="R9" t="s">
        <v>59</v>
      </c>
      <c r="S9" s="1">
        <v>45689</v>
      </c>
      <c r="U9" t="s">
        <v>51</v>
      </c>
      <c r="X9" t="s">
        <v>52</v>
      </c>
      <c r="Y9" t="s">
        <v>53</v>
      </c>
      <c r="Z9" t="s">
        <v>60</v>
      </c>
      <c r="AA9">
        <v>1</v>
      </c>
      <c r="AB9" s="2">
        <v>1</v>
      </c>
      <c r="AC9" t="s">
        <v>60</v>
      </c>
      <c r="AD9" s="2">
        <v>0</v>
      </c>
      <c r="AE9" t="s">
        <v>53</v>
      </c>
      <c r="AF9" t="s">
        <v>60</v>
      </c>
      <c r="AK9">
        <v>4980571</v>
      </c>
    </row>
    <row r="10" spans="1:38" x14ac:dyDescent="0.25">
      <c r="A10" s="1">
        <v>45686</v>
      </c>
      <c r="B10" s="1">
        <v>45686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83</v>
      </c>
      <c r="P10" t="s">
        <v>84</v>
      </c>
      <c r="Q10" t="s">
        <v>49</v>
      </c>
      <c r="R10" t="s">
        <v>50</v>
      </c>
      <c r="S10" s="1">
        <v>45689</v>
      </c>
      <c r="U10" t="s">
        <v>51</v>
      </c>
      <c r="X10" t="s">
        <v>52</v>
      </c>
      <c r="Y10" t="s">
        <v>53</v>
      </c>
      <c r="Z10" t="s">
        <v>54</v>
      </c>
      <c r="AA10">
        <v>1</v>
      </c>
      <c r="AB10" s="2">
        <v>1</v>
      </c>
      <c r="AC10" t="s">
        <v>54</v>
      </c>
      <c r="AD10" s="2">
        <v>0</v>
      </c>
      <c r="AE10" t="s">
        <v>53</v>
      </c>
      <c r="AF10" t="s">
        <v>54</v>
      </c>
      <c r="AK10">
        <v>4980516</v>
      </c>
    </row>
    <row r="11" spans="1:38" x14ac:dyDescent="0.25">
      <c r="A11" s="1">
        <v>45686</v>
      </c>
      <c r="B11" s="1">
        <v>45686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46</v>
      </c>
      <c r="O11" t="s">
        <v>87</v>
      </c>
      <c r="P11" t="s">
        <v>88</v>
      </c>
      <c r="Q11" t="s">
        <v>49</v>
      </c>
      <c r="R11" t="s">
        <v>50</v>
      </c>
      <c r="S11" s="1">
        <v>45689</v>
      </c>
      <c r="U11" t="s">
        <v>51</v>
      </c>
      <c r="X11" t="s">
        <v>52</v>
      </c>
      <c r="Y11" t="s">
        <v>53</v>
      </c>
      <c r="Z11" t="s">
        <v>54</v>
      </c>
      <c r="AA11">
        <v>1</v>
      </c>
      <c r="AB11" s="2">
        <v>1</v>
      </c>
      <c r="AC11" t="s">
        <v>54</v>
      </c>
      <c r="AD11" s="2">
        <v>0</v>
      </c>
      <c r="AE11" t="s">
        <v>53</v>
      </c>
      <c r="AF11" t="s">
        <v>54</v>
      </c>
      <c r="AK11">
        <v>4980517</v>
      </c>
    </row>
    <row r="12" spans="1:38" x14ac:dyDescent="0.25">
      <c r="A12" s="1">
        <v>45686</v>
      </c>
      <c r="B12" s="1">
        <v>45686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89</v>
      </c>
      <c r="J12" t="s">
        <v>90</v>
      </c>
      <c r="M12" t="s">
        <v>46</v>
      </c>
      <c r="O12" t="s">
        <v>91</v>
      </c>
      <c r="P12" t="s">
        <v>92</v>
      </c>
      <c r="Q12" t="s">
        <v>49</v>
      </c>
      <c r="R12" t="s">
        <v>50</v>
      </c>
      <c r="S12" s="1">
        <v>45689</v>
      </c>
      <c r="U12" t="s">
        <v>51</v>
      </c>
      <c r="X12" t="s">
        <v>52</v>
      </c>
      <c r="Y12" t="s">
        <v>53</v>
      </c>
      <c r="Z12" t="s">
        <v>54</v>
      </c>
      <c r="AA12">
        <v>1</v>
      </c>
      <c r="AB12" s="2">
        <v>1</v>
      </c>
      <c r="AC12" t="s">
        <v>54</v>
      </c>
      <c r="AD12" s="2">
        <v>0</v>
      </c>
      <c r="AE12" t="s">
        <v>53</v>
      </c>
      <c r="AF12" t="s">
        <v>54</v>
      </c>
      <c r="AK12">
        <v>4980523</v>
      </c>
    </row>
    <row r="13" spans="1:38" x14ac:dyDescent="0.25">
      <c r="A13" s="1">
        <v>45686</v>
      </c>
      <c r="B13" s="1">
        <v>45686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46</v>
      </c>
      <c r="O13" t="s">
        <v>91</v>
      </c>
      <c r="P13" t="s">
        <v>92</v>
      </c>
      <c r="Q13" t="s">
        <v>49</v>
      </c>
      <c r="R13" t="s">
        <v>50</v>
      </c>
      <c r="S13" s="1">
        <v>45689</v>
      </c>
      <c r="U13" t="s">
        <v>51</v>
      </c>
      <c r="X13" t="s">
        <v>52</v>
      </c>
      <c r="Y13" t="s">
        <v>53</v>
      </c>
      <c r="Z13" t="s">
        <v>54</v>
      </c>
      <c r="AA13">
        <v>1</v>
      </c>
      <c r="AB13" s="2">
        <v>1</v>
      </c>
      <c r="AC13" t="s">
        <v>54</v>
      </c>
      <c r="AD13" s="2">
        <v>0</v>
      </c>
      <c r="AE13" t="s">
        <v>53</v>
      </c>
      <c r="AF13" t="s">
        <v>54</v>
      </c>
      <c r="AK13">
        <v>4980524</v>
      </c>
    </row>
    <row r="14" spans="1:38" x14ac:dyDescent="0.25">
      <c r="A14" s="1">
        <v>45686</v>
      </c>
      <c r="B14" s="1">
        <v>45686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97</v>
      </c>
      <c r="P14" t="s">
        <v>98</v>
      </c>
      <c r="Q14" t="s">
        <v>49</v>
      </c>
      <c r="R14" t="s">
        <v>59</v>
      </c>
      <c r="S14" s="1">
        <v>45717</v>
      </c>
      <c r="U14" t="s">
        <v>51</v>
      </c>
      <c r="X14" t="s">
        <v>52</v>
      </c>
      <c r="Y14" t="s">
        <v>53</v>
      </c>
      <c r="Z14" t="s">
        <v>60</v>
      </c>
      <c r="AA14">
        <v>1</v>
      </c>
      <c r="AB14" s="2">
        <v>1</v>
      </c>
      <c r="AC14" t="s">
        <v>60</v>
      </c>
      <c r="AD14" s="2">
        <v>0</v>
      </c>
      <c r="AE14" t="s">
        <v>53</v>
      </c>
      <c r="AF14" t="s">
        <v>60</v>
      </c>
      <c r="AK14">
        <v>4980588</v>
      </c>
    </row>
    <row r="15" spans="1:38" x14ac:dyDescent="0.25">
      <c r="A15" s="1">
        <v>45686</v>
      </c>
      <c r="B15" s="1">
        <v>45686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46</v>
      </c>
      <c r="O15" t="s">
        <v>101</v>
      </c>
      <c r="P15" t="s">
        <v>102</v>
      </c>
      <c r="Q15" t="s">
        <v>49</v>
      </c>
      <c r="R15" t="s">
        <v>59</v>
      </c>
      <c r="S15" s="1">
        <v>45717</v>
      </c>
      <c r="U15" t="s">
        <v>51</v>
      </c>
      <c r="X15" t="s">
        <v>52</v>
      </c>
      <c r="Y15" t="s">
        <v>53</v>
      </c>
      <c r="Z15" t="s">
        <v>103</v>
      </c>
      <c r="AA15">
        <v>1</v>
      </c>
      <c r="AB15" s="2">
        <v>1</v>
      </c>
      <c r="AC15" t="s">
        <v>103</v>
      </c>
      <c r="AD15" s="2">
        <v>0</v>
      </c>
      <c r="AE15" t="s">
        <v>53</v>
      </c>
      <c r="AF15" t="s">
        <v>103</v>
      </c>
      <c r="AK15">
        <v>4980591</v>
      </c>
    </row>
    <row r="16" spans="1:38" x14ac:dyDescent="0.25">
      <c r="A16" s="1">
        <v>45686</v>
      </c>
      <c r="B16" s="1">
        <v>45686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104</v>
      </c>
      <c r="J16" t="s">
        <v>105</v>
      </c>
      <c r="M16" t="s">
        <v>46</v>
      </c>
      <c r="O16" t="s">
        <v>106</v>
      </c>
      <c r="P16" t="s">
        <v>107</v>
      </c>
      <c r="Q16" t="s">
        <v>49</v>
      </c>
      <c r="R16" t="s">
        <v>59</v>
      </c>
      <c r="S16" s="1">
        <v>45689</v>
      </c>
      <c r="U16" t="s">
        <v>51</v>
      </c>
      <c r="X16" t="s">
        <v>52</v>
      </c>
      <c r="Y16" t="s">
        <v>53</v>
      </c>
      <c r="Z16" t="s">
        <v>60</v>
      </c>
      <c r="AA16">
        <v>1</v>
      </c>
      <c r="AB16" s="2">
        <v>1</v>
      </c>
      <c r="AC16" t="s">
        <v>60</v>
      </c>
      <c r="AD16" s="2">
        <v>0</v>
      </c>
      <c r="AE16" t="s">
        <v>53</v>
      </c>
      <c r="AF16" t="s">
        <v>60</v>
      </c>
      <c r="AK16">
        <v>4980605</v>
      </c>
    </row>
    <row r="17" spans="1:38" x14ac:dyDescent="0.25">
      <c r="A17" s="1">
        <v>45686</v>
      </c>
      <c r="B17" s="1">
        <v>45686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46</v>
      </c>
      <c r="O17" t="s">
        <v>65</v>
      </c>
      <c r="P17" t="s">
        <v>66</v>
      </c>
      <c r="Q17" t="s">
        <v>49</v>
      </c>
      <c r="R17" t="s">
        <v>59</v>
      </c>
      <c r="S17" s="1">
        <v>45689</v>
      </c>
      <c r="U17" t="s">
        <v>51</v>
      </c>
      <c r="X17" t="s">
        <v>52</v>
      </c>
      <c r="Y17" t="s">
        <v>53</v>
      </c>
      <c r="Z17" t="s">
        <v>60</v>
      </c>
      <c r="AA17">
        <v>1</v>
      </c>
      <c r="AB17" s="2">
        <v>1</v>
      </c>
      <c r="AC17" t="s">
        <v>60</v>
      </c>
      <c r="AD17" s="2">
        <v>0</v>
      </c>
      <c r="AE17" t="s">
        <v>53</v>
      </c>
      <c r="AF17" t="s">
        <v>60</v>
      </c>
      <c r="AK17">
        <v>4980611</v>
      </c>
    </row>
    <row r="18" spans="1:38" x14ac:dyDescent="0.25">
      <c r="A18" s="1">
        <v>45686</v>
      </c>
      <c r="B18" s="1">
        <v>45686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110</v>
      </c>
      <c r="J18" t="s">
        <v>111</v>
      </c>
      <c r="M18" t="s">
        <v>46</v>
      </c>
      <c r="O18" t="s">
        <v>112</v>
      </c>
      <c r="P18" t="s">
        <v>113</v>
      </c>
      <c r="Q18" t="s">
        <v>49</v>
      </c>
      <c r="R18" t="s">
        <v>59</v>
      </c>
      <c r="S18" s="1">
        <v>45689</v>
      </c>
      <c r="U18" t="s">
        <v>51</v>
      </c>
      <c r="X18" t="s">
        <v>52</v>
      </c>
      <c r="Y18" t="s">
        <v>53</v>
      </c>
      <c r="Z18" t="s">
        <v>60</v>
      </c>
      <c r="AA18">
        <v>1</v>
      </c>
      <c r="AB18" s="2">
        <v>1</v>
      </c>
      <c r="AC18" t="s">
        <v>60</v>
      </c>
      <c r="AD18" s="2">
        <v>0</v>
      </c>
      <c r="AE18" t="s">
        <v>53</v>
      </c>
      <c r="AF18" t="s">
        <v>60</v>
      </c>
      <c r="AK18">
        <v>4980620</v>
      </c>
    </row>
    <row r="19" spans="1:38" x14ac:dyDescent="0.25">
      <c r="A19" s="1">
        <v>45686</v>
      </c>
      <c r="B19" s="1">
        <v>45686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46</v>
      </c>
      <c r="O19" t="s">
        <v>87</v>
      </c>
      <c r="P19" t="s">
        <v>88</v>
      </c>
      <c r="Q19" t="s">
        <v>49</v>
      </c>
      <c r="R19" t="s">
        <v>59</v>
      </c>
      <c r="S19" s="1">
        <v>45717</v>
      </c>
      <c r="U19" t="s">
        <v>51</v>
      </c>
      <c r="X19" t="s">
        <v>52</v>
      </c>
      <c r="Y19" t="s">
        <v>53</v>
      </c>
      <c r="Z19" t="s">
        <v>60</v>
      </c>
      <c r="AA19">
        <v>1</v>
      </c>
      <c r="AB19" s="2">
        <v>1</v>
      </c>
      <c r="AC19" t="s">
        <v>60</v>
      </c>
      <c r="AD19" s="2">
        <v>0</v>
      </c>
      <c r="AE19" t="s">
        <v>53</v>
      </c>
      <c r="AF19" t="s">
        <v>60</v>
      </c>
      <c r="AK19">
        <v>4980628</v>
      </c>
    </row>
    <row r="20" spans="1:38" x14ac:dyDescent="0.25">
      <c r="A20" s="1">
        <v>45686</v>
      </c>
      <c r="B20" s="1">
        <v>45686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116</v>
      </c>
      <c r="J20" t="s">
        <v>117</v>
      </c>
      <c r="M20" t="s">
        <v>46</v>
      </c>
      <c r="O20" t="s">
        <v>87</v>
      </c>
      <c r="P20" t="s">
        <v>88</v>
      </c>
      <c r="Q20" t="s">
        <v>49</v>
      </c>
      <c r="R20" t="s">
        <v>59</v>
      </c>
      <c r="S20" s="1">
        <v>45689</v>
      </c>
      <c r="U20" t="s">
        <v>51</v>
      </c>
      <c r="X20" t="s">
        <v>52</v>
      </c>
      <c r="Y20" t="s">
        <v>53</v>
      </c>
      <c r="Z20" t="s">
        <v>60</v>
      </c>
      <c r="AA20">
        <v>1</v>
      </c>
      <c r="AB20" s="2">
        <v>1</v>
      </c>
      <c r="AC20" t="s">
        <v>60</v>
      </c>
      <c r="AD20" s="2">
        <v>0</v>
      </c>
      <c r="AE20" t="s">
        <v>53</v>
      </c>
      <c r="AF20" t="s">
        <v>60</v>
      </c>
      <c r="AK20">
        <v>4980629</v>
      </c>
    </row>
    <row r="21" spans="1:38" x14ac:dyDescent="0.25">
      <c r="A21" s="1">
        <v>45686</v>
      </c>
      <c r="B21" s="1">
        <v>45686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118</v>
      </c>
      <c r="J21" t="s">
        <v>119</v>
      </c>
      <c r="M21" t="s">
        <v>46</v>
      </c>
      <c r="O21" t="s">
        <v>120</v>
      </c>
      <c r="P21" t="s">
        <v>121</v>
      </c>
      <c r="Q21" t="s">
        <v>49</v>
      </c>
      <c r="R21" t="s">
        <v>122</v>
      </c>
      <c r="S21" s="1">
        <v>45717</v>
      </c>
      <c r="U21" t="s">
        <v>51</v>
      </c>
      <c r="X21" t="s">
        <v>52</v>
      </c>
      <c r="Y21" t="s">
        <v>53</v>
      </c>
      <c r="Z21" t="s">
        <v>123</v>
      </c>
      <c r="AA21">
        <v>1</v>
      </c>
      <c r="AB21" s="2">
        <v>1</v>
      </c>
      <c r="AC21" t="s">
        <v>123</v>
      </c>
      <c r="AD21" s="2">
        <v>0</v>
      </c>
      <c r="AE21" t="s">
        <v>53</v>
      </c>
      <c r="AF21" t="s">
        <v>123</v>
      </c>
      <c r="AK21">
        <v>4980471</v>
      </c>
    </row>
    <row r="22" spans="1:38" x14ac:dyDescent="0.25">
      <c r="A22" s="1">
        <v>45686</v>
      </c>
      <c r="B22" s="1">
        <v>45686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124</v>
      </c>
      <c r="J22" t="s">
        <v>125</v>
      </c>
      <c r="M22" t="s">
        <v>46</v>
      </c>
      <c r="O22" t="s">
        <v>91</v>
      </c>
      <c r="P22" t="s">
        <v>92</v>
      </c>
      <c r="Q22" t="s">
        <v>49</v>
      </c>
      <c r="R22" t="s">
        <v>59</v>
      </c>
      <c r="S22" s="1">
        <v>45689</v>
      </c>
      <c r="U22" t="s">
        <v>51</v>
      </c>
      <c r="X22" t="s">
        <v>52</v>
      </c>
      <c r="Y22" t="s">
        <v>53</v>
      </c>
      <c r="Z22" t="s">
        <v>60</v>
      </c>
      <c r="AA22">
        <v>1</v>
      </c>
      <c r="AB22" s="2">
        <v>1</v>
      </c>
      <c r="AC22" t="s">
        <v>60</v>
      </c>
      <c r="AD22" s="2">
        <v>0</v>
      </c>
      <c r="AE22" t="s">
        <v>53</v>
      </c>
      <c r="AF22" t="s">
        <v>60</v>
      </c>
      <c r="AK22">
        <v>4980648</v>
      </c>
    </row>
    <row r="23" spans="1:38" x14ac:dyDescent="0.25">
      <c r="A23" s="1">
        <v>45686</v>
      </c>
      <c r="B23" s="1">
        <v>45686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126</v>
      </c>
      <c r="J23" t="s">
        <v>127</v>
      </c>
      <c r="M23" t="s">
        <v>128</v>
      </c>
      <c r="O23" t="s">
        <v>129</v>
      </c>
      <c r="P23" t="s">
        <v>130</v>
      </c>
      <c r="Q23" t="s">
        <v>49</v>
      </c>
      <c r="R23" t="s">
        <v>131</v>
      </c>
      <c r="S23" s="1">
        <v>45689</v>
      </c>
      <c r="U23" t="s">
        <v>51</v>
      </c>
      <c r="X23" t="s">
        <v>52</v>
      </c>
      <c r="Y23" t="s">
        <v>53</v>
      </c>
      <c r="Z23" t="s">
        <v>132</v>
      </c>
      <c r="AA23">
        <v>1</v>
      </c>
      <c r="AB23" s="2">
        <v>1</v>
      </c>
      <c r="AC23" t="s">
        <v>132</v>
      </c>
      <c r="AD23" s="2">
        <v>0</v>
      </c>
      <c r="AE23" t="s">
        <v>53</v>
      </c>
      <c r="AF23" t="s">
        <v>132</v>
      </c>
      <c r="AK23">
        <v>4980807</v>
      </c>
      <c r="AL23" t="s">
        <v>133</v>
      </c>
    </row>
    <row r="24" spans="1:38" x14ac:dyDescent="0.25">
      <c r="A24" s="1">
        <v>45686</v>
      </c>
      <c r="B24" s="1">
        <v>45686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134</v>
      </c>
      <c r="J24" t="s">
        <v>127</v>
      </c>
      <c r="M24" t="s">
        <v>128</v>
      </c>
      <c r="O24" t="s">
        <v>129</v>
      </c>
      <c r="P24" t="s">
        <v>130</v>
      </c>
      <c r="Q24" t="s">
        <v>49</v>
      </c>
      <c r="R24" t="s">
        <v>135</v>
      </c>
      <c r="S24" s="1">
        <v>45689</v>
      </c>
      <c r="U24" t="s">
        <v>51</v>
      </c>
      <c r="X24" t="s">
        <v>52</v>
      </c>
      <c r="Y24" t="s">
        <v>53</v>
      </c>
      <c r="Z24" t="s">
        <v>53</v>
      </c>
      <c r="AA24">
        <v>1</v>
      </c>
      <c r="AB24" s="2">
        <v>0</v>
      </c>
      <c r="AC24" t="s">
        <v>53</v>
      </c>
      <c r="AD24" s="2">
        <v>0</v>
      </c>
      <c r="AE24" t="s">
        <v>53</v>
      </c>
      <c r="AF24" t="s">
        <v>53</v>
      </c>
      <c r="AK24">
        <v>4980808</v>
      </c>
      <c r="AL24" t="s">
        <v>133</v>
      </c>
    </row>
    <row r="25" spans="1:38" x14ac:dyDescent="0.25">
      <c r="A25" s="1">
        <v>45686</v>
      </c>
      <c r="B25" s="1">
        <v>45686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136</v>
      </c>
      <c r="J25" t="s">
        <v>137</v>
      </c>
      <c r="M25" t="s">
        <v>138</v>
      </c>
      <c r="O25" t="s">
        <v>139</v>
      </c>
      <c r="P25" t="s">
        <v>140</v>
      </c>
      <c r="Q25" t="s">
        <v>49</v>
      </c>
      <c r="R25" t="s">
        <v>131</v>
      </c>
      <c r="S25" s="1">
        <v>45689</v>
      </c>
      <c r="U25" t="s">
        <v>51</v>
      </c>
      <c r="X25" t="s">
        <v>52</v>
      </c>
      <c r="Y25" t="s">
        <v>53</v>
      </c>
      <c r="Z25" t="s">
        <v>132</v>
      </c>
      <c r="AA25">
        <v>1</v>
      </c>
      <c r="AB25" s="2">
        <v>1</v>
      </c>
      <c r="AC25" t="s">
        <v>132</v>
      </c>
      <c r="AD25" s="2">
        <v>0</v>
      </c>
      <c r="AE25" t="s">
        <v>53</v>
      </c>
      <c r="AF25" t="s">
        <v>132</v>
      </c>
      <c r="AK25">
        <v>4980809</v>
      </c>
      <c r="AL25" t="s">
        <v>133</v>
      </c>
    </row>
    <row r="26" spans="1:38" x14ac:dyDescent="0.25">
      <c r="A26" s="1">
        <v>45686</v>
      </c>
      <c r="B26" s="1">
        <v>45686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141</v>
      </c>
      <c r="J26" t="s">
        <v>137</v>
      </c>
      <c r="M26" t="s">
        <v>138</v>
      </c>
      <c r="O26" t="s">
        <v>139</v>
      </c>
      <c r="P26" t="s">
        <v>140</v>
      </c>
      <c r="Q26" t="s">
        <v>49</v>
      </c>
      <c r="R26" t="s">
        <v>135</v>
      </c>
      <c r="S26" s="1">
        <v>45689</v>
      </c>
      <c r="U26" t="s">
        <v>51</v>
      </c>
      <c r="X26" t="s">
        <v>52</v>
      </c>
      <c r="Y26" t="s">
        <v>53</v>
      </c>
      <c r="Z26" t="s">
        <v>53</v>
      </c>
      <c r="AA26">
        <v>1</v>
      </c>
      <c r="AB26" s="2">
        <v>0</v>
      </c>
      <c r="AC26" t="s">
        <v>53</v>
      </c>
      <c r="AD26" s="2">
        <v>0</v>
      </c>
      <c r="AE26" t="s">
        <v>53</v>
      </c>
      <c r="AF26" t="s">
        <v>53</v>
      </c>
      <c r="AK26">
        <v>4980810</v>
      </c>
      <c r="AL26" t="s">
        <v>133</v>
      </c>
    </row>
    <row r="27" spans="1:38" x14ac:dyDescent="0.25">
      <c r="A27" s="1">
        <v>45686</v>
      </c>
      <c r="B27" s="1">
        <v>45686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142</v>
      </c>
      <c r="J27" t="s">
        <v>143</v>
      </c>
      <c r="M27" t="s">
        <v>138</v>
      </c>
      <c r="O27" t="s">
        <v>101</v>
      </c>
      <c r="P27" t="s">
        <v>102</v>
      </c>
      <c r="Q27" t="s">
        <v>49</v>
      </c>
      <c r="R27" t="s">
        <v>144</v>
      </c>
      <c r="S27" s="1">
        <v>45689</v>
      </c>
      <c r="U27" t="s">
        <v>51</v>
      </c>
      <c r="X27" t="s">
        <v>52</v>
      </c>
      <c r="Y27" t="s">
        <v>53</v>
      </c>
      <c r="Z27" t="s">
        <v>145</v>
      </c>
      <c r="AA27">
        <v>1</v>
      </c>
      <c r="AB27" s="2">
        <v>1</v>
      </c>
      <c r="AC27" t="s">
        <v>145</v>
      </c>
      <c r="AD27" s="2">
        <v>0</v>
      </c>
      <c r="AE27" t="s">
        <v>53</v>
      </c>
      <c r="AF27" t="s">
        <v>145</v>
      </c>
      <c r="AK27">
        <v>4980168</v>
      </c>
      <c r="AL27" t="s">
        <v>133</v>
      </c>
    </row>
    <row r="28" spans="1:38" x14ac:dyDescent="0.25">
      <c r="A28" s="1">
        <v>45686</v>
      </c>
      <c r="B28" s="1">
        <v>45686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146</v>
      </c>
      <c r="J28" t="s">
        <v>147</v>
      </c>
      <c r="M28" t="s">
        <v>138</v>
      </c>
      <c r="O28" t="s">
        <v>148</v>
      </c>
      <c r="P28" t="s">
        <v>149</v>
      </c>
      <c r="Q28" t="s">
        <v>49</v>
      </c>
      <c r="R28" t="s">
        <v>144</v>
      </c>
      <c r="S28" s="1">
        <v>45689</v>
      </c>
      <c r="U28" t="s">
        <v>51</v>
      </c>
      <c r="X28" t="s">
        <v>52</v>
      </c>
      <c r="Y28" t="s">
        <v>53</v>
      </c>
      <c r="Z28" t="s">
        <v>145</v>
      </c>
      <c r="AA28">
        <v>1</v>
      </c>
      <c r="AB28" s="2">
        <v>1</v>
      </c>
      <c r="AC28" t="s">
        <v>145</v>
      </c>
      <c r="AD28" s="2">
        <v>0</v>
      </c>
      <c r="AE28" t="s">
        <v>53</v>
      </c>
      <c r="AF28" t="s">
        <v>145</v>
      </c>
      <c r="AK28">
        <v>4980170</v>
      </c>
      <c r="AL28" t="s">
        <v>133</v>
      </c>
    </row>
    <row r="29" spans="1:38" x14ac:dyDescent="0.25">
      <c r="A29" s="1">
        <v>45686</v>
      </c>
      <c r="B29" s="1">
        <v>45686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46</v>
      </c>
      <c r="O29" t="s">
        <v>112</v>
      </c>
      <c r="P29" t="s">
        <v>113</v>
      </c>
      <c r="Q29" t="s">
        <v>49</v>
      </c>
      <c r="R29" t="s">
        <v>144</v>
      </c>
      <c r="S29" s="1">
        <v>45689</v>
      </c>
      <c r="U29" t="s">
        <v>51</v>
      </c>
      <c r="X29" t="s">
        <v>52</v>
      </c>
      <c r="Y29" t="s">
        <v>53</v>
      </c>
      <c r="Z29" t="s">
        <v>145</v>
      </c>
      <c r="AA29">
        <v>1</v>
      </c>
      <c r="AB29" s="2">
        <v>1</v>
      </c>
      <c r="AC29" t="s">
        <v>145</v>
      </c>
      <c r="AD29" s="2">
        <v>0</v>
      </c>
      <c r="AE29" t="s">
        <v>53</v>
      </c>
      <c r="AF29" t="s">
        <v>145</v>
      </c>
      <c r="AK29">
        <v>4980172</v>
      </c>
      <c r="AL29" t="s">
        <v>133</v>
      </c>
    </row>
    <row r="30" spans="1:38" x14ac:dyDescent="0.25">
      <c r="A30" s="1">
        <v>45686</v>
      </c>
      <c r="B30" s="1">
        <v>45686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152</v>
      </c>
      <c r="J30" t="s">
        <v>153</v>
      </c>
      <c r="M30" t="s">
        <v>154</v>
      </c>
      <c r="O30" t="s">
        <v>155</v>
      </c>
      <c r="P30" t="s">
        <v>156</v>
      </c>
      <c r="Q30" t="s">
        <v>49</v>
      </c>
      <c r="R30" t="s">
        <v>144</v>
      </c>
      <c r="S30" s="1">
        <v>45689</v>
      </c>
      <c r="U30" t="s">
        <v>51</v>
      </c>
      <c r="X30" t="s">
        <v>52</v>
      </c>
      <c r="Y30" t="s">
        <v>53</v>
      </c>
      <c r="Z30" t="s">
        <v>145</v>
      </c>
      <c r="AA30">
        <v>1</v>
      </c>
      <c r="AB30" s="2">
        <v>1</v>
      </c>
      <c r="AC30" t="s">
        <v>145</v>
      </c>
      <c r="AD30" s="2">
        <v>0</v>
      </c>
      <c r="AE30" t="s">
        <v>53</v>
      </c>
      <c r="AF30" t="s">
        <v>145</v>
      </c>
      <c r="AK30">
        <v>4980173</v>
      </c>
      <c r="AL30" t="s">
        <v>133</v>
      </c>
    </row>
    <row r="31" spans="1:38" x14ac:dyDescent="0.25">
      <c r="A31" s="1">
        <v>45686</v>
      </c>
      <c r="B31" s="1">
        <v>45686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157</v>
      </c>
      <c r="J31" t="s">
        <v>158</v>
      </c>
      <c r="M31" t="s">
        <v>154</v>
      </c>
      <c r="O31" t="s">
        <v>155</v>
      </c>
      <c r="P31" t="s">
        <v>156</v>
      </c>
      <c r="Q31" t="s">
        <v>49</v>
      </c>
      <c r="R31" t="s">
        <v>144</v>
      </c>
      <c r="S31" s="1">
        <v>45689</v>
      </c>
      <c r="U31" t="s">
        <v>51</v>
      </c>
      <c r="X31" t="s">
        <v>52</v>
      </c>
      <c r="Y31" t="s">
        <v>53</v>
      </c>
      <c r="Z31" t="s">
        <v>145</v>
      </c>
      <c r="AA31">
        <v>1</v>
      </c>
      <c r="AB31" s="2">
        <v>1</v>
      </c>
      <c r="AC31" t="s">
        <v>145</v>
      </c>
      <c r="AD31" s="2">
        <v>0</v>
      </c>
      <c r="AE31" t="s">
        <v>53</v>
      </c>
      <c r="AF31" t="s">
        <v>145</v>
      </c>
      <c r="AK31">
        <v>4980174</v>
      </c>
      <c r="AL31" t="s">
        <v>133</v>
      </c>
    </row>
    <row r="32" spans="1:38" x14ac:dyDescent="0.25">
      <c r="A32" s="1">
        <v>45686</v>
      </c>
      <c r="B32" s="1">
        <v>45686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159</v>
      </c>
      <c r="J32" t="s">
        <v>160</v>
      </c>
      <c r="M32" t="s">
        <v>46</v>
      </c>
      <c r="O32" t="s">
        <v>73</v>
      </c>
      <c r="P32" t="s">
        <v>74</v>
      </c>
      <c r="Q32" t="s">
        <v>49</v>
      </c>
      <c r="R32" t="s">
        <v>144</v>
      </c>
      <c r="S32" s="1">
        <v>45689</v>
      </c>
      <c r="U32" t="s">
        <v>51</v>
      </c>
      <c r="X32" t="s">
        <v>52</v>
      </c>
      <c r="Y32" t="s">
        <v>53</v>
      </c>
      <c r="Z32" t="s">
        <v>145</v>
      </c>
      <c r="AA32">
        <v>1</v>
      </c>
      <c r="AB32" s="2">
        <v>1</v>
      </c>
      <c r="AC32" t="s">
        <v>145</v>
      </c>
      <c r="AD32" s="2">
        <v>0</v>
      </c>
      <c r="AE32" t="s">
        <v>53</v>
      </c>
      <c r="AF32" t="s">
        <v>145</v>
      </c>
      <c r="AK32">
        <v>4980180</v>
      </c>
      <c r="AL32" t="s">
        <v>133</v>
      </c>
    </row>
    <row r="33" spans="1:38" x14ac:dyDescent="0.25">
      <c r="A33" s="1">
        <v>45686</v>
      </c>
      <c r="B33" s="1">
        <v>45686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161</v>
      </c>
      <c r="J33" t="s">
        <v>162</v>
      </c>
      <c r="M33" t="s">
        <v>154</v>
      </c>
      <c r="O33" t="s">
        <v>163</v>
      </c>
      <c r="P33" t="s">
        <v>164</v>
      </c>
      <c r="Q33" t="s">
        <v>49</v>
      </c>
      <c r="R33" t="s">
        <v>144</v>
      </c>
      <c r="S33" s="1">
        <v>45689</v>
      </c>
      <c r="U33" t="s">
        <v>51</v>
      </c>
      <c r="X33" t="s">
        <v>52</v>
      </c>
      <c r="Y33" t="s">
        <v>53</v>
      </c>
      <c r="Z33" t="s">
        <v>145</v>
      </c>
      <c r="AA33">
        <v>1</v>
      </c>
      <c r="AB33" s="2">
        <v>1</v>
      </c>
      <c r="AC33" t="s">
        <v>145</v>
      </c>
      <c r="AD33" s="2">
        <v>0</v>
      </c>
      <c r="AE33" t="s">
        <v>53</v>
      </c>
      <c r="AF33" t="s">
        <v>145</v>
      </c>
      <c r="AK33">
        <v>4980183</v>
      </c>
      <c r="AL33" t="s">
        <v>133</v>
      </c>
    </row>
    <row r="34" spans="1:38" x14ac:dyDescent="0.25">
      <c r="A34" s="1">
        <v>45686</v>
      </c>
      <c r="B34" s="1">
        <v>45686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165</v>
      </c>
      <c r="J34" t="s">
        <v>166</v>
      </c>
      <c r="M34" t="s">
        <v>154</v>
      </c>
      <c r="O34" t="s">
        <v>57</v>
      </c>
      <c r="P34" t="s">
        <v>58</v>
      </c>
      <c r="Q34" t="s">
        <v>49</v>
      </c>
      <c r="R34" t="s">
        <v>144</v>
      </c>
      <c r="S34" s="1">
        <v>45689</v>
      </c>
      <c r="U34" t="s">
        <v>51</v>
      </c>
      <c r="X34" t="s">
        <v>52</v>
      </c>
      <c r="Y34" t="s">
        <v>53</v>
      </c>
      <c r="Z34" t="s">
        <v>145</v>
      </c>
      <c r="AA34">
        <v>1</v>
      </c>
      <c r="AB34" s="2">
        <v>1</v>
      </c>
      <c r="AC34" t="s">
        <v>145</v>
      </c>
      <c r="AD34" s="2">
        <v>0</v>
      </c>
      <c r="AE34" t="s">
        <v>53</v>
      </c>
      <c r="AF34" t="s">
        <v>145</v>
      </c>
      <c r="AK34">
        <v>4980184</v>
      </c>
      <c r="AL34" t="s">
        <v>133</v>
      </c>
    </row>
    <row r="35" spans="1:38" x14ac:dyDescent="0.25">
      <c r="A35" s="1">
        <v>45686</v>
      </c>
      <c r="B35" s="1">
        <v>45686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167</v>
      </c>
      <c r="J35" t="s">
        <v>168</v>
      </c>
      <c r="M35" t="s">
        <v>154</v>
      </c>
      <c r="O35" t="s">
        <v>169</v>
      </c>
      <c r="P35" t="s">
        <v>170</v>
      </c>
      <c r="Q35" t="s">
        <v>49</v>
      </c>
      <c r="R35" t="s">
        <v>144</v>
      </c>
      <c r="S35" s="1">
        <v>45689</v>
      </c>
      <c r="U35" t="s">
        <v>51</v>
      </c>
      <c r="X35" t="s">
        <v>52</v>
      </c>
      <c r="Y35" t="s">
        <v>53</v>
      </c>
      <c r="Z35" t="s">
        <v>145</v>
      </c>
      <c r="AA35">
        <v>1</v>
      </c>
      <c r="AB35" s="2">
        <v>1</v>
      </c>
      <c r="AC35" t="s">
        <v>145</v>
      </c>
      <c r="AD35" s="2">
        <v>0</v>
      </c>
      <c r="AE35" t="s">
        <v>53</v>
      </c>
      <c r="AF35" t="s">
        <v>145</v>
      </c>
      <c r="AK35">
        <v>4980185</v>
      </c>
      <c r="AL35" t="s">
        <v>133</v>
      </c>
    </row>
    <row r="36" spans="1:38" x14ac:dyDescent="0.25">
      <c r="A36" s="1">
        <v>45686</v>
      </c>
      <c r="B36" s="1">
        <v>45686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171</v>
      </c>
      <c r="J36" t="s">
        <v>172</v>
      </c>
      <c r="M36" t="s">
        <v>154</v>
      </c>
      <c r="O36" t="s">
        <v>173</v>
      </c>
      <c r="P36" t="s">
        <v>174</v>
      </c>
      <c r="Q36" t="s">
        <v>49</v>
      </c>
      <c r="R36" t="s">
        <v>144</v>
      </c>
      <c r="S36" s="1">
        <v>45689</v>
      </c>
      <c r="U36" t="s">
        <v>51</v>
      </c>
      <c r="X36" t="s">
        <v>52</v>
      </c>
      <c r="Y36" t="s">
        <v>53</v>
      </c>
      <c r="Z36" t="s">
        <v>145</v>
      </c>
      <c r="AA36">
        <v>1</v>
      </c>
      <c r="AB36" s="2">
        <v>1</v>
      </c>
      <c r="AC36" t="s">
        <v>145</v>
      </c>
      <c r="AD36" s="2">
        <v>0</v>
      </c>
      <c r="AE36" t="s">
        <v>53</v>
      </c>
      <c r="AF36" t="s">
        <v>145</v>
      </c>
      <c r="AK36">
        <v>4980189</v>
      </c>
      <c r="AL36" t="s">
        <v>133</v>
      </c>
    </row>
    <row r="37" spans="1:38" x14ac:dyDescent="0.25">
      <c r="A37" s="1">
        <v>45686</v>
      </c>
      <c r="B37" s="1">
        <v>45686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175</v>
      </c>
      <c r="J37" t="s">
        <v>176</v>
      </c>
      <c r="M37" t="s">
        <v>154</v>
      </c>
      <c r="O37" t="s">
        <v>57</v>
      </c>
      <c r="P37" t="s">
        <v>58</v>
      </c>
      <c r="Q37" t="s">
        <v>49</v>
      </c>
      <c r="R37" t="s">
        <v>144</v>
      </c>
      <c r="S37" s="1">
        <v>45689</v>
      </c>
      <c r="U37" t="s">
        <v>51</v>
      </c>
      <c r="X37" t="s">
        <v>52</v>
      </c>
      <c r="Y37" t="s">
        <v>53</v>
      </c>
      <c r="Z37" t="s">
        <v>145</v>
      </c>
      <c r="AA37">
        <v>1</v>
      </c>
      <c r="AB37" s="2">
        <v>1</v>
      </c>
      <c r="AC37" t="s">
        <v>145</v>
      </c>
      <c r="AD37" s="2">
        <v>0</v>
      </c>
      <c r="AE37" t="s">
        <v>53</v>
      </c>
      <c r="AF37" t="s">
        <v>145</v>
      </c>
      <c r="AK37">
        <v>4980190</v>
      </c>
      <c r="AL37" t="s">
        <v>133</v>
      </c>
    </row>
    <row r="38" spans="1:38" x14ac:dyDescent="0.25">
      <c r="A38" s="1">
        <v>45686</v>
      </c>
      <c r="B38" s="1">
        <v>45686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177</v>
      </c>
      <c r="J38" t="s">
        <v>178</v>
      </c>
      <c r="M38" t="s">
        <v>46</v>
      </c>
      <c r="O38" t="s">
        <v>169</v>
      </c>
      <c r="P38" t="s">
        <v>170</v>
      </c>
      <c r="Q38" t="s">
        <v>49</v>
      </c>
      <c r="R38" t="s">
        <v>144</v>
      </c>
      <c r="S38" s="1">
        <v>45689</v>
      </c>
      <c r="U38" t="s">
        <v>51</v>
      </c>
      <c r="X38" t="s">
        <v>52</v>
      </c>
      <c r="Y38" t="s">
        <v>53</v>
      </c>
      <c r="Z38" t="s">
        <v>145</v>
      </c>
      <c r="AA38">
        <v>1</v>
      </c>
      <c r="AB38" s="2">
        <v>1</v>
      </c>
      <c r="AC38" t="s">
        <v>145</v>
      </c>
      <c r="AD38" s="2">
        <v>0</v>
      </c>
      <c r="AE38" t="s">
        <v>53</v>
      </c>
      <c r="AF38" t="s">
        <v>145</v>
      </c>
      <c r="AK38">
        <v>4980191</v>
      </c>
      <c r="AL38" t="s">
        <v>133</v>
      </c>
    </row>
    <row r="39" spans="1:38" x14ac:dyDescent="0.25">
      <c r="A39" s="1">
        <v>45686</v>
      </c>
      <c r="B39" s="1">
        <v>45686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179</v>
      </c>
      <c r="J39" t="s">
        <v>180</v>
      </c>
      <c r="M39" t="s">
        <v>181</v>
      </c>
      <c r="O39" t="s">
        <v>182</v>
      </c>
      <c r="P39" t="s">
        <v>183</v>
      </c>
      <c r="Q39" t="s">
        <v>49</v>
      </c>
      <c r="R39" t="s">
        <v>184</v>
      </c>
      <c r="S39" s="1">
        <v>45658</v>
      </c>
      <c r="U39" t="s">
        <v>51</v>
      </c>
      <c r="X39" t="s">
        <v>52</v>
      </c>
      <c r="Y39" t="s">
        <v>53</v>
      </c>
      <c r="Z39" t="s">
        <v>103</v>
      </c>
      <c r="AA39">
        <v>1</v>
      </c>
      <c r="AB39" s="2">
        <v>1</v>
      </c>
      <c r="AC39" t="s">
        <v>103</v>
      </c>
      <c r="AD39" s="2">
        <v>0</v>
      </c>
      <c r="AE39" t="s">
        <v>53</v>
      </c>
      <c r="AF39" t="s">
        <v>103</v>
      </c>
      <c r="AK39">
        <v>4980210</v>
      </c>
    </row>
    <row r="40" spans="1:38" x14ac:dyDescent="0.25">
      <c r="A40" s="1">
        <v>45686</v>
      </c>
      <c r="B40" s="1">
        <v>45686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185</v>
      </c>
      <c r="J40" t="s">
        <v>186</v>
      </c>
      <c r="M40" t="s">
        <v>187</v>
      </c>
      <c r="O40" t="s">
        <v>106</v>
      </c>
      <c r="P40" t="s">
        <v>107</v>
      </c>
      <c r="Q40" t="s">
        <v>49</v>
      </c>
      <c r="R40" t="s">
        <v>144</v>
      </c>
      <c r="S40" s="1">
        <v>45689</v>
      </c>
      <c r="U40" t="s">
        <v>51</v>
      </c>
      <c r="X40" t="s">
        <v>52</v>
      </c>
      <c r="Y40" t="s">
        <v>53</v>
      </c>
      <c r="Z40" t="s">
        <v>145</v>
      </c>
      <c r="AA40">
        <v>1</v>
      </c>
      <c r="AB40" s="2">
        <v>1</v>
      </c>
      <c r="AC40" t="s">
        <v>145</v>
      </c>
      <c r="AD40" s="2">
        <v>0</v>
      </c>
      <c r="AE40" t="s">
        <v>53</v>
      </c>
      <c r="AF40" t="s">
        <v>145</v>
      </c>
      <c r="AK40">
        <v>4980226</v>
      </c>
      <c r="AL40" t="s">
        <v>133</v>
      </c>
    </row>
    <row r="41" spans="1:38" x14ac:dyDescent="0.25">
      <c r="A41" s="1">
        <v>45686</v>
      </c>
      <c r="B41" s="1">
        <v>45686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188</v>
      </c>
      <c r="J41" t="s">
        <v>189</v>
      </c>
      <c r="M41" t="s">
        <v>190</v>
      </c>
      <c r="O41" t="s">
        <v>73</v>
      </c>
      <c r="P41" t="s">
        <v>74</v>
      </c>
      <c r="Q41" t="s">
        <v>49</v>
      </c>
      <c r="R41" t="s">
        <v>184</v>
      </c>
      <c r="S41" s="1">
        <v>45689</v>
      </c>
      <c r="U41" t="s">
        <v>51</v>
      </c>
      <c r="X41" t="s">
        <v>52</v>
      </c>
      <c r="Y41" t="s">
        <v>53</v>
      </c>
      <c r="Z41" t="s">
        <v>103</v>
      </c>
      <c r="AA41">
        <v>1</v>
      </c>
      <c r="AB41" s="2">
        <v>1</v>
      </c>
      <c r="AC41" t="s">
        <v>103</v>
      </c>
      <c r="AD41" s="2">
        <v>0</v>
      </c>
      <c r="AE41" t="s">
        <v>53</v>
      </c>
      <c r="AF41" t="s">
        <v>103</v>
      </c>
      <c r="AK41">
        <v>4980324</v>
      </c>
    </row>
    <row r="42" spans="1:38" x14ac:dyDescent="0.25">
      <c r="A42" s="1">
        <v>45686</v>
      </c>
      <c r="B42" s="1">
        <v>45686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191</v>
      </c>
      <c r="J42" t="s">
        <v>192</v>
      </c>
      <c r="M42" t="s">
        <v>138</v>
      </c>
      <c r="O42" t="s">
        <v>193</v>
      </c>
      <c r="P42" t="s">
        <v>194</v>
      </c>
      <c r="Q42" t="s">
        <v>49</v>
      </c>
      <c r="R42" t="s">
        <v>184</v>
      </c>
      <c r="S42" s="1">
        <v>45689</v>
      </c>
      <c r="U42" t="s">
        <v>51</v>
      </c>
      <c r="X42" t="s">
        <v>52</v>
      </c>
      <c r="Y42" t="s">
        <v>53</v>
      </c>
      <c r="Z42" t="s">
        <v>103</v>
      </c>
      <c r="AA42">
        <v>1</v>
      </c>
      <c r="AB42" s="2">
        <v>1</v>
      </c>
      <c r="AC42" t="s">
        <v>103</v>
      </c>
      <c r="AD42" s="2">
        <v>0</v>
      </c>
      <c r="AE42" t="s">
        <v>53</v>
      </c>
      <c r="AF42" t="s">
        <v>103</v>
      </c>
      <c r="AK42">
        <v>4980337</v>
      </c>
    </row>
    <row r="43" spans="1:38" x14ac:dyDescent="0.25">
      <c r="A43" s="1">
        <v>45686</v>
      </c>
      <c r="B43" s="1">
        <v>45686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195</v>
      </c>
      <c r="J43" t="s">
        <v>196</v>
      </c>
      <c r="M43" t="s">
        <v>138</v>
      </c>
      <c r="O43" t="s">
        <v>101</v>
      </c>
      <c r="P43" t="s">
        <v>102</v>
      </c>
      <c r="Q43" t="s">
        <v>49</v>
      </c>
      <c r="R43" t="s">
        <v>184</v>
      </c>
      <c r="S43" s="1">
        <v>45689</v>
      </c>
      <c r="U43" t="s">
        <v>51</v>
      </c>
      <c r="X43" t="s">
        <v>52</v>
      </c>
      <c r="Y43" t="s">
        <v>53</v>
      </c>
      <c r="Z43" t="s">
        <v>103</v>
      </c>
      <c r="AA43">
        <v>1</v>
      </c>
      <c r="AB43" s="2">
        <v>1</v>
      </c>
      <c r="AC43" t="s">
        <v>103</v>
      </c>
      <c r="AD43" s="2">
        <v>0</v>
      </c>
      <c r="AE43" t="s">
        <v>53</v>
      </c>
      <c r="AF43" t="s">
        <v>103</v>
      </c>
      <c r="AK43">
        <v>4980356</v>
      </c>
    </row>
    <row r="44" spans="1:38" x14ac:dyDescent="0.25">
      <c r="A44" s="1">
        <v>45686</v>
      </c>
      <c r="B44" s="1">
        <v>45686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197</v>
      </c>
      <c r="J44" t="s">
        <v>198</v>
      </c>
      <c r="M44" t="s">
        <v>138</v>
      </c>
      <c r="O44" t="s">
        <v>148</v>
      </c>
      <c r="P44" t="s">
        <v>149</v>
      </c>
      <c r="Q44" t="s">
        <v>49</v>
      </c>
      <c r="R44" t="s">
        <v>184</v>
      </c>
      <c r="S44" s="1">
        <v>45689</v>
      </c>
      <c r="U44" t="s">
        <v>51</v>
      </c>
      <c r="X44" t="s">
        <v>52</v>
      </c>
      <c r="Y44" t="s">
        <v>53</v>
      </c>
      <c r="Z44" t="s">
        <v>103</v>
      </c>
      <c r="AA44">
        <v>1</v>
      </c>
      <c r="AB44" s="2">
        <v>1</v>
      </c>
      <c r="AC44" t="s">
        <v>103</v>
      </c>
      <c r="AD44" s="2">
        <v>0</v>
      </c>
      <c r="AE44" t="s">
        <v>53</v>
      </c>
      <c r="AF44" t="s">
        <v>103</v>
      </c>
      <c r="AK44">
        <v>4980372</v>
      </c>
    </row>
    <row r="45" spans="1:38" x14ac:dyDescent="0.25">
      <c r="A45" s="1">
        <v>45686</v>
      </c>
      <c r="B45" s="1">
        <v>45686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199</v>
      </c>
      <c r="J45" t="s">
        <v>200</v>
      </c>
      <c r="M45" t="s">
        <v>154</v>
      </c>
      <c r="O45" t="s">
        <v>106</v>
      </c>
      <c r="P45" t="s">
        <v>107</v>
      </c>
      <c r="Q45" t="s">
        <v>49</v>
      </c>
      <c r="R45" t="s">
        <v>184</v>
      </c>
      <c r="S45" s="1">
        <v>45717</v>
      </c>
      <c r="U45" t="s">
        <v>51</v>
      </c>
      <c r="X45" t="s">
        <v>52</v>
      </c>
      <c r="Y45" t="s">
        <v>53</v>
      </c>
      <c r="Z45" t="s">
        <v>103</v>
      </c>
      <c r="AA45">
        <v>1</v>
      </c>
      <c r="AB45" s="2">
        <v>1</v>
      </c>
      <c r="AC45" t="s">
        <v>103</v>
      </c>
      <c r="AD45" s="2">
        <v>0</v>
      </c>
      <c r="AE45" t="s">
        <v>53</v>
      </c>
      <c r="AF45" t="s">
        <v>103</v>
      </c>
      <c r="AK45">
        <v>4980397</v>
      </c>
    </row>
    <row r="46" spans="1:38" x14ac:dyDescent="0.25">
      <c r="A46" s="1">
        <v>45686</v>
      </c>
      <c r="B46" s="1">
        <v>45686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201</v>
      </c>
      <c r="J46" t="s">
        <v>202</v>
      </c>
      <c r="M46" t="s">
        <v>203</v>
      </c>
      <c r="O46" t="s">
        <v>182</v>
      </c>
      <c r="P46" t="s">
        <v>183</v>
      </c>
      <c r="Q46" t="s">
        <v>49</v>
      </c>
      <c r="R46" t="s">
        <v>144</v>
      </c>
      <c r="S46" s="1">
        <v>45689</v>
      </c>
      <c r="U46" t="s">
        <v>51</v>
      </c>
      <c r="X46" t="s">
        <v>52</v>
      </c>
      <c r="Y46" t="s">
        <v>53</v>
      </c>
      <c r="Z46" t="s">
        <v>145</v>
      </c>
      <c r="AA46">
        <v>1</v>
      </c>
      <c r="AB46" s="2">
        <v>1</v>
      </c>
      <c r="AC46" t="s">
        <v>145</v>
      </c>
      <c r="AD46" s="2">
        <v>0</v>
      </c>
      <c r="AE46" t="s">
        <v>53</v>
      </c>
      <c r="AF46" t="s">
        <v>145</v>
      </c>
      <c r="AK46">
        <v>4980234</v>
      </c>
      <c r="AL46" t="s">
        <v>133</v>
      </c>
    </row>
    <row r="47" spans="1:38" x14ac:dyDescent="0.25">
      <c r="A47" s="1">
        <v>45686</v>
      </c>
      <c r="B47" s="1">
        <v>45686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204</v>
      </c>
      <c r="J47" t="s">
        <v>205</v>
      </c>
      <c r="M47" t="s">
        <v>203</v>
      </c>
      <c r="O47" t="s">
        <v>182</v>
      </c>
      <c r="P47" t="s">
        <v>183</v>
      </c>
      <c r="Q47" t="s">
        <v>49</v>
      </c>
      <c r="R47" t="s">
        <v>144</v>
      </c>
      <c r="S47" s="1">
        <v>45689</v>
      </c>
      <c r="U47" t="s">
        <v>51</v>
      </c>
      <c r="X47" t="s">
        <v>52</v>
      </c>
      <c r="Y47" t="s">
        <v>53</v>
      </c>
      <c r="Z47" t="s">
        <v>145</v>
      </c>
      <c r="AA47">
        <v>1</v>
      </c>
      <c r="AB47" s="2">
        <v>1</v>
      </c>
      <c r="AC47" t="s">
        <v>145</v>
      </c>
      <c r="AD47" s="2">
        <v>0</v>
      </c>
      <c r="AE47" t="s">
        <v>53</v>
      </c>
      <c r="AF47" t="s">
        <v>145</v>
      </c>
      <c r="AK47">
        <v>4980235</v>
      </c>
      <c r="AL47" t="s">
        <v>133</v>
      </c>
    </row>
    <row r="48" spans="1:38" x14ac:dyDescent="0.25">
      <c r="A48" s="1">
        <v>45686</v>
      </c>
      <c r="B48" s="1">
        <v>45686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206</v>
      </c>
      <c r="J48" t="s">
        <v>207</v>
      </c>
      <c r="M48" t="s">
        <v>154</v>
      </c>
      <c r="O48" t="s">
        <v>106</v>
      </c>
      <c r="P48" t="s">
        <v>107</v>
      </c>
      <c r="Q48" t="s">
        <v>49</v>
      </c>
      <c r="R48" t="s">
        <v>144</v>
      </c>
      <c r="S48" s="1">
        <v>45748</v>
      </c>
      <c r="U48" t="s">
        <v>51</v>
      </c>
      <c r="X48" t="s">
        <v>52</v>
      </c>
      <c r="Y48" t="s">
        <v>53</v>
      </c>
      <c r="Z48" t="s">
        <v>208</v>
      </c>
      <c r="AA48">
        <v>1</v>
      </c>
      <c r="AB48" s="2">
        <v>1</v>
      </c>
      <c r="AC48" t="s">
        <v>208</v>
      </c>
      <c r="AD48" s="2">
        <v>0</v>
      </c>
      <c r="AE48" t="s">
        <v>53</v>
      </c>
      <c r="AF48" t="s">
        <v>208</v>
      </c>
      <c r="AK48">
        <v>4980241</v>
      </c>
      <c r="AL48" t="s">
        <v>209</v>
      </c>
    </row>
    <row r="49" spans="1:38" x14ac:dyDescent="0.25">
      <c r="A49" s="1">
        <v>45686</v>
      </c>
      <c r="B49" s="1">
        <v>45686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210</v>
      </c>
      <c r="J49" t="s">
        <v>211</v>
      </c>
      <c r="M49" t="s">
        <v>154</v>
      </c>
      <c r="O49" t="s">
        <v>69</v>
      </c>
      <c r="P49" t="s">
        <v>70</v>
      </c>
      <c r="Q49" t="s">
        <v>49</v>
      </c>
      <c r="R49" t="s">
        <v>144</v>
      </c>
      <c r="S49" s="1">
        <v>45689</v>
      </c>
      <c r="U49" t="s">
        <v>51</v>
      </c>
      <c r="X49" t="s">
        <v>52</v>
      </c>
      <c r="Y49" t="s">
        <v>53</v>
      </c>
      <c r="Z49" t="s">
        <v>145</v>
      </c>
      <c r="AA49">
        <v>1</v>
      </c>
      <c r="AB49" s="2">
        <v>1</v>
      </c>
      <c r="AC49" t="s">
        <v>145</v>
      </c>
      <c r="AD49" s="2">
        <v>0</v>
      </c>
      <c r="AE49" t="s">
        <v>53</v>
      </c>
      <c r="AF49" t="s">
        <v>145</v>
      </c>
      <c r="AK49">
        <v>4980252</v>
      </c>
      <c r="AL49" t="s">
        <v>133</v>
      </c>
    </row>
    <row r="50" spans="1:38" x14ac:dyDescent="0.25">
      <c r="A50" s="1">
        <v>45686</v>
      </c>
      <c r="B50" s="1">
        <v>45686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212</v>
      </c>
      <c r="J50" t="s">
        <v>213</v>
      </c>
      <c r="M50" t="s">
        <v>154</v>
      </c>
      <c r="O50" t="s">
        <v>69</v>
      </c>
      <c r="P50" t="s">
        <v>70</v>
      </c>
      <c r="Q50" t="s">
        <v>49</v>
      </c>
      <c r="R50" t="s">
        <v>144</v>
      </c>
      <c r="S50" s="1">
        <v>45689</v>
      </c>
      <c r="U50" t="s">
        <v>51</v>
      </c>
      <c r="X50" t="s">
        <v>52</v>
      </c>
      <c r="Y50" t="s">
        <v>53</v>
      </c>
      <c r="Z50" t="s">
        <v>145</v>
      </c>
      <c r="AA50">
        <v>1</v>
      </c>
      <c r="AB50" s="2">
        <v>1</v>
      </c>
      <c r="AC50" t="s">
        <v>145</v>
      </c>
      <c r="AD50" s="2">
        <v>0</v>
      </c>
      <c r="AE50" t="s">
        <v>53</v>
      </c>
      <c r="AF50" t="s">
        <v>145</v>
      </c>
      <c r="AK50">
        <v>4980254</v>
      </c>
      <c r="AL50" t="s">
        <v>133</v>
      </c>
    </row>
    <row r="51" spans="1:38" x14ac:dyDescent="0.25">
      <c r="A51" s="1">
        <v>45686</v>
      </c>
      <c r="B51" s="1">
        <v>45686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214</v>
      </c>
      <c r="J51" t="s">
        <v>215</v>
      </c>
      <c r="M51" t="s">
        <v>216</v>
      </c>
      <c r="O51" t="s">
        <v>106</v>
      </c>
      <c r="P51" t="s">
        <v>107</v>
      </c>
      <c r="Q51" t="s">
        <v>49</v>
      </c>
      <c r="R51" t="s">
        <v>144</v>
      </c>
      <c r="S51" s="1">
        <v>45689</v>
      </c>
      <c r="U51" t="s">
        <v>51</v>
      </c>
      <c r="X51" t="s">
        <v>52</v>
      </c>
      <c r="Y51" t="s">
        <v>53</v>
      </c>
      <c r="Z51" t="s">
        <v>145</v>
      </c>
      <c r="AA51">
        <v>1</v>
      </c>
      <c r="AB51" s="2">
        <v>1</v>
      </c>
      <c r="AC51" t="s">
        <v>145</v>
      </c>
      <c r="AD51" s="2">
        <v>0</v>
      </c>
      <c r="AE51" t="s">
        <v>53</v>
      </c>
      <c r="AF51" t="s">
        <v>145</v>
      </c>
      <c r="AK51">
        <v>4980267</v>
      </c>
      <c r="AL51" t="s">
        <v>133</v>
      </c>
    </row>
    <row r="52" spans="1:38" x14ac:dyDescent="0.25">
      <c r="A52" s="1">
        <v>45686</v>
      </c>
      <c r="B52" s="1">
        <v>45686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217</v>
      </c>
      <c r="J52" t="s">
        <v>218</v>
      </c>
      <c r="M52" t="s">
        <v>219</v>
      </c>
      <c r="O52" t="s">
        <v>112</v>
      </c>
      <c r="P52" t="s">
        <v>113</v>
      </c>
      <c r="Q52" t="s">
        <v>49</v>
      </c>
      <c r="R52" t="s">
        <v>144</v>
      </c>
      <c r="S52" s="1">
        <v>45689</v>
      </c>
      <c r="U52" t="s">
        <v>51</v>
      </c>
      <c r="X52" t="s">
        <v>52</v>
      </c>
      <c r="Y52" t="s">
        <v>53</v>
      </c>
      <c r="Z52" t="s">
        <v>145</v>
      </c>
      <c r="AA52">
        <v>1</v>
      </c>
      <c r="AB52" s="2">
        <v>1</v>
      </c>
      <c r="AC52" t="s">
        <v>145</v>
      </c>
      <c r="AD52" s="2">
        <v>0</v>
      </c>
      <c r="AE52" t="s">
        <v>53</v>
      </c>
      <c r="AF52" t="s">
        <v>145</v>
      </c>
      <c r="AK52">
        <v>4980270</v>
      </c>
      <c r="AL52" t="s">
        <v>133</v>
      </c>
    </row>
    <row r="53" spans="1:38" x14ac:dyDescent="0.25">
      <c r="A53" s="1">
        <v>45686</v>
      </c>
      <c r="B53" s="1">
        <v>45686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220</v>
      </c>
      <c r="J53" t="s">
        <v>221</v>
      </c>
      <c r="M53" t="s">
        <v>138</v>
      </c>
      <c r="O53" t="s">
        <v>101</v>
      </c>
      <c r="P53" t="s">
        <v>102</v>
      </c>
      <c r="Q53" t="s">
        <v>49</v>
      </c>
      <c r="R53" t="s">
        <v>144</v>
      </c>
      <c r="S53" s="1">
        <v>45717</v>
      </c>
      <c r="U53" t="s">
        <v>51</v>
      </c>
      <c r="X53" t="s">
        <v>52</v>
      </c>
      <c r="Y53" t="s">
        <v>53</v>
      </c>
      <c r="Z53" t="s">
        <v>222</v>
      </c>
      <c r="AA53">
        <v>1</v>
      </c>
      <c r="AB53" s="2">
        <v>1</v>
      </c>
      <c r="AC53" t="s">
        <v>222</v>
      </c>
      <c r="AD53" s="2">
        <v>0</v>
      </c>
      <c r="AE53" t="s">
        <v>53</v>
      </c>
      <c r="AF53" t="s">
        <v>222</v>
      </c>
      <c r="AK53">
        <v>4980278</v>
      </c>
      <c r="AL53" t="s">
        <v>223</v>
      </c>
    </row>
    <row r="54" spans="1:38" x14ac:dyDescent="0.25">
      <c r="A54" s="1">
        <v>45686</v>
      </c>
      <c r="B54" s="1">
        <v>45686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224</v>
      </c>
      <c r="J54" t="s">
        <v>225</v>
      </c>
      <c r="M54" t="s">
        <v>138</v>
      </c>
      <c r="O54" t="s">
        <v>101</v>
      </c>
      <c r="P54" t="s">
        <v>102</v>
      </c>
      <c r="Q54" t="s">
        <v>49</v>
      </c>
      <c r="R54" t="s">
        <v>144</v>
      </c>
      <c r="S54" s="1">
        <v>45689</v>
      </c>
      <c r="U54" t="s">
        <v>51</v>
      </c>
      <c r="X54" t="s">
        <v>52</v>
      </c>
      <c r="Y54" t="s">
        <v>53</v>
      </c>
      <c r="Z54" t="s">
        <v>145</v>
      </c>
      <c r="AA54">
        <v>1</v>
      </c>
      <c r="AB54" s="2">
        <v>1</v>
      </c>
      <c r="AC54" t="s">
        <v>145</v>
      </c>
      <c r="AD54" s="2">
        <v>0</v>
      </c>
      <c r="AE54" t="s">
        <v>53</v>
      </c>
      <c r="AF54" t="s">
        <v>145</v>
      </c>
      <c r="AK54">
        <v>4980285</v>
      </c>
      <c r="AL54" t="s">
        <v>133</v>
      </c>
    </row>
    <row r="55" spans="1:38" x14ac:dyDescent="0.25">
      <c r="A55" s="1">
        <v>45686</v>
      </c>
      <c r="B55" s="1">
        <v>45686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226</v>
      </c>
      <c r="J55" t="s">
        <v>227</v>
      </c>
      <c r="M55" t="s">
        <v>138</v>
      </c>
      <c r="O55" t="s">
        <v>101</v>
      </c>
      <c r="P55" t="s">
        <v>102</v>
      </c>
      <c r="Q55" t="s">
        <v>49</v>
      </c>
      <c r="R55" t="s">
        <v>144</v>
      </c>
      <c r="S55" s="1">
        <v>45717</v>
      </c>
      <c r="U55" t="s">
        <v>51</v>
      </c>
      <c r="X55" t="s">
        <v>52</v>
      </c>
      <c r="Y55" t="s">
        <v>53</v>
      </c>
      <c r="Z55" t="s">
        <v>222</v>
      </c>
      <c r="AA55">
        <v>1</v>
      </c>
      <c r="AB55" s="2">
        <v>1</v>
      </c>
      <c r="AC55" t="s">
        <v>222</v>
      </c>
      <c r="AD55" s="2">
        <v>0</v>
      </c>
      <c r="AE55" t="s">
        <v>53</v>
      </c>
      <c r="AF55" t="s">
        <v>222</v>
      </c>
      <c r="AK55">
        <v>4980287</v>
      </c>
      <c r="AL55" t="s">
        <v>223</v>
      </c>
    </row>
    <row r="56" spans="1:38" x14ac:dyDescent="0.25">
      <c r="A56" s="1">
        <v>45686</v>
      </c>
      <c r="B56" s="1">
        <v>45686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228</v>
      </c>
      <c r="J56" t="s">
        <v>229</v>
      </c>
      <c r="M56" t="s">
        <v>219</v>
      </c>
      <c r="O56" t="s">
        <v>106</v>
      </c>
      <c r="P56" t="s">
        <v>107</v>
      </c>
      <c r="Q56" t="s">
        <v>49</v>
      </c>
      <c r="R56" t="s">
        <v>144</v>
      </c>
      <c r="S56" s="1">
        <v>45748</v>
      </c>
      <c r="U56" t="s">
        <v>51</v>
      </c>
      <c r="X56" t="s">
        <v>52</v>
      </c>
      <c r="Y56" t="s">
        <v>53</v>
      </c>
      <c r="Z56" t="s">
        <v>208</v>
      </c>
      <c r="AA56">
        <v>1</v>
      </c>
      <c r="AB56" s="2">
        <v>1</v>
      </c>
      <c r="AC56" t="s">
        <v>208</v>
      </c>
      <c r="AD56" s="2">
        <v>0</v>
      </c>
      <c r="AE56" t="s">
        <v>53</v>
      </c>
      <c r="AF56" t="s">
        <v>208</v>
      </c>
      <c r="AK56">
        <v>4980289</v>
      </c>
      <c r="AL56" t="s">
        <v>209</v>
      </c>
    </row>
    <row r="57" spans="1:38" x14ac:dyDescent="0.25">
      <c r="A57" s="1">
        <v>45686</v>
      </c>
      <c r="B57" s="1">
        <v>45686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230</v>
      </c>
      <c r="J57" t="s">
        <v>231</v>
      </c>
      <c r="M57" t="s">
        <v>138</v>
      </c>
      <c r="O57" t="s">
        <v>232</v>
      </c>
      <c r="P57" t="s">
        <v>233</v>
      </c>
      <c r="Q57" t="s">
        <v>49</v>
      </c>
      <c r="R57" t="s">
        <v>144</v>
      </c>
      <c r="S57" s="1">
        <v>45689</v>
      </c>
      <c r="U57" t="s">
        <v>51</v>
      </c>
      <c r="X57" t="s">
        <v>52</v>
      </c>
      <c r="Y57" t="s">
        <v>53</v>
      </c>
      <c r="Z57" t="s">
        <v>145</v>
      </c>
      <c r="AA57">
        <v>1</v>
      </c>
      <c r="AB57" s="2">
        <v>1</v>
      </c>
      <c r="AC57" t="s">
        <v>145</v>
      </c>
      <c r="AD57" s="2">
        <v>0</v>
      </c>
      <c r="AE57" t="s">
        <v>53</v>
      </c>
      <c r="AF57" t="s">
        <v>145</v>
      </c>
      <c r="AK57">
        <v>4980297</v>
      </c>
      <c r="AL57" t="s">
        <v>133</v>
      </c>
    </row>
    <row r="58" spans="1:38" x14ac:dyDescent="0.25">
      <c r="A58" s="1">
        <v>45686</v>
      </c>
      <c r="B58" s="1">
        <v>45686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234</v>
      </c>
      <c r="J58" t="s">
        <v>235</v>
      </c>
      <c r="M58" t="s">
        <v>138</v>
      </c>
      <c r="O58" t="s">
        <v>101</v>
      </c>
      <c r="P58" t="s">
        <v>102</v>
      </c>
      <c r="Q58" t="s">
        <v>49</v>
      </c>
      <c r="R58" t="s">
        <v>144</v>
      </c>
      <c r="S58" s="1">
        <v>45689</v>
      </c>
      <c r="U58" t="s">
        <v>51</v>
      </c>
      <c r="X58" t="s">
        <v>52</v>
      </c>
      <c r="Y58" t="s">
        <v>53</v>
      </c>
      <c r="Z58" t="s">
        <v>145</v>
      </c>
      <c r="AA58">
        <v>1</v>
      </c>
      <c r="AB58" s="2">
        <v>1</v>
      </c>
      <c r="AC58" t="s">
        <v>145</v>
      </c>
      <c r="AD58" s="2">
        <v>0</v>
      </c>
      <c r="AE58" t="s">
        <v>53</v>
      </c>
      <c r="AF58" t="s">
        <v>145</v>
      </c>
      <c r="AK58">
        <v>4980300</v>
      </c>
      <c r="AL58" t="s">
        <v>133</v>
      </c>
    </row>
    <row r="59" spans="1:38" x14ac:dyDescent="0.25">
      <c r="A59" s="1">
        <v>45686</v>
      </c>
      <c r="B59" s="1">
        <v>45686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236</v>
      </c>
      <c r="J59" t="s">
        <v>237</v>
      </c>
      <c r="M59" t="s">
        <v>46</v>
      </c>
      <c r="O59" t="s">
        <v>91</v>
      </c>
      <c r="P59" t="s">
        <v>92</v>
      </c>
      <c r="Q59" t="s">
        <v>49</v>
      </c>
      <c r="R59" t="s">
        <v>144</v>
      </c>
      <c r="S59" s="1">
        <v>45689</v>
      </c>
      <c r="U59" t="s">
        <v>51</v>
      </c>
      <c r="X59" t="s">
        <v>52</v>
      </c>
      <c r="Y59" t="s">
        <v>53</v>
      </c>
      <c r="Z59" t="s">
        <v>145</v>
      </c>
      <c r="AA59">
        <v>1</v>
      </c>
      <c r="AB59" s="2">
        <v>1</v>
      </c>
      <c r="AC59" t="s">
        <v>145</v>
      </c>
      <c r="AD59" s="2">
        <v>0</v>
      </c>
      <c r="AE59" t="s">
        <v>53</v>
      </c>
      <c r="AF59" t="s">
        <v>145</v>
      </c>
      <c r="AK59">
        <v>4980303</v>
      </c>
      <c r="AL59" t="s">
        <v>133</v>
      </c>
    </row>
    <row r="60" spans="1:38" x14ac:dyDescent="0.25">
      <c r="A60" s="1">
        <v>45686</v>
      </c>
      <c r="B60" s="1">
        <v>45686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238</v>
      </c>
      <c r="J60" t="s">
        <v>239</v>
      </c>
      <c r="M60" t="s">
        <v>154</v>
      </c>
      <c r="O60" t="s">
        <v>240</v>
      </c>
      <c r="P60" t="s">
        <v>241</v>
      </c>
      <c r="Q60" t="s">
        <v>49</v>
      </c>
      <c r="R60" t="s">
        <v>144</v>
      </c>
      <c r="S60" s="1">
        <v>45689</v>
      </c>
      <c r="U60" t="s">
        <v>51</v>
      </c>
      <c r="X60" t="s">
        <v>52</v>
      </c>
      <c r="Y60" t="s">
        <v>53</v>
      </c>
      <c r="Z60" t="s">
        <v>145</v>
      </c>
      <c r="AA60">
        <v>1</v>
      </c>
      <c r="AB60" s="2">
        <v>1</v>
      </c>
      <c r="AC60" t="s">
        <v>145</v>
      </c>
      <c r="AD60" s="2">
        <v>0</v>
      </c>
      <c r="AE60" t="s">
        <v>53</v>
      </c>
      <c r="AF60" t="s">
        <v>145</v>
      </c>
      <c r="AK60">
        <v>4980305</v>
      </c>
      <c r="AL60" t="s">
        <v>133</v>
      </c>
    </row>
    <row r="61" spans="1:38" x14ac:dyDescent="0.25">
      <c r="A61" s="1">
        <v>45686</v>
      </c>
      <c r="B61" s="1">
        <v>45686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242</v>
      </c>
      <c r="J61" t="s">
        <v>243</v>
      </c>
      <c r="M61" t="s">
        <v>138</v>
      </c>
      <c r="O61" t="s">
        <v>41</v>
      </c>
      <c r="P61" t="s">
        <v>43</v>
      </c>
      <c r="Q61" t="s">
        <v>49</v>
      </c>
      <c r="R61" t="s">
        <v>244</v>
      </c>
      <c r="S61" s="1">
        <v>45689</v>
      </c>
      <c r="U61" t="s">
        <v>51</v>
      </c>
      <c r="X61" t="s">
        <v>52</v>
      </c>
      <c r="Y61" t="s">
        <v>53</v>
      </c>
      <c r="Z61" t="s">
        <v>245</v>
      </c>
      <c r="AA61">
        <v>1</v>
      </c>
      <c r="AB61" s="2">
        <v>1</v>
      </c>
      <c r="AC61" t="s">
        <v>245</v>
      </c>
      <c r="AD61" s="2">
        <v>0</v>
      </c>
      <c r="AE61" t="s">
        <v>53</v>
      </c>
      <c r="AF61" t="s">
        <v>245</v>
      </c>
      <c r="AK61">
        <v>4980972</v>
      </c>
    </row>
    <row r="62" spans="1:38" x14ac:dyDescent="0.25">
      <c r="A62" s="1">
        <v>45686</v>
      </c>
      <c r="B62" s="1">
        <v>45686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246</v>
      </c>
      <c r="J62" t="s">
        <v>247</v>
      </c>
      <c r="M62" t="s">
        <v>248</v>
      </c>
      <c r="O62" t="s">
        <v>249</v>
      </c>
      <c r="P62" t="s">
        <v>250</v>
      </c>
      <c r="Q62" t="s">
        <v>49</v>
      </c>
      <c r="R62" t="s">
        <v>251</v>
      </c>
      <c r="S62" s="1">
        <v>45658</v>
      </c>
      <c r="U62" t="s">
        <v>51</v>
      </c>
      <c r="X62" t="s">
        <v>52</v>
      </c>
      <c r="Y62" t="s">
        <v>53</v>
      </c>
      <c r="Z62" t="s">
        <v>252</v>
      </c>
      <c r="AA62">
        <v>1</v>
      </c>
      <c r="AB62" s="2">
        <v>1</v>
      </c>
      <c r="AC62" t="s">
        <v>252</v>
      </c>
      <c r="AD62" s="2">
        <v>0</v>
      </c>
      <c r="AE62" t="s">
        <v>53</v>
      </c>
      <c r="AF62" t="s">
        <v>252</v>
      </c>
      <c r="AK62">
        <v>4980405</v>
      </c>
    </row>
    <row r="63" spans="1:38" x14ac:dyDescent="0.25">
      <c r="A63" s="1">
        <v>45686</v>
      </c>
      <c r="B63" s="1">
        <v>45686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253</v>
      </c>
      <c r="J63" t="s">
        <v>254</v>
      </c>
      <c r="M63" t="s">
        <v>138</v>
      </c>
      <c r="O63" t="s">
        <v>255</v>
      </c>
      <c r="P63" t="s">
        <v>256</v>
      </c>
      <c r="Q63" t="s">
        <v>49</v>
      </c>
      <c r="R63" t="s">
        <v>244</v>
      </c>
      <c r="S63" s="1">
        <v>45658</v>
      </c>
      <c r="U63" t="s">
        <v>51</v>
      </c>
      <c r="X63" t="s">
        <v>52</v>
      </c>
      <c r="Y63" t="s">
        <v>53</v>
      </c>
      <c r="Z63" t="s">
        <v>245</v>
      </c>
      <c r="AA63">
        <v>1</v>
      </c>
      <c r="AB63" s="2">
        <v>1</v>
      </c>
      <c r="AC63" t="s">
        <v>245</v>
      </c>
      <c r="AD63" s="2">
        <v>0</v>
      </c>
      <c r="AE63" t="s">
        <v>53</v>
      </c>
      <c r="AF63" t="s">
        <v>245</v>
      </c>
      <c r="AK63">
        <v>4981156</v>
      </c>
    </row>
    <row r="64" spans="1:38" x14ac:dyDescent="0.25">
      <c r="A64" s="1">
        <v>45686</v>
      </c>
      <c r="B64" s="1">
        <v>45686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257</v>
      </c>
      <c r="J64" t="s">
        <v>258</v>
      </c>
      <c r="M64" t="s">
        <v>259</v>
      </c>
      <c r="O64" t="s">
        <v>112</v>
      </c>
      <c r="P64" t="s">
        <v>113</v>
      </c>
      <c r="Q64" t="s">
        <v>49</v>
      </c>
      <c r="R64" t="s">
        <v>260</v>
      </c>
      <c r="S64" s="1">
        <v>45658</v>
      </c>
      <c r="U64" t="s">
        <v>51</v>
      </c>
      <c r="X64" t="s">
        <v>52</v>
      </c>
      <c r="Y64" t="s">
        <v>53</v>
      </c>
      <c r="Z64" t="s">
        <v>261</v>
      </c>
      <c r="AA64">
        <v>1</v>
      </c>
      <c r="AB64" s="2">
        <v>1</v>
      </c>
      <c r="AC64" t="s">
        <v>261</v>
      </c>
      <c r="AD64" s="2">
        <v>0</v>
      </c>
      <c r="AE64" t="s">
        <v>53</v>
      </c>
      <c r="AF64" t="s">
        <v>261</v>
      </c>
      <c r="AK64">
        <v>4980871</v>
      </c>
    </row>
    <row r="65" spans="1:38" x14ac:dyDescent="0.25">
      <c r="A65" s="1">
        <v>45686</v>
      </c>
      <c r="B65" s="1">
        <v>45686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262</v>
      </c>
      <c r="J65" t="s">
        <v>258</v>
      </c>
      <c r="M65" t="s">
        <v>259</v>
      </c>
      <c r="O65" t="s">
        <v>112</v>
      </c>
      <c r="P65" t="s">
        <v>113</v>
      </c>
      <c r="Q65" t="s">
        <v>49</v>
      </c>
      <c r="R65" t="s">
        <v>263</v>
      </c>
      <c r="S65" s="1">
        <v>45658</v>
      </c>
      <c r="U65" t="s">
        <v>51</v>
      </c>
      <c r="X65" t="s">
        <v>52</v>
      </c>
      <c r="Y65" t="s">
        <v>53</v>
      </c>
      <c r="Z65" t="s">
        <v>60</v>
      </c>
      <c r="AA65">
        <v>1</v>
      </c>
      <c r="AB65" s="2">
        <v>1</v>
      </c>
      <c r="AC65" t="s">
        <v>60</v>
      </c>
      <c r="AD65" s="2">
        <v>0</v>
      </c>
      <c r="AE65" t="s">
        <v>53</v>
      </c>
      <c r="AF65" t="s">
        <v>60</v>
      </c>
      <c r="AK65">
        <v>4980872</v>
      </c>
    </row>
    <row r="66" spans="1:38" x14ac:dyDescent="0.25">
      <c r="A66" s="1">
        <v>45686</v>
      </c>
      <c r="B66" s="1">
        <v>45686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264</v>
      </c>
      <c r="J66" t="s">
        <v>265</v>
      </c>
      <c r="M66" t="s">
        <v>154</v>
      </c>
      <c r="O66" t="s">
        <v>73</v>
      </c>
      <c r="P66" t="s">
        <v>74</v>
      </c>
      <c r="Q66" t="s">
        <v>49</v>
      </c>
      <c r="R66" t="s">
        <v>266</v>
      </c>
      <c r="S66" s="1">
        <v>45689</v>
      </c>
      <c r="U66" t="s">
        <v>51</v>
      </c>
      <c r="X66" t="s">
        <v>52</v>
      </c>
      <c r="Y66" t="s">
        <v>53</v>
      </c>
      <c r="Z66" t="s">
        <v>267</v>
      </c>
      <c r="AA66">
        <v>1</v>
      </c>
      <c r="AB66" s="2">
        <v>1</v>
      </c>
      <c r="AC66" t="s">
        <v>267</v>
      </c>
      <c r="AD66" s="2">
        <v>0</v>
      </c>
      <c r="AE66" t="s">
        <v>53</v>
      </c>
      <c r="AF66" t="s">
        <v>267</v>
      </c>
      <c r="AK66">
        <v>4980865</v>
      </c>
      <c r="AL66" t="s">
        <v>133</v>
      </c>
    </row>
    <row r="67" spans="1:38" x14ac:dyDescent="0.25">
      <c r="A67" s="1">
        <v>45686</v>
      </c>
      <c r="B67" s="1">
        <v>45686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268</v>
      </c>
      <c r="J67" t="s">
        <v>265</v>
      </c>
      <c r="M67" t="s">
        <v>154</v>
      </c>
      <c r="O67" t="s">
        <v>73</v>
      </c>
      <c r="P67" t="s">
        <v>74</v>
      </c>
      <c r="Q67" t="s">
        <v>49</v>
      </c>
      <c r="R67" t="s">
        <v>269</v>
      </c>
      <c r="S67" s="1">
        <v>45689</v>
      </c>
      <c r="U67" t="s">
        <v>51</v>
      </c>
      <c r="X67" t="s">
        <v>52</v>
      </c>
      <c r="Y67" t="s">
        <v>53</v>
      </c>
      <c r="Z67" t="s">
        <v>270</v>
      </c>
      <c r="AA67">
        <v>1</v>
      </c>
      <c r="AB67" s="2">
        <v>1</v>
      </c>
      <c r="AC67" t="s">
        <v>270</v>
      </c>
      <c r="AD67" s="2">
        <v>0</v>
      </c>
      <c r="AE67" t="s">
        <v>53</v>
      </c>
      <c r="AF67" t="s">
        <v>270</v>
      </c>
      <c r="AK67">
        <v>4980866</v>
      </c>
      <c r="AL67" t="s">
        <v>133</v>
      </c>
    </row>
    <row r="68" spans="1:38" x14ac:dyDescent="0.25">
      <c r="A68" s="1">
        <v>45686</v>
      </c>
      <c r="B68" s="1">
        <v>45686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271</v>
      </c>
      <c r="J68" t="s">
        <v>137</v>
      </c>
      <c r="M68" t="s">
        <v>138</v>
      </c>
      <c r="O68" t="s">
        <v>139</v>
      </c>
      <c r="P68" t="s">
        <v>140</v>
      </c>
      <c r="Q68" t="s">
        <v>49</v>
      </c>
      <c r="R68" t="s">
        <v>272</v>
      </c>
      <c r="S68" s="1">
        <v>45689</v>
      </c>
      <c r="U68" t="s">
        <v>51</v>
      </c>
      <c r="X68" t="s">
        <v>52</v>
      </c>
      <c r="Y68" t="s">
        <v>53</v>
      </c>
      <c r="Z68" t="s">
        <v>208</v>
      </c>
      <c r="AA68">
        <v>9</v>
      </c>
      <c r="AB68" s="2">
        <v>1</v>
      </c>
      <c r="AC68" t="s">
        <v>273</v>
      </c>
      <c r="AD68" s="2">
        <v>0</v>
      </c>
      <c r="AE68" t="s">
        <v>53</v>
      </c>
      <c r="AF68" t="s">
        <v>273</v>
      </c>
      <c r="AK68">
        <v>4980665</v>
      </c>
    </row>
    <row r="69" spans="1:38" x14ac:dyDescent="0.25">
      <c r="A69" s="1">
        <v>45686</v>
      </c>
      <c r="B69" s="1">
        <v>45686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274</v>
      </c>
      <c r="J69" t="s">
        <v>275</v>
      </c>
      <c r="M69" t="s">
        <v>154</v>
      </c>
      <c r="O69" t="s">
        <v>112</v>
      </c>
      <c r="P69" t="s">
        <v>113</v>
      </c>
      <c r="Q69" t="s">
        <v>49</v>
      </c>
      <c r="R69" t="s">
        <v>276</v>
      </c>
      <c r="S69" s="1">
        <v>45689</v>
      </c>
      <c r="U69" t="s">
        <v>51</v>
      </c>
      <c r="X69" t="s">
        <v>52</v>
      </c>
      <c r="Y69" t="s">
        <v>53</v>
      </c>
      <c r="Z69" t="s">
        <v>277</v>
      </c>
      <c r="AA69">
        <v>9</v>
      </c>
      <c r="AB69" s="2">
        <v>1</v>
      </c>
      <c r="AC69" t="s">
        <v>278</v>
      </c>
      <c r="AD69" s="2">
        <v>0</v>
      </c>
      <c r="AE69" t="s">
        <v>53</v>
      </c>
      <c r="AF69" t="s">
        <v>278</v>
      </c>
      <c r="AK69">
        <v>4980664</v>
      </c>
    </row>
    <row r="70" spans="1:38" x14ac:dyDescent="0.25">
      <c r="A70" s="1">
        <v>45686</v>
      </c>
      <c r="B70" s="1">
        <v>45686</v>
      </c>
      <c r="C70" t="s">
        <v>279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280</v>
      </c>
      <c r="J70" t="s">
        <v>281</v>
      </c>
      <c r="M70" t="s">
        <v>46</v>
      </c>
      <c r="O70" t="s">
        <v>73</v>
      </c>
      <c r="P70" t="s">
        <v>74</v>
      </c>
      <c r="Q70" t="s">
        <v>282</v>
      </c>
      <c r="R70" t="s">
        <v>50</v>
      </c>
      <c r="S70" s="1">
        <v>45658</v>
      </c>
      <c r="U70" t="s">
        <v>51</v>
      </c>
      <c r="X70" t="s">
        <v>52</v>
      </c>
      <c r="AF70" t="s">
        <v>54</v>
      </c>
      <c r="AG70" t="s">
        <v>53</v>
      </c>
      <c r="AJ70" t="s">
        <v>283</v>
      </c>
    </row>
    <row r="71" spans="1:38" x14ac:dyDescent="0.25">
      <c r="A71" s="1">
        <v>45686</v>
      </c>
      <c r="B71" s="1">
        <v>45686</v>
      </c>
      <c r="C71" t="s">
        <v>279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284</v>
      </c>
      <c r="J71" t="s">
        <v>285</v>
      </c>
      <c r="M71" t="s">
        <v>46</v>
      </c>
      <c r="O71" t="s">
        <v>57</v>
      </c>
      <c r="P71" t="s">
        <v>58</v>
      </c>
      <c r="Q71" t="s">
        <v>282</v>
      </c>
      <c r="R71" t="s">
        <v>59</v>
      </c>
      <c r="S71" s="1">
        <v>45658</v>
      </c>
      <c r="U71" t="s">
        <v>51</v>
      </c>
      <c r="X71" t="s">
        <v>52</v>
      </c>
      <c r="AF71" t="s">
        <v>60</v>
      </c>
      <c r="AG71" t="s">
        <v>53</v>
      </c>
      <c r="AJ71" t="s">
        <v>286</v>
      </c>
    </row>
    <row r="72" spans="1:38" x14ac:dyDescent="0.25">
      <c r="A72" s="1">
        <v>45686</v>
      </c>
      <c r="B72" s="1">
        <v>45686</v>
      </c>
      <c r="C72" t="s">
        <v>279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287</v>
      </c>
      <c r="J72" t="s">
        <v>288</v>
      </c>
      <c r="M72" t="s">
        <v>46</v>
      </c>
      <c r="O72" t="s">
        <v>73</v>
      </c>
      <c r="P72" t="s">
        <v>74</v>
      </c>
      <c r="Q72" t="s">
        <v>282</v>
      </c>
      <c r="R72" t="s">
        <v>50</v>
      </c>
      <c r="S72" s="1">
        <v>45658</v>
      </c>
      <c r="U72" t="s">
        <v>51</v>
      </c>
      <c r="X72" t="s">
        <v>52</v>
      </c>
      <c r="AF72" t="s">
        <v>54</v>
      </c>
      <c r="AG72" t="s">
        <v>53</v>
      </c>
      <c r="AJ72" t="s">
        <v>283</v>
      </c>
    </row>
    <row r="73" spans="1:38" x14ac:dyDescent="0.25">
      <c r="A73" s="1">
        <v>45686</v>
      </c>
      <c r="B73" s="1">
        <v>45686</v>
      </c>
      <c r="C73" t="s">
        <v>279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289</v>
      </c>
      <c r="J73" t="s">
        <v>62</v>
      </c>
      <c r="M73" t="s">
        <v>46</v>
      </c>
      <c r="O73" t="s">
        <v>57</v>
      </c>
      <c r="P73" t="s">
        <v>58</v>
      </c>
      <c r="Q73" t="s">
        <v>282</v>
      </c>
      <c r="R73" t="s">
        <v>59</v>
      </c>
      <c r="S73" s="1">
        <v>45658</v>
      </c>
      <c r="U73" t="s">
        <v>51</v>
      </c>
      <c r="X73" t="s">
        <v>52</v>
      </c>
      <c r="AF73" t="s">
        <v>60</v>
      </c>
      <c r="AG73" t="s">
        <v>53</v>
      </c>
      <c r="AJ73" t="s">
        <v>286</v>
      </c>
    </row>
    <row r="74" spans="1:38" x14ac:dyDescent="0.25">
      <c r="A74" s="1">
        <v>45686</v>
      </c>
      <c r="B74" s="1">
        <v>45686</v>
      </c>
      <c r="C74" t="s">
        <v>279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290</v>
      </c>
      <c r="J74" t="s">
        <v>291</v>
      </c>
      <c r="M74" t="s">
        <v>46</v>
      </c>
      <c r="O74" t="s">
        <v>292</v>
      </c>
      <c r="P74" t="s">
        <v>293</v>
      </c>
      <c r="Q74" t="s">
        <v>282</v>
      </c>
      <c r="R74" t="s">
        <v>50</v>
      </c>
      <c r="S74" s="1">
        <v>45658</v>
      </c>
      <c r="U74" t="s">
        <v>51</v>
      </c>
      <c r="X74" t="s">
        <v>52</v>
      </c>
      <c r="AF74" t="s">
        <v>54</v>
      </c>
      <c r="AG74" t="s">
        <v>53</v>
      </c>
      <c r="AJ74" t="s">
        <v>283</v>
      </c>
    </row>
    <row r="75" spans="1:38" x14ac:dyDescent="0.25">
      <c r="A75" s="1">
        <v>45686</v>
      </c>
      <c r="B75" s="1">
        <v>45686</v>
      </c>
      <c r="C75" t="s">
        <v>279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294</v>
      </c>
      <c r="J75" t="s">
        <v>295</v>
      </c>
      <c r="M75" t="s">
        <v>46</v>
      </c>
      <c r="O75" t="s">
        <v>57</v>
      </c>
      <c r="P75" t="s">
        <v>58</v>
      </c>
      <c r="Q75" t="s">
        <v>282</v>
      </c>
      <c r="R75" t="s">
        <v>59</v>
      </c>
      <c r="S75" s="1">
        <v>45658</v>
      </c>
      <c r="U75" t="s">
        <v>51</v>
      </c>
      <c r="X75" t="s">
        <v>52</v>
      </c>
      <c r="AF75" t="s">
        <v>60</v>
      </c>
      <c r="AG75" t="s">
        <v>53</v>
      </c>
      <c r="AJ75" t="s">
        <v>286</v>
      </c>
    </row>
    <row r="76" spans="1:38" x14ac:dyDescent="0.25">
      <c r="A76" s="1">
        <v>45686</v>
      </c>
      <c r="B76" s="1">
        <v>45686</v>
      </c>
      <c r="C76" t="s">
        <v>279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296</v>
      </c>
      <c r="J76" t="s">
        <v>297</v>
      </c>
      <c r="M76" t="s">
        <v>46</v>
      </c>
      <c r="O76" t="s">
        <v>101</v>
      </c>
      <c r="P76" t="s">
        <v>102</v>
      </c>
      <c r="Q76" t="s">
        <v>282</v>
      </c>
      <c r="R76" t="s">
        <v>122</v>
      </c>
      <c r="S76" s="1">
        <v>45658</v>
      </c>
      <c r="U76" t="s">
        <v>51</v>
      </c>
      <c r="X76" t="s">
        <v>52</v>
      </c>
      <c r="AF76" t="s">
        <v>123</v>
      </c>
      <c r="AG76" t="s">
        <v>53</v>
      </c>
      <c r="AJ76" t="s">
        <v>123</v>
      </c>
    </row>
    <row r="77" spans="1:38" x14ac:dyDescent="0.25">
      <c r="A77" s="1">
        <v>45686</v>
      </c>
      <c r="B77" s="1">
        <v>45686</v>
      </c>
      <c r="C77" t="s">
        <v>279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298</v>
      </c>
      <c r="J77" t="s">
        <v>299</v>
      </c>
      <c r="M77" t="s">
        <v>46</v>
      </c>
      <c r="O77" t="s">
        <v>65</v>
      </c>
      <c r="P77" t="s">
        <v>66</v>
      </c>
      <c r="Q77" t="s">
        <v>282</v>
      </c>
      <c r="R77" t="s">
        <v>59</v>
      </c>
      <c r="S77" s="1">
        <v>45658</v>
      </c>
      <c r="U77" t="s">
        <v>51</v>
      </c>
      <c r="X77" t="s">
        <v>52</v>
      </c>
      <c r="AF77" t="s">
        <v>60</v>
      </c>
      <c r="AG77" t="s">
        <v>53</v>
      </c>
      <c r="AJ77" t="s">
        <v>286</v>
      </c>
    </row>
    <row r="78" spans="1:38" x14ac:dyDescent="0.25">
      <c r="A78" s="1">
        <v>45686</v>
      </c>
      <c r="B78" s="1">
        <v>45686</v>
      </c>
      <c r="C78" t="s">
        <v>279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300</v>
      </c>
      <c r="J78" t="s">
        <v>301</v>
      </c>
      <c r="M78" t="s">
        <v>46</v>
      </c>
      <c r="O78" t="s">
        <v>302</v>
      </c>
      <c r="P78" t="s">
        <v>303</v>
      </c>
      <c r="Q78" t="s">
        <v>282</v>
      </c>
      <c r="R78" t="s">
        <v>59</v>
      </c>
      <c r="S78" s="1">
        <v>45658</v>
      </c>
      <c r="U78" t="s">
        <v>51</v>
      </c>
      <c r="X78" t="s">
        <v>52</v>
      </c>
      <c r="AF78" t="s">
        <v>60</v>
      </c>
      <c r="AG78" t="s">
        <v>53</v>
      </c>
      <c r="AJ78" t="s">
        <v>286</v>
      </c>
    </row>
    <row r="79" spans="1:38" x14ac:dyDescent="0.25">
      <c r="A79" s="1">
        <v>45686</v>
      </c>
      <c r="B79" s="1">
        <v>45686</v>
      </c>
      <c r="C79" t="s">
        <v>279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304</v>
      </c>
      <c r="J79" t="s">
        <v>305</v>
      </c>
      <c r="M79" t="s">
        <v>259</v>
      </c>
      <c r="O79" t="s">
        <v>73</v>
      </c>
      <c r="P79" t="s">
        <v>74</v>
      </c>
      <c r="Q79" t="s">
        <v>282</v>
      </c>
      <c r="R79" t="s">
        <v>184</v>
      </c>
      <c r="S79" s="1">
        <v>45658</v>
      </c>
      <c r="U79" t="s">
        <v>51</v>
      </c>
      <c r="X79" t="s">
        <v>52</v>
      </c>
      <c r="AF79" t="s">
        <v>103</v>
      </c>
      <c r="AG79" t="s">
        <v>53</v>
      </c>
      <c r="AJ79" t="s">
        <v>103</v>
      </c>
    </row>
    <row r="80" spans="1:38" x14ac:dyDescent="0.25">
      <c r="A80" s="1">
        <v>45686</v>
      </c>
      <c r="B80" s="1">
        <v>45686</v>
      </c>
      <c r="C80" t="s">
        <v>279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306</v>
      </c>
      <c r="J80" t="s">
        <v>307</v>
      </c>
      <c r="M80" t="s">
        <v>308</v>
      </c>
      <c r="O80" t="s">
        <v>73</v>
      </c>
      <c r="P80" t="s">
        <v>74</v>
      </c>
      <c r="Q80" t="s">
        <v>282</v>
      </c>
      <c r="R80" t="s">
        <v>184</v>
      </c>
      <c r="S80" s="1">
        <v>45658</v>
      </c>
      <c r="U80" t="s">
        <v>51</v>
      </c>
      <c r="X80" t="s">
        <v>52</v>
      </c>
      <c r="AF80" t="s">
        <v>103</v>
      </c>
      <c r="AG80" t="s">
        <v>53</v>
      </c>
      <c r="AJ80" t="s">
        <v>103</v>
      </c>
    </row>
    <row r="81" spans="1:36" x14ac:dyDescent="0.25">
      <c r="A81" s="1">
        <v>45686</v>
      </c>
      <c r="B81" s="1">
        <v>45686</v>
      </c>
      <c r="C81" t="s">
        <v>279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309</v>
      </c>
      <c r="J81" t="s">
        <v>189</v>
      </c>
      <c r="M81" t="s">
        <v>190</v>
      </c>
      <c r="O81" t="s">
        <v>73</v>
      </c>
      <c r="P81" t="s">
        <v>74</v>
      </c>
      <c r="Q81" t="s">
        <v>282</v>
      </c>
      <c r="R81" t="s">
        <v>144</v>
      </c>
      <c r="S81" s="1">
        <v>45689</v>
      </c>
      <c r="U81" t="s">
        <v>51</v>
      </c>
      <c r="X81" t="s">
        <v>52</v>
      </c>
      <c r="AF81" t="s">
        <v>145</v>
      </c>
      <c r="AG81" t="s">
        <v>53</v>
      </c>
      <c r="AJ81" t="s">
        <v>145</v>
      </c>
    </row>
    <row r="82" spans="1:36" x14ac:dyDescent="0.25">
      <c r="A82" s="1">
        <v>45686</v>
      </c>
      <c r="B82" s="1">
        <v>45686</v>
      </c>
      <c r="C82" t="s">
        <v>279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310</v>
      </c>
      <c r="J82" t="s">
        <v>192</v>
      </c>
      <c r="M82" t="s">
        <v>138</v>
      </c>
      <c r="O82" t="s">
        <v>193</v>
      </c>
      <c r="P82" t="s">
        <v>194</v>
      </c>
      <c r="Q82" t="s">
        <v>282</v>
      </c>
      <c r="R82" t="s">
        <v>144</v>
      </c>
      <c r="S82" s="1">
        <v>45689</v>
      </c>
      <c r="U82" t="s">
        <v>51</v>
      </c>
      <c r="X82" t="s">
        <v>52</v>
      </c>
      <c r="AF82" t="s">
        <v>145</v>
      </c>
      <c r="AG82" t="s">
        <v>53</v>
      </c>
      <c r="AJ82" t="s">
        <v>145</v>
      </c>
    </row>
    <row r="83" spans="1:36" x14ac:dyDescent="0.25">
      <c r="A83" s="1">
        <v>45686</v>
      </c>
      <c r="B83" s="1">
        <v>45686</v>
      </c>
      <c r="C83" t="s">
        <v>279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311</v>
      </c>
      <c r="J83" t="s">
        <v>312</v>
      </c>
      <c r="M83" t="s">
        <v>138</v>
      </c>
      <c r="O83" t="s">
        <v>41</v>
      </c>
      <c r="P83" t="s">
        <v>43</v>
      </c>
      <c r="Q83" t="s">
        <v>282</v>
      </c>
      <c r="R83" t="s">
        <v>184</v>
      </c>
      <c r="S83" s="1">
        <v>45658</v>
      </c>
      <c r="U83" t="s">
        <v>51</v>
      </c>
      <c r="X83" t="s">
        <v>52</v>
      </c>
      <c r="AF83" t="s">
        <v>103</v>
      </c>
      <c r="AG83" t="s">
        <v>53</v>
      </c>
      <c r="AJ83" t="s">
        <v>103</v>
      </c>
    </row>
    <row r="84" spans="1:36" x14ac:dyDescent="0.25">
      <c r="A84" s="1">
        <v>45686</v>
      </c>
      <c r="B84" s="1">
        <v>45686</v>
      </c>
      <c r="C84" t="s">
        <v>279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313</v>
      </c>
      <c r="J84" t="s">
        <v>196</v>
      </c>
      <c r="M84" t="s">
        <v>138</v>
      </c>
      <c r="O84" t="s">
        <v>101</v>
      </c>
      <c r="P84" t="s">
        <v>102</v>
      </c>
      <c r="Q84" t="s">
        <v>282</v>
      </c>
      <c r="R84" t="s">
        <v>144</v>
      </c>
      <c r="S84" s="1">
        <v>45689</v>
      </c>
      <c r="U84" t="s">
        <v>51</v>
      </c>
      <c r="X84" t="s">
        <v>52</v>
      </c>
      <c r="AF84" t="s">
        <v>145</v>
      </c>
      <c r="AG84" t="s">
        <v>53</v>
      </c>
      <c r="AJ84" t="s">
        <v>145</v>
      </c>
    </row>
    <row r="85" spans="1:36" x14ac:dyDescent="0.25">
      <c r="A85" s="1">
        <v>45686</v>
      </c>
      <c r="B85" s="1">
        <v>45686</v>
      </c>
      <c r="C85" t="s">
        <v>279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314</v>
      </c>
      <c r="J85" t="s">
        <v>198</v>
      </c>
      <c r="M85" t="s">
        <v>138</v>
      </c>
      <c r="O85" t="s">
        <v>148</v>
      </c>
      <c r="P85" t="s">
        <v>149</v>
      </c>
      <c r="Q85" t="s">
        <v>282</v>
      </c>
      <c r="R85" t="s">
        <v>144</v>
      </c>
      <c r="S85" s="1">
        <v>45689</v>
      </c>
      <c r="U85" t="s">
        <v>51</v>
      </c>
      <c r="X85" t="s">
        <v>52</v>
      </c>
      <c r="AF85" t="s">
        <v>145</v>
      </c>
      <c r="AG85" t="s">
        <v>53</v>
      </c>
      <c r="AJ85" t="s">
        <v>145</v>
      </c>
    </row>
    <row r="86" spans="1:36" x14ac:dyDescent="0.25">
      <c r="A86" s="1">
        <v>45686</v>
      </c>
      <c r="B86" s="1">
        <v>45686</v>
      </c>
      <c r="C86" t="s">
        <v>279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315</v>
      </c>
      <c r="J86" t="s">
        <v>200</v>
      </c>
      <c r="M86" t="s">
        <v>154</v>
      </c>
      <c r="O86" t="s">
        <v>106</v>
      </c>
      <c r="P86" t="s">
        <v>107</v>
      </c>
      <c r="Q86" t="s">
        <v>282</v>
      </c>
      <c r="R86" t="s">
        <v>144</v>
      </c>
      <c r="S86" s="1">
        <v>45717</v>
      </c>
      <c r="U86" t="s">
        <v>51</v>
      </c>
      <c r="X86" t="s">
        <v>52</v>
      </c>
      <c r="AF86" t="s">
        <v>222</v>
      </c>
      <c r="AG86" t="s">
        <v>53</v>
      </c>
      <c r="AJ86" t="s">
        <v>222</v>
      </c>
    </row>
    <row r="87" spans="1:36" x14ac:dyDescent="0.25">
      <c r="A87" s="1">
        <v>45686</v>
      </c>
      <c r="B87" s="1">
        <v>45686</v>
      </c>
      <c r="C87" t="s">
        <v>279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316</v>
      </c>
      <c r="J87" t="s">
        <v>317</v>
      </c>
      <c r="O87" t="s">
        <v>73</v>
      </c>
      <c r="P87" t="s">
        <v>74</v>
      </c>
      <c r="Q87" t="s">
        <v>282</v>
      </c>
      <c r="R87" t="s">
        <v>318</v>
      </c>
      <c r="S87" s="1">
        <v>45566</v>
      </c>
      <c r="U87" t="s">
        <v>51</v>
      </c>
      <c r="X87" t="s">
        <v>52</v>
      </c>
      <c r="AF87" t="s">
        <v>60</v>
      </c>
      <c r="AG87" t="s">
        <v>53</v>
      </c>
      <c r="AJ87" t="s">
        <v>319</v>
      </c>
    </row>
    <row r="88" spans="1:36" x14ac:dyDescent="0.25">
      <c r="A88" s="1">
        <v>45686</v>
      </c>
      <c r="B88" s="1">
        <v>45686</v>
      </c>
      <c r="C88" t="s">
        <v>279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320</v>
      </c>
      <c r="J88" t="s">
        <v>321</v>
      </c>
      <c r="M88" t="s">
        <v>154</v>
      </c>
      <c r="O88" t="s">
        <v>73</v>
      </c>
      <c r="P88" t="s">
        <v>74</v>
      </c>
      <c r="Q88" t="s">
        <v>282</v>
      </c>
      <c r="R88" t="s">
        <v>322</v>
      </c>
      <c r="S88" s="1">
        <v>45597</v>
      </c>
      <c r="U88" t="s">
        <v>51</v>
      </c>
      <c r="X88" t="s">
        <v>52</v>
      </c>
      <c r="AF88" t="s">
        <v>323</v>
      </c>
      <c r="AG88" t="s">
        <v>53</v>
      </c>
      <c r="AJ88" t="s">
        <v>323</v>
      </c>
    </row>
    <row r="89" spans="1:36" x14ac:dyDescent="0.25">
      <c r="A89" s="1">
        <v>45686</v>
      </c>
      <c r="B89" s="1">
        <v>45686</v>
      </c>
      <c r="C89" t="s">
        <v>279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324</v>
      </c>
      <c r="J89" t="s">
        <v>321</v>
      </c>
      <c r="M89" t="s">
        <v>154</v>
      </c>
      <c r="O89" t="s">
        <v>73</v>
      </c>
      <c r="P89" t="s">
        <v>74</v>
      </c>
      <c r="Q89" t="s">
        <v>282</v>
      </c>
      <c r="R89" t="s">
        <v>263</v>
      </c>
      <c r="S89" s="1">
        <v>45597</v>
      </c>
      <c r="U89" t="s">
        <v>51</v>
      </c>
      <c r="X89" t="s">
        <v>52</v>
      </c>
      <c r="AF89" t="s">
        <v>60</v>
      </c>
      <c r="AG89" t="s">
        <v>53</v>
      </c>
      <c r="AJ89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28EB-DC32-4E52-8F8E-D41F7D4CD8E6}">
  <dimension ref="A1:R85"/>
  <sheetViews>
    <sheetView topLeftCell="G28" workbookViewId="0">
      <selection activeCell="P81" sqref="P81"/>
    </sheetView>
  </sheetViews>
  <sheetFormatPr defaultColWidth="8.875" defaultRowHeight="15.75" x14ac:dyDescent="0.25"/>
  <cols>
    <col min="1" max="1" width="19.125" style="3" bestFit="1" customWidth="1"/>
    <col min="2" max="2" width="19.125" style="3" customWidth="1"/>
    <col min="3" max="3" width="24.125" bestFit="1" customWidth="1"/>
    <col min="4" max="4" width="5.125" bestFit="1" customWidth="1"/>
    <col min="5" max="5" width="13.875" bestFit="1" customWidth="1"/>
    <col min="6" max="6" width="24.625" bestFit="1" customWidth="1"/>
    <col min="7" max="7" width="43" bestFit="1" customWidth="1"/>
    <col min="8" max="8" width="9.375" bestFit="1" customWidth="1"/>
    <col min="9" max="9" width="11.125" bestFit="1" customWidth="1"/>
    <col min="10" max="10" width="14.625" bestFit="1" customWidth="1"/>
    <col min="11" max="12" width="15.375" bestFit="1" customWidth="1"/>
    <col min="13" max="13" width="16.125" style="4" bestFit="1" customWidth="1"/>
    <col min="14" max="14" width="14.625" bestFit="1" customWidth="1"/>
  </cols>
  <sheetData>
    <row r="1" spans="1:18" x14ac:dyDescent="0.25">
      <c r="A1" s="3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19</v>
      </c>
      <c r="J1" t="s">
        <v>25</v>
      </c>
      <c r="K1" t="s">
        <v>26</v>
      </c>
      <c r="L1" t="s">
        <v>27</v>
      </c>
      <c r="M1" s="4" t="s">
        <v>28</v>
      </c>
      <c r="N1" t="s">
        <v>37</v>
      </c>
    </row>
    <row r="2" spans="1:18" x14ac:dyDescent="0.25">
      <c r="A2" s="3">
        <v>101867303600</v>
      </c>
      <c r="B2" s="3" t="str">
        <f>CONCATENATE(A2,9)</f>
        <v>1018673036009</v>
      </c>
      <c r="C2" t="s">
        <v>180</v>
      </c>
      <c r="D2" t="s">
        <v>181</v>
      </c>
      <c r="E2">
        <v>43713</v>
      </c>
      <c r="F2" t="s">
        <v>183</v>
      </c>
      <c r="G2" t="s">
        <v>184</v>
      </c>
      <c r="H2" s="1">
        <v>45658</v>
      </c>
      <c r="J2">
        <v>50</v>
      </c>
      <c r="K2">
        <v>1</v>
      </c>
      <c r="L2" s="2">
        <v>1</v>
      </c>
      <c r="M2" s="4">
        <v>50</v>
      </c>
      <c r="O2" t="s">
        <v>373</v>
      </c>
      <c r="Q2" t="s">
        <v>384</v>
      </c>
      <c r="R2">
        <v>20411454</v>
      </c>
    </row>
    <row r="3" spans="1:18" x14ac:dyDescent="0.25">
      <c r="A3" s="3">
        <v>102085775200</v>
      </c>
      <c r="B3" s="3" t="str">
        <f t="shared" ref="B3:B66" si="0">CONCATENATE(A3,9)</f>
        <v>1020857752009</v>
      </c>
      <c r="C3" t="s">
        <v>189</v>
      </c>
      <c r="D3" t="s">
        <v>190</v>
      </c>
      <c r="E3">
        <v>45605</v>
      </c>
      <c r="F3" t="s">
        <v>74</v>
      </c>
      <c r="G3" t="s">
        <v>184</v>
      </c>
      <c r="H3" s="1">
        <v>45689</v>
      </c>
      <c r="J3">
        <v>50</v>
      </c>
      <c r="K3">
        <v>1</v>
      </c>
      <c r="L3" s="2">
        <v>1</v>
      </c>
      <c r="M3" s="4">
        <v>50</v>
      </c>
      <c r="O3" t="s">
        <v>373</v>
      </c>
      <c r="Q3" t="s">
        <v>384</v>
      </c>
      <c r="R3">
        <v>20411454</v>
      </c>
    </row>
    <row r="4" spans="1:18" x14ac:dyDescent="0.25">
      <c r="A4" s="3">
        <v>102095301000</v>
      </c>
      <c r="B4" s="3" t="str">
        <f t="shared" si="0"/>
        <v>1020953010009</v>
      </c>
      <c r="C4" t="s">
        <v>192</v>
      </c>
      <c r="D4" t="s">
        <v>138</v>
      </c>
      <c r="E4">
        <v>43691</v>
      </c>
      <c r="F4" t="s">
        <v>194</v>
      </c>
      <c r="G4" t="s">
        <v>184</v>
      </c>
      <c r="H4" s="1">
        <v>45689</v>
      </c>
      <c r="J4">
        <v>50</v>
      </c>
      <c r="K4">
        <v>1</v>
      </c>
      <c r="L4" s="2">
        <v>1</v>
      </c>
      <c r="M4" s="4">
        <v>50</v>
      </c>
      <c r="O4" t="s">
        <v>373</v>
      </c>
      <c r="Q4" t="s">
        <v>384</v>
      </c>
      <c r="R4">
        <v>20411454</v>
      </c>
    </row>
    <row r="5" spans="1:18" x14ac:dyDescent="0.25">
      <c r="A5" s="3">
        <v>102112669400</v>
      </c>
      <c r="B5" s="3" t="str">
        <f t="shared" si="0"/>
        <v>1021126694009</v>
      </c>
      <c r="C5" t="s">
        <v>196</v>
      </c>
      <c r="D5" t="s">
        <v>138</v>
      </c>
      <c r="E5">
        <v>43611</v>
      </c>
      <c r="F5" t="s">
        <v>102</v>
      </c>
      <c r="G5" t="s">
        <v>184</v>
      </c>
      <c r="H5" s="1">
        <v>45689</v>
      </c>
      <c r="J5">
        <v>50</v>
      </c>
      <c r="K5">
        <v>1</v>
      </c>
      <c r="L5" s="2">
        <v>1</v>
      </c>
      <c r="M5" s="4">
        <v>50</v>
      </c>
      <c r="O5" t="s">
        <v>373</v>
      </c>
      <c r="Q5" t="s">
        <v>384</v>
      </c>
      <c r="R5">
        <v>20411454</v>
      </c>
    </row>
    <row r="6" spans="1:18" x14ac:dyDescent="0.25">
      <c r="A6" s="3">
        <v>102124675200</v>
      </c>
      <c r="B6" s="3" t="str">
        <f t="shared" si="0"/>
        <v>1021246752009</v>
      </c>
      <c r="C6" t="s">
        <v>198</v>
      </c>
      <c r="D6" t="s">
        <v>138</v>
      </c>
      <c r="E6">
        <v>43679</v>
      </c>
      <c r="F6" t="s">
        <v>149</v>
      </c>
      <c r="G6" t="s">
        <v>184</v>
      </c>
      <c r="H6" s="1">
        <v>45689</v>
      </c>
      <c r="J6">
        <v>50</v>
      </c>
      <c r="K6">
        <v>1</v>
      </c>
      <c r="L6" s="2">
        <v>1</v>
      </c>
      <c r="M6" s="4">
        <v>50</v>
      </c>
      <c r="O6" t="s">
        <v>373</v>
      </c>
      <c r="Q6" t="s">
        <v>384</v>
      </c>
      <c r="R6">
        <v>20411454</v>
      </c>
    </row>
    <row r="7" spans="1:18" x14ac:dyDescent="0.25">
      <c r="A7" s="3">
        <v>102130874100</v>
      </c>
      <c r="B7" s="3" t="str">
        <f t="shared" si="0"/>
        <v>1021308741009</v>
      </c>
      <c r="C7" t="s">
        <v>200</v>
      </c>
      <c r="D7" t="s">
        <v>154</v>
      </c>
      <c r="E7">
        <v>43682</v>
      </c>
      <c r="F7" t="s">
        <v>107</v>
      </c>
      <c r="G7" t="s">
        <v>184</v>
      </c>
      <c r="H7" s="1">
        <v>45717</v>
      </c>
      <c r="J7">
        <v>50</v>
      </c>
      <c r="K7">
        <v>1</v>
      </c>
      <c r="L7" s="2">
        <v>1</v>
      </c>
      <c r="M7" s="4">
        <v>50</v>
      </c>
      <c r="O7" t="s">
        <v>373</v>
      </c>
      <c r="Q7" t="s">
        <v>384</v>
      </c>
      <c r="R7">
        <v>20411454</v>
      </c>
    </row>
    <row r="8" spans="1:18" x14ac:dyDescent="0.25">
      <c r="A8" s="3" t="s">
        <v>362</v>
      </c>
      <c r="B8" s="3" t="str">
        <f t="shared" si="0"/>
        <v>102057277900CB9</v>
      </c>
      <c r="C8" t="s">
        <v>305</v>
      </c>
      <c r="D8" t="s">
        <v>259</v>
      </c>
      <c r="E8">
        <v>45605</v>
      </c>
      <c r="F8" t="s">
        <v>74</v>
      </c>
      <c r="G8" t="s">
        <v>184</v>
      </c>
      <c r="H8" s="1">
        <v>45658</v>
      </c>
      <c r="J8" s="4">
        <v>-50</v>
      </c>
      <c r="K8">
        <v>1</v>
      </c>
      <c r="L8" s="2">
        <v>1</v>
      </c>
      <c r="M8" s="4">
        <v>-50</v>
      </c>
      <c r="O8" t="s">
        <v>373</v>
      </c>
      <c r="Q8" t="s">
        <v>384</v>
      </c>
      <c r="R8">
        <v>20411454</v>
      </c>
    </row>
    <row r="9" spans="1:18" x14ac:dyDescent="0.25">
      <c r="A9" s="3" t="s">
        <v>363</v>
      </c>
      <c r="B9" s="3" t="str">
        <f t="shared" si="0"/>
        <v>102065679400CB9</v>
      </c>
      <c r="C9" t="s">
        <v>307</v>
      </c>
      <c r="D9" t="s">
        <v>308</v>
      </c>
      <c r="E9">
        <v>45605</v>
      </c>
      <c r="F9" t="s">
        <v>74</v>
      </c>
      <c r="G9" t="s">
        <v>184</v>
      </c>
      <c r="H9" s="1">
        <v>45658</v>
      </c>
      <c r="J9" s="4">
        <v>-50</v>
      </c>
      <c r="K9">
        <v>1</v>
      </c>
      <c r="L9" s="2">
        <v>1</v>
      </c>
      <c r="M9" s="4">
        <v>-50</v>
      </c>
      <c r="O9" t="s">
        <v>373</v>
      </c>
      <c r="Q9" t="s">
        <v>384</v>
      </c>
      <c r="R9">
        <v>20411454</v>
      </c>
    </row>
    <row r="10" spans="1:18" x14ac:dyDescent="0.25">
      <c r="A10" s="3" t="s">
        <v>366</v>
      </c>
      <c r="B10" s="3" t="str">
        <f t="shared" si="0"/>
        <v>102110200000CB9</v>
      </c>
      <c r="C10" t="s">
        <v>312</v>
      </c>
      <c r="D10" t="s">
        <v>138</v>
      </c>
      <c r="E10">
        <v>43677</v>
      </c>
      <c r="F10" t="s">
        <v>43</v>
      </c>
      <c r="G10" t="s">
        <v>184</v>
      </c>
      <c r="H10" s="1">
        <v>45658</v>
      </c>
      <c r="J10" s="4">
        <v>-50</v>
      </c>
      <c r="K10">
        <v>1</v>
      </c>
      <c r="L10" s="2">
        <v>1</v>
      </c>
      <c r="M10" s="4">
        <v>-50</v>
      </c>
      <c r="O10" t="s">
        <v>373</v>
      </c>
      <c r="Q10" t="s">
        <v>384</v>
      </c>
      <c r="R10">
        <v>20411454</v>
      </c>
    </row>
    <row r="11" spans="1:18" x14ac:dyDescent="0.25">
      <c r="A11" s="3">
        <v>101071963100</v>
      </c>
      <c r="B11" s="3" t="str">
        <f t="shared" si="0"/>
        <v>1010719631009</v>
      </c>
      <c r="C11" t="s">
        <v>143</v>
      </c>
      <c r="D11" t="s">
        <v>138</v>
      </c>
      <c r="E11">
        <v>43611</v>
      </c>
      <c r="F11" t="s">
        <v>102</v>
      </c>
      <c r="G11" t="s">
        <v>144</v>
      </c>
      <c r="H11" s="1">
        <v>45689</v>
      </c>
      <c r="J11">
        <v>45.83</v>
      </c>
      <c r="K11">
        <v>1</v>
      </c>
      <c r="L11" s="2">
        <v>1</v>
      </c>
      <c r="M11" s="4">
        <v>45.83</v>
      </c>
      <c r="N11" t="s">
        <v>133</v>
      </c>
      <c r="O11" t="s">
        <v>373</v>
      </c>
      <c r="Q11" t="s">
        <v>384</v>
      </c>
      <c r="R11">
        <v>20411454</v>
      </c>
    </row>
    <row r="12" spans="1:18" x14ac:dyDescent="0.25">
      <c r="A12" s="3">
        <v>101087826100</v>
      </c>
      <c r="B12" s="3" t="str">
        <f t="shared" si="0"/>
        <v>1010878261009</v>
      </c>
      <c r="C12" t="s">
        <v>147</v>
      </c>
      <c r="D12" t="s">
        <v>138</v>
      </c>
      <c r="E12">
        <v>43679</v>
      </c>
      <c r="F12" t="s">
        <v>149</v>
      </c>
      <c r="G12" t="s">
        <v>144</v>
      </c>
      <c r="H12" s="1">
        <v>45689</v>
      </c>
      <c r="J12">
        <v>45.83</v>
      </c>
      <c r="K12">
        <v>1</v>
      </c>
      <c r="L12" s="2">
        <v>1</v>
      </c>
      <c r="M12" s="4">
        <v>45.83</v>
      </c>
      <c r="N12" t="s">
        <v>133</v>
      </c>
      <c r="O12" t="s">
        <v>373</v>
      </c>
      <c r="Q12" t="s">
        <v>384</v>
      </c>
      <c r="R12">
        <v>20411454</v>
      </c>
    </row>
    <row r="13" spans="1:18" x14ac:dyDescent="0.25">
      <c r="A13" s="3">
        <v>101120497900</v>
      </c>
      <c r="B13" s="3" t="str">
        <f t="shared" si="0"/>
        <v>1011204979009</v>
      </c>
      <c r="C13" t="s">
        <v>151</v>
      </c>
      <c r="D13" t="s">
        <v>46</v>
      </c>
      <c r="E13">
        <v>43969</v>
      </c>
      <c r="F13" t="s">
        <v>113</v>
      </c>
      <c r="G13" t="s">
        <v>144</v>
      </c>
      <c r="H13" s="1">
        <v>45689</v>
      </c>
      <c r="J13">
        <v>45.83</v>
      </c>
      <c r="K13">
        <v>1</v>
      </c>
      <c r="L13" s="2">
        <v>1</v>
      </c>
      <c r="M13" s="4">
        <v>45.83</v>
      </c>
      <c r="N13" t="s">
        <v>133</v>
      </c>
      <c r="O13" t="s">
        <v>373</v>
      </c>
      <c r="Q13" t="s">
        <v>384</v>
      </c>
      <c r="R13">
        <v>20411454</v>
      </c>
    </row>
    <row r="14" spans="1:18" x14ac:dyDescent="0.25">
      <c r="A14" s="3">
        <v>101137736000</v>
      </c>
      <c r="B14" s="3" t="str">
        <f t="shared" si="0"/>
        <v>1011377360009</v>
      </c>
      <c r="C14" t="s">
        <v>153</v>
      </c>
      <c r="D14" t="s">
        <v>154</v>
      </c>
      <c r="E14">
        <v>45607</v>
      </c>
      <c r="F14" t="s">
        <v>156</v>
      </c>
      <c r="G14" t="s">
        <v>144</v>
      </c>
      <c r="H14" s="1">
        <v>45689</v>
      </c>
      <c r="J14">
        <v>45.83</v>
      </c>
      <c r="K14">
        <v>1</v>
      </c>
      <c r="L14" s="2">
        <v>1</v>
      </c>
      <c r="M14" s="4">
        <v>45.83</v>
      </c>
      <c r="N14" t="s">
        <v>133</v>
      </c>
      <c r="O14" t="s">
        <v>373</v>
      </c>
      <c r="Q14" t="s">
        <v>384</v>
      </c>
      <c r="R14">
        <v>20411454</v>
      </c>
    </row>
    <row r="15" spans="1:18" x14ac:dyDescent="0.25">
      <c r="A15" s="3">
        <v>101137742600</v>
      </c>
      <c r="B15" s="3" t="str">
        <f t="shared" si="0"/>
        <v>1011377426009</v>
      </c>
      <c r="C15" t="s">
        <v>158</v>
      </c>
      <c r="D15" t="s">
        <v>154</v>
      </c>
      <c r="E15">
        <v>45607</v>
      </c>
      <c r="F15" t="s">
        <v>156</v>
      </c>
      <c r="G15" t="s">
        <v>144</v>
      </c>
      <c r="H15" s="1">
        <v>45689</v>
      </c>
      <c r="J15">
        <v>45.83</v>
      </c>
      <c r="K15">
        <v>1</v>
      </c>
      <c r="L15" s="2">
        <v>1</v>
      </c>
      <c r="M15" s="4">
        <v>45.83</v>
      </c>
      <c r="N15" t="s">
        <v>133</v>
      </c>
      <c r="O15" t="s">
        <v>373</v>
      </c>
      <c r="Q15" t="s">
        <v>384</v>
      </c>
      <c r="R15">
        <v>20411454</v>
      </c>
    </row>
    <row r="16" spans="1:18" x14ac:dyDescent="0.25">
      <c r="A16" s="3">
        <v>101229950700</v>
      </c>
      <c r="B16" s="3" t="str">
        <f t="shared" si="0"/>
        <v>1012299507009</v>
      </c>
      <c r="C16" t="s">
        <v>160</v>
      </c>
      <c r="D16" t="s">
        <v>46</v>
      </c>
      <c r="E16">
        <v>45605</v>
      </c>
      <c r="F16" t="s">
        <v>74</v>
      </c>
      <c r="G16" t="s">
        <v>144</v>
      </c>
      <c r="H16" s="1">
        <v>45689</v>
      </c>
      <c r="J16">
        <v>45.83</v>
      </c>
      <c r="K16">
        <v>1</v>
      </c>
      <c r="L16" s="2">
        <v>1</v>
      </c>
      <c r="M16" s="4">
        <v>45.83</v>
      </c>
      <c r="N16" t="s">
        <v>133</v>
      </c>
      <c r="O16" t="s">
        <v>373</v>
      </c>
      <c r="Q16" t="s">
        <v>384</v>
      </c>
      <c r="R16">
        <v>20411454</v>
      </c>
    </row>
    <row r="17" spans="1:18" x14ac:dyDescent="0.25">
      <c r="A17" s="3">
        <v>101254642600</v>
      </c>
      <c r="B17" s="3" t="str">
        <f t="shared" si="0"/>
        <v>1012546426009</v>
      </c>
      <c r="C17" t="s">
        <v>162</v>
      </c>
      <c r="D17" t="s">
        <v>154</v>
      </c>
      <c r="E17">
        <v>41686</v>
      </c>
      <c r="F17" t="s">
        <v>164</v>
      </c>
      <c r="G17" t="s">
        <v>144</v>
      </c>
      <c r="H17" s="1">
        <v>45689</v>
      </c>
      <c r="J17">
        <v>45.83</v>
      </c>
      <c r="K17">
        <v>1</v>
      </c>
      <c r="L17" s="2">
        <v>1</v>
      </c>
      <c r="M17" s="4">
        <v>45.83</v>
      </c>
      <c r="N17" t="s">
        <v>133</v>
      </c>
      <c r="O17" t="s">
        <v>373</v>
      </c>
      <c r="Q17" t="s">
        <v>384</v>
      </c>
      <c r="R17">
        <v>20411454</v>
      </c>
    </row>
    <row r="18" spans="1:18" x14ac:dyDescent="0.25">
      <c r="A18" s="3">
        <v>101272930900</v>
      </c>
      <c r="B18" s="3" t="str">
        <f t="shared" si="0"/>
        <v>1012729309009</v>
      </c>
      <c r="C18" t="s">
        <v>166</v>
      </c>
      <c r="D18" t="s">
        <v>154</v>
      </c>
      <c r="E18">
        <v>45638</v>
      </c>
      <c r="F18" t="s">
        <v>58</v>
      </c>
      <c r="G18" t="s">
        <v>144</v>
      </c>
      <c r="H18" s="1">
        <v>45689</v>
      </c>
      <c r="J18">
        <v>45.83</v>
      </c>
      <c r="K18">
        <v>1</v>
      </c>
      <c r="L18" s="2">
        <v>1</v>
      </c>
      <c r="M18" s="4">
        <v>45.83</v>
      </c>
      <c r="N18" t="s">
        <v>133</v>
      </c>
      <c r="O18" t="s">
        <v>373</v>
      </c>
      <c r="Q18" t="s">
        <v>384</v>
      </c>
      <c r="R18">
        <v>20411454</v>
      </c>
    </row>
    <row r="19" spans="1:18" x14ac:dyDescent="0.25">
      <c r="A19" s="3">
        <v>101279757100</v>
      </c>
      <c r="B19" s="3" t="str">
        <f t="shared" si="0"/>
        <v>1012797571009</v>
      </c>
      <c r="C19" t="s">
        <v>168</v>
      </c>
      <c r="D19" t="s">
        <v>154</v>
      </c>
      <c r="E19">
        <v>45611</v>
      </c>
      <c r="F19" t="s">
        <v>170</v>
      </c>
      <c r="G19" t="s">
        <v>144</v>
      </c>
      <c r="H19" s="1">
        <v>45689</v>
      </c>
      <c r="J19">
        <v>45.83</v>
      </c>
      <c r="K19">
        <v>1</v>
      </c>
      <c r="L19" s="2">
        <v>1</v>
      </c>
      <c r="M19" s="4">
        <v>45.83</v>
      </c>
      <c r="N19" t="s">
        <v>133</v>
      </c>
      <c r="O19" t="s">
        <v>373</v>
      </c>
      <c r="Q19" t="s">
        <v>384</v>
      </c>
      <c r="R19">
        <v>20411454</v>
      </c>
    </row>
    <row r="20" spans="1:18" x14ac:dyDescent="0.25">
      <c r="A20" s="3">
        <v>101475792600</v>
      </c>
      <c r="B20" s="3" t="str">
        <f t="shared" si="0"/>
        <v>1014757926009</v>
      </c>
      <c r="C20" t="s">
        <v>172</v>
      </c>
      <c r="D20" t="s">
        <v>154</v>
      </c>
      <c r="E20">
        <v>43740</v>
      </c>
      <c r="F20" t="s">
        <v>174</v>
      </c>
      <c r="G20" t="s">
        <v>144</v>
      </c>
      <c r="H20" s="1">
        <v>45689</v>
      </c>
      <c r="J20">
        <v>45.83</v>
      </c>
      <c r="K20">
        <v>1</v>
      </c>
      <c r="L20" s="2">
        <v>1</v>
      </c>
      <c r="M20" s="4">
        <v>45.83</v>
      </c>
      <c r="N20" t="s">
        <v>133</v>
      </c>
      <c r="O20" t="s">
        <v>373</v>
      </c>
      <c r="Q20" t="s">
        <v>384</v>
      </c>
      <c r="R20">
        <v>20411454</v>
      </c>
    </row>
    <row r="21" spans="1:18" x14ac:dyDescent="0.25">
      <c r="A21" s="3">
        <v>101481177300</v>
      </c>
      <c r="B21" s="3" t="str">
        <f t="shared" si="0"/>
        <v>1014811773009</v>
      </c>
      <c r="C21" t="s">
        <v>176</v>
      </c>
      <c r="D21" t="s">
        <v>154</v>
      </c>
      <c r="E21">
        <v>45638</v>
      </c>
      <c r="F21" t="s">
        <v>58</v>
      </c>
      <c r="G21" t="s">
        <v>144</v>
      </c>
      <c r="H21" s="1">
        <v>45689</v>
      </c>
      <c r="J21">
        <v>45.83</v>
      </c>
      <c r="K21">
        <v>1</v>
      </c>
      <c r="L21" s="2">
        <v>1</v>
      </c>
      <c r="M21" s="4">
        <v>45.83</v>
      </c>
      <c r="N21" t="s">
        <v>133</v>
      </c>
      <c r="O21" t="s">
        <v>373</v>
      </c>
      <c r="Q21" t="s">
        <v>384</v>
      </c>
      <c r="R21">
        <v>20411454</v>
      </c>
    </row>
    <row r="22" spans="1:18" x14ac:dyDescent="0.25">
      <c r="A22" s="3">
        <v>101509863500</v>
      </c>
      <c r="B22" s="3" t="str">
        <f t="shared" si="0"/>
        <v>1015098635009</v>
      </c>
      <c r="C22" t="s">
        <v>178</v>
      </c>
      <c r="D22" t="s">
        <v>46</v>
      </c>
      <c r="E22">
        <v>45611</v>
      </c>
      <c r="F22" t="s">
        <v>170</v>
      </c>
      <c r="G22" t="s">
        <v>144</v>
      </c>
      <c r="H22" s="1">
        <v>45689</v>
      </c>
      <c r="J22">
        <v>45.83</v>
      </c>
      <c r="K22">
        <v>1</v>
      </c>
      <c r="L22" s="2">
        <v>1</v>
      </c>
      <c r="M22" s="4">
        <v>45.83</v>
      </c>
      <c r="N22" t="s">
        <v>133</v>
      </c>
      <c r="O22" t="s">
        <v>373</v>
      </c>
      <c r="Q22" t="s">
        <v>384</v>
      </c>
      <c r="R22">
        <v>20411454</v>
      </c>
    </row>
    <row r="23" spans="1:18" x14ac:dyDescent="0.25">
      <c r="A23" s="3">
        <v>102028519700</v>
      </c>
      <c r="B23" s="3" t="str">
        <f t="shared" si="0"/>
        <v>1020285197009</v>
      </c>
      <c r="C23" t="s">
        <v>186</v>
      </c>
      <c r="D23" t="s">
        <v>187</v>
      </c>
      <c r="E23">
        <v>43682</v>
      </c>
      <c r="F23" t="s">
        <v>107</v>
      </c>
      <c r="G23" t="s">
        <v>144</v>
      </c>
      <c r="H23" s="1">
        <v>45689</v>
      </c>
      <c r="J23">
        <v>45.83</v>
      </c>
      <c r="K23">
        <v>1</v>
      </c>
      <c r="L23" s="2">
        <v>1</v>
      </c>
      <c r="M23" s="4">
        <v>45.83</v>
      </c>
      <c r="N23" t="s">
        <v>133</v>
      </c>
      <c r="O23" t="s">
        <v>373</v>
      </c>
      <c r="Q23" t="s">
        <v>384</v>
      </c>
      <c r="R23">
        <v>20411454</v>
      </c>
    </row>
    <row r="24" spans="1:18" x14ac:dyDescent="0.25">
      <c r="A24" s="3">
        <v>102134594100</v>
      </c>
      <c r="B24" s="3" t="str">
        <f t="shared" si="0"/>
        <v>1021345941009</v>
      </c>
      <c r="C24" t="s">
        <v>202</v>
      </c>
      <c r="D24" t="s">
        <v>203</v>
      </c>
      <c r="E24">
        <v>43713</v>
      </c>
      <c r="F24" t="s">
        <v>183</v>
      </c>
      <c r="G24" t="s">
        <v>144</v>
      </c>
      <c r="H24" s="1">
        <v>45689</v>
      </c>
      <c r="J24">
        <v>45.83</v>
      </c>
      <c r="K24">
        <v>1</v>
      </c>
      <c r="L24" s="2">
        <v>1</v>
      </c>
      <c r="M24" s="4">
        <v>45.83</v>
      </c>
      <c r="N24" t="s">
        <v>133</v>
      </c>
      <c r="O24" t="s">
        <v>373</v>
      </c>
      <c r="Q24" t="s">
        <v>384</v>
      </c>
      <c r="R24">
        <v>20411454</v>
      </c>
    </row>
    <row r="25" spans="1:18" x14ac:dyDescent="0.25">
      <c r="A25" s="3">
        <v>102134596300</v>
      </c>
      <c r="B25" s="3" t="str">
        <f t="shared" si="0"/>
        <v>1021345963009</v>
      </c>
      <c r="C25" t="s">
        <v>205</v>
      </c>
      <c r="D25" t="s">
        <v>203</v>
      </c>
      <c r="E25">
        <v>43713</v>
      </c>
      <c r="F25" t="s">
        <v>183</v>
      </c>
      <c r="G25" t="s">
        <v>144</v>
      </c>
      <c r="H25" s="1">
        <v>45689</v>
      </c>
      <c r="J25">
        <v>45.83</v>
      </c>
      <c r="K25">
        <v>1</v>
      </c>
      <c r="L25" s="2">
        <v>1</v>
      </c>
      <c r="M25" s="4">
        <v>45.83</v>
      </c>
      <c r="N25" t="s">
        <v>133</v>
      </c>
      <c r="O25" t="s">
        <v>373</v>
      </c>
      <c r="Q25" t="s">
        <v>384</v>
      </c>
      <c r="R25">
        <v>20411454</v>
      </c>
    </row>
    <row r="26" spans="1:18" x14ac:dyDescent="0.25">
      <c r="A26" s="3">
        <v>102135098200</v>
      </c>
      <c r="B26" s="3" t="str">
        <f t="shared" si="0"/>
        <v>1021350982009</v>
      </c>
      <c r="C26" t="s">
        <v>207</v>
      </c>
      <c r="D26" t="s">
        <v>154</v>
      </c>
      <c r="E26">
        <v>43682</v>
      </c>
      <c r="F26" t="s">
        <v>107</v>
      </c>
      <c r="G26" t="s">
        <v>144</v>
      </c>
      <c r="H26" s="1">
        <v>45748</v>
      </c>
      <c r="J26">
        <v>37.5</v>
      </c>
      <c r="K26">
        <v>1</v>
      </c>
      <c r="L26" s="2">
        <v>1</v>
      </c>
      <c r="M26" s="4">
        <v>37.5</v>
      </c>
      <c r="N26" t="s">
        <v>209</v>
      </c>
      <c r="O26" t="s">
        <v>373</v>
      </c>
      <c r="Q26" t="s">
        <v>384</v>
      </c>
      <c r="R26">
        <v>20411454</v>
      </c>
    </row>
    <row r="27" spans="1:18" x14ac:dyDescent="0.25">
      <c r="A27" s="3">
        <v>102135574000</v>
      </c>
      <c r="B27" s="3" t="str">
        <f t="shared" si="0"/>
        <v>1021355740009</v>
      </c>
      <c r="C27" t="s">
        <v>211</v>
      </c>
      <c r="D27" t="s">
        <v>154</v>
      </c>
      <c r="E27">
        <v>45709</v>
      </c>
      <c r="F27" t="s">
        <v>70</v>
      </c>
      <c r="G27" t="s">
        <v>144</v>
      </c>
      <c r="H27" s="1">
        <v>45689</v>
      </c>
      <c r="J27">
        <v>45.83</v>
      </c>
      <c r="K27">
        <v>1</v>
      </c>
      <c r="L27" s="2">
        <v>1</v>
      </c>
      <c r="M27" s="4">
        <v>45.83</v>
      </c>
      <c r="N27" t="s">
        <v>133</v>
      </c>
      <c r="O27" t="s">
        <v>373</v>
      </c>
      <c r="Q27" t="s">
        <v>384</v>
      </c>
      <c r="R27">
        <v>20411454</v>
      </c>
    </row>
    <row r="28" spans="1:18" x14ac:dyDescent="0.25">
      <c r="A28" s="3">
        <v>102135585900</v>
      </c>
      <c r="B28" s="3" t="str">
        <f t="shared" si="0"/>
        <v>1021355859009</v>
      </c>
      <c r="C28" t="s">
        <v>213</v>
      </c>
      <c r="D28" t="s">
        <v>154</v>
      </c>
      <c r="E28">
        <v>45709</v>
      </c>
      <c r="F28" t="s">
        <v>70</v>
      </c>
      <c r="G28" t="s">
        <v>144</v>
      </c>
      <c r="H28" s="1">
        <v>45689</v>
      </c>
      <c r="J28">
        <v>45.83</v>
      </c>
      <c r="K28">
        <v>1</v>
      </c>
      <c r="L28" s="2">
        <v>1</v>
      </c>
      <c r="M28" s="4">
        <v>45.83</v>
      </c>
      <c r="N28" t="s">
        <v>133</v>
      </c>
      <c r="O28" t="s">
        <v>373</v>
      </c>
      <c r="Q28" t="s">
        <v>384</v>
      </c>
      <c r="R28">
        <v>20411454</v>
      </c>
    </row>
    <row r="29" spans="1:18" x14ac:dyDescent="0.25">
      <c r="A29" s="3">
        <v>102136243000</v>
      </c>
      <c r="B29" s="3" t="str">
        <f t="shared" si="0"/>
        <v>1021362430009</v>
      </c>
      <c r="C29" t="s">
        <v>215</v>
      </c>
      <c r="D29" t="s">
        <v>216</v>
      </c>
      <c r="E29">
        <v>43682</v>
      </c>
      <c r="F29" t="s">
        <v>107</v>
      </c>
      <c r="G29" t="s">
        <v>144</v>
      </c>
      <c r="H29" s="1">
        <v>45689</v>
      </c>
      <c r="J29">
        <v>45.83</v>
      </c>
      <c r="K29">
        <v>1</v>
      </c>
      <c r="L29" s="2">
        <v>1</v>
      </c>
      <c r="M29" s="4">
        <v>45.83</v>
      </c>
      <c r="N29" t="s">
        <v>133</v>
      </c>
      <c r="O29" t="s">
        <v>373</v>
      </c>
      <c r="Q29" t="s">
        <v>384</v>
      </c>
      <c r="R29">
        <v>20411454</v>
      </c>
    </row>
    <row r="30" spans="1:18" x14ac:dyDescent="0.25">
      <c r="A30" s="3">
        <v>102136258200</v>
      </c>
      <c r="B30" s="3" t="str">
        <f t="shared" si="0"/>
        <v>1021362582009</v>
      </c>
      <c r="C30" t="s">
        <v>218</v>
      </c>
      <c r="D30" t="s">
        <v>219</v>
      </c>
      <c r="E30">
        <v>43969</v>
      </c>
      <c r="F30" t="s">
        <v>113</v>
      </c>
      <c r="G30" t="s">
        <v>144</v>
      </c>
      <c r="H30" s="1">
        <v>45689</v>
      </c>
      <c r="J30">
        <v>45.83</v>
      </c>
      <c r="K30">
        <v>1</v>
      </c>
      <c r="L30" s="2">
        <v>1</v>
      </c>
      <c r="M30" s="4">
        <v>45.83</v>
      </c>
      <c r="N30" t="s">
        <v>133</v>
      </c>
      <c r="O30" t="s">
        <v>373</v>
      </c>
      <c r="Q30" t="s">
        <v>384</v>
      </c>
      <c r="R30">
        <v>20411454</v>
      </c>
    </row>
    <row r="31" spans="1:18" x14ac:dyDescent="0.25">
      <c r="A31" s="3">
        <v>102136696000</v>
      </c>
      <c r="B31" s="3" t="str">
        <f t="shared" si="0"/>
        <v>1021366960009</v>
      </c>
      <c r="C31" t="s">
        <v>221</v>
      </c>
      <c r="D31" t="s">
        <v>138</v>
      </c>
      <c r="E31">
        <v>43611</v>
      </c>
      <c r="F31" t="s">
        <v>102</v>
      </c>
      <c r="G31" t="s">
        <v>144</v>
      </c>
      <c r="H31" s="1">
        <v>45717</v>
      </c>
      <c r="J31">
        <v>41.67</v>
      </c>
      <c r="K31">
        <v>1</v>
      </c>
      <c r="L31" s="2">
        <v>1</v>
      </c>
      <c r="M31" s="4">
        <v>41.67</v>
      </c>
      <c r="N31" t="s">
        <v>223</v>
      </c>
      <c r="O31" t="s">
        <v>373</v>
      </c>
      <c r="Q31" t="s">
        <v>384</v>
      </c>
      <c r="R31">
        <v>20411454</v>
      </c>
    </row>
    <row r="32" spans="1:18" x14ac:dyDescent="0.25">
      <c r="A32" s="3">
        <v>102136755100</v>
      </c>
      <c r="B32" s="3" t="str">
        <f t="shared" si="0"/>
        <v>1021367551009</v>
      </c>
      <c r="C32" t="s">
        <v>225</v>
      </c>
      <c r="D32" t="s">
        <v>138</v>
      </c>
      <c r="E32">
        <v>43611</v>
      </c>
      <c r="F32" t="s">
        <v>102</v>
      </c>
      <c r="G32" t="s">
        <v>144</v>
      </c>
      <c r="H32" s="1">
        <v>45689</v>
      </c>
      <c r="J32">
        <v>45.83</v>
      </c>
      <c r="K32">
        <v>1</v>
      </c>
      <c r="L32" s="2">
        <v>1</v>
      </c>
      <c r="M32" s="4">
        <v>45.83</v>
      </c>
      <c r="N32" t="s">
        <v>133</v>
      </c>
      <c r="O32" t="s">
        <v>373</v>
      </c>
      <c r="Q32" t="s">
        <v>384</v>
      </c>
      <c r="R32">
        <v>20411454</v>
      </c>
    </row>
    <row r="33" spans="1:18" x14ac:dyDescent="0.25">
      <c r="A33" s="3">
        <v>102136760300</v>
      </c>
      <c r="B33" s="3" t="str">
        <f t="shared" si="0"/>
        <v>1021367603009</v>
      </c>
      <c r="C33" t="s">
        <v>227</v>
      </c>
      <c r="D33" t="s">
        <v>138</v>
      </c>
      <c r="E33">
        <v>43611</v>
      </c>
      <c r="F33" t="s">
        <v>102</v>
      </c>
      <c r="G33" t="s">
        <v>144</v>
      </c>
      <c r="H33" s="1">
        <v>45717</v>
      </c>
      <c r="J33">
        <v>41.67</v>
      </c>
      <c r="K33">
        <v>1</v>
      </c>
      <c r="L33" s="2">
        <v>1</v>
      </c>
      <c r="M33" s="4">
        <v>41.67</v>
      </c>
      <c r="N33" t="s">
        <v>223</v>
      </c>
      <c r="O33" t="s">
        <v>373</v>
      </c>
      <c r="Q33" t="s">
        <v>384</v>
      </c>
      <c r="R33">
        <v>20411454</v>
      </c>
    </row>
    <row r="34" spans="1:18" x14ac:dyDescent="0.25">
      <c r="A34" s="3">
        <v>102136793200</v>
      </c>
      <c r="B34" s="3" t="str">
        <f t="shared" si="0"/>
        <v>1021367932009</v>
      </c>
      <c r="C34" t="s">
        <v>229</v>
      </c>
      <c r="D34" t="s">
        <v>219</v>
      </c>
      <c r="E34">
        <v>43682</v>
      </c>
      <c r="F34" t="s">
        <v>107</v>
      </c>
      <c r="G34" t="s">
        <v>144</v>
      </c>
      <c r="H34" s="1">
        <v>45748</v>
      </c>
      <c r="J34">
        <v>37.5</v>
      </c>
      <c r="K34">
        <v>1</v>
      </c>
      <c r="L34" s="2">
        <v>1</v>
      </c>
      <c r="M34" s="4">
        <v>37.5</v>
      </c>
      <c r="N34" t="s">
        <v>209</v>
      </c>
      <c r="O34" t="s">
        <v>373</v>
      </c>
      <c r="Q34" t="s">
        <v>384</v>
      </c>
      <c r="R34">
        <v>20411454</v>
      </c>
    </row>
    <row r="35" spans="1:18" x14ac:dyDescent="0.25">
      <c r="A35" s="3">
        <v>102137196000</v>
      </c>
      <c r="B35" s="3" t="str">
        <f t="shared" si="0"/>
        <v>1021371960009</v>
      </c>
      <c r="C35" t="s">
        <v>231</v>
      </c>
      <c r="D35" t="s">
        <v>138</v>
      </c>
      <c r="E35">
        <v>43743</v>
      </c>
      <c r="F35" t="s">
        <v>233</v>
      </c>
      <c r="G35" t="s">
        <v>144</v>
      </c>
      <c r="H35" s="1">
        <v>45689</v>
      </c>
      <c r="J35">
        <v>45.83</v>
      </c>
      <c r="K35">
        <v>1</v>
      </c>
      <c r="L35" s="2">
        <v>1</v>
      </c>
      <c r="M35" s="4">
        <v>45.83</v>
      </c>
      <c r="N35" t="s">
        <v>133</v>
      </c>
      <c r="O35" t="s">
        <v>373</v>
      </c>
      <c r="Q35" t="s">
        <v>384</v>
      </c>
      <c r="R35">
        <v>20411454</v>
      </c>
    </row>
    <row r="36" spans="1:18" x14ac:dyDescent="0.25">
      <c r="A36" s="3">
        <v>102137220900</v>
      </c>
      <c r="B36" s="3" t="str">
        <f t="shared" si="0"/>
        <v>1021372209009</v>
      </c>
      <c r="C36" t="s">
        <v>235</v>
      </c>
      <c r="D36" t="s">
        <v>138</v>
      </c>
      <c r="E36">
        <v>43611</v>
      </c>
      <c r="F36" t="s">
        <v>102</v>
      </c>
      <c r="G36" t="s">
        <v>144</v>
      </c>
      <c r="H36" s="1">
        <v>45689</v>
      </c>
      <c r="J36">
        <v>45.83</v>
      </c>
      <c r="K36">
        <v>1</v>
      </c>
      <c r="L36" s="2">
        <v>1</v>
      </c>
      <c r="M36" s="4">
        <v>45.83</v>
      </c>
      <c r="N36" t="s">
        <v>133</v>
      </c>
      <c r="O36" t="s">
        <v>373</v>
      </c>
      <c r="Q36" t="s">
        <v>384</v>
      </c>
      <c r="R36">
        <v>20411454</v>
      </c>
    </row>
    <row r="37" spans="1:18" x14ac:dyDescent="0.25">
      <c r="A37" s="3">
        <v>102137252400</v>
      </c>
      <c r="B37" s="3" t="str">
        <f t="shared" si="0"/>
        <v>1021372524009</v>
      </c>
      <c r="C37" t="s">
        <v>237</v>
      </c>
      <c r="D37" t="s">
        <v>46</v>
      </c>
      <c r="E37">
        <v>45603</v>
      </c>
      <c r="F37" t="s">
        <v>92</v>
      </c>
      <c r="G37" t="s">
        <v>144</v>
      </c>
      <c r="H37" s="1">
        <v>45689</v>
      </c>
      <c r="J37">
        <v>45.83</v>
      </c>
      <c r="K37">
        <v>1</v>
      </c>
      <c r="L37" s="2">
        <v>1</v>
      </c>
      <c r="M37" s="4">
        <v>45.83</v>
      </c>
      <c r="N37" t="s">
        <v>133</v>
      </c>
      <c r="O37" t="s">
        <v>373</v>
      </c>
      <c r="Q37" t="s">
        <v>384</v>
      </c>
      <c r="R37">
        <v>20411454</v>
      </c>
    </row>
    <row r="38" spans="1:18" x14ac:dyDescent="0.25">
      <c r="A38" s="3">
        <v>102137272900</v>
      </c>
      <c r="B38" s="3" t="str">
        <f t="shared" si="0"/>
        <v>1021372729009</v>
      </c>
      <c r="C38" t="s">
        <v>239</v>
      </c>
      <c r="D38" t="s">
        <v>154</v>
      </c>
      <c r="E38">
        <v>43629</v>
      </c>
      <c r="F38" t="s">
        <v>241</v>
      </c>
      <c r="G38" t="s">
        <v>144</v>
      </c>
      <c r="H38" s="1">
        <v>45689</v>
      </c>
      <c r="J38">
        <v>45.83</v>
      </c>
      <c r="K38">
        <v>1</v>
      </c>
      <c r="L38" s="2">
        <v>1</v>
      </c>
      <c r="M38" s="4">
        <v>45.83</v>
      </c>
      <c r="N38" t="s">
        <v>133</v>
      </c>
      <c r="O38" t="s">
        <v>373</v>
      </c>
      <c r="Q38" t="s">
        <v>384</v>
      </c>
      <c r="R38">
        <v>20411454</v>
      </c>
    </row>
    <row r="39" spans="1:18" x14ac:dyDescent="0.25">
      <c r="A39" s="3" t="s">
        <v>364</v>
      </c>
      <c r="B39" s="3" t="str">
        <f t="shared" si="0"/>
        <v>102085775200CB9</v>
      </c>
      <c r="C39" t="s">
        <v>189</v>
      </c>
      <c r="D39" t="s">
        <v>190</v>
      </c>
      <c r="E39">
        <v>45605</v>
      </c>
      <c r="F39" t="s">
        <v>74</v>
      </c>
      <c r="G39" t="s">
        <v>144</v>
      </c>
      <c r="H39" s="1">
        <v>45689</v>
      </c>
      <c r="J39" s="4">
        <v>-45.83</v>
      </c>
      <c r="K39">
        <v>1</v>
      </c>
      <c r="L39" s="2">
        <v>1</v>
      </c>
      <c r="M39" s="4">
        <v>-45.83</v>
      </c>
      <c r="O39" t="s">
        <v>373</v>
      </c>
      <c r="Q39" t="s">
        <v>384</v>
      </c>
      <c r="R39">
        <v>20411454</v>
      </c>
    </row>
    <row r="40" spans="1:18" x14ac:dyDescent="0.25">
      <c r="A40" s="3" t="s">
        <v>365</v>
      </c>
      <c r="B40" s="3" t="str">
        <f t="shared" si="0"/>
        <v>102095301000CB9</v>
      </c>
      <c r="C40" t="s">
        <v>192</v>
      </c>
      <c r="D40" t="s">
        <v>138</v>
      </c>
      <c r="E40">
        <v>43691</v>
      </c>
      <c r="F40" t="s">
        <v>194</v>
      </c>
      <c r="G40" t="s">
        <v>144</v>
      </c>
      <c r="H40" s="1">
        <v>45689</v>
      </c>
      <c r="J40" s="4">
        <v>-45.83</v>
      </c>
      <c r="K40">
        <v>1</v>
      </c>
      <c r="L40" s="2">
        <v>1</v>
      </c>
      <c r="M40" s="4">
        <v>-45.83</v>
      </c>
      <c r="O40" t="s">
        <v>373</v>
      </c>
      <c r="Q40" t="s">
        <v>384</v>
      </c>
      <c r="R40">
        <v>20411454</v>
      </c>
    </row>
    <row r="41" spans="1:18" x14ac:dyDescent="0.25">
      <c r="A41" s="3" t="s">
        <v>367</v>
      </c>
      <c r="B41" s="3" t="str">
        <f t="shared" si="0"/>
        <v>102112669400CB9</v>
      </c>
      <c r="C41" t="s">
        <v>196</v>
      </c>
      <c r="D41" t="s">
        <v>138</v>
      </c>
      <c r="E41">
        <v>43611</v>
      </c>
      <c r="F41" t="s">
        <v>102</v>
      </c>
      <c r="G41" t="s">
        <v>144</v>
      </c>
      <c r="H41" s="1">
        <v>45689</v>
      </c>
      <c r="J41" s="4">
        <v>-45.83</v>
      </c>
      <c r="K41">
        <v>1</v>
      </c>
      <c r="L41" s="2">
        <v>1</v>
      </c>
      <c r="M41" s="4">
        <v>-45.83</v>
      </c>
      <c r="O41" t="s">
        <v>373</v>
      </c>
      <c r="Q41" t="s">
        <v>384</v>
      </c>
      <c r="R41">
        <v>20411454</v>
      </c>
    </row>
    <row r="42" spans="1:18" x14ac:dyDescent="0.25">
      <c r="A42" s="3" t="s">
        <v>368</v>
      </c>
      <c r="B42" s="3" t="str">
        <f t="shared" si="0"/>
        <v>102124675200CB9</v>
      </c>
      <c r="C42" t="s">
        <v>198</v>
      </c>
      <c r="D42" t="s">
        <v>138</v>
      </c>
      <c r="E42">
        <v>43679</v>
      </c>
      <c r="F42" t="s">
        <v>149</v>
      </c>
      <c r="G42" t="s">
        <v>144</v>
      </c>
      <c r="H42" s="1">
        <v>45689</v>
      </c>
      <c r="J42" s="4">
        <v>-45.83</v>
      </c>
      <c r="K42">
        <v>1</v>
      </c>
      <c r="L42" s="2">
        <v>1</v>
      </c>
      <c r="M42" s="4">
        <v>-45.83</v>
      </c>
      <c r="O42" t="s">
        <v>373</v>
      </c>
      <c r="Q42" t="s">
        <v>384</v>
      </c>
      <c r="R42">
        <v>20411454</v>
      </c>
    </row>
    <row r="43" spans="1:18" x14ac:dyDescent="0.25">
      <c r="A43" s="3" t="s">
        <v>369</v>
      </c>
      <c r="B43" s="3" t="str">
        <f t="shared" si="0"/>
        <v>102130874100CB9</v>
      </c>
      <c r="C43" t="s">
        <v>200</v>
      </c>
      <c r="D43" t="s">
        <v>154</v>
      </c>
      <c r="E43">
        <v>43682</v>
      </c>
      <c r="F43" t="s">
        <v>107</v>
      </c>
      <c r="G43" t="s">
        <v>144</v>
      </c>
      <c r="H43" s="1">
        <v>45717</v>
      </c>
      <c r="J43" s="4">
        <v>-41.67</v>
      </c>
      <c r="K43">
        <v>1</v>
      </c>
      <c r="L43" s="2">
        <v>1</v>
      </c>
      <c r="M43" s="4">
        <v>-41.67</v>
      </c>
      <c r="O43" t="s">
        <v>373</v>
      </c>
      <c r="Q43" t="s">
        <v>384</v>
      </c>
      <c r="R43">
        <v>20411454</v>
      </c>
    </row>
    <row r="44" spans="1:18" x14ac:dyDescent="0.25">
      <c r="A44" s="3" t="s">
        <v>370</v>
      </c>
      <c r="B44" s="3" t="str">
        <f t="shared" si="0"/>
        <v>614W13756PC9</v>
      </c>
      <c r="C44" t="s">
        <v>317</v>
      </c>
      <c r="E44">
        <v>45605</v>
      </c>
      <c r="F44" t="s">
        <v>74</v>
      </c>
      <c r="G44" t="s">
        <v>318</v>
      </c>
      <c r="H44" s="1">
        <v>45566</v>
      </c>
      <c r="J44" s="4">
        <v>-116.67</v>
      </c>
      <c r="K44">
        <v>1</v>
      </c>
      <c r="L44" s="2">
        <v>1</v>
      </c>
      <c r="M44" s="4">
        <v>-116.67</v>
      </c>
      <c r="O44" t="s">
        <v>374</v>
      </c>
      <c r="Q44" t="s">
        <v>384</v>
      </c>
      <c r="R44">
        <v>20411454</v>
      </c>
    </row>
    <row r="45" spans="1:18" x14ac:dyDescent="0.25">
      <c r="A45" s="3" t="s">
        <v>347</v>
      </c>
      <c r="B45" s="3" t="str">
        <f t="shared" si="0"/>
        <v>48L8X7R449</v>
      </c>
      <c r="C45" t="s">
        <v>247</v>
      </c>
      <c r="D45" t="s">
        <v>248</v>
      </c>
      <c r="E45">
        <v>43633</v>
      </c>
      <c r="F45" t="s">
        <v>250</v>
      </c>
      <c r="G45" t="s">
        <v>251</v>
      </c>
      <c r="H45" s="1">
        <v>45658</v>
      </c>
      <c r="J45">
        <v>100</v>
      </c>
      <c r="K45">
        <v>1</v>
      </c>
      <c r="L45" s="2">
        <v>1</v>
      </c>
      <c r="M45" s="4">
        <v>100</v>
      </c>
      <c r="O45" t="s">
        <v>375</v>
      </c>
      <c r="Q45" t="s">
        <v>384</v>
      </c>
      <c r="R45">
        <v>20411454</v>
      </c>
    </row>
    <row r="46" spans="1:18" x14ac:dyDescent="0.25">
      <c r="A46" s="3" t="s">
        <v>326</v>
      </c>
      <c r="B46" s="3" t="str">
        <f t="shared" si="0"/>
        <v>00010438260K9</v>
      </c>
      <c r="C46" t="s">
        <v>56</v>
      </c>
      <c r="D46" t="s">
        <v>46</v>
      </c>
      <c r="E46">
        <v>45638</v>
      </c>
      <c r="F46" t="s">
        <v>58</v>
      </c>
      <c r="G46" t="s">
        <v>59</v>
      </c>
      <c r="H46" s="1">
        <v>45658</v>
      </c>
      <c r="J46">
        <v>175</v>
      </c>
      <c r="K46">
        <v>1</v>
      </c>
      <c r="L46" s="2">
        <v>1</v>
      </c>
      <c r="M46" s="4">
        <v>175</v>
      </c>
      <c r="O46" t="s">
        <v>376</v>
      </c>
      <c r="Q46" t="s">
        <v>384</v>
      </c>
      <c r="R46">
        <v>20411454</v>
      </c>
    </row>
    <row r="47" spans="1:18" x14ac:dyDescent="0.25">
      <c r="A47" s="3" t="s">
        <v>328</v>
      </c>
      <c r="B47" s="3" t="str">
        <f t="shared" si="0"/>
        <v>00018587911K9</v>
      </c>
      <c r="C47" t="s">
        <v>64</v>
      </c>
      <c r="D47" t="s">
        <v>46</v>
      </c>
      <c r="E47">
        <v>45612</v>
      </c>
      <c r="F47" t="s">
        <v>66</v>
      </c>
      <c r="G47" t="s">
        <v>59</v>
      </c>
      <c r="H47" s="1">
        <v>45689</v>
      </c>
      <c r="J47">
        <v>175</v>
      </c>
      <c r="K47">
        <v>1</v>
      </c>
      <c r="L47" s="2">
        <v>1</v>
      </c>
      <c r="M47" s="4">
        <v>175</v>
      </c>
      <c r="O47" t="s">
        <v>376</v>
      </c>
      <c r="Q47" t="s">
        <v>384</v>
      </c>
      <c r="R47">
        <v>20411454</v>
      </c>
    </row>
    <row r="48" spans="1:18" x14ac:dyDescent="0.25">
      <c r="A48" s="3" t="s">
        <v>329</v>
      </c>
      <c r="B48" s="3" t="str">
        <f t="shared" si="0"/>
        <v>00018776777K9</v>
      </c>
      <c r="C48" t="s">
        <v>68</v>
      </c>
      <c r="D48" t="s">
        <v>46</v>
      </c>
      <c r="E48">
        <v>45709</v>
      </c>
      <c r="F48" t="s">
        <v>70</v>
      </c>
      <c r="G48" t="s">
        <v>59</v>
      </c>
      <c r="H48" s="1">
        <v>45689</v>
      </c>
      <c r="J48">
        <v>175</v>
      </c>
      <c r="K48">
        <v>1</v>
      </c>
      <c r="L48" s="2">
        <v>1</v>
      </c>
      <c r="M48" s="4">
        <v>175</v>
      </c>
      <c r="O48" t="s">
        <v>376</v>
      </c>
      <c r="Q48" t="s">
        <v>384</v>
      </c>
      <c r="R48">
        <v>20411454</v>
      </c>
    </row>
    <row r="49" spans="1:18" x14ac:dyDescent="0.25">
      <c r="A49" s="3" t="s">
        <v>332</v>
      </c>
      <c r="B49" s="3" t="str">
        <f t="shared" si="0"/>
        <v>00020653240K9</v>
      </c>
      <c r="C49" t="s">
        <v>80</v>
      </c>
      <c r="D49" t="s">
        <v>46</v>
      </c>
      <c r="E49">
        <v>45612</v>
      </c>
      <c r="F49" t="s">
        <v>66</v>
      </c>
      <c r="G49" t="s">
        <v>59</v>
      </c>
      <c r="H49" s="1">
        <v>45689</v>
      </c>
      <c r="J49">
        <v>175</v>
      </c>
      <c r="K49">
        <v>1</v>
      </c>
      <c r="L49" s="2">
        <v>1</v>
      </c>
      <c r="M49" s="4">
        <v>175</v>
      </c>
      <c r="O49" t="s">
        <v>376</v>
      </c>
      <c r="Q49" t="s">
        <v>384</v>
      </c>
      <c r="R49">
        <v>20411454</v>
      </c>
    </row>
    <row r="50" spans="1:18" x14ac:dyDescent="0.25">
      <c r="A50" s="3" t="s">
        <v>337</v>
      </c>
      <c r="B50" s="3" t="str">
        <f t="shared" si="0"/>
        <v>00023000108K9</v>
      </c>
      <c r="C50" t="s">
        <v>96</v>
      </c>
      <c r="D50" t="s">
        <v>46</v>
      </c>
      <c r="E50">
        <v>43637</v>
      </c>
      <c r="F50" t="s">
        <v>98</v>
      </c>
      <c r="G50" t="s">
        <v>59</v>
      </c>
      <c r="H50" s="1">
        <v>45717</v>
      </c>
      <c r="J50">
        <v>175</v>
      </c>
      <c r="K50">
        <v>1</v>
      </c>
      <c r="L50" s="2">
        <v>1</v>
      </c>
      <c r="M50" s="4">
        <v>175</v>
      </c>
      <c r="O50" t="s">
        <v>376</v>
      </c>
      <c r="Q50" t="s">
        <v>384</v>
      </c>
      <c r="R50">
        <v>20411454</v>
      </c>
    </row>
    <row r="51" spans="1:18" x14ac:dyDescent="0.25">
      <c r="A51" s="3" t="s">
        <v>338</v>
      </c>
      <c r="B51" s="3" t="str">
        <f t="shared" si="0"/>
        <v>00023001038K9</v>
      </c>
      <c r="C51" t="s">
        <v>100</v>
      </c>
      <c r="D51" t="s">
        <v>46</v>
      </c>
      <c r="E51">
        <v>43611</v>
      </c>
      <c r="F51" t="s">
        <v>102</v>
      </c>
      <c r="G51" t="s">
        <v>59</v>
      </c>
      <c r="H51" s="1">
        <v>45717</v>
      </c>
      <c r="J51">
        <v>50</v>
      </c>
      <c r="K51">
        <v>1</v>
      </c>
      <c r="L51" s="2">
        <v>1</v>
      </c>
      <c r="M51" s="4">
        <v>50</v>
      </c>
      <c r="O51" t="s">
        <v>376</v>
      </c>
      <c r="Q51" t="s">
        <v>384</v>
      </c>
      <c r="R51">
        <v>20411454</v>
      </c>
    </row>
    <row r="52" spans="1:18" x14ac:dyDescent="0.25">
      <c r="A52" s="3" t="s">
        <v>339</v>
      </c>
      <c r="B52" s="3" t="str">
        <f t="shared" si="0"/>
        <v>00023005723K9</v>
      </c>
      <c r="C52" t="s">
        <v>105</v>
      </c>
      <c r="D52" t="s">
        <v>46</v>
      </c>
      <c r="E52">
        <v>43682</v>
      </c>
      <c r="F52" t="s">
        <v>107</v>
      </c>
      <c r="G52" t="s">
        <v>59</v>
      </c>
      <c r="H52" s="1">
        <v>45689</v>
      </c>
      <c r="J52">
        <v>175</v>
      </c>
      <c r="K52">
        <v>1</v>
      </c>
      <c r="L52" s="2">
        <v>1</v>
      </c>
      <c r="M52" s="4">
        <v>175</v>
      </c>
      <c r="O52" t="s">
        <v>376</v>
      </c>
      <c r="Q52" t="s">
        <v>384</v>
      </c>
      <c r="R52">
        <v>20411454</v>
      </c>
    </row>
    <row r="53" spans="1:18" x14ac:dyDescent="0.25">
      <c r="A53" s="3" t="s">
        <v>340</v>
      </c>
      <c r="B53" s="3" t="str">
        <f t="shared" si="0"/>
        <v>00023007910K9</v>
      </c>
      <c r="C53" t="s">
        <v>109</v>
      </c>
      <c r="D53" t="s">
        <v>46</v>
      </c>
      <c r="E53">
        <v>45612</v>
      </c>
      <c r="F53" t="s">
        <v>66</v>
      </c>
      <c r="G53" t="s">
        <v>59</v>
      </c>
      <c r="H53" s="1">
        <v>45689</v>
      </c>
      <c r="J53">
        <v>175</v>
      </c>
      <c r="K53">
        <v>1</v>
      </c>
      <c r="L53" s="2">
        <v>1</v>
      </c>
      <c r="M53" s="4">
        <v>175</v>
      </c>
      <c r="O53" t="s">
        <v>376</v>
      </c>
      <c r="Q53" t="s">
        <v>384</v>
      </c>
      <c r="R53">
        <v>20411454</v>
      </c>
    </row>
    <row r="54" spans="1:18" x14ac:dyDescent="0.25">
      <c r="A54" s="3" t="s">
        <v>341</v>
      </c>
      <c r="B54" s="3" t="str">
        <f t="shared" si="0"/>
        <v>00023011457K9</v>
      </c>
      <c r="C54" t="s">
        <v>111</v>
      </c>
      <c r="D54" t="s">
        <v>46</v>
      </c>
      <c r="E54">
        <v>43969</v>
      </c>
      <c r="F54" t="s">
        <v>113</v>
      </c>
      <c r="G54" t="s">
        <v>59</v>
      </c>
      <c r="H54" s="1">
        <v>45689</v>
      </c>
      <c r="J54">
        <v>175</v>
      </c>
      <c r="K54">
        <v>1</v>
      </c>
      <c r="L54" s="2">
        <v>1</v>
      </c>
      <c r="M54" s="4">
        <v>175</v>
      </c>
      <c r="O54" t="s">
        <v>376</v>
      </c>
      <c r="Q54" t="s">
        <v>384</v>
      </c>
      <c r="R54">
        <v>20411454</v>
      </c>
    </row>
    <row r="55" spans="1:18" x14ac:dyDescent="0.25">
      <c r="A55" s="3" t="s">
        <v>342</v>
      </c>
      <c r="B55" s="3" t="str">
        <f t="shared" si="0"/>
        <v>00023014557K9</v>
      </c>
      <c r="C55" t="s">
        <v>115</v>
      </c>
      <c r="D55" t="s">
        <v>46</v>
      </c>
      <c r="E55">
        <v>45601</v>
      </c>
      <c r="F55" t="s">
        <v>88</v>
      </c>
      <c r="G55" t="s">
        <v>59</v>
      </c>
      <c r="H55" s="1">
        <v>45717</v>
      </c>
      <c r="J55">
        <v>175</v>
      </c>
      <c r="K55">
        <v>1</v>
      </c>
      <c r="L55" s="2">
        <v>1</v>
      </c>
      <c r="M55" s="4">
        <v>175</v>
      </c>
      <c r="O55" t="s">
        <v>376</v>
      </c>
      <c r="Q55" t="s">
        <v>384</v>
      </c>
      <c r="R55">
        <v>20411454</v>
      </c>
    </row>
    <row r="56" spans="1:18" x14ac:dyDescent="0.25">
      <c r="A56" s="3" t="s">
        <v>343</v>
      </c>
      <c r="B56" s="3" t="str">
        <f t="shared" si="0"/>
        <v>00023014721K9</v>
      </c>
      <c r="C56" t="s">
        <v>117</v>
      </c>
      <c r="D56" t="s">
        <v>46</v>
      </c>
      <c r="E56">
        <v>45601</v>
      </c>
      <c r="F56" t="s">
        <v>88</v>
      </c>
      <c r="G56" t="s">
        <v>59</v>
      </c>
      <c r="H56" s="1">
        <v>45689</v>
      </c>
      <c r="J56">
        <v>175</v>
      </c>
      <c r="K56">
        <v>1</v>
      </c>
      <c r="L56" s="2">
        <v>1</v>
      </c>
      <c r="M56" s="4">
        <v>175</v>
      </c>
      <c r="O56" t="s">
        <v>376</v>
      </c>
      <c r="Q56" t="s">
        <v>384</v>
      </c>
      <c r="R56">
        <v>20411454</v>
      </c>
    </row>
    <row r="57" spans="1:18" x14ac:dyDescent="0.25">
      <c r="A57" s="3" t="s">
        <v>345</v>
      </c>
      <c r="B57" s="3" t="str">
        <f t="shared" si="0"/>
        <v>00023018904K9</v>
      </c>
      <c r="C57" t="s">
        <v>125</v>
      </c>
      <c r="D57" t="s">
        <v>46</v>
      </c>
      <c r="E57">
        <v>45603</v>
      </c>
      <c r="F57" t="s">
        <v>92</v>
      </c>
      <c r="G57" t="s">
        <v>59</v>
      </c>
      <c r="H57" s="1">
        <v>45689</v>
      </c>
      <c r="J57">
        <v>175</v>
      </c>
      <c r="K57">
        <v>1</v>
      </c>
      <c r="L57" s="2">
        <v>1</v>
      </c>
      <c r="M57" s="4">
        <v>175</v>
      </c>
      <c r="O57" t="s">
        <v>376</v>
      </c>
      <c r="Q57" t="s">
        <v>384</v>
      </c>
      <c r="R57">
        <v>20411454</v>
      </c>
    </row>
    <row r="58" spans="1:18" x14ac:dyDescent="0.25">
      <c r="A58" s="3" t="s">
        <v>354</v>
      </c>
      <c r="B58" s="3" t="str">
        <f t="shared" si="0"/>
        <v>00008587923KPC9</v>
      </c>
      <c r="C58" t="s">
        <v>285</v>
      </c>
      <c r="D58" t="s">
        <v>46</v>
      </c>
      <c r="E58">
        <v>45638</v>
      </c>
      <c r="F58" t="s">
        <v>58</v>
      </c>
      <c r="G58" t="s">
        <v>59</v>
      </c>
      <c r="H58" s="1">
        <v>45658</v>
      </c>
      <c r="J58" s="4">
        <v>-161</v>
      </c>
      <c r="K58">
        <v>1</v>
      </c>
      <c r="L58" s="2">
        <v>1</v>
      </c>
      <c r="M58" s="4">
        <v>-161</v>
      </c>
      <c r="O58" t="s">
        <v>376</v>
      </c>
      <c r="Q58" t="s">
        <v>384</v>
      </c>
      <c r="R58">
        <v>20411454</v>
      </c>
    </row>
    <row r="59" spans="1:18" x14ac:dyDescent="0.25">
      <c r="A59" s="3" t="s">
        <v>356</v>
      </c>
      <c r="B59" s="3" t="str">
        <f t="shared" si="0"/>
        <v>00015921491KPC9</v>
      </c>
      <c r="C59" t="s">
        <v>62</v>
      </c>
      <c r="D59" t="s">
        <v>46</v>
      </c>
      <c r="E59">
        <v>45638</v>
      </c>
      <c r="F59" t="s">
        <v>58</v>
      </c>
      <c r="G59" t="s">
        <v>59</v>
      </c>
      <c r="H59" s="1">
        <v>45658</v>
      </c>
      <c r="J59" s="4">
        <v>-161</v>
      </c>
      <c r="K59">
        <v>1</v>
      </c>
      <c r="L59" s="2">
        <v>1</v>
      </c>
      <c r="M59" s="4">
        <v>-161</v>
      </c>
      <c r="O59" t="s">
        <v>376</v>
      </c>
      <c r="Q59" t="s">
        <v>384</v>
      </c>
      <c r="R59">
        <v>20411454</v>
      </c>
    </row>
    <row r="60" spans="1:18" x14ac:dyDescent="0.25">
      <c r="A60" s="3" t="s">
        <v>358</v>
      </c>
      <c r="B60" s="3" t="str">
        <f t="shared" si="0"/>
        <v>00019388448KPC9</v>
      </c>
      <c r="C60" t="s">
        <v>295</v>
      </c>
      <c r="D60" t="s">
        <v>46</v>
      </c>
      <c r="E60">
        <v>45638</v>
      </c>
      <c r="F60" t="s">
        <v>58</v>
      </c>
      <c r="G60" t="s">
        <v>59</v>
      </c>
      <c r="H60" s="1">
        <v>45658</v>
      </c>
      <c r="J60" s="4">
        <v>-161</v>
      </c>
      <c r="K60">
        <v>1</v>
      </c>
      <c r="L60" s="2">
        <v>1</v>
      </c>
      <c r="M60" s="4">
        <v>-161</v>
      </c>
      <c r="O60" t="s">
        <v>376</v>
      </c>
      <c r="Q60" t="s">
        <v>384</v>
      </c>
      <c r="R60">
        <v>20411454</v>
      </c>
    </row>
    <row r="61" spans="1:18" x14ac:dyDescent="0.25">
      <c r="A61" s="3" t="s">
        <v>360</v>
      </c>
      <c r="B61" s="3" t="str">
        <f t="shared" si="0"/>
        <v>00022600289KPC9</v>
      </c>
      <c r="C61" t="s">
        <v>299</v>
      </c>
      <c r="D61" t="s">
        <v>46</v>
      </c>
      <c r="E61">
        <v>45612</v>
      </c>
      <c r="F61" t="s">
        <v>66</v>
      </c>
      <c r="G61" t="s">
        <v>59</v>
      </c>
      <c r="H61" s="1">
        <v>45658</v>
      </c>
      <c r="J61" s="4">
        <v>-161</v>
      </c>
      <c r="K61">
        <v>1</v>
      </c>
      <c r="L61" s="2">
        <v>1</v>
      </c>
      <c r="M61" s="4">
        <v>-161</v>
      </c>
      <c r="O61" t="s">
        <v>376</v>
      </c>
      <c r="Q61" t="s">
        <v>384</v>
      </c>
      <c r="R61">
        <v>20411454</v>
      </c>
    </row>
    <row r="62" spans="1:18" x14ac:dyDescent="0.25">
      <c r="A62" s="3" t="s">
        <v>361</v>
      </c>
      <c r="B62" s="3" t="str">
        <f t="shared" si="0"/>
        <v>00022799835KPC9</v>
      </c>
      <c r="C62" t="s">
        <v>301</v>
      </c>
      <c r="D62" t="s">
        <v>46</v>
      </c>
      <c r="E62">
        <v>45632</v>
      </c>
      <c r="F62" t="s">
        <v>303</v>
      </c>
      <c r="G62" t="s">
        <v>59</v>
      </c>
      <c r="H62" s="1">
        <v>45658</v>
      </c>
      <c r="J62" s="4">
        <v>-161</v>
      </c>
      <c r="K62">
        <v>1</v>
      </c>
      <c r="L62" s="2">
        <v>1</v>
      </c>
      <c r="M62" s="4">
        <v>-161</v>
      </c>
      <c r="O62" t="s">
        <v>376</v>
      </c>
      <c r="Q62" t="s">
        <v>384</v>
      </c>
      <c r="R62">
        <v>20411454</v>
      </c>
    </row>
    <row r="63" spans="1:18" x14ac:dyDescent="0.25">
      <c r="A63" s="3" t="s">
        <v>325</v>
      </c>
      <c r="B63" s="3" t="str">
        <f t="shared" si="0"/>
        <v>00009548051K9</v>
      </c>
      <c r="C63" t="s">
        <v>45</v>
      </c>
      <c r="D63" t="s">
        <v>46</v>
      </c>
      <c r="E63">
        <v>43625</v>
      </c>
      <c r="F63" t="s">
        <v>48</v>
      </c>
      <c r="G63" t="s">
        <v>50</v>
      </c>
      <c r="H63" s="1">
        <v>45689</v>
      </c>
      <c r="J63">
        <v>108</v>
      </c>
      <c r="K63">
        <v>1</v>
      </c>
      <c r="L63" s="2">
        <v>1</v>
      </c>
      <c r="M63" s="4">
        <v>108</v>
      </c>
      <c r="O63" t="s">
        <v>376</v>
      </c>
      <c r="Q63" t="s">
        <v>384</v>
      </c>
      <c r="R63">
        <v>20411454</v>
      </c>
    </row>
    <row r="64" spans="1:18" x14ac:dyDescent="0.25">
      <c r="A64" s="3" t="s">
        <v>327</v>
      </c>
      <c r="B64" s="3" t="str">
        <f t="shared" si="0"/>
        <v>00015921491K9</v>
      </c>
      <c r="C64" t="s">
        <v>62</v>
      </c>
      <c r="D64" t="s">
        <v>46</v>
      </c>
      <c r="E64">
        <v>45638</v>
      </c>
      <c r="F64" t="s">
        <v>58</v>
      </c>
      <c r="G64" t="s">
        <v>50</v>
      </c>
      <c r="H64" s="1">
        <v>45689</v>
      </c>
      <c r="J64">
        <v>108</v>
      </c>
      <c r="K64">
        <v>1</v>
      </c>
      <c r="L64" s="2">
        <v>1</v>
      </c>
      <c r="M64" s="4">
        <v>108</v>
      </c>
      <c r="O64" t="s">
        <v>376</v>
      </c>
      <c r="Q64" t="s">
        <v>384</v>
      </c>
      <c r="R64">
        <v>20411454</v>
      </c>
    </row>
    <row r="65" spans="1:18" x14ac:dyDescent="0.25">
      <c r="A65" s="3" t="s">
        <v>330</v>
      </c>
      <c r="B65" s="3" t="str">
        <f t="shared" si="0"/>
        <v>00019550503K9</v>
      </c>
      <c r="C65" t="s">
        <v>72</v>
      </c>
      <c r="D65" t="s">
        <v>46</v>
      </c>
      <c r="E65">
        <v>45605</v>
      </c>
      <c r="F65" t="s">
        <v>74</v>
      </c>
      <c r="G65" t="s">
        <v>50</v>
      </c>
      <c r="H65" s="1">
        <v>45689</v>
      </c>
      <c r="J65">
        <v>108</v>
      </c>
      <c r="K65">
        <v>1</v>
      </c>
      <c r="L65" s="2">
        <v>1</v>
      </c>
      <c r="M65" s="4">
        <v>108</v>
      </c>
      <c r="O65" t="s">
        <v>376</v>
      </c>
      <c r="Q65" t="s">
        <v>384</v>
      </c>
      <c r="R65">
        <v>20411454</v>
      </c>
    </row>
    <row r="66" spans="1:18" x14ac:dyDescent="0.25">
      <c r="A66" s="3" t="s">
        <v>331</v>
      </c>
      <c r="B66" s="3" t="str">
        <f t="shared" si="0"/>
        <v>00019892298K9</v>
      </c>
      <c r="C66" t="s">
        <v>76</v>
      </c>
      <c r="D66" t="s">
        <v>46</v>
      </c>
      <c r="E66">
        <v>45622</v>
      </c>
      <c r="F66" t="s">
        <v>78</v>
      </c>
      <c r="G66" t="s">
        <v>50</v>
      </c>
      <c r="H66" s="1">
        <v>45689</v>
      </c>
      <c r="J66">
        <v>108</v>
      </c>
      <c r="K66">
        <v>1</v>
      </c>
      <c r="L66" s="2">
        <v>1</v>
      </c>
      <c r="M66" s="4">
        <v>108</v>
      </c>
      <c r="O66" t="s">
        <v>376</v>
      </c>
      <c r="Q66" t="s">
        <v>384</v>
      </c>
      <c r="R66">
        <v>20411454</v>
      </c>
    </row>
    <row r="67" spans="1:18" x14ac:dyDescent="0.25">
      <c r="A67" s="3" t="s">
        <v>333</v>
      </c>
      <c r="B67" s="3" t="str">
        <f t="shared" ref="B67:B85" si="1">CONCATENATE(A67,9)</f>
        <v>00021097913K9</v>
      </c>
      <c r="C67" t="s">
        <v>82</v>
      </c>
      <c r="D67" t="s">
        <v>46</v>
      </c>
      <c r="E67">
        <v>45618</v>
      </c>
      <c r="F67" t="s">
        <v>84</v>
      </c>
      <c r="G67" t="s">
        <v>50</v>
      </c>
      <c r="H67" s="1">
        <v>45689</v>
      </c>
      <c r="J67">
        <v>108</v>
      </c>
      <c r="K67">
        <v>1</v>
      </c>
      <c r="L67" s="2">
        <v>1</v>
      </c>
      <c r="M67" s="4">
        <v>108</v>
      </c>
      <c r="O67" t="s">
        <v>376</v>
      </c>
      <c r="Q67" t="s">
        <v>384</v>
      </c>
      <c r="R67">
        <v>20411454</v>
      </c>
    </row>
    <row r="68" spans="1:18" x14ac:dyDescent="0.25">
      <c r="A68" s="3" t="s">
        <v>334</v>
      </c>
      <c r="B68" s="3" t="str">
        <f t="shared" si="1"/>
        <v>00021249134K9</v>
      </c>
      <c r="C68" t="s">
        <v>86</v>
      </c>
      <c r="D68" t="s">
        <v>46</v>
      </c>
      <c r="E68">
        <v>45601</v>
      </c>
      <c r="F68" t="s">
        <v>88</v>
      </c>
      <c r="G68" t="s">
        <v>50</v>
      </c>
      <c r="H68" s="1">
        <v>45689</v>
      </c>
      <c r="J68">
        <v>108</v>
      </c>
      <c r="K68">
        <v>1</v>
      </c>
      <c r="L68" s="2">
        <v>1</v>
      </c>
      <c r="M68" s="4">
        <v>108</v>
      </c>
      <c r="O68" t="s">
        <v>376</v>
      </c>
      <c r="Q68" t="s">
        <v>384</v>
      </c>
      <c r="R68">
        <v>20411454</v>
      </c>
    </row>
    <row r="69" spans="1:18" x14ac:dyDescent="0.25">
      <c r="A69" s="3" t="s">
        <v>335</v>
      </c>
      <c r="B69" s="3" t="str">
        <f t="shared" si="1"/>
        <v>00022417706K9</v>
      </c>
      <c r="C69" t="s">
        <v>90</v>
      </c>
      <c r="D69" t="s">
        <v>46</v>
      </c>
      <c r="E69">
        <v>45603</v>
      </c>
      <c r="F69" t="s">
        <v>92</v>
      </c>
      <c r="G69" t="s">
        <v>50</v>
      </c>
      <c r="H69" s="1">
        <v>45689</v>
      </c>
      <c r="J69">
        <v>108</v>
      </c>
      <c r="K69">
        <v>1</v>
      </c>
      <c r="L69" s="2">
        <v>1</v>
      </c>
      <c r="M69" s="4">
        <v>108</v>
      </c>
      <c r="O69" t="s">
        <v>376</v>
      </c>
      <c r="Q69" t="s">
        <v>384</v>
      </c>
      <c r="R69">
        <v>20411454</v>
      </c>
    </row>
    <row r="70" spans="1:18" x14ac:dyDescent="0.25">
      <c r="A70" s="3" t="s">
        <v>336</v>
      </c>
      <c r="B70" s="3" t="str">
        <f t="shared" si="1"/>
        <v>00022478097K9</v>
      </c>
      <c r="C70" t="s">
        <v>94</v>
      </c>
      <c r="D70" t="s">
        <v>46</v>
      </c>
      <c r="E70">
        <v>45603</v>
      </c>
      <c r="F70" t="s">
        <v>92</v>
      </c>
      <c r="G70" t="s">
        <v>50</v>
      </c>
      <c r="H70" s="1">
        <v>45689</v>
      </c>
      <c r="J70">
        <v>108</v>
      </c>
      <c r="K70">
        <v>1</v>
      </c>
      <c r="L70" s="2">
        <v>1</v>
      </c>
      <c r="M70" s="4">
        <v>108</v>
      </c>
      <c r="O70" t="s">
        <v>376</v>
      </c>
      <c r="Q70" t="s">
        <v>384</v>
      </c>
      <c r="R70">
        <v>20411454</v>
      </c>
    </row>
    <row r="71" spans="1:18" x14ac:dyDescent="0.25">
      <c r="A71" s="3" t="s">
        <v>353</v>
      </c>
      <c r="B71" s="3" t="str">
        <f t="shared" si="1"/>
        <v>00002268815KPC9</v>
      </c>
      <c r="C71" t="s">
        <v>281</v>
      </c>
      <c r="D71" t="s">
        <v>46</v>
      </c>
      <c r="E71">
        <v>45605</v>
      </c>
      <c r="F71" t="s">
        <v>74</v>
      </c>
      <c r="G71" t="s">
        <v>50</v>
      </c>
      <c r="H71" s="1">
        <v>45658</v>
      </c>
      <c r="J71" s="4">
        <v>-99.36</v>
      </c>
      <c r="K71">
        <v>1</v>
      </c>
      <c r="L71" s="2">
        <v>1</v>
      </c>
      <c r="M71" s="4">
        <v>-99.36</v>
      </c>
      <c r="O71" t="s">
        <v>376</v>
      </c>
      <c r="Q71" t="s">
        <v>384</v>
      </c>
      <c r="R71">
        <v>20411454</v>
      </c>
    </row>
    <row r="72" spans="1:18" x14ac:dyDescent="0.25">
      <c r="A72" s="3" t="s">
        <v>355</v>
      </c>
      <c r="B72" s="3" t="str">
        <f t="shared" si="1"/>
        <v>00012290150KPC9</v>
      </c>
      <c r="C72" t="s">
        <v>288</v>
      </c>
      <c r="D72" t="s">
        <v>46</v>
      </c>
      <c r="E72">
        <v>45605</v>
      </c>
      <c r="F72" t="s">
        <v>74</v>
      </c>
      <c r="G72" t="s">
        <v>50</v>
      </c>
      <c r="H72" s="1">
        <v>45658</v>
      </c>
      <c r="J72" s="4">
        <v>-99.36</v>
      </c>
      <c r="K72">
        <v>1</v>
      </c>
      <c r="L72" s="2">
        <v>1</v>
      </c>
      <c r="M72" s="4">
        <v>-99.36</v>
      </c>
      <c r="O72" t="s">
        <v>376</v>
      </c>
      <c r="Q72" t="s">
        <v>384</v>
      </c>
      <c r="R72">
        <v>20411454</v>
      </c>
    </row>
    <row r="73" spans="1:18" x14ac:dyDescent="0.25">
      <c r="A73" s="3" t="s">
        <v>357</v>
      </c>
      <c r="B73" s="3" t="str">
        <f t="shared" si="1"/>
        <v>00019371558KPC9</v>
      </c>
      <c r="C73" t="s">
        <v>291</v>
      </c>
      <c r="D73" t="s">
        <v>46</v>
      </c>
      <c r="E73">
        <v>43705</v>
      </c>
      <c r="F73" t="s">
        <v>293</v>
      </c>
      <c r="G73" t="s">
        <v>50</v>
      </c>
      <c r="H73" s="1">
        <v>45658</v>
      </c>
      <c r="J73" s="4">
        <v>-99.36</v>
      </c>
      <c r="K73">
        <v>1</v>
      </c>
      <c r="L73" s="2">
        <v>1</v>
      </c>
      <c r="M73" s="4">
        <v>-99.36</v>
      </c>
      <c r="O73" t="s">
        <v>376</v>
      </c>
      <c r="Q73" t="s">
        <v>384</v>
      </c>
      <c r="R73">
        <v>20411454</v>
      </c>
    </row>
    <row r="74" spans="1:18" x14ac:dyDescent="0.25">
      <c r="A74" s="3" t="s">
        <v>344</v>
      </c>
      <c r="B74" s="3" t="str">
        <f t="shared" si="1"/>
        <v>00023018094KPDP9</v>
      </c>
      <c r="C74" t="s">
        <v>119</v>
      </c>
      <c r="D74" t="s">
        <v>46</v>
      </c>
      <c r="E74">
        <v>43690</v>
      </c>
      <c r="F74" t="s">
        <v>121</v>
      </c>
      <c r="G74" t="s">
        <v>122</v>
      </c>
      <c r="H74" s="1">
        <v>45717</v>
      </c>
      <c r="J74">
        <v>15</v>
      </c>
      <c r="K74">
        <v>1</v>
      </c>
      <c r="L74" s="2">
        <v>1</v>
      </c>
      <c r="M74" s="4">
        <v>15</v>
      </c>
      <c r="O74" t="s">
        <v>376</v>
      </c>
      <c r="Q74" t="s">
        <v>384</v>
      </c>
      <c r="R74">
        <v>20411454</v>
      </c>
    </row>
    <row r="75" spans="1:18" x14ac:dyDescent="0.25">
      <c r="A75" s="3" t="s">
        <v>359</v>
      </c>
      <c r="B75" s="3" t="str">
        <f t="shared" si="1"/>
        <v>00022472812KPDPCB9</v>
      </c>
      <c r="C75" t="s">
        <v>297</v>
      </c>
      <c r="D75" t="s">
        <v>46</v>
      </c>
      <c r="E75">
        <v>43611</v>
      </c>
      <c r="F75" t="s">
        <v>102</v>
      </c>
      <c r="G75" t="s">
        <v>122</v>
      </c>
      <c r="H75" s="1">
        <v>45658</v>
      </c>
      <c r="J75" s="4">
        <v>-15</v>
      </c>
      <c r="K75">
        <v>1</v>
      </c>
      <c r="L75" s="2">
        <v>1</v>
      </c>
      <c r="M75" s="4">
        <v>-15</v>
      </c>
      <c r="O75" t="s">
        <v>376</v>
      </c>
      <c r="Q75" t="s">
        <v>384</v>
      </c>
      <c r="R75">
        <v>20411454</v>
      </c>
    </row>
    <row r="76" spans="1:18" x14ac:dyDescent="0.25">
      <c r="A76" s="3" t="s">
        <v>349</v>
      </c>
      <c r="B76" s="3" t="str">
        <f t="shared" si="1"/>
        <v>939827006OV9</v>
      </c>
      <c r="C76" t="s">
        <v>258</v>
      </c>
      <c r="D76" t="s">
        <v>259</v>
      </c>
      <c r="E76">
        <v>43969</v>
      </c>
      <c r="F76" t="s">
        <v>113</v>
      </c>
      <c r="G76" t="s">
        <v>263</v>
      </c>
      <c r="H76" s="1">
        <v>45658</v>
      </c>
      <c r="J76">
        <v>175</v>
      </c>
      <c r="K76">
        <v>1</v>
      </c>
      <c r="L76" s="2">
        <v>1</v>
      </c>
      <c r="M76" s="4">
        <v>175</v>
      </c>
      <c r="O76" t="s">
        <v>378</v>
      </c>
      <c r="Q76" t="s">
        <v>384</v>
      </c>
      <c r="R76">
        <v>20411454</v>
      </c>
    </row>
    <row r="77" spans="1:18" x14ac:dyDescent="0.25">
      <c r="A77" s="3" t="s">
        <v>372</v>
      </c>
      <c r="B77" s="3" t="str">
        <f t="shared" si="1"/>
        <v>952774192OVCB9</v>
      </c>
      <c r="C77" t="s">
        <v>321</v>
      </c>
      <c r="D77" t="s">
        <v>154</v>
      </c>
      <c r="E77">
        <v>45605</v>
      </c>
      <c r="F77" t="s">
        <v>74</v>
      </c>
      <c r="G77" t="s">
        <v>263</v>
      </c>
      <c r="H77" s="1">
        <v>45597</v>
      </c>
      <c r="J77" s="4">
        <v>-175</v>
      </c>
      <c r="K77">
        <v>1</v>
      </c>
      <c r="L77" s="2">
        <v>1</v>
      </c>
      <c r="M77" s="4">
        <v>-175</v>
      </c>
      <c r="O77" t="s">
        <v>378</v>
      </c>
      <c r="Q77" t="s">
        <v>384</v>
      </c>
      <c r="R77">
        <v>20411454</v>
      </c>
    </row>
    <row r="78" spans="1:18" x14ac:dyDescent="0.25">
      <c r="A78" s="3" t="s">
        <v>350</v>
      </c>
      <c r="B78" s="3" t="str">
        <f t="shared" si="1"/>
        <v>982728123OV9</v>
      </c>
      <c r="C78" t="s">
        <v>265</v>
      </c>
      <c r="D78" t="s">
        <v>154</v>
      </c>
      <c r="E78">
        <v>45605</v>
      </c>
      <c r="F78" t="s">
        <v>74</v>
      </c>
      <c r="G78" t="s">
        <v>269</v>
      </c>
      <c r="H78" s="1">
        <v>45689</v>
      </c>
      <c r="J78">
        <v>66</v>
      </c>
      <c r="K78">
        <v>1</v>
      </c>
      <c r="L78" s="2">
        <v>1</v>
      </c>
      <c r="M78" s="4">
        <v>66</v>
      </c>
      <c r="N78" t="s">
        <v>133</v>
      </c>
      <c r="O78" t="s">
        <v>378</v>
      </c>
      <c r="Q78" t="s">
        <v>384</v>
      </c>
      <c r="R78">
        <v>20411454</v>
      </c>
    </row>
    <row r="79" spans="1:18" x14ac:dyDescent="0.25">
      <c r="A79" s="3" t="s">
        <v>371</v>
      </c>
      <c r="B79" s="3" t="str">
        <f>CONCATENATE(A79,99)</f>
        <v>952774192CB99</v>
      </c>
      <c r="C79" t="s">
        <v>321</v>
      </c>
      <c r="D79" t="s">
        <v>154</v>
      </c>
      <c r="E79">
        <v>45605</v>
      </c>
      <c r="F79" t="s">
        <v>74</v>
      </c>
      <c r="G79" t="s">
        <v>322</v>
      </c>
      <c r="H79" s="1">
        <v>45597</v>
      </c>
      <c r="J79" s="5">
        <v>-611</v>
      </c>
      <c r="K79">
        <v>1</v>
      </c>
      <c r="L79" s="2">
        <v>1</v>
      </c>
      <c r="M79" s="5">
        <v>-611</v>
      </c>
      <c r="O79" t="s">
        <v>381</v>
      </c>
      <c r="Q79" t="s">
        <v>74</v>
      </c>
      <c r="R79">
        <v>9213293</v>
      </c>
    </row>
    <row r="80" spans="1:18" x14ac:dyDescent="0.25">
      <c r="A80" s="3">
        <v>939827006</v>
      </c>
      <c r="B80" s="3" t="str">
        <f t="shared" ref="B80:B83" si="2">CONCATENATE(A80,99)</f>
        <v>93982700699</v>
      </c>
      <c r="C80" t="s">
        <v>258</v>
      </c>
      <c r="D80" t="s">
        <v>259</v>
      </c>
      <c r="E80">
        <v>43969</v>
      </c>
      <c r="F80" t="s">
        <v>113</v>
      </c>
      <c r="G80" t="s">
        <v>260</v>
      </c>
      <c r="H80" s="1">
        <v>45658</v>
      </c>
      <c r="J80">
        <v>626</v>
      </c>
      <c r="K80">
        <v>1</v>
      </c>
      <c r="L80" s="2">
        <v>1</v>
      </c>
      <c r="M80" s="5">
        <v>626</v>
      </c>
      <c r="O80" t="s">
        <v>379</v>
      </c>
      <c r="Q80" t="s">
        <v>113</v>
      </c>
      <c r="R80">
        <v>19645587</v>
      </c>
    </row>
    <row r="81" spans="1:18" x14ac:dyDescent="0.25">
      <c r="A81" s="3">
        <v>982728123</v>
      </c>
      <c r="B81" s="3" t="str">
        <f t="shared" si="2"/>
        <v>98272812399</v>
      </c>
      <c r="C81" t="s">
        <v>265</v>
      </c>
      <c r="D81" t="s">
        <v>154</v>
      </c>
      <c r="E81">
        <v>45605</v>
      </c>
      <c r="F81" t="s">
        <v>74</v>
      </c>
      <c r="G81" t="s">
        <v>266</v>
      </c>
      <c r="H81" s="1">
        <v>45689</v>
      </c>
      <c r="J81">
        <v>286.92</v>
      </c>
      <c r="K81">
        <v>1</v>
      </c>
      <c r="L81" s="2">
        <v>1</v>
      </c>
      <c r="M81" s="5">
        <v>286.92</v>
      </c>
      <c r="N81" t="s">
        <v>133</v>
      </c>
      <c r="O81" t="s">
        <v>380</v>
      </c>
      <c r="P81" t="s">
        <v>383</v>
      </c>
      <c r="Q81" t="s">
        <v>74</v>
      </c>
      <c r="R81">
        <v>9213293</v>
      </c>
    </row>
    <row r="82" spans="1:18" x14ac:dyDescent="0.25">
      <c r="A82" s="3">
        <v>23023469</v>
      </c>
      <c r="B82" s="3" t="str">
        <f t="shared" si="2"/>
        <v>2302346999</v>
      </c>
      <c r="C82" t="s">
        <v>127</v>
      </c>
      <c r="D82" t="s">
        <v>128</v>
      </c>
      <c r="E82">
        <v>43692</v>
      </c>
      <c r="F82" t="s">
        <v>130</v>
      </c>
      <c r="G82" t="s">
        <v>131</v>
      </c>
      <c r="H82" s="1">
        <v>45689</v>
      </c>
      <c r="J82">
        <v>50.42</v>
      </c>
      <c r="K82">
        <v>1</v>
      </c>
      <c r="L82" s="2">
        <v>1</v>
      </c>
      <c r="M82" s="5">
        <v>50.42</v>
      </c>
      <c r="N82" t="s">
        <v>133</v>
      </c>
      <c r="O82" t="s">
        <v>377</v>
      </c>
      <c r="Q82" t="s">
        <v>130</v>
      </c>
      <c r="R82">
        <v>9079571</v>
      </c>
    </row>
    <row r="83" spans="1:18" x14ac:dyDescent="0.25">
      <c r="A83" s="3">
        <v>23027763</v>
      </c>
      <c r="B83" s="3" t="str">
        <f t="shared" si="2"/>
        <v>2302776399</v>
      </c>
      <c r="C83" t="s">
        <v>137</v>
      </c>
      <c r="D83" t="s">
        <v>138</v>
      </c>
      <c r="E83">
        <v>43689</v>
      </c>
      <c r="F83" t="s">
        <v>140</v>
      </c>
      <c r="G83" t="s">
        <v>131</v>
      </c>
      <c r="H83" s="1">
        <v>45689</v>
      </c>
      <c r="J83">
        <v>50.42</v>
      </c>
      <c r="K83">
        <v>1</v>
      </c>
      <c r="L83" s="2">
        <v>1</v>
      </c>
      <c r="M83" s="5">
        <v>50.42</v>
      </c>
      <c r="N83" t="s">
        <v>133</v>
      </c>
      <c r="O83" t="s">
        <v>377</v>
      </c>
      <c r="Q83" t="s">
        <v>140</v>
      </c>
      <c r="R83">
        <v>19278370</v>
      </c>
    </row>
    <row r="84" spans="1:18" x14ac:dyDescent="0.25">
      <c r="A84" s="3" t="s">
        <v>346</v>
      </c>
      <c r="B84" s="3" t="str">
        <f t="shared" si="1"/>
        <v>2P35MK1CM919</v>
      </c>
      <c r="C84" t="s">
        <v>243</v>
      </c>
      <c r="D84" t="s">
        <v>138</v>
      </c>
      <c r="E84">
        <v>43677</v>
      </c>
      <c r="F84" t="s">
        <v>43</v>
      </c>
      <c r="G84" t="s">
        <v>244</v>
      </c>
      <c r="H84" s="1">
        <v>45689</v>
      </c>
      <c r="J84">
        <v>150</v>
      </c>
      <c r="K84">
        <v>1</v>
      </c>
      <c r="L84" s="2">
        <v>1</v>
      </c>
      <c r="M84" s="4">
        <v>150</v>
      </c>
      <c r="O84" t="s">
        <v>382</v>
      </c>
      <c r="Q84" t="s">
        <v>384</v>
      </c>
      <c r="R84">
        <v>20411454</v>
      </c>
    </row>
    <row r="85" spans="1:18" x14ac:dyDescent="0.25">
      <c r="A85" s="3" t="s">
        <v>348</v>
      </c>
      <c r="B85" s="3" t="str">
        <f t="shared" si="1"/>
        <v>5R83P54NJ139</v>
      </c>
      <c r="C85" t="s">
        <v>254</v>
      </c>
      <c r="D85" t="s">
        <v>138</v>
      </c>
      <c r="E85">
        <v>43585</v>
      </c>
      <c r="F85" t="s">
        <v>256</v>
      </c>
      <c r="G85" t="s">
        <v>244</v>
      </c>
      <c r="H85" s="1">
        <v>45658</v>
      </c>
      <c r="J85">
        <v>150</v>
      </c>
      <c r="K85">
        <v>1</v>
      </c>
      <c r="L85" s="2">
        <v>1</v>
      </c>
      <c r="M85" s="4">
        <v>150</v>
      </c>
      <c r="O85" t="s">
        <v>382</v>
      </c>
      <c r="Q85" t="s">
        <v>384</v>
      </c>
      <c r="R85">
        <v>20411454</v>
      </c>
    </row>
  </sheetData>
  <sortState xmlns:xlrd2="http://schemas.microsoft.com/office/spreadsheetml/2017/richdata2" ref="A2:O85">
    <sortCondition ref="G2:G85"/>
  </sortState>
  <phoneticPr fontId="1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0E04-19D2-9647-8DCB-C4B1921FDF0A}">
  <dimension ref="A1:AD3"/>
  <sheetViews>
    <sheetView tabSelected="1" topLeftCell="I1" workbookViewId="0">
      <selection activeCell="J6" sqref="J6"/>
    </sheetView>
  </sheetViews>
  <sheetFormatPr defaultColWidth="11" defaultRowHeight="15.75" x14ac:dyDescent="0.25"/>
  <cols>
    <col min="1" max="1" width="12.625" bestFit="1" customWidth="1"/>
    <col min="2" max="2" width="16.25" bestFit="1" customWidth="1"/>
    <col min="3" max="3" width="7.375" bestFit="1" customWidth="1"/>
    <col min="4" max="4" width="4.125" bestFit="1" customWidth="1"/>
    <col min="5" max="5" width="5.125" bestFit="1" customWidth="1"/>
    <col min="6" max="6" width="8" bestFit="1" customWidth="1"/>
    <col min="7" max="7" width="13.875" bestFit="1" customWidth="1"/>
    <col min="8" max="8" width="22.125" bestFit="1" customWidth="1"/>
    <col min="9" max="9" width="11.25" bestFit="1" customWidth="1"/>
    <col min="10" max="10" width="40.25" bestFit="1" customWidth="1"/>
    <col min="11" max="11" width="9.375" bestFit="1" customWidth="1"/>
    <col min="12" max="12" width="11.125" bestFit="1" customWidth="1"/>
    <col min="13" max="13" width="13" bestFit="1" customWidth="1"/>
    <col min="14" max="14" width="10.75" bestFit="1" customWidth="1"/>
    <col min="15" max="15" width="14.75" bestFit="1" customWidth="1"/>
    <col min="16" max="16" width="8.375" bestFit="1" customWidth="1"/>
    <col min="17" max="17" width="16.625" bestFit="1" customWidth="1"/>
    <col min="18" max="18" width="14.75" bestFit="1" customWidth="1"/>
    <col min="19" max="20" width="15.375" bestFit="1" customWidth="1"/>
    <col min="21" max="21" width="16.25" bestFit="1" customWidth="1"/>
    <col min="22" max="22" width="10.875" bestFit="1" customWidth="1"/>
    <col min="23" max="23" width="13.625" bestFit="1" customWidth="1"/>
    <col min="24" max="24" width="8.875" bestFit="1" customWidth="1"/>
    <col min="25" max="25" width="11.875" bestFit="1" customWidth="1"/>
    <col min="26" max="26" width="17.375" bestFit="1" customWidth="1"/>
    <col min="27" max="27" width="16.625" bestFit="1" customWidth="1"/>
    <col min="28" max="28" width="10.5" bestFit="1" customWidth="1"/>
    <col min="29" max="29" width="12.5" bestFit="1" customWidth="1"/>
    <col min="30" max="30" width="14.75" bestFit="1" customWidth="1"/>
  </cols>
  <sheetData>
    <row r="1" spans="1:3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25">
      <c r="A2" t="s">
        <v>351</v>
      </c>
      <c r="B2" t="s">
        <v>137</v>
      </c>
      <c r="E2" t="s">
        <v>138</v>
      </c>
      <c r="G2">
        <v>43689</v>
      </c>
      <c r="H2" t="s">
        <v>140</v>
      </c>
      <c r="I2" t="s">
        <v>49</v>
      </c>
      <c r="J2" t="s">
        <v>385</v>
      </c>
      <c r="K2" s="1">
        <v>45689</v>
      </c>
      <c r="M2" t="s">
        <v>51</v>
      </c>
      <c r="P2" t="s">
        <v>52</v>
      </c>
      <c r="Q2" s="6">
        <v>0</v>
      </c>
      <c r="R2" s="6">
        <v>37.5</v>
      </c>
      <c r="S2">
        <v>9</v>
      </c>
      <c r="T2" s="2">
        <v>1</v>
      </c>
      <c r="U2" s="6">
        <v>337.5</v>
      </c>
      <c r="V2" s="2">
        <v>0</v>
      </c>
      <c r="W2" s="6">
        <v>0</v>
      </c>
      <c r="X2" s="6">
        <v>337.5</v>
      </c>
      <c r="AC2">
        <v>4980665</v>
      </c>
    </row>
    <row r="3" spans="1:30" x14ac:dyDescent="0.25">
      <c r="A3" t="s">
        <v>352</v>
      </c>
      <c r="B3" t="s">
        <v>275</v>
      </c>
      <c r="E3" t="s">
        <v>154</v>
      </c>
      <c r="G3">
        <v>43969</v>
      </c>
      <c r="H3" t="s">
        <v>113</v>
      </c>
      <c r="I3" t="s">
        <v>49</v>
      </c>
      <c r="J3" t="s">
        <v>386</v>
      </c>
      <c r="K3" s="1">
        <v>45689</v>
      </c>
      <c r="M3" t="s">
        <v>51</v>
      </c>
      <c r="P3" t="s">
        <v>52</v>
      </c>
      <c r="Q3" s="6">
        <v>0</v>
      </c>
      <c r="R3" s="6">
        <v>31.98</v>
      </c>
      <c r="S3">
        <v>9</v>
      </c>
      <c r="T3" s="2">
        <v>1</v>
      </c>
      <c r="U3" s="6">
        <v>287.82</v>
      </c>
      <c r="V3" s="2">
        <v>0</v>
      </c>
      <c r="W3" s="6">
        <v>0</v>
      </c>
      <c r="X3" s="6">
        <v>287.82</v>
      </c>
      <c r="AC3">
        <v>4980664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clean sheet</vt:lpstr>
      <vt:lpstr>UHC Med Supp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2025-01-30T14:06:43Z</dcterms:created>
  <dcterms:modified xsi:type="dcterms:W3CDTF">2025-02-04T20:59:19Z</dcterms:modified>
</cp:coreProperties>
</file>