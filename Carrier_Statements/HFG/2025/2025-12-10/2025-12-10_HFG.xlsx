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FG\2025\12-10-25\"/>
    </mc:Choice>
  </mc:AlternateContent>
  <xr:revisionPtr revIDLastSave="0" documentId="13_ncr:1_{8C6E880F-E836-41B2-95FA-62A0F28B858A}" xr6:coauthVersionLast="47" xr6:coauthVersionMax="47" xr10:uidLastSave="{00000000-0000-0000-0000-000000000000}"/>
  <bookViews>
    <workbookView xWindow="29355" yWindow="1605" windowWidth="21585" windowHeight="13230" activeTab="2" xr2:uid="{35DDA669-39C5-44D3-8573-37926DB4F8F1}"/>
  </bookViews>
  <sheets>
    <sheet name="New Business Agent Statement - " sheetId="1" r:id="rId1"/>
    <sheet name="Sheet1" sheetId="2" r:id="rId2"/>
    <sheet name="on hold" sheetId="3" r:id="rId3"/>
  </sheets>
  <calcPr calcId="181029"/>
</workbook>
</file>

<file path=xl/calcChain.xml><?xml version="1.0" encoding="utf-8"?>
<calcChain xmlns="http://schemas.openxmlformats.org/spreadsheetml/2006/main">
  <c r="B355" i="2" l="1"/>
  <c r="B354" i="2"/>
  <c r="B356" i="2"/>
  <c r="B353" i="2"/>
  <c r="B412" i="2"/>
  <c r="B407" i="2"/>
  <c r="B406" i="2"/>
  <c r="B411" i="2"/>
  <c r="B410" i="2"/>
  <c r="B409" i="2"/>
  <c r="B408" i="2"/>
  <c r="B405" i="2"/>
  <c r="B404" i="2"/>
  <c r="B403" i="2"/>
  <c r="B402" i="2"/>
  <c r="B401" i="2"/>
  <c r="B400" i="2"/>
  <c r="B399" i="2"/>
  <c r="B398" i="2"/>
  <c r="B397" i="2"/>
  <c r="B396" i="2"/>
  <c r="B395" i="2"/>
  <c r="B394" i="2"/>
  <c r="B393" i="2"/>
  <c r="B392" i="2"/>
  <c r="B391" i="2"/>
  <c r="B390" i="2"/>
  <c r="B389" i="2"/>
  <c r="B388" i="2"/>
  <c r="B387" i="2"/>
  <c r="B386" i="2"/>
  <c r="B385" i="2"/>
  <c r="B384" i="2"/>
  <c r="B383" i="2"/>
  <c r="B382" i="2"/>
  <c r="B381" i="2"/>
  <c r="B380" i="2"/>
  <c r="B379" i="2"/>
  <c r="B378" i="2"/>
  <c r="B377" i="2"/>
  <c r="B376" i="2"/>
  <c r="B375" i="2"/>
  <c r="B374" i="2"/>
  <c r="B373" i="2"/>
  <c r="B372" i="2"/>
  <c r="B371" i="2"/>
  <c r="B370" i="2"/>
  <c r="B369" i="2"/>
  <c r="B368" i="2"/>
  <c r="B367" i="2"/>
  <c r="B366" i="2"/>
  <c r="B365" i="2"/>
  <c r="B364" i="2"/>
  <c r="B363" i="2"/>
  <c r="B362" i="2"/>
  <c r="B361" i="2"/>
  <c r="B360" i="2"/>
  <c r="B359" i="2"/>
  <c r="B358" i="2"/>
  <c r="B357" i="2"/>
  <c r="B350" i="2"/>
  <c r="B349" i="2"/>
  <c r="B348" i="2"/>
  <c r="B347" i="2"/>
  <c r="B346" i="2"/>
  <c r="B345" i="2"/>
  <c r="B344" i="2"/>
  <c r="B343" i="2"/>
  <c r="B342" i="2"/>
  <c r="B341" i="2"/>
  <c r="B340" i="2"/>
  <c r="B339" i="2"/>
  <c r="B338" i="2"/>
  <c r="B337" i="2"/>
  <c r="B336" i="2"/>
  <c r="B335" i="2"/>
  <c r="B334" i="2"/>
  <c r="B333" i="2"/>
  <c r="B332" i="2"/>
  <c r="B331" i="2"/>
  <c r="B330" i="2"/>
  <c r="B329" i="2"/>
  <c r="B328" i="2"/>
  <c r="B327" i="2"/>
  <c r="B326" i="2"/>
  <c r="B325" i="2"/>
  <c r="B324" i="2"/>
  <c r="B323" i="2"/>
  <c r="B322" i="2"/>
  <c r="B321" i="2"/>
  <c r="B320" i="2"/>
  <c r="B319" i="2"/>
  <c r="B318" i="2"/>
  <c r="B317" i="2"/>
  <c r="B316" i="2"/>
  <c r="B315" i="2"/>
  <c r="B314" i="2"/>
  <c r="B313" i="2"/>
  <c r="B312" i="2"/>
  <c r="B311" i="2"/>
  <c r="B310" i="2"/>
  <c r="B309" i="2"/>
  <c r="B308" i="2"/>
  <c r="B307" i="2"/>
  <c r="B306" i="2"/>
  <c r="B305" i="2"/>
  <c r="B304" i="2"/>
  <c r="B303" i="2"/>
  <c r="B302" i="2"/>
  <c r="B301" i="2"/>
  <c r="B300" i="2"/>
  <c r="B299" i="2"/>
  <c r="B298" i="2"/>
  <c r="B297" i="2"/>
  <c r="B296" i="2"/>
  <c r="B295" i="2"/>
  <c r="B294" i="2"/>
  <c r="B293" i="2"/>
  <c r="B292" i="2"/>
  <c r="B291" i="2"/>
  <c r="B290" i="2"/>
  <c r="B289" i="2"/>
  <c r="B288" i="2"/>
  <c r="B287" i="2"/>
  <c r="B286" i="2"/>
  <c r="B285" i="2"/>
  <c r="B284" i="2"/>
  <c r="B283" i="2"/>
  <c r="B282" i="2"/>
  <c r="B281" i="2"/>
  <c r="B280" i="2"/>
  <c r="B279" i="2"/>
  <c r="B278" i="2"/>
  <c r="B277" i="2"/>
  <c r="B276" i="2"/>
  <c r="B275" i="2"/>
  <c r="B274" i="2"/>
  <c r="B273" i="2"/>
  <c r="B272" i="2"/>
  <c r="B271" i="2"/>
  <c r="B270" i="2"/>
  <c r="B269" i="2"/>
  <c r="B268" i="2"/>
  <c r="B267" i="2"/>
  <c r="B266" i="2"/>
  <c r="B265" i="2"/>
  <c r="B264" i="2"/>
  <c r="B263" i="2"/>
  <c r="B262" i="2"/>
  <c r="B261" i="2"/>
  <c r="B260" i="2"/>
  <c r="B259" i="2"/>
  <c r="B258" i="2"/>
  <c r="B257" i="2"/>
  <c r="B256" i="2"/>
  <c r="B255" i="2"/>
  <c r="B254" i="2"/>
  <c r="B253" i="2"/>
  <c r="B252" i="2"/>
  <c r="B251" i="2"/>
  <c r="B250" i="2"/>
  <c r="B249" i="2"/>
  <c r="B248" i="2"/>
  <c r="B247" i="2"/>
  <c r="B246" i="2"/>
  <c r="B245" i="2"/>
  <c r="B244" i="2"/>
  <c r="B243" i="2"/>
  <c r="B242" i="2"/>
  <c r="B241" i="2"/>
  <c r="B240" i="2"/>
  <c r="B239" i="2"/>
  <c r="B238" i="2"/>
  <c r="B237" i="2"/>
  <c r="B236" i="2"/>
  <c r="B235" i="2"/>
  <c r="B234" i="2"/>
  <c r="B233" i="2"/>
  <c r="B232" i="2"/>
  <c r="B231" i="2"/>
  <c r="B230" i="2"/>
  <c r="B229" i="2"/>
  <c r="B228" i="2"/>
  <c r="B227" i="2"/>
  <c r="B226" i="2"/>
  <c r="B225" i="2"/>
  <c r="B224" i="2"/>
  <c r="B223" i="2"/>
  <c r="B222" i="2"/>
  <c r="B221" i="2"/>
  <c r="B220" i="2"/>
  <c r="B219" i="2"/>
  <c r="B218" i="2"/>
  <c r="B217" i="2"/>
  <c r="B216" i="2"/>
  <c r="B215" i="2"/>
  <c r="B214" i="2"/>
  <c r="B213" i="2"/>
  <c r="B212" i="2"/>
  <c r="B211" i="2"/>
  <c r="B210" i="2"/>
  <c r="B209" i="2"/>
  <c r="B208" i="2"/>
  <c r="B207" i="2"/>
  <c r="B206" i="2"/>
  <c r="B205" i="2"/>
  <c r="B204" i="2"/>
  <c r="B203" i="2"/>
  <c r="B202" i="2"/>
  <c r="B201" i="2"/>
  <c r="B200" i="2"/>
  <c r="B199" i="2"/>
  <c r="B198" i="2"/>
  <c r="B197" i="2"/>
  <c r="B196" i="2"/>
  <c r="B195" i="2"/>
  <c r="B194" i="2"/>
  <c r="B193" i="2"/>
  <c r="B192" i="2"/>
  <c r="B191" i="2"/>
  <c r="B190" i="2"/>
  <c r="B189" i="2"/>
  <c r="B188" i="2"/>
  <c r="B187" i="2"/>
  <c r="B186" i="2"/>
  <c r="B185" i="2"/>
  <c r="B184" i="2"/>
  <c r="B183" i="2"/>
  <c r="B182" i="2"/>
  <c r="B181" i="2"/>
  <c r="B180" i="2"/>
  <c r="B179" i="2"/>
  <c r="B178" i="2"/>
  <c r="B177" i="2"/>
  <c r="B176" i="2"/>
  <c r="B175" i="2"/>
  <c r="B174" i="2"/>
  <c r="B173" i="2"/>
  <c r="B172" i="2"/>
  <c r="B171" i="2"/>
  <c r="B170" i="2"/>
  <c r="B169" i="2"/>
  <c r="B168" i="2"/>
  <c r="B167" i="2"/>
  <c r="B166" i="2"/>
  <c r="B165" i="2"/>
  <c r="B164" i="2"/>
  <c r="B163" i="2"/>
  <c r="B162" i="2"/>
  <c r="B161" i="2"/>
  <c r="B160" i="2"/>
  <c r="B159" i="2"/>
  <c r="B158" i="2"/>
  <c r="B157" i="2"/>
  <c r="B156" i="2"/>
  <c r="B155" i="2"/>
  <c r="B154" i="2"/>
  <c r="B153" i="2"/>
  <c r="B152" i="2"/>
  <c r="B151" i="2"/>
  <c r="B150" i="2"/>
  <c r="B149" i="2"/>
  <c r="B148" i="2"/>
  <c r="B147" i="2"/>
  <c r="B146" i="2"/>
  <c r="B145" i="2"/>
  <c r="B144" i="2"/>
  <c r="B143" i="2"/>
  <c r="B142" i="2"/>
  <c r="B141" i="2"/>
  <c r="B140" i="2"/>
  <c r="B139" i="2"/>
  <c r="B138" i="2"/>
  <c r="B137" i="2"/>
  <c r="B136" i="2"/>
  <c r="B135" i="2"/>
  <c r="B134" i="2"/>
  <c r="B133" i="2"/>
  <c r="B132" i="2"/>
  <c r="B131" i="2"/>
  <c r="B130" i="2"/>
  <c r="B129" i="2"/>
  <c r="B128" i="2"/>
  <c r="B127" i="2"/>
  <c r="B126" i="2"/>
  <c r="B125" i="2"/>
  <c r="B124" i="2"/>
  <c r="B123" i="2"/>
  <c r="B122" i="2"/>
  <c r="B121" i="2"/>
  <c r="B120" i="2"/>
  <c r="B119" i="2"/>
  <c r="B118" i="2"/>
  <c r="B117" i="2"/>
  <c r="B116" i="2"/>
  <c r="B115" i="2"/>
  <c r="B114" i="2"/>
  <c r="B113" i="2"/>
  <c r="B112" i="2"/>
  <c r="B111" i="2"/>
  <c r="B110" i="2"/>
  <c r="B109" i="2"/>
  <c r="B108" i="2"/>
  <c r="B107" i="2"/>
  <c r="B106" i="2"/>
  <c r="B105" i="2"/>
  <c r="B104" i="2"/>
  <c r="B103" i="2"/>
  <c r="B102" i="2"/>
  <c r="B101" i="2"/>
  <c r="B100" i="2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</calcChain>
</file>

<file path=xl/sharedStrings.xml><?xml version="1.0" encoding="utf-8"?>
<sst xmlns="http://schemas.openxmlformats.org/spreadsheetml/2006/main" count="9552" uniqueCount="871">
  <si>
    <t>V20180401</t>
  </si>
  <si>
    <t>Accounting Cycle</t>
  </si>
  <si>
    <t>Statement Type</t>
  </si>
  <si>
    <t>Company ID</t>
  </si>
  <si>
    <t>Database</t>
  </si>
  <si>
    <t>Agent ID</t>
  </si>
  <si>
    <t>eACID</t>
  </si>
  <si>
    <t>Agent Name</t>
  </si>
  <si>
    <t>Policy Number</t>
  </si>
  <si>
    <t>Policyholder Name</t>
  </si>
  <si>
    <t>Address</t>
  </si>
  <si>
    <t>City</t>
  </si>
  <si>
    <t>State</t>
  </si>
  <si>
    <t>ZIP Code</t>
  </si>
  <si>
    <t>Writing Agent ID</t>
  </si>
  <si>
    <t>Writing Agent Name</t>
  </si>
  <si>
    <t>Policy Status</t>
  </si>
  <si>
    <t>Product</t>
  </si>
  <si>
    <t>Issue Date</t>
  </si>
  <si>
    <t>Paid-To Date</t>
  </si>
  <si>
    <t>Payment Mode</t>
  </si>
  <si>
    <t>Months Paid</t>
  </si>
  <si>
    <t>Transaction Date</t>
  </si>
  <si>
    <t>Pay Code</t>
  </si>
  <si>
    <t>Collected Premium</t>
  </si>
  <si>
    <t>Commissionable</t>
  </si>
  <si>
    <t>Months Advanced</t>
  </si>
  <si>
    <t>Commission Rate</t>
  </si>
  <si>
    <t>Gross Commission</t>
  </si>
  <si>
    <t>Escrow Rate</t>
  </si>
  <si>
    <t>Escrow Amount</t>
  </si>
  <si>
    <t>Advanced</t>
  </si>
  <si>
    <t>Earned Credit</t>
  </si>
  <si>
    <t>Earned Commission</t>
  </si>
  <si>
    <t>Escrow Adjustment</t>
  </si>
  <si>
    <t>Chargeback</t>
  </si>
  <si>
    <t>Transaction ID</t>
  </si>
  <si>
    <t>Transaction Note</t>
  </si>
  <si>
    <t>NB</t>
  </si>
  <si>
    <t>HEARTLAND</t>
  </si>
  <si>
    <t>HEARTLAND-FINANCIAL-GROUP</t>
  </si>
  <si>
    <t>'043677</t>
  </si>
  <si>
    <t>'</t>
  </si>
  <si>
    <t>JASON HOFFMANN</t>
  </si>
  <si>
    <t>CAROL SCHABER</t>
  </si>
  <si>
    <t>IL</t>
  </si>
  <si>
    <t>'047621</t>
  </si>
  <si>
    <t>TOM SERIO</t>
  </si>
  <si>
    <t>ACTIVE</t>
  </si>
  <si>
    <t>Humana MA 2019+ Level 15- 175/108 Repl 2024</t>
  </si>
  <si>
    <t>Monthly</t>
  </si>
  <si>
    <t>AV</t>
  </si>
  <si>
    <t>JOHN PALREIRO</t>
  </si>
  <si>
    <t>NH</t>
  </si>
  <si>
    <t>'045604</t>
  </si>
  <si>
    <t>JEFFREY HORN</t>
  </si>
  <si>
    <t>Humana MA 2019+ Level 15- 175/108</t>
  </si>
  <si>
    <t>LILY BUENCILLO</t>
  </si>
  <si>
    <t>'045605</t>
  </si>
  <si>
    <t>GARY PORTUGAL</t>
  </si>
  <si>
    <t>MARY DELANO</t>
  </si>
  <si>
    <t>ANITA ELLIOTT</t>
  </si>
  <si>
    <t>KS</t>
  </si>
  <si>
    <t>'043682</t>
  </si>
  <si>
    <t>GREGORY TEIPEL</t>
  </si>
  <si>
    <t>MARJORIE BEGHIN</t>
  </si>
  <si>
    <t>'045618</t>
  </si>
  <si>
    <t>STEPHANIE DRAPAC</t>
  </si>
  <si>
    <t>RICHARD SULLIVAN</t>
  </si>
  <si>
    <t>OH</t>
  </si>
  <si>
    <t>'045684</t>
  </si>
  <si>
    <t>JILL SHEPARD</t>
  </si>
  <si>
    <t>FRANCES ENNEY</t>
  </si>
  <si>
    <t>NC</t>
  </si>
  <si>
    <t>'043718</t>
  </si>
  <si>
    <t>CHAD YALE</t>
  </si>
  <si>
    <t>DALE HEATH</t>
  </si>
  <si>
    <t>'043736</t>
  </si>
  <si>
    <t>DENNIS HOLYN</t>
  </si>
  <si>
    <t>GERALD WENZEL</t>
  </si>
  <si>
    <t>'045612</t>
  </si>
  <si>
    <t>ANTHONY HUNSBERGER</t>
  </si>
  <si>
    <t>DAVID JOHNSON</t>
  </si>
  <si>
    <t>MI</t>
  </si>
  <si>
    <t>MARGARET PITHER</t>
  </si>
  <si>
    <t>'045613</t>
  </si>
  <si>
    <t>RICARDO SANTOS</t>
  </si>
  <si>
    <t>JEANNINE ODELL</t>
  </si>
  <si>
    <t>BARBARA BROWN</t>
  </si>
  <si>
    <t>IN</t>
  </si>
  <si>
    <t>'045712</t>
  </si>
  <si>
    <t>GREGORY HANSFORD</t>
  </si>
  <si>
    <t>GLORIA SYKES</t>
  </si>
  <si>
    <t>'043969</t>
  </si>
  <si>
    <t>STACEY PORTUGAL</t>
  </si>
  <si>
    <t>JOANNE HALL</t>
  </si>
  <si>
    <t>'045638</t>
  </si>
  <si>
    <t>RICHARD YALE</t>
  </si>
  <si>
    <t>CONNIE WHITTED</t>
  </si>
  <si>
    <t>PETRE RADULESCU</t>
  </si>
  <si>
    <t>OR</t>
  </si>
  <si>
    <t>CELESTE SHEETS EATON</t>
  </si>
  <si>
    <t>'045967</t>
  </si>
  <si>
    <t>DANNA GREEN</t>
  </si>
  <si>
    <t>ANTONIA GARCIA</t>
  </si>
  <si>
    <t>'045632</t>
  </si>
  <si>
    <t>BARRY SCHUMANN</t>
  </si>
  <si>
    <t>THOMAS KUSEK</t>
  </si>
  <si>
    <t>'043633</t>
  </si>
  <si>
    <t>RICHARD WUENSCH</t>
  </si>
  <si>
    <t>ROBERT WHITFIELD</t>
  </si>
  <si>
    <t>MARK BRADBURY</t>
  </si>
  <si>
    <t>TOMMY WALDING</t>
  </si>
  <si>
    <t>TX</t>
  </si>
  <si>
    <t>JEANNE CAVATAIO</t>
  </si>
  <si>
    <t>SC</t>
  </si>
  <si>
    <t>MARYELLEN JOHNSON</t>
  </si>
  <si>
    <t>'043618</t>
  </si>
  <si>
    <t>SAADIA ABDUL</t>
  </si>
  <si>
    <t>WILLIAM WOODSMALL</t>
  </si>
  <si>
    <t>CO</t>
  </si>
  <si>
    <t>'045621</t>
  </si>
  <si>
    <t>HEATHER GESKE</t>
  </si>
  <si>
    <t>BARBARA SHEEHAN</t>
  </si>
  <si>
    <t>JOHN VENEZIA</t>
  </si>
  <si>
    <t>MO</t>
  </si>
  <si>
    <t>'045591</t>
  </si>
  <si>
    <t>CHRISTOPHER BROUSSEAU</t>
  </si>
  <si>
    <t>GILBERT GRAWEY</t>
  </si>
  <si>
    <t>WI</t>
  </si>
  <si>
    <t>KIMBERLY MCBRIDE</t>
  </si>
  <si>
    <t>'045603</t>
  </si>
  <si>
    <t>ANDREW CHOI</t>
  </si>
  <si>
    <t>MARIA BALDERAS</t>
  </si>
  <si>
    <t>'045896</t>
  </si>
  <si>
    <t>LENSIE GONZALEZ</t>
  </si>
  <si>
    <t>BASILISA ALE AYALA</t>
  </si>
  <si>
    <t>'043813</t>
  </si>
  <si>
    <t>VICTOR FUENTES</t>
  </si>
  <si>
    <t>GINA ILIOPOULOS</t>
  </si>
  <si>
    <t>CONNIE VOEGELE</t>
  </si>
  <si>
    <t>'043705</t>
  </si>
  <si>
    <t>MICHAEL DUNAVANT</t>
  </si>
  <si>
    <t>LINDA WALDING</t>
  </si>
  <si>
    <t>ELIAS PADILLA</t>
  </si>
  <si>
    <t>NM</t>
  </si>
  <si>
    <t>'045601</t>
  </si>
  <si>
    <t>CAROL FOLEY</t>
  </si>
  <si>
    <t>DORETHEA CONEDY</t>
  </si>
  <si>
    <t>GA</t>
  </si>
  <si>
    <t>'046113</t>
  </si>
  <si>
    <t>BUFFY FREDRIKSZ</t>
  </si>
  <si>
    <t>SOMPHETH VISAYSOUK</t>
  </si>
  <si>
    <t>'043625</t>
  </si>
  <si>
    <t>PATSAMON THANADABOUTH</t>
  </si>
  <si>
    <t>RICHARD WENZEL</t>
  </si>
  <si>
    <t>JUBER AYALA</t>
  </si>
  <si>
    <t>KIM PAVESE</t>
  </si>
  <si>
    <t>MARILYN SCHUMM</t>
  </si>
  <si>
    <t>'045607</t>
  </si>
  <si>
    <t>PAMELA DEATON</t>
  </si>
  <si>
    <t>PAMELA SCHIEWE</t>
  </si>
  <si>
    <t>'043739</t>
  </si>
  <si>
    <t>ANDREA PETRUNGARO</t>
  </si>
  <si>
    <t>RICHARD CHAMBERS</t>
  </si>
  <si>
    <t>ELLEN KENT</t>
  </si>
  <si>
    <t>'043589</t>
  </si>
  <si>
    <t>JOSE TORRES</t>
  </si>
  <si>
    <t>DAVID BERARDI</t>
  </si>
  <si>
    <t>FL</t>
  </si>
  <si>
    <t>'043638</t>
  </si>
  <si>
    <t>THOMAS PARDUE</t>
  </si>
  <si>
    <t>STEVE DOWD</t>
  </si>
  <si>
    <t>MARIA GOMEZ CAJIGAS</t>
  </si>
  <si>
    <t>'045709</t>
  </si>
  <si>
    <t>ESTHER HERRERA-LARSEN</t>
  </si>
  <si>
    <t>RAFFI ANTABLIAN</t>
  </si>
  <si>
    <t>MOHAMMAD KARIM</t>
  </si>
  <si>
    <t>LEONARD MAYS</t>
  </si>
  <si>
    <t>MD</t>
  </si>
  <si>
    <t>'043690</t>
  </si>
  <si>
    <t>THOMAS KUCAN</t>
  </si>
  <si>
    <t>KATHLEEN NOVAK</t>
  </si>
  <si>
    <t>'043758</t>
  </si>
  <si>
    <t>NASANDELGER ZANA</t>
  </si>
  <si>
    <t>HEIDI MARLIN</t>
  </si>
  <si>
    <t>CRAIG WALTER</t>
  </si>
  <si>
    <t>'045671</t>
  </si>
  <si>
    <t>ROBERT SHAPIRO</t>
  </si>
  <si>
    <t>JOLYNNE CLEVELAND</t>
  </si>
  <si>
    <t>'046015</t>
  </si>
  <si>
    <t>SANDRA SENTMAN</t>
  </si>
  <si>
    <t>ROBIN ANDERSON</t>
  </si>
  <si>
    <t>DANIEL SCHRIER</t>
  </si>
  <si>
    <t>DEAN LANOS</t>
  </si>
  <si>
    <t>SCOTT SCHOENKNECHT</t>
  </si>
  <si>
    <t>KADRUSE JAKUPI</t>
  </si>
  <si>
    <t>KATHLEEN WALTER</t>
  </si>
  <si>
    <t>VICTORIA MACKALL</t>
  </si>
  <si>
    <t>DEBORAH THOMPSON</t>
  </si>
  <si>
    <t>PATRICK IBARRA</t>
  </si>
  <si>
    <t>'045772</t>
  </si>
  <si>
    <t>JASON ROLLER</t>
  </si>
  <si>
    <t>MARCIA STROPE</t>
  </si>
  <si>
    <t>KARL KJELLSTRAND</t>
  </si>
  <si>
    <t>DOREEN KJELLSTRAND</t>
  </si>
  <si>
    <t>EDITA DEL MUNDO NANO</t>
  </si>
  <si>
    <t>BENJAMIN NANO</t>
  </si>
  <si>
    <t>GARY FULLETT</t>
  </si>
  <si>
    <t>CHARLES JOHNSON</t>
  </si>
  <si>
    <t>RENEE ADDICOTT</t>
  </si>
  <si>
    <t>BONNIE ALBERTS</t>
  </si>
  <si>
    <t>STEPHEN BEYER</t>
  </si>
  <si>
    <t>WILLIAM BARNETT</t>
  </si>
  <si>
    <t>JEANETTE IBARRA</t>
  </si>
  <si>
    <t>GAIL WATSON</t>
  </si>
  <si>
    <t>KATHRYN FABISIAK</t>
  </si>
  <si>
    <t>ELISABETH RADULESCU</t>
  </si>
  <si>
    <t>BRIAN PTASZEK</t>
  </si>
  <si>
    <t>NANCY AYRES</t>
  </si>
  <si>
    <t>VA</t>
  </si>
  <si>
    <t>ELSA DE NYSSCHEN</t>
  </si>
  <si>
    <t>WA</t>
  </si>
  <si>
    <t>KEVIN HARTMAN</t>
  </si>
  <si>
    <t>APRIL JASENEC</t>
  </si>
  <si>
    <t>VICTOR JASENEC</t>
  </si>
  <si>
    <t>JOHN SHANNON</t>
  </si>
  <si>
    <t>OK</t>
  </si>
  <si>
    <t>MICHAEL LILES</t>
  </si>
  <si>
    <t>REGINA CAPP</t>
  </si>
  <si>
    <t>CHARLES THOMAS</t>
  </si>
  <si>
    <t>LETITIA WAMBACH</t>
  </si>
  <si>
    <t>'045611</t>
  </si>
  <si>
    <t>FRANK LISKOVEC</t>
  </si>
  <si>
    <t>MIRSADA KISIJA</t>
  </si>
  <si>
    <t>NAGIB KISIJA</t>
  </si>
  <si>
    <t>RUSSELL CHRIST</t>
  </si>
  <si>
    <t>'041686</t>
  </si>
  <si>
    <t>DALE WALENGA</t>
  </si>
  <si>
    <t>MEGAN BRENNAN</t>
  </si>
  <si>
    <t>MANUEL NUNEZ</t>
  </si>
  <si>
    <t>JOSEPH FISCHER</t>
  </si>
  <si>
    <t>EMMA FISCHER</t>
  </si>
  <si>
    <t>PAUL WOLFE</t>
  </si>
  <si>
    <t>DENNIS SHOEMAKER</t>
  </si>
  <si>
    <t>APRIL NEWMAN</t>
  </si>
  <si>
    <t>Humana PDP 2019+ Level 15- 15/0</t>
  </si>
  <si>
    <t>DAVID SHULER</t>
  </si>
  <si>
    <t>MARTIN WAMBACH</t>
  </si>
  <si>
    <t>DEBORAH LILES</t>
  </si>
  <si>
    <t>STEVEN DELL</t>
  </si>
  <si>
    <t>'045717</t>
  </si>
  <si>
    <t>RONALD MAX</t>
  </si>
  <si>
    <t>BRETT CERVANTES</t>
  </si>
  <si>
    <t>KATHLEEN NUNEZ</t>
  </si>
  <si>
    <t>KURIAN KURIAN</t>
  </si>
  <si>
    <t>LOURDES GUERRERO</t>
  </si>
  <si>
    <t>JANET JOHNSON</t>
  </si>
  <si>
    <t>JAMES BARRY</t>
  </si>
  <si>
    <t>PATRICK REYNOLDS</t>
  </si>
  <si>
    <t>DAVID RODAK</t>
  </si>
  <si>
    <t>PETER CAPP</t>
  </si>
  <si>
    <t>NADINE BARRY</t>
  </si>
  <si>
    <t>MARGARET METZEN</t>
  </si>
  <si>
    <t>NISSIM NESHER</t>
  </si>
  <si>
    <t>ROSALOURDES MARTINEZ</t>
  </si>
  <si>
    <t>ROBERT POLETYNSKI</t>
  </si>
  <si>
    <t>SUE MOORE</t>
  </si>
  <si>
    <t>CLAUDE WALLACE</t>
  </si>
  <si>
    <t>NY</t>
  </si>
  <si>
    <t>BILLY HARRELL</t>
  </si>
  <si>
    <t>'046040</t>
  </si>
  <si>
    <t>DANIEL CARNEY</t>
  </si>
  <si>
    <t>ELSA RUIZ</t>
  </si>
  <si>
    <t>BERSCOTT RUIZ</t>
  </si>
  <si>
    <t>ELIZABETH FRANKENBACH</t>
  </si>
  <si>
    <t>GLORIA PAVLATOS</t>
  </si>
  <si>
    <t>PATRICIA BRADFORD</t>
  </si>
  <si>
    <t>ROXANNA GRIMES</t>
  </si>
  <si>
    <t>'045885</t>
  </si>
  <si>
    <t>CHAD BENDER</t>
  </si>
  <si>
    <t>AZAD TALABANI</t>
  </si>
  <si>
    <t>TANIOS CHAKCHAY</t>
  </si>
  <si>
    <t>'045966</t>
  </si>
  <si>
    <t>ANTONIA NEVAREZ</t>
  </si>
  <si>
    <t>PATRICIA CWICK</t>
  </si>
  <si>
    <t>DAVID ANGEL</t>
  </si>
  <si>
    <t>STACI BAKER</t>
  </si>
  <si>
    <t>JEFFREY MATOUS</t>
  </si>
  <si>
    <t>JEROME CWICK</t>
  </si>
  <si>
    <t>EILEEN BUZIL</t>
  </si>
  <si>
    <t>PAUL PONTICELLO</t>
  </si>
  <si>
    <t>SHARON PRIEGEL</t>
  </si>
  <si>
    <t>ALMA WEEMS</t>
  </si>
  <si>
    <t>RICHARD LORD</t>
  </si>
  <si>
    <t>SUSAN NIEHAUS</t>
  </si>
  <si>
    <t>RONALD NIEHAUS</t>
  </si>
  <si>
    <t>OZER DASDELEN</t>
  </si>
  <si>
    <t>FARIDA SAEED</t>
  </si>
  <si>
    <t>LEONIDA TAVAS SCOTT</t>
  </si>
  <si>
    <t>SUSAN BARCLAY</t>
  </si>
  <si>
    <t>MARK WACHOWICZ</t>
  </si>
  <si>
    <t>CHRISTINE SHAW</t>
  </si>
  <si>
    <t>JAMES TURK</t>
  </si>
  <si>
    <t>MOHAMMED SAEED</t>
  </si>
  <si>
    <t>MARILYN ELLERBY</t>
  </si>
  <si>
    <t>ANTHONY MITCHELL</t>
  </si>
  <si>
    <t>KY</t>
  </si>
  <si>
    <t>BONNIE GALE</t>
  </si>
  <si>
    <t>ALSCOTT RUIZ</t>
  </si>
  <si>
    <t>SUZANNE PTACK</t>
  </si>
  <si>
    <t>CELESTE BRACCO</t>
  </si>
  <si>
    <t>EMIL BRACCO</t>
  </si>
  <si>
    <t>SHARON HUBER</t>
  </si>
  <si>
    <t>Aetna MAPD NMO to MMO - 2025+ New Paper</t>
  </si>
  <si>
    <t>THOMAS SMITH</t>
  </si>
  <si>
    <t>PA</t>
  </si>
  <si>
    <t>'043611</t>
  </si>
  <si>
    <t>TIMOTHY POWERS</t>
  </si>
  <si>
    <t>Aetna MAPD NMO to MMO - 2025+ New E-App</t>
  </si>
  <si>
    <t>WILLIAM RUSSELL</t>
  </si>
  <si>
    <t>'045614</t>
  </si>
  <si>
    <t>DEBORAH POWERS</t>
  </si>
  <si>
    <t>JAMIE VALENZUELA</t>
  </si>
  <si>
    <t>WV</t>
  </si>
  <si>
    <t>'043679</t>
  </si>
  <si>
    <t>DEBORAH INSKIPT</t>
  </si>
  <si>
    <t>DEBRA JOHNSON</t>
  </si>
  <si>
    <t>RONALD CROTEAU</t>
  </si>
  <si>
    <t>DEBRA CROTEAU</t>
  </si>
  <si>
    <t>MARY BROWNING</t>
  </si>
  <si>
    <t>BIPIN SHAH</t>
  </si>
  <si>
    <t>'045670</t>
  </si>
  <si>
    <t>STEVEN BRANDT</t>
  </si>
  <si>
    <t>PAMELA DERR</t>
  </si>
  <si>
    <t>MARY WOLFGRAM</t>
  </si>
  <si>
    <t>'043714</t>
  </si>
  <si>
    <t>BRIAN STROHMAN</t>
  </si>
  <si>
    <t>MARK MOLLOHAN</t>
  </si>
  <si>
    <t>RICKY STEINMAIER</t>
  </si>
  <si>
    <t>'045622</t>
  </si>
  <si>
    <t>JACOB YALE</t>
  </si>
  <si>
    <t>NEELA SHAH</t>
  </si>
  <si>
    <t>LUCIA PIOPPO</t>
  </si>
  <si>
    <t>SHARON BRADEN</t>
  </si>
  <si>
    <t>TERRY WILLIAMSON</t>
  </si>
  <si>
    <t>BRENDA TROUTMAN</t>
  </si>
  <si>
    <t>NA</t>
  </si>
  <si>
    <t>DEBORAH JOHNSON</t>
  </si>
  <si>
    <t>JOSEPH MARKOTA</t>
  </si>
  <si>
    <t>DONALD GARRETT</t>
  </si>
  <si>
    <t>DANIEL CARLSTROM</t>
  </si>
  <si>
    <t>RICHARD CIRRICIONE</t>
  </si>
  <si>
    <t>KAREN CAMP</t>
  </si>
  <si>
    <t>KATHLEEN CAHILL</t>
  </si>
  <si>
    <t>DENISE MCFARLAND</t>
  </si>
  <si>
    <t>'043832</t>
  </si>
  <si>
    <t>CAROL FRITZ</t>
  </si>
  <si>
    <t>MARJORIE WARRINGTON</t>
  </si>
  <si>
    <t>IA</t>
  </si>
  <si>
    <t>ZIM RATTANAVONGKOTH</t>
  </si>
  <si>
    <t>MARY BONTEKOE</t>
  </si>
  <si>
    <t>VICTORIA WHITE</t>
  </si>
  <si>
    <t>JAMES HILGART</t>
  </si>
  <si>
    <t>SONIA MARQUEZ</t>
  </si>
  <si>
    <t>IRENE THOMAS</t>
  </si>
  <si>
    <t>PHYLLIS KIMBLE</t>
  </si>
  <si>
    <t>DAVID KIMBLE</t>
  </si>
  <si>
    <t>ISIS VICORY HAYES</t>
  </si>
  <si>
    <t>DOYLE KEARNS</t>
  </si>
  <si>
    <t>ELIZABETH SMITH</t>
  </si>
  <si>
    <t>ROBERT SMITH</t>
  </si>
  <si>
    <t>DANIEL RHEINSCHELD</t>
  </si>
  <si>
    <t>DENISE BREIDE</t>
  </si>
  <si>
    <t>'043686</t>
  </si>
  <si>
    <t>SCOTT AGUGLIA</t>
  </si>
  <si>
    <t>REGINA JOHNSON</t>
  </si>
  <si>
    <t>JIMMY MOORE</t>
  </si>
  <si>
    <t>JUDY PHELPS</t>
  </si>
  <si>
    <t>AL</t>
  </si>
  <si>
    <t>Aetna MAPD NMO to GMO - 4-1-23+  New E-App</t>
  </si>
  <si>
    <t>DARYL JOHNSON</t>
  </si>
  <si>
    <t>BRENDA HARRIS</t>
  </si>
  <si>
    <t>MARK LYKINS</t>
  </si>
  <si>
    <t>KENNETH CRAVER</t>
  </si>
  <si>
    <t>TAMARA FREDERKING</t>
  </si>
  <si>
    <t>JACQUELINE LOPUSHONSKY</t>
  </si>
  <si>
    <t>CRAIG GEIGER</t>
  </si>
  <si>
    <t>KATHY GEIGER</t>
  </si>
  <si>
    <t>PEGGIE RICE</t>
  </si>
  <si>
    <t>CHIANITA HARRELL</t>
  </si>
  <si>
    <t>Active</t>
  </si>
  <si>
    <t>JACOB SCHAFFNER</t>
  </si>
  <si>
    <t>'043786</t>
  </si>
  <si>
    <t>MARGARET SMITH</t>
  </si>
  <si>
    <t>JOHN ROBERT OSTERKAMP</t>
  </si>
  <si>
    <t>SD</t>
  </si>
  <si>
    <t>SUSAN FRAZER</t>
  </si>
  <si>
    <t>DIANN KAPPING</t>
  </si>
  <si>
    <t>MARSHA KURTH</t>
  </si>
  <si>
    <t>KENNETH LEROY</t>
  </si>
  <si>
    <t>'045639</t>
  </si>
  <si>
    <t>STEVEN WERNER</t>
  </si>
  <si>
    <t>COBERN ROBERTS</t>
  </si>
  <si>
    <t>TIM PRICE</t>
  </si>
  <si>
    <t>DURWIN FREDERKING</t>
  </si>
  <si>
    <t>DAVID ZINDER</t>
  </si>
  <si>
    <t>JOSEPH JACKSON</t>
  </si>
  <si>
    <t>KATHERINE GIBBS</t>
  </si>
  <si>
    <t>SUSAN PRICE</t>
  </si>
  <si>
    <t>DAVE ULERY</t>
  </si>
  <si>
    <t>MICHAEL HUBERTY</t>
  </si>
  <si>
    <t>CURT HAGEMEIER</t>
  </si>
  <si>
    <t>HAITHAM MASRI</t>
  </si>
  <si>
    <t>VALERIE PEARSON</t>
  </si>
  <si>
    <t>RICHARD LEFEVER</t>
  </si>
  <si>
    <t>LARRY LINDHURST</t>
  </si>
  <si>
    <t>VIOLET RIGSBY</t>
  </si>
  <si>
    <t>CATHERINE LEFEVER</t>
  </si>
  <si>
    <t>CARL MYERS</t>
  </si>
  <si>
    <t>'045428</t>
  </si>
  <si>
    <t>NATHAN WELLER</t>
  </si>
  <si>
    <t>JUDITH TRIMBLE</t>
  </si>
  <si>
    <t>CANDY HOOKER</t>
  </si>
  <si>
    <t>CINDY MCENTIRE</t>
  </si>
  <si>
    <t>JUDY MYERS</t>
  </si>
  <si>
    <t>BEVERLY HLAUDY</t>
  </si>
  <si>
    <t>DAVID SEVESKA</t>
  </si>
  <si>
    <t>AZ</t>
  </si>
  <si>
    <t>SUSAN SEVESKA</t>
  </si>
  <si>
    <t>GARY GILFILEN</t>
  </si>
  <si>
    <t>LESTER REISCHL</t>
  </si>
  <si>
    <t>JEANNETTE SCOTT</t>
  </si>
  <si>
    <t>MARJORIE CAMPBELL</t>
  </si>
  <si>
    <t>KAREN SHEPHERD</t>
  </si>
  <si>
    <t>DIANE WENDLER</t>
  </si>
  <si>
    <t>MARGUERITE ALSTON</t>
  </si>
  <si>
    <t>THOMAS THOMPSON</t>
  </si>
  <si>
    <t>DONNA ROLLS</t>
  </si>
  <si>
    <t>MICHAEL DUGAN</t>
  </si>
  <si>
    <t>NJ</t>
  </si>
  <si>
    <t>'043585</t>
  </si>
  <si>
    <t>PETER RICHTER</t>
  </si>
  <si>
    <t>WILLIAM ALTMAN</t>
  </si>
  <si>
    <t>CHARLES ZINDARS</t>
  </si>
  <si>
    <t>KEVIN SIMMONS</t>
  </si>
  <si>
    <t>BRIANNA BROWN</t>
  </si>
  <si>
    <t>KENNETH BARTO</t>
  </si>
  <si>
    <t>ANTHONY MORAN</t>
  </si>
  <si>
    <t>JONATHAN NEWELL</t>
  </si>
  <si>
    <t>MARCIA OSCHE</t>
  </si>
  <si>
    <t>CHRISTENA SEYBERT</t>
  </si>
  <si>
    <t>VALERIE JONES</t>
  </si>
  <si>
    <t>Aetna MAPD NMO to MMO - 2025+ Replace E-App</t>
  </si>
  <si>
    <t>11/12 PRORATE</t>
  </si>
  <si>
    <t>JANE ORLUSKE</t>
  </si>
  <si>
    <t>SHEILA POWERS</t>
  </si>
  <si>
    <t>THOMAS POWERS</t>
  </si>
  <si>
    <t>JEANNETTE KOCH</t>
  </si>
  <si>
    <t>DALLAS KOCH</t>
  </si>
  <si>
    <t>DURAND DRESSEL</t>
  </si>
  <si>
    <t>JOYCE COLCLASURE</t>
  </si>
  <si>
    <t>BRENDA FURBUSH</t>
  </si>
  <si>
    <t>'046034</t>
  </si>
  <si>
    <t>INES BERG</t>
  </si>
  <si>
    <t>KERI DOLAN</t>
  </si>
  <si>
    <t>MICHAEL LABOCKI</t>
  </si>
  <si>
    <t>LEAH INFANTE</t>
  </si>
  <si>
    <t>NADIA LABOCKI</t>
  </si>
  <si>
    <t>JEFFERY ALVIS</t>
  </si>
  <si>
    <t>RAYMOND STIFF</t>
  </si>
  <si>
    <t>KENNETH BRANDT</t>
  </si>
  <si>
    <t>ROBERT HANCOCK</t>
  </si>
  <si>
    <t>LINDA HARMS</t>
  </si>
  <si>
    <t>ANNETTE HANCOCK</t>
  </si>
  <si>
    <t>MICHAEL NOE</t>
  </si>
  <si>
    <t>MARLA RIECHES</t>
  </si>
  <si>
    <t>MOHAMMAD JALLAQ</t>
  </si>
  <si>
    <t>PHYLLIS SMITH</t>
  </si>
  <si>
    <t>JANET MILLER</t>
  </si>
  <si>
    <t>Aetna MAPD NMO to MMO - 2025+ Replace Paper</t>
  </si>
  <si>
    <t>KATHRYN BRANDT</t>
  </si>
  <si>
    <t>JUDITH SWICK</t>
  </si>
  <si>
    <t>ELVA RAMSER</t>
  </si>
  <si>
    <t>KENNETH WEBBER</t>
  </si>
  <si>
    <t>'045634</t>
  </si>
  <si>
    <t>PATRICIA LONG</t>
  </si>
  <si>
    <t>SELENA MAYNIE</t>
  </si>
  <si>
    <t>'046035</t>
  </si>
  <si>
    <t>JAMES ALLEN</t>
  </si>
  <si>
    <t>MORRIS MASON</t>
  </si>
  <si>
    <t>LOREN HARMS</t>
  </si>
  <si>
    <t>STANLEY SWICK</t>
  </si>
  <si>
    <t>LINDA WHITLEY</t>
  </si>
  <si>
    <t>'045421</t>
  </si>
  <si>
    <t>MATTHEW SHERMAN</t>
  </si>
  <si>
    <t>ORVILLE BARRINGER</t>
  </si>
  <si>
    <t>DALE ALLEN</t>
  </si>
  <si>
    <t>DALE YOUNG</t>
  </si>
  <si>
    <t>ROBERT DE KOLD</t>
  </si>
  <si>
    <t>TAMMY LUTZ</t>
  </si>
  <si>
    <t>MELVIN RIECHES</t>
  </si>
  <si>
    <t>DENNIS BRICKLEY</t>
  </si>
  <si>
    <t>JAN ALVIS</t>
  </si>
  <si>
    <t>RETTA SHIVELY</t>
  </si>
  <si>
    <t>TIMOTHY LESHER</t>
  </si>
  <si>
    <t>BORKA STOJILJKOVIC</t>
  </si>
  <si>
    <t>CECILIA LEATHEM</t>
  </si>
  <si>
    <t>'045609</t>
  </si>
  <si>
    <t>MURRAY STERNER</t>
  </si>
  <si>
    <t>LOIS SIMMONS</t>
  </si>
  <si>
    <t>PERICA STOJILJKOVIC</t>
  </si>
  <si>
    <t>DOUGLAS REED</t>
  </si>
  <si>
    <t>LYNETTE MASON</t>
  </si>
  <si>
    <t>DIANA LAPE</t>
  </si>
  <si>
    <t>KIM SKAGGS</t>
  </si>
  <si>
    <t>GEORGIA BURGESS</t>
  </si>
  <si>
    <t>GARY HANSEN</t>
  </si>
  <si>
    <t>'043637</t>
  </si>
  <si>
    <t>CHRISTIAN TAUGNER</t>
  </si>
  <si>
    <t>BARBARA RAMSEY</t>
  </si>
  <si>
    <t>MARIANNE ALLERS</t>
  </si>
  <si>
    <t>HELGA MARI</t>
  </si>
  <si>
    <t>MARLA WIENKE</t>
  </si>
  <si>
    <t>DOUGLAS RICHARDSON</t>
  </si>
  <si>
    <t>GAYLE KIRSCH</t>
  </si>
  <si>
    <t>THERESE STREZO</t>
  </si>
  <si>
    <t>LARRY WINN</t>
  </si>
  <si>
    <t>KEVIN BOHANNON</t>
  </si>
  <si>
    <t>CHRISTINE WITT</t>
  </si>
  <si>
    <t>AUDREY DEMOR</t>
  </si>
  <si>
    <t>ROBERT MCCANDLESS</t>
  </si>
  <si>
    <t>JENNIFER HATCH</t>
  </si>
  <si>
    <t>UHC MA Direct 2025 New Full</t>
  </si>
  <si>
    <t>CHARLOTTE WILSON</t>
  </si>
  <si>
    <t>BARBARA DUNLAP</t>
  </si>
  <si>
    <t>VIRGINIA BURNS</t>
  </si>
  <si>
    <t>UHC MA Direct 2025 New Full - Other</t>
  </si>
  <si>
    <t>STANTON HEIMSATH</t>
  </si>
  <si>
    <t>DAVID HILFIKER</t>
  </si>
  <si>
    <t>'046026</t>
  </si>
  <si>
    <t>JARED KINYUA</t>
  </si>
  <si>
    <t>KAREN SCHWIEDER</t>
  </si>
  <si>
    <t>'043713</t>
  </si>
  <si>
    <t>JOEL LEE</t>
  </si>
  <si>
    <t>TED STAUBER</t>
  </si>
  <si>
    <t>DARLENE WILKERSON</t>
  </si>
  <si>
    <t>NANCY COOPER</t>
  </si>
  <si>
    <t>DANIEL SUMNER</t>
  </si>
  <si>
    <t>DONNA FROSS</t>
  </si>
  <si>
    <t>SOUNTHONE PHOUANGPHIDOK</t>
  </si>
  <si>
    <t>JEANETTE ABBOTT</t>
  </si>
  <si>
    <t>'043867</t>
  </si>
  <si>
    <t>RYAN STOCKER</t>
  </si>
  <si>
    <t>CAROLINE LAGUIMON</t>
  </si>
  <si>
    <t>UHC MAPD Street payable to upline- 2025 Replace</t>
  </si>
  <si>
    <t>1/12 PRORATE</t>
  </si>
  <si>
    <t>UHC MA Direct 2025 New Initial Prorated - Other</t>
  </si>
  <si>
    <t>KHAMTANH PHOUANGPHIDOK</t>
  </si>
  <si>
    <t>JAMES GRAHAM</t>
  </si>
  <si>
    <t>MICHELLE PERRY</t>
  </si>
  <si>
    <t>CA</t>
  </si>
  <si>
    <t>AMINA DURRANI</t>
  </si>
  <si>
    <t>ROBERT ERTTER</t>
  </si>
  <si>
    <t>JOHN GERHARDT</t>
  </si>
  <si>
    <t>SABRINA AMAYA</t>
  </si>
  <si>
    <t>ROSEANNE KEEFE</t>
  </si>
  <si>
    <t>SHARON LONG</t>
  </si>
  <si>
    <t>LAWRENCE COMPTON</t>
  </si>
  <si>
    <t>12/12 PRORATE</t>
  </si>
  <si>
    <t>LINDA IRWIN</t>
  </si>
  <si>
    <t>UHC MA Direct 2025 New Initial Prorated</t>
  </si>
  <si>
    <t>BONITA ASCHOFF</t>
  </si>
  <si>
    <t>TODD MARKO</t>
  </si>
  <si>
    <t>CORNELIUS HACKETT</t>
  </si>
  <si>
    <t>SUZAN BOWEN</t>
  </si>
  <si>
    <t>KITTY CRANMER</t>
  </si>
  <si>
    <t>PETER MILOSAVLJEVIC</t>
  </si>
  <si>
    <t>EVELYN HARRELL</t>
  </si>
  <si>
    <t>INPENG OBMALAY</t>
  </si>
  <si>
    <t>BONNIE ONEAL</t>
  </si>
  <si>
    <t>DAVID PRICE</t>
  </si>
  <si>
    <t>MARK BERNARDI</t>
  </si>
  <si>
    <t>MARIA VALENZUELA</t>
  </si>
  <si>
    <t>RONALD MARKLE</t>
  </si>
  <si>
    <t>ROGER SEEFELDT</t>
  </si>
  <si>
    <t>MARIA DENNIE</t>
  </si>
  <si>
    <t>KATHY PERKINS</t>
  </si>
  <si>
    <t>UHC AARP Med Supp 2025 OK -Area 3 Plan F G - int repl</t>
  </si>
  <si>
    <t>TIMOTHY BUSCHING</t>
  </si>
  <si>
    <t>UHC AARP Med Supp 2025+ IN All Plans</t>
  </si>
  <si>
    <t>LAURIE WELCH</t>
  </si>
  <si>
    <t>ELAINE OBRIEN</t>
  </si>
  <si>
    <t>UHC AARP Med Supp 2026+ IL Plan F G</t>
  </si>
  <si>
    <t>MARY EDWARDS</t>
  </si>
  <si>
    <t>UHC AARP Med Supp 2025+ OH Plan BCD F G</t>
  </si>
  <si>
    <t>JANE MARTIN</t>
  </si>
  <si>
    <t>CB</t>
  </si>
  <si>
    <t>DENISE LANDER</t>
  </si>
  <si>
    <t>CHARGEBACK</t>
  </si>
  <si>
    <t>ELISABETH GILBERT</t>
  </si>
  <si>
    <t>MYRON GILBERT</t>
  </si>
  <si>
    <t>DONALD BLAZIER</t>
  </si>
  <si>
    <t>N ANDERSEN</t>
  </si>
  <si>
    <t>LUCILLE SHAFFER</t>
  </si>
  <si>
    <t>LINDA WEATHERFORD</t>
  </si>
  <si>
    <t>STANLEY DICKSON</t>
  </si>
  <si>
    <t>SOCORRO LOPEZ</t>
  </si>
  <si>
    <t>MARCIA THOMAS</t>
  </si>
  <si>
    <t>HOWARD THOMAS</t>
  </si>
  <si>
    <t>DAWN WILSON</t>
  </si>
  <si>
    <t>KATHLEEN DEERE</t>
  </si>
  <si>
    <t>JACQUELYNN BRIGGS</t>
  </si>
  <si>
    <t>ABDUL GILANI</t>
  </si>
  <si>
    <t>DANIEL KEITH</t>
  </si>
  <si>
    <t>MT</t>
  </si>
  <si>
    <t>RICHARD BRITANIK</t>
  </si>
  <si>
    <t>ROSEMARIE BRITANIK</t>
  </si>
  <si>
    <t>ALICIA ALTON</t>
  </si>
  <si>
    <t>LONNY BERKELAND</t>
  </si>
  <si>
    <t>WILLIAM MELANSON</t>
  </si>
  <si>
    <t>LYNN ODDI</t>
  </si>
  <si>
    <t>REBECCA LOPEZ</t>
  </si>
  <si>
    <t>AARON STEELE</t>
  </si>
  <si>
    <t>TN</t>
  </si>
  <si>
    <t>DAVID KARCHNER</t>
  </si>
  <si>
    <t>UHC MA Direct 2024 New Full</t>
  </si>
  <si>
    <t>UHC MAPD Street payable to upline - 2025 New</t>
  </si>
  <si>
    <t>GARY MONTOYA</t>
  </si>
  <si>
    <t>MARANDA DARRIN</t>
  </si>
  <si>
    <t>UHC MAPD Street payable to upline- 2025 Pro New</t>
  </si>
  <si>
    <t>UHC MA Direct 2025 New Prorated - Other</t>
  </si>
  <si>
    <t>JON TUBBS</t>
  </si>
  <si>
    <t>RICHARD DORSETT</t>
  </si>
  <si>
    <t>ANDREW BROWN</t>
  </si>
  <si>
    <t>00000076874F</t>
  </si>
  <si>
    <t>00000813641I</t>
  </si>
  <si>
    <t>00000953613I</t>
  </si>
  <si>
    <t>00002615264K</t>
  </si>
  <si>
    <t>00003895929K</t>
  </si>
  <si>
    <t>00006119248K</t>
  </si>
  <si>
    <t>00006948323K</t>
  </si>
  <si>
    <t>00008639764K</t>
  </si>
  <si>
    <t>00009342543K</t>
  </si>
  <si>
    <t>00010379275K</t>
  </si>
  <si>
    <t>00010858562K</t>
  </si>
  <si>
    <t>00011324892K</t>
  </si>
  <si>
    <t>00011569589K</t>
  </si>
  <si>
    <t>00011760914K</t>
  </si>
  <si>
    <t>00011826238K</t>
  </si>
  <si>
    <t>00011949132K</t>
  </si>
  <si>
    <t>00013152316K</t>
  </si>
  <si>
    <t>00013168216K</t>
  </si>
  <si>
    <t>00013637180K</t>
  </si>
  <si>
    <t>00013740734K</t>
  </si>
  <si>
    <t>00014224678K</t>
  </si>
  <si>
    <t>00014500730K</t>
  </si>
  <si>
    <t>00014797937K</t>
  </si>
  <si>
    <t>00015293185K</t>
  </si>
  <si>
    <t>00015547179K</t>
  </si>
  <si>
    <t>00016291752K</t>
  </si>
  <si>
    <t>00017506846K</t>
  </si>
  <si>
    <t>00018138991K</t>
  </si>
  <si>
    <t>00018821790K</t>
  </si>
  <si>
    <t>00019356804K</t>
  </si>
  <si>
    <t>00019625979K</t>
  </si>
  <si>
    <t>00020136249K</t>
  </si>
  <si>
    <t>00021100644K</t>
  </si>
  <si>
    <t>00021696309K</t>
  </si>
  <si>
    <t>00021732067K</t>
  </si>
  <si>
    <t>00021795874K</t>
  </si>
  <si>
    <t>00021832888K</t>
  </si>
  <si>
    <t>00022080432K</t>
  </si>
  <si>
    <t>00022118577K</t>
  </si>
  <si>
    <t>00022178549K</t>
  </si>
  <si>
    <t>00022444379K</t>
  </si>
  <si>
    <t>00022484923K</t>
  </si>
  <si>
    <t>00022523606K</t>
  </si>
  <si>
    <t>00022524693K</t>
  </si>
  <si>
    <t>00022550284K</t>
  </si>
  <si>
    <t>00022558806K</t>
  </si>
  <si>
    <t>00022578716K</t>
  </si>
  <si>
    <t>00022592167K</t>
  </si>
  <si>
    <t>00022778539K</t>
  </si>
  <si>
    <t>00023880130K</t>
  </si>
  <si>
    <t>00024215496K</t>
  </si>
  <si>
    <t>00024315197K</t>
  </si>
  <si>
    <t>00024409324K</t>
  </si>
  <si>
    <t>00025112010K</t>
  </si>
  <si>
    <t>00025113642K</t>
  </si>
  <si>
    <t>00025113716K</t>
  </si>
  <si>
    <t>00025114007K</t>
  </si>
  <si>
    <t>00025114587K</t>
  </si>
  <si>
    <t>00025119003K</t>
  </si>
  <si>
    <t>00025120658K</t>
  </si>
  <si>
    <t>00025121058K</t>
  </si>
  <si>
    <t>00025121535K</t>
  </si>
  <si>
    <t>00025125369K</t>
  </si>
  <si>
    <t>00025126668K</t>
  </si>
  <si>
    <t>00025127323K</t>
  </si>
  <si>
    <t>00025128736K</t>
  </si>
  <si>
    <t>00025129194K</t>
  </si>
  <si>
    <t>00025129562K</t>
  </si>
  <si>
    <t>00025129911K</t>
  </si>
  <si>
    <t>00025130497K</t>
  </si>
  <si>
    <t>00025130731K</t>
  </si>
  <si>
    <t>00025131435K</t>
  </si>
  <si>
    <t>00025131706K</t>
  </si>
  <si>
    <t>00025134124K</t>
  </si>
  <si>
    <t>00025136212K</t>
  </si>
  <si>
    <t>00025141127K</t>
  </si>
  <si>
    <t>00025144674K</t>
  </si>
  <si>
    <t>00025151536K</t>
  </si>
  <si>
    <t>00025152988K</t>
  </si>
  <si>
    <t>00025153222K</t>
  </si>
  <si>
    <t>00025154970K</t>
  </si>
  <si>
    <t>00025156558K</t>
  </si>
  <si>
    <t>00025162986K</t>
  </si>
  <si>
    <t>00025163433K</t>
  </si>
  <si>
    <t>00025165726K</t>
  </si>
  <si>
    <t>00025166266K</t>
  </si>
  <si>
    <t>00025170763K</t>
  </si>
  <si>
    <t>00025171452K</t>
  </si>
  <si>
    <t>00025174478K</t>
  </si>
  <si>
    <t>00025176560K</t>
  </si>
  <si>
    <t>00025177893K</t>
  </si>
  <si>
    <t>00025179995K</t>
  </si>
  <si>
    <t>00025180643K</t>
  </si>
  <si>
    <t>00025180774K</t>
  </si>
  <si>
    <t>00025183368K</t>
  </si>
  <si>
    <t>00025183545K</t>
  </si>
  <si>
    <t>00025183765K</t>
  </si>
  <si>
    <t>00025184951K</t>
  </si>
  <si>
    <t>00025185749K</t>
  </si>
  <si>
    <t>00025186224K</t>
  </si>
  <si>
    <t>00025187396K</t>
  </si>
  <si>
    <t>00025187744KPDP</t>
  </si>
  <si>
    <t>00025187845K</t>
  </si>
  <si>
    <t>00025189228K</t>
  </si>
  <si>
    <t>00025191051K</t>
  </si>
  <si>
    <t>00025196061K</t>
  </si>
  <si>
    <t>00025199148K</t>
  </si>
  <si>
    <t>00025200030K</t>
  </si>
  <si>
    <t>00025201461K</t>
  </si>
  <si>
    <t>00025203634K</t>
  </si>
  <si>
    <t>00025204130K</t>
  </si>
  <si>
    <t>00025204605K</t>
  </si>
  <si>
    <t>00025205159K</t>
  </si>
  <si>
    <t>00025205339K</t>
  </si>
  <si>
    <t>00025208590K</t>
  </si>
  <si>
    <t>00025209167K</t>
  </si>
  <si>
    <t>00025209547K</t>
  </si>
  <si>
    <t>00025210243K</t>
  </si>
  <si>
    <t>00025210273K</t>
  </si>
  <si>
    <t>00025211384K</t>
  </si>
  <si>
    <t>00025217831K</t>
  </si>
  <si>
    <t>00025220189K</t>
  </si>
  <si>
    <t>00025221987K</t>
  </si>
  <si>
    <t>00025222039K</t>
  </si>
  <si>
    <t>00025225992K</t>
  </si>
  <si>
    <t>00025228149K</t>
  </si>
  <si>
    <t>00025236212K</t>
  </si>
  <si>
    <t>00025236228K</t>
  </si>
  <si>
    <t>00025237687K</t>
  </si>
  <si>
    <t>00025238125K</t>
  </si>
  <si>
    <t>00025240003K</t>
  </si>
  <si>
    <t>00025240178K</t>
  </si>
  <si>
    <t>00025242191K</t>
  </si>
  <si>
    <t>00025245679K</t>
  </si>
  <si>
    <t>00025246641K</t>
  </si>
  <si>
    <t>00025247341K</t>
  </si>
  <si>
    <t>00025252002K</t>
  </si>
  <si>
    <t>00025254604K</t>
  </si>
  <si>
    <t>00025262126K</t>
  </si>
  <si>
    <t>00025263328K</t>
  </si>
  <si>
    <t>00025265236K</t>
  </si>
  <si>
    <t>00025265807K</t>
  </si>
  <si>
    <t>00025266330K</t>
  </si>
  <si>
    <t>00025267289K</t>
  </si>
  <si>
    <t>00025268374K</t>
  </si>
  <si>
    <t>00025270181K</t>
  </si>
  <si>
    <t>00025272360K</t>
  </si>
  <si>
    <t>00025273977K</t>
  </si>
  <si>
    <t>00025274180K</t>
  </si>
  <si>
    <t>00025279680K</t>
  </si>
  <si>
    <t>00025282886K</t>
  </si>
  <si>
    <t>00025284884K</t>
  </si>
  <si>
    <t>00025284991K</t>
  </si>
  <si>
    <t>00025285582K</t>
  </si>
  <si>
    <t>00025286207K</t>
  </si>
  <si>
    <t>00025286776K</t>
  </si>
  <si>
    <t>00025288608K</t>
  </si>
  <si>
    <t>00025289285K</t>
  </si>
  <si>
    <t>102040827300A</t>
  </si>
  <si>
    <t>102055440700A</t>
  </si>
  <si>
    <t>102105930700A</t>
  </si>
  <si>
    <t>A03162960</t>
  </si>
  <si>
    <t>A04380071</t>
  </si>
  <si>
    <t>A04382391</t>
  </si>
  <si>
    <t>A04382473</t>
  </si>
  <si>
    <t>A04384494</t>
  </si>
  <si>
    <t>A04384658</t>
  </si>
  <si>
    <t>Aetna MAPD OVR 2025</t>
  </si>
  <si>
    <t>Humana MAPD OVR 2025</t>
  </si>
  <si>
    <t>Humana PDP 2025!</t>
  </si>
  <si>
    <t>UHC AARP MS PA Area 2- Plan N</t>
  </si>
  <si>
    <t>UHC MAPD Ovr 2025</t>
  </si>
  <si>
    <t>UHC MAPD 2025*</t>
  </si>
  <si>
    <t>UHC 2025</t>
  </si>
  <si>
    <t>[%/$=626][prorate=7/12]</t>
  </si>
  <si>
    <t>[%/$=313][prorate=8/12]</t>
  </si>
  <si>
    <t>[%/$=313][prorate=6/12]</t>
  </si>
  <si>
    <t>[%/$=313][prorate=1/12]</t>
  </si>
  <si>
    <t>[%/$=313][prorate=2/12]</t>
  </si>
  <si>
    <t>00023414273K</t>
  </si>
  <si>
    <t>00015059032K</t>
  </si>
  <si>
    <t>00001650602K</t>
  </si>
  <si>
    <t>00010780651K</t>
  </si>
  <si>
    <t>00010781791K</t>
  </si>
  <si>
    <t>00013001577K</t>
  </si>
  <si>
    <t>00018944104K</t>
  </si>
  <si>
    <t>00024000472K</t>
  </si>
  <si>
    <t>00024073748K</t>
  </si>
  <si>
    <t>00024267930K</t>
  </si>
  <si>
    <t>00024458012K</t>
  </si>
  <si>
    <t>00024469640K</t>
  </si>
  <si>
    <t>00024835556K</t>
  </si>
  <si>
    <t>00025048066K</t>
  </si>
  <si>
    <t>00017029001KA</t>
  </si>
  <si>
    <t>00024566670KPDP</t>
  </si>
  <si>
    <t>Main Line Benefits</t>
  </si>
  <si>
    <t>UHC AARP Med Supp 2025 OK -Area 3 Plan F G 90%</t>
  </si>
  <si>
    <t>926202494OV</t>
  </si>
  <si>
    <t>936896337OV</t>
  </si>
  <si>
    <t>00001650602KCB</t>
  </si>
  <si>
    <t>00010780651KCB</t>
  </si>
  <si>
    <t>00010781791KCB</t>
  </si>
  <si>
    <t>00013001577KCB</t>
  </si>
  <si>
    <t>00015059032KPC</t>
  </si>
  <si>
    <t>00017029001KACB</t>
  </si>
  <si>
    <t>00018944104KCB</t>
  </si>
  <si>
    <t>00023414273KPC</t>
  </si>
  <si>
    <t>00024000472KCB</t>
  </si>
  <si>
    <t>00024073748KCB</t>
  </si>
  <si>
    <t>00024215496KCB</t>
  </si>
  <si>
    <t>00024267930KCB</t>
  </si>
  <si>
    <t>00024458012KCB</t>
  </si>
  <si>
    <t>00024469640KCB</t>
  </si>
  <si>
    <t>00024566670KPDPCB</t>
  </si>
  <si>
    <t>00024835556KCB</t>
  </si>
  <si>
    <t>00025048066KCB</t>
  </si>
  <si>
    <t>101071790200CB</t>
  </si>
  <si>
    <t>101084493300CB</t>
  </si>
  <si>
    <t>101137276600CB</t>
  </si>
  <si>
    <t>101215765400CB</t>
  </si>
  <si>
    <t>101626134200CB</t>
  </si>
  <si>
    <t>101974872600PC</t>
  </si>
  <si>
    <t>102037220700CB</t>
  </si>
  <si>
    <t>102168269300CB</t>
  </si>
  <si>
    <t>134193543OVPC</t>
  </si>
  <si>
    <t>134193543PC</t>
  </si>
  <si>
    <t>913275310OVPC</t>
  </si>
  <si>
    <t>913275310PC</t>
  </si>
  <si>
    <t>924420238OVPC</t>
  </si>
  <si>
    <t>924420238PC</t>
  </si>
  <si>
    <t>926230943CB</t>
  </si>
  <si>
    <t>926230943OVCB</t>
  </si>
  <si>
    <t>951850009OVPC</t>
  </si>
  <si>
    <t>951850009PC</t>
  </si>
  <si>
    <t>966429446CB</t>
  </si>
  <si>
    <t>972513660CB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</si>
</sst>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;[Red]\-&quot;$&quot;#,##0.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8">
    <xf numFmtId="0" fontId="0" fillId="0" borderId="0" xfId="0"/>
    <xf numFmtId="14" fontId="0" fillId="0" borderId="0" xfId="0" applyNumberFormat="1"/>
    <xf numFmtId="164" fontId="0" fillId="0" borderId="0" xfId="0" applyNumberFormat="1"/>
    <xf numFmtId="10" fontId="0" fillId="0" borderId="0" xfId="0" applyNumberFormat="1"/>
    <xf numFmtId="0" fontId="0" fillId="33" borderId="0" xfId="0" applyFill="1"/>
    <xf numFmtId="14" fontId="0" fillId="33" borderId="0" xfId="0" applyNumberFormat="1" applyFill="1"/>
    <xf numFmtId="164" fontId="0" fillId="33" borderId="0" xfId="0" applyNumberFormat="1" applyFill="1"/>
    <xf numFmtId="10" fontId="0" fillId="33" borderId="0" xfId="0" applyNumberFormat="1" applyFill="1"/>
    <xf numFmtId="1" fontId="0" fillId="0" borderId="0" xfId="0" applyNumberFormat="1"/>
    <xf numFmtId="1" fontId="0" fillId="0" borderId="0" xfId="0" applyNumberFormat="1" applyAlignment="1">
      <alignment horizontal="left"/>
    </xf>
    <xf numFmtId="1" fontId="0" fillId="33" borderId="0" xfId="0" applyNumberFormat="1" applyFill="1" applyAlignment="1">
      <alignment horizontal="left"/>
    </xf>
    <xf numFmtId="1" fontId="14" fillId="0" borderId="0" xfId="0" applyNumberFormat="1" applyFont="1" applyAlignment="1">
      <alignment horizontal="left"/>
    </xf>
    <xf numFmtId="0" fontId="14" fillId="0" borderId="0" xfId="0" applyFont="1"/>
    <xf numFmtId="14" fontId="14" fillId="0" borderId="0" xfId="0" applyNumberFormat="1" applyFont="1"/>
    <xf numFmtId="164" fontId="14" fillId="0" borderId="0" xfId="0" applyNumberFormat="1" applyFont="1"/>
    <xf numFmtId="10" fontId="14" fillId="0" borderId="0" xfId="0" applyNumberFormat="1" applyFont="1"/>
    <xf numFmtId="2" fontId="14" fillId="0" borderId="0" xfId="0" applyNumberFormat="1" applyFont="1"/>
    <xf numFmtId="1" fontId="18" fillId="33" borderId="0" xfId="0" applyNumberFormat="1" applyFont="1" applyFill="1" applyAlignment="1">
      <alignment horizontal="left"/>
    </xf>
    <xf numFmtId="0" fontId="18" fillId="33" borderId="0" xfId="0" applyFont="1" applyFill="1"/>
    <xf numFmtId="14" fontId="18" fillId="33" borderId="0" xfId="0" applyNumberFormat="1" applyFont="1" applyFill="1"/>
    <xf numFmtId="164" fontId="18" fillId="33" borderId="0" xfId="0" applyNumberFormat="1" applyFont="1" applyFill="1"/>
    <xf numFmtId="10" fontId="18" fillId="33" borderId="0" xfId="0" applyNumberFormat="1" applyFont="1" applyFill="1"/>
    <xf numFmtId="2" fontId="0" fillId="0" borderId="0" xfId="0" applyNumberFormat="1"/>
    <xf numFmtId="0" fontId="0" fillId="34" borderId="0" xfId="0" applyFill="1" applyAlignment="1">
      <alignment horizontal="left"/>
    </xf>
    <xf numFmtId="0" fontId="0" fillId="34" borderId="0" xfId="0" applyFill="1"/>
    <xf numFmtId="14" fontId="0" fillId="34" borderId="0" xfId="0" applyNumberFormat="1" applyFill="1"/>
    <xf numFmtId="164" fontId="0" fillId="34" borderId="0" xfId="0" applyNumberFormat="1" applyFill="1"/>
    <xf numFmtId="10" fontId="0" fillId="34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EF2ED-BDDA-4E6E-B965-AB0BFA393207}">
  <dimension ref="A1:AL413"/>
  <sheetViews>
    <sheetView topLeftCell="A352" workbookViewId="0">
      <selection activeCell="A374" sqref="A374:XFD374"/>
    </sheetView>
  </sheetViews>
  <sheetFormatPr defaultRowHeight="15" x14ac:dyDescent="0.25"/>
  <cols>
    <col min="9" max="9" width="19.7109375" bestFit="1" customWidth="1"/>
    <col min="18" max="18" width="50.140625" bestFit="1" customWidth="1"/>
  </cols>
  <sheetData>
    <row r="1" spans="1:3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25">
      <c r="A2" s="1">
        <v>46001</v>
      </c>
      <c r="B2" s="1">
        <v>46001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635</v>
      </c>
      <c r="J2" t="s">
        <v>44</v>
      </c>
      <c r="M2" t="s">
        <v>45</v>
      </c>
      <c r="O2" t="s">
        <v>46</v>
      </c>
      <c r="P2" t="s">
        <v>47</v>
      </c>
      <c r="Q2" t="s">
        <v>48</v>
      </c>
      <c r="R2" t="s">
        <v>49</v>
      </c>
      <c r="S2" s="1">
        <v>46023</v>
      </c>
      <c r="U2" t="s">
        <v>50</v>
      </c>
      <c r="X2" t="s">
        <v>51</v>
      </c>
      <c r="Y2" s="2">
        <v>0</v>
      </c>
      <c r="Z2" s="2">
        <v>108</v>
      </c>
      <c r="AA2">
        <v>1</v>
      </c>
      <c r="AB2" s="3">
        <v>1</v>
      </c>
      <c r="AC2" s="2">
        <v>108</v>
      </c>
      <c r="AD2" s="3">
        <v>0</v>
      </c>
      <c r="AE2" s="2">
        <v>0</v>
      </c>
      <c r="AF2" s="2">
        <v>108</v>
      </c>
      <c r="AK2">
        <v>6046430</v>
      </c>
    </row>
    <row r="3" spans="1:38" x14ac:dyDescent="0.25">
      <c r="A3" s="1">
        <v>46001</v>
      </c>
      <c r="B3" s="1">
        <v>46001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636</v>
      </c>
      <c r="J3" t="s">
        <v>52</v>
      </c>
      <c r="M3" t="s">
        <v>53</v>
      </c>
      <c r="O3" t="s">
        <v>54</v>
      </c>
      <c r="P3" t="s">
        <v>55</v>
      </c>
      <c r="Q3" t="s">
        <v>48</v>
      </c>
      <c r="R3" t="s">
        <v>56</v>
      </c>
      <c r="S3" s="1">
        <v>46023</v>
      </c>
      <c r="U3" t="s">
        <v>50</v>
      </c>
      <c r="X3" t="s">
        <v>51</v>
      </c>
      <c r="Y3" s="2">
        <v>0</v>
      </c>
      <c r="Z3" s="2">
        <v>175</v>
      </c>
      <c r="AA3">
        <v>1</v>
      </c>
      <c r="AB3" s="3">
        <v>1</v>
      </c>
      <c r="AC3" s="2">
        <v>175</v>
      </c>
      <c r="AD3" s="3">
        <v>0</v>
      </c>
      <c r="AE3" s="2">
        <v>0</v>
      </c>
      <c r="AF3" s="2">
        <v>175</v>
      </c>
      <c r="AK3">
        <v>6046813</v>
      </c>
    </row>
    <row r="4" spans="1:38" x14ac:dyDescent="0.25">
      <c r="A4" s="1">
        <v>46001</v>
      </c>
      <c r="B4" s="1">
        <v>46001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637</v>
      </c>
      <c r="J4" t="s">
        <v>57</v>
      </c>
      <c r="M4" t="s">
        <v>45</v>
      </c>
      <c r="O4" t="s">
        <v>58</v>
      </c>
      <c r="P4" t="s">
        <v>59</v>
      </c>
      <c r="Q4" t="s">
        <v>48</v>
      </c>
      <c r="R4" t="s">
        <v>56</v>
      </c>
      <c r="S4" s="1">
        <v>46023</v>
      </c>
      <c r="U4" t="s">
        <v>50</v>
      </c>
      <c r="X4" t="s">
        <v>51</v>
      </c>
      <c r="Y4" s="2">
        <v>0</v>
      </c>
      <c r="Z4" s="2">
        <v>175</v>
      </c>
      <c r="AA4">
        <v>1</v>
      </c>
      <c r="AB4" s="3">
        <v>1</v>
      </c>
      <c r="AC4" s="2">
        <v>175</v>
      </c>
      <c r="AD4" s="3">
        <v>0</v>
      </c>
      <c r="AE4" s="2">
        <v>0</v>
      </c>
      <c r="AF4" s="2">
        <v>175</v>
      </c>
      <c r="AK4">
        <v>6046814</v>
      </c>
    </row>
    <row r="5" spans="1:38" x14ac:dyDescent="0.25">
      <c r="A5" s="1">
        <v>46001</v>
      </c>
      <c r="B5" s="1">
        <v>46001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638</v>
      </c>
      <c r="J5" t="s">
        <v>60</v>
      </c>
      <c r="M5" t="s">
        <v>45</v>
      </c>
      <c r="O5" t="s">
        <v>58</v>
      </c>
      <c r="P5" t="s">
        <v>59</v>
      </c>
      <c r="Q5" t="s">
        <v>48</v>
      </c>
      <c r="R5" t="s">
        <v>56</v>
      </c>
      <c r="S5" s="1">
        <v>46023</v>
      </c>
      <c r="U5" t="s">
        <v>50</v>
      </c>
      <c r="X5" t="s">
        <v>51</v>
      </c>
      <c r="Y5" s="2">
        <v>0</v>
      </c>
      <c r="Z5" s="2">
        <v>175</v>
      </c>
      <c r="AA5">
        <v>1</v>
      </c>
      <c r="AB5" s="3">
        <v>1</v>
      </c>
      <c r="AC5" s="2">
        <v>175</v>
      </c>
      <c r="AD5" s="3">
        <v>0</v>
      </c>
      <c r="AE5" s="2">
        <v>0</v>
      </c>
      <c r="AF5" s="2">
        <v>175</v>
      </c>
      <c r="AK5">
        <v>6046815</v>
      </c>
    </row>
    <row r="6" spans="1:38" x14ac:dyDescent="0.25">
      <c r="A6" s="1">
        <v>46001</v>
      </c>
      <c r="B6" s="1">
        <v>46001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  <c r="I6" t="s">
        <v>639</v>
      </c>
      <c r="J6" t="s">
        <v>61</v>
      </c>
      <c r="M6" t="s">
        <v>62</v>
      </c>
      <c r="O6" t="s">
        <v>63</v>
      </c>
      <c r="P6" t="s">
        <v>64</v>
      </c>
      <c r="Q6" t="s">
        <v>48</v>
      </c>
      <c r="R6" t="s">
        <v>56</v>
      </c>
      <c r="S6" s="1">
        <v>46023</v>
      </c>
      <c r="U6" t="s">
        <v>50</v>
      </c>
      <c r="X6" t="s">
        <v>51</v>
      </c>
      <c r="Y6" s="2">
        <v>0</v>
      </c>
      <c r="Z6" s="2">
        <v>175</v>
      </c>
      <c r="AA6">
        <v>1</v>
      </c>
      <c r="AB6" s="3">
        <v>1</v>
      </c>
      <c r="AC6" s="2">
        <v>175</v>
      </c>
      <c r="AD6" s="3">
        <v>0</v>
      </c>
      <c r="AE6" s="2">
        <v>0</v>
      </c>
      <c r="AF6" s="2">
        <v>175</v>
      </c>
      <c r="AK6">
        <v>6046816</v>
      </c>
    </row>
    <row r="7" spans="1:38" x14ac:dyDescent="0.25">
      <c r="A7" s="1">
        <v>46001</v>
      </c>
      <c r="B7" s="1">
        <v>46001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640</v>
      </c>
      <c r="J7" t="s">
        <v>65</v>
      </c>
      <c r="M7" t="s">
        <v>45</v>
      </c>
      <c r="O7" t="s">
        <v>66</v>
      </c>
      <c r="P7" t="s">
        <v>67</v>
      </c>
      <c r="Q7" t="s">
        <v>48</v>
      </c>
      <c r="R7" t="s">
        <v>56</v>
      </c>
      <c r="S7" s="1">
        <v>46023</v>
      </c>
      <c r="U7" t="s">
        <v>50</v>
      </c>
      <c r="X7" t="s">
        <v>51</v>
      </c>
      <c r="Y7" s="2">
        <v>0</v>
      </c>
      <c r="Z7" s="2">
        <v>175</v>
      </c>
      <c r="AA7">
        <v>1</v>
      </c>
      <c r="AB7" s="3">
        <v>1</v>
      </c>
      <c r="AC7" s="2">
        <v>175</v>
      </c>
      <c r="AD7" s="3">
        <v>0</v>
      </c>
      <c r="AE7" s="2">
        <v>0</v>
      </c>
      <c r="AF7" s="2">
        <v>175</v>
      </c>
      <c r="AK7">
        <v>6046817</v>
      </c>
    </row>
    <row r="8" spans="1:38" x14ac:dyDescent="0.25">
      <c r="A8" s="1">
        <v>46001</v>
      </c>
      <c r="B8" s="1">
        <v>46001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I8" t="s">
        <v>641</v>
      </c>
      <c r="J8" t="s">
        <v>68</v>
      </c>
      <c r="M8" t="s">
        <v>69</v>
      </c>
      <c r="O8" t="s">
        <v>70</v>
      </c>
      <c r="P8" t="s">
        <v>71</v>
      </c>
      <c r="Q8" t="s">
        <v>48</v>
      </c>
      <c r="R8" t="s">
        <v>56</v>
      </c>
      <c r="S8" s="1">
        <v>46023</v>
      </c>
      <c r="U8" t="s">
        <v>50</v>
      </c>
      <c r="X8" t="s">
        <v>51</v>
      </c>
      <c r="Y8" s="2">
        <v>0</v>
      </c>
      <c r="Z8" s="2">
        <v>175</v>
      </c>
      <c r="AA8">
        <v>1</v>
      </c>
      <c r="AB8" s="3">
        <v>1</v>
      </c>
      <c r="AC8" s="2">
        <v>175</v>
      </c>
      <c r="AD8" s="3">
        <v>0</v>
      </c>
      <c r="AE8" s="2">
        <v>0</v>
      </c>
      <c r="AF8" s="2">
        <v>175</v>
      </c>
      <c r="AK8">
        <v>6046709</v>
      </c>
    </row>
    <row r="9" spans="1:38" x14ac:dyDescent="0.25">
      <c r="A9" s="1">
        <v>46001</v>
      </c>
      <c r="B9" s="1">
        <v>46001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  <c r="H9" t="s">
        <v>43</v>
      </c>
      <c r="I9" t="s">
        <v>642</v>
      </c>
      <c r="J9" t="s">
        <v>72</v>
      </c>
      <c r="M9" t="s">
        <v>73</v>
      </c>
      <c r="O9" t="s">
        <v>74</v>
      </c>
      <c r="P9" t="s">
        <v>75</v>
      </c>
      <c r="Q9" t="s">
        <v>48</v>
      </c>
      <c r="R9" t="s">
        <v>56</v>
      </c>
      <c r="S9" s="1">
        <v>46023</v>
      </c>
      <c r="U9" t="s">
        <v>50</v>
      </c>
      <c r="X9" t="s">
        <v>51</v>
      </c>
      <c r="Y9" s="2">
        <v>0</v>
      </c>
      <c r="Z9" s="2">
        <v>175</v>
      </c>
      <c r="AA9">
        <v>1</v>
      </c>
      <c r="AB9" s="3">
        <v>1</v>
      </c>
      <c r="AC9" s="2">
        <v>175</v>
      </c>
      <c r="AD9" s="3">
        <v>0</v>
      </c>
      <c r="AE9" s="2">
        <v>0</v>
      </c>
      <c r="AF9" s="2">
        <v>175</v>
      </c>
      <c r="AK9">
        <v>6046818</v>
      </c>
    </row>
    <row r="10" spans="1:38" x14ac:dyDescent="0.25">
      <c r="A10" s="1">
        <v>46001</v>
      </c>
      <c r="B10" s="1">
        <v>46001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643</v>
      </c>
      <c r="J10" t="s">
        <v>76</v>
      </c>
      <c r="M10" t="s">
        <v>45</v>
      </c>
      <c r="O10" t="s">
        <v>77</v>
      </c>
      <c r="P10" t="s">
        <v>78</v>
      </c>
      <c r="Q10" t="s">
        <v>48</v>
      </c>
      <c r="R10" t="s">
        <v>56</v>
      </c>
      <c r="S10" s="1">
        <v>46023</v>
      </c>
      <c r="U10" t="s">
        <v>50</v>
      </c>
      <c r="X10" t="s">
        <v>51</v>
      </c>
      <c r="Y10" s="2">
        <v>0</v>
      </c>
      <c r="Z10" s="2">
        <v>175</v>
      </c>
      <c r="AA10">
        <v>1</v>
      </c>
      <c r="AB10" s="3">
        <v>1</v>
      </c>
      <c r="AC10" s="2">
        <v>175</v>
      </c>
      <c r="AD10" s="3">
        <v>0</v>
      </c>
      <c r="AE10" s="2">
        <v>0</v>
      </c>
      <c r="AF10" s="2">
        <v>175</v>
      </c>
      <c r="AK10">
        <v>6046819</v>
      </c>
    </row>
    <row r="11" spans="1:38" x14ac:dyDescent="0.25">
      <c r="A11" s="1">
        <v>46001</v>
      </c>
      <c r="B11" s="1">
        <v>46001</v>
      </c>
      <c r="C11" t="s">
        <v>38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  <c r="I11" t="s">
        <v>644</v>
      </c>
      <c r="J11" t="s">
        <v>79</v>
      </c>
      <c r="M11" t="s">
        <v>45</v>
      </c>
      <c r="O11" t="s">
        <v>80</v>
      </c>
      <c r="P11" t="s">
        <v>81</v>
      </c>
      <c r="Q11" t="s">
        <v>48</v>
      </c>
      <c r="R11" t="s">
        <v>49</v>
      </c>
      <c r="S11" s="1">
        <v>46023</v>
      </c>
      <c r="U11" t="s">
        <v>50</v>
      </c>
      <c r="X11" t="s">
        <v>51</v>
      </c>
      <c r="Y11" s="2">
        <v>0</v>
      </c>
      <c r="Z11" s="2">
        <v>108</v>
      </c>
      <c r="AA11">
        <v>1</v>
      </c>
      <c r="AB11" s="3">
        <v>1</v>
      </c>
      <c r="AC11" s="2">
        <v>108</v>
      </c>
      <c r="AD11" s="3">
        <v>0</v>
      </c>
      <c r="AE11" s="2">
        <v>0</v>
      </c>
      <c r="AF11" s="2">
        <v>108</v>
      </c>
      <c r="AK11">
        <v>6046431</v>
      </c>
    </row>
    <row r="12" spans="1:38" x14ac:dyDescent="0.25">
      <c r="A12" s="1">
        <v>46001</v>
      </c>
      <c r="B12" s="1">
        <v>46001</v>
      </c>
      <c r="C12" t="s">
        <v>38</v>
      </c>
      <c r="D12" t="s">
        <v>39</v>
      </c>
      <c r="E12" t="s">
        <v>40</v>
      </c>
      <c r="F12" t="s">
        <v>41</v>
      </c>
      <c r="G12" t="s">
        <v>42</v>
      </c>
      <c r="H12" t="s">
        <v>43</v>
      </c>
      <c r="I12" t="s">
        <v>645</v>
      </c>
      <c r="J12" t="s">
        <v>82</v>
      </c>
      <c r="M12" t="s">
        <v>83</v>
      </c>
      <c r="O12" t="s">
        <v>74</v>
      </c>
      <c r="P12" t="s">
        <v>75</v>
      </c>
      <c r="Q12" t="s">
        <v>48</v>
      </c>
      <c r="R12" t="s">
        <v>56</v>
      </c>
      <c r="S12" s="1">
        <v>46023</v>
      </c>
      <c r="U12" t="s">
        <v>50</v>
      </c>
      <c r="X12" t="s">
        <v>51</v>
      </c>
      <c r="Y12" s="2">
        <v>0</v>
      </c>
      <c r="Z12" s="2">
        <v>175</v>
      </c>
      <c r="AA12">
        <v>1</v>
      </c>
      <c r="AB12" s="3">
        <v>1</v>
      </c>
      <c r="AC12" s="2">
        <v>175</v>
      </c>
      <c r="AD12" s="3">
        <v>0</v>
      </c>
      <c r="AE12" s="2">
        <v>0</v>
      </c>
      <c r="AF12" s="2">
        <v>175</v>
      </c>
      <c r="AK12">
        <v>6046820</v>
      </c>
    </row>
    <row r="13" spans="1:38" x14ac:dyDescent="0.25">
      <c r="A13" s="1">
        <v>46001</v>
      </c>
      <c r="B13" s="1">
        <v>46001</v>
      </c>
      <c r="C13" t="s">
        <v>38</v>
      </c>
      <c r="D13" t="s">
        <v>39</v>
      </c>
      <c r="E13" t="s">
        <v>40</v>
      </c>
      <c r="F13" t="s">
        <v>41</v>
      </c>
      <c r="G13" t="s">
        <v>42</v>
      </c>
      <c r="H13" t="s">
        <v>43</v>
      </c>
      <c r="I13" t="s">
        <v>646</v>
      </c>
      <c r="J13" t="s">
        <v>84</v>
      </c>
      <c r="M13" t="s">
        <v>45</v>
      </c>
      <c r="O13" t="s">
        <v>85</v>
      </c>
      <c r="P13" t="s">
        <v>86</v>
      </c>
      <c r="Q13" t="s">
        <v>48</v>
      </c>
      <c r="R13" t="s">
        <v>49</v>
      </c>
      <c r="S13" s="1">
        <v>46023</v>
      </c>
      <c r="U13" t="s">
        <v>50</v>
      </c>
      <c r="X13" t="s">
        <v>51</v>
      </c>
      <c r="Y13" s="2">
        <v>0</v>
      </c>
      <c r="Z13" s="2">
        <v>108</v>
      </c>
      <c r="AA13">
        <v>1</v>
      </c>
      <c r="AB13" s="3">
        <v>1</v>
      </c>
      <c r="AC13" s="2">
        <v>108</v>
      </c>
      <c r="AD13" s="3">
        <v>0</v>
      </c>
      <c r="AE13" s="2">
        <v>0</v>
      </c>
      <c r="AF13" s="2">
        <v>108</v>
      </c>
      <c r="AK13">
        <v>6046432</v>
      </c>
    </row>
    <row r="14" spans="1:38" x14ac:dyDescent="0.25">
      <c r="A14" s="1">
        <v>46001</v>
      </c>
      <c r="B14" s="1">
        <v>46001</v>
      </c>
      <c r="C14" t="s">
        <v>38</v>
      </c>
      <c r="D14" t="s">
        <v>39</v>
      </c>
      <c r="E14" t="s">
        <v>40</v>
      </c>
      <c r="F14" t="s">
        <v>41</v>
      </c>
      <c r="G14" t="s">
        <v>42</v>
      </c>
      <c r="H14" t="s">
        <v>43</v>
      </c>
      <c r="I14" t="s">
        <v>647</v>
      </c>
      <c r="J14" t="s">
        <v>87</v>
      </c>
      <c r="M14" t="s">
        <v>45</v>
      </c>
      <c r="O14" t="s">
        <v>80</v>
      </c>
      <c r="P14" t="s">
        <v>81</v>
      </c>
      <c r="Q14" t="s">
        <v>48</v>
      </c>
      <c r="R14" t="s">
        <v>56</v>
      </c>
      <c r="S14" s="1">
        <v>46023</v>
      </c>
      <c r="U14" t="s">
        <v>50</v>
      </c>
      <c r="X14" t="s">
        <v>51</v>
      </c>
      <c r="Y14" s="2">
        <v>0</v>
      </c>
      <c r="Z14" s="2">
        <v>175</v>
      </c>
      <c r="AA14">
        <v>1</v>
      </c>
      <c r="AB14" s="3">
        <v>1</v>
      </c>
      <c r="AC14" s="2">
        <v>175</v>
      </c>
      <c r="AD14" s="3">
        <v>0</v>
      </c>
      <c r="AE14" s="2">
        <v>0</v>
      </c>
      <c r="AF14" s="2">
        <v>175</v>
      </c>
      <c r="AK14">
        <v>6046821</v>
      </c>
    </row>
    <row r="15" spans="1:38" x14ac:dyDescent="0.25">
      <c r="A15" s="1">
        <v>46001</v>
      </c>
      <c r="B15" s="1">
        <v>46001</v>
      </c>
      <c r="C15" t="s">
        <v>38</v>
      </c>
      <c r="D15" t="s">
        <v>39</v>
      </c>
      <c r="E15" t="s">
        <v>40</v>
      </c>
      <c r="F15" t="s">
        <v>41</v>
      </c>
      <c r="G15" t="s">
        <v>42</v>
      </c>
      <c r="H15" t="s">
        <v>43</v>
      </c>
      <c r="I15" t="s">
        <v>648</v>
      </c>
      <c r="J15" t="s">
        <v>88</v>
      </c>
      <c r="M15" t="s">
        <v>89</v>
      </c>
      <c r="O15" t="s">
        <v>90</v>
      </c>
      <c r="P15" t="s">
        <v>91</v>
      </c>
      <c r="Q15" t="s">
        <v>48</v>
      </c>
      <c r="R15" t="s">
        <v>49</v>
      </c>
      <c r="S15" s="1">
        <v>46023</v>
      </c>
      <c r="U15" t="s">
        <v>50</v>
      </c>
      <c r="X15" t="s">
        <v>51</v>
      </c>
      <c r="Y15" s="2">
        <v>0</v>
      </c>
      <c r="Z15" s="2">
        <v>108</v>
      </c>
      <c r="AA15">
        <v>1</v>
      </c>
      <c r="AB15" s="3">
        <v>1</v>
      </c>
      <c r="AC15" s="2">
        <v>108</v>
      </c>
      <c r="AD15" s="3">
        <v>0</v>
      </c>
      <c r="AE15" s="2">
        <v>0</v>
      </c>
      <c r="AF15" s="2">
        <v>108</v>
      </c>
      <c r="AK15">
        <v>6046433</v>
      </c>
    </row>
    <row r="16" spans="1:38" x14ac:dyDescent="0.25">
      <c r="A16" s="1">
        <v>46001</v>
      </c>
      <c r="B16" s="1">
        <v>46001</v>
      </c>
      <c r="C16" t="s">
        <v>38</v>
      </c>
      <c r="D16" t="s">
        <v>39</v>
      </c>
      <c r="E16" t="s">
        <v>40</v>
      </c>
      <c r="F16" t="s">
        <v>41</v>
      </c>
      <c r="G16" t="s">
        <v>42</v>
      </c>
      <c r="H16" t="s">
        <v>43</v>
      </c>
      <c r="I16" t="s">
        <v>649</v>
      </c>
      <c r="J16" t="s">
        <v>92</v>
      </c>
      <c r="M16" t="s">
        <v>45</v>
      </c>
      <c r="O16" t="s">
        <v>93</v>
      </c>
      <c r="P16" t="s">
        <v>94</v>
      </c>
      <c r="Q16" t="s">
        <v>48</v>
      </c>
      <c r="R16" t="s">
        <v>56</v>
      </c>
      <c r="S16" s="1">
        <v>46023</v>
      </c>
      <c r="U16" t="s">
        <v>50</v>
      </c>
      <c r="X16" t="s">
        <v>51</v>
      </c>
      <c r="Y16" s="2">
        <v>0</v>
      </c>
      <c r="Z16" s="2">
        <v>175</v>
      </c>
      <c r="AA16">
        <v>1</v>
      </c>
      <c r="AB16" s="3">
        <v>1</v>
      </c>
      <c r="AC16" s="2">
        <v>175</v>
      </c>
      <c r="AD16" s="3">
        <v>0</v>
      </c>
      <c r="AE16" s="2">
        <v>0</v>
      </c>
      <c r="AF16" s="2">
        <v>175</v>
      </c>
      <c r="AK16">
        <v>6046822</v>
      </c>
    </row>
    <row r="17" spans="1:37" x14ac:dyDescent="0.25">
      <c r="A17" s="1">
        <v>46001</v>
      </c>
      <c r="B17" s="1">
        <v>46001</v>
      </c>
      <c r="C17" t="s">
        <v>38</v>
      </c>
      <c r="D17" t="s">
        <v>39</v>
      </c>
      <c r="E17" t="s">
        <v>40</v>
      </c>
      <c r="F17" t="s">
        <v>41</v>
      </c>
      <c r="G17" t="s">
        <v>42</v>
      </c>
      <c r="H17" t="s">
        <v>43</v>
      </c>
      <c r="I17" t="s">
        <v>650</v>
      </c>
      <c r="J17" t="s">
        <v>95</v>
      </c>
      <c r="M17" t="s">
        <v>45</v>
      </c>
      <c r="O17" t="s">
        <v>96</v>
      </c>
      <c r="P17" t="s">
        <v>97</v>
      </c>
      <c r="Q17" t="s">
        <v>48</v>
      </c>
      <c r="R17" t="s">
        <v>56</v>
      </c>
      <c r="S17" s="1">
        <v>46023</v>
      </c>
      <c r="U17" t="s">
        <v>50</v>
      </c>
      <c r="X17" t="s">
        <v>51</v>
      </c>
      <c r="Y17" s="2">
        <v>0</v>
      </c>
      <c r="Z17" s="2">
        <v>175</v>
      </c>
      <c r="AA17">
        <v>1</v>
      </c>
      <c r="AB17" s="3">
        <v>1</v>
      </c>
      <c r="AC17" s="2">
        <v>175</v>
      </c>
      <c r="AD17" s="3">
        <v>0</v>
      </c>
      <c r="AE17" s="2">
        <v>0</v>
      </c>
      <c r="AF17" s="2">
        <v>175</v>
      </c>
      <c r="AK17">
        <v>6046823</v>
      </c>
    </row>
    <row r="18" spans="1:37" x14ac:dyDescent="0.25">
      <c r="A18" s="1">
        <v>46001</v>
      </c>
      <c r="B18" s="1">
        <v>46001</v>
      </c>
      <c r="C18" t="s">
        <v>38</v>
      </c>
      <c r="D18" t="s">
        <v>39</v>
      </c>
      <c r="E18" t="s">
        <v>40</v>
      </c>
      <c r="F18" t="s">
        <v>41</v>
      </c>
      <c r="G18" t="s">
        <v>42</v>
      </c>
      <c r="H18" t="s">
        <v>43</v>
      </c>
      <c r="I18" t="s">
        <v>651</v>
      </c>
      <c r="J18" t="s">
        <v>98</v>
      </c>
      <c r="M18" t="s">
        <v>69</v>
      </c>
      <c r="O18" t="s">
        <v>70</v>
      </c>
      <c r="P18" t="s">
        <v>71</v>
      </c>
      <c r="Q18" t="s">
        <v>48</v>
      </c>
      <c r="R18" t="s">
        <v>56</v>
      </c>
      <c r="S18" s="1">
        <v>46023</v>
      </c>
      <c r="U18" t="s">
        <v>50</v>
      </c>
      <c r="X18" t="s">
        <v>51</v>
      </c>
      <c r="Y18" s="2">
        <v>0</v>
      </c>
      <c r="Z18" s="2">
        <v>175</v>
      </c>
      <c r="AA18">
        <v>1</v>
      </c>
      <c r="AB18" s="3">
        <v>1</v>
      </c>
      <c r="AC18" s="2">
        <v>175</v>
      </c>
      <c r="AD18" s="3">
        <v>0</v>
      </c>
      <c r="AE18" s="2">
        <v>0</v>
      </c>
      <c r="AF18" s="2">
        <v>175</v>
      </c>
      <c r="AK18">
        <v>6046713</v>
      </c>
    </row>
    <row r="19" spans="1:37" x14ac:dyDescent="0.25">
      <c r="A19" s="1">
        <v>46001</v>
      </c>
      <c r="B19" s="1">
        <v>46001</v>
      </c>
      <c r="C19" t="s">
        <v>38</v>
      </c>
      <c r="D19" t="s">
        <v>39</v>
      </c>
      <c r="E19" t="s">
        <v>40</v>
      </c>
      <c r="F19" t="s">
        <v>41</v>
      </c>
      <c r="G19" t="s">
        <v>42</v>
      </c>
      <c r="H19" t="s">
        <v>43</v>
      </c>
      <c r="I19" t="s">
        <v>652</v>
      </c>
      <c r="J19" t="s">
        <v>99</v>
      </c>
      <c r="M19" t="s">
        <v>100</v>
      </c>
      <c r="O19" t="s">
        <v>96</v>
      </c>
      <c r="P19" t="s">
        <v>97</v>
      </c>
      <c r="Q19" t="s">
        <v>48</v>
      </c>
      <c r="R19" t="s">
        <v>56</v>
      </c>
      <c r="S19" s="1">
        <v>46023</v>
      </c>
      <c r="U19" t="s">
        <v>50</v>
      </c>
      <c r="X19" t="s">
        <v>51</v>
      </c>
      <c r="Y19" s="2">
        <v>0</v>
      </c>
      <c r="Z19" s="2">
        <v>175</v>
      </c>
      <c r="AA19">
        <v>1</v>
      </c>
      <c r="AB19" s="3">
        <v>1</v>
      </c>
      <c r="AC19" s="2">
        <v>175</v>
      </c>
      <c r="AD19" s="3">
        <v>0</v>
      </c>
      <c r="AE19" s="2">
        <v>0</v>
      </c>
      <c r="AF19" s="2">
        <v>175</v>
      </c>
      <c r="AK19">
        <v>6046824</v>
      </c>
    </row>
    <row r="20" spans="1:37" x14ac:dyDescent="0.25">
      <c r="A20" s="1">
        <v>46001</v>
      </c>
      <c r="B20" s="1">
        <v>46001</v>
      </c>
      <c r="C20" t="s">
        <v>38</v>
      </c>
      <c r="D20" t="s">
        <v>39</v>
      </c>
      <c r="E20" t="s">
        <v>40</v>
      </c>
      <c r="F20" t="s">
        <v>41</v>
      </c>
      <c r="G20" t="s">
        <v>42</v>
      </c>
      <c r="H20" t="s">
        <v>43</v>
      </c>
      <c r="I20" t="s">
        <v>653</v>
      </c>
      <c r="J20" t="s">
        <v>101</v>
      </c>
      <c r="M20" t="s">
        <v>89</v>
      </c>
      <c r="O20" t="s">
        <v>102</v>
      </c>
      <c r="P20" t="s">
        <v>103</v>
      </c>
      <c r="Q20" t="s">
        <v>48</v>
      </c>
      <c r="R20" t="s">
        <v>49</v>
      </c>
      <c r="S20" s="1">
        <v>46023</v>
      </c>
      <c r="U20" t="s">
        <v>50</v>
      </c>
      <c r="X20" t="s">
        <v>51</v>
      </c>
      <c r="Y20" s="2">
        <v>0</v>
      </c>
      <c r="Z20" s="2">
        <v>108</v>
      </c>
      <c r="AA20">
        <v>1</v>
      </c>
      <c r="AB20" s="3">
        <v>1</v>
      </c>
      <c r="AC20" s="2">
        <v>108</v>
      </c>
      <c r="AD20" s="3">
        <v>0</v>
      </c>
      <c r="AE20" s="2">
        <v>0</v>
      </c>
      <c r="AF20" s="2">
        <v>108</v>
      </c>
      <c r="AK20">
        <v>6046434</v>
      </c>
    </row>
    <row r="21" spans="1:37" x14ac:dyDescent="0.25">
      <c r="A21" s="1">
        <v>46001</v>
      </c>
      <c r="B21" s="1">
        <v>46001</v>
      </c>
      <c r="C21" t="s">
        <v>38</v>
      </c>
      <c r="D21" t="s">
        <v>39</v>
      </c>
      <c r="E21" t="s">
        <v>40</v>
      </c>
      <c r="F21" t="s">
        <v>41</v>
      </c>
      <c r="G21" t="s">
        <v>42</v>
      </c>
      <c r="H21" t="s">
        <v>43</v>
      </c>
      <c r="I21" t="s">
        <v>654</v>
      </c>
      <c r="J21" t="s">
        <v>104</v>
      </c>
      <c r="M21" t="s">
        <v>45</v>
      </c>
      <c r="O21" t="s">
        <v>105</v>
      </c>
      <c r="P21" t="s">
        <v>106</v>
      </c>
      <c r="Q21" t="s">
        <v>48</v>
      </c>
      <c r="R21" t="s">
        <v>49</v>
      </c>
      <c r="S21" s="1">
        <v>46023</v>
      </c>
      <c r="U21" t="s">
        <v>50</v>
      </c>
      <c r="X21" t="s">
        <v>51</v>
      </c>
      <c r="Y21" s="2">
        <v>0</v>
      </c>
      <c r="Z21" s="2">
        <v>108</v>
      </c>
      <c r="AA21">
        <v>1</v>
      </c>
      <c r="AB21" s="3">
        <v>1</v>
      </c>
      <c r="AC21" s="2">
        <v>108</v>
      </c>
      <c r="AD21" s="3">
        <v>0</v>
      </c>
      <c r="AE21" s="2">
        <v>0</v>
      </c>
      <c r="AF21" s="2">
        <v>108</v>
      </c>
      <c r="AK21">
        <v>6046435</v>
      </c>
    </row>
    <row r="22" spans="1:37" x14ac:dyDescent="0.25">
      <c r="A22" s="1">
        <v>46001</v>
      </c>
      <c r="B22" s="1">
        <v>46001</v>
      </c>
      <c r="C22" t="s">
        <v>38</v>
      </c>
      <c r="D22" t="s">
        <v>39</v>
      </c>
      <c r="E22" t="s">
        <v>40</v>
      </c>
      <c r="F22" t="s">
        <v>41</v>
      </c>
      <c r="G22" t="s">
        <v>42</v>
      </c>
      <c r="H22" t="s">
        <v>43</v>
      </c>
      <c r="I22" t="s">
        <v>655</v>
      </c>
      <c r="J22" t="s">
        <v>107</v>
      </c>
      <c r="M22" t="s">
        <v>45</v>
      </c>
      <c r="O22" t="s">
        <v>108</v>
      </c>
      <c r="P22" t="s">
        <v>109</v>
      </c>
      <c r="Q22" t="s">
        <v>48</v>
      </c>
      <c r="R22" t="s">
        <v>56</v>
      </c>
      <c r="S22" s="1">
        <v>46023</v>
      </c>
      <c r="U22" t="s">
        <v>50</v>
      </c>
      <c r="X22" t="s">
        <v>51</v>
      </c>
      <c r="Y22" s="2">
        <v>0</v>
      </c>
      <c r="Z22" s="2">
        <v>175</v>
      </c>
      <c r="AA22">
        <v>1</v>
      </c>
      <c r="AB22" s="3">
        <v>1</v>
      </c>
      <c r="AC22" s="2">
        <v>175</v>
      </c>
      <c r="AD22" s="3">
        <v>0</v>
      </c>
      <c r="AE22" s="2">
        <v>0</v>
      </c>
      <c r="AF22" s="2">
        <v>175</v>
      </c>
      <c r="AK22">
        <v>6046825</v>
      </c>
    </row>
    <row r="23" spans="1:37" x14ac:dyDescent="0.25">
      <c r="A23" s="1">
        <v>46001</v>
      </c>
      <c r="B23" s="1">
        <v>46001</v>
      </c>
      <c r="C23" t="s">
        <v>38</v>
      </c>
      <c r="D23" t="s">
        <v>39</v>
      </c>
      <c r="E23" t="s">
        <v>40</v>
      </c>
      <c r="F23" t="s">
        <v>41</v>
      </c>
      <c r="G23" t="s">
        <v>42</v>
      </c>
      <c r="H23" t="s">
        <v>43</v>
      </c>
      <c r="I23" t="s">
        <v>656</v>
      </c>
      <c r="J23" t="s">
        <v>110</v>
      </c>
      <c r="M23" t="s">
        <v>45</v>
      </c>
      <c r="O23" t="s">
        <v>93</v>
      </c>
      <c r="P23" t="s">
        <v>94</v>
      </c>
      <c r="Q23" t="s">
        <v>48</v>
      </c>
      <c r="R23" t="s">
        <v>49</v>
      </c>
      <c r="S23" s="1">
        <v>46023</v>
      </c>
      <c r="U23" t="s">
        <v>50</v>
      </c>
      <c r="X23" t="s">
        <v>51</v>
      </c>
      <c r="Y23" s="2">
        <v>0</v>
      </c>
      <c r="Z23" s="2">
        <v>108</v>
      </c>
      <c r="AA23">
        <v>1</v>
      </c>
      <c r="AB23" s="3">
        <v>1</v>
      </c>
      <c r="AC23" s="2">
        <v>108</v>
      </c>
      <c r="AD23" s="3">
        <v>0</v>
      </c>
      <c r="AE23" s="2">
        <v>0</v>
      </c>
      <c r="AF23" s="2">
        <v>108</v>
      </c>
      <c r="AK23">
        <v>6046436</v>
      </c>
    </row>
    <row r="24" spans="1:37" x14ac:dyDescent="0.25">
      <c r="A24" s="1">
        <v>46001</v>
      </c>
      <c r="B24" s="1">
        <v>46001</v>
      </c>
      <c r="C24" t="s">
        <v>38</v>
      </c>
      <c r="D24" t="s">
        <v>39</v>
      </c>
      <c r="E24" t="s">
        <v>40</v>
      </c>
      <c r="F24" t="s">
        <v>41</v>
      </c>
      <c r="G24" t="s">
        <v>42</v>
      </c>
      <c r="H24" t="s">
        <v>43</v>
      </c>
      <c r="I24" t="s">
        <v>657</v>
      </c>
      <c r="J24" t="s">
        <v>111</v>
      </c>
      <c r="M24" t="s">
        <v>83</v>
      </c>
      <c r="O24" t="s">
        <v>74</v>
      </c>
      <c r="P24" t="s">
        <v>75</v>
      </c>
      <c r="Q24" t="s">
        <v>48</v>
      </c>
      <c r="R24" t="s">
        <v>49</v>
      </c>
      <c r="S24" s="1">
        <v>46023</v>
      </c>
      <c r="U24" t="s">
        <v>50</v>
      </c>
      <c r="X24" t="s">
        <v>51</v>
      </c>
      <c r="Y24" s="2">
        <v>0</v>
      </c>
      <c r="Z24" s="2">
        <v>108</v>
      </c>
      <c r="AA24">
        <v>1</v>
      </c>
      <c r="AB24" s="3">
        <v>1</v>
      </c>
      <c r="AC24" s="2">
        <v>108</v>
      </c>
      <c r="AD24" s="3">
        <v>0</v>
      </c>
      <c r="AE24" s="2">
        <v>0</v>
      </c>
      <c r="AF24" s="2">
        <v>108</v>
      </c>
      <c r="AK24">
        <v>6046437</v>
      </c>
    </row>
    <row r="25" spans="1:37" x14ac:dyDescent="0.25">
      <c r="A25" s="1">
        <v>46001</v>
      </c>
      <c r="B25" s="1">
        <v>46001</v>
      </c>
      <c r="C25" t="s">
        <v>38</v>
      </c>
      <c r="D25" t="s">
        <v>39</v>
      </c>
      <c r="E25" t="s">
        <v>40</v>
      </c>
      <c r="F25" t="s">
        <v>41</v>
      </c>
      <c r="G25" t="s">
        <v>42</v>
      </c>
      <c r="H25" t="s">
        <v>43</v>
      </c>
      <c r="I25" t="s">
        <v>658</v>
      </c>
      <c r="J25" t="s">
        <v>112</v>
      </c>
      <c r="M25" t="s">
        <v>113</v>
      </c>
      <c r="O25" t="s">
        <v>63</v>
      </c>
      <c r="P25" t="s">
        <v>64</v>
      </c>
      <c r="Q25" t="s">
        <v>48</v>
      </c>
      <c r="R25" t="s">
        <v>49</v>
      </c>
      <c r="S25" s="1">
        <v>46023</v>
      </c>
      <c r="U25" t="s">
        <v>50</v>
      </c>
      <c r="X25" t="s">
        <v>51</v>
      </c>
      <c r="Y25" s="2">
        <v>0</v>
      </c>
      <c r="Z25" s="2">
        <v>108</v>
      </c>
      <c r="AA25">
        <v>1</v>
      </c>
      <c r="AB25" s="3">
        <v>1</v>
      </c>
      <c r="AC25" s="2">
        <v>108</v>
      </c>
      <c r="AD25" s="3">
        <v>0</v>
      </c>
      <c r="AE25" s="2">
        <v>0</v>
      </c>
      <c r="AF25" s="2">
        <v>108</v>
      </c>
      <c r="AK25">
        <v>6046438</v>
      </c>
    </row>
    <row r="26" spans="1:37" x14ac:dyDescent="0.25">
      <c r="A26" s="1">
        <v>46001</v>
      </c>
      <c r="B26" s="1">
        <v>46001</v>
      </c>
      <c r="C26" t="s">
        <v>38</v>
      </c>
      <c r="D26" t="s">
        <v>39</v>
      </c>
      <c r="E26" t="s">
        <v>40</v>
      </c>
      <c r="F26" t="s">
        <v>41</v>
      </c>
      <c r="G26" t="s">
        <v>42</v>
      </c>
      <c r="H26" t="s">
        <v>43</v>
      </c>
      <c r="I26" t="s">
        <v>659</v>
      </c>
      <c r="J26" t="s">
        <v>114</v>
      </c>
      <c r="M26" t="s">
        <v>115</v>
      </c>
      <c r="O26" t="s">
        <v>58</v>
      </c>
      <c r="P26" t="s">
        <v>59</v>
      </c>
      <c r="Q26" t="s">
        <v>48</v>
      </c>
      <c r="R26" t="s">
        <v>56</v>
      </c>
      <c r="S26" s="1">
        <v>46023</v>
      </c>
      <c r="U26" t="s">
        <v>50</v>
      </c>
      <c r="X26" t="s">
        <v>51</v>
      </c>
      <c r="Y26" s="2">
        <v>0</v>
      </c>
      <c r="Z26" s="2">
        <v>175</v>
      </c>
      <c r="AA26">
        <v>1</v>
      </c>
      <c r="AB26" s="3">
        <v>1</v>
      </c>
      <c r="AC26" s="2">
        <v>175</v>
      </c>
      <c r="AD26" s="3">
        <v>0</v>
      </c>
      <c r="AE26" s="2">
        <v>0</v>
      </c>
      <c r="AF26" s="2">
        <v>175</v>
      </c>
      <c r="AK26">
        <v>6046826</v>
      </c>
    </row>
    <row r="27" spans="1:37" x14ac:dyDescent="0.25">
      <c r="A27" s="1">
        <v>46001</v>
      </c>
      <c r="B27" s="1">
        <v>46001</v>
      </c>
      <c r="C27" t="s">
        <v>38</v>
      </c>
      <c r="D27" t="s">
        <v>39</v>
      </c>
      <c r="E27" t="s">
        <v>40</v>
      </c>
      <c r="F27" t="s">
        <v>41</v>
      </c>
      <c r="G27" t="s">
        <v>42</v>
      </c>
      <c r="H27" t="s">
        <v>43</v>
      </c>
      <c r="I27" t="s">
        <v>660</v>
      </c>
      <c r="J27" t="s">
        <v>116</v>
      </c>
      <c r="M27" t="s">
        <v>45</v>
      </c>
      <c r="O27" t="s">
        <v>117</v>
      </c>
      <c r="P27" t="s">
        <v>118</v>
      </c>
      <c r="Q27" t="s">
        <v>48</v>
      </c>
      <c r="R27" t="s">
        <v>56</v>
      </c>
      <c r="S27" s="1">
        <v>46023</v>
      </c>
      <c r="U27" t="s">
        <v>50</v>
      </c>
      <c r="X27" t="s">
        <v>51</v>
      </c>
      <c r="Y27" s="2">
        <v>0</v>
      </c>
      <c r="Z27" s="2">
        <v>175</v>
      </c>
      <c r="AA27">
        <v>1</v>
      </c>
      <c r="AB27" s="3">
        <v>1</v>
      </c>
      <c r="AC27" s="2">
        <v>175</v>
      </c>
      <c r="AD27" s="3">
        <v>0</v>
      </c>
      <c r="AE27" s="2">
        <v>0</v>
      </c>
      <c r="AF27" s="2">
        <v>175</v>
      </c>
      <c r="AK27">
        <v>6046827</v>
      </c>
    </row>
    <row r="28" spans="1:37" x14ac:dyDescent="0.25">
      <c r="A28" s="1">
        <v>46001</v>
      </c>
      <c r="B28" s="1">
        <v>46001</v>
      </c>
      <c r="C28" t="s">
        <v>38</v>
      </c>
      <c r="D28" t="s">
        <v>39</v>
      </c>
      <c r="E28" t="s">
        <v>40</v>
      </c>
      <c r="F28" t="s">
        <v>41</v>
      </c>
      <c r="G28" t="s">
        <v>42</v>
      </c>
      <c r="H28" t="s">
        <v>43</v>
      </c>
      <c r="I28" t="s">
        <v>661</v>
      </c>
      <c r="J28" t="s">
        <v>119</v>
      </c>
      <c r="M28" t="s">
        <v>120</v>
      </c>
      <c r="O28" t="s">
        <v>121</v>
      </c>
      <c r="P28" t="s">
        <v>122</v>
      </c>
      <c r="Q28" t="s">
        <v>48</v>
      </c>
      <c r="R28" t="s">
        <v>49</v>
      </c>
      <c r="S28" s="1">
        <v>46023</v>
      </c>
      <c r="U28" t="s">
        <v>50</v>
      </c>
      <c r="X28" t="s">
        <v>51</v>
      </c>
      <c r="Y28" s="2">
        <v>0</v>
      </c>
      <c r="Z28" s="2">
        <v>108</v>
      </c>
      <c r="AA28">
        <v>1</v>
      </c>
      <c r="AB28" s="3">
        <v>1</v>
      </c>
      <c r="AC28" s="2">
        <v>108</v>
      </c>
      <c r="AD28" s="3">
        <v>0</v>
      </c>
      <c r="AE28" s="2">
        <v>0</v>
      </c>
      <c r="AF28" s="2">
        <v>108</v>
      </c>
      <c r="AK28">
        <v>6046439</v>
      </c>
    </row>
    <row r="29" spans="1:37" x14ac:dyDescent="0.25">
      <c r="A29" s="1">
        <v>46001</v>
      </c>
      <c r="B29" s="1">
        <v>46001</v>
      </c>
      <c r="C29" t="s">
        <v>38</v>
      </c>
      <c r="D29" t="s">
        <v>39</v>
      </c>
      <c r="E29" t="s">
        <v>40</v>
      </c>
      <c r="F29" t="s">
        <v>41</v>
      </c>
      <c r="G29" t="s">
        <v>42</v>
      </c>
      <c r="H29" t="s">
        <v>43</v>
      </c>
      <c r="I29" t="s">
        <v>662</v>
      </c>
      <c r="J29" t="s">
        <v>123</v>
      </c>
      <c r="M29" t="s">
        <v>45</v>
      </c>
      <c r="O29" t="s">
        <v>117</v>
      </c>
      <c r="P29" t="s">
        <v>118</v>
      </c>
      <c r="Q29" t="s">
        <v>48</v>
      </c>
      <c r="R29" t="s">
        <v>56</v>
      </c>
      <c r="S29" s="1">
        <v>46023</v>
      </c>
      <c r="U29" t="s">
        <v>50</v>
      </c>
      <c r="X29" t="s">
        <v>51</v>
      </c>
      <c r="Y29" s="2">
        <v>0</v>
      </c>
      <c r="Z29" s="2">
        <v>175</v>
      </c>
      <c r="AA29">
        <v>1</v>
      </c>
      <c r="AB29" s="3">
        <v>1</v>
      </c>
      <c r="AC29" s="2">
        <v>175</v>
      </c>
      <c r="AD29" s="3">
        <v>0</v>
      </c>
      <c r="AE29" s="2">
        <v>0</v>
      </c>
      <c r="AF29" s="2">
        <v>175</v>
      </c>
      <c r="AK29">
        <v>6046828</v>
      </c>
    </row>
    <row r="30" spans="1:37" x14ac:dyDescent="0.25">
      <c r="A30" s="1">
        <v>46001</v>
      </c>
      <c r="B30" s="1">
        <v>46001</v>
      </c>
      <c r="C30" t="s">
        <v>38</v>
      </c>
      <c r="D30" t="s">
        <v>39</v>
      </c>
      <c r="E30" t="s">
        <v>40</v>
      </c>
      <c r="F30" t="s">
        <v>41</v>
      </c>
      <c r="G30" t="s">
        <v>42</v>
      </c>
      <c r="H30" t="s">
        <v>43</v>
      </c>
      <c r="I30" t="s">
        <v>663</v>
      </c>
      <c r="J30" t="s">
        <v>124</v>
      </c>
      <c r="M30" t="s">
        <v>125</v>
      </c>
      <c r="O30" t="s">
        <v>126</v>
      </c>
      <c r="P30" t="s">
        <v>127</v>
      </c>
      <c r="Q30" t="s">
        <v>48</v>
      </c>
      <c r="R30" t="s">
        <v>56</v>
      </c>
      <c r="S30" s="1">
        <v>46023</v>
      </c>
      <c r="U30" t="s">
        <v>50</v>
      </c>
      <c r="X30" t="s">
        <v>51</v>
      </c>
      <c r="Y30" s="2">
        <v>0</v>
      </c>
      <c r="Z30" s="2">
        <v>175</v>
      </c>
      <c r="AA30">
        <v>1</v>
      </c>
      <c r="AB30" s="3">
        <v>1</v>
      </c>
      <c r="AC30" s="2">
        <v>175</v>
      </c>
      <c r="AD30" s="3">
        <v>0</v>
      </c>
      <c r="AE30" s="2">
        <v>0</v>
      </c>
      <c r="AF30" s="2">
        <v>175</v>
      </c>
      <c r="AK30">
        <v>6046829</v>
      </c>
    </row>
    <row r="31" spans="1:37" x14ac:dyDescent="0.25">
      <c r="A31" s="1">
        <v>46001</v>
      </c>
      <c r="B31" s="1">
        <v>46001</v>
      </c>
      <c r="C31" t="s">
        <v>38</v>
      </c>
      <c r="D31" t="s">
        <v>39</v>
      </c>
      <c r="E31" t="s">
        <v>40</v>
      </c>
      <c r="F31" t="s">
        <v>41</v>
      </c>
      <c r="G31" t="s">
        <v>42</v>
      </c>
      <c r="H31" t="s">
        <v>43</v>
      </c>
      <c r="I31" t="s">
        <v>664</v>
      </c>
      <c r="J31" t="s">
        <v>128</v>
      </c>
      <c r="M31" t="s">
        <v>129</v>
      </c>
      <c r="O31" t="s">
        <v>108</v>
      </c>
      <c r="P31" t="s">
        <v>109</v>
      </c>
      <c r="Q31" t="s">
        <v>48</v>
      </c>
      <c r="R31" t="s">
        <v>56</v>
      </c>
      <c r="S31" s="1">
        <v>45992</v>
      </c>
      <c r="U31" t="s">
        <v>50</v>
      </c>
      <c r="X31" t="s">
        <v>51</v>
      </c>
      <c r="Y31" s="2">
        <v>0</v>
      </c>
      <c r="Z31" s="2">
        <v>175</v>
      </c>
      <c r="AA31">
        <v>1</v>
      </c>
      <c r="AB31" s="3">
        <v>1</v>
      </c>
      <c r="AC31" s="2">
        <v>175</v>
      </c>
      <c r="AD31" s="3">
        <v>0</v>
      </c>
      <c r="AE31" s="2">
        <v>0</v>
      </c>
      <c r="AF31" s="2">
        <v>175</v>
      </c>
      <c r="AK31">
        <v>6046830</v>
      </c>
    </row>
    <row r="32" spans="1:37" x14ac:dyDescent="0.25">
      <c r="A32" s="1">
        <v>46001</v>
      </c>
      <c r="B32" s="1">
        <v>46001</v>
      </c>
      <c r="C32" t="s">
        <v>38</v>
      </c>
      <c r="D32" t="s">
        <v>39</v>
      </c>
      <c r="E32" t="s">
        <v>40</v>
      </c>
      <c r="F32" t="s">
        <v>41</v>
      </c>
      <c r="G32" t="s">
        <v>42</v>
      </c>
      <c r="H32" t="s">
        <v>43</v>
      </c>
      <c r="I32" t="s">
        <v>665</v>
      </c>
      <c r="J32" t="s">
        <v>78</v>
      </c>
      <c r="M32" t="s">
        <v>45</v>
      </c>
      <c r="O32" t="s">
        <v>77</v>
      </c>
      <c r="P32" t="s">
        <v>78</v>
      </c>
      <c r="Q32" t="s">
        <v>48</v>
      </c>
      <c r="R32" t="s">
        <v>56</v>
      </c>
      <c r="S32" s="1">
        <v>46023</v>
      </c>
      <c r="U32" t="s">
        <v>50</v>
      </c>
      <c r="X32" t="s">
        <v>51</v>
      </c>
      <c r="Y32" s="2">
        <v>0</v>
      </c>
      <c r="Z32" s="2">
        <v>175</v>
      </c>
      <c r="AA32">
        <v>1</v>
      </c>
      <c r="AB32" s="3">
        <v>1</v>
      </c>
      <c r="AC32" s="2">
        <v>175</v>
      </c>
      <c r="AD32" s="3">
        <v>0</v>
      </c>
      <c r="AE32" s="2">
        <v>0</v>
      </c>
      <c r="AF32" s="2">
        <v>175</v>
      </c>
      <c r="AK32">
        <v>6046831</v>
      </c>
    </row>
    <row r="33" spans="1:37" x14ac:dyDescent="0.25">
      <c r="A33" s="1">
        <v>46001</v>
      </c>
      <c r="B33" s="1">
        <v>46001</v>
      </c>
      <c r="C33" t="s">
        <v>38</v>
      </c>
      <c r="D33" t="s">
        <v>39</v>
      </c>
      <c r="E33" t="s">
        <v>40</v>
      </c>
      <c r="F33" t="s">
        <v>41</v>
      </c>
      <c r="G33" t="s">
        <v>42</v>
      </c>
      <c r="H33" t="s">
        <v>43</v>
      </c>
      <c r="I33" t="s">
        <v>666</v>
      </c>
      <c r="J33" t="s">
        <v>130</v>
      </c>
      <c r="M33" t="s">
        <v>45</v>
      </c>
      <c r="O33" t="s">
        <v>131</v>
      </c>
      <c r="P33" t="s">
        <v>132</v>
      </c>
      <c r="Q33" t="s">
        <v>48</v>
      </c>
      <c r="R33" t="s">
        <v>49</v>
      </c>
      <c r="S33" s="1">
        <v>46023</v>
      </c>
      <c r="U33" t="s">
        <v>50</v>
      </c>
      <c r="X33" t="s">
        <v>51</v>
      </c>
      <c r="Y33" s="2">
        <v>0</v>
      </c>
      <c r="Z33" s="2">
        <v>108</v>
      </c>
      <c r="AA33">
        <v>1</v>
      </c>
      <c r="AB33" s="3">
        <v>1</v>
      </c>
      <c r="AC33" s="2">
        <v>108</v>
      </c>
      <c r="AD33" s="3">
        <v>0</v>
      </c>
      <c r="AE33" s="2">
        <v>0</v>
      </c>
      <c r="AF33" s="2">
        <v>108</v>
      </c>
      <c r="AK33">
        <v>6046440</v>
      </c>
    </row>
    <row r="34" spans="1:37" x14ac:dyDescent="0.25">
      <c r="A34" s="1">
        <v>46001</v>
      </c>
      <c r="B34" s="1">
        <v>46001</v>
      </c>
      <c r="C34" t="s">
        <v>38</v>
      </c>
      <c r="D34" t="s">
        <v>39</v>
      </c>
      <c r="E34" t="s">
        <v>40</v>
      </c>
      <c r="F34" t="s">
        <v>41</v>
      </c>
      <c r="G34" t="s">
        <v>42</v>
      </c>
      <c r="H34" t="s">
        <v>43</v>
      </c>
      <c r="I34" t="s">
        <v>667</v>
      </c>
      <c r="J34" t="s">
        <v>133</v>
      </c>
      <c r="M34" t="s">
        <v>113</v>
      </c>
      <c r="O34" t="s">
        <v>134</v>
      </c>
      <c r="P34" t="s">
        <v>135</v>
      </c>
      <c r="Q34" t="s">
        <v>48</v>
      </c>
      <c r="R34" t="s">
        <v>49</v>
      </c>
      <c r="S34" s="1">
        <v>46023</v>
      </c>
      <c r="U34" t="s">
        <v>50</v>
      </c>
      <c r="X34" t="s">
        <v>51</v>
      </c>
      <c r="Y34" s="2">
        <v>0</v>
      </c>
      <c r="Z34" s="2">
        <v>108</v>
      </c>
      <c r="AA34">
        <v>1</v>
      </c>
      <c r="AB34" s="3">
        <v>1</v>
      </c>
      <c r="AC34" s="2">
        <v>108</v>
      </c>
      <c r="AD34" s="3">
        <v>0</v>
      </c>
      <c r="AE34" s="2">
        <v>0</v>
      </c>
      <c r="AF34" s="2">
        <v>108</v>
      </c>
      <c r="AK34">
        <v>6046441</v>
      </c>
    </row>
    <row r="35" spans="1:37" x14ac:dyDescent="0.25">
      <c r="A35" s="1">
        <v>46001</v>
      </c>
      <c r="B35" s="1">
        <v>46001</v>
      </c>
      <c r="C35" t="s">
        <v>38</v>
      </c>
      <c r="D35" t="s">
        <v>39</v>
      </c>
      <c r="E35" t="s">
        <v>40</v>
      </c>
      <c r="F35" t="s">
        <v>41</v>
      </c>
      <c r="G35" t="s">
        <v>42</v>
      </c>
      <c r="H35" t="s">
        <v>43</v>
      </c>
      <c r="I35" t="s">
        <v>668</v>
      </c>
      <c r="J35" t="s">
        <v>136</v>
      </c>
      <c r="M35" t="s">
        <v>45</v>
      </c>
      <c r="O35" t="s">
        <v>137</v>
      </c>
      <c r="P35" t="s">
        <v>138</v>
      </c>
      <c r="Q35" t="s">
        <v>48</v>
      </c>
      <c r="R35" t="s">
        <v>49</v>
      </c>
      <c r="S35" s="1">
        <v>46023</v>
      </c>
      <c r="U35" t="s">
        <v>50</v>
      </c>
      <c r="X35" t="s">
        <v>51</v>
      </c>
      <c r="Y35" s="2">
        <v>0</v>
      </c>
      <c r="Z35" s="2">
        <v>108</v>
      </c>
      <c r="AA35">
        <v>1</v>
      </c>
      <c r="AB35" s="3">
        <v>1</v>
      </c>
      <c r="AC35" s="2">
        <v>108</v>
      </c>
      <c r="AD35" s="3">
        <v>0</v>
      </c>
      <c r="AE35" s="2">
        <v>0</v>
      </c>
      <c r="AF35" s="2">
        <v>108</v>
      </c>
      <c r="AK35">
        <v>6046442</v>
      </c>
    </row>
    <row r="36" spans="1:37" x14ac:dyDescent="0.25">
      <c r="A36" s="1">
        <v>46001</v>
      </c>
      <c r="B36" s="1">
        <v>46001</v>
      </c>
      <c r="C36" t="s">
        <v>38</v>
      </c>
      <c r="D36" t="s">
        <v>39</v>
      </c>
      <c r="E36" t="s">
        <v>40</v>
      </c>
      <c r="F36" t="s">
        <v>41</v>
      </c>
      <c r="G36" t="s">
        <v>42</v>
      </c>
      <c r="H36" t="s">
        <v>43</v>
      </c>
      <c r="I36" t="s">
        <v>669</v>
      </c>
      <c r="J36" t="s">
        <v>139</v>
      </c>
      <c r="M36" t="s">
        <v>45</v>
      </c>
      <c r="O36" t="s">
        <v>105</v>
      </c>
      <c r="P36" t="s">
        <v>106</v>
      </c>
      <c r="Q36" t="s">
        <v>48</v>
      </c>
      <c r="R36" t="s">
        <v>49</v>
      </c>
      <c r="S36" s="1">
        <v>46023</v>
      </c>
      <c r="U36" t="s">
        <v>50</v>
      </c>
      <c r="X36" t="s">
        <v>51</v>
      </c>
      <c r="Y36" s="2">
        <v>0</v>
      </c>
      <c r="Z36" s="2">
        <v>108</v>
      </c>
      <c r="AA36">
        <v>1</v>
      </c>
      <c r="AB36" s="3">
        <v>1</v>
      </c>
      <c r="AC36" s="2">
        <v>108</v>
      </c>
      <c r="AD36" s="3">
        <v>0</v>
      </c>
      <c r="AE36" s="2">
        <v>0</v>
      </c>
      <c r="AF36" s="2">
        <v>108</v>
      </c>
      <c r="AK36">
        <v>6046443</v>
      </c>
    </row>
    <row r="37" spans="1:37" x14ac:dyDescent="0.25">
      <c r="A37" s="1">
        <v>46001</v>
      </c>
      <c r="B37" s="1">
        <v>46001</v>
      </c>
      <c r="C37" t="s">
        <v>38</v>
      </c>
      <c r="D37" t="s">
        <v>39</v>
      </c>
      <c r="E37" t="s">
        <v>40</v>
      </c>
      <c r="F37" t="s">
        <v>41</v>
      </c>
      <c r="G37" t="s">
        <v>42</v>
      </c>
      <c r="H37" t="s">
        <v>43</v>
      </c>
      <c r="I37" t="s">
        <v>670</v>
      </c>
      <c r="J37" t="s">
        <v>140</v>
      </c>
      <c r="M37" t="s">
        <v>45</v>
      </c>
      <c r="O37" t="s">
        <v>141</v>
      </c>
      <c r="P37" t="s">
        <v>142</v>
      </c>
      <c r="Q37" t="s">
        <v>48</v>
      </c>
      <c r="R37" t="s">
        <v>56</v>
      </c>
      <c r="S37" s="1">
        <v>46023</v>
      </c>
      <c r="U37" t="s">
        <v>50</v>
      </c>
      <c r="X37" t="s">
        <v>51</v>
      </c>
      <c r="Y37" s="2">
        <v>0</v>
      </c>
      <c r="Z37" s="2">
        <v>175</v>
      </c>
      <c r="AA37">
        <v>1</v>
      </c>
      <c r="AB37" s="3">
        <v>1</v>
      </c>
      <c r="AC37" s="2">
        <v>175</v>
      </c>
      <c r="AD37" s="3">
        <v>0</v>
      </c>
      <c r="AE37" s="2">
        <v>0</v>
      </c>
      <c r="AF37" s="2">
        <v>175</v>
      </c>
      <c r="AK37">
        <v>6046832</v>
      </c>
    </row>
    <row r="38" spans="1:37" x14ac:dyDescent="0.25">
      <c r="A38" s="1">
        <v>46001</v>
      </c>
      <c r="B38" s="1">
        <v>46001</v>
      </c>
      <c r="C38" t="s">
        <v>38</v>
      </c>
      <c r="D38" t="s">
        <v>39</v>
      </c>
      <c r="E38" t="s">
        <v>40</v>
      </c>
      <c r="F38" t="s">
        <v>41</v>
      </c>
      <c r="G38" t="s">
        <v>42</v>
      </c>
      <c r="H38" t="s">
        <v>43</v>
      </c>
      <c r="I38" t="s">
        <v>671</v>
      </c>
      <c r="J38" t="s">
        <v>143</v>
      </c>
      <c r="M38" t="s">
        <v>113</v>
      </c>
      <c r="O38" t="s">
        <v>63</v>
      </c>
      <c r="P38" t="s">
        <v>64</v>
      </c>
      <c r="Q38" t="s">
        <v>48</v>
      </c>
      <c r="R38" t="s">
        <v>49</v>
      </c>
      <c r="S38" s="1">
        <v>46023</v>
      </c>
      <c r="U38" t="s">
        <v>50</v>
      </c>
      <c r="X38" t="s">
        <v>51</v>
      </c>
      <c r="Y38" s="2">
        <v>0</v>
      </c>
      <c r="Z38" s="2">
        <v>108</v>
      </c>
      <c r="AA38">
        <v>1</v>
      </c>
      <c r="AB38" s="3">
        <v>1</v>
      </c>
      <c r="AC38" s="2">
        <v>108</v>
      </c>
      <c r="AD38" s="3">
        <v>0</v>
      </c>
      <c r="AE38" s="2">
        <v>0</v>
      </c>
      <c r="AF38" s="2">
        <v>108</v>
      </c>
      <c r="AK38">
        <v>6046444</v>
      </c>
    </row>
    <row r="39" spans="1:37" x14ac:dyDescent="0.25">
      <c r="A39" s="1">
        <v>46001</v>
      </c>
      <c r="B39" s="1">
        <v>46001</v>
      </c>
      <c r="C39" t="s">
        <v>38</v>
      </c>
      <c r="D39" t="s">
        <v>39</v>
      </c>
      <c r="E39" t="s">
        <v>40</v>
      </c>
      <c r="F39" t="s">
        <v>41</v>
      </c>
      <c r="G39" t="s">
        <v>42</v>
      </c>
      <c r="H39" t="s">
        <v>43</v>
      </c>
      <c r="I39" t="s">
        <v>672</v>
      </c>
      <c r="J39" t="s">
        <v>144</v>
      </c>
      <c r="M39" t="s">
        <v>145</v>
      </c>
      <c r="O39" t="s">
        <v>146</v>
      </c>
      <c r="P39" t="s">
        <v>147</v>
      </c>
      <c r="Q39" t="s">
        <v>48</v>
      </c>
      <c r="R39" t="s">
        <v>49</v>
      </c>
      <c r="S39" s="1">
        <v>46023</v>
      </c>
      <c r="U39" t="s">
        <v>50</v>
      </c>
      <c r="X39" t="s">
        <v>51</v>
      </c>
      <c r="Y39" s="2">
        <v>0</v>
      </c>
      <c r="Z39" s="2">
        <v>108</v>
      </c>
      <c r="AA39">
        <v>1</v>
      </c>
      <c r="AB39" s="3">
        <v>1</v>
      </c>
      <c r="AC39" s="2">
        <v>108</v>
      </c>
      <c r="AD39" s="3">
        <v>0</v>
      </c>
      <c r="AE39" s="2">
        <v>0</v>
      </c>
      <c r="AF39" s="2">
        <v>108</v>
      </c>
      <c r="AK39">
        <v>6046445</v>
      </c>
    </row>
    <row r="40" spans="1:37" x14ac:dyDescent="0.25">
      <c r="A40" s="1">
        <v>46001</v>
      </c>
      <c r="B40" s="1">
        <v>46001</v>
      </c>
      <c r="C40" t="s">
        <v>38</v>
      </c>
      <c r="D40" t="s">
        <v>39</v>
      </c>
      <c r="E40" t="s">
        <v>40</v>
      </c>
      <c r="F40" t="s">
        <v>41</v>
      </c>
      <c r="G40" t="s">
        <v>42</v>
      </c>
      <c r="H40" t="s">
        <v>43</v>
      </c>
      <c r="I40" t="s">
        <v>673</v>
      </c>
      <c r="J40" t="s">
        <v>148</v>
      </c>
      <c r="M40" t="s">
        <v>149</v>
      </c>
      <c r="O40" t="s">
        <v>150</v>
      </c>
      <c r="P40" t="s">
        <v>151</v>
      </c>
      <c r="Q40" t="s">
        <v>48</v>
      </c>
      <c r="R40" t="s">
        <v>49</v>
      </c>
      <c r="S40" s="1">
        <v>46023</v>
      </c>
      <c r="U40" t="s">
        <v>50</v>
      </c>
      <c r="X40" t="s">
        <v>51</v>
      </c>
      <c r="Y40" s="2">
        <v>0</v>
      </c>
      <c r="Z40" s="2">
        <v>108</v>
      </c>
      <c r="AA40">
        <v>1</v>
      </c>
      <c r="AB40" s="3">
        <v>1</v>
      </c>
      <c r="AC40" s="2">
        <v>108</v>
      </c>
      <c r="AD40" s="3">
        <v>0</v>
      </c>
      <c r="AE40" s="2">
        <v>0</v>
      </c>
      <c r="AF40" s="2">
        <v>108</v>
      </c>
      <c r="AK40">
        <v>6046409</v>
      </c>
    </row>
    <row r="41" spans="1:37" x14ac:dyDescent="0.25">
      <c r="A41" s="1">
        <v>46001</v>
      </c>
      <c r="B41" s="1">
        <v>46001</v>
      </c>
      <c r="C41" t="s">
        <v>38</v>
      </c>
      <c r="D41" t="s">
        <v>39</v>
      </c>
      <c r="E41" t="s">
        <v>40</v>
      </c>
      <c r="F41" t="s">
        <v>41</v>
      </c>
      <c r="G41" t="s">
        <v>42</v>
      </c>
      <c r="H41" t="s">
        <v>43</v>
      </c>
      <c r="I41" t="s">
        <v>674</v>
      </c>
      <c r="J41" t="s">
        <v>152</v>
      </c>
      <c r="M41" t="s">
        <v>45</v>
      </c>
      <c r="O41" t="s">
        <v>153</v>
      </c>
      <c r="P41" t="s">
        <v>154</v>
      </c>
      <c r="Q41" t="s">
        <v>48</v>
      </c>
      <c r="R41" t="s">
        <v>49</v>
      </c>
      <c r="S41" s="1">
        <v>46023</v>
      </c>
      <c r="U41" t="s">
        <v>50</v>
      </c>
      <c r="X41" t="s">
        <v>51</v>
      </c>
      <c r="Y41" s="2">
        <v>0</v>
      </c>
      <c r="Z41" s="2">
        <v>108</v>
      </c>
      <c r="AA41">
        <v>1</v>
      </c>
      <c r="AB41" s="3">
        <v>1</v>
      </c>
      <c r="AC41" s="2">
        <v>108</v>
      </c>
      <c r="AD41" s="3">
        <v>0</v>
      </c>
      <c r="AE41" s="2">
        <v>0</v>
      </c>
      <c r="AF41" s="2">
        <v>108</v>
      </c>
      <c r="AK41">
        <v>6046446</v>
      </c>
    </row>
    <row r="42" spans="1:37" x14ac:dyDescent="0.25">
      <c r="A42" s="1">
        <v>46001</v>
      </c>
      <c r="B42" s="1">
        <v>46001</v>
      </c>
      <c r="C42" t="s">
        <v>38</v>
      </c>
      <c r="D42" t="s">
        <v>39</v>
      </c>
      <c r="E42" t="s">
        <v>40</v>
      </c>
      <c r="F42" t="s">
        <v>41</v>
      </c>
      <c r="G42" t="s">
        <v>42</v>
      </c>
      <c r="H42" t="s">
        <v>43</v>
      </c>
      <c r="I42" t="s">
        <v>675</v>
      </c>
      <c r="J42" t="s">
        <v>155</v>
      </c>
      <c r="M42" t="s">
        <v>45</v>
      </c>
      <c r="O42" t="s">
        <v>54</v>
      </c>
      <c r="P42" t="s">
        <v>55</v>
      </c>
      <c r="Q42" t="s">
        <v>48</v>
      </c>
      <c r="R42" t="s">
        <v>49</v>
      </c>
      <c r="S42" s="1">
        <v>46023</v>
      </c>
      <c r="U42" t="s">
        <v>50</v>
      </c>
      <c r="X42" t="s">
        <v>51</v>
      </c>
      <c r="Y42" s="2">
        <v>0</v>
      </c>
      <c r="Z42" s="2">
        <v>108</v>
      </c>
      <c r="AA42">
        <v>1</v>
      </c>
      <c r="AB42" s="3">
        <v>1</v>
      </c>
      <c r="AC42" s="2">
        <v>108</v>
      </c>
      <c r="AD42" s="3">
        <v>0</v>
      </c>
      <c r="AE42" s="2">
        <v>0</v>
      </c>
      <c r="AF42" s="2">
        <v>108</v>
      </c>
      <c r="AK42">
        <v>6046447</v>
      </c>
    </row>
    <row r="43" spans="1:37" x14ac:dyDescent="0.25">
      <c r="A43" s="1">
        <v>46001</v>
      </c>
      <c r="B43" s="1">
        <v>46001</v>
      </c>
      <c r="C43" t="s">
        <v>38</v>
      </c>
      <c r="D43" t="s">
        <v>39</v>
      </c>
      <c r="E43" t="s">
        <v>40</v>
      </c>
      <c r="F43" t="s">
        <v>41</v>
      </c>
      <c r="G43" t="s">
        <v>42</v>
      </c>
      <c r="H43" t="s">
        <v>43</v>
      </c>
      <c r="I43" t="s">
        <v>676</v>
      </c>
      <c r="J43" t="s">
        <v>156</v>
      </c>
      <c r="M43" t="s">
        <v>45</v>
      </c>
      <c r="O43" t="s">
        <v>137</v>
      </c>
      <c r="P43" t="s">
        <v>138</v>
      </c>
      <c r="Q43" t="s">
        <v>48</v>
      </c>
      <c r="R43" t="s">
        <v>49</v>
      </c>
      <c r="S43" s="1">
        <v>46023</v>
      </c>
      <c r="U43" t="s">
        <v>50</v>
      </c>
      <c r="X43" t="s">
        <v>51</v>
      </c>
      <c r="Y43" s="2">
        <v>0</v>
      </c>
      <c r="Z43" s="2">
        <v>108</v>
      </c>
      <c r="AA43">
        <v>1</v>
      </c>
      <c r="AB43" s="3">
        <v>1</v>
      </c>
      <c r="AC43" s="2">
        <v>108</v>
      </c>
      <c r="AD43" s="3">
        <v>0</v>
      </c>
      <c r="AE43" s="2">
        <v>0</v>
      </c>
      <c r="AF43" s="2">
        <v>108</v>
      </c>
      <c r="AK43">
        <v>6046448</v>
      </c>
    </row>
    <row r="44" spans="1:37" x14ac:dyDescent="0.25">
      <c r="A44" s="1">
        <v>46001</v>
      </c>
      <c r="B44" s="1">
        <v>46001</v>
      </c>
      <c r="C44" t="s">
        <v>38</v>
      </c>
      <c r="D44" t="s">
        <v>39</v>
      </c>
      <c r="E44" t="s">
        <v>40</v>
      </c>
      <c r="F44" t="s">
        <v>41</v>
      </c>
      <c r="G44" t="s">
        <v>42</v>
      </c>
      <c r="H44" t="s">
        <v>43</v>
      </c>
      <c r="I44" t="s">
        <v>677</v>
      </c>
      <c r="J44" t="s">
        <v>157</v>
      </c>
      <c r="M44" t="s">
        <v>89</v>
      </c>
      <c r="O44" t="s">
        <v>102</v>
      </c>
      <c r="P44" t="s">
        <v>103</v>
      </c>
      <c r="Q44" t="s">
        <v>48</v>
      </c>
      <c r="R44" t="s">
        <v>56</v>
      </c>
      <c r="S44" s="1">
        <v>46023</v>
      </c>
      <c r="U44" t="s">
        <v>50</v>
      </c>
      <c r="X44" t="s">
        <v>51</v>
      </c>
      <c r="Y44" s="2">
        <v>0</v>
      </c>
      <c r="Z44" s="2">
        <v>175</v>
      </c>
      <c r="AA44">
        <v>1</v>
      </c>
      <c r="AB44" s="3">
        <v>1</v>
      </c>
      <c r="AC44" s="2">
        <v>175</v>
      </c>
      <c r="AD44" s="3">
        <v>0</v>
      </c>
      <c r="AE44" s="2">
        <v>0</v>
      </c>
      <c r="AF44" s="2">
        <v>175</v>
      </c>
      <c r="AK44">
        <v>6046833</v>
      </c>
    </row>
    <row r="45" spans="1:37" x14ac:dyDescent="0.25">
      <c r="A45" s="1">
        <v>46001</v>
      </c>
      <c r="B45" s="1">
        <v>46001</v>
      </c>
      <c r="C45" t="s">
        <v>38</v>
      </c>
      <c r="D45" t="s">
        <v>39</v>
      </c>
      <c r="E45" t="s">
        <v>40</v>
      </c>
      <c r="F45" t="s">
        <v>41</v>
      </c>
      <c r="G45" t="s">
        <v>42</v>
      </c>
      <c r="H45" t="s">
        <v>43</v>
      </c>
      <c r="I45" t="s">
        <v>678</v>
      </c>
      <c r="J45" t="s">
        <v>158</v>
      </c>
      <c r="M45" t="s">
        <v>45</v>
      </c>
      <c r="O45" t="s">
        <v>159</v>
      </c>
      <c r="P45" t="s">
        <v>160</v>
      </c>
      <c r="Q45" t="s">
        <v>48</v>
      </c>
      <c r="R45" t="s">
        <v>49</v>
      </c>
      <c r="S45" s="1">
        <v>46023</v>
      </c>
      <c r="U45" t="s">
        <v>50</v>
      </c>
      <c r="X45" t="s">
        <v>51</v>
      </c>
      <c r="Y45" s="2">
        <v>0</v>
      </c>
      <c r="Z45" s="2">
        <v>108</v>
      </c>
      <c r="AA45">
        <v>1</v>
      </c>
      <c r="AB45" s="3">
        <v>1</v>
      </c>
      <c r="AC45" s="2">
        <v>108</v>
      </c>
      <c r="AD45" s="3">
        <v>0</v>
      </c>
      <c r="AE45" s="2">
        <v>0</v>
      </c>
      <c r="AF45" s="2">
        <v>108</v>
      </c>
      <c r="AK45">
        <v>6046449</v>
      </c>
    </row>
    <row r="46" spans="1:37" x14ac:dyDescent="0.25">
      <c r="A46" s="1">
        <v>46001</v>
      </c>
      <c r="B46" s="1">
        <v>46001</v>
      </c>
      <c r="C46" t="s">
        <v>38</v>
      </c>
      <c r="D46" t="s">
        <v>39</v>
      </c>
      <c r="E46" t="s">
        <v>40</v>
      </c>
      <c r="F46" t="s">
        <v>41</v>
      </c>
      <c r="G46" t="s">
        <v>42</v>
      </c>
      <c r="H46" t="s">
        <v>43</v>
      </c>
      <c r="I46" t="s">
        <v>679</v>
      </c>
      <c r="J46" t="s">
        <v>161</v>
      </c>
      <c r="M46" t="s">
        <v>45</v>
      </c>
      <c r="O46" t="s">
        <v>162</v>
      </c>
      <c r="P46" t="s">
        <v>163</v>
      </c>
      <c r="Q46" t="s">
        <v>48</v>
      </c>
      <c r="R46" t="s">
        <v>49</v>
      </c>
      <c r="S46" s="1">
        <v>46023</v>
      </c>
      <c r="U46" t="s">
        <v>50</v>
      </c>
      <c r="X46" t="s">
        <v>51</v>
      </c>
      <c r="Y46" s="2">
        <v>0</v>
      </c>
      <c r="Z46" s="2">
        <v>108</v>
      </c>
      <c r="AA46">
        <v>1</v>
      </c>
      <c r="AB46" s="3">
        <v>1</v>
      </c>
      <c r="AC46" s="2">
        <v>108</v>
      </c>
      <c r="AD46" s="3">
        <v>0</v>
      </c>
      <c r="AE46" s="2">
        <v>0</v>
      </c>
      <c r="AF46" s="2">
        <v>108</v>
      </c>
      <c r="AK46">
        <v>6046450</v>
      </c>
    </row>
    <row r="47" spans="1:37" x14ac:dyDescent="0.25">
      <c r="A47" s="1">
        <v>46001</v>
      </c>
      <c r="B47" s="1">
        <v>46001</v>
      </c>
      <c r="C47" t="s">
        <v>38</v>
      </c>
      <c r="D47" t="s">
        <v>39</v>
      </c>
      <c r="E47" t="s">
        <v>40</v>
      </c>
      <c r="F47" t="s">
        <v>41</v>
      </c>
      <c r="G47" t="s">
        <v>42</v>
      </c>
      <c r="H47" t="s">
        <v>43</v>
      </c>
      <c r="I47" t="s">
        <v>680</v>
      </c>
      <c r="J47" t="s">
        <v>164</v>
      </c>
      <c r="M47" t="s">
        <v>45</v>
      </c>
      <c r="O47" t="s">
        <v>162</v>
      </c>
      <c r="P47" t="s">
        <v>163</v>
      </c>
      <c r="Q47" t="s">
        <v>48</v>
      </c>
      <c r="R47" t="s">
        <v>49</v>
      </c>
      <c r="S47" s="1">
        <v>46023</v>
      </c>
      <c r="U47" t="s">
        <v>50</v>
      </c>
      <c r="X47" t="s">
        <v>51</v>
      </c>
      <c r="Y47" s="2">
        <v>0</v>
      </c>
      <c r="Z47" s="2">
        <v>108</v>
      </c>
      <c r="AA47">
        <v>1</v>
      </c>
      <c r="AB47" s="3">
        <v>1</v>
      </c>
      <c r="AC47" s="2">
        <v>108</v>
      </c>
      <c r="AD47" s="3">
        <v>0</v>
      </c>
      <c r="AE47" s="2">
        <v>0</v>
      </c>
      <c r="AF47" s="2">
        <v>108</v>
      </c>
      <c r="AK47">
        <v>6046451</v>
      </c>
    </row>
    <row r="48" spans="1:37" x14ac:dyDescent="0.25">
      <c r="A48" s="1">
        <v>46001</v>
      </c>
      <c r="B48" s="1">
        <v>46001</v>
      </c>
      <c r="C48" t="s">
        <v>38</v>
      </c>
      <c r="D48" t="s">
        <v>39</v>
      </c>
      <c r="E48" t="s">
        <v>40</v>
      </c>
      <c r="F48" t="s">
        <v>41</v>
      </c>
      <c r="G48" t="s">
        <v>42</v>
      </c>
      <c r="H48" t="s">
        <v>43</v>
      </c>
      <c r="I48" t="s">
        <v>681</v>
      </c>
      <c r="J48" t="s">
        <v>165</v>
      </c>
      <c r="M48" t="s">
        <v>45</v>
      </c>
      <c r="O48" t="s">
        <v>166</v>
      </c>
      <c r="P48" t="s">
        <v>167</v>
      </c>
      <c r="Q48" t="s">
        <v>48</v>
      </c>
      <c r="R48" t="s">
        <v>49</v>
      </c>
      <c r="S48" s="1">
        <v>46023</v>
      </c>
      <c r="U48" t="s">
        <v>50</v>
      </c>
      <c r="X48" t="s">
        <v>51</v>
      </c>
      <c r="Y48" s="2">
        <v>0</v>
      </c>
      <c r="Z48" s="2">
        <v>108</v>
      </c>
      <c r="AA48">
        <v>1</v>
      </c>
      <c r="AB48" s="3">
        <v>1</v>
      </c>
      <c r="AC48" s="2">
        <v>108</v>
      </c>
      <c r="AD48" s="3">
        <v>0</v>
      </c>
      <c r="AE48" s="2">
        <v>0</v>
      </c>
      <c r="AF48" s="2">
        <v>108</v>
      </c>
      <c r="AK48">
        <v>6046401</v>
      </c>
    </row>
    <row r="49" spans="1:37" x14ac:dyDescent="0.25">
      <c r="A49" s="1">
        <v>46001</v>
      </c>
      <c r="B49" s="1">
        <v>46001</v>
      </c>
      <c r="C49" t="s">
        <v>38</v>
      </c>
      <c r="D49" t="s">
        <v>39</v>
      </c>
      <c r="E49" t="s">
        <v>40</v>
      </c>
      <c r="F49" t="s">
        <v>41</v>
      </c>
      <c r="G49" t="s">
        <v>42</v>
      </c>
      <c r="H49" t="s">
        <v>43</v>
      </c>
      <c r="I49" t="s">
        <v>682</v>
      </c>
      <c r="J49" t="s">
        <v>168</v>
      </c>
      <c r="M49" t="s">
        <v>169</v>
      </c>
      <c r="O49" t="s">
        <v>170</v>
      </c>
      <c r="P49" t="s">
        <v>171</v>
      </c>
      <c r="Q49" t="s">
        <v>48</v>
      </c>
      <c r="R49" t="s">
        <v>56</v>
      </c>
      <c r="S49" s="1">
        <v>45658</v>
      </c>
      <c r="U49" t="s">
        <v>50</v>
      </c>
      <c r="X49" t="s">
        <v>51</v>
      </c>
      <c r="Y49" s="2">
        <v>0</v>
      </c>
      <c r="Z49" s="2">
        <v>175</v>
      </c>
      <c r="AA49">
        <v>1</v>
      </c>
      <c r="AB49" s="3">
        <v>1</v>
      </c>
      <c r="AC49" s="2">
        <v>175</v>
      </c>
      <c r="AD49" s="3">
        <v>0</v>
      </c>
      <c r="AE49" s="2">
        <v>0</v>
      </c>
      <c r="AF49" s="2">
        <v>175</v>
      </c>
      <c r="AK49">
        <v>6046834</v>
      </c>
    </row>
    <row r="50" spans="1:37" x14ac:dyDescent="0.25">
      <c r="A50" s="1">
        <v>46001</v>
      </c>
      <c r="B50" s="1">
        <v>46001</v>
      </c>
      <c r="C50" t="s">
        <v>38</v>
      </c>
      <c r="D50" t="s">
        <v>39</v>
      </c>
      <c r="E50" t="s">
        <v>40</v>
      </c>
      <c r="F50" t="s">
        <v>41</v>
      </c>
      <c r="G50" t="s">
        <v>42</v>
      </c>
      <c r="H50" t="s">
        <v>43</v>
      </c>
      <c r="I50" t="s">
        <v>683</v>
      </c>
      <c r="J50" t="s">
        <v>172</v>
      </c>
      <c r="M50" t="s">
        <v>45</v>
      </c>
      <c r="O50" t="s">
        <v>58</v>
      </c>
      <c r="P50" t="s">
        <v>59</v>
      </c>
      <c r="Q50" t="s">
        <v>48</v>
      </c>
      <c r="R50" t="s">
        <v>56</v>
      </c>
      <c r="S50" s="1">
        <v>46023</v>
      </c>
      <c r="U50" t="s">
        <v>50</v>
      </c>
      <c r="X50" t="s">
        <v>51</v>
      </c>
      <c r="Y50" s="2">
        <v>0</v>
      </c>
      <c r="Z50" s="2">
        <v>175</v>
      </c>
      <c r="AA50">
        <v>1</v>
      </c>
      <c r="AB50" s="3">
        <v>1</v>
      </c>
      <c r="AC50" s="2">
        <v>175</v>
      </c>
      <c r="AD50" s="3">
        <v>0</v>
      </c>
      <c r="AE50" s="2">
        <v>0</v>
      </c>
      <c r="AF50" s="2">
        <v>175</v>
      </c>
      <c r="AK50">
        <v>6046835</v>
      </c>
    </row>
    <row r="51" spans="1:37" x14ac:dyDescent="0.25">
      <c r="A51" s="1">
        <v>46001</v>
      </c>
      <c r="B51" s="1">
        <v>46001</v>
      </c>
      <c r="C51" t="s">
        <v>38</v>
      </c>
      <c r="D51" t="s">
        <v>39</v>
      </c>
      <c r="E51" t="s">
        <v>40</v>
      </c>
      <c r="F51" t="s">
        <v>41</v>
      </c>
      <c r="G51" t="s">
        <v>42</v>
      </c>
      <c r="H51" t="s">
        <v>43</v>
      </c>
      <c r="I51" t="s">
        <v>684</v>
      </c>
      <c r="J51" t="s">
        <v>173</v>
      </c>
      <c r="M51" t="s">
        <v>45</v>
      </c>
      <c r="O51" t="s">
        <v>174</v>
      </c>
      <c r="P51" t="s">
        <v>175</v>
      </c>
      <c r="Q51" t="s">
        <v>48</v>
      </c>
      <c r="R51" t="s">
        <v>56</v>
      </c>
      <c r="S51" s="1">
        <v>46023</v>
      </c>
      <c r="U51" t="s">
        <v>50</v>
      </c>
      <c r="X51" t="s">
        <v>51</v>
      </c>
      <c r="Y51" s="2">
        <v>0</v>
      </c>
      <c r="Z51" s="2">
        <v>175</v>
      </c>
      <c r="AA51">
        <v>1</v>
      </c>
      <c r="AB51" s="3">
        <v>1</v>
      </c>
      <c r="AC51" s="2">
        <v>175</v>
      </c>
      <c r="AD51" s="3">
        <v>0</v>
      </c>
      <c r="AE51" s="2">
        <v>0</v>
      </c>
      <c r="AF51" s="2">
        <v>175</v>
      </c>
      <c r="AK51">
        <v>6046836</v>
      </c>
    </row>
    <row r="52" spans="1:37" x14ac:dyDescent="0.25">
      <c r="A52" s="1">
        <v>46001</v>
      </c>
      <c r="B52" s="1">
        <v>46001</v>
      </c>
      <c r="C52" t="s">
        <v>38</v>
      </c>
      <c r="D52" t="s">
        <v>39</v>
      </c>
      <c r="E52" t="s">
        <v>40</v>
      </c>
      <c r="F52" t="s">
        <v>41</v>
      </c>
      <c r="G52" t="s">
        <v>42</v>
      </c>
      <c r="H52" t="s">
        <v>43</v>
      </c>
      <c r="I52" t="s">
        <v>685</v>
      </c>
      <c r="J52" t="s">
        <v>176</v>
      </c>
      <c r="M52" t="s">
        <v>45</v>
      </c>
      <c r="O52" t="s">
        <v>174</v>
      </c>
      <c r="P52" t="s">
        <v>175</v>
      </c>
      <c r="Q52" t="s">
        <v>48</v>
      </c>
      <c r="R52" t="s">
        <v>56</v>
      </c>
      <c r="S52" s="1">
        <v>46023</v>
      </c>
      <c r="U52" t="s">
        <v>50</v>
      </c>
      <c r="X52" t="s">
        <v>51</v>
      </c>
      <c r="Y52" s="2">
        <v>0</v>
      </c>
      <c r="Z52" s="2">
        <v>175</v>
      </c>
      <c r="AA52">
        <v>1</v>
      </c>
      <c r="AB52" s="3">
        <v>1</v>
      </c>
      <c r="AC52" s="2">
        <v>175</v>
      </c>
      <c r="AD52" s="3">
        <v>0</v>
      </c>
      <c r="AE52" s="2">
        <v>0</v>
      </c>
      <c r="AF52" s="2">
        <v>175</v>
      </c>
      <c r="AK52">
        <v>6046837</v>
      </c>
    </row>
    <row r="53" spans="1:37" x14ac:dyDescent="0.25">
      <c r="A53" s="1">
        <v>46001</v>
      </c>
      <c r="B53" s="1">
        <v>46001</v>
      </c>
      <c r="C53" t="s">
        <v>38</v>
      </c>
      <c r="D53" t="s">
        <v>39</v>
      </c>
      <c r="E53" t="s">
        <v>40</v>
      </c>
      <c r="F53" t="s">
        <v>41</v>
      </c>
      <c r="G53" t="s">
        <v>42</v>
      </c>
      <c r="H53" t="s">
        <v>43</v>
      </c>
      <c r="I53" t="s">
        <v>686</v>
      </c>
      <c r="J53" t="s">
        <v>177</v>
      </c>
      <c r="M53" t="s">
        <v>45</v>
      </c>
      <c r="O53" t="s">
        <v>117</v>
      </c>
      <c r="P53" t="s">
        <v>118</v>
      </c>
      <c r="Q53" t="s">
        <v>48</v>
      </c>
      <c r="R53" t="s">
        <v>56</v>
      </c>
      <c r="S53" s="1">
        <v>46023</v>
      </c>
      <c r="U53" t="s">
        <v>50</v>
      </c>
      <c r="X53" t="s">
        <v>51</v>
      </c>
      <c r="Y53" s="2">
        <v>0</v>
      </c>
      <c r="Z53" s="2">
        <v>175</v>
      </c>
      <c r="AA53">
        <v>1</v>
      </c>
      <c r="AB53" s="3">
        <v>1</v>
      </c>
      <c r="AC53" s="2">
        <v>175</v>
      </c>
      <c r="AD53" s="3">
        <v>0</v>
      </c>
      <c r="AE53" s="2">
        <v>0</v>
      </c>
      <c r="AF53" s="2">
        <v>175</v>
      </c>
      <c r="AK53">
        <v>6046838</v>
      </c>
    </row>
    <row r="54" spans="1:37" x14ac:dyDescent="0.25">
      <c r="A54" s="1">
        <v>46001</v>
      </c>
      <c r="B54" s="1">
        <v>46001</v>
      </c>
      <c r="C54" t="s">
        <v>38</v>
      </c>
      <c r="D54" t="s">
        <v>39</v>
      </c>
      <c r="E54" t="s">
        <v>40</v>
      </c>
      <c r="F54" t="s">
        <v>41</v>
      </c>
      <c r="G54" t="s">
        <v>42</v>
      </c>
      <c r="H54" t="s">
        <v>43</v>
      </c>
      <c r="I54" t="s">
        <v>687</v>
      </c>
      <c r="J54" t="s">
        <v>178</v>
      </c>
      <c r="M54" t="s">
        <v>179</v>
      </c>
      <c r="O54" t="s">
        <v>180</v>
      </c>
      <c r="P54" t="s">
        <v>181</v>
      </c>
      <c r="Q54" t="s">
        <v>48</v>
      </c>
      <c r="R54" t="s">
        <v>56</v>
      </c>
      <c r="S54" s="1">
        <v>46023</v>
      </c>
      <c r="U54" t="s">
        <v>50</v>
      </c>
      <c r="X54" t="s">
        <v>51</v>
      </c>
      <c r="Y54" s="2">
        <v>0</v>
      </c>
      <c r="Z54" s="2">
        <v>175</v>
      </c>
      <c r="AA54">
        <v>1</v>
      </c>
      <c r="AB54" s="3">
        <v>1</v>
      </c>
      <c r="AC54" s="2">
        <v>175</v>
      </c>
      <c r="AD54" s="3">
        <v>0</v>
      </c>
      <c r="AE54" s="2">
        <v>0</v>
      </c>
      <c r="AF54" s="2">
        <v>175</v>
      </c>
      <c r="AK54">
        <v>6046839</v>
      </c>
    </row>
    <row r="55" spans="1:37" x14ac:dyDescent="0.25">
      <c r="A55" s="1">
        <v>46001</v>
      </c>
      <c r="B55" s="1">
        <v>46001</v>
      </c>
      <c r="C55" t="s">
        <v>38</v>
      </c>
      <c r="D55" t="s">
        <v>39</v>
      </c>
      <c r="E55" t="s">
        <v>40</v>
      </c>
      <c r="F55" t="s">
        <v>41</v>
      </c>
      <c r="G55" t="s">
        <v>42</v>
      </c>
      <c r="H55" t="s">
        <v>43</v>
      </c>
      <c r="I55" t="s">
        <v>688</v>
      </c>
      <c r="J55" t="s">
        <v>182</v>
      </c>
      <c r="M55" t="s">
        <v>45</v>
      </c>
      <c r="O55" t="s">
        <v>183</v>
      </c>
      <c r="P55" t="s">
        <v>184</v>
      </c>
      <c r="Q55" t="s">
        <v>48</v>
      </c>
      <c r="R55" t="s">
        <v>56</v>
      </c>
      <c r="S55" s="1">
        <v>46023</v>
      </c>
      <c r="U55" t="s">
        <v>50</v>
      </c>
      <c r="X55" t="s">
        <v>51</v>
      </c>
      <c r="Y55" s="2">
        <v>0</v>
      </c>
      <c r="Z55" s="2">
        <v>175</v>
      </c>
      <c r="AA55">
        <v>1</v>
      </c>
      <c r="AB55" s="3">
        <v>1</v>
      </c>
      <c r="AC55" s="2">
        <v>175</v>
      </c>
      <c r="AD55" s="3">
        <v>0</v>
      </c>
      <c r="AE55" s="2">
        <v>0</v>
      </c>
      <c r="AF55" s="2">
        <v>175</v>
      </c>
      <c r="AK55">
        <v>6046840</v>
      </c>
    </row>
    <row r="56" spans="1:37" x14ac:dyDescent="0.25">
      <c r="A56" s="1">
        <v>46001</v>
      </c>
      <c r="B56" s="1">
        <v>46001</v>
      </c>
      <c r="C56" t="s">
        <v>38</v>
      </c>
      <c r="D56" t="s">
        <v>39</v>
      </c>
      <c r="E56" t="s">
        <v>40</v>
      </c>
      <c r="F56" t="s">
        <v>41</v>
      </c>
      <c r="G56" t="s">
        <v>42</v>
      </c>
      <c r="H56" t="s">
        <v>43</v>
      </c>
      <c r="I56" t="s">
        <v>689</v>
      </c>
      <c r="J56" t="s">
        <v>185</v>
      </c>
      <c r="M56" t="s">
        <v>129</v>
      </c>
      <c r="O56" t="s">
        <v>63</v>
      </c>
      <c r="P56" t="s">
        <v>64</v>
      </c>
      <c r="Q56" t="s">
        <v>48</v>
      </c>
      <c r="R56" t="s">
        <v>56</v>
      </c>
      <c r="S56" s="1">
        <v>45992</v>
      </c>
      <c r="U56" t="s">
        <v>50</v>
      </c>
      <c r="X56" t="s">
        <v>51</v>
      </c>
      <c r="Y56" s="2">
        <v>0</v>
      </c>
      <c r="Z56" s="2">
        <v>175</v>
      </c>
      <c r="AA56">
        <v>1</v>
      </c>
      <c r="AB56" s="3">
        <v>1</v>
      </c>
      <c r="AC56" s="2">
        <v>175</v>
      </c>
      <c r="AD56" s="3">
        <v>0</v>
      </c>
      <c r="AE56" s="2">
        <v>0</v>
      </c>
      <c r="AF56" s="2">
        <v>175</v>
      </c>
      <c r="AK56">
        <v>6046841</v>
      </c>
    </row>
    <row r="57" spans="1:37" x14ac:dyDescent="0.25">
      <c r="A57" s="1">
        <v>46001</v>
      </c>
      <c r="B57" s="1">
        <v>46001</v>
      </c>
      <c r="C57" t="s">
        <v>38</v>
      </c>
      <c r="D57" t="s">
        <v>39</v>
      </c>
      <c r="E57" t="s">
        <v>40</v>
      </c>
      <c r="F57" t="s">
        <v>41</v>
      </c>
      <c r="G57" t="s">
        <v>42</v>
      </c>
      <c r="H57" t="s">
        <v>43</v>
      </c>
      <c r="I57" t="s">
        <v>690</v>
      </c>
      <c r="J57" t="s">
        <v>186</v>
      </c>
      <c r="M57" t="s">
        <v>45</v>
      </c>
      <c r="O57" t="s">
        <v>187</v>
      </c>
      <c r="P57" t="s">
        <v>188</v>
      </c>
      <c r="Q57" t="s">
        <v>48</v>
      </c>
      <c r="R57" t="s">
        <v>56</v>
      </c>
      <c r="S57" s="1">
        <v>46023</v>
      </c>
      <c r="U57" t="s">
        <v>50</v>
      </c>
      <c r="X57" t="s">
        <v>51</v>
      </c>
      <c r="Y57" s="2">
        <v>0</v>
      </c>
      <c r="Z57" s="2">
        <v>175</v>
      </c>
      <c r="AA57">
        <v>1</v>
      </c>
      <c r="AB57" s="3">
        <v>1</v>
      </c>
      <c r="AC57" s="2">
        <v>175</v>
      </c>
      <c r="AD57" s="3">
        <v>0</v>
      </c>
      <c r="AE57" s="2">
        <v>0</v>
      </c>
      <c r="AF57" s="2">
        <v>175</v>
      </c>
      <c r="AK57">
        <v>6046842</v>
      </c>
    </row>
    <row r="58" spans="1:37" x14ac:dyDescent="0.25">
      <c r="A58" s="1">
        <v>46001</v>
      </c>
      <c r="B58" s="1">
        <v>46001</v>
      </c>
      <c r="C58" t="s">
        <v>38</v>
      </c>
      <c r="D58" t="s">
        <v>39</v>
      </c>
      <c r="E58" t="s">
        <v>40</v>
      </c>
      <c r="F58" t="s">
        <v>41</v>
      </c>
      <c r="G58" t="s">
        <v>42</v>
      </c>
      <c r="H58" t="s">
        <v>43</v>
      </c>
      <c r="I58" t="s">
        <v>691</v>
      </c>
      <c r="J58" t="s">
        <v>189</v>
      </c>
      <c r="M58" t="s">
        <v>45</v>
      </c>
      <c r="O58" t="s">
        <v>190</v>
      </c>
      <c r="P58" t="s">
        <v>191</v>
      </c>
      <c r="Q58" t="s">
        <v>48</v>
      </c>
      <c r="R58" t="s">
        <v>56</v>
      </c>
      <c r="S58" s="1">
        <v>46023</v>
      </c>
      <c r="U58" t="s">
        <v>50</v>
      </c>
      <c r="X58" t="s">
        <v>51</v>
      </c>
      <c r="Y58" s="2">
        <v>0</v>
      </c>
      <c r="Z58" s="2">
        <v>175</v>
      </c>
      <c r="AA58">
        <v>1</v>
      </c>
      <c r="AB58" s="3">
        <v>1</v>
      </c>
      <c r="AC58" s="2">
        <v>175</v>
      </c>
      <c r="AD58" s="3">
        <v>0</v>
      </c>
      <c r="AE58" s="2">
        <v>0</v>
      </c>
      <c r="AF58" s="2">
        <v>175</v>
      </c>
      <c r="AK58">
        <v>6046843</v>
      </c>
    </row>
    <row r="59" spans="1:37" x14ac:dyDescent="0.25">
      <c r="A59" s="1">
        <v>46001</v>
      </c>
      <c r="B59" s="1">
        <v>46001</v>
      </c>
      <c r="C59" t="s">
        <v>38</v>
      </c>
      <c r="D59" t="s">
        <v>39</v>
      </c>
      <c r="E59" t="s">
        <v>40</v>
      </c>
      <c r="F59" t="s">
        <v>41</v>
      </c>
      <c r="G59" t="s">
        <v>42</v>
      </c>
      <c r="H59" t="s">
        <v>43</v>
      </c>
      <c r="I59" t="s">
        <v>692</v>
      </c>
      <c r="J59" t="s">
        <v>192</v>
      </c>
      <c r="M59" t="s">
        <v>89</v>
      </c>
      <c r="O59" t="s">
        <v>63</v>
      </c>
      <c r="P59" t="s">
        <v>64</v>
      </c>
      <c r="Q59" t="s">
        <v>48</v>
      </c>
      <c r="R59" t="s">
        <v>56</v>
      </c>
      <c r="S59" s="1">
        <v>45992</v>
      </c>
      <c r="U59" t="s">
        <v>50</v>
      </c>
      <c r="X59" t="s">
        <v>51</v>
      </c>
      <c r="Y59" s="2">
        <v>0</v>
      </c>
      <c r="Z59" s="2">
        <v>175</v>
      </c>
      <c r="AA59">
        <v>1</v>
      </c>
      <c r="AB59" s="3">
        <v>1</v>
      </c>
      <c r="AC59" s="2">
        <v>175</v>
      </c>
      <c r="AD59" s="3">
        <v>0</v>
      </c>
      <c r="AE59" s="2">
        <v>0</v>
      </c>
      <c r="AF59" s="2">
        <v>175</v>
      </c>
      <c r="AK59">
        <v>6046844</v>
      </c>
    </row>
    <row r="60" spans="1:37" x14ac:dyDescent="0.25">
      <c r="A60" s="1">
        <v>46001</v>
      </c>
      <c r="B60" s="1">
        <v>46001</v>
      </c>
      <c r="C60" t="s">
        <v>38</v>
      </c>
      <c r="D60" t="s">
        <v>39</v>
      </c>
      <c r="E60" t="s">
        <v>40</v>
      </c>
      <c r="F60" t="s">
        <v>41</v>
      </c>
      <c r="G60" t="s">
        <v>42</v>
      </c>
      <c r="H60" t="s">
        <v>43</v>
      </c>
      <c r="I60" t="s">
        <v>693</v>
      </c>
      <c r="J60" t="s">
        <v>193</v>
      </c>
      <c r="M60" t="s">
        <v>69</v>
      </c>
      <c r="O60" t="s">
        <v>70</v>
      </c>
      <c r="P60" t="s">
        <v>71</v>
      </c>
      <c r="Q60" t="s">
        <v>48</v>
      </c>
      <c r="R60" t="s">
        <v>56</v>
      </c>
      <c r="S60" s="1">
        <v>46054</v>
      </c>
      <c r="U60" t="s">
        <v>50</v>
      </c>
      <c r="X60" t="s">
        <v>51</v>
      </c>
      <c r="Y60" s="2">
        <v>0</v>
      </c>
      <c r="Z60" s="2">
        <v>175</v>
      </c>
      <c r="AA60">
        <v>1</v>
      </c>
      <c r="AB60" s="3">
        <v>1</v>
      </c>
      <c r="AC60" s="2">
        <v>175</v>
      </c>
      <c r="AD60" s="3">
        <v>0</v>
      </c>
      <c r="AE60" s="2">
        <v>0</v>
      </c>
      <c r="AF60" s="2">
        <v>175</v>
      </c>
      <c r="AK60">
        <v>6046735</v>
      </c>
    </row>
    <row r="61" spans="1:37" x14ac:dyDescent="0.25">
      <c r="A61" s="1">
        <v>46001</v>
      </c>
      <c r="B61" s="1">
        <v>46001</v>
      </c>
      <c r="C61" t="s">
        <v>38</v>
      </c>
      <c r="D61" t="s">
        <v>39</v>
      </c>
      <c r="E61" t="s">
        <v>40</v>
      </c>
      <c r="F61" t="s">
        <v>41</v>
      </c>
      <c r="G61" t="s">
        <v>42</v>
      </c>
      <c r="H61" t="s">
        <v>43</v>
      </c>
      <c r="I61" t="s">
        <v>694</v>
      </c>
      <c r="J61" t="s">
        <v>194</v>
      </c>
      <c r="M61" t="s">
        <v>45</v>
      </c>
      <c r="O61" t="s">
        <v>58</v>
      </c>
      <c r="P61" t="s">
        <v>59</v>
      </c>
      <c r="Q61" t="s">
        <v>48</v>
      </c>
      <c r="R61" t="s">
        <v>56</v>
      </c>
      <c r="S61" s="1">
        <v>46023</v>
      </c>
      <c r="U61" t="s">
        <v>50</v>
      </c>
      <c r="X61" t="s">
        <v>51</v>
      </c>
      <c r="Y61" s="2">
        <v>0</v>
      </c>
      <c r="Z61" s="2">
        <v>175</v>
      </c>
      <c r="AA61">
        <v>1</v>
      </c>
      <c r="AB61" s="3">
        <v>1</v>
      </c>
      <c r="AC61" s="2">
        <v>175</v>
      </c>
      <c r="AD61" s="3">
        <v>0</v>
      </c>
      <c r="AE61" s="2">
        <v>0</v>
      </c>
      <c r="AF61" s="2">
        <v>175</v>
      </c>
      <c r="AK61">
        <v>6046845</v>
      </c>
    </row>
    <row r="62" spans="1:37" x14ac:dyDescent="0.25">
      <c r="A62" s="1">
        <v>46001</v>
      </c>
      <c r="B62" s="1">
        <v>46001</v>
      </c>
      <c r="C62" t="s">
        <v>38</v>
      </c>
      <c r="D62" t="s">
        <v>39</v>
      </c>
      <c r="E62" t="s">
        <v>40</v>
      </c>
      <c r="F62" t="s">
        <v>41</v>
      </c>
      <c r="G62" t="s">
        <v>42</v>
      </c>
      <c r="H62" t="s">
        <v>43</v>
      </c>
      <c r="I62" t="s">
        <v>695</v>
      </c>
      <c r="J62" t="s">
        <v>195</v>
      </c>
      <c r="M62" t="s">
        <v>45</v>
      </c>
      <c r="O62" t="s">
        <v>80</v>
      </c>
      <c r="P62" t="s">
        <v>81</v>
      </c>
      <c r="Q62" t="s">
        <v>48</v>
      </c>
      <c r="R62" t="s">
        <v>56</v>
      </c>
      <c r="S62" s="1">
        <v>46023</v>
      </c>
      <c r="U62" t="s">
        <v>50</v>
      </c>
      <c r="X62" t="s">
        <v>51</v>
      </c>
      <c r="Y62" s="2">
        <v>0</v>
      </c>
      <c r="Z62" s="2">
        <v>175</v>
      </c>
      <c r="AA62">
        <v>1</v>
      </c>
      <c r="AB62" s="3">
        <v>1</v>
      </c>
      <c r="AC62" s="2">
        <v>175</v>
      </c>
      <c r="AD62" s="3">
        <v>0</v>
      </c>
      <c r="AE62" s="2">
        <v>0</v>
      </c>
      <c r="AF62" s="2">
        <v>175</v>
      </c>
      <c r="AK62">
        <v>6046846</v>
      </c>
    </row>
    <row r="63" spans="1:37" x14ac:dyDescent="0.25">
      <c r="A63" s="1">
        <v>46001</v>
      </c>
      <c r="B63" s="1">
        <v>46001</v>
      </c>
      <c r="C63" t="s">
        <v>38</v>
      </c>
      <c r="D63" t="s">
        <v>39</v>
      </c>
      <c r="E63" t="s">
        <v>40</v>
      </c>
      <c r="F63" t="s">
        <v>41</v>
      </c>
      <c r="G63" t="s">
        <v>42</v>
      </c>
      <c r="H63" t="s">
        <v>43</v>
      </c>
      <c r="I63" t="s">
        <v>696</v>
      </c>
      <c r="J63" t="s">
        <v>196</v>
      </c>
      <c r="M63" t="s">
        <v>45</v>
      </c>
      <c r="O63" t="s">
        <v>117</v>
      </c>
      <c r="P63" t="s">
        <v>118</v>
      </c>
      <c r="Q63" t="s">
        <v>48</v>
      </c>
      <c r="R63" t="s">
        <v>56</v>
      </c>
      <c r="S63" s="1">
        <v>46023</v>
      </c>
      <c r="U63" t="s">
        <v>50</v>
      </c>
      <c r="X63" t="s">
        <v>51</v>
      </c>
      <c r="Y63" s="2">
        <v>0</v>
      </c>
      <c r="Z63" s="2">
        <v>175</v>
      </c>
      <c r="AA63">
        <v>1</v>
      </c>
      <c r="AB63" s="3">
        <v>1</v>
      </c>
      <c r="AC63" s="2">
        <v>175</v>
      </c>
      <c r="AD63" s="3">
        <v>0</v>
      </c>
      <c r="AE63" s="2">
        <v>0</v>
      </c>
      <c r="AF63" s="2">
        <v>175</v>
      </c>
      <c r="AK63">
        <v>6046847</v>
      </c>
    </row>
    <row r="64" spans="1:37" x14ac:dyDescent="0.25">
      <c r="A64" s="1">
        <v>46001</v>
      </c>
      <c r="B64" s="1">
        <v>46001</v>
      </c>
      <c r="C64" t="s">
        <v>38</v>
      </c>
      <c r="D64" t="s">
        <v>39</v>
      </c>
      <c r="E64" t="s">
        <v>40</v>
      </c>
      <c r="F64" t="s">
        <v>41</v>
      </c>
      <c r="G64" t="s">
        <v>42</v>
      </c>
      <c r="H64" t="s">
        <v>43</v>
      </c>
      <c r="I64" t="s">
        <v>697</v>
      </c>
      <c r="J64" t="s">
        <v>197</v>
      </c>
      <c r="M64" t="s">
        <v>45</v>
      </c>
      <c r="O64" t="s">
        <v>187</v>
      </c>
      <c r="P64" t="s">
        <v>188</v>
      </c>
      <c r="Q64" t="s">
        <v>48</v>
      </c>
      <c r="R64" t="s">
        <v>56</v>
      </c>
      <c r="S64" s="1">
        <v>46023</v>
      </c>
      <c r="U64" t="s">
        <v>50</v>
      </c>
      <c r="X64" t="s">
        <v>51</v>
      </c>
      <c r="Y64" s="2">
        <v>0</v>
      </c>
      <c r="Z64" s="2">
        <v>175</v>
      </c>
      <c r="AA64">
        <v>1</v>
      </c>
      <c r="AB64" s="3">
        <v>1</v>
      </c>
      <c r="AC64" s="2">
        <v>175</v>
      </c>
      <c r="AD64" s="3">
        <v>0</v>
      </c>
      <c r="AE64" s="2">
        <v>0</v>
      </c>
      <c r="AF64" s="2">
        <v>175</v>
      </c>
      <c r="AK64">
        <v>6046848</v>
      </c>
    </row>
    <row r="65" spans="1:37" x14ac:dyDescent="0.25">
      <c r="A65" s="1">
        <v>46001</v>
      </c>
      <c r="B65" s="1">
        <v>46001</v>
      </c>
      <c r="C65" t="s">
        <v>38</v>
      </c>
      <c r="D65" t="s">
        <v>39</v>
      </c>
      <c r="E65" t="s">
        <v>40</v>
      </c>
      <c r="F65" t="s">
        <v>41</v>
      </c>
      <c r="G65" t="s">
        <v>42</v>
      </c>
      <c r="H65" t="s">
        <v>43</v>
      </c>
      <c r="I65" t="s">
        <v>698</v>
      </c>
      <c r="J65" t="s">
        <v>198</v>
      </c>
      <c r="M65" t="s">
        <v>45</v>
      </c>
      <c r="O65" t="s">
        <v>141</v>
      </c>
      <c r="P65" t="s">
        <v>142</v>
      </c>
      <c r="Q65" t="s">
        <v>48</v>
      </c>
      <c r="R65" t="s">
        <v>56</v>
      </c>
      <c r="S65" s="1">
        <v>46023</v>
      </c>
      <c r="U65" t="s">
        <v>50</v>
      </c>
      <c r="X65" t="s">
        <v>51</v>
      </c>
      <c r="Y65" s="2">
        <v>0</v>
      </c>
      <c r="Z65" s="2">
        <v>175</v>
      </c>
      <c r="AA65">
        <v>1</v>
      </c>
      <c r="AB65" s="3">
        <v>1</v>
      </c>
      <c r="AC65" s="2">
        <v>175</v>
      </c>
      <c r="AD65" s="3">
        <v>0</v>
      </c>
      <c r="AE65" s="2">
        <v>0</v>
      </c>
      <c r="AF65" s="2">
        <v>175</v>
      </c>
      <c r="AK65">
        <v>6046849</v>
      </c>
    </row>
    <row r="66" spans="1:37" x14ac:dyDescent="0.25">
      <c r="A66" s="1">
        <v>46001</v>
      </c>
      <c r="B66" s="1">
        <v>46001</v>
      </c>
      <c r="C66" t="s">
        <v>38</v>
      </c>
      <c r="D66" t="s">
        <v>39</v>
      </c>
      <c r="E66" t="s">
        <v>40</v>
      </c>
      <c r="F66" t="s">
        <v>41</v>
      </c>
      <c r="G66" t="s">
        <v>42</v>
      </c>
      <c r="H66" t="s">
        <v>43</v>
      </c>
      <c r="I66" t="s">
        <v>699</v>
      </c>
      <c r="J66" t="s">
        <v>199</v>
      </c>
      <c r="M66" t="s">
        <v>45</v>
      </c>
      <c r="O66" t="s">
        <v>96</v>
      </c>
      <c r="P66" t="s">
        <v>97</v>
      </c>
      <c r="Q66" t="s">
        <v>48</v>
      </c>
      <c r="R66" t="s">
        <v>56</v>
      </c>
      <c r="S66" s="1">
        <v>46023</v>
      </c>
      <c r="U66" t="s">
        <v>50</v>
      </c>
      <c r="X66" t="s">
        <v>51</v>
      </c>
      <c r="Y66" s="2">
        <v>0</v>
      </c>
      <c r="Z66" s="2">
        <v>175</v>
      </c>
      <c r="AA66">
        <v>1</v>
      </c>
      <c r="AB66" s="3">
        <v>1</v>
      </c>
      <c r="AC66" s="2">
        <v>175</v>
      </c>
      <c r="AD66" s="3">
        <v>0</v>
      </c>
      <c r="AE66" s="2">
        <v>0</v>
      </c>
      <c r="AF66" s="2">
        <v>175</v>
      </c>
      <c r="AK66">
        <v>6046850</v>
      </c>
    </row>
    <row r="67" spans="1:37" x14ac:dyDescent="0.25">
      <c r="A67" s="1">
        <v>46001</v>
      </c>
      <c r="B67" s="1">
        <v>46001</v>
      </c>
      <c r="C67" t="s">
        <v>38</v>
      </c>
      <c r="D67" t="s">
        <v>39</v>
      </c>
      <c r="E67" t="s">
        <v>40</v>
      </c>
      <c r="F67" t="s">
        <v>41</v>
      </c>
      <c r="G67" t="s">
        <v>42</v>
      </c>
      <c r="H67" t="s">
        <v>43</v>
      </c>
      <c r="I67" t="s">
        <v>700</v>
      </c>
      <c r="J67" t="s">
        <v>200</v>
      </c>
      <c r="M67" t="s">
        <v>45</v>
      </c>
      <c r="O67" t="s">
        <v>201</v>
      </c>
      <c r="P67" t="s">
        <v>202</v>
      </c>
      <c r="Q67" t="s">
        <v>48</v>
      </c>
      <c r="R67" t="s">
        <v>56</v>
      </c>
      <c r="S67" s="1">
        <v>46023</v>
      </c>
      <c r="U67" t="s">
        <v>50</v>
      </c>
      <c r="X67" t="s">
        <v>51</v>
      </c>
      <c r="Y67" s="2">
        <v>0</v>
      </c>
      <c r="Z67" s="2">
        <v>175</v>
      </c>
      <c r="AA67">
        <v>1</v>
      </c>
      <c r="AB67" s="3">
        <v>1</v>
      </c>
      <c r="AC67" s="2">
        <v>175</v>
      </c>
      <c r="AD67" s="3">
        <v>0</v>
      </c>
      <c r="AE67" s="2">
        <v>0</v>
      </c>
      <c r="AF67" s="2">
        <v>175</v>
      </c>
      <c r="AK67">
        <v>6046851</v>
      </c>
    </row>
    <row r="68" spans="1:37" x14ac:dyDescent="0.25">
      <c r="A68" s="1">
        <v>46001</v>
      </c>
      <c r="B68" s="1">
        <v>46001</v>
      </c>
      <c r="C68" t="s">
        <v>38</v>
      </c>
      <c r="D68" t="s">
        <v>39</v>
      </c>
      <c r="E68" t="s">
        <v>40</v>
      </c>
      <c r="F68" t="s">
        <v>41</v>
      </c>
      <c r="G68" t="s">
        <v>42</v>
      </c>
      <c r="H68" t="s">
        <v>43</v>
      </c>
      <c r="I68" t="s">
        <v>701</v>
      </c>
      <c r="J68" t="s">
        <v>203</v>
      </c>
      <c r="M68" t="s">
        <v>69</v>
      </c>
      <c r="O68" t="s">
        <v>70</v>
      </c>
      <c r="P68" t="s">
        <v>71</v>
      </c>
      <c r="Q68" t="s">
        <v>48</v>
      </c>
      <c r="R68" t="s">
        <v>56</v>
      </c>
      <c r="S68" s="1">
        <v>46023</v>
      </c>
      <c r="U68" t="s">
        <v>50</v>
      </c>
      <c r="X68" t="s">
        <v>51</v>
      </c>
      <c r="Y68" s="2">
        <v>0</v>
      </c>
      <c r="Z68" s="2">
        <v>175</v>
      </c>
      <c r="AA68">
        <v>1</v>
      </c>
      <c r="AB68" s="3">
        <v>1</v>
      </c>
      <c r="AC68" s="2">
        <v>175</v>
      </c>
      <c r="AD68" s="3">
        <v>0</v>
      </c>
      <c r="AE68" s="2">
        <v>0</v>
      </c>
      <c r="AF68" s="2">
        <v>175</v>
      </c>
      <c r="AK68">
        <v>6046737</v>
      </c>
    </row>
    <row r="69" spans="1:37" x14ac:dyDescent="0.25">
      <c r="A69" s="1">
        <v>46001</v>
      </c>
      <c r="B69" s="1">
        <v>46001</v>
      </c>
      <c r="C69" t="s">
        <v>38</v>
      </c>
      <c r="D69" t="s">
        <v>39</v>
      </c>
      <c r="E69" t="s">
        <v>40</v>
      </c>
      <c r="F69" t="s">
        <v>41</v>
      </c>
      <c r="G69" t="s">
        <v>42</v>
      </c>
      <c r="H69" t="s">
        <v>43</v>
      </c>
      <c r="I69" t="s">
        <v>702</v>
      </c>
      <c r="J69" t="s">
        <v>204</v>
      </c>
      <c r="M69" t="s">
        <v>45</v>
      </c>
      <c r="O69" t="s">
        <v>80</v>
      </c>
      <c r="P69" t="s">
        <v>81</v>
      </c>
      <c r="Q69" t="s">
        <v>48</v>
      </c>
      <c r="R69" t="s">
        <v>56</v>
      </c>
      <c r="S69" s="1">
        <v>46023</v>
      </c>
      <c r="U69" t="s">
        <v>50</v>
      </c>
      <c r="X69" t="s">
        <v>51</v>
      </c>
      <c r="Y69" s="2">
        <v>0</v>
      </c>
      <c r="Z69" s="2">
        <v>175</v>
      </c>
      <c r="AA69">
        <v>1</v>
      </c>
      <c r="AB69" s="3">
        <v>1</v>
      </c>
      <c r="AC69" s="2">
        <v>175</v>
      </c>
      <c r="AD69" s="3">
        <v>0</v>
      </c>
      <c r="AE69" s="2">
        <v>0</v>
      </c>
      <c r="AF69" s="2">
        <v>175</v>
      </c>
      <c r="AK69">
        <v>6046852</v>
      </c>
    </row>
    <row r="70" spans="1:37" x14ac:dyDescent="0.25">
      <c r="A70" s="1">
        <v>46001</v>
      </c>
      <c r="B70" s="1">
        <v>46001</v>
      </c>
      <c r="C70" t="s">
        <v>38</v>
      </c>
      <c r="D70" t="s">
        <v>39</v>
      </c>
      <c r="E70" t="s">
        <v>40</v>
      </c>
      <c r="F70" t="s">
        <v>41</v>
      </c>
      <c r="G70" t="s">
        <v>42</v>
      </c>
      <c r="H70" t="s">
        <v>43</v>
      </c>
      <c r="I70" t="s">
        <v>703</v>
      </c>
      <c r="J70" t="s">
        <v>205</v>
      </c>
      <c r="M70" t="s">
        <v>45</v>
      </c>
      <c r="O70" t="s">
        <v>80</v>
      </c>
      <c r="P70" t="s">
        <v>81</v>
      </c>
      <c r="Q70" t="s">
        <v>48</v>
      </c>
      <c r="R70" t="s">
        <v>56</v>
      </c>
      <c r="S70" s="1">
        <v>46023</v>
      </c>
      <c r="U70" t="s">
        <v>50</v>
      </c>
      <c r="X70" t="s">
        <v>51</v>
      </c>
      <c r="Y70" s="2">
        <v>0</v>
      </c>
      <c r="Z70" s="2">
        <v>175</v>
      </c>
      <c r="AA70">
        <v>1</v>
      </c>
      <c r="AB70" s="3">
        <v>1</v>
      </c>
      <c r="AC70" s="2">
        <v>175</v>
      </c>
      <c r="AD70" s="3">
        <v>0</v>
      </c>
      <c r="AE70" s="2">
        <v>0</v>
      </c>
      <c r="AF70" s="2">
        <v>175</v>
      </c>
      <c r="AK70">
        <v>6046853</v>
      </c>
    </row>
    <row r="71" spans="1:37" x14ac:dyDescent="0.25">
      <c r="A71" s="1">
        <v>46001</v>
      </c>
      <c r="B71" s="1">
        <v>46001</v>
      </c>
      <c r="C71" t="s">
        <v>38</v>
      </c>
      <c r="D71" t="s">
        <v>39</v>
      </c>
      <c r="E71" t="s">
        <v>40</v>
      </c>
      <c r="F71" t="s">
        <v>41</v>
      </c>
      <c r="G71" t="s">
        <v>42</v>
      </c>
      <c r="H71" t="s">
        <v>43</v>
      </c>
      <c r="I71" t="s">
        <v>704</v>
      </c>
      <c r="J71" t="s">
        <v>206</v>
      </c>
      <c r="M71" t="s">
        <v>45</v>
      </c>
      <c r="O71" t="s">
        <v>85</v>
      </c>
      <c r="P71" t="s">
        <v>86</v>
      </c>
      <c r="Q71" t="s">
        <v>48</v>
      </c>
      <c r="R71" t="s">
        <v>56</v>
      </c>
      <c r="S71" s="1">
        <v>45992</v>
      </c>
      <c r="U71" t="s">
        <v>50</v>
      </c>
      <c r="X71" t="s">
        <v>51</v>
      </c>
      <c r="Y71" s="2">
        <v>0</v>
      </c>
      <c r="Z71" s="2">
        <v>175</v>
      </c>
      <c r="AA71">
        <v>1</v>
      </c>
      <c r="AB71" s="3">
        <v>1</v>
      </c>
      <c r="AC71" s="2">
        <v>175</v>
      </c>
      <c r="AD71" s="3">
        <v>0</v>
      </c>
      <c r="AE71" s="2">
        <v>0</v>
      </c>
      <c r="AF71" s="2">
        <v>175</v>
      </c>
      <c r="AK71">
        <v>6046854</v>
      </c>
    </row>
    <row r="72" spans="1:37" x14ac:dyDescent="0.25">
      <c r="A72" s="1">
        <v>46001</v>
      </c>
      <c r="B72" s="1">
        <v>46001</v>
      </c>
      <c r="C72" t="s">
        <v>38</v>
      </c>
      <c r="D72" t="s">
        <v>39</v>
      </c>
      <c r="E72" t="s">
        <v>40</v>
      </c>
      <c r="F72" t="s">
        <v>41</v>
      </c>
      <c r="G72" t="s">
        <v>42</v>
      </c>
      <c r="H72" t="s">
        <v>43</v>
      </c>
      <c r="I72" t="s">
        <v>705</v>
      </c>
      <c r="J72" t="s">
        <v>207</v>
      </c>
      <c r="M72" t="s">
        <v>45</v>
      </c>
      <c r="O72" t="s">
        <v>85</v>
      </c>
      <c r="P72" t="s">
        <v>86</v>
      </c>
      <c r="Q72" t="s">
        <v>48</v>
      </c>
      <c r="R72" t="s">
        <v>56</v>
      </c>
      <c r="S72" s="1">
        <v>45992</v>
      </c>
      <c r="U72" t="s">
        <v>50</v>
      </c>
      <c r="X72" t="s">
        <v>51</v>
      </c>
      <c r="Y72" s="2">
        <v>0</v>
      </c>
      <c r="Z72" s="2">
        <v>175</v>
      </c>
      <c r="AA72">
        <v>1</v>
      </c>
      <c r="AB72" s="3">
        <v>1</v>
      </c>
      <c r="AC72" s="2">
        <v>175</v>
      </c>
      <c r="AD72" s="3">
        <v>0</v>
      </c>
      <c r="AE72" s="2">
        <v>0</v>
      </c>
      <c r="AF72" s="2">
        <v>175</v>
      </c>
      <c r="AK72">
        <v>6046855</v>
      </c>
    </row>
    <row r="73" spans="1:37" x14ac:dyDescent="0.25">
      <c r="A73" s="1">
        <v>46001</v>
      </c>
      <c r="B73" s="1">
        <v>46001</v>
      </c>
      <c r="C73" t="s">
        <v>38</v>
      </c>
      <c r="D73" t="s">
        <v>39</v>
      </c>
      <c r="E73" t="s">
        <v>40</v>
      </c>
      <c r="F73" t="s">
        <v>41</v>
      </c>
      <c r="G73" t="s">
        <v>42</v>
      </c>
      <c r="H73" t="s">
        <v>43</v>
      </c>
      <c r="I73" t="s">
        <v>706</v>
      </c>
      <c r="J73" t="s">
        <v>208</v>
      </c>
      <c r="M73" t="s">
        <v>45</v>
      </c>
      <c r="O73" t="s">
        <v>74</v>
      </c>
      <c r="P73" t="s">
        <v>75</v>
      </c>
      <c r="Q73" t="s">
        <v>48</v>
      </c>
      <c r="R73" t="s">
        <v>56</v>
      </c>
      <c r="S73" s="1">
        <v>46023</v>
      </c>
      <c r="U73" t="s">
        <v>50</v>
      </c>
      <c r="X73" t="s">
        <v>51</v>
      </c>
      <c r="Y73" s="2">
        <v>0</v>
      </c>
      <c r="Z73" s="2">
        <v>175</v>
      </c>
      <c r="AA73">
        <v>1</v>
      </c>
      <c r="AB73" s="3">
        <v>1</v>
      </c>
      <c r="AC73" s="2">
        <v>175</v>
      </c>
      <c r="AD73" s="3">
        <v>0</v>
      </c>
      <c r="AE73" s="2">
        <v>0</v>
      </c>
      <c r="AF73" s="2">
        <v>175</v>
      </c>
      <c r="AK73">
        <v>6046856</v>
      </c>
    </row>
    <row r="74" spans="1:37" x14ac:dyDescent="0.25">
      <c r="A74" s="1">
        <v>46001</v>
      </c>
      <c r="B74" s="1">
        <v>46001</v>
      </c>
      <c r="C74" t="s">
        <v>38</v>
      </c>
      <c r="D74" t="s">
        <v>39</v>
      </c>
      <c r="E74" t="s">
        <v>40</v>
      </c>
      <c r="F74" t="s">
        <v>41</v>
      </c>
      <c r="G74" t="s">
        <v>42</v>
      </c>
      <c r="H74" t="s">
        <v>43</v>
      </c>
      <c r="I74" t="s">
        <v>707</v>
      </c>
      <c r="J74" t="s">
        <v>209</v>
      </c>
      <c r="M74" t="s">
        <v>45</v>
      </c>
      <c r="O74" t="s">
        <v>174</v>
      </c>
      <c r="P74" t="s">
        <v>175</v>
      </c>
      <c r="Q74" t="s">
        <v>48</v>
      </c>
      <c r="R74" t="s">
        <v>56</v>
      </c>
      <c r="S74" s="1">
        <v>46023</v>
      </c>
      <c r="U74" t="s">
        <v>50</v>
      </c>
      <c r="X74" t="s">
        <v>51</v>
      </c>
      <c r="Y74" s="2">
        <v>0</v>
      </c>
      <c r="Z74" s="2">
        <v>175</v>
      </c>
      <c r="AA74">
        <v>1</v>
      </c>
      <c r="AB74" s="3">
        <v>1</v>
      </c>
      <c r="AC74" s="2">
        <v>175</v>
      </c>
      <c r="AD74" s="3">
        <v>0</v>
      </c>
      <c r="AE74" s="2">
        <v>0</v>
      </c>
      <c r="AF74" s="2">
        <v>175</v>
      </c>
      <c r="AK74">
        <v>6046857</v>
      </c>
    </row>
    <row r="75" spans="1:37" x14ac:dyDescent="0.25">
      <c r="A75" s="1">
        <v>46001</v>
      </c>
      <c r="B75" s="1">
        <v>46001</v>
      </c>
      <c r="C75" t="s">
        <v>38</v>
      </c>
      <c r="D75" t="s">
        <v>39</v>
      </c>
      <c r="E75" t="s">
        <v>40</v>
      </c>
      <c r="F75" t="s">
        <v>41</v>
      </c>
      <c r="G75" t="s">
        <v>42</v>
      </c>
      <c r="H75" t="s">
        <v>43</v>
      </c>
      <c r="I75" t="s">
        <v>708</v>
      </c>
      <c r="J75" t="s">
        <v>210</v>
      </c>
      <c r="M75" t="s">
        <v>69</v>
      </c>
      <c r="O75" t="s">
        <v>70</v>
      </c>
      <c r="P75" t="s">
        <v>71</v>
      </c>
      <c r="Q75" t="s">
        <v>48</v>
      </c>
      <c r="R75" t="s">
        <v>56</v>
      </c>
      <c r="S75" s="1">
        <v>45992</v>
      </c>
      <c r="U75" t="s">
        <v>50</v>
      </c>
      <c r="X75" t="s">
        <v>51</v>
      </c>
      <c r="Y75" s="2">
        <v>0</v>
      </c>
      <c r="Z75" s="2">
        <v>175</v>
      </c>
      <c r="AA75">
        <v>1</v>
      </c>
      <c r="AB75" s="3">
        <v>1</v>
      </c>
      <c r="AC75" s="2">
        <v>175</v>
      </c>
      <c r="AD75" s="3">
        <v>0</v>
      </c>
      <c r="AE75" s="2">
        <v>0</v>
      </c>
      <c r="AF75" s="2">
        <v>175</v>
      </c>
      <c r="AK75">
        <v>6046738</v>
      </c>
    </row>
    <row r="76" spans="1:37" x14ac:dyDescent="0.25">
      <c r="A76" s="1">
        <v>46001</v>
      </c>
      <c r="B76" s="1">
        <v>46001</v>
      </c>
      <c r="C76" t="s">
        <v>38</v>
      </c>
      <c r="D76" t="s">
        <v>39</v>
      </c>
      <c r="E76" t="s">
        <v>40</v>
      </c>
      <c r="F76" t="s">
        <v>41</v>
      </c>
      <c r="G76" t="s">
        <v>42</v>
      </c>
      <c r="H76" t="s">
        <v>43</v>
      </c>
      <c r="I76" t="s">
        <v>709</v>
      </c>
      <c r="J76" t="s">
        <v>211</v>
      </c>
      <c r="M76" t="s">
        <v>169</v>
      </c>
      <c r="O76" t="s">
        <v>96</v>
      </c>
      <c r="P76" t="s">
        <v>97</v>
      </c>
      <c r="Q76" t="s">
        <v>48</v>
      </c>
      <c r="R76" t="s">
        <v>56</v>
      </c>
      <c r="S76" s="1">
        <v>46023</v>
      </c>
      <c r="U76" t="s">
        <v>50</v>
      </c>
      <c r="X76" t="s">
        <v>51</v>
      </c>
      <c r="Y76" s="2">
        <v>0</v>
      </c>
      <c r="Z76" s="2">
        <v>175</v>
      </c>
      <c r="AA76">
        <v>1</v>
      </c>
      <c r="AB76" s="3">
        <v>1</v>
      </c>
      <c r="AC76" s="2">
        <v>175</v>
      </c>
      <c r="AD76" s="3">
        <v>0</v>
      </c>
      <c r="AE76" s="2">
        <v>0</v>
      </c>
      <c r="AF76" s="2">
        <v>175</v>
      </c>
      <c r="AK76">
        <v>6046858</v>
      </c>
    </row>
    <row r="77" spans="1:37" x14ac:dyDescent="0.25">
      <c r="A77" s="1">
        <v>46001</v>
      </c>
      <c r="B77" s="1">
        <v>46001</v>
      </c>
      <c r="C77" t="s">
        <v>38</v>
      </c>
      <c r="D77" t="s">
        <v>39</v>
      </c>
      <c r="E77" t="s">
        <v>40</v>
      </c>
      <c r="F77" t="s">
        <v>41</v>
      </c>
      <c r="G77" t="s">
        <v>42</v>
      </c>
      <c r="H77" t="s">
        <v>43</v>
      </c>
      <c r="I77" t="s">
        <v>710</v>
      </c>
      <c r="J77" t="s">
        <v>212</v>
      </c>
      <c r="M77" t="s">
        <v>45</v>
      </c>
      <c r="O77" t="s">
        <v>80</v>
      </c>
      <c r="P77" t="s">
        <v>81</v>
      </c>
      <c r="Q77" t="s">
        <v>48</v>
      </c>
      <c r="R77" t="s">
        <v>56</v>
      </c>
      <c r="S77" s="1">
        <v>46023</v>
      </c>
      <c r="U77" t="s">
        <v>50</v>
      </c>
      <c r="X77" t="s">
        <v>51</v>
      </c>
      <c r="Y77" s="2">
        <v>0</v>
      </c>
      <c r="Z77" s="2">
        <v>175</v>
      </c>
      <c r="AA77">
        <v>1</v>
      </c>
      <c r="AB77" s="3">
        <v>1</v>
      </c>
      <c r="AC77" s="2">
        <v>175</v>
      </c>
      <c r="AD77" s="3">
        <v>0</v>
      </c>
      <c r="AE77" s="2">
        <v>0</v>
      </c>
      <c r="AF77" s="2">
        <v>175</v>
      </c>
      <c r="AK77">
        <v>6046859</v>
      </c>
    </row>
    <row r="78" spans="1:37" x14ac:dyDescent="0.25">
      <c r="A78" s="1">
        <v>46001</v>
      </c>
      <c r="B78" s="1">
        <v>46001</v>
      </c>
      <c r="C78" t="s">
        <v>38</v>
      </c>
      <c r="D78" t="s">
        <v>39</v>
      </c>
      <c r="E78" t="s">
        <v>40</v>
      </c>
      <c r="F78" t="s">
        <v>41</v>
      </c>
      <c r="G78" t="s">
        <v>42</v>
      </c>
      <c r="H78" t="s">
        <v>43</v>
      </c>
      <c r="I78" t="s">
        <v>711</v>
      </c>
      <c r="J78" t="s">
        <v>213</v>
      </c>
      <c r="M78" t="s">
        <v>69</v>
      </c>
      <c r="O78" t="s">
        <v>70</v>
      </c>
      <c r="P78" t="s">
        <v>71</v>
      </c>
      <c r="Q78" t="s">
        <v>48</v>
      </c>
      <c r="R78" t="s">
        <v>56</v>
      </c>
      <c r="S78" s="1">
        <v>46023</v>
      </c>
      <c r="U78" t="s">
        <v>50</v>
      </c>
      <c r="X78" t="s">
        <v>51</v>
      </c>
      <c r="Y78" s="2">
        <v>0</v>
      </c>
      <c r="Z78" s="2">
        <v>175</v>
      </c>
      <c r="AA78">
        <v>1</v>
      </c>
      <c r="AB78" s="3">
        <v>1</v>
      </c>
      <c r="AC78" s="2">
        <v>175</v>
      </c>
      <c r="AD78" s="3">
        <v>0</v>
      </c>
      <c r="AE78" s="2">
        <v>0</v>
      </c>
      <c r="AF78" s="2">
        <v>175</v>
      </c>
      <c r="AK78">
        <v>6046739</v>
      </c>
    </row>
    <row r="79" spans="1:37" x14ac:dyDescent="0.25">
      <c r="A79" s="1">
        <v>46001</v>
      </c>
      <c r="B79" s="1">
        <v>46001</v>
      </c>
      <c r="C79" t="s">
        <v>38</v>
      </c>
      <c r="D79" t="s">
        <v>39</v>
      </c>
      <c r="E79" t="s">
        <v>40</v>
      </c>
      <c r="F79" t="s">
        <v>41</v>
      </c>
      <c r="G79" t="s">
        <v>42</v>
      </c>
      <c r="H79" t="s">
        <v>43</v>
      </c>
      <c r="I79" t="s">
        <v>712</v>
      </c>
      <c r="J79" t="s">
        <v>214</v>
      </c>
      <c r="M79" t="s">
        <v>45</v>
      </c>
      <c r="O79" t="s">
        <v>201</v>
      </c>
      <c r="P79" t="s">
        <v>202</v>
      </c>
      <c r="Q79" t="s">
        <v>48</v>
      </c>
      <c r="R79" t="s">
        <v>56</v>
      </c>
      <c r="S79" s="1">
        <v>46023</v>
      </c>
      <c r="U79" t="s">
        <v>50</v>
      </c>
      <c r="X79" t="s">
        <v>51</v>
      </c>
      <c r="Y79" s="2">
        <v>0</v>
      </c>
      <c r="Z79" s="2">
        <v>175</v>
      </c>
      <c r="AA79">
        <v>1</v>
      </c>
      <c r="AB79" s="3">
        <v>1</v>
      </c>
      <c r="AC79" s="2">
        <v>175</v>
      </c>
      <c r="AD79" s="3">
        <v>0</v>
      </c>
      <c r="AE79" s="2">
        <v>0</v>
      </c>
      <c r="AF79" s="2">
        <v>175</v>
      </c>
      <c r="AK79">
        <v>6046860</v>
      </c>
    </row>
    <row r="80" spans="1:37" x14ac:dyDescent="0.25">
      <c r="A80" s="1">
        <v>46001</v>
      </c>
      <c r="B80" s="1">
        <v>46001</v>
      </c>
      <c r="C80" t="s">
        <v>38</v>
      </c>
      <c r="D80" t="s">
        <v>39</v>
      </c>
      <c r="E80" t="s">
        <v>40</v>
      </c>
      <c r="F80" t="s">
        <v>41</v>
      </c>
      <c r="G80" t="s">
        <v>42</v>
      </c>
      <c r="H80" t="s">
        <v>43</v>
      </c>
      <c r="I80" t="s">
        <v>713</v>
      </c>
      <c r="J80" t="s">
        <v>215</v>
      </c>
      <c r="M80" t="s">
        <v>45</v>
      </c>
      <c r="O80" t="s">
        <v>201</v>
      </c>
      <c r="P80" t="s">
        <v>202</v>
      </c>
      <c r="Q80" t="s">
        <v>48</v>
      </c>
      <c r="R80" t="s">
        <v>56</v>
      </c>
      <c r="S80" s="1">
        <v>46023</v>
      </c>
      <c r="U80" t="s">
        <v>50</v>
      </c>
      <c r="X80" t="s">
        <v>51</v>
      </c>
      <c r="Y80" s="2">
        <v>0</v>
      </c>
      <c r="Z80" s="2">
        <v>175</v>
      </c>
      <c r="AA80">
        <v>1</v>
      </c>
      <c r="AB80" s="3">
        <v>1</v>
      </c>
      <c r="AC80" s="2">
        <v>175</v>
      </c>
      <c r="AD80" s="3">
        <v>0</v>
      </c>
      <c r="AE80" s="2">
        <v>0</v>
      </c>
      <c r="AF80" s="2">
        <v>175</v>
      </c>
      <c r="AK80">
        <v>6046861</v>
      </c>
    </row>
    <row r="81" spans="1:37" x14ac:dyDescent="0.25">
      <c r="A81" s="1">
        <v>46001</v>
      </c>
      <c r="B81" s="1">
        <v>46001</v>
      </c>
      <c r="C81" t="s">
        <v>38</v>
      </c>
      <c r="D81" t="s">
        <v>39</v>
      </c>
      <c r="E81" t="s">
        <v>40</v>
      </c>
      <c r="F81" t="s">
        <v>41</v>
      </c>
      <c r="G81" t="s">
        <v>42</v>
      </c>
      <c r="H81" t="s">
        <v>43</v>
      </c>
      <c r="I81" t="s">
        <v>714</v>
      </c>
      <c r="J81" t="s">
        <v>216</v>
      </c>
      <c r="M81" t="s">
        <v>169</v>
      </c>
      <c r="O81" t="s">
        <v>93</v>
      </c>
      <c r="P81" t="s">
        <v>94</v>
      </c>
      <c r="Q81" t="s">
        <v>48</v>
      </c>
      <c r="R81" t="s">
        <v>56</v>
      </c>
      <c r="S81" s="1">
        <v>46023</v>
      </c>
      <c r="U81" t="s">
        <v>50</v>
      </c>
      <c r="X81" t="s">
        <v>51</v>
      </c>
      <c r="Y81" s="2">
        <v>0</v>
      </c>
      <c r="Z81" s="2">
        <v>175</v>
      </c>
      <c r="AA81">
        <v>1</v>
      </c>
      <c r="AB81" s="3">
        <v>1</v>
      </c>
      <c r="AC81" s="2">
        <v>175</v>
      </c>
      <c r="AD81" s="3">
        <v>0</v>
      </c>
      <c r="AE81" s="2">
        <v>0</v>
      </c>
      <c r="AF81" s="2">
        <v>175</v>
      </c>
      <c r="AK81">
        <v>6046862</v>
      </c>
    </row>
    <row r="82" spans="1:37" x14ac:dyDescent="0.25">
      <c r="A82" s="1">
        <v>46001</v>
      </c>
      <c r="B82" s="1">
        <v>46001</v>
      </c>
      <c r="C82" t="s">
        <v>38</v>
      </c>
      <c r="D82" t="s">
        <v>39</v>
      </c>
      <c r="E82" t="s">
        <v>40</v>
      </c>
      <c r="F82" t="s">
        <v>41</v>
      </c>
      <c r="G82" t="s">
        <v>42</v>
      </c>
      <c r="H82" t="s">
        <v>43</v>
      </c>
      <c r="I82" t="s">
        <v>715</v>
      </c>
      <c r="J82" t="s">
        <v>217</v>
      </c>
      <c r="M82" t="s">
        <v>169</v>
      </c>
      <c r="O82" t="s">
        <v>96</v>
      </c>
      <c r="P82" t="s">
        <v>97</v>
      </c>
      <c r="Q82" t="s">
        <v>48</v>
      </c>
      <c r="R82" t="s">
        <v>56</v>
      </c>
      <c r="S82" s="1">
        <v>46023</v>
      </c>
      <c r="U82" t="s">
        <v>50</v>
      </c>
      <c r="X82" t="s">
        <v>51</v>
      </c>
      <c r="Y82" s="2">
        <v>0</v>
      </c>
      <c r="Z82" s="2">
        <v>175</v>
      </c>
      <c r="AA82">
        <v>1</v>
      </c>
      <c r="AB82" s="3">
        <v>1</v>
      </c>
      <c r="AC82" s="2">
        <v>175</v>
      </c>
      <c r="AD82" s="3">
        <v>0</v>
      </c>
      <c r="AE82" s="2">
        <v>0</v>
      </c>
      <c r="AF82" s="2">
        <v>175</v>
      </c>
      <c r="AK82">
        <v>6046863</v>
      </c>
    </row>
    <row r="83" spans="1:37" x14ac:dyDescent="0.25">
      <c r="A83" s="1">
        <v>46001</v>
      </c>
      <c r="B83" s="1">
        <v>46001</v>
      </c>
      <c r="C83" t="s">
        <v>38</v>
      </c>
      <c r="D83" t="s">
        <v>39</v>
      </c>
      <c r="E83" t="s">
        <v>40</v>
      </c>
      <c r="F83" t="s">
        <v>41</v>
      </c>
      <c r="G83" t="s">
        <v>42</v>
      </c>
      <c r="H83" t="s">
        <v>43</v>
      </c>
      <c r="I83" t="s">
        <v>716</v>
      </c>
      <c r="J83" t="s">
        <v>218</v>
      </c>
      <c r="M83" t="s">
        <v>45</v>
      </c>
      <c r="O83" t="s">
        <v>117</v>
      </c>
      <c r="P83" t="s">
        <v>118</v>
      </c>
      <c r="Q83" t="s">
        <v>48</v>
      </c>
      <c r="R83" t="s">
        <v>56</v>
      </c>
      <c r="S83" s="1">
        <v>46023</v>
      </c>
      <c r="U83" t="s">
        <v>50</v>
      </c>
      <c r="X83" t="s">
        <v>51</v>
      </c>
      <c r="Y83" s="2">
        <v>0</v>
      </c>
      <c r="Z83" s="2">
        <v>175</v>
      </c>
      <c r="AA83">
        <v>1</v>
      </c>
      <c r="AB83" s="3">
        <v>1</v>
      </c>
      <c r="AC83" s="2">
        <v>175</v>
      </c>
      <c r="AD83" s="3">
        <v>0</v>
      </c>
      <c r="AE83" s="2">
        <v>0</v>
      </c>
      <c r="AF83" s="2">
        <v>175</v>
      </c>
      <c r="AK83">
        <v>6046864</v>
      </c>
    </row>
    <row r="84" spans="1:37" x14ac:dyDescent="0.25">
      <c r="A84" s="1">
        <v>46001</v>
      </c>
      <c r="B84" s="1">
        <v>46001</v>
      </c>
      <c r="C84" t="s">
        <v>38</v>
      </c>
      <c r="D84" t="s">
        <v>39</v>
      </c>
      <c r="E84" t="s">
        <v>40</v>
      </c>
      <c r="F84" t="s">
        <v>41</v>
      </c>
      <c r="G84" t="s">
        <v>42</v>
      </c>
      <c r="H84" t="s">
        <v>43</v>
      </c>
      <c r="I84" t="s">
        <v>717</v>
      </c>
      <c r="J84" t="s">
        <v>219</v>
      </c>
      <c r="M84" t="s">
        <v>220</v>
      </c>
      <c r="O84" t="s">
        <v>63</v>
      </c>
      <c r="P84" t="s">
        <v>64</v>
      </c>
      <c r="Q84" t="s">
        <v>48</v>
      </c>
      <c r="R84" t="s">
        <v>56</v>
      </c>
      <c r="S84" s="1">
        <v>46023</v>
      </c>
      <c r="U84" t="s">
        <v>50</v>
      </c>
      <c r="X84" t="s">
        <v>51</v>
      </c>
      <c r="Y84" s="2">
        <v>0</v>
      </c>
      <c r="Z84" s="2">
        <v>175</v>
      </c>
      <c r="AA84">
        <v>1</v>
      </c>
      <c r="AB84" s="3">
        <v>1</v>
      </c>
      <c r="AC84" s="2">
        <v>175</v>
      </c>
      <c r="AD84" s="3">
        <v>0</v>
      </c>
      <c r="AE84" s="2">
        <v>0</v>
      </c>
      <c r="AF84" s="2">
        <v>175</v>
      </c>
      <c r="AK84">
        <v>6046865</v>
      </c>
    </row>
    <row r="85" spans="1:37" x14ac:dyDescent="0.25">
      <c r="A85" s="1">
        <v>46001</v>
      </c>
      <c r="B85" s="1">
        <v>46001</v>
      </c>
      <c r="C85" t="s">
        <v>38</v>
      </c>
      <c r="D85" t="s">
        <v>39</v>
      </c>
      <c r="E85" t="s">
        <v>40</v>
      </c>
      <c r="F85" t="s">
        <v>41</v>
      </c>
      <c r="G85" t="s">
        <v>42</v>
      </c>
      <c r="H85" t="s">
        <v>43</v>
      </c>
      <c r="I85" t="s">
        <v>718</v>
      </c>
      <c r="J85" t="s">
        <v>221</v>
      </c>
      <c r="M85" t="s">
        <v>222</v>
      </c>
      <c r="O85" t="s">
        <v>162</v>
      </c>
      <c r="P85" t="s">
        <v>163</v>
      </c>
      <c r="Q85" t="s">
        <v>48</v>
      </c>
      <c r="R85" t="s">
        <v>56</v>
      </c>
      <c r="S85" s="1">
        <v>46023</v>
      </c>
      <c r="U85" t="s">
        <v>50</v>
      </c>
      <c r="X85" t="s">
        <v>51</v>
      </c>
      <c r="Y85" s="2">
        <v>0</v>
      </c>
      <c r="Z85" s="2">
        <v>175</v>
      </c>
      <c r="AA85">
        <v>1</v>
      </c>
      <c r="AB85" s="3">
        <v>1</v>
      </c>
      <c r="AC85" s="2">
        <v>175</v>
      </c>
      <c r="AD85" s="3">
        <v>0</v>
      </c>
      <c r="AE85" s="2">
        <v>0</v>
      </c>
      <c r="AF85" s="2">
        <v>175</v>
      </c>
      <c r="AK85">
        <v>6046866</v>
      </c>
    </row>
    <row r="86" spans="1:37" x14ac:dyDescent="0.25">
      <c r="A86" s="1">
        <v>46001</v>
      </c>
      <c r="B86" s="1">
        <v>46001</v>
      </c>
      <c r="C86" t="s">
        <v>38</v>
      </c>
      <c r="D86" t="s">
        <v>39</v>
      </c>
      <c r="E86" t="s">
        <v>40</v>
      </c>
      <c r="F86" t="s">
        <v>41</v>
      </c>
      <c r="G86" t="s">
        <v>42</v>
      </c>
      <c r="H86" t="s">
        <v>43</v>
      </c>
      <c r="I86" t="s">
        <v>719</v>
      </c>
      <c r="J86" t="s">
        <v>223</v>
      </c>
      <c r="M86" t="s">
        <v>45</v>
      </c>
      <c r="O86" t="s">
        <v>80</v>
      </c>
      <c r="P86" t="s">
        <v>81</v>
      </c>
      <c r="Q86" t="s">
        <v>48</v>
      </c>
      <c r="R86" t="s">
        <v>56</v>
      </c>
      <c r="S86" s="1">
        <v>46023</v>
      </c>
      <c r="U86" t="s">
        <v>50</v>
      </c>
      <c r="X86" t="s">
        <v>51</v>
      </c>
      <c r="Y86" s="2">
        <v>0</v>
      </c>
      <c r="Z86" s="2">
        <v>175</v>
      </c>
      <c r="AA86">
        <v>1</v>
      </c>
      <c r="AB86" s="3">
        <v>1</v>
      </c>
      <c r="AC86" s="2">
        <v>175</v>
      </c>
      <c r="AD86" s="3">
        <v>0</v>
      </c>
      <c r="AE86" s="2">
        <v>0</v>
      </c>
      <c r="AF86" s="2">
        <v>175</v>
      </c>
      <c r="AK86">
        <v>6046867</v>
      </c>
    </row>
    <row r="87" spans="1:37" x14ac:dyDescent="0.25">
      <c r="A87" s="1">
        <v>46001</v>
      </c>
      <c r="B87" s="1">
        <v>46001</v>
      </c>
      <c r="C87" t="s">
        <v>38</v>
      </c>
      <c r="D87" t="s">
        <v>39</v>
      </c>
      <c r="E87" t="s">
        <v>40</v>
      </c>
      <c r="F87" t="s">
        <v>41</v>
      </c>
      <c r="G87" t="s">
        <v>42</v>
      </c>
      <c r="H87" t="s">
        <v>43</v>
      </c>
      <c r="I87" t="s">
        <v>720</v>
      </c>
      <c r="J87" t="s">
        <v>224</v>
      </c>
      <c r="M87" t="s">
        <v>69</v>
      </c>
      <c r="O87" t="s">
        <v>70</v>
      </c>
      <c r="P87" t="s">
        <v>71</v>
      </c>
      <c r="Q87" t="s">
        <v>48</v>
      </c>
      <c r="R87" t="s">
        <v>56</v>
      </c>
      <c r="S87" s="1">
        <v>46023</v>
      </c>
      <c r="U87" t="s">
        <v>50</v>
      </c>
      <c r="X87" t="s">
        <v>51</v>
      </c>
      <c r="Y87" s="2">
        <v>0</v>
      </c>
      <c r="Z87" s="2">
        <v>175</v>
      </c>
      <c r="AA87">
        <v>1</v>
      </c>
      <c r="AB87" s="3">
        <v>1</v>
      </c>
      <c r="AC87" s="2">
        <v>175</v>
      </c>
      <c r="AD87" s="3">
        <v>0</v>
      </c>
      <c r="AE87" s="2">
        <v>0</v>
      </c>
      <c r="AF87" s="2">
        <v>175</v>
      </c>
      <c r="AK87">
        <v>6046742</v>
      </c>
    </row>
    <row r="88" spans="1:37" x14ac:dyDescent="0.25">
      <c r="A88" s="1">
        <v>46001</v>
      </c>
      <c r="B88" s="1">
        <v>46001</v>
      </c>
      <c r="C88" t="s">
        <v>38</v>
      </c>
      <c r="D88" t="s">
        <v>39</v>
      </c>
      <c r="E88" t="s">
        <v>40</v>
      </c>
      <c r="F88" t="s">
        <v>41</v>
      </c>
      <c r="G88" t="s">
        <v>42</v>
      </c>
      <c r="H88" t="s">
        <v>43</v>
      </c>
      <c r="I88" t="s">
        <v>721</v>
      </c>
      <c r="J88" t="s">
        <v>225</v>
      </c>
      <c r="M88" t="s">
        <v>69</v>
      </c>
      <c r="O88" t="s">
        <v>70</v>
      </c>
      <c r="P88" t="s">
        <v>71</v>
      </c>
      <c r="Q88" t="s">
        <v>48</v>
      </c>
      <c r="R88" t="s">
        <v>56</v>
      </c>
      <c r="S88" s="1">
        <v>46023</v>
      </c>
      <c r="U88" t="s">
        <v>50</v>
      </c>
      <c r="X88" t="s">
        <v>51</v>
      </c>
      <c r="Y88" s="2">
        <v>0</v>
      </c>
      <c r="Z88" s="2">
        <v>175</v>
      </c>
      <c r="AA88">
        <v>1</v>
      </c>
      <c r="AB88" s="3">
        <v>1</v>
      </c>
      <c r="AC88" s="2">
        <v>175</v>
      </c>
      <c r="AD88" s="3">
        <v>0</v>
      </c>
      <c r="AE88" s="2">
        <v>0</v>
      </c>
      <c r="AF88" s="2">
        <v>175</v>
      </c>
      <c r="AK88">
        <v>6046743</v>
      </c>
    </row>
    <row r="89" spans="1:37" x14ac:dyDescent="0.25">
      <c r="A89" s="1">
        <v>46001</v>
      </c>
      <c r="B89" s="1">
        <v>46001</v>
      </c>
      <c r="C89" t="s">
        <v>38</v>
      </c>
      <c r="D89" t="s">
        <v>39</v>
      </c>
      <c r="E89" t="s">
        <v>40</v>
      </c>
      <c r="F89" t="s">
        <v>41</v>
      </c>
      <c r="G89" t="s">
        <v>42</v>
      </c>
      <c r="H89" t="s">
        <v>43</v>
      </c>
      <c r="I89" t="s">
        <v>722</v>
      </c>
      <c r="J89" t="s">
        <v>226</v>
      </c>
      <c r="M89" t="s">
        <v>227</v>
      </c>
      <c r="O89" t="s">
        <v>63</v>
      </c>
      <c r="P89" t="s">
        <v>64</v>
      </c>
      <c r="Q89" t="s">
        <v>48</v>
      </c>
      <c r="R89" t="s">
        <v>56</v>
      </c>
      <c r="S89" s="1">
        <v>45992</v>
      </c>
      <c r="U89" t="s">
        <v>50</v>
      </c>
      <c r="X89" t="s">
        <v>51</v>
      </c>
      <c r="Y89" s="2">
        <v>0</v>
      </c>
      <c r="Z89" s="2">
        <v>175</v>
      </c>
      <c r="AA89">
        <v>1</v>
      </c>
      <c r="AB89" s="3">
        <v>1</v>
      </c>
      <c r="AC89" s="2">
        <v>175</v>
      </c>
      <c r="AD89" s="3">
        <v>0</v>
      </c>
      <c r="AE89" s="2">
        <v>0</v>
      </c>
      <c r="AF89" s="2">
        <v>175</v>
      </c>
      <c r="AK89">
        <v>6046868</v>
      </c>
    </row>
    <row r="90" spans="1:37" x14ac:dyDescent="0.25">
      <c r="A90" s="1">
        <v>46001</v>
      </c>
      <c r="B90" s="1">
        <v>46001</v>
      </c>
      <c r="C90" t="s">
        <v>38</v>
      </c>
      <c r="D90" t="s">
        <v>39</v>
      </c>
      <c r="E90" t="s">
        <v>40</v>
      </c>
      <c r="F90" t="s">
        <v>41</v>
      </c>
      <c r="G90" t="s">
        <v>42</v>
      </c>
      <c r="H90" t="s">
        <v>43</v>
      </c>
      <c r="I90" t="s">
        <v>723</v>
      </c>
      <c r="J90" t="s">
        <v>228</v>
      </c>
      <c r="M90" t="s">
        <v>45</v>
      </c>
      <c r="O90" t="s">
        <v>159</v>
      </c>
      <c r="P90" t="s">
        <v>160</v>
      </c>
      <c r="Q90" t="s">
        <v>48</v>
      </c>
      <c r="R90" t="s">
        <v>56</v>
      </c>
      <c r="S90" s="1">
        <v>46023</v>
      </c>
      <c r="U90" t="s">
        <v>50</v>
      </c>
      <c r="X90" t="s">
        <v>51</v>
      </c>
      <c r="Y90" s="2">
        <v>0</v>
      </c>
      <c r="Z90" s="2">
        <v>175</v>
      </c>
      <c r="AA90">
        <v>1</v>
      </c>
      <c r="AB90" s="3">
        <v>1</v>
      </c>
      <c r="AC90" s="2">
        <v>175</v>
      </c>
      <c r="AD90" s="3">
        <v>0</v>
      </c>
      <c r="AE90" s="2">
        <v>0</v>
      </c>
      <c r="AF90" s="2">
        <v>175</v>
      </c>
      <c r="AK90">
        <v>6046869</v>
      </c>
    </row>
    <row r="91" spans="1:37" x14ac:dyDescent="0.25">
      <c r="A91" s="1">
        <v>46001</v>
      </c>
      <c r="B91" s="1">
        <v>46001</v>
      </c>
      <c r="C91" t="s">
        <v>38</v>
      </c>
      <c r="D91" t="s">
        <v>39</v>
      </c>
      <c r="E91" t="s">
        <v>40</v>
      </c>
      <c r="F91" t="s">
        <v>41</v>
      </c>
      <c r="G91" t="s">
        <v>42</v>
      </c>
      <c r="H91" t="s">
        <v>43</v>
      </c>
      <c r="I91" t="s">
        <v>724</v>
      </c>
      <c r="J91" t="s">
        <v>229</v>
      </c>
      <c r="M91" t="s">
        <v>45</v>
      </c>
      <c r="O91" t="s">
        <v>80</v>
      </c>
      <c r="P91" t="s">
        <v>81</v>
      </c>
      <c r="Q91" t="s">
        <v>48</v>
      </c>
      <c r="R91" t="s">
        <v>56</v>
      </c>
      <c r="S91" s="1">
        <v>46023</v>
      </c>
      <c r="U91" t="s">
        <v>50</v>
      </c>
      <c r="X91" t="s">
        <v>51</v>
      </c>
      <c r="Y91" s="2">
        <v>0</v>
      </c>
      <c r="Z91" s="2">
        <v>175</v>
      </c>
      <c r="AA91">
        <v>1</v>
      </c>
      <c r="AB91" s="3">
        <v>1</v>
      </c>
      <c r="AC91" s="2">
        <v>175</v>
      </c>
      <c r="AD91" s="3">
        <v>0</v>
      </c>
      <c r="AE91" s="2">
        <v>0</v>
      </c>
      <c r="AF91" s="2">
        <v>175</v>
      </c>
      <c r="AK91">
        <v>6046870</v>
      </c>
    </row>
    <row r="92" spans="1:37" x14ac:dyDescent="0.25">
      <c r="A92" s="1">
        <v>46001</v>
      </c>
      <c r="B92" s="1">
        <v>46001</v>
      </c>
      <c r="C92" t="s">
        <v>38</v>
      </c>
      <c r="D92" t="s">
        <v>39</v>
      </c>
      <c r="E92" t="s">
        <v>40</v>
      </c>
      <c r="F92" t="s">
        <v>41</v>
      </c>
      <c r="G92" t="s">
        <v>42</v>
      </c>
      <c r="H92" t="s">
        <v>43</v>
      </c>
      <c r="I92" t="s">
        <v>725</v>
      </c>
      <c r="J92" t="s">
        <v>230</v>
      </c>
      <c r="M92" t="s">
        <v>45</v>
      </c>
      <c r="O92" t="s">
        <v>201</v>
      </c>
      <c r="P92" t="s">
        <v>202</v>
      </c>
      <c r="Q92" t="s">
        <v>48</v>
      </c>
      <c r="R92" t="s">
        <v>56</v>
      </c>
      <c r="S92" s="1">
        <v>46023</v>
      </c>
      <c r="U92" t="s">
        <v>50</v>
      </c>
      <c r="X92" t="s">
        <v>51</v>
      </c>
      <c r="Y92" s="2">
        <v>0</v>
      </c>
      <c r="Z92" s="2">
        <v>175</v>
      </c>
      <c r="AA92">
        <v>1</v>
      </c>
      <c r="AB92" s="3">
        <v>1</v>
      </c>
      <c r="AC92" s="2">
        <v>175</v>
      </c>
      <c r="AD92" s="3">
        <v>0</v>
      </c>
      <c r="AE92" s="2">
        <v>0</v>
      </c>
      <c r="AF92" s="2">
        <v>175</v>
      </c>
      <c r="AK92">
        <v>6046871</v>
      </c>
    </row>
    <row r="93" spans="1:37" x14ac:dyDescent="0.25">
      <c r="A93" s="1">
        <v>46001</v>
      </c>
      <c r="B93" s="1">
        <v>46001</v>
      </c>
      <c r="C93" t="s">
        <v>38</v>
      </c>
      <c r="D93" t="s">
        <v>39</v>
      </c>
      <c r="E93" t="s">
        <v>40</v>
      </c>
      <c r="F93" t="s">
        <v>41</v>
      </c>
      <c r="G93" t="s">
        <v>42</v>
      </c>
      <c r="H93" t="s">
        <v>43</v>
      </c>
      <c r="I93" t="s">
        <v>726</v>
      </c>
      <c r="J93" t="s">
        <v>231</v>
      </c>
      <c r="M93" t="s">
        <v>45</v>
      </c>
      <c r="O93" t="s">
        <v>232</v>
      </c>
      <c r="P93" t="s">
        <v>233</v>
      </c>
      <c r="Q93" t="s">
        <v>48</v>
      </c>
      <c r="R93" t="s">
        <v>56</v>
      </c>
      <c r="S93" s="1">
        <v>46023</v>
      </c>
      <c r="U93" t="s">
        <v>50</v>
      </c>
      <c r="X93" t="s">
        <v>51</v>
      </c>
      <c r="Y93" s="2">
        <v>0</v>
      </c>
      <c r="Z93" s="2">
        <v>175</v>
      </c>
      <c r="AA93">
        <v>1</v>
      </c>
      <c r="AB93" s="3">
        <v>1</v>
      </c>
      <c r="AC93" s="2">
        <v>175</v>
      </c>
      <c r="AD93" s="3">
        <v>0</v>
      </c>
      <c r="AE93" s="2">
        <v>0</v>
      </c>
      <c r="AF93" s="2">
        <v>175</v>
      </c>
      <c r="AK93">
        <v>6046872</v>
      </c>
    </row>
    <row r="94" spans="1:37" x14ac:dyDescent="0.25">
      <c r="A94" s="1">
        <v>46001</v>
      </c>
      <c r="B94" s="1">
        <v>46001</v>
      </c>
      <c r="C94" t="s">
        <v>38</v>
      </c>
      <c r="D94" t="s">
        <v>39</v>
      </c>
      <c r="E94" t="s">
        <v>40</v>
      </c>
      <c r="F94" t="s">
        <v>41</v>
      </c>
      <c r="G94" t="s">
        <v>42</v>
      </c>
      <c r="H94" t="s">
        <v>43</v>
      </c>
      <c r="I94" t="s">
        <v>727</v>
      </c>
      <c r="J94" t="s">
        <v>234</v>
      </c>
      <c r="M94" t="s">
        <v>45</v>
      </c>
      <c r="O94" t="s">
        <v>232</v>
      </c>
      <c r="P94" t="s">
        <v>233</v>
      </c>
      <c r="Q94" t="s">
        <v>48</v>
      </c>
      <c r="R94" t="s">
        <v>56</v>
      </c>
      <c r="S94" s="1">
        <v>46023</v>
      </c>
      <c r="U94" t="s">
        <v>50</v>
      </c>
      <c r="X94" t="s">
        <v>51</v>
      </c>
      <c r="Y94" s="2">
        <v>0</v>
      </c>
      <c r="Z94" s="2">
        <v>175</v>
      </c>
      <c r="AA94">
        <v>1</v>
      </c>
      <c r="AB94" s="3">
        <v>1</v>
      </c>
      <c r="AC94" s="2">
        <v>175</v>
      </c>
      <c r="AD94" s="3">
        <v>0</v>
      </c>
      <c r="AE94" s="2">
        <v>0</v>
      </c>
      <c r="AF94" s="2">
        <v>175</v>
      </c>
      <c r="AK94">
        <v>6046873</v>
      </c>
    </row>
    <row r="95" spans="1:37" x14ac:dyDescent="0.25">
      <c r="A95" s="1">
        <v>46001</v>
      </c>
      <c r="B95" s="1">
        <v>46001</v>
      </c>
      <c r="C95" t="s">
        <v>38</v>
      </c>
      <c r="D95" t="s">
        <v>39</v>
      </c>
      <c r="E95" t="s">
        <v>40</v>
      </c>
      <c r="F95" t="s">
        <v>41</v>
      </c>
      <c r="G95" t="s">
        <v>42</v>
      </c>
      <c r="H95" t="s">
        <v>43</v>
      </c>
      <c r="I95" t="s">
        <v>728</v>
      </c>
      <c r="J95" t="s">
        <v>235</v>
      </c>
      <c r="M95" t="s">
        <v>45</v>
      </c>
      <c r="O95" t="s">
        <v>232</v>
      </c>
      <c r="P95" t="s">
        <v>233</v>
      </c>
      <c r="Q95" t="s">
        <v>48</v>
      </c>
      <c r="R95" t="s">
        <v>56</v>
      </c>
      <c r="S95" s="1">
        <v>46023</v>
      </c>
      <c r="U95" t="s">
        <v>50</v>
      </c>
      <c r="X95" t="s">
        <v>51</v>
      </c>
      <c r="Y95" s="2">
        <v>0</v>
      </c>
      <c r="Z95" s="2">
        <v>175</v>
      </c>
      <c r="AA95">
        <v>1</v>
      </c>
      <c r="AB95" s="3">
        <v>1</v>
      </c>
      <c r="AC95" s="2">
        <v>175</v>
      </c>
      <c r="AD95" s="3">
        <v>0</v>
      </c>
      <c r="AE95" s="2">
        <v>0</v>
      </c>
      <c r="AF95" s="2">
        <v>175</v>
      </c>
      <c r="AK95">
        <v>6046874</v>
      </c>
    </row>
    <row r="96" spans="1:37" x14ac:dyDescent="0.25">
      <c r="A96" s="1">
        <v>46001</v>
      </c>
      <c r="B96" s="1">
        <v>46001</v>
      </c>
      <c r="C96" t="s">
        <v>38</v>
      </c>
      <c r="D96" t="s">
        <v>39</v>
      </c>
      <c r="E96" t="s">
        <v>40</v>
      </c>
      <c r="F96" t="s">
        <v>41</v>
      </c>
      <c r="G96" t="s">
        <v>42</v>
      </c>
      <c r="H96" t="s">
        <v>43</v>
      </c>
      <c r="I96" t="s">
        <v>729</v>
      </c>
      <c r="J96" t="s">
        <v>236</v>
      </c>
      <c r="M96" t="s">
        <v>45</v>
      </c>
      <c r="O96" t="s">
        <v>237</v>
      </c>
      <c r="P96" t="s">
        <v>238</v>
      </c>
      <c r="Q96" t="s">
        <v>48</v>
      </c>
      <c r="R96" t="s">
        <v>56</v>
      </c>
      <c r="S96" s="1">
        <v>46023</v>
      </c>
      <c r="U96" t="s">
        <v>50</v>
      </c>
      <c r="X96" t="s">
        <v>51</v>
      </c>
      <c r="Y96" s="2">
        <v>0</v>
      </c>
      <c r="Z96" s="2">
        <v>175</v>
      </c>
      <c r="AA96">
        <v>1</v>
      </c>
      <c r="AB96" s="3">
        <v>1</v>
      </c>
      <c r="AC96" s="2">
        <v>175</v>
      </c>
      <c r="AD96" s="3">
        <v>0</v>
      </c>
      <c r="AE96" s="2">
        <v>0</v>
      </c>
      <c r="AF96" s="2">
        <v>175</v>
      </c>
      <c r="AK96">
        <v>6046875</v>
      </c>
    </row>
    <row r="97" spans="1:37" x14ac:dyDescent="0.25">
      <c r="A97" s="1">
        <v>46001</v>
      </c>
      <c r="B97" s="1">
        <v>46001</v>
      </c>
      <c r="C97" t="s">
        <v>38</v>
      </c>
      <c r="D97" t="s">
        <v>39</v>
      </c>
      <c r="E97" t="s">
        <v>40</v>
      </c>
      <c r="F97" t="s">
        <v>41</v>
      </c>
      <c r="G97" t="s">
        <v>42</v>
      </c>
      <c r="H97" t="s">
        <v>43</v>
      </c>
      <c r="I97" t="s">
        <v>730</v>
      </c>
      <c r="J97" t="s">
        <v>239</v>
      </c>
      <c r="M97" t="s">
        <v>89</v>
      </c>
      <c r="O97" t="s">
        <v>201</v>
      </c>
      <c r="P97" t="s">
        <v>202</v>
      </c>
      <c r="Q97" t="s">
        <v>48</v>
      </c>
      <c r="R97" t="s">
        <v>56</v>
      </c>
      <c r="S97" s="1">
        <v>46023</v>
      </c>
      <c r="U97" t="s">
        <v>50</v>
      </c>
      <c r="X97" t="s">
        <v>51</v>
      </c>
      <c r="Y97" s="2">
        <v>0</v>
      </c>
      <c r="Z97" s="2">
        <v>175</v>
      </c>
      <c r="AA97">
        <v>1</v>
      </c>
      <c r="AB97" s="3">
        <v>1</v>
      </c>
      <c r="AC97" s="2">
        <v>175</v>
      </c>
      <c r="AD97" s="3">
        <v>0</v>
      </c>
      <c r="AE97" s="2">
        <v>0</v>
      </c>
      <c r="AF97" s="2">
        <v>175</v>
      </c>
      <c r="AK97">
        <v>6046876</v>
      </c>
    </row>
    <row r="98" spans="1:37" x14ac:dyDescent="0.25">
      <c r="A98" s="1">
        <v>46001</v>
      </c>
      <c r="B98" s="1">
        <v>46001</v>
      </c>
      <c r="C98" t="s">
        <v>38</v>
      </c>
      <c r="D98" t="s">
        <v>39</v>
      </c>
      <c r="E98" t="s">
        <v>40</v>
      </c>
      <c r="F98" t="s">
        <v>41</v>
      </c>
      <c r="G98" t="s">
        <v>42</v>
      </c>
      <c r="H98" t="s">
        <v>43</v>
      </c>
      <c r="I98" t="s">
        <v>731</v>
      </c>
      <c r="J98" t="s">
        <v>240</v>
      </c>
      <c r="M98" t="s">
        <v>45</v>
      </c>
      <c r="O98" t="s">
        <v>85</v>
      </c>
      <c r="P98" t="s">
        <v>86</v>
      </c>
      <c r="Q98" t="s">
        <v>48</v>
      </c>
      <c r="R98" t="s">
        <v>56</v>
      </c>
      <c r="S98" s="1">
        <v>46023</v>
      </c>
      <c r="U98" t="s">
        <v>50</v>
      </c>
      <c r="X98" t="s">
        <v>51</v>
      </c>
      <c r="Y98" s="2">
        <v>0</v>
      </c>
      <c r="Z98" s="2">
        <v>175</v>
      </c>
      <c r="AA98">
        <v>1</v>
      </c>
      <c r="AB98" s="3">
        <v>1</v>
      </c>
      <c r="AC98" s="2">
        <v>175</v>
      </c>
      <c r="AD98" s="3">
        <v>0</v>
      </c>
      <c r="AE98" s="2">
        <v>0</v>
      </c>
      <c r="AF98" s="2">
        <v>175</v>
      </c>
      <c r="AK98">
        <v>6046877</v>
      </c>
    </row>
    <row r="99" spans="1:37" x14ac:dyDescent="0.25">
      <c r="A99" s="1">
        <v>46001</v>
      </c>
      <c r="B99" s="1">
        <v>46001</v>
      </c>
      <c r="C99" t="s">
        <v>38</v>
      </c>
      <c r="D99" t="s">
        <v>39</v>
      </c>
      <c r="E99" t="s">
        <v>40</v>
      </c>
      <c r="F99" t="s">
        <v>41</v>
      </c>
      <c r="G99" t="s">
        <v>42</v>
      </c>
      <c r="H99" t="s">
        <v>43</v>
      </c>
      <c r="I99" t="s">
        <v>732</v>
      </c>
      <c r="J99" t="s">
        <v>241</v>
      </c>
      <c r="M99" t="s">
        <v>45</v>
      </c>
      <c r="O99" t="s">
        <v>232</v>
      </c>
      <c r="P99" t="s">
        <v>233</v>
      </c>
      <c r="Q99" t="s">
        <v>48</v>
      </c>
      <c r="R99" t="s">
        <v>56</v>
      </c>
      <c r="S99" s="1">
        <v>46023</v>
      </c>
      <c r="U99" t="s">
        <v>50</v>
      </c>
      <c r="X99" t="s">
        <v>51</v>
      </c>
      <c r="Y99" s="2">
        <v>0</v>
      </c>
      <c r="Z99" s="2">
        <v>175</v>
      </c>
      <c r="AA99">
        <v>1</v>
      </c>
      <c r="AB99" s="3">
        <v>1</v>
      </c>
      <c r="AC99" s="2">
        <v>175</v>
      </c>
      <c r="AD99" s="3">
        <v>0</v>
      </c>
      <c r="AE99" s="2">
        <v>0</v>
      </c>
      <c r="AF99" s="2">
        <v>175</v>
      </c>
      <c r="AK99">
        <v>6046878</v>
      </c>
    </row>
    <row r="100" spans="1:37" x14ac:dyDescent="0.25">
      <c r="A100" s="1">
        <v>46001</v>
      </c>
      <c r="B100" s="1">
        <v>46001</v>
      </c>
      <c r="C100" t="s">
        <v>38</v>
      </c>
      <c r="D100" t="s">
        <v>39</v>
      </c>
      <c r="E100" t="s">
        <v>40</v>
      </c>
      <c r="F100" t="s">
        <v>41</v>
      </c>
      <c r="G100" t="s">
        <v>42</v>
      </c>
      <c r="H100" t="s">
        <v>43</v>
      </c>
      <c r="I100" t="s">
        <v>733</v>
      </c>
      <c r="J100" t="s">
        <v>242</v>
      </c>
      <c r="M100" t="s">
        <v>45</v>
      </c>
      <c r="O100" t="s">
        <v>232</v>
      </c>
      <c r="P100" t="s">
        <v>233</v>
      </c>
      <c r="Q100" t="s">
        <v>48</v>
      </c>
      <c r="R100" t="s">
        <v>56</v>
      </c>
      <c r="S100" s="1">
        <v>46023</v>
      </c>
      <c r="U100" t="s">
        <v>50</v>
      </c>
      <c r="X100" t="s">
        <v>51</v>
      </c>
      <c r="Y100" s="2">
        <v>0</v>
      </c>
      <c r="Z100" s="2">
        <v>175</v>
      </c>
      <c r="AA100">
        <v>1</v>
      </c>
      <c r="AB100" s="3">
        <v>1</v>
      </c>
      <c r="AC100" s="2">
        <v>175</v>
      </c>
      <c r="AD100" s="3">
        <v>0</v>
      </c>
      <c r="AE100" s="2">
        <v>0</v>
      </c>
      <c r="AF100" s="2">
        <v>175</v>
      </c>
      <c r="AK100">
        <v>6046879</v>
      </c>
    </row>
    <row r="101" spans="1:37" x14ac:dyDescent="0.25">
      <c r="A101" s="1">
        <v>46001</v>
      </c>
      <c r="B101" s="1">
        <v>46001</v>
      </c>
      <c r="C101" t="s">
        <v>38</v>
      </c>
      <c r="D101" t="s">
        <v>39</v>
      </c>
      <c r="E101" t="s">
        <v>40</v>
      </c>
      <c r="F101" t="s">
        <v>41</v>
      </c>
      <c r="G101" t="s">
        <v>42</v>
      </c>
      <c r="H101" t="s">
        <v>43</v>
      </c>
      <c r="I101" t="s">
        <v>734</v>
      </c>
      <c r="J101" t="s">
        <v>243</v>
      </c>
      <c r="M101" t="s">
        <v>89</v>
      </c>
      <c r="O101" t="s">
        <v>131</v>
      </c>
      <c r="P101" t="s">
        <v>132</v>
      </c>
      <c r="Q101" t="s">
        <v>48</v>
      </c>
      <c r="R101" t="s">
        <v>56</v>
      </c>
      <c r="S101" s="1">
        <v>46023</v>
      </c>
      <c r="U101" t="s">
        <v>50</v>
      </c>
      <c r="X101" t="s">
        <v>51</v>
      </c>
      <c r="Y101" s="2">
        <v>0</v>
      </c>
      <c r="Z101" s="2">
        <v>175</v>
      </c>
      <c r="AA101">
        <v>1</v>
      </c>
      <c r="AB101" s="3">
        <v>1</v>
      </c>
      <c r="AC101" s="2">
        <v>175</v>
      </c>
      <c r="AD101" s="3">
        <v>0</v>
      </c>
      <c r="AE101" s="2">
        <v>0</v>
      </c>
      <c r="AF101" s="2">
        <v>175</v>
      </c>
      <c r="AK101">
        <v>6046880</v>
      </c>
    </row>
    <row r="102" spans="1:37" x14ac:dyDescent="0.25">
      <c r="A102" s="1">
        <v>46001</v>
      </c>
      <c r="B102" s="1">
        <v>46001</v>
      </c>
      <c r="C102" t="s">
        <v>38</v>
      </c>
      <c r="D102" t="s">
        <v>39</v>
      </c>
      <c r="E102" t="s">
        <v>40</v>
      </c>
      <c r="F102" t="s">
        <v>41</v>
      </c>
      <c r="G102" t="s">
        <v>42</v>
      </c>
      <c r="H102" t="s">
        <v>43</v>
      </c>
      <c r="I102" t="s">
        <v>735</v>
      </c>
      <c r="J102" t="s">
        <v>244</v>
      </c>
      <c r="M102" t="s">
        <v>120</v>
      </c>
      <c r="O102" t="s">
        <v>121</v>
      </c>
      <c r="P102" t="s">
        <v>122</v>
      </c>
      <c r="Q102" t="s">
        <v>48</v>
      </c>
      <c r="R102" t="s">
        <v>56</v>
      </c>
      <c r="S102" s="1">
        <v>46023</v>
      </c>
      <c r="U102" t="s">
        <v>50</v>
      </c>
      <c r="X102" t="s">
        <v>51</v>
      </c>
      <c r="Y102" s="2">
        <v>0</v>
      </c>
      <c r="Z102" s="2">
        <v>175</v>
      </c>
      <c r="AA102">
        <v>1</v>
      </c>
      <c r="AB102" s="3">
        <v>1</v>
      </c>
      <c r="AC102" s="2">
        <v>175</v>
      </c>
      <c r="AD102" s="3">
        <v>0</v>
      </c>
      <c r="AE102" s="2">
        <v>0</v>
      </c>
      <c r="AF102" s="2">
        <v>175</v>
      </c>
      <c r="AK102">
        <v>6046881</v>
      </c>
    </row>
    <row r="103" spans="1:37" x14ac:dyDescent="0.25">
      <c r="A103" s="1">
        <v>46001</v>
      </c>
      <c r="B103" s="1">
        <v>46001</v>
      </c>
      <c r="C103" t="s">
        <v>38</v>
      </c>
      <c r="D103" t="s">
        <v>39</v>
      </c>
      <c r="E103" t="s">
        <v>40</v>
      </c>
      <c r="F103" t="s">
        <v>41</v>
      </c>
      <c r="G103" t="s">
        <v>42</v>
      </c>
      <c r="H103" t="s">
        <v>43</v>
      </c>
      <c r="I103" t="s">
        <v>736</v>
      </c>
      <c r="J103" t="s">
        <v>245</v>
      </c>
      <c r="M103" t="s">
        <v>45</v>
      </c>
      <c r="O103" t="s">
        <v>117</v>
      </c>
      <c r="P103" t="s">
        <v>118</v>
      </c>
      <c r="Q103" t="s">
        <v>48</v>
      </c>
      <c r="R103" t="s">
        <v>246</v>
      </c>
      <c r="S103" s="1">
        <v>45992</v>
      </c>
      <c r="U103" t="s">
        <v>50</v>
      </c>
      <c r="X103" t="s">
        <v>51</v>
      </c>
      <c r="Y103" s="2">
        <v>0</v>
      </c>
      <c r="Z103" s="2">
        <v>15</v>
      </c>
      <c r="AA103">
        <v>1</v>
      </c>
      <c r="AB103" s="3">
        <v>1</v>
      </c>
      <c r="AC103" s="2">
        <v>15</v>
      </c>
      <c r="AD103" s="3">
        <v>0</v>
      </c>
      <c r="AE103" s="2">
        <v>0</v>
      </c>
      <c r="AF103" s="2">
        <v>15</v>
      </c>
      <c r="AK103">
        <v>6046198</v>
      </c>
    </row>
    <row r="104" spans="1:37" x14ac:dyDescent="0.25">
      <c r="A104" s="1">
        <v>46001</v>
      </c>
      <c r="B104" s="1">
        <v>46001</v>
      </c>
      <c r="C104" t="s">
        <v>38</v>
      </c>
      <c r="D104" t="s">
        <v>39</v>
      </c>
      <c r="E104" t="s">
        <v>40</v>
      </c>
      <c r="F104" t="s">
        <v>41</v>
      </c>
      <c r="G104" t="s">
        <v>42</v>
      </c>
      <c r="H104" t="s">
        <v>43</v>
      </c>
      <c r="I104" t="s">
        <v>737</v>
      </c>
      <c r="J104" t="s">
        <v>247</v>
      </c>
      <c r="M104" t="s">
        <v>62</v>
      </c>
      <c r="O104" t="s">
        <v>63</v>
      </c>
      <c r="P104" t="s">
        <v>64</v>
      </c>
      <c r="Q104" t="s">
        <v>48</v>
      </c>
      <c r="R104" t="s">
        <v>56</v>
      </c>
      <c r="S104" s="1">
        <v>46054</v>
      </c>
      <c r="U104" t="s">
        <v>50</v>
      </c>
      <c r="X104" t="s">
        <v>51</v>
      </c>
      <c r="Y104" s="2">
        <v>0</v>
      </c>
      <c r="Z104" s="2">
        <v>175</v>
      </c>
      <c r="AA104">
        <v>1</v>
      </c>
      <c r="AB104" s="3">
        <v>1</v>
      </c>
      <c r="AC104" s="2">
        <v>175</v>
      </c>
      <c r="AD104" s="3">
        <v>0</v>
      </c>
      <c r="AE104" s="2">
        <v>0</v>
      </c>
      <c r="AF104" s="2">
        <v>175</v>
      </c>
      <c r="AK104">
        <v>6046882</v>
      </c>
    </row>
    <row r="105" spans="1:37" x14ac:dyDescent="0.25">
      <c r="A105" s="1">
        <v>46001</v>
      </c>
      <c r="B105" s="1">
        <v>46001</v>
      </c>
      <c r="C105" t="s">
        <v>38</v>
      </c>
      <c r="D105" t="s">
        <v>39</v>
      </c>
      <c r="E105" t="s">
        <v>40</v>
      </c>
      <c r="F105" t="s">
        <v>41</v>
      </c>
      <c r="G105" t="s">
        <v>42</v>
      </c>
      <c r="H105" t="s">
        <v>43</v>
      </c>
      <c r="I105" t="s">
        <v>738</v>
      </c>
      <c r="J105" t="s">
        <v>248</v>
      </c>
      <c r="M105" t="s">
        <v>45</v>
      </c>
      <c r="O105" t="s">
        <v>232</v>
      </c>
      <c r="P105" t="s">
        <v>233</v>
      </c>
      <c r="Q105" t="s">
        <v>48</v>
      </c>
      <c r="R105" t="s">
        <v>56</v>
      </c>
      <c r="S105" s="1">
        <v>46023</v>
      </c>
      <c r="U105" t="s">
        <v>50</v>
      </c>
      <c r="X105" t="s">
        <v>51</v>
      </c>
      <c r="Y105" s="2">
        <v>0</v>
      </c>
      <c r="Z105" s="2">
        <v>175</v>
      </c>
      <c r="AA105">
        <v>1</v>
      </c>
      <c r="AB105" s="3">
        <v>1</v>
      </c>
      <c r="AC105" s="2">
        <v>175</v>
      </c>
      <c r="AD105" s="3">
        <v>0</v>
      </c>
      <c r="AE105" s="2">
        <v>0</v>
      </c>
      <c r="AF105" s="2">
        <v>175</v>
      </c>
      <c r="AK105">
        <v>6046883</v>
      </c>
    </row>
    <row r="106" spans="1:37" x14ac:dyDescent="0.25">
      <c r="A106" s="1">
        <v>46001</v>
      </c>
      <c r="B106" s="1">
        <v>46001</v>
      </c>
      <c r="C106" t="s">
        <v>38</v>
      </c>
      <c r="D106" t="s">
        <v>39</v>
      </c>
      <c r="E106" t="s">
        <v>40</v>
      </c>
      <c r="F106" t="s">
        <v>41</v>
      </c>
      <c r="G106" t="s">
        <v>42</v>
      </c>
      <c r="H106" t="s">
        <v>43</v>
      </c>
      <c r="I106" t="s">
        <v>739</v>
      </c>
      <c r="J106" t="s">
        <v>249</v>
      </c>
      <c r="M106" t="s">
        <v>45</v>
      </c>
      <c r="O106" t="s">
        <v>159</v>
      </c>
      <c r="P106" t="s">
        <v>160</v>
      </c>
      <c r="Q106" t="s">
        <v>48</v>
      </c>
      <c r="R106" t="s">
        <v>56</v>
      </c>
      <c r="S106" s="1">
        <v>46023</v>
      </c>
      <c r="U106" t="s">
        <v>50</v>
      </c>
      <c r="X106" t="s">
        <v>51</v>
      </c>
      <c r="Y106" s="2">
        <v>0</v>
      </c>
      <c r="Z106" s="2">
        <v>175</v>
      </c>
      <c r="AA106">
        <v>1</v>
      </c>
      <c r="AB106" s="3">
        <v>1</v>
      </c>
      <c r="AC106" s="2">
        <v>175</v>
      </c>
      <c r="AD106" s="3">
        <v>0</v>
      </c>
      <c r="AE106" s="2">
        <v>0</v>
      </c>
      <c r="AF106" s="2">
        <v>175</v>
      </c>
      <c r="AK106">
        <v>6046884</v>
      </c>
    </row>
    <row r="107" spans="1:37" x14ac:dyDescent="0.25">
      <c r="A107" s="1">
        <v>46001</v>
      </c>
      <c r="B107" s="1">
        <v>46001</v>
      </c>
      <c r="C107" t="s">
        <v>38</v>
      </c>
      <c r="D107" t="s">
        <v>39</v>
      </c>
      <c r="E107" t="s">
        <v>40</v>
      </c>
      <c r="F107" t="s">
        <v>41</v>
      </c>
      <c r="G107" t="s">
        <v>42</v>
      </c>
      <c r="H107" t="s">
        <v>43</v>
      </c>
      <c r="I107" t="s">
        <v>740</v>
      </c>
      <c r="J107" t="s">
        <v>250</v>
      </c>
      <c r="M107" t="s">
        <v>179</v>
      </c>
      <c r="O107" t="s">
        <v>251</v>
      </c>
      <c r="P107" t="s">
        <v>252</v>
      </c>
      <c r="Q107" t="s">
        <v>48</v>
      </c>
      <c r="R107" t="s">
        <v>56</v>
      </c>
      <c r="S107" s="1">
        <v>46023</v>
      </c>
      <c r="U107" t="s">
        <v>50</v>
      </c>
      <c r="X107" t="s">
        <v>51</v>
      </c>
      <c r="Y107" s="2">
        <v>0</v>
      </c>
      <c r="Z107" s="2">
        <v>175</v>
      </c>
      <c r="AA107">
        <v>1</v>
      </c>
      <c r="AB107" s="3">
        <v>1</v>
      </c>
      <c r="AC107" s="2">
        <v>175</v>
      </c>
      <c r="AD107" s="3">
        <v>0</v>
      </c>
      <c r="AE107" s="2">
        <v>0</v>
      </c>
      <c r="AF107" s="2">
        <v>175</v>
      </c>
      <c r="AK107">
        <v>6046885</v>
      </c>
    </row>
    <row r="108" spans="1:37" x14ac:dyDescent="0.25">
      <c r="A108" s="1">
        <v>46001</v>
      </c>
      <c r="B108" s="1">
        <v>46001</v>
      </c>
      <c r="C108" t="s">
        <v>38</v>
      </c>
      <c r="D108" t="s">
        <v>39</v>
      </c>
      <c r="E108" t="s">
        <v>40</v>
      </c>
      <c r="F108" t="s">
        <v>41</v>
      </c>
      <c r="G108" t="s">
        <v>42</v>
      </c>
      <c r="H108" t="s">
        <v>43</v>
      </c>
      <c r="I108" t="s">
        <v>741</v>
      </c>
      <c r="J108" t="s">
        <v>253</v>
      </c>
      <c r="M108" t="s">
        <v>125</v>
      </c>
      <c r="O108" t="s">
        <v>170</v>
      </c>
      <c r="P108" t="s">
        <v>171</v>
      </c>
      <c r="Q108" t="s">
        <v>48</v>
      </c>
      <c r="R108" t="s">
        <v>56</v>
      </c>
      <c r="S108" s="1">
        <v>46023</v>
      </c>
      <c r="U108" t="s">
        <v>50</v>
      </c>
      <c r="X108" t="s">
        <v>51</v>
      </c>
      <c r="Y108" s="2">
        <v>0</v>
      </c>
      <c r="Z108" s="2">
        <v>175</v>
      </c>
      <c r="AA108">
        <v>1</v>
      </c>
      <c r="AB108" s="3">
        <v>1</v>
      </c>
      <c r="AC108" s="2">
        <v>175</v>
      </c>
      <c r="AD108" s="3">
        <v>0</v>
      </c>
      <c r="AE108" s="2">
        <v>0</v>
      </c>
      <c r="AF108" s="2">
        <v>175</v>
      </c>
      <c r="AK108">
        <v>6046886</v>
      </c>
    </row>
    <row r="109" spans="1:37" x14ac:dyDescent="0.25">
      <c r="A109" s="1">
        <v>46001</v>
      </c>
      <c r="B109" s="1">
        <v>46001</v>
      </c>
      <c r="C109" t="s">
        <v>38</v>
      </c>
      <c r="D109" t="s">
        <v>39</v>
      </c>
      <c r="E109" t="s">
        <v>40</v>
      </c>
      <c r="F109" t="s">
        <v>41</v>
      </c>
      <c r="G109" t="s">
        <v>42</v>
      </c>
      <c r="H109" t="s">
        <v>43</v>
      </c>
      <c r="I109" t="s">
        <v>742</v>
      </c>
      <c r="J109" t="s">
        <v>254</v>
      </c>
      <c r="M109" t="s">
        <v>45</v>
      </c>
      <c r="O109" t="s">
        <v>85</v>
      </c>
      <c r="P109" t="s">
        <v>86</v>
      </c>
      <c r="Q109" t="s">
        <v>48</v>
      </c>
      <c r="R109" t="s">
        <v>56</v>
      </c>
      <c r="S109" s="1">
        <v>46023</v>
      </c>
      <c r="U109" t="s">
        <v>50</v>
      </c>
      <c r="X109" t="s">
        <v>51</v>
      </c>
      <c r="Y109" s="2">
        <v>0</v>
      </c>
      <c r="Z109" s="2">
        <v>175</v>
      </c>
      <c r="AA109">
        <v>1</v>
      </c>
      <c r="AB109" s="3">
        <v>1</v>
      </c>
      <c r="AC109" s="2">
        <v>175</v>
      </c>
      <c r="AD109" s="3">
        <v>0</v>
      </c>
      <c r="AE109" s="2">
        <v>0</v>
      </c>
      <c r="AF109" s="2">
        <v>175</v>
      </c>
      <c r="AK109">
        <v>6046887</v>
      </c>
    </row>
    <row r="110" spans="1:37" x14ac:dyDescent="0.25">
      <c r="A110" s="1">
        <v>46001</v>
      </c>
      <c r="B110" s="1">
        <v>46001</v>
      </c>
      <c r="C110" t="s">
        <v>38</v>
      </c>
      <c r="D110" t="s">
        <v>39</v>
      </c>
      <c r="E110" t="s">
        <v>40</v>
      </c>
      <c r="F110" t="s">
        <v>41</v>
      </c>
      <c r="G110" t="s">
        <v>42</v>
      </c>
      <c r="H110" t="s">
        <v>43</v>
      </c>
      <c r="I110" t="s">
        <v>743</v>
      </c>
      <c r="J110" t="s">
        <v>255</v>
      </c>
      <c r="M110" t="s">
        <v>45</v>
      </c>
      <c r="O110" t="s">
        <v>74</v>
      </c>
      <c r="P110" t="s">
        <v>75</v>
      </c>
      <c r="Q110" t="s">
        <v>48</v>
      </c>
      <c r="R110" t="s">
        <v>56</v>
      </c>
      <c r="S110" s="1">
        <v>46023</v>
      </c>
      <c r="U110" t="s">
        <v>50</v>
      </c>
      <c r="X110" t="s">
        <v>51</v>
      </c>
      <c r="Y110" s="2">
        <v>0</v>
      </c>
      <c r="Z110" s="2">
        <v>175</v>
      </c>
      <c r="AA110">
        <v>1</v>
      </c>
      <c r="AB110" s="3">
        <v>1</v>
      </c>
      <c r="AC110" s="2">
        <v>175</v>
      </c>
      <c r="AD110" s="3">
        <v>0</v>
      </c>
      <c r="AE110" s="2">
        <v>0</v>
      </c>
      <c r="AF110" s="2">
        <v>175</v>
      </c>
      <c r="AK110">
        <v>6046888</v>
      </c>
    </row>
    <row r="111" spans="1:37" x14ac:dyDescent="0.25">
      <c r="A111" s="1">
        <v>46001</v>
      </c>
      <c r="B111" s="1">
        <v>46001</v>
      </c>
      <c r="C111" t="s">
        <v>38</v>
      </c>
      <c r="D111" t="s">
        <v>39</v>
      </c>
      <c r="E111" t="s">
        <v>40</v>
      </c>
      <c r="F111" t="s">
        <v>41</v>
      </c>
      <c r="G111" t="s">
        <v>42</v>
      </c>
      <c r="H111" t="s">
        <v>43</v>
      </c>
      <c r="I111" t="s">
        <v>744</v>
      </c>
      <c r="J111" t="s">
        <v>256</v>
      </c>
      <c r="M111" t="s">
        <v>45</v>
      </c>
      <c r="O111" t="s">
        <v>80</v>
      </c>
      <c r="P111" t="s">
        <v>81</v>
      </c>
      <c r="Q111" t="s">
        <v>48</v>
      </c>
      <c r="R111" t="s">
        <v>56</v>
      </c>
      <c r="S111" s="1">
        <v>46023</v>
      </c>
      <c r="U111" t="s">
        <v>50</v>
      </c>
      <c r="X111" t="s">
        <v>51</v>
      </c>
      <c r="Y111" s="2">
        <v>0</v>
      </c>
      <c r="Z111" s="2">
        <v>175</v>
      </c>
      <c r="AA111">
        <v>1</v>
      </c>
      <c r="AB111" s="3">
        <v>1</v>
      </c>
      <c r="AC111" s="2">
        <v>175</v>
      </c>
      <c r="AD111" s="3">
        <v>0</v>
      </c>
      <c r="AE111" s="2">
        <v>0</v>
      </c>
      <c r="AF111" s="2">
        <v>175</v>
      </c>
      <c r="AK111">
        <v>6046889</v>
      </c>
    </row>
    <row r="112" spans="1:37" x14ac:dyDescent="0.25">
      <c r="A112" s="1">
        <v>46001</v>
      </c>
      <c r="B112" s="1">
        <v>46001</v>
      </c>
      <c r="C112" t="s">
        <v>38</v>
      </c>
      <c r="D112" t="s">
        <v>39</v>
      </c>
      <c r="E112" t="s">
        <v>40</v>
      </c>
      <c r="F112" t="s">
        <v>41</v>
      </c>
      <c r="G112" t="s">
        <v>42</v>
      </c>
      <c r="H112" t="s">
        <v>43</v>
      </c>
      <c r="I112" t="s">
        <v>745</v>
      </c>
      <c r="J112" t="s">
        <v>257</v>
      </c>
      <c r="M112" t="s">
        <v>45</v>
      </c>
      <c r="O112" t="s">
        <v>174</v>
      </c>
      <c r="P112" t="s">
        <v>175</v>
      </c>
      <c r="Q112" t="s">
        <v>48</v>
      </c>
      <c r="R112" t="s">
        <v>56</v>
      </c>
      <c r="S112" s="1">
        <v>46023</v>
      </c>
      <c r="U112" t="s">
        <v>50</v>
      </c>
      <c r="X112" t="s">
        <v>51</v>
      </c>
      <c r="Y112" s="2">
        <v>0</v>
      </c>
      <c r="Z112" s="2">
        <v>175</v>
      </c>
      <c r="AA112">
        <v>1</v>
      </c>
      <c r="AB112" s="3">
        <v>1</v>
      </c>
      <c r="AC112" s="2">
        <v>175</v>
      </c>
      <c r="AD112" s="3">
        <v>0</v>
      </c>
      <c r="AE112" s="2">
        <v>0</v>
      </c>
      <c r="AF112" s="2">
        <v>175</v>
      </c>
      <c r="AK112">
        <v>6046890</v>
      </c>
    </row>
    <row r="113" spans="1:37" x14ac:dyDescent="0.25">
      <c r="A113" s="1">
        <v>46001</v>
      </c>
      <c r="B113" s="1">
        <v>46001</v>
      </c>
      <c r="C113" t="s">
        <v>38</v>
      </c>
      <c r="D113" t="s">
        <v>39</v>
      </c>
      <c r="E113" t="s">
        <v>40</v>
      </c>
      <c r="F113" t="s">
        <v>41</v>
      </c>
      <c r="G113" t="s">
        <v>42</v>
      </c>
      <c r="H113" t="s">
        <v>43</v>
      </c>
      <c r="I113" t="s">
        <v>746</v>
      </c>
      <c r="J113" t="s">
        <v>258</v>
      </c>
      <c r="M113" t="s">
        <v>45</v>
      </c>
      <c r="O113" t="s">
        <v>201</v>
      </c>
      <c r="P113" t="s">
        <v>202</v>
      </c>
      <c r="Q113" t="s">
        <v>48</v>
      </c>
      <c r="R113" t="s">
        <v>56</v>
      </c>
      <c r="S113" s="1">
        <v>46023</v>
      </c>
      <c r="U113" t="s">
        <v>50</v>
      </c>
      <c r="X113" t="s">
        <v>51</v>
      </c>
      <c r="Y113" s="2">
        <v>0</v>
      </c>
      <c r="Z113" s="2">
        <v>175</v>
      </c>
      <c r="AA113">
        <v>1</v>
      </c>
      <c r="AB113" s="3">
        <v>1</v>
      </c>
      <c r="AC113" s="2">
        <v>175</v>
      </c>
      <c r="AD113" s="3">
        <v>0</v>
      </c>
      <c r="AE113" s="2">
        <v>0</v>
      </c>
      <c r="AF113" s="2">
        <v>175</v>
      </c>
      <c r="AK113">
        <v>6046891</v>
      </c>
    </row>
    <row r="114" spans="1:37" x14ac:dyDescent="0.25">
      <c r="A114" s="1">
        <v>46001</v>
      </c>
      <c r="B114" s="1">
        <v>46001</v>
      </c>
      <c r="C114" t="s">
        <v>38</v>
      </c>
      <c r="D114" t="s">
        <v>39</v>
      </c>
      <c r="E114" t="s">
        <v>40</v>
      </c>
      <c r="F114" t="s">
        <v>41</v>
      </c>
      <c r="G114" t="s">
        <v>42</v>
      </c>
      <c r="H114" t="s">
        <v>43</v>
      </c>
      <c r="I114" t="s">
        <v>747</v>
      </c>
      <c r="J114" t="s">
        <v>259</v>
      </c>
      <c r="M114" t="s">
        <v>45</v>
      </c>
      <c r="O114" t="s">
        <v>80</v>
      </c>
      <c r="P114" t="s">
        <v>81</v>
      </c>
      <c r="Q114" t="s">
        <v>48</v>
      </c>
      <c r="R114" t="s">
        <v>56</v>
      </c>
      <c r="S114" s="1">
        <v>46023</v>
      </c>
      <c r="U114" t="s">
        <v>50</v>
      </c>
      <c r="X114" t="s">
        <v>51</v>
      </c>
      <c r="Y114" s="2">
        <v>0</v>
      </c>
      <c r="Z114" s="2">
        <v>175</v>
      </c>
      <c r="AA114">
        <v>1</v>
      </c>
      <c r="AB114" s="3">
        <v>1</v>
      </c>
      <c r="AC114" s="2">
        <v>175</v>
      </c>
      <c r="AD114" s="3">
        <v>0</v>
      </c>
      <c r="AE114" s="2">
        <v>0</v>
      </c>
      <c r="AF114" s="2">
        <v>175</v>
      </c>
      <c r="AK114">
        <v>6046892</v>
      </c>
    </row>
    <row r="115" spans="1:37" x14ac:dyDescent="0.25">
      <c r="A115" s="1">
        <v>46001</v>
      </c>
      <c r="B115" s="1">
        <v>46001</v>
      </c>
      <c r="C115" t="s">
        <v>38</v>
      </c>
      <c r="D115" t="s">
        <v>39</v>
      </c>
      <c r="E115" t="s">
        <v>40</v>
      </c>
      <c r="F115" t="s">
        <v>41</v>
      </c>
      <c r="G115" t="s">
        <v>42</v>
      </c>
      <c r="H115" t="s">
        <v>43</v>
      </c>
      <c r="I115" t="s">
        <v>748</v>
      </c>
      <c r="J115" t="s">
        <v>260</v>
      </c>
      <c r="M115" t="s">
        <v>45</v>
      </c>
      <c r="O115" t="s">
        <v>131</v>
      </c>
      <c r="P115" t="s">
        <v>132</v>
      </c>
      <c r="Q115" t="s">
        <v>48</v>
      </c>
      <c r="R115" t="s">
        <v>56</v>
      </c>
      <c r="S115" s="1">
        <v>46023</v>
      </c>
      <c r="U115" t="s">
        <v>50</v>
      </c>
      <c r="X115" t="s">
        <v>51</v>
      </c>
      <c r="Y115" s="2">
        <v>0</v>
      </c>
      <c r="Z115" s="2">
        <v>175</v>
      </c>
      <c r="AA115">
        <v>1</v>
      </c>
      <c r="AB115" s="3">
        <v>1</v>
      </c>
      <c r="AC115" s="2">
        <v>175</v>
      </c>
      <c r="AD115" s="3">
        <v>0</v>
      </c>
      <c r="AE115" s="2">
        <v>0</v>
      </c>
      <c r="AF115" s="2">
        <v>175</v>
      </c>
      <c r="AK115">
        <v>6046893</v>
      </c>
    </row>
    <row r="116" spans="1:37" x14ac:dyDescent="0.25">
      <c r="A116" s="1">
        <v>46001</v>
      </c>
      <c r="B116" s="1">
        <v>46001</v>
      </c>
      <c r="C116" t="s">
        <v>38</v>
      </c>
      <c r="D116" t="s">
        <v>39</v>
      </c>
      <c r="E116" t="s">
        <v>40</v>
      </c>
      <c r="F116" t="s">
        <v>41</v>
      </c>
      <c r="G116" t="s">
        <v>42</v>
      </c>
      <c r="H116" t="s">
        <v>43</v>
      </c>
      <c r="I116" t="s">
        <v>749</v>
      </c>
      <c r="J116" t="s">
        <v>261</v>
      </c>
      <c r="M116" t="s">
        <v>45</v>
      </c>
      <c r="O116" t="s">
        <v>80</v>
      </c>
      <c r="P116" t="s">
        <v>81</v>
      </c>
      <c r="Q116" t="s">
        <v>48</v>
      </c>
      <c r="R116" t="s">
        <v>56</v>
      </c>
      <c r="S116" s="1">
        <v>46023</v>
      </c>
      <c r="U116" t="s">
        <v>50</v>
      </c>
      <c r="X116" t="s">
        <v>51</v>
      </c>
      <c r="Y116" s="2">
        <v>0</v>
      </c>
      <c r="Z116" s="2">
        <v>175</v>
      </c>
      <c r="AA116">
        <v>1</v>
      </c>
      <c r="AB116" s="3">
        <v>1</v>
      </c>
      <c r="AC116" s="2">
        <v>175</v>
      </c>
      <c r="AD116" s="3">
        <v>0</v>
      </c>
      <c r="AE116" s="2">
        <v>0</v>
      </c>
      <c r="AF116" s="2">
        <v>175</v>
      </c>
      <c r="AK116">
        <v>6046894</v>
      </c>
    </row>
    <row r="117" spans="1:37" x14ac:dyDescent="0.25">
      <c r="A117" s="1">
        <v>46001</v>
      </c>
      <c r="B117" s="1">
        <v>46001</v>
      </c>
      <c r="C117" t="s">
        <v>38</v>
      </c>
      <c r="D117" t="s">
        <v>39</v>
      </c>
      <c r="E117" t="s">
        <v>40</v>
      </c>
      <c r="F117" t="s">
        <v>41</v>
      </c>
      <c r="G117" t="s">
        <v>42</v>
      </c>
      <c r="H117" t="s">
        <v>43</v>
      </c>
      <c r="I117" t="s">
        <v>750</v>
      </c>
      <c r="J117" t="s">
        <v>262</v>
      </c>
      <c r="M117" t="s">
        <v>45</v>
      </c>
      <c r="O117" t="s">
        <v>201</v>
      </c>
      <c r="P117" t="s">
        <v>202</v>
      </c>
      <c r="Q117" t="s">
        <v>48</v>
      </c>
      <c r="R117" t="s">
        <v>56</v>
      </c>
      <c r="S117" s="1">
        <v>46023</v>
      </c>
      <c r="U117" t="s">
        <v>50</v>
      </c>
      <c r="X117" t="s">
        <v>51</v>
      </c>
      <c r="Y117" s="2">
        <v>0</v>
      </c>
      <c r="Z117" s="2">
        <v>175</v>
      </c>
      <c r="AA117">
        <v>1</v>
      </c>
      <c r="AB117" s="3">
        <v>1</v>
      </c>
      <c r="AC117" s="2">
        <v>175</v>
      </c>
      <c r="AD117" s="3">
        <v>0</v>
      </c>
      <c r="AE117" s="2">
        <v>0</v>
      </c>
      <c r="AF117" s="2">
        <v>175</v>
      </c>
      <c r="AK117">
        <v>6046895</v>
      </c>
    </row>
    <row r="118" spans="1:37" x14ac:dyDescent="0.25">
      <c r="A118" s="1">
        <v>46001</v>
      </c>
      <c r="B118" s="1">
        <v>46001</v>
      </c>
      <c r="C118" t="s">
        <v>38</v>
      </c>
      <c r="D118" t="s">
        <v>39</v>
      </c>
      <c r="E118" t="s">
        <v>40</v>
      </c>
      <c r="F118" t="s">
        <v>41</v>
      </c>
      <c r="G118" t="s">
        <v>42</v>
      </c>
      <c r="H118" t="s">
        <v>43</v>
      </c>
      <c r="I118" t="s">
        <v>751</v>
      </c>
      <c r="J118" t="s">
        <v>263</v>
      </c>
      <c r="M118" t="s">
        <v>45</v>
      </c>
      <c r="O118" t="s">
        <v>201</v>
      </c>
      <c r="P118" t="s">
        <v>202</v>
      </c>
      <c r="Q118" t="s">
        <v>48</v>
      </c>
      <c r="R118" t="s">
        <v>56</v>
      </c>
      <c r="S118" s="1">
        <v>46023</v>
      </c>
      <c r="U118" t="s">
        <v>50</v>
      </c>
      <c r="X118" t="s">
        <v>51</v>
      </c>
      <c r="Y118" s="2">
        <v>0</v>
      </c>
      <c r="Z118" s="2">
        <v>175</v>
      </c>
      <c r="AA118">
        <v>1</v>
      </c>
      <c r="AB118" s="3">
        <v>1</v>
      </c>
      <c r="AC118" s="2">
        <v>175</v>
      </c>
      <c r="AD118" s="3">
        <v>0</v>
      </c>
      <c r="AE118" s="2">
        <v>0</v>
      </c>
      <c r="AF118" s="2">
        <v>175</v>
      </c>
      <c r="AK118">
        <v>6046896</v>
      </c>
    </row>
    <row r="119" spans="1:37" x14ac:dyDescent="0.25">
      <c r="A119" s="1">
        <v>46001</v>
      </c>
      <c r="B119" s="1">
        <v>46001</v>
      </c>
      <c r="C119" t="s">
        <v>38</v>
      </c>
      <c r="D119" t="s">
        <v>39</v>
      </c>
      <c r="E119" t="s">
        <v>40</v>
      </c>
      <c r="F119" t="s">
        <v>41</v>
      </c>
      <c r="G119" t="s">
        <v>42</v>
      </c>
      <c r="H119" t="s">
        <v>43</v>
      </c>
      <c r="I119" t="s">
        <v>752</v>
      </c>
      <c r="J119" t="s">
        <v>264</v>
      </c>
      <c r="M119" t="s">
        <v>45</v>
      </c>
      <c r="O119" t="s">
        <v>80</v>
      </c>
      <c r="P119" t="s">
        <v>81</v>
      </c>
      <c r="Q119" t="s">
        <v>48</v>
      </c>
      <c r="R119" t="s">
        <v>56</v>
      </c>
      <c r="S119" s="1">
        <v>46023</v>
      </c>
      <c r="U119" t="s">
        <v>50</v>
      </c>
      <c r="X119" t="s">
        <v>51</v>
      </c>
      <c r="Y119" s="2">
        <v>0</v>
      </c>
      <c r="Z119" s="2">
        <v>175</v>
      </c>
      <c r="AA119">
        <v>1</v>
      </c>
      <c r="AB119" s="3">
        <v>1</v>
      </c>
      <c r="AC119" s="2">
        <v>175</v>
      </c>
      <c r="AD119" s="3">
        <v>0</v>
      </c>
      <c r="AE119" s="2">
        <v>0</v>
      </c>
      <c r="AF119" s="2">
        <v>175</v>
      </c>
      <c r="AK119">
        <v>6046897</v>
      </c>
    </row>
    <row r="120" spans="1:37" x14ac:dyDescent="0.25">
      <c r="A120" s="1">
        <v>46001</v>
      </c>
      <c r="B120" s="1">
        <v>46001</v>
      </c>
      <c r="C120" t="s">
        <v>38</v>
      </c>
      <c r="D120" t="s">
        <v>39</v>
      </c>
      <c r="E120" t="s">
        <v>40</v>
      </c>
      <c r="F120" t="s">
        <v>41</v>
      </c>
      <c r="G120" t="s">
        <v>42</v>
      </c>
      <c r="H120" t="s">
        <v>43</v>
      </c>
      <c r="I120" t="s">
        <v>753</v>
      </c>
      <c r="J120" t="s">
        <v>265</v>
      </c>
      <c r="M120" t="s">
        <v>45</v>
      </c>
      <c r="O120" t="s">
        <v>85</v>
      </c>
      <c r="P120" t="s">
        <v>86</v>
      </c>
      <c r="Q120" t="s">
        <v>48</v>
      </c>
      <c r="R120" t="s">
        <v>56</v>
      </c>
      <c r="S120" s="1">
        <v>46054</v>
      </c>
      <c r="U120" t="s">
        <v>50</v>
      </c>
      <c r="X120" t="s">
        <v>51</v>
      </c>
      <c r="Y120" s="2">
        <v>0</v>
      </c>
      <c r="Z120" s="2">
        <v>175</v>
      </c>
      <c r="AA120">
        <v>1</v>
      </c>
      <c r="AB120" s="3">
        <v>1</v>
      </c>
      <c r="AC120" s="2">
        <v>175</v>
      </c>
      <c r="AD120" s="3">
        <v>0</v>
      </c>
      <c r="AE120" s="2">
        <v>0</v>
      </c>
      <c r="AF120" s="2">
        <v>175</v>
      </c>
      <c r="AK120">
        <v>6046898</v>
      </c>
    </row>
    <row r="121" spans="1:37" x14ac:dyDescent="0.25">
      <c r="A121" s="1">
        <v>46001</v>
      </c>
      <c r="B121" s="1">
        <v>46001</v>
      </c>
      <c r="C121" t="s">
        <v>38</v>
      </c>
      <c r="D121" t="s">
        <v>39</v>
      </c>
      <c r="E121" t="s">
        <v>40</v>
      </c>
      <c r="F121" t="s">
        <v>41</v>
      </c>
      <c r="G121" t="s">
        <v>42</v>
      </c>
      <c r="H121" t="s">
        <v>43</v>
      </c>
      <c r="I121" t="s">
        <v>754</v>
      </c>
      <c r="J121" t="s">
        <v>266</v>
      </c>
      <c r="M121" t="s">
        <v>115</v>
      </c>
      <c r="O121" t="s">
        <v>251</v>
      </c>
      <c r="P121" t="s">
        <v>252</v>
      </c>
      <c r="Q121" t="s">
        <v>48</v>
      </c>
      <c r="R121" t="s">
        <v>56</v>
      </c>
      <c r="S121" s="1">
        <v>46023</v>
      </c>
      <c r="U121" t="s">
        <v>50</v>
      </c>
      <c r="X121" t="s">
        <v>51</v>
      </c>
      <c r="Y121" s="2">
        <v>0</v>
      </c>
      <c r="Z121" s="2">
        <v>175</v>
      </c>
      <c r="AA121">
        <v>1</v>
      </c>
      <c r="AB121" s="3">
        <v>1</v>
      </c>
      <c r="AC121" s="2">
        <v>175</v>
      </c>
      <c r="AD121" s="3">
        <v>0</v>
      </c>
      <c r="AE121" s="2">
        <v>0</v>
      </c>
      <c r="AF121" s="2">
        <v>175</v>
      </c>
      <c r="AK121">
        <v>6046899</v>
      </c>
    </row>
    <row r="122" spans="1:37" x14ac:dyDescent="0.25">
      <c r="A122" s="1">
        <v>46001</v>
      </c>
      <c r="B122" s="1">
        <v>46001</v>
      </c>
      <c r="C122" t="s">
        <v>38</v>
      </c>
      <c r="D122" t="s">
        <v>39</v>
      </c>
      <c r="E122" t="s">
        <v>40</v>
      </c>
      <c r="F122" t="s">
        <v>41</v>
      </c>
      <c r="G122" t="s">
        <v>42</v>
      </c>
      <c r="H122" t="s">
        <v>43</v>
      </c>
      <c r="I122" t="s">
        <v>755</v>
      </c>
      <c r="J122" t="s">
        <v>267</v>
      </c>
      <c r="M122" t="s">
        <v>69</v>
      </c>
      <c r="O122" t="s">
        <v>70</v>
      </c>
      <c r="P122" t="s">
        <v>71</v>
      </c>
      <c r="Q122" t="s">
        <v>48</v>
      </c>
      <c r="R122" t="s">
        <v>56</v>
      </c>
      <c r="S122" s="1">
        <v>46023</v>
      </c>
      <c r="U122" t="s">
        <v>50</v>
      </c>
      <c r="X122" t="s">
        <v>51</v>
      </c>
      <c r="Y122" s="2">
        <v>0</v>
      </c>
      <c r="Z122" s="2">
        <v>175</v>
      </c>
      <c r="AA122">
        <v>1</v>
      </c>
      <c r="AB122" s="3">
        <v>1</v>
      </c>
      <c r="AC122" s="2">
        <v>175</v>
      </c>
      <c r="AD122" s="3">
        <v>0</v>
      </c>
      <c r="AE122" s="2">
        <v>0</v>
      </c>
      <c r="AF122" s="2">
        <v>175</v>
      </c>
      <c r="AK122">
        <v>6046747</v>
      </c>
    </row>
    <row r="123" spans="1:37" x14ac:dyDescent="0.25">
      <c r="A123" s="1">
        <v>46001</v>
      </c>
      <c r="B123" s="1">
        <v>46001</v>
      </c>
      <c r="C123" t="s">
        <v>38</v>
      </c>
      <c r="D123" t="s">
        <v>39</v>
      </c>
      <c r="E123" t="s">
        <v>40</v>
      </c>
      <c r="F123" t="s">
        <v>41</v>
      </c>
      <c r="G123" t="s">
        <v>42</v>
      </c>
      <c r="H123" t="s">
        <v>43</v>
      </c>
      <c r="I123" t="s">
        <v>756</v>
      </c>
      <c r="J123" t="s">
        <v>268</v>
      </c>
      <c r="M123" t="s">
        <v>269</v>
      </c>
      <c r="O123" t="s">
        <v>134</v>
      </c>
      <c r="P123" t="s">
        <v>135</v>
      </c>
      <c r="Q123" t="s">
        <v>48</v>
      </c>
      <c r="R123" t="s">
        <v>56</v>
      </c>
      <c r="S123" s="1">
        <v>45992</v>
      </c>
      <c r="U123" t="s">
        <v>50</v>
      </c>
      <c r="X123" t="s">
        <v>51</v>
      </c>
      <c r="Y123" s="2">
        <v>0</v>
      </c>
      <c r="Z123" s="2">
        <v>175</v>
      </c>
      <c r="AA123">
        <v>1</v>
      </c>
      <c r="AB123" s="3">
        <v>1</v>
      </c>
      <c r="AC123" s="2">
        <v>175</v>
      </c>
      <c r="AD123" s="3">
        <v>0</v>
      </c>
      <c r="AE123" s="2">
        <v>0</v>
      </c>
      <c r="AF123" s="2">
        <v>175</v>
      </c>
      <c r="AK123">
        <v>6046900</v>
      </c>
    </row>
    <row r="124" spans="1:37" x14ac:dyDescent="0.25">
      <c r="A124" s="1">
        <v>46001</v>
      </c>
      <c r="B124" s="1">
        <v>46001</v>
      </c>
      <c r="C124" t="s">
        <v>38</v>
      </c>
      <c r="D124" t="s">
        <v>39</v>
      </c>
      <c r="E124" t="s">
        <v>40</v>
      </c>
      <c r="F124" t="s">
        <v>41</v>
      </c>
      <c r="G124" t="s">
        <v>42</v>
      </c>
      <c r="H124" t="s">
        <v>43</v>
      </c>
      <c r="I124" t="s">
        <v>757</v>
      </c>
      <c r="J124" t="s">
        <v>270</v>
      </c>
      <c r="M124" t="s">
        <v>89</v>
      </c>
      <c r="O124" t="s">
        <v>271</v>
      </c>
      <c r="P124" t="s">
        <v>272</v>
      </c>
      <c r="Q124" t="s">
        <v>48</v>
      </c>
      <c r="R124" t="s">
        <v>56</v>
      </c>
      <c r="S124" s="1">
        <v>46023</v>
      </c>
      <c r="U124" t="s">
        <v>50</v>
      </c>
      <c r="X124" t="s">
        <v>51</v>
      </c>
      <c r="Y124" s="2">
        <v>0</v>
      </c>
      <c r="Z124" s="2">
        <v>175</v>
      </c>
      <c r="AA124">
        <v>1</v>
      </c>
      <c r="AB124" s="3">
        <v>1</v>
      </c>
      <c r="AC124" s="2">
        <v>175</v>
      </c>
      <c r="AD124" s="3">
        <v>0</v>
      </c>
      <c r="AE124" s="2">
        <v>0</v>
      </c>
      <c r="AF124" s="2">
        <v>175</v>
      </c>
      <c r="AK124">
        <v>6046748</v>
      </c>
    </row>
    <row r="125" spans="1:37" x14ac:dyDescent="0.25">
      <c r="A125" s="1">
        <v>46001</v>
      </c>
      <c r="B125" s="1">
        <v>46001</v>
      </c>
      <c r="C125" t="s">
        <v>38</v>
      </c>
      <c r="D125" t="s">
        <v>39</v>
      </c>
      <c r="E125" t="s">
        <v>40</v>
      </c>
      <c r="F125" t="s">
        <v>41</v>
      </c>
      <c r="G125" t="s">
        <v>42</v>
      </c>
      <c r="H125" t="s">
        <v>43</v>
      </c>
      <c r="I125" t="s">
        <v>758</v>
      </c>
      <c r="J125" t="s">
        <v>273</v>
      </c>
      <c r="M125" t="s">
        <v>45</v>
      </c>
      <c r="O125" t="s">
        <v>80</v>
      </c>
      <c r="P125" t="s">
        <v>81</v>
      </c>
      <c r="Q125" t="s">
        <v>48</v>
      </c>
      <c r="R125" t="s">
        <v>56</v>
      </c>
      <c r="S125" s="1">
        <v>46023</v>
      </c>
      <c r="U125" t="s">
        <v>50</v>
      </c>
      <c r="X125" t="s">
        <v>51</v>
      </c>
      <c r="Y125" s="2">
        <v>0</v>
      </c>
      <c r="Z125" s="2">
        <v>175</v>
      </c>
      <c r="AA125">
        <v>1</v>
      </c>
      <c r="AB125" s="3">
        <v>1</v>
      </c>
      <c r="AC125" s="2">
        <v>175</v>
      </c>
      <c r="AD125" s="3">
        <v>0</v>
      </c>
      <c r="AE125" s="2">
        <v>0</v>
      </c>
      <c r="AF125" s="2">
        <v>175</v>
      </c>
      <c r="AK125">
        <v>6046901</v>
      </c>
    </row>
    <row r="126" spans="1:37" x14ac:dyDescent="0.25">
      <c r="A126" s="1">
        <v>46001</v>
      </c>
      <c r="B126" s="1">
        <v>46001</v>
      </c>
      <c r="C126" t="s">
        <v>38</v>
      </c>
      <c r="D126" t="s">
        <v>39</v>
      </c>
      <c r="E126" t="s">
        <v>40</v>
      </c>
      <c r="F126" t="s">
        <v>41</v>
      </c>
      <c r="G126" t="s">
        <v>42</v>
      </c>
      <c r="H126" t="s">
        <v>43</v>
      </c>
      <c r="I126" t="s">
        <v>759</v>
      </c>
      <c r="J126" t="s">
        <v>274</v>
      </c>
      <c r="M126" t="s">
        <v>45</v>
      </c>
      <c r="O126" t="s">
        <v>80</v>
      </c>
      <c r="P126" t="s">
        <v>81</v>
      </c>
      <c r="Q126" t="s">
        <v>48</v>
      </c>
      <c r="R126" t="s">
        <v>56</v>
      </c>
      <c r="S126" s="1">
        <v>46023</v>
      </c>
      <c r="U126" t="s">
        <v>50</v>
      </c>
      <c r="X126" t="s">
        <v>51</v>
      </c>
      <c r="Y126" s="2">
        <v>0</v>
      </c>
      <c r="Z126" s="2">
        <v>175</v>
      </c>
      <c r="AA126">
        <v>1</v>
      </c>
      <c r="AB126" s="3">
        <v>1</v>
      </c>
      <c r="AC126" s="2">
        <v>175</v>
      </c>
      <c r="AD126" s="3">
        <v>0</v>
      </c>
      <c r="AE126" s="2">
        <v>0</v>
      </c>
      <c r="AF126" s="2">
        <v>175</v>
      </c>
      <c r="AK126">
        <v>6046902</v>
      </c>
    </row>
    <row r="127" spans="1:37" x14ac:dyDescent="0.25">
      <c r="A127" s="1">
        <v>46001</v>
      </c>
      <c r="B127" s="1">
        <v>46001</v>
      </c>
      <c r="C127" t="s">
        <v>38</v>
      </c>
      <c r="D127" t="s">
        <v>39</v>
      </c>
      <c r="E127" t="s">
        <v>40</v>
      </c>
      <c r="F127" t="s">
        <v>41</v>
      </c>
      <c r="G127" t="s">
        <v>42</v>
      </c>
      <c r="H127" t="s">
        <v>43</v>
      </c>
      <c r="I127" t="s">
        <v>760</v>
      </c>
      <c r="J127" t="s">
        <v>275</v>
      </c>
      <c r="M127" t="s">
        <v>45</v>
      </c>
      <c r="O127" t="s">
        <v>96</v>
      </c>
      <c r="P127" t="s">
        <v>97</v>
      </c>
      <c r="Q127" t="s">
        <v>48</v>
      </c>
      <c r="R127" t="s">
        <v>56</v>
      </c>
      <c r="S127" s="1">
        <v>45992</v>
      </c>
      <c r="U127" t="s">
        <v>50</v>
      </c>
      <c r="X127" t="s">
        <v>51</v>
      </c>
      <c r="Y127" s="2">
        <v>0</v>
      </c>
      <c r="Z127" s="2">
        <v>175</v>
      </c>
      <c r="AA127">
        <v>1</v>
      </c>
      <c r="AB127" s="3">
        <v>1</v>
      </c>
      <c r="AC127" s="2">
        <v>175</v>
      </c>
      <c r="AD127" s="3">
        <v>0</v>
      </c>
      <c r="AE127" s="2">
        <v>0</v>
      </c>
      <c r="AF127" s="2">
        <v>175</v>
      </c>
      <c r="AK127">
        <v>6046903</v>
      </c>
    </row>
    <row r="128" spans="1:37" x14ac:dyDescent="0.25">
      <c r="A128" s="1">
        <v>46001</v>
      </c>
      <c r="B128" s="1">
        <v>46001</v>
      </c>
      <c r="C128" t="s">
        <v>38</v>
      </c>
      <c r="D128" t="s">
        <v>39</v>
      </c>
      <c r="E128" t="s">
        <v>40</v>
      </c>
      <c r="F128" t="s">
        <v>41</v>
      </c>
      <c r="G128" t="s">
        <v>42</v>
      </c>
      <c r="H128" t="s">
        <v>43</v>
      </c>
      <c r="I128" t="s">
        <v>761</v>
      </c>
      <c r="J128" t="s">
        <v>276</v>
      </c>
      <c r="M128" t="s">
        <v>45</v>
      </c>
      <c r="O128" t="s">
        <v>232</v>
      </c>
      <c r="P128" t="s">
        <v>233</v>
      </c>
      <c r="Q128" t="s">
        <v>48</v>
      </c>
      <c r="R128" t="s">
        <v>56</v>
      </c>
      <c r="S128" s="1">
        <v>45992</v>
      </c>
      <c r="U128" t="s">
        <v>50</v>
      </c>
      <c r="X128" t="s">
        <v>51</v>
      </c>
      <c r="Y128" s="2">
        <v>0</v>
      </c>
      <c r="Z128" s="2">
        <v>175</v>
      </c>
      <c r="AA128">
        <v>1</v>
      </c>
      <c r="AB128" s="3">
        <v>1</v>
      </c>
      <c r="AC128" s="2">
        <v>175</v>
      </c>
      <c r="AD128" s="3">
        <v>0</v>
      </c>
      <c r="AE128" s="2">
        <v>0</v>
      </c>
      <c r="AF128" s="2">
        <v>175</v>
      </c>
      <c r="AK128">
        <v>6046904</v>
      </c>
    </row>
    <row r="129" spans="1:37" x14ac:dyDescent="0.25">
      <c r="A129" s="1">
        <v>46001</v>
      </c>
      <c r="B129" s="1">
        <v>46001</v>
      </c>
      <c r="C129" t="s">
        <v>38</v>
      </c>
      <c r="D129" t="s">
        <v>39</v>
      </c>
      <c r="E129" t="s">
        <v>40</v>
      </c>
      <c r="F129" t="s">
        <v>41</v>
      </c>
      <c r="G129" t="s">
        <v>42</v>
      </c>
      <c r="H129" t="s">
        <v>43</v>
      </c>
      <c r="I129" t="s">
        <v>762</v>
      </c>
      <c r="J129" t="s">
        <v>277</v>
      </c>
      <c r="M129" t="s">
        <v>45</v>
      </c>
      <c r="O129" t="s">
        <v>187</v>
      </c>
      <c r="P129" t="s">
        <v>188</v>
      </c>
      <c r="Q129" t="s">
        <v>48</v>
      </c>
      <c r="R129" t="s">
        <v>56</v>
      </c>
      <c r="S129" s="1">
        <v>46023</v>
      </c>
      <c r="U129" t="s">
        <v>50</v>
      </c>
      <c r="X129" t="s">
        <v>51</v>
      </c>
      <c r="Y129" s="2">
        <v>0</v>
      </c>
      <c r="Z129" s="2">
        <v>175</v>
      </c>
      <c r="AA129">
        <v>1</v>
      </c>
      <c r="AB129" s="3">
        <v>1</v>
      </c>
      <c r="AC129" s="2">
        <v>175</v>
      </c>
      <c r="AD129" s="3">
        <v>0</v>
      </c>
      <c r="AE129" s="2">
        <v>0</v>
      </c>
      <c r="AF129" s="2">
        <v>175</v>
      </c>
      <c r="AK129">
        <v>6046905</v>
      </c>
    </row>
    <row r="130" spans="1:37" x14ac:dyDescent="0.25">
      <c r="A130" s="1">
        <v>46001</v>
      </c>
      <c r="B130" s="1">
        <v>46001</v>
      </c>
      <c r="C130" t="s">
        <v>38</v>
      </c>
      <c r="D130" t="s">
        <v>39</v>
      </c>
      <c r="E130" t="s">
        <v>40</v>
      </c>
      <c r="F130" t="s">
        <v>41</v>
      </c>
      <c r="G130" t="s">
        <v>42</v>
      </c>
      <c r="H130" t="s">
        <v>43</v>
      </c>
      <c r="I130" t="s">
        <v>763</v>
      </c>
      <c r="J130" t="s">
        <v>278</v>
      </c>
      <c r="M130" t="s">
        <v>69</v>
      </c>
      <c r="O130" t="s">
        <v>279</v>
      </c>
      <c r="P130" t="s">
        <v>280</v>
      </c>
      <c r="Q130" t="s">
        <v>48</v>
      </c>
      <c r="R130" t="s">
        <v>56</v>
      </c>
      <c r="S130" s="1">
        <v>46023</v>
      </c>
      <c r="U130" t="s">
        <v>50</v>
      </c>
      <c r="X130" t="s">
        <v>51</v>
      </c>
      <c r="Y130" s="2">
        <v>0</v>
      </c>
      <c r="Z130" s="2">
        <v>175</v>
      </c>
      <c r="AA130">
        <v>1</v>
      </c>
      <c r="AB130" s="3">
        <v>1</v>
      </c>
      <c r="AC130" s="2">
        <v>175</v>
      </c>
      <c r="AD130" s="3">
        <v>0</v>
      </c>
      <c r="AE130" s="2">
        <v>0</v>
      </c>
      <c r="AF130" s="2">
        <v>175</v>
      </c>
      <c r="AK130">
        <v>6046906</v>
      </c>
    </row>
    <row r="131" spans="1:37" x14ac:dyDescent="0.25">
      <c r="A131" s="1">
        <v>46001</v>
      </c>
      <c r="B131" s="1">
        <v>46001</v>
      </c>
      <c r="C131" t="s">
        <v>38</v>
      </c>
      <c r="D131" t="s">
        <v>39</v>
      </c>
      <c r="E131" t="s">
        <v>40</v>
      </c>
      <c r="F131" t="s">
        <v>41</v>
      </c>
      <c r="G131" t="s">
        <v>42</v>
      </c>
      <c r="H131" t="s">
        <v>43</v>
      </c>
      <c r="I131" t="s">
        <v>764</v>
      </c>
      <c r="J131" t="s">
        <v>281</v>
      </c>
      <c r="M131" t="s">
        <v>45</v>
      </c>
      <c r="O131" t="s">
        <v>187</v>
      </c>
      <c r="P131" t="s">
        <v>188</v>
      </c>
      <c r="Q131" t="s">
        <v>48</v>
      </c>
      <c r="R131" t="s">
        <v>56</v>
      </c>
      <c r="S131" s="1">
        <v>46023</v>
      </c>
      <c r="U131" t="s">
        <v>50</v>
      </c>
      <c r="X131" t="s">
        <v>51</v>
      </c>
      <c r="Y131" s="2">
        <v>0</v>
      </c>
      <c r="Z131" s="2">
        <v>175</v>
      </c>
      <c r="AA131">
        <v>1</v>
      </c>
      <c r="AB131" s="3">
        <v>1</v>
      </c>
      <c r="AC131" s="2">
        <v>175</v>
      </c>
      <c r="AD131" s="3">
        <v>0</v>
      </c>
      <c r="AE131" s="2">
        <v>0</v>
      </c>
      <c r="AF131" s="2">
        <v>175</v>
      </c>
      <c r="AK131">
        <v>6046907</v>
      </c>
    </row>
    <row r="132" spans="1:37" x14ac:dyDescent="0.25">
      <c r="A132" s="1">
        <v>46001</v>
      </c>
      <c r="B132" s="1">
        <v>46001</v>
      </c>
      <c r="C132" t="s">
        <v>38</v>
      </c>
      <c r="D132" t="s">
        <v>39</v>
      </c>
      <c r="E132" t="s">
        <v>40</v>
      </c>
      <c r="F132" t="s">
        <v>41</v>
      </c>
      <c r="G132" t="s">
        <v>42</v>
      </c>
      <c r="H132" t="s">
        <v>43</v>
      </c>
      <c r="I132" t="s">
        <v>765</v>
      </c>
      <c r="J132" t="s">
        <v>282</v>
      </c>
      <c r="M132" t="s">
        <v>45</v>
      </c>
      <c r="O132" t="s">
        <v>283</v>
      </c>
      <c r="P132" t="s">
        <v>284</v>
      </c>
      <c r="Q132" t="s">
        <v>48</v>
      </c>
      <c r="R132" t="s">
        <v>56</v>
      </c>
      <c r="S132" s="1">
        <v>46023</v>
      </c>
      <c r="U132" t="s">
        <v>50</v>
      </c>
      <c r="X132" t="s">
        <v>51</v>
      </c>
      <c r="Y132" s="2">
        <v>0</v>
      </c>
      <c r="Z132" s="2">
        <v>175</v>
      </c>
      <c r="AA132">
        <v>1</v>
      </c>
      <c r="AB132" s="3">
        <v>1</v>
      </c>
      <c r="AC132" s="2">
        <v>175</v>
      </c>
      <c r="AD132" s="3">
        <v>0</v>
      </c>
      <c r="AE132" s="2">
        <v>0</v>
      </c>
      <c r="AF132" s="2">
        <v>175</v>
      </c>
      <c r="AK132">
        <v>6046908</v>
      </c>
    </row>
    <row r="133" spans="1:37" x14ac:dyDescent="0.25">
      <c r="A133" s="1">
        <v>46001</v>
      </c>
      <c r="B133" s="1">
        <v>46001</v>
      </c>
      <c r="C133" t="s">
        <v>38</v>
      </c>
      <c r="D133" t="s">
        <v>39</v>
      </c>
      <c r="E133" t="s">
        <v>40</v>
      </c>
      <c r="F133" t="s">
        <v>41</v>
      </c>
      <c r="G133" t="s">
        <v>42</v>
      </c>
      <c r="H133" t="s">
        <v>43</v>
      </c>
      <c r="I133" t="s">
        <v>766</v>
      </c>
      <c r="J133" t="s">
        <v>285</v>
      </c>
      <c r="M133" t="s">
        <v>45</v>
      </c>
      <c r="O133" t="s">
        <v>80</v>
      </c>
      <c r="P133" t="s">
        <v>81</v>
      </c>
      <c r="Q133" t="s">
        <v>48</v>
      </c>
      <c r="R133" t="s">
        <v>56</v>
      </c>
      <c r="S133" s="1">
        <v>46023</v>
      </c>
      <c r="U133" t="s">
        <v>50</v>
      </c>
      <c r="X133" t="s">
        <v>51</v>
      </c>
      <c r="Y133" s="2">
        <v>0</v>
      </c>
      <c r="Z133" s="2">
        <v>175</v>
      </c>
      <c r="AA133">
        <v>1</v>
      </c>
      <c r="AB133" s="3">
        <v>1</v>
      </c>
      <c r="AC133" s="2">
        <v>175</v>
      </c>
      <c r="AD133" s="3">
        <v>0</v>
      </c>
      <c r="AE133" s="2">
        <v>0</v>
      </c>
      <c r="AF133" s="2">
        <v>175</v>
      </c>
      <c r="AK133">
        <v>6046909</v>
      </c>
    </row>
    <row r="134" spans="1:37" x14ac:dyDescent="0.25">
      <c r="A134" s="1">
        <v>46001</v>
      </c>
      <c r="B134" s="1">
        <v>46001</v>
      </c>
      <c r="C134" t="s">
        <v>38</v>
      </c>
      <c r="D134" t="s">
        <v>39</v>
      </c>
      <c r="E134" t="s">
        <v>40</v>
      </c>
      <c r="F134" t="s">
        <v>41</v>
      </c>
      <c r="G134" t="s">
        <v>42</v>
      </c>
      <c r="H134" t="s">
        <v>43</v>
      </c>
      <c r="I134" t="s">
        <v>767</v>
      </c>
      <c r="J134" t="s">
        <v>286</v>
      </c>
      <c r="M134" t="s">
        <v>45</v>
      </c>
      <c r="O134" t="s">
        <v>80</v>
      </c>
      <c r="P134" t="s">
        <v>81</v>
      </c>
      <c r="Q134" t="s">
        <v>48</v>
      </c>
      <c r="R134" t="s">
        <v>56</v>
      </c>
      <c r="S134" s="1">
        <v>46023</v>
      </c>
      <c r="U134" t="s">
        <v>50</v>
      </c>
      <c r="X134" t="s">
        <v>51</v>
      </c>
      <c r="Y134" s="2">
        <v>0</v>
      </c>
      <c r="Z134" s="2">
        <v>175</v>
      </c>
      <c r="AA134">
        <v>1</v>
      </c>
      <c r="AB134" s="3">
        <v>1</v>
      </c>
      <c r="AC134" s="2">
        <v>175</v>
      </c>
      <c r="AD134" s="3">
        <v>0</v>
      </c>
      <c r="AE134" s="2">
        <v>0</v>
      </c>
      <c r="AF134" s="2">
        <v>175</v>
      </c>
      <c r="AK134">
        <v>6046910</v>
      </c>
    </row>
    <row r="135" spans="1:37" x14ac:dyDescent="0.25">
      <c r="A135" s="1">
        <v>46001</v>
      </c>
      <c r="B135" s="1">
        <v>46001</v>
      </c>
      <c r="C135" t="s">
        <v>38</v>
      </c>
      <c r="D135" t="s">
        <v>39</v>
      </c>
      <c r="E135" t="s">
        <v>40</v>
      </c>
      <c r="F135" t="s">
        <v>41</v>
      </c>
      <c r="G135" t="s">
        <v>42</v>
      </c>
      <c r="H135" t="s">
        <v>43</v>
      </c>
      <c r="I135" t="s">
        <v>768</v>
      </c>
      <c r="J135" t="s">
        <v>287</v>
      </c>
      <c r="M135" t="s">
        <v>45</v>
      </c>
      <c r="O135" t="s">
        <v>141</v>
      </c>
      <c r="P135" t="s">
        <v>142</v>
      </c>
      <c r="Q135" t="s">
        <v>48</v>
      </c>
      <c r="R135" t="s">
        <v>56</v>
      </c>
      <c r="S135" s="1">
        <v>46023</v>
      </c>
      <c r="U135" t="s">
        <v>50</v>
      </c>
      <c r="X135" t="s">
        <v>51</v>
      </c>
      <c r="Y135" s="2">
        <v>0</v>
      </c>
      <c r="Z135" s="2">
        <v>175</v>
      </c>
      <c r="AA135">
        <v>1</v>
      </c>
      <c r="AB135" s="3">
        <v>1</v>
      </c>
      <c r="AC135" s="2">
        <v>175</v>
      </c>
      <c r="AD135" s="3">
        <v>0</v>
      </c>
      <c r="AE135" s="2">
        <v>0</v>
      </c>
      <c r="AF135" s="2">
        <v>175</v>
      </c>
      <c r="AK135">
        <v>6046911</v>
      </c>
    </row>
    <row r="136" spans="1:37" x14ac:dyDescent="0.25">
      <c r="A136" s="1">
        <v>46001</v>
      </c>
      <c r="B136" s="1">
        <v>46001</v>
      </c>
      <c r="C136" t="s">
        <v>38</v>
      </c>
      <c r="D136" t="s">
        <v>39</v>
      </c>
      <c r="E136" t="s">
        <v>40</v>
      </c>
      <c r="F136" t="s">
        <v>41</v>
      </c>
      <c r="G136" t="s">
        <v>42</v>
      </c>
      <c r="H136" t="s">
        <v>43</v>
      </c>
      <c r="I136" t="s">
        <v>769</v>
      </c>
      <c r="J136" t="s">
        <v>288</v>
      </c>
      <c r="M136" t="s">
        <v>45</v>
      </c>
      <c r="O136" t="s">
        <v>237</v>
      </c>
      <c r="P136" t="s">
        <v>238</v>
      </c>
      <c r="Q136" t="s">
        <v>48</v>
      </c>
      <c r="R136" t="s">
        <v>56</v>
      </c>
      <c r="S136" s="1">
        <v>46023</v>
      </c>
      <c r="U136" t="s">
        <v>50</v>
      </c>
      <c r="X136" t="s">
        <v>51</v>
      </c>
      <c r="Y136" s="2">
        <v>0</v>
      </c>
      <c r="Z136" s="2">
        <v>175</v>
      </c>
      <c r="AA136">
        <v>1</v>
      </c>
      <c r="AB136" s="3">
        <v>1</v>
      </c>
      <c r="AC136" s="2">
        <v>175</v>
      </c>
      <c r="AD136" s="3">
        <v>0</v>
      </c>
      <c r="AE136" s="2">
        <v>0</v>
      </c>
      <c r="AF136" s="2">
        <v>175</v>
      </c>
      <c r="AK136">
        <v>6046912</v>
      </c>
    </row>
    <row r="137" spans="1:37" x14ac:dyDescent="0.25">
      <c r="A137" s="1">
        <v>46001</v>
      </c>
      <c r="B137" s="1">
        <v>46001</v>
      </c>
      <c r="C137" t="s">
        <v>38</v>
      </c>
      <c r="D137" t="s">
        <v>39</v>
      </c>
      <c r="E137" t="s">
        <v>40</v>
      </c>
      <c r="F137" t="s">
        <v>41</v>
      </c>
      <c r="G137" t="s">
        <v>42</v>
      </c>
      <c r="H137" t="s">
        <v>43</v>
      </c>
      <c r="I137" t="s">
        <v>770</v>
      </c>
      <c r="J137" t="s">
        <v>289</v>
      </c>
      <c r="M137" t="s">
        <v>45</v>
      </c>
      <c r="O137" t="s">
        <v>80</v>
      </c>
      <c r="P137" t="s">
        <v>81</v>
      </c>
      <c r="Q137" t="s">
        <v>48</v>
      </c>
      <c r="R137" t="s">
        <v>56</v>
      </c>
      <c r="S137" s="1">
        <v>46023</v>
      </c>
      <c r="U137" t="s">
        <v>50</v>
      </c>
      <c r="X137" t="s">
        <v>51</v>
      </c>
      <c r="Y137" s="2">
        <v>0</v>
      </c>
      <c r="Z137" s="2">
        <v>175</v>
      </c>
      <c r="AA137">
        <v>1</v>
      </c>
      <c r="AB137" s="3">
        <v>1</v>
      </c>
      <c r="AC137" s="2">
        <v>175</v>
      </c>
      <c r="AD137" s="3">
        <v>0</v>
      </c>
      <c r="AE137" s="2">
        <v>0</v>
      </c>
      <c r="AF137" s="2">
        <v>175</v>
      </c>
      <c r="AK137">
        <v>6046913</v>
      </c>
    </row>
    <row r="138" spans="1:37" x14ac:dyDescent="0.25">
      <c r="A138" s="1">
        <v>46001</v>
      </c>
      <c r="B138" s="1">
        <v>46001</v>
      </c>
      <c r="C138" t="s">
        <v>38</v>
      </c>
      <c r="D138" t="s">
        <v>39</v>
      </c>
      <c r="E138" t="s">
        <v>40</v>
      </c>
      <c r="F138" t="s">
        <v>41</v>
      </c>
      <c r="G138" t="s">
        <v>42</v>
      </c>
      <c r="H138" t="s">
        <v>43</v>
      </c>
      <c r="I138" t="s">
        <v>771</v>
      </c>
      <c r="J138" t="s">
        <v>290</v>
      </c>
      <c r="M138" t="s">
        <v>45</v>
      </c>
      <c r="O138" t="s">
        <v>80</v>
      </c>
      <c r="P138" t="s">
        <v>81</v>
      </c>
      <c r="Q138" t="s">
        <v>48</v>
      </c>
      <c r="R138" t="s">
        <v>56</v>
      </c>
      <c r="S138" s="1">
        <v>46023</v>
      </c>
      <c r="U138" t="s">
        <v>50</v>
      </c>
      <c r="X138" t="s">
        <v>51</v>
      </c>
      <c r="Y138" s="2">
        <v>0</v>
      </c>
      <c r="Z138" s="2">
        <v>175</v>
      </c>
      <c r="AA138">
        <v>1</v>
      </c>
      <c r="AB138" s="3">
        <v>1</v>
      </c>
      <c r="AC138" s="2">
        <v>175</v>
      </c>
      <c r="AD138" s="3">
        <v>0</v>
      </c>
      <c r="AE138" s="2">
        <v>0</v>
      </c>
      <c r="AF138" s="2">
        <v>175</v>
      </c>
      <c r="AK138">
        <v>6046914</v>
      </c>
    </row>
    <row r="139" spans="1:37" x14ac:dyDescent="0.25">
      <c r="A139" s="1">
        <v>46001</v>
      </c>
      <c r="B139" s="1">
        <v>46001</v>
      </c>
      <c r="C139" t="s">
        <v>38</v>
      </c>
      <c r="D139" t="s">
        <v>39</v>
      </c>
      <c r="E139" t="s">
        <v>40</v>
      </c>
      <c r="F139" t="s">
        <v>41</v>
      </c>
      <c r="G139" t="s">
        <v>42</v>
      </c>
      <c r="H139" t="s">
        <v>43</v>
      </c>
      <c r="I139" t="s">
        <v>772</v>
      </c>
      <c r="J139" t="s">
        <v>291</v>
      </c>
      <c r="M139" t="s">
        <v>89</v>
      </c>
      <c r="O139" t="s">
        <v>102</v>
      </c>
      <c r="P139" t="s">
        <v>103</v>
      </c>
      <c r="Q139" t="s">
        <v>48</v>
      </c>
      <c r="R139" t="s">
        <v>56</v>
      </c>
      <c r="S139" s="1">
        <v>45992</v>
      </c>
      <c r="U139" t="s">
        <v>50</v>
      </c>
      <c r="X139" t="s">
        <v>51</v>
      </c>
      <c r="Y139" s="2">
        <v>0</v>
      </c>
      <c r="Z139" s="2">
        <v>175</v>
      </c>
      <c r="AA139">
        <v>1</v>
      </c>
      <c r="AB139" s="3">
        <v>1</v>
      </c>
      <c r="AC139" s="2">
        <v>175</v>
      </c>
      <c r="AD139" s="3">
        <v>0</v>
      </c>
      <c r="AE139" s="2">
        <v>0</v>
      </c>
      <c r="AF139" s="2">
        <v>175</v>
      </c>
      <c r="AK139">
        <v>6046915</v>
      </c>
    </row>
    <row r="140" spans="1:37" x14ac:dyDescent="0.25">
      <c r="A140" s="1">
        <v>46001</v>
      </c>
      <c r="B140" s="1">
        <v>46001</v>
      </c>
      <c r="C140" t="s">
        <v>38</v>
      </c>
      <c r="D140" t="s">
        <v>39</v>
      </c>
      <c r="E140" t="s">
        <v>40</v>
      </c>
      <c r="F140" t="s">
        <v>41</v>
      </c>
      <c r="G140" t="s">
        <v>42</v>
      </c>
      <c r="H140" t="s">
        <v>43</v>
      </c>
      <c r="I140" t="s">
        <v>773</v>
      </c>
      <c r="J140" t="s">
        <v>292</v>
      </c>
      <c r="M140" t="s">
        <v>45</v>
      </c>
      <c r="O140" t="s">
        <v>80</v>
      </c>
      <c r="P140" t="s">
        <v>81</v>
      </c>
      <c r="Q140" t="s">
        <v>48</v>
      </c>
      <c r="R140" t="s">
        <v>56</v>
      </c>
      <c r="S140" s="1">
        <v>45992</v>
      </c>
      <c r="U140" t="s">
        <v>50</v>
      </c>
      <c r="X140" t="s">
        <v>51</v>
      </c>
      <c r="Y140" s="2">
        <v>0</v>
      </c>
      <c r="Z140" s="2">
        <v>175</v>
      </c>
      <c r="AA140">
        <v>1</v>
      </c>
      <c r="AB140" s="3">
        <v>1</v>
      </c>
      <c r="AC140" s="2">
        <v>175</v>
      </c>
      <c r="AD140" s="3">
        <v>0</v>
      </c>
      <c r="AE140" s="2">
        <v>0</v>
      </c>
      <c r="AF140" s="2">
        <v>175</v>
      </c>
      <c r="AK140">
        <v>6046916</v>
      </c>
    </row>
    <row r="141" spans="1:37" x14ac:dyDescent="0.25">
      <c r="A141" s="1">
        <v>46001</v>
      </c>
      <c r="B141" s="1">
        <v>46001</v>
      </c>
      <c r="C141" t="s">
        <v>38</v>
      </c>
      <c r="D141" t="s">
        <v>39</v>
      </c>
      <c r="E141" t="s">
        <v>40</v>
      </c>
      <c r="F141" t="s">
        <v>41</v>
      </c>
      <c r="G141" t="s">
        <v>42</v>
      </c>
      <c r="H141" t="s">
        <v>43</v>
      </c>
      <c r="I141" t="s">
        <v>774</v>
      </c>
      <c r="J141" t="s">
        <v>293</v>
      </c>
      <c r="M141" t="s">
        <v>89</v>
      </c>
      <c r="O141" t="s">
        <v>102</v>
      </c>
      <c r="P141" t="s">
        <v>103</v>
      </c>
      <c r="Q141" t="s">
        <v>48</v>
      </c>
      <c r="R141" t="s">
        <v>56</v>
      </c>
      <c r="S141" s="1">
        <v>45992</v>
      </c>
      <c r="U141" t="s">
        <v>50</v>
      </c>
      <c r="X141" t="s">
        <v>51</v>
      </c>
      <c r="Y141" s="2">
        <v>0</v>
      </c>
      <c r="Z141" s="2">
        <v>175</v>
      </c>
      <c r="AA141">
        <v>1</v>
      </c>
      <c r="AB141" s="3">
        <v>1</v>
      </c>
      <c r="AC141" s="2">
        <v>175</v>
      </c>
      <c r="AD141" s="3">
        <v>0</v>
      </c>
      <c r="AE141" s="2">
        <v>0</v>
      </c>
      <c r="AF141" s="2">
        <v>175</v>
      </c>
      <c r="AK141">
        <v>6046917</v>
      </c>
    </row>
    <row r="142" spans="1:37" x14ac:dyDescent="0.25">
      <c r="A142" s="1">
        <v>46001</v>
      </c>
      <c r="B142" s="1">
        <v>46001</v>
      </c>
      <c r="C142" t="s">
        <v>38</v>
      </c>
      <c r="D142" t="s">
        <v>39</v>
      </c>
      <c r="E142" t="s">
        <v>40</v>
      </c>
      <c r="F142" t="s">
        <v>41</v>
      </c>
      <c r="G142" t="s">
        <v>42</v>
      </c>
      <c r="H142" t="s">
        <v>43</v>
      </c>
      <c r="I142" t="s">
        <v>775</v>
      </c>
      <c r="J142" t="s">
        <v>294</v>
      </c>
      <c r="M142" t="s">
        <v>45</v>
      </c>
      <c r="O142" t="s">
        <v>80</v>
      </c>
      <c r="P142" t="s">
        <v>81</v>
      </c>
      <c r="Q142" t="s">
        <v>48</v>
      </c>
      <c r="R142" t="s">
        <v>56</v>
      </c>
      <c r="S142" s="1">
        <v>46023</v>
      </c>
      <c r="U142" t="s">
        <v>50</v>
      </c>
      <c r="X142" t="s">
        <v>51</v>
      </c>
      <c r="Y142" s="2">
        <v>0</v>
      </c>
      <c r="Z142" s="2">
        <v>175</v>
      </c>
      <c r="AA142">
        <v>1</v>
      </c>
      <c r="AB142" s="3">
        <v>1</v>
      </c>
      <c r="AC142" s="2">
        <v>175</v>
      </c>
      <c r="AD142" s="3">
        <v>0</v>
      </c>
      <c r="AE142" s="2">
        <v>0</v>
      </c>
      <c r="AF142" s="2">
        <v>175</v>
      </c>
      <c r="AK142">
        <v>6046918</v>
      </c>
    </row>
    <row r="143" spans="1:37" x14ac:dyDescent="0.25">
      <c r="A143" s="1">
        <v>46001</v>
      </c>
      <c r="B143" s="1">
        <v>46001</v>
      </c>
      <c r="C143" t="s">
        <v>38</v>
      </c>
      <c r="D143" t="s">
        <v>39</v>
      </c>
      <c r="E143" t="s">
        <v>40</v>
      </c>
      <c r="F143" t="s">
        <v>41</v>
      </c>
      <c r="G143" t="s">
        <v>42</v>
      </c>
      <c r="H143" t="s">
        <v>43</v>
      </c>
      <c r="I143" t="s">
        <v>776</v>
      </c>
      <c r="J143" t="s">
        <v>295</v>
      </c>
      <c r="M143" t="s">
        <v>45</v>
      </c>
      <c r="O143" t="s">
        <v>80</v>
      </c>
      <c r="P143" t="s">
        <v>81</v>
      </c>
      <c r="Q143" t="s">
        <v>48</v>
      </c>
      <c r="R143" t="s">
        <v>56</v>
      </c>
      <c r="S143" s="1">
        <v>46023</v>
      </c>
      <c r="U143" t="s">
        <v>50</v>
      </c>
      <c r="X143" t="s">
        <v>51</v>
      </c>
      <c r="Y143" s="2">
        <v>0</v>
      </c>
      <c r="Z143" s="2">
        <v>175</v>
      </c>
      <c r="AA143">
        <v>1</v>
      </c>
      <c r="AB143" s="3">
        <v>1</v>
      </c>
      <c r="AC143" s="2">
        <v>175</v>
      </c>
      <c r="AD143" s="3">
        <v>0</v>
      </c>
      <c r="AE143" s="2">
        <v>0</v>
      </c>
      <c r="AF143" s="2">
        <v>175</v>
      </c>
      <c r="AK143">
        <v>6046919</v>
      </c>
    </row>
    <row r="144" spans="1:37" x14ac:dyDescent="0.25">
      <c r="A144" s="1">
        <v>46001</v>
      </c>
      <c r="B144" s="1">
        <v>46001</v>
      </c>
      <c r="C144" t="s">
        <v>38</v>
      </c>
      <c r="D144" t="s">
        <v>39</v>
      </c>
      <c r="E144" t="s">
        <v>40</v>
      </c>
      <c r="F144" t="s">
        <v>41</v>
      </c>
      <c r="G144" t="s">
        <v>42</v>
      </c>
      <c r="H144" t="s">
        <v>43</v>
      </c>
      <c r="I144" t="s">
        <v>777</v>
      </c>
      <c r="J144" t="s">
        <v>296</v>
      </c>
      <c r="M144" t="s">
        <v>45</v>
      </c>
      <c r="O144" t="s">
        <v>80</v>
      </c>
      <c r="P144" t="s">
        <v>81</v>
      </c>
      <c r="Q144" t="s">
        <v>48</v>
      </c>
      <c r="R144" t="s">
        <v>56</v>
      </c>
      <c r="S144" s="1">
        <v>46023</v>
      </c>
      <c r="U144" t="s">
        <v>50</v>
      </c>
      <c r="X144" t="s">
        <v>51</v>
      </c>
      <c r="Y144" s="2">
        <v>0</v>
      </c>
      <c r="Z144" s="2">
        <v>175</v>
      </c>
      <c r="AA144">
        <v>1</v>
      </c>
      <c r="AB144" s="3">
        <v>1</v>
      </c>
      <c r="AC144" s="2">
        <v>175</v>
      </c>
      <c r="AD144" s="3">
        <v>0</v>
      </c>
      <c r="AE144" s="2">
        <v>0</v>
      </c>
      <c r="AF144" s="2">
        <v>175</v>
      </c>
      <c r="AK144">
        <v>6046920</v>
      </c>
    </row>
    <row r="145" spans="1:37" x14ac:dyDescent="0.25">
      <c r="A145" s="1">
        <v>46001</v>
      </c>
      <c r="B145" s="1">
        <v>46001</v>
      </c>
      <c r="C145" t="s">
        <v>38</v>
      </c>
      <c r="D145" t="s">
        <v>39</v>
      </c>
      <c r="E145" t="s">
        <v>40</v>
      </c>
      <c r="F145" t="s">
        <v>41</v>
      </c>
      <c r="G145" t="s">
        <v>42</v>
      </c>
      <c r="H145" t="s">
        <v>43</v>
      </c>
      <c r="I145" t="s">
        <v>778</v>
      </c>
      <c r="J145" t="s">
        <v>297</v>
      </c>
      <c r="M145" t="s">
        <v>45</v>
      </c>
      <c r="O145" t="s">
        <v>80</v>
      </c>
      <c r="P145" t="s">
        <v>81</v>
      </c>
      <c r="Q145" t="s">
        <v>48</v>
      </c>
      <c r="R145" t="s">
        <v>56</v>
      </c>
      <c r="S145" s="1">
        <v>46023</v>
      </c>
      <c r="U145" t="s">
        <v>50</v>
      </c>
      <c r="X145" t="s">
        <v>51</v>
      </c>
      <c r="Y145" s="2">
        <v>0</v>
      </c>
      <c r="Z145" s="2">
        <v>175</v>
      </c>
      <c r="AA145">
        <v>1</v>
      </c>
      <c r="AB145" s="3">
        <v>1</v>
      </c>
      <c r="AC145" s="2">
        <v>175</v>
      </c>
      <c r="AD145" s="3">
        <v>0</v>
      </c>
      <c r="AE145" s="2">
        <v>0</v>
      </c>
      <c r="AF145" s="2">
        <v>175</v>
      </c>
      <c r="AK145">
        <v>6046921</v>
      </c>
    </row>
    <row r="146" spans="1:37" x14ac:dyDescent="0.25">
      <c r="A146" s="1">
        <v>46001</v>
      </c>
      <c r="B146" s="1">
        <v>46001</v>
      </c>
      <c r="C146" t="s">
        <v>38</v>
      </c>
      <c r="D146" t="s">
        <v>39</v>
      </c>
      <c r="E146" t="s">
        <v>40</v>
      </c>
      <c r="F146" t="s">
        <v>41</v>
      </c>
      <c r="G146" t="s">
        <v>42</v>
      </c>
      <c r="H146" t="s">
        <v>43</v>
      </c>
      <c r="I146" t="s">
        <v>779</v>
      </c>
      <c r="J146" t="s">
        <v>298</v>
      </c>
      <c r="M146" t="s">
        <v>45</v>
      </c>
      <c r="O146" t="s">
        <v>201</v>
      </c>
      <c r="P146" t="s">
        <v>202</v>
      </c>
      <c r="Q146" t="s">
        <v>48</v>
      </c>
      <c r="R146" t="s">
        <v>56</v>
      </c>
      <c r="S146" s="1">
        <v>46023</v>
      </c>
      <c r="U146" t="s">
        <v>50</v>
      </c>
      <c r="X146" t="s">
        <v>51</v>
      </c>
      <c r="Y146" s="2">
        <v>0</v>
      </c>
      <c r="Z146" s="2">
        <v>175</v>
      </c>
      <c r="AA146">
        <v>1</v>
      </c>
      <c r="AB146" s="3">
        <v>1</v>
      </c>
      <c r="AC146" s="2">
        <v>175</v>
      </c>
      <c r="AD146" s="3">
        <v>0</v>
      </c>
      <c r="AE146" s="2">
        <v>0</v>
      </c>
      <c r="AF146" s="2">
        <v>175</v>
      </c>
      <c r="AK146">
        <v>6046922</v>
      </c>
    </row>
    <row r="147" spans="1:37" x14ac:dyDescent="0.25">
      <c r="A147" s="1">
        <v>46001</v>
      </c>
      <c r="B147" s="1">
        <v>46001</v>
      </c>
      <c r="C147" t="s">
        <v>38</v>
      </c>
      <c r="D147" t="s">
        <v>39</v>
      </c>
      <c r="E147" t="s">
        <v>40</v>
      </c>
      <c r="F147" t="s">
        <v>41</v>
      </c>
      <c r="G147" t="s">
        <v>42</v>
      </c>
      <c r="H147" t="s">
        <v>43</v>
      </c>
      <c r="I147" t="s">
        <v>780</v>
      </c>
      <c r="J147" t="s">
        <v>299</v>
      </c>
      <c r="M147" t="s">
        <v>45</v>
      </c>
      <c r="O147" t="s">
        <v>85</v>
      </c>
      <c r="P147" t="s">
        <v>86</v>
      </c>
      <c r="Q147" t="s">
        <v>48</v>
      </c>
      <c r="R147" t="s">
        <v>56</v>
      </c>
      <c r="S147" s="1">
        <v>46023</v>
      </c>
      <c r="U147" t="s">
        <v>50</v>
      </c>
      <c r="X147" t="s">
        <v>51</v>
      </c>
      <c r="Y147" s="2">
        <v>0</v>
      </c>
      <c r="Z147" s="2">
        <v>175</v>
      </c>
      <c r="AA147">
        <v>1</v>
      </c>
      <c r="AB147" s="3">
        <v>1</v>
      </c>
      <c r="AC147" s="2">
        <v>175</v>
      </c>
      <c r="AD147" s="3">
        <v>0</v>
      </c>
      <c r="AE147" s="2">
        <v>0</v>
      </c>
      <c r="AF147" s="2">
        <v>175</v>
      </c>
      <c r="AK147">
        <v>6046923</v>
      </c>
    </row>
    <row r="148" spans="1:37" x14ac:dyDescent="0.25">
      <c r="A148" s="1">
        <v>46001</v>
      </c>
      <c r="B148" s="1">
        <v>46001</v>
      </c>
      <c r="C148" t="s">
        <v>38</v>
      </c>
      <c r="D148" t="s">
        <v>39</v>
      </c>
      <c r="E148" t="s">
        <v>40</v>
      </c>
      <c r="F148" t="s">
        <v>41</v>
      </c>
      <c r="G148" t="s">
        <v>42</v>
      </c>
      <c r="H148" t="s">
        <v>43</v>
      </c>
      <c r="I148" t="s">
        <v>781</v>
      </c>
      <c r="J148" t="s">
        <v>300</v>
      </c>
      <c r="M148" t="s">
        <v>45</v>
      </c>
      <c r="O148" t="s">
        <v>131</v>
      </c>
      <c r="P148" t="s">
        <v>132</v>
      </c>
      <c r="Q148" t="s">
        <v>48</v>
      </c>
      <c r="R148" t="s">
        <v>56</v>
      </c>
      <c r="S148" s="1">
        <v>46023</v>
      </c>
      <c r="U148" t="s">
        <v>50</v>
      </c>
      <c r="X148" t="s">
        <v>51</v>
      </c>
      <c r="Y148" s="2">
        <v>0</v>
      </c>
      <c r="Z148" s="2">
        <v>175</v>
      </c>
      <c r="AA148">
        <v>1</v>
      </c>
      <c r="AB148" s="3">
        <v>1</v>
      </c>
      <c r="AC148" s="2">
        <v>175</v>
      </c>
      <c r="AD148" s="3">
        <v>0</v>
      </c>
      <c r="AE148" s="2">
        <v>0</v>
      </c>
      <c r="AF148" s="2">
        <v>175</v>
      </c>
      <c r="AK148">
        <v>6046924</v>
      </c>
    </row>
    <row r="149" spans="1:37" x14ac:dyDescent="0.25">
      <c r="A149" s="1">
        <v>46001</v>
      </c>
      <c r="B149" s="1">
        <v>46001</v>
      </c>
      <c r="C149" t="s">
        <v>38</v>
      </c>
      <c r="D149" t="s">
        <v>39</v>
      </c>
      <c r="E149" t="s">
        <v>40</v>
      </c>
      <c r="F149" t="s">
        <v>41</v>
      </c>
      <c r="G149" t="s">
        <v>42</v>
      </c>
      <c r="H149" t="s">
        <v>43</v>
      </c>
      <c r="I149" t="s">
        <v>782</v>
      </c>
      <c r="J149" t="s">
        <v>301</v>
      </c>
      <c r="M149" t="s">
        <v>45</v>
      </c>
      <c r="O149" t="s">
        <v>80</v>
      </c>
      <c r="P149" t="s">
        <v>81</v>
      </c>
      <c r="Q149" t="s">
        <v>48</v>
      </c>
      <c r="R149" t="s">
        <v>56</v>
      </c>
      <c r="S149" s="1">
        <v>46023</v>
      </c>
      <c r="U149" t="s">
        <v>50</v>
      </c>
      <c r="X149" t="s">
        <v>51</v>
      </c>
      <c r="Y149" s="2">
        <v>0</v>
      </c>
      <c r="Z149" s="2">
        <v>175</v>
      </c>
      <c r="AA149">
        <v>1</v>
      </c>
      <c r="AB149" s="3">
        <v>1</v>
      </c>
      <c r="AC149" s="2">
        <v>175</v>
      </c>
      <c r="AD149" s="3">
        <v>0</v>
      </c>
      <c r="AE149" s="2">
        <v>0</v>
      </c>
      <c r="AF149" s="2">
        <v>175</v>
      </c>
      <c r="AK149">
        <v>6046925</v>
      </c>
    </row>
    <row r="150" spans="1:37" x14ac:dyDescent="0.25">
      <c r="A150" s="1">
        <v>46001</v>
      </c>
      <c r="B150" s="1">
        <v>46001</v>
      </c>
      <c r="C150" t="s">
        <v>38</v>
      </c>
      <c r="D150" t="s">
        <v>39</v>
      </c>
      <c r="E150" t="s">
        <v>40</v>
      </c>
      <c r="F150" t="s">
        <v>41</v>
      </c>
      <c r="G150" t="s">
        <v>42</v>
      </c>
      <c r="H150" t="s">
        <v>43</v>
      </c>
      <c r="I150" t="s">
        <v>783</v>
      </c>
      <c r="J150" t="s">
        <v>302</v>
      </c>
      <c r="M150" t="s">
        <v>113</v>
      </c>
      <c r="O150" t="s">
        <v>85</v>
      </c>
      <c r="P150" t="s">
        <v>86</v>
      </c>
      <c r="Q150" t="s">
        <v>48</v>
      </c>
      <c r="R150" t="s">
        <v>56</v>
      </c>
      <c r="S150" s="1">
        <v>46023</v>
      </c>
      <c r="U150" t="s">
        <v>50</v>
      </c>
      <c r="X150" t="s">
        <v>51</v>
      </c>
      <c r="Y150" s="2">
        <v>0</v>
      </c>
      <c r="Z150" s="2">
        <v>175</v>
      </c>
      <c r="AA150">
        <v>1</v>
      </c>
      <c r="AB150" s="3">
        <v>1</v>
      </c>
      <c r="AC150" s="2">
        <v>175</v>
      </c>
      <c r="AD150" s="3">
        <v>0</v>
      </c>
      <c r="AE150" s="2">
        <v>0</v>
      </c>
      <c r="AF150" s="2">
        <v>175</v>
      </c>
      <c r="AK150">
        <v>6046926</v>
      </c>
    </row>
    <row r="151" spans="1:37" x14ac:dyDescent="0.25">
      <c r="A151" s="1">
        <v>46001</v>
      </c>
      <c r="B151" s="1">
        <v>46001</v>
      </c>
      <c r="C151" t="s">
        <v>38</v>
      </c>
      <c r="D151" t="s">
        <v>39</v>
      </c>
      <c r="E151" t="s">
        <v>40</v>
      </c>
      <c r="F151" t="s">
        <v>41</v>
      </c>
      <c r="G151" t="s">
        <v>42</v>
      </c>
      <c r="H151" t="s">
        <v>43</v>
      </c>
      <c r="I151" t="s">
        <v>784</v>
      </c>
      <c r="J151" t="s">
        <v>303</v>
      </c>
      <c r="M151" t="s">
        <v>69</v>
      </c>
      <c r="O151" t="s">
        <v>70</v>
      </c>
      <c r="P151" t="s">
        <v>71</v>
      </c>
      <c r="Q151" t="s">
        <v>48</v>
      </c>
      <c r="R151" t="s">
        <v>56</v>
      </c>
      <c r="S151" s="1">
        <v>46023</v>
      </c>
      <c r="U151" t="s">
        <v>50</v>
      </c>
      <c r="X151" t="s">
        <v>51</v>
      </c>
      <c r="Y151" s="2">
        <v>0</v>
      </c>
      <c r="Z151" s="2">
        <v>175</v>
      </c>
      <c r="AA151">
        <v>1</v>
      </c>
      <c r="AB151" s="3">
        <v>1</v>
      </c>
      <c r="AC151" s="2">
        <v>175</v>
      </c>
      <c r="AD151" s="3">
        <v>0</v>
      </c>
      <c r="AE151" s="2">
        <v>0</v>
      </c>
      <c r="AF151" s="2">
        <v>175</v>
      </c>
      <c r="AK151">
        <v>6046751</v>
      </c>
    </row>
    <row r="152" spans="1:37" x14ac:dyDescent="0.25">
      <c r="A152" s="1">
        <v>46001</v>
      </c>
      <c r="B152" s="1">
        <v>46001</v>
      </c>
      <c r="C152" t="s">
        <v>38</v>
      </c>
      <c r="D152" t="s">
        <v>39</v>
      </c>
      <c r="E152" t="s">
        <v>40</v>
      </c>
      <c r="F152" t="s">
        <v>41</v>
      </c>
      <c r="G152" t="s">
        <v>42</v>
      </c>
      <c r="H152" t="s">
        <v>43</v>
      </c>
      <c r="I152" t="s">
        <v>785</v>
      </c>
      <c r="J152" t="s">
        <v>304</v>
      </c>
      <c r="M152" t="s">
        <v>45</v>
      </c>
      <c r="O152" t="s">
        <v>201</v>
      </c>
      <c r="P152" t="s">
        <v>202</v>
      </c>
      <c r="Q152" t="s">
        <v>48</v>
      </c>
      <c r="R152" t="s">
        <v>56</v>
      </c>
      <c r="S152" s="1">
        <v>46023</v>
      </c>
      <c r="U152" t="s">
        <v>50</v>
      </c>
      <c r="X152" t="s">
        <v>51</v>
      </c>
      <c r="Y152" s="2">
        <v>0</v>
      </c>
      <c r="Z152" s="2">
        <v>175</v>
      </c>
      <c r="AA152">
        <v>1</v>
      </c>
      <c r="AB152" s="3">
        <v>1</v>
      </c>
      <c r="AC152" s="2">
        <v>175</v>
      </c>
      <c r="AD152" s="3">
        <v>0</v>
      </c>
      <c r="AE152" s="2">
        <v>0</v>
      </c>
      <c r="AF152" s="2">
        <v>175</v>
      </c>
      <c r="AK152">
        <v>6046927</v>
      </c>
    </row>
    <row r="153" spans="1:37" x14ac:dyDescent="0.25">
      <c r="A153" s="1">
        <v>46001</v>
      </c>
      <c r="B153" s="1">
        <v>46001</v>
      </c>
      <c r="C153" t="s">
        <v>38</v>
      </c>
      <c r="D153" t="s">
        <v>39</v>
      </c>
      <c r="E153" t="s">
        <v>40</v>
      </c>
      <c r="F153" t="s">
        <v>41</v>
      </c>
      <c r="G153" t="s">
        <v>42</v>
      </c>
      <c r="H153" t="s">
        <v>43</v>
      </c>
      <c r="I153" t="s">
        <v>786</v>
      </c>
      <c r="J153" t="s">
        <v>305</v>
      </c>
      <c r="M153" t="s">
        <v>45</v>
      </c>
      <c r="O153" t="s">
        <v>80</v>
      </c>
      <c r="P153" t="s">
        <v>81</v>
      </c>
      <c r="Q153" t="s">
        <v>48</v>
      </c>
      <c r="R153" t="s">
        <v>56</v>
      </c>
      <c r="S153" s="1">
        <v>45992</v>
      </c>
      <c r="U153" t="s">
        <v>50</v>
      </c>
      <c r="X153" t="s">
        <v>51</v>
      </c>
      <c r="Y153" s="2">
        <v>0</v>
      </c>
      <c r="Z153" s="2">
        <v>175</v>
      </c>
      <c r="AA153">
        <v>1</v>
      </c>
      <c r="AB153" s="3">
        <v>1</v>
      </c>
      <c r="AC153" s="2">
        <v>175</v>
      </c>
      <c r="AD153" s="3">
        <v>0</v>
      </c>
      <c r="AE153" s="2">
        <v>0</v>
      </c>
      <c r="AF153" s="2">
        <v>175</v>
      </c>
      <c r="AK153">
        <v>6046928</v>
      </c>
    </row>
    <row r="154" spans="1:37" x14ac:dyDescent="0.25">
      <c r="A154" s="1">
        <v>46001</v>
      </c>
      <c r="B154" s="1">
        <v>46001</v>
      </c>
      <c r="C154" t="s">
        <v>38</v>
      </c>
      <c r="D154" t="s">
        <v>39</v>
      </c>
      <c r="E154" t="s">
        <v>40</v>
      </c>
      <c r="F154" t="s">
        <v>41</v>
      </c>
      <c r="G154" t="s">
        <v>42</v>
      </c>
      <c r="H154" t="s">
        <v>43</v>
      </c>
      <c r="I154" t="s">
        <v>787</v>
      </c>
      <c r="J154" t="s">
        <v>306</v>
      </c>
      <c r="M154" t="s">
        <v>307</v>
      </c>
      <c r="O154" t="s">
        <v>54</v>
      </c>
      <c r="P154" t="s">
        <v>55</v>
      </c>
      <c r="Q154" t="s">
        <v>48</v>
      </c>
      <c r="R154" t="s">
        <v>56</v>
      </c>
      <c r="S154" s="1">
        <v>45992</v>
      </c>
      <c r="U154" t="s">
        <v>50</v>
      </c>
      <c r="X154" t="s">
        <v>51</v>
      </c>
      <c r="Y154" s="2">
        <v>0</v>
      </c>
      <c r="Z154" s="2">
        <v>175</v>
      </c>
      <c r="AA154">
        <v>1</v>
      </c>
      <c r="AB154" s="3">
        <v>1</v>
      </c>
      <c r="AC154" s="2">
        <v>175</v>
      </c>
      <c r="AD154" s="3">
        <v>0</v>
      </c>
      <c r="AE154" s="2">
        <v>0</v>
      </c>
      <c r="AF154" s="2">
        <v>175</v>
      </c>
      <c r="AK154">
        <v>6046929</v>
      </c>
    </row>
    <row r="155" spans="1:37" x14ac:dyDescent="0.25">
      <c r="A155" s="1">
        <v>46001</v>
      </c>
      <c r="B155" s="1">
        <v>46001</v>
      </c>
      <c r="C155" t="s">
        <v>38</v>
      </c>
      <c r="D155" t="s">
        <v>39</v>
      </c>
      <c r="E155" t="s">
        <v>40</v>
      </c>
      <c r="F155" t="s">
        <v>41</v>
      </c>
      <c r="G155" t="s">
        <v>42</v>
      </c>
      <c r="H155" t="s">
        <v>43</v>
      </c>
      <c r="I155" t="s">
        <v>788</v>
      </c>
      <c r="J155" t="s">
        <v>308</v>
      </c>
      <c r="M155" t="s">
        <v>45</v>
      </c>
      <c r="O155" t="s">
        <v>80</v>
      </c>
      <c r="P155" t="s">
        <v>81</v>
      </c>
      <c r="Q155" t="s">
        <v>48</v>
      </c>
      <c r="R155" t="s">
        <v>56</v>
      </c>
      <c r="S155" s="1">
        <v>46023</v>
      </c>
      <c r="U155" t="s">
        <v>50</v>
      </c>
      <c r="X155" t="s">
        <v>51</v>
      </c>
      <c r="Y155" s="2">
        <v>0</v>
      </c>
      <c r="Z155" s="2">
        <v>175</v>
      </c>
      <c r="AA155">
        <v>1</v>
      </c>
      <c r="AB155" s="3">
        <v>1</v>
      </c>
      <c r="AC155" s="2">
        <v>175</v>
      </c>
      <c r="AD155" s="3">
        <v>0</v>
      </c>
      <c r="AE155" s="2">
        <v>0</v>
      </c>
      <c r="AF155" s="2">
        <v>175</v>
      </c>
      <c r="AK155">
        <v>6046930</v>
      </c>
    </row>
    <row r="156" spans="1:37" x14ac:dyDescent="0.25">
      <c r="A156" s="1">
        <v>46001</v>
      </c>
      <c r="B156" s="1">
        <v>46001</v>
      </c>
      <c r="C156" t="s">
        <v>38</v>
      </c>
      <c r="D156" t="s">
        <v>39</v>
      </c>
      <c r="E156" t="s">
        <v>40</v>
      </c>
      <c r="F156" t="s">
        <v>41</v>
      </c>
      <c r="G156" t="s">
        <v>42</v>
      </c>
      <c r="H156" t="s">
        <v>43</v>
      </c>
      <c r="I156" t="s">
        <v>789</v>
      </c>
      <c r="J156" t="s">
        <v>309</v>
      </c>
      <c r="M156" t="s">
        <v>45</v>
      </c>
      <c r="O156" t="s">
        <v>80</v>
      </c>
      <c r="P156" t="s">
        <v>81</v>
      </c>
      <c r="Q156" t="s">
        <v>48</v>
      </c>
      <c r="R156" t="s">
        <v>56</v>
      </c>
      <c r="S156" s="1">
        <v>46023</v>
      </c>
      <c r="U156" t="s">
        <v>50</v>
      </c>
      <c r="X156" t="s">
        <v>51</v>
      </c>
      <c r="Y156" s="2">
        <v>0</v>
      </c>
      <c r="Z156" s="2">
        <v>175</v>
      </c>
      <c r="AA156">
        <v>1</v>
      </c>
      <c r="AB156" s="3">
        <v>1</v>
      </c>
      <c r="AC156" s="2">
        <v>175</v>
      </c>
      <c r="AD156" s="3">
        <v>0</v>
      </c>
      <c r="AE156" s="2">
        <v>0</v>
      </c>
      <c r="AF156" s="2">
        <v>175</v>
      </c>
      <c r="AK156">
        <v>6046931</v>
      </c>
    </row>
    <row r="157" spans="1:37" x14ac:dyDescent="0.25">
      <c r="A157" s="1">
        <v>46001</v>
      </c>
      <c r="B157" s="1">
        <v>46001</v>
      </c>
      <c r="C157" t="s">
        <v>38</v>
      </c>
      <c r="D157" t="s">
        <v>39</v>
      </c>
      <c r="E157" t="s">
        <v>40</v>
      </c>
      <c r="F157" t="s">
        <v>41</v>
      </c>
      <c r="G157" t="s">
        <v>42</v>
      </c>
      <c r="H157" t="s">
        <v>43</v>
      </c>
      <c r="I157" t="s">
        <v>790</v>
      </c>
      <c r="J157" t="s">
        <v>310</v>
      </c>
      <c r="M157" t="s">
        <v>45</v>
      </c>
      <c r="O157" t="s">
        <v>105</v>
      </c>
      <c r="P157" t="s">
        <v>106</v>
      </c>
      <c r="Q157" t="s">
        <v>48</v>
      </c>
      <c r="R157" t="s">
        <v>56</v>
      </c>
      <c r="S157" s="1">
        <v>46023</v>
      </c>
      <c r="U157" t="s">
        <v>50</v>
      </c>
      <c r="X157" t="s">
        <v>51</v>
      </c>
      <c r="Y157" s="2">
        <v>0</v>
      </c>
      <c r="Z157" s="2">
        <v>175</v>
      </c>
      <c r="AA157">
        <v>1</v>
      </c>
      <c r="AB157" s="3">
        <v>1</v>
      </c>
      <c r="AC157" s="2">
        <v>175</v>
      </c>
      <c r="AD157" s="3">
        <v>0</v>
      </c>
      <c r="AE157" s="2">
        <v>0</v>
      </c>
      <c r="AF157" s="2">
        <v>175</v>
      </c>
      <c r="AK157">
        <v>6046932</v>
      </c>
    </row>
    <row r="158" spans="1:37" x14ac:dyDescent="0.25">
      <c r="A158" s="1">
        <v>46001</v>
      </c>
      <c r="B158" s="1">
        <v>46001</v>
      </c>
      <c r="C158" t="s">
        <v>38</v>
      </c>
      <c r="D158" t="s">
        <v>39</v>
      </c>
      <c r="E158" t="s">
        <v>40</v>
      </c>
      <c r="F158" t="s">
        <v>41</v>
      </c>
      <c r="G158" t="s">
        <v>42</v>
      </c>
      <c r="H158" t="s">
        <v>43</v>
      </c>
      <c r="I158" t="s">
        <v>791</v>
      </c>
      <c r="J158" t="s">
        <v>311</v>
      </c>
      <c r="M158" t="s">
        <v>169</v>
      </c>
      <c r="O158" t="s">
        <v>80</v>
      </c>
      <c r="P158" t="s">
        <v>81</v>
      </c>
      <c r="Q158" t="s">
        <v>48</v>
      </c>
      <c r="R158" t="s">
        <v>56</v>
      </c>
      <c r="S158" s="1">
        <v>46023</v>
      </c>
      <c r="U158" t="s">
        <v>50</v>
      </c>
      <c r="X158" t="s">
        <v>51</v>
      </c>
      <c r="Y158" s="2">
        <v>0</v>
      </c>
      <c r="Z158" s="2">
        <v>175</v>
      </c>
      <c r="AA158">
        <v>1</v>
      </c>
      <c r="AB158" s="3">
        <v>1</v>
      </c>
      <c r="AC158" s="2">
        <v>175</v>
      </c>
      <c r="AD158" s="3">
        <v>0</v>
      </c>
      <c r="AE158" s="2">
        <v>0</v>
      </c>
      <c r="AF158" s="2">
        <v>175</v>
      </c>
      <c r="AK158">
        <v>6046933</v>
      </c>
    </row>
    <row r="159" spans="1:37" x14ac:dyDescent="0.25">
      <c r="A159" s="1">
        <v>46001</v>
      </c>
      <c r="B159" s="1">
        <v>46001</v>
      </c>
      <c r="C159" t="s">
        <v>38</v>
      </c>
      <c r="D159" t="s">
        <v>39</v>
      </c>
      <c r="E159" t="s">
        <v>40</v>
      </c>
      <c r="F159" t="s">
        <v>41</v>
      </c>
      <c r="G159" t="s">
        <v>42</v>
      </c>
      <c r="H159" t="s">
        <v>43</v>
      </c>
      <c r="I159" t="s">
        <v>792</v>
      </c>
      <c r="J159" t="s">
        <v>312</v>
      </c>
      <c r="M159" t="s">
        <v>169</v>
      </c>
      <c r="O159" t="s">
        <v>80</v>
      </c>
      <c r="P159" t="s">
        <v>81</v>
      </c>
      <c r="Q159" t="s">
        <v>48</v>
      </c>
      <c r="R159" t="s">
        <v>56</v>
      </c>
      <c r="S159" s="1">
        <v>46023</v>
      </c>
      <c r="U159" t="s">
        <v>50</v>
      </c>
      <c r="X159" t="s">
        <v>51</v>
      </c>
      <c r="Y159" s="2">
        <v>0</v>
      </c>
      <c r="Z159" s="2">
        <v>175</v>
      </c>
      <c r="AA159">
        <v>1</v>
      </c>
      <c r="AB159" s="3">
        <v>1</v>
      </c>
      <c r="AC159" s="2">
        <v>175</v>
      </c>
      <c r="AD159" s="3">
        <v>0</v>
      </c>
      <c r="AE159" s="2">
        <v>0</v>
      </c>
      <c r="AF159" s="2">
        <v>175</v>
      </c>
      <c r="AK159">
        <v>6046934</v>
      </c>
    </row>
    <row r="160" spans="1:37" x14ac:dyDescent="0.25">
      <c r="A160" s="1">
        <v>46001</v>
      </c>
      <c r="B160" s="1">
        <v>46001</v>
      </c>
      <c r="C160" t="s">
        <v>38</v>
      </c>
      <c r="D160" t="s">
        <v>39</v>
      </c>
      <c r="E160" t="s">
        <v>40</v>
      </c>
      <c r="F160" t="s">
        <v>41</v>
      </c>
      <c r="G160" t="s">
        <v>42</v>
      </c>
      <c r="H160" t="s">
        <v>43</v>
      </c>
      <c r="I160">
        <v>101041888400</v>
      </c>
      <c r="J160" t="s">
        <v>313</v>
      </c>
      <c r="M160" t="s">
        <v>45</v>
      </c>
      <c r="O160" t="s">
        <v>159</v>
      </c>
      <c r="P160" t="s">
        <v>160</v>
      </c>
      <c r="Q160" t="s">
        <v>48</v>
      </c>
      <c r="R160" t="s">
        <v>314</v>
      </c>
      <c r="S160" s="1">
        <v>46023</v>
      </c>
      <c r="U160" t="s">
        <v>50</v>
      </c>
      <c r="X160" t="s">
        <v>51</v>
      </c>
      <c r="Y160" s="2">
        <v>0</v>
      </c>
      <c r="Z160" s="2">
        <v>15</v>
      </c>
      <c r="AA160">
        <v>1</v>
      </c>
      <c r="AB160" s="3">
        <v>1</v>
      </c>
      <c r="AC160" s="2">
        <v>15</v>
      </c>
      <c r="AD160" s="3">
        <v>0</v>
      </c>
      <c r="AE160" s="2">
        <v>0</v>
      </c>
      <c r="AF160" s="2">
        <v>15</v>
      </c>
      <c r="AK160">
        <v>6045261</v>
      </c>
    </row>
    <row r="161" spans="1:37" x14ac:dyDescent="0.25">
      <c r="A161" s="1">
        <v>46001</v>
      </c>
      <c r="B161" s="1">
        <v>46001</v>
      </c>
      <c r="C161" t="s">
        <v>38</v>
      </c>
      <c r="D161" t="s">
        <v>39</v>
      </c>
      <c r="E161" t="s">
        <v>40</v>
      </c>
      <c r="F161" t="s">
        <v>41</v>
      </c>
      <c r="G161" t="s">
        <v>42</v>
      </c>
      <c r="H161" t="s">
        <v>43</v>
      </c>
      <c r="I161">
        <v>101087994000</v>
      </c>
      <c r="J161" t="s">
        <v>315</v>
      </c>
      <c r="M161" t="s">
        <v>316</v>
      </c>
      <c r="O161" t="s">
        <v>317</v>
      </c>
      <c r="P161" t="s">
        <v>318</v>
      </c>
      <c r="Q161" t="s">
        <v>48</v>
      </c>
      <c r="R161" t="s">
        <v>319</v>
      </c>
      <c r="S161" s="1">
        <v>46023</v>
      </c>
      <c r="U161" t="s">
        <v>50</v>
      </c>
      <c r="X161" t="s">
        <v>51</v>
      </c>
      <c r="Y161" s="2">
        <v>0</v>
      </c>
      <c r="Z161" s="2">
        <v>25</v>
      </c>
      <c r="AA161">
        <v>1</v>
      </c>
      <c r="AB161" s="3">
        <v>1</v>
      </c>
      <c r="AC161" s="2">
        <v>25</v>
      </c>
      <c r="AD161" s="3">
        <v>0</v>
      </c>
      <c r="AE161" s="2">
        <v>0</v>
      </c>
      <c r="AF161" s="2">
        <v>25</v>
      </c>
      <c r="AK161">
        <v>6045279</v>
      </c>
    </row>
    <row r="162" spans="1:37" x14ac:dyDescent="0.25">
      <c r="A162" s="1">
        <v>46001</v>
      </c>
      <c r="B162" s="1">
        <v>46001</v>
      </c>
      <c r="C162" t="s">
        <v>38</v>
      </c>
      <c r="D162" t="s">
        <v>39</v>
      </c>
      <c r="E162" t="s">
        <v>40</v>
      </c>
      <c r="F162" t="s">
        <v>41</v>
      </c>
      <c r="G162" t="s">
        <v>42</v>
      </c>
      <c r="H162" t="s">
        <v>43</v>
      </c>
      <c r="I162">
        <v>101191675700</v>
      </c>
      <c r="J162" t="s">
        <v>320</v>
      </c>
      <c r="M162" t="s">
        <v>316</v>
      </c>
      <c r="O162" t="s">
        <v>321</v>
      </c>
      <c r="P162" t="s">
        <v>322</v>
      </c>
      <c r="Q162" t="s">
        <v>48</v>
      </c>
      <c r="R162" t="s">
        <v>319</v>
      </c>
      <c r="S162" s="1">
        <v>46023</v>
      </c>
      <c r="U162" t="s">
        <v>50</v>
      </c>
      <c r="X162" t="s">
        <v>51</v>
      </c>
      <c r="Y162" s="2">
        <v>0</v>
      </c>
      <c r="Z162" s="2">
        <v>25</v>
      </c>
      <c r="AA162">
        <v>1</v>
      </c>
      <c r="AB162" s="3">
        <v>1</v>
      </c>
      <c r="AC162" s="2">
        <v>25</v>
      </c>
      <c r="AD162" s="3">
        <v>0</v>
      </c>
      <c r="AE162" s="2">
        <v>0</v>
      </c>
      <c r="AF162" s="2">
        <v>25</v>
      </c>
      <c r="AK162">
        <v>6045338</v>
      </c>
    </row>
    <row r="163" spans="1:37" x14ac:dyDescent="0.25">
      <c r="A163" s="1">
        <v>46001</v>
      </c>
      <c r="B163" s="1">
        <v>46001</v>
      </c>
      <c r="C163" t="s">
        <v>38</v>
      </c>
      <c r="D163" t="s">
        <v>39</v>
      </c>
      <c r="E163" t="s">
        <v>40</v>
      </c>
      <c r="F163" t="s">
        <v>41</v>
      </c>
      <c r="G163" t="s">
        <v>42</v>
      </c>
      <c r="H163" t="s">
        <v>43</v>
      </c>
      <c r="I163">
        <v>101199379600</v>
      </c>
      <c r="J163" t="s">
        <v>323</v>
      </c>
      <c r="M163" t="s">
        <v>324</v>
      </c>
      <c r="O163" t="s">
        <v>325</v>
      </c>
      <c r="P163" t="s">
        <v>326</v>
      </c>
      <c r="Q163" t="s">
        <v>48</v>
      </c>
      <c r="R163" t="s">
        <v>314</v>
      </c>
      <c r="S163" s="1">
        <v>46023</v>
      </c>
      <c r="U163" t="s">
        <v>50</v>
      </c>
      <c r="X163" t="s">
        <v>51</v>
      </c>
      <c r="Y163" s="2">
        <v>0</v>
      </c>
      <c r="Z163" s="2">
        <v>15</v>
      </c>
      <c r="AA163">
        <v>1</v>
      </c>
      <c r="AB163" s="3">
        <v>1</v>
      </c>
      <c r="AC163" s="2">
        <v>15</v>
      </c>
      <c r="AD163" s="3">
        <v>0</v>
      </c>
      <c r="AE163" s="2">
        <v>0</v>
      </c>
      <c r="AF163" s="2">
        <v>15</v>
      </c>
      <c r="AK163">
        <v>6045343</v>
      </c>
    </row>
    <row r="164" spans="1:37" x14ac:dyDescent="0.25">
      <c r="A164" s="1">
        <v>46001</v>
      </c>
      <c r="B164" s="1">
        <v>46001</v>
      </c>
      <c r="C164" t="s">
        <v>38</v>
      </c>
      <c r="D164" t="s">
        <v>39</v>
      </c>
      <c r="E164" t="s">
        <v>40</v>
      </c>
      <c r="F164" t="s">
        <v>41</v>
      </c>
      <c r="G164" t="s">
        <v>42</v>
      </c>
      <c r="H164" t="s">
        <v>43</v>
      </c>
      <c r="I164">
        <v>101201991500</v>
      </c>
      <c r="J164" t="s">
        <v>327</v>
      </c>
      <c r="M164" t="s">
        <v>45</v>
      </c>
      <c r="O164" t="s">
        <v>141</v>
      </c>
      <c r="P164" t="s">
        <v>142</v>
      </c>
      <c r="Q164" t="s">
        <v>48</v>
      </c>
      <c r="R164" t="s">
        <v>314</v>
      </c>
      <c r="S164" s="1">
        <v>46023</v>
      </c>
      <c r="U164" t="s">
        <v>50</v>
      </c>
      <c r="X164" t="s">
        <v>51</v>
      </c>
      <c r="Y164" s="2">
        <v>0</v>
      </c>
      <c r="Z164" s="2">
        <v>15</v>
      </c>
      <c r="AA164">
        <v>1</v>
      </c>
      <c r="AB164" s="3">
        <v>1</v>
      </c>
      <c r="AC164" s="2">
        <v>15</v>
      </c>
      <c r="AD164" s="3">
        <v>0</v>
      </c>
      <c r="AE164" s="2">
        <v>0</v>
      </c>
      <c r="AF164" s="2">
        <v>15</v>
      </c>
      <c r="AK164">
        <v>6045346</v>
      </c>
    </row>
    <row r="165" spans="1:37" x14ac:dyDescent="0.25">
      <c r="A165" s="1">
        <v>46001</v>
      </c>
      <c r="B165" s="1">
        <v>46001</v>
      </c>
      <c r="C165" t="s">
        <v>38</v>
      </c>
      <c r="D165" t="s">
        <v>39</v>
      </c>
      <c r="E165" t="s">
        <v>40</v>
      </c>
      <c r="F165" t="s">
        <v>41</v>
      </c>
      <c r="G165" t="s">
        <v>42</v>
      </c>
      <c r="H165" t="s">
        <v>43</v>
      </c>
      <c r="I165">
        <v>101219688000</v>
      </c>
      <c r="J165" t="s">
        <v>328</v>
      </c>
      <c r="M165" t="s">
        <v>169</v>
      </c>
      <c r="O165" t="s">
        <v>232</v>
      </c>
      <c r="P165" t="s">
        <v>233</v>
      </c>
      <c r="Q165" t="s">
        <v>48</v>
      </c>
      <c r="R165" t="s">
        <v>314</v>
      </c>
      <c r="S165" s="1">
        <v>46023</v>
      </c>
      <c r="U165" t="s">
        <v>50</v>
      </c>
      <c r="X165" t="s">
        <v>51</v>
      </c>
      <c r="Y165" s="2">
        <v>0</v>
      </c>
      <c r="Z165" s="2">
        <v>15</v>
      </c>
      <c r="AA165">
        <v>1</v>
      </c>
      <c r="AB165" s="3">
        <v>1</v>
      </c>
      <c r="AC165" s="2">
        <v>15</v>
      </c>
      <c r="AD165" s="3">
        <v>0</v>
      </c>
      <c r="AE165" s="2">
        <v>0</v>
      </c>
      <c r="AF165" s="2">
        <v>15</v>
      </c>
      <c r="AK165">
        <v>6045354</v>
      </c>
    </row>
    <row r="166" spans="1:37" x14ac:dyDescent="0.25">
      <c r="A166" s="1">
        <v>46001</v>
      </c>
      <c r="B166" s="1">
        <v>46001</v>
      </c>
      <c r="C166" t="s">
        <v>38</v>
      </c>
      <c r="D166" t="s">
        <v>39</v>
      </c>
      <c r="E166" t="s">
        <v>40</v>
      </c>
      <c r="F166" t="s">
        <v>41</v>
      </c>
      <c r="G166" t="s">
        <v>42</v>
      </c>
      <c r="H166" t="s">
        <v>43</v>
      </c>
      <c r="I166">
        <v>101224362600</v>
      </c>
      <c r="J166" t="s">
        <v>329</v>
      </c>
      <c r="M166" t="s">
        <v>169</v>
      </c>
      <c r="O166" t="s">
        <v>232</v>
      </c>
      <c r="P166" t="s">
        <v>233</v>
      </c>
      <c r="Q166" t="s">
        <v>48</v>
      </c>
      <c r="R166" t="s">
        <v>314</v>
      </c>
      <c r="S166" s="1">
        <v>46023</v>
      </c>
      <c r="U166" t="s">
        <v>50</v>
      </c>
      <c r="X166" t="s">
        <v>51</v>
      </c>
      <c r="Y166" s="2">
        <v>0</v>
      </c>
      <c r="Z166" s="2">
        <v>15</v>
      </c>
      <c r="AA166">
        <v>1</v>
      </c>
      <c r="AB166" s="3">
        <v>1</v>
      </c>
      <c r="AC166" s="2">
        <v>15</v>
      </c>
      <c r="AD166" s="3">
        <v>0</v>
      </c>
      <c r="AE166" s="2">
        <v>0</v>
      </c>
      <c r="AF166" s="2">
        <v>15</v>
      </c>
      <c r="AK166">
        <v>6045355</v>
      </c>
    </row>
    <row r="167" spans="1:37" x14ac:dyDescent="0.25">
      <c r="A167" s="1">
        <v>46001</v>
      </c>
      <c r="B167" s="1">
        <v>46001</v>
      </c>
      <c r="C167" t="s">
        <v>38</v>
      </c>
      <c r="D167" t="s">
        <v>39</v>
      </c>
      <c r="E167" t="s">
        <v>40</v>
      </c>
      <c r="F167" t="s">
        <v>41</v>
      </c>
      <c r="G167" t="s">
        <v>42</v>
      </c>
      <c r="H167" t="s">
        <v>43</v>
      </c>
      <c r="I167">
        <v>101226179600</v>
      </c>
      <c r="J167" t="s">
        <v>330</v>
      </c>
      <c r="M167" t="s">
        <v>83</v>
      </c>
      <c r="O167" t="s">
        <v>126</v>
      </c>
      <c r="P167" t="s">
        <v>127</v>
      </c>
      <c r="Q167" t="s">
        <v>48</v>
      </c>
      <c r="R167" t="s">
        <v>319</v>
      </c>
      <c r="S167" s="1">
        <v>46023</v>
      </c>
      <c r="U167" t="s">
        <v>50</v>
      </c>
      <c r="X167" t="s">
        <v>51</v>
      </c>
      <c r="Y167" s="2">
        <v>0</v>
      </c>
      <c r="Z167" s="2">
        <v>25</v>
      </c>
      <c r="AA167">
        <v>1</v>
      </c>
      <c r="AB167" s="3">
        <v>1</v>
      </c>
      <c r="AC167" s="2">
        <v>25</v>
      </c>
      <c r="AD167" s="3">
        <v>0</v>
      </c>
      <c r="AE167" s="2">
        <v>0</v>
      </c>
      <c r="AF167" s="2">
        <v>25</v>
      </c>
      <c r="AK167">
        <v>6045356</v>
      </c>
    </row>
    <row r="168" spans="1:37" x14ac:dyDescent="0.25">
      <c r="A168" s="1">
        <v>46001</v>
      </c>
      <c r="B168" s="1">
        <v>46001</v>
      </c>
      <c r="C168" t="s">
        <v>38</v>
      </c>
      <c r="D168" t="s">
        <v>39</v>
      </c>
      <c r="E168" t="s">
        <v>40</v>
      </c>
      <c r="F168" t="s">
        <v>41</v>
      </c>
      <c r="G168" t="s">
        <v>42</v>
      </c>
      <c r="H168" t="s">
        <v>43</v>
      </c>
      <c r="I168">
        <v>101243025100</v>
      </c>
      <c r="J168" t="s">
        <v>331</v>
      </c>
      <c r="M168" t="s">
        <v>69</v>
      </c>
      <c r="O168" t="s">
        <v>332</v>
      </c>
      <c r="P168" t="s">
        <v>333</v>
      </c>
      <c r="Q168" t="s">
        <v>48</v>
      </c>
      <c r="R168" t="s">
        <v>314</v>
      </c>
      <c r="S168" s="1">
        <v>46023</v>
      </c>
      <c r="U168" t="s">
        <v>50</v>
      </c>
      <c r="X168" t="s">
        <v>51</v>
      </c>
      <c r="Y168" s="2">
        <v>0</v>
      </c>
      <c r="Z168" s="2">
        <v>15</v>
      </c>
      <c r="AA168">
        <v>1</v>
      </c>
      <c r="AB168" s="3">
        <v>1</v>
      </c>
      <c r="AC168" s="2">
        <v>15</v>
      </c>
      <c r="AD168" s="3">
        <v>0</v>
      </c>
      <c r="AE168" s="2">
        <v>0</v>
      </c>
      <c r="AF168" s="2">
        <v>15</v>
      </c>
      <c r="AK168">
        <v>6045357</v>
      </c>
    </row>
    <row r="169" spans="1:37" x14ac:dyDescent="0.25">
      <c r="A169" s="1">
        <v>46001</v>
      </c>
      <c r="B169" s="1">
        <v>46001</v>
      </c>
      <c r="C169" t="s">
        <v>38</v>
      </c>
      <c r="D169" t="s">
        <v>39</v>
      </c>
      <c r="E169" t="s">
        <v>40</v>
      </c>
      <c r="F169" t="s">
        <v>41</v>
      </c>
      <c r="G169" t="s">
        <v>42</v>
      </c>
      <c r="H169" t="s">
        <v>43</v>
      </c>
      <c r="I169">
        <v>101306449100</v>
      </c>
      <c r="J169" t="s">
        <v>334</v>
      </c>
      <c r="M169" t="s">
        <v>69</v>
      </c>
      <c r="O169" t="s">
        <v>332</v>
      </c>
      <c r="P169" t="s">
        <v>333</v>
      </c>
      <c r="Q169" t="s">
        <v>48</v>
      </c>
      <c r="R169" t="s">
        <v>314</v>
      </c>
      <c r="S169" s="1">
        <v>46023</v>
      </c>
      <c r="U169" t="s">
        <v>50</v>
      </c>
      <c r="X169" t="s">
        <v>51</v>
      </c>
      <c r="Y169" s="2">
        <v>0</v>
      </c>
      <c r="Z169" s="2">
        <v>15</v>
      </c>
      <c r="AA169">
        <v>1</v>
      </c>
      <c r="AB169" s="3">
        <v>1</v>
      </c>
      <c r="AC169" s="2">
        <v>15</v>
      </c>
      <c r="AD169" s="3">
        <v>0</v>
      </c>
      <c r="AE169" s="2">
        <v>0</v>
      </c>
      <c r="AF169" s="2">
        <v>15</v>
      </c>
      <c r="AK169">
        <v>6045364</v>
      </c>
    </row>
    <row r="170" spans="1:37" x14ac:dyDescent="0.25">
      <c r="A170" s="1">
        <v>46001</v>
      </c>
      <c r="B170" s="1">
        <v>46001</v>
      </c>
      <c r="C170" t="s">
        <v>38</v>
      </c>
      <c r="D170" t="s">
        <v>39</v>
      </c>
      <c r="E170" t="s">
        <v>40</v>
      </c>
      <c r="F170" t="s">
        <v>41</v>
      </c>
      <c r="G170" t="s">
        <v>42</v>
      </c>
      <c r="H170" t="s">
        <v>43</v>
      </c>
      <c r="I170">
        <v>101333828800</v>
      </c>
      <c r="J170" t="s">
        <v>335</v>
      </c>
      <c r="M170" t="s">
        <v>45</v>
      </c>
      <c r="O170" t="s">
        <v>336</v>
      </c>
      <c r="P170" t="s">
        <v>337</v>
      </c>
      <c r="Q170" t="s">
        <v>48</v>
      </c>
      <c r="R170" t="s">
        <v>319</v>
      </c>
      <c r="S170" s="1">
        <v>46023</v>
      </c>
      <c r="U170" t="s">
        <v>50</v>
      </c>
      <c r="X170" t="s">
        <v>51</v>
      </c>
      <c r="Y170" s="2">
        <v>0</v>
      </c>
      <c r="Z170" s="2">
        <v>25</v>
      </c>
      <c r="AA170">
        <v>1</v>
      </c>
      <c r="AB170" s="3">
        <v>1</v>
      </c>
      <c r="AC170" s="2">
        <v>25</v>
      </c>
      <c r="AD170" s="3">
        <v>0</v>
      </c>
      <c r="AE170" s="2">
        <v>0</v>
      </c>
      <c r="AF170" s="2">
        <v>25</v>
      </c>
      <c r="AK170">
        <v>6045368</v>
      </c>
    </row>
    <row r="171" spans="1:37" x14ac:dyDescent="0.25">
      <c r="A171" s="1">
        <v>46001</v>
      </c>
      <c r="B171" s="1">
        <v>46001</v>
      </c>
      <c r="C171" t="s">
        <v>38</v>
      </c>
      <c r="D171" t="s">
        <v>39</v>
      </c>
      <c r="E171" t="s">
        <v>40</v>
      </c>
      <c r="F171" t="s">
        <v>41</v>
      </c>
      <c r="G171" t="s">
        <v>42</v>
      </c>
      <c r="H171" t="s">
        <v>43</v>
      </c>
      <c r="I171">
        <v>101339097900</v>
      </c>
      <c r="J171" t="s">
        <v>338</v>
      </c>
      <c r="M171" t="s">
        <v>45</v>
      </c>
      <c r="O171" t="s">
        <v>80</v>
      </c>
      <c r="P171" t="s">
        <v>81</v>
      </c>
      <c r="Q171" t="s">
        <v>48</v>
      </c>
      <c r="R171" t="s">
        <v>319</v>
      </c>
      <c r="S171" s="1">
        <v>46023</v>
      </c>
      <c r="U171" t="s">
        <v>50</v>
      </c>
      <c r="X171" t="s">
        <v>51</v>
      </c>
      <c r="Y171" s="2">
        <v>0</v>
      </c>
      <c r="Z171" s="2">
        <v>25</v>
      </c>
      <c r="AA171">
        <v>1</v>
      </c>
      <c r="AB171" s="3">
        <v>1</v>
      </c>
      <c r="AC171" s="2">
        <v>25</v>
      </c>
      <c r="AD171" s="3">
        <v>0</v>
      </c>
      <c r="AE171" s="2">
        <v>0</v>
      </c>
      <c r="AF171" s="2">
        <v>25</v>
      </c>
      <c r="AK171">
        <v>6045370</v>
      </c>
    </row>
    <row r="172" spans="1:37" x14ac:dyDescent="0.25">
      <c r="A172" s="1">
        <v>46001</v>
      </c>
      <c r="B172" s="1">
        <v>46001</v>
      </c>
      <c r="C172" t="s">
        <v>38</v>
      </c>
      <c r="D172" t="s">
        <v>39</v>
      </c>
      <c r="E172" t="s">
        <v>40</v>
      </c>
      <c r="F172" t="s">
        <v>41</v>
      </c>
      <c r="G172" t="s">
        <v>42</v>
      </c>
      <c r="H172" t="s">
        <v>43</v>
      </c>
      <c r="I172">
        <v>101343771000</v>
      </c>
      <c r="J172" t="s">
        <v>339</v>
      </c>
      <c r="M172" t="s">
        <v>169</v>
      </c>
      <c r="O172" t="s">
        <v>340</v>
      </c>
      <c r="P172" t="s">
        <v>341</v>
      </c>
      <c r="Q172" t="s">
        <v>48</v>
      </c>
      <c r="R172" t="s">
        <v>319</v>
      </c>
      <c r="S172" s="1">
        <v>46023</v>
      </c>
      <c r="U172" t="s">
        <v>50</v>
      </c>
      <c r="X172" t="s">
        <v>51</v>
      </c>
      <c r="Y172" s="2">
        <v>0</v>
      </c>
      <c r="Z172" s="2">
        <v>25</v>
      </c>
      <c r="AA172">
        <v>1</v>
      </c>
      <c r="AB172" s="3">
        <v>1</v>
      </c>
      <c r="AC172" s="2">
        <v>25</v>
      </c>
      <c r="AD172" s="3">
        <v>0</v>
      </c>
      <c r="AE172" s="2">
        <v>0</v>
      </c>
      <c r="AF172" s="2">
        <v>25</v>
      </c>
      <c r="AK172">
        <v>6045372</v>
      </c>
    </row>
    <row r="173" spans="1:37" x14ac:dyDescent="0.25">
      <c r="A173" s="1">
        <v>46001</v>
      </c>
      <c r="B173" s="1">
        <v>46001</v>
      </c>
      <c r="C173" t="s">
        <v>38</v>
      </c>
      <c r="D173" t="s">
        <v>39</v>
      </c>
      <c r="E173" t="s">
        <v>40</v>
      </c>
      <c r="F173" t="s">
        <v>41</v>
      </c>
      <c r="G173" t="s">
        <v>42</v>
      </c>
      <c r="H173" t="s">
        <v>43</v>
      </c>
      <c r="I173">
        <v>101356764000</v>
      </c>
      <c r="J173" t="s">
        <v>342</v>
      </c>
      <c r="M173" t="s">
        <v>69</v>
      </c>
      <c r="O173" t="s">
        <v>332</v>
      </c>
      <c r="P173" t="s">
        <v>333</v>
      </c>
      <c r="Q173" t="s">
        <v>48</v>
      </c>
      <c r="R173" t="s">
        <v>314</v>
      </c>
      <c r="S173" s="1">
        <v>46023</v>
      </c>
      <c r="U173" t="s">
        <v>50</v>
      </c>
      <c r="X173" t="s">
        <v>51</v>
      </c>
      <c r="Y173" s="2">
        <v>0</v>
      </c>
      <c r="Z173" s="2">
        <v>15</v>
      </c>
      <c r="AA173">
        <v>1</v>
      </c>
      <c r="AB173" s="3">
        <v>1</v>
      </c>
      <c r="AC173" s="2">
        <v>15</v>
      </c>
      <c r="AD173" s="3">
        <v>0</v>
      </c>
      <c r="AE173" s="2">
        <v>0</v>
      </c>
      <c r="AF173" s="2">
        <v>15</v>
      </c>
      <c r="AK173">
        <v>6045374</v>
      </c>
    </row>
    <row r="174" spans="1:37" x14ac:dyDescent="0.25">
      <c r="A174" s="1">
        <v>46001</v>
      </c>
      <c r="B174" s="1">
        <v>46001</v>
      </c>
      <c r="C174" t="s">
        <v>38</v>
      </c>
      <c r="D174" t="s">
        <v>39</v>
      </c>
      <c r="E174" t="s">
        <v>40</v>
      </c>
      <c r="F174" t="s">
        <v>41</v>
      </c>
      <c r="G174" t="s">
        <v>42</v>
      </c>
      <c r="H174" t="s">
        <v>43</v>
      </c>
      <c r="I174">
        <v>101374022900</v>
      </c>
      <c r="J174" t="s">
        <v>343</v>
      </c>
      <c r="M174" t="s">
        <v>45</v>
      </c>
      <c r="O174" t="s">
        <v>66</v>
      </c>
      <c r="P174" t="s">
        <v>67</v>
      </c>
      <c r="Q174" t="s">
        <v>48</v>
      </c>
      <c r="R174" t="s">
        <v>314</v>
      </c>
      <c r="S174" s="1">
        <v>46023</v>
      </c>
      <c r="U174" t="s">
        <v>50</v>
      </c>
      <c r="X174" t="s">
        <v>51</v>
      </c>
      <c r="Y174" s="2">
        <v>0</v>
      </c>
      <c r="Z174" s="2">
        <v>15</v>
      </c>
      <c r="AA174">
        <v>1</v>
      </c>
      <c r="AB174" s="3">
        <v>1</v>
      </c>
      <c r="AC174" s="2">
        <v>15</v>
      </c>
      <c r="AD174" s="3">
        <v>0</v>
      </c>
      <c r="AE174" s="2">
        <v>0</v>
      </c>
      <c r="AF174" s="2">
        <v>15</v>
      </c>
      <c r="AK174">
        <v>6045377</v>
      </c>
    </row>
    <row r="175" spans="1:37" x14ac:dyDescent="0.25">
      <c r="A175" s="1">
        <v>46001</v>
      </c>
      <c r="B175" s="1">
        <v>46001</v>
      </c>
      <c r="C175" t="s">
        <v>38</v>
      </c>
      <c r="D175" t="s">
        <v>39</v>
      </c>
      <c r="E175" t="s">
        <v>40</v>
      </c>
      <c r="F175" t="s">
        <v>41</v>
      </c>
      <c r="G175" t="s">
        <v>42</v>
      </c>
      <c r="H175" t="s">
        <v>43</v>
      </c>
      <c r="I175">
        <v>101379756000</v>
      </c>
      <c r="J175" t="s">
        <v>344</v>
      </c>
      <c r="M175" t="s">
        <v>45</v>
      </c>
      <c r="O175" t="s">
        <v>336</v>
      </c>
      <c r="P175" t="s">
        <v>337</v>
      </c>
      <c r="Q175" t="s">
        <v>48</v>
      </c>
      <c r="R175" t="s">
        <v>319</v>
      </c>
      <c r="S175" s="1">
        <v>46023</v>
      </c>
      <c r="U175" t="s">
        <v>50</v>
      </c>
      <c r="X175" t="s">
        <v>51</v>
      </c>
      <c r="Y175" s="2">
        <v>0</v>
      </c>
      <c r="Z175" s="2">
        <v>25</v>
      </c>
      <c r="AA175">
        <v>1</v>
      </c>
      <c r="AB175" s="3">
        <v>1</v>
      </c>
      <c r="AC175" s="2">
        <v>25</v>
      </c>
      <c r="AD175" s="3">
        <v>0</v>
      </c>
      <c r="AE175" s="2">
        <v>0</v>
      </c>
      <c r="AF175" s="2">
        <v>25</v>
      </c>
      <c r="AK175">
        <v>6045381</v>
      </c>
    </row>
    <row r="176" spans="1:37" x14ac:dyDescent="0.25">
      <c r="A176" s="1">
        <v>46001</v>
      </c>
      <c r="B176" s="1">
        <v>46001</v>
      </c>
      <c r="C176" t="s">
        <v>38</v>
      </c>
      <c r="D176" t="s">
        <v>39</v>
      </c>
      <c r="E176" t="s">
        <v>40</v>
      </c>
      <c r="F176" t="s">
        <v>41</v>
      </c>
      <c r="G176" t="s">
        <v>42</v>
      </c>
      <c r="H176" t="s">
        <v>43</v>
      </c>
      <c r="I176">
        <v>101380340400</v>
      </c>
      <c r="J176" t="s">
        <v>345</v>
      </c>
      <c r="M176" t="s">
        <v>73</v>
      </c>
      <c r="O176" t="s">
        <v>90</v>
      </c>
      <c r="P176" t="s">
        <v>91</v>
      </c>
      <c r="Q176" t="s">
        <v>48</v>
      </c>
      <c r="R176" t="s">
        <v>314</v>
      </c>
      <c r="S176" s="1">
        <v>46023</v>
      </c>
      <c r="U176" t="s">
        <v>50</v>
      </c>
      <c r="X176" t="s">
        <v>51</v>
      </c>
      <c r="Y176" s="2">
        <v>0</v>
      </c>
      <c r="Z176" s="2">
        <v>15</v>
      </c>
      <c r="AA176">
        <v>1</v>
      </c>
      <c r="AB176" s="3">
        <v>1</v>
      </c>
      <c r="AC176" s="2">
        <v>15</v>
      </c>
      <c r="AD176" s="3">
        <v>0</v>
      </c>
      <c r="AE176" s="2">
        <v>0</v>
      </c>
      <c r="AF176" s="2">
        <v>15</v>
      </c>
      <c r="AK176">
        <v>6045382</v>
      </c>
    </row>
    <row r="177" spans="1:37" x14ac:dyDescent="0.25">
      <c r="A177" s="1">
        <v>46001</v>
      </c>
      <c r="B177" s="1">
        <v>46001</v>
      </c>
      <c r="C177" t="s">
        <v>38</v>
      </c>
      <c r="D177" t="s">
        <v>39</v>
      </c>
      <c r="E177" t="s">
        <v>40</v>
      </c>
      <c r="F177" t="s">
        <v>41</v>
      </c>
      <c r="G177" t="s">
        <v>42</v>
      </c>
      <c r="H177" t="s">
        <v>43</v>
      </c>
      <c r="I177">
        <v>101479191600</v>
      </c>
      <c r="J177" t="s">
        <v>346</v>
      </c>
      <c r="M177" t="s">
        <v>347</v>
      </c>
      <c r="O177" t="s">
        <v>105</v>
      </c>
      <c r="P177" t="s">
        <v>106</v>
      </c>
      <c r="Q177" t="s">
        <v>48</v>
      </c>
      <c r="R177" t="s">
        <v>319</v>
      </c>
      <c r="S177" s="1">
        <v>46023</v>
      </c>
      <c r="U177" t="s">
        <v>50</v>
      </c>
      <c r="X177" t="s">
        <v>51</v>
      </c>
      <c r="Y177" s="2">
        <v>0</v>
      </c>
      <c r="Z177" s="2">
        <v>25</v>
      </c>
      <c r="AA177">
        <v>1</v>
      </c>
      <c r="AB177" s="3">
        <v>1</v>
      </c>
      <c r="AC177" s="2">
        <v>25</v>
      </c>
      <c r="AD177" s="3">
        <v>0</v>
      </c>
      <c r="AE177" s="2">
        <v>0</v>
      </c>
      <c r="AF177" s="2">
        <v>25</v>
      </c>
      <c r="AK177">
        <v>6045404</v>
      </c>
    </row>
    <row r="178" spans="1:37" x14ac:dyDescent="0.25">
      <c r="A178" s="1">
        <v>46001</v>
      </c>
      <c r="B178" s="1">
        <v>46001</v>
      </c>
      <c r="C178" t="s">
        <v>38</v>
      </c>
      <c r="D178" t="s">
        <v>39</v>
      </c>
      <c r="E178" t="s">
        <v>40</v>
      </c>
      <c r="F178" t="s">
        <v>41</v>
      </c>
      <c r="G178" t="s">
        <v>42</v>
      </c>
      <c r="H178" t="s">
        <v>43</v>
      </c>
      <c r="I178">
        <v>101489529300</v>
      </c>
      <c r="J178" t="s">
        <v>348</v>
      </c>
      <c r="M178" t="s">
        <v>83</v>
      </c>
      <c r="O178" t="s">
        <v>58</v>
      </c>
      <c r="P178" t="s">
        <v>59</v>
      </c>
      <c r="Q178" t="s">
        <v>48</v>
      </c>
      <c r="R178" t="s">
        <v>319</v>
      </c>
      <c r="S178" s="1">
        <v>46023</v>
      </c>
      <c r="U178" t="s">
        <v>50</v>
      </c>
      <c r="X178" t="s">
        <v>51</v>
      </c>
      <c r="Y178" s="2">
        <v>0</v>
      </c>
      <c r="Z178" s="2">
        <v>25</v>
      </c>
      <c r="AA178">
        <v>1</v>
      </c>
      <c r="AB178" s="3">
        <v>1</v>
      </c>
      <c r="AC178" s="2">
        <v>25</v>
      </c>
      <c r="AD178" s="3">
        <v>0</v>
      </c>
      <c r="AE178" s="2">
        <v>0</v>
      </c>
      <c r="AF178" s="2">
        <v>25</v>
      </c>
      <c r="AK178">
        <v>6045406</v>
      </c>
    </row>
    <row r="179" spans="1:37" x14ac:dyDescent="0.25">
      <c r="A179" s="1">
        <v>46001</v>
      </c>
      <c r="B179" s="1">
        <v>46001</v>
      </c>
      <c r="C179" t="s">
        <v>38</v>
      </c>
      <c r="D179" t="s">
        <v>39</v>
      </c>
      <c r="E179" t="s">
        <v>40</v>
      </c>
      <c r="F179" t="s">
        <v>41</v>
      </c>
      <c r="G179" t="s">
        <v>42</v>
      </c>
      <c r="H179" t="s">
        <v>43</v>
      </c>
      <c r="I179">
        <v>101493498200</v>
      </c>
      <c r="J179" t="s">
        <v>349</v>
      </c>
      <c r="M179" t="s">
        <v>69</v>
      </c>
      <c r="O179" t="s">
        <v>70</v>
      </c>
      <c r="P179" t="s">
        <v>71</v>
      </c>
      <c r="Q179" t="s">
        <v>48</v>
      </c>
      <c r="R179" t="s">
        <v>319</v>
      </c>
      <c r="S179" s="1">
        <v>46023</v>
      </c>
      <c r="U179" t="s">
        <v>50</v>
      </c>
      <c r="X179" t="s">
        <v>51</v>
      </c>
      <c r="Y179" s="2">
        <v>0</v>
      </c>
      <c r="Z179" s="2">
        <v>25</v>
      </c>
      <c r="AA179">
        <v>1</v>
      </c>
      <c r="AB179" s="3">
        <v>1</v>
      </c>
      <c r="AC179" s="2">
        <v>25</v>
      </c>
      <c r="AD179" s="3">
        <v>0</v>
      </c>
      <c r="AE179" s="2">
        <v>0</v>
      </c>
      <c r="AF179" s="2">
        <v>25</v>
      </c>
      <c r="AK179">
        <v>6045407</v>
      </c>
    </row>
    <row r="180" spans="1:37" x14ac:dyDescent="0.25">
      <c r="A180" s="1">
        <v>46001</v>
      </c>
      <c r="B180" s="1">
        <v>46001</v>
      </c>
      <c r="C180" t="s">
        <v>38</v>
      </c>
      <c r="D180" t="s">
        <v>39</v>
      </c>
      <c r="E180" t="s">
        <v>40</v>
      </c>
      <c r="F180" t="s">
        <v>41</v>
      </c>
      <c r="G180" t="s">
        <v>42</v>
      </c>
      <c r="H180" t="s">
        <v>43</v>
      </c>
      <c r="I180">
        <v>101507769700</v>
      </c>
      <c r="J180" t="s">
        <v>350</v>
      </c>
      <c r="M180" t="s">
        <v>45</v>
      </c>
      <c r="O180" t="s">
        <v>159</v>
      </c>
      <c r="P180" t="s">
        <v>160</v>
      </c>
      <c r="Q180" t="s">
        <v>48</v>
      </c>
      <c r="R180" t="s">
        <v>314</v>
      </c>
      <c r="S180" s="1">
        <v>46023</v>
      </c>
      <c r="U180" t="s">
        <v>50</v>
      </c>
      <c r="X180" t="s">
        <v>51</v>
      </c>
      <c r="Y180" s="2">
        <v>0</v>
      </c>
      <c r="Z180" s="2">
        <v>15</v>
      </c>
      <c r="AA180">
        <v>1</v>
      </c>
      <c r="AB180" s="3">
        <v>1</v>
      </c>
      <c r="AC180" s="2">
        <v>15</v>
      </c>
      <c r="AD180" s="3">
        <v>0</v>
      </c>
      <c r="AE180" s="2">
        <v>0</v>
      </c>
      <c r="AF180" s="2">
        <v>15</v>
      </c>
      <c r="AK180">
        <v>6045410</v>
      </c>
    </row>
    <row r="181" spans="1:37" x14ac:dyDescent="0.25">
      <c r="A181" s="1">
        <v>46001</v>
      </c>
      <c r="B181" s="1">
        <v>46001</v>
      </c>
      <c r="C181" t="s">
        <v>38</v>
      </c>
      <c r="D181" t="s">
        <v>39</v>
      </c>
      <c r="E181" t="s">
        <v>40</v>
      </c>
      <c r="F181" t="s">
        <v>41</v>
      </c>
      <c r="G181" t="s">
        <v>42</v>
      </c>
      <c r="H181" t="s">
        <v>43</v>
      </c>
      <c r="I181">
        <v>101514405900</v>
      </c>
      <c r="J181" t="s">
        <v>351</v>
      </c>
      <c r="M181" t="s">
        <v>69</v>
      </c>
      <c r="O181" t="s">
        <v>332</v>
      </c>
      <c r="P181" t="s">
        <v>333</v>
      </c>
      <c r="Q181" t="s">
        <v>48</v>
      </c>
      <c r="R181" t="s">
        <v>314</v>
      </c>
      <c r="S181" s="1">
        <v>46023</v>
      </c>
      <c r="U181" t="s">
        <v>50</v>
      </c>
      <c r="X181" t="s">
        <v>51</v>
      </c>
      <c r="Y181" s="2">
        <v>0</v>
      </c>
      <c r="Z181" s="2">
        <v>15</v>
      </c>
      <c r="AA181">
        <v>1</v>
      </c>
      <c r="AB181" s="3">
        <v>1</v>
      </c>
      <c r="AC181" s="2">
        <v>15</v>
      </c>
      <c r="AD181" s="3">
        <v>0</v>
      </c>
      <c r="AE181" s="2">
        <v>0</v>
      </c>
      <c r="AF181" s="2">
        <v>15</v>
      </c>
      <c r="AK181">
        <v>6045411</v>
      </c>
    </row>
    <row r="182" spans="1:37" x14ac:dyDescent="0.25">
      <c r="A182" s="1">
        <v>46001</v>
      </c>
      <c r="B182" s="1">
        <v>46001</v>
      </c>
      <c r="C182" t="s">
        <v>38</v>
      </c>
      <c r="D182" t="s">
        <v>39</v>
      </c>
      <c r="E182" t="s">
        <v>40</v>
      </c>
      <c r="F182" t="s">
        <v>41</v>
      </c>
      <c r="G182" t="s">
        <v>42</v>
      </c>
      <c r="H182" t="s">
        <v>43</v>
      </c>
      <c r="I182">
        <v>101558487400</v>
      </c>
      <c r="J182" t="s">
        <v>352</v>
      </c>
      <c r="M182" t="s">
        <v>45</v>
      </c>
      <c r="O182" t="s">
        <v>159</v>
      </c>
      <c r="P182" t="s">
        <v>160</v>
      </c>
      <c r="Q182" t="s">
        <v>48</v>
      </c>
      <c r="R182" t="s">
        <v>314</v>
      </c>
      <c r="S182" s="1">
        <v>46023</v>
      </c>
      <c r="U182" t="s">
        <v>50</v>
      </c>
      <c r="X182" t="s">
        <v>51</v>
      </c>
      <c r="Y182" s="2">
        <v>0</v>
      </c>
      <c r="Z182" s="2">
        <v>15</v>
      </c>
      <c r="AA182">
        <v>1</v>
      </c>
      <c r="AB182" s="3">
        <v>1</v>
      </c>
      <c r="AC182" s="2">
        <v>15</v>
      </c>
      <c r="AD182" s="3">
        <v>0</v>
      </c>
      <c r="AE182" s="2">
        <v>0</v>
      </c>
      <c r="AF182" s="2">
        <v>15</v>
      </c>
      <c r="AK182">
        <v>6045426</v>
      </c>
    </row>
    <row r="183" spans="1:37" x14ac:dyDescent="0.25">
      <c r="A183" s="1">
        <v>46001</v>
      </c>
      <c r="B183" s="1">
        <v>46001</v>
      </c>
      <c r="C183" t="s">
        <v>38</v>
      </c>
      <c r="D183" t="s">
        <v>39</v>
      </c>
      <c r="E183" t="s">
        <v>40</v>
      </c>
      <c r="F183" t="s">
        <v>41</v>
      </c>
      <c r="G183" t="s">
        <v>42</v>
      </c>
      <c r="H183" t="s">
        <v>43</v>
      </c>
      <c r="I183">
        <v>101586071400</v>
      </c>
      <c r="J183" t="s">
        <v>353</v>
      </c>
      <c r="M183" t="s">
        <v>45</v>
      </c>
      <c r="O183" t="s">
        <v>159</v>
      </c>
      <c r="P183" t="s">
        <v>160</v>
      </c>
      <c r="Q183" t="s">
        <v>48</v>
      </c>
      <c r="R183" t="s">
        <v>314</v>
      </c>
      <c r="S183" s="1">
        <v>46023</v>
      </c>
      <c r="U183" t="s">
        <v>50</v>
      </c>
      <c r="X183" t="s">
        <v>51</v>
      </c>
      <c r="Y183" s="2">
        <v>0</v>
      </c>
      <c r="Z183" s="2">
        <v>15</v>
      </c>
      <c r="AA183">
        <v>1</v>
      </c>
      <c r="AB183" s="3">
        <v>1</v>
      </c>
      <c r="AC183" s="2">
        <v>15</v>
      </c>
      <c r="AD183" s="3">
        <v>0</v>
      </c>
      <c r="AE183" s="2">
        <v>0</v>
      </c>
      <c r="AF183" s="2">
        <v>15</v>
      </c>
      <c r="AK183">
        <v>6045443</v>
      </c>
    </row>
    <row r="184" spans="1:37" x14ac:dyDescent="0.25">
      <c r="A184" s="1">
        <v>46001</v>
      </c>
      <c r="B184" s="1">
        <v>46001</v>
      </c>
      <c r="C184" t="s">
        <v>38</v>
      </c>
      <c r="D184" t="s">
        <v>39</v>
      </c>
      <c r="E184" t="s">
        <v>40</v>
      </c>
      <c r="F184" t="s">
        <v>41</v>
      </c>
      <c r="G184" t="s">
        <v>42</v>
      </c>
      <c r="H184" t="s">
        <v>43</v>
      </c>
      <c r="I184">
        <v>101599669700</v>
      </c>
      <c r="J184" t="s">
        <v>354</v>
      </c>
      <c r="M184" t="s">
        <v>169</v>
      </c>
      <c r="O184" t="s">
        <v>96</v>
      </c>
      <c r="P184" t="s">
        <v>97</v>
      </c>
      <c r="Q184" t="s">
        <v>48</v>
      </c>
      <c r="R184" t="s">
        <v>314</v>
      </c>
      <c r="S184" s="1">
        <v>46023</v>
      </c>
      <c r="U184" t="s">
        <v>50</v>
      </c>
      <c r="X184" t="s">
        <v>51</v>
      </c>
      <c r="Y184" s="2">
        <v>0</v>
      </c>
      <c r="Z184" s="2">
        <v>15</v>
      </c>
      <c r="AA184">
        <v>1</v>
      </c>
      <c r="AB184" s="3">
        <v>1</v>
      </c>
      <c r="AC184" s="2">
        <v>15</v>
      </c>
      <c r="AD184" s="3">
        <v>0</v>
      </c>
      <c r="AE184" s="2">
        <v>0</v>
      </c>
      <c r="AF184" s="2">
        <v>15</v>
      </c>
      <c r="AK184">
        <v>6045447</v>
      </c>
    </row>
    <row r="185" spans="1:37" x14ac:dyDescent="0.25">
      <c r="A185" s="1">
        <v>46001</v>
      </c>
      <c r="B185" s="1">
        <v>46001</v>
      </c>
      <c r="C185" t="s">
        <v>38</v>
      </c>
      <c r="D185" t="s">
        <v>39</v>
      </c>
      <c r="E185" t="s">
        <v>40</v>
      </c>
      <c r="F185" t="s">
        <v>41</v>
      </c>
      <c r="G185" t="s">
        <v>42</v>
      </c>
      <c r="H185" t="s">
        <v>43</v>
      </c>
      <c r="I185">
        <v>101616207000</v>
      </c>
      <c r="J185" t="s">
        <v>355</v>
      </c>
      <c r="M185" t="s">
        <v>45</v>
      </c>
      <c r="O185" t="s">
        <v>356</v>
      </c>
      <c r="P185" t="s">
        <v>357</v>
      </c>
      <c r="Q185" t="s">
        <v>48</v>
      </c>
      <c r="R185" t="s">
        <v>314</v>
      </c>
      <c r="S185" s="1">
        <v>46023</v>
      </c>
      <c r="U185" t="s">
        <v>50</v>
      </c>
      <c r="X185" t="s">
        <v>51</v>
      </c>
      <c r="Y185" s="2">
        <v>0</v>
      </c>
      <c r="Z185" s="2">
        <v>15</v>
      </c>
      <c r="AA185">
        <v>1</v>
      </c>
      <c r="AB185" s="3">
        <v>1</v>
      </c>
      <c r="AC185" s="2">
        <v>15</v>
      </c>
      <c r="AD185" s="3">
        <v>0</v>
      </c>
      <c r="AE185" s="2">
        <v>0</v>
      </c>
      <c r="AF185" s="2">
        <v>15</v>
      </c>
      <c r="AK185">
        <v>6045450</v>
      </c>
    </row>
    <row r="186" spans="1:37" x14ac:dyDescent="0.25">
      <c r="A186" s="1">
        <v>46001</v>
      </c>
      <c r="B186" s="1">
        <v>46001</v>
      </c>
      <c r="C186" t="s">
        <v>38</v>
      </c>
      <c r="D186" t="s">
        <v>39</v>
      </c>
      <c r="E186" t="s">
        <v>40</v>
      </c>
      <c r="F186" t="s">
        <v>41</v>
      </c>
      <c r="G186" t="s">
        <v>42</v>
      </c>
      <c r="H186" t="s">
        <v>43</v>
      </c>
      <c r="I186">
        <v>101626134200</v>
      </c>
      <c r="J186" t="s">
        <v>358</v>
      </c>
      <c r="M186" t="s">
        <v>359</v>
      </c>
      <c r="O186" t="s">
        <v>85</v>
      </c>
      <c r="P186" t="s">
        <v>86</v>
      </c>
      <c r="Q186" t="s">
        <v>48</v>
      </c>
      <c r="R186" t="s">
        <v>319</v>
      </c>
      <c r="S186" s="1">
        <v>46023</v>
      </c>
      <c r="U186" t="s">
        <v>50</v>
      </c>
      <c r="X186" t="s">
        <v>51</v>
      </c>
      <c r="Y186" s="2">
        <v>0</v>
      </c>
      <c r="Z186" s="2">
        <v>25</v>
      </c>
      <c r="AA186">
        <v>1</v>
      </c>
      <c r="AB186" s="3">
        <v>1</v>
      </c>
      <c r="AC186" s="2">
        <v>25</v>
      </c>
      <c r="AD186" s="3">
        <v>0</v>
      </c>
      <c r="AE186" s="2">
        <v>0</v>
      </c>
      <c r="AF186" s="2">
        <v>25</v>
      </c>
      <c r="AK186">
        <v>6046175</v>
      </c>
    </row>
    <row r="187" spans="1:37" x14ac:dyDescent="0.25">
      <c r="A187" s="1">
        <v>46001</v>
      </c>
      <c r="B187" s="1">
        <v>46001</v>
      </c>
      <c r="C187" t="s">
        <v>38</v>
      </c>
      <c r="D187" t="s">
        <v>39</v>
      </c>
      <c r="E187" t="s">
        <v>40</v>
      </c>
      <c r="F187" t="s">
        <v>41</v>
      </c>
      <c r="G187" t="s">
        <v>42</v>
      </c>
      <c r="H187" t="s">
        <v>43</v>
      </c>
      <c r="I187">
        <v>101659373600</v>
      </c>
      <c r="J187" t="s">
        <v>360</v>
      </c>
      <c r="M187" t="s">
        <v>45</v>
      </c>
      <c r="O187" t="s">
        <v>153</v>
      </c>
      <c r="P187" t="s">
        <v>154</v>
      </c>
      <c r="Q187" t="s">
        <v>48</v>
      </c>
      <c r="R187" t="s">
        <v>314</v>
      </c>
      <c r="S187" s="1">
        <v>46023</v>
      </c>
      <c r="U187" t="s">
        <v>50</v>
      </c>
      <c r="X187" t="s">
        <v>51</v>
      </c>
      <c r="Y187" s="2">
        <v>0</v>
      </c>
      <c r="Z187" s="2">
        <v>15</v>
      </c>
      <c r="AA187">
        <v>1</v>
      </c>
      <c r="AB187" s="3">
        <v>1</v>
      </c>
      <c r="AC187" s="2">
        <v>15</v>
      </c>
      <c r="AD187" s="3">
        <v>0</v>
      </c>
      <c r="AE187" s="2">
        <v>0</v>
      </c>
      <c r="AF187" s="2">
        <v>15</v>
      </c>
      <c r="AK187">
        <v>6045452</v>
      </c>
    </row>
    <row r="188" spans="1:37" x14ac:dyDescent="0.25">
      <c r="A188" s="1">
        <v>46001</v>
      </c>
      <c r="B188" s="1">
        <v>46001</v>
      </c>
      <c r="C188" t="s">
        <v>38</v>
      </c>
      <c r="D188" t="s">
        <v>39</v>
      </c>
      <c r="E188" t="s">
        <v>40</v>
      </c>
      <c r="F188" t="s">
        <v>41</v>
      </c>
      <c r="G188" t="s">
        <v>42</v>
      </c>
      <c r="H188" t="s">
        <v>43</v>
      </c>
      <c r="I188">
        <v>101716852000</v>
      </c>
      <c r="J188" t="s">
        <v>361</v>
      </c>
      <c r="M188" t="s">
        <v>89</v>
      </c>
      <c r="O188" t="s">
        <v>102</v>
      </c>
      <c r="P188" t="s">
        <v>103</v>
      </c>
      <c r="Q188" t="s">
        <v>48</v>
      </c>
      <c r="R188" t="s">
        <v>319</v>
      </c>
      <c r="S188" s="1">
        <v>46023</v>
      </c>
      <c r="U188" t="s">
        <v>50</v>
      </c>
      <c r="X188" t="s">
        <v>51</v>
      </c>
      <c r="Y188" s="2">
        <v>0</v>
      </c>
      <c r="Z188" s="2">
        <v>25</v>
      </c>
      <c r="AA188">
        <v>1</v>
      </c>
      <c r="AB188" s="3">
        <v>1</v>
      </c>
      <c r="AC188" s="2">
        <v>25</v>
      </c>
      <c r="AD188" s="3">
        <v>0</v>
      </c>
      <c r="AE188" s="2">
        <v>0</v>
      </c>
      <c r="AF188" s="2">
        <v>25</v>
      </c>
      <c r="AK188">
        <v>6045460</v>
      </c>
    </row>
    <row r="189" spans="1:37" x14ac:dyDescent="0.25">
      <c r="A189" s="1">
        <v>46001</v>
      </c>
      <c r="B189" s="1">
        <v>46001</v>
      </c>
      <c r="C189" t="s">
        <v>38</v>
      </c>
      <c r="D189" t="s">
        <v>39</v>
      </c>
      <c r="E189" t="s">
        <v>40</v>
      </c>
      <c r="F189" t="s">
        <v>41</v>
      </c>
      <c r="G189" t="s">
        <v>42</v>
      </c>
      <c r="H189" t="s">
        <v>43</v>
      </c>
      <c r="I189">
        <v>101783215300</v>
      </c>
      <c r="J189" t="s">
        <v>362</v>
      </c>
      <c r="M189" t="s">
        <v>113</v>
      </c>
      <c r="O189" t="s">
        <v>126</v>
      </c>
      <c r="P189" t="s">
        <v>127</v>
      </c>
      <c r="Q189" t="s">
        <v>48</v>
      </c>
      <c r="R189" t="s">
        <v>319</v>
      </c>
      <c r="S189" s="1">
        <v>46023</v>
      </c>
      <c r="U189" t="s">
        <v>50</v>
      </c>
      <c r="X189" t="s">
        <v>51</v>
      </c>
      <c r="Y189" s="2">
        <v>0</v>
      </c>
      <c r="Z189" s="2">
        <v>25</v>
      </c>
      <c r="AA189">
        <v>1</v>
      </c>
      <c r="AB189" s="3">
        <v>1</v>
      </c>
      <c r="AC189" s="2">
        <v>25</v>
      </c>
      <c r="AD189" s="3">
        <v>0</v>
      </c>
      <c r="AE189" s="2">
        <v>0</v>
      </c>
      <c r="AF189" s="2">
        <v>25</v>
      </c>
      <c r="AK189">
        <v>6045483</v>
      </c>
    </row>
    <row r="190" spans="1:37" x14ac:dyDescent="0.25">
      <c r="A190" s="1">
        <v>46001</v>
      </c>
      <c r="B190" s="1">
        <v>46001</v>
      </c>
      <c r="C190" t="s">
        <v>38</v>
      </c>
      <c r="D190" t="s">
        <v>39</v>
      </c>
      <c r="E190" t="s">
        <v>40</v>
      </c>
      <c r="F190" t="s">
        <v>41</v>
      </c>
      <c r="G190" t="s">
        <v>42</v>
      </c>
      <c r="H190" t="s">
        <v>43</v>
      </c>
      <c r="I190">
        <v>101808412400</v>
      </c>
      <c r="J190" t="s">
        <v>363</v>
      </c>
      <c r="M190" t="s">
        <v>45</v>
      </c>
      <c r="O190" t="s">
        <v>105</v>
      </c>
      <c r="P190" t="s">
        <v>106</v>
      </c>
      <c r="Q190" t="s">
        <v>48</v>
      </c>
      <c r="R190" t="s">
        <v>314</v>
      </c>
      <c r="S190" s="1">
        <v>46023</v>
      </c>
      <c r="U190" t="s">
        <v>50</v>
      </c>
      <c r="X190" t="s">
        <v>51</v>
      </c>
      <c r="Y190" s="2">
        <v>0</v>
      </c>
      <c r="Z190" s="2">
        <v>15</v>
      </c>
      <c r="AA190">
        <v>1</v>
      </c>
      <c r="AB190" s="3">
        <v>1</v>
      </c>
      <c r="AC190" s="2">
        <v>15</v>
      </c>
      <c r="AD190" s="3">
        <v>0</v>
      </c>
      <c r="AE190" s="2">
        <v>0</v>
      </c>
      <c r="AF190" s="2">
        <v>15</v>
      </c>
      <c r="AK190">
        <v>6045497</v>
      </c>
    </row>
    <row r="191" spans="1:37" x14ac:dyDescent="0.25">
      <c r="A191" s="1">
        <v>46001</v>
      </c>
      <c r="B191" s="1">
        <v>46001</v>
      </c>
      <c r="C191" t="s">
        <v>38</v>
      </c>
      <c r="D191" t="s">
        <v>39</v>
      </c>
      <c r="E191" t="s">
        <v>40</v>
      </c>
      <c r="F191" t="s">
        <v>41</v>
      </c>
      <c r="G191" t="s">
        <v>42</v>
      </c>
      <c r="H191" t="s">
        <v>43</v>
      </c>
      <c r="I191">
        <v>101819351300</v>
      </c>
      <c r="J191" t="s">
        <v>364</v>
      </c>
      <c r="M191" t="s">
        <v>45</v>
      </c>
      <c r="O191" t="s">
        <v>153</v>
      </c>
      <c r="P191" t="s">
        <v>154</v>
      </c>
      <c r="Q191" t="s">
        <v>48</v>
      </c>
      <c r="R191" t="s">
        <v>319</v>
      </c>
      <c r="S191" s="1">
        <v>46023</v>
      </c>
      <c r="U191" t="s">
        <v>50</v>
      </c>
      <c r="X191" t="s">
        <v>51</v>
      </c>
      <c r="Y191" s="2">
        <v>0</v>
      </c>
      <c r="Z191" s="2">
        <v>25</v>
      </c>
      <c r="AA191">
        <v>1</v>
      </c>
      <c r="AB191" s="3">
        <v>1</v>
      </c>
      <c r="AC191" s="2">
        <v>25</v>
      </c>
      <c r="AD191" s="3">
        <v>0</v>
      </c>
      <c r="AE191" s="2">
        <v>0</v>
      </c>
      <c r="AF191" s="2">
        <v>25</v>
      </c>
      <c r="AK191">
        <v>6045504</v>
      </c>
    </row>
    <row r="192" spans="1:37" x14ac:dyDescent="0.25">
      <c r="A192" s="1">
        <v>46001</v>
      </c>
      <c r="B192" s="1">
        <v>46001</v>
      </c>
      <c r="C192" t="s">
        <v>38</v>
      </c>
      <c r="D192" t="s">
        <v>39</v>
      </c>
      <c r="E192" t="s">
        <v>40</v>
      </c>
      <c r="F192" t="s">
        <v>41</v>
      </c>
      <c r="G192" t="s">
        <v>42</v>
      </c>
      <c r="H192" t="s">
        <v>43</v>
      </c>
      <c r="I192">
        <v>101820773700</v>
      </c>
      <c r="J192" t="s">
        <v>365</v>
      </c>
      <c r="M192" t="s">
        <v>69</v>
      </c>
      <c r="O192" t="s">
        <v>332</v>
      </c>
      <c r="P192" t="s">
        <v>333</v>
      </c>
      <c r="Q192" t="s">
        <v>48</v>
      </c>
      <c r="R192" t="s">
        <v>314</v>
      </c>
      <c r="S192" s="1">
        <v>46023</v>
      </c>
      <c r="U192" t="s">
        <v>50</v>
      </c>
      <c r="X192" t="s">
        <v>51</v>
      </c>
      <c r="Y192" s="2">
        <v>0</v>
      </c>
      <c r="Z192" s="2">
        <v>15</v>
      </c>
      <c r="AA192">
        <v>1</v>
      </c>
      <c r="AB192" s="3">
        <v>1</v>
      </c>
      <c r="AC192" s="2">
        <v>15</v>
      </c>
      <c r="AD192" s="3">
        <v>0</v>
      </c>
      <c r="AE192" s="2">
        <v>0</v>
      </c>
      <c r="AF192" s="2">
        <v>15</v>
      </c>
      <c r="AK192">
        <v>6045507</v>
      </c>
    </row>
    <row r="193" spans="1:37" x14ac:dyDescent="0.25">
      <c r="A193" s="1">
        <v>46001</v>
      </c>
      <c r="B193" s="1">
        <v>46001</v>
      </c>
      <c r="C193" t="s">
        <v>38</v>
      </c>
      <c r="D193" t="s">
        <v>39</v>
      </c>
      <c r="E193" t="s">
        <v>40</v>
      </c>
      <c r="F193" t="s">
        <v>41</v>
      </c>
      <c r="G193" t="s">
        <v>42</v>
      </c>
      <c r="H193" t="s">
        <v>43</v>
      </c>
      <c r="I193">
        <v>101822692400</v>
      </c>
      <c r="J193" t="s">
        <v>366</v>
      </c>
      <c r="M193" t="s">
        <v>69</v>
      </c>
      <c r="O193" t="s">
        <v>70</v>
      </c>
      <c r="P193" t="s">
        <v>71</v>
      </c>
      <c r="Q193" t="s">
        <v>48</v>
      </c>
      <c r="R193" t="s">
        <v>319</v>
      </c>
      <c r="S193" s="1">
        <v>46023</v>
      </c>
      <c r="U193" t="s">
        <v>50</v>
      </c>
      <c r="X193" t="s">
        <v>51</v>
      </c>
      <c r="Y193" s="2">
        <v>0</v>
      </c>
      <c r="Z193" s="2">
        <v>25</v>
      </c>
      <c r="AA193">
        <v>1</v>
      </c>
      <c r="AB193" s="3">
        <v>1</v>
      </c>
      <c r="AC193" s="2">
        <v>25</v>
      </c>
      <c r="AD193" s="3">
        <v>0</v>
      </c>
      <c r="AE193" s="2">
        <v>0</v>
      </c>
      <c r="AF193" s="2">
        <v>25</v>
      </c>
      <c r="AK193">
        <v>6045511</v>
      </c>
    </row>
    <row r="194" spans="1:37" x14ac:dyDescent="0.25">
      <c r="A194" s="1">
        <v>46001</v>
      </c>
      <c r="B194" s="1">
        <v>46001</v>
      </c>
      <c r="C194" t="s">
        <v>38</v>
      </c>
      <c r="D194" t="s">
        <v>39</v>
      </c>
      <c r="E194" t="s">
        <v>40</v>
      </c>
      <c r="F194" t="s">
        <v>41</v>
      </c>
      <c r="G194" t="s">
        <v>42</v>
      </c>
      <c r="H194" t="s">
        <v>43</v>
      </c>
      <c r="I194">
        <v>101822843900</v>
      </c>
      <c r="J194" t="s">
        <v>367</v>
      </c>
      <c r="M194" t="s">
        <v>69</v>
      </c>
      <c r="O194" t="s">
        <v>70</v>
      </c>
      <c r="P194" t="s">
        <v>71</v>
      </c>
      <c r="Q194" t="s">
        <v>48</v>
      </c>
      <c r="R194" t="s">
        <v>319</v>
      </c>
      <c r="S194" s="1">
        <v>46023</v>
      </c>
      <c r="U194" t="s">
        <v>50</v>
      </c>
      <c r="X194" t="s">
        <v>51</v>
      </c>
      <c r="Y194" s="2">
        <v>0</v>
      </c>
      <c r="Z194" s="2">
        <v>25</v>
      </c>
      <c r="AA194">
        <v>1</v>
      </c>
      <c r="AB194" s="3">
        <v>1</v>
      </c>
      <c r="AC194" s="2">
        <v>25</v>
      </c>
      <c r="AD194" s="3">
        <v>0</v>
      </c>
      <c r="AE194" s="2">
        <v>0</v>
      </c>
      <c r="AF194" s="2">
        <v>25</v>
      </c>
      <c r="AK194">
        <v>6045512</v>
      </c>
    </row>
    <row r="195" spans="1:37" x14ac:dyDescent="0.25">
      <c r="A195" s="1">
        <v>46001</v>
      </c>
      <c r="B195" s="1">
        <v>46001</v>
      </c>
      <c r="C195" t="s">
        <v>38</v>
      </c>
      <c r="D195" t="s">
        <v>39</v>
      </c>
      <c r="E195" t="s">
        <v>40</v>
      </c>
      <c r="F195" t="s">
        <v>41</v>
      </c>
      <c r="G195" t="s">
        <v>42</v>
      </c>
      <c r="H195" t="s">
        <v>43</v>
      </c>
      <c r="I195">
        <v>101822892700</v>
      </c>
      <c r="J195" t="s">
        <v>368</v>
      </c>
      <c r="M195" t="s">
        <v>45</v>
      </c>
      <c r="O195" t="s">
        <v>93</v>
      </c>
      <c r="P195" t="s">
        <v>94</v>
      </c>
      <c r="Q195" t="s">
        <v>48</v>
      </c>
      <c r="R195" t="s">
        <v>314</v>
      </c>
      <c r="S195" s="1">
        <v>46023</v>
      </c>
      <c r="U195" t="s">
        <v>50</v>
      </c>
      <c r="X195" t="s">
        <v>51</v>
      </c>
      <c r="Y195" s="2">
        <v>0</v>
      </c>
      <c r="Z195" s="2">
        <v>15</v>
      </c>
      <c r="AA195">
        <v>1</v>
      </c>
      <c r="AB195" s="3">
        <v>1</v>
      </c>
      <c r="AC195" s="2">
        <v>15</v>
      </c>
      <c r="AD195" s="3">
        <v>0</v>
      </c>
      <c r="AE195" s="2">
        <v>0</v>
      </c>
      <c r="AF195" s="2">
        <v>15</v>
      </c>
      <c r="AK195">
        <v>6045513</v>
      </c>
    </row>
    <row r="196" spans="1:37" x14ac:dyDescent="0.25">
      <c r="A196" s="1">
        <v>46001</v>
      </c>
      <c r="B196" s="1">
        <v>46001</v>
      </c>
      <c r="C196" t="s">
        <v>38</v>
      </c>
      <c r="D196" t="s">
        <v>39</v>
      </c>
      <c r="E196" t="s">
        <v>40</v>
      </c>
      <c r="F196" t="s">
        <v>41</v>
      </c>
      <c r="G196" t="s">
        <v>42</v>
      </c>
      <c r="H196" t="s">
        <v>43</v>
      </c>
      <c r="I196">
        <v>101833125900</v>
      </c>
      <c r="J196" t="s">
        <v>369</v>
      </c>
      <c r="M196" t="s">
        <v>45</v>
      </c>
      <c r="O196" t="s">
        <v>340</v>
      </c>
      <c r="P196" t="s">
        <v>341</v>
      </c>
      <c r="Q196" t="s">
        <v>48</v>
      </c>
      <c r="R196" t="s">
        <v>319</v>
      </c>
      <c r="S196" s="1">
        <v>46023</v>
      </c>
      <c r="U196" t="s">
        <v>50</v>
      </c>
      <c r="X196" t="s">
        <v>51</v>
      </c>
      <c r="Y196" s="2">
        <v>0</v>
      </c>
      <c r="Z196" s="2">
        <v>25</v>
      </c>
      <c r="AA196">
        <v>1</v>
      </c>
      <c r="AB196" s="3">
        <v>1</v>
      </c>
      <c r="AC196" s="2">
        <v>25</v>
      </c>
      <c r="AD196" s="3">
        <v>0</v>
      </c>
      <c r="AE196" s="2">
        <v>0</v>
      </c>
      <c r="AF196" s="2">
        <v>25</v>
      </c>
      <c r="AK196">
        <v>6045519</v>
      </c>
    </row>
    <row r="197" spans="1:37" x14ac:dyDescent="0.25">
      <c r="A197" s="1">
        <v>46001</v>
      </c>
      <c r="B197" s="1">
        <v>46001</v>
      </c>
      <c r="C197" t="s">
        <v>38</v>
      </c>
      <c r="D197" t="s">
        <v>39</v>
      </c>
      <c r="E197" t="s">
        <v>40</v>
      </c>
      <c r="F197" t="s">
        <v>41</v>
      </c>
      <c r="G197" t="s">
        <v>42</v>
      </c>
      <c r="H197" t="s">
        <v>43</v>
      </c>
      <c r="I197">
        <v>101850093300</v>
      </c>
      <c r="J197" t="s">
        <v>370</v>
      </c>
      <c r="M197" t="s">
        <v>45</v>
      </c>
      <c r="O197" t="s">
        <v>141</v>
      </c>
      <c r="P197" t="s">
        <v>142</v>
      </c>
      <c r="Q197" t="s">
        <v>48</v>
      </c>
      <c r="R197" t="s">
        <v>314</v>
      </c>
      <c r="S197" s="1">
        <v>46023</v>
      </c>
      <c r="U197" t="s">
        <v>50</v>
      </c>
      <c r="X197" t="s">
        <v>51</v>
      </c>
      <c r="Y197" s="2">
        <v>0</v>
      </c>
      <c r="Z197" s="2">
        <v>15</v>
      </c>
      <c r="AA197">
        <v>1</v>
      </c>
      <c r="AB197" s="3">
        <v>1</v>
      </c>
      <c r="AC197" s="2">
        <v>15</v>
      </c>
      <c r="AD197" s="3">
        <v>0</v>
      </c>
      <c r="AE197" s="2">
        <v>0</v>
      </c>
      <c r="AF197" s="2">
        <v>15</v>
      </c>
      <c r="AK197">
        <v>6045528</v>
      </c>
    </row>
    <row r="198" spans="1:37" x14ac:dyDescent="0.25">
      <c r="A198" s="1">
        <v>46001</v>
      </c>
      <c r="B198" s="1">
        <v>46001</v>
      </c>
      <c r="C198" t="s">
        <v>38</v>
      </c>
      <c r="D198" t="s">
        <v>39</v>
      </c>
      <c r="E198" t="s">
        <v>40</v>
      </c>
      <c r="F198" t="s">
        <v>41</v>
      </c>
      <c r="G198" t="s">
        <v>42</v>
      </c>
      <c r="H198" t="s">
        <v>43</v>
      </c>
      <c r="I198">
        <v>101861643300</v>
      </c>
      <c r="J198" t="s">
        <v>371</v>
      </c>
      <c r="M198" t="s">
        <v>45</v>
      </c>
      <c r="O198" t="s">
        <v>141</v>
      </c>
      <c r="P198" t="s">
        <v>142</v>
      </c>
      <c r="Q198" t="s">
        <v>48</v>
      </c>
      <c r="R198" t="s">
        <v>314</v>
      </c>
      <c r="S198" s="1">
        <v>46023</v>
      </c>
      <c r="U198" t="s">
        <v>50</v>
      </c>
      <c r="X198" t="s">
        <v>51</v>
      </c>
      <c r="Y198" s="2">
        <v>0</v>
      </c>
      <c r="Z198" s="2">
        <v>15</v>
      </c>
      <c r="AA198">
        <v>1</v>
      </c>
      <c r="AB198" s="3">
        <v>1</v>
      </c>
      <c r="AC198" s="2">
        <v>15</v>
      </c>
      <c r="AD198" s="3">
        <v>0</v>
      </c>
      <c r="AE198" s="2">
        <v>0</v>
      </c>
      <c r="AF198" s="2">
        <v>15</v>
      </c>
      <c r="AK198">
        <v>6045533</v>
      </c>
    </row>
    <row r="199" spans="1:37" x14ac:dyDescent="0.25">
      <c r="A199" s="1">
        <v>46001</v>
      </c>
      <c r="B199" s="1">
        <v>46001</v>
      </c>
      <c r="C199" t="s">
        <v>38</v>
      </c>
      <c r="D199" t="s">
        <v>39</v>
      </c>
      <c r="E199" t="s">
        <v>40</v>
      </c>
      <c r="F199" t="s">
        <v>41</v>
      </c>
      <c r="G199" t="s">
        <v>42</v>
      </c>
      <c r="H199" t="s">
        <v>43</v>
      </c>
      <c r="I199">
        <v>101884866200</v>
      </c>
      <c r="J199" t="s">
        <v>372</v>
      </c>
      <c r="M199" t="s">
        <v>69</v>
      </c>
      <c r="O199" t="s">
        <v>332</v>
      </c>
      <c r="P199" t="s">
        <v>333</v>
      </c>
      <c r="Q199" t="s">
        <v>48</v>
      </c>
      <c r="R199" t="s">
        <v>314</v>
      </c>
      <c r="S199" s="1">
        <v>46023</v>
      </c>
      <c r="U199" t="s">
        <v>50</v>
      </c>
      <c r="X199" t="s">
        <v>51</v>
      </c>
      <c r="Y199" s="2">
        <v>0</v>
      </c>
      <c r="Z199" s="2">
        <v>15</v>
      </c>
      <c r="AA199">
        <v>1</v>
      </c>
      <c r="AB199" s="3">
        <v>1</v>
      </c>
      <c r="AC199" s="2">
        <v>15</v>
      </c>
      <c r="AD199" s="3">
        <v>0</v>
      </c>
      <c r="AE199" s="2">
        <v>0</v>
      </c>
      <c r="AF199" s="2">
        <v>15</v>
      </c>
      <c r="AK199">
        <v>6045539</v>
      </c>
    </row>
    <row r="200" spans="1:37" x14ac:dyDescent="0.25">
      <c r="A200" s="1">
        <v>46001</v>
      </c>
      <c r="B200" s="1">
        <v>46001</v>
      </c>
      <c r="C200" t="s">
        <v>38</v>
      </c>
      <c r="D200" t="s">
        <v>39</v>
      </c>
      <c r="E200" t="s">
        <v>40</v>
      </c>
      <c r="F200" t="s">
        <v>41</v>
      </c>
      <c r="G200" t="s">
        <v>42</v>
      </c>
      <c r="H200" t="s">
        <v>43</v>
      </c>
      <c r="I200">
        <v>101931808600</v>
      </c>
      <c r="J200" t="s">
        <v>373</v>
      </c>
      <c r="M200" t="s">
        <v>316</v>
      </c>
      <c r="O200" t="s">
        <v>374</v>
      </c>
      <c r="P200" t="s">
        <v>375</v>
      </c>
      <c r="Q200" t="s">
        <v>48</v>
      </c>
      <c r="R200" t="s">
        <v>319</v>
      </c>
      <c r="S200" s="1">
        <v>46023</v>
      </c>
      <c r="U200" t="s">
        <v>50</v>
      </c>
      <c r="X200" t="s">
        <v>51</v>
      </c>
      <c r="Y200" s="2">
        <v>0</v>
      </c>
      <c r="Z200" s="2">
        <v>25</v>
      </c>
      <c r="AA200">
        <v>1</v>
      </c>
      <c r="AB200" s="3">
        <v>1</v>
      </c>
      <c r="AC200" s="2">
        <v>25</v>
      </c>
      <c r="AD200" s="3">
        <v>0</v>
      </c>
      <c r="AE200" s="2">
        <v>0</v>
      </c>
      <c r="AF200" s="2">
        <v>25</v>
      </c>
      <c r="AK200">
        <v>6045548</v>
      </c>
    </row>
    <row r="201" spans="1:37" x14ac:dyDescent="0.25">
      <c r="A201" s="1">
        <v>46001</v>
      </c>
      <c r="B201" s="1">
        <v>46001</v>
      </c>
      <c r="C201" t="s">
        <v>38</v>
      </c>
      <c r="D201" t="s">
        <v>39</v>
      </c>
      <c r="E201" t="s">
        <v>40</v>
      </c>
      <c r="F201" t="s">
        <v>41</v>
      </c>
      <c r="G201" t="s">
        <v>42</v>
      </c>
      <c r="H201" t="s">
        <v>43</v>
      </c>
      <c r="I201">
        <v>101939686100</v>
      </c>
      <c r="J201" t="s">
        <v>376</v>
      </c>
      <c r="M201" t="s">
        <v>45</v>
      </c>
      <c r="O201" t="s">
        <v>190</v>
      </c>
      <c r="P201" t="s">
        <v>191</v>
      </c>
      <c r="Q201" t="s">
        <v>48</v>
      </c>
      <c r="R201" t="s">
        <v>319</v>
      </c>
      <c r="S201" s="1">
        <v>46023</v>
      </c>
      <c r="U201" t="s">
        <v>50</v>
      </c>
      <c r="X201" t="s">
        <v>51</v>
      </c>
      <c r="Y201" s="2">
        <v>0</v>
      </c>
      <c r="Z201" s="2">
        <v>25</v>
      </c>
      <c r="AA201">
        <v>1</v>
      </c>
      <c r="AB201" s="3">
        <v>1</v>
      </c>
      <c r="AC201" s="2">
        <v>25</v>
      </c>
      <c r="AD201" s="3">
        <v>0</v>
      </c>
      <c r="AE201" s="2">
        <v>0</v>
      </c>
      <c r="AF201" s="2">
        <v>25</v>
      </c>
      <c r="AK201">
        <v>6045551</v>
      </c>
    </row>
    <row r="202" spans="1:37" x14ac:dyDescent="0.25">
      <c r="A202" s="1">
        <v>46001</v>
      </c>
      <c r="B202" s="1">
        <v>46001</v>
      </c>
      <c r="C202" t="s">
        <v>38</v>
      </c>
      <c r="D202" t="s">
        <v>39</v>
      </c>
      <c r="E202" t="s">
        <v>40</v>
      </c>
      <c r="F202" t="s">
        <v>41</v>
      </c>
      <c r="G202" t="s">
        <v>42</v>
      </c>
      <c r="H202" t="s">
        <v>43</v>
      </c>
      <c r="I202">
        <v>101954438000</v>
      </c>
      <c r="J202" t="s">
        <v>377</v>
      </c>
      <c r="M202" t="s">
        <v>69</v>
      </c>
      <c r="O202" t="s">
        <v>332</v>
      </c>
      <c r="P202" t="s">
        <v>333</v>
      </c>
      <c r="Q202" t="s">
        <v>48</v>
      </c>
      <c r="R202" t="s">
        <v>314</v>
      </c>
      <c r="S202" s="1">
        <v>46023</v>
      </c>
      <c r="U202" t="s">
        <v>50</v>
      </c>
      <c r="X202" t="s">
        <v>51</v>
      </c>
      <c r="Y202" s="2">
        <v>0</v>
      </c>
      <c r="Z202" s="2">
        <v>15</v>
      </c>
      <c r="AA202">
        <v>1</v>
      </c>
      <c r="AB202" s="3">
        <v>1</v>
      </c>
      <c r="AC202" s="2">
        <v>15</v>
      </c>
      <c r="AD202" s="3">
        <v>0</v>
      </c>
      <c r="AE202" s="2">
        <v>0</v>
      </c>
      <c r="AF202" s="2">
        <v>15</v>
      </c>
      <c r="AK202">
        <v>6045555</v>
      </c>
    </row>
    <row r="203" spans="1:37" x14ac:dyDescent="0.25">
      <c r="A203" s="1">
        <v>46001</v>
      </c>
      <c r="B203" s="1">
        <v>46001</v>
      </c>
      <c r="C203" t="s">
        <v>38</v>
      </c>
      <c r="D203" t="s">
        <v>39</v>
      </c>
      <c r="E203" t="s">
        <v>40</v>
      </c>
      <c r="F203" t="s">
        <v>41</v>
      </c>
      <c r="G203" t="s">
        <v>42</v>
      </c>
      <c r="H203" t="s">
        <v>43</v>
      </c>
      <c r="I203">
        <v>101966955100</v>
      </c>
      <c r="J203" t="s">
        <v>378</v>
      </c>
      <c r="M203" t="s">
        <v>379</v>
      </c>
      <c r="O203" t="s">
        <v>63</v>
      </c>
      <c r="P203" t="s">
        <v>64</v>
      </c>
      <c r="Q203" t="s">
        <v>48</v>
      </c>
      <c r="R203" t="s">
        <v>380</v>
      </c>
      <c r="S203" s="1">
        <v>46023</v>
      </c>
      <c r="U203" t="s">
        <v>50</v>
      </c>
      <c r="X203" t="s">
        <v>51</v>
      </c>
      <c r="Y203" s="2">
        <v>0</v>
      </c>
      <c r="Z203" s="2">
        <v>50</v>
      </c>
      <c r="AA203">
        <v>1</v>
      </c>
      <c r="AB203" s="3">
        <v>1</v>
      </c>
      <c r="AC203" s="2">
        <v>50</v>
      </c>
      <c r="AD203" s="3">
        <v>0</v>
      </c>
      <c r="AE203" s="2">
        <v>0</v>
      </c>
      <c r="AF203" s="2">
        <v>50</v>
      </c>
      <c r="AK203">
        <v>6046178</v>
      </c>
    </row>
    <row r="204" spans="1:37" x14ac:dyDescent="0.25">
      <c r="A204" s="1">
        <v>46001</v>
      </c>
      <c r="B204" s="1">
        <v>46001</v>
      </c>
      <c r="C204" t="s">
        <v>38</v>
      </c>
      <c r="D204" t="s">
        <v>39</v>
      </c>
      <c r="E204" t="s">
        <v>40</v>
      </c>
      <c r="F204" t="s">
        <v>41</v>
      </c>
      <c r="G204" t="s">
        <v>42</v>
      </c>
      <c r="H204" t="s">
        <v>43</v>
      </c>
      <c r="I204">
        <v>101978593200</v>
      </c>
      <c r="J204" t="s">
        <v>381</v>
      </c>
      <c r="M204" t="s">
        <v>45</v>
      </c>
      <c r="O204" t="s">
        <v>190</v>
      </c>
      <c r="P204" t="s">
        <v>191</v>
      </c>
      <c r="Q204" t="s">
        <v>48</v>
      </c>
      <c r="R204" t="s">
        <v>319</v>
      </c>
      <c r="S204" s="1">
        <v>46023</v>
      </c>
      <c r="U204" t="s">
        <v>50</v>
      </c>
      <c r="X204" t="s">
        <v>51</v>
      </c>
      <c r="Y204" s="2">
        <v>0</v>
      </c>
      <c r="Z204" s="2">
        <v>25</v>
      </c>
      <c r="AA204">
        <v>1</v>
      </c>
      <c r="AB204" s="3">
        <v>1</v>
      </c>
      <c r="AC204" s="2">
        <v>25</v>
      </c>
      <c r="AD204" s="3">
        <v>0</v>
      </c>
      <c r="AE204" s="2">
        <v>0</v>
      </c>
      <c r="AF204" s="2">
        <v>25</v>
      </c>
      <c r="AK204">
        <v>6045562</v>
      </c>
    </row>
    <row r="205" spans="1:37" x14ac:dyDescent="0.25">
      <c r="A205" s="1">
        <v>46001</v>
      </c>
      <c r="B205" s="1">
        <v>46001</v>
      </c>
      <c r="C205" t="s">
        <v>38</v>
      </c>
      <c r="D205" t="s">
        <v>39</v>
      </c>
      <c r="E205" t="s">
        <v>40</v>
      </c>
      <c r="F205" t="s">
        <v>41</v>
      </c>
      <c r="G205" t="s">
        <v>42</v>
      </c>
      <c r="H205" t="s">
        <v>43</v>
      </c>
      <c r="I205">
        <v>101982874100</v>
      </c>
      <c r="J205" t="s">
        <v>382</v>
      </c>
      <c r="M205" t="s">
        <v>45</v>
      </c>
      <c r="O205" t="s">
        <v>58</v>
      </c>
      <c r="P205" t="s">
        <v>59</v>
      </c>
      <c r="Q205" t="s">
        <v>48</v>
      </c>
      <c r="R205" t="s">
        <v>314</v>
      </c>
      <c r="S205" s="1">
        <v>46023</v>
      </c>
      <c r="U205" t="s">
        <v>50</v>
      </c>
      <c r="X205" t="s">
        <v>51</v>
      </c>
      <c r="Y205" s="2">
        <v>0</v>
      </c>
      <c r="Z205" s="2">
        <v>15</v>
      </c>
      <c r="AA205">
        <v>1</v>
      </c>
      <c r="AB205" s="3">
        <v>1</v>
      </c>
      <c r="AC205" s="2">
        <v>15</v>
      </c>
      <c r="AD205" s="3">
        <v>0</v>
      </c>
      <c r="AE205" s="2">
        <v>0</v>
      </c>
      <c r="AF205" s="2">
        <v>15</v>
      </c>
      <c r="AK205">
        <v>6045564</v>
      </c>
    </row>
    <row r="206" spans="1:37" x14ac:dyDescent="0.25">
      <c r="A206" s="1">
        <v>46001</v>
      </c>
      <c r="B206" s="1">
        <v>46001</v>
      </c>
      <c r="C206" t="s">
        <v>38</v>
      </c>
      <c r="D206" t="s">
        <v>39</v>
      </c>
      <c r="E206" t="s">
        <v>40</v>
      </c>
      <c r="F206" t="s">
        <v>41</v>
      </c>
      <c r="G206" t="s">
        <v>42</v>
      </c>
      <c r="H206" t="s">
        <v>43</v>
      </c>
      <c r="I206">
        <v>101985831100</v>
      </c>
      <c r="J206" t="s">
        <v>383</v>
      </c>
      <c r="M206" t="s">
        <v>69</v>
      </c>
      <c r="O206" t="s">
        <v>332</v>
      </c>
      <c r="P206" t="s">
        <v>333</v>
      </c>
      <c r="Q206" t="s">
        <v>48</v>
      </c>
      <c r="R206" t="s">
        <v>314</v>
      </c>
      <c r="S206" s="1">
        <v>46023</v>
      </c>
      <c r="U206" t="s">
        <v>50</v>
      </c>
      <c r="X206" t="s">
        <v>51</v>
      </c>
      <c r="Y206" s="2">
        <v>0</v>
      </c>
      <c r="Z206" s="2">
        <v>15</v>
      </c>
      <c r="AA206">
        <v>1</v>
      </c>
      <c r="AB206" s="3">
        <v>1</v>
      </c>
      <c r="AC206" s="2">
        <v>15</v>
      </c>
      <c r="AD206" s="3">
        <v>0</v>
      </c>
      <c r="AE206" s="2">
        <v>0</v>
      </c>
      <c r="AF206" s="2">
        <v>15</v>
      </c>
      <c r="AK206">
        <v>6045565</v>
      </c>
    </row>
    <row r="207" spans="1:37" x14ac:dyDescent="0.25">
      <c r="A207" s="1">
        <v>46001</v>
      </c>
      <c r="B207" s="1">
        <v>46001</v>
      </c>
      <c r="C207" t="s">
        <v>38</v>
      </c>
      <c r="D207" t="s">
        <v>39</v>
      </c>
      <c r="E207" t="s">
        <v>40</v>
      </c>
      <c r="F207" t="s">
        <v>41</v>
      </c>
      <c r="G207" t="s">
        <v>42</v>
      </c>
      <c r="H207" t="s">
        <v>43</v>
      </c>
      <c r="I207">
        <v>101989535900</v>
      </c>
      <c r="J207" t="s">
        <v>384</v>
      </c>
      <c r="M207" t="s">
        <v>69</v>
      </c>
      <c r="O207" t="s">
        <v>70</v>
      </c>
      <c r="P207" t="s">
        <v>71</v>
      </c>
      <c r="Q207" t="s">
        <v>48</v>
      </c>
      <c r="R207" t="s">
        <v>319</v>
      </c>
      <c r="S207" s="1">
        <v>46023</v>
      </c>
      <c r="U207" t="s">
        <v>50</v>
      </c>
      <c r="X207" t="s">
        <v>51</v>
      </c>
      <c r="Y207" s="2">
        <v>0</v>
      </c>
      <c r="Z207" s="2">
        <v>25</v>
      </c>
      <c r="AA207">
        <v>1</v>
      </c>
      <c r="AB207" s="3">
        <v>1</v>
      </c>
      <c r="AC207" s="2">
        <v>25</v>
      </c>
      <c r="AD207" s="3">
        <v>0</v>
      </c>
      <c r="AE207" s="2">
        <v>0</v>
      </c>
      <c r="AF207" s="2">
        <v>25</v>
      </c>
      <c r="AK207">
        <v>6045567</v>
      </c>
    </row>
    <row r="208" spans="1:37" x14ac:dyDescent="0.25">
      <c r="A208" s="1">
        <v>46001</v>
      </c>
      <c r="B208" s="1">
        <v>46001</v>
      </c>
      <c r="C208" t="s">
        <v>38</v>
      </c>
      <c r="D208" t="s">
        <v>39</v>
      </c>
      <c r="E208" t="s">
        <v>40</v>
      </c>
      <c r="F208" t="s">
        <v>41</v>
      </c>
      <c r="G208" t="s">
        <v>42</v>
      </c>
      <c r="H208" t="s">
        <v>43</v>
      </c>
      <c r="I208">
        <v>102000755500</v>
      </c>
      <c r="J208" t="s">
        <v>385</v>
      </c>
      <c r="M208" t="s">
        <v>45</v>
      </c>
      <c r="O208" t="s">
        <v>96</v>
      </c>
      <c r="P208" t="s">
        <v>97</v>
      </c>
      <c r="Q208" t="s">
        <v>48</v>
      </c>
      <c r="R208" t="s">
        <v>314</v>
      </c>
      <c r="S208" s="1">
        <v>46023</v>
      </c>
      <c r="U208" t="s">
        <v>50</v>
      </c>
      <c r="X208" t="s">
        <v>51</v>
      </c>
      <c r="Y208" s="2">
        <v>0</v>
      </c>
      <c r="Z208" s="2">
        <v>15</v>
      </c>
      <c r="AA208">
        <v>1</v>
      </c>
      <c r="AB208" s="3">
        <v>1</v>
      </c>
      <c r="AC208" s="2">
        <v>15</v>
      </c>
      <c r="AD208" s="3">
        <v>0</v>
      </c>
      <c r="AE208" s="2">
        <v>0</v>
      </c>
      <c r="AF208" s="2">
        <v>15</v>
      </c>
      <c r="AK208">
        <v>6045571</v>
      </c>
    </row>
    <row r="209" spans="1:37" x14ac:dyDescent="0.25">
      <c r="A209" s="1">
        <v>46001</v>
      </c>
      <c r="B209" s="1">
        <v>46001</v>
      </c>
      <c r="C209" t="s">
        <v>38</v>
      </c>
      <c r="D209" t="s">
        <v>39</v>
      </c>
      <c r="E209" t="s">
        <v>40</v>
      </c>
      <c r="F209" t="s">
        <v>41</v>
      </c>
      <c r="G209" t="s">
        <v>42</v>
      </c>
      <c r="H209" t="s">
        <v>43</v>
      </c>
      <c r="I209">
        <v>102005360000</v>
      </c>
      <c r="J209" t="s">
        <v>386</v>
      </c>
      <c r="M209" t="s">
        <v>45</v>
      </c>
      <c r="O209" t="s">
        <v>187</v>
      </c>
      <c r="P209" t="s">
        <v>188</v>
      </c>
      <c r="Q209" t="s">
        <v>48</v>
      </c>
      <c r="R209" t="s">
        <v>314</v>
      </c>
      <c r="S209" s="1">
        <v>46023</v>
      </c>
      <c r="U209" t="s">
        <v>50</v>
      </c>
      <c r="X209" t="s">
        <v>51</v>
      </c>
      <c r="Y209" s="2">
        <v>0</v>
      </c>
      <c r="Z209" s="2">
        <v>15</v>
      </c>
      <c r="AA209">
        <v>1</v>
      </c>
      <c r="AB209" s="3">
        <v>1</v>
      </c>
      <c r="AC209" s="2">
        <v>15</v>
      </c>
      <c r="AD209" s="3">
        <v>0</v>
      </c>
      <c r="AE209" s="2">
        <v>0</v>
      </c>
      <c r="AF209" s="2">
        <v>15</v>
      </c>
      <c r="AK209">
        <v>6045572</v>
      </c>
    </row>
    <row r="210" spans="1:37" x14ac:dyDescent="0.25">
      <c r="A210" s="1">
        <v>46001</v>
      </c>
      <c r="B210" s="1">
        <v>46001</v>
      </c>
      <c r="C210" t="s">
        <v>38</v>
      </c>
      <c r="D210" t="s">
        <v>39</v>
      </c>
      <c r="E210" t="s">
        <v>40</v>
      </c>
      <c r="F210" t="s">
        <v>41</v>
      </c>
      <c r="G210" t="s">
        <v>42</v>
      </c>
      <c r="H210" t="s">
        <v>43</v>
      </c>
      <c r="I210">
        <v>102029648300</v>
      </c>
      <c r="J210" t="s">
        <v>387</v>
      </c>
      <c r="M210" t="s">
        <v>45</v>
      </c>
      <c r="O210" t="s">
        <v>58</v>
      </c>
      <c r="P210" t="s">
        <v>59</v>
      </c>
      <c r="Q210" t="s">
        <v>48</v>
      </c>
      <c r="R210" t="s">
        <v>314</v>
      </c>
      <c r="S210" s="1">
        <v>46023</v>
      </c>
      <c r="U210" t="s">
        <v>50</v>
      </c>
      <c r="X210" t="s">
        <v>51</v>
      </c>
      <c r="Y210" s="2">
        <v>0</v>
      </c>
      <c r="Z210" s="2">
        <v>15</v>
      </c>
      <c r="AA210">
        <v>1</v>
      </c>
      <c r="AB210" s="3">
        <v>1</v>
      </c>
      <c r="AC210" s="2">
        <v>15</v>
      </c>
      <c r="AD210" s="3">
        <v>0</v>
      </c>
      <c r="AE210" s="2">
        <v>0</v>
      </c>
      <c r="AF210" s="2">
        <v>15</v>
      </c>
      <c r="AK210">
        <v>6045580</v>
      </c>
    </row>
    <row r="211" spans="1:37" x14ac:dyDescent="0.25">
      <c r="A211" s="1">
        <v>46001</v>
      </c>
      <c r="B211" s="1">
        <v>46001</v>
      </c>
      <c r="C211" t="s">
        <v>38</v>
      </c>
      <c r="D211" t="s">
        <v>39</v>
      </c>
      <c r="E211" t="s">
        <v>40</v>
      </c>
      <c r="F211" t="s">
        <v>41</v>
      </c>
      <c r="G211" t="s">
        <v>42</v>
      </c>
      <c r="H211" t="s">
        <v>43</v>
      </c>
      <c r="I211">
        <v>102029679200</v>
      </c>
      <c r="J211" t="s">
        <v>388</v>
      </c>
      <c r="M211" t="s">
        <v>45</v>
      </c>
      <c r="O211" t="s">
        <v>58</v>
      </c>
      <c r="P211" t="s">
        <v>59</v>
      </c>
      <c r="Q211" t="s">
        <v>48</v>
      </c>
      <c r="R211" t="s">
        <v>314</v>
      </c>
      <c r="S211" s="1">
        <v>46023</v>
      </c>
      <c r="U211" t="s">
        <v>50</v>
      </c>
      <c r="X211" t="s">
        <v>51</v>
      </c>
      <c r="Y211" s="2">
        <v>0</v>
      </c>
      <c r="Z211" s="2">
        <v>15</v>
      </c>
      <c r="AA211">
        <v>1</v>
      </c>
      <c r="AB211" s="3">
        <v>1</v>
      </c>
      <c r="AC211" s="2">
        <v>15</v>
      </c>
      <c r="AD211" s="3">
        <v>0</v>
      </c>
      <c r="AE211" s="2">
        <v>0</v>
      </c>
      <c r="AF211" s="2">
        <v>15</v>
      </c>
      <c r="AK211">
        <v>6045581</v>
      </c>
    </row>
    <row r="212" spans="1:37" x14ac:dyDescent="0.25">
      <c r="A212" s="1">
        <v>46001</v>
      </c>
      <c r="B212" s="1">
        <v>46001</v>
      </c>
      <c r="C212" t="s">
        <v>38</v>
      </c>
      <c r="D212" t="s">
        <v>39</v>
      </c>
      <c r="E212" t="s">
        <v>40</v>
      </c>
      <c r="F212" t="s">
        <v>41</v>
      </c>
      <c r="G212" t="s">
        <v>42</v>
      </c>
      <c r="H212" t="s">
        <v>43</v>
      </c>
      <c r="I212">
        <v>102030612300</v>
      </c>
      <c r="J212" t="s">
        <v>389</v>
      </c>
      <c r="M212" t="s">
        <v>69</v>
      </c>
      <c r="O212" t="s">
        <v>332</v>
      </c>
      <c r="P212" t="s">
        <v>333</v>
      </c>
      <c r="Q212" t="s">
        <v>48</v>
      </c>
      <c r="R212" t="s">
        <v>314</v>
      </c>
      <c r="S212" s="1">
        <v>46023</v>
      </c>
      <c r="U212" t="s">
        <v>50</v>
      </c>
      <c r="X212" t="s">
        <v>51</v>
      </c>
      <c r="Y212" s="2">
        <v>0</v>
      </c>
      <c r="Z212" s="2">
        <v>15</v>
      </c>
      <c r="AA212">
        <v>1</v>
      </c>
      <c r="AB212" s="3">
        <v>1</v>
      </c>
      <c r="AC212" s="2">
        <v>15</v>
      </c>
      <c r="AD212" s="3">
        <v>0</v>
      </c>
      <c r="AE212" s="2">
        <v>0</v>
      </c>
      <c r="AF212" s="2">
        <v>15</v>
      </c>
      <c r="AK212">
        <v>6045584</v>
      </c>
    </row>
    <row r="213" spans="1:37" x14ac:dyDescent="0.25">
      <c r="A213" s="1">
        <v>46001</v>
      </c>
      <c r="B213" s="1">
        <v>46001</v>
      </c>
      <c r="C213" t="s">
        <v>38</v>
      </c>
      <c r="D213" t="s">
        <v>39</v>
      </c>
      <c r="E213" t="s">
        <v>40</v>
      </c>
      <c r="F213" t="s">
        <v>41</v>
      </c>
      <c r="G213" t="s">
        <v>42</v>
      </c>
      <c r="H213" t="s">
        <v>43</v>
      </c>
      <c r="I213" t="s">
        <v>793</v>
      </c>
      <c r="J213" t="s">
        <v>390</v>
      </c>
      <c r="M213" t="s">
        <v>45</v>
      </c>
      <c r="O213" t="s">
        <v>159</v>
      </c>
      <c r="P213" t="s">
        <v>160</v>
      </c>
      <c r="Q213" t="s">
        <v>391</v>
      </c>
      <c r="R213" t="s">
        <v>314</v>
      </c>
      <c r="S213" s="1">
        <v>46023</v>
      </c>
      <c r="U213" t="s">
        <v>50</v>
      </c>
      <c r="X213" t="s">
        <v>51</v>
      </c>
      <c r="Y213" s="2">
        <v>0</v>
      </c>
      <c r="Z213" s="2">
        <v>15</v>
      </c>
      <c r="AA213">
        <v>1</v>
      </c>
      <c r="AB213" s="3">
        <v>1</v>
      </c>
      <c r="AC213" s="2">
        <v>15</v>
      </c>
      <c r="AD213" s="3">
        <v>0</v>
      </c>
      <c r="AE213" s="2">
        <v>0</v>
      </c>
      <c r="AF213" s="2">
        <v>15</v>
      </c>
      <c r="AK213">
        <v>6045587</v>
      </c>
    </row>
    <row r="214" spans="1:37" x14ac:dyDescent="0.25">
      <c r="A214" s="1">
        <v>46001</v>
      </c>
      <c r="B214" s="1">
        <v>46001</v>
      </c>
      <c r="C214" t="s">
        <v>38</v>
      </c>
      <c r="D214" t="s">
        <v>39</v>
      </c>
      <c r="E214" t="s">
        <v>40</v>
      </c>
      <c r="F214" t="s">
        <v>41</v>
      </c>
      <c r="G214" t="s">
        <v>42</v>
      </c>
      <c r="H214" t="s">
        <v>43</v>
      </c>
      <c r="I214">
        <v>102052554200</v>
      </c>
      <c r="J214" t="s">
        <v>392</v>
      </c>
      <c r="M214" t="s">
        <v>316</v>
      </c>
      <c r="O214" t="s">
        <v>393</v>
      </c>
      <c r="P214" t="s">
        <v>394</v>
      </c>
      <c r="Q214" t="s">
        <v>48</v>
      </c>
      <c r="R214" t="s">
        <v>319</v>
      </c>
      <c r="S214" s="1">
        <v>46023</v>
      </c>
      <c r="U214" t="s">
        <v>50</v>
      </c>
      <c r="X214" t="s">
        <v>51</v>
      </c>
      <c r="Y214" s="2">
        <v>0</v>
      </c>
      <c r="Z214" s="2">
        <v>25</v>
      </c>
      <c r="AA214">
        <v>1</v>
      </c>
      <c r="AB214" s="3">
        <v>1</v>
      </c>
      <c r="AC214" s="2">
        <v>25</v>
      </c>
      <c r="AD214" s="3">
        <v>0</v>
      </c>
      <c r="AE214" s="2">
        <v>0</v>
      </c>
      <c r="AF214" s="2">
        <v>25</v>
      </c>
      <c r="AK214">
        <v>6045593</v>
      </c>
    </row>
    <row r="215" spans="1:37" x14ac:dyDescent="0.25">
      <c r="A215" s="1">
        <v>46001</v>
      </c>
      <c r="B215" s="1">
        <v>46001</v>
      </c>
      <c r="C215" t="s">
        <v>38</v>
      </c>
      <c r="D215" t="s">
        <v>39</v>
      </c>
      <c r="E215" t="s">
        <v>40</v>
      </c>
      <c r="F215" t="s">
        <v>41</v>
      </c>
      <c r="G215" t="s">
        <v>42</v>
      </c>
      <c r="H215" t="s">
        <v>43</v>
      </c>
      <c r="I215" t="s">
        <v>794</v>
      </c>
      <c r="J215" t="s">
        <v>395</v>
      </c>
      <c r="M215" t="s">
        <v>396</v>
      </c>
      <c r="O215" t="s">
        <v>63</v>
      </c>
      <c r="P215" t="s">
        <v>64</v>
      </c>
      <c r="Q215" t="s">
        <v>391</v>
      </c>
      <c r="R215" t="s">
        <v>319</v>
      </c>
      <c r="S215" s="1">
        <v>46023</v>
      </c>
      <c r="U215" t="s">
        <v>50</v>
      </c>
      <c r="X215" t="s">
        <v>51</v>
      </c>
      <c r="Y215" s="2">
        <v>0</v>
      </c>
      <c r="Z215" s="2">
        <v>25</v>
      </c>
      <c r="AA215">
        <v>1</v>
      </c>
      <c r="AB215" s="3">
        <v>1</v>
      </c>
      <c r="AC215" s="2">
        <v>25</v>
      </c>
      <c r="AD215" s="3">
        <v>0</v>
      </c>
      <c r="AE215" s="2">
        <v>0</v>
      </c>
      <c r="AF215" s="2">
        <v>25</v>
      </c>
      <c r="AK215">
        <v>6045594</v>
      </c>
    </row>
    <row r="216" spans="1:37" x14ac:dyDescent="0.25">
      <c r="A216" s="1">
        <v>46001</v>
      </c>
      <c r="B216" s="1">
        <v>46001</v>
      </c>
      <c r="C216" t="s">
        <v>38</v>
      </c>
      <c r="D216" t="s">
        <v>39</v>
      </c>
      <c r="E216" t="s">
        <v>40</v>
      </c>
      <c r="F216" t="s">
        <v>41</v>
      </c>
      <c r="G216" t="s">
        <v>42</v>
      </c>
      <c r="H216" t="s">
        <v>43</v>
      </c>
      <c r="I216">
        <v>102068108700</v>
      </c>
      <c r="J216" t="s">
        <v>397</v>
      </c>
      <c r="M216" t="s">
        <v>169</v>
      </c>
      <c r="O216" t="s">
        <v>340</v>
      </c>
      <c r="P216" t="s">
        <v>341</v>
      </c>
      <c r="Q216" t="s">
        <v>48</v>
      </c>
      <c r="R216" t="s">
        <v>319</v>
      </c>
      <c r="S216" s="1">
        <v>46023</v>
      </c>
      <c r="U216" t="s">
        <v>50</v>
      </c>
      <c r="X216" t="s">
        <v>51</v>
      </c>
      <c r="Y216" s="2">
        <v>0</v>
      </c>
      <c r="Z216" s="2">
        <v>25</v>
      </c>
      <c r="AA216">
        <v>1</v>
      </c>
      <c r="AB216" s="3">
        <v>1</v>
      </c>
      <c r="AC216" s="2">
        <v>25</v>
      </c>
      <c r="AD216" s="3">
        <v>0</v>
      </c>
      <c r="AE216" s="2">
        <v>0</v>
      </c>
      <c r="AF216" s="2">
        <v>25</v>
      </c>
      <c r="AK216">
        <v>6045601</v>
      </c>
    </row>
    <row r="217" spans="1:37" x14ac:dyDescent="0.25">
      <c r="A217" s="1">
        <v>46001</v>
      </c>
      <c r="B217" s="1">
        <v>46001</v>
      </c>
      <c r="C217" t="s">
        <v>38</v>
      </c>
      <c r="D217" t="s">
        <v>39</v>
      </c>
      <c r="E217" t="s">
        <v>40</v>
      </c>
      <c r="F217" t="s">
        <v>41</v>
      </c>
      <c r="G217" t="s">
        <v>42</v>
      </c>
      <c r="H217" t="s">
        <v>43</v>
      </c>
      <c r="I217">
        <v>102068159500</v>
      </c>
      <c r="J217" t="s">
        <v>398</v>
      </c>
      <c r="M217" t="s">
        <v>396</v>
      </c>
      <c r="O217" t="s">
        <v>63</v>
      </c>
      <c r="P217" t="s">
        <v>64</v>
      </c>
      <c r="Q217" t="s">
        <v>48</v>
      </c>
      <c r="R217" t="s">
        <v>319</v>
      </c>
      <c r="S217" s="1">
        <v>46023</v>
      </c>
      <c r="U217" t="s">
        <v>50</v>
      </c>
      <c r="X217" t="s">
        <v>51</v>
      </c>
      <c r="Y217" s="2">
        <v>0</v>
      </c>
      <c r="Z217" s="2">
        <v>25</v>
      </c>
      <c r="AA217">
        <v>1</v>
      </c>
      <c r="AB217" s="3">
        <v>1</v>
      </c>
      <c r="AC217" s="2">
        <v>25</v>
      </c>
      <c r="AD217" s="3">
        <v>0</v>
      </c>
      <c r="AE217" s="2">
        <v>0</v>
      </c>
      <c r="AF217" s="2">
        <v>25</v>
      </c>
      <c r="AK217">
        <v>6045602</v>
      </c>
    </row>
    <row r="218" spans="1:37" x14ac:dyDescent="0.25">
      <c r="A218" s="1">
        <v>46001</v>
      </c>
      <c r="B218" s="1">
        <v>46001</v>
      </c>
      <c r="C218" t="s">
        <v>38</v>
      </c>
      <c r="D218" t="s">
        <v>39</v>
      </c>
      <c r="E218" t="s">
        <v>40</v>
      </c>
      <c r="F218" t="s">
        <v>41</v>
      </c>
      <c r="G218" t="s">
        <v>42</v>
      </c>
      <c r="H218" t="s">
        <v>43</v>
      </c>
      <c r="I218">
        <v>102069739000</v>
      </c>
      <c r="J218" t="s">
        <v>399</v>
      </c>
      <c r="M218" t="s">
        <v>45</v>
      </c>
      <c r="O218" t="s">
        <v>93</v>
      </c>
      <c r="P218" t="s">
        <v>94</v>
      </c>
      <c r="Q218" t="s">
        <v>48</v>
      </c>
      <c r="R218" t="s">
        <v>314</v>
      </c>
      <c r="S218" s="1">
        <v>46023</v>
      </c>
      <c r="U218" t="s">
        <v>50</v>
      </c>
      <c r="X218" t="s">
        <v>51</v>
      </c>
      <c r="Y218" s="2">
        <v>0</v>
      </c>
      <c r="Z218" s="2">
        <v>15</v>
      </c>
      <c r="AA218">
        <v>1</v>
      </c>
      <c r="AB218" s="3">
        <v>1</v>
      </c>
      <c r="AC218" s="2">
        <v>15</v>
      </c>
      <c r="AD218" s="3">
        <v>0</v>
      </c>
      <c r="AE218" s="2">
        <v>0</v>
      </c>
      <c r="AF218" s="2">
        <v>15</v>
      </c>
      <c r="AK218">
        <v>6045604</v>
      </c>
    </row>
    <row r="219" spans="1:37" x14ac:dyDescent="0.25">
      <c r="A219" s="1">
        <v>46001</v>
      </c>
      <c r="B219" s="1">
        <v>46001</v>
      </c>
      <c r="C219" t="s">
        <v>38</v>
      </c>
      <c r="D219" t="s">
        <v>39</v>
      </c>
      <c r="E219" t="s">
        <v>40</v>
      </c>
      <c r="F219" t="s">
        <v>41</v>
      </c>
      <c r="G219" t="s">
        <v>42</v>
      </c>
      <c r="H219" t="s">
        <v>43</v>
      </c>
      <c r="I219">
        <v>102089353400</v>
      </c>
      <c r="J219" t="s">
        <v>400</v>
      </c>
      <c r="M219" t="s">
        <v>169</v>
      </c>
      <c r="O219" t="s">
        <v>401</v>
      </c>
      <c r="P219" t="s">
        <v>402</v>
      </c>
      <c r="Q219" t="s">
        <v>48</v>
      </c>
      <c r="R219" t="s">
        <v>314</v>
      </c>
      <c r="S219" s="1">
        <v>46023</v>
      </c>
      <c r="U219" t="s">
        <v>50</v>
      </c>
      <c r="X219" t="s">
        <v>51</v>
      </c>
      <c r="Y219" s="2">
        <v>0</v>
      </c>
      <c r="Z219" s="2">
        <v>15</v>
      </c>
      <c r="AA219">
        <v>1</v>
      </c>
      <c r="AB219" s="3">
        <v>1</v>
      </c>
      <c r="AC219" s="2">
        <v>15</v>
      </c>
      <c r="AD219" s="3">
        <v>0</v>
      </c>
      <c r="AE219" s="2">
        <v>0</v>
      </c>
      <c r="AF219" s="2">
        <v>15</v>
      </c>
      <c r="AK219">
        <v>6045620</v>
      </c>
    </row>
    <row r="220" spans="1:37" x14ac:dyDescent="0.25">
      <c r="A220" s="1">
        <v>46001</v>
      </c>
      <c r="B220" s="1">
        <v>46001</v>
      </c>
      <c r="C220" t="s">
        <v>38</v>
      </c>
      <c r="D220" t="s">
        <v>39</v>
      </c>
      <c r="E220" t="s">
        <v>40</v>
      </c>
      <c r="F220" t="s">
        <v>41</v>
      </c>
      <c r="G220" t="s">
        <v>42</v>
      </c>
      <c r="H220" t="s">
        <v>43</v>
      </c>
      <c r="I220">
        <v>102104022700</v>
      </c>
      <c r="J220" t="s">
        <v>403</v>
      </c>
      <c r="M220" t="s">
        <v>69</v>
      </c>
      <c r="O220" t="s">
        <v>332</v>
      </c>
      <c r="P220" t="s">
        <v>333</v>
      </c>
      <c r="Q220" t="s">
        <v>48</v>
      </c>
      <c r="R220" t="s">
        <v>314</v>
      </c>
      <c r="S220" s="1">
        <v>46023</v>
      </c>
      <c r="U220" t="s">
        <v>50</v>
      </c>
      <c r="X220" t="s">
        <v>51</v>
      </c>
      <c r="Y220" s="2">
        <v>0</v>
      </c>
      <c r="Z220" s="2">
        <v>15</v>
      </c>
      <c r="AA220">
        <v>1</v>
      </c>
      <c r="AB220" s="3">
        <v>1</v>
      </c>
      <c r="AC220" s="2">
        <v>15</v>
      </c>
      <c r="AD220" s="3">
        <v>0</v>
      </c>
      <c r="AE220" s="2">
        <v>0</v>
      </c>
      <c r="AF220" s="2">
        <v>15</v>
      </c>
      <c r="AK220">
        <v>6045629</v>
      </c>
    </row>
    <row r="221" spans="1:37" x14ac:dyDescent="0.25">
      <c r="A221" s="1">
        <v>46001</v>
      </c>
      <c r="B221" s="1">
        <v>46001</v>
      </c>
      <c r="C221" t="s">
        <v>38</v>
      </c>
      <c r="D221" t="s">
        <v>39</v>
      </c>
      <c r="E221" t="s">
        <v>40</v>
      </c>
      <c r="F221" t="s">
        <v>41</v>
      </c>
      <c r="G221" t="s">
        <v>42</v>
      </c>
      <c r="H221" t="s">
        <v>43</v>
      </c>
      <c r="I221" t="s">
        <v>795</v>
      </c>
      <c r="J221" t="s">
        <v>404</v>
      </c>
      <c r="M221" t="s">
        <v>45</v>
      </c>
      <c r="O221" t="s">
        <v>54</v>
      </c>
      <c r="P221" t="s">
        <v>55</v>
      </c>
      <c r="Q221" t="s">
        <v>391</v>
      </c>
      <c r="R221" t="s">
        <v>314</v>
      </c>
      <c r="S221" s="1">
        <v>46023</v>
      </c>
      <c r="U221" t="s">
        <v>50</v>
      </c>
      <c r="X221" t="s">
        <v>51</v>
      </c>
      <c r="Y221" s="2">
        <v>0</v>
      </c>
      <c r="Z221" s="2">
        <v>15</v>
      </c>
      <c r="AA221">
        <v>1</v>
      </c>
      <c r="AB221" s="3">
        <v>1</v>
      </c>
      <c r="AC221" s="2">
        <v>15</v>
      </c>
      <c r="AD221" s="3">
        <v>0</v>
      </c>
      <c r="AE221" s="2">
        <v>0</v>
      </c>
      <c r="AF221" s="2">
        <v>15</v>
      </c>
      <c r="AK221">
        <v>6045630</v>
      </c>
    </row>
    <row r="222" spans="1:37" x14ac:dyDescent="0.25">
      <c r="A222" s="1">
        <v>46001</v>
      </c>
      <c r="B222" s="1">
        <v>46001</v>
      </c>
      <c r="C222" t="s">
        <v>38</v>
      </c>
      <c r="D222" t="s">
        <v>39</v>
      </c>
      <c r="E222" t="s">
        <v>40</v>
      </c>
      <c r="F222" t="s">
        <v>41</v>
      </c>
      <c r="G222" t="s">
        <v>42</v>
      </c>
      <c r="H222" t="s">
        <v>43</v>
      </c>
      <c r="I222">
        <v>102112652500</v>
      </c>
      <c r="J222" t="s">
        <v>405</v>
      </c>
      <c r="M222" t="s">
        <v>45</v>
      </c>
      <c r="O222" t="s">
        <v>96</v>
      </c>
      <c r="P222" t="s">
        <v>97</v>
      </c>
      <c r="Q222" t="s">
        <v>48</v>
      </c>
      <c r="R222" t="s">
        <v>314</v>
      </c>
      <c r="S222" s="1">
        <v>46023</v>
      </c>
      <c r="U222" t="s">
        <v>50</v>
      </c>
      <c r="X222" t="s">
        <v>51</v>
      </c>
      <c r="Y222" s="2">
        <v>0</v>
      </c>
      <c r="Z222" s="2">
        <v>15</v>
      </c>
      <c r="AA222">
        <v>1</v>
      </c>
      <c r="AB222" s="3">
        <v>1</v>
      </c>
      <c r="AC222" s="2">
        <v>15</v>
      </c>
      <c r="AD222" s="3">
        <v>0</v>
      </c>
      <c r="AE222" s="2">
        <v>0</v>
      </c>
      <c r="AF222" s="2">
        <v>15</v>
      </c>
      <c r="AK222">
        <v>6045638</v>
      </c>
    </row>
    <row r="223" spans="1:37" x14ac:dyDescent="0.25">
      <c r="A223" s="1">
        <v>46001</v>
      </c>
      <c r="B223" s="1">
        <v>46001</v>
      </c>
      <c r="C223" t="s">
        <v>38</v>
      </c>
      <c r="D223" t="s">
        <v>39</v>
      </c>
      <c r="E223" t="s">
        <v>40</v>
      </c>
      <c r="F223" t="s">
        <v>41</v>
      </c>
      <c r="G223" t="s">
        <v>42</v>
      </c>
      <c r="H223" t="s">
        <v>43</v>
      </c>
      <c r="I223">
        <v>102115083800</v>
      </c>
      <c r="J223" t="s">
        <v>406</v>
      </c>
      <c r="M223" t="s">
        <v>45</v>
      </c>
      <c r="O223" t="s">
        <v>66</v>
      </c>
      <c r="P223" t="s">
        <v>67</v>
      </c>
      <c r="Q223" t="s">
        <v>48</v>
      </c>
      <c r="R223" t="s">
        <v>314</v>
      </c>
      <c r="S223" s="1">
        <v>46023</v>
      </c>
      <c r="U223" t="s">
        <v>50</v>
      </c>
      <c r="X223" t="s">
        <v>51</v>
      </c>
      <c r="Y223" s="2">
        <v>0</v>
      </c>
      <c r="Z223" s="2">
        <v>15</v>
      </c>
      <c r="AA223">
        <v>1</v>
      </c>
      <c r="AB223" s="3">
        <v>1</v>
      </c>
      <c r="AC223" s="2">
        <v>15</v>
      </c>
      <c r="AD223" s="3">
        <v>0</v>
      </c>
      <c r="AE223" s="2">
        <v>0</v>
      </c>
      <c r="AF223" s="2">
        <v>15</v>
      </c>
      <c r="AK223">
        <v>6045641</v>
      </c>
    </row>
    <row r="224" spans="1:37" x14ac:dyDescent="0.25">
      <c r="A224" s="1">
        <v>46001</v>
      </c>
      <c r="B224" s="1">
        <v>46001</v>
      </c>
      <c r="C224" t="s">
        <v>38</v>
      </c>
      <c r="D224" t="s">
        <v>39</v>
      </c>
      <c r="E224" t="s">
        <v>40</v>
      </c>
      <c r="F224" t="s">
        <v>41</v>
      </c>
      <c r="G224" t="s">
        <v>42</v>
      </c>
      <c r="H224" t="s">
        <v>43</v>
      </c>
      <c r="I224">
        <v>102149761800</v>
      </c>
      <c r="J224" t="s">
        <v>407</v>
      </c>
      <c r="M224" t="s">
        <v>69</v>
      </c>
      <c r="O224" t="s">
        <v>332</v>
      </c>
      <c r="P224" t="s">
        <v>333</v>
      </c>
      <c r="Q224" t="s">
        <v>48</v>
      </c>
      <c r="R224" t="s">
        <v>314</v>
      </c>
      <c r="S224" s="1">
        <v>46023</v>
      </c>
      <c r="U224" t="s">
        <v>50</v>
      </c>
      <c r="X224" t="s">
        <v>51</v>
      </c>
      <c r="Y224" s="2">
        <v>0</v>
      </c>
      <c r="Z224" s="2">
        <v>15</v>
      </c>
      <c r="AA224">
        <v>1</v>
      </c>
      <c r="AB224" s="3">
        <v>1</v>
      </c>
      <c r="AC224" s="2">
        <v>15</v>
      </c>
      <c r="AD224" s="3">
        <v>0</v>
      </c>
      <c r="AE224" s="2">
        <v>0</v>
      </c>
      <c r="AF224" s="2">
        <v>15</v>
      </c>
      <c r="AK224">
        <v>6045657</v>
      </c>
    </row>
    <row r="225" spans="1:37" x14ac:dyDescent="0.25">
      <c r="A225" s="1">
        <v>46001</v>
      </c>
      <c r="B225" s="1">
        <v>46001</v>
      </c>
      <c r="C225" t="s">
        <v>38</v>
      </c>
      <c r="D225" t="s">
        <v>39</v>
      </c>
      <c r="E225" t="s">
        <v>40</v>
      </c>
      <c r="F225" t="s">
        <v>41</v>
      </c>
      <c r="G225" t="s">
        <v>42</v>
      </c>
      <c r="H225" t="s">
        <v>43</v>
      </c>
      <c r="I225">
        <v>102161580300</v>
      </c>
      <c r="J225" t="s">
        <v>408</v>
      </c>
      <c r="M225" t="s">
        <v>45</v>
      </c>
      <c r="O225" t="s">
        <v>63</v>
      </c>
      <c r="P225" t="s">
        <v>64</v>
      </c>
      <c r="Q225" t="s">
        <v>48</v>
      </c>
      <c r="R225" t="s">
        <v>319</v>
      </c>
      <c r="S225" s="1">
        <v>46023</v>
      </c>
      <c r="U225" t="s">
        <v>50</v>
      </c>
      <c r="X225" t="s">
        <v>51</v>
      </c>
      <c r="Y225" s="2">
        <v>0</v>
      </c>
      <c r="Z225" s="2">
        <v>25</v>
      </c>
      <c r="AA225">
        <v>1</v>
      </c>
      <c r="AB225" s="3">
        <v>1</v>
      </c>
      <c r="AC225" s="2">
        <v>25</v>
      </c>
      <c r="AD225" s="3">
        <v>0</v>
      </c>
      <c r="AE225" s="2">
        <v>0</v>
      </c>
      <c r="AF225" s="2">
        <v>25</v>
      </c>
      <c r="AK225">
        <v>6045662</v>
      </c>
    </row>
    <row r="226" spans="1:37" x14ac:dyDescent="0.25">
      <c r="A226" s="1">
        <v>46001</v>
      </c>
      <c r="B226" s="1">
        <v>46001</v>
      </c>
      <c r="C226" t="s">
        <v>38</v>
      </c>
      <c r="D226" t="s">
        <v>39</v>
      </c>
      <c r="E226" t="s">
        <v>40</v>
      </c>
      <c r="F226" t="s">
        <v>41</v>
      </c>
      <c r="G226" t="s">
        <v>42</v>
      </c>
      <c r="H226" t="s">
        <v>43</v>
      </c>
      <c r="I226">
        <v>102169457000</v>
      </c>
      <c r="J226" t="s">
        <v>409</v>
      </c>
      <c r="M226" t="s">
        <v>45</v>
      </c>
      <c r="O226" t="s">
        <v>54</v>
      </c>
      <c r="P226" t="s">
        <v>55</v>
      </c>
      <c r="Q226" t="s">
        <v>48</v>
      </c>
      <c r="R226" t="s">
        <v>314</v>
      </c>
      <c r="S226" s="1">
        <v>46023</v>
      </c>
      <c r="U226" t="s">
        <v>50</v>
      </c>
      <c r="X226" t="s">
        <v>51</v>
      </c>
      <c r="Y226" s="2">
        <v>0</v>
      </c>
      <c r="Z226" s="2">
        <v>15</v>
      </c>
      <c r="AA226">
        <v>1</v>
      </c>
      <c r="AB226" s="3">
        <v>1</v>
      </c>
      <c r="AC226" s="2">
        <v>15</v>
      </c>
      <c r="AD226" s="3">
        <v>0</v>
      </c>
      <c r="AE226" s="2">
        <v>0</v>
      </c>
      <c r="AF226" s="2">
        <v>15</v>
      </c>
      <c r="AK226">
        <v>6045667</v>
      </c>
    </row>
    <row r="227" spans="1:37" x14ac:dyDescent="0.25">
      <c r="A227" s="1">
        <v>46001</v>
      </c>
      <c r="B227" s="1">
        <v>46001</v>
      </c>
      <c r="C227" t="s">
        <v>38</v>
      </c>
      <c r="D227" t="s">
        <v>39</v>
      </c>
      <c r="E227" t="s">
        <v>40</v>
      </c>
      <c r="F227" t="s">
        <v>41</v>
      </c>
      <c r="G227" t="s">
        <v>42</v>
      </c>
      <c r="H227" t="s">
        <v>43</v>
      </c>
      <c r="I227">
        <v>102169966700</v>
      </c>
      <c r="J227" t="s">
        <v>410</v>
      </c>
      <c r="M227" t="s">
        <v>69</v>
      </c>
      <c r="O227" t="s">
        <v>332</v>
      </c>
      <c r="P227" t="s">
        <v>333</v>
      </c>
      <c r="Q227" t="s">
        <v>48</v>
      </c>
      <c r="R227" t="s">
        <v>319</v>
      </c>
      <c r="S227" s="1">
        <v>46023</v>
      </c>
      <c r="U227" t="s">
        <v>50</v>
      </c>
      <c r="X227" t="s">
        <v>51</v>
      </c>
      <c r="Y227" s="2">
        <v>0</v>
      </c>
      <c r="Z227" s="2">
        <v>25</v>
      </c>
      <c r="AA227">
        <v>1</v>
      </c>
      <c r="AB227" s="3">
        <v>1</v>
      </c>
      <c r="AC227" s="2">
        <v>25</v>
      </c>
      <c r="AD227" s="3">
        <v>0</v>
      </c>
      <c r="AE227" s="2">
        <v>0</v>
      </c>
      <c r="AF227" s="2">
        <v>25</v>
      </c>
      <c r="AK227">
        <v>6045668</v>
      </c>
    </row>
    <row r="228" spans="1:37" x14ac:dyDescent="0.25">
      <c r="A228" s="1">
        <v>46001</v>
      </c>
      <c r="B228" s="1">
        <v>46001</v>
      </c>
      <c r="C228" t="s">
        <v>38</v>
      </c>
      <c r="D228" t="s">
        <v>39</v>
      </c>
      <c r="E228" t="s">
        <v>40</v>
      </c>
      <c r="F228" t="s">
        <v>41</v>
      </c>
      <c r="G228" t="s">
        <v>42</v>
      </c>
      <c r="H228" t="s">
        <v>43</v>
      </c>
      <c r="I228">
        <v>102178830400</v>
      </c>
      <c r="J228" t="s">
        <v>411</v>
      </c>
      <c r="M228" t="s">
        <v>45</v>
      </c>
      <c r="O228" t="s">
        <v>54</v>
      </c>
      <c r="P228" t="s">
        <v>55</v>
      </c>
      <c r="Q228" t="s">
        <v>48</v>
      </c>
      <c r="R228" t="s">
        <v>319</v>
      </c>
      <c r="S228" s="1">
        <v>46023</v>
      </c>
      <c r="U228" t="s">
        <v>50</v>
      </c>
      <c r="X228" t="s">
        <v>51</v>
      </c>
      <c r="Y228" s="2">
        <v>0</v>
      </c>
      <c r="Z228" s="2">
        <v>25</v>
      </c>
      <c r="AA228">
        <v>1</v>
      </c>
      <c r="AB228" s="3">
        <v>1</v>
      </c>
      <c r="AC228" s="2">
        <v>25</v>
      </c>
      <c r="AD228" s="3">
        <v>0</v>
      </c>
      <c r="AE228" s="2">
        <v>0</v>
      </c>
      <c r="AF228" s="2">
        <v>25</v>
      </c>
      <c r="AK228">
        <v>6045678</v>
      </c>
    </row>
    <row r="229" spans="1:37" x14ac:dyDescent="0.25">
      <c r="A229" s="1">
        <v>46001</v>
      </c>
      <c r="B229" s="1">
        <v>46001</v>
      </c>
      <c r="C229" t="s">
        <v>38</v>
      </c>
      <c r="D229" t="s">
        <v>39</v>
      </c>
      <c r="E229" t="s">
        <v>40</v>
      </c>
      <c r="F229" t="s">
        <v>41</v>
      </c>
      <c r="G229" t="s">
        <v>42</v>
      </c>
      <c r="H229" t="s">
        <v>43</v>
      </c>
      <c r="I229">
        <v>102193378500</v>
      </c>
      <c r="J229" t="s">
        <v>412</v>
      </c>
      <c r="M229" t="s">
        <v>45</v>
      </c>
      <c r="O229" t="s">
        <v>356</v>
      </c>
      <c r="P229" t="s">
        <v>357</v>
      </c>
      <c r="Q229" t="s">
        <v>48</v>
      </c>
      <c r="R229" t="s">
        <v>314</v>
      </c>
      <c r="S229" s="1">
        <v>46023</v>
      </c>
      <c r="U229" t="s">
        <v>50</v>
      </c>
      <c r="X229" t="s">
        <v>51</v>
      </c>
      <c r="Y229" s="2">
        <v>0</v>
      </c>
      <c r="Z229" s="2">
        <v>15</v>
      </c>
      <c r="AA229">
        <v>1</v>
      </c>
      <c r="AB229" s="3">
        <v>1</v>
      </c>
      <c r="AC229" s="2">
        <v>15</v>
      </c>
      <c r="AD229" s="3">
        <v>0</v>
      </c>
      <c r="AE229" s="2">
        <v>0</v>
      </c>
      <c r="AF229" s="2">
        <v>15</v>
      </c>
      <c r="AK229">
        <v>6045692</v>
      </c>
    </row>
    <row r="230" spans="1:37" x14ac:dyDescent="0.25">
      <c r="A230" s="1">
        <v>46001</v>
      </c>
      <c r="B230" s="1">
        <v>46001</v>
      </c>
      <c r="C230" t="s">
        <v>38</v>
      </c>
      <c r="D230" t="s">
        <v>39</v>
      </c>
      <c r="E230" t="s">
        <v>40</v>
      </c>
      <c r="F230" t="s">
        <v>41</v>
      </c>
      <c r="G230" t="s">
        <v>42</v>
      </c>
      <c r="H230" t="s">
        <v>43</v>
      </c>
      <c r="I230">
        <v>102197198600</v>
      </c>
      <c r="J230" t="s">
        <v>413</v>
      </c>
      <c r="M230" t="s">
        <v>69</v>
      </c>
      <c r="O230" t="s">
        <v>332</v>
      </c>
      <c r="P230" t="s">
        <v>333</v>
      </c>
      <c r="Q230" t="s">
        <v>48</v>
      </c>
      <c r="R230" t="s">
        <v>314</v>
      </c>
      <c r="S230" s="1">
        <v>46023</v>
      </c>
      <c r="U230" t="s">
        <v>50</v>
      </c>
      <c r="X230" t="s">
        <v>51</v>
      </c>
      <c r="Y230" s="2">
        <v>0</v>
      </c>
      <c r="Z230" s="2">
        <v>15</v>
      </c>
      <c r="AA230">
        <v>1</v>
      </c>
      <c r="AB230" s="3">
        <v>1</v>
      </c>
      <c r="AC230" s="2">
        <v>15</v>
      </c>
      <c r="AD230" s="3">
        <v>0</v>
      </c>
      <c r="AE230" s="2">
        <v>0</v>
      </c>
      <c r="AF230" s="2">
        <v>15</v>
      </c>
      <c r="AK230">
        <v>6045701</v>
      </c>
    </row>
    <row r="231" spans="1:37" x14ac:dyDescent="0.25">
      <c r="A231" s="1">
        <v>46001</v>
      </c>
      <c r="B231" s="1">
        <v>46001</v>
      </c>
      <c r="C231" t="s">
        <v>38</v>
      </c>
      <c r="D231" t="s">
        <v>39</v>
      </c>
      <c r="E231" t="s">
        <v>40</v>
      </c>
      <c r="F231" t="s">
        <v>41</v>
      </c>
      <c r="G231" t="s">
        <v>42</v>
      </c>
      <c r="H231" t="s">
        <v>43</v>
      </c>
      <c r="I231">
        <v>102200813600</v>
      </c>
      <c r="J231" t="s">
        <v>414</v>
      </c>
      <c r="M231" t="s">
        <v>45</v>
      </c>
      <c r="O231" t="s">
        <v>46</v>
      </c>
      <c r="P231" t="s">
        <v>47</v>
      </c>
      <c r="Q231" t="s">
        <v>48</v>
      </c>
      <c r="R231" t="s">
        <v>319</v>
      </c>
      <c r="S231" s="1">
        <v>46023</v>
      </c>
      <c r="U231" t="s">
        <v>50</v>
      </c>
      <c r="X231" t="s">
        <v>51</v>
      </c>
      <c r="Y231" s="2">
        <v>0</v>
      </c>
      <c r="Z231" s="2">
        <v>25</v>
      </c>
      <c r="AA231">
        <v>1</v>
      </c>
      <c r="AB231" s="3">
        <v>1</v>
      </c>
      <c r="AC231" s="2">
        <v>25</v>
      </c>
      <c r="AD231" s="3">
        <v>0</v>
      </c>
      <c r="AE231" s="2">
        <v>0</v>
      </c>
      <c r="AF231" s="2">
        <v>25</v>
      </c>
      <c r="AK231">
        <v>6045712</v>
      </c>
    </row>
    <row r="232" spans="1:37" x14ac:dyDescent="0.25">
      <c r="A232" s="1">
        <v>46001</v>
      </c>
      <c r="B232" s="1">
        <v>46001</v>
      </c>
      <c r="C232" t="s">
        <v>38</v>
      </c>
      <c r="D232" t="s">
        <v>39</v>
      </c>
      <c r="E232" t="s">
        <v>40</v>
      </c>
      <c r="F232" t="s">
        <v>41</v>
      </c>
      <c r="G232" t="s">
        <v>42</v>
      </c>
      <c r="H232" t="s">
        <v>43</v>
      </c>
      <c r="I232">
        <v>102207681300</v>
      </c>
      <c r="J232" t="s">
        <v>415</v>
      </c>
      <c r="M232" t="s">
        <v>69</v>
      </c>
      <c r="O232" t="s">
        <v>332</v>
      </c>
      <c r="P232" t="s">
        <v>333</v>
      </c>
      <c r="Q232" t="s">
        <v>48</v>
      </c>
      <c r="R232" t="s">
        <v>314</v>
      </c>
      <c r="S232" s="1">
        <v>46023</v>
      </c>
      <c r="U232" t="s">
        <v>50</v>
      </c>
      <c r="X232" t="s">
        <v>51</v>
      </c>
      <c r="Y232" s="2">
        <v>0</v>
      </c>
      <c r="Z232" s="2">
        <v>15</v>
      </c>
      <c r="AA232">
        <v>1</v>
      </c>
      <c r="AB232" s="3">
        <v>1</v>
      </c>
      <c r="AC232" s="2">
        <v>15</v>
      </c>
      <c r="AD232" s="3">
        <v>0</v>
      </c>
      <c r="AE232" s="2">
        <v>0</v>
      </c>
      <c r="AF232" s="2">
        <v>15</v>
      </c>
      <c r="AK232">
        <v>6045743</v>
      </c>
    </row>
    <row r="233" spans="1:37" x14ac:dyDescent="0.25">
      <c r="A233" s="1">
        <v>46001</v>
      </c>
      <c r="B233" s="1">
        <v>46001</v>
      </c>
      <c r="C233" t="s">
        <v>38</v>
      </c>
      <c r="D233" t="s">
        <v>39</v>
      </c>
      <c r="E233" t="s">
        <v>40</v>
      </c>
      <c r="F233" t="s">
        <v>41</v>
      </c>
      <c r="G233" t="s">
        <v>42</v>
      </c>
      <c r="H233" t="s">
        <v>43</v>
      </c>
      <c r="I233">
        <v>102207683300</v>
      </c>
      <c r="J233" t="s">
        <v>416</v>
      </c>
      <c r="M233" t="s">
        <v>69</v>
      </c>
      <c r="O233" t="s">
        <v>332</v>
      </c>
      <c r="P233" t="s">
        <v>333</v>
      </c>
      <c r="Q233" t="s">
        <v>48</v>
      </c>
      <c r="R233" t="s">
        <v>314</v>
      </c>
      <c r="S233" s="1">
        <v>46023</v>
      </c>
      <c r="U233" t="s">
        <v>50</v>
      </c>
      <c r="X233" t="s">
        <v>51</v>
      </c>
      <c r="Y233" s="2">
        <v>0</v>
      </c>
      <c r="Z233" s="2">
        <v>15</v>
      </c>
      <c r="AA233">
        <v>1</v>
      </c>
      <c r="AB233" s="3">
        <v>1</v>
      </c>
      <c r="AC233" s="2">
        <v>15</v>
      </c>
      <c r="AD233" s="3">
        <v>0</v>
      </c>
      <c r="AE233" s="2">
        <v>0</v>
      </c>
      <c r="AF233" s="2">
        <v>15</v>
      </c>
      <c r="AK233">
        <v>6045744</v>
      </c>
    </row>
    <row r="234" spans="1:37" x14ac:dyDescent="0.25">
      <c r="A234" s="1">
        <v>46001</v>
      </c>
      <c r="B234" s="1">
        <v>46001</v>
      </c>
      <c r="C234" t="s">
        <v>38</v>
      </c>
      <c r="D234" t="s">
        <v>39</v>
      </c>
      <c r="E234" t="s">
        <v>40</v>
      </c>
      <c r="F234" t="s">
        <v>41</v>
      </c>
      <c r="G234" t="s">
        <v>42</v>
      </c>
      <c r="H234" t="s">
        <v>43</v>
      </c>
      <c r="I234">
        <v>102207795000</v>
      </c>
      <c r="J234" t="s">
        <v>417</v>
      </c>
      <c r="M234" t="s">
        <v>69</v>
      </c>
      <c r="O234" t="s">
        <v>332</v>
      </c>
      <c r="P234" t="s">
        <v>333</v>
      </c>
      <c r="Q234" t="s">
        <v>48</v>
      </c>
      <c r="R234" t="s">
        <v>314</v>
      </c>
      <c r="S234" s="1">
        <v>46023</v>
      </c>
      <c r="U234" t="s">
        <v>50</v>
      </c>
      <c r="X234" t="s">
        <v>51</v>
      </c>
      <c r="Y234" s="2">
        <v>0</v>
      </c>
      <c r="Z234" s="2">
        <v>15</v>
      </c>
      <c r="AA234">
        <v>1</v>
      </c>
      <c r="AB234" s="3">
        <v>1</v>
      </c>
      <c r="AC234" s="2">
        <v>15</v>
      </c>
      <c r="AD234" s="3">
        <v>0</v>
      </c>
      <c r="AE234" s="2">
        <v>0</v>
      </c>
      <c r="AF234" s="2">
        <v>15</v>
      </c>
      <c r="AK234">
        <v>6045745</v>
      </c>
    </row>
    <row r="235" spans="1:37" x14ac:dyDescent="0.25">
      <c r="A235" s="1">
        <v>46001</v>
      </c>
      <c r="B235" s="1">
        <v>46001</v>
      </c>
      <c r="C235" t="s">
        <v>38</v>
      </c>
      <c r="D235" t="s">
        <v>39</v>
      </c>
      <c r="E235" t="s">
        <v>40</v>
      </c>
      <c r="F235" t="s">
        <v>41</v>
      </c>
      <c r="G235" t="s">
        <v>42</v>
      </c>
      <c r="H235" t="s">
        <v>43</v>
      </c>
      <c r="I235">
        <v>102207860900</v>
      </c>
      <c r="J235" t="s">
        <v>418</v>
      </c>
      <c r="M235" t="s">
        <v>69</v>
      </c>
      <c r="O235" t="s">
        <v>332</v>
      </c>
      <c r="P235" t="s">
        <v>333</v>
      </c>
      <c r="Q235" t="s">
        <v>48</v>
      </c>
      <c r="R235" t="s">
        <v>314</v>
      </c>
      <c r="S235" s="1">
        <v>46023</v>
      </c>
      <c r="U235" t="s">
        <v>50</v>
      </c>
      <c r="X235" t="s">
        <v>51</v>
      </c>
      <c r="Y235" s="2">
        <v>0</v>
      </c>
      <c r="Z235" s="2">
        <v>15</v>
      </c>
      <c r="AA235">
        <v>1</v>
      </c>
      <c r="AB235" s="3">
        <v>1</v>
      </c>
      <c r="AC235" s="2">
        <v>15</v>
      </c>
      <c r="AD235" s="3">
        <v>0</v>
      </c>
      <c r="AE235" s="2">
        <v>0</v>
      </c>
      <c r="AF235" s="2">
        <v>15</v>
      </c>
      <c r="AK235">
        <v>6045747</v>
      </c>
    </row>
    <row r="236" spans="1:37" x14ac:dyDescent="0.25">
      <c r="A236" s="1">
        <v>46001</v>
      </c>
      <c r="B236" s="1">
        <v>46001</v>
      </c>
      <c r="C236" t="s">
        <v>38</v>
      </c>
      <c r="D236" t="s">
        <v>39</v>
      </c>
      <c r="E236" t="s">
        <v>40</v>
      </c>
      <c r="F236" t="s">
        <v>41</v>
      </c>
      <c r="G236" t="s">
        <v>42</v>
      </c>
      <c r="H236" t="s">
        <v>43</v>
      </c>
      <c r="I236">
        <v>102208803900</v>
      </c>
      <c r="J236" t="s">
        <v>419</v>
      </c>
      <c r="M236" t="s">
        <v>69</v>
      </c>
      <c r="O236" t="s">
        <v>420</v>
      </c>
      <c r="P236" t="s">
        <v>421</v>
      </c>
      <c r="Q236" t="s">
        <v>48</v>
      </c>
      <c r="R236" t="s">
        <v>319</v>
      </c>
      <c r="S236" s="1">
        <v>46023</v>
      </c>
      <c r="U236" t="s">
        <v>50</v>
      </c>
      <c r="X236" t="s">
        <v>51</v>
      </c>
      <c r="Y236" s="2">
        <v>0</v>
      </c>
      <c r="Z236" s="2">
        <v>25</v>
      </c>
      <c r="AA236">
        <v>1</v>
      </c>
      <c r="AB236" s="3">
        <v>1</v>
      </c>
      <c r="AC236" s="2">
        <v>25</v>
      </c>
      <c r="AD236" s="3">
        <v>0</v>
      </c>
      <c r="AE236" s="2">
        <v>0</v>
      </c>
      <c r="AF236" s="2">
        <v>25</v>
      </c>
      <c r="AK236">
        <v>6045757</v>
      </c>
    </row>
    <row r="237" spans="1:37" x14ac:dyDescent="0.25">
      <c r="A237" s="1">
        <v>46001</v>
      </c>
      <c r="B237" s="1">
        <v>46001</v>
      </c>
      <c r="C237" t="s">
        <v>38</v>
      </c>
      <c r="D237" t="s">
        <v>39</v>
      </c>
      <c r="E237" t="s">
        <v>40</v>
      </c>
      <c r="F237" t="s">
        <v>41</v>
      </c>
      <c r="G237" t="s">
        <v>42</v>
      </c>
      <c r="H237" t="s">
        <v>43</v>
      </c>
      <c r="I237">
        <v>102211743600</v>
      </c>
      <c r="J237" t="s">
        <v>422</v>
      </c>
      <c r="M237" t="s">
        <v>45</v>
      </c>
      <c r="O237" t="s">
        <v>141</v>
      </c>
      <c r="P237" t="s">
        <v>142</v>
      </c>
      <c r="Q237" t="s">
        <v>48</v>
      </c>
      <c r="R237" t="s">
        <v>314</v>
      </c>
      <c r="S237" s="1">
        <v>46023</v>
      </c>
      <c r="U237" t="s">
        <v>50</v>
      </c>
      <c r="X237" t="s">
        <v>51</v>
      </c>
      <c r="Y237" s="2">
        <v>0</v>
      </c>
      <c r="Z237" s="2">
        <v>15</v>
      </c>
      <c r="AA237">
        <v>1</v>
      </c>
      <c r="AB237" s="3">
        <v>1</v>
      </c>
      <c r="AC237" s="2">
        <v>15</v>
      </c>
      <c r="AD237" s="3">
        <v>0</v>
      </c>
      <c r="AE237" s="2">
        <v>0</v>
      </c>
      <c r="AF237" s="2">
        <v>15</v>
      </c>
      <c r="AK237">
        <v>6045779</v>
      </c>
    </row>
    <row r="238" spans="1:37" x14ac:dyDescent="0.25">
      <c r="A238" s="1">
        <v>46001</v>
      </c>
      <c r="B238" s="1">
        <v>46001</v>
      </c>
      <c r="C238" t="s">
        <v>38</v>
      </c>
      <c r="D238" t="s">
        <v>39</v>
      </c>
      <c r="E238" t="s">
        <v>40</v>
      </c>
      <c r="F238" t="s">
        <v>41</v>
      </c>
      <c r="G238" t="s">
        <v>42</v>
      </c>
      <c r="H238" t="s">
        <v>43</v>
      </c>
      <c r="I238">
        <v>102211980800</v>
      </c>
      <c r="J238" t="s">
        <v>423</v>
      </c>
      <c r="M238" t="s">
        <v>69</v>
      </c>
      <c r="O238" t="s">
        <v>332</v>
      </c>
      <c r="P238" t="s">
        <v>333</v>
      </c>
      <c r="Q238" t="s">
        <v>48</v>
      </c>
      <c r="R238" t="s">
        <v>314</v>
      </c>
      <c r="S238" s="1">
        <v>46023</v>
      </c>
      <c r="U238" t="s">
        <v>50</v>
      </c>
      <c r="X238" t="s">
        <v>51</v>
      </c>
      <c r="Y238" s="2">
        <v>0</v>
      </c>
      <c r="Z238" s="2">
        <v>15</v>
      </c>
      <c r="AA238">
        <v>1</v>
      </c>
      <c r="AB238" s="3">
        <v>1</v>
      </c>
      <c r="AC238" s="2">
        <v>15</v>
      </c>
      <c r="AD238" s="3">
        <v>0</v>
      </c>
      <c r="AE238" s="2">
        <v>0</v>
      </c>
      <c r="AF238" s="2">
        <v>15</v>
      </c>
      <c r="AK238">
        <v>6045781</v>
      </c>
    </row>
    <row r="239" spans="1:37" x14ac:dyDescent="0.25">
      <c r="A239" s="1">
        <v>46001</v>
      </c>
      <c r="B239" s="1">
        <v>46001</v>
      </c>
      <c r="C239" t="s">
        <v>38</v>
      </c>
      <c r="D239" t="s">
        <v>39</v>
      </c>
      <c r="E239" t="s">
        <v>40</v>
      </c>
      <c r="F239" t="s">
        <v>41</v>
      </c>
      <c r="G239" t="s">
        <v>42</v>
      </c>
      <c r="H239" t="s">
        <v>43</v>
      </c>
      <c r="I239">
        <v>102213387100</v>
      </c>
      <c r="J239" t="s">
        <v>424</v>
      </c>
      <c r="M239" t="s">
        <v>69</v>
      </c>
      <c r="O239" t="s">
        <v>332</v>
      </c>
      <c r="P239" t="s">
        <v>333</v>
      </c>
      <c r="Q239" t="s">
        <v>48</v>
      </c>
      <c r="R239" t="s">
        <v>314</v>
      </c>
      <c r="S239" s="1">
        <v>46023</v>
      </c>
      <c r="U239" t="s">
        <v>50</v>
      </c>
      <c r="X239" t="s">
        <v>51</v>
      </c>
      <c r="Y239" s="2">
        <v>0</v>
      </c>
      <c r="Z239" s="2">
        <v>15</v>
      </c>
      <c r="AA239">
        <v>1</v>
      </c>
      <c r="AB239" s="3">
        <v>1</v>
      </c>
      <c r="AC239" s="2">
        <v>15</v>
      </c>
      <c r="AD239" s="3">
        <v>0</v>
      </c>
      <c r="AE239" s="2">
        <v>0</v>
      </c>
      <c r="AF239" s="2">
        <v>15</v>
      </c>
      <c r="AK239">
        <v>6045785</v>
      </c>
    </row>
    <row r="240" spans="1:37" x14ac:dyDescent="0.25">
      <c r="A240" s="1">
        <v>46001</v>
      </c>
      <c r="B240" s="1">
        <v>46001</v>
      </c>
      <c r="C240" t="s">
        <v>38</v>
      </c>
      <c r="D240" t="s">
        <v>39</v>
      </c>
      <c r="E240" t="s">
        <v>40</v>
      </c>
      <c r="F240" t="s">
        <v>41</v>
      </c>
      <c r="G240" t="s">
        <v>42</v>
      </c>
      <c r="H240" t="s">
        <v>43</v>
      </c>
      <c r="I240">
        <v>102213760100</v>
      </c>
      <c r="J240" t="s">
        <v>425</v>
      </c>
      <c r="M240" t="s">
        <v>69</v>
      </c>
      <c r="O240" t="s">
        <v>332</v>
      </c>
      <c r="P240" t="s">
        <v>333</v>
      </c>
      <c r="Q240" t="s">
        <v>48</v>
      </c>
      <c r="R240" t="s">
        <v>314</v>
      </c>
      <c r="S240" s="1">
        <v>46023</v>
      </c>
      <c r="U240" t="s">
        <v>50</v>
      </c>
      <c r="X240" t="s">
        <v>51</v>
      </c>
      <c r="Y240" s="2">
        <v>0</v>
      </c>
      <c r="Z240" s="2">
        <v>15</v>
      </c>
      <c r="AA240">
        <v>1</v>
      </c>
      <c r="AB240" s="3">
        <v>1</v>
      </c>
      <c r="AC240" s="2">
        <v>15</v>
      </c>
      <c r="AD240" s="3">
        <v>0</v>
      </c>
      <c r="AE240" s="2">
        <v>0</v>
      </c>
      <c r="AF240" s="2">
        <v>15</v>
      </c>
      <c r="AK240">
        <v>6045788</v>
      </c>
    </row>
    <row r="241" spans="1:37" x14ac:dyDescent="0.25">
      <c r="A241" s="1">
        <v>46001</v>
      </c>
      <c r="B241" s="1">
        <v>46001</v>
      </c>
      <c r="C241" t="s">
        <v>38</v>
      </c>
      <c r="D241" t="s">
        <v>39</v>
      </c>
      <c r="E241" t="s">
        <v>40</v>
      </c>
      <c r="F241" t="s">
        <v>41</v>
      </c>
      <c r="G241" t="s">
        <v>42</v>
      </c>
      <c r="H241" t="s">
        <v>43</v>
      </c>
      <c r="I241">
        <v>102214212900</v>
      </c>
      <c r="J241" t="s">
        <v>426</v>
      </c>
      <c r="M241" t="s">
        <v>69</v>
      </c>
      <c r="O241" t="s">
        <v>70</v>
      </c>
      <c r="P241" t="s">
        <v>71</v>
      </c>
      <c r="Q241" t="s">
        <v>48</v>
      </c>
      <c r="R241" t="s">
        <v>319</v>
      </c>
      <c r="S241" s="1">
        <v>46023</v>
      </c>
      <c r="U241" t="s">
        <v>50</v>
      </c>
      <c r="X241" t="s">
        <v>51</v>
      </c>
      <c r="Y241" s="2">
        <v>0</v>
      </c>
      <c r="Z241" s="2">
        <v>25</v>
      </c>
      <c r="AA241">
        <v>1</v>
      </c>
      <c r="AB241" s="3">
        <v>1</v>
      </c>
      <c r="AC241" s="2">
        <v>25</v>
      </c>
      <c r="AD241" s="3">
        <v>0</v>
      </c>
      <c r="AE241" s="2">
        <v>0</v>
      </c>
      <c r="AF241" s="2">
        <v>25</v>
      </c>
      <c r="AK241">
        <v>6045793</v>
      </c>
    </row>
    <row r="242" spans="1:37" x14ac:dyDescent="0.25">
      <c r="A242" s="1">
        <v>46001</v>
      </c>
      <c r="B242" s="1">
        <v>46001</v>
      </c>
      <c r="C242" t="s">
        <v>38</v>
      </c>
      <c r="D242" t="s">
        <v>39</v>
      </c>
      <c r="E242" t="s">
        <v>40</v>
      </c>
      <c r="F242" t="s">
        <v>41</v>
      </c>
      <c r="G242" t="s">
        <v>42</v>
      </c>
      <c r="H242" t="s">
        <v>43</v>
      </c>
      <c r="I242">
        <v>102214775400</v>
      </c>
      <c r="J242" t="s">
        <v>427</v>
      </c>
      <c r="M242" t="s">
        <v>428</v>
      </c>
      <c r="O242" t="s">
        <v>232</v>
      </c>
      <c r="P242" t="s">
        <v>233</v>
      </c>
      <c r="Q242" t="s">
        <v>48</v>
      </c>
      <c r="R242" t="s">
        <v>314</v>
      </c>
      <c r="S242" s="1">
        <v>46023</v>
      </c>
      <c r="U242" t="s">
        <v>50</v>
      </c>
      <c r="X242" t="s">
        <v>51</v>
      </c>
      <c r="Y242" s="2">
        <v>0</v>
      </c>
      <c r="Z242" s="2">
        <v>15</v>
      </c>
      <c r="AA242">
        <v>1</v>
      </c>
      <c r="AB242" s="3">
        <v>1</v>
      </c>
      <c r="AC242" s="2">
        <v>15</v>
      </c>
      <c r="AD242" s="3">
        <v>0</v>
      </c>
      <c r="AE242" s="2">
        <v>0</v>
      </c>
      <c r="AF242" s="2">
        <v>15</v>
      </c>
      <c r="AK242">
        <v>6045798</v>
      </c>
    </row>
    <row r="243" spans="1:37" x14ac:dyDescent="0.25">
      <c r="A243" s="1">
        <v>46001</v>
      </c>
      <c r="B243" s="1">
        <v>46001</v>
      </c>
      <c r="C243" t="s">
        <v>38</v>
      </c>
      <c r="D243" t="s">
        <v>39</v>
      </c>
      <c r="E243" t="s">
        <v>40</v>
      </c>
      <c r="F243" t="s">
        <v>41</v>
      </c>
      <c r="G243" t="s">
        <v>42</v>
      </c>
      <c r="H243" t="s">
        <v>43</v>
      </c>
      <c r="I243">
        <v>102215019700</v>
      </c>
      <c r="J243" t="s">
        <v>429</v>
      </c>
      <c r="M243" t="s">
        <v>428</v>
      </c>
      <c r="O243" t="s">
        <v>232</v>
      </c>
      <c r="P243" t="s">
        <v>233</v>
      </c>
      <c r="Q243" t="s">
        <v>48</v>
      </c>
      <c r="R243" t="s">
        <v>314</v>
      </c>
      <c r="S243" s="1">
        <v>46023</v>
      </c>
      <c r="U243" t="s">
        <v>50</v>
      </c>
      <c r="X243" t="s">
        <v>51</v>
      </c>
      <c r="Y243" s="2">
        <v>0</v>
      </c>
      <c r="Z243" s="2">
        <v>15</v>
      </c>
      <c r="AA243">
        <v>1</v>
      </c>
      <c r="AB243" s="3">
        <v>1</v>
      </c>
      <c r="AC243" s="2">
        <v>15</v>
      </c>
      <c r="AD243" s="3">
        <v>0</v>
      </c>
      <c r="AE243" s="2">
        <v>0</v>
      </c>
      <c r="AF243" s="2">
        <v>15</v>
      </c>
      <c r="AK243">
        <v>6045800</v>
      </c>
    </row>
    <row r="244" spans="1:37" x14ac:dyDescent="0.25">
      <c r="A244" s="1">
        <v>46001</v>
      </c>
      <c r="B244" s="1">
        <v>46001</v>
      </c>
      <c r="C244" t="s">
        <v>38</v>
      </c>
      <c r="D244" t="s">
        <v>39</v>
      </c>
      <c r="E244" t="s">
        <v>40</v>
      </c>
      <c r="F244" t="s">
        <v>41</v>
      </c>
      <c r="G244" t="s">
        <v>42</v>
      </c>
      <c r="H244" t="s">
        <v>43</v>
      </c>
      <c r="I244">
        <v>102217517700</v>
      </c>
      <c r="J244" t="s">
        <v>430</v>
      </c>
      <c r="M244" t="s">
        <v>69</v>
      </c>
      <c r="O244" t="s">
        <v>332</v>
      </c>
      <c r="P244" t="s">
        <v>333</v>
      </c>
      <c r="Q244" t="s">
        <v>48</v>
      </c>
      <c r="R244" t="s">
        <v>314</v>
      </c>
      <c r="S244" s="1">
        <v>46023</v>
      </c>
      <c r="U244" t="s">
        <v>50</v>
      </c>
      <c r="X244" t="s">
        <v>51</v>
      </c>
      <c r="Y244" s="2">
        <v>0</v>
      </c>
      <c r="Z244" s="2">
        <v>15</v>
      </c>
      <c r="AA244">
        <v>1</v>
      </c>
      <c r="AB244" s="3">
        <v>1</v>
      </c>
      <c r="AC244" s="2">
        <v>15</v>
      </c>
      <c r="AD244" s="3">
        <v>0</v>
      </c>
      <c r="AE244" s="2">
        <v>0</v>
      </c>
      <c r="AF244" s="2">
        <v>15</v>
      </c>
      <c r="AK244">
        <v>6045826</v>
      </c>
    </row>
    <row r="245" spans="1:37" x14ac:dyDescent="0.25">
      <c r="A245" s="1">
        <v>46001</v>
      </c>
      <c r="B245" s="1">
        <v>46001</v>
      </c>
      <c r="C245" t="s">
        <v>38</v>
      </c>
      <c r="D245" t="s">
        <v>39</v>
      </c>
      <c r="E245" t="s">
        <v>40</v>
      </c>
      <c r="F245" t="s">
        <v>41</v>
      </c>
      <c r="G245" t="s">
        <v>42</v>
      </c>
      <c r="H245" t="s">
        <v>43</v>
      </c>
      <c r="I245">
        <v>102218928100</v>
      </c>
      <c r="J245" t="s">
        <v>431</v>
      </c>
      <c r="M245" t="s">
        <v>396</v>
      </c>
      <c r="O245" t="s">
        <v>63</v>
      </c>
      <c r="P245" t="s">
        <v>64</v>
      </c>
      <c r="Q245" t="s">
        <v>48</v>
      </c>
      <c r="R245" t="s">
        <v>319</v>
      </c>
      <c r="S245" s="1">
        <v>46023</v>
      </c>
      <c r="U245" t="s">
        <v>50</v>
      </c>
      <c r="X245" t="s">
        <v>51</v>
      </c>
      <c r="Y245" s="2">
        <v>0</v>
      </c>
      <c r="Z245" s="2">
        <v>25</v>
      </c>
      <c r="AA245">
        <v>1</v>
      </c>
      <c r="AB245" s="3">
        <v>1</v>
      </c>
      <c r="AC245" s="2">
        <v>25</v>
      </c>
      <c r="AD245" s="3">
        <v>0</v>
      </c>
      <c r="AE245" s="2">
        <v>0</v>
      </c>
      <c r="AF245" s="2">
        <v>25</v>
      </c>
      <c r="AK245">
        <v>6045835</v>
      </c>
    </row>
    <row r="246" spans="1:37" x14ac:dyDescent="0.25">
      <c r="A246" s="1">
        <v>46001</v>
      </c>
      <c r="B246" s="1">
        <v>46001</v>
      </c>
      <c r="C246" t="s">
        <v>38</v>
      </c>
      <c r="D246" t="s">
        <v>39</v>
      </c>
      <c r="E246" t="s">
        <v>40</v>
      </c>
      <c r="F246" t="s">
        <v>41</v>
      </c>
      <c r="G246" t="s">
        <v>42</v>
      </c>
      <c r="H246" t="s">
        <v>43</v>
      </c>
      <c r="I246">
        <v>102219825600</v>
      </c>
      <c r="J246" t="s">
        <v>432</v>
      </c>
      <c r="M246" t="s">
        <v>69</v>
      </c>
      <c r="O246" t="s">
        <v>332</v>
      </c>
      <c r="P246" t="s">
        <v>333</v>
      </c>
      <c r="Q246" t="s">
        <v>48</v>
      </c>
      <c r="R246" t="s">
        <v>314</v>
      </c>
      <c r="S246" s="1">
        <v>46023</v>
      </c>
      <c r="U246" t="s">
        <v>50</v>
      </c>
      <c r="X246" t="s">
        <v>51</v>
      </c>
      <c r="Y246" s="2">
        <v>0</v>
      </c>
      <c r="Z246" s="2">
        <v>15</v>
      </c>
      <c r="AA246">
        <v>1</v>
      </c>
      <c r="AB246" s="3">
        <v>1</v>
      </c>
      <c r="AC246" s="2">
        <v>15</v>
      </c>
      <c r="AD246" s="3">
        <v>0</v>
      </c>
      <c r="AE246" s="2">
        <v>0</v>
      </c>
      <c r="AF246" s="2">
        <v>15</v>
      </c>
      <c r="AK246">
        <v>6045843</v>
      </c>
    </row>
    <row r="247" spans="1:37" x14ac:dyDescent="0.25">
      <c r="A247" s="1">
        <v>46001</v>
      </c>
      <c r="B247" s="1">
        <v>46001</v>
      </c>
      <c r="C247" t="s">
        <v>38</v>
      </c>
      <c r="D247" t="s">
        <v>39</v>
      </c>
      <c r="E247" t="s">
        <v>40</v>
      </c>
      <c r="F247" t="s">
        <v>41</v>
      </c>
      <c r="G247" t="s">
        <v>42</v>
      </c>
      <c r="H247" t="s">
        <v>43</v>
      </c>
      <c r="I247">
        <v>102220427000</v>
      </c>
      <c r="J247" t="s">
        <v>433</v>
      </c>
      <c r="M247" t="s">
        <v>45</v>
      </c>
      <c r="O247" t="s">
        <v>141</v>
      </c>
      <c r="P247" t="s">
        <v>142</v>
      </c>
      <c r="Q247" t="s">
        <v>48</v>
      </c>
      <c r="R247" t="s">
        <v>314</v>
      </c>
      <c r="S247" s="1">
        <v>46023</v>
      </c>
      <c r="U247" t="s">
        <v>50</v>
      </c>
      <c r="X247" t="s">
        <v>51</v>
      </c>
      <c r="Y247" s="2">
        <v>0</v>
      </c>
      <c r="Z247" s="2">
        <v>15</v>
      </c>
      <c r="AA247">
        <v>1</v>
      </c>
      <c r="AB247" s="3">
        <v>1</v>
      </c>
      <c r="AC247" s="2">
        <v>15</v>
      </c>
      <c r="AD247" s="3">
        <v>0</v>
      </c>
      <c r="AE247" s="2">
        <v>0</v>
      </c>
      <c r="AF247" s="2">
        <v>15</v>
      </c>
      <c r="AK247">
        <v>6045854</v>
      </c>
    </row>
    <row r="248" spans="1:37" x14ac:dyDescent="0.25">
      <c r="A248" s="1">
        <v>46001</v>
      </c>
      <c r="B248" s="1">
        <v>46001</v>
      </c>
      <c r="C248" t="s">
        <v>38</v>
      </c>
      <c r="D248" t="s">
        <v>39</v>
      </c>
      <c r="E248" t="s">
        <v>40</v>
      </c>
      <c r="F248" t="s">
        <v>41</v>
      </c>
      <c r="G248" t="s">
        <v>42</v>
      </c>
      <c r="H248" t="s">
        <v>43</v>
      </c>
      <c r="I248">
        <v>102220532200</v>
      </c>
      <c r="J248" t="s">
        <v>434</v>
      </c>
      <c r="M248" t="s">
        <v>45</v>
      </c>
      <c r="O248" t="s">
        <v>356</v>
      </c>
      <c r="P248" t="s">
        <v>357</v>
      </c>
      <c r="Q248" t="s">
        <v>48</v>
      </c>
      <c r="R248" t="s">
        <v>314</v>
      </c>
      <c r="S248" s="1">
        <v>46023</v>
      </c>
      <c r="U248" t="s">
        <v>50</v>
      </c>
      <c r="X248" t="s">
        <v>51</v>
      </c>
      <c r="Y248" s="2">
        <v>0</v>
      </c>
      <c r="Z248" s="2">
        <v>15</v>
      </c>
      <c r="AA248">
        <v>1</v>
      </c>
      <c r="AB248" s="3">
        <v>1</v>
      </c>
      <c r="AC248" s="2">
        <v>15</v>
      </c>
      <c r="AD248" s="3">
        <v>0</v>
      </c>
      <c r="AE248" s="2">
        <v>0</v>
      </c>
      <c r="AF248" s="2">
        <v>15</v>
      </c>
      <c r="AK248">
        <v>6045857</v>
      </c>
    </row>
    <row r="249" spans="1:37" x14ac:dyDescent="0.25">
      <c r="A249" s="1">
        <v>46001</v>
      </c>
      <c r="B249" s="1">
        <v>46001</v>
      </c>
      <c r="C249" t="s">
        <v>38</v>
      </c>
      <c r="D249" t="s">
        <v>39</v>
      </c>
      <c r="E249" t="s">
        <v>40</v>
      </c>
      <c r="F249" t="s">
        <v>41</v>
      </c>
      <c r="G249" t="s">
        <v>42</v>
      </c>
      <c r="H249" t="s">
        <v>43</v>
      </c>
      <c r="I249">
        <v>102220558600</v>
      </c>
      <c r="J249" t="s">
        <v>435</v>
      </c>
      <c r="M249" t="s">
        <v>45</v>
      </c>
      <c r="O249" t="s">
        <v>356</v>
      </c>
      <c r="P249" t="s">
        <v>357</v>
      </c>
      <c r="Q249" t="s">
        <v>48</v>
      </c>
      <c r="R249" t="s">
        <v>314</v>
      </c>
      <c r="S249" s="1">
        <v>46023</v>
      </c>
      <c r="U249" t="s">
        <v>50</v>
      </c>
      <c r="X249" t="s">
        <v>51</v>
      </c>
      <c r="Y249" s="2">
        <v>0</v>
      </c>
      <c r="Z249" s="2">
        <v>15</v>
      </c>
      <c r="AA249">
        <v>1</v>
      </c>
      <c r="AB249" s="3">
        <v>1</v>
      </c>
      <c r="AC249" s="2">
        <v>15</v>
      </c>
      <c r="AD249" s="3">
        <v>0</v>
      </c>
      <c r="AE249" s="2">
        <v>0</v>
      </c>
      <c r="AF249" s="2">
        <v>15</v>
      </c>
      <c r="AK249">
        <v>6045858</v>
      </c>
    </row>
    <row r="250" spans="1:37" x14ac:dyDescent="0.25">
      <c r="A250" s="1">
        <v>46001</v>
      </c>
      <c r="B250" s="1">
        <v>46001</v>
      </c>
      <c r="C250" t="s">
        <v>38</v>
      </c>
      <c r="D250" t="s">
        <v>39</v>
      </c>
      <c r="E250" t="s">
        <v>40</v>
      </c>
      <c r="F250" t="s">
        <v>41</v>
      </c>
      <c r="G250" t="s">
        <v>42</v>
      </c>
      <c r="H250" t="s">
        <v>43</v>
      </c>
      <c r="I250">
        <v>102220569300</v>
      </c>
      <c r="J250" t="s">
        <v>436</v>
      </c>
      <c r="M250" t="s">
        <v>45</v>
      </c>
      <c r="O250" t="s">
        <v>66</v>
      </c>
      <c r="P250" t="s">
        <v>67</v>
      </c>
      <c r="Q250" t="s">
        <v>48</v>
      </c>
      <c r="R250" t="s">
        <v>314</v>
      </c>
      <c r="S250" s="1">
        <v>46023</v>
      </c>
      <c r="U250" t="s">
        <v>50</v>
      </c>
      <c r="X250" t="s">
        <v>51</v>
      </c>
      <c r="Y250" s="2">
        <v>0</v>
      </c>
      <c r="Z250" s="2">
        <v>15</v>
      </c>
      <c r="AA250">
        <v>1</v>
      </c>
      <c r="AB250" s="3">
        <v>1</v>
      </c>
      <c r="AC250" s="2">
        <v>15</v>
      </c>
      <c r="AD250" s="3">
        <v>0</v>
      </c>
      <c r="AE250" s="2">
        <v>0</v>
      </c>
      <c r="AF250" s="2">
        <v>15</v>
      </c>
      <c r="AK250">
        <v>6045859</v>
      </c>
    </row>
    <row r="251" spans="1:37" x14ac:dyDescent="0.25">
      <c r="A251" s="1">
        <v>46001</v>
      </c>
      <c r="B251" s="1">
        <v>46001</v>
      </c>
      <c r="C251" t="s">
        <v>38</v>
      </c>
      <c r="D251" t="s">
        <v>39</v>
      </c>
      <c r="E251" t="s">
        <v>40</v>
      </c>
      <c r="F251" t="s">
        <v>41</v>
      </c>
      <c r="G251" t="s">
        <v>42</v>
      </c>
      <c r="H251" t="s">
        <v>43</v>
      </c>
      <c r="I251">
        <v>102220586800</v>
      </c>
      <c r="J251" t="s">
        <v>437</v>
      </c>
      <c r="M251" t="s">
        <v>169</v>
      </c>
      <c r="O251" t="s">
        <v>93</v>
      </c>
      <c r="P251" t="s">
        <v>94</v>
      </c>
      <c r="Q251" t="s">
        <v>48</v>
      </c>
      <c r="R251" t="s">
        <v>319</v>
      </c>
      <c r="S251" s="1">
        <v>46023</v>
      </c>
      <c r="U251" t="s">
        <v>50</v>
      </c>
      <c r="X251" t="s">
        <v>51</v>
      </c>
      <c r="Y251" s="2">
        <v>0</v>
      </c>
      <c r="Z251" s="2">
        <v>25</v>
      </c>
      <c r="AA251">
        <v>1</v>
      </c>
      <c r="AB251" s="3">
        <v>1</v>
      </c>
      <c r="AC251" s="2">
        <v>25</v>
      </c>
      <c r="AD251" s="3">
        <v>0</v>
      </c>
      <c r="AE251" s="2">
        <v>0</v>
      </c>
      <c r="AF251" s="2">
        <v>25</v>
      </c>
      <c r="AK251">
        <v>6045862</v>
      </c>
    </row>
    <row r="252" spans="1:37" x14ac:dyDescent="0.25">
      <c r="A252" s="1">
        <v>46001</v>
      </c>
      <c r="B252" s="1">
        <v>46001</v>
      </c>
      <c r="C252" t="s">
        <v>38</v>
      </c>
      <c r="D252" t="s">
        <v>39</v>
      </c>
      <c r="E252" t="s">
        <v>40</v>
      </c>
      <c r="F252" t="s">
        <v>41</v>
      </c>
      <c r="G252" t="s">
        <v>42</v>
      </c>
      <c r="H252" t="s">
        <v>43</v>
      </c>
      <c r="I252">
        <v>102221053400</v>
      </c>
      <c r="J252" t="s">
        <v>438</v>
      </c>
      <c r="M252" t="s">
        <v>428</v>
      </c>
      <c r="O252" t="s">
        <v>121</v>
      </c>
      <c r="P252" t="s">
        <v>122</v>
      </c>
      <c r="Q252" t="s">
        <v>48</v>
      </c>
      <c r="R252" t="s">
        <v>314</v>
      </c>
      <c r="S252" s="1">
        <v>46023</v>
      </c>
      <c r="U252" t="s">
        <v>50</v>
      </c>
      <c r="X252" t="s">
        <v>51</v>
      </c>
      <c r="Y252" s="2">
        <v>0</v>
      </c>
      <c r="Z252" s="2">
        <v>15</v>
      </c>
      <c r="AA252">
        <v>1</v>
      </c>
      <c r="AB252" s="3">
        <v>1</v>
      </c>
      <c r="AC252" s="2">
        <v>15</v>
      </c>
      <c r="AD252" s="3">
        <v>0</v>
      </c>
      <c r="AE252" s="2">
        <v>0</v>
      </c>
      <c r="AF252" s="2">
        <v>15</v>
      </c>
      <c r="AK252">
        <v>6045872</v>
      </c>
    </row>
    <row r="253" spans="1:37" x14ac:dyDescent="0.25">
      <c r="A253" s="1">
        <v>46001</v>
      </c>
      <c r="B253" s="1">
        <v>46001</v>
      </c>
      <c r="C253" t="s">
        <v>38</v>
      </c>
      <c r="D253" t="s">
        <v>39</v>
      </c>
      <c r="E253" t="s">
        <v>40</v>
      </c>
      <c r="F253" t="s">
        <v>41</v>
      </c>
      <c r="G253" t="s">
        <v>42</v>
      </c>
      <c r="H253" t="s">
        <v>43</v>
      </c>
      <c r="I253">
        <v>102221062100</v>
      </c>
      <c r="J253" t="s">
        <v>439</v>
      </c>
      <c r="M253" t="s">
        <v>440</v>
      </c>
      <c r="O253" t="s">
        <v>441</v>
      </c>
      <c r="P253" t="s">
        <v>442</v>
      </c>
      <c r="Q253" t="s">
        <v>48</v>
      </c>
      <c r="R253" t="s">
        <v>319</v>
      </c>
      <c r="S253" s="1">
        <v>46023</v>
      </c>
      <c r="U253" t="s">
        <v>50</v>
      </c>
      <c r="X253" t="s">
        <v>51</v>
      </c>
      <c r="Y253" s="2">
        <v>0</v>
      </c>
      <c r="Z253" s="2">
        <v>25</v>
      </c>
      <c r="AA253">
        <v>1</v>
      </c>
      <c r="AB253" s="3">
        <v>1</v>
      </c>
      <c r="AC253" s="2">
        <v>25</v>
      </c>
      <c r="AD253" s="3">
        <v>0</v>
      </c>
      <c r="AE253" s="2">
        <v>0</v>
      </c>
      <c r="AF253" s="2">
        <v>25</v>
      </c>
      <c r="AK253">
        <v>6045874</v>
      </c>
    </row>
    <row r="254" spans="1:37" x14ac:dyDescent="0.25">
      <c r="A254" s="1">
        <v>46001</v>
      </c>
      <c r="B254" s="1">
        <v>46001</v>
      </c>
      <c r="C254" t="s">
        <v>38</v>
      </c>
      <c r="D254" t="s">
        <v>39</v>
      </c>
      <c r="E254" t="s">
        <v>40</v>
      </c>
      <c r="F254" t="s">
        <v>41</v>
      </c>
      <c r="G254" t="s">
        <v>42</v>
      </c>
      <c r="H254" t="s">
        <v>43</v>
      </c>
      <c r="I254">
        <v>102221076200</v>
      </c>
      <c r="J254" t="s">
        <v>443</v>
      </c>
      <c r="M254" t="s">
        <v>316</v>
      </c>
      <c r="O254" t="s">
        <v>325</v>
      </c>
      <c r="P254" t="s">
        <v>326</v>
      </c>
      <c r="Q254" t="s">
        <v>48</v>
      </c>
      <c r="R254" t="s">
        <v>314</v>
      </c>
      <c r="S254" s="1">
        <v>46023</v>
      </c>
      <c r="U254" t="s">
        <v>50</v>
      </c>
      <c r="X254" t="s">
        <v>51</v>
      </c>
      <c r="Y254" s="2">
        <v>0</v>
      </c>
      <c r="Z254" s="2">
        <v>15</v>
      </c>
      <c r="AA254">
        <v>1</v>
      </c>
      <c r="AB254" s="3">
        <v>1</v>
      </c>
      <c r="AC254" s="2">
        <v>15</v>
      </c>
      <c r="AD254" s="3">
        <v>0</v>
      </c>
      <c r="AE254" s="2">
        <v>0</v>
      </c>
      <c r="AF254" s="2">
        <v>15</v>
      </c>
      <c r="AK254">
        <v>6045876</v>
      </c>
    </row>
    <row r="255" spans="1:37" x14ac:dyDescent="0.25">
      <c r="A255" s="1">
        <v>46001</v>
      </c>
      <c r="B255" s="1">
        <v>46001</v>
      </c>
      <c r="C255" t="s">
        <v>38</v>
      </c>
      <c r="D255" t="s">
        <v>39</v>
      </c>
      <c r="E255" t="s">
        <v>40</v>
      </c>
      <c r="F255" t="s">
        <v>41</v>
      </c>
      <c r="G255" t="s">
        <v>42</v>
      </c>
      <c r="H255" t="s">
        <v>43</v>
      </c>
      <c r="I255">
        <v>102221083100</v>
      </c>
      <c r="J255" t="s">
        <v>444</v>
      </c>
      <c r="M255" t="s">
        <v>45</v>
      </c>
      <c r="O255" t="s">
        <v>159</v>
      </c>
      <c r="P255" t="s">
        <v>160</v>
      </c>
      <c r="Q255" t="s">
        <v>48</v>
      </c>
      <c r="R255" t="s">
        <v>314</v>
      </c>
      <c r="S255" s="1">
        <v>46023</v>
      </c>
      <c r="U255" t="s">
        <v>50</v>
      </c>
      <c r="X255" t="s">
        <v>51</v>
      </c>
      <c r="Y255" s="2">
        <v>0</v>
      </c>
      <c r="Z255" s="2">
        <v>15</v>
      </c>
      <c r="AA255">
        <v>1</v>
      </c>
      <c r="AB255" s="3">
        <v>1</v>
      </c>
      <c r="AC255" s="2">
        <v>15</v>
      </c>
      <c r="AD255" s="3">
        <v>0</v>
      </c>
      <c r="AE255" s="2">
        <v>0</v>
      </c>
      <c r="AF255" s="2">
        <v>15</v>
      </c>
      <c r="AK255">
        <v>6045877</v>
      </c>
    </row>
    <row r="256" spans="1:37" x14ac:dyDescent="0.25">
      <c r="A256" s="1">
        <v>46001</v>
      </c>
      <c r="B256" s="1">
        <v>46001</v>
      </c>
      <c r="C256" t="s">
        <v>38</v>
      </c>
      <c r="D256" t="s">
        <v>39</v>
      </c>
      <c r="E256" t="s">
        <v>40</v>
      </c>
      <c r="F256" t="s">
        <v>41</v>
      </c>
      <c r="G256" t="s">
        <v>42</v>
      </c>
      <c r="H256" t="s">
        <v>43</v>
      </c>
      <c r="I256">
        <v>102221305700</v>
      </c>
      <c r="J256" t="s">
        <v>445</v>
      </c>
      <c r="M256" t="s">
        <v>269</v>
      </c>
      <c r="O256" t="s">
        <v>126</v>
      </c>
      <c r="P256" t="s">
        <v>127</v>
      </c>
      <c r="Q256" t="s">
        <v>48</v>
      </c>
      <c r="R256" t="s">
        <v>319</v>
      </c>
      <c r="S256" s="1">
        <v>46023</v>
      </c>
      <c r="U256" t="s">
        <v>50</v>
      </c>
      <c r="X256" t="s">
        <v>51</v>
      </c>
      <c r="Y256" s="2">
        <v>0</v>
      </c>
      <c r="Z256" s="2">
        <v>25</v>
      </c>
      <c r="AA256">
        <v>1</v>
      </c>
      <c r="AB256" s="3">
        <v>1</v>
      </c>
      <c r="AC256" s="2">
        <v>25</v>
      </c>
      <c r="AD256" s="3">
        <v>0</v>
      </c>
      <c r="AE256" s="2">
        <v>0</v>
      </c>
      <c r="AF256" s="2">
        <v>25</v>
      </c>
      <c r="AK256">
        <v>6045885</v>
      </c>
    </row>
    <row r="257" spans="1:38" x14ac:dyDescent="0.25">
      <c r="A257" s="1">
        <v>46001</v>
      </c>
      <c r="B257" s="1">
        <v>46001</v>
      </c>
      <c r="C257" t="s">
        <v>38</v>
      </c>
      <c r="D257" t="s">
        <v>39</v>
      </c>
      <c r="E257" t="s">
        <v>40</v>
      </c>
      <c r="F257" t="s">
        <v>41</v>
      </c>
      <c r="G257" t="s">
        <v>42</v>
      </c>
      <c r="H257" t="s">
        <v>43</v>
      </c>
      <c r="I257">
        <v>102221422800</v>
      </c>
      <c r="J257" t="s">
        <v>446</v>
      </c>
      <c r="M257" t="s">
        <v>149</v>
      </c>
      <c r="O257" t="s">
        <v>150</v>
      </c>
      <c r="P257" t="s">
        <v>151</v>
      </c>
      <c r="Q257" t="s">
        <v>48</v>
      </c>
      <c r="R257" t="s">
        <v>314</v>
      </c>
      <c r="S257" s="1">
        <v>46023</v>
      </c>
      <c r="U257" t="s">
        <v>50</v>
      </c>
      <c r="X257" t="s">
        <v>51</v>
      </c>
      <c r="Y257" s="2">
        <v>0</v>
      </c>
      <c r="Z257" s="2">
        <v>15</v>
      </c>
      <c r="AA257">
        <v>1</v>
      </c>
      <c r="AB257" s="3">
        <v>1</v>
      </c>
      <c r="AC257" s="2">
        <v>15</v>
      </c>
      <c r="AD257" s="3">
        <v>0</v>
      </c>
      <c r="AE257" s="2">
        <v>0</v>
      </c>
      <c r="AF257" s="2">
        <v>15</v>
      </c>
      <c r="AK257">
        <v>6045889</v>
      </c>
    </row>
    <row r="258" spans="1:38" x14ac:dyDescent="0.25">
      <c r="A258" s="1">
        <v>46001</v>
      </c>
      <c r="B258" s="1">
        <v>46001</v>
      </c>
      <c r="C258" t="s">
        <v>38</v>
      </c>
      <c r="D258" t="s">
        <v>39</v>
      </c>
      <c r="E258" t="s">
        <v>40</v>
      </c>
      <c r="F258" t="s">
        <v>41</v>
      </c>
      <c r="G258" t="s">
        <v>42</v>
      </c>
      <c r="H258" t="s">
        <v>43</v>
      </c>
      <c r="I258">
        <v>102221469400</v>
      </c>
      <c r="J258" t="s">
        <v>447</v>
      </c>
      <c r="M258" t="s">
        <v>316</v>
      </c>
      <c r="O258" t="s">
        <v>317</v>
      </c>
      <c r="P258" t="s">
        <v>318</v>
      </c>
      <c r="Q258" t="s">
        <v>48</v>
      </c>
      <c r="R258" t="s">
        <v>319</v>
      </c>
      <c r="S258" s="1">
        <v>46023</v>
      </c>
      <c r="U258" t="s">
        <v>50</v>
      </c>
      <c r="X258" t="s">
        <v>51</v>
      </c>
      <c r="Y258" s="2">
        <v>0</v>
      </c>
      <c r="Z258" s="2">
        <v>25</v>
      </c>
      <c r="AA258">
        <v>1</v>
      </c>
      <c r="AB258" s="3">
        <v>1</v>
      </c>
      <c r="AC258" s="2">
        <v>25</v>
      </c>
      <c r="AD258" s="3">
        <v>0</v>
      </c>
      <c r="AE258" s="2">
        <v>0</v>
      </c>
      <c r="AF258" s="2">
        <v>25</v>
      </c>
      <c r="AK258">
        <v>6045892</v>
      </c>
    </row>
    <row r="259" spans="1:38" x14ac:dyDescent="0.25">
      <c r="A259" s="1">
        <v>46001</v>
      </c>
      <c r="B259" s="1">
        <v>46001</v>
      </c>
      <c r="C259" t="s">
        <v>38</v>
      </c>
      <c r="D259" t="s">
        <v>39</v>
      </c>
      <c r="E259" t="s">
        <v>40</v>
      </c>
      <c r="F259" t="s">
        <v>41</v>
      </c>
      <c r="G259" t="s">
        <v>42</v>
      </c>
      <c r="H259" t="s">
        <v>43</v>
      </c>
      <c r="I259">
        <v>102221485200</v>
      </c>
      <c r="J259" t="s">
        <v>448</v>
      </c>
      <c r="M259" t="s">
        <v>316</v>
      </c>
      <c r="O259" t="s">
        <v>317</v>
      </c>
      <c r="P259" t="s">
        <v>318</v>
      </c>
      <c r="Q259" t="s">
        <v>48</v>
      </c>
      <c r="R259" t="s">
        <v>319</v>
      </c>
      <c r="S259" s="1">
        <v>46023</v>
      </c>
      <c r="U259" t="s">
        <v>50</v>
      </c>
      <c r="X259" t="s">
        <v>51</v>
      </c>
      <c r="Y259" s="2">
        <v>0</v>
      </c>
      <c r="Z259" s="2">
        <v>25</v>
      </c>
      <c r="AA259">
        <v>1</v>
      </c>
      <c r="AB259" s="3">
        <v>1</v>
      </c>
      <c r="AC259" s="2">
        <v>25</v>
      </c>
      <c r="AD259" s="3">
        <v>0</v>
      </c>
      <c r="AE259" s="2">
        <v>0</v>
      </c>
      <c r="AF259" s="2">
        <v>25</v>
      </c>
      <c r="AK259">
        <v>6045893</v>
      </c>
    </row>
    <row r="260" spans="1:38" x14ac:dyDescent="0.25">
      <c r="A260" s="1">
        <v>46001</v>
      </c>
      <c r="B260" s="1">
        <v>46001</v>
      </c>
      <c r="C260" t="s">
        <v>38</v>
      </c>
      <c r="D260" t="s">
        <v>39</v>
      </c>
      <c r="E260" t="s">
        <v>40</v>
      </c>
      <c r="F260" t="s">
        <v>41</v>
      </c>
      <c r="G260" t="s">
        <v>42</v>
      </c>
      <c r="H260" t="s">
        <v>43</v>
      </c>
      <c r="I260">
        <v>102221624000</v>
      </c>
      <c r="J260" t="s">
        <v>449</v>
      </c>
      <c r="M260" t="s">
        <v>316</v>
      </c>
      <c r="O260" t="s">
        <v>317</v>
      </c>
      <c r="P260" t="s">
        <v>318</v>
      </c>
      <c r="Q260" t="s">
        <v>48</v>
      </c>
      <c r="R260" t="s">
        <v>319</v>
      </c>
      <c r="S260" s="1">
        <v>46023</v>
      </c>
      <c r="U260" t="s">
        <v>50</v>
      </c>
      <c r="X260" t="s">
        <v>51</v>
      </c>
      <c r="Y260" s="2">
        <v>0</v>
      </c>
      <c r="Z260" s="2">
        <v>25</v>
      </c>
      <c r="AA260">
        <v>1</v>
      </c>
      <c r="AB260" s="3">
        <v>1</v>
      </c>
      <c r="AC260" s="2">
        <v>25</v>
      </c>
      <c r="AD260" s="3">
        <v>0</v>
      </c>
      <c r="AE260" s="2">
        <v>0</v>
      </c>
      <c r="AF260" s="2">
        <v>25</v>
      </c>
      <c r="AK260">
        <v>6045898</v>
      </c>
    </row>
    <row r="261" spans="1:38" x14ac:dyDescent="0.25">
      <c r="A261" s="1">
        <v>46001</v>
      </c>
      <c r="B261" s="1">
        <v>46001</v>
      </c>
      <c r="C261" t="s">
        <v>38</v>
      </c>
      <c r="D261" t="s">
        <v>39</v>
      </c>
      <c r="E261" t="s">
        <v>40</v>
      </c>
      <c r="F261" t="s">
        <v>41</v>
      </c>
      <c r="G261" t="s">
        <v>42</v>
      </c>
      <c r="H261" t="s">
        <v>43</v>
      </c>
      <c r="I261">
        <v>102221637600</v>
      </c>
      <c r="J261" t="s">
        <v>450</v>
      </c>
      <c r="M261" t="s">
        <v>316</v>
      </c>
      <c r="O261" t="s">
        <v>317</v>
      </c>
      <c r="P261" t="s">
        <v>318</v>
      </c>
      <c r="Q261" t="s">
        <v>48</v>
      </c>
      <c r="R261" t="s">
        <v>319</v>
      </c>
      <c r="S261" s="1">
        <v>46023</v>
      </c>
      <c r="U261" t="s">
        <v>50</v>
      </c>
      <c r="X261" t="s">
        <v>51</v>
      </c>
      <c r="Y261" s="2">
        <v>0</v>
      </c>
      <c r="Z261" s="2">
        <v>25</v>
      </c>
      <c r="AA261">
        <v>1</v>
      </c>
      <c r="AB261" s="3">
        <v>1</v>
      </c>
      <c r="AC261" s="2">
        <v>25</v>
      </c>
      <c r="AD261" s="3">
        <v>0</v>
      </c>
      <c r="AE261" s="2">
        <v>0</v>
      </c>
      <c r="AF261" s="2">
        <v>25</v>
      </c>
      <c r="AK261">
        <v>6045899</v>
      </c>
    </row>
    <row r="262" spans="1:38" x14ac:dyDescent="0.25">
      <c r="A262" s="1">
        <v>46001</v>
      </c>
      <c r="B262" s="1">
        <v>46001</v>
      </c>
      <c r="C262" t="s">
        <v>38</v>
      </c>
      <c r="D262" t="s">
        <v>39</v>
      </c>
      <c r="E262" t="s">
        <v>40</v>
      </c>
      <c r="F262" t="s">
        <v>41</v>
      </c>
      <c r="G262" t="s">
        <v>42</v>
      </c>
      <c r="H262" t="s">
        <v>43</v>
      </c>
      <c r="I262">
        <v>102221858000</v>
      </c>
      <c r="J262" t="s">
        <v>451</v>
      </c>
      <c r="M262" t="s">
        <v>316</v>
      </c>
      <c r="O262" t="s">
        <v>317</v>
      </c>
      <c r="P262" t="s">
        <v>318</v>
      </c>
      <c r="Q262" t="s">
        <v>48</v>
      </c>
      <c r="R262" t="s">
        <v>319</v>
      </c>
      <c r="S262" s="1">
        <v>46023</v>
      </c>
      <c r="U262" t="s">
        <v>50</v>
      </c>
      <c r="X262" t="s">
        <v>51</v>
      </c>
      <c r="Y262" s="2">
        <v>0</v>
      </c>
      <c r="Z262" s="2">
        <v>25</v>
      </c>
      <c r="AA262">
        <v>1</v>
      </c>
      <c r="AB262" s="3">
        <v>1</v>
      </c>
      <c r="AC262" s="2">
        <v>25</v>
      </c>
      <c r="AD262" s="3">
        <v>0</v>
      </c>
      <c r="AE262" s="2">
        <v>0</v>
      </c>
      <c r="AF262" s="2">
        <v>25</v>
      </c>
      <c r="AK262">
        <v>6045904</v>
      </c>
    </row>
    <row r="263" spans="1:38" x14ac:dyDescent="0.25">
      <c r="A263" s="1">
        <v>46001</v>
      </c>
      <c r="B263" s="1">
        <v>46001</v>
      </c>
      <c r="C263" t="s">
        <v>38</v>
      </c>
      <c r="D263" t="s">
        <v>39</v>
      </c>
      <c r="E263" t="s">
        <v>40</v>
      </c>
      <c r="F263" t="s">
        <v>41</v>
      </c>
      <c r="G263" t="s">
        <v>42</v>
      </c>
      <c r="H263" t="s">
        <v>43</v>
      </c>
      <c r="I263">
        <v>102222211400</v>
      </c>
      <c r="J263" t="s">
        <v>452</v>
      </c>
      <c r="M263" t="s">
        <v>316</v>
      </c>
      <c r="O263" t="s">
        <v>63</v>
      </c>
      <c r="P263" t="s">
        <v>64</v>
      </c>
      <c r="Q263" t="s">
        <v>48</v>
      </c>
      <c r="R263" t="s">
        <v>453</v>
      </c>
      <c r="S263" s="1">
        <v>46054</v>
      </c>
      <c r="U263" t="s">
        <v>50</v>
      </c>
      <c r="X263" t="s">
        <v>51</v>
      </c>
      <c r="Y263" s="2">
        <v>0</v>
      </c>
      <c r="Z263" s="2">
        <v>22.92</v>
      </c>
      <c r="AA263">
        <v>1</v>
      </c>
      <c r="AB263" s="3">
        <v>1</v>
      </c>
      <c r="AC263" s="2">
        <v>22.92</v>
      </c>
      <c r="AD263" s="3">
        <v>0</v>
      </c>
      <c r="AE263" s="2">
        <v>0</v>
      </c>
      <c r="AF263" s="2">
        <v>22.92</v>
      </c>
      <c r="AK263">
        <v>6045912</v>
      </c>
      <c r="AL263" t="s">
        <v>454</v>
      </c>
    </row>
    <row r="264" spans="1:38" x14ac:dyDescent="0.25">
      <c r="A264" s="1">
        <v>46001</v>
      </c>
      <c r="B264" s="1">
        <v>46001</v>
      </c>
      <c r="C264" t="s">
        <v>38</v>
      </c>
      <c r="D264" t="s">
        <v>39</v>
      </c>
      <c r="E264" t="s">
        <v>40</v>
      </c>
      <c r="F264" t="s">
        <v>41</v>
      </c>
      <c r="G264" t="s">
        <v>42</v>
      </c>
      <c r="H264" t="s">
        <v>43</v>
      </c>
      <c r="I264">
        <v>102222252500</v>
      </c>
      <c r="J264" t="s">
        <v>455</v>
      </c>
      <c r="M264" t="s">
        <v>316</v>
      </c>
      <c r="O264" t="s">
        <v>317</v>
      </c>
      <c r="P264" t="s">
        <v>318</v>
      </c>
      <c r="Q264" t="s">
        <v>48</v>
      </c>
      <c r="R264" t="s">
        <v>319</v>
      </c>
      <c r="S264" s="1">
        <v>46023</v>
      </c>
      <c r="U264" t="s">
        <v>50</v>
      </c>
      <c r="X264" t="s">
        <v>51</v>
      </c>
      <c r="Y264" s="2">
        <v>0</v>
      </c>
      <c r="Z264" s="2">
        <v>25</v>
      </c>
      <c r="AA264">
        <v>1</v>
      </c>
      <c r="AB264" s="3">
        <v>1</v>
      </c>
      <c r="AC264" s="2">
        <v>25</v>
      </c>
      <c r="AD264" s="3">
        <v>0</v>
      </c>
      <c r="AE264" s="2">
        <v>0</v>
      </c>
      <c r="AF264" s="2">
        <v>25</v>
      </c>
      <c r="AK264">
        <v>6045914</v>
      </c>
    </row>
    <row r="265" spans="1:38" x14ac:dyDescent="0.25">
      <c r="A265" s="1">
        <v>46001</v>
      </c>
      <c r="B265" s="1">
        <v>46001</v>
      </c>
      <c r="C265" t="s">
        <v>38</v>
      </c>
      <c r="D265" t="s">
        <v>39</v>
      </c>
      <c r="E265" t="s">
        <v>40</v>
      </c>
      <c r="F265" t="s">
        <v>41</v>
      </c>
      <c r="G265" t="s">
        <v>42</v>
      </c>
      <c r="H265" t="s">
        <v>43</v>
      </c>
      <c r="I265">
        <v>102222258100</v>
      </c>
      <c r="J265" t="s">
        <v>456</v>
      </c>
      <c r="M265" t="s">
        <v>316</v>
      </c>
      <c r="O265" t="s">
        <v>317</v>
      </c>
      <c r="P265" t="s">
        <v>318</v>
      </c>
      <c r="Q265" t="s">
        <v>48</v>
      </c>
      <c r="R265" t="s">
        <v>319</v>
      </c>
      <c r="S265" s="1">
        <v>46023</v>
      </c>
      <c r="U265" t="s">
        <v>50</v>
      </c>
      <c r="X265" t="s">
        <v>51</v>
      </c>
      <c r="Y265" s="2">
        <v>0</v>
      </c>
      <c r="Z265" s="2">
        <v>25</v>
      </c>
      <c r="AA265">
        <v>1</v>
      </c>
      <c r="AB265" s="3">
        <v>1</v>
      </c>
      <c r="AC265" s="2">
        <v>25</v>
      </c>
      <c r="AD265" s="3">
        <v>0</v>
      </c>
      <c r="AE265" s="2">
        <v>0</v>
      </c>
      <c r="AF265" s="2">
        <v>25</v>
      </c>
      <c r="AK265">
        <v>6045915</v>
      </c>
    </row>
    <row r="266" spans="1:38" x14ac:dyDescent="0.25">
      <c r="A266" s="1">
        <v>46001</v>
      </c>
      <c r="B266" s="1">
        <v>46001</v>
      </c>
      <c r="C266" t="s">
        <v>38</v>
      </c>
      <c r="D266" t="s">
        <v>39</v>
      </c>
      <c r="E266" t="s">
        <v>40</v>
      </c>
      <c r="F266" t="s">
        <v>41</v>
      </c>
      <c r="G266" t="s">
        <v>42</v>
      </c>
      <c r="H266" t="s">
        <v>43</v>
      </c>
      <c r="I266">
        <v>102222329700</v>
      </c>
      <c r="J266" t="s">
        <v>457</v>
      </c>
      <c r="M266" t="s">
        <v>316</v>
      </c>
      <c r="O266" t="s">
        <v>317</v>
      </c>
      <c r="P266" t="s">
        <v>318</v>
      </c>
      <c r="Q266" t="s">
        <v>48</v>
      </c>
      <c r="R266" t="s">
        <v>319</v>
      </c>
      <c r="S266" s="1">
        <v>46023</v>
      </c>
      <c r="U266" t="s">
        <v>50</v>
      </c>
      <c r="X266" t="s">
        <v>51</v>
      </c>
      <c r="Y266" s="2">
        <v>0</v>
      </c>
      <c r="Z266" s="2">
        <v>25</v>
      </c>
      <c r="AA266">
        <v>1</v>
      </c>
      <c r="AB266" s="3">
        <v>1</v>
      </c>
      <c r="AC266" s="2">
        <v>25</v>
      </c>
      <c r="AD266" s="3">
        <v>0</v>
      </c>
      <c r="AE266" s="2">
        <v>0</v>
      </c>
      <c r="AF266" s="2">
        <v>25</v>
      </c>
      <c r="AK266">
        <v>6045916</v>
      </c>
    </row>
    <row r="267" spans="1:38" x14ac:dyDescent="0.25">
      <c r="A267" s="1">
        <v>46001</v>
      </c>
      <c r="B267" s="1">
        <v>46001</v>
      </c>
      <c r="C267" t="s">
        <v>38</v>
      </c>
      <c r="D267" t="s">
        <v>39</v>
      </c>
      <c r="E267" t="s">
        <v>40</v>
      </c>
      <c r="F267" t="s">
        <v>41</v>
      </c>
      <c r="G267" t="s">
        <v>42</v>
      </c>
      <c r="H267" t="s">
        <v>43</v>
      </c>
      <c r="I267">
        <v>102222723900</v>
      </c>
      <c r="J267" t="s">
        <v>458</v>
      </c>
      <c r="M267" t="s">
        <v>129</v>
      </c>
      <c r="O267" t="s">
        <v>237</v>
      </c>
      <c r="P267" t="s">
        <v>238</v>
      </c>
      <c r="Q267" t="s">
        <v>48</v>
      </c>
      <c r="R267" t="s">
        <v>314</v>
      </c>
      <c r="S267" s="1">
        <v>46023</v>
      </c>
      <c r="U267" t="s">
        <v>50</v>
      </c>
      <c r="X267" t="s">
        <v>51</v>
      </c>
      <c r="Y267" s="2">
        <v>0</v>
      </c>
      <c r="Z267" s="2">
        <v>15</v>
      </c>
      <c r="AA267">
        <v>1</v>
      </c>
      <c r="AB267" s="3">
        <v>1</v>
      </c>
      <c r="AC267" s="2">
        <v>15</v>
      </c>
      <c r="AD267" s="3">
        <v>0</v>
      </c>
      <c r="AE267" s="2">
        <v>0</v>
      </c>
      <c r="AF267" s="2">
        <v>15</v>
      </c>
      <c r="AK267">
        <v>6045925</v>
      </c>
    </row>
    <row r="268" spans="1:38" x14ac:dyDescent="0.25">
      <c r="A268" s="1">
        <v>46001</v>
      </c>
      <c r="B268" s="1">
        <v>46001</v>
      </c>
      <c r="C268" t="s">
        <v>38</v>
      </c>
      <c r="D268" t="s">
        <v>39</v>
      </c>
      <c r="E268" t="s">
        <v>40</v>
      </c>
      <c r="F268" t="s">
        <v>41</v>
      </c>
      <c r="G268" t="s">
        <v>42</v>
      </c>
      <c r="H268" t="s">
        <v>43</v>
      </c>
      <c r="I268">
        <v>102222728200</v>
      </c>
      <c r="J268" t="s">
        <v>459</v>
      </c>
      <c r="M268" t="s">
        <v>129</v>
      </c>
      <c r="O268" t="s">
        <v>237</v>
      </c>
      <c r="P268" t="s">
        <v>238</v>
      </c>
      <c r="Q268" t="s">
        <v>48</v>
      </c>
      <c r="R268" t="s">
        <v>314</v>
      </c>
      <c r="S268" s="1">
        <v>46023</v>
      </c>
      <c r="U268" t="s">
        <v>50</v>
      </c>
      <c r="X268" t="s">
        <v>51</v>
      </c>
      <c r="Y268" s="2">
        <v>0</v>
      </c>
      <c r="Z268" s="2">
        <v>15</v>
      </c>
      <c r="AA268">
        <v>1</v>
      </c>
      <c r="AB268" s="3">
        <v>1</v>
      </c>
      <c r="AC268" s="2">
        <v>15</v>
      </c>
      <c r="AD268" s="3">
        <v>0</v>
      </c>
      <c r="AE268" s="2">
        <v>0</v>
      </c>
      <c r="AF268" s="2">
        <v>15</v>
      </c>
      <c r="AK268">
        <v>6045926</v>
      </c>
    </row>
    <row r="269" spans="1:38" x14ac:dyDescent="0.25">
      <c r="A269" s="1">
        <v>46001</v>
      </c>
      <c r="B269" s="1">
        <v>46001</v>
      </c>
      <c r="C269" t="s">
        <v>38</v>
      </c>
      <c r="D269" t="s">
        <v>39</v>
      </c>
      <c r="E269" t="s">
        <v>40</v>
      </c>
      <c r="F269" t="s">
        <v>41</v>
      </c>
      <c r="G269" t="s">
        <v>42</v>
      </c>
      <c r="H269" t="s">
        <v>43</v>
      </c>
      <c r="I269">
        <v>102222814600</v>
      </c>
      <c r="J269" t="s">
        <v>460</v>
      </c>
      <c r="M269" t="s">
        <v>45</v>
      </c>
      <c r="O269" t="s">
        <v>159</v>
      </c>
      <c r="P269" t="s">
        <v>160</v>
      </c>
      <c r="Q269" t="s">
        <v>48</v>
      </c>
      <c r="R269" t="s">
        <v>314</v>
      </c>
      <c r="S269" s="1">
        <v>46023</v>
      </c>
      <c r="U269" t="s">
        <v>50</v>
      </c>
      <c r="X269" t="s">
        <v>51</v>
      </c>
      <c r="Y269" s="2">
        <v>0</v>
      </c>
      <c r="Z269" s="2">
        <v>15</v>
      </c>
      <c r="AA269">
        <v>1</v>
      </c>
      <c r="AB269" s="3">
        <v>1</v>
      </c>
      <c r="AC269" s="2">
        <v>15</v>
      </c>
      <c r="AD269" s="3">
        <v>0</v>
      </c>
      <c r="AE269" s="2">
        <v>0</v>
      </c>
      <c r="AF269" s="2">
        <v>15</v>
      </c>
      <c r="AK269">
        <v>6045928</v>
      </c>
    </row>
    <row r="270" spans="1:38" x14ac:dyDescent="0.25">
      <c r="A270" s="1">
        <v>46001</v>
      </c>
      <c r="B270" s="1">
        <v>46001</v>
      </c>
      <c r="C270" t="s">
        <v>38</v>
      </c>
      <c r="D270" t="s">
        <v>39</v>
      </c>
      <c r="E270" t="s">
        <v>40</v>
      </c>
      <c r="F270" t="s">
        <v>41</v>
      </c>
      <c r="G270" t="s">
        <v>42</v>
      </c>
      <c r="H270" t="s">
        <v>43</v>
      </c>
      <c r="I270">
        <v>102222835900</v>
      </c>
      <c r="J270" t="s">
        <v>461</v>
      </c>
      <c r="M270" t="s">
        <v>45</v>
      </c>
      <c r="O270" t="s">
        <v>159</v>
      </c>
      <c r="P270" t="s">
        <v>160</v>
      </c>
      <c r="Q270" t="s">
        <v>48</v>
      </c>
      <c r="R270" t="s">
        <v>314</v>
      </c>
      <c r="S270" s="1">
        <v>46023</v>
      </c>
      <c r="U270" t="s">
        <v>50</v>
      </c>
      <c r="X270" t="s">
        <v>51</v>
      </c>
      <c r="Y270" s="2">
        <v>0</v>
      </c>
      <c r="Z270" s="2">
        <v>15</v>
      </c>
      <c r="AA270">
        <v>1</v>
      </c>
      <c r="AB270" s="3">
        <v>1</v>
      </c>
      <c r="AC270" s="2">
        <v>15</v>
      </c>
      <c r="AD270" s="3">
        <v>0</v>
      </c>
      <c r="AE270" s="2">
        <v>0</v>
      </c>
      <c r="AF270" s="2">
        <v>15</v>
      </c>
      <c r="AK270">
        <v>6045929</v>
      </c>
    </row>
    <row r="271" spans="1:38" x14ac:dyDescent="0.25">
      <c r="A271" s="1">
        <v>46001</v>
      </c>
      <c r="B271" s="1">
        <v>46001</v>
      </c>
      <c r="C271" t="s">
        <v>38</v>
      </c>
      <c r="D271" t="s">
        <v>39</v>
      </c>
      <c r="E271" t="s">
        <v>40</v>
      </c>
      <c r="F271" t="s">
        <v>41</v>
      </c>
      <c r="G271" t="s">
        <v>42</v>
      </c>
      <c r="H271" t="s">
        <v>43</v>
      </c>
      <c r="I271">
        <v>102222843300</v>
      </c>
      <c r="J271" t="s">
        <v>462</v>
      </c>
      <c r="M271" t="s">
        <v>169</v>
      </c>
      <c r="O271" t="s">
        <v>463</v>
      </c>
      <c r="P271" t="s">
        <v>464</v>
      </c>
      <c r="Q271" t="s">
        <v>48</v>
      </c>
      <c r="R271" t="s">
        <v>314</v>
      </c>
      <c r="S271" s="1">
        <v>46023</v>
      </c>
      <c r="U271" t="s">
        <v>50</v>
      </c>
      <c r="X271" t="s">
        <v>51</v>
      </c>
      <c r="Y271" s="2">
        <v>0</v>
      </c>
      <c r="Z271" s="2">
        <v>15</v>
      </c>
      <c r="AA271">
        <v>1</v>
      </c>
      <c r="AB271" s="3">
        <v>1</v>
      </c>
      <c r="AC271" s="2">
        <v>15</v>
      </c>
      <c r="AD271" s="3">
        <v>0</v>
      </c>
      <c r="AE271" s="2">
        <v>0</v>
      </c>
      <c r="AF271" s="2">
        <v>15</v>
      </c>
      <c r="AK271">
        <v>6045931</v>
      </c>
    </row>
    <row r="272" spans="1:38" x14ac:dyDescent="0.25">
      <c r="A272" s="1">
        <v>46001</v>
      </c>
      <c r="B272" s="1">
        <v>46001</v>
      </c>
      <c r="C272" t="s">
        <v>38</v>
      </c>
      <c r="D272" t="s">
        <v>39</v>
      </c>
      <c r="E272" t="s">
        <v>40</v>
      </c>
      <c r="F272" t="s">
        <v>41</v>
      </c>
      <c r="G272" t="s">
        <v>42</v>
      </c>
      <c r="H272" t="s">
        <v>43</v>
      </c>
      <c r="I272">
        <v>102223298500</v>
      </c>
      <c r="J272" t="s">
        <v>465</v>
      </c>
      <c r="M272" t="s">
        <v>316</v>
      </c>
      <c r="O272" t="s">
        <v>317</v>
      </c>
      <c r="P272" t="s">
        <v>318</v>
      </c>
      <c r="Q272" t="s">
        <v>48</v>
      </c>
      <c r="R272" t="s">
        <v>319</v>
      </c>
      <c r="S272" s="1">
        <v>46023</v>
      </c>
      <c r="U272" t="s">
        <v>50</v>
      </c>
      <c r="X272" t="s">
        <v>51</v>
      </c>
      <c r="Y272" s="2">
        <v>0</v>
      </c>
      <c r="Z272" s="2">
        <v>25</v>
      </c>
      <c r="AA272">
        <v>1</v>
      </c>
      <c r="AB272" s="3">
        <v>1</v>
      </c>
      <c r="AC272" s="2">
        <v>25</v>
      </c>
      <c r="AD272" s="3">
        <v>0</v>
      </c>
      <c r="AE272" s="2">
        <v>0</v>
      </c>
      <c r="AF272" s="2">
        <v>25</v>
      </c>
      <c r="AK272">
        <v>6045948</v>
      </c>
    </row>
    <row r="273" spans="1:38" x14ac:dyDescent="0.25">
      <c r="A273" s="1">
        <v>46001</v>
      </c>
      <c r="B273" s="1">
        <v>46001</v>
      </c>
      <c r="C273" t="s">
        <v>38</v>
      </c>
      <c r="D273" t="s">
        <v>39</v>
      </c>
      <c r="E273" t="s">
        <v>40</v>
      </c>
      <c r="F273" t="s">
        <v>41</v>
      </c>
      <c r="G273" t="s">
        <v>42</v>
      </c>
      <c r="H273" t="s">
        <v>43</v>
      </c>
      <c r="I273">
        <v>102223446800</v>
      </c>
      <c r="J273" t="s">
        <v>466</v>
      </c>
      <c r="M273" t="s">
        <v>69</v>
      </c>
      <c r="O273" t="s">
        <v>70</v>
      </c>
      <c r="P273" t="s">
        <v>71</v>
      </c>
      <c r="Q273" t="s">
        <v>48</v>
      </c>
      <c r="R273" t="s">
        <v>319</v>
      </c>
      <c r="S273" s="1">
        <v>46023</v>
      </c>
      <c r="U273" t="s">
        <v>50</v>
      </c>
      <c r="X273" t="s">
        <v>51</v>
      </c>
      <c r="Y273" s="2">
        <v>0</v>
      </c>
      <c r="Z273" s="2">
        <v>25</v>
      </c>
      <c r="AA273">
        <v>1</v>
      </c>
      <c r="AB273" s="3">
        <v>1</v>
      </c>
      <c r="AC273" s="2">
        <v>25</v>
      </c>
      <c r="AD273" s="3">
        <v>0</v>
      </c>
      <c r="AE273" s="2">
        <v>0</v>
      </c>
      <c r="AF273" s="2">
        <v>25</v>
      </c>
      <c r="AK273">
        <v>6045956</v>
      </c>
    </row>
    <row r="274" spans="1:38" x14ac:dyDescent="0.25">
      <c r="A274" s="1">
        <v>46001</v>
      </c>
      <c r="B274" s="1">
        <v>46001</v>
      </c>
      <c r="C274" t="s">
        <v>38</v>
      </c>
      <c r="D274" t="s">
        <v>39</v>
      </c>
      <c r="E274" t="s">
        <v>40</v>
      </c>
      <c r="F274" t="s">
        <v>41</v>
      </c>
      <c r="G274" t="s">
        <v>42</v>
      </c>
      <c r="H274" t="s">
        <v>43</v>
      </c>
      <c r="I274">
        <v>102223464300</v>
      </c>
      <c r="J274" t="s">
        <v>467</v>
      </c>
      <c r="M274" t="s">
        <v>45</v>
      </c>
      <c r="O274" t="s">
        <v>166</v>
      </c>
      <c r="P274" t="s">
        <v>167</v>
      </c>
      <c r="Q274" t="s">
        <v>48</v>
      </c>
      <c r="R274" t="s">
        <v>319</v>
      </c>
      <c r="S274" s="1">
        <v>46023</v>
      </c>
      <c r="U274" t="s">
        <v>50</v>
      </c>
      <c r="X274" t="s">
        <v>51</v>
      </c>
      <c r="Y274" s="2">
        <v>0</v>
      </c>
      <c r="Z274" s="2">
        <v>25</v>
      </c>
      <c r="AA274">
        <v>1</v>
      </c>
      <c r="AB274" s="3">
        <v>1</v>
      </c>
      <c r="AC274" s="2">
        <v>25</v>
      </c>
      <c r="AD274" s="3">
        <v>0</v>
      </c>
      <c r="AE274" s="2">
        <v>0</v>
      </c>
      <c r="AF274" s="2">
        <v>25</v>
      </c>
      <c r="AK274">
        <v>6045957</v>
      </c>
    </row>
    <row r="275" spans="1:38" x14ac:dyDescent="0.25">
      <c r="A275" s="1">
        <v>46001</v>
      </c>
      <c r="B275" s="1">
        <v>46001</v>
      </c>
      <c r="C275" t="s">
        <v>38</v>
      </c>
      <c r="D275" t="s">
        <v>39</v>
      </c>
      <c r="E275" t="s">
        <v>40</v>
      </c>
      <c r="F275" t="s">
        <v>41</v>
      </c>
      <c r="G275" t="s">
        <v>42</v>
      </c>
      <c r="H275" t="s">
        <v>43</v>
      </c>
      <c r="I275">
        <v>102223475900</v>
      </c>
      <c r="J275" t="s">
        <v>468</v>
      </c>
      <c r="M275" t="s">
        <v>69</v>
      </c>
      <c r="O275" t="s">
        <v>70</v>
      </c>
      <c r="P275" t="s">
        <v>71</v>
      </c>
      <c r="Q275" t="s">
        <v>48</v>
      </c>
      <c r="R275" t="s">
        <v>319</v>
      </c>
      <c r="S275" s="1">
        <v>46023</v>
      </c>
      <c r="U275" t="s">
        <v>50</v>
      </c>
      <c r="X275" t="s">
        <v>51</v>
      </c>
      <c r="Y275" s="2">
        <v>0</v>
      </c>
      <c r="Z275" s="2">
        <v>25</v>
      </c>
      <c r="AA275">
        <v>1</v>
      </c>
      <c r="AB275" s="3">
        <v>1</v>
      </c>
      <c r="AC275" s="2">
        <v>25</v>
      </c>
      <c r="AD275" s="3">
        <v>0</v>
      </c>
      <c r="AE275" s="2">
        <v>0</v>
      </c>
      <c r="AF275" s="2">
        <v>25</v>
      </c>
      <c r="AK275">
        <v>6045958</v>
      </c>
    </row>
    <row r="276" spans="1:38" x14ac:dyDescent="0.25">
      <c r="A276" s="1">
        <v>46001</v>
      </c>
      <c r="B276" s="1">
        <v>46001</v>
      </c>
      <c r="C276" t="s">
        <v>38</v>
      </c>
      <c r="D276" t="s">
        <v>39</v>
      </c>
      <c r="E276" t="s">
        <v>40</v>
      </c>
      <c r="F276" t="s">
        <v>41</v>
      </c>
      <c r="G276" t="s">
        <v>42</v>
      </c>
      <c r="H276" t="s">
        <v>43</v>
      </c>
      <c r="I276">
        <v>102223721400</v>
      </c>
      <c r="J276" t="s">
        <v>469</v>
      </c>
      <c r="M276" t="s">
        <v>45</v>
      </c>
      <c r="O276" t="s">
        <v>159</v>
      </c>
      <c r="P276" t="s">
        <v>160</v>
      </c>
      <c r="Q276" t="s">
        <v>48</v>
      </c>
      <c r="R276" t="s">
        <v>314</v>
      </c>
      <c r="S276" s="1">
        <v>46023</v>
      </c>
      <c r="U276" t="s">
        <v>50</v>
      </c>
      <c r="X276" t="s">
        <v>51</v>
      </c>
      <c r="Y276" s="2">
        <v>0</v>
      </c>
      <c r="Z276" s="2">
        <v>15</v>
      </c>
      <c r="AA276">
        <v>1</v>
      </c>
      <c r="AB276" s="3">
        <v>1</v>
      </c>
      <c r="AC276" s="2">
        <v>15</v>
      </c>
      <c r="AD276" s="3">
        <v>0</v>
      </c>
      <c r="AE276" s="2">
        <v>0</v>
      </c>
      <c r="AF276" s="2">
        <v>15</v>
      </c>
      <c r="AK276">
        <v>6045962</v>
      </c>
    </row>
    <row r="277" spans="1:38" x14ac:dyDescent="0.25">
      <c r="A277" s="1">
        <v>46001</v>
      </c>
      <c r="B277" s="1">
        <v>46001</v>
      </c>
      <c r="C277" t="s">
        <v>38</v>
      </c>
      <c r="D277" t="s">
        <v>39</v>
      </c>
      <c r="E277" t="s">
        <v>40</v>
      </c>
      <c r="F277" t="s">
        <v>41</v>
      </c>
      <c r="G277" t="s">
        <v>42</v>
      </c>
      <c r="H277" t="s">
        <v>43</v>
      </c>
      <c r="I277">
        <v>102224476800</v>
      </c>
      <c r="J277" t="s">
        <v>470</v>
      </c>
      <c r="M277" t="s">
        <v>347</v>
      </c>
      <c r="O277" t="s">
        <v>63</v>
      </c>
      <c r="P277" t="s">
        <v>64</v>
      </c>
      <c r="Q277" t="s">
        <v>48</v>
      </c>
      <c r="R277" t="s">
        <v>319</v>
      </c>
      <c r="S277" s="1">
        <v>46023</v>
      </c>
      <c r="U277" t="s">
        <v>50</v>
      </c>
      <c r="X277" t="s">
        <v>51</v>
      </c>
      <c r="Y277" s="2">
        <v>0</v>
      </c>
      <c r="Z277" s="2">
        <v>25</v>
      </c>
      <c r="AA277">
        <v>1</v>
      </c>
      <c r="AB277" s="3">
        <v>1</v>
      </c>
      <c r="AC277" s="2">
        <v>25</v>
      </c>
      <c r="AD277" s="3">
        <v>0</v>
      </c>
      <c r="AE277" s="2">
        <v>0</v>
      </c>
      <c r="AF277" s="2">
        <v>25</v>
      </c>
      <c r="AK277">
        <v>6045983</v>
      </c>
    </row>
    <row r="278" spans="1:38" x14ac:dyDescent="0.25">
      <c r="A278" s="1">
        <v>46001</v>
      </c>
      <c r="B278" s="1">
        <v>46001</v>
      </c>
      <c r="C278" t="s">
        <v>38</v>
      </c>
      <c r="D278" t="s">
        <v>39</v>
      </c>
      <c r="E278" t="s">
        <v>40</v>
      </c>
      <c r="F278" t="s">
        <v>41</v>
      </c>
      <c r="G278" t="s">
        <v>42</v>
      </c>
      <c r="H278" t="s">
        <v>43</v>
      </c>
      <c r="I278">
        <v>102224669800</v>
      </c>
      <c r="J278" t="s">
        <v>471</v>
      </c>
      <c r="M278" t="s">
        <v>69</v>
      </c>
      <c r="O278" t="s">
        <v>332</v>
      </c>
      <c r="P278" t="s">
        <v>333</v>
      </c>
      <c r="Q278" t="s">
        <v>48</v>
      </c>
      <c r="R278" t="s">
        <v>314</v>
      </c>
      <c r="S278" s="1">
        <v>46023</v>
      </c>
      <c r="U278" t="s">
        <v>50</v>
      </c>
      <c r="X278" t="s">
        <v>51</v>
      </c>
      <c r="Y278" s="2">
        <v>0</v>
      </c>
      <c r="Z278" s="2">
        <v>15</v>
      </c>
      <c r="AA278">
        <v>1</v>
      </c>
      <c r="AB278" s="3">
        <v>1</v>
      </c>
      <c r="AC278" s="2">
        <v>15</v>
      </c>
      <c r="AD278" s="3">
        <v>0</v>
      </c>
      <c r="AE278" s="2">
        <v>0</v>
      </c>
      <c r="AF278" s="2">
        <v>15</v>
      </c>
      <c r="AK278">
        <v>6045986</v>
      </c>
    </row>
    <row r="279" spans="1:38" x14ac:dyDescent="0.25">
      <c r="A279" s="1">
        <v>46001</v>
      </c>
      <c r="B279" s="1">
        <v>46001</v>
      </c>
      <c r="C279" t="s">
        <v>38</v>
      </c>
      <c r="D279" t="s">
        <v>39</v>
      </c>
      <c r="E279" t="s">
        <v>40</v>
      </c>
      <c r="F279" t="s">
        <v>41</v>
      </c>
      <c r="G279" t="s">
        <v>42</v>
      </c>
      <c r="H279" t="s">
        <v>43</v>
      </c>
      <c r="I279">
        <v>102224674300</v>
      </c>
      <c r="J279" t="s">
        <v>472</v>
      </c>
      <c r="M279" t="s">
        <v>45</v>
      </c>
      <c r="O279" t="s">
        <v>159</v>
      </c>
      <c r="P279" t="s">
        <v>160</v>
      </c>
      <c r="Q279" t="s">
        <v>48</v>
      </c>
      <c r="R279" t="s">
        <v>314</v>
      </c>
      <c r="S279" s="1">
        <v>46023</v>
      </c>
      <c r="U279" t="s">
        <v>50</v>
      </c>
      <c r="X279" t="s">
        <v>51</v>
      </c>
      <c r="Y279" s="2">
        <v>0</v>
      </c>
      <c r="Z279" s="2">
        <v>15</v>
      </c>
      <c r="AA279">
        <v>1</v>
      </c>
      <c r="AB279" s="3">
        <v>1</v>
      </c>
      <c r="AC279" s="2">
        <v>15</v>
      </c>
      <c r="AD279" s="3">
        <v>0</v>
      </c>
      <c r="AE279" s="2">
        <v>0</v>
      </c>
      <c r="AF279" s="2">
        <v>15</v>
      </c>
      <c r="AK279">
        <v>6045987</v>
      </c>
    </row>
    <row r="280" spans="1:38" x14ac:dyDescent="0.25">
      <c r="A280" s="1">
        <v>46001</v>
      </c>
      <c r="B280" s="1">
        <v>46001</v>
      </c>
      <c r="C280" t="s">
        <v>38</v>
      </c>
      <c r="D280" t="s">
        <v>39</v>
      </c>
      <c r="E280" t="s">
        <v>40</v>
      </c>
      <c r="F280" t="s">
        <v>41</v>
      </c>
      <c r="G280" t="s">
        <v>42</v>
      </c>
      <c r="H280" t="s">
        <v>43</v>
      </c>
      <c r="I280">
        <v>102224725700</v>
      </c>
      <c r="J280" t="s">
        <v>473</v>
      </c>
      <c r="M280" t="s">
        <v>45</v>
      </c>
      <c r="O280" t="s">
        <v>141</v>
      </c>
      <c r="P280" t="s">
        <v>142</v>
      </c>
      <c r="Q280" t="s">
        <v>48</v>
      </c>
      <c r="R280" t="s">
        <v>314</v>
      </c>
      <c r="S280" s="1">
        <v>46023</v>
      </c>
      <c r="U280" t="s">
        <v>50</v>
      </c>
      <c r="X280" t="s">
        <v>51</v>
      </c>
      <c r="Y280" s="2">
        <v>0</v>
      </c>
      <c r="Z280" s="2">
        <v>15</v>
      </c>
      <c r="AA280">
        <v>1</v>
      </c>
      <c r="AB280" s="3">
        <v>1</v>
      </c>
      <c r="AC280" s="2">
        <v>15</v>
      </c>
      <c r="AD280" s="3">
        <v>0</v>
      </c>
      <c r="AE280" s="2">
        <v>0</v>
      </c>
      <c r="AF280" s="2">
        <v>15</v>
      </c>
      <c r="AK280">
        <v>6045989</v>
      </c>
    </row>
    <row r="281" spans="1:38" x14ac:dyDescent="0.25">
      <c r="A281" s="1">
        <v>46001</v>
      </c>
      <c r="B281" s="1">
        <v>46001</v>
      </c>
      <c r="C281" t="s">
        <v>38</v>
      </c>
      <c r="D281" t="s">
        <v>39</v>
      </c>
      <c r="E281" t="s">
        <v>40</v>
      </c>
      <c r="F281" t="s">
        <v>41</v>
      </c>
      <c r="G281" t="s">
        <v>42</v>
      </c>
      <c r="H281" t="s">
        <v>43</v>
      </c>
      <c r="I281">
        <v>102224726700</v>
      </c>
      <c r="J281" t="s">
        <v>474</v>
      </c>
      <c r="M281" t="s">
        <v>45</v>
      </c>
      <c r="O281" t="s">
        <v>159</v>
      </c>
      <c r="P281" t="s">
        <v>160</v>
      </c>
      <c r="Q281" t="s">
        <v>48</v>
      </c>
      <c r="R281" t="s">
        <v>314</v>
      </c>
      <c r="S281" s="1">
        <v>46023</v>
      </c>
      <c r="U281" t="s">
        <v>50</v>
      </c>
      <c r="X281" t="s">
        <v>51</v>
      </c>
      <c r="Y281" s="2">
        <v>0</v>
      </c>
      <c r="Z281" s="2">
        <v>15</v>
      </c>
      <c r="AA281">
        <v>1</v>
      </c>
      <c r="AB281" s="3">
        <v>1</v>
      </c>
      <c r="AC281" s="2">
        <v>15</v>
      </c>
      <c r="AD281" s="3">
        <v>0</v>
      </c>
      <c r="AE281" s="2">
        <v>0</v>
      </c>
      <c r="AF281" s="2">
        <v>15</v>
      </c>
      <c r="AK281">
        <v>6045990</v>
      </c>
    </row>
    <row r="282" spans="1:38" x14ac:dyDescent="0.25">
      <c r="A282" s="1">
        <v>46001</v>
      </c>
      <c r="B282" s="1">
        <v>46001</v>
      </c>
      <c r="C282" t="s">
        <v>38</v>
      </c>
      <c r="D282" t="s">
        <v>39</v>
      </c>
      <c r="E282" t="s">
        <v>40</v>
      </c>
      <c r="F282" t="s">
        <v>41</v>
      </c>
      <c r="G282" t="s">
        <v>42</v>
      </c>
      <c r="H282" t="s">
        <v>43</v>
      </c>
      <c r="I282">
        <v>102224727600</v>
      </c>
      <c r="J282" t="s">
        <v>475</v>
      </c>
      <c r="M282" t="s">
        <v>69</v>
      </c>
      <c r="O282" t="s">
        <v>332</v>
      </c>
      <c r="P282" t="s">
        <v>333</v>
      </c>
      <c r="Q282" t="s">
        <v>48</v>
      </c>
      <c r="R282" t="s">
        <v>314</v>
      </c>
      <c r="S282" s="1">
        <v>46023</v>
      </c>
      <c r="U282" t="s">
        <v>50</v>
      </c>
      <c r="X282" t="s">
        <v>51</v>
      </c>
      <c r="Y282" s="2">
        <v>0</v>
      </c>
      <c r="Z282" s="2">
        <v>15</v>
      </c>
      <c r="AA282">
        <v>1</v>
      </c>
      <c r="AB282" s="3">
        <v>1</v>
      </c>
      <c r="AC282" s="2">
        <v>15</v>
      </c>
      <c r="AD282" s="3">
        <v>0</v>
      </c>
      <c r="AE282" s="2">
        <v>0</v>
      </c>
      <c r="AF282" s="2">
        <v>15</v>
      </c>
      <c r="AK282">
        <v>6045991</v>
      </c>
    </row>
    <row r="283" spans="1:38" x14ac:dyDescent="0.25">
      <c r="A283" s="1">
        <v>46001</v>
      </c>
      <c r="B283" s="1">
        <v>46001</v>
      </c>
      <c r="C283" t="s">
        <v>38</v>
      </c>
      <c r="D283" t="s">
        <v>39</v>
      </c>
      <c r="E283" t="s">
        <v>40</v>
      </c>
      <c r="F283" t="s">
        <v>41</v>
      </c>
      <c r="G283" t="s">
        <v>42</v>
      </c>
      <c r="H283" t="s">
        <v>43</v>
      </c>
      <c r="I283">
        <v>102224732100</v>
      </c>
      <c r="J283" t="s">
        <v>476</v>
      </c>
      <c r="M283" t="s">
        <v>45</v>
      </c>
      <c r="O283" t="s">
        <v>159</v>
      </c>
      <c r="P283" t="s">
        <v>160</v>
      </c>
      <c r="Q283" t="s">
        <v>48</v>
      </c>
      <c r="R283" t="s">
        <v>314</v>
      </c>
      <c r="S283" s="1">
        <v>46023</v>
      </c>
      <c r="U283" t="s">
        <v>50</v>
      </c>
      <c r="X283" t="s">
        <v>51</v>
      </c>
      <c r="Y283" s="2">
        <v>0</v>
      </c>
      <c r="Z283" s="2">
        <v>15</v>
      </c>
      <c r="AA283">
        <v>1</v>
      </c>
      <c r="AB283" s="3">
        <v>1</v>
      </c>
      <c r="AC283" s="2">
        <v>15</v>
      </c>
      <c r="AD283" s="3">
        <v>0</v>
      </c>
      <c r="AE283" s="2">
        <v>0</v>
      </c>
      <c r="AF283" s="2">
        <v>15</v>
      </c>
      <c r="AK283">
        <v>6045992</v>
      </c>
    </row>
    <row r="284" spans="1:38" x14ac:dyDescent="0.25">
      <c r="A284" s="1">
        <v>46001</v>
      </c>
      <c r="B284" s="1">
        <v>46001</v>
      </c>
      <c r="C284" t="s">
        <v>38</v>
      </c>
      <c r="D284" t="s">
        <v>39</v>
      </c>
      <c r="E284" t="s">
        <v>40</v>
      </c>
      <c r="F284" t="s">
        <v>41</v>
      </c>
      <c r="G284" t="s">
        <v>42</v>
      </c>
      <c r="H284" t="s">
        <v>43</v>
      </c>
      <c r="I284">
        <v>102224738500</v>
      </c>
      <c r="J284" t="s">
        <v>477</v>
      </c>
      <c r="M284" t="s">
        <v>69</v>
      </c>
      <c r="O284" t="s">
        <v>332</v>
      </c>
      <c r="P284" t="s">
        <v>333</v>
      </c>
      <c r="Q284" t="s">
        <v>48</v>
      </c>
      <c r="R284" t="s">
        <v>314</v>
      </c>
      <c r="S284" s="1">
        <v>46023</v>
      </c>
      <c r="U284" t="s">
        <v>50</v>
      </c>
      <c r="X284" t="s">
        <v>51</v>
      </c>
      <c r="Y284" s="2">
        <v>0</v>
      </c>
      <c r="Z284" s="2">
        <v>15</v>
      </c>
      <c r="AA284">
        <v>1</v>
      </c>
      <c r="AB284" s="3">
        <v>1</v>
      </c>
      <c r="AC284" s="2">
        <v>15</v>
      </c>
      <c r="AD284" s="3">
        <v>0</v>
      </c>
      <c r="AE284" s="2">
        <v>0</v>
      </c>
      <c r="AF284" s="2">
        <v>15</v>
      </c>
      <c r="AK284">
        <v>6045993</v>
      </c>
    </row>
    <row r="285" spans="1:38" x14ac:dyDescent="0.25">
      <c r="A285" s="1">
        <v>46001</v>
      </c>
      <c r="B285" s="1">
        <v>46001</v>
      </c>
      <c r="C285" t="s">
        <v>38</v>
      </c>
      <c r="D285" t="s">
        <v>39</v>
      </c>
      <c r="E285" t="s">
        <v>40</v>
      </c>
      <c r="F285" t="s">
        <v>41</v>
      </c>
      <c r="G285" t="s">
        <v>42</v>
      </c>
      <c r="H285" t="s">
        <v>43</v>
      </c>
      <c r="I285">
        <v>102224739800</v>
      </c>
      <c r="J285" t="s">
        <v>478</v>
      </c>
      <c r="M285" t="s">
        <v>45</v>
      </c>
      <c r="O285" t="s">
        <v>356</v>
      </c>
      <c r="P285" t="s">
        <v>357</v>
      </c>
      <c r="Q285" t="s">
        <v>48</v>
      </c>
      <c r="R285" t="s">
        <v>314</v>
      </c>
      <c r="S285" s="1">
        <v>46023</v>
      </c>
      <c r="U285" t="s">
        <v>50</v>
      </c>
      <c r="X285" t="s">
        <v>51</v>
      </c>
      <c r="Y285" s="2">
        <v>0</v>
      </c>
      <c r="Z285" s="2">
        <v>15</v>
      </c>
      <c r="AA285">
        <v>1</v>
      </c>
      <c r="AB285" s="3">
        <v>1</v>
      </c>
      <c r="AC285" s="2">
        <v>15</v>
      </c>
      <c r="AD285" s="3">
        <v>0</v>
      </c>
      <c r="AE285" s="2">
        <v>0</v>
      </c>
      <c r="AF285" s="2">
        <v>15</v>
      </c>
      <c r="AK285">
        <v>6045994</v>
      </c>
    </row>
    <row r="286" spans="1:38" x14ac:dyDescent="0.25">
      <c r="A286" s="1">
        <v>46001</v>
      </c>
      <c r="B286" s="1">
        <v>46001</v>
      </c>
      <c r="C286" t="s">
        <v>38</v>
      </c>
      <c r="D286" t="s">
        <v>39</v>
      </c>
      <c r="E286" t="s">
        <v>40</v>
      </c>
      <c r="F286" t="s">
        <v>41</v>
      </c>
      <c r="G286" t="s">
        <v>42</v>
      </c>
      <c r="H286" t="s">
        <v>43</v>
      </c>
      <c r="I286">
        <v>102224747400</v>
      </c>
      <c r="J286" t="s">
        <v>479</v>
      </c>
      <c r="M286" t="s">
        <v>359</v>
      </c>
      <c r="O286" t="s">
        <v>340</v>
      </c>
      <c r="P286" t="s">
        <v>341</v>
      </c>
      <c r="Q286" t="s">
        <v>48</v>
      </c>
      <c r="R286" t="s">
        <v>480</v>
      </c>
      <c r="S286" s="1">
        <v>46054</v>
      </c>
      <c r="U286" t="s">
        <v>50</v>
      </c>
      <c r="X286" t="s">
        <v>51</v>
      </c>
      <c r="Y286" s="2">
        <v>0</v>
      </c>
      <c r="Z286" s="2">
        <v>13.75</v>
      </c>
      <c r="AA286">
        <v>1</v>
      </c>
      <c r="AB286" s="3">
        <v>1</v>
      </c>
      <c r="AC286" s="2">
        <v>13.75</v>
      </c>
      <c r="AD286" s="3">
        <v>0</v>
      </c>
      <c r="AE286" s="2">
        <v>0</v>
      </c>
      <c r="AF286" s="2">
        <v>13.75</v>
      </c>
      <c r="AK286">
        <v>6045996</v>
      </c>
      <c r="AL286" t="s">
        <v>454</v>
      </c>
    </row>
    <row r="287" spans="1:38" x14ac:dyDescent="0.25">
      <c r="A287" s="1">
        <v>46001</v>
      </c>
      <c r="B287" s="1">
        <v>46001</v>
      </c>
      <c r="C287" t="s">
        <v>38</v>
      </c>
      <c r="D287" t="s">
        <v>39</v>
      </c>
      <c r="E287" t="s">
        <v>40</v>
      </c>
      <c r="F287" t="s">
        <v>41</v>
      </c>
      <c r="G287" t="s">
        <v>42</v>
      </c>
      <c r="H287" t="s">
        <v>43</v>
      </c>
      <c r="I287">
        <v>102224785100</v>
      </c>
      <c r="J287" t="s">
        <v>481</v>
      </c>
      <c r="M287" t="s">
        <v>69</v>
      </c>
      <c r="O287" t="s">
        <v>332</v>
      </c>
      <c r="P287" t="s">
        <v>333</v>
      </c>
      <c r="Q287" t="s">
        <v>48</v>
      </c>
      <c r="R287" t="s">
        <v>314</v>
      </c>
      <c r="S287" s="1">
        <v>46023</v>
      </c>
      <c r="U287" t="s">
        <v>50</v>
      </c>
      <c r="X287" t="s">
        <v>51</v>
      </c>
      <c r="Y287" s="2">
        <v>0</v>
      </c>
      <c r="Z287" s="2">
        <v>15</v>
      </c>
      <c r="AA287">
        <v>1</v>
      </c>
      <c r="AB287" s="3">
        <v>1</v>
      </c>
      <c r="AC287" s="2">
        <v>15</v>
      </c>
      <c r="AD287" s="3">
        <v>0</v>
      </c>
      <c r="AE287" s="2">
        <v>0</v>
      </c>
      <c r="AF287" s="2">
        <v>15</v>
      </c>
      <c r="AK287">
        <v>6046000</v>
      </c>
    </row>
    <row r="288" spans="1:38" x14ac:dyDescent="0.25">
      <c r="A288" s="1">
        <v>46001</v>
      </c>
      <c r="B288" s="1">
        <v>46001</v>
      </c>
      <c r="C288" t="s">
        <v>38</v>
      </c>
      <c r="D288" t="s">
        <v>39</v>
      </c>
      <c r="E288" t="s">
        <v>40</v>
      </c>
      <c r="F288" t="s">
        <v>41</v>
      </c>
      <c r="G288" t="s">
        <v>42</v>
      </c>
      <c r="H288" t="s">
        <v>43</v>
      </c>
      <c r="I288">
        <v>102224806400</v>
      </c>
      <c r="J288" t="s">
        <v>482</v>
      </c>
      <c r="M288" t="s">
        <v>45</v>
      </c>
      <c r="O288" t="s">
        <v>159</v>
      </c>
      <c r="P288" t="s">
        <v>160</v>
      </c>
      <c r="Q288" t="s">
        <v>48</v>
      </c>
      <c r="R288" t="s">
        <v>314</v>
      </c>
      <c r="S288" s="1">
        <v>46023</v>
      </c>
      <c r="U288" t="s">
        <v>50</v>
      </c>
      <c r="X288" t="s">
        <v>51</v>
      </c>
      <c r="Y288" s="2">
        <v>0</v>
      </c>
      <c r="Z288" s="2">
        <v>15</v>
      </c>
      <c r="AA288">
        <v>1</v>
      </c>
      <c r="AB288" s="3">
        <v>1</v>
      </c>
      <c r="AC288" s="2">
        <v>15</v>
      </c>
      <c r="AD288" s="3">
        <v>0</v>
      </c>
      <c r="AE288" s="2">
        <v>0</v>
      </c>
      <c r="AF288" s="2">
        <v>15</v>
      </c>
      <c r="AK288">
        <v>6046001</v>
      </c>
    </row>
    <row r="289" spans="1:37" x14ac:dyDescent="0.25">
      <c r="A289" s="1">
        <v>46001</v>
      </c>
      <c r="B289" s="1">
        <v>46001</v>
      </c>
      <c r="C289" t="s">
        <v>38</v>
      </c>
      <c r="D289" t="s">
        <v>39</v>
      </c>
      <c r="E289" t="s">
        <v>40</v>
      </c>
      <c r="F289" t="s">
        <v>41</v>
      </c>
      <c r="G289" t="s">
        <v>42</v>
      </c>
      <c r="H289" t="s">
        <v>43</v>
      </c>
      <c r="I289">
        <v>102224814400</v>
      </c>
      <c r="J289" t="s">
        <v>483</v>
      </c>
      <c r="M289" t="s">
        <v>45</v>
      </c>
      <c r="O289" t="s">
        <v>237</v>
      </c>
      <c r="P289" t="s">
        <v>238</v>
      </c>
      <c r="Q289" t="s">
        <v>48</v>
      </c>
      <c r="R289" t="s">
        <v>314</v>
      </c>
      <c r="S289" s="1">
        <v>46023</v>
      </c>
      <c r="U289" t="s">
        <v>50</v>
      </c>
      <c r="X289" t="s">
        <v>51</v>
      </c>
      <c r="Y289" s="2">
        <v>0</v>
      </c>
      <c r="Z289" s="2">
        <v>15</v>
      </c>
      <c r="AA289">
        <v>1</v>
      </c>
      <c r="AB289" s="3">
        <v>1</v>
      </c>
      <c r="AC289" s="2">
        <v>15</v>
      </c>
      <c r="AD289" s="3">
        <v>0</v>
      </c>
      <c r="AE289" s="2">
        <v>0</v>
      </c>
      <c r="AF289" s="2">
        <v>15</v>
      </c>
      <c r="AK289">
        <v>6046002</v>
      </c>
    </row>
    <row r="290" spans="1:37" x14ac:dyDescent="0.25">
      <c r="A290" s="1">
        <v>46001</v>
      </c>
      <c r="B290" s="1">
        <v>46001</v>
      </c>
      <c r="C290" t="s">
        <v>38</v>
      </c>
      <c r="D290" t="s">
        <v>39</v>
      </c>
      <c r="E290" t="s">
        <v>40</v>
      </c>
      <c r="F290" t="s">
        <v>41</v>
      </c>
      <c r="G290" t="s">
        <v>42</v>
      </c>
      <c r="H290" t="s">
        <v>43</v>
      </c>
      <c r="I290">
        <v>102224822200</v>
      </c>
      <c r="J290" t="s">
        <v>484</v>
      </c>
      <c r="M290" t="s">
        <v>316</v>
      </c>
      <c r="O290" t="s">
        <v>485</v>
      </c>
      <c r="P290" t="s">
        <v>486</v>
      </c>
      <c r="Q290" t="s">
        <v>48</v>
      </c>
      <c r="R290" t="s">
        <v>314</v>
      </c>
      <c r="S290" s="1">
        <v>46023</v>
      </c>
      <c r="U290" t="s">
        <v>50</v>
      </c>
      <c r="X290" t="s">
        <v>51</v>
      </c>
      <c r="Y290" s="2">
        <v>0</v>
      </c>
      <c r="Z290" s="2">
        <v>15</v>
      </c>
      <c r="AA290">
        <v>1</v>
      </c>
      <c r="AB290" s="3">
        <v>1</v>
      </c>
      <c r="AC290" s="2">
        <v>15</v>
      </c>
      <c r="AD290" s="3">
        <v>0</v>
      </c>
      <c r="AE290" s="2">
        <v>0</v>
      </c>
      <c r="AF290" s="2">
        <v>15</v>
      </c>
      <c r="AK290">
        <v>6046003</v>
      </c>
    </row>
    <row r="291" spans="1:37" x14ac:dyDescent="0.25">
      <c r="A291" s="1">
        <v>46001</v>
      </c>
      <c r="B291" s="1">
        <v>46001</v>
      </c>
      <c r="C291" t="s">
        <v>38</v>
      </c>
      <c r="D291" t="s">
        <v>39</v>
      </c>
      <c r="E291" t="s">
        <v>40</v>
      </c>
      <c r="F291" t="s">
        <v>41</v>
      </c>
      <c r="G291" t="s">
        <v>42</v>
      </c>
      <c r="H291" t="s">
        <v>43</v>
      </c>
      <c r="I291">
        <v>102224832700</v>
      </c>
      <c r="J291" t="s">
        <v>487</v>
      </c>
      <c r="M291" t="s">
        <v>45</v>
      </c>
      <c r="O291" t="s">
        <v>488</v>
      </c>
      <c r="P291" t="s">
        <v>489</v>
      </c>
      <c r="Q291" t="s">
        <v>48</v>
      </c>
      <c r="R291" t="s">
        <v>314</v>
      </c>
      <c r="S291" s="1">
        <v>46023</v>
      </c>
      <c r="U291" t="s">
        <v>50</v>
      </c>
      <c r="X291" t="s">
        <v>51</v>
      </c>
      <c r="Y291" s="2">
        <v>0</v>
      </c>
      <c r="Z291" s="2">
        <v>15</v>
      </c>
      <c r="AA291">
        <v>1</v>
      </c>
      <c r="AB291" s="3">
        <v>1</v>
      </c>
      <c r="AC291" s="2">
        <v>15</v>
      </c>
      <c r="AD291" s="3">
        <v>0</v>
      </c>
      <c r="AE291" s="2">
        <v>0</v>
      </c>
      <c r="AF291" s="2">
        <v>15</v>
      </c>
      <c r="AK291">
        <v>6046004</v>
      </c>
    </row>
    <row r="292" spans="1:37" x14ac:dyDescent="0.25">
      <c r="A292" s="1">
        <v>46001</v>
      </c>
      <c r="B292" s="1">
        <v>46001</v>
      </c>
      <c r="C292" t="s">
        <v>38</v>
      </c>
      <c r="D292" t="s">
        <v>39</v>
      </c>
      <c r="E292" t="s">
        <v>40</v>
      </c>
      <c r="F292" t="s">
        <v>41</v>
      </c>
      <c r="G292" t="s">
        <v>42</v>
      </c>
      <c r="H292" t="s">
        <v>43</v>
      </c>
      <c r="I292">
        <v>102224835300</v>
      </c>
      <c r="J292" t="s">
        <v>490</v>
      </c>
      <c r="M292" t="s">
        <v>113</v>
      </c>
      <c r="O292" t="s">
        <v>90</v>
      </c>
      <c r="P292" t="s">
        <v>91</v>
      </c>
      <c r="Q292" t="s">
        <v>48</v>
      </c>
      <c r="R292" t="s">
        <v>314</v>
      </c>
      <c r="S292" s="1">
        <v>46023</v>
      </c>
      <c r="U292" t="s">
        <v>50</v>
      </c>
      <c r="X292" t="s">
        <v>51</v>
      </c>
      <c r="Y292" s="2">
        <v>0</v>
      </c>
      <c r="Z292" s="2">
        <v>15</v>
      </c>
      <c r="AA292">
        <v>1</v>
      </c>
      <c r="AB292" s="3">
        <v>1</v>
      </c>
      <c r="AC292" s="2">
        <v>15</v>
      </c>
      <c r="AD292" s="3">
        <v>0</v>
      </c>
      <c r="AE292" s="2">
        <v>0</v>
      </c>
      <c r="AF292" s="2">
        <v>15</v>
      </c>
      <c r="AK292">
        <v>6046005</v>
      </c>
    </row>
    <row r="293" spans="1:37" x14ac:dyDescent="0.25">
      <c r="A293" s="1">
        <v>46001</v>
      </c>
      <c r="B293" s="1">
        <v>46001</v>
      </c>
      <c r="C293" t="s">
        <v>38</v>
      </c>
      <c r="D293" t="s">
        <v>39</v>
      </c>
      <c r="E293" t="s">
        <v>40</v>
      </c>
      <c r="F293" t="s">
        <v>41</v>
      </c>
      <c r="G293" t="s">
        <v>42</v>
      </c>
      <c r="H293" t="s">
        <v>43</v>
      </c>
      <c r="I293">
        <v>102224867000</v>
      </c>
      <c r="J293" t="s">
        <v>491</v>
      </c>
      <c r="M293" t="s">
        <v>45</v>
      </c>
      <c r="O293" t="s">
        <v>141</v>
      </c>
      <c r="P293" t="s">
        <v>142</v>
      </c>
      <c r="Q293" t="s">
        <v>48</v>
      </c>
      <c r="R293" t="s">
        <v>314</v>
      </c>
      <c r="S293" s="1">
        <v>46023</v>
      </c>
      <c r="U293" t="s">
        <v>50</v>
      </c>
      <c r="X293" t="s">
        <v>51</v>
      </c>
      <c r="Y293" s="2">
        <v>0</v>
      </c>
      <c r="Z293" s="2">
        <v>15</v>
      </c>
      <c r="AA293">
        <v>1</v>
      </c>
      <c r="AB293" s="3">
        <v>1</v>
      </c>
      <c r="AC293" s="2">
        <v>15</v>
      </c>
      <c r="AD293" s="3">
        <v>0</v>
      </c>
      <c r="AE293" s="2">
        <v>0</v>
      </c>
      <c r="AF293" s="2">
        <v>15</v>
      </c>
      <c r="AK293">
        <v>6046006</v>
      </c>
    </row>
    <row r="294" spans="1:37" x14ac:dyDescent="0.25">
      <c r="A294" s="1">
        <v>46001</v>
      </c>
      <c r="B294" s="1">
        <v>46001</v>
      </c>
      <c r="C294" t="s">
        <v>38</v>
      </c>
      <c r="D294" t="s">
        <v>39</v>
      </c>
      <c r="E294" t="s">
        <v>40</v>
      </c>
      <c r="F294" t="s">
        <v>41</v>
      </c>
      <c r="G294" t="s">
        <v>42</v>
      </c>
      <c r="H294" t="s">
        <v>43</v>
      </c>
      <c r="I294">
        <v>102224871400</v>
      </c>
      <c r="J294" t="s">
        <v>492</v>
      </c>
      <c r="M294" t="s">
        <v>45</v>
      </c>
      <c r="O294" t="s">
        <v>159</v>
      </c>
      <c r="P294" t="s">
        <v>160</v>
      </c>
      <c r="Q294" t="s">
        <v>48</v>
      </c>
      <c r="R294" t="s">
        <v>314</v>
      </c>
      <c r="S294" s="1">
        <v>46023</v>
      </c>
      <c r="U294" t="s">
        <v>50</v>
      </c>
      <c r="X294" t="s">
        <v>51</v>
      </c>
      <c r="Y294" s="2">
        <v>0</v>
      </c>
      <c r="Z294" s="2">
        <v>15</v>
      </c>
      <c r="AA294">
        <v>1</v>
      </c>
      <c r="AB294" s="3">
        <v>1</v>
      </c>
      <c r="AC294" s="2">
        <v>15</v>
      </c>
      <c r="AD294" s="3">
        <v>0</v>
      </c>
      <c r="AE294" s="2">
        <v>0</v>
      </c>
      <c r="AF294" s="2">
        <v>15</v>
      </c>
      <c r="AK294">
        <v>6046007</v>
      </c>
    </row>
    <row r="295" spans="1:37" x14ac:dyDescent="0.25">
      <c r="A295" s="1">
        <v>46001</v>
      </c>
      <c r="B295" s="1">
        <v>46001</v>
      </c>
      <c r="C295" t="s">
        <v>38</v>
      </c>
      <c r="D295" t="s">
        <v>39</v>
      </c>
      <c r="E295" t="s">
        <v>40</v>
      </c>
      <c r="F295" t="s">
        <v>41</v>
      </c>
      <c r="G295" t="s">
        <v>42</v>
      </c>
      <c r="H295" t="s">
        <v>43</v>
      </c>
      <c r="I295">
        <v>102224942800</v>
      </c>
      <c r="J295" t="s">
        <v>493</v>
      </c>
      <c r="M295" t="s">
        <v>45</v>
      </c>
      <c r="O295" t="s">
        <v>494</v>
      </c>
      <c r="P295" t="s">
        <v>495</v>
      </c>
      <c r="Q295" t="s">
        <v>48</v>
      </c>
      <c r="R295" t="s">
        <v>314</v>
      </c>
      <c r="S295" s="1">
        <v>46023</v>
      </c>
      <c r="U295" t="s">
        <v>50</v>
      </c>
      <c r="X295" t="s">
        <v>51</v>
      </c>
      <c r="Y295" s="2">
        <v>0</v>
      </c>
      <c r="Z295" s="2">
        <v>15</v>
      </c>
      <c r="AA295">
        <v>1</v>
      </c>
      <c r="AB295" s="3">
        <v>1</v>
      </c>
      <c r="AC295" s="2">
        <v>15</v>
      </c>
      <c r="AD295" s="3">
        <v>0</v>
      </c>
      <c r="AE295" s="2">
        <v>0</v>
      </c>
      <c r="AF295" s="2">
        <v>15</v>
      </c>
      <c r="AK295">
        <v>6046010</v>
      </c>
    </row>
    <row r="296" spans="1:37" x14ac:dyDescent="0.25">
      <c r="A296" s="1">
        <v>46001</v>
      </c>
      <c r="B296" s="1">
        <v>46001</v>
      </c>
      <c r="C296" t="s">
        <v>38</v>
      </c>
      <c r="D296" t="s">
        <v>39</v>
      </c>
      <c r="E296" t="s">
        <v>40</v>
      </c>
      <c r="F296" t="s">
        <v>41</v>
      </c>
      <c r="G296" t="s">
        <v>42</v>
      </c>
      <c r="H296" t="s">
        <v>43</v>
      </c>
      <c r="I296">
        <v>102225094000</v>
      </c>
      <c r="J296" t="s">
        <v>496</v>
      </c>
      <c r="M296" t="s">
        <v>45</v>
      </c>
      <c r="O296" t="s">
        <v>494</v>
      </c>
      <c r="P296" t="s">
        <v>495</v>
      </c>
      <c r="Q296" t="s">
        <v>48</v>
      </c>
      <c r="R296" t="s">
        <v>314</v>
      </c>
      <c r="S296" s="1">
        <v>46023</v>
      </c>
      <c r="U296" t="s">
        <v>50</v>
      </c>
      <c r="X296" t="s">
        <v>51</v>
      </c>
      <c r="Y296" s="2">
        <v>0</v>
      </c>
      <c r="Z296" s="2">
        <v>15</v>
      </c>
      <c r="AA296">
        <v>1</v>
      </c>
      <c r="AB296" s="3">
        <v>1</v>
      </c>
      <c r="AC296" s="2">
        <v>15</v>
      </c>
      <c r="AD296" s="3">
        <v>0</v>
      </c>
      <c r="AE296" s="2">
        <v>0</v>
      </c>
      <c r="AF296" s="2">
        <v>15</v>
      </c>
      <c r="AK296">
        <v>6046019</v>
      </c>
    </row>
    <row r="297" spans="1:37" x14ac:dyDescent="0.25">
      <c r="A297" s="1">
        <v>46001</v>
      </c>
      <c r="B297" s="1">
        <v>46001</v>
      </c>
      <c r="C297" t="s">
        <v>38</v>
      </c>
      <c r="D297" t="s">
        <v>39</v>
      </c>
      <c r="E297" t="s">
        <v>40</v>
      </c>
      <c r="F297" t="s">
        <v>41</v>
      </c>
      <c r="G297" t="s">
        <v>42</v>
      </c>
      <c r="H297" t="s">
        <v>43</v>
      </c>
      <c r="I297">
        <v>102225332300</v>
      </c>
      <c r="J297" t="s">
        <v>497</v>
      </c>
      <c r="M297" t="s">
        <v>45</v>
      </c>
      <c r="O297" t="s">
        <v>159</v>
      </c>
      <c r="P297" t="s">
        <v>160</v>
      </c>
      <c r="Q297" t="s">
        <v>48</v>
      </c>
      <c r="R297" t="s">
        <v>314</v>
      </c>
      <c r="S297" s="1">
        <v>46023</v>
      </c>
      <c r="U297" t="s">
        <v>50</v>
      </c>
      <c r="X297" t="s">
        <v>51</v>
      </c>
      <c r="Y297" s="2">
        <v>0</v>
      </c>
      <c r="Z297" s="2">
        <v>15</v>
      </c>
      <c r="AA297">
        <v>1</v>
      </c>
      <c r="AB297" s="3">
        <v>1</v>
      </c>
      <c r="AC297" s="2">
        <v>15</v>
      </c>
      <c r="AD297" s="3">
        <v>0</v>
      </c>
      <c r="AE297" s="2">
        <v>0</v>
      </c>
      <c r="AF297" s="2">
        <v>15</v>
      </c>
      <c r="AK297">
        <v>6046027</v>
      </c>
    </row>
    <row r="298" spans="1:37" x14ac:dyDescent="0.25">
      <c r="A298" s="1">
        <v>46001</v>
      </c>
      <c r="B298" s="1">
        <v>46001</v>
      </c>
      <c r="C298" t="s">
        <v>38</v>
      </c>
      <c r="D298" t="s">
        <v>39</v>
      </c>
      <c r="E298" t="s">
        <v>40</v>
      </c>
      <c r="F298" t="s">
        <v>41</v>
      </c>
      <c r="G298" t="s">
        <v>42</v>
      </c>
      <c r="H298" t="s">
        <v>43</v>
      </c>
      <c r="I298">
        <v>102225381000</v>
      </c>
      <c r="J298" t="s">
        <v>498</v>
      </c>
      <c r="M298" t="s">
        <v>69</v>
      </c>
      <c r="O298" t="s">
        <v>279</v>
      </c>
      <c r="P298" t="s">
        <v>280</v>
      </c>
      <c r="Q298" t="s">
        <v>48</v>
      </c>
      <c r="R298" t="s">
        <v>314</v>
      </c>
      <c r="S298" s="1">
        <v>46023</v>
      </c>
      <c r="U298" t="s">
        <v>50</v>
      </c>
      <c r="X298" t="s">
        <v>51</v>
      </c>
      <c r="Y298" s="2">
        <v>0</v>
      </c>
      <c r="Z298" s="2">
        <v>15</v>
      </c>
      <c r="AA298">
        <v>1</v>
      </c>
      <c r="AB298" s="3">
        <v>1</v>
      </c>
      <c r="AC298" s="2">
        <v>15</v>
      </c>
      <c r="AD298" s="3">
        <v>0</v>
      </c>
      <c r="AE298" s="2">
        <v>0</v>
      </c>
      <c r="AF298" s="2">
        <v>15</v>
      </c>
      <c r="AK298">
        <v>6046028</v>
      </c>
    </row>
    <row r="299" spans="1:37" x14ac:dyDescent="0.25">
      <c r="A299" s="1">
        <v>46001</v>
      </c>
      <c r="B299" s="1">
        <v>46001</v>
      </c>
      <c r="C299" t="s">
        <v>38</v>
      </c>
      <c r="D299" t="s">
        <v>39</v>
      </c>
      <c r="E299" t="s">
        <v>40</v>
      </c>
      <c r="F299" t="s">
        <v>41</v>
      </c>
      <c r="G299" t="s">
        <v>42</v>
      </c>
      <c r="H299" t="s">
        <v>43</v>
      </c>
      <c r="I299">
        <v>102225477100</v>
      </c>
      <c r="J299" t="s">
        <v>499</v>
      </c>
      <c r="M299" t="s">
        <v>69</v>
      </c>
      <c r="O299" t="s">
        <v>232</v>
      </c>
      <c r="P299" t="s">
        <v>233</v>
      </c>
      <c r="Q299" t="s">
        <v>48</v>
      </c>
      <c r="R299" t="s">
        <v>314</v>
      </c>
      <c r="S299" s="1">
        <v>46023</v>
      </c>
      <c r="U299" t="s">
        <v>50</v>
      </c>
      <c r="X299" t="s">
        <v>51</v>
      </c>
      <c r="Y299" s="2">
        <v>0</v>
      </c>
      <c r="Z299" s="2">
        <v>15</v>
      </c>
      <c r="AA299">
        <v>1</v>
      </c>
      <c r="AB299" s="3">
        <v>1</v>
      </c>
      <c r="AC299" s="2">
        <v>15</v>
      </c>
      <c r="AD299" s="3">
        <v>0</v>
      </c>
      <c r="AE299" s="2">
        <v>0</v>
      </c>
      <c r="AF299" s="2">
        <v>15</v>
      </c>
      <c r="AK299">
        <v>6046031</v>
      </c>
    </row>
    <row r="300" spans="1:37" x14ac:dyDescent="0.25">
      <c r="A300" s="1">
        <v>46001</v>
      </c>
      <c r="B300" s="1">
        <v>46001</v>
      </c>
      <c r="C300" t="s">
        <v>38</v>
      </c>
      <c r="D300" t="s">
        <v>39</v>
      </c>
      <c r="E300" t="s">
        <v>40</v>
      </c>
      <c r="F300" t="s">
        <v>41</v>
      </c>
      <c r="G300" t="s">
        <v>42</v>
      </c>
      <c r="H300" t="s">
        <v>43</v>
      </c>
      <c r="I300">
        <v>102225774900</v>
      </c>
      <c r="J300" t="s">
        <v>500</v>
      </c>
      <c r="M300" t="s">
        <v>316</v>
      </c>
      <c r="O300" t="s">
        <v>317</v>
      </c>
      <c r="P300" t="s">
        <v>318</v>
      </c>
      <c r="Q300" t="s">
        <v>48</v>
      </c>
      <c r="R300" t="s">
        <v>319</v>
      </c>
      <c r="S300" s="1">
        <v>46023</v>
      </c>
      <c r="U300" t="s">
        <v>50</v>
      </c>
      <c r="X300" t="s">
        <v>51</v>
      </c>
      <c r="Y300" s="2">
        <v>0</v>
      </c>
      <c r="Z300" s="2">
        <v>25</v>
      </c>
      <c r="AA300">
        <v>1</v>
      </c>
      <c r="AB300" s="3">
        <v>1</v>
      </c>
      <c r="AC300" s="2">
        <v>25</v>
      </c>
      <c r="AD300" s="3">
        <v>0</v>
      </c>
      <c r="AE300" s="2">
        <v>0</v>
      </c>
      <c r="AF300" s="2">
        <v>25</v>
      </c>
      <c r="AK300">
        <v>6046044</v>
      </c>
    </row>
    <row r="301" spans="1:37" x14ac:dyDescent="0.25">
      <c r="A301" s="1">
        <v>46001</v>
      </c>
      <c r="B301" s="1">
        <v>46001</v>
      </c>
      <c r="C301" t="s">
        <v>38</v>
      </c>
      <c r="D301" t="s">
        <v>39</v>
      </c>
      <c r="E301" t="s">
        <v>40</v>
      </c>
      <c r="F301" t="s">
        <v>41</v>
      </c>
      <c r="G301" t="s">
        <v>42</v>
      </c>
      <c r="H301" t="s">
        <v>43</v>
      </c>
      <c r="I301">
        <v>102225881600</v>
      </c>
      <c r="J301" t="s">
        <v>501</v>
      </c>
      <c r="M301" t="s">
        <v>45</v>
      </c>
      <c r="O301" t="s">
        <v>159</v>
      </c>
      <c r="P301" t="s">
        <v>160</v>
      </c>
      <c r="Q301" t="s">
        <v>48</v>
      </c>
      <c r="R301" t="s">
        <v>314</v>
      </c>
      <c r="S301" s="1">
        <v>46023</v>
      </c>
      <c r="U301" t="s">
        <v>50</v>
      </c>
      <c r="X301" t="s">
        <v>51</v>
      </c>
      <c r="Y301" s="2">
        <v>0</v>
      </c>
      <c r="Z301" s="2">
        <v>15</v>
      </c>
      <c r="AA301">
        <v>1</v>
      </c>
      <c r="AB301" s="3">
        <v>1</v>
      </c>
      <c r="AC301" s="2">
        <v>15</v>
      </c>
      <c r="AD301" s="3">
        <v>0</v>
      </c>
      <c r="AE301" s="2">
        <v>0</v>
      </c>
      <c r="AF301" s="2">
        <v>15</v>
      </c>
      <c r="AK301">
        <v>6046047</v>
      </c>
    </row>
    <row r="302" spans="1:37" x14ac:dyDescent="0.25">
      <c r="A302" s="1">
        <v>46001</v>
      </c>
      <c r="B302" s="1">
        <v>46001</v>
      </c>
      <c r="C302" t="s">
        <v>38</v>
      </c>
      <c r="D302" t="s">
        <v>39</v>
      </c>
      <c r="E302" t="s">
        <v>40</v>
      </c>
      <c r="F302" t="s">
        <v>41</v>
      </c>
      <c r="G302" t="s">
        <v>42</v>
      </c>
      <c r="H302" t="s">
        <v>43</v>
      </c>
      <c r="I302">
        <v>102225932800</v>
      </c>
      <c r="J302" t="s">
        <v>502</v>
      </c>
      <c r="M302" t="s">
        <v>316</v>
      </c>
      <c r="O302" t="s">
        <v>325</v>
      </c>
      <c r="P302" t="s">
        <v>326</v>
      </c>
      <c r="Q302" t="s">
        <v>48</v>
      </c>
      <c r="R302" t="s">
        <v>314</v>
      </c>
      <c r="S302" s="1">
        <v>46023</v>
      </c>
      <c r="U302" t="s">
        <v>50</v>
      </c>
      <c r="X302" t="s">
        <v>51</v>
      </c>
      <c r="Y302" s="2">
        <v>0</v>
      </c>
      <c r="Z302" s="2">
        <v>15</v>
      </c>
      <c r="AA302">
        <v>1</v>
      </c>
      <c r="AB302" s="3">
        <v>1</v>
      </c>
      <c r="AC302" s="2">
        <v>15</v>
      </c>
      <c r="AD302" s="3">
        <v>0</v>
      </c>
      <c r="AE302" s="2">
        <v>0</v>
      </c>
      <c r="AF302" s="2">
        <v>15</v>
      </c>
      <c r="AK302">
        <v>6046051</v>
      </c>
    </row>
    <row r="303" spans="1:37" x14ac:dyDescent="0.25">
      <c r="A303" s="1">
        <v>46001</v>
      </c>
      <c r="B303" s="1">
        <v>46001</v>
      </c>
      <c r="C303" t="s">
        <v>38</v>
      </c>
      <c r="D303" t="s">
        <v>39</v>
      </c>
      <c r="E303" t="s">
        <v>40</v>
      </c>
      <c r="F303" t="s">
        <v>41</v>
      </c>
      <c r="G303" t="s">
        <v>42</v>
      </c>
      <c r="H303" t="s">
        <v>43</v>
      </c>
      <c r="I303">
        <v>102225940300</v>
      </c>
      <c r="J303" t="s">
        <v>503</v>
      </c>
      <c r="M303" t="s">
        <v>45</v>
      </c>
      <c r="O303" t="s">
        <v>159</v>
      </c>
      <c r="P303" t="s">
        <v>160</v>
      </c>
      <c r="Q303" t="s">
        <v>48</v>
      </c>
      <c r="R303" t="s">
        <v>314</v>
      </c>
      <c r="S303" s="1">
        <v>46023</v>
      </c>
      <c r="U303" t="s">
        <v>50</v>
      </c>
      <c r="X303" t="s">
        <v>51</v>
      </c>
      <c r="Y303" s="2">
        <v>0</v>
      </c>
      <c r="Z303" s="2">
        <v>15</v>
      </c>
      <c r="AA303">
        <v>1</v>
      </c>
      <c r="AB303" s="3">
        <v>1</v>
      </c>
      <c r="AC303" s="2">
        <v>15</v>
      </c>
      <c r="AD303" s="3">
        <v>0</v>
      </c>
      <c r="AE303" s="2">
        <v>0</v>
      </c>
      <c r="AF303" s="2">
        <v>15</v>
      </c>
      <c r="AK303">
        <v>6046052</v>
      </c>
    </row>
    <row r="304" spans="1:37" x14ac:dyDescent="0.25">
      <c r="A304" s="1">
        <v>46001</v>
      </c>
      <c r="B304" s="1">
        <v>46001</v>
      </c>
      <c r="C304" t="s">
        <v>38</v>
      </c>
      <c r="D304" t="s">
        <v>39</v>
      </c>
      <c r="E304" t="s">
        <v>40</v>
      </c>
      <c r="F304" t="s">
        <v>41</v>
      </c>
      <c r="G304" t="s">
        <v>42</v>
      </c>
      <c r="H304" t="s">
        <v>43</v>
      </c>
      <c r="I304">
        <v>102226023700</v>
      </c>
      <c r="J304" t="s">
        <v>504</v>
      </c>
      <c r="M304" t="s">
        <v>69</v>
      </c>
      <c r="O304" t="s">
        <v>332</v>
      </c>
      <c r="P304" t="s">
        <v>333</v>
      </c>
      <c r="Q304" t="s">
        <v>48</v>
      </c>
      <c r="R304" t="s">
        <v>314</v>
      </c>
      <c r="S304" s="1">
        <v>46023</v>
      </c>
      <c r="U304" t="s">
        <v>50</v>
      </c>
      <c r="X304" t="s">
        <v>51</v>
      </c>
      <c r="Y304" s="2">
        <v>0</v>
      </c>
      <c r="Z304" s="2">
        <v>15</v>
      </c>
      <c r="AA304">
        <v>1</v>
      </c>
      <c r="AB304" s="3">
        <v>1</v>
      </c>
      <c r="AC304" s="2">
        <v>15</v>
      </c>
      <c r="AD304" s="3">
        <v>0</v>
      </c>
      <c r="AE304" s="2">
        <v>0</v>
      </c>
      <c r="AF304" s="2">
        <v>15</v>
      </c>
      <c r="AK304">
        <v>6046054</v>
      </c>
    </row>
    <row r="305" spans="1:38" x14ac:dyDescent="0.25">
      <c r="A305" s="1">
        <v>46001</v>
      </c>
      <c r="B305" s="1">
        <v>46001</v>
      </c>
      <c r="C305" t="s">
        <v>38</v>
      </c>
      <c r="D305" t="s">
        <v>39</v>
      </c>
      <c r="E305" t="s">
        <v>40</v>
      </c>
      <c r="F305" t="s">
        <v>41</v>
      </c>
      <c r="G305" t="s">
        <v>42</v>
      </c>
      <c r="H305" t="s">
        <v>43</v>
      </c>
      <c r="I305">
        <v>102226592800</v>
      </c>
      <c r="J305" t="s">
        <v>505</v>
      </c>
      <c r="M305" t="s">
        <v>316</v>
      </c>
      <c r="O305" t="s">
        <v>63</v>
      </c>
      <c r="P305" t="s">
        <v>64</v>
      </c>
      <c r="Q305" t="s">
        <v>48</v>
      </c>
      <c r="R305" t="s">
        <v>453</v>
      </c>
      <c r="S305" s="1">
        <v>46054</v>
      </c>
      <c r="U305" t="s">
        <v>50</v>
      </c>
      <c r="X305" t="s">
        <v>51</v>
      </c>
      <c r="Y305" s="2">
        <v>0</v>
      </c>
      <c r="Z305" s="2">
        <v>22.92</v>
      </c>
      <c r="AA305">
        <v>1</v>
      </c>
      <c r="AB305" s="3">
        <v>1</v>
      </c>
      <c r="AC305" s="2">
        <v>22.92</v>
      </c>
      <c r="AD305" s="3">
        <v>0</v>
      </c>
      <c r="AE305" s="2">
        <v>0</v>
      </c>
      <c r="AF305" s="2">
        <v>22.92</v>
      </c>
      <c r="AK305">
        <v>6046069</v>
      </c>
      <c r="AL305" t="s">
        <v>454</v>
      </c>
    </row>
    <row r="306" spans="1:38" x14ac:dyDescent="0.25">
      <c r="A306" s="1">
        <v>46001</v>
      </c>
      <c r="B306" s="1">
        <v>46001</v>
      </c>
      <c r="C306" t="s">
        <v>38</v>
      </c>
      <c r="D306" t="s">
        <v>39</v>
      </c>
      <c r="E306" t="s">
        <v>40</v>
      </c>
      <c r="F306" t="s">
        <v>41</v>
      </c>
      <c r="G306" t="s">
        <v>42</v>
      </c>
      <c r="H306" t="s">
        <v>43</v>
      </c>
      <c r="I306">
        <v>102226765000</v>
      </c>
      <c r="J306" t="s">
        <v>506</v>
      </c>
      <c r="M306" t="s">
        <v>45</v>
      </c>
      <c r="O306" t="s">
        <v>232</v>
      </c>
      <c r="P306" t="s">
        <v>233</v>
      </c>
      <c r="Q306" t="s">
        <v>48</v>
      </c>
      <c r="R306" t="s">
        <v>314</v>
      </c>
      <c r="S306" s="1">
        <v>46023</v>
      </c>
      <c r="U306" t="s">
        <v>50</v>
      </c>
      <c r="X306" t="s">
        <v>51</v>
      </c>
      <c r="Y306" s="2">
        <v>0</v>
      </c>
      <c r="Z306" s="2">
        <v>15</v>
      </c>
      <c r="AA306">
        <v>1</v>
      </c>
      <c r="AB306" s="3">
        <v>1</v>
      </c>
      <c r="AC306" s="2">
        <v>15</v>
      </c>
      <c r="AD306" s="3">
        <v>0</v>
      </c>
      <c r="AE306" s="2">
        <v>0</v>
      </c>
      <c r="AF306" s="2">
        <v>15</v>
      </c>
      <c r="AK306">
        <v>6046071</v>
      </c>
    </row>
    <row r="307" spans="1:38" x14ac:dyDescent="0.25">
      <c r="A307" s="1">
        <v>46001</v>
      </c>
      <c r="B307" s="1">
        <v>46001</v>
      </c>
      <c r="C307" t="s">
        <v>38</v>
      </c>
      <c r="D307" t="s">
        <v>39</v>
      </c>
      <c r="E307" t="s">
        <v>40</v>
      </c>
      <c r="F307" t="s">
        <v>41</v>
      </c>
      <c r="G307" t="s">
        <v>42</v>
      </c>
      <c r="H307" t="s">
        <v>43</v>
      </c>
      <c r="I307">
        <v>102226787800</v>
      </c>
      <c r="J307" t="s">
        <v>507</v>
      </c>
      <c r="M307" t="s">
        <v>316</v>
      </c>
      <c r="O307" t="s">
        <v>508</v>
      </c>
      <c r="P307" t="s">
        <v>509</v>
      </c>
      <c r="Q307" t="s">
        <v>48</v>
      </c>
      <c r="R307" t="s">
        <v>314</v>
      </c>
      <c r="S307" s="1">
        <v>46023</v>
      </c>
      <c r="U307" t="s">
        <v>50</v>
      </c>
      <c r="X307" t="s">
        <v>51</v>
      </c>
      <c r="Y307" s="2">
        <v>0</v>
      </c>
      <c r="Z307" s="2">
        <v>15</v>
      </c>
      <c r="AA307">
        <v>1</v>
      </c>
      <c r="AB307" s="3">
        <v>1</v>
      </c>
      <c r="AC307" s="2">
        <v>15</v>
      </c>
      <c r="AD307" s="3">
        <v>0</v>
      </c>
      <c r="AE307" s="2">
        <v>0</v>
      </c>
      <c r="AF307" s="2">
        <v>15</v>
      </c>
      <c r="AK307">
        <v>6046073</v>
      </c>
    </row>
    <row r="308" spans="1:38" x14ac:dyDescent="0.25">
      <c r="A308" s="1">
        <v>46001</v>
      </c>
      <c r="B308" s="1">
        <v>46001</v>
      </c>
      <c r="C308" t="s">
        <v>38</v>
      </c>
      <c r="D308" t="s">
        <v>39</v>
      </c>
      <c r="E308" t="s">
        <v>40</v>
      </c>
      <c r="F308" t="s">
        <v>41</v>
      </c>
      <c r="G308" t="s">
        <v>42</v>
      </c>
      <c r="H308" t="s">
        <v>43</v>
      </c>
      <c r="I308">
        <v>102226811100</v>
      </c>
      <c r="J308" t="s">
        <v>510</v>
      </c>
      <c r="M308" t="s">
        <v>45</v>
      </c>
      <c r="O308" t="s">
        <v>159</v>
      </c>
      <c r="P308" t="s">
        <v>160</v>
      </c>
      <c r="Q308" t="s">
        <v>48</v>
      </c>
      <c r="R308" t="s">
        <v>314</v>
      </c>
      <c r="S308" s="1">
        <v>46023</v>
      </c>
      <c r="U308" t="s">
        <v>50</v>
      </c>
      <c r="X308" t="s">
        <v>51</v>
      </c>
      <c r="Y308" s="2">
        <v>0</v>
      </c>
      <c r="Z308" s="2">
        <v>15</v>
      </c>
      <c r="AA308">
        <v>1</v>
      </c>
      <c r="AB308" s="3">
        <v>1</v>
      </c>
      <c r="AC308" s="2">
        <v>15</v>
      </c>
      <c r="AD308" s="3">
        <v>0</v>
      </c>
      <c r="AE308" s="2">
        <v>0</v>
      </c>
      <c r="AF308" s="2">
        <v>15</v>
      </c>
      <c r="AK308">
        <v>6046074</v>
      </c>
    </row>
    <row r="309" spans="1:38" x14ac:dyDescent="0.25">
      <c r="A309" s="1">
        <v>46001</v>
      </c>
      <c r="B309" s="1">
        <v>46001</v>
      </c>
      <c r="C309" t="s">
        <v>38</v>
      </c>
      <c r="D309" t="s">
        <v>39</v>
      </c>
      <c r="E309" t="s">
        <v>40</v>
      </c>
      <c r="F309" t="s">
        <v>41</v>
      </c>
      <c r="G309" t="s">
        <v>42</v>
      </c>
      <c r="H309" t="s">
        <v>43</v>
      </c>
      <c r="I309">
        <v>102226815500</v>
      </c>
      <c r="J309" t="s">
        <v>511</v>
      </c>
      <c r="M309" t="s">
        <v>45</v>
      </c>
      <c r="O309" t="s">
        <v>232</v>
      </c>
      <c r="P309" t="s">
        <v>233</v>
      </c>
      <c r="Q309" t="s">
        <v>48</v>
      </c>
      <c r="R309" t="s">
        <v>314</v>
      </c>
      <c r="S309" s="1">
        <v>46023</v>
      </c>
      <c r="U309" t="s">
        <v>50</v>
      </c>
      <c r="X309" t="s">
        <v>51</v>
      </c>
      <c r="Y309" s="2">
        <v>0</v>
      </c>
      <c r="Z309" s="2">
        <v>15</v>
      </c>
      <c r="AA309">
        <v>1</v>
      </c>
      <c r="AB309" s="3">
        <v>1</v>
      </c>
      <c r="AC309" s="2">
        <v>15</v>
      </c>
      <c r="AD309" s="3">
        <v>0</v>
      </c>
      <c r="AE309" s="2">
        <v>0</v>
      </c>
      <c r="AF309" s="2">
        <v>15</v>
      </c>
      <c r="AK309">
        <v>6046075</v>
      </c>
    </row>
    <row r="310" spans="1:38" x14ac:dyDescent="0.25">
      <c r="A310" s="1">
        <v>46001</v>
      </c>
      <c r="B310" s="1">
        <v>46001</v>
      </c>
      <c r="C310" t="s">
        <v>38</v>
      </c>
      <c r="D310" t="s">
        <v>39</v>
      </c>
      <c r="E310" t="s">
        <v>40</v>
      </c>
      <c r="F310" t="s">
        <v>41</v>
      </c>
      <c r="G310" t="s">
        <v>42</v>
      </c>
      <c r="H310" t="s">
        <v>43</v>
      </c>
      <c r="I310">
        <v>102226874700</v>
      </c>
      <c r="J310" t="s">
        <v>512</v>
      </c>
      <c r="M310" t="s">
        <v>69</v>
      </c>
      <c r="O310" t="s">
        <v>332</v>
      </c>
      <c r="P310" t="s">
        <v>333</v>
      </c>
      <c r="Q310" t="s">
        <v>48</v>
      </c>
      <c r="R310" t="s">
        <v>314</v>
      </c>
      <c r="S310" s="1">
        <v>46023</v>
      </c>
      <c r="U310" t="s">
        <v>50</v>
      </c>
      <c r="X310" t="s">
        <v>51</v>
      </c>
      <c r="Y310" s="2">
        <v>0</v>
      </c>
      <c r="Z310" s="2">
        <v>15</v>
      </c>
      <c r="AA310">
        <v>1</v>
      </c>
      <c r="AB310" s="3">
        <v>1</v>
      </c>
      <c r="AC310" s="2">
        <v>15</v>
      </c>
      <c r="AD310" s="3">
        <v>0</v>
      </c>
      <c r="AE310" s="2">
        <v>0</v>
      </c>
      <c r="AF310" s="2">
        <v>15</v>
      </c>
      <c r="AK310">
        <v>6046078</v>
      </c>
    </row>
    <row r="311" spans="1:38" x14ac:dyDescent="0.25">
      <c r="A311" s="1">
        <v>46001</v>
      </c>
      <c r="B311" s="1">
        <v>46001</v>
      </c>
      <c r="C311" t="s">
        <v>38</v>
      </c>
      <c r="D311" t="s">
        <v>39</v>
      </c>
      <c r="E311" t="s">
        <v>40</v>
      </c>
      <c r="F311" t="s">
        <v>41</v>
      </c>
      <c r="G311" t="s">
        <v>42</v>
      </c>
      <c r="H311" t="s">
        <v>43</v>
      </c>
      <c r="I311">
        <v>102226985300</v>
      </c>
      <c r="J311" t="s">
        <v>513</v>
      </c>
      <c r="M311" t="s">
        <v>113</v>
      </c>
      <c r="O311" t="s">
        <v>90</v>
      </c>
      <c r="P311" t="s">
        <v>91</v>
      </c>
      <c r="Q311" t="s">
        <v>48</v>
      </c>
      <c r="R311" t="s">
        <v>314</v>
      </c>
      <c r="S311" s="1">
        <v>46023</v>
      </c>
      <c r="U311" t="s">
        <v>50</v>
      </c>
      <c r="X311" t="s">
        <v>51</v>
      </c>
      <c r="Y311" s="2">
        <v>0</v>
      </c>
      <c r="Z311" s="2">
        <v>15</v>
      </c>
      <c r="AA311">
        <v>1</v>
      </c>
      <c r="AB311" s="3">
        <v>1</v>
      </c>
      <c r="AC311" s="2">
        <v>15</v>
      </c>
      <c r="AD311" s="3">
        <v>0</v>
      </c>
      <c r="AE311" s="2">
        <v>0</v>
      </c>
      <c r="AF311" s="2">
        <v>15</v>
      </c>
      <c r="AK311">
        <v>6046088</v>
      </c>
    </row>
    <row r="312" spans="1:38" x14ac:dyDescent="0.25">
      <c r="A312" s="1">
        <v>46001</v>
      </c>
      <c r="B312" s="1">
        <v>46001</v>
      </c>
      <c r="C312" t="s">
        <v>38</v>
      </c>
      <c r="D312" t="s">
        <v>39</v>
      </c>
      <c r="E312" t="s">
        <v>40</v>
      </c>
      <c r="F312" t="s">
        <v>41</v>
      </c>
      <c r="G312" t="s">
        <v>42</v>
      </c>
      <c r="H312" t="s">
        <v>43</v>
      </c>
      <c r="I312">
        <v>102227121800</v>
      </c>
      <c r="J312" t="s">
        <v>514</v>
      </c>
      <c r="M312" t="s">
        <v>69</v>
      </c>
      <c r="O312" t="s">
        <v>332</v>
      </c>
      <c r="P312" t="s">
        <v>333</v>
      </c>
      <c r="Q312" t="s">
        <v>48</v>
      </c>
      <c r="R312" t="s">
        <v>314</v>
      </c>
      <c r="S312" s="1">
        <v>46023</v>
      </c>
      <c r="U312" t="s">
        <v>50</v>
      </c>
      <c r="X312" t="s">
        <v>51</v>
      </c>
      <c r="Y312" s="2">
        <v>0</v>
      </c>
      <c r="Z312" s="2">
        <v>15</v>
      </c>
      <c r="AA312">
        <v>1</v>
      </c>
      <c r="AB312" s="3">
        <v>1</v>
      </c>
      <c r="AC312" s="2">
        <v>15</v>
      </c>
      <c r="AD312" s="3">
        <v>0</v>
      </c>
      <c r="AE312" s="2">
        <v>0</v>
      </c>
      <c r="AF312" s="2">
        <v>15</v>
      </c>
      <c r="AK312">
        <v>6046093</v>
      </c>
    </row>
    <row r="313" spans="1:38" x14ac:dyDescent="0.25">
      <c r="A313" s="1">
        <v>46001</v>
      </c>
      <c r="B313" s="1">
        <v>46001</v>
      </c>
      <c r="C313" t="s">
        <v>38</v>
      </c>
      <c r="D313" t="s">
        <v>39</v>
      </c>
      <c r="E313" t="s">
        <v>40</v>
      </c>
      <c r="F313" t="s">
        <v>41</v>
      </c>
      <c r="G313" t="s">
        <v>42</v>
      </c>
      <c r="H313" t="s">
        <v>43</v>
      </c>
      <c r="I313">
        <v>102228026900</v>
      </c>
      <c r="J313" t="s">
        <v>515</v>
      </c>
      <c r="M313" t="s">
        <v>45</v>
      </c>
      <c r="O313" t="s">
        <v>80</v>
      </c>
      <c r="P313" t="s">
        <v>81</v>
      </c>
      <c r="Q313" t="s">
        <v>48</v>
      </c>
      <c r="R313" t="s">
        <v>319</v>
      </c>
      <c r="S313" s="1">
        <v>46023</v>
      </c>
      <c r="U313" t="s">
        <v>50</v>
      </c>
      <c r="X313" t="s">
        <v>51</v>
      </c>
      <c r="Y313" s="2">
        <v>0</v>
      </c>
      <c r="Z313" s="2">
        <v>25</v>
      </c>
      <c r="AA313">
        <v>1</v>
      </c>
      <c r="AB313" s="3">
        <v>1</v>
      </c>
      <c r="AC313" s="2">
        <v>25</v>
      </c>
      <c r="AD313" s="3">
        <v>0</v>
      </c>
      <c r="AE313" s="2">
        <v>0</v>
      </c>
      <c r="AF313" s="2">
        <v>25</v>
      </c>
      <c r="AK313">
        <v>6046114</v>
      </c>
    </row>
    <row r="314" spans="1:38" x14ac:dyDescent="0.25">
      <c r="A314" s="1">
        <v>46001</v>
      </c>
      <c r="B314" s="1">
        <v>46001</v>
      </c>
      <c r="C314" t="s">
        <v>38</v>
      </c>
      <c r="D314" t="s">
        <v>39</v>
      </c>
      <c r="E314" t="s">
        <v>40</v>
      </c>
      <c r="F314" t="s">
        <v>41</v>
      </c>
      <c r="G314" t="s">
        <v>42</v>
      </c>
      <c r="H314" t="s">
        <v>43</v>
      </c>
      <c r="I314">
        <v>102228120500</v>
      </c>
      <c r="J314" t="s">
        <v>516</v>
      </c>
      <c r="M314" t="s">
        <v>316</v>
      </c>
      <c r="O314" t="s">
        <v>317</v>
      </c>
      <c r="P314" t="s">
        <v>318</v>
      </c>
      <c r="Q314" t="s">
        <v>48</v>
      </c>
      <c r="R314" t="s">
        <v>319</v>
      </c>
      <c r="S314" s="1">
        <v>46023</v>
      </c>
      <c r="U314" t="s">
        <v>50</v>
      </c>
      <c r="X314" t="s">
        <v>51</v>
      </c>
      <c r="Y314" s="2">
        <v>0</v>
      </c>
      <c r="Z314" s="2">
        <v>25</v>
      </c>
      <c r="AA314">
        <v>1</v>
      </c>
      <c r="AB314" s="3">
        <v>1</v>
      </c>
      <c r="AC314" s="2">
        <v>25</v>
      </c>
      <c r="AD314" s="3">
        <v>0</v>
      </c>
      <c r="AE314" s="2">
        <v>0</v>
      </c>
      <c r="AF314" s="2">
        <v>25</v>
      </c>
      <c r="AK314">
        <v>6046119</v>
      </c>
    </row>
    <row r="315" spans="1:38" x14ac:dyDescent="0.25">
      <c r="A315" s="1">
        <v>46001</v>
      </c>
      <c r="B315" s="1">
        <v>46001</v>
      </c>
      <c r="C315" t="s">
        <v>38</v>
      </c>
      <c r="D315" t="s">
        <v>39</v>
      </c>
      <c r="E315" t="s">
        <v>40</v>
      </c>
      <c r="F315" t="s">
        <v>41</v>
      </c>
      <c r="G315" t="s">
        <v>42</v>
      </c>
      <c r="H315" t="s">
        <v>43</v>
      </c>
      <c r="I315">
        <v>102228383100</v>
      </c>
      <c r="J315" t="s">
        <v>517</v>
      </c>
      <c r="M315" t="s">
        <v>45</v>
      </c>
      <c r="O315" t="s">
        <v>518</v>
      </c>
      <c r="P315" t="s">
        <v>519</v>
      </c>
      <c r="Q315" t="s">
        <v>48</v>
      </c>
      <c r="R315" t="s">
        <v>314</v>
      </c>
      <c r="S315" s="1">
        <v>46023</v>
      </c>
      <c r="U315" t="s">
        <v>50</v>
      </c>
      <c r="X315" t="s">
        <v>51</v>
      </c>
      <c r="Y315" s="2">
        <v>0</v>
      </c>
      <c r="Z315" s="2">
        <v>15</v>
      </c>
      <c r="AA315">
        <v>1</v>
      </c>
      <c r="AB315" s="3">
        <v>1</v>
      </c>
      <c r="AC315" s="2">
        <v>15</v>
      </c>
      <c r="AD315" s="3">
        <v>0</v>
      </c>
      <c r="AE315" s="2">
        <v>0</v>
      </c>
      <c r="AF315" s="2">
        <v>15</v>
      </c>
      <c r="AK315">
        <v>6046123</v>
      </c>
    </row>
    <row r="316" spans="1:38" x14ac:dyDescent="0.25">
      <c r="A316" s="1">
        <v>46001</v>
      </c>
      <c r="B316" s="1">
        <v>46001</v>
      </c>
      <c r="C316" t="s">
        <v>38</v>
      </c>
      <c r="D316" t="s">
        <v>39</v>
      </c>
      <c r="E316" t="s">
        <v>40</v>
      </c>
      <c r="F316" t="s">
        <v>41</v>
      </c>
      <c r="G316" t="s">
        <v>42</v>
      </c>
      <c r="H316" t="s">
        <v>43</v>
      </c>
      <c r="I316">
        <v>102228439400</v>
      </c>
      <c r="J316" t="s">
        <v>520</v>
      </c>
      <c r="M316" t="s">
        <v>45</v>
      </c>
      <c r="O316" t="s">
        <v>58</v>
      </c>
      <c r="P316" t="s">
        <v>59</v>
      </c>
      <c r="Q316" t="s">
        <v>48</v>
      </c>
      <c r="R316" t="s">
        <v>314</v>
      </c>
      <c r="S316" s="1">
        <v>46023</v>
      </c>
      <c r="U316" t="s">
        <v>50</v>
      </c>
      <c r="X316" t="s">
        <v>51</v>
      </c>
      <c r="Y316" s="2">
        <v>0</v>
      </c>
      <c r="Z316" s="2">
        <v>15</v>
      </c>
      <c r="AA316">
        <v>1</v>
      </c>
      <c r="AB316" s="3">
        <v>1</v>
      </c>
      <c r="AC316" s="2">
        <v>15</v>
      </c>
      <c r="AD316" s="3">
        <v>0</v>
      </c>
      <c r="AE316" s="2">
        <v>0</v>
      </c>
      <c r="AF316" s="2">
        <v>15</v>
      </c>
      <c r="AK316">
        <v>6046128</v>
      </c>
    </row>
    <row r="317" spans="1:38" x14ac:dyDescent="0.25">
      <c r="A317" s="1">
        <v>46001</v>
      </c>
      <c r="B317" s="1">
        <v>46001</v>
      </c>
      <c r="C317" t="s">
        <v>38</v>
      </c>
      <c r="D317" t="s">
        <v>39</v>
      </c>
      <c r="E317" t="s">
        <v>40</v>
      </c>
      <c r="F317" t="s">
        <v>41</v>
      </c>
      <c r="G317" t="s">
        <v>42</v>
      </c>
      <c r="H317" t="s">
        <v>43</v>
      </c>
      <c r="I317">
        <v>102228442200</v>
      </c>
      <c r="J317" t="s">
        <v>521</v>
      </c>
      <c r="M317" t="s">
        <v>45</v>
      </c>
      <c r="O317" t="s">
        <v>159</v>
      </c>
      <c r="P317" t="s">
        <v>160</v>
      </c>
      <c r="Q317" t="s">
        <v>48</v>
      </c>
      <c r="R317" t="s">
        <v>314</v>
      </c>
      <c r="S317" s="1">
        <v>46023</v>
      </c>
      <c r="U317" t="s">
        <v>50</v>
      </c>
      <c r="X317" t="s">
        <v>51</v>
      </c>
      <c r="Y317" s="2">
        <v>0</v>
      </c>
      <c r="Z317" s="2">
        <v>15</v>
      </c>
      <c r="AA317">
        <v>1</v>
      </c>
      <c r="AB317" s="3">
        <v>1</v>
      </c>
      <c r="AC317" s="2">
        <v>15</v>
      </c>
      <c r="AD317" s="3">
        <v>0</v>
      </c>
      <c r="AE317" s="2">
        <v>0</v>
      </c>
      <c r="AF317" s="2">
        <v>15</v>
      </c>
      <c r="AK317">
        <v>6046129</v>
      </c>
    </row>
    <row r="318" spans="1:38" x14ac:dyDescent="0.25">
      <c r="A318" s="1">
        <v>46001</v>
      </c>
      <c r="B318" s="1">
        <v>46001</v>
      </c>
      <c r="C318" t="s">
        <v>38</v>
      </c>
      <c r="D318" t="s">
        <v>39</v>
      </c>
      <c r="E318" t="s">
        <v>40</v>
      </c>
      <c r="F318" t="s">
        <v>41</v>
      </c>
      <c r="G318" t="s">
        <v>42</v>
      </c>
      <c r="H318" t="s">
        <v>43</v>
      </c>
      <c r="I318">
        <v>102228477200</v>
      </c>
      <c r="J318" t="s">
        <v>522</v>
      </c>
      <c r="M318" t="s">
        <v>83</v>
      </c>
      <c r="O318" t="s">
        <v>420</v>
      </c>
      <c r="P318" t="s">
        <v>421</v>
      </c>
      <c r="Q318" t="s">
        <v>48</v>
      </c>
      <c r="R318" t="s">
        <v>314</v>
      </c>
      <c r="S318" s="1">
        <v>46023</v>
      </c>
      <c r="U318" t="s">
        <v>50</v>
      </c>
      <c r="X318" t="s">
        <v>51</v>
      </c>
      <c r="Y318" s="2">
        <v>0</v>
      </c>
      <c r="Z318" s="2">
        <v>15</v>
      </c>
      <c r="AA318">
        <v>1</v>
      </c>
      <c r="AB318" s="3">
        <v>1</v>
      </c>
      <c r="AC318" s="2">
        <v>15</v>
      </c>
      <c r="AD318" s="3">
        <v>0</v>
      </c>
      <c r="AE318" s="2">
        <v>0</v>
      </c>
      <c r="AF318" s="2">
        <v>15</v>
      </c>
      <c r="AK318">
        <v>6046131</v>
      </c>
    </row>
    <row r="319" spans="1:38" x14ac:dyDescent="0.25">
      <c r="A319" s="1">
        <v>46001</v>
      </c>
      <c r="B319" s="1">
        <v>46001</v>
      </c>
      <c r="C319" t="s">
        <v>38</v>
      </c>
      <c r="D319" t="s">
        <v>39</v>
      </c>
      <c r="E319" t="s">
        <v>40</v>
      </c>
      <c r="F319" t="s">
        <v>41</v>
      </c>
      <c r="G319" t="s">
        <v>42</v>
      </c>
      <c r="H319" t="s">
        <v>43</v>
      </c>
      <c r="I319">
        <v>102228479800</v>
      </c>
      <c r="J319" t="s">
        <v>523</v>
      </c>
      <c r="M319" t="s">
        <v>45</v>
      </c>
      <c r="O319" t="s">
        <v>141</v>
      </c>
      <c r="P319" t="s">
        <v>142</v>
      </c>
      <c r="Q319" t="s">
        <v>48</v>
      </c>
      <c r="R319" t="s">
        <v>314</v>
      </c>
      <c r="S319" s="1">
        <v>46023</v>
      </c>
      <c r="U319" t="s">
        <v>50</v>
      </c>
      <c r="X319" t="s">
        <v>51</v>
      </c>
      <c r="Y319" s="2">
        <v>0</v>
      </c>
      <c r="Z319" s="2">
        <v>15</v>
      </c>
      <c r="AA319">
        <v>1</v>
      </c>
      <c r="AB319" s="3">
        <v>1</v>
      </c>
      <c r="AC319" s="2">
        <v>15</v>
      </c>
      <c r="AD319" s="3">
        <v>0</v>
      </c>
      <c r="AE319" s="2">
        <v>0</v>
      </c>
      <c r="AF319" s="2">
        <v>15</v>
      </c>
      <c r="AK319">
        <v>6046133</v>
      </c>
    </row>
    <row r="320" spans="1:38" x14ac:dyDescent="0.25">
      <c r="A320" s="1">
        <v>46001</v>
      </c>
      <c r="B320" s="1">
        <v>46001</v>
      </c>
      <c r="C320" t="s">
        <v>38</v>
      </c>
      <c r="D320" t="s">
        <v>39</v>
      </c>
      <c r="E320" t="s">
        <v>40</v>
      </c>
      <c r="F320" t="s">
        <v>41</v>
      </c>
      <c r="G320" t="s">
        <v>42</v>
      </c>
      <c r="H320" t="s">
        <v>43</v>
      </c>
      <c r="I320">
        <v>102228492100</v>
      </c>
      <c r="J320" t="s">
        <v>524</v>
      </c>
      <c r="M320" t="s">
        <v>316</v>
      </c>
      <c r="O320" t="s">
        <v>325</v>
      </c>
      <c r="P320" t="s">
        <v>326</v>
      </c>
      <c r="Q320" t="s">
        <v>48</v>
      </c>
      <c r="R320" t="s">
        <v>314</v>
      </c>
      <c r="S320" s="1">
        <v>46023</v>
      </c>
      <c r="U320" t="s">
        <v>50</v>
      </c>
      <c r="X320" t="s">
        <v>51</v>
      </c>
      <c r="Y320" s="2">
        <v>0</v>
      </c>
      <c r="Z320" s="2">
        <v>15</v>
      </c>
      <c r="AA320">
        <v>1</v>
      </c>
      <c r="AB320" s="3">
        <v>1</v>
      </c>
      <c r="AC320" s="2">
        <v>15</v>
      </c>
      <c r="AD320" s="3">
        <v>0</v>
      </c>
      <c r="AE320" s="2">
        <v>0</v>
      </c>
      <c r="AF320" s="2">
        <v>15</v>
      </c>
      <c r="AK320">
        <v>6046134</v>
      </c>
    </row>
    <row r="321" spans="1:37" x14ac:dyDescent="0.25">
      <c r="A321" s="1">
        <v>46001</v>
      </c>
      <c r="B321" s="1">
        <v>46001</v>
      </c>
      <c r="C321" t="s">
        <v>38</v>
      </c>
      <c r="D321" t="s">
        <v>39</v>
      </c>
      <c r="E321" t="s">
        <v>40</v>
      </c>
      <c r="F321" t="s">
        <v>41</v>
      </c>
      <c r="G321" t="s">
        <v>42</v>
      </c>
      <c r="H321" t="s">
        <v>43</v>
      </c>
      <c r="I321">
        <v>102228552100</v>
      </c>
      <c r="J321" t="s">
        <v>525</v>
      </c>
      <c r="M321" t="s">
        <v>316</v>
      </c>
      <c r="O321" t="s">
        <v>325</v>
      </c>
      <c r="P321" t="s">
        <v>326</v>
      </c>
      <c r="Q321" t="s">
        <v>48</v>
      </c>
      <c r="R321" t="s">
        <v>314</v>
      </c>
      <c r="S321" s="1">
        <v>46023</v>
      </c>
      <c r="U321" t="s">
        <v>50</v>
      </c>
      <c r="X321" t="s">
        <v>51</v>
      </c>
      <c r="Y321" s="2">
        <v>0</v>
      </c>
      <c r="Z321" s="2">
        <v>15</v>
      </c>
      <c r="AA321">
        <v>1</v>
      </c>
      <c r="AB321" s="3">
        <v>1</v>
      </c>
      <c r="AC321" s="2">
        <v>15</v>
      </c>
      <c r="AD321" s="3">
        <v>0</v>
      </c>
      <c r="AE321" s="2">
        <v>0</v>
      </c>
      <c r="AF321" s="2">
        <v>15</v>
      </c>
      <c r="AK321">
        <v>6046135</v>
      </c>
    </row>
    <row r="322" spans="1:37" x14ac:dyDescent="0.25">
      <c r="A322" s="1">
        <v>46001</v>
      </c>
      <c r="B322" s="1">
        <v>46001</v>
      </c>
      <c r="C322" t="s">
        <v>38</v>
      </c>
      <c r="D322" t="s">
        <v>39</v>
      </c>
      <c r="E322" t="s">
        <v>40</v>
      </c>
      <c r="F322" t="s">
        <v>41</v>
      </c>
      <c r="G322" t="s">
        <v>42</v>
      </c>
      <c r="H322" t="s">
        <v>43</v>
      </c>
      <c r="I322">
        <v>102228573700</v>
      </c>
      <c r="J322" t="s">
        <v>526</v>
      </c>
      <c r="M322" t="s">
        <v>45</v>
      </c>
      <c r="O322" t="s">
        <v>166</v>
      </c>
      <c r="P322" t="s">
        <v>167</v>
      </c>
      <c r="Q322" t="s">
        <v>48</v>
      </c>
      <c r="R322" t="s">
        <v>314</v>
      </c>
      <c r="S322" s="1">
        <v>46023</v>
      </c>
      <c r="U322" t="s">
        <v>50</v>
      </c>
      <c r="X322" t="s">
        <v>51</v>
      </c>
      <c r="Y322" s="2">
        <v>0</v>
      </c>
      <c r="Z322" s="2">
        <v>15</v>
      </c>
      <c r="AA322">
        <v>1</v>
      </c>
      <c r="AB322" s="3">
        <v>1</v>
      </c>
      <c r="AC322" s="2">
        <v>15</v>
      </c>
      <c r="AD322" s="3">
        <v>0</v>
      </c>
      <c r="AE322" s="2">
        <v>0</v>
      </c>
      <c r="AF322" s="2">
        <v>15</v>
      </c>
      <c r="AK322">
        <v>6046136</v>
      </c>
    </row>
    <row r="323" spans="1:37" x14ac:dyDescent="0.25">
      <c r="A323" s="1">
        <v>46001</v>
      </c>
      <c r="B323" s="1">
        <v>46001</v>
      </c>
      <c r="C323" t="s">
        <v>38</v>
      </c>
      <c r="D323" t="s">
        <v>39</v>
      </c>
      <c r="E323" t="s">
        <v>40</v>
      </c>
      <c r="F323" t="s">
        <v>41</v>
      </c>
      <c r="G323" t="s">
        <v>42</v>
      </c>
      <c r="H323" t="s">
        <v>43</v>
      </c>
      <c r="I323">
        <v>102228592300</v>
      </c>
      <c r="J323" t="s">
        <v>527</v>
      </c>
      <c r="M323" t="s">
        <v>113</v>
      </c>
      <c r="O323" t="s">
        <v>90</v>
      </c>
      <c r="P323" t="s">
        <v>91</v>
      </c>
      <c r="Q323" t="s">
        <v>48</v>
      </c>
      <c r="R323" t="s">
        <v>314</v>
      </c>
      <c r="S323" s="1">
        <v>46023</v>
      </c>
      <c r="U323" t="s">
        <v>50</v>
      </c>
      <c r="X323" t="s">
        <v>51</v>
      </c>
      <c r="Y323" s="2">
        <v>0</v>
      </c>
      <c r="Z323" s="2">
        <v>15</v>
      </c>
      <c r="AA323">
        <v>1</v>
      </c>
      <c r="AB323" s="3">
        <v>1</v>
      </c>
      <c r="AC323" s="2">
        <v>15</v>
      </c>
      <c r="AD323" s="3">
        <v>0</v>
      </c>
      <c r="AE323" s="2">
        <v>0</v>
      </c>
      <c r="AF323" s="2">
        <v>15</v>
      </c>
      <c r="AK323">
        <v>6046137</v>
      </c>
    </row>
    <row r="324" spans="1:37" x14ac:dyDescent="0.25">
      <c r="A324" s="1">
        <v>46001</v>
      </c>
      <c r="B324" s="1">
        <v>46001</v>
      </c>
      <c r="C324" t="s">
        <v>38</v>
      </c>
      <c r="D324" t="s">
        <v>39</v>
      </c>
      <c r="E324" t="s">
        <v>40</v>
      </c>
      <c r="F324" t="s">
        <v>41</v>
      </c>
      <c r="G324" t="s">
        <v>42</v>
      </c>
      <c r="H324" t="s">
        <v>43</v>
      </c>
      <c r="I324">
        <v>102228922000</v>
      </c>
      <c r="J324" t="s">
        <v>528</v>
      </c>
      <c r="M324" t="s">
        <v>45</v>
      </c>
      <c r="O324" t="s">
        <v>159</v>
      </c>
      <c r="P324" t="s">
        <v>160</v>
      </c>
      <c r="Q324" t="s">
        <v>48</v>
      </c>
      <c r="R324" t="s">
        <v>314</v>
      </c>
      <c r="S324" s="1">
        <v>46023</v>
      </c>
      <c r="U324" t="s">
        <v>50</v>
      </c>
      <c r="X324" t="s">
        <v>51</v>
      </c>
      <c r="Y324" s="2">
        <v>0</v>
      </c>
      <c r="Z324" s="2">
        <v>15</v>
      </c>
      <c r="AA324">
        <v>1</v>
      </c>
      <c r="AB324" s="3">
        <v>1</v>
      </c>
      <c r="AC324" s="2">
        <v>15</v>
      </c>
      <c r="AD324" s="3">
        <v>0</v>
      </c>
      <c r="AE324" s="2">
        <v>0</v>
      </c>
      <c r="AF324" s="2">
        <v>15</v>
      </c>
      <c r="AK324">
        <v>6046149</v>
      </c>
    </row>
    <row r="325" spans="1:37" x14ac:dyDescent="0.25">
      <c r="A325" s="1">
        <v>46001</v>
      </c>
      <c r="B325" s="1">
        <v>46001</v>
      </c>
      <c r="C325" t="s">
        <v>38</v>
      </c>
      <c r="D325" t="s">
        <v>39</v>
      </c>
      <c r="E325" t="s">
        <v>40</v>
      </c>
      <c r="F325" t="s">
        <v>41</v>
      </c>
      <c r="G325" t="s">
        <v>42</v>
      </c>
      <c r="H325" t="s">
        <v>43</v>
      </c>
      <c r="I325">
        <v>102229011500</v>
      </c>
      <c r="J325" t="s">
        <v>529</v>
      </c>
      <c r="M325" t="s">
        <v>45</v>
      </c>
      <c r="O325" t="s">
        <v>159</v>
      </c>
      <c r="P325" t="s">
        <v>160</v>
      </c>
      <c r="Q325" t="s">
        <v>48</v>
      </c>
      <c r="R325" t="s">
        <v>319</v>
      </c>
      <c r="S325" s="1">
        <v>46023</v>
      </c>
      <c r="U325" t="s">
        <v>50</v>
      </c>
      <c r="X325" t="s">
        <v>51</v>
      </c>
      <c r="Y325" s="2">
        <v>0</v>
      </c>
      <c r="Z325" s="2">
        <v>25</v>
      </c>
      <c r="AA325">
        <v>1</v>
      </c>
      <c r="AB325" s="3">
        <v>1</v>
      </c>
      <c r="AC325" s="2">
        <v>25</v>
      </c>
      <c r="AD325" s="3">
        <v>0</v>
      </c>
      <c r="AE325" s="2">
        <v>0</v>
      </c>
      <c r="AF325" s="2">
        <v>25</v>
      </c>
      <c r="AK325">
        <v>6046154</v>
      </c>
    </row>
    <row r="326" spans="1:37" x14ac:dyDescent="0.25">
      <c r="A326" s="1">
        <v>46001</v>
      </c>
      <c r="B326" s="1">
        <v>46001</v>
      </c>
      <c r="C326" t="s">
        <v>38</v>
      </c>
      <c r="D326" t="s">
        <v>39</v>
      </c>
      <c r="E326" t="s">
        <v>40</v>
      </c>
      <c r="F326" t="s">
        <v>41</v>
      </c>
      <c r="G326" t="s">
        <v>42</v>
      </c>
      <c r="H326" t="s">
        <v>43</v>
      </c>
      <c r="I326">
        <v>102229390800</v>
      </c>
      <c r="J326" t="s">
        <v>530</v>
      </c>
      <c r="M326" t="s">
        <v>69</v>
      </c>
      <c r="O326" t="s">
        <v>70</v>
      </c>
      <c r="P326" t="s">
        <v>71</v>
      </c>
      <c r="Q326" t="s">
        <v>48</v>
      </c>
      <c r="R326" t="s">
        <v>319</v>
      </c>
      <c r="S326" s="1">
        <v>46023</v>
      </c>
      <c r="U326" t="s">
        <v>50</v>
      </c>
      <c r="X326" t="s">
        <v>51</v>
      </c>
      <c r="Y326" s="2">
        <v>0</v>
      </c>
      <c r="Z326" s="2">
        <v>25</v>
      </c>
      <c r="AA326">
        <v>1</v>
      </c>
      <c r="AB326" s="3">
        <v>1</v>
      </c>
      <c r="AC326" s="2">
        <v>25</v>
      </c>
      <c r="AD326" s="3">
        <v>0</v>
      </c>
      <c r="AE326" s="2">
        <v>0</v>
      </c>
      <c r="AF326" s="2">
        <v>25</v>
      </c>
      <c r="AK326">
        <v>6046167</v>
      </c>
    </row>
    <row r="327" spans="1:37" x14ac:dyDescent="0.25">
      <c r="A327" s="1">
        <v>46001</v>
      </c>
      <c r="B327" s="1">
        <v>46001</v>
      </c>
      <c r="C327" t="s">
        <v>38</v>
      </c>
      <c r="D327" t="s">
        <v>39</v>
      </c>
      <c r="E327" t="s">
        <v>40</v>
      </c>
      <c r="F327" t="s">
        <v>41</v>
      </c>
      <c r="G327" t="s">
        <v>42</v>
      </c>
      <c r="H327" t="s">
        <v>43</v>
      </c>
      <c r="I327">
        <v>102229469600</v>
      </c>
      <c r="J327" t="s">
        <v>531</v>
      </c>
      <c r="M327" t="s">
        <v>316</v>
      </c>
      <c r="O327" t="s">
        <v>393</v>
      </c>
      <c r="P327" t="s">
        <v>394</v>
      </c>
      <c r="Q327" t="s">
        <v>48</v>
      </c>
      <c r="R327" t="s">
        <v>319</v>
      </c>
      <c r="S327" s="1">
        <v>46023</v>
      </c>
      <c r="U327" t="s">
        <v>50</v>
      </c>
      <c r="X327" t="s">
        <v>51</v>
      </c>
      <c r="Y327" s="2">
        <v>0</v>
      </c>
      <c r="Z327" s="2">
        <v>25</v>
      </c>
      <c r="AA327">
        <v>1</v>
      </c>
      <c r="AB327" s="3">
        <v>1</v>
      </c>
      <c r="AC327" s="2">
        <v>25</v>
      </c>
      <c r="AD327" s="3">
        <v>0</v>
      </c>
      <c r="AE327" s="2">
        <v>0</v>
      </c>
      <c r="AF327" s="2">
        <v>25</v>
      </c>
      <c r="AK327">
        <v>6046170</v>
      </c>
    </row>
    <row r="328" spans="1:37" x14ac:dyDescent="0.25">
      <c r="A328" s="1">
        <v>46001</v>
      </c>
      <c r="B328" s="1">
        <v>46001</v>
      </c>
      <c r="C328" t="s">
        <v>38</v>
      </c>
      <c r="D328" t="s">
        <v>39</v>
      </c>
      <c r="E328" t="s">
        <v>40</v>
      </c>
      <c r="F328" t="s">
        <v>41</v>
      </c>
      <c r="G328" t="s">
        <v>42</v>
      </c>
      <c r="H328" t="s">
        <v>43</v>
      </c>
      <c r="I328">
        <v>134790046</v>
      </c>
      <c r="J328" t="s">
        <v>532</v>
      </c>
      <c r="M328" t="s">
        <v>129</v>
      </c>
      <c r="O328" t="s">
        <v>74</v>
      </c>
      <c r="P328" t="s">
        <v>75</v>
      </c>
      <c r="Q328" t="s">
        <v>48</v>
      </c>
      <c r="R328" t="s">
        <v>533</v>
      </c>
      <c r="S328" s="1">
        <v>46023</v>
      </c>
      <c r="U328" t="s">
        <v>50</v>
      </c>
      <c r="X328" t="s">
        <v>51</v>
      </c>
      <c r="Y328" s="2">
        <v>0</v>
      </c>
      <c r="Z328" s="2">
        <v>175</v>
      </c>
      <c r="AA328">
        <v>1</v>
      </c>
      <c r="AB328" s="3">
        <v>1</v>
      </c>
      <c r="AC328" s="2">
        <v>175</v>
      </c>
      <c r="AD328" s="3">
        <v>0</v>
      </c>
      <c r="AE328" s="2">
        <v>0</v>
      </c>
      <c r="AF328" s="2">
        <v>175</v>
      </c>
      <c r="AK328">
        <v>6047482</v>
      </c>
    </row>
    <row r="329" spans="1:37" x14ac:dyDescent="0.25">
      <c r="A329" s="1">
        <v>46001</v>
      </c>
      <c r="B329" s="1">
        <v>46001</v>
      </c>
      <c r="C329" t="s">
        <v>38</v>
      </c>
      <c r="D329" t="s">
        <v>39</v>
      </c>
      <c r="E329" t="s">
        <v>40</v>
      </c>
      <c r="F329" t="s">
        <v>41</v>
      </c>
      <c r="G329" t="s">
        <v>42</v>
      </c>
      <c r="H329" t="s">
        <v>43</v>
      </c>
      <c r="I329">
        <v>134831885</v>
      </c>
      <c r="J329" t="s">
        <v>534</v>
      </c>
      <c r="M329" t="s">
        <v>69</v>
      </c>
      <c r="O329" t="s">
        <v>70</v>
      </c>
      <c r="P329" t="s">
        <v>71</v>
      </c>
      <c r="Q329" t="s">
        <v>48</v>
      </c>
      <c r="R329" t="s">
        <v>533</v>
      </c>
      <c r="S329" s="1">
        <v>46023</v>
      </c>
      <c r="U329" t="s">
        <v>50</v>
      </c>
      <c r="X329" t="s">
        <v>51</v>
      </c>
      <c r="Y329" s="2">
        <v>0</v>
      </c>
      <c r="Z329" s="2">
        <v>175</v>
      </c>
      <c r="AA329">
        <v>1</v>
      </c>
      <c r="AB329" s="3">
        <v>1</v>
      </c>
      <c r="AC329" s="2">
        <v>175</v>
      </c>
      <c r="AD329" s="3">
        <v>0</v>
      </c>
      <c r="AE329" s="2">
        <v>0</v>
      </c>
      <c r="AF329" s="2">
        <v>175</v>
      </c>
      <c r="AK329">
        <v>6047483</v>
      </c>
    </row>
    <row r="330" spans="1:37" x14ac:dyDescent="0.25">
      <c r="A330" s="1">
        <v>46001</v>
      </c>
      <c r="B330" s="1">
        <v>46001</v>
      </c>
      <c r="C330" t="s">
        <v>38</v>
      </c>
      <c r="D330" t="s">
        <v>39</v>
      </c>
      <c r="E330" t="s">
        <v>40</v>
      </c>
      <c r="F330" t="s">
        <v>41</v>
      </c>
      <c r="G330" t="s">
        <v>42</v>
      </c>
      <c r="H330" t="s">
        <v>43</v>
      </c>
      <c r="I330">
        <v>900999478</v>
      </c>
      <c r="J330" t="s">
        <v>535</v>
      </c>
      <c r="M330" t="s">
        <v>100</v>
      </c>
      <c r="O330" t="s">
        <v>58</v>
      </c>
      <c r="P330" t="s">
        <v>59</v>
      </c>
      <c r="Q330" t="s">
        <v>48</v>
      </c>
      <c r="R330" t="s">
        <v>533</v>
      </c>
      <c r="S330" s="1">
        <v>46023</v>
      </c>
      <c r="U330" t="s">
        <v>50</v>
      </c>
      <c r="X330" t="s">
        <v>51</v>
      </c>
      <c r="Y330" s="2">
        <v>0</v>
      </c>
      <c r="Z330" s="2">
        <v>175</v>
      </c>
      <c r="AA330">
        <v>1</v>
      </c>
      <c r="AB330" s="3">
        <v>1</v>
      </c>
      <c r="AC330" s="2">
        <v>175</v>
      </c>
      <c r="AD330" s="3">
        <v>0</v>
      </c>
      <c r="AE330" s="2">
        <v>0</v>
      </c>
      <c r="AF330" s="2">
        <v>175</v>
      </c>
      <c r="AK330">
        <v>6047484</v>
      </c>
    </row>
    <row r="331" spans="1:37" x14ac:dyDescent="0.25">
      <c r="A331" s="1">
        <v>46001</v>
      </c>
      <c r="B331" s="1">
        <v>46001</v>
      </c>
      <c r="C331" t="s">
        <v>38</v>
      </c>
      <c r="D331" t="s">
        <v>39</v>
      </c>
      <c r="E331" t="s">
        <v>40</v>
      </c>
      <c r="F331" t="s">
        <v>41</v>
      </c>
      <c r="G331" t="s">
        <v>42</v>
      </c>
      <c r="H331" t="s">
        <v>43</v>
      </c>
      <c r="I331">
        <v>901037707</v>
      </c>
      <c r="J331" t="s">
        <v>536</v>
      </c>
      <c r="M331" t="s">
        <v>45</v>
      </c>
      <c r="O331" t="s">
        <v>159</v>
      </c>
      <c r="P331" t="s">
        <v>160</v>
      </c>
      <c r="Q331" t="s">
        <v>48</v>
      </c>
      <c r="R331" t="s">
        <v>537</v>
      </c>
      <c r="S331" s="1">
        <v>46023</v>
      </c>
      <c r="U331" t="s">
        <v>50</v>
      </c>
      <c r="X331" t="s">
        <v>51</v>
      </c>
      <c r="Y331" s="2">
        <v>0</v>
      </c>
      <c r="Z331" s="2">
        <v>113</v>
      </c>
      <c r="AA331">
        <v>1</v>
      </c>
      <c r="AB331" s="3">
        <v>1</v>
      </c>
      <c r="AC331" s="2">
        <v>113</v>
      </c>
      <c r="AD331" s="3">
        <v>0</v>
      </c>
      <c r="AE331" s="2">
        <v>0</v>
      </c>
      <c r="AF331" s="2">
        <v>113</v>
      </c>
      <c r="AK331">
        <v>6047474</v>
      </c>
    </row>
    <row r="332" spans="1:37" x14ac:dyDescent="0.25">
      <c r="A332" s="1">
        <v>46001</v>
      </c>
      <c r="B332" s="1">
        <v>46001</v>
      </c>
      <c r="C332" t="s">
        <v>38</v>
      </c>
      <c r="D332" t="s">
        <v>39</v>
      </c>
      <c r="E332" t="s">
        <v>40</v>
      </c>
      <c r="F332" t="s">
        <v>41</v>
      </c>
      <c r="G332" t="s">
        <v>42</v>
      </c>
      <c r="H332" t="s">
        <v>43</v>
      </c>
      <c r="I332">
        <v>903355671</v>
      </c>
      <c r="J332" t="s">
        <v>538</v>
      </c>
      <c r="M332" t="s">
        <v>89</v>
      </c>
      <c r="O332" t="s">
        <v>102</v>
      </c>
      <c r="P332" t="s">
        <v>103</v>
      </c>
      <c r="Q332" t="s">
        <v>48</v>
      </c>
      <c r="R332" t="s">
        <v>533</v>
      </c>
      <c r="S332" s="1">
        <v>46023</v>
      </c>
      <c r="U332" t="s">
        <v>50</v>
      </c>
      <c r="X332" t="s">
        <v>51</v>
      </c>
      <c r="Y332" s="2">
        <v>0</v>
      </c>
      <c r="Z332" s="2">
        <v>175</v>
      </c>
      <c r="AA332">
        <v>1</v>
      </c>
      <c r="AB332" s="3">
        <v>1</v>
      </c>
      <c r="AC332" s="2">
        <v>175</v>
      </c>
      <c r="AD332" s="3">
        <v>0</v>
      </c>
      <c r="AE332" s="2">
        <v>0</v>
      </c>
      <c r="AF332" s="2">
        <v>175</v>
      </c>
      <c r="AK332">
        <v>6047485</v>
      </c>
    </row>
    <row r="333" spans="1:37" x14ac:dyDescent="0.25">
      <c r="A333" s="1">
        <v>46001</v>
      </c>
      <c r="B333" s="1">
        <v>46001</v>
      </c>
      <c r="C333" t="s">
        <v>38</v>
      </c>
      <c r="D333" t="s">
        <v>39</v>
      </c>
      <c r="E333" t="s">
        <v>40</v>
      </c>
      <c r="F333" t="s">
        <v>41</v>
      </c>
      <c r="G333" t="s">
        <v>42</v>
      </c>
      <c r="H333" t="s">
        <v>43</v>
      </c>
      <c r="I333">
        <v>905283105</v>
      </c>
      <c r="J333" t="s">
        <v>539</v>
      </c>
      <c r="M333" t="s">
        <v>222</v>
      </c>
      <c r="O333" t="s">
        <v>540</v>
      </c>
      <c r="P333" t="s">
        <v>541</v>
      </c>
      <c r="Q333" t="s">
        <v>48</v>
      </c>
      <c r="R333" t="s">
        <v>533</v>
      </c>
      <c r="S333" s="1">
        <v>46023</v>
      </c>
      <c r="U333" t="s">
        <v>50</v>
      </c>
      <c r="X333" t="s">
        <v>51</v>
      </c>
      <c r="Y333" s="2">
        <v>0</v>
      </c>
      <c r="Z333" s="2">
        <v>175</v>
      </c>
      <c r="AA333">
        <v>1</v>
      </c>
      <c r="AB333" s="3">
        <v>1</v>
      </c>
      <c r="AC333" s="2">
        <v>175</v>
      </c>
      <c r="AD333" s="3">
        <v>0</v>
      </c>
      <c r="AE333" s="2">
        <v>0</v>
      </c>
      <c r="AF333" s="2">
        <v>175</v>
      </c>
      <c r="AK333">
        <v>6047486</v>
      </c>
    </row>
    <row r="334" spans="1:37" x14ac:dyDescent="0.25">
      <c r="A334" s="1">
        <v>46001</v>
      </c>
      <c r="B334" s="1">
        <v>46001</v>
      </c>
      <c r="C334" t="s">
        <v>38</v>
      </c>
      <c r="D334" t="s">
        <v>39</v>
      </c>
      <c r="E334" t="s">
        <v>40</v>
      </c>
      <c r="F334" t="s">
        <v>41</v>
      </c>
      <c r="G334" t="s">
        <v>42</v>
      </c>
      <c r="H334" t="s">
        <v>43</v>
      </c>
      <c r="I334">
        <v>908140248</v>
      </c>
      <c r="J334" t="s">
        <v>542</v>
      </c>
      <c r="M334" t="s">
        <v>120</v>
      </c>
      <c r="O334" t="s">
        <v>543</v>
      </c>
      <c r="P334" t="s">
        <v>544</v>
      </c>
      <c r="Q334" t="s">
        <v>48</v>
      </c>
      <c r="R334" t="s">
        <v>533</v>
      </c>
      <c r="S334" s="1">
        <v>46023</v>
      </c>
      <c r="U334" t="s">
        <v>50</v>
      </c>
      <c r="X334" t="s">
        <v>51</v>
      </c>
      <c r="Y334" s="2">
        <v>0</v>
      </c>
      <c r="Z334" s="2">
        <v>175</v>
      </c>
      <c r="AA334">
        <v>1</v>
      </c>
      <c r="AB334" s="3">
        <v>1</v>
      </c>
      <c r="AC334" s="2">
        <v>175</v>
      </c>
      <c r="AD334" s="3">
        <v>0</v>
      </c>
      <c r="AE334" s="2">
        <v>0</v>
      </c>
      <c r="AF334" s="2">
        <v>175</v>
      </c>
      <c r="AK334">
        <v>6047487</v>
      </c>
    </row>
    <row r="335" spans="1:37" x14ac:dyDescent="0.25">
      <c r="A335" s="1">
        <v>46001</v>
      </c>
      <c r="B335" s="1">
        <v>46001</v>
      </c>
      <c r="C335" t="s">
        <v>38</v>
      </c>
      <c r="D335" t="s">
        <v>39</v>
      </c>
      <c r="E335" t="s">
        <v>40</v>
      </c>
      <c r="F335" t="s">
        <v>41</v>
      </c>
      <c r="G335" t="s">
        <v>42</v>
      </c>
      <c r="H335" t="s">
        <v>43</v>
      </c>
      <c r="I335">
        <v>909963590</v>
      </c>
      <c r="J335" t="s">
        <v>545</v>
      </c>
      <c r="M335" t="s">
        <v>45</v>
      </c>
      <c r="O335" t="s">
        <v>201</v>
      </c>
      <c r="P335" t="s">
        <v>202</v>
      </c>
      <c r="Q335" t="s">
        <v>48</v>
      </c>
      <c r="R335" t="s">
        <v>533</v>
      </c>
      <c r="S335" s="1">
        <v>46023</v>
      </c>
      <c r="U335" t="s">
        <v>50</v>
      </c>
      <c r="X335" t="s">
        <v>51</v>
      </c>
      <c r="Y335" s="2">
        <v>0</v>
      </c>
      <c r="Z335" s="2">
        <v>175</v>
      </c>
      <c r="AA335">
        <v>1</v>
      </c>
      <c r="AB335" s="3">
        <v>1</v>
      </c>
      <c r="AC335" s="2">
        <v>175</v>
      </c>
      <c r="AD335" s="3">
        <v>0</v>
      </c>
      <c r="AE335" s="2">
        <v>0</v>
      </c>
      <c r="AF335" s="2">
        <v>175</v>
      </c>
      <c r="AK335">
        <v>6047488</v>
      </c>
    </row>
    <row r="336" spans="1:37" x14ac:dyDescent="0.25">
      <c r="A336" s="1">
        <v>46001</v>
      </c>
      <c r="B336" s="1">
        <v>46001</v>
      </c>
      <c r="C336" t="s">
        <v>38</v>
      </c>
      <c r="D336" t="s">
        <v>39</v>
      </c>
      <c r="E336" t="s">
        <v>40</v>
      </c>
      <c r="F336" t="s">
        <v>41</v>
      </c>
      <c r="G336" t="s">
        <v>42</v>
      </c>
      <c r="H336" t="s">
        <v>43</v>
      </c>
      <c r="I336">
        <v>911761487</v>
      </c>
      <c r="J336" t="s">
        <v>546</v>
      </c>
      <c r="M336" t="s">
        <v>45</v>
      </c>
      <c r="O336" t="s">
        <v>159</v>
      </c>
      <c r="P336" t="s">
        <v>160</v>
      </c>
      <c r="Q336" t="s">
        <v>48</v>
      </c>
      <c r="R336" t="s">
        <v>533</v>
      </c>
      <c r="S336" s="1">
        <v>46023</v>
      </c>
      <c r="U336" t="s">
        <v>50</v>
      </c>
      <c r="X336" t="s">
        <v>51</v>
      </c>
      <c r="Y336" s="2">
        <v>0</v>
      </c>
      <c r="Z336" s="2">
        <v>175</v>
      </c>
      <c r="AA336">
        <v>1</v>
      </c>
      <c r="AB336" s="3">
        <v>1</v>
      </c>
      <c r="AC336" s="2">
        <v>175</v>
      </c>
      <c r="AD336" s="3">
        <v>0</v>
      </c>
      <c r="AE336" s="2">
        <v>0</v>
      </c>
      <c r="AF336" s="2">
        <v>175</v>
      </c>
      <c r="AK336">
        <v>6047489</v>
      </c>
    </row>
    <row r="337" spans="1:38" x14ac:dyDescent="0.25">
      <c r="A337" s="1">
        <v>46001</v>
      </c>
      <c r="B337" s="1">
        <v>46001</v>
      </c>
      <c r="C337" t="s">
        <v>38</v>
      </c>
      <c r="D337" t="s">
        <v>39</v>
      </c>
      <c r="E337" t="s">
        <v>40</v>
      </c>
      <c r="F337" t="s">
        <v>41</v>
      </c>
      <c r="G337" t="s">
        <v>42</v>
      </c>
      <c r="H337" t="s">
        <v>43</v>
      </c>
      <c r="I337">
        <v>913470859</v>
      </c>
      <c r="J337" t="s">
        <v>547</v>
      </c>
      <c r="M337" t="s">
        <v>73</v>
      </c>
      <c r="O337" t="s">
        <v>126</v>
      </c>
      <c r="P337" t="s">
        <v>127</v>
      </c>
      <c r="Q337" t="s">
        <v>48</v>
      </c>
      <c r="R337" t="s">
        <v>533</v>
      </c>
      <c r="S337" s="1">
        <v>46023</v>
      </c>
      <c r="U337" t="s">
        <v>50</v>
      </c>
      <c r="X337" t="s">
        <v>51</v>
      </c>
      <c r="Y337" s="2">
        <v>0</v>
      </c>
      <c r="Z337" s="2">
        <v>175</v>
      </c>
      <c r="AA337">
        <v>1</v>
      </c>
      <c r="AB337" s="3">
        <v>1</v>
      </c>
      <c r="AC337" s="2">
        <v>175</v>
      </c>
      <c r="AD337" s="3">
        <v>0</v>
      </c>
      <c r="AE337" s="2">
        <v>0</v>
      </c>
      <c r="AF337" s="2">
        <v>175</v>
      </c>
      <c r="AK337">
        <v>6047490</v>
      </c>
    </row>
    <row r="338" spans="1:38" x14ac:dyDescent="0.25">
      <c r="A338" s="1">
        <v>46001</v>
      </c>
      <c r="B338" s="1">
        <v>46001</v>
      </c>
      <c r="C338" t="s">
        <v>38</v>
      </c>
      <c r="D338" t="s">
        <v>39</v>
      </c>
      <c r="E338" t="s">
        <v>40</v>
      </c>
      <c r="F338" t="s">
        <v>41</v>
      </c>
      <c r="G338" t="s">
        <v>42</v>
      </c>
      <c r="H338" t="s">
        <v>43</v>
      </c>
      <c r="I338">
        <v>914188230</v>
      </c>
      <c r="J338" t="s">
        <v>548</v>
      </c>
      <c r="M338" t="s">
        <v>100</v>
      </c>
      <c r="O338" t="s">
        <v>126</v>
      </c>
      <c r="P338" t="s">
        <v>127</v>
      </c>
      <c r="Q338" t="s">
        <v>48</v>
      </c>
      <c r="R338" t="s">
        <v>533</v>
      </c>
      <c r="S338" s="1">
        <v>46023</v>
      </c>
      <c r="U338" t="s">
        <v>50</v>
      </c>
      <c r="X338" t="s">
        <v>51</v>
      </c>
      <c r="Y338" s="2">
        <v>0</v>
      </c>
      <c r="Z338" s="2">
        <v>175</v>
      </c>
      <c r="AA338">
        <v>1</v>
      </c>
      <c r="AB338" s="3">
        <v>1</v>
      </c>
      <c r="AC338" s="2">
        <v>175</v>
      </c>
      <c r="AD338" s="3">
        <v>0</v>
      </c>
      <c r="AE338" s="2">
        <v>0</v>
      </c>
      <c r="AF338" s="2">
        <v>175</v>
      </c>
      <c r="AK338">
        <v>6047491</v>
      </c>
    </row>
    <row r="339" spans="1:38" x14ac:dyDescent="0.25">
      <c r="A339" s="1">
        <v>46001</v>
      </c>
      <c r="B339" s="1">
        <v>46001</v>
      </c>
      <c r="C339" t="s">
        <v>38</v>
      </c>
      <c r="D339" t="s">
        <v>39</v>
      </c>
      <c r="E339" t="s">
        <v>40</v>
      </c>
      <c r="F339" t="s">
        <v>41</v>
      </c>
      <c r="G339" t="s">
        <v>42</v>
      </c>
      <c r="H339" t="s">
        <v>43</v>
      </c>
      <c r="I339">
        <v>914548418</v>
      </c>
      <c r="J339" t="s">
        <v>549</v>
      </c>
      <c r="M339" t="s">
        <v>149</v>
      </c>
      <c r="O339" t="s">
        <v>93</v>
      </c>
      <c r="P339" t="s">
        <v>94</v>
      </c>
      <c r="Q339" t="s">
        <v>48</v>
      </c>
      <c r="R339" t="s">
        <v>533</v>
      </c>
      <c r="S339" s="1">
        <v>46023</v>
      </c>
      <c r="U339" t="s">
        <v>50</v>
      </c>
      <c r="X339" t="s">
        <v>51</v>
      </c>
      <c r="Y339" s="2">
        <v>0</v>
      </c>
      <c r="Z339" s="2">
        <v>175</v>
      </c>
      <c r="AA339">
        <v>1</v>
      </c>
      <c r="AB339" s="3">
        <v>1</v>
      </c>
      <c r="AC339" s="2">
        <v>175</v>
      </c>
      <c r="AD339" s="3">
        <v>0</v>
      </c>
      <c r="AE339" s="2">
        <v>0</v>
      </c>
      <c r="AF339" s="2">
        <v>175</v>
      </c>
      <c r="AK339">
        <v>6047492</v>
      </c>
    </row>
    <row r="340" spans="1:38" x14ac:dyDescent="0.25">
      <c r="A340" s="1">
        <v>46001</v>
      </c>
      <c r="B340" s="1">
        <v>46001</v>
      </c>
      <c r="C340" t="s">
        <v>38</v>
      </c>
      <c r="D340" t="s">
        <v>39</v>
      </c>
      <c r="E340" t="s">
        <v>40</v>
      </c>
      <c r="F340" t="s">
        <v>41</v>
      </c>
      <c r="G340" t="s">
        <v>42</v>
      </c>
      <c r="H340" t="s">
        <v>43</v>
      </c>
      <c r="I340">
        <v>915194475</v>
      </c>
      <c r="J340" t="s">
        <v>550</v>
      </c>
      <c r="M340" t="s">
        <v>347</v>
      </c>
      <c r="O340" t="s">
        <v>153</v>
      </c>
      <c r="P340" t="s">
        <v>154</v>
      </c>
      <c r="Q340" t="s">
        <v>48</v>
      </c>
      <c r="R340" t="s">
        <v>533</v>
      </c>
      <c r="S340" s="1">
        <v>46023</v>
      </c>
      <c r="U340" t="s">
        <v>50</v>
      </c>
      <c r="X340" t="s">
        <v>51</v>
      </c>
      <c r="Y340" s="2">
        <v>0</v>
      </c>
      <c r="Z340" s="2">
        <v>175</v>
      </c>
      <c r="AA340">
        <v>1</v>
      </c>
      <c r="AB340" s="3">
        <v>1</v>
      </c>
      <c r="AC340" s="2">
        <v>175</v>
      </c>
      <c r="AD340" s="3">
        <v>0</v>
      </c>
      <c r="AE340" s="2">
        <v>0</v>
      </c>
      <c r="AF340" s="2">
        <v>175</v>
      </c>
      <c r="AK340">
        <v>6047493</v>
      </c>
    </row>
    <row r="341" spans="1:38" x14ac:dyDescent="0.25">
      <c r="A341" s="1">
        <v>46001</v>
      </c>
      <c r="B341" s="1">
        <v>46001</v>
      </c>
      <c r="C341" t="s">
        <v>38</v>
      </c>
      <c r="D341" t="s">
        <v>39</v>
      </c>
      <c r="E341" t="s">
        <v>40</v>
      </c>
      <c r="F341" t="s">
        <v>41</v>
      </c>
      <c r="G341" t="s">
        <v>42</v>
      </c>
      <c r="H341" t="s">
        <v>43</v>
      </c>
      <c r="I341">
        <v>926065200</v>
      </c>
      <c r="J341" t="s">
        <v>551</v>
      </c>
      <c r="M341" t="s">
        <v>316</v>
      </c>
      <c r="O341" t="s">
        <v>552</v>
      </c>
      <c r="P341" t="s">
        <v>553</v>
      </c>
      <c r="Q341" t="s">
        <v>48</v>
      </c>
      <c r="R341" t="s">
        <v>537</v>
      </c>
      <c r="S341" s="1">
        <v>46023</v>
      </c>
      <c r="U341" t="s">
        <v>50</v>
      </c>
      <c r="X341" t="s">
        <v>51</v>
      </c>
      <c r="Y341" s="2">
        <v>0</v>
      </c>
      <c r="Z341" s="2">
        <v>113</v>
      </c>
      <c r="AA341">
        <v>1</v>
      </c>
      <c r="AB341" s="3">
        <v>1</v>
      </c>
      <c r="AC341" s="2">
        <v>113</v>
      </c>
      <c r="AD341" s="3">
        <v>0</v>
      </c>
      <c r="AE341" s="2">
        <v>0</v>
      </c>
      <c r="AF341" s="2">
        <v>113</v>
      </c>
      <c r="AK341">
        <v>6047475</v>
      </c>
    </row>
    <row r="342" spans="1:38" x14ac:dyDescent="0.25">
      <c r="A342" s="1">
        <v>46001</v>
      </c>
      <c r="B342" s="1">
        <v>46001</v>
      </c>
      <c r="C342" t="s">
        <v>38</v>
      </c>
      <c r="D342" t="s">
        <v>39</v>
      </c>
      <c r="E342" t="s">
        <v>40</v>
      </c>
      <c r="F342" t="s">
        <v>41</v>
      </c>
      <c r="G342" t="s">
        <v>42</v>
      </c>
      <c r="H342" t="s">
        <v>43</v>
      </c>
      <c r="I342">
        <v>926202494</v>
      </c>
      <c r="J342" t="s">
        <v>554</v>
      </c>
      <c r="M342" t="s">
        <v>347</v>
      </c>
      <c r="O342" t="s">
        <v>58</v>
      </c>
      <c r="P342" t="s">
        <v>59</v>
      </c>
      <c r="Q342" t="s">
        <v>48</v>
      </c>
      <c r="R342" t="s">
        <v>555</v>
      </c>
      <c r="S342" s="1">
        <v>45992</v>
      </c>
      <c r="U342" t="s">
        <v>50</v>
      </c>
      <c r="X342" t="s">
        <v>51</v>
      </c>
      <c r="Y342" s="2">
        <v>0</v>
      </c>
      <c r="Z342" s="2">
        <v>26.08</v>
      </c>
      <c r="AA342">
        <v>1</v>
      </c>
      <c r="AB342" s="3">
        <v>1</v>
      </c>
      <c r="AC342" s="2">
        <v>26.08</v>
      </c>
      <c r="AD342" s="3">
        <v>0</v>
      </c>
      <c r="AE342" s="2">
        <v>0</v>
      </c>
      <c r="AF342" s="2">
        <v>26.08</v>
      </c>
      <c r="AK342">
        <v>6047510</v>
      </c>
      <c r="AL342" t="s">
        <v>556</v>
      </c>
    </row>
    <row r="343" spans="1:38" x14ac:dyDescent="0.25">
      <c r="A343" s="1">
        <v>46001</v>
      </c>
      <c r="B343" s="1">
        <v>46001</v>
      </c>
      <c r="C343" t="s">
        <v>38</v>
      </c>
      <c r="D343" t="s">
        <v>39</v>
      </c>
      <c r="E343" t="s">
        <v>40</v>
      </c>
      <c r="F343" t="s">
        <v>41</v>
      </c>
      <c r="G343" t="s">
        <v>42</v>
      </c>
      <c r="H343" t="s">
        <v>43</v>
      </c>
      <c r="I343" t="s">
        <v>832</v>
      </c>
      <c r="J343" t="s">
        <v>554</v>
      </c>
      <c r="M343" t="s">
        <v>347</v>
      </c>
      <c r="O343" t="s">
        <v>58</v>
      </c>
      <c r="P343" t="s">
        <v>59</v>
      </c>
      <c r="Q343" t="s">
        <v>48</v>
      </c>
      <c r="R343" t="s">
        <v>557</v>
      </c>
      <c r="S343" s="1">
        <v>45992</v>
      </c>
      <c r="U343" t="s">
        <v>50</v>
      </c>
      <c r="X343" t="s">
        <v>51</v>
      </c>
      <c r="Y343" s="2">
        <v>0</v>
      </c>
      <c r="Z343" s="2">
        <v>4.17</v>
      </c>
      <c r="AA343">
        <v>1</v>
      </c>
      <c r="AB343" s="3">
        <v>1</v>
      </c>
      <c r="AC343" s="2">
        <v>4.17</v>
      </c>
      <c r="AD343" s="3">
        <v>0</v>
      </c>
      <c r="AE343" s="2">
        <v>0</v>
      </c>
      <c r="AF343" s="2">
        <v>4.17</v>
      </c>
      <c r="AK343">
        <v>6047511</v>
      </c>
      <c r="AL343" t="s">
        <v>556</v>
      </c>
    </row>
    <row r="344" spans="1:38" x14ac:dyDescent="0.25">
      <c r="A344" s="1">
        <v>46001</v>
      </c>
      <c r="B344" s="1">
        <v>46001</v>
      </c>
      <c r="C344" t="s">
        <v>38</v>
      </c>
      <c r="D344" t="s">
        <v>39</v>
      </c>
      <c r="E344" t="s">
        <v>40</v>
      </c>
      <c r="F344" t="s">
        <v>41</v>
      </c>
      <c r="G344" t="s">
        <v>42</v>
      </c>
      <c r="H344" t="s">
        <v>43</v>
      </c>
      <c r="I344">
        <v>927130361</v>
      </c>
      <c r="J344" t="s">
        <v>558</v>
      </c>
      <c r="M344" t="s">
        <v>347</v>
      </c>
      <c r="O344" t="s">
        <v>153</v>
      </c>
      <c r="P344" t="s">
        <v>154</v>
      </c>
      <c r="Q344" t="s">
        <v>48</v>
      </c>
      <c r="R344" t="s">
        <v>533</v>
      </c>
      <c r="S344" s="1">
        <v>46023</v>
      </c>
      <c r="U344" t="s">
        <v>50</v>
      </c>
      <c r="X344" t="s">
        <v>51</v>
      </c>
      <c r="Y344" s="2">
        <v>0</v>
      </c>
      <c r="Z344" s="2">
        <v>175</v>
      </c>
      <c r="AA344">
        <v>1</v>
      </c>
      <c r="AB344" s="3">
        <v>1</v>
      </c>
      <c r="AC344" s="2">
        <v>175</v>
      </c>
      <c r="AD344" s="3">
        <v>0</v>
      </c>
      <c r="AE344" s="2">
        <v>0</v>
      </c>
      <c r="AF344" s="2">
        <v>175</v>
      </c>
      <c r="AK344">
        <v>6047494</v>
      </c>
    </row>
    <row r="345" spans="1:38" x14ac:dyDescent="0.25">
      <c r="A345" s="1">
        <v>46001</v>
      </c>
      <c r="B345" s="1">
        <v>46001</v>
      </c>
      <c r="C345" t="s">
        <v>38</v>
      </c>
      <c r="D345" t="s">
        <v>39</v>
      </c>
      <c r="E345" t="s">
        <v>40</v>
      </c>
      <c r="F345" t="s">
        <v>41</v>
      </c>
      <c r="G345" t="s">
        <v>42</v>
      </c>
      <c r="H345" t="s">
        <v>43</v>
      </c>
      <c r="I345">
        <v>927960226</v>
      </c>
      <c r="J345" t="s">
        <v>559</v>
      </c>
      <c r="M345" t="s">
        <v>113</v>
      </c>
      <c r="O345" t="s">
        <v>58</v>
      </c>
      <c r="P345" t="s">
        <v>59</v>
      </c>
      <c r="Q345" t="s">
        <v>48</v>
      </c>
      <c r="R345" t="s">
        <v>537</v>
      </c>
      <c r="S345" s="1">
        <v>46023</v>
      </c>
      <c r="U345" t="s">
        <v>50</v>
      </c>
      <c r="X345" t="s">
        <v>51</v>
      </c>
      <c r="Y345" s="2">
        <v>0</v>
      </c>
      <c r="Z345" s="2">
        <v>113</v>
      </c>
      <c r="AA345">
        <v>1</v>
      </c>
      <c r="AB345" s="3">
        <v>1</v>
      </c>
      <c r="AC345" s="2">
        <v>113</v>
      </c>
      <c r="AD345" s="3">
        <v>0</v>
      </c>
      <c r="AE345" s="2">
        <v>0</v>
      </c>
      <c r="AF345" s="2">
        <v>113</v>
      </c>
      <c r="AK345">
        <v>6047476</v>
      </c>
    </row>
    <row r="346" spans="1:38" x14ac:dyDescent="0.25">
      <c r="A346" s="1">
        <v>46001</v>
      </c>
      <c r="B346" s="1">
        <v>46001</v>
      </c>
      <c r="C346" t="s">
        <v>38</v>
      </c>
      <c r="D346" t="s">
        <v>39</v>
      </c>
      <c r="E346" t="s">
        <v>40</v>
      </c>
      <c r="F346" t="s">
        <v>41</v>
      </c>
      <c r="G346" t="s">
        <v>42</v>
      </c>
      <c r="H346" t="s">
        <v>43</v>
      </c>
      <c r="I346">
        <v>928872953</v>
      </c>
      <c r="J346" t="s">
        <v>560</v>
      </c>
      <c r="M346" t="s">
        <v>561</v>
      </c>
      <c r="O346" t="s">
        <v>93</v>
      </c>
      <c r="P346" t="s">
        <v>94</v>
      </c>
      <c r="Q346" t="s">
        <v>48</v>
      </c>
      <c r="R346" t="s">
        <v>533</v>
      </c>
      <c r="S346" s="1">
        <v>46023</v>
      </c>
      <c r="U346" t="s">
        <v>50</v>
      </c>
      <c r="X346" t="s">
        <v>51</v>
      </c>
      <c r="Y346" s="2">
        <v>0</v>
      </c>
      <c r="Z346" s="2">
        <v>175</v>
      </c>
      <c r="AA346">
        <v>1</v>
      </c>
      <c r="AB346" s="3">
        <v>1</v>
      </c>
      <c r="AC346" s="2">
        <v>175</v>
      </c>
      <c r="AD346" s="3">
        <v>0</v>
      </c>
      <c r="AE346" s="2">
        <v>0</v>
      </c>
      <c r="AF346" s="2">
        <v>175</v>
      </c>
      <c r="AK346">
        <v>6047495</v>
      </c>
    </row>
    <row r="347" spans="1:38" x14ac:dyDescent="0.25">
      <c r="A347" s="1">
        <v>46001</v>
      </c>
      <c r="B347" s="1">
        <v>46001</v>
      </c>
      <c r="C347" t="s">
        <v>38</v>
      </c>
      <c r="D347" t="s">
        <v>39</v>
      </c>
      <c r="E347" t="s">
        <v>40</v>
      </c>
      <c r="F347" t="s">
        <v>41</v>
      </c>
      <c r="G347" t="s">
        <v>42</v>
      </c>
      <c r="H347" t="s">
        <v>43</v>
      </c>
      <c r="I347">
        <v>929823819</v>
      </c>
      <c r="J347" t="s">
        <v>562</v>
      </c>
      <c r="M347" t="s">
        <v>45</v>
      </c>
      <c r="O347" t="s">
        <v>117</v>
      </c>
      <c r="P347" t="s">
        <v>118</v>
      </c>
      <c r="Q347" t="s">
        <v>48</v>
      </c>
      <c r="R347" t="s">
        <v>533</v>
      </c>
      <c r="S347" s="1">
        <v>46023</v>
      </c>
      <c r="U347" t="s">
        <v>50</v>
      </c>
      <c r="X347" t="s">
        <v>51</v>
      </c>
      <c r="Y347" s="2">
        <v>0</v>
      </c>
      <c r="Z347" s="2">
        <v>175</v>
      </c>
      <c r="AA347">
        <v>1</v>
      </c>
      <c r="AB347" s="3">
        <v>1</v>
      </c>
      <c r="AC347" s="2">
        <v>175</v>
      </c>
      <c r="AD347" s="3">
        <v>0</v>
      </c>
      <c r="AE347" s="2">
        <v>0</v>
      </c>
      <c r="AF347" s="2">
        <v>175</v>
      </c>
      <c r="AK347">
        <v>6047496</v>
      </c>
    </row>
    <row r="348" spans="1:38" x14ac:dyDescent="0.25">
      <c r="A348" s="1">
        <v>46001</v>
      </c>
      <c r="B348" s="1">
        <v>46001</v>
      </c>
      <c r="C348" t="s">
        <v>38</v>
      </c>
      <c r="D348" t="s">
        <v>39</v>
      </c>
      <c r="E348" t="s">
        <v>40</v>
      </c>
      <c r="F348" t="s">
        <v>41</v>
      </c>
      <c r="G348" t="s">
        <v>42</v>
      </c>
      <c r="H348" t="s">
        <v>43</v>
      </c>
      <c r="I348">
        <v>930958899</v>
      </c>
      <c r="J348" t="s">
        <v>563</v>
      </c>
      <c r="M348" t="s">
        <v>316</v>
      </c>
      <c r="O348" t="s">
        <v>552</v>
      </c>
      <c r="P348" t="s">
        <v>553</v>
      </c>
      <c r="Q348" t="s">
        <v>48</v>
      </c>
      <c r="R348" t="s">
        <v>537</v>
      </c>
      <c r="S348" s="1">
        <v>46023</v>
      </c>
      <c r="U348" t="s">
        <v>50</v>
      </c>
      <c r="X348" t="s">
        <v>51</v>
      </c>
      <c r="Y348" s="2">
        <v>0</v>
      </c>
      <c r="Z348" s="2">
        <v>113</v>
      </c>
      <c r="AA348">
        <v>1</v>
      </c>
      <c r="AB348" s="3">
        <v>1</v>
      </c>
      <c r="AC348" s="2">
        <v>113</v>
      </c>
      <c r="AD348" s="3">
        <v>0</v>
      </c>
      <c r="AE348" s="2">
        <v>0</v>
      </c>
      <c r="AF348" s="2">
        <v>113</v>
      </c>
      <c r="AK348">
        <v>6047477</v>
      </c>
    </row>
    <row r="349" spans="1:38" x14ac:dyDescent="0.25">
      <c r="A349" s="1">
        <v>46001</v>
      </c>
      <c r="B349" s="1">
        <v>46001</v>
      </c>
      <c r="C349" t="s">
        <v>38</v>
      </c>
      <c r="D349" t="s">
        <v>39</v>
      </c>
      <c r="E349" t="s">
        <v>40</v>
      </c>
      <c r="F349" t="s">
        <v>41</v>
      </c>
      <c r="G349" t="s">
        <v>42</v>
      </c>
      <c r="H349" t="s">
        <v>43</v>
      </c>
      <c r="I349">
        <v>932826929</v>
      </c>
      <c r="J349" t="s">
        <v>564</v>
      </c>
      <c r="M349" t="s">
        <v>113</v>
      </c>
      <c r="O349" t="s">
        <v>74</v>
      </c>
      <c r="P349" t="s">
        <v>75</v>
      </c>
      <c r="Q349" t="s">
        <v>48</v>
      </c>
      <c r="R349" t="s">
        <v>533</v>
      </c>
      <c r="S349" s="1">
        <v>46023</v>
      </c>
      <c r="U349" t="s">
        <v>50</v>
      </c>
      <c r="X349" t="s">
        <v>51</v>
      </c>
      <c r="Y349" s="2">
        <v>0</v>
      </c>
      <c r="Z349" s="2">
        <v>175</v>
      </c>
      <c r="AA349">
        <v>1</v>
      </c>
      <c r="AB349" s="3">
        <v>1</v>
      </c>
      <c r="AC349" s="2">
        <v>175</v>
      </c>
      <c r="AD349" s="3">
        <v>0</v>
      </c>
      <c r="AE349" s="2">
        <v>0</v>
      </c>
      <c r="AF349" s="2">
        <v>175</v>
      </c>
      <c r="AK349">
        <v>6047497</v>
      </c>
    </row>
    <row r="350" spans="1:38" x14ac:dyDescent="0.25">
      <c r="A350" s="1">
        <v>46001</v>
      </c>
      <c r="B350" s="1">
        <v>46001</v>
      </c>
      <c r="C350" t="s">
        <v>38</v>
      </c>
      <c r="D350" t="s">
        <v>39</v>
      </c>
      <c r="E350" t="s">
        <v>40</v>
      </c>
      <c r="F350" t="s">
        <v>41</v>
      </c>
      <c r="G350" t="s">
        <v>42</v>
      </c>
      <c r="H350" t="s">
        <v>43</v>
      </c>
      <c r="I350">
        <v>936896337</v>
      </c>
      <c r="J350" t="s">
        <v>565</v>
      </c>
      <c r="M350" t="s">
        <v>113</v>
      </c>
      <c r="O350" t="s">
        <v>74</v>
      </c>
      <c r="P350" t="s">
        <v>75</v>
      </c>
      <c r="Q350" t="s">
        <v>48</v>
      </c>
      <c r="R350" t="s">
        <v>555</v>
      </c>
      <c r="S350" s="1">
        <v>45992</v>
      </c>
      <c r="U350" t="s">
        <v>50</v>
      </c>
      <c r="X350" t="s">
        <v>51</v>
      </c>
      <c r="Y350" s="2">
        <v>0</v>
      </c>
      <c r="Z350" s="2">
        <v>26.08</v>
      </c>
      <c r="AA350">
        <v>1</v>
      </c>
      <c r="AB350" s="3">
        <v>1</v>
      </c>
      <c r="AC350" s="2">
        <v>26.08</v>
      </c>
      <c r="AD350" s="3">
        <v>0</v>
      </c>
      <c r="AE350" s="2">
        <v>0</v>
      </c>
      <c r="AF350" s="2">
        <v>26.08</v>
      </c>
      <c r="AK350">
        <v>6047509</v>
      </c>
      <c r="AL350" t="s">
        <v>556</v>
      </c>
    </row>
    <row r="351" spans="1:38" x14ac:dyDescent="0.25">
      <c r="A351" s="1">
        <v>46001</v>
      </c>
      <c r="B351" s="1">
        <v>46001</v>
      </c>
      <c r="C351" t="s">
        <v>38</v>
      </c>
      <c r="D351" t="s">
        <v>39</v>
      </c>
      <c r="E351" t="s">
        <v>40</v>
      </c>
      <c r="F351" t="s">
        <v>41</v>
      </c>
      <c r="G351" t="s">
        <v>42</v>
      </c>
      <c r="H351" t="s">
        <v>43</v>
      </c>
      <c r="I351" t="s">
        <v>833</v>
      </c>
      <c r="J351" t="s">
        <v>565</v>
      </c>
      <c r="M351" t="s">
        <v>113</v>
      </c>
      <c r="O351" t="s">
        <v>74</v>
      </c>
      <c r="P351" t="s">
        <v>75</v>
      </c>
      <c r="Q351" t="s">
        <v>48</v>
      </c>
      <c r="R351" t="s">
        <v>533</v>
      </c>
      <c r="S351" s="1">
        <v>45992</v>
      </c>
      <c r="U351" t="s">
        <v>50</v>
      </c>
      <c r="X351" t="s">
        <v>51</v>
      </c>
      <c r="Y351" s="2">
        <v>0</v>
      </c>
      <c r="Z351" s="2">
        <v>175</v>
      </c>
      <c r="AA351">
        <v>1</v>
      </c>
      <c r="AB351" s="3">
        <v>1</v>
      </c>
      <c r="AC351" s="2">
        <v>175</v>
      </c>
      <c r="AD351" s="3">
        <v>0</v>
      </c>
      <c r="AE351" s="2">
        <v>0</v>
      </c>
      <c r="AF351" s="2">
        <v>175</v>
      </c>
      <c r="AK351">
        <v>6047508</v>
      </c>
    </row>
    <row r="352" spans="1:38" x14ac:dyDescent="0.25">
      <c r="A352" s="1">
        <v>46001</v>
      </c>
      <c r="B352" s="1">
        <v>46001</v>
      </c>
      <c r="C352" t="s">
        <v>38</v>
      </c>
      <c r="D352" t="s">
        <v>39</v>
      </c>
      <c r="E352" t="s">
        <v>40</v>
      </c>
      <c r="F352" t="s">
        <v>41</v>
      </c>
      <c r="G352" t="s">
        <v>42</v>
      </c>
      <c r="H352" t="s">
        <v>43</v>
      </c>
      <c r="I352">
        <v>938375183</v>
      </c>
      <c r="J352" t="s">
        <v>566</v>
      </c>
      <c r="M352" t="s">
        <v>89</v>
      </c>
      <c r="O352" t="s">
        <v>102</v>
      </c>
      <c r="P352" t="s">
        <v>103</v>
      </c>
      <c r="Q352" t="s">
        <v>48</v>
      </c>
      <c r="R352" t="s">
        <v>533</v>
      </c>
      <c r="S352" s="1">
        <v>46023</v>
      </c>
      <c r="U352" t="s">
        <v>50</v>
      </c>
      <c r="X352" t="s">
        <v>51</v>
      </c>
      <c r="Y352" s="2">
        <v>0</v>
      </c>
      <c r="Z352" s="2">
        <v>175</v>
      </c>
      <c r="AA352">
        <v>1</v>
      </c>
      <c r="AB352" s="3">
        <v>1</v>
      </c>
      <c r="AC352" s="2">
        <v>175</v>
      </c>
      <c r="AD352" s="3">
        <v>0</v>
      </c>
      <c r="AE352" s="2">
        <v>0</v>
      </c>
      <c r="AF352" s="2">
        <v>175</v>
      </c>
      <c r="AK352">
        <v>6047498</v>
      </c>
    </row>
    <row r="353" spans="1:38" x14ac:dyDescent="0.25">
      <c r="A353" s="1">
        <v>46001</v>
      </c>
      <c r="B353" s="1">
        <v>46001</v>
      </c>
      <c r="C353" t="s">
        <v>38</v>
      </c>
      <c r="D353" t="s">
        <v>39</v>
      </c>
      <c r="E353" t="s">
        <v>40</v>
      </c>
      <c r="F353" t="s">
        <v>41</v>
      </c>
      <c r="G353" t="s">
        <v>42</v>
      </c>
      <c r="H353" t="s">
        <v>43</v>
      </c>
      <c r="I353">
        <v>952495296</v>
      </c>
      <c r="J353" t="s">
        <v>567</v>
      </c>
      <c r="M353" t="s">
        <v>45</v>
      </c>
      <c r="O353" t="s">
        <v>201</v>
      </c>
      <c r="P353" t="s">
        <v>202</v>
      </c>
      <c r="Q353" t="s">
        <v>48</v>
      </c>
      <c r="R353" t="s">
        <v>537</v>
      </c>
      <c r="S353" s="1">
        <v>46023</v>
      </c>
      <c r="U353" t="s">
        <v>50</v>
      </c>
      <c r="X353" t="s">
        <v>51</v>
      </c>
      <c r="Y353" s="2">
        <v>0</v>
      </c>
      <c r="Z353" s="2">
        <v>113</v>
      </c>
      <c r="AA353">
        <v>1</v>
      </c>
      <c r="AB353" s="3">
        <v>1</v>
      </c>
      <c r="AC353" s="2">
        <v>113</v>
      </c>
      <c r="AD353" s="3">
        <v>0</v>
      </c>
      <c r="AE353" s="2">
        <v>0</v>
      </c>
      <c r="AF353" s="2">
        <v>113</v>
      </c>
      <c r="AK353">
        <v>6047478</v>
      </c>
    </row>
    <row r="354" spans="1:38" x14ac:dyDescent="0.25">
      <c r="A354" s="1">
        <v>46001</v>
      </c>
      <c r="B354" s="1">
        <v>46001</v>
      </c>
      <c r="C354" t="s">
        <v>38</v>
      </c>
      <c r="D354" t="s">
        <v>39</v>
      </c>
      <c r="E354" t="s">
        <v>40</v>
      </c>
      <c r="F354" t="s">
        <v>41</v>
      </c>
      <c r="G354" t="s">
        <v>42</v>
      </c>
      <c r="H354" t="s">
        <v>43</v>
      </c>
      <c r="I354">
        <v>953320892</v>
      </c>
      <c r="J354" t="s">
        <v>568</v>
      </c>
      <c r="M354" t="s">
        <v>89</v>
      </c>
      <c r="O354" t="s">
        <v>102</v>
      </c>
      <c r="P354" t="s">
        <v>103</v>
      </c>
      <c r="Q354" t="s">
        <v>48</v>
      </c>
      <c r="R354" t="s">
        <v>557</v>
      </c>
      <c r="S354" s="1">
        <v>46023</v>
      </c>
      <c r="U354" t="s">
        <v>50</v>
      </c>
      <c r="X354" t="s">
        <v>51</v>
      </c>
      <c r="Y354" s="2">
        <v>0</v>
      </c>
      <c r="Z354" s="2">
        <v>50</v>
      </c>
      <c r="AA354">
        <v>1</v>
      </c>
      <c r="AB354" s="3">
        <v>1</v>
      </c>
      <c r="AC354" s="2">
        <v>50</v>
      </c>
      <c r="AD354" s="3">
        <v>0</v>
      </c>
      <c r="AE354" s="2">
        <v>0</v>
      </c>
      <c r="AF354" s="2">
        <v>50</v>
      </c>
      <c r="AK354">
        <v>6047471</v>
      </c>
      <c r="AL354" t="s">
        <v>569</v>
      </c>
    </row>
    <row r="355" spans="1:38" x14ac:dyDescent="0.25">
      <c r="A355" s="1">
        <v>46001</v>
      </c>
      <c r="B355" s="1">
        <v>46001</v>
      </c>
      <c r="C355" t="s">
        <v>38</v>
      </c>
      <c r="D355" t="s">
        <v>39</v>
      </c>
      <c r="E355" t="s">
        <v>40</v>
      </c>
      <c r="F355" t="s">
        <v>41</v>
      </c>
      <c r="G355" t="s">
        <v>42</v>
      </c>
      <c r="H355" t="s">
        <v>43</v>
      </c>
      <c r="I355">
        <v>955821745</v>
      </c>
      <c r="J355" t="s">
        <v>570</v>
      </c>
      <c r="M355" t="s">
        <v>120</v>
      </c>
      <c r="O355" t="s">
        <v>543</v>
      </c>
      <c r="P355" t="s">
        <v>544</v>
      </c>
      <c r="Q355" t="s">
        <v>48</v>
      </c>
      <c r="R355" t="s">
        <v>571</v>
      </c>
      <c r="S355" s="1">
        <v>46023</v>
      </c>
      <c r="U355" t="s">
        <v>50</v>
      </c>
      <c r="X355" t="s">
        <v>51</v>
      </c>
      <c r="Y355" s="2">
        <v>0</v>
      </c>
      <c r="Z355" s="2">
        <v>72</v>
      </c>
      <c r="AA355">
        <v>1</v>
      </c>
      <c r="AB355" s="3">
        <v>1</v>
      </c>
      <c r="AC355" s="2">
        <v>72</v>
      </c>
      <c r="AD355" s="3">
        <v>0</v>
      </c>
      <c r="AE355" s="2">
        <v>0</v>
      </c>
      <c r="AF355" s="2">
        <v>72</v>
      </c>
      <c r="AK355">
        <v>6047472</v>
      </c>
      <c r="AL355" t="s">
        <v>569</v>
      </c>
    </row>
    <row r="356" spans="1:38" x14ac:dyDescent="0.25">
      <c r="A356" s="1">
        <v>46001</v>
      </c>
      <c r="B356" s="1">
        <v>46001</v>
      </c>
      <c r="C356" t="s">
        <v>38</v>
      </c>
      <c r="D356" t="s">
        <v>39</v>
      </c>
      <c r="E356" t="s">
        <v>40</v>
      </c>
      <c r="F356" t="s">
        <v>41</v>
      </c>
      <c r="G356" t="s">
        <v>42</v>
      </c>
      <c r="H356" t="s">
        <v>43</v>
      </c>
      <c r="I356">
        <v>960467852</v>
      </c>
      <c r="J356" t="s">
        <v>572</v>
      </c>
      <c r="M356" t="s">
        <v>316</v>
      </c>
      <c r="O356" t="s">
        <v>552</v>
      </c>
      <c r="P356" t="s">
        <v>553</v>
      </c>
      <c r="Q356" t="s">
        <v>48</v>
      </c>
      <c r="R356" t="s">
        <v>537</v>
      </c>
      <c r="S356" s="1">
        <v>46023</v>
      </c>
      <c r="U356" t="s">
        <v>50</v>
      </c>
      <c r="X356" t="s">
        <v>51</v>
      </c>
      <c r="Y356" s="2">
        <v>0</v>
      </c>
      <c r="Z356" s="2">
        <v>113</v>
      </c>
      <c r="AA356">
        <v>1</v>
      </c>
      <c r="AB356" s="3">
        <v>1</v>
      </c>
      <c r="AC356" s="2">
        <v>113</v>
      </c>
      <c r="AD356" s="3">
        <v>0</v>
      </c>
      <c r="AE356" s="2">
        <v>0</v>
      </c>
      <c r="AF356" s="2">
        <v>113</v>
      </c>
      <c r="AK356">
        <v>6047479</v>
      </c>
    </row>
    <row r="357" spans="1:38" x14ac:dyDescent="0.25">
      <c r="A357" s="1">
        <v>46001</v>
      </c>
      <c r="B357" s="1">
        <v>46001</v>
      </c>
      <c r="C357" t="s">
        <v>38</v>
      </c>
      <c r="D357" t="s">
        <v>39</v>
      </c>
      <c r="E357" t="s">
        <v>40</v>
      </c>
      <c r="F357" t="s">
        <v>41</v>
      </c>
      <c r="G357" t="s">
        <v>42</v>
      </c>
      <c r="H357" t="s">
        <v>43</v>
      </c>
      <c r="I357">
        <v>960900496</v>
      </c>
      <c r="J357" t="s">
        <v>573</v>
      </c>
      <c r="M357" t="s">
        <v>45</v>
      </c>
      <c r="O357" t="s">
        <v>141</v>
      </c>
      <c r="P357" t="s">
        <v>142</v>
      </c>
      <c r="Q357" t="s">
        <v>48</v>
      </c>
      <c r="R357" t="s">
        <v>533</v>
      </c>
      <c r="S357" s="1">
        <v>46023</v>
      </c>
      <c r="U357" t="s">
        <v>50</v>
      </c>
      <c r="X357" t="s">
        <v>51</v>
      </c>
      <c r="Y357" s="2">
        <v>0</v>
      </c>
      <c r="Z357" s="2">
        <v>175</v>
      </c>
      <c r="AA357">
        <v>1</v>
      </c>
      <c r="AB357" s="3">
        <v>1</v>
      </c>
      <c r="AC357" s="2">
        <v>175</v>
      </c>
      <c r="AD357" s="3">
        <v>0</v>
      </c>
      <c r="AE357" s="2">
        <v>0</v>
      </c>
      <c r="AF357" s="2">
        <v>175</v>
      </c>
      <c r="AK357">
        <v>6047499</v>
      </c>
    </row>
    <row r="358" spans="1:38" x14ac:dyDescent="0.25">
      <c r="A358" s="1">
        <v>46001</v>
      </c>
      <c r="B358" s="1">
        <v>46001</v>
      </c>
      <c r="C358" t="s">
        <v>38</v>
      </c>
      <c r="D358" t="s">
        <v>39</v>
      </c>
      <c r="E358" t="s">
        <v>40</v>
      </c>
      <c r="F358" t="s">
        <v>41</v>
      </c>
      <c r="G358" t="s">
        <v>42</v>
      </c>
      <c r="H358" t="s">
        <v>43</v>
      </c>
      <c r="I358">
        <v>961022284</v>
      </c>
      <c r="J358" t="s">
        <v>574</v>
      </c>
      <c r="M358" t="s">
        <v>113</v>
      </c>
      <c r="O358" t="s">
        <v>126</v>
      </c>
      <c r="P358" t="s">
        <v>127</v>
      </c>
      <c r="Q358" t="s">
        <v>48</v>
      </c>
      <c r="R358" t="s">
        <v>533</v>
      </c>
      <c r="S358" s="1">
        <v>46023</v>
      </c>
      <c r="U358" t="s">
        <v>50</v>
      </c>
      <c r="X358" t="s">
        <v>51</v>
      </c>
      <c r="Y358" s="2">
        <v>0</v>
      </c>
      <c r="Z358" s="2">
        <v>175</v>
      </c>
      <c r="AA358">
        <v>1</v>
      </c>
      <c r="AB358" s="3">
        <v>1</v>
      </c>
      <c r="AC358" s="2">
        <v>175</v>
      </c>
      <c r="AD358" s="3">
        <v>0</v>
      </c>
      <c r="AE358" s="2">
        <v>0</v>
      </c>
      <c r="AF358" s="2">
        <v>175</v>
      </c>
      <c r="AK358">
        <v>6047500</v>
      </c>
    </row>
    <row r="359" spans="1:38" x14ac:dyDescent="0.25">
      <c r="A359" s="1">
        <v>46001</v>
      </c>
      <c r="B359" s="1">
        <v>46001</v>
      </c>
      <c r="C359" t="s">
        <v>38</v>
      </c>
      <c r="D359" t="s">
        <v>39</v>
      </c>
      <c r="E359" t="s">
        <v>40</v>
      </c>
      <c r="F359" t="s">
        <v>41</v>
      </c>
      <c r="G359" t="s">
        <v>42</v>
      </c>
      <c r="H359" t="s">
        <v>43</v>
      </c>
      <c r="I359">
        <v>965649864</v>
      </c>
      <c r="J359" t="s">
        <v>575</v>
      </c>
      <c r="M359" t="s">
        <v>269</v>
      </c>
      <c r="O359" t="s">
        <v>126</v>
      </c>
      <c r="P359" t="s">
        <v>127</v>
      </c>
      <c r="Q359" t="s">
        <v>48</v>
      </c>
      <c r="R359" t="s">
        <v>533</v>
      </c>
      <c r="S359" s="1">
        <v>46023</v>
      </c>
      <c r="U359" t="s">
        <v>50</v>
      </c>
      <c r="X359" t="s">
        <v>51</v>
      </c>
      <c r="Y359" s="2">
        <v>0</v>
      </c>
      <c r="Z359" s="2">
        <v>175</v>
      </c>
      <c r="AA359">
        <v>1</v>
      </c>
      <c r="AB359" s="3">
        <v>1</v>
      </c>
      <c r="AC359" s="2">
        <v>175</v>
      </c>
      <c r="AD359" s="3">
        <v>0</v>
      </c>
      <c r="AE359" s="2">
        <v>0</v>
      </c>
      <c r="AF359" s="2">
        <v>175</v>
      </c>
      <c r="AK359">
        <v>6047501</v>
      </c>
    </row>
    <row r="360" spans="1:38" x14ac:dyDescent="0.25">
      <c r="A360" s="1">
        <v>46001</v>
      </c>
      <c r="B360" s="1">
        <v>46001</v>
      </c>
      <c r="C360" t="s">
        <v>38</v>
      </c>
      <c r="D360" t="s">
        <v>39</v>
      </c>
      <c r="E360" t="s">
        <v>40</v>
      </c>
      <c r="F360" t="s">
        <v>41</v>
      </c>
      <c r="G360" t="s">
        <v>42</v>
      </c>
      <c r="H360" t="s">
        <v>43</v>
      </c>
      <c r="I360">
        <v>969876427</v>
      </c>
      <c r="J360" t="s">
        <v>576</v>
      </c>
      <c r="M360" t="s">
        <v>316</v>
      </c>
      <c r="O360" t="s">
        <v>321</v>
      </c>
      <c r="P360" t="s">
        <v>322</v>
      </c>
      <c r="Q360" t="s">
        <v>48</v>
      </c>
      <c r="R360" t="s">
        <v>571</v>
      </c>
      <c r="S360" s="1">
        <v>46023</v>
      </c>
      <c r="U360" t="s">
        <v>50</v>
      </c>
      <c r="X360" t="s">
        <v>51</v>
      </c>
      <c r="Y360" s="2">
        <v>0</v>
      </c>
      <c r="Z360" s="2">
        <v>72</v>
      </c>
      <c r="AA360">
        <v>1</v>
      </c>
      <c r="AB360" s="3">
        <v>1</v>
      </c>
      <c r="AC360" s="2">
        <v>72</v>
      </c>
      <c r="AD360" s="3">
        <v>0</v>
      </c>
      <c r="AE360" s="2">
        <v>0</v>
      </c>
      <c r="AF360" s="2">
        <v>72</v>
      </c>
      <c r="AK360">
        <v>6047295</v>
      </c>
      <c r="AL360" t="s">
        <v>569</v>
      </c>
    </row>
    <row r="361" spans="1:38" x14ac:dyDescent="0.25">
      <c r="A361" s="1">
        <v>46001</v>
      </c>
      <c r="B361" s="1">
        <v>46001</v>
      </c>
      <c r="C361" t="s">
        <v>38</v>
      </c>
      <c r="D361" t="s">
        <v>39</v>
      </c>
      <c r="E361" t="s">
        <v>40</v>
      </c>
      <c r="F361" t="s">
        <v>41</v>
      </c>
      <c r="G361" t="s">
        <v>42</v>
      </c>
      <c r="H361" t="s">
        <v>43</v>
      </c>
      <c r="I361">
        <v>970961326</v>
      </c>
      <c r="J361" t="s">
        <v>577</v>
      </c>
      <c r="M361" t="s">
        <v>220</v>
      </c>
      <c r="O361" t="s">
        <v>58</v>
      </c>
      <c r="P361" t="s">
        <v>59</v>
      </c>
      <c r="Q361" t="s">
        <v>48</v>
      </c>
      <c r="R361" t="s">
        <v>537</v>
      </c>
      <c r="S361" s="1">
        <v>46023</v>
      </c>
      <c r="U361" t="s">
        <v>50</v>
      </c>
      <c r="X361" t="s">
        <v>51</v>
      </c>
      <c r="Y361" s="2">
        <v>0</v>
      </c>
      <c r="Z361" s="2">
        <v>113</v>
      </c>
      <c r="AA361">
        <v>1</v>
      </c>
      <c r="AB361" s="3">
        <v>1</v>
      </c>
      <c r="AC361" s="2">
        <v>113</v>
      </c>
      <c r="AD361" s="3">
        <v>0</v>
      </c>
      <c r="AE361" s="2">
        <v>0</v>
      </c>
      <c r="AF361" s="2">
        <v>113</v>
      </c>
      <c r="AK361">
        <v>6047480</v>
      </c>
    </row>
    <row r="362" spans="1:38" x14ac:dyDescent="0.25">
      <c r="A362" s="1">
        <v>46001</v>
      </c>
      <c r="B362" s="1">
        <v>46001</v>
      </c>
      <c r="C362" t="s">
        <v>38</v>
      </c>
      <c r="D362" t="s">
        <v>39</v>
      </c>
      <c r="E362" t="s">
        <v>40</v>
      </c>
      <c r="F362" t="s">
        <v>41</v>
      </c>
      <c r="G362" t="s">
        <v>42</v>
      </c>
      <c r="H362" t="s">
        <v>43</v>
      </c>
      <c r="I362">
        <v>973694305</v>
      </c>
      <c r="J362" t="s">
        <v>578</v>
      </c>
      <c r="M362" t="s">
        <v>89</v>
      </c>
      <c r="O362" t="s">
        <v>102</v>
      </c>
      <c r="P362" t="s">
        <v>103</v>
      </c>
      <c r="Q362" t="s">
        <v>48</v>
      </c>
      <c r="R362" t="s">
        <v>533</v>
      </c>
      <c r="S362" s="1">
        <v>46023</v>
      </c>
      <c r="U362" t="s">
        <v>50</v>
      </c>
      <c r="X362" t="s">
        <v>51</v>
      </c>
      <c r="Y362" s="2">
        <v>0</v>
      </c>
      <c r="Z362" s="2">
        <v>175</v>
      </c>
      <c r="AA362">
        <v>1</v>
      </c>
      <c r="AB362" s="3">
        <v>1</v>
      </c>
      <c r="AC362" s="2">
        <v>175</v>
      </c>
      <c r="AD362" s="3">
        <v>0</v>
      </c>
      <c r="AE362" s="2">
        <v>0</v>
      </c>
      <c r="AF362" s="2">
        <v>175</v>
      </c>
      <c r="AK362">
        <v>6047502</v>
      </c>
    </row>
    <row r="363" spans="1:38" x14ac:dyDescent="0.25">
      <c r="A363" s="1">
        <v>46001</v>
      </c>
      <c r="B363" s="1">
        <v>46001</v>
      </c>
      <c r="C363" t="s">
        <v>38</v>
      </c>
      <c r="D363" t="s">
        <v>39</v>
      </c>
      <c r="E363" t="s">
        <v>40</v>
      </c>
      <c r="F363" t="s">
        <v>41</v>
      </c>
      <c r="G363" t="s">
        <v>42</v>
      </c>
      <c r="H363" t="s">
        <v>43</v>
      </c>
      <c r="I363">
        <v>973756831</v>
      </c>
      <c r="J363" t="s">
        <v>579</v>
      </c>
      <c r="M363" t="s">
        <v>45</v>
      </c>
      <c r="O363" t="s">
        <v>153</v>
      </c>
      <c r="P363" t="s">
        <v>154</v>
      </c>
      <c r="Q363" t="s">
        <v>48</v>
      </c>
      <c r="R363" t="s">
        <v>533</v>
      </c>
      <c r="S363" s="1">
        <v>46023</v>
      </c>
      <c r="U363" t="s">
        <v>50</v>
      </c>
      <c r="X363" t="s">
        <v>51</v>
      </c>
      <c r="Y363" s="2">
        <v>0</v>
      </c>
      <c r="Z363" s="2">
        <v>175</v>
      </c>
      <c r="AA363">
        <v>1</v>
      </c>
      <c r="AB363" s="3">
        <v>1</v>
      </c>
      <c r="AC363" s="2">
        <v>175</v>
      </c>
      <c r="AD363" s="3">
        <v>0</v>
      </c>
      <c r="AE363" s="2">
        <v>0</v>
      </c>
      <c r="AF363" s="2">
        <v>175</v>
      </c>
      <c r="AK363">
        <v>6047503</v>
      </c>
    </row>
    <row r="364" spans="1:38" x14ac:dyDescent="0.25">
      <c r="A364" s="1">
        <v>46001</v>
      </c>
      <c r="B364" s="1">
        <v>46001</v>
      </c>
      <c r="C364" t="s">
        <v>38</v>
      </c>
      <c r="D364" t="s">
        <v>39</v>
      </c>
      <c r="E364" t="s">
        <v>40</v>
      </c>
      <c r="F364" t="s">
        <v>41</v>
      </c>
      <c r="G364" t="s">
        <v>42</v>
      </c>
      <c r="H364" t="s">
        <v>43</v>
      </c>
      <c r="I364">
        <v>976065098</v>
      </c>
      <c r="J364" t="s">
        <v>580</v>
      </c>
      <c r="M364" t="s">
        <v>347</v>
      </c>
      <c r="O364" t="s">
        <v>93</v>
      </c>
      <c r="P364" t="s">
        <v>94</v>
      </c>
      <c r="Q364" t="s">
        <v>48</v>
      </c>
      <c r="R364" t="s">
        <v>533</v>
      </c>
      <c r="S364" s="1">
        <v>46023</v>
      </c>
      <c r="U364" t="s">
        <v>50</v>
      </c>
      <c r="X364" t="s">
        <v>51</v>
      </c>
      <c r="Y364" s="2">
        <v>0</v>
      </c>
      <c r="Z364" s="2">
        <v>175</v>
      </c>
      <c r="AA364">
        <v>1</v>
      </c>
      <c r="AB364" s="3">
        <v>1</v>
      </c>
      <c r="AC364" s="2">
        <v>175</v>
      </c>
      <c r="AD364" s="3">
        <v>0</v>
      </c>
      <c r="AE364" s="2">
        <v>0</v>
      </c>
      <c r="AF364" s="2">
        <v>175</v>
      </c>
      <c r="AK364">
        <v>6047504</v>
      </c>
    </row>
    <row r="365" spans="1:38" x14ac:dyDescent="0.25">
      <c r="A365" s="1">
        <v>46001</v>
      </c>
      <c r="B365" s="1">
        <v>46001</v>
      </c>
      <c r="C365" t="s">
        <v>38</v>
      </c>
      <c r="D365" t="s">
        <v>39</v>
      </c>
      <c r="E365" t="s">
        <v>40</v>
      </c>
      <c r="F365" t="s">
        <v>41</v>
      </c>
      <c r="G365" t="s">
        <v>42</v>
      </c>
      <c r="H365" t="s">
        <v>43</v>
      </c>
      <c r="I365">
        <v>977886088</v>
      </c>
      <c r="J365" t="s">
        <v>581</v>
      </c>
      <c r="M365" t="s">
        <v>89</v>
      </c>
      <c r="O365" t="s">
        <v>102</v>
      </c>
      <c r="P365" t="s">
        <v>103</v>
      </c>
      <c r="Q365" t="s">
        <v>48</v>
      </c>
      <c r="R365" t="s">
        <v>533</v>
      </c>
      <c r="S365" s="1">
        <v>46023</v>
      </c>
      <c r="U365" t="s">
        <v>50</v>
      </c>
      <c r="X365" t="s">
        <v>51</v>
      </c>
      <c r="Y365" s="2">
        <v>0</v>
      </c>
      <c r="Z365" s="2">
        <v>175</v>
      </c>
      <c r="AA365">
        <v>1</v>
      </c>
      <c r="AB365" s="3">
        <v>1</v>
      </c>
      <c r="AC365" s="2">
        <v>175</v>
      </c>
      <c r="AD365" s="3">
        <v>0</v>
      </c>
      <c r="AE365" s="2">
        <v>0</v>
      </c>
      <c r="AF365" s="2">
        <v>175</v>
      </c>
      <c r="AK365">
        <v>6047505</v>
      </c>
    </row>
    <row r="366" spans="1:38" x14ac:dyDescent="0.25">
      <c r="A366" s="1">
        <v>46001</v>
      </c>
      <c r="B366" s="1">
        <v>46001</v>
      </c>
      <c r="C366" t="s">
        <v>38</v>
      </c>
      <c r="D366" t="s">
        <v>39</v>
      </c>
      <c r="E366" t="s">
        <v>40</v>
      </c>
      <c r="F366" t="s">
        <v>41</v>
      </c>
      <c r="G366" t="s">
        <v>42</v>
      </c>
      <c r="H366" t="s">
        <v>43</v>
      </c>
      <c r="I366">
        <v>979600179</v>
      </c>
      <c r="J366" t="s">
        <v>582</v>
      </c>
      <c r="M366" t="s">
        <v>125</v>
      </c>
      <c r="O366" t="s">
        <v>126</v>
      </c>
      <c r="P366" t="s">
        <v>127</v>
      </c>
      <c r="Q366" t="s">
        <v>48</v>
      </c>
      <c r="R366" t="s">
        <v>533</v>
      </c>
      <c r="S366" s="1">
        <v>46023</v>
      </c>
      <c r="U366" t="s">
        <v>50</v>
      </c>
      <c r="X366" t="s">
        <v>51</v>
      </c>
      <c r="Y366" s="2">
        <v>0</v>
      </c>
      <c r="Z366" s="2">
        <v>175</v>
      </c>
      <c r="AA366">
        <v>1</v>
      </c>
      <c r="AB366" s="3">
        <v>1</v>
      </c>
      <c r="AC366" s="2">
        <v>175</v>
      </c>
      <c r="AD366" s="3">
        <v>0</v>
      </c>
      <c r="AE366" s="2">
        <v>0</v>
      </c>
      <c r="AF366" s="2">
        <v>175</v>
      </c>
      <c r="AK366">
        <v>6047506</v>
      </c>
    </row>
    <row r="367" spans="1:38" x14ac:dyDescent="0.25">
      <c r="A367" s="1">
        <v>46001</v>
      </c>
      <c r="B367" s="1">
        <v>46001</v>
      </c>
      <c r="C367" t="s">
        <v>38</v>
      </c>
      <c r="D367" t="s">
        <v>39</v>
      </c>
      <c r="E367" t="s">
        <v>40</v>
      </c>
      <c r="F367" t="s">
        <v>41</v>
      </c>
      <c r="G367" t="s">
        <v>42</v>
      </c>
      <c r="H367" t="s">
        <v>43</v>
      </c>
      <c r="I367">
        <v>979705830</v>
      </c>
      <c r="J367" t="s">
        <v>583</v>
      </c>
      <c r="M367" t="s">
        <v>113</v>
      </c>
      <c r="O367" t="s">
        <v>74</v>
      </c>
      <c r="P367" t="s">
        <v>75</v>
      </c>
      <c r="Q367" t="s">
        <v>48</v>
      </c>
      <c r="R367" t="s">
        <v>537</v>
      </c>
      <c r="S367" s="1">
        <v>46023</v>
      </c>
      <c r="U367" t="s">
        <v>50</v>
      </c>
      <c r="X367" t="s">
        <v>51</v>
      </c>
      <c r="Y367" s="2">
        <v>0</v>
      </c>
      <c r="Z367" s="2">
        <v>113</v>
      </c>
      <c r="AA367">
        <v>1</v>
      </c>
      <c r="AB367" s="3">
        <v>1</v>
      </c>
      <c r="AC367" s="2">
        <v>113</v>
      </c>
      <c r="AD367" s="3">
        <v>0</v>
      </c>
      <c r="AE367" s="2">
        <v>0</v>
      </c>
      <c r="AF367" s="2">
        <v>113</v>
      </c>
      <c r="AK367">
        <v>6047481</v>
      </c>
    </row>
    <row r="368" spans="1:38" x14ac:dyDescent="0.25">
      <c r="A368" s="1">
        <v>46001</v>
      </c>
      <c r="B368" s="1">
        <v>46001</v>
      </c>
      <c r="C368" t="s">
        <v>38</v>
      </c>
      <c r="D368" t="s">
        <v>39</v>
      </c>
      <c r="E368" t="s">
        <v>40</v>
      </c>
      <c r="F368" t="s">
        <v>41</v>
      </c>
      <c r="G368" t="s">
        <v>42</v>
      </c>
      <c r="H368" t="s">
        <v>43</v>
      </c>
      <c r="I368">
        <v>979754030</v>
      </c>
      <c r="J368" t="s">
        <v>584</v>
      </c>
      <c r="M368" t="s">
        <v>316</v>
      </c>
      <c r="O368" t="s">
        <v>321</v>
      </c>
      <c r="P368" t="s">
        <v>322</v>
      </c>
      <c r="Q368" t="s">
        <v>48</v>
      </c>
      <c r="R368" t="s">
        <v>533</v>
      </c>
      <c r="S368" s="1">
        <v>46023</v>
      </c>
      <c r="U368" t="s">
        <v>50</v>
      </c>
      <c r="X368" t="s">
        <v>51</v>
      </c>
      <c r="Y368" s="2">
        <v>0</v>
      </c>
      <c r="Z368" s="2">
        <v>175</v>
      </c>
      <c r="AA368">
        <v>1</v>
      </c>
      <c r="AB368" s="3">
        <v>1</v>
      </c>
      <c r="AC368" s="2">
        <v>175</v>
      </c>
      <c r="AD368" s="3">
        <v>0</v>
      </c>
      <c r="AE368" s="2">
        <v>0</v>
      </c>
      <c r="AF368" s="2">
        <v>175</v>
      </c>
      <c r="AK368">
        <v>6047345</v>
      </c>
    </row>
    <row r="369" spans="1:38" x14ac:dyDescent="0.25">
      <c r="A369" s="1">
        <v>46001</v>
      </c>
      <c r="B369" s="1">
        <v>46001</v>
      </c>
      <c r="C369" t="s">
        <v>38</v>
      </c>
      <c r="D369" t="s">
        <v>39</v>
      </c>
      <c r="E369" t="s">
        <v>40</v>
      </c>
      <c r="F369" t="s">
        <v>41</v>
      </c>
      <c r="G369" t="s">
        <v>42</v>
      </c>
      <c r="H369" t="s">
        <v>43</v>
      </c>
      <c r="I369">
        <v>982017456</v>
      </c>
      <c r="J369" t="s">
        <v>585</v>
      </c>
      <c r="M369" t="s">
        <v>120</v>
      </c>
      <c r="O369" t="s">
        <v>543</v>
      </c>
      <c r="P369" t="s">
        <v>544</v>
      </c>
      <c r="Q369" t="s">
        <v>48</v>
      </c>
      <c r="R369" t="s">
        <v>571</v>
      </c>
      <c r="S369" s="1">
        <v>46023</v>
      </c>
      <c r="U369" t="s">
        <v>50</v>
      </c>
      <c r="X369" t="s">
        <v>51</v>
      </c>
      <c r="Y369" s="2">
        <v>0</v>
      </c>
      <c r="Z369" s="2">
        <v>72</v>
      </c>
      <c r="AA369">
        <v>1</v>
      </c>
      <c r="AB369" s="3">
        <v>1</v>
      </c>
      <c r="AC369" s="2">
        <v>72</v>
      </c>
      <c r="AD369" s="3">
        <v>0</v>
      </c>
      <c r="AE369" s="2">
        <v>0</v>
      </c>
      <c r="AF369" s="2">
        <v>72</v>
      </c>
      <c r="AK369">
        <v>6047473</v>
      </c>
      <c r="AL369" t="s">
        <v>569</v>
      </c>
    </row>
    <row r="370" spans="1:38" x14ac:dyDescent="0.25">
      <c r="A370" s="1">
        <v>46001</v>
      </c>
      <c r="B370" s="1">
        <v>46001</v>
      </c>
      <c r="C370" t="s">
        <v>38</v>
      </c>
      <c r="D370" t="s">
        <v>39</v>
      </c>
      <c r="E370" t="s">
        <v>40</v>
      </c>
      <c r="F370" t="s">
        <v>41</v>
      </c>
      <c r="G370" t="s">
        <v>42</v>
      </c>
      <c r="H370" t="s">
        <v>43</v>
      </c>
      <c r="I370">
        <v>988729741</v>
      </c>
      <c r="J370" t="s">
        <v>586</v>
      </c>
      <c r="M370" t="s">
        <v>347</v>
      </c>
      <c r="O370" t="s">
        <v>108</v>
      </c>
      <c r="P370" t="s">
        <v>109</v>
      </c>
      <c r="Q370" t="s">
        <v>48</v>
      </c>
      <c r="R370" t="s">
        <v>533</v>
      </c>
      <c r="S370" s="1">
        <v>46023</v>
      </c>
      <c r="U370" t="s">
        <v>50</v>
      </c>
      <c r="X370" t="s">
        <v>51</v>
      </c>
      <c r="Y370" s="2">
        <v>0</v>
      </c>
      <c r="Z370" s="2">
        <v>175</v>
      </c>
      <c r="AA370">
        <v>1</v>
      </c>
      <c r="AB370" s="3">
        <v>1</v>
      </c>
      <c r="AC370" s="2">
        <v>175</v>
      </c>
      <c r="AD370" s="3">
        <v>0</v>
      </c>
      <c r="AE370" s="2">
        <v>0</v>
      </c>
      <c r="AF370" s="2">
        <v>175</v>
      </c>
      <c r="AK370">
        <v>6047507</v>
      </c>
    </row>
    <row r="371" spans="1:38" s="4" customFormat="1" x14ac:dyDescent="0.25">
      <c r="A371" s="5">
        <v>46001</v>
      </c>
      <c r="B371" s="5">
        <v>46001</v>
      </c>
      <c r="C371" s="4" t="s">
        <v>38</v>
      </c>
      <c r="D371" s="4" t="s">
        <v>39</v>
      </c>
      <c r="E371" s="4" t="s">
        <v>40</v>
      </c>
      <c r="F371" s="4" t="s">
        <v>41</v>
      </c>
      <c r="G371" s="4" t="s">
        <v>42</v>
      </c>
      <c r="H371" s="4" t="s">
        <v>43</v>
      </c>
      <c r="I371" s="4" t="s">
        <v>796</v>
      </c>
      <c r="J371" s="4" t="s">
        <v>587</v>
      </c>
      <c r="M371" s="4" t="s">
        <v>227</v>
      </c>
      <c r="O371" s="4" t="s">
        <v>543</v>
      </c>
      <c r="P371" s="4" t="s">
        <v>544</v>
      </c>
      <c r="Q371" s="4" t="s">
        <v>48</v>
      </c>
      <c r="R371" s="4" t="s">
        <v>588</v>
      </c>
      <c r="S371" s="5">
        <v>45992</v>
      </c>
      <c r="U371" s="4" t="s">
        <v>50</v>
      </c>
      <c r="X371" s="4" t="s">
        <v>51</v>
      </c>
      <c r="Y371" s="6">
        <v>0</v>
      </c>
      <c r="Z371" s="6">
        <v>23.87</v>
      </c>
      <c r="AA371" s="4">
        <v>1</v>
      </c>
      <c r="AB371" s="7">
        <v>1</v>
      </c>
      <c r="AC371" s="6">
        <v>23.87</v>
      </c>
      <c r="AD371" s="7">
        <v>0</v>
      </c>
      <c r="AE371" s="6">
        <v>0</v>
      </c>
      <c r="AF371" s="6">
        <v>23.87</v>
      </c>
      <c r="AK371" s="4">
        <v>6046977</v>
      </c>
    </row>
    <row r="372" spans="1:38" s="4" customFormat="1" x14ac:dyDescent="0.25">
      <c r="A372" s="5">
        <v>46001</v>
      </c>
      <c r="B372" s="5">
        <v>46001</v>
      </c>
      <c r="C372" s="4" t="s">
        <v>38</v>
      </c>
      <c r="D372" s="4" t="s">
        <v>39</v>
      </c>
      <c r="E372" s="4" t="s">
        <v>40</v>
      </c>
      <c r="F372" s="4" t="s">
        <v>41</v>
      </c>
      <c r="G372" s="4" t="s">
        <v>42</v>
      </c>
      <c r="H372" s="4" t="s">
        <v>43</v>
      </c>
      <c r="I372" s="4" t="s">
        <v>797</v>
      </c>
      <c r="J372" s="4" t="s">
        <v>589</v>
      </c>
      <c r="M372" s="4" t="s">
        <v>89</v>
      </c>
      <c r="O372" s="4" t="s">
        <v>102</v>
      </c>
      <c r="P372" s="4" t="s">
        <v>103</v>
      </c>
      <c r="Q372" s="4" t="s">
        <v>48</v>
      </c>
      <c r="R372" s="4" t="s">
        <v>590</v>
      </c>
      <c r="S372" s="5">
        <v>46023</v>
      </c>
      <c r="U372" s="4" t="s">
        <v>50</v>
      </c>
      <c r="X372" s="4" t="s">
        <v>51</v>
      </c>
      <c r="Y372" s="6">
        <v>0</v>
      </c>
      <c r="Z372" s="6">
        <v>31.02</v>
      </c>
      <c r="AA372" s="4">
        <v>9</v>
      </c>
      <c r="AB372" s="7">
        <v>1</v>
      </c>
      <c r="AC372" s="6">
        <v>279.18</v>
      </c>
      <c r="AD372" s="7">
        <v>0</v>
      </c>
      <c r="AE372" s="6">
        <v>0</v>
      </c>
      <c r="AF372" s="6">
        <v>279.18</v>
      </c>
      <c r="AK372" s="4">
        <v>6046982</v>
      </c>
    </row>
    <row r="373" spans="1:38" s="4" customFormat="1" x14ac:dyDescent="0.25">
      <c r="A373" s="5">
        <v>46001</v>
      </c>
      <c r="B373" s="5">
        <v>46001</v>
      </c>
      <c r="C373" s="4" t="s">
        <v>38</v>
      </c>
      <c r="D373" s="4" t="s">
        <v>39</v>
      </c>
      <c r="E373" s="4" t="s">
        <v>40</v>
      </c>
      <c r="F373" s="4" t="s">
        <v>41</v>
      </c>
      <c r="G373" s="4" t="s">
        <v>42</v>
      </c>
      <c r="H373" s="4" t="s">
        <v>43</v>
      </c>
      <c r="I373" s="4" t="s">
        <v>798</v>
      </c>
      <c r="J373" s="4" t="s">
        <v>591</v>
      </c>
      <c r="M373" s="4" t="s">
        <v>89</v>
      </c>
      <c r="O373" s="4" t="s">
        <v>102</v>
      </c>
      <c r="P373" s="4" t="s">
        <v>103</v>
      </c>
      <c r="Q373" s="4" t="s">
        <v>48</v>
      </c>
      <c r="R373" s="4" t="s">
        <v>590</v>
      </c>
      <c r="S373" s="5">
        <v>45992</v>
      </c>
      <c r="U373" s="4" t="s">
        <v>50</v>
      </c>
      <c r="X373" s="4" t="s">
        <v>51</v>
      </c>
      <c r="Y373" s="6">
        <v>0</v>
      </c>
      <c r="Z373" s="6">
        <v>31.02</v>
      </c>
      <c r="AA373" s="4">
        <v>9</v>
      </c>
      <c r="AB373" s="7">
        <v>1</v>
      </c>
      <c r="AC373" s="6">
        <v>279.18</v>
      </c>
      <c r="AD373" s="7">
        <v>0</v>
      </c>
      <c r="AE373" s="6">
        <v>0</v>
      </c>
      <c r="AF373" s="6">
        <v>279.18</v>
      </c>
      <c r="AK373" s="4">
        <v>6046981</v>
      </c>
    </row>
    <row r="374" spans="1:38" x14ac:dyDescent="0.25">
      <c r="A374" s="1">
        <v>46001</v>
      </c>
      <c r="B374" s="1">
        <v>46001</v>
      </c>
      <c r="C374" t="s">
        <v>38</v>
      </c>
      <c r="D374" t="s">
        <v>39</v>
      </c>
      <c r="E374" t="s">
        <v>40</v>
      </c>
      <c r="F374" t="s">
        <v>41</v>
      </c>
      <c r="G374" t="s">
        <v>42</v>
      </c>
      <c r="H374" t="s">
        <v>43</v>
      </c>
      <c r="I374" t="s">
        <v>799</v>
      </c>
      <c r="J374" t="s">
        <v>592</v>
      </c>
      <c r="M374" t="s">
        <v>45</v>
      </c>
      <c r="O374" t="s">
        <v>141</v>
      </c>
      <c r="P374" t="s">
        <v>142</v>
      </c>
      <c r="Q374" t="s">
        <v>48</v>
      </c>
      <c r="R374" t="s">
        <v>593</v>
      </c>
      <c r="S374" s="1">
        <v>46023</v>
      </c>
      <c r="U374" t="s">
        <v>50</v>
      </c>
      <c r="X374" t="s">
        <v>51</v>
      </c>
      <c r="Y374" s="2">
        <v>0</v>
      </c>
      <c r="Z374" s="2">
        <v>9.83</v>
      </c>
      <c r="AA374">
        <v>9</v>
      </c>
      <c r="AB374" s="3">
        <v>1</v>
      </c>
      <c r="AC374" s="2">
        <v>88.47</v>
      </c>
      <c r="AD374" s="3">
        <v>0</v>
      </c>
      <c r="AE374" s="2">
        <v>0</v>
      </c>
      <c r="AF374" s="2">
        <v>88.47</v>
      </c>
      <c r="AK374">
        <v>6046978</v>
      </c>
    </row>
    <row r="375" spans="1:38" s="4" customFormat="1" x14ac:dyDescent="0.25">
      <c r="A375" s="5">
        <v>46001</v>
      </c>
      <c r="B375" s="5">
        <v>46001</v>
      </c>
      <c r="C375" s="4" t="s">
        <v>38</v>
      </c>
      <c r="D375" s="4" t="s">
        <v>39</v>
      </c>
      <c r="E375" s="4" t="s">
        <v>40</v>
      </c>
      <c r="F375" s="4" t="s">
        <v>41</v>
      </c>
      <c r="G375" s="4" t="s">
        <v>42</v>
      </c>
      <c r="H375" s="4" t="s">
        <v>43</v>
      </c>
      <c r="I375" s="4" t="s">
        <v>800</v>
      </c>
      <c r="J375" s="4" t="s">
        <v>594</v>
      </c>
      <c r="M375" s="4" t="s">
        <v>69</v>
      </c>
      <c r="O375" s="4" t="s">
        <v>70</v>
      </c>
      <c r="P375" s="4" t="s">
        <v>71</v>
      </c>
      <c r="Q375" s="4" t="s">
        <v>48</v>
      </c>
      <c r="R375" s="4" t="s">
        <v>595</v>
      </c>
      <c r="S375" s="5">
        <v>45992</v>
      </c>
      <c r="U375" s="4" t="s">
        <v>50</v>
      </c>
      <c r="X375" s="4" t="s">
        <v>51</v>
      </c>
      <c r="Y375" s="6">
        <v>0</v>
      </c>
      <c r="Z375" s="6">
        <v>25.98</v>
      </c>
      <c r="AA375" s="4">
        <v>9</v>
      </c>
      <c r="AB375" s="7">
        <v>1</v>
      </c>
      <c r="AC375" s="6">
        <v>233.82</v>
      </c>
      <c r="AD375" s="7">
        <v>0</v>
      </c>
      <c r="AE375" s="6">
        <v>0</v>
      </c>
      <c r="AF375" s="6">
        <v>233.82</v>
      </c>
      <c r="AK375" s="4">
        <v>6046980</v>
      </c>
    </row>
    <row r="376" spans="1:38" s="4" customFormat="1" x14ac:dyDescent="0.25">
      <c r="A376" s="5">
        <v>46001</v>
      </c>
      <c r="B376" s="5">
        <v>46001</v>
      </c>
      <c r="C376" s="4" t="s">
        <v>38</v>
      </c>
      <c r="D376" s="4" t="s">
        <v>39</v>
      </c>
      <c r="E376" s="4" t="s">
        <v>40</v>
      </c>
      <c r="F376" s="4" t="s">
        <v>41</v>
      </c>
      <c r="G376" s="4" t="s">
        <v>42</v>
      </c>
      <c r="H376" s="4" t="s">
        <v>43</v>
      </c>
      <c r="I376" s="4" t="s">
        <v>801</v>
      </c>
      <c r="J376" s="4" t="s">
        <v>596</v>
      </c>
      <c r="M376" s="4" t="s">
        <v>69</v>
      </c>
      <c r="O376" s="4" t="s">
        <v>70</v>
      </c>
      <c r="P376" s="4" t="s">
        <v>71</v>
      </c>
      <c r="Q376" s="4" t="s">
        <v>48</v>
      </c>
      <c r="R376" s="4" t="s">
        <v>595</v>
      </c>
      <c r="S376" s="5">
        <v>45992</v>
      </c>
      <c r="U376" s="4" t="s">
        <v>50</v>
      </c>
      <c r="X376" s="4" t="s">
        <v>51</v>
      </c>
      <c r="Y376" s="6">
        <v>0</v>
      </c>
      <c r="Z376" s="6">
        <v>25.98</v>
      </c>
      <c r="AA376" s="4">
        <v>9</v>
      </c>
      <c r="AB376" s="7">
        <v>1</v>
      </c>
      <c r="AC376" s="6">
        <v>233.82</v>
      </c>
      <c r="AD376" s="7">
        <v>0</v>
      </c>
      <c r="AE376" s="6">
        <v>0</v>
      </c>
      <c r="AF376" s="6">
        <v>233.82</v>
      </c>
      <c r="AK376" s="4">
        <v>6046979</v>
      </c>
    </row>
    <row r="377" spans="1:38" x14ac:dyDescent="0.25">
      <c r="A377" s="1">
        <v>46001</v>
      </c>
      <c r="B377" s="1">
        <v>46001</v>
      </c>
      <c r="C377" t="s">
        <v>597</v>
      </c>
      <c r="D377" t="s">
        <v>39</v>
      </c>
      <c r="E377" t="s">
        <v>40</v>
      </c>
      <c r="F377" t="s">
        <v>41</v>
      </c>
      <c r="G377" t="s">
        <v>42</v>
      </c>
      <c r="H377" t="s">
        <v>43</v>
      </c>
      <c r="I377" t="s">
        <v>834</v>
      </c>
      <c r="J377" t="s">
        <v>598</v>
      </c>
      <c r="M377" t="s">
        <v>45</v>
      </c>
      <c r="O377" t="s">
        <v>96</v>
      </c>
      <c r="P377" t="s">
        <v>97</v>
      </c>
      <c r="Q377" t="s">
        <v>599</v>
      </c>
      <c r="R377" t="s">
        <v>56</v>
      </c>
      <c r="S377" s="1">
        <v>46023</v>
      </c>
      <c r="U377" t="s">
        <v>50</v>
      </c>
      <c r="X377" t="s">
        <v>51</v>
      </c>
      <c r="AF377" s="2">
        <v>175</v>
      </c>
      <c r="AG377" s="2">
        <v>0</v>
      </c>
      <c r="AJ377" s="2">
        <v>175</v>
      </c>
    </row>
    <row r="378" spans="1:38" x14ac:dyDescent="0.25">
      <c r="A378" s="1">
        <v>46001</v>
      </c>
      <c r="B378" s="1">
        <v>46001</v>
      </c>
      <c r="C378" t="s">
        <v>597</v>
      </c>
      <c r="D378" t="s">
        <v>39</v>
      </c>
      <c r="E378" t="s">
        <v>40</v>
      </c>
      <c r="F378" t="s">
        <v>41</v>
      </c>
      <c r="G378" t="s">
        <v>42</v>
      </c>
      <c r="H378" t="s">
        <v>43</v>
      </c>
      <c r="I378" t="s">
        <v>835</v>
      </c>
      <c r="J378" t="s">
        <v>600</v>
      </c>
      <c r="M378" t="s">
        <v>115</v>
      </c>
      <c r="O378" t="s">
        <v>74</v>
      </c>
      <c r="P378" t="s">
        <v>75</v>
      </c>
      <c r="Q378" t="s">
        <v>599</v>
      </c>
      <c r="R378" t="s">
        <v>56</v>
      </c>
      <c r="S378" s="1">
        <v>46023</v>
      </c>
      <c r="U378" t="s">
        <v>50</v>
      </c>
      <c r="X378" t="s">
        <v>51</v>
      </c>
      <c r="AF378" s="2">
        <v>175</v>
      </c>
      <c r="AG378" s="2">
        <v>0</v>
      </c>
      <c r="AJ378" s="2">
        <v>175</v>
      </c>
    </row>
    <row r="379" spans="1:38" x14ac:dyDescent="0.25">
      <c r="A379" s="1">
        <v>46001</v>
      </c>
      <c r="B379" s="1">
        <v>46001</v>
      </c>
      <c r="C379" t="s">
        <v>597</v>
      </c>
      <c r="D379" t="s">
        <v>39</v>
      </c>
      <c r="E379" t="s">
        <v>40</v>
      </c>
      <c r="F379" t="s">
        <v>41</v>
      </c>
      <c r="G379" t="s">
        <v>42</v>
      </c>
      <c r="H379" t="s">
        <v>43</v>
      </c>
      <c r="I379" t="s">
        <v>836</v>
      </c>
      <c r="J379" t="s">
        <v>601</v>
      </c>
      <c r="M379" t="s">
        <v>115</v>
      </c>
      <c r="O379" t="s">
        <v>74</v>
      </c>
      <c r="P379" t="s">
        <v>75</v>
      </c>
      <c r="Q379" t="s">
        <v>599</v>
      </c>
      <c r="R379" t="s">
        <v>56</v>
      </c>
      <c r="S379" s="1">
        <v>46023</v>
      </c>
      <c r="U379" t="s">
        <v>50</v>
      </c>
      <c r="X379" t="s">
        <v>51</v>
      </c>
      <c r="AF379" s="2">
        <v>175</v>
      </c>
      <c r="AG379" s="2">
        <v>0</v>
      </c>
      <c r="AJ379" s="2">
        <v>175</v>
      </c>
    </row>
    <row r="380" spans="1:38" x14ac:dyDescent="0.25">
      <c r="A380" s="1">
        <v>46001</v>
      </c>
      <c r="B380" s="1">
        <v>46001</v>
      </c>
      <c r="C380" t="s">
        <v>597</v>
      </c>
      <c r="D380" t="s">
        <v>39</v>
      </c>
      <c r="E380" t="s">
        <v>40</v>
      </c>
      <c r="F380" t="s">
        <v>41</v>
      </c>
      <c r="G380" t="s">
        <v>42</v>
      </c>
      <c r="H380" t="s">
        <v>43</v>
      </c>
      <c r="I380" t="s">
        <v>837</v>
      </c>
      <c r="J380" t="s">
        <v>602</v>
      </c>
      <c r="M380" t="s">
        <v>45</v>
      </c>
      <c r="O380" t="s">
        <v>117</v>
      </c>
      <c r="P380" t="s">
        <v>118</v>
      </c>
      <c r="Q380" t="s">
        <v>599</v>
      </c>
      <c r="R380" t="s">
        <v>56</v>
      </c>
      <c r="S380" s="1">
        <v>46023</v>
      </c>
      <c r="U380" t="s">
        <v>50</v>
      </c>
      <c r="X380" t="s">
        <v>51</v>
      </c>
      <c r="AF380" s="2">
        <v>175</v>
      </c>
      <c r="AG380" s="2">
        <v>0</v>
      </c>
      <c r="AJ380" s="2">
        <v>175</v>
      </c>
    </row>
    <row r="381" spans="1:38" x14ac:dyDescent="0.25">
      <c r="A381" s="1">
        <v>46001</v>
      </c>
      <c r="B381" s="1">
        <v>46001</v>
      </c>
      <c r="C381" t="s">
        <v>597</v>
      </c>
      <c r="D381" t="s">
        <v>39</v>
      </c>
      <c r="E381" t="s">
        <v>40</v>
      </c>
      <c r="F381" t="s">
        <v>41</v>
      </c>
      <c r="G381" t="s">
        <v>42</v>
      </c>
      <c r="H381" t="s">
        <v>43</v>
      </c>
      <c r="I381" t="s">
        <v>838</v>
      </c>
      <c r="J381" t="s">
        <v>603</v>
      </c>
      <c r="M381" t="s">
        <v>347</v>
      </c>
      <c r="O381" t="s">
        <v>93</v>
      </c>
      <c r="P381" t="s">
        <v>94</v>
      </c>
      <c r="Q381" t="s">
        <v>599</v>
      </c>
      <c r="R381" t="s">
        <v>49</v>
      </c>
      <c r="S381" s="1">
        <v>45658</v>
      </c>
      <c r="U381" t="s">
        <v>50</v>
      </c>
      <c r="X381" t="s">
        <v>51</v>
      </c>
      <c r="AF381" s="2">
        <v>108</v>
      </c>
      <c r="AG381" s="2">
        <v>0</v>
      </c>
      <c r="AJ381" s="2">
        <v>8.64</v>
      </c>
    </row>
    <row r="382" spans="1:38" x14ac:dyDescent="0.25">
      <c r="A382" s="1">
        <v>46001</v>
      </c>
      <c r="B382" s="1">
        <v>46001</v>
      </c>
      <c r="C382" t="s">
        <v>597</v>
      </c>
      <c r="D382" t="s">
        <v>39</v>
      </c>
      <c r="E382" t="s">
        <v>40</v>
      </c>
      <c r="F382" t="s">
        <v>41</v>
      </c>
      <c r="G382" t="s">
        <v>42</v>
      </c>
      <c r="H382" t="s">
        <v>43</v>
      </c>
      <c r="I382" t="s">
        <v>839</v>
      </c>
      <c r="J382" t="s">
        <v>604</v>
      </c>
      <c r="M382" t="s">
        <v>222</v>
      </c>
      <c r="O382" t="s">
        <v>134</v>
      </c>
      <c r="P382" t="s">
        <v>135</v>
      </c>
      <c r="Q382" t="s">
        <v>599</v>
      </c>
      <c r="R382" t="s">
        <v>49</v>
      </c>
      <c r="S382" s="1">
        <v>46023</v>
      </c>
      <c r="U382" t="s">
        <v>50</v>
      </c>
      <c r="X382" t="s">
        <v>51</v>
      </c>
      <c r="AF382" s="2">
        <v>108</v>
      </c>
      <c r="AG382" s="2">
        <v>0</v>
      </c>
      <c r="AJ382" s="2">
        <v>108</v>
      </c>
    </row>
    <row r="383" spans="1:38" x14ac:dyDescent="0.25">
      <c r="A383" s="1">
        <v>46001</v>
      </c>
      <c r="B383" s="1">
        <v>46001</v>
      </c>
      <c r="C383" t="s">
        <v>597</v>
      </c>
      <c r="D383" t="s">
        <v>39</v>
      </c>
      <c r="E383" t="s">
        <v>40</v>
      </c>
      <c r="F383" t="s">
        <v>41</v>
      </c>
      <c r="G383" t="s">
        <v>42</v>
      </c>
      <c r="H383" t="s">
        <v>43</v>
      </c>
      <c r="I383" t="s">
        <v>840</v>
      </c>
      <c r="J383" t="s">
        <v>605</v>
      </c>
      <c r="M383" t="s">
        <v>115</v>
      </c>
      <c r="O383" t="s">
        <v>74</v>
      </c>
      <c r="P383" t="s">
        <v>75</v>
      </c>
      <c r="Q383" t="s">
        <v>599</v>
      </c>
      <c r="R383" t="s">
        <v>56</v>
      </c>
      <c r="S383" s="1">
        <v>46023</v>
      </c>
      <c r="U383" t="s">
        <v>50</v>
      </c>
      <c r="X383" t="s">
        <v>51</v>
      </c>
      <c r="AF383" s="2">
        <v>175</v>
      </c>
      <c r="AG383" s="2">
        <v>0</v>
      </c>
      <c r="AJ383" s="2">
        <v>175</v>
      </c>
    </row>
    <row r="384" spans="1:38" x14ac:dyDescent="0.25">
      <c r="A384" s="1">
        <v>46001</v>
      </c>
      <c r="B384" s="1">
        <v>46001</v>
      </c>
      <c r="C384" t="s">
        <v>597</v>
      </c>
      <c r="D384" t="s">
        <v>39</v>
      </c>
      <c r="E384" t="s">
        <v>40</v>
      </c>
      <c r="F384" t="s">
        <v>41</v>
      </c>
      <c r="G384" t="s">
        <v>42</v>
      </c>
      <c r="H384" t="s">
        <v>43</v>
      </c>
      <c r="I384" t="s">
        <v>841</v>
      </c>
      <c r="J384" t="s">
        <v>606</v>
      </c>
      <c r="M384" t="s">
        <v>149</v>
      </c>
      <c r="O384" t="s">
        <v>146</v>
      </c>
      <c r="P384" t="s">
        <v>147</v>
      </c>
      <c r="Q384" t="s">
        <v>599</v>
      </c>
      <c r="R384" t="s">
        <v>56</v>
      </c>
      <c r="S384" s="1">
        <v>45901</v>
      </c>
      <c r="U384" t="s">
        <v>50</v>
      </c>
      <c r="X384" t="s">
        <v>51</v>
      </c>
      <c r="AF384" s="2">
        <v>175</v>
      </c>
      <c r="AG384" s="2">
        <v>0</v>
      </c>
      <c r="AJ384" s="2">
        <v>14</v>
      </c>
    </row>
    <row r="385" spans="1:36" x14ac:dyDescent="0.25">
      <c r="A385" s="1">
        <v>46001</v>
      </c>
      <c r="B385" s="1">
        <v>46001</v>
      </c>
      <c r="C385" t="s">
        <v>597</v>
      </c>
      <c r="D385" t="s">
        <v>39</v>
      </c>
      <c r="E385" t="s">
        <v>40</v>
      </c>
      <c r="F385" t="s">
        <v>41</v>
      </c>
      <c r="G385" t="s">
        <v>42</v>
      </c>
      <c r="H385" t="s">
        <v>43</v>
      </c>
      <c r="I385" t="s">
        <v>842</v>
      </c>
      <c r="J385" t="s">
        <v>607</v>
      </c>
      <c r="M385" t="s">
        <v>45</v>
      </c>
      <c r="O385" t="s">
        <v>174</v>
      </c>
      <c r="P385" t="s">
        <v>175</v>
      </c>
      <c r="Q385" t="s">
        <v>599</v>
      </c>
      <c r="R385" t="s">
        <v>56</v>
      </c>
      <c r="S385" s="1">
        <v>46023</v>
      </c>
      <c r="U385" t="s">
        <v>50</v>
      </c>
      <c r="X385" t="s">
        <v>51</v>
      </c>
      <c r="AF385" s="2">
        <v>175</v>
      </c>
      <c r="AG385" s="2">
        <v>0</v>
      </c>
      <c r="AJ385" s="2">
        <v>175</v>
      </c>
    </row>
    <row r="386" spans="1:36" x14ac:dyDescent="0.25">
      <c r="A386" s="1">
        <v>46001</v>
      </c>
      <c r="B386" s="1">
        <v>46001</v>
      </c>
      <c r="C386" t="s">
        <v>597</v>
      </c>
      <c r="D386" t="s">
        <v>39</v>
      </c>
      <c r="E386" t="s">
        <v>40</v>
      </c>
      <c r="F386" t="s">
        <v>41</v>
      </c>
      <c r="G386" t="s">
        <v>42</v>
      </c>
      <c r="H386" t="s">
        <v>43</v>
      </c>
      <c r="I386" t="s">
        <v>843</v>
      </c>
      <c r="J386" t="s">
        <v>608</v>
      </c>
      <c r="M386" t="s">
        <v>428</v>
      </c>
      <c r="O386" t="s">
        <v>401</v>
      </c>
      <c r="P386" t="s">
        <v>402</v>
      </c>
      <c r="Q386" t="s">
        <v>599</v>
      </c>
      <c r="R386" t="s">
        <v>56</v>
      </c>
      <c r="S386" s="1">
        <v>46023</v>
      </c>
      <c r="U386" t="s">
        <v>50</v>
      </c>
      <c r="X386" t="s">
        <v>51</v>
      </c>
      <c r="AF386" s="2">
        <v>175</v>
      </c>
      <c r="AG386" s="2">
        <v>0</v>
      </c>
      <c r="AJ386" s="2">
        <v>175</v>
      </c>
    </row>
    <row r="387" spans="1:36" x14ac:dyDescent="0.25">
      <c r="A387" s="1">
        <v>46001</v>
      </c>
      <c r="B387" s="1">
        <v>46001</v>
      </c>
      <c r="C387" t="s">
        <v>597</v>
      </c>
      <c r="D387" t="s">
        <v>39</v>
      </c>
      <c r="E387" t="s">
        <v>40</v>
      </c>
      <c r="F387" t="s">
        <v>41</v>
      </c>
      <c r="G387" t="s">
        <v>42</v>
      </c>
      <c r="H387" t="s">
        <v>43</v>
      </c>
      <c r="I387" t="s">
        <v>844</v>
      </c>
      <c r="J387" t="s">
        <v>176</v>
      </c>
      <c r="M387" t="s">
        <v>45</v>
      </c>
      <c r="O387" t="s">
        <v>174</v>
      </c>
      <c r="P387" t="s">
        <v>175</v>
      </c>
      <c r="Q387" t="s">
        <v>599</v>
      </c>
      <c r="R387" t="s">
        <v>56</v>
      </c>
      <c r="S387" s="1">
        <v>45992</v>
      </c>
      <c r="U387" t="s">
        <v>50</v>
      </c>
      <c r="X387" t="s">
        <v>51</v>
      </c>
      <c r="AF387" s="2">
        <v>175</v>
      </c>
      <c r="AG387" s="2">
        <v>0</v>
      </c>
      <c r="AJ387" s="2">
        <v>175</v>
      </c>
    </row>
    <row r="388" spans="1:36" x14ac:dyDescent="0.25">
      <c r="A388" s="1">
        <v>46001</v>
      </c>
      <c r="B388" s="1">
        <v>46001</v>
      </c>
      <c r="C388" t="s">
        <v>597</v>
      </c>
      <c r="D388" t="s">
        <v>39</v>
      </c>
      <c r="E388" t="s">
        <v>40</v>
      </c>
      <c r="F388" t="s">
        <v>41</v>
      </c>
      <c r="G388" t="s">
        <v>42</v>
      </c>
      <c r="H388" t="s">
        <v>43</v>
      </c>
      <c r="I388" t="s">
        <v>845</v>
      </c>
      <c r="J388" t="s">
        <v>609</v>
      </c>
      <c r="M388" t="s">
        <v>428</v>
      </c>
      <c r="O388" t="s">
        <v>401</v>
      </c>
      <c r="P388" t="s">
        <v>402</v>
      </c>
      <c r="Q388" t="s">
        <v>599</v>
      </c>
      <c r="R388" t="s">
        <v>56</v>
      </c>
      <c r="S388" s="1">
        <v>46023</v>
      </c>
      <c r="U388" t="s">
        <v>50</v>
      </c>
      <c r="X388" t="s">
        <v>51</v>
      </c>
      <c r="AF388" s="2">
        <v>175</v>
      </c>
      <c r="AG388" s="2">
        <v>0</v>
      </c>
      <c r="AJ388" s="2">
        <v>175</v>
      </c>
    </row>
    <row r="389" spans="1:36" x14ac:dyDescent="0.25">
      <c r="A389" s="1">
        <v>46001</v>
      </c>
      <c r="B389" s="1">
        <v>46001</v>
      </c>
      <c r="C389" t="s">
        <v>597</v>
      </c>
      <c r="D389" t="s">
        <v>39</v>
      </c>
      <c r="E389" t="s">
        <v>40</v>
      </c>
      <c r="F389" t="s">
        <v>41</v>
      </c>
      <c r="G389" t="s">
        <v>42</v>
      </c>
      <c r="H389" t="s">
        <v>43</v>
      </c>
      <c r="I389" t="s">
        <v>846</v>
      </c>
      <c r="J389" t="s">
        <v>610</v>
      </c>
      <c r="M389" t="s">
        <v>45</v>
      </c>
      <c r="O389" t="s">
        <v>131</v>
      </c>
      <c r="P389" t="s">
        <v>132</v>
      </c>
      <c r="Q389" t="s">
        <v>599</v>
      </c>
      <c r="R389" t="s">
        <v>56</v>
      </c>
      <c r="S389" s="1">
        <v>46023</v>
      </c>
      <c r="U389" t="s">
        <v>50</v>
      </c>
      <c r="X389" t="s">
        <v>51</v>
      </c>
      <c r="AF389" s="2">
        <v>175</v>
      </c>
      <c r="AG389" s="2">
        <v>0</v>
      </c>
      <c r="AJ389" s="2">
        <v>175</v>
      </c>
    </row>
    <row r="390" spans="1:36" x14ac:dyDescent="0.25">
      <c r="A390" s="1">
        <v>46001</v>
      </c>
      <c r="B390" s="1">
        <v>46001</v>
      </c>
      <c r="C390" t="s">
        <v>597</v>
      </c>
      <c r="D390" t="s">
        <v>39</v>
      </c>
      <c r="E390" t="s">
        <v>40</v>
      </c>
      <c r="F390" t="s">
        <v>41</v>
      </c>
      <c r="G390" t="s">
        <v>42</v>
      </c>
      <c r="H390" t="s">
        <v>43</v>
      </c>
      <c r="I390" t="s">
        <v>847</v>
      </c>
      <c r="J390" t="s">
        <v>611</v>
      </c>
      <c r="M390" t="s">
        <v>227</v>
      </c>
      <c r="O390" t="s">
        <v>170</v>
      </c>
      <c r="P390" t="s">
        <v>171</v>
      </c>
      <c r="Q390" t="s">
        <v>599</v>
      </c>
      <c r="R390" t="s">
        <v>56</v>
      </c>
      <c r="S390" s="1">
        <v>45992</v>
      </c>
      <c r="U390" t="s">
        <v>50</v>
      </c>
      <c r="X390" t="s">
        <v>51</v>
      </c>
      <c r="AF390" s="2">
        <v>175</v>
      </c>
      <c r="AG390" s="2">
        <v>0</v>
      </c>
      <c r="AJ390" s="2">
        <v>175</v>
      </c>
    </row>
    <row r="391" spans="1:36" x14ac:dyDescent="0.25">
      <c r="A391" s="1">
        <v>46001</v>
      </c>
      <c r="B391" s="1">
        <v>46001</v>
      </c>
      <c r="C391" t="s">
        <v>597</v>
      </c>
      <c r="D391" t="s">
        <v>39</v>
      </c>
      <c r="E391" t="s">
        <v>40</v>
      </c>
      <c r="F391" t="s">
        <v>41</v>
      </c>
      <c r="G391" t="s">
        <v>42</v>
      </c>
      <c r="H391" t="s">
        <v>43</v>
      </c>
      <c r="I391" t="s">
        <v>848</v>
      </c>
      <c r="J391" t="s">
        <v>612</v>
      </c>
      <c r="M391" t="s">
        <v>89</v>
      </c>
      <c r="O391" t="s">
        <v>102</v>
      </c>
      <c r="P391" t="s">
        <v>103</v>
      </c>
      <c r="Q391" t="s">
        <v>599</v>
      </c>
      <c r="R391" t="s">
        <v>246</v>
      </c>
      <c r="S391" s="1">
        <v>46023</v>
      </c>
      <c r="U391" t="s">
        <v>50</v>
      </c>
      <c r="X391" t="s">
        <v>51</v>
      </c>
      <c r="AF391" s="2">
        <v>15</v>
      </c>
      <c r="AG391" s="2">
        <v>0</v>
      </c>
      <c r="AJ391" s="2">
        <v>15</v>
      </c>
    </row>
    <row r="392" spans="1:36" x14ac:dyDescent="0.25">
      <c r="A392" s="1">
        <v>46001</v>
      </c>
      <c r="B392" s="1">
        <v>46001</v>
      </c>
      <c r="C392" t="s">
        <v>597</v>
      </c>
      <c r="D392" t="s">
        <v>39</v>
      </c>
      <c r="E392" t="s">
        <v>40</v>
      </c>
      <c r="F392" t="s">
        <v>41</v>
      </c>
      <c r="G392" t="s">
        <v>42</v>
      </c>
      <c r="H392" t="s">
        <v>43</v>
      </c>
      <c r="I392" t="s">
        <v>849</v>
      </c>
      <c r="J392" t="s">
        <v>613</v>
      </c>
      <c r="M392" t="s">
        <v>45</v>
      </c>
      <c r="O392" t="s">
        <v>283</v>
      </c>
      <c r="P392" t="s">
        <v>284</v>
      </c>
      <c r="Q392" t="s">
        <v>599</v>
      </c>
      <c r="R392" t="s">
        <v>56</v>
      </c>
      <c r="S392" s="1">
        <v>46023</v>
      </c>
      <c r="U392" t="s">
        <v>50</v>
      </c>
      <c r="X392" t="s">
        <v>51</v>
      </c>
      <c r="AF392" s="2">
        <v>175</v>
      </c>
      <c r="AG392" s="2">
        <v>0</v>
      </c>
      <c r="AJ392" s="2">
        <v>175</v>
      </c>
    </row>
    <row r="393" spans="1:36" x14ac:dyDescent="0.25">
      <c r="A393" s="1">
        <v>46001</v>
      </c>
      <c r="B393" s="1">
        <v>46001</v>
      </c>
      <c r="C393" t="s">
        <v>597</v>
      </c>
      <c r="D393" t="s">
        <v>39</v>
      </c>
      <c r="E393" t="s">
        <v>40</v>
      </c>
      <c r="F393" t="s">
        <v>41</v>
      </c>
      <c r="G393" t="s">
        <v>42</v>
      </c>
      <c r="H393" t="s">
        <v>43</v>
      </c>
      <c r="I393" t="s">
        <v>850</v>
      </c>
      <c r="J393" t="s">
        <v>614</v>
      </c>
      <c r="M393" t="s">
        <v>615</v>
      </c>
      <c r="O393" t="s">
        <v>63</v>
      </c>
      <c r="P393" t="s">
        <v>64</v>
      </c>
      <c r="Q393" t="s">
        <v>599</v>
      </c>
      <c r="R393" t="s">
        <v>56</v>
      </c>
      <c r="S393" s="1">
        <v>46023</v>
      </c>
      <c r="U393" t="s">
        <v>50</v>
      </c>
      <c r="X393" t="s">
        <v>51</v>
      </c>
      <c r="AF393" s="2">
        <v>175</v>
      </c>
      <c r="AG393" s="2">
        <v>0</v>
      </c>
      <c r="AJ393" s="2">
        <v>175</v>
      </c>
    </row>
    <row r="394" spans="1:36" x14ac:dyDescent="0.25">
      <c r="A394" s="1">
        <v>46001</v>
      </c>
      <c r="B394" s="1">
        <v>46001</v>
      </c>
      <c r="C394" t="s">
        <v>597</v>
      </c>
      <c r="D394" t="s">
        <v>39</v>
      </c>
      <c r="E394" t="s">
        <v>40</v>
      </c>
      <c r="F394" t="s">
        <v>41</v>
      </c>
      <c r="G394" t="s">
        <v>42</v>
      </c>
      <c r="H394" t="s">
        <v>43</v>
      </c>
      <c r="I394" t="s">
        <v>851</v>
      </c>
      <c r="J394" t="s">
        <v>616</v>
      </c>
      <c r="M394" t="s">
        <v>316</v>
      </c>
      <c r="O394" t="s">
        <v>317</v>
      </c>
      <c r="P394" t="s">
        <v>318</v>
      </c>
      <c r="Q394" t="s">
        <v>599</v>
      </c>
      <c r="R394" t="s">
        <v>319</v>
      </c>
      <c r="S394" s="1">
        <v>46023</v>
      </c>
      <c r="U394" t="s">
        <v>50</v>
      </c>
      <c r="X394" t="s">
        <v>51</v>
      </c>
      <c r="AF394" s="2">
        <v>25</v>
      </c>
      <c r="AG394" s="2">
        <v>0</v>
      </c>
      <c r="AJ394" s="2">
        <v>25</v>
      </c>
    </row>
    <row r="395" spans="1:36" x14ac:dyDescent="0.25">
      <c r="A395" s="1">
        <v>46001</v>
      </c>
      <c r="B395" s="1">
        <v>46001</v>
      </c>
      <c r="C395" t="s">
        <v>597</v>
      </c>
      <c r="D395" t="s">
        <v>39</v>
      </c>
      <c r="E395" t="s">
        <v>40</v>
      </c>
      <c r="F395" t="s">
        <v>41</v>
      </c>
      <c r="G395" t="s">
        <v>42</v>
      </c>
      <c r="H395" t="s">
        <v>43</v>
      </c>
      <c r="I395" t="s">
        <v>852</v>
      </c>
      <c r="J395" t="s">
        <v>617</v>
      </c>
      <c r="M395" t="s">
        <v>316</v>
      </c>
      <c r="O395" t="s">
        <v>317</v>
      </c>
      <c r="P395" t="s">
        <v>318</v>
      </c>
      <c r="Q395" t="s">
        <v>599</v>
      </c>
      <c r="R395" t="s">
        <v>319</v>
      </c>
      <c r="S395" s="1">
        <v>46023</v>
      </c>
      <c r="U395" t="s">
        <v>50</v>
      </c>
      <c r="X395" t="s">
        <v>51</v>
      </c>
      <c r="AF395" s="2">
        <v>25</v>
      </c>
      <c r="AG395" s="2">
        <v>0</v>
      </c>
      <c r="AJ395" s="2">
        <v>25</v>
      </c>
    </row>
    <row r="396" spans="1:36" x14ac:dyDescent="0.25">
      <c r="A396" s="1">
        <v>46001</v>
      </c>
      <c r="B396" s="1">
        <v>46001</v>
      </c>
      <c r="C396" t="s">
        <v>597</v>
      </c>
      <c r="D396" t="s">
        <v>39</v>
      </c>
      <c r="E396" t="s">
        <v>40</v>
      </c>
      <c r="F396" t="s">
        <v>41</v>
      </c>
      <c r="G396" t="s">
        <v>42</v>
      </c>
      <c r="H396" t="s">
        <v>43</v>
      </c>
      <c r="I396" t="s">
        <v>853</v>
      </c>
      <c r="J396" t="s">
        <v>618</v>
      </c>
      <c r="M396" t="s">
        <v>45</v>
      </c>
      <c r="O396" t="s">
        <v>201</v>
      </c>
      <c r="P396" t="s">
        <v>202</v>
      </c>
      <c r="Q396" t="s">
        <v>599</v>
      </c>
      <c r="R396" t="s">
        <v>319</v>
      </c>
      <c r="S396" s="1">
        <v>46023</v>
      </c>
      <c r="U396" t="s">
        <v>50</v>
      </c>
      <c r="X396" t="s">
        <v>51</v>
      </c>
      <c r="AF396" s="2">
        <v>25</v>
      </c>
      <c r="AG396" s="2">
        <v>0</v>
      </c>
      <c r="AJ396" s="2">
        <v>25</v>
      </c>
    </row>
    <row r="397" spans="1:36" x14ac:dyDescent="0.25">
      <c r="A397" s="1">
        <v>46001</v>
      </c>
      <c r="B397" s="1">
        <v>46001</v>
      </c>
      <c r="C397" t="s">
        <v>597</v>
      </c>
      <c r="D397" t="s">
        <v>39</v>
      </c>
      <c r="E397" t="s">
        <v>40</v>
      </c>
      <c r="F397" t="s">
        <v>41</v>
      </c>
      <c r="G397" t="s">
        <v>42</v>
      </c>
      <c r="H397" t="s">
        <v>43</v>
      </c>
      <c r="I397" t="s">
        <v>854</v>
      </c>
      <c r="J397" t="s">
        <v>619</v>
      </c>
      <c r="M397" t="s">
        <v>45</v>
      </c>
      <c r="O397" t="s">
        <v>80</v>
      </c>
      <c r="P397" t="s">
        <v>81</v>
      </c>
      <c r="Q397" t="s">
        <v>599</v>
      </c>
      <c r="R397" t="s">
        <v>319</v>
      </c>
      <c r="S397" s="1">
        <v>46023</v>
      </c>
      <c r="U397" t="s">
        <v>50</v>
      </c>
      <c r="X397" t="s">
        <v>51</v>
      </c>
      <c r="AF397" s="2">
        <v>25</v>
      </c>
      <c r="AG397" s="2">
        <v>0</v>
      </c>
      <c r="AJ397" s="2">
        <v>25</v>
      </c>
    </row>
    <row r="398" spans="1:36" x14ac:dyDescent="0.25">
      <c r="A398" s="1">
        <v>46001</v>
      </c>
      <c r="B398" s="1">
        <v>46001</v>
      </c>
      <c r="C398" t="s">
        <v>597</v>
      </c>
      <c r="D398" t="s">
        <v>39</v>
      </c>
      <c r="E398" t="s">
        <v>40</v>
      </c>
      <c r="F398" t="s">
        <v>41</v>
      </c>
      <c r="G398" t="s">
        <v>42</v>
      </c>
      <c r="H398" t="s">
        <v>43</v>
      </c>
      <c r="I398" t="s">
        <v>855</v>
      </c>
      <c r="J398" t="s">
        <v>358</v>
      </c>
      <c r="M398" t="s">
        <v>359</v>
      </c>
      <c r="O398" t="s">
        <v>85</v>
      </c>
      <c r="P398" t="s">
        <v>86</v>
      </c>
      <c r="Q398" t="s">
        <v>599</v>
      </c>
      <c r="R398" t="s">
        <v>314</v>
      </c>
      <c r="S398" s="1">
        <v>46023</v>
      </c>
      <c r="U398" t="s">
        <v>50</v>
      </c>
      <c r="X398" t="s">
        <v>51</v>
      </c>
      <c r="AF398" s="2">
        <v>15</v>
      </c>
      <c r="AG398" s="2">
        <v>0</v>
      </c>
      <c r="AJ398" s="2">
        <v>15</v>
      </c>
    </row>
    <row r="399" spans="1:36" x14ac:dyDescent="0.25">
      <c r="A399" s="1">
        <v>46001</v>
      </c>
      <c r="B399" s="1">
        <v>46001</v>
      </c>
      <c r="C399" t="s">
        <v>597</v>
      </c>
      <c r="D399" t="s">
        <v>39</v>
      </c>
      <c r="E399" t="s">
        <v>40</v>
      </c>
      <c r="F399" t="s">
        <v>41</v>
      </c>
      <c r="G399" t="s">
        <v>42</v>
      </c>
      <c r="H399" t="s">
        <v>43</v>
      </c>
      <c r="I399" t="s">
        <v>856</v>
      </c>
      <c r="J399" t="s">
        <v>620</v>
      </c>
      <c r="M399" t="s">
        <v>45</v>
      </c>
      <c r="O399" t="s">
        <v>131</v>
      </c>
      <c r="P399" t="s">
        <v>132</v>
      </c>
      <c r="Q399" t="s">
        <v>599</v>
      </c>
      <c r="R399" t="s">
        <v>380</v>
      </c>
      <c r="S399" s="1">
        <v>45658</v>
      </c>
      <c r="U399" t="s">
        <v>50</v>
      </c>
      <c r="X399" t="s">
        <v>51</v>
      </c>
      <c r="AF399" s="2">
        <v>50</v>
      </c>
      <c r="AG399" s="2">
        <v>0</v>
      </c>
      <c r="AJ399" s="2">
        <v>4.17</v>
      </c>
    </row>
    <row r="400" spans="1:36" x14ac:dyDescent="0.25">
      <c r="A400" s="1">
        <v>46001</v>
      </c>
      <c r="B400" s="1">
        <v>46001</v>
      </c>
      <c r="C400" t="s">
        <v>597</v>
      </c>
      <c r="D400" t="s">
        <v>39</v>
      </c>
      <c r="E400" t="s">
        <v>40</v>
      </c>
      <c r="F400" t="s">
        <v>41</v>
      </c>
      <c r="G400" t="s">
        <v>42</v>
      </c>
      <c r="H400" t="s">
        <v>43</v>
      </c>
      <c r="I400" t="s">
        <v>857</v>
      </c>
      <c r="J400" t="s">
        <v>621</v>
      </c>
      <c r="M400" t="s">
        <v>45</v>
      </c>
      <c r="O400" t="s">
        <v>232</v>
      </c>
      <c r="P400" t="s">
        <v>233</v>
      </c>
      <c r="Q400" t="s">
        <v>599</v>
      </c>
      <c r="R400" t="s">
        <v>314</v>
      </c>
      <c r="S400" s="1">
        <v>46023</v>
      </c>
      <c r="U400" t="s">
        <v>50</v>
      </c>
      <c r="X400" t="s">
        <v>51</v>
      </c>
      <c r="AF400" s="2">
        <v>15</v>
      </c>
      <c r="AG400" s="2">
        <v>0</v>
      </c>
      <c r="AJ400" s="2">
        <v>15</v>
      </c>
    </row>
    <row r="401" spans="1:36" x14ac:dyDescent="0.25">
      <c r="A401" s="1">
        <v>46001</v>
      </c>
      <c r="B401" s="1">
        <v>46001</v>
      </c>
      <c r="C401" t="s">
        <v>597</v>
      </c>
      <c r="D401" t="s">
        <v>39</v>
      </c>
      <c r="E401" t="s">
        <v>40</v>
      </c>
      <c r="F401" t="s">
        <v>41</v>
      </c>
      <c r="G401" t="s">
        <v>42</v>
      </c>
      <c r="H401" t="s">
        <v>43</v>
      </c>
      <c r="I401" t="s">
        <v>858</v>
      </c>
      <c r="J401" t="s">
        <v>622</v>
      </c>
      <c r="M401" t="s">
        <v>561</v>
      </c>
      <c r="O401" t="s">
        <v>93</v>
      </c>
      <c r="P401" t="s">
        <v>94</v>
      </c>
      <c r="Q401" t="s">
        <v>599</v>
      </c>
      <c r="R401" t="s">
        <v>319</v>
      </c>
      <c r="S401" s="1">
        <v>46023</v>
      </c>
      <c r="U401" t="s">
        <v>50</v>
      </c>
      <c r="X401" t="s">
        <v>51</v>
      </c>
      <c r="AF401" s="2">
        <v>25</v>
      </c>
      <c r="AG401" s="2">
        <v>0</v>
      </c>
      <c r="AJ401" s="2">
        <v>25</v>
      </c>
    </row>
    <row r="402" spans="1:36" x14ac:dyDescent="0.25">
      <c r="A402" s="1">
        <v>46001</v>
      </c>
      <c r="B402" s="1">
        <v>46001</v>
      </c>
      <c r="C402" t="s">
        <v>597</v>
      </c>
      <c r="D402" t="s">
        <v>39</v>
      </c>
      <c r="E402" t="s">
        <v>40</v>
      </c>
      <c r="F402" t="s">
        <v>41</v>
      </c>
      <c r="G402" t="s">
        <v>42</v>
      </c>
      <c r="H402" t="s">
        <v>43</v>
      </c>
      <c r="I402" t="s">
        <v>859</v>
      </c>
      <c r="J402" t="s">
        <v>623</v>
      </c>
      <c r="M402" t="s">
        <v>624</v>
      </c>
      <c r="O402" t="s">
        <v>108</v>
      </c>
      <c r="P402" t="s">
        <v>109</v>
      </c>
      <c r="Q402" t="s">
        <v>599</v>
      </c>
      <c r="R402" t="s">
        <v>571</v>
      </c>
      <c r="S402" s="1">
        <v>45931</v>
      </c>
      <c r="U402" t="s">
        <v>50</v>
      </c>
      <c r="X402" t="s">
        <v>51</v>
      </c>
      <c r="AF402" s="2">
        <v>18</v>
      </c>
      <c r="AG402" s="2">
        <v>0</v>
      </c>
      <c r="AJ402" s="2">
        <v>12</v>
      </c>
    </row>
    <row r="403" spans="1:36" x14ac:dyDescent="0.25">
      <c r="A403" s="1">
        <v>46001</v>
      </c>
      <c r="B403" s="1">
        <v>46001</v>
      </c>
      <c r="C403" t="s">
        <v>597</v>
      </c>
      <c r="D403" t="s">
        <v>39</v>
      </c>
      <c r="E403" t="s">
        <v>40</v>
      </c>
      <c r="F403" t="s">
        <v>41</v>
      </c>
      <c r="G403" t="s">
        <v>42</v>
      </c>
      <c r="H403" t="s">
        <v>43</v>
      </c>
      <c r="I403" t="s">
        <v>860</v>
      </c>
      <c r="J403" t="s">
        <v>623</v>
      </c>
      <c r="M403" t="s">
        <v>624</v>
      </c>
      <c r="O403" t="s">
        <v>108</v>
      </c>
      <c r="P403" t="s">
        <v>109</v>
      </c>
      <c r="Q403" t="s">
        <v>599</v>
      </c>
      <c r="R403" t="s">
        <v>555</v>
      </c>
      <c r="S403" s="1">
        <v>45931</v>
      </c>
      <c r="U403" t="s">
        <v>50</v>
      </c>
      <c r="X403" t="s">
        <v>51</v>
      </c>
      <c r="AF403" s="2">
        <v>78.25</v>
      </c>
      <c r="AG403" s="2">
        <v>0</v>
      </c>
      <c r="AJ403" s="2">
        <v>52.17</v>
      </c>
    </row>
    <row r="404" spans="1:36" x14ac:dyDescent="0.25">
      <c r="A404" s="1">
        <v>46001</v>
      </c>
      <c r="B404" s="1">
        <v>46001</v>
      </c>
      <c r="C404" t="s">
        <v>597</v>
      </c>
      <c r="D404" t="s">
        <v>39</v>
      </c>
      <c r="E404" t="s">
        <v>40</v>
      </c>
      <c r="F404" t="s">
        <v>41</v>
      </c>
      <c r="G404" t="s">
        <v>42</v>
      </c>
      <c r="H404" t="s">
        <v>43</v>
      </c>
      <c r="I404" t="s">
        <v>861</v>
      </c>
      <c r="J404" t="s">
        <v>625</v>
      </c>
      <c r="M404" t="s">
        <v>120</v>
      </c>
      <c r="O404" t="s">
        <v>543</v>
      </c>
      <c r="P404" t="s">
        <v>544</v>
      </c>
      <c r="Q404" t="s">
        <v>599</v>
      </c>
      <c r="R404" t="s">
        <v>626</v>
      </c>
      <c r="S404" s="1">
        <v>45809</v>
      </c>
      <c r="U404" t="s">
        <v>50</v>
      </c>
      <c r="X404" t="s">
        <v>51</v>
      </c>
      <c r="AF404" s="2">
        <v>175</v>
      </c>
      <c r="AG404" s="2">
        <v>0</v>
      </c>
      <c r="AJ404" s="2">
        <v>102.08</v>
      </c>
    </row>
    <row r="405" spans="1:36" x14ac:dyDescent="0.25">
      <c r="A405" s="1">
        <v>46001</v>
      </c>
      <c r="B405" s="1">
        <v>46001</v>
      </c>
      <c r="C405" t="s">
        <v>597</v>
      </c>
      <c r="D405" t="s">
        <v>39</v>
      </c>
      <c r="E405" t="s">
        <v>40</v>
      </c>
      <c r="F405" t="s">
        <v>41</v>
      </c>
      <c r="G405" t="s">
        <v>42</v>
      </c>
      <c r="H405" t="s">
        <v>43</v>
      </c>
      <c r="I405" t="s">
        <v>862</v>
      </c>
      <c r="J405" t="s">
        <v>625</v>
      </c>
      <c r="M405" t="s">
        <v>120</v>
      </c>
      <c r="O405" t="s">
        <v>543</v>
      </c>
      <c r="P405" t="s">
        <v>544</v>
      </c>
      <c r="Q405" t="s">
        <v>599</v>
      </c>
      <c r="R405" t="s">
        <v>627</v>
      </c>
      <c r="S405" s="1">
        <v>45809</v>
      </c>
      <c r="U405" t="s">
        <v>50</v>
      </c>
      <c r="X405" t="s">
        <v>51</v>
      </c>
      <c r="AF405" s="2">
        <v>626</v>
      </c>
      <c r="AG405" s="2">
        <v>0</v>
      </c>
      <c r="AJ405" s="2">
        <v>365.17</v>
      </c>
    </row>
    <row r="406" spans="1:36" x14ac:dyDescent="0.25">
      <c r="A406" s="1">
        <v>46001</v>
      </c>
      <c r="B406" s="1">
        <v>46001</v>
      </c>
      <c r="C406" t="s">
        <v>597</v>
      </c>
      <c r="D406" t="s">
        <v>39</v>
      </c>
      <c r="E406" t="s">
        <v>40</v>
      </c>
      <c r="F406" t="s">
        <v>41</v>
      </c>
      <c r="G406" t="s">
        <v>42</v>
      </c>
      <c r="H406" t="s">
        <v>43</v>
      </c>
      <c r="I406" t="s">
        <v>863</v>
      </c>
      <c r="J406" t="s">
        <v>628</v>
      </c>
      <c r="M406" t="s">
        <v>120</v>
      </c>
      <c r="O406" t="s">
        <v>121</v>
      </c>
      <c r="P406" t="s">
        <v>122</v>
      </c>
      <c r="Q406" t="s">
        <v>599</v>
      </c>
      <c r="R406" t="s">
        <v>626</v>
      </c>
      <c r="S406" s="1">
        <v>45748</v>
      </c>
      <c r="U406" t="s">
        <v>50</v>
      </c>
      <c r="X406" t="s">
        <v>51</v>
      </c>
      <c r="AF406" s="2">
        <v>175</v>
      </c>
      <c r="AG406" s="2">
        <v>0</v>
      </c>
      <c r="AJ406" s="2">
        <v>58.33</v>
      </c>
    </row>
    <row r="407" spans="1:36" x14ac:dyDescent="0.25">
      <c r="A407" s="1">
        <v>46001</v>
      </c>
      <c r="B407" s="1">
        <v>46001</v>
      </c>
      <c r="C407" t="s">
        <v>597</v>
      </c>
      <c r="D407" t="s">
        <v>39</v>
      </c>
      <c r="E407" t="s">
        <v>40</v>
      </c>
      <c r="F407" t="s">
        <v>41</v>
      </c>
      <c r="G407" t="s">
        <v>42</v>
      </c>
      <c r="H407" t="s">
        <v>43</v>
      </c>
      <c r="I407" t="s">
        <v>864</v>
      </c>
      <c r="J407" t="s">
        <v>628</v>
      </c>
      <c r="M407" t="s">
        <v>120</v>
      </c>
      <c r="O407" t="s">
        <v>121</v>
      </c>
      <c r="P407" t="s">
        <v>122</v>
      </c>
      <c r="Q407" t="s">
        <v>599</v>
      </c>
      <c r="R407" t="s">
        <v>627</v>
      </c>
      <c r="S407" s="1">
        <v>45748</v>
      </c>
      <c r="U407" t="s">
        <v>50</v>
      </c>
      <c r="X407" t="s">
        <v>51</v>
      </c>
      <c r="AF407" s="2">
        <v>626</v>
      </c>
      <c r="AG407" s="2">
        <v>0</v>
      </c>
      <c r="AJ407" s="2">
        <v>208.67</v>
      </c>
    </row>
    <row r="408" spans="1:36" x14ac:dyDescent="0.25">
      <c r="A408" s="1">
        <v>46001</v>
      </c>
      <c r="B408" s="1">
        <v>46001</v>
      </c>
      <c r="C408" t="s">
        <v>597</v>
      </c>
      <c r="D408" t="s">
        <v>39</v>
      </c>
      <c r="E408" t="s">
        <v>40</v>
      </c>
      <c r="F408" t="s">
        <v>41</v>
      </c>
      <c r="G408" t="s">
        <v>42</v>
      </c>
      <c r="H408" t="s">
        <v>43</v>
      </c>
      <c r="I408" t="s">
        <v>865</v>
      </c>
      <c r="J408" t="s">
        <v>629</v>
      </c>
      <c r="M408" t="s">
        <v>45</v>
      </c>
      <c r="O408" t="s">
        <v>58</v>
      </c>
      <c r="P408" t="s">
        <v>59</v>
      </c>
      <c r="Q408" t="s">
        <v>599</v>
      </c>
      <c r="R408" t="s">
        <v>630</v>
      </c>
      <c r="S408" s="1">
        <v>45931</v>
      </c>
      <c r="U408" t="s">
        <v>50</v>
      </c>
      <c r="X408" t="s">
        <v>51</v>
      </c>
      <c r="AF408" s="2">
        <v>156.5</v>
      </c>
      <c r="AG408" s="2">
        <v>0</v>
      </c>
      <c r="AJ408" s="2">
        <v>156.5</v>
      </c>
    </row>
    <row r="409" spans="1:36" x14ac:dyDescent="0.25">
      <c r="A409" s="1">
        <v>46001</v>
      </c>
      <c r="B409" s="1">
        <v>46001</v>
      </c>
      <c r="C409" t="s">
        <v>597</v>
      </c>
      <c r="D409" t="s">
        <v>39</v>
      </c>
      <c r="E409" t="s">
        <v>40</v>
      </c>
      <c r="F409" t="s">
        <v>41</v>
      </c>
      <c r="G409" t="s">
        <v>42</v>
      </c>
      <c r="H409" t="s">
        <v>43</v>
      </c>
      <c r="I409" t="s">
        <v>866</v>
      </c>
      <c r="J409" t="s">
        <v>629</v>
      </c>
      <c r="M409" t="s">
        <v>45</v>
      </c>
      <c r="O409" t="s">
        <v>58</v>
      </c>
      <c r="P409" t="s">
        <v>59</v>
      </c>
      <c r="Q409" t="s">
        <v>599</v>
      </c>
      <c r="R409" t="s">
        <v>631</v>
      </c>
      <c r="S409" s="1">
        <v>45931</v>
      </c>
      <c r="U409" t="s">
        <v>50</v>
      </c>
      <c r="X409" t="s">
        <v>51</v>
      </c>
      <c r="AF409" s="2">
        <v>28.25</v>
      </c>
      <c r="AG409" s="2">
        <v>0</v>
      </c>
      <c r="AJ409" s="2">
        <v>28.25</v>
      </c>
    </row>
    <row r="410" spans="1:36" x14ac:dyDescent="0.25">
      <c r="A410" s="1">
        <v>46001</v>
      </c>
      <c r="B410" s="1">
        <v>46001</v>
      </c>
      <c r="C410" t="s">
        <v>597</v>
      </c>
      <c r="D410" t="s">
        <v>39</v>
      </c>
      <c r="E410" t="s">
        <v>40</v>
      </c>
      <c r="F410" t="s">
        <v>41</v>
      </c>
      <c r="G410" t="s">
        <v>42</v>
      </c>
      <c r="H410" t="s">
        <v>43</v>
      </c>
      <c r="I410" t="s">
        <v>867</v>
      </c>
      <c r="J410" t="s">
        <v>632</v>
      </c>
      <c r="M410" t="s">
        <v>120</v>
      </c>
      <c r="O410" t="s">
        <v>121</v>
      </c>
      <c r="P410" t="s">
        <v>122</v>
      </c>
      <c r="Q410" t="s">
        <v>599</v>
      </c>
      <c r="R410" t="s">
        <v>626</v>
      </c>
      <c r="S410" s="1">
        <v>45689</v>
      </c>
      <c r="U410" t="s">
        <v>50</v>
      </c>
      <c r="X410" t="s">
        <v>51</v>
      </c>
      <c r="AF410" s="2">
        <v>175</v>
      </c>
      <c r="AG410" s="2">
        <v>0</v>
      </c>
      <c r="AJ410" s="2">
        <v>43.75</v>
      </c>
    </row>
    <row r="411" spans="1:36" x14ac:dyDescent="0.25">
      <c r="A411" s="1">
        <v>46001</v>
      </c>
      <c r="B411" s="1">
        <v>46001</v>
      </c>
      <c r="C411" t="s">
        <v>597</v>
      </c>
      <c r="D411" t="s">
        <v>39</v>
      </c>
      <c r="E411" t="s">
        <v>40</v>
      </c>
      <c r="F411" t="s">
        <v>41</v>
      </c>
      <c r="G411" t="s">
        <v>42</v>
      </c>
      <c r="H411" t="s">
        <v>43</v>
      </c>
      <c r="I411" t="s">
        <v>868</v>
      </c>
      <c r="J411" t="s">
        <v>632</v>
      </c>
      <c r="M411" t="s">
        <v>120</v>
      </c>
      <c r="O411" t="s">
        <v>121</v>
      </c>
      <c r="P411" t="s">
        <v>122</v>
      </c>
      <c r="Q411" t="s">
        <v>599</v>
      </c>
      <c r="R411" t="s">
        <v>627</v>
      </c>
      <c r="S411" s="1">
        <v>45689</v>
      </c>
      <c r="U411" t="s">
        <v>50</v>
      </c>
      <c r="X411" t="s">
        <v>51</v>
      </c>
      <c r="AF411" s="2">
        <v>626</v>
      </c>
      <c r="AG411" s="2">
        <v>0</v>
      </c>
      <c r="AJ411" s="2">
        <v>156.5</v>
      </c>
    </row>
    <row r="412" spans="1:36" x14ac:dyDescent="0.25">
      <c r="A412" s="1">
        <v>46001</v>
      </c>
      <c r="B412" s="1">
        <v>46001</v>
      </c>
      <c r="C412" t="s">
        <v>597</v>
      </c>
      <c r="D412" t="s">
        <v>39</v>
      </c>
      <c r="E412" t="s">
        <v>40</v>
      </c>
      <c r="F412" t="s">
        <v>41</v>
      </c>
      <c r="G412" t="s">
        <v>42</v>
      </c>
      <c r="H412" t="s">
        <v>43</v>
      </c>
      <c r="I412" t="s">
        <v>869</v>
      </c>
      <c r="J412" t="s">
        <v>633</v>
      </c>
      <c r="M412" t="s">
        <v>89</v>
      </c>
      <c r="O412" t="s">
        <v>102</v>
      </c>
      <c r="P412" t="s">
        <v>103</v>
      </c>
      <c r="Q412" t="s">
        <v>599</v>
      </c>
      <c r="R412" t="s">
        <v>533</v>
      </c>
      <c r="S412" s="1">
        <v>46023</v>
      </c>
      <c r="U412" t="s">
        <v>50</v>
      </c>
      <c r="X412" t="s">
        <v>51</v>
      </c>
      <c r="AF412" s="2">
        <v>175</v>
      </c>
      <c r="AG412" s="2">
        <v>0</v>
      </c>
      <c r="AJ412" s="2">
        <v>175</v>
      </c>
    </row>
    <row r="413" spans="1:36" x14ac:dyDescent="0.25">
      <c r="A413" s="1">
        <v>46001</v>
      </c>
      <c r="B413" s="1">
        <v>46001</v>
      </c>
      <c r="C413" t="s">
        <v>597</v>
      </c>
      <c r="D413" t="s">
        <v>39</v>
      </c>
      <c r="E413" t="s">
        <v>40</v>
      </c>
      <c r="F413" t="s">
        <v>41</v>
      </c>
      <c r="G413" t="s">
        <v>42</v>
      </c>
      <c r="H413" t="s">
        <v>43</v>
      </c>
      <c r="I413" t="s">
        <v>870</v>
      </c>
      <c r="J413" t="s">
        <v>634</v>
      </c>
      <c r="M413" t="s">
        <v>113</v>
      </c>
      <c r="O413" t="s">
        <v>126</v>
      </c>
      <c r="P413" t="s">
        <v>127</v>
      </c>
      <c r="Q413" t="s">
        <v>599</v>
      </c>
      <c r="R413" t="s">
        <v>533</v>
      </c>
      <c r="S413" s="1">
        <v>46023</v>
      </c>
      <c r="U413" t="s">
        <v>50</v>
      </c>
      <c r="X413" t="s">
        <v>51</v>
      </c>
      <c r="AF413" s="2">
        <v>175</v>
      </c>
      <c r="AG413" s="2">
        <v>0</v>
      </c>
      <c r="AJ413" s="2">
        <v>175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29845-2183-4E16-885C-77B9429D2671}">
  <dimension ref="A1:T412"/>
  <sheetViews>
    <sheetView topLeftCell="A391" workbookViewId="0">
      <selection activeCell="A412" sqref="A412"/>
    </sheetView>
  </sheetViews>
  <sheetFormatPr defaultRowHeight="15" x14ac:dyDescent="0.25"/>
  <cols>
    <col min="1" max="1" width="15.7109375" style="8" customWidth="1"/>
    <col min="2" max="2" width="17" style="8" bestFit="1" customWidth="1"/>
    <col min="9" max="9" width="14.140625" customWidth="1"/>
    <col min="10" max="10" width="10.140625" bestFit="1" customWidth="1"/>
    <col min="19" max="19" width="36" bestFit="1" customWidth="1"/>
    <col min="20" max="20" width="23.140625" bestFit="1" customWidth="1"/>
  </cols>
  <sheetData>
    <row r="1" spans="1:19" x14ac:dyDescent="0.25">
      <c r="A1" s="8" t="s">
        <v>8</v>
      </c>
      <c r="C1" t="s">
        <v>9</v>
      </c>
      <c r="D1" t="s">
        <v>10</v>
      </c>
      <c r="E1" t="s">
        <v>12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20</v>
      </c>
      <c r="L1" t="s">
        <v>23</v>
      </c>
      <c r="M1" t="s">
        <v>24</v>
      </c>
      <c r="N1" t="s">
        <v>25</v>
      </c>
      <c r="O1" t="s">
        <v>26</v>
      </c>
      <c r="P1" t="s">
        <v>27</v>
      </c>
      <c r="Q1" t="s">
        <v>28</v>
      </c>
    </row>
    <row r="2" spans="1:19" x14ac:dyDescent="0.25">
      <c r="A2" s="9">
        <v>101966955100</v>
      </c>
      <c r="B2" s="9" t="str">
        <f>CONCATENATE(A2,"OVR")</f>
        <v>101966955100OVR</v>
      </c>
      <c r="C2" t="s">
        <v>378</v>
      </c>
      <c r="E2" t="s">
        <v>379</v>
      </c>
      <c r="F2">
        <v>20411454</v>
      </c>
      <c r="G2" t="s">
        <v>830</v>
      </c>
      <c r="H2" t="s">
        <v>48</v>
      </c>
      <c r="I2" t="s">
        <v>380</v>
      </c>
      <c r="J2" s="1">
        <v>46023</v>
      </c>
      <c r="K2" t="s">
        <v>50</v>
      </c>
      <c r="L2" t="s">
        <v>51</v>
      </c>
      <c r="M2" s="2">
        <v>0</v>
      </c>
      <c r="N2" s="2">
        <v>50</v>
      </c>
      <c r="O2">
        <v>1</v>
      </c>
      <c r="P2" s="3">
        <v>1</v>
      </c>
      <c r="Q2" s="2">
        <v>50</v>
      </c>
      <c r="S2" t="s">
        <v>802</v>
      </c>
    </row>
    <row r="3" spans="1:19" x14ac:dyDescent="0.25">
      <c r="A3" s="9">
        <v>101974872600</v>
      </c>
      <c r="B3" s="9" t="str">
        <f t="shared" ref="B3:B66" si="0">CONCATENATE(A3,"OVR")</f>
        <v>101974872600OVR</v>
      </c>
      <c r="C3" t="s">
        <v>620</v>
      </c>
      <c r="E3" t="s">
        <v>45</v>
      </c>
      <c r="F3">
        <v>20411454</v>
      </c>
      <c r="G3" t="s">
        <v>830</v>
      </c>
      <c r="H3" t="s">
        <v>599</v>
      </c>
      <c r="I3" t="s">
        <v>380</v>
      </c>
      <c r="J3" s="1">
        <v>45658</v>
      </c>
      <c r="K3" t="s">
        <v>50</v>
      </c>
      <c r="L3" t="s">
        <v>51</v>
      </c>
      <c r="Q3">
        <v>-4.17</v>
      </c>
      <c r="S3" t="s">
        <v>802</v>
      </c>
    </row>
    <row r="4" spans="1:19" x14ac:dyDescent="0.25">
      <c r="A4" s="9">
        <v>101087994000</v>
      </c>
      <c r="B4" s="9" t="str">
        <f t="shared" si="0"/>
        <v>101087994000OVR</v>
      </c>
      <c r="C4" t="s">
        <v>315</v>
      </c>
      <c r="E4" t="s">
        <v>316</v>
      </c>
      <c r="F4">
        <v>20411454</v>
      </c>
      <c r="G4" t="s">
        <v>830</v>
      </c>
      <c r="H4" t="s">
        <v>48</v>
      </c>
      <c r="I4" t="s">
        <v>319</v>
      </c>
      <c r="J4" s="1">
        <v>46023</v>
      </c>
      <c r="K4" t="s">
        <v>50</v>
      </c>
      <c r="L4" t="s">
        <v>51</v>
      </c>
      <c r="M4" s="2">
        <v>0</v>
      </c>
      <c r="N4" s="2">
        <v>25</v>
      </c>
      <c r="O4">
        <v>1</v>
      </c>
      <c r="P4" s="3">
        <v>1</v>
      </c>
      <c r="Q4" s="2">
        <v>25</v>
      </c>
      <c r="S4" t="s">
        <v>802</v>
      </c>
    </row>
    <row r="5" spans="1:19" x14ac:dyDescent="0.25">
      <c r="A5" s="9">
        <v>101191675700</v>
      </c>
      <c r="B5" s="9" t="str">
        <f t="shared" si="0"/>
        <v>101191675700OVR</v>
      </c>
      <c r="C5" t="s">
        <v>320</v>
      </c>
      <c r="E5" t="s">
        <v>316</v>
      </c>
      <c r="F5">
        <v>20411454</v>
      </c>
      <c r="G5" t="s">
        <v>830</v>
      </c>
      <c r="H5" t="s">
        <v>48</v>
      </c>
      <c r="I5" t="s">
        <v>319</v>
      </c>
      <c r="J5" s="1">
        <v>46023</v>
      </c>
      <c r="K5" t="s">
        <v>50</v>
      </c>
      <c r="L5" t="s">
        <v>51</v>
      </c>
      <c r="M5" s="2">
        <v>0</v>
      </c>
      <c r="N5" s="2">
        <v>25</v>
      </c>
      <c r="O5">
        <v>1</v>
      </c>
      <c r="P5" s="3">
        <v>1</v>
      </c>
      <c r="Q5" s="2">
        <v>25</v>
      </c>
      <c r="S5" t="s">
        <v>802</v>
      </c>
    </row>
    <row r="6" spans="1:19" x14ac:dyDescent="0.25">
      <c r="A6" s="9">
        <v>101226179600</v>
      </c>
      <c r="B6" s="9" t="str">
        <f t="shared" si="0"/>
        <v>101226179600OVR</v>
      </c>
      <c r="C6" t="s">
        <v>330</v>
      </c>
      <c r="E6" t="s">
        <v>83</v>
      </c>
      <c r="F6">
        <v>20411454</v>
      </c>
      <c r="G6" t="s">
        <v>830</v>
      </c>
      <c r="H6" t="s">
        <v>48</v>
      </c>
      <c r="I6" t="s">
        <v>319</v>
      </c>
      <c r="J6" s="1">
        <v>46023</v>
      </c>
      <c r="K6" t="s">
        <v>50</v>
      </c>
      <c r="L6" t="s">
        <v>51</v>
      </c>
      <c r="M6" s="2">
        <v>0</v>
      </c>
      <c r="N6" s="2">
        <v>25</v>
      </c>
      <c r="O6">
        <v>1</v>
      </c>
      <c r="P6" s="3">
        <v>1</v>
      </c>
      <c r="Q6" s="2">
        <v>25</v>
      </c>
      <c r="S6" t="s">
        <v>802</v>
      </c>
    </row>
    <row r="7" spans="1:19" x14ac:dyDescent="0.25">
      <c r="A7" s="9">
        <v>101333828800</v>
      </c>
      <c r="B7" s="9" t="str">
        <f t="shared" si="0"/>
        <v>101333828800OVR</v>
      </c>
      <c r="C7" t="s">
        <v>335</v>
      </c>
      <c r="E7" t="s">
        <v>45</v>
      </c>
      <c r="F7">
        <v>20411454</v>
      </c>
      <c r="G7" t="s">
        <v>830</v>
      </c>
      <c r="H7" t="s">
        <v>48</v>
      </c>
      <c r="I7" t="s">
        <v>319</v>
      </c>
      <c r="J7" s="1">
        <v>46023</v>
      </c>
      <c r="K7" t="s">
        <v>50</v>
      </c>
      <c r="L7" t="s">
        <v>51</v>
      </c>
      <c r="M7" s="2">
        <v>0</v>
      </c>
      <c r="N7" s="2">
        <v>25</v>
      </c>
      <c r="O7">
        <v>1</v>
      </c>
      <c r="P7" s="3">
        <v>1</v>
      </c>
      <c r="Q7" s="2">
        <v>25</v>
      </c>
      <c r="S7" t="s">
        <v>802</v>
      </c>
    </row>
    <row r="8" spans="1:19" x14ac:dyDescent="0.25">
      <c r="A8" s="9">
        <v>101339097900</v>
      </c>
      <c r="B8" s="9" t="str">
        <f t="shared" si="0"/>
        <v>101339097900OVR</v>
      </c>
      <c r="C8" t="s">
        <v>338</v>
      </c>
      <c r="E8" t="s">
        <v>45</v>
      </c>
      <c r="F8">
        <v>20411454</v>
      </c>
      <c r="G8" t="s">
        <v>830</v>
      </c>
      <c r="H8" t="s">
        <v>48</v>
      </c>
      <c r="I8" t="s">
        <v>319</v>
      </c>
      <c r="J8" s="1">
        <v>46023</v>
      </c>
      <c r="K8" t="s">
        <v>50</v>
      </c>
      <c r="L8" t="s">
        <v>51</v>
      </c>
      <c r="M8" s="2">
        <v>0</v>
      </c>
      <c r="N8" s="2">
        <v>25</v>
      </c>
      <c r="O8">
        <v>1</v>
      </c>
      <c r="P8" s="3">
        <v>1</v>
      </c>
      <c r="Q8" s="2">
        <v>25</v>
      </c>
      <c r="S8" t="s">
        <v>802</v>
      </c>
    </row>
    <row r="9" spans="1:19" x14ac:dyDescent="0.25">
      <c r="A9" s="9">
        <v>101343771000</v>
      </c>
      <c r="B9" s="9" t="str">
        <f t="shared" si="0"/>
        <v>101343771000OVR</v>
      </c>
      <c r="C9" t="s">
        <v>339</v>
      </c>
      <c r="E9" t="s">
        <v>169</v>
      </c>
      <c r="F9">
        <v>20411454</v>
      </c>
      <c r="G9" t="s">
        <v>830</v>
      </c>
      <c r="H9" t="s">
        <v>48</v>
      </c>
      <c r="I9" t="s">
        <v>319</v>
      </c>
      <c r="J9" s="1">
        <v>46023</v>
      </c>
      <c r="K9" t="s">
        <v>50</v>
      </c>
      <c r="L9" t="s">
        <v>51</v>
      </c>
      <c r="M9" s="2">
        <v>0</v>
      </c>
      <c r="N9" s="2">
        <v>25</v>
      </c>
      <c r="O9">
        <v>1</v>
      </c>
      <c r="P9" s="3">
        <v>1</v>
      </c>
      <c r="Q9" s="2">
        <v>25</v>
      </c>
      <c r="S9" t="s">
        <v>802</v>
      </c>
    </row>
    <row r="10" spans="1:19" x14ac:dyDescent="0.25">
      <c r="A10" s="9">
        <v>101379756000</v>
      </c>
      <c r="B10" s="9" t="str">
        <f t="shared" si="0"/>
        <v>101379756000OVR</v>
      </c>
      <c r="C10" t="s">
        <v>344</v>
      </c>
      <c r="E10" t="s">
        <v>45</v>
      </c>
      <c r="F10">
        <v>20411454</v>
      </c>
      <c r="G10" t="s">
        <v>830</v>
      </c>
      <c r="H10" t="s">
        <v>48</v>
      </c>
      <c r="I10" t="s">
        <v>319</v>
      </c>
      <c r="J10" s="1">
        <v>46023</v>
      </c>
      <c r="K10" t="s">
        <v>50</v>
      </c>
      <c r="L10" t="s">
        <v>51</v>
      </c>
      <c r="M10" s="2">
        <v>0</v>
      </c>
      <c r="N10" s="2">
        <v>25</v>
      </c>
      <c r="O10">
        <v>1</v>
      </c>
      <c r="P10" s="3">
        <v>1</v>
      </c>
      <c r="Q10" s="2">
        <v>25</v>
      </c>
      <c r="S10" t="s">
        <v>802</v>
      </c>
    </row>
    <row r="11" spans="1:19" x14ac:dyDescent="0.25">
      <c r="A11" s="9">
        <v>101479191600</v>
      </c>
      <c r="B11" s="9" t="str">
        <f t="shared" si="0"/>
        <v>101479191600OVR</v>
      </c>
      <c r="C11" t="s">
        <v>346</v>
      </c>
      <c r="E11" t="s">
        <v>347</v>
      </c>
      <c r="F11">
        <v>20411454</v>
      </c>
      <c r="G11" t="s">
        <v>830</v>
      </c>
      <c r="H11" t="s">
        <v>48</v>
      </c>
      <c r="I11" t="s">
        <v>319</v>
      </c>
      <c r="J11" s="1">
        <v>46023</v>
      </c>
      <c r="K11" t="s">
        <v>50</v>
      </c>
      <c r="L11" t="s">
        <v>51</v>
      </c>
      <c r="M11" s="2">
        <v>0</v>
      </c>
      <c r="N11" s="2">
        <v>25</v>
      </c>
      <c r="O11">
        <v>1</v>
      </c>
      <c r="P11" s="3">
        <v>1</v>
      </c>
      <c r="Q11" s="2">
        <v>25</v>
      </c>
      <c r="S11" t="s">
        <v>802</v>
      </c>
    </row>
    <row r="12" spans="1:19" x14ac:dyDescent="0.25">
      <c r="A12" s="9">
        <v>101489529300</v>
      </c>
      <c r="B12" s="9" t="str">
        <f t="shared" si="0"/>
        <v>101489529300OVR</v>
      </c>
      <c r="C12" t="s">
        <v>348</v>
      </c>
      <c r="E12" t="s">
        <v>83</v>
      </c>
      <c r="F12">
        <v>20411454</v>
      </c>
      <c r="G12" t="s">
        <v>830</v>
      </c>
      <c r="H12" t="s">
        <v>48</v>
      </c>
      <c r="I12" t="s">
        <v>319</v>
      </c>
      <c r="J12" s="1">
        <v>46023</v>
      </c>
      <c r="K12" t="s">
        <v>50</v>
      </c>
      <c r="L12" t="s">
        <v>51</v>
      </c>
      <c r="M12" s="2">
        <v>0</v>
      </c>
      <c r="N12" s="2">
        <v>25</v>
      </c>
      <c r="O12">
        <v>1</v>
      </c>
      <c r="P12" s="3">
        <v>1</v>
      </c>
      <c r="Q12" s="2">
        <v>25</v>
      </c>
      <c r="S12" t="s">
        <v>802</v>
      </c>
    </row>
    <row r="13" spans="1:19" x14ac:dyDescent="0.25">
      <c r="A13" s="9">
        <v>101493498200</v>
      </c>
      <c r="B13" s="9" t="str">
        <f t="shared" si="0"/>
        <v>101493498200OVR</v>
      </c>
      <c r="C13" t="s">
        <v>349</v>
      </c>
      <c r="E13" t="s">
        <v>69</v>
      </c>
      <c r="F13">
        <v>20411454</v>
      </c>
      <c r="G13" t="s">
        <v>830</v>
      </c>
      <c r="H13" t="s">
        <v>48</v>
      </c>
      <c r="I13" t="s">
        <v>319</v>
      </c>
      <c r="J13" s="1">
        <v>46023</v>
      </c>
      <c r="K13" t="s">
        <v>50</v>
      </c>
      <c r="L13" t="s">
        <v>51</v>
      </c>
      <c r="M13" s="2">
        <v>0</v>
      </c>
      <c r="N13" s="2">
        <v>25</v>
      </c>
      <c r="O13">
        <v>1</v>
      </c>
      <c r="P13" s="3">
        <v>1</v>
      </c>
      <c r="Q13" s="2">
        <v>25</v>
      </c>
      <c r="S13" t="s">
        <v>802</v>
      </c>
    </row>
    <row r="14" spans="1:19" x14ac:dyDescent="0.25">
      <c r="A14" s="9">
        <v>101626134200</v>
      </c>
      <c r="B14" s="9" t="str">
        <f t="shared" si="0"/>
        <v>101626134200OVR</v>
      </c>
      <c r="C14" t="s">
        <v>358</v>
      </c>
      <c r="E14" t="s">
        <v>359</v>
      </c>
      <c r="F14">
        <v>20411454</v>
      </c>
      <c r="G14" t="s">
        <v>830</v>
      </c>
      <c r="H14" t="s">
        <v>48</v>
      </c>
      <c r="I14" t="s">
        <v>319</v>
      </c>
      <c r="J14" s="1">
        <v>46023</v>
      </c>
      <c r="K14" t="s">
        <v>50</v>
      </c>
      <c r="L14" t="s">
        <v>51</v>
      </c>
      <c r="M14" s="2">
        <v>0</v>
      </c>
      <c r="N14" s="2">
        <v>25</v>
      </c>
      <c r="O14">
        <v>1</v>
      </c>
      <c r="P14" s="3">
        <v>1</v>
      </c>
      <c r="Q14" s="2">
        <v>25</v>
      </c>
      <c r="S14" t="s">
        <v>802</v>
      </c>
    </row>
    <row r="15" spans="1:19" x14ac:dyDescent="0.25">
      <c r="A15" s="9">
        <v>101716852000</v>
      </c>
      <c r="B15" s="9" t="str">
        <f t="shared" si="0"/>
        <v>101716852000OVR</v>
      </c>
      <c r="C15" t="s">
        <v>361</v>
      </c>
      <c r="E15" t="s">
        <v>89</v>
      </c>
      <c r="F15">
        <v>20411454</v>
      </c>
      <c r="G15" t="s">
        <v>830</v>
      </c>
      <c r="H15" t="s">
        <v>48</v>
      </c>
      <c r="I15" t="s">
        <v>319</v>
      </c>
      <c r="J15" s="1">
        <v>46023</v>
      </c>
      <c r="K15" t="s">
        <v>50</v>
      </c>
      <c r="L15" t="s">
        <v>51</v>
      </c>
      <c r="M15" s="2">
        <v>0</v>
      </c>
      <c r="N15" s="2">
        <v>25</v>
      </c>
      <c r="O15">
        <v>1</v>
      </c>
      <c r="P15" s="3">
        <v>1</v>
      </c>
      <c r="Q15" s="2">
        <v>25</v>
      </c>
      <c r="S15" t="s">
        <v>802</v>
      </c>
    </row>
    <row r="16" spans="1:19" x14ac:dyDescent="0.25">
      <c r="A16" s="9">
        <v>101783215300</v>
      </c>
      <c r="B16" s="9" t="str">
        <f t="shared" si="0"/>
        <v>101783215300OVR</v>
      </c>
      <c r="C16" t="s">
        <v>362</v>
      </c>
      <c r="E16" t="s">
        <v>113</v>
      </c>
      <c r="F16">
        <v>20411454</v>
      </c>
      <c r="G16" t="s">
        <v>830</v>
      </c>
      <c r="H16" t="s">
        <v>48</v>
      </c>
      <c r="I16" t="s">
        <v>319</v>
      </c>
      <c r="J16" s="1">
        <v>46023</v>
      </c>
      <c r="K16" t="s">
        <v>50</v>
      </c>
      <c r="L16" t="s">
        <v>51</v>
      </c>
      <c r="M16" s="2">
        <v>0</v>
      </c>
      <c r="N16" s="2">
        <v>25</v>
      </c>
      <c r="O16">
        <v>1</v>
      </c>
      <c r="P16" s="3">
        <v>1</v>
      </c>
      <c r="Q16" s="2">
        <v>25</v>
      </c>
      <c r="S16" t="s">
        <v>802</v>
      </c>
    </row>
    <row r="17" spans="1:19" x14ac:dyDescent="0.25">
      <c r="A17" s="9">
        <v>101819351300</v>
      </c>
      <c r="B17" s="9" t="str">
        <f t="shared" si="0"/>
        <v>101819351300OVR</v>
      </c>
      <c r="C17" t="s">
        <v>364</v>
      </c>
      <c r="E17" t="s">
        <v>45</v>
      </c>
      <c r="F17">
        <v>20411454</v>
      </c>
      <c r="G17" t="s">
        <v>830</v>
      </c>
      <c r="H17" t="s">
        <v>48</v>
      </c>
      <c r="I17" t="s">
        <v>319</v>
      </c>
      <c r="J17" s="1">
        <v>46023</v>
      </c>
      <c r="K17" t="s">
        <v>50</v>
      </c>
      <c r="L17" t="s">
        <v>51</v>
      </c>
      <c r="M17" s="2">
        <v>0</v>
      </c>
      <c r="N17" s="2">
        <v>25</v>
      </c>
      <c r="O17">
        <v>1</v>
      </c>
      <c r="P17" s="3">
        <v>1</v>
      </c>
      <c r="Q17" s="2">
        <v>25</v>
      </c>
      <c r="S17" t="s">
        <v>802</v>
      </c>
    </row>
    <row r="18" spans="1:19" x14ac:dyDescent="0.25">
      <c r="A18" s="9">
        <v>101822692400</v>
      </c>
      <c r="B18" s="9" t="str">
        <f t="shared" si="0"/>
        <v>101822692400OVR</v>
      </c>
      <c r="C18" t="s">
        <v>366</v>
      </c>
      <c r="E18" t="s">
        <v>69</v>
      </c>
      <c r="F18">
        <v>20411454</v>
      </c>
      <c r="G18" t="s">
        <v>830</v>
      </c>
      <c r="H18" t="s">
        <v>48</v>
      </c>
      <c r="I18" t="s">
        <v>319</v>
      </c>
      <c r="J18" s="1">
        <v>46023</v>
      </c>
      <c r="K18" t="s">
        <v>50</v>
      </c>
      <c r="L18" t="s">
        <v>51</v>
      </c>
      <c r="M18" s="2">
        <v>0</v>
      </c>
      <c r="N18" s="2">
        <v>25</v>
      </c>
      <c r="O18">
        <v>1</v>
      </c>
      <c r="P18" s="3">
        <v>1</v>
      </c>
      <c r="Q18" s="2">
        <v>25</v>
      </c>
      <c r="S18" t="s">
        <v>802</v>
      </c>
    </row>
    <row r="19" spans="1:19" x14ac:dyDescent="0.25">
      <c r="A19" s="9">
        <v>101822843900</v>
      </c>
      <c r="B19" s="9" t="str">
        <f t="shared" si="0"/>
        <v>101822843900OVR</v>
      </c>
      <c r="C19" t="s">
        <v>367</v>
      </c>
      <c r="E19" t="s">
        <v>69</v>
      </c>
      <c r="F19">
        <v>20411454</v>
      </c>
      <c r="G19" t="s">
        <v>830</v>
      </c>
      <c r="H19" t="s">
        <v>48</v>
      </c>
      <c r="I19" t="s">
        <v>319</v>
      </c>
      <c r="J19" s="1">
        <v>46023</v>
      </c>
      <c r="K19" t="s">
        <v>50</v>
      </c>
      <c r="L19" t="s">
        <v>51</v>
      </c>
      <c r="M19" s="2">
        <v>0</v>
      </c>
      <c r="N19" s="2">
        <v>25</v>
      </c>
      <c r="O19">
        <v>1</v>
      </c>
      <c r="P19" s="3">
        <v>1</v>
      </c>
      <c r="Q19" s="2">
        <v>25</v>
      </c>
      <c r="S19" t="s">
        <v>802</v>
      </c>
    </row>
    <row r="20" spans="1:19" x14ac:dyDescent="0.25">
      <c r="A20" s="9">
        <v>101833125900</v>
      </c>
      <c r="B20" s="9" t="str">
        <f t="shared" si="0"/>
        <v>101833125900OVR</v>
      </c>
      <c r="C20" t="s">
        <v>369</v>
      </c>
      <c r="E20" t="s">
        <v>45</v>
      </c>
      <c r="F20">
        <v>20411454</v>
      </c>
      <c r="G20" t="s">
        <v>830</v>
      </c>
      <c r="H20" t="s">
        <v>48</v>
      </c>
      <c r="I20" t="s">
        <v>319</v>
      </c>
      <c r="J20" s="1">
        <v>46023</v>
      </c>
      <c r="K20" t="s">
        <v>50</v>
      </c>
      <c r="L20" t="s">
        <v>51</v>
      </c>
      <c r="M20" s="2">
        <v>0</v>
      </c>
      <c r="N20" s="2">
        <v>25</v>
      </c>
      <c r="O20">
        <v>1</v>
      </c>
      <c r="P20" s="3">
        <v>1</v>
      </c>
      <c r="Q20" s="2">
        <v>25</v>
      </c>
      <c r="S20" t="s">
        <v>802</v>
      </c>
    </row>
    <row r="21" spans="1:19" x14ac:dyDescent="0.25">
      <c r="A21" s="9">
        <v>101931808600</v>
      </c>
      <c r="B21" s="9" t="str">
        <f t="shared" si="0"/>
        <v>101931808600OVR</v>
      </c>
      <c r="C21" t="s">
        <v>373</v>
      </c>
      <c r="E21" t="s">
        <v>316</v>
      </c>
      <c r="F21">
        <v>20411454</v>
      </c>
      <c r="G21" t="s">
        <v>830</v>
      </c>
      <c r="H21" t="s">
        <v>48</v>
      </c>
      <c r="I21" t="s">
        <v>319</v>
      </c>
      <c r="J21" s="1">
        <v>46023</v>
      </c>
      <c r="K21" t="s">
        <v>50</v>
      </c>
      <c r="L21" t="s">
        <v>51</v>
      </c>
      <c r="M21" s="2">
        <v>0</v>
      </c>
      <c r="N21" s="2">
        <v>25</v>
      </c>
      <c r="O21">
        <v>1</v>
      </c>
      <c r="P21" s="3">
        <v>1</v>
      </c>
      <c r="Q21" s="2">
        <v>25</v>
      </c>
      <c r="S21" t="s">
        <v>802</v>
      </c>
    </row>
    <row r="22" spans="1:19" x14ac:dyDescent="0.25">
      <c r="A22" s="9">
        <v>101939686100</v>
      </c>
      <c r="B22" s="9" t="str">
        <f t="shared" si="0"/>
        <v>101939686100OVR</v>
      </c>
      <c r="C22" t="s">
        <v>376</v>
      </c>
      <c r="E22" t="s">
        <v>45</v>
      </c>
      <c r="F22">
        <v>20411454</v>
      </c>
      <c r="G22" t="s">
        <v>830</v>
      </c>
      <c r="H22" t="s">
        <v>48</v>
      </c>
      <c r="I22" t="s">
        <v>319</v>
      </c>
      <c r="J22" s="1">
        <v>46023</v>
      </c>
      <c r="K22" t="s">
        <v>50</v>
      </c>
      <c r="L22" t="s">
        <v>51</v>
      </c>
      <c r="M22" s="2">
        <v>0</v>
      </c>
      <c r="N22" s="2">
        <v>25</v>
      </c>
      <c r="O22">
        <v>1</v>
      </c>
      <c r="P22" s="3">
        <v>1</v>
      </c>
      <c r="Q22" s="2">
        <v>25</v>
      </c>
      <c r="S22" t="s">
        <v>802</v>
      </c>
    </row>
    <row r="23" spans="1:19" x14ac:dyDescent="0.25">
      <c r="A23" s="9">
        <v>101978593200</v>
      </c>
      <c r="B23" s="9" t="str">
        <f t="shared" si="0"/>
        <v>101978593200OVR</v>
      </c>
      <c r="C23" t="s">
        <v>381</v>
      </c>
      <c r="E23" t="s">
        <v>45</v>
      </c>
      <c r="F23">
        <v>20411454</v>
      </c>
      <c r="G23" t="s">
        <v>830</v>
      </c>
      <c r="H23" t="s">
        <v>48</v>
      </c>
      <c r="I23" t="s">
        <v>319</v>
      </c>
      <c r="J23" s="1">
        <v>46023</v>
      </c>
      <c r="K23" t="s">
        <v>50</v>
      </c>
      <c r="L23" t="s">
        <v>51</v>
      </c>
      <c r="M23" s="2">
        <v>0</v>
      </c>
      <c r="N23" s="2">
        <v>25</v>
      </c>
      <c r="O23">
        <v>1</v>
      </c>
      <c r="P23" s="3">
        <v>1</v>
      </c>
      <c r="Q23" s="2">
        <v>25</v>
      </c>
      <c r="S23" t="s">
        <v>802</v>
      </c>
    </row>
    <row r="24" spans="1:19" x14ac:dyDescent="0.25">
      <c r="A24" s="9">
        <v>101989535900</v>
      </c>
      <c r="B24" s="9" t="str">
        <f t="shared" si="0"/>
        <v>101989535900OVR</v>
      </c>
      <c r="C24" t="s">
        <v>384</v>
      </c>
      <c r="E24" t="s">
        <v>69</v>
      </c>
      <c r="F24">
        <v>20411454</v>
      </c>
      <c r="G24" t="s">
        <v>830</v>
      </c>
      <c r="H24" t="s">
        <v>48</v>
      </c>
      <c r="I24" t="s">
        <v>319</v>
      </c>
      <c r="J24" s="1">
        <v>46023</v>
      </c>
      <c r="K24" t="s">
        <v>50</v>
      </c>
      <c r="L24" t="s">
        <v>51</v>
      </c>
      <c r="M24" s="2">
        <v>0</v>
      </c>
      <c r="N24" s="2">
        <v>25</v>
      </c>
      <c r="O24">
        <v>1</v>
      </c>
      <c r="P24" s="3">
        <v>1</v>
      </c>
      <c r="Q24" s="2">
        <v>25</v>
      </c>
      <c r="S24" t="s">
        <v>802</v>
      </c>
    </row>
    <row r="25" spans="1:19" x14ac:dyDescent="0.25">
      <c r="A25" s="9">
        <v>102052554200</v>
      </c>
      <c r="B25" s="9" t="str">
        <f t="shared" si="0"/>
        <v>102052554200OVR</v>
      </c>
      <c r="C25" t="s">
        <v>392</v>
      </c>
      <c r="E25" t="s">
        <v>316</v>
      </c>
      <c r="F25">
        <v>20411454</v>
      </c>
      <c r="G25" t="s">
        <v>830</v>
      </c>
      <c r="H25" t="s">
        <v>48</v>
      </c>
      <c r="I25" t="s">
        <v>319</v>
      </c>
      <c r="J25" s="1">
        <v>46023</v>
      </c>
      <c r="K25" t="s">
        <v>50</v>
      </c>
      <c r="L25" t="s">
        <v>51</v>
      </c>
      <c r="M25" s="2">
        <v>0</v>
      </c>
      <c r="N25" s="2">
        <v>25</v>
      </c>
      <c r="O25">
        <v>1</v>
      </c>
      <c r="P25" s="3">
        <v>1</v>
      </c>
      <c r="Q25" s="2">
        <v>25</v>
      </c>
      <c r="S25" t="s">
        <v>802</v>
      </c>
    </row>
    <row r="26" spans="1:19" x14ac:dyDescent="0.25">
      <c r="A26" s="9" t="s">
        <v>794</v>
      </c>
      <c r="B26" s="9" t="str">
        <f t="shared" si="0"/>
        <v>102055440700AOVR</v>
      </c>
      <c r="C26" t="s">
        <v>395</v>
      </c>
      <c r="E26" t="s">
        <v>396</v>
      </c>
      <c r="F26">
        <v>20411454</v>
      </c>
      <c r="G26" t="s">
        <v>830</v>
      </c>
      <c r="H26" t="s">
        <v>391</v>
      </c>
      <c r="I26" t="s">
        <v>319</v>
      </c>
      <c r="J26" s="1">
        <v>46023</v>
      </c>
      <c r="K26" t="s">
        <v>50</v>
      </c>
      <c r="L26" t="s">
        <v>51</v>
      </c>
      <c r="M26" s="2">
        <v>0</v>
      </c>
      <c r="N26" s="2">
        <v>25</v>
      </c>
      <c r="O26">
        <v>1</v>
      </c>
      <c r="P26" s="3">
        <v>1</v>
      </c>
      <c r="Q26" s="2">
        <v>25</v>
      </c>
      <c r="S26" t="s">
        <v>802</v>
      </c>
    </row>
    <row r="27" spans="1:19" x14ac:dyDescent="0.25">
      <c r="A27" s="9">
        <v>102068108700</v>
      </c>
      <c r="B27" s="9" t="str">
        <f t="shared" si="0"/>
        <v>102068108700OVR</v>
      </c>
      <c r="C27" t="s">
        <v>397</v>
      </c>
      <c r="E27" t="s">
        <v>169</v>
      </c>
      <c r="F27">
        <v>20411454</v>
      </c>
      <c r="G27" t="s">
        <v>830</v>
      </c>
      <c r="H27" t="s">
        <v>48</v>
      </c>
      <c r="I27" t="s">
        <v>319</v>
      </c>
      <c r="J27" s="1">
        <v>46023</v>
      </c>
      <c r="K27" t="s">
        <v>50</v>
      </c>
      <c r="L27" t="s">
        <v>51</v>
      </c>
      <c r="M27" s="2">
        <v>0</v>
      </c>
      <c r="N27" s="2">
        <v>25</v>
      </c>
      <c r="O27">
        <v>1</v>
      </c>
      <c r="P27" s="3">
        <v>1</v>
      </c>
      <c r="Q27" s="2">
        <v>25</v>
      </c>
      <c r="S27" t="s">
        <v>802</v>
      </c>
    </row>
    <row r="28" spans="1:19" x14ac:dyDescent="0.25">
      <c r="A28" s="9">
        <v>102068159500</v>
      </c>
      <c r="B28" s="9" t="str">
        <f t="shared" si="0"/>
        <v>102068159500OVR</v>
      </c>
      <c r="C28" t="s">
        <v>398</v>
      </c>
      <c r="E28" t="s">
        <v>396</v>
      </c>
      <c r="F28">
        <v>20411454</v>
      </c>
      <c r="G28" t="s">
        <v>830</v>
      </c>
      <c r="H28" t="s">
        <v>48</v>
      </c>
      <c r="I28" t="s">
        <v>319</v>
      </c>
      <c r="J28" s="1">
        <v>46023</v>
      </c>
      <c r="K28" t="s">
        <v>50</v>
      </c>
      <c r="L28" t="s">
        <v>51</v>
      </c>
      <c r="M28" s="2">
        <v>0</v>
      </c>
      <c r="N28" s="2">
        <v>25</v>
      </c>
      <c r="O28">
        <v>1</v>
      </c>
      <c r="P28" s="3">
        <v>1</v>
      </c>
      <c r="Q28" s="2">
        <v>25</v>
      </c>
      <c r="S28" t="s">
        <v>802</v>
      </c>
    </row>
    <row r="29" spans="1:19" x14ac:dyDescent="0.25">
      <c r="A29" s="9">
        <v>102161580300</v>
      </c>
      <c r="B29" s="9" t="str">
        <f t="shared" si="0"/>
        <v>102161580300OVR</v>
      </c>
      <c r="C29" t="s">
        <v>408</v>
      </c>
      <c r="E29" t="s">
        <v>45</v>
      </c>
      <c r="F29">
        <v>20411454</v>
      </c>
      <c r="G29" t="s">
        <v>830</v>
      </c>
      <c r="H29" t="s">
        <v>48</v>
      </c>
      <c r="I29" t="s">
        <v>319</v>
      </c>
      <c r="J29" s="1">
        <v>46023</v>
      </c>
      <c r="K29" t="s">
        <v>50</v>
      </c>
      <c r="L29" t="s">
        <v>51</v>
      </c>
      <c r="M29" s="2">
        <v>0</v>
      </c>
      <c r="N29" s="2">
        <v>25</v>
      </c>
      <c r="O29">
        <v>1</v>
      </c>
      <c r="P29" s="3">
        <v>1</v>
      </c>
      <c r="Q29" s="2">
        <v>25</v>
      </c>
      <c r="S29" t="s">
        <v>802</v>
      </c>
    </row>
    <row r="30" spans="1:19" x14ac:dyDescent="0.25">
      <c r="A30" s="9">
        <v>102169966700</v>
      </c>
      <c r="B30" s="9" t="str">
        <f t="shared" si="0"/>
        <v>102169966700OVR</v>
      </c>
      <c r="C30" t="s">
        <v>410</v>
      </c>
      <c r="E30" t="s">
        <v>69</v>
      </c>
      <c r="F30">
        <v>20411454</v>
      </c>
      <c r="G30" t="s">
        <v>830</v>
      </c>
      <c r="H30" t="s">
        <v>48</v>
      </c>
      <c r="I30" t="s">
        <v>319</v>
      </c>
      <c r="J30" s="1">
        <v>46023</v>
      </c>
      <c r="K30" t="s">
        <v>50</v>
      </c>
      <c r="L30" t="s">
        <v>51</v>
      </c>
      <c r="M30" s="2">
        <v>0</v>
      </c>
      <c r="N30" s="2">
        <v>25</v>
      </c>
      <c r="O30">
        <v>1</v>
      </c>
      <c r="P30" s="3">
        <v>1</v>
      </c>
      <c r="Q30" s="2">
        <v>25</v>
      </c>
      <c r="S30" t="s">
        <v>802</v>
      </c>
    </row>
    <row r="31" spans="1:19" x14ac:dyDescent="0.25">
      <c r="A31" s="9">
        <v>102178830400</v>
      </c>
      <c r="B31" s="9" t="str">
        <f t="shared" si="0"/>
        <v>102178830400OVR</v>
      </c>
      <c r="C31" t="s">
        <v>411</v>
      </c>
      <c r="E31" t="s">
        <v>45</v>
      </c>
      <c r="F31">
        <v>20411454</v>
      </c>
      <c r="G31" t="s">
        <v>830</v>
      </c>
      <c r="H31" t="s">
        <v>48</v>
      </c>
      <c r="I31" t="s">
        <v>319</v>
      </c>
      <c r="J31" s="1">
        <v>46023</v>
      </c>
      <c r="K31" t="s">
        <v>50</v>
      </c>
      <c r="L31" t="s">
        <v>51</v>
      </c>
      <c r="M31" s="2">
        <v>0</v>
      </c>
      <c r="N31" s="2">
        <v>25</v>
      </c>
      <c r="O31">
        <v>1</v>
      </c>
      <c r="P31" s="3">
        <v>1</v>
      </c>
      <c r="Q31" s="2">
        <v>25</v>
      </c>
      <c r="S31" t="s">
        <v>802</v>
      </c>
    </row>
    <row r="32" spans="1:19" x14ac:dyDescent="0.25">
      <c r="A32" s="9">
        <v>102200813600</v>
      </c>
      <c r="B32" s="9" t="str">
        <f t="shared" si="0"/>
        <v>102200813600OVR</v>
      </c>
      <c r="C32" t="s">
        <v>414</v>
      </c>
      <c r="E32" t="s">
        <v>45</v>
      </c>
      <c r="F32">
        <v>20411454</v>
      </c>
      <c r="G32" t="s">
        <v>830</v>
      </c>
      <c r="H32" t="s">
        <v>48</v>
      </c>
      <c r="I32" t="s">
        <v>319</v>
      </c>
      <c r="J32" s="1">
        <v>46023</v>
      </c>
      <c r="K32" t="s">
        <v>50</v>
      </c>
      <c r="L32" t="s">
        <v>51</v>
      </c>
      <c r="M32" s="2">
        <v>0</v>
      </c>
      <c r="N32" s="2">
        <v>25</v>
      </c>
      <c r="O32">
        <v>1</v>
      </c>
      <c r="P32" s="3">
        <v>1</v>
      </c>
      <c r="Q32" s="2">
        <v>25</v>
      </c>
      <c r="S32" t="s">
        <v>802</v>
      </c>
    </row>
    <row r="33" spans="1:19" x14ac:dyDescent="0.25">
      <c r="A33" s="9">
        <v>102208803900</v>
      </c>
      <c r="B33" s="9" t="str">
        <f t="shared" si="0"/>
        <v>102208803900OVR</v>
      </c>
      <c r="C33" t="s">
        <v>419</v>
      </c>
      <c r="E33" t="s">
        <v>69</v>
      </c>
      <c r="F33">
        <v>20411454</v>
      </c>
      <c r="G33" t="s">
        <v>830</v>
      </c>
      <c r="H33" t="s">
        <v>48</v>
      </c>
      <c r="I33" t="s">
        <v>319</v>
      </c>
      <c r="J33" s="1">
        <v>46023</v>
      </c>
      <c r="K33" t="s">
        <v>50</v>
      </c>
      <c r="L33" t="s">
        <v>51</v>
      </c>
      <c r="M33" s="2">
        <v>0</v>
      </c>
      <c r="N33" s="2">
        <v>25</v>
      </c>
      <c r="O33">
        <v>1</v>
      </c>
      <c r="P33" s="3">
        <v>1</v>
      </c>
      <c r="Q33" s="2">
        <v>25</v>
      </c>
      <c r="S33" t="s">
        <v>802</v>
      </c>
    </row>
    <row r="34" spans="1:19" x14ac:dyDescent="0.25">
      <c r="A34" s="9">
        <v>102214212900</v>
      </c>
      <c r="B34" s="9" t="str">
        <f t="shared" si="0"/>
        <v>102214212900OVR</v>
      </c>
      <c r="C34" t="s">
        <v>426</v>
      </c>
      <c r="E34" t="s">
        <v>69</v>
      </c>
      <c r="F34">
        <v>20411454</v>
      </c>
      <c r="G34" t="s">
        <v>830</v>
      </c>
      <c r="H34" t="s">
        <v>48</v>
      </c>
      <c r="I34" t="s">
        <v>319</v>
      </c>
      <c r="J34" s="1">
        <v>46023</v>
      </c>
      <c r="K34" t="s">
        <v>50</v>
      </c>
      <c r="L34" t="s">
        <v>51</v>
      </c>
      <c r="M34" s="2">
        <v>0</v>
      </c>
      <c r="N34" s="2">
        <v>25</v>
      </c>
      <c r="O34">
        <v>1</v>
      </c>
      <c r="P34" s="3">
        <v>1</v>
      </c>
      <c r="Q34" s="2">
        <v>25</v>
      </c>
      <c r="S34" t="s">
        <v>802</v>
      </c>
    </row>
    <row r="35" spans="1:19" x14ac:dyDescent="0.25">
      <c r="A35" s="9">
        <v>102218928100</v>
      </c>
      <c r="B35" s="9" t="str">
        <f t="shared" si="0"/>
        <v>102218928100OVR</v>
      </c>
      <c r="C35" t="s">
        <v>431</v>
      </c>
      <c r="E35" t="s">
        <v>396</v>
      </c>
      <c r="F35">
        <v>20411454</v>
      </c>
      <c r="G35" t="s">
        <v>830</v>
      </c>
      <c r="H35" t="s">
        <v>48</v>
      </c>
      <c r="I35" t="s">
        <v>319</v>
      </c>
      <c r="J35" s="1">
        <v>46023</v>
      </c>
      <c r="K35" t="s">
        <v>50</v>
      </c>
      <c r="L35" t="s">
        <v>51</v>
      </c>
      <c r="M35" s="2">
        <v>0</v>
      </c>
      <c r="N35" s="2">
        <v>25</v>
      </c>
      <c r="O35">
        <v>1</v>
      </c>
      <c r="P35" s="3">
        <v>1</v>
      </c>
      <c r="Q35" s="2">
        <v>25</v>
      </c>
      <c r="S35" t="s">
        <v>802</v>
      </c>
    </row>
    <row r="36" spans="1:19" x14ac:dyDescent="0.25">
      <c r="A36" s="9">
        <v>102220586800</v>
      </c>
      <c r="B36" s="9" t="str">
        <f t="shared" si="0"/>
        <v>102220586800OVR</v>
      </c>
      <c r="C36" t="s">
        <v>437</v>
      </c>
      <c r="E36" t="s">
        <v>169</v>
      </c>
      <c r="F36">
        <v>20411454</v>
      </c>
      <c r="G36" t="s">
        <v>830</v>
      </c>
      <c r="H36" t="s">
        <v>48</v>
      </c>
      <c r="I36" t="s">
        <v>319</v>
      </c>
      <c r="J36" s="1">
        <v>46023</v>
      </c>
      <c r="K36" t="s">
        <v>50</v>
      </c>
      <c r="L36" t="s">
        <v>51</v>
      </c>
      <c r="M36" s="2">
        <v>0</v>
      </c>
      <c r="N36" s="2">
        <v>25</v>
      </c>
      <c r="O36">
        <v>1</v>
      </c>
      <c r="P36" s="3">
        <v>1</v>
      </c>
      <c r="Q36" s="2">
        <v>25</v>
      </c>
      <c r="S36" t="s">
        <v>802</v>
      </c>
    </row>
    <row r="37" spans="1:19" x14ac:dyDescent="0.25">
      <c r="A37" s="9">
        <v>102221062100</v>
      </c>
      <c r="B37" s="9" t="str">
        <f t="shared" si="0"/>
        <v>102221062100OVR</v>
      </c>
      <c r="C37" t="s">
        <v>439</v>
      </c>
      <c r="E37" t="s">
        <v>440</v>
      </c>
      <c r="F37">
        <v>20411454</v>
      </c>
      <c r="G37" t="s">
        <v>830</v>
      </c>
      <c r="H37" t="s">
        <v>48</v>
      </c>
      <c r="I37" t="s">
        <v>319</v>
      </c>
      <c r="J37" s="1">
        <v>46023</v>
      </c>
      <c r="K37" t="s">
        <v>50</v>
      </c>
      <c r="L37" t="s">
        <v>51</v>
      </c>
      <c r="M37" s="2">
        <v>0</v>
      </c>
      <c r="N37" s="2">
        <v>25</v>
      </c>
      <c r="O37">
        <v>1</v>
      </c>
      <c r="P37" s="3">
        <v>1</v>
      </c>
      <c r="Q37" s="2">
        <v>25</v>
      </c>
      <c r="S37" t="s">
        <v>802</v>
      </c>
    </row>
    <row r="38" spans="1:19" x14ac:dyDescent="0.25">
      <c r="A38" s="9">
        <v>102221305700</v>
      </c>
      <c r="B38" s="9" t="str">
        <f t="shared" si="0"/>
        <v>102221305700OVR</v>
      </c>
      <c r="C38" t="s">
        <v>445</v>
      </c>
      <c r="E38" t="s">
        <v>269</v>
      </c>
      <c r="F38">
        <v>20411454</v>
      </c>
      <c r="G38" t="s">
        <v>830</v>
      </c>
      <c r="H38" t="s">
        <v>48</v>
      </c>
      <c r="I38" t="s">
        <v>319</v>
      </c>
      <c r="J38" s="1">
        <v>46023</v>
      </c>
      <c r="K38" t="s">
        <v>50</v>
      </c>
      <c r="L38" t="s">
        <v>51</v>
      </c>
      <c r="M38" s="2">
        <v>0</v>
      </c>
      <c r="N38" s="2">
        <v>25</v>
      </c>
      <c r="O38">
        <v>1</v>
      </c>
      <c r="P38" s="3">
        <v>1</v>
      </c>
      <c r="Q38" s="2">
        <v>25</v>
      </c>
      <c r="S38" t="s">
        <v>802</v>
      </c>
    </row>
    <row r="39" spans="1:19" x14ac:dyDescent="0.25">
      <c r="A39" s="9">
        <v>102221469400</v>
      </c>
      <c r="B39" s="9" t="str">
        <f t="shared" si="0"/>
        <v>102221469400OVR</v>
      </c>
      <c r="C39" t="s">
        <v>447</v>
      </c>
      <c r="E39" t="s">
        <v>316</v>
      </c>
      <c r="F39">
        <v>20411454</v>
      </c>
      <c r="G39" t="s">
        <v>830</v>
      </c>
      <c r="H39" t="s">
        <v>48</v>
      </c>
      <c r="I39" t="s">
        <v>319</v>
      </c>
      <c r="J39" s="1">
        <v>46023</v>
      </c>
      <c r="K39" t="s">
        <v>50</v>
      </c>
      <c r="L39" t="s">
        <v>51</v>
      </c>
      <c r="M39" s="2">
        <v>0</v>
      </c>
      <c r="N39" s="2">
        <v>25</v>
      </c>
      <c r="O39">
        <v>1</v>
      </c>
      <c r="P39" s="3">
        <v>1</v>
      </c>
      <c r="Q39" s="2">
        <v>25</v>
      </c>
      <c r="S39" t="s">
        <v>802</v>
      </c>
    </row>
    <row r="40" spans="1:19" x14ac:dyDescent="0.25">
      <c r="A40" s="9">
        <v>102221485200</v>
      </c>
      <c r="B40" s="9" t="str">
        <f t="shared" si="0"/>
        <v>102221485200OVR</v>
      </c>
      <c r="C40" t="s">
        <v>448</v>
      </c>
      <c r="E40" t="s">
        <v>316</v>
      </c>
      <c r="F40">
        <v>20411454</v>
      </c>
      <c r="G40" t="s">
        <v>830</v>
      </c>
      <c r="H40" t="s">
        <v>48</v>
      </c>
      <c r="I40" t="s">
        <v>319</v>
      </c>
      <c r="J40" s="1">
        <v>46023</v>
      </c>
      <c r="K40" t="s">
        <v>50</v>
      </c>
      <c r="L40" t="s">
        <v>51</v>
      </c>
      <c r="M40" s="2">
        <v>0</v>
      </c>
      <c r="N40" s="2">
        <v>25</v>
      </c>
      <c r="O40">
        <v>1</v>
      </c>
      <c r="P40" s="3">
        <v>1</v>
      </c>
      <c r="Q40" s="2">
        <v>25</v>
      </c>
      <c r="S40" t="s">
        <v>802</v>
      </c>
    </row>
    <row r="41" spans="1:19" x14ac:dyDescent="0.25">
      <c r="A41" s="9">
        <v>102221624000</v>
      </c>
      <c r="B41" s="9" t="str">
        <f t="shared" si="0"/>
        <v>102221624000OVR</v>
      </c>
      <c r="C41" t="s">
        <v>449</v>
      </c>
      <c r="E41" t="s">
        <v>316</v>
      </c>
      <c r="F41">
        <v>20411454</v>
      </c>
      <c r="G41" t="s">
        <v>830</v>
      </c>
      <c r="H41" t="s">
        <v>48</v>
      </c>
      <c r="I41" t="s">
        <v>319</v>
      </c>
      <c r="J41" s="1">
        <v>46023</v>
      </c>
      <c r="K41" t="s">
        <v>50</v>
      </c>
      <c r="L41" t="s">
        <v>51</v>
      </c>
      <c r="M41" s="2">
        <v>0</v>
      </c>
      <c r="N41" s="2">
        <v>25</v>
      </c>
      <c r="O41">
        <v>1</v>
      </c>
      <c r="P41" s="3">
        <v>1</v>
      </c>
      <c r="Q41" s="2">
        <v>25</v>
      </c>
      <c r="S41" t="s">
        <v>802</v>
      </c>
    </row>
    <row r="42" spans="1:19" x14ac:dyDescent="0.25">
      <c r="A42" s="9">
        <v>102221637600</v>
      </c>
      <c r="B42" s="9" t="str">
        <f t="shared" si="0"/>
        <v>102221637600OVR</v>
      </c>
      <c r="C42" t="s">
        <v>450</v>
      </c>
      <c r="E42" t="s">
        <v>316</v>
      </c>
      <c r="F42">
        <v>20411454</v>
      </c>
      <c r="G42" t="s">
        <v>830</v>
      </c>
      <c r="H42" t="s">
        <v>48</v>
      </c>
      <c r="I42" t="s">
        <v>319</v>
      </c>
      <c r="J42" s="1">
        <v>46023</v>
      </c>
      <c r="K42" t="s">
        <v>50</v>
      </c>
      <c r="L42" t="s">
        <v>51</v>
      </c>
      <c r="M42" s="2">
        <v>0</v>
      </c>
      <c r="N42" s="2">
        <v>25</v>
      </c>
      <c r="O42">
        <v>1</v>
      </c>
      <c r="P42" s="3">
        <v>1</v>
      </c>
      <c r="Q42" s="2">
        <v>25</v>
      </c>
      <c r="S42" t="s">
        <v>802</v>
      </c>
    </row>
    <row r="43" spans="1:19" x14ac:dyDescent="0.25">
      <c r="A43" s="9">
        <v>102221858000</v>
      </c>
      <c r="B43" s="9" t="str">
        <f t="shared" si="0"/>
        <v>102221858000OVR</v>
      </c>
      <c r="C43" t="s">
        <v>451</v>
      </c>
      <c r="E43" t="s">
        <v>316</v>
      </c>
      <c r="F43">
        <v>20411454</v>
      </c>
      <c r="G43" t="s">
        <v>830</v>
      </c>
      <c r="H43" t="s">
        <v>48</v>
      </c>
      <c r="I43" t="s">
        <v>319</v>
      </c>
      <c r="J43" s="1">
        <v>46023</v>
      </c>
      <c r="K43" t="s">
        <v>50</v>
      </c>
      <c r="L43" t="s">
        <v>51</v>
      </c>
      <c r="M43" s="2">
        <v>0</v>
      </c>
      <c r="N43" s="2">
        <v>25</v>
      </c>
      <c r="O43">
        <v>1</v>
      </c>
      <c r="P43" s="3">
        <v>1</v>
      </c>
      <c r="Q43" s="2">
        <v>25</v>
      </c>
      <c r="S43" t="s">
        <v>802</v>
      </c>
    </row>
    <row r="44" spans="1:19" x14ac:dyDescent="0.25">
      <c r="A44" s="9">
        <v>102222252500</v>
      </c>
      <c r="B44" s="9" t="str">
        <f t="shared" si="0"/>
        <v>102222252500OVR</v>
      </c>
      <c r="C44" t="s">
        <v>455</v>
      </c>
      <c r="E44" t="s">
        <v>316</v>
      </c>
      <c r="F44">
        <v>20411454</v>
      </c>
      <c r="G44" t="s">
        <v>830</v>
      </c>
      <c r="H44" t="s">
        <v>48</v>
      </c>
      <c r="I44" t="s">
        <v>319</v>
      </c>
      <c r="J44" s="1">
        <v>46023</v>
      </c>
      <c r="K44" t="s">
        <v>50</v>
      </c>
      <c r="L44" t="s">
        <v>51</v>
      </c>
      <c r="M44" s="2">
        <v>0</v>
      </c>
      <c r="N44" s="2">
        <v>25</v>
      </c>
      <c r="O44">
        <v>1</v>
      </c>
      <c r="P44" s="3">
        <v>1</v>
      </c>
      <c r="Q44" s="2">
        <v>25</v>
      </c>
      <c r="S44" t="s">
        <v>802</v>
      </c>
    </row>
    <row r="45" spans="1:19" x14ac:dyDescent="0.25">
      <c r="A45" s="9">
        <v>102222258100</v>
      </c>
      <c r="B45" s="9" t="str">
        <f t="shared" si="0"/>
        <v>102222258100OVR</v>
      </c>
      <c r="C45" t="s">
        <v>456</v>
      </c>
      <c r="E45" t="s">
        <v>316</v>
      </c>
      <c r="F45">
        <v>20411454</v>
      </c>
      <c r="G45" t="s">
        <v>830</v>
      </c>
      <c r="H45" t="s">
        <v>48</v>
      </c>
      <c r="I45" t="s">
        <v>319</v>
      </c>
      <c r="J45" s="1">
        <v>46023</v>
      </c>
      <c r="K45" t="s">
        <v>50</v>
      </c>
      <c r="L45" t="s">
        <v>51</v>
      </c>
      <c r="M45" s="2">
        <v>0</v>
      </c>
      <c r="N45" s="2">
        <v>25</v>
      </c>
      <c r="O45">
        <v>1</v>
      </c>
      <c r="P45" s="3">
        <v>1</v>
      </c>
      <c r="Q45" s="2">
        <v>25</v>
      </c>
      <c r="S45" t="s">
        <v>802</v>
      </c>
    </row>
    <row r="46" spans="1:19" x14ac:dyDescent="0.25">
      <c r="A46" s="9">
        <v>102222329700</v>
      </c>
      <c r="B46" s="9" t="str">
        <f t="shared" si="0"/>
        <v>102222329700OVR</v>
      </c>
      <c r="C46" t="s">
        <v>457</v>
      </c>
      <c r="E46" t="s">
        <v>316</v>
      </c>
      <c r="F46">
        <v>20411454</v>
      </c>
      <c r="G46" t="s">
        <v>830</v>
      </c>
      <c r="H46" t="s">
        <v>48</v>
      </c>
      <c r="I46" t="s">
        <v>319</v>
      </c>
      <c r="J46" s="1">
        <v>46023</v>
      </c>
      <c r="K46" t="s">
        <v>50</v>
      </c>
      <c r="L46" t="s">
        <v>51</v>
      </c>
      <c r="M46" s="2">
        <v>0</v>
      </c>
      <c r="N46" s="2">
        <v>25</v>
      </c>
      <c r="O46">
        <v>1</v>
      </c>
      <c r="P46" s="3">
        <v>1</v>
      </c>
      <c r="Q46" s="2">
        <v>25</v>
      </c>
      <c r="S46" t="s">
        <v>802</v>
      </c>
    </row>
    <row r="47" spans="1:19" x14ac:dyDescent="0.25">
      <c r="A47" s="9">
        <v>102223298500</v>
      </c>
      <c r="B47" s="9" t="str">
        <f t="shared" si="0"/>
        <v>102223298500OVR</v>
      </c>
      <c r="C47" t="s">
        <v>465</v>
      </c>
      <c r="E47" t="s">
        <v>316</v>
      </c>
      <c r="F47">
        <v>20411454</v>
      </c>
      <c r="G47" t="s">
        <v>830</v>
      </c>
      <c r="H47" t="s">
        <v>48</v>
      </c>
      <c r="I47" t="s">
        <v>319</v>
      </c>
      <c r="J47" s="1">
        <v>46023</v>
      </c>
      <c r="K47" t="s">
        <v>50</v>
      </c>
      <c r="L47" t="s">
        <v>51</v>
      </c>
      <c r="M47" s="2">
        <v>0</v>
      </c>
      <c r="N47" s="2">
        <v>25</v>
      </c>
      <c r="O47">
        <v>1</v>
      </c>
      <c r="P47" s="3">
        <v>1</v>
      </c>
      <c r="Q47" s="2">
        <v>25</v>
      </c>
      <c r="S47" t="s">
        <v>802</v>
      </c>
    </row>
    <row r="48" spans="1:19" x14ac:dyDescent="0.25">
      <c r="A48" s="9">
        <v>102223446800</v>
      </c>
      <c r="B48" s="9" t="str">
        <f t="shared" si="0"/>
        <v>102223446800OVR</v>
      </c>
      <c r="C48" t="s">
        <v>466</v>
      </c>
      <c r="E48" t="s">
        <v>69</v>
      </c>
      <c r="F48">
        <v>20411454</v>
      </c>
      <c r="G48" t="s">
        <v>830</v>
      </c>
      <c r="H48" t="s">
        <v>48</v>
      </c>
      <c r="I48" t="s">
        <v>319</v>
      </c>
      <c r="J48" s="1">
        <v>46023</v>
      </c>
      <c r="K48" t="s">
        <v>50</v>
      </c>
      <c r="L48" t="s">
        <v>51</v>
      </c>
      <c r="M48" s="2">
        <v>0</v>
      </c>
      <c r="N48" s="2">
        <v>25</v>
      </c>
      <c r="O48">
        <v>1</v>
      </c>
      <c r="P48" s="3">
        <v>1</v>
      </c>
      <c r="Q48" s="2">
        <v>25</v>
      </c>
      <c r="S48" t="s">
        <v>802</v>
      </c>
    </row>
    <row r="49" spans="1:19" x14ac:dyDescent="0.25">
      <c r="A49" s="9">
        <v>102223464300</v>
      </c>
      <c r="B49" s="9" t="str">
        <f t="shared" si="0"/>
        <v>102223464300OVR</v>
      </c>
      <c r="C49" t="s">
        <v>467</v>
      </c>
      <c r="E49" t="s">
        <v>45</v>
      </c>
      <c r="F49">
        <v>20411454</v>
      </c>
      <c r="G49" t="s">
        <v>830</v>
      </c>
      <c r="H49" t="s">
        <v>48</v>
      </c>
      <c r="I49" t="s">
        <v>319</v>
      </c>
      <c r="J49" s="1">
        <v>46023</v>
      </c>
      <c r="K49" t="s">
        <v>50</v>
      </c>
      <c r="L49" t="s">
        <v>51</v>
      </c>
      <c r="M49" s="2">
        <v>0</v>
      </c>
      <c r="N49" s="2">
        <v>25</v>
      </c>
      <c r="O49">
        <v>1</v>
      </c>
      <c r="P49" s="3">
        <v>1</v>
      </c>
      <c r="Q49" s="2">
        <v>25</v>
      </c>
      <c r="S49" t="s">
        <v>802</v>
      </c>
    </row>
    <row r="50" spans="1:19" x14ac:dyDescent="0.25">
      <c r="A50" s="9">
        <v>102223475900</v>
      </c>
      <c r="B50" s="9" t="str">
        <f t="shared" si="0"/>
        <v>102223475900OVR</v>
      </c>
      <c r="C50" t="s">
        <v>468</v>
      </c>
      <c r="E50" t="s">
        <v>69</v>
      </c>
      <c r="F50">
        <v>20411454</v>
      </c>
      <c r="G50" t="s">
        <v>830</v>
      </c>
      <c r="H50" t="s">
        <v>48</v>
      </c>
      <c r="I50" t="s">
        <v>319</v>
      </c>
      <c r="J50" s="1">
        <v>46023</v>
      </c>
      <c r="K50" t="s">
        <v>50</v>
      </c>
      <c r="L50" t="s">
        <v>51</v>
      </c>
      <c r="M50" s="2">
        <v>0</v>
      </c>
      <c r="N50" s="2">
        <v>25</v>
      </c>
      <c r="O50">
        <v>1</v>
      </c>
      <c r="P50" s="3">
        <v>1</v>
      </c>
      <c r="Q50" s="2">
        <v>25</v>
      </c>
      <c r="S50" t="s">
        <v>802</v>
      </c>
    </row>
    <row r="51" spans="1:19" x14ac:dyDescent="0.25">
      <c r="A51" s="9">
        <v>102224476800</v>
      </c>
      <c r="B51" s="9" t="str">
        <f t="shared" si="0"/>
        <v>102224476800OVR</v>
      </c>
      <c r="C51" t="s">
        <v>470</v>
      </c>
      <c r="E51" t="s">
        <v>347</v>
      </c>
      <c r="F51">
        <v>20411454</v>
      </c>
      <c r="G51" t="s">
        <v>830</v>
      </c>
      <c r="H51" t="s">
        <v>48</v>
      </c>
      <c r="I51" t="s">
        <v>319</v>
      </c>
      <c r="J51" s="1">
        <v>46023</v>
      </c>
      <c r="K51" t="s">
        <v>50</v>
      </c>
      <c r="L51" t="s">
        <v>51</v>
      </c>
      <c r="M51" s="2">
        <v>0</v>
      </c>
      <c r="N51" s="2">
        <v>25</v>
      </c>
      <c r="O51">
        <v>1</v>
      </c>
      <c r="P51" s="3">
        <v>1</v>
      </c>
      <c r="Q51" s="2">
        <v>25</v>
      </c>
      <c r="S51" t="s">
        <v>802</v>
      </c>
    </row>
    <row r="52" spans="1:19" x14ac:dyDescent="0.25">
      <c r="A52" s="9">
        <v>102225774900</v>
      </c>
      <c r="B52" s="9" t="str">
        <f t="shared" si="0"/>
        <v>102225774900OVR</v>
      </c>
      <c r="C52" t="s">
        <v>500</v>
      </c>
      <c r="E52" t="s">
        <v>316</v>
      </c>
      <c r="F52">
        <v>20411454</v>
      </c>
      <c r="G52" t="s">
        <v>830</v>
      </c>
      <c r="H52" t="s">
        <v>48</v>
      </c>
      <c r="I52" t="s">
        <v>319</v>
      </c>
      <c r="J52" s="1">
        <v>46023</v>
      </c>
      <c r="K52" t="s">
        <v>50</v>
      </c>
      <c r="L52" t="s">
        <v>51</v>
      </c>
      <c r="M52" s="2">
        <v>0</v>
      </c>
      <c r="N52" s="2">
        <v>25</v>
      </c>
      <c r="O52">
        <v>1</v>
      </c>
      <c r="P52" s="3">
        <v>1</v>
      </c>
      <c r="Q52" s="2">
        <v>25</v>
      </c>
      <c r="S52" t="s">
        <v>802</v>
      </c>
    </row>
    <row r="53" spans="1:19" x14ac:dyDescent="0.25">
      <c r="A53" s="9">
        <v>102228026900</v>
      </c>
      <c r="B53" s="9" t="str">
        <f t="shared" si="0"/>
        <v>102228026900OVR</v>
      </c>
      <c r="C53" t="s">
        <v>515</v>
      </c>
      <c r="E53" t="s">
        <v>45</v>
      </c>
      <c r="F53">
        <v>20411454</v>
      </c>
      <c r="G53" t="s">
        <v>830</v>
      </c>
      <c r="H53" t="s">
        <v>48</v>
      </c>
      <c r="I53" t="s">
        <v>319</v>
      </c>
      <c r="J53" s="1">
        <v>46023</v>
      </c>
      <c r="K53" t="s">
        <v>50</v>
      </c>
      <c r="L53" t="s">
        <v>51</v>
      </c>
      <c r="M53" s="2">
        <v>0</v>
      </c>
      <c r="N53" s="2">
        <v>25</v>
      </c>
      <c r="O53">
        <v>1</v>
      </c>
      <c r="P53" s="3">
        <v>1</v>
      </c>
      <c r="Q53" s="2">
        <v>25</v>
      </c>
      <c r="S53" t="s">
        <v>802</v>
      </c>
    </row>
    <row r="54" spans="1:19" x14ac:dyDescent="0.25">
      <c r="A54" s="9">
        <v>102228120500</v>
      </c>
      <c r="B54" s="9" t="str">
        <f t="shared" si="0"/>
        <v>102228120500OVR</v>
      </c>
      <c r="C54" t="s">
        <v>516</v>
      </c>
      <c r="E54" t="s">
        <v>316</v>
      </c>
      <c r="F54">
        <v>20411454</v>
      </c>
      <c r="G54" t="s">
        <v>830</v>
      </c>
      <c r="H54" t="s">
        <v>48</v>
      </c>
      <c r="I54" t="s">
        <v>319</v>
      </c>
      <c r="J54" s="1">
        <v>46023</v>
      </c>
      <c r="K54" t="s">
        <v>50</v>
      </c>
      <c r="L54" t="s">
        <v>51</v>
      </c>
      <c r="M54" s="2">
        <v>0</v>
      </c>
      <c r="N54" s="2">
        <v>25</v>
      </c>
      <c r="O54">
        <v>1</v>
      </c>
      <c r="P54" s="3">
        <v>1</v>
      </c>
      <c r="Q54" s="2">
        <v>25</v>
      </c>
      <c r="S54" t="s">
        <v>802</v>
      </c>
    </row>
    <row r="55" spans="1:19" x14ac:dyDescent="0.25">
      <c r="A55" s="9">
        <v>102229011500</v>
      </c>
      <c r="B55" s="9" t="str">
        <f t="shared" si="0"/>
        <v>102229011500OVR</v>
      </c>
      <c r="C55" t="s">
        <v>529</v>
      </c>
      <c r="E55" t="s">
        <v>45</v>
      </c>
      <c r="F55">
        <v>20411454</v>
      </c>
      <c r="G55" t="s">
        <v>830</v>
      </c>
      <c r="H55" t="s">
        <v>48</v>
      </c>
      <c r="I55" t="s">
        <v>319</v>
      </c>
      <c r="J55" s="1">
        <v>46023</v>
      </c>
      <c r="K55" t="s">
        <v>50</v>
      </c>
      <c r="L55" t="s">
        <v>51</v>
      </c>
      <c r="M55" s="2">
        <v>0</v>
      </c>
      <c r="N55" s="2">
        <v>25</v>
      </c>
      <c r="O55">
        <v>1</v>
      </c>
      <c r="P55" s="3">
        <v>1</v>
      </c>
      <c r="Q55" s="2">
        <v>25</v>
      </c>
      <c r="S55" t="s">
        <v>802</v>
      </c>
    </row>
    <row r="56" spans="1:19" x14ac:dyDescent="0.25">
      <c r="A56" s="9">
        <v>102229390800</v>
      </c>
      <c r="B56" s="9" t="str">
        <f t="shared" si="0"/>
        <v>102229390800OVR</v>
      </c>
      <c r="C56" t="s">
        <v>530</v>
      </c>
      <c r="E56" t="s">
        <v>69</v>
      </c>
      <c r="F56">
        <v>20411454</v>
      </c>
      <c r="G56" t="s">
        <v>830</v>
      </c>
      <c r="H56" t="s">
        <v>48</v>
      </c>
      <c r="I56" t="s">
        <v>319</v>
      </c>
      <c r="J56" s="1">
        <v>46023</v>
      </c>
      <c r="K56" t="s">
        <v>50</v>
      </c>
      <c r="L56" t="s">
        <v>51</v>
      </c>
      <c r="M56" s="2">
        <v>0</v>
      </c>
      <c r="N56" s="2">
        <v>25</v>
      </c>
      <c r="O56">
        <v>1</v>
      </c>
      <c r="P56" s="3">
        <v>1</v>
      </c>
      <c r="Q56" s="2">
        <v>25</v>
      </c>
      <c r="S56" t="s">
        <v>802</v>
      </c>
    </row>
    <row r="57" spans="1:19" x14ac:dyDescent="0.25">
      <c r="A57" s="9">
        <v>102229469600</v>
      </c>
      <c r="B57" s="9" t="str">
        <f t="shared" si="0"/>
        <v>102229469600OVR</v>
      </c>
      <c r="C57" t="s">
        <v>531</v>
      </c>
      <c r="E57" t="s">
        <v>316</v>
      </c>
      <c r="F57">
        <v>20411454</v>
      </c>
      <c r="G57" t="s">
        <v>830</v>
      </c>
      <c r="H57" t="s">
        <v>48</v>
      </c>
      <c r="I57" t="s">
        <v>319</v>
      </c>
      <c r="J57" s="1">
        <v>46023</v>
      </c>
      <c r="K57" t="s">
        <v>50</v>
      </c>
      <c r="L57" t="s">
        <v>51</v>
      </c>
      <c r="M57" s="2">
        <v>0</v>
      </c>
      <c r="N57" s="2">
        <v>25</v>
      </c>
      <c r="O57">
        <v>1</v>
      </c>
      <c r="P57" s="3">
        <v>1</v>
      </c>
      <c r="Q57" s="2">
        <v>25</v>
      </c>
      <c r="S57" t="s">
        <v>802</v>
      </c>
    </row>
    <row r="58" spans="1:19" x14ac:dyDescent="0.25">
      <c r="A58" s="9">
        <v>101071790200</v>
      </c>
      <c r="B58" s="9" t="str">
        <f t="shared" si="0"/>
        <v>101071790200OVR</v>
      </c>
      <c r="C58" t="s">
        <v>616</v>
      </c>
      <c r="E58" t="s">
        <v>316</v>
      </c>
      <c r="F58">
        <v>20411454</v>
      </c>
      <c r="G58" t="s">
        <v>830</v>
      </c>
      <c r="H58" t="s">
        <v>599</v>
      </c>
      <c r="I58" t="s">
        <v>319</v>
      </c>
      <c r="J58" s="1">
        <v>46023</v>
      </c>
      <c r="K58" t="s">
        <v>50</v>
      </c>
      <c r="L58" t="s">
        <v>51</v>
      </c>
      <c r="Q58">
        <v>-25</v>
      </c>
      <c r="S58" t="s">
        <v>802</v>
      </c>
    </row>
    <row r="59" spans="1:19" x14ac:dyDescent="0.25">
      <c r="A59" s="9">
        <v>101084493300</v>
      </c>
      <c r="B59" s="9" t="str">
        <f t="shared" si="0"/>
        <v>101084493300OVR</v>
      </c>
      <c r="C59" t="s">
        <v>617</v>
      </c>
      <c r="E59" t="s">
        <v>316</v>
      </c>
      <c r="F59">
        <v>20411454</v>
      </c>
      <c r="G59" t="s">
        <v>830</v>
      </c>
      <c r="H59" t="s">
        <v>599</v>
      </c>
      <c r="I59" t="s">
        <v>319</v>
      </c>
      <c r="J59" s="1">
        <v>46023</v>
      </c>
      <c r="K59" t="s">
        <v>50</v>
      </c>
      <c r="L59" t="s">
        <v>51</v>
      </c>
      <c r="Q59">
        <v>-25</v>
      </c>
      <c r="S59" t="s">
        <v>802</v>
      </c>
    </row>
    <row r="60" spans="1:19" x14ac:dyDescent="0.25">
      <c r="A60" s="9">
        <v>101137276600</v>
      </c>
      <c r="B60" s="9" t="str">
        <f t="shared" si="0"/>
        <v>101137276600OVR</v>
      </c>
      <c r="C60" t="s">
        <v>618</v>
      </c>
      <c r="E60" t="s">
        <v>45</v>
      </c>
      <c r="F60">
        <v>20411454</v>
      </c>
      <c r="G60" t="s">
        <v>830</v>
      </c>
      <c r="H60" t="s">
        <v>599</v>
      </c>
      <c r="I60" t="s">
        <v>319</v>
      </c>
      <c r="J60" s="1">
        <v>46023</v>
      </c>
      <c r="K60" t="s">
        <v>50</v>
      </c>
      <c r="L60" t="s">
        <v>51</v>
      </c>
      <c r="Q60">
        <v>-25</v>
      </c>
      <c r="S60" t="s">
        <v>802</v>
      </c>
    </row>
    <row r="61" spans="1:19" x14ac:dyDescent="0.25">
      <c r="A61" s="9">
        <v>101215765400</v>
      </c>
      <c r="B61" s="9" t="str">
        <f t="shared" si="0"/>
        <v>101215765400OVR</v>
      </c>
      <c r="C61" t="s">
        <v>619</v>
      </c>
      <c r="E61" t="s">
        <v>45</v>
      </c>
      <c r="F61">
        <v>20411454</v>
      </c>
      <c r="G61" t="s">
        <v>830</v>
      </c>
      <c r="H61" t="s">
        <v>599</v>
      </c>
      <c r="I61" t="s">
        <v>319</v>
      </c>
      <c r="J61" s="1">
        <v>46023</v>
      </c>
      <c r="K61" t="s">
        <v>50</v>
      </c>
      <c r="L61" t="s">
        <v>51</v>
      </c>
      <c r="Q61">
        <v>-25</v>
      </c>
      <c r="S61" t="s">
        <v>802</v>
      </c>
    </row>
    <row r="62" spans="1:19" x14ac:dyDescent="0.25">
      <c r="A62" s="9">
        <v>102168269300</v>
      </c>
      <c r="B62" s="9" t="str">
        <f t="shared" si="0"/>
        <v>102168269300OVR</v>
      </c>
      <c r="C62" t="s">
        <v>622</v>
      </c>
      <c r="E62" t="s">
        <v>561</v>
      </c>
      <c r="F62">
        <v>20411454</v>
      </c>
      <c r="G62" t="s">
        <v>830</v>
      </c>
      <c r="H62" t="s">
        <v>599</v>
      </c>
      <c r="I62" t="s">
        <v>319</v>
      </c>
      <c r="J62" s="1">
        <v>46023</v>
      </c>
      <c r="K62" t="s">
        <v>50</v>
      </c>
      <c r="L62" t="s">
        <v>51</v>
      </c>
      <c r="Q62">
        <v>-25</v>
      </c>
      <c r="S62" t="s">
        <v>802</v>
      </c>
    </row>
    <row r="63" spans="1:19" x14ac:dyDescent="0.25">
      <c r="A63" s="9">
        <v>101041888400</v>
      </c>
      <c r="B63" s="9" t="str">
        <f t="shared" si="0"/>
        <v>101041888400OVR</v>
      </c>
      <c r="C63" t="s">
        <v>313</v>
      </c>
      <c r="E63" t="s">
        <v>45</v>
      </c>
      <c r="F63">
        <v>20411454</v>
      </c>
      <c r="G63" t="s">
        <v>830</v>
      </c>
      <c r="H63" t="s">
        <v>48</v>
      </c>
      <c r="I63" t="s">
        <v>314</v>
      </c>
      <c r="J63" s="1">
        <v>46023</v>
      </c>
      <c r="K63" t="s">
        <v>50</v>
      </c>
      <c r="L63" t="s">
        <v>51</v>
      </c>
      <c r="M63" s="2">
        <v>0</v>
      </c>
      <c r="N63" s="2">
        <v>15</v>
      </c>
      <c r="O63">
        <v>1</v>
      </c>
      <c r="P63" s="3">
        <v>1</v>
      </c>
      <c r="Q63" s="2">
        <v>15</v>
      </c>
      <c r="S63" t="s">
        <v>802</v>
      </c>
    </row>
    <row r="64" spans="1:19" x14ac:dyDescent="0.25">
      <c r="A64" s="9">
        <v>101199379600</v>
      </c>
      <c r="B64" s="9" t="str">
        <f t="shared" si="0"/>
        <v>101199379600OVR</v>
      </c>
      <c r="C64" t="s">
        <v>323</v>
      </c>
      <c r="E64" t="s">
        <v>324</v>
      </c>
      <c r="F64">
        <v>20411454</v>
      </c>
      <c r="G64" t="s">
        <v>830</v>
      </c>
      <c r="H64" t="s">
        <v>48</v>
      </c>
      <c r="I64" t="s">
        <v>314</v>
      </c>
      <c r="J64" s="1">
        <v>46023</v>
      </c>
      <c r="K64" t="s">
        <v>50</v>
      </c>
      <c r="L64" t="s">
        <v>51</v>
      </c>
      <c r="M64" s="2">
        <v>0</v>
      </c>
      <c r="N64" s="2">
        <v>15</v>
      </c>
      <c r="O64">
        <v>1</v>
      </c>
      <c r="P64" s="3">
        <v>1</v>
      </c>
      <c r="Q64" s="2">
        <v>15</v>
      </c>
      <c r="S64" t="s">
        <v>802</v>
      </c>
    </row>
    <row r="65" spans="1:19" x14ac:dyDescent="0.25">
      <c r="A65" s="9">
        <v>101201991500</v>
      </c>
      <c r="B65" s="9" t="str">
        <f t="shared" si="0"/>
        <v>101201991500OVR</v>
      </c>
      <c r="C65" t="s">
        <v>327</v>
      </c>
      <c r="E65" t="s">
        <v>45</v>
      </c>
      <c r="F65">
        <v>20411454</v>
      </c>
      <c r="G65" t="s">
        <v>830</v>
      </c>
      <c r="H65" t="s">
        <v>48</v>
      </c>
      <c r="I65" t="s">
        <v>314</v>
      </c>
      <c r="J65" s="1">
        <v>46023</v>
      </c>
      <c r="K65" t="s">
        <v>50</v>
      </c>
      <c r="L65" t="s">
        <v>51</v>
      </c>
      <c r="M65" s="2">
        <v>0</v>
      </c>
      <c r="N65" s="2">
        <v>15</v>
      </c>
      <c r="O65">
        <v>1</v>
      </c>
      <c r="P65" s="3">
        <v>1</v>
      </c>
      <c r="Q65" s="2">
        <v>15</v>
      </c>
      <c r="S65" t="s">
        <v>802</v>
      </c>
    </row>
    <row r="66" spans="1:19" x14ac:dyDescent="0.25">
      <c r="A66" s="9">
        <v>101219688000</v>
      </c>
      <c r="B66" s="9" t="str">
        <f t="shared" si="0"/>
        <v>101219688000OVR</v>
      </c>
      <c r="C66" t="s">
        <v>328</v>
      </c>
      <c r="E66" t="s">
        <v>169</v>
      </c>
      <c r="F66">
        <v>20411454</v>
      </c>
      <c r="G66" t="s">
        <v>830</v>
      </c>
      <c r="H66" t="s">
        <v>48</v>
      </c>
      <c r="I66" t="s">
        <v>314</v>
      </c>
      <c r="J66" s="1">
        <v>46023</v>
      </c>
      <c r="K66" t="s">
        <v>50</v>
      </c>
      <c r="L66" t="s">
        <v>51</v>
      </c>
      <c r="M66" s="2">
        <v>0</v>
      </c>
      <c r="N66" s="2">
        <v>15</v>
      </c>
      <c r="O66">
        <v>1</v>
      </c>
      <c r="P66" s="3">
        <v>1</v>
      </c>
      <c r="Q66" s="2">
        <v>15</v>
      </c>
      <c r="S66" t="s">
        <v>802</v>
      </c>
    </row>
    <row r="67" spans="1:19" x14ac:dyDescent="0.25">
      <c r="A67" s="9">
        <v>101224362600</v>
      </c>
      <c r="B67" s="9" t="str">
        <f t="shared" ref="B67:B130" si="1">CONCATENATE(A67,"OVR")</f>
        <v>101224362600OVR</v>
      </c>
      <c r="C67" t="s">
        <v>329</v>
      </c>
      <c r="E67" t="s">
        <v>169</v>
      </c>
      <c r="F67">
        <v>20411454</v>
      </c>
      <c r="G67" t="s">
        <v>830</v>
      </c>
      <c r="H67" t="s">
        <v>48</v>
      </c>
      <c r="I67" t="s">
        <v>314</v>
      </c>
      <c r="J67" s="1">
        <v>46023</v>
      </c>
      <c r="K67" t="s">
        <v>50</v>
      </c>
      <c r="L67" t="s">
        <v>51</v>
      </c>
      <c r="M67" s="2">
        <v>0</v>
      </c>
      <c r="N67" s="2">
        <v>15</v>
      </c>
      <c r="O67">
        <v>1</v>
      </c>
      <c r="P67" s="3">
        <v>1</v>
      </c>
      <c r="Q67" s="2">
        <v>15</v>
      </c>
      <c r="S67" t="s">
        <v>802</v>
      </c>
    </row>
    <row r="68" spans="1:19" x14ac:dyDescent="0.25">
      <c r="A68" s="9">
        <v>101243025100</v>
      </c>
      <c r="B68" s="9" t="str">
        <f t="shared" si="1"/>
        <v>101243025100OVR</v>
      </c>
      <c r="C68" t="s">
        <v>331</v>
      </c>
      <c r="E68" t="s">
        <v>69</v>
      </c>
      <c r="F68">
        <v>20411454</v>
      </c>
      <c r="G68" t="s">
        <v>830</v>
      </c>
      <c r="H68" t="s">
        <v>48</v>
      </c>
      <c r="I68" t="s">
        <v>314</v>
      </c>
      <c r="J68" s="1">
        <v>46023</v>
      </c>
      <c r="K68" t="s">
        <v>50</v>
      </c>
      <c r="L68" t="s">
        <v>51</v>
      </c>
      <c r="M68" s="2">
        <v>0</v>
      </c>
      <c r="N68" s="2">
        <v>15</v>
      </c>
      <c r="O68">
        <v>1</v>
      </c>
      <c r="P68" s="3">
        <v>1</v>
      </c>
      <c r="Q68" s="2">
        <v>15</v>
      </c>
      <c r="S68" t="s">
        <v>802</v>
      </c>
    </row>
    <row r="69" spans="1:19" x14ac:dyDescent="0.25">
      <c r="A69" s="9">
        <v>101306449100</v>
      </c>
      <c r="B69" s="9" t="str">
        <f t="shared" si="1"/>
        <v>101306449100OVR</v>
      </c>
      <c r="C69" t="s">
        <v>334</v>
      </c>
      <c r="E69" t="s">
        <v>69</v>
      </c>
      <c r="F69">
        <v>20411454</v>
      </c>
      <c r="G69" t="s">
        <v>830</v>
      </c>
      <c r="H69" t="s">
        <v>48</v>
      </c>
      <c r="I69" t="s">
        <v>314</v>
      </c>
      <c r="J69" s="1">
        <v>46023</v>
      </c>
      <c r="K69" t="s">
        <v>50</v>
      </c>
      <c r="L69" t="s">
        <v>51</v>
      </c>
      <c r="M69" s="2">
        <v>0</v>
      </c>
      <c r="N69" s="2">
        <v>15</v>
      </c>
      <c r="O69">
        <v>1</v>
      </c>
      <c r="P69" s="3">
        <v>1</v>
      </c>
      <c r="Q69" s="2">
        <v>15</v>
      </c>
      <c r="S69" t="s">
        <v>802</v>
      </c>
    </row>
    <row r="70" spans="1:19" x14ac:dyDescent="0.25">
      <c r="A70" s="9">
        <v>101356764000</v>
      </c>
      <c r="B70" s="9" t="str">
        <f t="shared" si="1"/>
        <v>101356764000OVR</v>
      </c>
      <c r="C70" t="s">
        <v>342</v>
      </c>
      <c r="E70" t="s">
        <v>69</v>
      </c>
      <c r="F70">
        <v>20411454</v>
      </c>
      <c r="G70" t="s">
        <v>830</v>
      </c>
      <c r="H70" t="s">
        <v>48</v>
      </c>
      <c r="I70" t="s">
        <v>314</v>
      </c>
      <c r="J70" s="1">
        <v>46023</v>
      </c>
      <c r="K70" t="s">
        <v>50</v>
      </c>
      <c r="L70" t="s">
        <v>51</v>
      </c>
      <c r="M70" s="2">
        <v>0</v>
      </c>
      <c r="N70" s="2">
        <v>15</v>
      </c>
      <c r="O70">
        <v>1</v>
      </c>
      <c r="P70" s="3">
        <v>1</v>
      </c>
      <c r="Q70" s="2">
        <v>15</v>
      </c>
      <c r="S70" t="s">
        <v>802</v>
      </c>
    </row>
    <row r="71" spans="1:19" x14ac:dyDescent="0.25">
      <c r="A71" s="9">
        <v>101374022900</v>
      </c>
      <c r="B71" s="9" t="str">
        <f t="shared" si="1"/>
        <v>101374022900OVR</v>
      </c>
      <c r="C71" t="s">
        <v>343</v>
      </c>
      <c r="E71" t="s">
        <v>45</v>
      </c>
      <c r="F71">
        <v>20411454</v>
      </c>
      <c r="G71" t="s">
        <v>830</v>
      </c>
      <c r="H71" t="s">
        <v>48</v>
      </c>
      <c r="I71" t="s">
        <v>314</v>
      </c>
      <c r="J71" s="1">
        <v>46023</v>
      </c>
      <c r="K71" t="s">
        <v>50</v>
      </c>
      <c r="L71" t="s">
        <v>51</v>
      </c>
      <c r="M71" s="2">
        <v>0</v>
      </c>
      <c r="N71" s="2">
        <v>15</v>
      </c>
      <c r="O71">
        <v>1</v>
      </c>
      <c r="P71" s="3">
        <v>1</v>
      </c>
      <c r="Q71" s="2">
        <v>15</v>
      </c>
      <c r="S71" t="s">
        <v>802</v>
      </c>
    </row>
    <row r="72" spans="1:19" x14ac:dyDescent="0.25">
      <c r="A72" s="9">
        <v>101380340400</v>
      </c>
      <c r="B72" s="9" t="str">
        <f t="shared" si="1"/>
        <v>101380340400OVR</v>
      </c>
      <c r="C72" t="s">
        <v>345</v>
      </c>
      <c r="E72" t="s">
        <v>73</v>
      </c>
      <c r="F72">
        <v>20411454</v>
      </c>
      <c r="G72" t="s">
        <v>830</v>
      </c>
      <c r="H72" t="s">
        <v>48</v>
      </c>
      <c r="I72" t="s">
        <v>314</v>
      </c>
      <c r="J72" s="1">
        <v>46023</v>
      </c>
      <c r="K72" t="s">
        <v>50</v>
      </c>
      <c r="L72" t="s">
        <v>51</v>
      </c>
      <c r="M72" s="2">
        <v>0</v>
      </c>
      <c r="N72" s="2">
        <v>15</v>
      </c>
      <c r="O72">
        <v>1</v>
      </c>
      <c r="P72" s="3">
        <v>1</v>
      </c>
      <c r="Q72" s="2">
        <v>15</v>
      </c>
      <c r="S72" t="s">
        <v>802</v>
      </c>
    </row>
    <row r="73" spans="1:19" x14ac:dyDescent="0.25">
      <c r="A73" s="9">
        <v>101507769700</v>
      </c>
      <c r="B73" s="9" t="str">
        <f t="shared" si="1"/>
        <v>101507769700OVR</v>
      </c>
      <c r="C73" t="s">
        <v>350</v>
      </c>
      <c r="E73" t="s">
        <v>45</v>
      </c>
      <c r="F73">
        <v>20411454</v>
      </c>
      <c r="G73" t="s">
        <v>830</v>
      </c>
      <c r="H73" t="s">
        <v>48</v>
      </c>
      <c r="I73" t="s">
        <v>314</v>
      </c>
      <c r="J73" s="1">
        <v>46023</v>
      </c>
      <c r="K73" t="s">
        <v>50</v>
      </c>
      <c r="L73" t="s">
        <v>51</v>
      </c>
      <c r="M73" s="2">
        <v>0</v>
      </c>
      <c r="N73" s="2">
        <v>15</v>
      </c>
      <c r="O73">
        <v>1</v>
      </c>
      <c r="P73" s="3">
        <v>1</v>
      </c>
      <c r="Q73" s="2">
        <v>15</v>
      </c>
      <c r="S73" t="s">
        <v>802</v>
      </c>
    </row>
    <row r="74" spans="1:19" x14ac:dyDescent="0.25">
      <c r="A74" s="9">
        <v>101514405900</v>
      </c>
      <c r="B74" s="9" t="str">
        <f t="shared" si="1"/>
        <v>101514405900OVR</v>
      </c>
      <c r="C74" t="s">
        <v>351</v>
      </c>
      <c r="E74" t="s">
        <v>69</v>
      </c>
      <c r="F74">
        <v>20411454</v>
      </c>
      <c r="G74" t="s">
        <v>830</v>
      </c>
      <c r="H74" t="s">
        <v>48</v>
      </c>
      <c r="I74" t="s">
        <v>314</v>
      </c>
      <c r="J74" s="1">
        <v>46023</v>
      </c>
      <c r="K74" t="s">
        <v>50</v>
      </c>
      <c r="L74" t="s">
        <v>51</v>
      </c>
      <c r="M74" s="2">
        <v>0</v>
      </c>
      <c r="N74" s="2">
        <v>15</v>
      </c>
      <c r="O74">
        <v>1</v>
      </c>
      <c r="P74" s="3">
        <v>1</v>
      </c>
      <c r="Q74" s="2">
        <v>15</v>
      </c>
      <c r="S74" t="s">
        <v>802</v>
      </c>
    </row>
    <row r="75" spans="1:19" x14ac:dyDescent="0.25">
      <c r="A75" s="9">
        <v>101558487400</v>
      </c>
      <c r="B75" s="9" t="str">
        <f t="shared" si="1"/>
        <v>101558487400OVR</v>
      </c>
      <c r="C75" t="s">
        <v>352</v>
      </c>
      <c r="E75" t="s">
        <v>45</v>
      </c>
      <c r="F75">
        <v>20411454</v>
      </c>
      <c r="G75" t="s">
        <v>830</v>
      </c>
      <c r="H75" t="s">
        <v>48</v>
      </c>
      <c r="I75" t="s">
        <v>314</v>
      </c>
      <c r="J75" s="1">
        <v>46023</v>
      </c>
      <c r="K75" t="s">
        <v>50</v>
      </c>
      <c r="L75" t="s">
        <v>51</v>
      </c>
      <c r="M75" s="2">
        <v>0</v>
      </c>
      <c r="N75" s="2">
        <v>15</v>
      </c>
      <c r="O75">
        <v>1</v>
      </c>
      <c r="P75" s="3">
        <v>1</v>
      </c>
      <c r="Q75" s="2">
        <v>15</v>
      </c>
      <c r="S75" t="s">
        <v>802</v>
      </c>
    </row>
    <row r="76" spans="1:19" x14ac:dyDescent="0.25">
      <c r="A76" s="9">
        <v>101586071400</v>
      </c>
      <c r="B76" s="9" t="str">
        <f t="shared" si="1"/>
        <v>101586071400OVR</v>
      </c>
      <c r="C76" t="s">
        <v>353</v>
      </c>
      <c r="E76" t="s">
        <v>45</v>
      </c>
      <c r="F76">
        <v>20411454</v>
      </c>
      <c r="G76" t="s">
        <v>830</v>
      </c>
      <c r="H76" t="s">
        <v>48</v>
      </c>
      <c r="I76" t="s">
        <v>314</v>
      </c>
      <c r="J76" s="1">
        <v>46023</v>
      </c>
      <c r="K76" t="s">
        <v>50</v>
      </c>
      <c r="L76" t="s">
        <v>51</v>
      </c>
      <c r="M76" s="2">
        <v>0</v>
      </c>
      <c r="N76" s="2">
        <v>15</v>
      </c>
      <c r="O76">
        <v>1</v>
      </c>
      <c r="P76" s="3">
        <v>1</v>
      </c>
      <c r="Q76" s="2">
        <v>15</v>
      </c>
      <c r="S76" t="s">
        <v>802</v>
      </c>
    </row>
    <row r="77" spans="1:19" x14ac:dyDescent="0.25">
      <c r="A77" s="9">
        <v>101599669700</v>
      </c>
      <c r="B77" s="9" t="str">
        <f t="shared" si="1"/>
        <v>101599669700OVR</v>
      </c>
      <c r="C77" t="s">
        <v>354</v>
      </c>
      <c r="E77" t="s">
        <v>169</v>
      </c>
      <c r="F77">
        <v>20411454</v>
      </c>
      <c r="G77" t="s">
        <v>830</v>
      </c>
      <c r="H77" t="s">
        <v>48</v>
      </c>
      <c r="I77" t="s">
        <v>314</v>
      </c>
      <c r="J77" s="1">
        <v>46023</v>
      </c>
      <c r="K77" t="s">
        <v>50</v>
      </c>
      <c r="L77" t="s">
        <v>51</v>
      </c>
      <c r="M77" s="2">
        <v>0</v>
      </c>
      <c r="N77" s="2">
        <v>15</v>
      </c>
      <c r="O77">
        <v>1</v>
      </c>
      <c r="P77" s="3">
        <v>1</v>
      </c>
      <c r="Q77" s="2">
        <v>15</v>
      </c>
      <c r="S77" t="s">
        <v>802</v>
      </c>
    </row>
    <row r="78" spans="1:19" x14ac:dyDescent="0.25">
      <c r="A78" s="9">
        <v>101616207000</v>
      </c>
      <c r="B78" s="9" t="str">
        <f t="shared" si="1"/>
        <v>101616207000OVR</v>
      </c>
      <c r="C78" t="s">
        <v>355</v>
      </c>
      <c r="E78" t="s">
        <v>45</v>
      </c>
      <c r="F78">
        <v>20411454</v>
      </c>
      <c r="G78" t="s">
        <v>830</v>
      </c>
      <c r="H78" t="s">
        <v>48</v>
      </c>
      <c r="I78" t="s">
        <v>314</v>
      </c>
      <c r="J78" s="1">
        <v>46023</v>
      </c>
      <c r="K78" t="s">
        <v>50</v>
      </c>
      <c r="L78" t="s">
        <v>51</v>
      </c>
      <c r="M78" s="2">
        <v>0</v>
      </c>
      <c r="N78" s="2">
        <v>15</v>
      </c>
      <c r="O78">
        <v>1</v>
      </c>
      <c r="P78" s="3">
        <v>1</v>
      </c>
      <c r="Q78" s="2">
        <v>15</v>
      </c>
      <c r="S78" t="s">
        <v>802</v>
      </c>
    </row>
    <row r="79" spans="1:19" x14ac:dyDescent="0.25">
      <c r="A79" s="9">
        <v>101659373600</v>
      </c>
      <c r="B79" s="9" t="str">
        <f t="shared" si="1"/>
        <v>101659373600OVR</v>
      </c>
      <c r="C79" t="s">
        <v>360</v>
      </c>
      <c r="E79" t="s">
        <v>45</v>
      </c>
      <c r="F79">
        <v>20411454</v>
      </c>
      <c r="G79" t="s">
        <v>830</v>
      </c>
      <c r="H79" t="s">
        <v>48</v>
      </c>
      <c r="I79" t="s">
        <v>314</v>
      </c>
      <c r="J79" s="1">
        <v>46023</v>
      </c>
      <c r="K79" t="s">
        <v>50</v>
      </c>
      <c r="L79" t="s">
        <v>51</v>
      </c>
      <c r="M79" s="2">
        <v>0</v>
      </c>
      <c r="N79" s="2">
        <v>15</v>
      </c>
      <c r="O79">
        <v>1</v>
      </c>
      <c r="P79" s="3">
        <v>1</v>
      </c>
      <c r="Q79" s="2">
        <v>15</v>
      </c>
      <c r="S79" t="s">
        <v>802</v>
      </c>
    </row>
    <row r="80" spans="1:19" x14ac:dyDescent="0.25">
      <c r="A80" s="9">
        <v>101808412400</v>
      </c>
      <c r="B80" s="9" t="str">
        <f t="shared" si="1"/>
        <v>101808412400OVR</v>
      </c>
      <c r="C80" t="s">
        <v>363</v>
      </c>
      <c r="E80" t="s">
        <v>45</v>
      </c>
      <c r="F80">
        <v>20411454</v>
      </c>
      <c r="G80" t="s">
        <v>830</v>
      </c>
      <c r="H80" t="s">
        <v>48</v>
      </c>
      <c r="I80" t="s">
        <v>314</v>
      </c>
      <c r="J80" s="1">
        <v>46023</v>
      </c>
      <c r="K80" t="s">
        <v>50</v>
      </c>
      <c r="L80" t="s">
        <v>51</v>
      </c>
      <c r="M80" s="2">
        <v>0</v>
      </c>
      <c r="N80" s="2">
        <v>15</v>
      </c>
      <c r="O80">
        <v>1</v>
      </c>
      <c r="P80" s="3">
        <v>1</v>
      </c>
      <c r="Q80" s="2">
        <v>15</v>
      </c>
      <c r="S80" t="s">
        <v>802</v>
      </c>
    </row>
    <row r="81" spans="1:19" x14ac:dyDescent="0.25">
      <c r="A81" s="9">
        <v>101820773700</v>
      </c>
      <c r="B81" s="9" t="str">
        <f t="shared" si="1"/>
        <v>101820773700OVR</v>
      </c>
      <c r="C81" t="s">
        <v>365</v>
      </c>
      <c r="E81" t="s">
        <v>69</v>
      </c>
      <c r="F81">
        <v>20411454</v>
      </c>
      <c r="G81" t="s">
        <v>830</v>
      </c>
      <c r="H81" t="s">
        <v>48</v>
      </c>
      <c r="I81" t="s">
        <v>314</v>
      </c>
      <c r="J81" s="1">
        <v>46023</v>
      </c>
      <c r="K81" t="s">
        <v>50</v>
      </c>
      <c r="L81" t="s">
        <v>51</v>
      </c>
      <c r="M81" s="2">
        <v>0</v>
      </c>
      <c r="N81" s="2">
        <v>15</v>
      </c>
      <c r="O81">
        <v>1</v>
      </c>
      <c r="P81" s="3">
        <v>1</v>
      </c>
      <c r="Q81" s="2">
        <v>15</v>
      </c>
      <c r="S81" t="s">
        <v>802</v>
      </c>
    </row>
    <row r="82" spans="1:19" x14ac:dyDescent="0.25">
      <c r="A82" s="9">
        <v>101822892700</v>
      </c>
      <c r="B82" s="9" t="str">
        <f t="shared" si="1"/>
        <v>101822892700OVR</v>
      </c>
      <c r="C82" t="s">
        <v>368</v>
      </c>
      <c r="E82" t="s">
        <v>45</v>
      </c>
      <c r="F82">
        <v>20411454</v>
      </c>
      <c r="G82" t="s">
        <v>830</v>
      </c>
      <c r="H82" t="s">
        <v>48</v>
      </c>
      <c r="I82" t="s">
        <v>314</v>
      </c>
      <c r="J82" s="1">
        <v>46023</v>
      </c>
      <c r="K82" t="s">
        <v>50</v>
      </c>
      <c r="L82" t="s">
        <v>51</v>
      </c>
      <c r="M82" s="2">
        <v>0</v>
      </c>
      <c r="N82" s="2">
        <v>15</v>
      </c>
      <c r="O82">
        <v>1</v>
      </c>
      <c r="P82" s="3">
        <v>1</v>
      </c>
      <c r="Q82" s="2">
        <v>15</v>
      </c>
      <c r="S82" t="s">
        <v>802</v>
      </c>
    </row>
    <row r="83" spans="1:19" x14ac:dyDescent="0.25">
      <c r="A83" s="9">
        <v>101850093300</v>
      </c>
      <c r="B83" s="9" t="str">
        <f t="shared" si="1"/>
        <v>101850093300OVR</v>
      </c>
      <c r="C83" t="s">
        <v>370</v>
      </c>
      <c r="E83" t="s">
        <v>45</v>
      </c>
      <c r="F83">
        <v>20411454</v>
      </c>
      <c r="G83" t="s">
        <v>830</v>
      </c>
      <c r="H83" t="s">
        <v>48</v>
      </c>
      <c r="I83" t="s">
        <v>314</v>
      </c>
      <c r="J83" s="1">
        <v>46023</v>
      </c>
      <c r="K83" t="s">
        <v>50</v>
      </c>
      <c r="L83" t="s">
        <v>51</v>
      </c>
      <c r="M83" s="2">
        <v>0</v>
      </c>
      <c r="N83" s="2">
        <v>15</v>
      </c>
      <c r="O83">
        <v>1</v>
      </c>
      <c r="P83" s="3">
        <v>1</v>
      </c>
      <c r="Q83" s="2">
        <v>15</v>
      </c>
      <c r="S83" t="s">
        <v>802</v>
      </c>
    </row>
    <row r="84" spans="1:19" x14ac:dyDescent="0.25">
      <c r="A84" s="9">
        <v>101861643300</v>
      </c>
      <c r="B84" s="9" t="str">
        <f t="shared" si="1"/>
        <v>101861643300OVR</v>
      </c>
      <c r="C84" t="s">
        <v>371</v>
      </c>
      <c r="E84" t="s">
        <v>45</v>
      </c>
      <c r="F84">
        <v>20411454</v>
      </c>
      <c r="G84" t="s">
        <v>830</v>
      </c>
      <c r="H84" t="s">
        <v>48</v>
      </c>
      <c r="I84" t="s">
        <v>314</v>
      </c>
      <c r="J84" s="1">
        <v>46023</v>
      </c>
      <c r="K84" t="s">
        <v>50</v>
      </c>
      <c r="L84" t="s">
        <v>51</v>
      </c>
      <c r="M84" s="2">
        <v>0</v>
      </c>
      <c r="N84" s="2">
        <v>15</v>
      </c>
      <c r="O84">
        <v>1</v>
      </c>
      <c r="P84" s="3">
        <v>1</v>
      </c>
      <c r="Q84" s="2">
        <v>15</v>
      </c>
      <c r="S84" t="s">
        <v>802</v>
      </c>
    </row>
    <row r="85" spans="1:19" x14ac:dyDescent="0.25">
      <c r="A85" s="9">
        <v>101884866200</v>
      </c>
      <c r="B85" s="9" t="str">
        <f t="shared" si="1"/>
        <v>101884866200OVR</v>
      </c>
      <c r="C85" t="s">
        <v>372</v>
      </c>
      <c r="E85" t="s">
        <v>69</v>
      </c>
      <c r="F85">
        <v>20411454</v>
      </c>
      <c r="G85" t="s">
        <v>830</v>
      </c>
      <c r="H85" t="s">
        <v>48</v>
      </c>
      <c r="I85" t="s">
        <v>314</v>
      </c>
      <c r="J85" s="1">
        <v>46023</v>
      </c>
      <c r="K85" t="s">
        <v>50</v>
      </c>
      <c r="L85" t="s">
        <v>51</v>
      </c>
      <c r="M85" s="2">
        <v>0</v>
      </c>
      <c r="N85" s="2">
        <v>15</v>
      </c>
      <c r="O85">
        <v>1</v>
      </c>
      <c r="P85" s="3">
        <v>1</v>
      </c>
      <c r="Q85" s="2">
        <v>15</v>
      </c>
      <c r="S85" t="s">
        <v>802</v>
      </c>
    </row>
    <row r="86" spans="1:19" x14ac:dyDescent="0.25">
      <c r="A86" s="9">
        <v>101954438000</v>
      </c>
      <c r="B86" s="9" t="str">
        <f t="shared" si="1"/>
        <v>101954438000OVR</v>
      </c>
      <c r="C86" t="s">
        <v>377</v>
      </c>
      <c r="E86" t="s">
        <v>69</v>
      </c>
      <c r="F86">
        <v>20411454</v>
      </c>
      <c r="G86" t="s">
        <v>830</v>
      </c>
      <c r="H86" t="s">
        <v>48</v>
      </c>
      <c r="I86" t="s">
        <v>314</v>
      </c>
      <c r="J86" s="1">
        <v>46023</v>
      </c>
      <c r="K86" t="s">
        <v>50</v>
      </c>
      <c r="L86" t="s">
        <v>51</v>
      </c>
      <c r="M86" s="2">
        <v>0</v>
      </c>
      <c r="N86" s="2">
        <v>15</v>
      </c>
      <c r="O86">
        <v>1</v>
      </c>
      <c r="P86" s="3">
        <v>1</v>
      </c>
      <c r="Q86" s="2">
        <v>15</v>
      </c>
      <c r="S86" t="s">
        <v>802</v>
      </c>
    </row>
    <row r="87" spans="1:19" x14ac:dyDescent="0.25">
      <c r="A87" s="9">
        <v>101982874100</v>
      </c>
      <c r="B87" s="9" t="str">
        <f t="shared" si="1"/>
        <v>101982874100OVR</v>
      </c>
      <c r="C87" t="s">
        <v>382</v>
      </c>
      <c r="E87" t="s">
        <v>45</v>
      </c>
      <c r="F87">
        <v>20411454</v>
      </c>
      <c r="G87" t="s">
        <v>830</v>
      </c>
      <c r="H87" t="s">
        <v>48</v>
      </c>
      <c r="I87" t="s">
        <v>314</v>
      </c>
      <c r="J87" s="1">
        <v>46023</v>
      </c>
      <c r="K87" t="s">
        <v>50</v>
      </c>
      <c r="L87" t="s">
        <v>51</v>
      </c>
      <c r="M87" s="2">
        <v>0</v>
      </c>
      <c r="N87" s="2">
        <v>15</v>
      </c>
      <c r="O87">
        <v>1</v>
      </c>
      <c r="P87" s="3">
        <v>1</v>
      </c>
      <c r="Q87" s="2">
        <v>15</v>
      </c>
      <c r="S87" t="s">
        <v>802</v>
      </c>
    </row>
    <row r="88" spans="1:19" x14ac:dyDescent="0.25">
      <c r="A88" s="9">
        <v>101985831100</v>
      </c>
      <c r="B88" s="9" t="str">
        <f t="shared" si="1"/>
        <v>101985831100OVR</v>
      </c>
      <c r="C88" t="s">
        <v>383</v>
      </c>
      <c r="E88" t="s">
        <v>69</v>
      </c>
      <c r="F88">
        <v>20411454</v>
      </c>
      <c r="G88" t="s">
        <v>830</v>
      </c>
      <c r="H88" t="s">
        <v>48</v>
      </c>
      <c r="I88" t="s">
        <v>314</v>
      </c>
      <c r="J88" s="1">
        <v>46023</v>
      </c>
      <c r="K88" t="s">
        <v>50</v>
      </c>
      <c r="L88" t="s">
        <v>51</v>
      </c>
      <c r="M88" s="2">
        <v>0</v>
      </c>
      <c r="N88" s="2">
        <v>15</v>
      </c>
      <c r="O88">
        <v>1</v>
      </c>
      <c r="P88" s="3">
        <v>1</v>
      </c>
      <c r="Q88" s="2">
        <v>15</v>
      </c>
      <c r="S88" t="s">
        <v>802</v>
      </c>
    </row>
    <row r="89" spans="1:19" x14ac:dyDescent="0.25">
      <c r="A89" s="9">
        <v>102000755500</v>
      </c>
      <c r="B89" s="9" t="str">
        <f t="shared" si="1"/>
        <v>102000755500OVR</v>
      </c>
      <c r="C89" t="s">
        <v>385</v>
      </c>
      <c r="E89" t="s">
        <v>45</v>
      </c>
      <c r="F89">
        <v>20411454</v>
      </c>
      <c r="G89" t="s">
        <v>830</v>
      </c>
      <c r="H89" t="s">
        <v>48</v>
      </c>
      <c r="I89" t="s">
        <v>314</v>
      </c>
      <c r="J89" s="1">
        <v>46023</v>
      </c>
      <c r="K89" t="s">
        <v>50</v>
      </c>
      <c r="L89" t="s">
        <v>51</v>
      </c>
      <c r="M89" s="2">
        <v>0</v>
      </c>
      <c r="N89" s="2">
        <v>15</v>
      </c>
      <c r="O89">
        <v>1</v>
      </c>
      <c r="P89" s="3">
        <v>1</v>
      </c>
      <c r="Q89" s="2">
        <v>15</v>
      </c>
      <c r="S89" t="s">
        <v>802</v>
      </c>
    </row>
    <row r="90" spans="1:19" x14ac:dyDescent="0.25">
      <c r="A90" s="9">
        <v>102005360000</v>
      </c>
      <c r="B90" s="9" t="str">
        <f t="shared" si="1"/>
        <v>102005360000OVR</v>
      </c>
      <c r="C90" t="s">
        <v>386</v>
      </c>
      <c r="E90" t="s">
        <v>45</v>
      </c>
      <c r="F90">
        <v>20411454</v>
      </c>
      <c r="G90" t="s">
        <v>830</v>
      </c>
      <c r="H90" t="s">
        <v>48</v>
      </c>
      <c r="I90" t="s">
        <v>314</v>
      </c>
      <c r="J90" s="1">
        <v>46023</v>
      </c>
      <c r="K90" t="s">
        <v>50</v>
      </c>
      <c r="L90" t="s">
        <v>51</v>
      </c>
      <c r="M90" s="2">
        <v>0</v>
      </c>
      <c r="N90" s="2">
        <v>15</v>
      </c>
      <c r="O90">
        <v>1</v>
      </c>
      <c r="P90" s="3">
        <v>1</v>
      </c>
      <c r="Q90" s="2">
        <v>15</v>
      </c>
      <c r="S90" t="s">
        <v>802</v>
      </c>
    </row>
    <row r="91" spans="1:19" x14ac:dyDescent="0.25">
      <c r="A91" s="9">
        <v>102029648300</v>
      </c>
      <c r="B91" s="9" t="str">
        <f t="shared" si="1"/>
        <v>102029648300OVR</v>
      </c>
      <c r="C91" t="s">
        <v>387</v>
      </c>
      <c r="E91" t="s">
        <v>45</v>
      </c>
      <c r="F91">
        <v>20411454</v>
      </c>
      <c r="G91" t="s">
        <v>830</v>
      </c>
      <c r="H91" t="s">
        <v>48</v>
      </c>
      <c r="I91" t="s">
        <v>314</v>
      </c>
      <c r="J91" s="1">
        <v>46023</v>
      </c>
      <c r="K91" t="s">
        <v>50</v>
      </c>
      <c r="L91" t="s">
        <v>51</v>
      </c>
      <c r="M91" s="2">
        <v>0</v>
      </c>
      <c r="N91" s="2">
        <v>15</v>
      </c>
      <c r="O91">
        <v>1</v>
      </c>
      <c r="P91" s="3">
        <v>1</v>
      </c>
      <c r="Q91" s="2">
        <v>15</v>
      </c>
      <c r="S91" t="s">
        <v>802</v>
      </c>
    </row>
    <row r="92" spans="1:19" x14ac:dyDescent="0.25">
      <c r="A92" s="9">
        <v>102029679200</v>
      </c>
      <c r="B92" s="9" t="str">
        <f t="shared" si="1"/>
        <v>102029679200OVR</v>
      </c>
      <c r="C92" t="s">
        <v>388</v>
      </c>
      <c r="E92" t="s">
        <v>45</v>
      </c>
      <c r="F92">
        <v>20411454</v>
      </c>
      <c r="G92" t="s">
        <v>830</v>
      </c>
      <c r="H92" t="s">
        <v>48</v>
      </c>
      <c r="I92" t="s">
        <v>314</v>
      </c>
      <c r="J92" s="1">
        <v>46023</v>
      </c>
      <c r="K92" t="s">
        <v>50</v>
      </c>
      <c r="L92" t="s">
        <v>51</v>
      </c>
      <c r="M92" s="2">
        <v>0</v>
      </c>
      <c r="N92" s="2">
        <v>15</v>
      </c>
      <c r="O92">
        <v>1</v>
      </c>
      <c r="P92" s="3">
        <v>1</v>
      </c>
      <c r="Q92" s="2">
        <v>15</v>
      </c>
      <c r="S92" t="s">
        <v>802</v>
      </c>
    </row>
    <row r="93" spans="1:19" x14ac:dyDescent="0.25">
      <c r="A93" s="9">
        <v>102030612300</v>
      </c>
      <c r="B93" s="9" t="str">
        <f t="shared" si="1"/>
        <v>102030612300OVR</v>
      </c>
      <c r="C93" t="s">
        <v>389</v>
      </c>
      <c r="E93" t="s">
        <v>69</v>
      </c>
      <c r="F93">
        <v>20411454</v>
      </c>
      <c r="G93" t="s">
        <v>830</v>
      </c>
      <c r="H93" t="s">
        <v>48</v>
      </c>
      <c r="I93" t="s">
        <v>314</v>
      </c>
      <c r="J93" s="1">
        <v>46023</v>
      </c>
      <c r="K93" t="s">
        <v>50</v>
      </c>
      <c r="L93" t="s">
        <v>51</v>
      </c>
      <c r="M93" s="2">
        <v>0</v>
      </c>
      <c r="N93" s="2">
        <v>15</v>
      </c>
      <c r="O93">
        <v>1</v>
      </c>
      <c r="P93" s="3">
        <v>1</v>
      </c>
      <c r="Q93" s="2">
        <v>15</v>
      </c>
      <c r="S93" t="s">
        <v>802</v>
      </c>
    </row>
    <row r="94" spans="1:19" x14ac:dyDescent="0.25">
      <c r="A94" s="9" t="s">
        <v>793</v>
      </c>
      <c r="B94" s="9" t="str">
        <f t="shared" si="1"/>
        <v>102040827300AOVR</v>
      </c>
      <c r="C94" t="s">
        <v>390</v>
      </c>
      <c r="E94" t="s">
        <v>45</v>
      </c>
      <c r="F94">
        <v>20411454</v>
      </c>
      <c r="G94" t="s">
        <v>830</v>
      </c>
      <c r="H94" t="s">
        <v>391</v>
      </c>
      <c r="I94" t="s">
        <v>314</v>
      </c>
      <c r="J94" s="1">
        <v>46023</v>
      </c>
      <c r="K94" t="s">
        <v>50</v>
      </c>
      <c r="L94" t="s">
        <v>51</v>
      </c>
      <c r="M94" s="2">
        <v>0</v>
      </c>
      <c r="N94" s="2">
        <v>15</v>
      </c>
      <c r="O94">
        <v>1</v>
      </c>
      <c r="P94" s="3">
        <v>1</v>
      </c>
      <c r="Q94" s="2">
        <v>15</v>
      </c>
      <c r="S94" t="s">
        <v>802</v>
      </c>
    </row>
    <row r="95" spans="1:19" x14ac:dyDescent="0.25">
      <c r="A95" s="9">
        <v>102069739000</v>
      </c>
      <c r="B95" s="9" t="str">
        <f t="shared" si="1"/>
        <v>102069739000OVR</v>
      </c>
      <c r="C95" t="s">
        <v>399</v>
      </c>
      <c r="E95" t="s">
        <v>45</v>
      </c>
      <c r="F95">
        <v>20411454</v>
      </c>
      <c r="G95" t="s">
        <v>830</v>
      </c>
      <c r="H95" t="s">
        <v>48</v>
      </c>
      <c r="I95" t="s">
        <v>314</v>
      </c>
      <c r="J95" s="1">
        <v>46023</v>
      </c>
      <c r="K95" t="s">
        <v>50</v>
      </c>
      <c r="L95" t="s">
        <v>51</v>
      </c>
      <c r="M95" s="2">
        <v>0</v>
      </c>
      <c r="N95" s="2">
        <v>15</v>
      </c>
      <c r="O95">
        <v>1</v>
      </c>
      <c r="P95" s="3">
        <v>1</v>
      </c>
      <c r="Q95" s="2">
        <v>15</v>
      </c>
      <c r="S95" t="s">
        <v>802</v>
      </c>
    </row>
    <row r="96" spans="1:19" x14ac:dyDescent="0.25">
      <c r="A96" s="9">
        <v>102089353400</v>
      </c>
      <c r="B96" s="9" t="str">
        <f t="shared" si="1"/>
        <v>102089353400OVR</v>
      </c>
      <c r="C96" t="s">
        <v>400</v>
      </c>
      <c r="E96" t="s">
        <v>169</v>
      </c>
      <c r="F96">
        <v>20411454</v>
      </c>
      <c r="G96" t="s">
        <v>830</v>
      </c>
      <c r="H96" t="s">
        <v>48</v>
      </c>
      <c r="I96" t="s">
        <v>314</v>
      </c>
      <c r="J96" s="1">
        <v>46023</v>
      </c>
      <c r="K96" t="s">
        <v>50</v>
      </c>
      <c r="L96" t="s">
        <v>51</v>
      </c>
      <c r="M96" s="2">
        <v>0</v>
      </c>
      <c r="N96" s="2">
        <v>15</v>
      </c>
      <c r="O96">
        <v>1</v>
      </c>
      <c r="P96" s="3">
        <v>1</v>
      </c>
      <c r="Q96" s="2">
        <v>15</v>
      </c>
      <c r="S96" t="s">
        <v>802</v>
      </c>
    </row>
    <row r="97" spans="1:19" x14ac:dyDescent="0.25">
      <c r="A97" s="9">
        <v>102104022700</v>
      </c>
      <c r="B97" s="9" t="str">
        <f t="shared" si="1"/>
        <v>102104022700OVR</v>
      </c>
      <c r="C97" t="s">
        <v>403</v>
      </c>
      <c r="E97" t="s">
        <v>69</v>
      </c>
      <c r="F97">
        <v>20411454</v>
      </c>
      <c r="G97" t="s">
        <v>830</v>
      </c>
      <c r="H97" t="s">
        <v>48</v>
      </c>
      <c r="I97" t="s">
        <v>314</v>
      </c>
      <c r="J97" s="1">
        <v>46023</v>
      </c>
      <c r="K97" t="s">
        <v>50</v>
      </c>
      <c r="L97" t="s">
        <v>51</v>
      </c>
      <c r="M97" s="2">
        <v>0</v>
      </c>
      <c r="N97" s="2">
        <v>15</v>
      </c>
      <c r="O97">
        <v>1</v>
      </c>
      <c r="P97" s="3">
        <v>1</v>
      </c>
      <c r="Q97" s="2">
        <v>15</v>
      </c>
      <c r="S97" t="s">
        <v>802</v>
      </c>
    </row>
    <row r="98" spans="1:19" x14ac:dyDescent="0.25">
      <c r="A98" s="9" t="s">
        <v>795</v>
      </c>
      <c r="B98" s="9" t="str">
        <f t="shared" si="1"/>
        <v>102105930700AOVR</v>
      </c>
      <c r="C98" t="s">
        <v>404</v>
      </c>
      <c r="E98" t="s">
        <v>45</v>
      </c>
      <c r="F98">
        <v>20411454</v>
      </c>
      <c r="G98" t="s">
        <v>830</v>
      </c>
      <c r="H98" t="s">
        <v>391</v>
      </c>
      <c r="I98" t="s">
        <v>314</v>
      </c>
      <c r="J98" s="1">
        <v>46023</v>
      </c>
      <c r="K98" t="s">
        <v>50</v>
      </c>
      <c r="L98" t="s">
        <v>51</v>
      </c>
      <c r="M98" s="2">
        <v>0</v>
      </c>
      <c r="N98" s="2">
        <v>15</v>
      </c>
      <c r="O98">
        <v>1</v>
      </c>
      <c r="P98" s="3">
        <v>1</v>
      </c>
      <c r="Q98" s="2">
        <v>15</v>
      </c>
      <c r="S98" t="s">
        <v>802</v>
      </c>
    </row>
    <row r="99" spans="1:19" x14ac:dyDescent="0.25">
      <c r="A99" s="9">
        <v>102112652500</v>
      </c>
      <c r="B99" s="9" t="str">
        <f t="shared" si="1"/>
        <v>102112652500OVR</v>
      </c>
      <c r="C99" t="s">
        <v>405</v>
      </c>
      <c r="E99" t="s">
        <v>45</v>
      </c>
      <c r="F99">
        <v>20411454</v>
      </c>
      <c r="G99" t="s">
        <v>830</v>
      </c>
      <c r="H99" t="s">
        <v>48</v>
      </c>
      <c r="I99" t="s">
        <v>314</v>
      </c>
      <c r="J99" s="1">
        <v>46023</v>
      </c>
      <c r="K99" t="s">
        <v>50</v>
      </c>
      <c r="L99" t="s">
        <v>51</v>
      </c>
      <c r="M99" s="2">
        <v>0</v>
      </c>
      <c r="N99" s="2">
        <v>15</v>
      </c>
      <c r="O99">
        <v>1</v>
      </c>
      <c r="P99" s="3">
        <v>1</v>
      </c>
      <c r="Q99" s="2">
        <v>15</v>
      </c>
      <c r="S99" t="s">
        <v>802</v>
      </c>
    </row>
    <row r="100" spans="1:19" x14ac:dyDescent="0.25">
      <c r="A100" s="9">
        <v>102115083800</v>
      </c>
      <c r="B100" s="9" t="str">
        <f t="shared" si="1"/>
        <v>102115083800OVR</v>
      </c>
      <c r="C100" t="s">
        <v>406</v>
      </c>
      <c r="E100" t="s">
        <v>45</v>
      </c>
      <c r="F100">
        <v>20411454</v>
      </c>
      <c r="G100" t="s">
        <v>830</v>
      </c>
      <c r="H100" t="s">
        <v>48</v>
      </c>
      <c r="I100" t="s">
        <v>314</v>
      </c>
      <c r="J100" s="1">
        <v>46023</v>
      </c>
      <c r="K100" t="s">
        <v>50</v>
      </c>
      <c r="L100" t="s">
        <v>51</v>
      </c>
      <c r="M100" s="2">
        <v>0</v>
      </c>
      <c r="N100" s="2">
        <v>15</v>
      </c>
      <c r="O100">
        <v>1</v>
      </c>
      <c r="P100" s="3">
        <v>1</v>
      </c>
      <c r="Q100" s="2">
        <v>15</v>
      </c>
      <c r="S100" t="s">
        <v>802</v>
      </c>
    </row>
    <row r="101" spans="1:19" x14ac:dyDescent="0.25">
      <c r="A101" s="9">
        <v>102149761800</v>
      </c>
      <c r="B101" s="9" t="str">
        <f t="shared" si="1"/>
        <v>102149761800OVR</v>
      </c>
      <c r="C101" t="s">
        <v>407</v>
      </c>
      <c r="E101" t="s">
        <v>69</v>
      </c>
      <c r="F101">
        <v>20411454</v>
      </c>
      <c r="G101" t="s">
        <v>830</v>
      </c>
      <c r="H101" t="s">
        <v>48</v>
      </c>
      <c r="I101" t="s">
        <v>314</v>
      </c>
      <c r="J101" s="1">
        <v>46023</v>
      </c>
      <c r="K101" t="s">
        <v>50</v>
      </c>
      <c r="L101" t="s">
        <v>51</v>
      </c>
      <c r="M101" s="2">
        <v>0</v>
      </c>
      <c r="N101" s="2">
        <v>15</v>
      </c>
      <c r="O101">
        <v>1</v>
      </c>
      <c r="P101" s="3">
        <v>1</v>
      </c>
      <c r="Q101" s="2">
        <v>15</v>
      </c>
      <c r="S101" t="s">
        <v>802</v>
      </c>
    </row>
    <row r="102" spans="1:19" x14ac:dyDescent="0.25">
      <c r="A102" s="9">
        <v>102169457000</v>
      </c>
      <c r="B102" s="9" t="str">
        <f t="shared" si="1"/>
        <v>102169457000OVR</v>
      </c>
      <c r="C102" t="s">
        <v>409</v>
      </c>
      <c r="E102" t="s">
        <v>45</v>
      </c>
      <c r="F102">
        <v>20411454</v>
      </c>
      <c r="G102" t="s">
        <v>830</v>
      </c>
      <c r="H102" t="s">
        <v>48</v>
      </c>
      <c r="I102" t="s">
        <v>314</v>
      </c>
      <c r="J102" s="1">
        <v>46023</v>
      </c>
      <c r="K102" t="s">
        <v>50</v>
      </c>
      <c r="L102" t="s">
        <v>51</v>
      </c>
      <c r="M102" s="2">
        <v>0</v>
      </c>
      <c r="N102" s="2">
        <v>15</v>
      </c>
      <c r="O102">
        <v>1</v>
      </c>
      <c r="P102" s="3">
        <v>1</v>
      </c>
      <c r="Q102" s="2">
        <v>15</v>
      </c>
      <c r="S102" t="s">
        <v>802</v>
      </c>
    </row>
    <row r="103" spans="1:19" x14ac:dyDescent="0.25">
      <c r="A103" s="9">
        <v>102193378500</v>
      </c>
      <c r="B103" s="9" t="str">
        <f t="shared" si="1"/>
        <v>102193378500OVR</v>
      </c>
      <c r="C103" t="s">
        <v>412</v>
      </c>
      <c r="E103" t="s">
        <v>45</v>
      </c>
      <c r="F103">
        <v>20411454</v>
      </c>
      <c r="G103" t="s">
        <v>830</v>
      </c>
      <c r="H103" t="s">
        <v>48</v>
      </c>
      <c r="I103" t="s">
        <v>314</v>
      </c>
      <c r="J103" s="1">
        <v>46023</v>
      </c>
      <c r="K103" t="s">
        <v>50</v>
      </c>
      <c r="L103" t="s">
        <v>51</v>
      </c>
      <c r="M103" s="2">
        <v>0</v>
      </c>
      <c r="N103" s="2">
        <v>15</v>
      </c>
      <c r="O103">
        <v>1</v>
      </c>
      <c r="P103" s="3">
        <v>1</v>
      </c>
      <c r="Q103" s="2">
        <v>15</v>
      </c>
      <c r="S103" t="s">
        <v>802</v>
      </c>
    </row>
    <row r="104" spans="1:19" x14ac:dyDescent="0.25">
      <c r="A104" s="9">
        <v>102197198600</v>
      </c>
      <c r="B104" s="9" t="str">
        <f t="shared" si="1"/>
        <v>102197198600OVR</v>
      </c>
      <c r="C104" t="s">
        <v>413</v>
      </c>
      <c r="E104" t="s">
        <v>69</v>
      </c>
      <c r="F104">
        <v>20411454</v>
      </c>
      <c r="G104" t="s">
        <v>830</v>
      </c>
      <c r="H104" t="s">
        <v>48</v>
      </c>
      <c r="I104" t="s">
        <v>314</v>
      </c>
      <c r="J104" s="1">
        <v>46023</v>
      </c>
      <c r="K104" t="s">
        <v>50</v>
      </c>
      <c r="L104" t="s">
        <v>51</v>
      </c>
      <c r="M104" s="2">
        <v>0</v>
      </c>
      <c r="N104" s="2">
        <v>15</v>
      </c>
      <c r="O104">
        <v>1</v>
      </c>
      <c r="P104" s="3">
        <v>1</v>
      </c>
      <c r="Q104" s="2">
        <v>15</v>
      </c>
      <c r="S104" t="s">
        <v>802</v>
      </c>
    </row>
    <row r="105" spans="1:19" x14ac:dyDescent="0.25">
      <c r="A105" s="9">
        <v>102207681300</v>
      </c>
      <c r="B105" s="9" t="str">
        <f t="shared" si="1"/>
        <v>102207681300OVR</v>
      </c>
      <c r="C105" t="s">
        <v>415</v>
      </c>
      <c r="E105" t="s">
        <v>69</v>
      </c>
      <c r="F105">
        <v>20411454</v>
      </c>
      <c r="G105" t="s">
        <v>830</v>
      </c>
      <c r="H105" t="s">
        <v>48</v>
      </c>
      <c r="I105" t="s">
        <v>314</v>
      </c>
      <c r="J105" s="1">
        <v>46023</v>
      </c>
      <c r="K105" t="s">
        <v>50</v>
      </c>
      <c r="L105" t="s">
        <v>51</v>
      </c>
      <c r="M105" s="2">
        <v>0</v>
      </c>
      <c r="N105" s="2">
        <v>15</v>
      </c>
      <c r="O105">
        <v>1</v>
      </c>
      <c r="P105" s="3">
        <v>1</v>
      </c>
      <c r="Q105" s="2">
        <v>15</v>
      </c>
      <c r="S105" t="s">
        <v>802</v>
      </c>
    </row>
    <row r="106" spans="1:19" x14ac:dyDescent="0.25">
      <c r="A106" s="9">
        <v>102207683300</v>
      </c>
      <c r="B106" s="9" t="str">
        <f t="shared" si="1"/>
        <v>102207683300OVR</v>
      </c>
      <c r="C106" t="s">
        <v>416</v>
      </c>
      <c r="E106" t="s">
        <v>69</v>
      </c>
      <c r="F106">
        <v>20411454</v>
      </c>
      <c r="G106" t="s">
        <v>830</v>
      </c>
      <c r="H106" t="s">
        <v>48</v>
      </c>
      <c r="I106" t="s">
        <v>314</v>
      </c>
      <c r="J106" s="1">
        <v>46023</v>
      </c>
      <c r="K106" t="s">
        <v>50</v>
      </c>
      <c r="L106" t="s">
        <v>51</v>
      </c>
      <c r="M106" s="2">
        <v>0</v>
      </c>
      <c r="N106" s="2">
        <v>15</v>
      </c>
      <c r="O106">
        <v>1</v>
      </c>
      <c r="P106" s="3">
        <v>1</v>
      </c>
      <c r="Q106" s="2">
        <v>15</v>
      </c>
      <c r="S106" t="s">
        <v>802</v>
      </c>
    </row>
    <row r="107" spans="1:19" x14ac:dyDescent="0.25">
      <c r="A107" s="9">
        <v>102207795000</v>
      </c>
      <c r="B107" s="9" t="str">
        <f t="shared" si="1"/>
        <v>102207795000OVR</v>
      </c>
      <c r="C107" t="s">
        <v>417</v>
      </c>
      <c r="E107" t="s">
        <v>69</v>
      </c>
      <c r="F107">
        <v>20411454</v>
      </c>
      <c r="G107" t="s">
        <v>830</v>
      </c>
      <c r="H107" t="s">
        <v>48</v>
      </c>
      <c r="I107" t="s">
        <v>314</v>
      </c>
      <c r="J107" s="1">
        <v>46023</v>
      </c>
      <c r="K107" t="s">
        <v>50</v>
      </c>
      <c r="L107" t="s">
        <v>51</v>
      </c>
      <c r="M107" s="2">
        <v>0</v>
      </c>
      <c r="N107" s="2">
        <v>15</v>
      </c>
      <c r="O107">
        <v>1</v>
      </c>
      <c r="P107" s="3">
        <v>1</v>
      </c>
      <c r="Q107" s="2">
        <v>15</v>
      </c>
      <c r="S107" t="s">
        <v>802</v>
      </c>
    </row>
    <row r="108" spans="1:19" x14ac:dyDescent="0.25">
      <c r="A108" s="9">
        <v>102207860900</v>
      </c>
      <c r="B108" s="9" t="str">
        <f t="shared" si="1"/>
        <v>102207860900OVR</v>
      </c>
      <c r="C108" t="s">
        <v>418</v>
      </c>
      <c r="E108" t="s">
        <v>69</v>
      </c>
      <c r="F108">
        <v>20411454</v>
      </c>
      <c r="G108" t="s">
        <v>830</v>
      </c>
      <c r="H108" t="s">
        <v>48</v>
      </c>
      <c r="I108" t="s">
        <v>314</v>
      </c>
      <c r="J108" s="1">
        <v>46023</v>
      </c>
      <c r="K108" t="s">
        <v>50</v>
      </c>
      <c r="L108" t="s">
        <v>51</v>
      </c>
      <c r="M108" s="2">
        <v>0</v>
      </c>
      <c r="N108" s="2">
        <v>15</v>
      </c>
      <c r="O108">
        <v>1</v>
      </c>
      <c r="P108" s="3">
        <v>1</v>
      </c>
      <c r="Q108" s="2">
        <v>15</v>
      </c>
      <c r="S108" t="s">
        <v>802</v>
      </c>
    </row>
    <row r="109" spans="1:19" x14ac:dyDescent="0.25">
      <c r="A109" s="9">
        <v>102211743600</v>
      </c>
      <c r="B109" s="9" t="str">
        <f t="shared" si="1"/>
        <v>102211743600OVR</v>
      </c>
      <c r="C109" t="s">
        <v>422</v>
      </c>
      <c r="E109" t="s">
        <v>45</v>
      </c>
      <c r="F109">
        <v>20411454</v>
      </c>
      <c r="G109" t="s">
        <v>830</v>
      </c>
      <c r="H109" t="s">
        <v>48</v>
      </c>
      <c r="I109" t="s">
        <v>314</v>
      </c>
      <c r="J109" s="1">
        <v>46023</v>
      </c>
      <c r="K109" t="s">
        <v>50</v>
      </c>
      <c r="L109" t="s">
        <v>51</v>
      </c>
      <c r="M109" s="2">
        <v>0</v>
      </c>
      <c r="N109" s="2">
        <v>15</v>
      </c>
      <c r="O109">
        <v>1</v>
      </c>
      <c r="P109" s="3">
        <v>1</v>
      </c>
      <c r="Q109" s="2">
        <v>15</v>
      </c>
      <c r="S109" t="s">
        <v>802</v>
      </c>
    </row>
    <row r="110" spans="1:19" x14ac:dyDescent="0.25">
      <c r="A110" s="9">
        <v>102211980800</v>
      </c>
      <c r="B110" s="9" t="str">
        <f t="shared" si="1"/>
        <v>102211980800OVR</v>
      </c>
      <c r="C110" t="s">
        <v>423</v>
      </c>
      <c r="E110" t="s">
        <v>69</v>
      </c>
      <c r="F110">
        <v>20411454</v>
      </c>
      <c r="G110" t="s">
        <v>830</v>
      </c>
      <c r="H110" t="s">
        <v>48</v>
      </c>
      <c r="I110" t="s">
        <v>314</v>
      </c>
      <c r="J110" s="1">
        <v>46023</v>
      </c>
      <c r="K110" t="s">
        <v>50</v>
      </c>
      <c r="L110" t="s">
        <v>51</v>
      </c>
      <c r="M110" s="2">
        <v>0</v>
      </c>
      <c r="N110" s="2">
        <v>15</v>
      </c>
      <c r="O110">
        <v>1</v>
      </c>
      <c r="P110" s="3">
        <v>1</v>
      </c>
      <c r="Q110" s="2">
        <v>15</v>
      </c>
      <c r="S110" t="s">
        <v>802</v>
      </c>
    </row>
    <row r="111" spans="1:19" x14ac:dyDescent="0.25">
      <c r="A111" s="9">
        <v>102213387100</v>
      </c>
      <c r="B111" s="9" t="str">
        <f t="shared" si="1"/>
        <v>102213387100OVR</v>
      </c>
      <c r="C111" t="s">
        <v>424</v>
      </c>
      <c r="E111" t="s">
        <v>69</v>
      </c>
      <c r="F111">
        <v>20411454</v>
      </c>
      <c r="G111" t="s">
        <v>830</v>
      </c>
      <c r="H111" t="s">
        <v>48</v>
      </c>
      <c r="I111" t="s">
        <v>314</v>
      </c>
      <c r="J111" s="1">
        <v>46023</v>
      </c>
      <c r="K111" t="s">
        <v>50</v>
      </c>
      <c r="L111" t="s">
        <v>51</v>
      </c>
      <c r="M111" s="2">
        <v>0</v>
      </c>
      <c r="N111" s="2">
        <v>15</v>
      </c>
      <c r="O111">
        <v>1</v>
      </c>
      <c r="P111" s="3">
        <v>1</v>
      </c>
      <c r="Q111" s="2">
        <v>15</v>
      </c>
      <c r="S111" t="s">
        <v>802</v>
      </c>
    </row>
    <row r="112" spans="1:19" x14ac:dyDescent="0.25">
      <c r="A112" s="9">
        <v>102213760100</v>
      </c>
      <c r="B112" s="9" t="str">
        <f t="shared" si="1"/>
        <v>102213760100OVR</v>
      </c>
      <c r="C112" t="s">
        <v>425</v>
      </c>
      <c r="E112" t="s">
        <v>69</v>
      </c>
      <c r="F112">
        <v>20411454</v>
      </c>
      <c r="G112" t="s">
        <v>830</v>
      </c>
      <c r="H112" t="s">
        <v>48</v>
      </c>
      <c r="I112" t="s">
        <v>314</v>
      </c>
      <c r="J112" s="1">
        <v>46023</v>
      </c>
      <c r="K112" t="s">
        <v>50</v>
      </c>
      <c r="L112" t="s">
        <v>51</v>
      </c>
      <c r="M112" s="2">
        <v>0</v>
      </c>
      <c r="N112" s="2">
        <v>15</v>
      </c>
      <c r="O112">
        <v>1</v>
      </c>
      <c r="P112" s="3">
        <v>1</v>
      </c>
      <c r="Q112" s="2">
        <v>15</v>
      </c>
      <c r="S112" t="s">
        <v>802</v>
      </c>
    </row>
    <row r="113" spans="1:19" x14ac:dyDescent="0.25">
      <c r="A113" s="9">
        <v>102214775400</v>
      </c>
      <c r="B113" s="9" t="str">
        <f t="shared" si="1"/>
        <v>102214775400OVR</v>
      </c>
      <c r="C113" t="s">
        <v>427</v>
      </c>
      <c r="E113" t="s">
        <v>428</v>
      </c>
      <c r="F113">
        <v>20411454</v>
      </c>
      <c r="G113" t="s">
        <v>830</v>
      </c>
      <c r="H113" t="s">
        <v>48</v>
      </c>
      <c r="I113" t="s">
        <v>314</v>
      </c>
      <c r="J113" s="1">
        <v>46023</v>
      </c>
      <c r="K113" t="s">
        <v>50</v>
      </c>
      <c r="L113" t="s">
        <v>51</v>
      </c>
      <c r="M113" s="2">
        <v>0</v>
      </c>
      <c r="N113" s="2">
        <v>15</v>
      </c>
      <c r="O113">
        <v>1</v>
      </c>
      <c r="P113" s="3">
        <v>1</v>
      </c>
      <c r="Q113" s="2">
        <v>15</v>
      </c>
      <c r="S113" t="s">
        <v>802</v>
      </c>
    </row>
    <row r="114" spans="1:19" x14ac:dyDescent="0.25">
      <c r="A114" s="9">
        <v>102215019700</v>
      </c>
      <c r="B114" s="9" t="str">
        <f t="shared" si="1"/>
        <v>102215019700OVR</v>
      </c>
      <c r="C114" t="s">
        <v>429</v>
      </c>
      <c r="E114" t="s">
        <v>428</v>
      </c>
      <c r="F114">
        <v>20411454</v>
      </c>
      <c r="G114" t="s">
        <v>830</v>
      </c>
      <c r="H114" t="s">
        <v>48</v>
      </c>
      <c r="I114" t="s">
        <v>314</v>
      </c>
      <c r="J114" s="1">
        <v>46023</v>
      </c>
      <c r="K114" t="s">
        <v>50</v>
      </c>
      <c r="L114" t="s">
        <v>51</v>
      </c>
      <c r="M114" s="2">
        <v>0</v>
      </c>
      <c r="N114" s="2">
        <v>15</v>
      </c>
      <c r="O114">
        <v>1</v>
      </c>
      <c r="P114" s="3">
        <v>1</v>
      </c>
      <c r="Q114" s="2">
        <v>15</v>
      </c>
      <c r="S114" t="s">
        <v>802</v>
      </c>
    </row>
    <row r="115" spans="1:19" x14ac:dyDescent="0.25">
      <c r="A115" s="9">
        <v>102217517700</v>
      </c>
      <c r="B115" s="9" t="str">
        <f t="shared" si="1"/>
        <v>102217517700OVR</v>
      </c>
      <c r="C115" t="s">
        <v>430</v>
      </c>
      <c r="E115" t="s">
        <v>69</v>
      </c>
      <c r="F115">
        <v>20411454</v>
      </c>
      <c r="G115" t="s">
        <v>830</v>
      </c>
      <c r="H115" t="s">
        <v>48</v>
      </c>
      <c r="I115" t="s">
        <v>314</v>
      </c>
      <c r="J115" s="1">
        <v>46023</v>
      </c>
      <c r="K115" t="s">
        <v>50</v>
      </c>
      <c r="L115" t="s">
        <v>51</v>
      </c>
      <c r="M115" s="2">
        <v>0</v>
      </c>
      <c r="N115" s="2">
        <v>15</v>
      </c>
      <c r="O115">
        <v>1</v>
      </c>
      <c r="P115" s="3">
        <v>1</v>
      </c>
      <c r="Q115" s="2">
        <v>15</v>
      </c>
      <c r="S115" t="s">
        <v>802</v>
      </c>
    </row>
    <row r="116" spans="1:19" x14ac:dyDescent="0.25">
      <c r="A116" s="9">
        <v>102219825600</v>
      </c>
      <c r="B116" s="9" t="str">
        <f t="shared" si="1"/>
        <v>102219825600OVR</v>
      </c>
      <c r="C116" t="s">
        <v>432</v>
      </c>
      <c r="E116" t="s">
        <v>69</v>
      </c>
      <c r="F116">
        <v>20411454</v>
      </c>
      <c r="G116" t="s">
        <v>830</v>
      </c>
      <c r="H116" t="s">
        <v>48</v>
      </c>
      <c r="I116" t="s">
        <v>314</v>
      </c>
      <c r="J116" s="1">
        <v>46023</v>
      </c>
      <c r="K116" t="s">
        <v>50</v>
      </c>
      <c r="L116" t="s">
        <v>51</v>
      </c>
      <c r="M116" s="2">
        <v>0</v>
      </c>
      <c r="N116" s="2">
        <v>15</v>
      </c>
      <c r="O116">
        <v>1</v>
      </c>
      <c r="P116" s="3">
        <v>1</v>
      </c>
      <c r="Q116" s="2">
        <v>15</v>
      </c>
      <c r="S116" t="s">
        <v>802</v>
      </c>
    </row>
    <row r="117" spans="1:19" x14ac:dyDescent="0.25">
      <c r="A117" s="9">
        <v>102220427000</v>
      </c>
      <c r="B117" s="9" t="str">
        <f t="shared" si="1"/>
        <v>102220427000OVR</v>
      </c>
      <c r="C117" t="s">
        <v>433</v>
      </c>
      <c r="E117" t="s">
        <v>45</v>
      </c>
      <c r="F117">
        <v>20411454</v>
      </c>
      <c r="G117" t="s">
        <v>830</v>
      </c>
      <c r="H117" t="s">
        <v>48</v>
      </c>
      <c r="I117" t="s">
        <v>314</v>
      </c>
      <c r="J117" s="1">
        <v>46023</v>
      </c>
      <c r="K117" t="s">
        <v>50</v>
      </c>
      <c r="L117" t="s">
        <v>51</v>
      </c>
      <c r="M117" s="2">
        <v>0</v>
      </c>
      <c r="N117" s="2">
        <v>15</v>
      </c>
      <c r="O117">
        <v>1</v>
      </c>
      <c r="P117" s="3">
        <v>1</v>
      </c>
      <c r="Q117" s="2">
        <v>15</v>
      </c>
      <c r="S117" t="s">
        <v>802</v>
      </c>
    </row>
    <row r="118" spans="1:19" x14ac:dyDescent="0.25">
      <c r="A118" s="9">
        <v>102220532200</v>
      </c>
      <c r="B118" s="9" t="str">
        <f t="shared" si="1"/>
        <v>102220532200OVR</v>
      </c>
      <c r="C118" t="s">
        <v>434</v>
      </c>
      <c r="E118" t="s">
        <v>45</v>
      </c>
      <c r="F118">
        <v>20411454</v>
      </c>
      <c r="G118" t="s">
        <v>830</v>
      </c>
      <c r="H118" t="s">
        <v>48</v>
      </c>
      <c r="I118" t="s">
        <v>314</v>
      </c>
      <c r="J118" s="1">
        <v>46023</v>
      </c>
      <c r="K118" t="s">
        <v>50</v>
      </c>
      <c r="L118" t="s">
        <v>51</v>
      </c>
      <c r="M118" s="2">
        <v>0</v>
      </c>
      <c r="N118" s="2">
        <v>15</v>
      </c>
      <c r="O118">
        <v>1</v>
      </c>
      <c r="P118" s="3">
        <v>1</v>
      </c>
      <c r="Q118" s="2">
        <v>15</v>
      </c>
      <c r="S118" t="s">
        <v>802</v>
      </c>
    </row>
    <row r="119" spans="1:19" x14ac:dyDescent="0.25">
      <c r="A119" s="9">
        <v>102220558600</v>
      </c>
      <c r="B119" s="9" t="str">
        <f t="shared" si="1"/>
        <v>102220558600OVR</v>
      </c>
      <c r="C119" t="s">
        <v>435</v>
      </c>
      <c r="E119" t="s">
        <v>45</v>
      </c>
      <c r="F119">
        <v>20411454</v>
      </c>
      <c r="G119" t="s">
        <v>830</v>
      </c>
      <c r="H119" t="s">
        <v>48</v>
      </c>
      <c r="I119" t="s">
        <v>314</v>
      </c>
      <c r="J119" s="1">
        <v>46023</v>
      </c>
      <c r="K119" t="s">
        <v>50</v>
      </c>
      <c r="L119" t="s">
        <v>51</v>
      </c>
      <c r="M119" s="2">
        <v>0</v>
      </c>
      <c r="N119" s="2">
        <v>15</v>
      </c>
      <c r="O119">
        <v>1</v>
      </c>
      <c r="P119" s="3">
        <v>1</v>
      </c>
      <c r="Q119" s="2">
        <v>15</v>
      </c>
      <c r="S119" t="s">
        <v>802</v>
      </c>
    </row>
    <row r="120" spans="1:19" x14ac:dyDescent="0.25">
      <c r="A120" s="9">
        <v>102220569300</v>
      </c>
      <c r="B120" s="9" t="str">
        <f t="shared" si="1"/>
        <v>102220569300OVR</v>
      </c>
      <c r="C120" t="s">
        <v>436</v>
      </c>
      <c r="E120" t="s">
        <v>45</v>
      </c>
      <c r="F120">
        <v>20411454</v>
      </c>
      <c r="G120" t="s">
        <v>830</v>
      </c>
      <c r="H120" t="s">
        <v>48</v>
      </c>
      <c r="I120" t="s">
        <v>314</v>
      </c>
      <c r="J120" s="1">
        <v>46023</v>
      </c>
      <c r="K120" t="s">
        <v>50</v>
      </c>
      <c r="L120" t="s">
        <v>51</v>
      </c>
      <c r="M120" s="2">
        <v>0</v>
      </c>
      <c r="N120" s="2">
        <v>15</v>
      </c>
      <c r="O120">
        <v>1</v>
      </c>
      <c r="P120" s="3">
        <v>1</v>
      </c>
      <c r="Q120" s="2">
        <v>15</v>
      </c>
      <c r="S120" t="s">
        <v>802</v>
      </c>
    </row>
    <row r="121" spans="1:19" x14ac:dyDescent="0.25">
      <c r="A121" s="9">
        <v>102221053400</v>
      </c>
      <c r="B121" s="9" t="str">
        <f t="shared" si="1"/>
        <v>102221053400OVR</v>
      </c>
      <c r="C121" t="s">
        <v>438</v>
      </c>
      <c r="E121" t="s">
        <v>428</v>
      </c>
      <c r="F121">
        <v>20411454</v>
      </c>
      <c r="G121" t="s">
        <v>830</v>
      </c>
      <c r="H121" t="s">
        <v>48</v>
      </c>
      <c r="I121" t="s">
        <v>314</v>
      </c>
      <c r="J121" s="1">
        <v>46023</v>
      </c>
      <c r="K121" t="s">
        <v>50</v>
      </c>
      <c r="L121" t="s">
        <v>51</v>
      </c>
      <c r="M121" s="2">
        <v>0</v>
      </c>
      <c r="N121" s="2">
        <v>15</v>
      </c>
      <c r="O121">
        <v>1</v>
      </c>
      <c r="P121" s="3">
        <v>1</v>
      </c>
      <c r="Q121" s="2">
        <v>15</v>
      </c>
      <c r="S121" t="s">
        <v>802</v>
      </c>
    </row>
    <row r="122" spans="1:19" x14ac:dyDescent="0.25">
      <c r="A122" s="9">
        <v>102221076200</v>
      </c>
      <c r="B122" s="9" t="str">
        <f t="shared" si="1"/>
        <v>102221076200OVR</v>
      </c>
      <c r="C122" t="s">
        <v>443</v>
      </c>
      <c r="E122" t="s">
        <v>316</v>
      </c>
      <c r="F122">
        <v>20411454</v>
      </c>
      <c r="G122" t="s">
        <v>830</v>
      </c>
      <c r="H122" t="s">
        <v>48</v>
      </c>
      <c r="I122" t="s">
        <v>314</v>
      </c>
      <c r="J122" s="1">
        <v>46023</v>
      </c>
      <c r="K122" t="s">
        <v>50</v>
      </c>
      <c r="L122" t="s">
        <v>51</v>
      </c>
      <c r="M122" s="2">
        <v>0</v>
      </c>
      <c r="N122" s="2">
        <v>15</v>
      </c>
      <c r="O122">
        <v>1</v>
      </c>
      <c r="P122" s="3">
        <v>1</v>
      </c>
      <c r="Q122" s="2">
        <v>15</v>
      </c>
      <c r="S122" t="s">
        <v>802</v>
      </c>
    </row>
    <row r="123" spans="1:19" x14ac:dyDescent="0.25">
      <c r="A123" s="9">
        <v>102221083100</v>
      </c>
      <c r="B123" s="9" t="str">
        <f t="shared" si="1"/>
        <v>102221083100OVR</v>
      </c>
      <c r="C123" t="s">
        <v>444</v>
      </c>
      <c r="E123" t="s">
        <v>45</v>
      </c>
      <c r="F123">
        <v>20411454</v>
      </c>
      <c r="G123" t="s">
        <v>830</v>
      </c>
      <c r="H123" t="s">
        <v>48</v>
      </c>
      <c r="I123" t="s">
        <v>314</v>
      </c>
      <c r="J123" s="1">
        <v>46023</v>
      </c>
      <c r="K123" t="s">
        <v>50</v>
      </c>
      <c r="L123" t="s">
        <v>51</v>
      </c>
      <c r="M123" s="2">
        <v>0</v>
      </c>
      <c r="N123" s="2">
        <v>15</v>
      </c>
      <c r="O123">
        <v>1</v>
      </c>
      <c r="P123" s="3">
        <v>1</v>
      </c>
      <c r="Q123" s="2">
        <v>15</v>
      </c>
      <c r="S123" t="s">
        <v>802</v>
      </c>
    </row>
    <row r="124" spans="1:19" x14ac:dyDescent="0.25">
      <c r="A124" s="9">
        <v>102221422800</v>
      </c>
      <c r="B124" s="9" t="str">
        <f t="shared" si="1"/>
        <v>102221422800OVR</v>
      </c>
      <c r="C124" t="s">
        <v>446</v>
      </c>
      <c r="E124" t="s">
        <v>149</v>
      </c>
      <c r="F124">
        <v>20411454</v>
      </c>
      <c r="G124" t="s">
        <v>830</v>
      </c>
      <c r="H124" t="s">
        <v>48</v>
      </c>
      <c r="I124" t="s">
        <v>314</v>
      </c>
      <c r="J124" s="1">
        <v>46023</v>
      </c>
      <c r="K124" t="s">
        <v>50</v>
      </c>
      <c r="L124" t="s">
        <v>51</v>
      </c>
      <c r="M124" s="2">
        <v>0</v>
      </c>
      <c r="N124" s="2">
        <v>15</v>
      </c>
      <c r="O124">
        <v>1</v>
      </c>
      <c r="P124" s="3">
        <v>1</v>
      </c>
      <c r="Q124" s="2">
        <v>15</v>
      </c>
      <c r="S124" t="s">
        <v>802</v>
      </c>
    </row>
    <row r="125" spans="1:19" x14ac:dyDescent="0.25">
      <c r="A125" s="9">
        <v>102222723900</v>
      </c>
      <c r="B125" s="9" t="str">
        <f t="shared" si="1"/>
        <v>102222723900OVR</v>
      </c>
      <c r="C125" t="s">
        <v>458</v>
      </c>
      <c r="E125" t="s">
        <v>129</v>
      </c>
      <c r="F125">
        <v>20411454</v>
      </c>
      <c r="G125" t="s">
        <v>830</v>
      </c>
      <c r="H125" t="s">
        <v>48</v>
      </c>
      <c r="I125" t="s">
        <v>314</v>
      </c>
      <c r="J125" s="1">
        <v>46023</v>
      </c>
      <c r="K125" t="s">
        <v>50</v>
      </c>
      <c r="L125" t="s">
        <v>51</v>
      </c>
      <c r="M125" s="2">
        <v>0</v>
      </c>
      <c r="N125" s="2">
        <v>15</v>
      </c>
      <c r="O125">
        <v>1</v>
      </c>
      <c r="P125" s="3">
        <v>1</v>
      </c>
      <c r="Q125" s="2">
        <v>15</v>
      </c>
      <c r="S125" t="s">
        <v>802</v>
      </c>
    </row>
    <row r="126" spans="1:19" x14ac:dyDescent="0.25">
      <c r="A126" s="9">
        <v>102222728200</v>
      </c>
      <c r="B126" s="9" t="str">
        <f t="shared" si="1"/>
        <v>102222728200OVR</v>
      </c>
      <c r="C126" t="s">
        <v>459</v>
      </c>
      <c r="E126" t="s">
        <v>129</v>
      </c>
      <c r="F126">
        <v>20411454</v>
      </c>
      <c r="G126" t="s">
        <v>830</v>
      </c>
      <c r="H126" t="s">
        <v>48</v>
      </c>
      <c r="I126" t="s">
        <v>314</v>
      </c>
      <c r="J126" s="1">
        <v>46023</v>
      </c>
      <c r="K126" t="s">
        <v>50</v>
      </c>
      <c r="L126" t="s">
        <v>51</v>
      </c>
      <c r="M126" s="2">
        <v>0</v>
      </c>
      <c r="N126" s="2">
        <v>15</v>
      </c>
      <c r="O126">
        <v>1</v>
      </c>
      <c r="P126" s="3">
        <v>1</v>
      </c>
      <c r="Q126" s="2">
        <v>15</v>
      </c>
      <c r="S126" t="s">
        <v>802</v>
      </c>
    </row>
    <row r="127" spans="1:19" x14ac:dyDescent="0.25">
      <c r="A127" s="9">
        <v>102222814600</v>
      </c>
      <c r="B127" s="9" t="str">
        <f t="shared" si="1"/>
        <v>102222814600OVR</v>
      </c>
      <c r="C127" t="s">
        <v>460</v>
      </c>
      <c r="E127" t="s">
        <v>45</v>
      </c>
      <c r="F127">
        <v>20411454</v>
      </c>
      <c r="G127" t="s">
        <v>830</v>
      </c>
      <c r="H127" t="s">
        <v>48</v>
      </c>
      <c r="I127" t="s">
        <v>314</v>
      </c>
      <c r="J127" s="1">
        <v>46023</v>
      </c>
      <c r="K127" t="s">
        <v>50</v>
      </c>
      <c r="L127" t="s">
        <v>51</v>
      </c>
      <c r="M127" s="2">
        <v>0</v>
      </c>
      <c r="N127" s="2">
        <v>15</v>
      </c>
      <c r="O127">
        <v>1</v>
      </c>
      <c r="P127" s="3">
        <v>1</v>
      </c>
      <c r="Q127" s="2">
        <v>15</v>
      </c>
      <c r="S127" t="s">
        <v>802</v>
      </c>
    </row>
    <row r="128" spans="1:19" x14ac:dyDescent="0.25">
      <c r="A128" s="9">
        <v>102222835900</v>
      </c>
      <c r="B128" s="9" t="str">
        <f t="shared" si="1"/>
        <v>102222835900OVR</v>
      </c>
      <c r="C128" t="s">
        <v>461</v>
      </c>
      <c r="E128" t="s">
        <v>45</v>
      </c>
      <c r="F128">
        <v>20411454</v>
      </c>
      <c r="G128" t="s">
        <v>830</v>
      </c>
      <c r="H128" t="s">
        <v>48</v>
      </c>
      <c r="I128" t="s">
        <v>314</v>
      </c>
      <c r="J128" s="1">
        <v>46023</v>
      </c>
      <c r="K128" t="s">
        <v>50</v>
      </c>
      <c r="L128" t="s">
        <v>51</v>
      </c>
      <c r="M128" s="2">
        <v>0</v>
      </c>
      <c r="N128" s="2">
        <v>15</v>
      </c>
      <c r="O128">
        <v>1</v>
      </c>
      <c r="P128" s="3">
        <v>1</v>
      </c>
      <c r="Q128" s="2">
        <v>15</v>
      </c>
      <c r="S128" t="s">
        <v>802</v>
      </c>
    </row>
    <row r="129" spans="1:19" x14ac:dyDescent="0.25">
      <c r="A129" s="9">
        <v>102222843300</v>
      </c>
      <c r="B129" s="9" t="str">
        <f t="shared" si="1"/>
        <v>102222843300OVR</v>
      </c>
      <c r="C129" t="s">
        <v>462</v>
      </c>
      <c r="E129" t="s">
        <v>169</v>
      </c>
      <c r="F129">
        <v>20411454</v>
      </c>
      <c r="G129" t="s">
        <v>830</v>
      </c>
      <c r="H129" t="s">
        <v>48</v>
      </c>
      <c r="I129" t="s">
        <v>314</v>
      </c>
      <c r="J129" s="1">
        <v>46023</v>
      </c>
      <c r="K129" t="s">
        <v>50</v>
      </c>
      <c r="L129" t="s">
        <v>51</v>
      </c>
      <c r="M129" s="2">
        <v>0</v>
      </c>
      <c r="N129" s="2">
        <v>15</v>
      </c>
      <c r="O129">
        <v>1</v>
      </c>
      <c r="P129" s="3">
        <v>1</v>
      </c>
      <c r="Q129" s="2">
        <v>15</v>
      </c>
      <c r="S129" t="s">
        <v>802</v>
      </c>
    </row>
    <row r="130" spans="1:19" x14ac:dyDescent="0.25">
      <c r="A130" s="9">
        <v>102223721400</v>
      </c>
      <c r="B130" s="9" t="str">
        <f t="shared" si="1"/>
        <v>102223721400OVR</v>
      </c>
      <c r="C130" t="s">
        <v>469</v>
      </c>
      <c r="E130" t="s">
        <v>45</v>
      </c>
      <c r="F130">
        <v>20411454</v>
      </c>
      <c r="G130" t="s">
        <v>830</v>
      </c>
      <c r="H130" t="s">
        <v>48</v>
      </c>
      <c r="I130" t="s">
        <v>314</v>
      </c>
      <c r="J130" s="1">
        <v>46023</v>
      </c>
      <c r="K130" t="s">
        <v>50</v>
      </c>
      <c r="L130" t="s">
        <v>51</v>
      </c>
      <c r="M130" s="2">
        <v>0</v>
      </c>
      <c r="N130" s="2">
        <v>15</v>
      </c>
      <c r="O130">
        <v>1</v>
      </c>
      <c r="P130" s="3">
        <v>1</v>
      </c>
      <c r="Q130" s="2">
        <v>15</v>
      </c>
      <c r="S130" t="s">
        <v>802</v>
      </c>
    </row>
    <row r="131" spans="1:19" x14ac:dyDescent="0.25">
      <c r="A131" s="9">
        <v>102224669800</v>
      </c>
      <c r="B131" s="9" t="str">
        <f t="shared" ref="B131:B194" si="2">CONCATENATE(A131,"OVR")</f>
        <v>102224669800OVR</v>
      </c>
      <c r="C131" t="s">
        <v>471</v>
      </c>
      <c r="E131" t="s">
        <v>69</v>
      </c>
      <c r="F131">
        <v>20411454</v>
      </c>
      <c r="G131" t="s">
        <v>830</v>
      </c>
      <c r="H131" t="s">
        <v>48</v>
      </c>
      <c r="I131" t="s">
        <v>314</v>
      </c>
      <c r="J131" s="1">
        <v>46023</v>
      </c>
      <c r="K131" t="s">
        <v>50</v>
      </c>
      <c r="L131" t="s">
        <v>51</v>
      </c>
      <c r="M131" s="2">
        <v>0</v>
      </c>
      <c r="N131" s="2">
        <v>15</v>
      </c>
      <c r="O131">
        <v>1</v>
      </c>
      <c r="P131" s="3">
        <v>1</v>
      </c>
      <c r="Q131" s="2">
        <v>15</v>
      </c>
      <c r="S131" t="s">
        <v>802</v>
      </c>
    </row>
    <row r="132" spans="1:19" x14ac:dyDescent="0.25">
      <c r="A132" s="9">
        <v>102224674300</v>
      </c>
      <c r="B132" s="9" t="str">
        <f t="shared" si="2"/>
        <v>102224674300OVR</v>
      </c>
      <c r="C132" t="s">
        <v>472</v>
      </c>
      <c r="E132" t="s">
        <v>45</v>
      </c>
      <c r="F132">
        <v>20411454</v>
      </c>
      <c r="G132" t="s">
        <v>830</v>
      </c>
      <c r="H132" t="s">
        <v>48</v>
      </c>
      <c r="I132" t="s">
        <v>314</v>
      </c>
      <c r="J132" s="1">
        <v>46023</v>
      </c>
      <c r="K132" t="s">
        <v>50</v>
      </c>
      <c r="L132" t="s">
        <v>51</v>
      </c>
      <c r="M132" s="2">
        <v>0</v>
      </c>
      <c r="N132" s="2">
        <v>15</v>
      </c>
      <c r="O132">
        <v>1</v>
      </c>
      <c r="P132" s="3">
        <v>1</v>
      </c>
      <c r="Q132" s="2">
        <v>15</v>
      </c>
      <c r="S132" t="s">
        <v>802</v>
      </c>
    </row>
    <row r="133" spans="1:19" x14ac:dyDescent="0.25">
      <c r="A133" s="9">
        <v>102224725700</v>
      </c>
      <c r="B133" s="9" t="str">
        <f t="shared" si="2"/>
        <v>102224725700OVR</v>
      </c>
      <c r="C133" t="s">
        <v>473</v>
      </c>
      <c r="E133" t="s">
        <v>45</v>
      </c>
      <c r="F133">
        <v>20411454</v>
      </c>
      <c r="G133" t="s">
        <v>830</v>
      </c>
      <c r="H133" t="s">
        <v>48</v>
      </c>
      <c r="I133" t="s">
        <v>314</v>
      </c>
      <c r="J133" s="1">
        <v>46023</v>
      </c>
      <c r="K133" t="s">
        <v>50</v>
      </c>
      <c r="L133" t="s">
        <v>51</v>
      </c>
      <c r="M133" s="2">
        <v>0</v>
      </c>
      <c r="N133" s="2">
        <v>15</v>
      </c>
      <c r="O133">
        <v>1</v>
      </c>
      <c r="P133" s="3">
        <v>1</v>
      </c>
      <c r="Q133" s="2">
        <v>15</v>
      </c>
      <c r="S133" t="s">
        <v>802</v>
      </c>
    </row>
    <row r="134" spans="1:19" x14ac:dyDescent="0.25">
      <c r="A134" s="9">
        <v>102224726700</v>
      </c>
      <c r="B134" s="9" t="str">
        <f t="shared" si="2"/>
        <v>102224726700OVR</v>
      </c>
      <c r="C134" t="s">
        <v>474</v>
      </c>
      <c r="E134" t="s">
        <v>45</v>
      </c>
      <c r="F134">
        <v>20411454</v>
      </c>
      <c r="G134" t="s">
        <v>830</v>
      </c>
      <c r="H134" t="s">
        <v>48</v>
      </c>
      <c r="I134" t="s">
        <v>314</v>
      </c>
      <c r="J134" s="1">
        <v>46023</v>
      </c>
      <c r="K134" t="s">
        <v>50</v>
      </c>
      <c r="L134" t="s">
        <v>51</v>
      </c>
      <c r="M134" s="2">
        <v>0</v>
      </c>
      <c r="N134" s="2">
        <v>15</v>
      </c>
      <c r="O134">
        <v>1</v>
      </c>
      <c r="P134" s="3">
        <v>1</v>
      </c>
      <c r="Q134" s="2">
        <v>15</v>
      </c>
      <c r="S134" t="s">
        <v>802</v>
      </c>
    </row>
    <row r="135" spans="1:19" x14ac:dyDescent="0.25">
      <c r="A135" s="9">
        <v>102224727600</v>
      </c>
      <c r="B135" s="9" t="str">
        <f t="shared" si="2"/>
        <v>102224727600OVR</v>
      </c>
      <c r="C135" t="s">
        <v>475</v>
      </c>
      <c r="E135" t="s">
        <v>69</v>
      </c>
      <c r="F135">
        <v>20411454</v>
      </c>
      <c r="G135" t="s">
        <v>830</v>
      </c>
      <c r="H135" t="s">
        <v>48</v>
      </c>
      <c r="I135" t="s">
        <v>314</v>
      </c>
      <c r="J135" s="1">
        <v>46023</v>
      </c>
      <c r="K135" t="s">
        <v>50</v>
      </c>
      <c r="L135" t="s">
        <v>51</v>
      </c>
      <c r="M135" s="2">
        <v>0</v>
      </c>
      <c r="N135" s="2">
        <v>15</v>
      </c>
      <c r="O135">
        <v>1</v>
      </c>
      <c r="P135" s="3">
        <v>1</v>
      </c>
      <c r="Q135" s="2">
        <v>15</v>
      </c>
      <c r="S135" t="s">
        <v>802</v>
      </c>
    </row>
    <row r="136" spans="1:19" x14ac:dyDescent="0.25">
      <c r="A136" s="9">
        <v>102224732100</v>
      </c>
      <c r="B136" s="9" t="str">
        <f t="shared" si="2"/>
        <v>102224732100OVR</v>
      </c>
      <c r="C136" t="s">
        <v>476</v>
      </c>
      <c r="E136" t="s">
        <v>45</v>
      </c>
      <c r="F136">
        <v>20411454</v>
      </c>
      <c r="G136" t="s">
        <v>830</v>
      </c>
      <c r="H136" t="s">
        <v>48</v>
      </c>
      <c r="I136" t="s">
        <v>314</v>
      </c>
      <c r="J136" s="1">
        <v>46023</v>
      </c>
      <c r="K136" t="s">
        <v>50</v>
      </c>
      <c r="L136" t="s">
        <v>51</v>
      </c>
      <c r="M136" s="2">
        <v>0</v>
      </c>
      <c r="N136" s="2">
        <v>15</v>
      </c>
      <c r="O136">
        <v>1</v>
      </c>
      <c r="P136" s="3">
        <v>1</v>
      </c>
      <c r="Q136" s="2">
        <v>15</v>
      </c>
      <c r="S136" t="s">
        <v>802</v>
      </c>
    </row>
    <row r="137" spans="1:19" x14ac:dyDescent="0.25">
      <c r="A137" s="9">
        <v>102224738500</v>
      </c>
      <c r="B137" s="9" t="str">
        <f t="shared" si="2"/>
        <v>102224738500OVR</v>
      </c>
      <c r="C137" t="s">
        <v>477</v>
      </c>
      <c r="E137" t="s">
        <v>69</v>
      </c>
      <c r="F137">
        <v>20411454</v>
      </c>
      <c r="G137" t="s">
        <v>830</v>
      </c>
      <c r="H137" t="s">
        <v>48</v>
      </c>
      <c r="I137" t="s">
        <v>314</v>
      </c>
      <c r="J137" s="1">
        <v>46023</v>
      </c>
      <c r="K137" t="s">
        <v>50</v>
      </c>
      <c r="L137" t="s">
        <v>51</v>
      </c>
      <c r="M137" s="2">
        <v>0</v>
      </c>
      <c r="N137" s="2">
        <v>15</v>
      </c>
      <c r="O137">
        <v>1</v>
      </c>
      <c r="P137" s="3">
        <v>1</v>
      </c>
      <c r="Q137" s="2">
        <v>15</v>
      </c>
      <c r="S137" t="s">
        <v>802</v>
      </c>
    </row>
    <row r="138" spans="1:19" x14ac:dyDescent="0.25">
      <c r="A138" s="9">
        <v>102224739800</v>
      </c>
      <c r="B138" s="9" t="str">
        <f t="shared" si="2"/>
        <v>102224739800OVR</v>
      </c>
      <c r="C138" t="s">
        <v>478</v>
      </c>
      <c r="E138" t="s">
        <v>45</v>
      </c>
      <c r="F138">
        <v>20411454</v>
      </c>
      <c r="G138" t="s">
        <v>830</v>
      </c>
      <c r="H138" t="s">
        <v>48</v>
      </c>
      <c r="I138" t="s">
        <v>314</v>
      </c>
      <c r="J138" s="1">
        <v>46023</v>
      </c>
      <c r="K138" t="s">
        <v>50</v>
      </c>
      <c r="L138" t="s">
        <v>51</v>
      </c>
      <c r="M138" s="2">
        <v>0</v>
      </c>
      <c r="N138" s="2">
        <v>15</v>
      </c>
      <c r="O138">
        <v>1</v>
      </c>
      <c r="P138" s="3">
        <v>1</v>
      </c>
      <c r="Q138" s="2">
        <v>15</v>
      </c>
      <c r="S138" t="s">
        <v>802</v>
      </c>
    </row>
    <row r="139" spans="1:19" x14ac:dyDescent="0.25">
      <c r="A139" s="9">
        <v>102224785100</v>
      </c>
      <c r="B139" s="9" t="str">
        <f t="shared" si="2"/>
        <v>102224785100OVR</v>
      </c>
      <c r="C139" t="s">
        <v>481</v>
      </c>
      <c r="E139" t="s">
        <v>69</v>
      </c>
      <c r="F139">
        <v>20411454</v>
      </c>
      <c r="G139" t="s">
        <v>830</v>
      </c>
      <c r="H139" t="s">
        <v>48</v>
      </c>
      <c r="I139" t="s">
        <v>314</v>
      </c>
      <c r="J139" s="1">
        <v>46023</v>
      </c>
      <c r="K139" t="s">
        <v>50</v>
      </c>
      <c r="L139" t="s">
        <v>51</v>
      </c>
      <c r="M139" s="2">
        <v>0</v>
      </c>
      <c r="N139" s="2">
        <v>15</v>
      </c>
      <c r="O139">
        <v>1</v>
      </c>
      <c r="P139" s="3">
        <v>1</v>
      </c>
      <c r="Q139" s="2">
        <v>15</v>
      </c>
      <c r="S139" t="s">
        <v>802</v>
      </c>
    </row>
    <row r="140" spans="1:19" x14ac:dyDescent="0.25">
      <c r="A140" s="9">
        <v>102224806400</v>
      </c>
      <c r="B140" s="9" t="str">
        <f t="shared" si="2"/>
        <v>102224806400OVR</v>
      </c>
      <c r="C140" t="s">
        <v>482</v>
      </c>
      <c r="E140" t="s">
        <v>45</v>
      </c>
      <c r="F140">
        <v>20411454</v>
      </c>
      <c r="G140" t="s">
        <v>830</v>
      </c>
      <c r="H140" t="s">
        <v>48</v>
      </c>
      <c r="I140" t="s">
        <v>314</v>
      </c>
      <c r="J140" s="1">
        <v>46023</v>
      </c>
      <c r="K140" t="s">
        <v>50</v>
      </c>
      <c r="L140" t="s">
        <v>51</v>
      </c>
      <c r="M140" s="2">
        <v>0</v>
      </c>
      <c r="N140" s="2">
        <v>15</v>
      </c>
      <c r="O140">
        <v>1</v>
      </c>
      <c r="P140" s="3">
        <v>1</v>
      </c>
      <c r="Q140" s="2">
        <v>15</v>
      </c>
      <c r="S140" t="s">
        <v>802</v>
      </c>
    </row>
    <row r="141" spans="1:19" x14ac:dyDescent="0.25">
      <c r="A141" s="9">
        <v>102224814400</v>
      </c>
      <c r="B141" s="9" t="str">
        <f t="shared" si="2"/>
        <v>102224814400OVR</v>
      </c>
      <c r="C141" t="s">
        <v>483</v>
      </c>
      <c r="E141" t="s">
        <v>45</v>
      </c>
      <c r="F141">
        <v>20411454</v>
      </c>
      <c r="G141" t="s">
        <v>830</v>
      </c>
      <c r="H141" t="s">
        <v>48</v>
      </c>
      <c r="I141" t="s">
        <v>314</v>
      </c>
      <c r="J141" s="1">
        <v>46023</v>
      </c>
      <c r="K141" t="s">
        <v>50</v>
      </c>
      <c r="L141" t="s">
        <v>51</v>
      </c>
      <c r="M141" s="2">
        <v>0</v>
      </c>
      <c r="N141" s="2">
        <v>15</v>
      </c>
      <c r="O141">
        <v>1</v>
      </c>
      <c r="P141" s="3">
        <v>1</v>
      </c>
      <c r="Q141" s="2">
        <v>15</v>
      </c>
      <c r="S141" t="s">
        <v>802</v>
      </c>
    </row>
    <row r="142" spans="1:19" x14ac:dyDescent="0.25">
      <c r="A142" s="9">
        <v>102224822200</v>
      </c>
      <c r="B142" s="9" t="str">
        <f t="shared" si="2"/>
        <v>102224822200OVR</v>
      </c>
      <c r="C142" t="s">
        <v>484</v>
      </c>
      <c r="E142" t="s">
        <v>316</v>
      </c>
      <c r="F142">
        <v>20411454</v>
      </c>
      <c r="G142" t="s">
        <v>830</v>
      </c>
      <c r="H142" t="s">
        <v>48</v>
      </c>
      <c r="I142" t="s">
        <v>314</v>
      </c>
      <c r="J142" s="1">
        <v>46023</v>
      </c>
      <c r="K142" t="s">
        <v>50</v>
      </c>
      <c r="L142" t="s">
        <v>51</v>
      </c>
      <c r="M142" s="2">
        <v>0</v>
      </c>
      <c r="N142" s="2">
        <v>15</v>
      </c>
      <c r="O142">
        <v>1</v>
      </c>
      <c r="P142" s="3">
        <v>1</v>
      </c>
      <c r="Q142" s="2">
        <v>15</v>
      </c>
      <c r="S142" t="s">
        <v>802</v>
      </c>
    </row>
    <row r="143" spans="1:19" x14ac:dyDescent="0.25">
      <c r="A143" s="9">
        <v>102224832700</v>
      </c>
      <c r="B143" s="9" t="str">
        <f t="shared" si="2"/>
        <v>102224832700OVR</v>
      </c>
      <c r="C143" t="s">
        <v>487</v>
      </c>
      <c r="E143" t="s">
        <v>45</v>
      </c>
      <c r="F143">
        <v>20411454</v>
      </c>
      <c r="G143" t="s">
        <v>830</v>
      </c>
      <c r="H143" t="s">
        <v>48</v>
      </c>
      <c r="I143" t="s">
        <v>314</v>
      </c>
      <c r="J143" s="1">
        <v>46023</v>
      </c>
      <c r="K143" t="s">
        <v>50</v>
      </c>
      <c r="L143" t="s">
        <v>51</v>
      </c>
      <c r="M143" s="2">
        <v>0</v>
      </c>
      <c r="N143" s="2">
        <v>15</v>
      </c>
      <c r="O143">
        <v>1</v>
      </c>
      <c r="P143" s="3">
        <v>1</v>
      </c>
      <c r="Q143" s="2">
        <v>15</v>
      </c>
      <c r="S143" t="s">
        <v>802</v>
      </c>
    </row>
    <row r="144" spans="1:19" x14ac:dyDescent="0.25">
      <c r="A144" s="9">
        <v>102224835300</v>
      </c>
      <c r="B144" s="9" t="str">
        <f t="shared" si="2"/>
        <v>102224835300OVR</v>
      </c>
      <c r="C144" t="s">
        <v>490</v>
      </c>
      <c r="E144" t="s">
        <v>113</v>
      </c>
      <c r="F144">
        <v>20411454</v>
      </c>
      <c r="G144" t="s">
        <v>830</v>
      </c>
      <c r="H144" t="s">
        <v>48</v>
      </c>
      <c r="I144" t="s">
        <v>314</v>
      </c>
      <c r="J144" s="1">
        <v>46023</v>
      </c>
      <c r="K144" t="s">
        <v>50</v>
      </c>
      <c r="L144" t="s">
        <v>51</v>
      </c>
      <c r="M144" s="2">
        <v>0</v>
      </c>
      <c r="N144" s="2">
        <v>15</v>
      </c>
      <c r="O144">
        <v>1</v>
      </c>
      <c r="P144" s="3">
        <v>1</v>
      </c>
      <c r="Q144" s="2">
        <v>15</v>
      </c>
      <c r="S144" t="s">
        <v>802</v>
      </c>
    </row>
    <row r="145" spans="1:19" x14ac:dyDescent="0.25">
      <c r="A145" s="9">
        <v>102224867000</v>
      </c>
      <c r="B145" s="9" t="str">
        <f t="shared" si="2"/>
        <v>102224867000OVR</v>
      </c>
      <c r="C145" t="s">
        <v>491</v>
      </c>
      <c r="E145" t="s">
        <v>45</v>
      </c>
      <c r="F145">
        <v>20411454</v>
      </c>
      <c r="G145" t="s">
        <v>830</v>
      </c>
      <c r="H145" t="s">
        <v>48</v>
      </c>
      <c r="I145" t="s">
        <v>314</v>
      </c>
      <c r="J145" s="1">
        <v>46023</v>
      </c>
      <c r="K145" t="s">
        <v>50</v>
      </c>
      <c r="L145" t="s">
        <v>51</v>
      </c>
      <c r="M145" s="2">
        <v>0</v>
      </c>
      <c r="N145" s="2">
        <v>15</v>
      </c>
      <c r="O145">
        <v>1</v>
      </c>
      <c r="P145" s="3">
        <v>1</v>
      </c>
      <c r="Q145" s="2">
        <v>15</v>
      </c>
      <c r="S145" t="s">
        <v>802</v>
      </c>
    </row>
    <row r="146" spans="1:19" x14ac:dyDescent="0.25">
      <c r="A146" s="9">
        <v>102224871400</v>
      </c>
      <c r="B146" s="9" t="str">
        <f t="shared" si="2"/>
        <v>102224871400OVR</v>
      </c>
      <c r="C146" t="s">
        <v>492</v>
      </c>
      <c r="E146" t="s">
        <v>45</v>
      </c>
      <c r="F146">
        <v>20411454</v>
      </c>
      <c r="G146" t="s">
        <v>830</v>
      </c>
      <c r="H146" t="s">
        <v>48</v>
      </c>
      <c r="I146" t="s">
        <v>314</v>
      </c>
      <c r="J146" s="1">
        <v>46023</v>
      </c>
      <c r="K146" t="s">
        <v>50</v>
      </c>
      <c r="L146" t="s">
        <v>51</v>
      </c>
      <c r="M146" s="2">
        <v>0</v>
      </c>
      <c r="N146" s="2">
        <v>15</v>
      </c>
      <c r="O146">
        <v>1</v>
      </c>
      <c r="P146" s="3">
        <v>1</v>
      </c>
      <c r="Q146" s="2">
        <v>15</v>
      </c>
      <c r="S146" t="s">
        <v>802</v>
      </c>
    </row>
    <row r="147" spans="1:19" x14ac:dyDescent="0.25">
      <c r="A147" s="9">
        <v>102224942800</v>
      </c>
      <c r="B147" s="9" t="str">
        <f t="shared" si="2"/>
        <v>102224942800OVR</v>
      </c>
      <c r="C147" t="s">
        <v>493</v>
      </c>
      <c r="E147" t="s">
        <v>45</v>
      </c>
      <c r="F147">
        <v>20411454</v>
      </c>
      <c r="G147" t="s">
        <v>830</v>
      </c>
      <c r="H147" t="s">
        <v>48</v>
      </c>
      <c r="I147" t="s">
        <v>314</v>
      </c>
      <c r="J147" s="1">
        <v>46023</v>
      </c>
      <c r="K147" t="s">
        <v>50</v>
      </c>
      <c r="L147" t="s">
        <v>51</v>
      </c>
      <c r="M147" s="2">
        <v>0</v>
      </c>
      <c r="N147" s="2">
        <v>15</v>
      </c>
      <c r="O147">
        <v>1</v>
      </c>
      <c r="P147" s="3">
        <v>1</v>
      </c>
      <c r="Q147" s="2">
        <v>15</v>
      </c>
      <c r="S147" t="s">
        <v>802</v>
      </c>
    </row>
    <row r="148" spans="1:19" x14ac:dyDescent="0.25">
      <c r="A148" s="9">
        <v>102225094000</v>
      </c>
      <c r="B148" s="9" t="str">
        <f t="shared" si="2"/>
        <v>102225094000OVR</v>
      </c>
      <c r="C148" t="s">
        <v>496</v>
      </c>
      <c r="E148" t="s">
        <v>45</v>
      </c>
      <c r="F148">
        <v>20411454</v>
      </c>
      <c r="G148" t="s">
        <v>830</v>
      </c>
      <c r="H148" t="s">
        <v>48</v>
      </c>
      <c r="I148" t="s">
        <v>314</v>
      </c>
      <c r="J148" s="1">
        <v>46023</v>
      </c>
      <c r="K148" t="s">
        <v>50</v>
      </c>
      <c r="L148" t="s">
        <v>51</v>
      </c>
      <c r="M148" s="2">
        <v>0</v>
      </c>
      <c r="N148" s="2">
        <v>15</v>
      </c>
      <c r="O148">
        <v>1</v>
      </c>
      <c r="P148" s="3">
        <v>1</v>
      </c>
      <c r="Q148" s="2">
        <v>15</v>
      </c>
      <c r="S148" t="s">
        <v>802</v>
      </c>
    </row>
    <row r="149" spans="1:19" x14ac:dyDescent="0.25">
      <c r="A149" s="9">
        <v>102225332300</v>
      </c>
      <c r="B149" s="9" t="str">
        <f t="shared" si="2"/>
        <v>102225332300OVR</v>
      </c>
      <c r="C149" t="s">
        <v>497</v>
      </c>
      <c r="E149" t="s">
        <v>45</v>
      </c>
      <c r="F149">
        <v>20411454</v>
      </c>
      <c r="G149" t="s">
        <v>830</v>
      </c>
      <c r="H149" t="s">
        <v>48</v>
      </c>
      <c r="I149" t="s">
        <v>314</v>
      </c>
      <c r="J149" s="1">
        <v>46023</v>
      </c>
      <c r="K149" t="s">
        <v>50</v>
      </c>
      <c r="L149" t="s">
        <v>51</v>
      </c>
      <c r="M149" s="2">
        <v>0</v>
      </c>
      <c r="N149" s="2">
        <v>15</v>
      </c>
      <c r="O149">
        <v>1</v>
      </c>
      <c r="P149" s="3">
        <v>1</v>
      </c>
      <c r="Q149" s="2">
        <v>15</v>
      </c>
      <c r="S149" t="s">
        <v>802</v>
      </c>
    </row>
    <row r="150" spans="1:19" x14ac:dyDescent="0.25">
      <c r="A150" s="9">
        <v>102225381000</v>
      </c>
      <c r="B150" s="9" t="str">
        <f t="shared" si="2"/>
        <v>102225381000OVR</v>
      </c>
      <c r="C150" t="s">
        <v>498</v>
      </c>
      <c r="E150" t="s">
        <v>69</v>
      </c>
      <c r="F150">
        <v>20411454</v>
      </c>
      <c r="G150" t="s">
        <v>830</v>
      </c>
      <c r="H150" t="s">
        <v>48</v>
      </c>
      <c r="I150" t="s">
        <v>314</v>
      </c>
      <c r="J150" s="1">
        <v>46023</v>
      </c>
      <c r="K150" t="s">
        <v>50</v>
      </c>
      <c r="L150" t="s">
        <v>51</v>
      </c>
      <c r="M150" s="2">
        <v>0</v>
      </c>
      <c r="N150" s="2">
        <v>15</v>
      </c>
      <c r="O150">
        <v>1</v>
      </c>
      <c r="P150" s="3">
        <v>1</v>
      </c>
      <c r="Q150" s="2">
        <v>15</v>
      </c>
      <c r="S150" t="s">
        <v>802</v>
      </c>
    </row>
    <row r="151" spans="1:19" x14ac:dyDescent="0.25">
      <c r="A151" s="9">
        <v>102225477100</v>
      </c>
      <c r="B151" s="9" t="str">
        <f t="shared" si="2"/>
        <v>102225477100OVR</v>
      </c>
      <c r="C151" t="s">
        <v>499</v>
      </c>
      <c r="E151" t="s">
        <v>69</v>
      </c>
      <c r="F151">
        <v>20411454</v>
      </c>
      <c r="G151" t="s">
        <v>830</v>
      </c>
      <c r="H151" t="s">
        <v>48</v>
      </c>
      <c r="I151" t="s">
        <v>314</v>
      </c>
      <c r="J151" s="1">
        <v>46023</v>
      </c>
      <c r="K151" t="s">
        <v>50</v>
      </c>
      <c r="L151" t="s">
        <v>51</v>
      </c>
      <c r="M151" s="2">
        <v>0</v>
      </c>
      <c r="N151" s="2">
        <v>15</v>
      </c>
      <c r="O151">
        <v>1</v>
      </c>
      <c r="P151" s="3">
        <v>1</v>
      </c>
      <c r="Q151" s="2">
        <v>15</v>
      </c>
      <c r="S151" t="s">
        <v>802</v>
      </c>
    </row>
    <row r="152" spans="1:19" x14ac:dyDescent="0.25">
      <c r="A152" s="9">
        <v>102225881600</v>
      </c>
      <c r="B152" s="9" t="str">
        <f t="shared" si="2"/>
        <v>102225881600OVR</v>
      </c>
      <c r="C152" t="s">
        <v>501</v>
      </c>
      <c r="E152" t="s">
        <v>45</v>
      </c>
      <c r="F152">
        <v>20411454</v>
      </c>
      <c r="G152" t="s">
        <v>830</v>
      </c>
      <c r="H152" t="s">
        <v>48</v>
      </c>
      <c r="I152" t="s">
        <v>314</v>
      </c>
      <c r="J152" s="1">
        <v>46023</v>
      </c>
      <c r="K152" t="s">
        <v>50</v>
      </c>
      <c r="L152" t="s">
        <v>51</v>
      </c>
      <c r="M152" s="2">
        <v>0</v>
      </c>
      <c r="N152" s="2">
        <v>15</v>
      </c>
      <c r="O152">
        <v>1</v>
      </c>
      <c r="P152" s="3">
        <v>1</v>
      </c>
      <c r="Q152" s="2">
        <v>15</v>
      </c>
      <c r="S152" t="s">
        <v>802</v>
      </c>
    </row>
    <row r="153" spans="1:19" x14ac:dyDescent="0.25">
      <c r="A153" s="9">
        <v>102225932800</v>
      </c>
      <c r="B153" s="9" t="str">
        <f t="shared" si="2"/>
        <v>102225932800OVR</v>
      </c>
      <c r="C153" t="s">
        <v>502</v>
      </c>
      <c r="E153" t="s">
        <v>316</v>
      </c>
      <c r="F153">
        <v>20411454</v>
      </c>
      <c r="G153" t="s">
        <v>830</v>
      </c>
      <c r="H153" t="s">
        <v>48</v>
      </c>
      <c r="I153" t="s">
        <v>314</v>
      </c>
      <c r="J153" s="1">
        <v>46023</v>
      </c>
      <c r="K153" t="s">
        <v>50</v>
      </c>
      <c r="L153" t="s">
        <v>51</v>
      </c>
      <c r="M153" s="2">
        <v>0</v>
      </c>
      <c r="N153" s="2">
        <v>15</v>
      </c>
      <c r="O153">
        <v>1</v>
      </c>
      <c r="P153" s="3">
        <v>1</v>
      </c>
      <c r="Q153" s="2">
        <v>15</v>
      </c>
      <c r="S153" t="s">
        <v>802</v>
      </c>
    </row>
    <row r="154" spans="1:19" x14ac:dyDescent="0.25">
      <c r="A154" s="9">
        <v>102225940300</v>
      </c>
      <c r="B154" s="9" t="str">
        <f t="shared" si="2"/>
        <v>102225940300OVR</v>
      </c>
      <c r="C154" t="s">
        <v>503</v>
      </c>
      <c r="E154" t="s">
        <v>45</v>
      </c>
      <c r="F154">
        <v>20411454</v>
      </c>
      <c r="G154" t="s">
        <v>830</v>
      </c>
      <c r="H154" t="s">
        <v>48</v>
      </c>
      <c r="I154" t="s">
        <v>314</v>
      </c>
      <c r="J154" s="1">
        <v>46023</v>
      </c>
      <c r="K154" t="s">
        <v>50</v>
      </c>
      <c r="L154" t="s">
        <v>51</v>
      </c>
      <c r="M154" s="2">
        <v>0</v>
      </c>
      <c r="N154" s="2">
        <v>15</v>
      </c>
      <c r="O154">
        <v>1</v>
      </c>
      <c r="P154" s="3">
        <v>1</v>
      </c>
      <c r="Q154" s="2">
        <v>15</v>
      </c>
      <c r="S154" t="s">
        <v>802</v>
      </c>
    </row>
    <row r="155" spans="1:19" x14ac:dyDescent="0.25">
      <c r="A155" s="9">
        <v>102226023700</v>
      </c>
      <c r="B155" s="9" t="str">
        <f t="shared" si="2"/>
        <v>102226023700OVR</v>
      </c>
      <c r="C155" t="s">
        <v>504</v>
      </c>
      <c r="E155" t="s">
        <v>69</v>
      </c>
      <c r="F155">
        <v>20411454</v>
      </c>
      <c r="G155" t="s">
        <v>830</v>
      </c>
      <c r="H155" t="s">
        <v>48</v>
      </c>
      <c r="I155" t="s">
        <v>314</v>
      </c>
      <c r="J155" s="1">
        <v>46023</v>
      </c>
      <c r="K155" t="s">
        <v>50</v>
      </c>
      <c r="L155" t="s">
        <v>51</v>
      </c>
      <c r="M155" s="2">
        <v>0</v>
      </c>
      <c r="N155" s="2">
        <v>15</v>
      </c>
      <c r="O155">
        <v>1</v>
      </c>
      <c r="P155" s="3">
        <v>1</v>
      </c>
      <c r="Q155" s="2">
        <v>15</v>
      </c>
      <c r="S155" t="s">
        <v>802</v>
      </c>
    </row>
    <row r="156" spans="1:19" x14ac:dyDescent="0.25">
      <c r="A156" s="9">
        <v>102226765000</v>
      </c>
      <c r="B156" s="9" t="str">
        <f t="shared" si="2"/>
        <v>102226765000OVR</v>
      </c>
      <c r="C156" t="s">
        <v>506</v>
      </c>
      <c r="E156" t="s">
        <v>45</v>
      </c>
      <c r="F156">
        <v>20411454</v>
      </c>
      <c r="G156" t="s">
        <v>830</v>
      </c>
      <c r="H156" t="s">
        <v>48</v>
      </c>
      <c r="I156" t="s">
        <v>314</v>
      </c>
      <c r="J156" s="1">
        <v>46023</v>
      </c>
      <c r="K156" t="s">
        <v>50</v>
      </c>
      <c r="L156" t="s">
        <v>51</v>
      </c>
      <c r="M156" s="2">
        <v>0</v>
      </c>
      <c r="N156" s="2">
        <v>15</v>
      </c>
      <c r="O156">
        <v>1</v>
      </c>
      <c r="P156" s="3">
        <v>1</v>
      </c>
      <c r="Q156" s="2">
        <v>15</v>
      </c>
      <c r="S156" t="s">
        <v>802</v>
      </c>
    </row>
    <row r="157" spans="1:19" x14ac:dyDescent="0.25">
      <c r="A157" s="9">
        <v>102226787800</v>
      </c>
      <c r="B157" s="9" t="str">
        <f t="shared" si="2"/>
        <v>102226787800OVR</v>
      </c>
      <c r="C157" t="s">
        <v>507</v>
      </c>
      <c r="E157" t="s">
        <v>316</v>
      </c>
      <c r="F157">
        <v>20411454</v>
      </c>
      <c r="G157" t="s">
        <v>830</v>
      </c>
      <c r="H157" t="s">
        <v>48</v>
      </c>
      <c r="I157" t="s">
        <v>314</v>
      </c>
      <c r="J157" s="1">
        <v>46023</v>
      </c>
      <c r="K157" t="s">
        <v>50</v>
      </c>
      <c r="L157" t="s">
        <v>51</v>
      </c>
      <c r="M157" s="2">
        <v>0</v>
      </c>
      <c r="N157" s="2">
        <v>15</v>
      </c>
      <c r="O157">
        <v>1</v>
      </c>
      <c r="P157" s="3">
        <v>1</v>
      </c>
      <c r="Q157" s="2">
        <v>15</v>
      </c>
      <c r="S157" t="s">
        <v>802</v>
      </c>
    </row>
    <row r="158" spans="1:19" x14ac:dyDescent="0.25">
      <c r="A158" s="9">
        <v>102226811100</v>
      </c>
      <c r="B158" s="9" t="str">
        <f t="shared" si="2"/>
        <v>102226811100OVR</v>
      </c>
      <c r="C158" t="s">
        <v>510</v>
      </c>
      <c r="E158" t="s">
        <v>45</v>
      </c>
      <c r="F158">
        <v>20411454</v>
      </c>
      <c r="G158" t="s">
        <v>830</v>
      </c>
      <c r="H158" t="s">
        <v>48</v>
      </c>
      <c r="I158" t="s">
        <v>314</v>
      </c>
      <c r="J158" s="1">
        <v>46023</v>
      </c>
      <c r="K158" t="s">
        <v>50</v>
      </c>
      <c r="L158" t="s">
        <v>51</v>
      </c>
      <c r="M158" s="2">
        <v>0</v>
      </c>
      <c r="N158" s="2">
        <v>15</v>
      </c>
      <c r="O158">
        <v>1</v>
      </c>
      <c r="P158" s="3">
        <v>1</v>
      </c>
      <c r="Q158" s="2">
        <v>15</v>
      </c>
      <c r="S158" t="s">
        <v>802</v>
      </c>
    </row>
    <row r="159" spans="1:19" x14ac:dyDescent="0.25">
      <c r="A159" s="9">
        <v>102226815500</v>
      </c>
      <c r="B159" s="9" t="str">
        <f t="shared" si="2"/>
        <v>102226815500OVR</v>
      </c>
      <c r="C159" t="s">
        <v>511</v>
      </c>
      <c r="E159" t="s">
        <v>45</v>
      </c>
      <c r="F159">
        <v>20411454</v>
      </c>
      <c r="G159" t="s">
        <v>830</v>
      </c>
      <c r="H159" t="s">
        <v>48</v>
      </c>
      <c r="I159" t="s">
        <v>314</v>
      </c>
      <c r="J159" s="1">
        <v>46023</v>
      </c>
      <c r="K159" t="s">
        <v>50</v>
      </c>
      <c r="L159" t="s">
        <v>51</v>
      </c>
      <c r="M159" s="2">
        <v>0</v>
      </c>
      <c r="N159" s="2">
        <v>15</v>
      </c>
      <c r="O159">
        <v>1</v>
      </c>
      <c r="P159" s="3">
        <v>1</v>
      </c>
      <c r="Q159" s="2">
        <v>15</v>
      </c>
      <c r="S159" t="s">
        <v>802</v>
      </c>
    </row>
    <row r="160" spans="1:19" x14ac:dyDescent="0.25">
      <c r="A160" s="9">
        <v>102226874700</v>
      </c>
      <c r="B160" s="9" t="str">
        <f t="shared" si="2"/>
        <v>102226874700OVR</v>
      </c>
      <c r="C160" t="s">
        <v>512</v>
      </c>
      <c r="E160" t="s">
        <v>69</v>
      </c>
      <c r="F160">
        <v>20411454</v>
      </c>
      <c r="G160" t="s">
        <v>830</v>
      </c>
      <c r="H160" t="s">
        <v>48</v>
      </c>
      <c r="I160" t="s">
        <v>314</v>
      </c>
      <c r="J160" s="1">
        <v>46023</v>
      </c>
      <c r="K160" t="s">
        <v>50</v>
      </c>
      <c r="L160" t="s">
        <v>51</v>
      </c>
      <c r="M160" s="2">
        <v>0</v>
      </c>
      <c r="N160" s="2">
        <v>15</v>
      </c>
      <c r="O160">
        <v>1</v>
      </c>
      <c r="P160" s="3">
        <v>1</v>
      </c>
      <c r="Q160" s="2">
        <v>15</v>
      </c>
      <c r="S160" t="s">
        <v>802</v>
      </c>
    </row>
    <row r="161" spans="1:19" x14ac:dyDescent="0.25">
      <c r="A161" s="9">
        <v>102226985300</v>
      </c>
      <c r="B161" s="9" t="str">
        <f t="shared" si="2"/>
        <v>102226985300OVR</v>
      </c>
      <c r="C161" t="s">
        <v>513</v>
      </c>
      <c r="E161" t="s">
        <v>113</v>
      </c>
      <c r="F161">
        <v>20411454</v>
      </c>
      <c r="G161" t="s">
        <v>830</v>
      </c>
      <c r="H161" t="s">
        <v>48</v>
      </c>
      <c r="I161" t="s">
        <v>314</v>
      </c>
      <c r="J161" s="1">
        <v>46023</v>
      </c>
      <c r="K161" t="s">
        <v>50</v>
      </c>
      <c r="L161" t="s">
        <v>51</v>
      </c>
      <c r="M161" s="2">
        <v>0</v>
      </c>
      <c r="N161" s="2">
        <v>15</v>
      </c>
      <c r="O161">
        <v>1</v>
      </c>
      <c r="P161" s="3">
        <v>1</v>
      </c>
      <c r="Q161" s="2">
        <v>15</v>
      </c>
      <c r="S161" t="s">
        <v>802</v>
      </c>
    </row>
    <row r="162" spans="1:19" x14ac:dyDescent="0.25">
      <c r="A162" s="9">
        <v>102227121800</v>
      </c>
      <c r="B162" s="9" t="str">
        <f t="shared" si="2"/>
        <v>102227121800OVR</v>
      </c>
      <c r="C162" t="s">
        <v>514</v>
      </c>
      <c r="E162" t="s">
        <v>69</v>
      </c>
      <c r="F162">
        <v>20411454</v>
      </c>
      <c r="G162" t="s">
        <v>830</v>
      </c>
      <c r="H162" t="s">
        <v>48</v>
      </c>
      <c r="I162" t="s">
        <v>314</v>
      </c>
      <c r="J162" s="1">
        <v>46023</v>
      </c>
      <c r="K162" t="s">
        <v>50</v>
      </c>
      <c r="L162" t="s">
        <v>51</v>
      </c>
      <c r="M162" s="2">
        <v>0</v>
      </c>
      <c r="N162" s="2">
        <v>15</v>
      </c>
      <c r="O162">
        <v>1</v>
      </c>
      <c r="P162" s="3">
        <v>1</v>
      </c>
      <c r="Q162" s="2">
        <v>15</v>
      </c>
      <c r="S162" t="s">
        <v>802</v>
      </c>
    </row>
    <row r="163" spans="1:19" x14ac:dyDescent="0.25">
      <c r="A163" s="9">
        <v>102228383100</v>
      </c>
      <c r="B163" s="9" t="str">
        <f t="shared" si="2"/>
        <v>102228383100OVR</v>
      </c>
      <c r="C163" t="s">
        <v>517</v>
      </c>
      <c r="E163" t="s">
        <v>45</v>
      </c>
      <c r="F163">
        <v>20411454</v>
      </c>
      <c r="G163" t="s">
        <v>830</v>
      </c>
      <c r="H163" t="s">
        <v>48</v>
      </c>
      <c r="I163" t="s">
        <v>314</v>
      </c>
      <c r="J163" s="1">
        <v>46023</v>
      </c>
      <c r="K163" t="s">
        <v>50</v>
      </c>
      <c r="L163" t="s">
        <v>51</v>
      </c>
      <c r="M163" s="2">
        <v>0</v>
      </c>
      <c r="N163" s="2">
        <v>15</v>
      </c>
      <c r="O163">
        <v>1</v>
      </c>
      <c r="P163" s="3">
        <v>1</v>
      </c>
      <c r="Q163" s="2">
        <v>15</v>
      </c>
      <c r="S163" t="s">
        <v>802</v>
      </c>
    </row>
    <row r="164" spans="1:19" x14ac:dyDescent="0.25">
      <c r="A164" s="9">
        <v>102228439400</v>
      </c>
      <c r="B164" s="9" t="str">
        <f t="shared" si="2"/>
        <v>102228439400OVR</v>
      </c>
      <c r="C164" t="s">
        <v>520</v>
      </c>
      <c r="E164" t="s">
        <v>45</v>
      </c>
      <c r="F164">
        <v>20411454</v>
      </c>
      <c r="G164" t="s">
        <v>830</v>
      </c>
      <c r="H164" t="s">
        <v>48</v>
      </c>
      <c r="I164" t="s">
        <v>314</v>
      </c>
      <c r="J164" s="1">
        <v>46023</v>
      </c>
      <c r="K164" t="s">
        <v>50</v>
      </c>
      <c r="L164" t="s">
        <v>51</v>
      </c>
      <c r="M164" s="2">
        <v>0</v>
      </c>
      <c r="N164" s="2">
        <v>15</v>
      </c>
      <c r="O164">
        <v>1</v>
      </c>
      <c r="P164" s="3">
        <v>1</v>
      </c>
      <c r="Q164" s="2">
        <v>15</v>
      </c>
      <c r="S164" t="s">
        <v>802</v>
      </c>
    </row>
    <row r="165" spans="1:19" x14ac:dyDescent="0.25">
      <c r="A165" s="9">
        <v>102228442200</v>
      </c>
      <c r="B165" s="9" t="str">
        <f t="shared" si="2"/>
        <v>102228442200OVR</v>
      </c>
      <c r="C165" t="s">
        <v>521</v>
      </c>
      <c r="E165" t="s">
        <v>45</v>
      </c>
      <c r="F165">
        <v>20411454</v>
      </c>
      <c r="G165" t="s">
        <v>830</v>
      </c>
      <c r="H165" t="s">
        <v>48</v>
      </c>
      <c r="I165" t="s">
        <v>314</v>
      </c>
      <c r="J165" s="1">
        <v>46023</v>
      </c>
      <c r="K165" t="s">
        <v>50</v>
      </c>
      <c r="L165" t="s">
        <v>51</v>
      </c>
      <c r="M165" s="2">
        <v>0</v>
      </c>
      <c r="N165" s="2">
        <v>15</v>
      </c>
      <c r="O165">
        <v>1</v>
      </c>
      <c r="P165" s="3">
        <v>1</v>
      </c>
      <c r="Q165" s="2">
        <v>15</v>
      </c>
      <c r="S165" t="s">
        <v>802</v>
      </c>
    </row>
    <row r="166" spans="1:19" x14ac:dyDescent="0.25">
      <c r="A166" s="9">
        <v>102228477200</v>
      </c>
      <c r="B166" s="9" t="str">
        <f t="shared" si="2"/>
        <v>102228477200OVR</v>
      </c>
      <c r="C166" t="s">
        <v>522</v>
      </c>
      <c r="E166" t="s">
        <v>83</v>
      </c>
      <c r="F166">
        <v>20411454</v>
      </c>
      <c r="G166" t="s">
        <v>830</v>
      </c>
      <c r="H166" t="s">
        <v>48</v>
      </c>
      <c r="I166" t="s">
        <v>314</v>
      </c>
      <c r="J166" s="1">
        <v>46023</v>
      </c>
      <c r="K166" t="s">
        <v>50</v>
      </c>
      <c r="L166" t="s">
        <v>51</v>
      </c>
      <c r="M166" s="2">
        <v>0</v>
      </c>
      <c r="N166" s="2">
        <v>15</v>
      </c>
      <c r="O166">
        <v>1</v>
      </c>
      <c r="P166" s="3">
        <v>1</v>
      </c>
      <c r="Q166" s="2">
        <v>15</v>
      </c>
      <c r="S166" t="s">
        <v>802</v>
      </c>
    </row>
    <row r="167" spans="1:19" x14ac:dyDescent="0.25">
      <c r="A167" s="9">
        <v>102228479800</v>
      </c>
      <c r="B167" s="9" t="str">
        <f t="shared" si="2"/>
        <v>102228479800OVR</v>
      </c>
      <c r="C167" t="s">
        <v>523</v>
      </c>
      <c r="E167" t="s">
        <v>45</v>
      </c>
      <c r="F167">
        <v>20411454</v>
      </c>
      <c r="G167" t="s">
        <v>830</v>
      </c>
      <c r="H167" t="s">
        <v>48</v>
      </c>
      <c r="I167" t="s">
        <v>314</v>
      </c>
      <c r="J167" s="1">
        <v>46023</v>
      </c>
      <c r="K167" t="s">
        <v>50</v>
      </c>
      <c r="L167" t="s">
        <v>51</v>
      </c>
      <c r="M167" s="2">
        <v>0</v>
      </c>
      <c r="N167" s="2">
        <v>15</v>
      </c>
      <c r="O167">
        <v>1</v>
      </c>
      <c r="P167" s="3">
        <v>1</v>
      </c>
      <c r="Q167" s="2">
        <v>15</v>
      </c>
      <c r="S167" t="s">
        <v>802</v>
      </c>
    </row>
    <row r="168" spans="1:19" x14ac:dyDescent="0.25">
      <c r="A168" s="9">
        <v>102228492100</v>
      </c>
      <c r="B168" s="9" t="str">
        <f t="shared" si="2"/>
        <v>102228492100OVR</v>
      </c>
      <c r="C168" t="s">
        <v>524</v>
      </c>
      <c r="E168" t="s">
        <v>316</v>
      </c>
      <c r="F168">
        <v>20411454</v>
      </c>
      <c r="G168" t="s">
        <v>830</v>
      </c>
      <c r="H168" t="s">
        <v>48</v>
      </c>
      <c r="I168" t="s">
        <v>314</v>
      </c>
      <c r="J168" s="1">
        <v>46023</v>
      </c>
      <c r="K168" t="s">
        <v>50</v>
      </c>
      <c r="L168" t="s">
        <v>51</v>
      </c>
      <c r="M168" s="2">
        <v>0</v>
      </c>
      <c r="N168" s="2">
        <v>15</v>
      </c>
      <c r="O168">
        <v>1</v>
      </c>
      <c r="P168" s="3">
        <v>1</v>
      </c>
      <c r="Q168" s="2">
        <v>15</v>
      </c>
      <c r="S168" t="s">
        <v>802</v>
      </c>
    </row>
    <row r="169" spans="1:19" x14ac:dyDescent="0.25">
      <c r="A169" s="9">
        <v>102228552100</v>
      </c>
      <c r="B169" s="9" t="str">
        <f t="shared" si="2"/>
        <v>102228552100OVR</v>
      </c>
      <c r="C169" t="s">
        <v>525</v>
      </c>
      <c r="E169" t="s">
        <v>316</v>
      </c>
      <c r="F169">
        <v>20411454</v>
      </c>
      <c r="G169" t="s">
        <v>830</v>
      </c>
      <c r="H169" t="s">
        <v>48</v>
      </c>
      <c r="I169" t="s">
        <v>314</v>
      </c>
      <c r="J169" s="1">
        <v>46023</v>
      </c>
      <c r="K169" t="s">
        <v>50</v>
      </c>
      <c r="L169" t="s">
        <v>51</v>
      </c>
      <c r="M169" s="2">
        <v>0</v>
      </c>
      <c r="N169" s="2">
        <v>15</v>
      </c>
      <c r="O169">
        <v>1</v>
      </c>
      <c r="P169" s="3">
        <v>1</v>
      </c>
      <c r="Q169" s="2">
        <v>15</v>
      </c>
      <c r="S169" t="s">
        <v>802</v>
      </c>
    </row>
    <row r="170" spans="1:19" x14ac:dyDescent="0.25">
      <c r="A170" s="9">
        <v>102228573700</v>
      </c>
      <c r="B170" s="9" t="str">
        <f t="shared" si="2"/>
        <v>102228573700OVR</v>
      </c>
      <c r="C170" t="s">
        <v>526</v>
      </c>
      <c r="E170" t="s">
        <v>45</v>
      </c>
      <c r="F170">
        <v>20411454</v>
      </c>
      <c r="G170" t="s">
        <v>830</v>
      </c>
      <c r="H170" t="s">
        <v>48</v>
      </c>
      <c r="I170" t="s">
        <v>314</v>
      </c>
      <c r="J170" s="1">
        <v>46023</v>
      </c>
      <c r="K170" t="s">
        <v>50</v>
      </c>
      <c r="L170" t="s">
        <v>51</v>
      </c>
      <c r="M170" s="2">
        <v>0</v>
      </c>
      <c r="N170" s="2">
        <v>15</v>
      </c>
      <c r="O170">
        <v>1</v>
      </c>
      <c r="P170" s="3">
        <v>1</v>
      </c>
      <c r="Q170" s="2">
        <v>15</v>
      </c>
      <c r="S170" t="s">
        <v>802</v>
      </c>
    </row>
    <row r="171" spans="1:19" x14ac:dyDescent="0.25">
      <c r="A171" s="9">
        <v>102228592300</v>
      </c>
      <c r="B171" s="9" t="str">
        <f t="shared" si="2"/>
        <v>102228592300OVR</v>
      </c>
      <c r="C171" t="s">
        <v>527</v>
      </c>
      <c r="E171" t="s">
        <v>113</v>
      </c>
      <c r="F171">
        <v>20411454</v>
      </c>
      <c r="G171" t="s">
        <v>830</v>
      </c>
      <c r="H171" t="s">
        <v>48</v>
      </c>
      <c r="I171" t="s">
        <v>314</v>
      </c>
      <c r="J171" s="1">
        <v>46023</v>
      </c>
      <c r="K171" t="s">
        <v>50</v>
      </c>
      <c r="L171" t="s">
        <v>51</v>
      </c>
      <c r="M171" s="2">
        <v>0</v>
      </c>
      <c r="N171" s="2">
        <v>15</v>
      </c>
      <c r="O171">
        <v>1</v>
      </c>
      <c r="P171" s="3">
        <v>1</v>
      </c>
      <c r="Q171" s="2">
        <v>15</v>
      </c>
      <c r="S171" t="s">
        <v>802</v>
      </c>
    </row>
    <row r="172" spans="1:19" x14ac:dyDescent="0.25">
      <c r="A172" s="9">
        <v>102228922000</v>
      </c>
      <c r="B172" s="9" t="str">
        <f t="shared" si="2"/>
        <v>102228922000OVR</v>
      </c>
      <c r="C172" t="s">
        <v>528</v>
      </c>
      <c r="E172" t="s">
        <v>45</v>
      </c>
      <c r="F172">
        <v>20411454</v>
      </c>
      <c r="G172" t="s">
        <v>830</v>
      </c>
      <c r="H172" t="s">
        <v>48</v>
      </c>
      <c r="I172" t="s">
        <v>314</v>
      </c>
      <c r="J172" s="1">
        <v>46023</v>
      </c>
      <c r="K172" t="s">
        <v>50</v>
      </c>
      <c r="L172" t="s">
        <v>51</v>
      </c>
      <c r="M172" s="2">
        <v>0</v>
      </c>
      <c r="N172" s="2">
        <v>15</v>
      </c>
      <c r="O172">
        <v>1</v>
      </c>
      <c r="P172" s="3">
        <v>1</v>
      </c>
      <c r="Q172" s="2">
        <v>15</v>
      </c>
      <c r="S172" t="s">
        <v>802</v>
      </c>
    </row>
    <row r="173" spans="1:19" x14ac:dyDescent="0.25">
      <c r="A173" s="9">
        <v>101626134200</v>
      </c>
      <c r="B173" s="9" t="str">
        <f t="shared" si="2"/>
        <v>101626134200OVR</v>
      </c>
      <c r="C173" t="s">
        <v>358</v>
      </c>
      <c r="E173" t="s">
        <v>359</v>
      </c>
      <c r="F173">
        <v>20411454</v>
      </c>
      <c r="G173" t="s">
        <v>830</v>
      </c>
      <c r="H173" t="s">
        <v>599</v>
      </c>
      <c r="I173" t="s">
        <v>314</v>
      </c>
      <c r="J173" s="1">
        <v>46023</v>
      </c>
      <c r="K173" t="s">
        <v>50</v>
      </c>
      <c r="L173" t="s">
        <v>51</v>
      </c>
      <c r="Q173">
        <v>-15</v>
      </c>
      <c r="S173" t="s">
        <v>802</v>
      </c>
    </row>
    <row r="174" spans="1:19" x14ac:dyDescent="0.25">
      <c r="A174" s="9">
        <v>102037220700</v>
      </c>
      <c r="B174" s="9" t="str">
        <f t="shared" si="2"/>
        <v>102037220700OVR</v>
      </c>
      <c r="C174" t="s">
        <v>621</v>
      </c>
      <c r="E174" t="s">
        <v>45</v>
      </c>
      <c r="F174">
        <v>20411454</v>
      </c>
      <c r="G174" t="s">
        <v>830</v>
      </c>
      <c r="H174" t="s">
        <v>599</v>
      </c>
      <c r="I174" t="s">
        <v>314</v>
      </c>
      <c r="J174" s="1">
        <v>46023</v>
      </c>
      <c r="K174" t="s">
        <v>50</v>
      </c>
      <c r="L174" t="s">
        <v>51</v>
      </c>
      <c r="Q174">
        <v>-15</v>
      </c>
      <c r="S174" t="s">
        <v>802</v>
      </c>
    </row>
    <row r="175" spans="1:19" x14ac:dyDescent="0.25">
      <c r="A175" s="9">
        <v>102222211400</v>
      </c>
      <c r="B175" s="9" t="str">
        <f t="shared" si="2"/>
        <v>102222211400OVR</v>
      </c>
      <c r="C175" t="s">
        <v>452</v>
      </c>
      <c r="E175" t="s">
        <v>316</v>
      </c>
      <c r="F175">
        <v>20411454</v>
      </c>
      <c r="G175" t="s">
        <v>830</v>
      </c>
      <c r="H175" t="s">
        <v>48</v>
      </c>
      <c r="I175" t="s">
        <v>453</v>
      </c>
      <c r="J175" s="1">
        <v>46054</v>
      </c>
      <c r="K175" t="s">
        <v>50</v>
      </c>
      <c r="L175" t="s">
        <v>51</v>
      </c>
      <c r="M175" s="2">
        <v>0</v>
      </c>
      <c r="N175" s="2">
        <v>22.92</v>
      </c>
      <c r="O175">
        <v>1</v>
      </c>
      <c r="P175" s="3">
        <v>1</v>
      </c>
      <c r="Q175" s="2">
        <v>22.92</v>
      </c>
      <c r="R175" t="s">
        <v>454</v>
      </c>
      <c r="S175" t="s">
        <v>802</v>
      </c>
    </row>
    <row r="176" spans="1:19" x14ac:dyDescent="0.25">
      <c r="A176" s="9">
        <v>102226592800</v>
      </c>
      <c r="B176" s="9" t="str">
        <f t="shared" si="2"/>
        <v>102226592800OVR</v>
      </c>
      <c r="C176" t="s">
        <v>505</v>
      </c>
      <c r="E176" t="s">
        <v>316</v>
      </c>
      <c r="F176">
        <v>20411454</v>
      </c>
      <c r="G176" t="s">
        <v>830</v>
      </c>
      <c r="H176" t="s">
        <v>48</v>
      </c>
      <c r="I176" t="s">
        <v>453</v>
      </c>
      <c r="J176" s="1">
        <v>46054</v>
      </c>
      <c r="K176" t="s">
        <v>50</v>
      </c>
      <c r="L176" t="s">
        <v>51</v>
      </c>
      <c r="M176" s="2">
        <v>0</v>
      </c>
      <c r="N176" s="2">
        <v>22.92</v>
      </c>
      <c r="O176">
        <v>1</v>
      </c>
      <c r="P176" s="3">
        <v>1</v>
      </c>
      <c r="Q176" s="2">
        <v>22.92</v>
      </c>
      <c r="R176" t="s">
        <v>454</v>
      </c>
      <c r="S176" t="s">
        <v>802</v>
      </c>
    </row>
    <row r="177" spans="1:19" x14ac:dyDescent="0.25">
      <c r="A177" s="9">
        <v>102224747400</v>
      </c>
      <c r="B177" s="9" t="str">
        <f t="shared" si="2"/>
        <v>102224747400OVR</v>
      </c>
      <c r="C177" t="s">
        <v>479</v>
      </c>
      <c r="E177" t="s">
        <v>359</v>
      </c>
      <c r="F177">
        <v>20411454</v>
      </c>
      <c r="G177" t="s">
        <v>830</v>
      </c>
      <c r="H177" t="s">
        <v>48</v>
      </c>
      <c r="I177" t="s">
        <v>480</v>
      </c>
      <c r="J177" s="1">
        <v>46054</v>
      </c>
      <c r="K177" t="s">
        <v>50</v>
      </c>
      <c r="L177" t="s">
        <v>51</v>
      </c>
      <c r="M177" s="2">
        <v>0</v>
      </c>
      <c r="N177" s="2">
        <v>13.75</v>
      </c>
      <c r="O177">
        <v>1</v>
      </c>
      <c r="P177" s="3">
        <v>1</v>
      </c>
      <c r="Q177" s="2">
        <v>13.75</v>
      </c>
      <c r="R177" t="s">
        <v>454</v>
      </c>
      <c r="S177" t="s">
        <v>802</v>
      </c>
    </row>
    <row r="178" spans="1:19" x14ac:dyDescent="0.25">
      <c r="A178" s="9" t="s">
        <v>636</v>
      </c>
      <c r="B178" s="9" t="str">
        <f t="shared" si="2"/>
        <v>00000813641IOVR</v>
      </c>
      <c r="C178" t="s">
        <v>52</v>
      </c>
      <c r="E178" t="s">
        <v>53</v>
      </c>
      <c r="F178">
        <v>20411454</v>
      </c>
      <c r="G178" t="s">
        <v>830</v>
      </c>
      <c r="H178" t="s">
        <v>48</v>
      </c>
      <c r="I178" t="s">
        <v>56</v>
      </c>
      <c r="J178" s="1">
        <v>46023</v>
      </c>
      <c r="K178" t="s">
        <v>50</v>
      </c>
      <c r="L178" t="s">
        <v>51</v>
      </c>
      <c r="M178" s="2">
        <v>0</v>
      </c>
      <c r="N178" s="2">
        <v>175</v>
      </c>
      <c r="O178">
        <v>1</v>
      </c>
      <c r="P178" s="3">
        <v>1</v>
      </c>
      <c r="Q178" s="2">
        <v>175</v>
      </c>
      <c r="S178" t="s">
        <v>803</v>
      </c>
    </row>
    <row r="179" spans="1:19" x14ac:dyDescent="0.25">
      <c r="A179" s="9" t="s">
        <v>637</v>
      </c>
      <c r="B179" s="9" t="str">
        <f t="shared" si="2"/>
        <v>00000953613IOVR</v>
      </c>
      <c r="C179" t="s">
        <v>57</v>
      </c>
      <c r="E179" t="s">
        <v>45</v>
      </c>
      <c r="F179">
        <v>20411454</v>
      </c>
      <c r="G179" t="s">
        <v>830</v>
      </c>
      <c r="H179" t="s">
        <v>48</v>
      </c>
      <c r="I179" t="s">
        <v>56</v>
      </c>
      <c r="J179" s="1">
        <v>46023</v>
      </c>
      <c r="K179" t="s">
        <v>50</v>
      </c>
      <c r="L179" t="s">
        <v>51</v>
      </c>
      <c r="M179" s="2">
        <v>0</v>
      </c>
      <c r="N179" s="2">
        <v>175</v>
      </c>
      <c r="O179">
        <v>1</v>
      </c>
      <c r="P179" s="3">
        <v>1</v>
      </c>
      <c r="Q179" s="2">
        <v>175</v>
      </c>
      <c r="S179" t="s">
        <v>803</v>
      </c>
    </row>
    <row r="180" spans="1:19" x14ac:dyDescent="0.25">
      <c r="A180" s="9" t="s">
        <v>638</v>
      </c>
      <c r="B180" s="9" t="str">
        <f t="shared" si="2"/>
        <v>00002615264KOVR</v>
      </c>
      <c r="C180" t="s">
        <v>60</v>
      </c>
      <c r="E180" t="s">
        <v>45</v>
      </c>
      <c r="F180">
        <v>20411454</v>
      </c>
      <c r="G180" t="s">
        <v>830</v>
      </c>
      <c r="H180" t="s">
        <v>48</v>
      </c>
      <c r="I180" t="s">
        <v>56</v>
      </c>
      <c r="J180" s="1">
        <v>46023</v>
      </c>
      <c r="K180" t="s">
        <v>50</v>
      </c>
      <c r="L180" t="s">
        <v>51</v>
      </c>
      <c r="M180" s="2">
        <v>0</v>
      </c>
      <c r="N180" s="2">
        <v>175</v>
      </c>
      <c r="O180">
        <v>1</v>
      </c>
      <c r="P180" s="3">
        <v>1</v>
      </c>
      <c r="Q180" s="2">
        <v>175</v>
      </c>
      <c r="S180" t="s">
        <v>803</v>
      </c>
    </row>
    <row r="181" spans="1:19" x14ac:dyDescent="0.25">
      <c r="A181" s="9" t="s">
        <v>639</v>
      </c>
      <c r="B181" s="9" t="str">
        <f t="shared" si="2"/>
        <v>00003895929KOVR</v>
      </c>
      <c r="C181" t="s">
        <v>61</v>
      </c>
      <c r="E181" t="s">
        <v>62</v>
      </c>
      <c r="F181">
        <v>20411454</v>
      </c>
      <c r="G181" t="s">
        <v>830</v>
      </c>
      <c r="H181" t="s">
        <v>48</v>
      </c>
      <c r="I181" t="s">
        <v>56</v>
      </c>
      <c r="J181" s="1">
        <v>46023</v>
      </c>
      <c r="K181" t="s">
        <v>50</v>
      </c>
      <c r="L181" t="s">
        <v>51</v>
      </c>
      <c r="M181" s="2">
        <v>0</v>
      </c>
      <c r="N181" s="2">
        <v>175</v>
      </c>
      <c r="O181">
        <v>1</v>
      </c>
      <c r="P181" s="3">
        <v>1</v>
      </c>
      <c r="Q181" s="2">
        <v>175</v>
      </c>
      <c r="S181" t="s">
        <v>803</v>
      </c>
    </row>
    <row r="182" spans="1:19" x14ac:dyDescent="0.25">
      <c r="A182" s="9" t="s">
        <v>640</v>
      </c>
      <c r="B182" s="9" t="str">
        <f t="shared" si="2"/>
        <v>00006119248KOVR</v>
      </c>
      <c r="C182" t="s">
        <v>65</v>
      </c>
      <c r="E182" t="s">
        <v>45</v>
      </c>
      <c r="F182">
        <v>20411454</v>
      </c>
      <c r="G182" t="s">
        <v>830</v>
      </c>
      <c r="H182" t="s">
        <v>48</v>
      </c>
      <c r="I182" t="s">
        <v>56</v>
      </c>
      <c r="J182" s="1">
        <v>46023</v>
      </c>
      <c r="K182" t="s">
        <v>50</v>
      </c>
      <c r="L182" t="s">
        <v>51</v>
      </c>
      <c r="M182" s="2">
        <v>0</v>
      </c>
      <c r="N182" s="2">
        <v>175</v>
      </c>
      <c r="O182">
        <v>1</v>
      </c>
      <c r="P182" s="3">
        <v>1</v>
      </c>
      <c r="Q182" s="2">
        <v>175</v>
      </c>
      <c r="S182" t="s">
        <v>803</v>
      </c>
    </row>
    <row r="183" spans="1:19" x14ac:dyDescent="0.25">
      <c r="A183" s="9" t="s">
        <v>641</v>
      </c>
      <c r="B183" s="9" t="str">
        <f t="shared" si="2"/>
        <v>00006948323KOVR</v>
      </c>
      <c r="C183" t="s">
        <v>68</v>
      </c>
      <c r="E183" t="s">
        <v>69</v>
      </c>
      <c r="F183">
        <v>20411454</v>
      </c>
      <c r="G183" t="s">
        <v>830</v>
      </c>
      <c r="H183" t="s">
        <v>48</v>
      </c>
      <c r="I183" t="s">
        <v>56</v>
      </c>
      <c r="J183" s="1">
        <v>46023</v>
      </c>
      <c r="K183" t="s">
        <v>50</v>
      </c>
      <c r="L183" t="s">
        <v>51</v>
      </c>
      <c r="M183" s="2">
        <v>0</v>
      </c>
      <c r="N183" s="2">
        <v>175</v>
      </c>
      <c r="O183">
        <v>1</v>
      </c>
      <c r="P183" s="3">
        <v>1</v>
      </c>
      <c r="Q183" s="2">
        <v>175</v>
      </c>
      <c r="S183" t="s">
        <v>803</v>
      </c>
    </row>
    <row r="184" spans="1:19" x14ac:dyDescent="0.25">
      <c r="A184" s="9" t="s">
        <v>642</v>
      </c>
      <c r="B184" s="9" t="str">
        <f t="shared" si="2"/>
        <v>00008639764KOVR</v>
      </c>
      <c r="C184" t="s">
        <v>72</v>
      </c>
      <c r="E184" t="s">
        <v>73</v>
      </c>
      <c r="F184">
        <v>20411454</v>
      </c>
      <c r="G184" t="s">
        <v>830</v>
      </c>
      <c r="H184" t="s">
        <v>48</v>
      </c>
      <c r="I184" t="s">
        <v>56</v>
      </c>
      <c r="J184" s="1">
        <v>46023</v>
      </c>
      <c r="K184" t="s">
        <v>50</v>
      </c>
      <c r="L184" t="s">
        <v>51</v>
      </c>
      <c r="M184" s="2">
        <v>0</v>
      </c>
      <c r="N184" s="2">
        <v>175</v>
      </c>
      <c r="O184">
        <v>1</v>
      </c>
      <c r="P184" s="3">
        <v>1</v>
      </c>
      <c r="Q184" s="2">
        <v>175</v>
      </c>
      <c r="S184" t="s">
        <v>803</v>
      </c>
    </row>
    <row r="185" spans="1:19" x14ac:dyDescent="0.25">
      <c r="A185" s="9" t="s">
        <v>643</v>
      </c>
      <c r="B185" s="9" t="str">
        <f t="shared" si="2"/>
        <v>00009342543KOVR</v>
      </c>
      <c r="C185" t="s">
        <v>76</v>
      </c>
      <c r="E185" t="s">
        <v>45</v>
      </c>
      <c r="F185">
        <v>20411454</v>
      </c>
      <c r="G185" t="s">
        <v>830</v>
      </c>
      <c r="H185" t="s">
        <v>48</v>
      </c>
      <c r="I185" t="s">
        <v>56</v>
      </c>
      <c r="J185" s="1">
        <v>46023</v>
      </c>
      <c r="K185" t="s">
        <v>50</v>
      </c>
      <c r="L185" t="s">
        <v>51</v>
      </c>
      <c r="M185" s="2">
        <v>0</v>
      </c>
      <c r="N185" s="2">
        <v>175</v>
      </c>
      <c r="O185">
        <v>1</v>
      </c>
      <c r="P185" s="3">
        <v>1</v>
      </c>
      <c r="Q185" s="2">
        <v>175</v>
      </c>
      <c r="S185" t="s">
        <v>803</v>
      </c>
    </row>
    <row r="186" spans="1:19" x14ac:dyDescent="0.25">
      <c r="A186" s="9" t="s">
        <v>645</v>
      </c>
      <c r="B186" s="9" t="str">
        <f t="shared" si="2"/>
        <v>00010858562KOVR</v>
      </c>
      <c r="C186" t="s">
        <v>82</v>
      </c>
      <c r="E186" t="s">
        <v>83</v>
      </c>
      <c r="F186">
        <v>20411454</v>
      </c>
      <c r="G186" t="s">
        <v>830</v>
      </c>
      <c r="H186" t="s">
        <v>48</v>
      </c>
      <c r="I186" t="s">
        <v>56</v>
      </c>
      <c r="J186" s="1">
        <v>46023</v>
      </c>
      <c r="K186" t="s">
        <v>50</v>
      </c>
      <c r="L186" t="s">
        <v>51</v>
      </c>
      <c r="M186" s="2">
        <v>0</v>
      </c>
      <c r="N186" s="2">
        <v>175</v>
      </c>
      <c r="O186">
        <v>1</v>
      </c>
      <c r="P186" s="3">
        <v>1</v>
      </c>
      <c r="Q186" s="2">
        <v>175</v>
      </c>
      <c r="S186" t="s">
        <v>803</v>
      </c>
    </row>
    <row r="187" spans="1:19" x14ac:dyDescent="0.25">
      <c r="A187" s="9" t="s">
        <v>647</v>
      </c>
      <c r="B187" s="9" t="str">
        <f t="shared" si="2"/>
        <v>00011569589KOVR</v>
      </c>
      <c r="C187" t="s">
        <v>87</v>
      </c>
      <c r="E187" t="s">
        <v>45</v>
      </c>
      <c r="F187">
        <v>20411454</v>
      </c>
      <c r="G187" t="s">
        <v>830</v>
      </c>
      <c r="H187" t="s">
        <v>48</v>
      </c>
      <c r="I187" t="s">
        <v>56</v>
      </c>
      <c r="J187" s="1">
        <v>46023</v>
      </c>
      <c r="K187" t="s">
        <v>50</v>
      </c>
      <c r="L187" t="s">
        <v>51</v>
      </c>
      <c r="M187" s="2">
        <v>0</v>
      </c>
      <c r="N187" s="2">
        <v>175</v>
      </c>
      <c r="O187">
        <v>1</v>
      </c>
      <c r="P187" s="3">
        <v>1</v>
      </c>
      <c r="Q187" s="2">
        <v>175</v>
      </c>
      <c r="S187" t="s">
        <v>803</v>
      </c>
    </row>
    <row r="188" spans="1:19" x14ac:dyDescent="0.25">
      <c r="A188" s="9" t="s">
        <v>649</v>
      </c>
      <c r="B188" s="9" t="str">
        <f t="shared" si="2"/>
        <v>00011826238KOVR</v>
      </c>
      <c r="C188" t="s">
        <v>92</v>
      </c>
      <c r="E188" t="s">
        <v>45</v>
      </c>
      <c r="F188">
        <v>20411454</v>
      </c>
      <c r="G188" t="s">
        <v>830</v>
      </c>
      <c r="H188" t="s">
        <v>48</v>
      </c>
      <c r="I188" t="s">
        <v>56</v>
      </c>
      <c r="J188" s="1">
        <v>46023</v>
      </c>
      <c r="K188" t="s">
        <v>50</v>
      </c>
      <c r="L188" t="s">
        <v>51</v>
      </c>
      <c r="M188" s="2">
        <v>0</v>
      </c>
      <c r="N188" s="2">
        <v>175</v>
      </c>
      <c r="O188">
        <v>1</v>
      </c>
      <c r="P188" s="3">
        <v>1</v>
      </c>
      <c r="Q188" s="2">
        <v>175</v>
      </c>
      <c r="S188" t="s">
        <v>803</v>
      </c>
    </row>
    <row r="189" spans="1:19" x14ac:dyDescent="0.25">
      <c r="A189" s="9" t="s">
        <v>650</v>
      </c>
      <c r="B189" s="9" t="str">
        <f t="shared" si="2"/>
        <v>00011949132KOVR</v>
      </c>
      <c r="C189" t="s">
        <v>95</v>
      </c>
      <c r="E189" t="s">
        <v>45</v>
      </c>
      <c r="F189">
        <v>20411454</v>
      </c>
      <c r="G189" t="s">
        <v>830</v>
      </c>
      <c r="H189" t="s">
        <v>48</v>
      </c>
      <c r="I189" t="s">
        <v>56</v>
      </c>
      <c r="J189" s="1">
        <v>46023</v>
      </c>
      <c r="K189" t="s">
        <v>50</v>
      </c>
      <c r="L189" t="s">
        <v>51</v>
      </c>
      <c r="M189" s="2">
        <v>0</v>
      </c>
      <c r="N189" s="2">
        <v>175</v>
      </c>
      <c r="O189">
        <v>1</v>
      </c>
      <c r="P189" s="3">
        <v>1</v>
      </c>
      <c r="Q189" s="2">
        <v>175</v>
      </c>
      <c r="S189" t="s">
        <v>803</v>
      </c>
    </row>
    <row r="190" spans="1:19" x14ac:dyDescent="0.25">
      <c r="A190" s="9" t="s">
        <v>651</v>
      </c>
      <c r="B190" s="9" t="str">
        <f t="shared" si="2"/>
        <v>00013152316KOVR</v>
      </c>
      <c r="C190" t="s">
        <v>98</v>
      </c>
      <c r="E190" t="s">
        <v>69</v>
      </c>
      <c r="F190">
        <v>20411454</v>
      </c>
      <c r="G190" t="s">
        <v>830</v>
      </c>
      <c r="H190" t="s">
        <v>48</v>
      </c>
      <c r="I190" t="s">
        <v>56</v>
      </c>
      <c r="J190" s="1">
        <v>46023</v>
      </c>
      <c r="K190" t="s">
        <v>50</v>
      </c>
      <c r="L190" t="s">
        <v>51</v>
      </c>
      <c r="M190" s="2">
        <v>0</v>
      </c>
      <c r="N190" s="2">
        <v>175</v>
      </c>
      <c r="O190">
        <v>1</v>
      </c>
      <c r="P190" s="3">
        <v>1</v>
      </c>
      <c r="Q190" s="2">
        <v>175</v>
      </c>
      <c r="S190" t="s">
        <v>803</v>
      </c>
    </row>
    <row r="191" spans="1:19" x14ac:dyDescent="0.25">
      <c r="A191" s="9" t="s">
        <v>652</v>
      </c>
      <c r="B191" s="9" t="str">
        <f t="shared" si="2"/>
        <v>00013168216KOVR</v>
      </c>
      <c r="C191" t="s">
        <v>99</v>
      </c>
      <c r="E191" t="s">
        <v>100</v>
      </c>
      <c r="F191">
        <v>20411454</v>
      </c>
      <c r="G191" t="s">
        <v>830</v>
      </c>
      <c r="H191" t="s">
        <v>48</v>
      </c>
      <c r="I191" t="s">
        <v>56</v>
      </c>
      <c r="J191" s="1">
        <v>46023</v>
      </c>
      <c r="K191" t="s">
        <v>50</v>
      </c>
      <c r="L191" t="s">
        <v>51</v>
      </c>
      <c r="M191" s="2">
        <v>0</v>
      </c>
      <c r="N191" s="2">
        <v>175</v>
      </c>
      <c r="O191">
        <v>1</v>
      </c>
      <c r="P191" s="3">
        <v>1</v>
      </c>
      <c r="Q191" s="2">
        <v>175</v>
      </c>
      <c r="S191" t="s">
        <v>803</v>
      </c>
    </row>
    <row r="192" spans="1:19" x14ac:dyDescent="0.25">
      <c r="A192" s="9" t="s">
        <v>655</v>
      </c>
      <c r="B192" s="9" t="str">
        <f t="shared" si="2"/>
        <v>00014224678KOVR</v>
      </c>
      <c r="C192" t="s">
        <v>107</v>
      </c>
      <c r="E192" t="s">
        <v>45</v>
      </c>
      <c r="F192">
        <v>20411454</v>
      </c>
      <c r="G192" t="s">
        <v>830</v>
      </c>
      <c r="H192" t="s">
        <v>48</v>
      </c>
      <c r="I192" t="s">
        <v>56</v>
      </c>
      <c r="J192" s="1">
        <v>46023</v>
      </c>
      <c r="K192" t="s">
        <v>50</v>
      </c>
      <c r="L192" t="s">
        <v>51</v>
      </c>
      <c r="M192" s="2">
        <v>0</v>
      </c>
      <c r="N192" s="2">
        <v>175</v>
      </c>
      <c r="O192">
        <v>1</v>
      </c>
      <c r="P192" s="3">
        <v>1</v>
      </c>
      <c r="Q192" s="2">
        <v>175</v>
      </c>
      <c r="S192" t="s">
        <v>803</v>
      </c>
    </row>
    <row r="193" spans="1:19" x14ac:dyDescent="0.25">
      <c r="A193" s="9" t="s">
        <v>659</v>
      </c>
      <c r="B193" s="9" t="str">
        <f t="shared" si="2"/>
        <v>00015547179KOVR</v>
      </c>
      <c r="C193" t="s">
        <v>114</v>
      </c>
      <c r="E193" t="s">
        <v>115</v>
      </c>
      <c r="F193">
        <v>20411454</v>
      </c>
      <c r="G193" t="s">
        <v>830</v>
      </c>
      <c r="H193" t="s">
        <v>48</v>
      </c>
      <c r="I193" t="s">
        <v>56</v>
      </c>
      <c r="J193" s="1">
        <v>46023</v>
      </c>
      <c r="K193" t="s">
        <v>50</v>
      </c>
      <c r="L193" t="s">
        <v>51</v>
      </c>
      <c r="M193" s="2">
        <v>0</v>
      </c>
      <c r="N193" s="2">
        <v>175</v>
      </c>
      <c r="O193">
        <v>1</v>
      </c>
      <c r="P193" s="3">
        <v>1</v>
      </c>
      <c r="Q193" s="2">
        <v>175</v>
      </c>
      <c r="S193" t="s">
        <v>803</v>
      </c>
    </row>
    <row r="194" spans="1:19" x14ac:dyDescent="0.25">
      <c r="A194" s="9" t="s">
        <v>660</v>
      </c>
      <c r="B194" s="9" t="str">
        <f t="shared" si="2"/>
        <v>00016291752KOVR</v>
      </c>
      <c r="C194" t="s">
        <v>116</v>
      </c>
      <c r="E194" t="s">
        <v>45</v>
      </c>
      <c r="F194">
        <v>20411454</v>
      </c>
      <c r="G194" t="s">
        <v>830</v>
      </c>
      <c r="H194" t="s">
        <v>48</v>
      </c>
      <c r="I194" t="s">
        <v>56</v>
      </c>
      <c r="J194" s="1">
        <v>46023</v>
      </c>
      <c r="K194" t="s">
        <v>50</v>
      </c>
      <c r="L194" t="s">
        <v>51</v>
      </c>
      <c r="M194" s="2">
        <v>0</v>
      </c>
      <c r="N194" s="2">
        <v>175</v>
      </c>
      <c r="O194">
        <v>1</v>
      </c>
      <c r="P194" s="3">
        <v>1</v>
      </c>
      <c r="Q194" s="2">
        <v>175</v>
      </c>
      <c r="S194" t="s">
        <v>803</v>
      </c>
    </row>
    <row r="195" spans="1:19" x14ac:dyDescent="0.25">
      <c r="A195" s="9" t="s">
        <v>662</v>
      </c>
      <c r="B195" s="9" t="str">
        <f t="shared" ref="B195:B258" si="3">CONCATENATE(A195,"OVR")</f>
        <v>00018138991KOVR</v>
      </c>
      <c r="C195" t="s">
        <v>123</v>
      </c>
      <c r="E195" t="s">
        <v>45</v>
      </c>
      <c r="F195">
        <v>20411454</v>
      </c>
      <c r="G195" t="s">
        <v>830</v>
      </c>
      <c r="H195" t="s">
        <v>48</v>
      </c>
      <c r="I195" t="s">
        <v>56</v>
      </c>
      <c r="J195" s="1">
        <v>46023</v>
      </c>
      <c r="K195" t="s">
        <v>50</v>
      </c>
      <c r="L195" t="s">
        <v>51</v>
      </c>
      <c r="M195" s="2">
        <v>0</v>
      </c>
      <c r="N195" s="2">
        <v>175</v>
      </c>
      <c r="O195">
        <v>1</v>
      </c>
      <c r="P195" s="3">
        <v>1</v>
      </c>
      <c r="Q195" s="2">
        <v>175</v>
      </c>
      <c r="S195" t="s">
        <v>803</v>
      </c>
    </row>
    <row r="196" spans="1:19" x14ac:dyDescent="0.25">
      <c r="A196" s="9" t="s">
        <v>663</v>
      </c>
      <c r="B196" s="9" t="str">
        <f t="shared" si="3"/>
        <v>00018821790KOVR</v>
      </c>
      <c r="C196" t="s">
        <v>124</v>
      </c>
      <c r="E196" t="s">
        <v>125</v>
      </c>
      <c r="F196">
        <v>20411454</v>
      </c>
      <c r="G196" t="s">
        <v>830</v>
      </c>
      <c r="H196" t="s">
        <v>48</v>
      </c>
      <c r="I196" t="s">
        <v>56</v>
      </c>
      <c r="J196" s="1">
        <v>46023</v>
      </c>
      <c r="K196" t="s">
        <v>50</v>
      </c>
      <c r="L196" t="s">
        <v>51</v>
      </c>
      <c r="M196" s="2">
        <v>0</v>
      </c>
      <c r="N196" s="2">
        <v>175</v>
      </c>
      <c r="O196">
        <v>1</v>
      </c>
      <c r="P196" s="3">
        <v>1</v>
      </c>
      <c r="Q196" s="2">
        <v>175</v>
      </c>
      <c r="S196" t="s">
        <v>803</v>
      </c>
    </row>
    <row r="197" spans="1:19" x14ac:dyDescent="0.25">
      <c r="A197" s="9" t="s">
        <v>664</v>
      </c>
      <c r="B197" s="9" t="str">
        <f t="shared" si="3"/>
        <v>00019356804KOVR</v>
      </c>
      <c r="C197" t="s">
        <v>128</v>
      </c>
      <c r="E197" t="s">
        <v>129</v>
      </c>
      <c r="F197">
        <v>20411454</v>
      </c>
      <c r="G197" t="s">
        <v>830</v>
      </c>
      <c r="H197" t="s">
        <v>48</v>
      </c>
      <c r="I197" t="s">
        <v>56</v>
      </c>
      <c r="J197" s="1">
        <v>45992</v>
      </c>
      <c r="K197" t="s">
        <v>50</v>
      </c>
      <c r="L197" t="s">
        <v>51</v>
      </c>
      <c r="M197" s="2">
        <v>0</v>
      </c>
      <c r="N197" s="2">
        <v>175</v>
      </c>
      <c r="O197">
        <v>1</v>
      </c>
      <c r="P197" s="3">
        <v>1</v>
      </c>
      <c r="Q197" s="2">
        <v>175</v>
      </c>
      <c r="S197" t="s">
        <v>803</v>
      </c>
    </row>
    <row r="198" spans="1:19" x14ac:dyDescent="0.25">
      <c r="A198" s="9" t="s">
        <v>665</v>
      </c>
      <c r="B198" s="9" t="str">
        <f t="shared" si="3"/>
        <v>00019625979KOVR</v>
      </c>
      <c r="C198" t="s">
        <v>78</v>
      </c>
      <c r="E198" t="s">
        <v>45</v>
      </c>
      <c r="F198">
        <v>20411454</v>
      </c>
      <c r="G198" t="s">
        <v>830</v>
      </c>
      <c r="H198" t="s">
        <v>48</v>
      </c>
      <c r="I198" t="s">
        <v>56</v>
      </c>
      <c r="J198" s="1">
        <v>46023</v>
      </c>
      <c r="K198" t="s">
        <v>50</v>
      </c>
      <c r="L198" t="s">
        <v>51</v>
      </c>
      <c r="M198" s="2">
        <v>0</v>
      </c>
      <c r="N198" s="2">
        <v>175</v>
      </c>
      <c r="O198">
        <v>1</v>
      </c>
      <c r="P198" s="3">
        <v>1</v>
      </c>
      <c r="Q198" s="2">
        <v>175</v>
      </c>
      <c r="S198" t="s">
        <v>803</v>
      </c>
    </row>
    <row r="199" spans="1:19" x14ac:dyDescent="0.25">
      <c r="A199" s="9" t="s">
        <v>670</v>
      </c>
      <c r="B199" s="9" t="str">
        <f t="shared" si="3"/>
        <v>00021795874KOVR</v>
      </c>
      <c r="C199" t="s">
        <v>140</v>
      </c>
      <c r="E199" t="s">
        <v>45</v>
      </c>
      <c r="F199">
        <v>20411454</v>
      </c>
      <c r="G199" t="s">
        <v>830</v>
      </c>
      <c r="H199" t="s">
        <v>48</v>
      </c>
      <c r="I199" t="s">
        <v>56</v>
      </c>
      <c r="J199" s="1">
        <v>46023</v>
      </c>
      <c r="K199" t="s">
        <v>50</v>
      </c>
      <c r="L199" t="s">
        <v>51</v>
      </c>
      <c r="M199" s="2">
        <v>0</v>
      </c>
      <c r="N199" s="2">
        <v>175</v>
      </c>
      <c r="O199">
        <v>1</v>
      </c>
      <c r="P199" s="3">
        <v>1</v>
      </c>
      <c r="Q199" s="2">
        <v>175</v>
      </c>
      <c r="S199" t="s">
        <v>803</v>
      </c>
    </row>
    <row r="200" spans="1:19" x14ac:dyDescent="0.25">
      <c r="A200" s="9" t="s">
        <v>677</v>
      </c>
      <c r="B200" s="9" t="str">
        <f t="shared" si="3"/>
        <v>00022523606KOVR</v>
      </c>
      <c r="C200" t="s">
        <v>157</v>
      </c>
      <c r="E200" t="s">
        <v>89</v>
      </c>
      <c r="F200">
        <v>20411454</v>
      </c>
      <c r="G200" t="s">
        <v>830</v>
      </c>
      <c r="H200" t="s">
        <v>48</v>
      </c>
      <c r="I200" t="s">
        <v>56</v>
      </c>
      <c r="J200" s="1">
        <v>46023</v>
      </c>
      <c r="K200" t="s">
        <v>50</v>
      </c>
      <c r="L200" t="s">
        <v>51</v>
      </c>
      <c r="M200" s="2">
        <v>0</v>
      </c>
      <c r="N200" s="2">
        <v>175</v>
      </c>
      <c r="O200">
        <v>1</v>
      </c>
      <c r="P200" s="3">
        <v>1</v>
      </c>
      <c r="Q200" s="2">
        <v>175</v>
      </c>
      <c r="S200" t="s">
        <v>803</v>
      </c>
    </row>
    <row r="201" spans="1:19" x14ac:dyDescent="0.25">
      <c r="A201" s="9" t="s">
        <v>682</v>
      </c>
      <c r="B201" s="9" t="str">
        <f t="shared" si="3"/>
        <v>00022592167KOVR</v>
      </c>
      <c r="C201" t="s">
        <v>168</v>
      </c>
      <c r="E201" t="s">
        <v>169</v>
      </c>
      <c r="F201">
        <v>20411454</v>
      </c>
      <c r="G201" t="s">
        <v>830</v>
      </c>
      <c r="H201" t="s">
        <v>48</v>
      </c>
      <c r="I201" t="s">
        <v>56</v>
      </c>
      <c r="J201" s="1">
        <v>45658</v>
      </c>
      <c r="K201" t="s">
        <v>50</v>
      </c>
      <c r="L201" t="s">
        <v>51</v>
      </c>
      <c r="M201" s="2">
        <v>0</v>
      </c>
      <c r="N201" s="2">
        <v>175</v>
      </c>
      <c r="O201">
        <v>1</v>
      </c>
      <c r="P201" s="3">
        <v>1</v>
      </c>
      <c r="Q201" s="2">
        <v>175</v>
      </c>
      <c r="S201" t="s">
        <v>803</v>
      </c>
    </row>
    <row r="202" spans="1:19" x14ac:dyDescent="0.25">
      <c r="A202" s="9" t="s">
        <v>683</v>
      </c>
      <c r="B202" s="9" t="str">
        <f t="shared" si="3"/>
        <v>00022778539KOVR</v>
      </c>
      <c r="C202" t="s">
        <v>172</v>
      </c>
      <c r="E202" t="s">
        <v>45</v>
      </c>
      <c r="F202">
        <v>20411454</v>
      </c>
      <c r="G202" t="s">
        <v>830</v>
      </c>
      <c r="H202" t="s">
        <v>48</v>
      </c>
      <c r="I202" t="s">
        <v>56</v>
      </c>
      <c r="J202" s="1">
        <v>46023</v>
      </c>
      <c r="K202" t="s">
        <v>50</v>
      </c>
      <c r="L202" t="s">
        <v>51</v>
      </c>
      <c r="M202" s="2">
        <v>0</v>
      </c>
      <c r="N202" s="2">
        <v>175</v>
      </c>
      <c r="O202">
        <v>1</v>
      </c>
      <c r="P202" s="3">
        <v>1</v>
      </c>
      <c r="Q202" s="2">
        <v>175</v>
      </c>
      <c r="S202" t="s">
        <v>803</v>
      </c>
    </row>
    <row r="203" spans="1:19" x14ac:dyDescent="0.25">
      <c r="A203" s="9" t="s">
        <v>684</v>
      </c>
      <c r="B203" s="9" t="str">
        <f t="shared" si="3"/>
        <v>00023880130KOVR</v>
      </c>
      <c r="C203" t="s">
        <v>173</v>
      </c>
      <c r="E203" t="s">
        <v>45</v>
      </c>
      <c r="F203">
        <v>20411454</v>
      </c>
      <c r="G203" t="s">
        <v>830</v>
      </c>
      <c r="H203" t="s">
        <v>48</v>
      </c>
      <c r="I203" t="s">
        <v>56</v>
      </c>
      <c r="J203" s="1">
        <v>46023</v>
      </c>
      <c r="K203" t="s">
        <v>50</v>
      </c>
      <c r="L203" t="s">
        <v>51</v>
      </c>
      <c r="M203" s="2">
        <v>0</v>
      </c>
      <c r="N203" s="2">
        <v>175</v>
      </c>
      <c r="O203">
        <v>1</v>
      </c>
      <c r="P203" s="3">
        <v>1</v>
      </c>
      <c r="Q203" s="2">
        <v>175</v>
      </c>
      <c r="S203" t="s">
        <v>803</v>
      </c>
    </row>
    <row r="204" spans="1:19" x14ac:dyDescent="0.25">
      <c r="A204" s="9" t="s">
        <v>685</v>
      </c>
      <c r="B204" s="9" t="str">
        <f t="shared" si="3"/>
        <v>00024215496KOVR</v>
      </c>
      <c r="C204" t="s">
        <v>176</v>
      </c>
      <c r="E204" t="s">
        <v>45</v>
      </c>
      <c r="F204">
        <v>20411454</v>
      </c>
      <c r="G204" t="s">
        <v>830</v>
      </c>
      <c r="H204" t="s">
        <v>48</v>
      </c>
      <c r="I204" t="s">
        <v>56</v>
      </c>
      <c r="J204" s="1">
        <v>46023</v>
      </c>
      <c r="K204" t="s">
        <v>50</v>
      </c>
      <c r="L204" t="s">
        <v>51</v>
      </c>
      <c r="M204" s="2">
        <v>0</v>
      </c>
      <c r="N204" s="2">
        <v>175</v>
      </c>
      <c r="O204">
        <v>1</v>
      </c>
      <c r="P204" s="3">
        <v>1</v>
      </c>
      <c r="Q204" s="2">
        <v>175</v>
      </c>
      <c r="S204" t="s">
        <v>803</v>
      </c>
    </row>
    <row r="205" spans="1:19" x14ac:dyDescent="0.25">
      <c r="A205" s="9" t="s">
        <v>686</v>
      </c>
      <c r="B205" s="9" t="str">
        <f t="shared" si="3"/>
        <v>00024315197KOVR</v>
      </c>
      <c r="C205" t="s">
        <v>177</v>
      </c>
      <c r="E205" t="s">
        <v>45</v>
      </c>
      <c r="F205">
        <v>20411454</v>
      </c>
      <c r="G205" t="s">
        <v>830</v>
      </c>
      <c r="H205" t="s">
        <v>48</v>
      </c>
      <c r="I205" t="s">
        <v>56</v>
      </c>
      <c r="J205" s="1">
        <v>46023</v>
      </c>
      <c r="K205" t="s">
        <v>50</v>
      </c>
      <c r="L205" t="s">
        <v>51</v>
      </c>
      <c r="M205" s="2">
        <v>0</v>
      </c>
      <c r="N205" s="2">
        <v>175</v>
      </c>
      <c r="O205">
        <v>1</v>
      </c>
      <c r="P205" s="3">
        <v>1</v>
      </c>
      <c r="Q205" s="2">
        <v>175</v>
      </c>
      <c r="S205" t="s">
        <v>803</v>
      </c>
    </row>
    <row r="206" spans="1:19" x14ac:dyDescent="0.25">
      <c r="A206" s="9" t="s">
        <v>687</v>
      </c>
      <c r="B206" s="9" t="str">
        <f t="shared" si="3"/>
        <v>00024409324KOVR</v>
      </c>
      <c r="C206" t="s">
        <v>178</v>
      </c>
      <c r="E206" t="s">
        <v>179</v>
      </c>
      <c r="F206">
        <v>20411454</v>
      </c>
      <c r="G206" t="s">
        <v>830</v>
      </c>
      <c r="H206" t="s">
        <v>48</v>
      </c>
      <c r="I206" t="s">
        <v>56</v>
      </c>
      <c r="J206" s="1">
        <v>46023</v>
      </c>
      <c r="K206" t="s">
        <v>50</v>
      </c>
      <c r="L206" t="s">
        <v>51</v>
      </c>
      <c r="M206" s="2">
        <v>0</v>
      </c>
      <c r="N206" s="2">
        <v>175</v>
      </c>
      <c r="O206">
        <v>1</v>
      </c>
      <c r="P206" s="3">
        <v>1</v>
      </c>
      <c r="Q206" s="2">
        <v>175</v>
      </c>
      <c r="S206" t="s">
        <v>803</v>
      </c>
    </row>
    <row r="207" spans="1:19" x14ac:dyDescent="0.25">
      <c r="A207" s="9" t="s">
        <v>688</v>
      </c>
      <c r="B207" s="9" t="str">
        <f t="shared" si="3"/>
        <v>00025112010KOVR</v>
      </c>
      <c r="C207" t="s">
        <v>182</v>
      </c>
      <c r="E207" t="s">
        <v>45</v>
      </c>
      <c r="F207">
        <v>20411454</v>
      </c>
      <c r="G207" t="s">
        <v>830</v>
      </c>
      <c r="H207" t="s">
        <v>48</v>
      </c>
      <c r="I207" t="s">
        <v>56</v>
      </c>
      <c r="J207" s="1">
        <v>46023</v>
      </c>
      <c r="K207" t="s">
        <v>50</v>
      </c>
      <c r="L207" t="s">
        <v>51</v>
      </c>
      <c r="M207" s="2">
        <v>0</v>
      </c>
      <c r="N207" s="2">
        <v>175</v>
      </c>
      <c r="O207">
        <v>1</v>
      </c>
      <c r="P207" s="3">
        <v>1</v>
      </c>
      <c r="Q207" s="2">
        <v>175</v>
      </c>
      <c r="S207" t="s">
        <v>803</v>
      </c>
    </row>
    <row r="208" spans="1:19" x14ac:dyDescent="0.25">
      <c r="A208" s="9" t="s">
        <v>689</v>
      </c>
      <c r="B208" s="9" t="str">
        <f t="shared" si="3"/>
        <v>00025113642KOVR</v>
      </c>
      <c r="C208" t="s">
        <v>185</v>
      </c>
      <c r="E208" t="s">
        <v>129</v>
      </c>
      <c r="F208">
        <v>20411454</v>
      </c>
      <c r="G208" t="s">
        <v>830</v>
      </c>
      <c r="H208" t="s">
        <v>48</v>
      </c>
      <c r="I208" t="s">
        <v>56</v>
      </c>
      <c r="J208" s="1">
        <v>45992</v>
      </c>
      <c r="K208" t="s">
        <v>50</v>
      </c>
      <c r="L208" t="s">
        <v>51</v>
      </c>
      <c r="M208" s="2">
        <v>0</v>
      </c>
      <c r="N208" s="2">
        <v>175</v>
      </c>
      <c r="O208">
        <v>1</v>
      </c>
      <c r="P208" s="3">
        <v>1</v>
      </c>
      <c r="Q208" s="2">
        <v>175</v>
      </c>
      <c r="S208" t="s">
        <v>803</v>
      </c>
    </row>
    <row r="209" spans="1:19" x14ac:dyDescent="0.25">
      <c r="A209" s="9" t="s">
        <v>690</v>
      </c>
      <c r="B209" s="9" t="str">
        <f t="shared" si="3"/>
        <v>00025113716KOVR</v>
      </c>
      <c r="C209" t="s">
        <v>186</v>
      </c>
      <c r="E209" t="s">
        <v>45</v>
      </c>
      <c r="F209">
        <v>20411454</v>
      </c>
      <c r="G209" t="s">
        <v>830</v>
      </c>
      <c r="H209" t="s">
        <v>48</v>
      </c>
      <c r="I209" t="s">
        <v>56</v>
      </c>
      <c r="J209" s="1">
        <v>46023</v>
      </c>
      <c r="K209" t="s">
        <v>50</v>
      </c>
      <c r="L209" t="s">
        <v>51</v>
      </c>
      <c r="M209" s="2">
        <v>0</v>
      </c>
      <c r="N209" s="2">
        <v>175</v>
      </c>
      <c r="O209">
        <v>1</v>
      </c>
      <c r="P209" s="3">
        <v>1</v>
      </c>
      <c r="Q209" s="2">
        <v>175</v>
      </c>
      <c r="S209" t="s">
        <v>803</v>
      </c>
    </row>
    <row r="210" spans="1:19" x14ac:dyDescent="0.25">
      <c r="A210" s="9" t="s">
        <v>691</v>
      </c>
      <c r="B210" s="9" t="str">
        <f t="shared" si="3"/>
        <v>00025114007KOVR</v>
      </c>
      <c r="C210" t="s">
        <v>189</v>
      </c>
      <c r="E210" t="s">
        <v>45</v>
      </c>
      <c r="F210">
        <v>20411454</v>
      </c>
      <c r="G210" t="s">
        <v>830</v>
      </c>
      <c r="H210" t="s">
        <v>48</v>
      </c>
      <c r="I210" t="s">
        <v>56</v>
      </c>
      <c r="J210" s="1">
        <v>46023</v>
      </c>
      <c r="K210" t="s">
        <v>50</v>
      </c>
      <c r="L210" t="s">
        <v>51</v>
      </c>
      <c r="M210" s="2">
        <v>0</v>
      </c>
      <c r="N210" s="2">
        <v>175</v>
      </c>
      <c r="O210">
        <v>1</v>
      </c>
      <c r="P210" s="3">
        <v>1</v>
      </c>
      <c r="Q210" s="2">
        <v>175</v>
      </c>
      <c r="S210" t="s">
        <v>803</v>
      </c>
    </row>
    <row r="211" spans="1:19" x14ac:dyDescent="0.25">
      <c r="A211" s="9" t="s">
        <v>692</v>
      </c>
      <c r="B211" s="9" t="str">
        <f t="shared" si="3"/>
        <v>00025114587KOVR</v>
      </c>
      <c r="C211" t="s">
        <v>192</v>
      </c>
      <c r="E211" t="s">
        <v>89</v>
      </c>
      <c r="F211">
        <v>20411454</v>
      </c>
      <c r="G211" t="s">
        <v>830</v>
      </c>
      <c r="H211" t="s">
        <v>48</v>
      </c>
      <c r="I211" t="s">
        <v>56</v>
      </c>
      <c r="J211" s="1">
        <v>45992</v>
      </c>
      <c r="K211" t="s">
        <v>50</v>
      </c>
      <c r="L211" t="s">
        <v>51</v>
      </c>
      <c r="M211" s="2">
        <v>0</v>
      </c>
      <c r="N211" s="2">
        <v>175</v>
      </c>
      <c r="O211">
        <v>1</v>
      </c>
      <c r="P211" s="3">
        <v>1</v>
      </c>
      <c r="Q211" s="2">
        <v>175</v>
      </c>
      <c r="S211" t="s">
        <v>803</v>
      </c>
    </row>
    <row r="212" spans="1:19" x14ac:dyDescent="0.25">
      <c r="A212" s="9" t="s">
        <v>693</v>
      </c>
      <c r="B212" s="9" t="str">
        <f t="shared" si="3"/>
        <v>00025119003KOVR</v>
      </c>
      <c r="C212" t="s">
        <v>193</v>
      </c>
      <c r="E212" t="s">
        <v>69</v>
      </c>
      <c r="F212">
        <v>20411454</v>
      </c>
      <c r="G212" t="s">
        <v>830</v>
      </c>
      <c r="H212" t="s">
        <v>48</v>
      </c>
      <c r="I212" t="s">
        <v>56</v>
      </c>
      <c r="J212" s="1">
        <v>46054</v>
      </c>
      <c r="K212" t="s">
        <v>50</v>
      </c>
      <c r="L212" t="s">
        <v>51</v>
      </c>
      <c r="M212" s="2">
        <v>0</v>
      </c>
      <c r="N212" s="2">
        <v>175</v>
      </c>
      <c r="O212">
        <v>1</v>
      </c>
      <c r="P212" s="3">
        <v>1</v>
      </c>
      <c r="Q212" s="2">
        <v>175</v>
      </c>
      <c r="S212" t="s">
        <v>803</v>
      </c>
    </row>
    <row r="213" spans="1:19" x14ac:dyDescent="0.25">
      <c r="A213" s="9" t="s">
        <v>694</v>
      </c>
      <c r="B213" s="9" t="str">
        <f t="shared" si="3"/>
        <v>00025120658KOVR</v>
      </c>
      <c r="C213" t="s">
        <v>194</v>
      </c>
      <c r="E213" t="s">
        <v>45</v>
      </c>
      <c r="F213">
        <v>20411454</v>
      </c>
      <c r="G213" t="s">
        <v>830</v>
      </c>
      <c r="H213" t="s">
        <v>48</v>
      </c>
      <c r="I213" t="s">
        <v>56</v>
      </c>
      <c r="J213" s="1">
        <v>46023</v>
      </c>
      <c r="K213" t="s">
        <v>50</v>
      </c>
      <c r="L213" t="s">
        <v>51</v>
      </c>
      <c r="M213" s="2">
        <v>0</v>
      </c>
      <c r="N213" s="2">
        <v>175</v>
      </c>
      <c r="O213">
        <v>1</v>
      </c>
      <c r="P213" s="3">
        <v>1</v>
      </c>
      <c r="Q213" s="2">
        <v>175</v>
      </c>
      <c r="S213" t="s">
        <v>803</v>
      </c>
    </row>
    <row r="214" spans="1:19" x14ac:dyDescent="0.25">
      <c r="A214" s="9" t="s">
        <v>695</v>
      </c>
      <c r="B214" s="9" t="str">
        <f t="shared" si="3"/>
        <v>00025121058KOVR</v>
      </c>
      <c r="C214" t="s">
        <v>195</v>
      </c>
      <c r="E214" t="s">
        <v>45</v>
      </c>
      <c r="F214">
        <v>20411454</v>
      </c>
      <c r="G214" t="s">
        <v>830</v>
      </c>
      <c r="H214" t="s">
        <v>48</v>
      </c>
      <c r="I214" t="s">
        <v>56</v>
      </c>
      <c r="J214" s="1">
        <v>46023</v>
      </c>
      <c r="K214" t="s">
        <v>50</v>
      </c>
      <c r="L214" t="s">
        <v>51</v>
      </c>
      <c r="M214" s="2">
        <v>0</v>
      </c>
      <c r="N214" s="2">
        <v>175</v>
      </c>
      <c r="O214">
        <v>1</v>
      </c>
      <c r="P214" s="3">
        <v>1</v>
      </c>
      <c r="Q214" s="2">
        <v>175</v>
      </c>
      <c r="S214" t="s">
        <v>803</v>
      </c>
    </row>
    <row r="215" spans="1:19" x14ac:dyDescent="0.25">
      <c r="A215" s="9" t="s">
        <v>696</v>
      </c>
      <c r="B215" s="9" t="str">
        <f t="shared" si="3"/>
        <v>00025121535KOVR</v>
      </c>
      <c r="C215" t="s">
        <v>196</v>
      </c>
      <c r="E215" t="s">
        <v>45</v>
      </c>
      <c r="F215">
        <v>20411454</v>
      </c>
      <c r="G215" t="s">
        <v>830</v>
      </c>
      <c r="H215" t="s">
        <v>48</v>
      </c>
      <c r="I215" t="s">
        <v>56</v>
      </c>
      <c r="J215" s="1">
        <v>46023</v>
      </c>
      <c r="K215" t="s">
        <v>50</v>
      </c>
      <c r="L215" t="s">
        <v>51</v>
      </c>
      <c r="M215" s="2">
        <v>0</v>
      </c>
      <c r="N215" s="2">
        <v>175</v>
      </c>
      <c r="O215">
        <v>1</v>
      </c>
      <c r="P215" s="3">
        <v>1</v>
      </c>
      <c r="Q215" s="2">
        <v>175</v>
      </c>
      <c r="S215" t="s">
        <v>803</v>
      </c>
    </row>
    <row r="216" spans="1:19" x14ac:dyDescent="0.25">
      <c r="A216" s="9" t="s">
        <v>697</v>
      </c>
      <c r="B216" s="9" t="str">
        <f t="shared" si="3"/>
        <v>00025125369KOVR</v>
      </c>
      <c r="C216" t="s">
        <v>197</v>
      </c>
      <c r="E216" t="s">
        <v>45</v>
      </c>
      <c r="F216">
        <v>20411454</v>
      </c>
      <c r="G216" t="s">
        <v>830</v>
      </c>
      <c r="H216" t="s">
        <v>48</v>
      </c>
      <c r="I216" t="s">
        <v>56</v>
      </c>
      <c r="J216" s="1">
        <v>46023</v>
      </c>
      <c r="K216" t="s">
        <v>50</v>
      </c>
      <c r="L216" t="s">
        <v>51</v>
      </c>
      <c r="M216" s="2">
        <v>0</v>
      </c>
      <c r="N216" s="2">
        <v>175</v>
      </c>
      <c r="O216">
        <v>1</v>
      </c>
      <c r="P216" s="3">
        <v>1</v>
      </c>
      <c r="Q216" s="2">
        <v>175</v>
      </c>
      <c r="S216" t="s">
        <v>803</v>
      </c>
    </row>
    <row r="217" spans="1:19" x14ac:dyDescent="0.25">
      <c r="A217" s="9" t="s">
        <v>698</v>
      </c>
      <c r="B217" s="9" t="str">
        <f t="shared" si="3"/>
        <v>00025126668KOVR</v>
      </c>
      <c r="C217" t="s">
        <v>198</v>
      </c>
      <c r="E217" t="s">
        <v>45</v>
      </c>
      <c r="F217">
        <v>20411454</v>
      </c>
      <c r="G217" t="s">
        <v>830</v>
      </c>
      <c r="H217" t="s">
        <v>48</v>
      </c>
      <c r="I217" t="s">
        <v>56</v>
      </c>
      <c r="J217" s="1">
        <v>46023</v>
      </c>
      <c r="K217" t="s">
        <v>50</v>
      </c>
      <c r="L217" t="s">
        <v>51</v>
      </c>
      <c r="M217" s="2">
        <v>0</v>
      </c>
      <c r="N217" s="2">
        <v>175</v>
      </c>
      <c r="O217">
        <v>1</v>
      </c>
      <c r="P217" s="3">
        <v>1</v>
      </c>
      <c r="Q217" s="2">
        <v>175</v>
      </c>
      <c r="S217" t="s">
        <v>803</v>
      </c>
    </row>
    <row r="218" spans="1:19" x14ac:dyDescent="0.25">
      <c r="A218" s="9" t="s">
        <v>699</v>
      </c>
      <c r="B218" s="9" t="str">
        <f t="shared" si="3"/>
        <v>00025127323KOVR</v>
      </c>
      <c r="C218" t="s">
        <v>199</v>
      </c>
      <c r="E218" t="s">
        <v>45</v>
      </c>
      <c r="F218">
        <v>20411454</v>
      </c>
      <c r="G218" t="s">
        <v>830</v>
      </c>
      <c r="H218" t="s">
        <v>48</v>
      </c>
      <c r="I218" t="s">
        <v>56</v>
      </c>
      <c r="J218" s="1">
        <v>46023</v>
      </c>
      <c r="K218" t="s">
        <v>50</v>
      </c>
      <c r="L218" t="s">
        <v>51</v>
      </c>
      <c r="M218" s="2">
        <v>0</v>
      </c>
      <c r="N218" s="2">
        <v>175</v>
      </c>
      <c r="O218">
        <v>1</v>
      </c>
      <c r="P218" s="3">
        <v>1</v>
      </c>
      <c r="Q218" s="2">
        <v>175</v>
      </c>
      <c r="S218" t="s">
        <v>803</v>
      </c>
    </row>
    <row r="219" spans="1:19" x14ac:dyDescent="0.25">
      <c r="A219" s="9" t="s">
        <v>700</v>
      </c>
      <c r="B219" s="9" t="str">
        <f t="shared" si="3"/>
        <v>00025128736KOVR</v>
      </c>
      <c r="C219" t="s">
        <v>200</v>
      </c>
      <c r="E219" t="s">
        <v>45</v>
      </c>
      <c r="F219">
        <v>20411454</v>
      </c>
      <c r="G219" t="s">
        <v>830</v>
      </c>
      <c r="H219" t="s">
        <v>48</v>
      </c>
      <c r="I219" t="s">
        <v>56</v>
      </c>
      <c r="J219" s="1">
        <v>46023</v>
      </c>
      <c r="K219" t="s">
        <v>50</v>
      </c>
      <c r="L219" t="s">
        <v>51</v>
      </c>
      <c r="M219" s="2">
        <v>0</v>
      </c>
      <c r="N219" s="2">
        <v>175</v>
      </c>
      <c r="O219">
        <v>1</v>
      </c>
      <c r="P219" s="3">
        <v>1</v>
      </c>
      <c r="Q219" s="2">
        <v>175</v>
      </c>
      <c r="S219" t="s">
        <v>803</v>
      </c>
    </row>
    <row r="220" spans="1:19" x14ac:dyDescent="0.25">
      <c r="A220" s="9" t="s">
        <v>701</v>
      </c>
      <c r="B220" s="9" t="str">
        <f t="shared" si="3"/>
        <v>00025129194KOVR</v>
      </c>
      <c r="C220" t="s">
        <v>203</v>
      </c>
      <c r="E220" t="s">
        <v>69</v>
      </c>
      <c r="F220">
        <v>20411454</v>
      </c>
      <c r="G220" t="s">
        <v>830</v>
      </c>
      <c r="H220" t="s">
        <v>48</v>
      </c>
      <c r="I220" t="s">
        <v>56</v>
      </c>
      <c r="J220" s="1">
        <v>46023</v>
      </c>
      <c r="K220" t="s">
        <v>50</v>
      </c>
      <c r="L220" t="s">
        <v>51</v>
      </c>
      <c r="M220" s="2">
        <v>0</v>
      </c>
      <c r="N220" s="2">
        <v>175</v>
      </c>
      <c r="O220">
        <v>1</v>
      </c>
      <c r="P220" s="3">
        <v>1</v>
      </c>
      <c r="Q220" s="2">
        <v>175</v>
      </c>
      <c r="S220" t="s">
        <v>803</v>
      </c>
    </row>
    <row r="221" spans="1:19" x14ac:dyDescent="0.25">
      <c r="A221" s="9" t="s">
        <v>702</v>
      </c>
      <c r="B221" s="9" t="str">
        <f t="shared" si="3"/>
        <v>00025129562KOVR</v>
      </c>
      <c r="C221" t="s">
        <v>204</v>
      </c>
      <c r="E221" t="s">
        <v>45</v>
      </c>
      <c r="F221">
        <v>20411454</v>
      </c>
      <c r="G221" t="s">
        <v>830</v>
      </c>
      <c r="H221" t="s">
        <v>48</v>
      </c>
      <c r="I221" t="s">
        <v>56</v>
      </c>
      <c r="J221" s="1">
        <v>46023</v>
      </c>
      <c r="K221" t="s">
        <v>50</v>
      </c>
      <c r="L221" t="s">
        <v>51</v>
      </c>
      <c r="M221" s="2">
        <v>0</v>
      </c>
      <c r="N221" s="2">
        <v>175</v>
      </c>
      <c r="O221">
        <v>1</v>
      </c>
      <c r="P221" s="3">
        <v>1</v>
      </c>
      <c r="Q221" s="2">
        <v>175</v>
      </c>
      <c r="S221" t="s">
        <v>803</v>
      </c>
    </row>
    <row r="222" spans="1:19" x14ac:dyDescent="0.25">
      <c r="A222" s="9" t="s">
        <v>703</v>
      </c>
      <c r="B222" s="9" t="str">
        <f t="shared" si="3"/>
        <v>00025129911KOVR</v>
      </c>
      <c r="C222" t="s">
        <v>205</v>
      </c>
      <c r="E222" t="s">
        <v>45</v>
      </c>
      <c r="F222">
        <v>20411454</v>
      </c>
      <c r="G222" t="s">
        <v>830</v>
      </c>
      <c r="H222" t="s">
        <v>48</v>
      </c>
      <c r="I222" t="s">
        <v>56</v>
      </c>
      <c r="J222" s="1">
        <v>46023</v>
      </c>
      <c r="K222" t="s">
        <v>50</v>
      </c>
      <c r="L222" t="s">
        <v>51</v>
      </c>
      <c r="M222" s="2">
        <v>0</v>
      </c>
      <c r="N222" s="2">
        <v>175</v>
      </c>
      <c r="O222">
        <v>1</v>
      </c>
      <c r="P222" s="3">
        <v>1</v>
      </c>
      <c r="Q222" s="2">
        <v>175</v>
      </c>
      <c r="S222" t="s">
        <v>803</v>
      </c>
    </row>
    <row r="223" spans="1:19" x14ac:dyDescent="0.25">
      <c r="A223" s="9" t="s">
        <v>704</v>
      </c>
      <c r="B223" s="9" t="str">
        <f t="shared" si="3"/>
        <v>00025130497KOVR</v>
      </c>
      <c r="C223" t="s">
        <v>206</v>
      </c>
      <c r="E223" t="s">
        <v>45</v>
      </c>
      <c r="F223">
        <v>20411454</v>
      </c>
      <c r="G223" t="s">
        <v>830</v>
      </c>
      <c r="H223" t="s">
        <v>48</v>
      </c>
      <c r="I223" t="s">
        <v>56</v>
      </c>
      <c r="J223" s="1">
        <v>45992</v>
      </c>
      <c r="K223" t="s">
        <v>50</v>
      </c>
      <c r="L223" t="s">
        <v>51</v>
      </c>
      <c r="M223" s="2">
        <v>0</v>
      </c>
      <c r="N223" s="2">
        <v>175</v>
      </c>
      <c r="O223">
        <v>1</v>
      </c>
      <c r="P223" s="3">
        <v>1</v>
      </c>
      <c r="Q223" s="2">
        <v>175</v>
      </c>
      <c r="S223" t="s">
        <v>803</v>
      </c>
    </row>
    <row r="224" spans="1:19" x14ac:dyDescent="0.25">
      <c r="A224" s="9" t="s">
        <v>705</v>
      </c>
      <c r="B224" s="9" t="str">
        <f t="shared" si="3"/>
        <v>00025130731KOVR</v>
      </c>
      <c r="C224" t="s">
        <v>207</v>
      </c>
      <c r="E224" t="s">
        <v>45</v>
      </c>
      <c r="F224">
        <v>20411454</v>
      </c>
      <c r="G224" t="s">
        <v>830</v>
      </c>
      <c r="H224" t="s">
        <v>48</v>
      </c>
      <c r="I224" t="s">
        <v>56</v>
      </c>
      <c r="J224" s="1">
        <v>45992</v>
      </c>
      <c r="K224" t="s">
        <v>50</v>
      </c>
      <c r="L224" t="s">
        <v>51</v>
      </c>
      <c r="M224" s="2">
        <v>0</v>
      </c>
      <c r="N224" s="2">
        <v>175</v>
      </c>
      <c r="O224">
        <v>1</v>
      </c>
      <c r="P224" s="3">
        <v>1</v>
      </c>
      <c r="Q224" s="2">
        <v>175</v>
      </c>
      <c r="S224" t="s">
        <v>803</v>
      </c>
    </row>
    <row r="225" spans="1:19" x14ac:dyDescent="0.25">
      <c r="A225" s="9" t="s">
        <v>706</v>
      </c>
      <c r="B225" s="9" t="str">
        <f t="shared" si="3"/>
        <v>00025131435KOVR</v>
      </c>
      <c r="C225" t="s">
        <v>208</v>
      </c>
      <c r="E225" t="s">
        <v>45</v>
      </c>
      <c r="F225">
        <v>20411454</v>
      </c>
      <c r="G225" t="s">
        <v>830</v>
      </c>
      <c r="H225" t="s">
        <v>48</v>
      </c>
      <c r="I225" t="s">
        <v>56</v>
      </c>
      <c r="J225" s="1">
        <v>46023</v>
      </c>
      <c r="K225" t="s">
        <v>50</v>
      </c>
      <c r="L225" t="s">
        <v>51</v>
      </c>
      <c r="M225" s="2">
        <v>0</v>
      </c>
      <c r="N225" s="2">
        <v>175</v>
      </c>
      <c r="O225">
        <v>1</v>
      </c>
      <c r="P225" s="3">
        <v>1</v>
      </c>
      <c r="Q225" s="2">
        <v>175</v>
      </c>
      <c r="S225" t="s">
        <v>803</v>
      </c>
    </row>
    <row r="226" spans="1:19" x14ac:dyDescent="0.25">
      <c r="A226" s="9" t="s">
        <v>707</v>
      </c>
      <c r="B226" s="9" t="str">
        <f t="shared" si="3"/>
        <v>00025131706KOVR</v>
      </c>
      <c r="C226" t="s">
        <v>209</v>
      </c>
      <c r="E226" t="s">
        <v>45</v>
      </c>
      <c r="F226">
        <v>20411454</v>
      </c>
      <c r="G226" t="s">
        <v>830</v>
      </c>
      <c r="H226" t="s">
        <v>48</v>
      </c>
      <c r="I226" t="s">
        <v>56</v>
      </c>
      <c r="J226" s="1">
        <v>46023</v>
      </c>
      <c r="K226" t="s">
        <v>50</v>
      </c>
      <c r="L226" t="s">
        <v>51</v>
      </c>
      <c r="M226" s="2">
        <v>0</v>
      </c>
      <c r="N226" s="2">
        <v>175</v>
      </c>
      <c r="O226">
        <v>1</v>
      </c>
      <c r="P226" s="3">
        <v>1</v>
      </c>
      <c r="Q226" s="2">
        <v>175</v>
      </c>
      <c r="S226" t="s">
        <v>803</v>
      </c>
    </row>
    <row r="227" spans="1:19" x14ac:dyDescent="0.25">
      <c r="A227" s="9" t="s">
        <v>708</v>
      </c>
      <c r="B227" s="9" t="str">
        <f t="shared" si="3"/>
        <v>00025134124KOVR</v>
      </c>
      <c r="C227" t="s">
        <v>210</v>
      </c>
      <c r="E227" t="s">
        <v>69</v>
      </c>
      <c r="F227">
        <v>20411454</v>
      </c>
      <c r="G227" t="s">
        <v>830</v>
      </c>
      <c r="H227" t="s">
        <v>48</v>
      </c>
      <c r="I227" t="s">
        <v>56</v>
      </c>
      <c r="J227" s="1">
        <v>45992</v>
      </c>
      <c r="K227" t="s">
        <v>50</v>
      </c>
      <c r="L227" t="s">
        <v>51</v>
      </c>
      <c r="M227" s="2">
        <v>0</v>
      </c>
      <c r="N227" s="2">
        <v>175</v>
      </c>
      <c r="O227">
        <v>1</v>
      </c>
      <c r="P227" s="3">
        <v>1</v>
      </c>
      <c r="Q227" s="2">
        <v>175</v>
      </c>
      <c r="S227" t="s">
        <v>803</v>
      </c>
    </row>
    <row r="228" spans="1:19" x14ac:dyDescent="0.25">
      <c r="A228" s="9" t="s">
        <v>709</v>
      </c>
      <c r="B228" s="9" t="str">
        <f t="shared" si="3"/>
        <v>00025136212KOVR</v>
      </c>
      <c r="C228" t="s">
        <v>211</v>
      </c>
      <c r="E228" t="s">
        <v>169</v>
      </c>
      <c r="F228">
        <v>20411454</v>
      </c>
      <c r="G228" t="s">
        <v>830</v>
      </c>
      <c r="H228" t="s">
        <v>48</v>
      </c>
      <c r="I228" t="s">
        <v>56</v>
      </c>
      <c r="J228" s="1">
        <v>46023</v>
      </c>
      <c r="K228" t="s">
        <v>50</v>
      </c>
      <c r="L228" t="s">
        <v>51</v>
      </c>
      <c r="M228" s="2">
        <v>0</v>
      </c>
      <c r="N228" s="2">
        <v>175</v>
      </c>
      <c r="O228">
        <v>1</v>
      </c>
      <c r="P228" s="3">
        <v>1</v>
      </c>
      <c r="Q228" s="2">
        <v>175</v>
      </c>
      <c r="S228" t="s">
        <v>803</v>
      </c>
    </row>
    <row r="229" spans="1:19" x14ac:dyDescent="0.25">
      <c r="A229" s="9" t="s">
        <v>710</v>
      </c>
      <c r="B229" s="9" t="str">
        <f t="shared" si="3"/>
        <v>00025141127KOVR</v>
      </c>
      <c r="C229" t="s">
        <v>212</v>
      </c>
      <c r="E229" t="s">
        <v>45</v>
      </c>
      <c r="F229">
        <v>20411454</v>
      </c>
      <c r="G229" t="s">
        <v>830</v>
      </c>
      <c r="H229" t="s">
        <v>48</v>
      </c>
      <c r="I229" t="s">
        <v>56</v>
      </c>
      <c r="J229" s="1">
        <v>46023</v>
      </c>
      <c r="K229" t="s">
        <v>50</v>
      </c>
      <c r="L229" t="s">
        <v>51</v>
      </c>
      <c r="M229" s="2">
        <v>0</v>
      </c>
      <c r="N229" s="2">
        <v>175</v>
      </c>
      <c r="O229">
        <v>1</v>
      </c>
      <c r="P229" s="3">
        <v>1</v>
      </c>
      <c r="Q229" s="2">
        <v>175</v>
      </c>
      <c r="S229" t="s">
        <v>803</v>
      </c>
    </row>
    <row r="230" spans="1:19" x14ac:dyDescent="0.25">
      <c r="A230" s="9" t="s">
        <v>711</v>
      </c>
      <c r="B230" s="9" t="str">
        <f t="shared" si="3"/>
        <v>00025144674KOVR</v>
      </c>
      <c r="C230" t="s">
        <v>213</v>
      </c>
      <c r="E230" t="s">
        <v>69</v>
      </c>
      <c r="F230">
        <v>20411454</v>
      </c>
      <c r="G230" t="s">
        <v>830</v>
      </c>
      <c r="H230" t="s">
        <v>48</v>
      </c>
      <c r="I230" t="s">
        <v>56</v>
      </c>
      <c r="J230" s="1">
        <v>46023</v>
      </c>
      <c r="K230" t="s">
        <v>50</v>
      </c>
      <c r="L230" t="s">
        <v>51</v>
      </c>
      <c r="M230" s="2">
        <v>0</v>
      </c>
      <c r="N230" s="2">
        <v>175</v>
      </c>
      <c r="O230">
        <v>1</v>
      </c>
      <c r="P230" s="3">
        <v>1</v>
      </c>
      <c r="Q230" s="2">
        <v>175</v>
      </c>
      <c r="S230" t="s">
        <v>803</v>
      </c>
    </row>
    <row r="231" spans="1:19" x14ac:dyDescent="0.25">
      <c r="A231" s="9" t="s">
        <v>712</v>
      </c>
      <c r="B231" s="9" t="str">
        <f t="shared" si="3"/>
        <v>00025151536KOVR</v>
      </c>
      <c r="C231" t="s">
        <v>214</v>
      </c>
      <c r="E231" t="s">
        <v>45</v>
      </c>
      <c r="F231">
        <v>20411454</v>
      </c>
      <c r="G231" t="s">
        <v>830</v>
      </c>
      <c r="H231" t="s">
        <v>48</v>
      </c>
      <c r="I231" t="s">
        <v>56</v>
      </c>
      <c r="J231" s="1">
        <v>46023</v>
      </c>
      <c r="K231" t="s">
        <v>50</v>
      </c>
      <c r="L231" t="s">
        <v>51</v>
      </c>
      <c r="M231" s="2">
        <v>0</v>
      </c>
      <c r="N231" s="2">
        <v>175</v>
      </c>
      <c r="O231">
        <v>1</v>
      </c>
      <c r="P231" s="3">
        <v>1</v>
      </c>
      <c r="Q231" s="2">
        <v>175</v>
      </c>
      <c r="S231" t="s">
        <v>803</v>
      </c>
    </row>
    <row r="232" spans="1:19" x14ac:dyDescent="0.25">
      <c r="A232" s="9" t="s">
        <v>713</v>
      </c>
      <c r="B232" s="9" t="str">
        <f t="shared" si="3"/>
        <v>00025152988KOVR</v>
      </c>
      <c r="C232" t="s">
        <v>215</v>
      </c>
      <c r="E232" t="s">
        <v>45</v>
      </c>
      <c r="F232">
        <v>20411454</v>
      </c>
      <c r="G232" t="s">
        <v>830</v>
      </c>
      <c r="H232" t="s">
        <v>48</v>
      </c>
      <c r="I232" t="s">
        <v>56</v>
      </c>
      <c r="J232" s="1">
        <v>46023</v>
      </c>
      <c r="K232" t="s">
        <v>50</v>
      </c>
      <c r="L232" t="s">
        <v>51</v>
      </c>
      <c r="M232" s="2">
        <v>0</v>
      </c>
      <c r="N232" s="2">
        <v>175</v>
      </c>
      <c r="O232">
        <v>1</v>
      </c>
      <c r="P232" s="3">
        <v>1</v>
      </c>
      <c r="Q232" s="2">
        <v>175</v>
      </c>
      <c r="S232" t="s">
        <v>803</v>
      </c>
    </row>
    <row r="233" spans="1:19" x14ac:dyDescent="0.25">
      <c r="A233" s="9" t="s">
        <v>714</v>
      </c>
      <c r="B233" s="9" t="str">
        <f t="shared" si="3"/>
        <v>00025153222KOVR</v>
      </c>
      <c r="C233" t="s">
        <v>216</v>
      </c>
      <c r="E233" t="s">
        <v>169</v>
      </c>
      <c r="F233">
        <v>20411454</v>
      </c>
      <c r="G233" t="s">
        <v>830</v>
      </c>
      <c r="H233" t="s">
        <v>48</v>
      </c>
      <c r="I233" t="s">
        <v>56</v>
      </c>
      <c r="J233" s="1">
        <v>46023</v>
      </c>
      <c r="K233" t="s">
        <v>50</v>
      </c>
      <c r="L233" t="s">
        <v>51</v>
      </c>
      <c r="M233" s="2">
        <v>0</v>
      </c>
      <c r="N233" s="2">
        <v>175</v>
      </c>
      <c r="O233">
        <v>1</v>
      </c>
      <c r="P233" s="3">
        <v>1</v>
      </c>
      <c r="Q233" s="2">
        <v>175</v>
      </c>
      <c r="S233" t="s">
        <v>803</v>
      </c>
    </row>
    <row r="234" spans="1:19" x14ac:dyDescent="0.25">
      <c r="A234" s="9" t="s">
        <v>715</v>
      </c>
      <c r="B234" s="9" t="str">
        <f t="shared" si="3"/>
        <v>00025154970KOVR</v>
      </c>
      <c r="C234" t="s">
        <v>217</v>
      </c>
      <c r="E234" t="s">
        <v>169</v>
      </c>
      <c r="F234">
        <v>20411454</v>
      </c>
      <c r="G234" t="s">
        <v>830</v>
      </c>
      <c r="H234" t="s">
        <v>48</v>
      </c>
      <c r="I234" t="s">
        <v>56</v>
      </c>
      <c r="J234" s="1">
        <v>46023</v>
      </c>
      <c r="K234" t="s">
        <v>50</v>
      </c>
      <c r="L234" t="s">
        <v>51</v>
      </c>
      <c r="M234" s="2">
        <v>0</v>
      </c>
      <c r="N234" s="2">
        <v>175</v>
      </c>
      <c r="O234">
        <v>1</v>
      </c>
      <c r="P234" s="3">
        <v>1</v>
      </c>
      <c r="Q234" s="2">
        <v>175</v>
      </c>
      <c r="S234" t="s">
        <v>803</v>
      </c>
    </row>
    <row r="235" spans="1:19" x14ac:dyDescent="0.25">
      <c r="A235" s="9" t="s">
        <v>716</v>
      </c>
      <c r="B235" s="9" t="str">
        <f t="shared" si="3"/>
        <v>00025156558KOVR</v>
      </c>
      <c r="C235" t="s">
        <v>218</v>
      </c>
      <c r="E235" t="s">
        <v>45</v>
      </c>
      <c r="F235">
        <v>20411454</v>
      </c>
      <c r="G235" t="s">
        <v>830</v>
      </c>
      <c r="H235" t="s">
        <v>48</v>
      </c>
      <c r="I235" t="s">
        <v>56</v>
      </c>
      <c r="J235" s="1">
        <v>46023</v>
      </c>
      <c r="K235" t="s">
        <v>50</v>
      </c>
      <c r="L235" t="s">
        <v>51</v>
      </c>
      <c r="M235" s="2">
        <v>0</v>
      </c>
      <c r="N235" s="2">
        <v>175</v>
      </c>
      <c r="O235">
        <v>1</v>
      </c>
      <c r="P235" s="3">
        <v>1</v>
      </c>
      <c r="Q235" s="2">
        <v>175</v>
      </c>
      <c r="S235" t="s">
        <v>803</v>
      </c>
    </row>
    <row r="236" spans="1:19" x14ac:dyDescent="0.25">
      <c r="A236" s="9" t="s">
        <v>717</v>
      </c>
      <c r="B236" s="9" t="str">
        <f t="shared" si="3"/>
        <v>00025162986KOVR</v>
      </c>
      <c r="C236" t="s">
        <v>219</v>
      </c>
      <c r="E236" t="s">
        <v>220</v>
      </c>
      <c r="F236">
        <v>20411454</v>
      </c>
      <c r="G236" t="s">
        <v>830</v>
      </c>
      <c r="H236" t="s">
        <v>48</v>
      </c>
      <c r="I236" t="s">
        <v>56</v>
      </c>
      <c r="J236" s="1">
        <v>46023</v>
      </c>
      <c r="K236" t="s">
        <v>50</v>
      </c>
      <c r="L236" t="s">
        <v>51</v>
      </c>
      <c r="M236" s="2">
        <v>0</v>
      </c>
      <c r="N236" s="2">
        <v>175</v>
      </c>
      <c r="O236">
        <v>1</v>
      </c>
      <c r="P236" s="3">
        <v>1</v>
      </c>
      <c r="Q236" s="2">
        <v>175</v>
      </c>
      <c r="S236" t="s">
        <v>803</v>
      </c>
    </row>
    <row r="237" spans="1:19" x14ac:dyDescent="0.25">
      <c r="A237" s="9" t="s">
        <v>718</v>
      </c>
      <c r="B237" s="9" t="str">
        <f t="shared" si="3"/>
        <v>00025163433KOVR</v>
      </c>
      <c r="C237" t="s">
        <v>221</v>
      </c>
      <c r="E237" t="s">
        <v>222</v>
      </c>
      <c r="F237">
        <v>20411454</v>
      </c>
      <c r="G237" t="s">
        <v>830</v>
      </c>
      <c r="H237" t="s">
        <v>48</v>
      </c>
      <c r="I237" t="s">
        <v>56</v>
      </c>
      <c r="J237" s="1">
        <v>46023</v>
      </c>
      <c r="K237" t="s">
        <v>50</v>
      </c>
      <c r="L237" t="s">
        <v>51</v>
      </c>
      <c r="M237" s="2">
        <v>0</v>
      </c>
      <c r="N237" s="2">
        <v>175</v>
      </c>
      <c r="O237">
        <v>1</v>
      </c>
      <c r="P237" s="3">
        <v>1</v>
      </c>
      <c r="Q237" s="2">
        <v>175</v>
      </c>
      <c r="S237" t="s">
        <v>803</v>
      </c>
    </row>
    <row r="238" spans="1:19" x14ac:dyDescent="0.25">
      <c r="A238" s="9" t="s">
        <v>719</v>
      </c>
      <c r="B238" s="9" t="str">
        <f t="shared" si="3"/>
        <v>00025165726KOVR</v>
      </c>
      <c r="C238" t="s">
        <v>223</v>
      </c>
      <c r="E238" t="s">
        <v>45</v>
      </c>
      <c r="F238">
        <v>20411454</v>
      </c>
      <c r="G238" t="s">
        <v>830</v>
      </c>
      <c r="H238" t="s">
        <v>48</v>
      </c>
      <c r="I238" t="s">
        <v>56</v>
      </c>
      <c r="J238" s="1">
        <v>46023</v>
      </c>
      <c r="K238" t="s">
        <v>50</v>
      </c>
      <c r="L238" t="s">
        <v>51</v>
      </c>
      <c r="M238" s="2">
        <v>0</v>
      </c>
      <c r="N238" s="2">
        <v>175</v>
      </c>
      <c r="O238">
        <v>1</v>
      </c>
      <c r="P238" s="3">
        <v>1</v>
      </c>
      <c r="Q238" s="2">
        <v>175</v>
      </c>
      <c r="S238" t="s">
        <v>803</v>
      </c>
    </row>
    <row r="239" spans="1:19" x14ac:dyDescent="0.25">
      <c r="A239" s="9" t="s">
        <v>720</v>
      </c>
      <c r="B239" s="9" t="str">
        <f t="shared" si="3"/>
        <v>00025166266KOVR</v>
      </c>
      <c r="C239" t="s">
        <v>224</v>
      </c>
      <c r="E239" t="s">
        <v>69</v>
      </c>
      <c r="F239">
        <v>20411454</v>
      </c>
      <c r="G239" t="s">
        <v>830</v>
      </c>
      <c r="H239" t="s">
        <v>48</v>
      </c>
      <c r="I239" t="s">
        <v>56</v>
      </c>
      <c r="J239" s="1">
        <v>46023</v>
      </c>
      <c r="K239" t="s">
        <v>50</v>
      </c>
      <c r="L239" t="s">
        <v>51</v>
      </c>
      <c r="M239" s="2">
        <v>0</v>
      </c>
      <c r="N239" s="2">
        <v>175</v>
      </c>
      <c r="O239">
        <v>1</v>
      </c>
      <c r="P239" s="3">
        <v>1</v>
      </c>
      <c r="Q239" s="2">
        <v>175</v>
      </c>
      <c r="S239" t="s">
        <v>803</v>
      </c>
    </row>
    <row r="240" spans="1:19" x14ac:dyDescent="0.25">
      <c r="A240" s="9" t="s">
        <v>721</v>
      </c>
      <c r="B240" s="9" t="str">
        <f t="shared" si="3"/>
        <v>00025170763KOVR</v>
      </c>
      <c r="C240" t="s">
        <v>225</v>
      </c>
      <c r="E240" t="s">
        <v>69</v>
      </c>
      <c r="F240">
        <v>20411454</v>
      </c>
      <c r="G240" t="s">
        <v>830</v>
      </c>
      <c r="H240" t="s">
        <v>48</v>
      </c>
      <c r="I240" t="s">
        <v>56</v>
      </c>
      <c r="J240" s="1">
        <v>46023</v>
      </c>
      <c r="K240" t="s">
        <v>50</v>
      </c>
      <c r="L240" t="s">
        <v>51</v>
      </c>
      <c r="M240" s="2">
        <v>0</v>
      </c>
      <c r="N240" s="2">
        <v>175</v>
      </c>
      <c r="O240">
        <v>1</v>
      </c>
      <c r="P240" s="3">
        <v>1</v>
      </c>
      <c r="Q240" s="2">
        <v>175</v>
      </c>
      <c r="S240" t="s">
        <v>803</v>
      </c>
    </row>
    <row r="241" spans="1:19" x14ac:dyDescent="0.25">
      <c r="A241" s="9" t="s">
        <v>722</v>
      </c>
      <c r="B241" s="9" t="str">
        <f t="shared" si="3"/>
        <v>00025171452KOVR</v>
      </c>
      <c r="C241" t="s">
        <v>226</v>
      </c>
      <c r="E241" t="s">
        <v>227</v>
      </c>
      <c r="F241">
        <v>20411454</v>
      </c>
      <c r="G241" t="s">
        <v>830</v>
      </c>
      <c r="H241" t="s">
        <v>48</v>
      </c>
      <c r="I241" t="s">
        <v>56</v>
      </c>
      <c r="J241" s="1">
        <v>45992</v>
      </c>
      <c r="K241" t="s">
        <v>50</v>
      </c>
      <c r="L241" t="s">
        <v>51</v>
      </c>
      <c r="M241" s="2">
        <v>0</v>
      </c>
      <c r="N241" s="2">
        <v>175</v>
      </c>
      <c r="O241">
        <v>1</v>
      </c>
      <c r="P241" s="3">
        <v>1</v>
      </c>
      <c r="Q241" s="2">
        <v>175</v>
      </c>
      <c r="S241" t="s">
        <v>803</v>
      </c>
    </row>
    <row r="242" spans="1:19" x14ac:dyDescent="0.25">
      <c r="A242" s="9" t="s">
        <v>723</v>
      </c>
      <c r="B242" s="9" t="str">
        <f t="shared" si="3"/>
        <v>00025174478KOVR</v>
      </c>
      <c r="C242" t="s">
        <v>228</v>
      </c>
      <c r="E242" t="s">
        <v>45</v>
      </c>
      <c r="F242">
        <v>20411454</v>
      </c>
      <c r="G242" t="s">
        <v>830</v>
      </c>
      <c r="H242" t="s">
        <v>48</v>
      </c>
      <c r="I242" t="s">
        <v>56</v>
      </c>
      <c r="J242" s="1">
        <v>46023</v>
      </c>
      <c r="K242" t="s">
        <v>50</v>
      </c>
      <c r="L242" t="s">
        <v>51</v>
      </c>
      <c r="M242" s="2">
        <v>0</v>
      </c>
      <c r="N242" s="2">
        <v>175</v>
      </c>
      <c r="O242">
        <v>1</v>
      </c>
      <c r="P242" s="3">
        <v>1</v>
      </c>
      <c r="Q242" s="2">
        <v>175</v>
      </c>
      <c r="S242" t="s">
        <v>803</v>
      </c>
    </row>
    <row r="243" spans="1:19" x14ac:dyDescent="0.25">
      <c r="A243" s="9" t="s">
        <v>724</v>
      </c>
      <c r="B243" s="9" t="str">
        <f t="shared" si="3"/>
        <v>00025176560KOVR</v>
      </c>
      <c r="C243" t="s">
        <v>229</v>
      </c>
      <c r="E243" t="s">
        <v>45</v>
      </c>
      <c r="F243">
        <v>20411454</v>
      </c>
      <c r="G243" t="s">
        <v>830</v>
      </c>
      <c r="H243" t="s">
        <v>48</v>
      </c>
      <c r="I243" t="s">
        <v>56</v>
      </c>
      <c r="J243" s="1">
        <v>46023</v>
      </c>
      <c r="K243" t="s">
        <v>50</v>
      </c>
      <c r="L243" t="s">
        <v>51</v>
      </c>
      <c r="M243" s="2">
        <v>0</v>
      </c>
      <c r="N243" s="2">
        <v>175</v>
      </c>
      <c r="O243">
        <v>1</v>
      </c>
      <c r="P243" s="3">
        <v>1</v>
      </c>
      <c r="Q243" s="2">
        <v>175</v>
      </c>
      <c r="S243" t="s">
        <v>803</v>
      </c>
    </row>
    <row r="244" spans="1:19" x14ac:dyDescent="0.25">
      <c r="A244" s="9" t="s">
        <v>725</v>
      </c>
      <c r="B244" s="9" t="str">
        <f t="shared" si="3"/>
        <v>00025177893KOVR</v>
      </c>
      <c r="C244" t="s">
        <v>230</v>
      </c>
      <c r="E244" t="s">
        <v>45</v>
      </c>
      <c r="F244">
        <v>20411454</v>
      </c>
      <c r="G244" t="s">
        <v>830</v>
      </c>
      <c r="H244" t="s">
        <v>48</v>
      </c>
      <c r="I244" t="s">
        <v>56</v>
      </c>
      <c r="J244" s="1">
        <v>46023</v>
      </c>
      <c r="K244" t="s">
        <v>50</v>
      </c>
      <c r="L244" t="s">
        <v>51</v>
      </c>
      <c r="M244" s="2">
        <v>0</v>
      </c>
      <c r="N244" s="2">
        <v>175</v>
      </c>
      <c r="O244">
        <v>1</v>
      </c>
      <c r="P244" s="3">
        <v>1</v>
      </c>
      <c r="Q244" s="2">
        <v>175</v>
      </c>
      <c r="S244" t="s">
        <v>803</v>
      </c>
    </row>
    <row r="245" spans="1:19" x14ac:dyDescent="0.25">
      <c r="A245" s="9" t="s">
        <v>726</v>
      </c>
      <c r="B245" s="9" t="str">
        <f t="shared" si="3"/>
        <v>00025179995KOVR</v>
      </c>
      <c r="C245" t="s">
        <v>231</v>
      </c>
      <c r="E245" t="s">
        <v>45</v>
      </c>
      <c r="F245">
        <v>20411454</v>
      </c>
      <c r="G245" t="s">
        <v>830</v>
      </c>
      <c r="H245" t="s">
        <v>48</v>
      </c>
      <c r="I245" t="s">
        <v>56</v>
      </c>
      <c r="J245" s="1">
        <v>46023</v>
      </c>
      <c r="K245" t="s">
        <v>50</v>
      </c>
      <c r="L245" t="s">
        <v>51</v>
      </c>
      <c r="M245" s="2">
        <v>0</v>
      </c>
      <c r="N245" s="2">
        <v>175</v>
      </c>
      <c r="O245">
        <v>1</v>
      </c>
      <c r="P245" s="3">
        <v>1</v>
      </c>
      <c r="Q245" s="2">
        <v>175</v>
      </c>
      <c r="S245" t="s">
        <v>803</v>
      </c>
    </row>
    <row r="246" spans="1:19" x14ac:dyDescent="0.25">
      <c r="A246" s="9" t="s">
        <v>727</v>
      </c>
      <c r="B246" s="9" t="str">
        <f t="shared" si="3"/>
        <v>00025180643KOVR</v>
      </c>
      <c r="C246" t="s">
        <v>234</v>
      </c>
      <c r="E246" t="s">
        <v>45</v>
      </c>
      <c r="F246">
        <v>20411454</v>
      </c>
      <c r="G246" t="s">
        <v>830</v>
      </c>
      <c r="H246" t="s">
        <v>48</v>
      </c>
      <c r="I246" t="s">
        <v>56</v>
      </c>
      <c r="J246" s="1">
        <v>46023</v>
      </c>
      <c r="K246" t="s">
        <v>50</v>
      </c>
      <c r="L246" t="s">
        <v>51</v>
      </c>
      <c r="M246" s="2">
        <v>0</v>
      </c>
      <c r="N246" s="2">
        <v>175</v>
      </c>
      <c r="O246">
        <v>1</v>
      </c>
      <c r="P246" s="3">
        <v>1</v>
      </c>
      <c r="Q246" s="2">
        <v>175</v>
      </c>
      <c r="S246" t="s">
        <v>803</v>
      </c>
    </row>
    <row r="247" spans="1:19" x14ac:dyDescent="0.25">
      <c r="A247" s="9" t="s">
        <v>728</v>
      </c>
      <c r="B247" s="9" t="str">
        <f t="shared" si="3"/>
        <v>00025180774KOVR</v>
      </c>
      <c r="C247" t="s">
        <v>235</v>
      </c>
      <c r="E247" t="s">
        <v>45</v>
      </c>
      <c r="F247">
        <v>20411454</v>
      </c>
      <c r="G247" t="s">
        <v>830</v>
      </c>
      <c r="H247" t="s">
        <v>48</v>
      </c>
      <c r="I247" t="s">
        <v>56</v>
      </c>
      <c r="J247" s="1">
        <v>46023</v>
      </c>
      <c r="K247" t="s">
        <v>50</v>
      </c>
      <c r="L247" t="s">
        <v>51</v>
      </c>
      <c r="M247" s="2">
        <v>0</v>
      </c>
      <c r="N247" s="2">
        <v>175</v>
      </c>
      <c r="O247">
        <v>1</v>
      </c>
      <c r="P247" s="3">
        <v>1</v>
      </c>
      <c r="Q247" s="2">
        <v>175</v>
      </c>
      <c r="S247" t="s">
        <v>803</v>
      </c>
    </row>
    <row r="248" spans="1:19" x14ac:dyDescent="0.25">
      <c r="A248" s="9" t="s">
        <v>729</v>
      </c>
      <c r="B248" s="9" t="str">
        <f t="shared" si="3"/>
        <v>00025183368KOVR</v>
      </c>
      <c r="C248" t="s">
        <v>236</v>
      </c>
      <c r="E248" t="s">
        <v>45</v>
      </c>
      <c r="F248">
        <v>20411454</v>
      </c>
      <c r="G248" t="s">
        <v>830</v>
      </c>
      <c r="H248" t="s">
        <v>48</v>
      </c>
      <c r="I248" t="s">
        <v>56</v>
      </c>
      <c r="J248" s="1">
        <v>46023</v>
      </c>
      <c r="K248" t="s">
        <v>50</v>
      </c>
      <c r="L248" t="s">
        <v>51</v>
      </c>
      <c r="M248" s="2">
        <v>0</v>
      </c>
      <c r="N248" s="2">
        <v>175</v>
      </c>
      <c r="O248">
        <v>1</v>
      </c>
      <c r="P248" s="3">
        <v>1</v>
      </c>
      <c r="Q248" s="2">
        <v>175</v>
      </c>
      <c r="S248" t="s">
        <v>803</v>
      </c>
    </row>
    <row r="249" spans="1:19" x14ac:dyDescent="0.25">
      <c r="A249" s="9" t="s">
        <v>730</v>
      </c>
      <c r="B249" s="9" t="str">
        <f t="shared" si="3"/>
        <v>00025183545KOVR</v>
      </c>
      <c r="C249" t="s">
        <v>239</v>
      </c>
      <c r="E249" t="s">
        <v>89</v>
      </c>
      <c r="F249">
        <v>20411454</v>
      </c>
      <c r="G249" t="s">
        <v>830</v>
      </c>
      <c r="H249" t="s">
        <v>48</v>
      </c>
      <c r="I249" t="s">
        <v>56</v>
      </c>
      <c r="J249" s="1">
        <v>46023</v>
      </c>
      <c r="K249" t="s">
        <v>50</v>
      </c>
      <c r="L249" t="s">
        <v>51</v>
      </c>
      <c r="M249" s="2">
        <v>0</v>
      </c>
      <c r="N249" s="2">
        <v>175</v>
      </c>
      <c r="O249">
        <v>1</v>
      </c>
      <c r="P249" s="3">
        <v>1</v>
      </c>
      <c r="Q249" s="2">
        <v>175</v>
      </c>
      <c r="S249" t="s">
        <v>803</v>
      </c>
    </row>
    <row r="250" spans="1:19" x14ac:dyDescent="0.25">
      <c r="A250" s="9" t="s">
        <v>731</v>
      </c>
      <c r="B250" s="9" t="str">
        <f t="shared" si="3"/>
        <v>00025183765KOVR</v>
      </c>
      <c r="C250" t="s">
        <v>240</v>
      </c>
      <c r="E250" t="s">
        <v>45</v>
      </c>
      <c r="F250">
        <v>20411454</v>
      </c>
      <c r="G250" t="s">
        <v>830</v>
      </c>
      <c r="H250" t="s">
        <v>48</v>
      </c>
      <c r="I250" t="s">
        <v>56</v>
      </c>
      <c r="J250" s="1">
        <v>46023</v>
      </c>
      <c r="K250" t="s">
        <v>50</v>
      </c>
      <c r="L250" t="s">
        <v>51</v>
      </c>
      <c r="M250" s="2">
        <v>0</v>
      </c>
      <c r="N250" s="2">
        <v>175</v>
      </c>
      <c r="O250">
        <v>1</v>
      </c>
      <c r="P250" s="3">
        <v>1</v>
      </c>
      <c r="Q250" s="2">
        <v>175</v>
      </c>
      <c r="S250" t="s">
        <v>803</v>
      </c>
    </row>
    <row r="251" spans="1:19" x14ac:dyDescent="0.25">
      <c r="A251" s="9" t="s">
        <v>732</v>
      </c>
      <c r="B251" s="9" t="str">
        <f t="shared" si="3"/>
        <v>00025184951KOVR</v>
      </c>
      <c r="C251" t="s">
        <v>241</v>
      </c>
      <c r="E251" t="s">
        <v>45</v>
      </c>
      <c r="F251">
        <v>20411454</v>
      </c>
      <c r="G251" t="s">
        <v>830</v>
      </c>
      <c r="H251" t="s">
        <v>48</v>
      </c>
      <c r="I251" t="s">
        <v>56</v>
      </c>
      <c r="J251" s="1">
        <v>46023</v>
      </c>
      <c r="K251" t="s">
        <v>50</v>
      </c>
      <c r="L251" t="s">
        <v>51</v>
      </c>
      <c r="M251" s="2">
        <v>0</v>
      </c>
      <c r="N251" s="2">
        <v>175</v>
      </c>
      <c r="O251">
        <v>1</v>
      </c>
      <c r="P251" s="3">
        <v>1</v>
      </c>
      <c r="Q251" s="2">
        <v>175</v>
      </c>
      <c r="S251" t="s">
        <v>803</v>
      </c>
    </row>
    <row r="252" spans="1:19" x14ac:dyDescent="0.25">
      <c r="A252" s="9" t="s">
        <v>733</v>
      </c>
      <c r="B252" s="9" t="str">
        <f t="shared" si="3"/>
        <v>00025185749KOVR</v>
      </c>
      <c r="C252" t="s">
        <v>242</v>
      </c>
      <c r="E252" t="s">
        <v>45</v>
      </c>
      <c r="F252">
        <v>20411454</v>
      </c>
      <c r="G252" t="s">
        <v>830</v>
      </c>
      <c r="H252" t="s">
        <v>48</v>
      </c>
      <c r="I252" t="s">
        <v>56</v>
      </c>
      <c r="J252" s="1">
        <v>46023</v>
      </c>
      <c r="K252" t="s">
        <v>50</v>
      </c>
      <c r="L252" t="s">
        <v>51</v>
      </c>
      <c r="M252" s="2">
        <v>0</v>
      </c>
      <c r="N252" s="2">
        <v>175</v>
      </c>
      <c r="O252">
        <v>1</v>
      </c>
      <c r="P252" s="3">
        <v>1</v>
      </c>
      <c r="Q252" s="2">
        <v>175</v>
      </c>
      <c r="S252" t="s">
        <v>803</v>
      </c>
    </row>
    <row r="253" spans="1:19" x14ac:dyDescent="0.25">
      <c r="A253" s="9" t="s">
        <v>734</v>
      </c>
      <c r="B253" s="9" t="str">
        <f t="shared" si="3"/>
        <v>00025186224KOVR</v>
      </c>
      <c r="C253" t="s">
        <v>243</v>
      </c>
      <c r="E253" t="s">
        <v>89</v>
      </c>
      <c r="F253">
        <v>20411454</v>
      </c>
      <c r="G253" t="s">
        <v>830</v>
      </c>
      <c r="H253" t="s">
        <v>48</v>
      </c>
      <c r="I253" t="s">
        <v>56</v>
      </c>
      <c r="J253" s="1">
        <v>46023</v>
      </c>
      <c r="K253" t="s">
        <v>50</v>
      </c>
      <c r="L253" t="s">
        <v>51</v>
      </c>
      <c r="M253" s="2">
        <v>0</v>
      </c>
      <c r="N253" s="2">
        <v>175</v>
      </c>
      <c r="O253">
        <v>1</v>
      </c>
      <c r="P253" s="3">
        <v>1</v>
      </c>
      <c r="Q253" s="2">
        <v>175</v>
      </c>
      <c r="S253" t="s">
        <v>803</v>
      </c>
    </row>
    <row r="254" spans="1:19" x14ac:dyDescent="0.25">
      <c r="A254" s="9" t="s">
        <v>735</v>
      </c>
      <c r="B254" s="9" t="str">
        <f t="shared" si="3"/>
        <v>00025187396KOVR</v>
      </c>
      <c r="C254" t="s">
        <v>244</v>
      </c>
      <c r="E254" t="s">
        <v>120</v>
      </c>
      <c r="F254">
        <v>20411454</v>
      </c>
      <c r="G254" t="s">
        <v>830</v>
      </c>
      <c r="H254" t="s">
        <v>48</v>
      </c>
      <c r="I254" t="s">
        <v>56</v>
      </c>
      <c r="J254" s="1">
        <v>46023</v>
      </c>
      <c r="K254" t="s">
        <v>50</v>
      </c>
      <c r="L254" t="s">
        <v>51</v>
      </c>
      <c r="M254" s="2">
        <v>0</v>
      </c>
      <c r="N254" s="2">
        <v>175</v>
      </c>
      <c r="O254">
        <v>1</v>
      </c>
      <c r="P254" s="3">
        <v>1</v>
      </c>
      <c r="Q254" s="2">
        <v>175</v>
      </c>
      <c r="S254" t="s">
        <v>803</v>
      </c>
    </row>
    <row r="255" spans="1:19" x14ac:dyDescent="0.25">
      <c r="A255" s="9" t="s">
        <v>737</v>
      </c>
      <c r="B255" s="9" t="str">
        <f t="shared" si="3"/>
        <v>00025187845KOVR</v>
      </c>
      <c r="C255" t="s">
        <v>247</v>
      </c>
      <c r="E255" t="s">
        <v>62</v>
      </c>
      <c r="F255">
        <v>20411454</v>
      </c>
      <c r="G255" t="s">
        <v>830</v>
      </c>
      <c r="H255" t="s">
        <v>48</v>
      </c>
      <c r="I255" t="s">
        <v>56</v>
      </c>
      <c r="J255" s="1">
        <v>46054</v>
      </c>
      <c r="K255" t="s">
        <v>50</v>
      </c>
      <c r="L255" t="s">
        <v>51</v>
      </c>
      <c r="M255" s="2">
        <v>0</v>
      </c>
      <c r="N255" s="2">
        <v>175</v>
      </c>
      <c r="O255">
        <v>1</v>
      </c>
      <c r="P255" s="3">
        <v>1</v>
      </c>
      <c r="Q255" s="2">
        <v>175</v>
      </c>
      <c r="S255" t="s">
        <v>803</v>
      </c>
    </row>
    <row r="256" spans="1:19" x14ac:dyDescent="0.25">
      <c r="A256" s="9" t="s">
        <v>738</v>
      </c>
      <c r="B256" s="9" t="str">
        <f t="shared" si="3"/>
        <v>00025189228KOVR</v>
      </c>
      <c r="C256" t="s">
        <v>248</v>
      </c>
      <c r="E256" t="s">
        <v>45</v>
      </c>
      <c r="F256">
        <v>20411454</v>
      </c>
      <c r="G256" t="s">
        <v>830</v>
      </c>
      <c r="H256" t="s">
        <v>48</v>
      </c>
      <c r="I256" t="s">
        <v>56</v>
      </c>
      <c r="J256" s="1">
        <v>46023</v>
      </c>
      <c r="K256" t="s">
        <v>50</v>
      </c>
      <c r="L256" t="s">
        <v>51</v>
      </c>
      <c r="M256" s="2">
        <v>0</v>
      </c>
      <c r="N256" s="2">
        <v>175</v>
      </c>
      <c r="O256">
        <v>1</v>
      </c>
      <c r="P256" s="3">
        <v>1</v>
      </c>
      <c r="Q256" s="2">
        <v>175</v>
      </c>
      <c r="S256" t="s">
        <v>803</v>
      </c>
    </row>
    <row r="257" spans="1:19" x14ac:dyDescent="0.25">
      <c r="A257" s="9" t="s">
        <v>739</v>
      </c>
      <c r="B257" s="9" t="str">
        <f t="shared" si="3"/>
        <v>00025191051KOVR</v>
      </c>
      <c r="C257" t="s">
        <v>249</v>
      </c>
      <c r="E257" t="s">
        <v>45</v>
      </c>
      <c r="F257">
        <v>20411454</v>
      </c>
      <c r="G257" t="s">
        <v>830</v>
      </c>
      <c r="H257" t="s">
        <v>48</v>
      </c>
      <c r="I257" t="s">
        <v>56</v>
      </c>
      <c r="J257" s="1">
        <v>46023</v>
      </c>
      <c r="K257" t="s">
        <v>50</v>
      </c>
      <c r="L257" t="s">
        <v>51</v>
      </c>
      <c r="M257" s="2">
        <v>0</v>
      </c>
      <c r="N257" s="2">
        <v>175</v>
      </c>
      <c r="O257">
        <v>1</v>
      </c>
      <c r="P257" s="3">
        <v>1</v>
      </c>
      <c r="Q257" s="2">
        <v>175</v>
      </c>
      <c r="S257" t="s">
        <v>803</v>
      </c>
    </row>
    <row r="258" spans="1:19" x14ac:dyDescent="0.25">
      <c r="A258" s="9" t="s">
        <v>740</v>
      </c>
      <c r="B258" s="9" t="str">
        <f t="shared" si="3"/>
        <v>00025196061KOVR</v>
      </c>
      <c r="C258" t="s">
        <v>250</v>
      </c>
      <c r="E258" t="s">
        <v>179</v>
      </c>
      <c r="F258">
        <v>20411454</v>
      </c>
      <c r="G258" t="s">
        <v>830</v>
      </c>
      <c r="H258" t="s">
        <v>48</v>
      </c>
      <c r="I258" t="s">
        <v>56</v>
      </c>
      <c r="J258" s="1">
        <v>46023</v>
      </c>
      <c r="K258" t="s">
        <v>50</v>
      </c>
      <c r="L258" t="s">
        <v>51</v>
      </c>
      <c r="M258" s="2">
        <v>0</v>
      </c>
      <c r="N258" s="2">
        <v>175</v>
      </c>
      <c r="O258">
        <v>1</v>
      </c>
      <c r="P258" s="3">
        <v>1</v>
      </c>
      <c r="Q258" s="2">
        <v>175</v>
      </c>
      <c r="S258" t="s">
        <v>803</v>
      </c>
    </row>
    <row r="259" spans="1:19" x14ac:dyDescent="0.25">
      <c r="A259" s="9" t="s">
        <v>741</v>
      </c>
      <c r="B259" s="9" t="str">
        <f t="shared" ref="B259:B322" si="4">CONCATENATE(A259,"OVR")</f>
        <v>00025199148KOVR</v>
      </c>
      <c r="C259" t="s">
        <v>253</v>
      </c>
      <c r="E259" t="s">
        <v>125</v>
      </c>
      <c r="F259">
        <v>20411454</v>
      </c>
      <c r="G259" t="s">
        <v>830</v>
      </c>
      <c r="H259" t="s">
        <v>48</v>
      </c>
      <c r="I259" t="s">
        <v>56</v>
      </c>
      <c r="J259" s="1">
        <v>46023</v>
      </c>
      <c r="K259" t="s">
        <v>50</v>
      </c>
      <c r="L259" t="s">
        <v>51</v>
      </c>
      <c r="M259" s="2">
        <v>0</v>
      </c>
      <c r="N259" s="2">
        <v>175</v>
      </c>
      <c r="O259">
        <v>1</v>
      </c>
      <c r="P259" s="3">
        <v>1</v>
      </c>
      <c r="Q259" s="2">
        <v>175</v>
      </c>
      <c r="S259" t="s">
        <v>803</v>
      </c>
    </row>
    <row r="260" spans="1:19" x14ac:dyDescent="0.25">
      <c r="A260" s="9" t="s">
        <v>742</v>
      </c>
      <c r="B260" s="9" t="str">
        <f t="shared" si="4"/>
        <v>00025200030KOVR</v>
      </c>
      <c r="C260" t="s">
        <v>254</v>
      </c>
      <c r="E260" t="s">
        <v>45</v>
      </c>
      <c r="F260">
        <v>20411454</v>
      </c>
      <c r="G260" t="s">
        <v>830</v>
      </c>
      <c r="H260" t="s">
        <v>48</v>
      </c>
      <c r="I260" t="s">
        <v>56</v>
      </c>
      <c r="J260" s="1">
        <v>46023</v>
      </c>
      <c r="K260" t="s">
        <v>50</v>
      </c>
      <c r="L260" t="s">
        <v>51</v>
      </c>
      <c r="M260" s="2">
        <v>0</v>
      </c>
      <c r="N260" s="2">
        <v>175</v>
      </c>
      <c r="O260">
        <v>1</v>
      </c>
      <c r="P260" s="3">
        <v>1</v>
      </c>
      <c r="Q260" s="2">
        <v>175</v>
      </c>
      <c r="S260" t="s">
        <v>803</v>
      </c>
    </row>
    <row r="261" spans="1:19" x14ac:dyDescent="0.25">
      <c r="A261" s="9" t="s">
        <v>743</v>
      </c>
      <c r="B261" s="9" t="str">
        <f t="shared" si="4"/>
        <v>00025201461KOVR</v>
      </c>
      <c r="C261" t="s">
        <v>255</v>
      </c>
      <c r="E261" t="s">
        <v>45</v>
      </c>
      <c r="F261">
        <v>20411454</v>
      </c>
      <c r="G261" t="s">
        <v>830</v>
      </c>
      <c r="H261" t="s">
        <v>48</v>
      </c>
      <c r="I261" t="s">
        <v>56</v>
      </c>
      <c r="J261" s="1">
        <v>46023</v>
      </c>
      <c r="K261" t="s">
        <v>50</v>
      </c>
      <c r="L261" t="s">
        <v>51</v>
      </c>
      <c r="M261" s="2">
        <v>0</v>
      </c>
      <c r="N261" s="2">
        <v>175</v>
      </c>
      <c r="O261">
        <v>1</v>
      </c>
      <c r="P261" s="3">
        <v>1</v>
      </c>
      <c r="Q261" s="2">
        <v>175</v>
      </c>
      <c r="S261" t="s">
        <v>803</v>
      </c>
    </row>
    <row r="262" spans="1:19" x14ac:dyDescent="0.25">
      <c r="A262" s="9" t="s">
        <v>744</v>
      </c>
      <c r="B262" s="9" t="str">
        <f t="shared" si="4"/>
        <v>00025203634KOVR</v>
      </c>
      <c r="C262" t="s">
        <v>256</v>
      </c>
      <c r="E262" t="s">
        <v>45</v>
      </c>
      <c r="F262">
        <v>20411454</v>
      </c>
      <c r="G262" t="s">
        <v>830</v>
      </c>
      <c r="H262" t="s">
        <v>48</v>
      </c>
      <c r="I262" t="s">
        <v>56</v>
      </c>
      <c r="J262" s="1">
        <v>46023</v>
      </c>
      <c r="K262" t="s">
        <v>50</v>
      </c>
      <c r="L262" t="s">
        <v>51</v>
      </c>
      <c r="M262" s="2">
        <v>0</v>
      </c>
      <c r="N262" s="2">
        <v>175</v>
      </c>
      <c r="O262">
        <v>1</v>
      </c>
      <c r="P262" s="3">
        <v>1</v>
      </c>
      <c r="Q262" s="2">
        <v>175</v>
      </c>
      <c r="S262" t="s">
        <v>803</v>
      </c>
    </row>
    <row r="263" spans="1:19" x14ac:dyDescent="0.25">
      <c r="A263" s="9" t="s">
        <v>745</v>
      </c>
      <c r="B263" s="9" t="str">
        <f t="shared" si="4"/>
        <v>00025204130KOVR</v>
      </c>
      <c r="C263" t="s">
        <v>257</v>
      </c>
      <c r="E263" t="s">
        <v>45</v>
      </c>
      <c r="F263">
        <v>20411454</v>
      </c>
      <c r="G263" t="s">
        <v>830</v>
      </c>
      <c r="H263" t="s">
        <v>48</v>
      </c>
      <c r="I263" t="s">
        <v>56</v>
      </c>
      <c r="J263" s="1">
        <v>46023</v>
      </c>
      <c r="K263" t="s">
        <v>50</v>
      </c>
      <c r="L263" t="s">
        <v>51</v>
      </c>
      <c r="M263" s="2">
        <v>0</v>
      </c>
      <c r="N263" s="2">
        <v>175</v>
      </c>
      <c r="O263">
        <v>1</v>
      </c>
      <c r="P263" s="3">
        <v>1</v>
      </c>
      <c r="Q263" s="2">
        <v>175</v>
      </c>
      <c r="S263" t="s">
        <v>803</v>
      </c>
    </row>
    <row r="264" spans="1:19" x14ac:dyDescent="0.25">
      <c r="A264" s="9" t="s">
        <v>746</v>
      </c>
      <c r="B264" s="9" t="str">
        <f t="shared" si="4"/>
        <v>00025204605KOVR</v>
      </c>
      <c r="C264" t="s">
        <v>258</v>
      </c>
      <c r="E264" t="s">
        <v>45</v>
      </c>
      <c r="F264">
        <v>20411454</v>
      </c>
      <c r="G264" t="s">
        <v>830</v>
      </c>
      <c r="H264" t="s">
        <v>48</v>
      </c>
      <c r="I264" t="s">
        <v>56</v>
      </c>
      <c r="J264" s="1">
        <v>46023</v>
      </c>
      <c r="K264" t="s">
        <v>50</v>
      </c>
      <c r="L264" t="s">
        <v>51</v>
      </c>
      <c r="M264" s="2">
        <v>0</v>
      </c>
      <c r="N264" s="2">
        <v>175</v>
      </c>
      <c r="O264">
        <v>1</v>
      </c>
      <c r="P264" s="3">
        <v>1</v>
      </c>
      <c r="Q264" s="2">
        <v>175</v>
      </c>
      <c r="S264" t="s">
        <v>803</v>
      </c>
    </row>
    <row r="265" spans="1:19" x14ac:dyDescent="0.25">
      <c r="A265" s="9" t="s">
        <v>747</v>
      </c>
      <c r="B265" s="9" t="str">
        <f t="shared" si="4"/>
        <v>00025205159KOVR</v>
      </c>
      <c r="C265" t="s">
        <v>259</v>
      </c>
      <c r="E265" t="s">
        <v>45</v>
      </c>
      <c r="F265">
        <v>20411454</v>
      </c>
      <c r="G265" t="s">
        <v>830</v>
      </c>
      <c r="H265" t="s">
        <v>48</v>
      </c>
      <c r="I265" t="s">
        <v>56</v>
      </c>
      <c r="J265" s="1">
        <v>46023</v>
      </c>
      <c r="K265" t="s">
        <v>50</v>
      </c>
      <c r="L265" t="s">
        <v>51</v>
      </c>
      <c r="M265" s="2">
        <v>0</v>
      </c>
      <c r="N265" s="2">
        <v>175</v>
      </c>
      <c r="O265">
        <v>1</v>
      </c>
      <c r="P265" s="3">
        <v>1</v>
      </c>
      <c r="Q265" s="2">
        <v>175</v>
      </c>
      <c r="S265" t="s">
        <v>803</v>
      </c>
    </row>
    <row r="266" spans="1:19" x14ac:dyDescent="0.25">
      <c r="A266" s="9" t="s">
        <v>748</v>
      </c>
      <c r="B266" s="9" t="str">
        <f t="shared" si="4"/>
        <v>00025205339KOVR</v>
      </c>
      <c r="C266" t="s">
        <v>260</v>
      </c>
      <c r="E266" t="s">
        <v>45</v>
      </c>
      <c r="F266">
        <v>20411454</v>
      </c>
      <c r="G266" t="s">
        <v>830</v>
      </c>
      <c r="H266" t="s">
        <v>48</v>
      </c>
      <c r="I266" t="s">
        <v>56</v>
      </c>
      <c r="J266" s="1">
        <v>46023</v>
      </c>
      <c r="K266" t="s">
        <v>50</v>
      </c>
      <c r="L266" t="s">
        <v>51</v>
      </c>
      <c r="M266" s="2">
        <v>0</v>
      </c>
      <c r="N266" s="2">
        <v>175</v>
      </c>
      <c r="O266">
        <v>1</v>
      </c>
      <c r="P266" s="3">
        <v>1</v>
      </c>
      <c r="Q266" s="2">
        <v>175</v>
      </c>
      <c r="S266" t="s">
        <v>803</v>
      </c>
    </row>
    <row r="267" spans="1:19" x14ac:dyDescent="0.25">
      <c r="A267" s="9" t="s">
        <v>749</v>
      </c>
      <c r="B267" s="9" t="str">
        <f t="shared" si="4"/>
        <v>00025208590KOVR</v>
      </c>
      <c r="C267" t="s">
        <v>261</v>
      </c>
      <c r="E267" t="s">
        <v>45</v>
      </c>
      <c r="F267">
        <v>20411454</v>
      </c>
      <c r="G267" t="s">
        <v>830</v>
      </c>
      <c r="H267" t="s">
        <v>48</v>
      </c>
      <c r="I267" t="s">
        <v>56</v>
      </c>
      <c r="J267" s="1">
        <v>46023</v>
      </c>
      <c r="K267" t="s">
        <v>50</v>
      </c>
      <c r="L267" t="s">
        <v>51</v>
      </c>
      <c r="M267" s="2">
        <v>0</v>
      </c>
      <c r="N267" s="2">
        <v>175</v>
      </c>
      <c r="O267">
        <v>1</v>
      </c>
      <c r="P267" s="3">
        <v>1</v>
      </c>
      <c r="Q267" s="2">
        <v>175</v>
      </c>
      <c r="S267" t="s">
        <v>803</v>
      </c>
    </row>
    <row r="268" spans="1:19" x14ac:dyDescent="0.25">
      <c r="A268" s="9" t="s">
        <v>750</v>
      </c>
      <c r="B268" s="9" t="str">
        <f t="shared" si="4"/>
        <v>00025209167KOVR</v>
      </c>
      <c r="C268" t="s">
        <v>262</v>
      </c>
      <c r="E268" t="s">
        <v>45</v>
      </c>
      <c r="F268">
        <v>20411454</v>
      </c>
      <c r="G268" t="s">
        <v>830</v>
      </c>
      <c r="H268" t="s">
        <v>48</v>
      </c>
      <c r="I268" t="s">
        <v>56</v>
      </c>
      <c r="J268" s="1">
        <v>46023</v>
      </c>
      <c r="K268" t="s">
        <v>50</v>
      </c>
      <c r="L268" t="s">
        <v>51</v>
      </c>
      <c r="M268" s="2">
        <v>0</v>
      </c>
      <c r="N268" s="2">
        <v>175</v>
      </c>
      <c r="O268">
        <v>1</v>
      </c>
      <c r="P268" s="3">
        <v>1</v>
      </c>
      <c r="Q268" s="2">
        <v>175</v>
      </c>
      <c r="S268" t="s">
        <v>803</v>
      </c>
    </row>
    <row r="269" spans="1:19" x14ac:dyDescent="0.25">
      <c r="A269" s="9" t="s">
        <v>751</v>
      </c>
      <c r="B269" s="9" t="str">
        <f t="shared" si="4"/>
        <v>00025209547KOVR</v>
      </c>
      <c r="C269" t="s">
        <v>263</v>
      </c>
      <c r="E269" t="s">
        <v>45</v>
      </c>
      <c r="F269">
        <v>20411454</v>
      </c>
      <c r="G269" t="s">
        <v>830</v>
      </c>
      <c r="H269" t="s">
        <v>48</v>
      </c>
      <c r="I269" t="s">
        <v>56</v>
      </c>
      <c r="J269" s="1">
        <v>46023</v>
      </c>
      <c r="K269" t="s">
        <v>50</v>
      </c>
      <c r="L269" t="s">
        <v>51</v>
      </c>
      <c r="M269" s="2">
        <v>0</v>
      </c>
      <c r="N269" s="2">
        <v>175</v>
      </c>
      <c r="O269">
        <v>1</v>
      </c>
      <c r="P269" s="3">
        <v>1</v>
      </c>
      <c r="Q269" s="2">
        <v>175</v>
      </c>
      <c r="S269" t="s">
        <v>803</v>
      </c>
    </row>
    <row r="270" spans="1:19" x14ac:dyDescent="0.25">
      <c r="A270" s="9" t="s">
        <v>752</v>
      </c>
      <c r="B270" s="9" t="str">
        <f t="shared" si="4"/>
        <v>00025210243KOVR</v>
      </c>
      <c r="C270" t="s">
        <v>264</v>
      </c>
      <c r="E270" t="s">
        <v>45</v>
      </c>
      <c r="F270">
        <v>20411454</v>
      </c>
      <c r="G270" t="s">
        <v>830</v>
      </c>
      <c r="H270" t="s">
        <v>48</v>
      </c>
      <c r="I270" t="s">
        <v>56</v>
      </c>
      <c r="J270" s="1">
        <v>46023</v>
      </c>
      <c r="K270" t="s">
        <v>50</v>
      </c>
      <c r="L270" t="s">
        <v>51</v>
      </c>
      <c r="M270" s="2">
        <v>0</v>
      </c>
      <c r="N270" s="2">
        <v>175</v>
      </c>
      <c r="O270">
        <v>1</v>
      </c>
      <c r="P270" s="3">
        <v>1</v>
      </c>
      <c r="Q270" s="2">
        <v>175</v>
      </c>
      <c r="S270" t="s">
        <v>803</v>
      </c>
    </row>
    <row r="271" spans="1:19" x14ac:dyDescent="0.25">
      <c r="A271" s="9" t="s">
        <v>753</v>
      </c>
      <c r="B271" s="9" t="str">
        <f t="shared" si="4"/>
        <v>00025210273KOVR</v>
      </c>
      <c r="C271" t="s">
        <v>265</v>
      </c>
      <c r="E271" t="s">
        <v>45</v>
      </c>
      <c r="F271">
        <v>20411454</v>
      </c>
      <c r="G271" t="s">
        <v>830</v>
      </c>
      <c r="H271" t="s">
        <v>48</v>
      </c>
      <c r="I271" t="s">
        <v>56</v>
      </c>
      <c r="J271" s="1">
        <v>46054</v>
      </c>
      <c r="K271" t="s">
        <v>50</v>
      </c>
      <c r="L271" t="s">
        <v>51</v>
      </c>
      <c r="M271" s="2">
        <v>0</v>
      </c>
      <c r="N271" s="2">
        <v>175</v>
      </c>
      <c r="O271">
        <v>1</v>
      </c>
      <c r="P271" s="3">
        <v>1</v>
      </c>
      <c r="Q271" s="2">
        <v>175</v>
      </c>
      <c r="S271" t="s">
        <v>803</v>
      </c>
    </row>
    <row r="272" spans="1:19" x14ac:dyDescent="0.25">
      <c r="A272" s="9" t="s">
        <v>754</v>
      </c>
      <c r="B272" s="9" t="str">
        <f t="shared" si="4"/>
        <v>00025211384KOVR</v>
      </c>
      <c r="C272" t="s">
        <v>266</v>
      </c>
      <c r="E272" t="s">
        <v>115</v>
      </c>
      <c r="F272">
        <v>20411454</v>
      </c>
      <c r="G272" t="s">
        <v>830</v>
      </c>
      <c r="H272" t="s">
        <v>48</v>
      </c>
      <c r="I272" t="s">
        <v>56</v>
      </c>
      <c r="J272" s="1">
        <v>46023</v>
      </c>
      <c r="K272" t="s">
        <v>50</v>
      </c>
      <c r="L272" t="s">
        <v>51</v>
      </c>
      <c r="M272" s="2">
        <v>0</v>
      </c>
      <c r="N272" s="2">
        <v>175</v>
      </c>
      <c r="O272">
        <v>1</v>
      </c>
      <c r="P272" s="3">
        <v>1</v>
      </c>
      <c r="Q272" s="2">
        <v>175</v>
      </c>
      <c r="S272" t="s">
        <v>803</v>
      </c>
    </row>
    <row r="273" spans="1:19" x14ac:dyDescent="0.25">
      <c r="A273" s="9" t="s">
        <v>755</v>
      </c>
      <c r="B273" s="9" t="str">
        <f t="shared" si="4"/>
        <v>00025217831KOVR</v>
      </c>
      <c r="C273" t="s">
        <v>267</v>
      </c>
      <c r="E273" t="s">
        <v>69</v>
      </c>
      <c r="F273">
        <v>20411454</v>
      </c>
      <c r="G273" t="s">
        <v>830</v>
      </c>
      <c r="H273" t="s">
        <v>48</v>
      </c>
      <c r="I273" t="s">
        <v>56</v>
      </c>
      <c r="J273" s="1">
        <v>46023</v>
      </c>
      <c r="K273" t="s">
        <v>50</v>
      </c>
      <c r="L273" t="s">
        <v>51</v>
      </c>
      <c r="M273" s="2">
        <v>0</v>
      </c>
      <c r="N273" s="2">
        <v>175</v>
      </c>
      <c r="O273">
        <v>1</v>
      </c>
      <c r="P273" s="3">
        <v>1</v>
      </c>
      <c r="Q273" s="2">
        <v>175</v>
      </c>
      <c r="S273" t="s">
        <v>803</v>
      </c>
    </row>
    <row r="274" spans="1:19" x14ac:dyDescent="0.25">
      <c r="A274" s="9" t="s">
        <v>756</v>
      </c>
      <c r="B274" s="9" t="str">
        <f t="shared" si="4"/>
        <v>00025220189KOVR</v>
      </c>
      <c r="C274" t="s">
        <v>268</v>
      </c>
      <c r="E274" t="s">
        <v>269</v>
      </c>
      <c r="F274">
        <v>20411454</v>
      </c>
      <c r="G274" t="s">
        <v>830</v>
      </c>
      <c r="H274" t="s">
        <v>48</v>
      </c>
      <c r="I274" t="s">
        <v>56</v>
      </c>
      <c r="J274" s="1">
        <v>45992</v>
      </c>
      <c r="K274" t="s">
        <v>50</v>
      </c>
      <c r="L274" t="s">
        <v>51</v>
      </c>
      <c r="M274" s="2">
        <v>0</v>
      </c>
      <c r="N274" s="2">
        <v>175</v>
      </c>
      <c r="O274">
        <v>1</v>
      </c>
      <c r="P274" s="3">
        <v>1</v>
      </c>
      <c r="Q274" s="2">
        <v>175</v>
      </c>
      <c r="S274" t="s">
        <v>803</v>
      </c>
    </row>
    <row r="275" spans="1:19" x14ac:dyDescent="0.25">
      <c r="A275" s="9" t="s">
        <v>757</v>
      </c>
      <c r="B275" s="9" t="str">
        <f t="shared" si="4"/>
        <v>00025221987KOVR</v>
      </c>
      <c r="C275" t="s">
        <v>270</v>
      </c>
      <c r="E275" t="s">
        <v>89</v>
      </c>
      <c r="F275">
        <v>20411454</v>
      </c>
      <c r="G275" t="s">
        <v>830</v>
      </c>
      <c r="H275" t="s">
        <v>48</v>
      </c>
      <c r="I275" t="s">
        <v>56</v>
      </c>
      <c r="J275" s="1">
        <v>46023</v>
      </c>
      <c r="K275" t="s">
        <v>50</v>
      </c>
      <c r="L275" t="s">
        <v>51</v>
      </c>
      <c r="M275" s="2">
        <v>0</v>
      </c>
      <c r="N275" s="2">
        <v>175</v>
      </c>
      <c r="O275">
        <v>1</v>
      </c>
      <c r="P275" s="3">
        <v>1</v>
      </c>
      <c r="Q275" s="2">
        <v>175</v>
      </c>
      <c r="S275" t="s">
        <v>803</v>
      </c>
    </row>
    <row r="276" spans="1:19" x14ac:dyDescent="0.25">
      <c r="A276" s="9" t="s">
        <v>758</v>
      </c>
      <c r="B276" s="9" t="str">
        <f t="shared" si="4"/>
        <v>00025222039KOVR</v>
      </c>
      <c r="C276" t="s">
        <v>273</v>
      </c>
      <c r="E276" t="s">
        <v>45</v>
      </c>
      <c r="F276">
        <v>20411454</v>
      </c>
      <c r="G276" t="s">
        <v>830</v>
      </c>
      <c r="H276" t="s">
        <v>48</v>
      </c>
      <c r="I276" t="s">
        <v>56</v>
      </c>
      <c r="J276" s="1">
        <v>46023</v>
      </c>
      <c r="K276" t="s">
        <v>50</v>
      </c>
      <c r="L276" t="s">
        <v>51</v>
      </c>
      <c r="M276" s="2">
        <v>0</v>
      </c>
      <c r="N276" s="2">
        <v>175</v>
      </c>
      <c r="O276">
        <v>1</v>
      </c>
      <c r="P276" s="3">
        <v>1</v>
      </c>
      <c r="Q276" s="2">
        <v>175</v>
      </c>
      <c r="S276" t="s">
        <v>803</v>
      </c>
    </row>
    <row r="277" spans="1:19" x14ac:dyDescent="0.25">
      <c r="A277" s="9" t="s">
        <v>759</v>
      </c>
      <c r="B277" s="9" t="str">
        <f t="shared" si="4"/>
        <v>00025225992KOVR</v>
      </c>
      <c r="C277" t="s">
        <v>274</v>
      </c>
      <c r="E277" t="s">
        <v>45</v>
      </c>
      <c r="F277">
        <v>20411454</v>
      </c>
      <c r="G277" t="s">
        <v>830</v>
      </c>
      <c r="H277" t="s">
        <v>48</v>
      </c>
      <c r="I277" t="s">
        <v>56</v>
      </c>
      <c r="J277" s="1">
        <v>46023</v>
      </c>
      <c r="K277" t="s">
        <v>50</v>
      </c>
      <c r="L277" t="s">
        <v>51</v>
      </c>
      <c r="M277" s="2">
        <v>0</v>
      </c>
      <c r="N277" s="2">
        <v>175</v>
      </c>
      <c r="O277">
        <v>1</v>
      </c>
      <c r="P277" s="3">
        <v>1</v>
      </c>
      <c r="Q277" s="2">
        <v>175</v>
      </c>
      <c r="S277" t="s">
        <v>803</v>
      </c>
    </row>
    <row r="278" spans="1:19" x14ac:dyDescent="0.25">
      <c r="A278" s="9" t="s">
        <v>760</v>
      </c>
      <c r="B278" s="9" t="str">
        <f t="shared" si="4"/>
        <v>00025228149KOVR</v>
      </c>
      <c r="C278" t="s">
        <v>275</v>
      </c>
      <c r="E278" t="s">
        <v>45</v>
      </c>
      <c r="F278">
        <v>20411454</v>
      </c>
      <c r="G278" t="s">
        <v>830</v>
      </c>
      <c r="H278" t="s">
        <v>48</v>
      </c>
      <c r="I278" t="s">
        <v>56</v>
      </c>
      <c r="J278" s="1">
        <v>45992</v>
      </c>
      <c r="K278" t="s">
        <v>50</v>
      </c>
      <c r="L278" t="s">
        <v>51</v>
      </c>
      <c r="M278" s="2">
        <v>0</v>
      </c>
      <c r="N278" s="2">
        <v>175</v>
      </c>
      <c r="O278">
        <v>1</v>
      </c>
      <c r="P278" s="3">
        <v>1</v>
      </c>
      <c r="Q278" s="2">
        <v>175</v>
      </c>
      <c r="S278" t="s">
        <v>803</v>
      </c>
    </row>
    <row r="279" spans="1:19" x14ac:dyDescent="0.25">
      <c r="A279" s="9" t="s">
        <v>761</v>
      </c>
      <c r="B279" s="9" t="str">
        <f t="shared" si="4"/>
        <v>00025236212KOVR</v>
      </c>
      <c r="C279" t="s">
        <v>276</v>
      </c>
      <c r="E279" t="s">
        <v>45</v>
      </c>
      <c r="F279">
        <v>20411454</v>
      </c>
      <c r="G279" t="s">
        <v>830</v>
      </c>
      <c r="H279" t="s">
        <v>48</v>
      </c>
      <c r="I279" t="s">
        <v>56</v>
      </c>
      <c r="J279" s="1">
        <v>45992</v>
      </c>
      <c r="K279" t="s">
        <v>50</v>
      </c>
      <c r="L279" t="s">
        <v>51</v>
      </c>
      <c r="M279" s="2">
        <v>0</v>
      </c>
      <c r="N279" s="2">
        <v>175</v>
      </c>
      <c r="O279">
        <v>1</v>
      </c>
      <c r="P279" s="3">
        <v>1</v>
      </c>
      <c r="Q279" s="2">
        <v>175</v>
      </c>
      <c r="S279" t="s">
        <v>803</v>
      </c>
    </row>
    <row r="280" spans="1:19" x14ac:dyDescent="0.25">
      <c r="A280" s="9" t="s">
        <v>762</v>
      </c>
      <c r="B280" s="9" t="str">
        <f t="shared" si="4"/>
        <v>00025236228KOVR</v>
      </c>
      <c r="C280" t="s">
        <v>277</v>
      </c>
      <c r="E280" t="s">
        <v>45</v>
      </c>
      <c r="F280">
        <v>20411454</v>
      </c>
      <c r="G280" t="s">
        <v>830</v>
      </c>
      <c r="H280" t="s">
        <v>48</v>
      </c>
      <c r="I280" t="s">
        <v>56</v>
      </c>
      <c r="J280" s="1">
        <v>46023</v>
      </c>
      <c r="K280" t="s">
        <v>50</v>
      </c>
      <c r="L280" t="s">
        <v>51</v>
      </c>
      <c r="M280" s="2">
        <v>0</v>
      </c>
      <c r="N280" s="2">
        <v>175</v>
      </c>
      <c r="O280">
        <v>1</v>
      </c>
      <c r="P280" s="3">
        <v>1</v>
      </c>
      <c r="Q280" s="2">
        <v>175</v>
      </c>
      <c r="S280" t="s">
        <v>803</v>
      </c>
    </row>
    <row r="281" spans="1:19" x14ac:dyDescent="0.25">
      <c r="A281" s="9" t="s">
        <v>763</v>
      </c>
      <c r="B281" s="9" t="str">
        <f t="shared" si="4"/>
        <v>00025237687KOVR</v>
      </c>
      <c r="C281" t="s">
        <v>278</v>
      </c>
      <c r="E281" t="s">
        <v>69</v>
      </c>
      <c r="F281">
        <v>20411454</v>
      </c>
      <c r="G281" t="s">
        <v>830</v>
      </c>
      <c r="H281" t="s">
        <v>48</v>
      </c>
      <c r="I281" t="s">
        <v>56</v>
      </c>
      <c r="J281" s="1">
        <v>46023</v>
      </c>
      <c r="K281" t="s">
        <v>50</v>
      </c>
      <c r="L281" t="s">
        <v>51</v>
      </c>
      <c r="M281" s="2">
        <v>0</v>
      </c>
      <c r="N281" s="2">
        <v>175</v>
      </c>
      <c r="O281">
        <v>1</v>
      </c>
      <c r="P281" s="3">
        <v>1</v>
      </c>
      <c r="Q281" s="2">
        <v>175</v>
      </c>
      <c r="S281" t="s">
        <v>803</v>
      </c>
    </row>
    <row r="282" spans="1:19" x14ac:dyDescent="0.25">
      <c r="A282" s="9" t="s">
        <v>764</v>
      </c>
      <c r="B282" s="9" t="str">
        <f t="shared" si="4"/>
        <v>00025238125KOVR</v>
      </c>
      <c r="C282" t="s">
        <v>281</v>
      </c>
      <c r="E282" t="s">
        <v>45</v>
      </c>
      <c r="F282">
        <v>20411454</v>
      </c>
      <c r="G282" t="s">
        <v>830</v>
      </c>
      <c r="H282" t="s">
        <v>48</v>
      </c>
      <c r="I282" t="s">
        <v>56</v>
      </c>
      <c r="J282" s="1">
        <v>46023</v>
      </c>
      <c r="K282" t="s">
        <v>50</v>
      </c>
      <c r="L282" t="s">
        <v>51</v>
      </c>
      <c r="M282" s="2">
        <v>0</v>
      </c>
      <c r="N282" s="2">
        <v>175</v>
      </c>
      <c r="O282">
        <v>1</v>
      </c>
      <c r="P282" s="3">
        <v>1</v>
      </c>
      <c r="Q282" s="2">
        <v>175</v>
      </c>
      <c r="S282" t="s">
        <v>803</v>
      </c>
    </row>
    <row r="283" spans="1:19" x14ac:dyDescent="0.25">
      <c r="A283" s="9" t="s">
        <v>765</v>
      </c>
      <c r="B283" s="9" t="str">
        <f t="shared" si="4"/>
        <v>00025240003KOVR</v>
      </c>
      <c r="C283" t="s">
        <v>282</v>
      </c>
      <c r="E283" t="s">
        <v>45</v>
      </c>
      <c r="F283">
        <v>20411454</v>
      </c>
      <c r="G283" t="s">
        <v>830</v>
      </c>
      <c r="H283" t="s">
        <v>48</v>
      </c>
      <c r="I283" t="s">
        <v>56</v>
      </c>
      <c r="J283" s="1">
        <v>46023</v>
      </c>
      <c r="K283" t="s">
        <v>50</v>
      </c>
      <c r="L283" t="s">
        <v>51</v>
      </c>
      <c r="M283" s="2">
        <v>0</v>
      </c>
      <c r="N283" s="2">
        <v>175</v>
      </c>
      <c r="O283">
        <v>1</v>
      </c>
      <c r="P283" s="3">
        <v>1</v>
      </c>
      <c r="Q283" s="2">
        <v>175</v>
      </c>
      <c r="S283" t="s">
        <v>803</v>
      </c>
    </row>
    <row r="284" spans="1:19" x14ac:dyDescent="0.25">
      <c r="A284" s="9" t="s">
        <v>766</v>
      </c>
      <c r="B284" s="9" t="str">
        <f t="shared" si="4"/>
        <v>00025240178KOVR</v>
      </c>
      <c r="C284" t="s">
        <v>285</v>
      </c>
      <c r="E284" t="s">
        <v>45</v>
      </c>
      <c r="F284">
        <v>20411454</v>
      </c>
      <c r="G284" t="s">
        <v>830</v>
      </c>
      <c r="H284" t="s">
        <v>48</v>
      </c>
      <c r="I284" t="s">
        <v>56</v>
      </c>
      <c r="J284" s="1">
        <v>46023</v>
      </c>
      <c r="K284" t="s">
        <v>50</v>
      </c>
      <c r="L284" t="s">
        <v>51</v>
      </c>
      <c r="M284" s="2">
        <v>0</v>
      </c>
      <c r="N284" s="2">
        <v>175</v>
      </c>
      <c r="O284">
        <v>1</v>
      </c>
      <c r="P284" s="3">
        <v>1</v>
      </c>
      <c r="Q284" s="2">
        <v>175</v>
      </c>
      <c r="S284" t="s">
        <v>803</v>
      </c>
    </row>
    <row r="285" spans="1:19" x14ac:dyDescent="0.25">
      <c r="A285" s="9" t="s">
        <v>767</v>
      </c>
      <c r="B285" s="9" t="str">
        <f t="shared" si="4"/>
        <v>00025242191KOVR</v>
      </c>
      <c r="C285" t="s">
        <v>286</v>
      </c>
      <c r="E285" t="s">
        <v>45</v>
      </c>
      <c r="F285">
        <v>20411454</v>
      </c>
      <c r="G285" t="s">
        <v>830</v>
      </c>
      <c r="H285" t="s">
        <v>48</v>
      </c>
      <c r="I285" t="s">
        <v>56</v>
      </c>
      <c r="J285" s="1">
        <v>46023</v>
      </c>
      <c r="K285" t="s">
        <v>50</v>
      </c>
      <c r="L285" t="s">
        <v>51</v>
      </c>
      <c r="M285" s="2">
        <v>0</v>
      </c>
      <c r="N285" s="2">
        <v>175</v>
      </c>
      <c r="O285">
        <v>1</v>
      </c>
      <c r="P285" s="3">
        <v>1</v>
      </c>
      <c r="Q285" s="2">
        <v>175</v>
      </c>
      <c r="S285" t="s">
        <v>803</v>
      </c>
    </row>
    <row r="286" spans="1:19" x14ac:dyDescent="0.25">
      <c r="A286" s="9" t="s">
        <v>768</v>
      </c>
      <c r="B286" s="9" t="str">
        <f t="shared" si="4"/>
        <v>00025245679KOVR</v>
      </c>
      <c r="C286" t="s">
        <v>287</v>
      </c>
      <c r="E286" t="s">
        <v>45</v>
      </c>
      <c r="F286">
        <v>20411454</v>
      </c>
      <c r="G286" t="s">
        <v>830</v>
      </c>
      <c r="H286" t="s">
        <v>48</v>
      </c>
      <c r="I286" t="s">
        <v>56</v>
      </c>
      <c r="J286" s="1">
        <v>46023</v>
      </c>
      <c r="K286" t="s">
        <v>50</v>
      </c>
      <c r="L286" t="s">
        <v>51</v>
      </c>
      <c r="M286" s="2">
        <v>0</v>
      </c>
      <c r="N286" s="2">
        <v>175</v>
      </c>
      <c r="O286">
        <v>1</v>
      </c>
      <c r="P286" s="3">
        <v>1</v>
      </c>
      <c r="Q286" s="2">
        <v>175</v>
      </c>
      <c r="S286" t="s">
        <v>803</v>
      </c>
    </row>
    <row r="287" spans="1:19" x14ac:dyDescent="0.25">
      <c r="A287" s="9" t="s">
        <v>769</v>
      </c>
      <c r="B287" s="9" t="str">
        <f t="shared" si="4"/>
        <v>00025246641KOVR</v>
      </c>
      <c r="C287" t="s">
        <v>288</v>
      </c>
      <c r="E287" t="s">
        <v>45</v>
      </c>
      <c r="F287">
        <v>20411454</v>
      </c>
      <c r="G287" t="s">
        <v>830</v>
      </c>
      <c r="H287" t="s">
        <v>48</v>
      </c>
      <c r="I287" t="s">
        <v>56</v>
      </c>
      <c r="J287" s="1">
        <v>46023</v>
      </c>
      <c r="K287" t="s">
        <v>50</v>
      </c>
      <c r="L287" t="s">
        <v>51</v>
      </c>
      <c r="M287" s="2">
        <v>0</v>
      </c>
      <c r="N287" s="2">
        <v>175</v>
      </c>
      <c r="O287">
        <v>1</v>
      </c>
      <c r="P287" s="3">
        <v>1</v>
      </c>
      <c r="Q287" s="2">
        <v>175</v>
      </c>
      <c r="S287" t="s">
        <v>803</v>
      </c>
    </row>
    <row r="288" spans="1:19" x14ac:dyDescent="0.25">
      <c r="A288" s="9" t="s">
        <v>770</v>
      </c>
      <c r="B288" s="9" t="str">
        <f t="shared" si="4"/>
        <v>00025247341KOVR</v>
      </c>
      <c r="C288" t="s">
        <v>289</v>
      </c>
      <c r="E288" t="s">
        <v>45</v>
      </c>
      <c r="F288">
        <v>20411454</v>
      </c>
      <c r="G288" t="s">
        <v>830</v>
      </c>
      <c r="H288" t="s">
        <v>48</v>
      </c>
      <c r="I288" t="s">
        <v>56</v>
      </c>
      <c r="J288" s="1">
        <v>46023</v>
      </c>
      <c r="K288" t="s">
        <v>50</v>
      </c>
      <c r="L288" t="s">
        <v>51</v>
      </c>
      <c r="M288" s="2">
        <v>0</v>
      </c>
      <c r="N288" s="2">
        <v>175</v>
      </c>
      <c r="O288">
        <v>1</v>
      </c>
      <c r="P288" s="3">
        <v>1</v>
      </c>
      <c r="Q288" s="2">
        <v>175</v>
      </c>
      <c r="S288" t="s">
        <v>803</v>
      </c>
    </row>
    <row r="289" spans="1:19" x14ac:dyDescent="0.25">
      <c r="A289" s="9" t="s">
        <v>771</v>
      </c>
      <c r="B289" s="9" t="str">
        <f t="shared" si="4"/>
        <v>00025252002KOVR</v>
      </c>
      <c r="C289" t="s">
        <v>290</v>
      </c>
      <c r="E289" t="s">
        <v>45</v>
      </c>
      <c r="F289">
        <v>20411454</v>
      </c>
      <c r="G289" t="s">
        <v>830</v>
      </c>
      <c r="H289" t="s">
        <v>48</v>
      </c>
      <c r="I289" t="s">
        <v>56</v>
      </c>
      <c r="J289" s="1">
        <v>46023</v>
      </c>
      <c r="K289" t="s">
        <v>50</v>
      </c>
      <c r="L289" t="s">
        <v>51</v>
      </c>
      <c r="M289" s="2">
        <v>0</v>
      </c>
      <c r="N289" s="2">
        <v>175</v>
      </c>
      <c r="O289">
        <v>1</v>
      </c>
      <c r="P289" s="3">
        <v>1</v>
      </c>
      <c r="Q289" s="2">
        <v>175</v>
      </c>
      <c r="S289" t="s">
        <v>803</v>
      </c>
    </row>
    <row r="290" spans="1:19" x14ac:dyDescent="0.25">
      <c r="A290" s="9" t="s">
        <v>772</v>
      </c>
      <c r="B290" s="9" t="str">
        <f t="shared" si="4"/>
        <v>00025254604KOVR</v>
      </c>
      <c r="C290" t="s">
        <v>291</v>
      </c>
      <c r="E290" t="s">
        <v>89</v>
      </c>
      <c r="F290">
        <v>20411454</v>
      </c>
      <c r="G290" t="s">
        <v>830</v>
      </c>
      <c r="H290" t="s">
        <v>48</v>
      </c>
      <c r="I290" t="s">
        <v>56</v>
      </c>
      <c r="J290" s="1">
        <v>45992</v>
      </c>
      <c r="K290" t="s">
        <v>50</v>
      </c>
      <c r="L290" t="s">
        <v>51</v>
      </c>
      <c r="M290" s="2">
        <v>0</v>
      </c>
      <c r="N290" s="2">
        <v>175</v>
      </c>
      <c r="O290">
        <v>1</v>
      </c>
      <c r="P290" s="3">
        <v>1</v>
      </c>
      <c r="Q290" s="2">
        <v>175</v>
      </c>
      <c r="S290" t="s">
        <v>803</v>
      </c>
    </row>
    <row r="291" spans="1:19" x14ac:dyDescent="0.25">
      <c r="A291" s="9" t="s">
        <v>773</v>
      </c>
      <c r="B291" s="9" t="str">
        <f t="shared" si="4"/>
        <v>00025262126KOVR</v>
      </c>
      <c r="C291" t="s">
        <v>292</v>
      </c>
      <c r="E291" t="s">
        <v>45</v>
      </c>
      <c r="F291">
        <v>20411454</v>
      </c>
      <c r="G291" t="s">
        <v>830</v>
      </c>
      <c r="H291" t="s">
        <v>48</v>
      </c>
      <c r="I291" t="s">
        <v>56</v>
      </c>
      <c r="J291" s="1">
        <v>45992</v>
      </c>
      <c r="K291" t="s">
        <v>50</v>
      </c>
      <c r="L291" t="s">
        <v>51</v>
      </c>
      <c r="M291" s="2">
        <v>0</v>
      </c>
      <c r="N291" s="2">
        <v>175</v>
      </c>
      <c r="O291">
        <v>1</v>
      </c>
      <c r="P291" s="3">
        <v>1</v>
      </c>
      <c r="Q291" s="2">
        <v>175</v>
      </c>
      <c r="S291" t="s">
        <v>803</v>
      </c>
    </row>
    <row r="292" spans="1:19" x14ac:dyDescent="0.25">
      <c r="A292" s="9" t="s">
        <v>774</v>
      </c>
      <c r="B292" s="9" t="str">
        <f t="shared" si="4"/>
        <v>00025263328KOVR</v>
      </c>
      <c r="C292" t="s">
        <v>293</v>
      </c>
      <c r="E292" t="s">
        <v>89</v>
      </c>
      <c r="F292">
        <v>20411454</v>
      </c>
      <c r="G292" t="s">
        <v>830</v>
      </c>
      <c r="H292" t="s">
        <v>48</v>
      </c>
      <c r="I292" t="s">
        <v>56</v>
      </c>
      <c r="J292" s="1">
        <v>45992</v>
      </c>
      <c r="K292" t="s">
        <v>50</v>
      </c>
      <c r="L292" t="s">
        <v>51</v>
      </c>
      <c r="M292" s="2">
        <v>0</v>
      </c>
      <c r="N292" s="2">
        <v>175</v>
      </c>
      <c r="O292">
        <v>1</v>
      </c>
      <c r="P292" s="3">
        <v>1</v>
      </c>
      <c r="Q292" s="2">
        <v>175</v>
      </c>
      <c r="S292" t="s">
        <v>803</v>
      </c>
    </row>
    <row r="293" spans="1:19" x14ac:dyDescent="0.25">
      <c r="A293" s="9" t="s">
        <v>775</v>
      </c>
      <c r="B293" s="9" t="str">
        <f t="shared" si="4"/>
        <v>00025265236KOVR</v>
      </c>
      <c r="C293" t="s">
        <v>294</v>
      </c>
      <c r="E293" t="s">
        <v>45</v>
      </c>
      <c r="F293">
        <v>20411454</v>
      </c>
      <c r="G293" t="s">
        <v>830</v>
      </c>
      <c r="H293" t="s">
        <v>48</v>
      </c>
      <c r="I293" t="s">
        <v>56</v>
      </c>
      <c r="J293" s="1">
        <v>46023</v>
      </c>
      <c r="K293" t="s">
        <v>50</v>
      </c>
      <c r="L293" t="s">
        <v>51</v>
      </c>
      <c r="M293" s="2">
        <v>0</v>
      </c>
      <c r="N293" s="2">
        <v>175</v>
      </c>
      <c r="O293">
        <v>1</v>
      </c>
      <c r="P293" s="3">
        <v>1</v>
      </c>
      <c r="Q293" s="2">
        <v>175</v>
      </c>
      <c r="S293" t="s">
        <v>803</v>
      </c>
    </row>
    <row r="294" spans="1:19" x14ac:dyDescent="0.25">
      <c r="A294" s="9" t="s">
        <v>776</v>
      </c>
      <c r="B294" s="9" t="str">
        <f t="shared" si="4"/>
        <v>00025265807KOVR</v>
      </c>
      <c r="C294" t="s">
        <v>295</v>
      </c>
      <c r="E294" t="s">
        <v>45</v>
      </c>
      <c r="F294">
        <v>20411454</v>
      </c>
      <c r="G294" t="s">
        <v>830</v>
      </c>
      <c r="H294" t="s">
        <v>48</v>
      </c>
      <c r="I294" t="s">
        <v>56</v>
      </c>
      <c r="J294" s="1">
        <v>46023</v>
      </c>
      <c r="K294" t="s">
        <v>50</v>
      </c>
      <c r="L294" t="s">
        <v>51</v>
      </c>
      <c r="M294" s="2">
        <v>0</v>
      </c>
      <c r="N294" s="2">
        <v>175</v>
      </c>
      <c r="O294">
        <v>1</v>
      </c>
      <c r="P294" s="3">
        <v>1</v>
      </c>
      <c r="Q294" s="2">
        <v>175</v>
      </c>
      <c r="S294" t="s">
        <v>803</v>
      </c>
    </row>
    <row r="295" spans="1:19" x14ac:dyDescent="0.25">
      <c r="A295" s="9" t="s">
        <v>777</v>
      </c>
      <c r="B295" s="9" t="str">
        <f t="shared" si="4"/>
        <v>00025266330KOVR</v>
      </c>
      <c r="C295" t="s">
        <v>296</v>
      </c>
      <c r="E295" t="s">
        <v>45</v>
      </c>
      <c r="F295">
        <v>20411454</v>
      </c>
      <c r="G295" t="s">
        <v>830</v>
      </c>
      <c r="H295" t="s">
        <v>48</v>
      </c>
      <c r="I295" t="s">
        <v>56</v>
      </c>
      <c r="J295" s="1">
        <v>46023</v>
      </c>
      <c r="K295" t="s">
        <v>50</v>
      </c>
      <c r="L295" t="s">
        <v>51</v>
      </c>
      <c r="M295" s="2">
        <v>0</v>
      </c>
      <c r="N295" s="2">
        <v>175</v>
      </c>
      <c r="O295">
        <v>1</v>
      </c>
      <c r="P295" s="3">
        <v>1</v>
      </c>
      <c r="Q295" s="2">
        <v>175</v>
      </c>
      <c r="S295" t="s">
        <v>803</v>
      </c>
    </row>
    <row r="296" spans="1:19" x14ac:dyDescent="0.25">
      <c r="A296" s="9" t="s">
        <v>778</v>
      </c>
      <c r="B296" s="9" t="str">
        <f t="shared" si="4"/>
        <v>00025267289KOVR</v>
      </c>
      <c r="C296" t="s">
        <v>297</v>
      </c>
      <c r="E296" t="s">
        <v>45</v>
      </c>
      <c r="F296">
        <v>20411454</v>
      </c>
      <c r="G296" t="s">
        <v>830</v>
      </c>
      <c r="H296" t="s">
        <v>48</v>
      </c>
      <c r="I296" t="s">
        <v>56</v>
      </c>
      <c r="J296" s="1">
        <v>46023</v>
      </c>
      <c r="K296" t="s">
        <v>50</v>
      </c>
      <c r="L296" t="s">
        <v>51</v>
      </c>
      <c r="M296" s="2">
        <v>0</v>
      </c>
      <c r="N296" s="2">
        <v>175</v>
      </c>
      <c r="O296">
        <v>1</v>
      </c>
      <c r="P296" s="3">
        <v>1</v>
      </c>
      <c r="Q296" s="2">
        <v>175</v>
      </c>
      <c r="S296" t="s">
        <v>803</v>
      </c>
    </row>
    <row r="297" spans="1:19" x14ac:dyDescent="0.25">
      <c r="A297" s="9" t="s">
        <v>779</v>
      </c>
      <c r="B297" s="9" t="str">
        <f t="shared" si="4"/>
        <v>00025268374KOVR</v>
      </c>
      <c r="C297" t="s">
        <v>298</v>
      </c>
      <c r="E297" t="s">
        <v>45</v>
      </c>
      <c r="F297">
        <v>20411454</v>
      </c>
      <c r="G297" t="s">
        <v>830</v>
      </c>
      <c r="H297" t="s">
        <v>48</v>
      </c>
      <c r="I297" t="s">
        <v>56</v>
      </c>
      <c r="J297" s="1">
        <v>46023</v>
      </c>
      <c r="K297" t="s">
        <v>50</v>
      </c>
      <c r="L297" t="s">
        <v>51</v>
      </c>
      <c r="M297" s="2">
        <v>0</v>
      </c>
      <c r="N297" s="2">
        <v>175</v>
      </c>
      <c r="O297">
        <v>1</v>
      </c>
      <c r="P297" s="3">
        <v>1</v>
      </c>
      <c r="Q297" s="2">
        <v>175</v>
      </c>
      <c r="S297" t="s">
        <v>803</v>
      </c>
    </row>
    <row r="298" spans="1:19" x14ac:dyDescent="0.25">
      <c r="A298" s="9" t="s">
        <v>780</v>
      </c>
      <c r="B298" s="9" t="str">
        <f t="shared" si="4"/>
        <v>00025270181KOVR</v>
      </c>
      <c r="C298" t="s">
        <v>299</v>
      </c>
      <c r="E298" t="s">
        <v>45</v>
      </c>
      <c r="F298">
        <v>20411454</v>
      </c>
      <c r="G298" t="s">
        <v>830</v>
      </c>
      <c r="H298" t="s">
        <v>48</v>
      </c>
      <c r="I298" t="s">
        <v>56</v>
      </c>
      <c r="J298" s="1">
        <v>46023</v>
      </c>
      <c r="K298" t="s">
        <v>50</v>
      </c>
      <c r="L298" t="s">
        <v>51</v>
      </c>
      <c r="M298" s="2">
        <v>0</v>
      </c>
      <c r="N298" s="2">
        <v>175</v>
      </c>
      <c r="O298">
        <v>1</v>
      </c>
      <c r="P298" s="3">
        <v>1</v>
      </c>
      <c r="Q298" s="2">
        <v>175</v>
      </c>
      <c r="S298" t="s">
        <v>803</v>
      </c>
    </row>
    <row r="299" spans="1:19" x14ac:dyDescent="0.25">
      <c r="A299" s="9" t="s">
        <v>781</v>
      </c>
      <c r="B299" s="9" t="str">
        <f t="shared" si="4"/>
        <v>00025272360KOVR</v>
      </c>
      <c r="C299" t="s">
        <v>300</v>
      </c>
      <c r="E299" t="s">
        <v>45</v>
      </c>
      <c r="F299">
        <v>20411454</v>
      </c>
      <c r="G299" t="s">
        <v>830</v>
      </c>
      <c r="H299" t="s">
        <v>48</v>
      </c>
      <c r="I299" t="s">
        <v>56</v>
      </c>
      <c r="J299" s="1">
        <v>46023</v>
      </c>
      <c r="K299" t="s">
        <v>50</v>
      </c>
      <c r="L299" t="s">
        <v>51</v>
      </c>
      <c r="M299" s="2">
        <v>0</v>
      </c>
      <c r="N299" s="2">
        <v>175</v>
      </c>
      <c r="O299">
        <v>1</v>
      </c>
      <c r="P299" s="3">
        <v>1</v>
      </c>
      <c r="Q299" s="2">
        <v>175</v>
      </c>
      <c r="S299" t="s">
        <v>803</v>
      </c>
    </row>
    <row r="300" spans="1:19" x14ac:dyDescent="0.25">
      <c r="A300" s="9" t="s">
        <v>782</v>
      </c>
      <c r="B300" s="9" t="str">
        <f t="shared" si="4"/>
        <v>00025273977KOVR</v>
      </c>
      <c r="C300" t="s">
        <v>301</v>
      </c>
      <c r="E300" t="s">
        <v>45</v>
      </c>
      <c r="F300">
        <v>20411454</v>
      </c>
      <c r="G300" t="s">
        <v>830</v>
      </c>
      <c r="H300" t="s">
        <v>48</v>
      </c>
      <c r="I300" t="s">
        <v>56</v>
      </c>
      <c r="J300" s="1">
        <v>46023</v>
      </c>
      <c r="K300" t="s">
        <v>50</v>
      </c>
      <c r="L300" t="s">
        <v>51</v>
      </c>
      <c r="M300" s="2">
        <v>0</v>
      </c>
      <c r="N300" s="2">
        <v>175</v>
      </c>
      <c r="O300">
        <v>1</v>
      </c>
      <c r="P300" s="3">
        <v>1</v>
      </c>
      <c r="Q300" s="2">
        <v>175</v>
      </c>
      <c r="S300" t="s">
        <v>803</v>
      </c>
    </row>
    <row r="301" spans="1:19" x14ac:dyDescent="0.25">
      <c r="A301" s="9" t="s">
        <v>783</v>
      </c>
      <c r="B301" s="9" t="str">
        <f t="shared" si="4"/>
        <v>00025274180KOVR</v>
      </c>
      <c r="C301" t="s">
        <v>302</v>
      </c>
      <c r="E301" t="s">
        <v>113</v>
      </c>
      <c r="F301">
        <v>20411454</v>
      </c>
      <c r="G301" t="s">
        <v>830</v>
      </c>
      <c r="H301" t="s">
        <v>48</v>
      </c>
      <c r="I301" t="s">
        <v>56</v>
      </c>
      <c r="J301" s="1">
        <v>46023</v>
      </c>
      <c r="K301" t="s">
        <v>50</v>
      </c>
      <c r="L301" t="s">
        <v>51</v>
      </c>
      <c r="M301" s="2">
        <v>0</v>
      </c>
      <c r="N301" s="2">
        <v>175</v>
      </c>
      <c r="O301">
        <v>1</v>
      </c>
      <c r="P301" s="3">
        <v>1</v>
      </c>
      <c r="Q301" s="2">
        <v>175</v>
      </c>
      <c r="S301" t="s">
        <v>803</v>
      </c>
    </row>
    <row r="302" spans="1:19" x14ac:dyDescent="0.25">
      <c r="A302" s="9" t="s">
        <v>784</v>
      </c>
      <c r="B302" s="9" t="str">
        <f t="shared" si="4"/>
        <v>00025279680KOVR</v>
      </c>
      <c r="C302" t="s">
        <v>303</v>
      </c>
      <c r="E302" t="s">
        <v>69</v>
      </c>
      <c r="F302">
        <v>20411454</v>
      </c>
      <c r="G302" t="s">
        <v>830</v>
      </c>
      <c r="H302" t="s">
        <v>48</v>
      </c>
      <c r="I302" t="s">
        <v>56</v>
      </c>
      <c r="J302" s="1">
        <v>46023</v>
      </c>
      <c r="K302" t="s">
        <v>50</v>
      </c>
      <c r="L302" t="s">
        <v>51</v>
      </c>
      <c r="M302" s="2">
        <v>0</v>
      </c>
      <c r="N302" s="2">
        <v>175</v>
      </c>
      <c r="O302">
        <v>1</v>
      </c>
      <c r="P302" s="3">
        <v>1</v>
      </c>
      <c r="Q302" s="2">
        <v>175</v>
      </c>
      <c r="S302" t="s">
        <v>803</v>
      </c>
    </row>
    <row r="303" spans="1:19" x14ac:dyDescent="0.25">
      <c r="A303" s="9" t="s">
        <v>785</v>
      </c>
      <c r="B303" s="9" t="str">
        <f t="shared" si="4"/>
        <v>00025282886KOVR</v>
      </c>
      <c r="C303" t="s">
        <v>304</v>
      </c>
      <c r="E303" t="s">
        <v>45</v>
      </c>
      <c r="F303">
        <v>20411454</v>
      </c>
      <c r="G303" t="s">
        <v>830</v>
      </c>
      <c r="H303" t="s">
        <v>48</v>
      </c>
      <c r="I303" t="s">
        <v>56</v>
      </c>
      <c r="J303" s="1">
        <v>46023</v>
      </c>
      <c r="K303" t="s">
        <v>50</v>
      </c>
      <c r="L303" t="s">
        <v>51</v>
      </c>
      <c r="M303" s="2">
        <v>0</v>
      </c>
      <c r="N303" s="2">
        <v>175</v>
      </c>
      <c r="O303">
        <v>1</v>
      </c>
      <c r="P303" s="3">
        <v>1</v>
      </c>
      <c r="Q303" s="2">
        <v>175</v>
      </c>
      <c r="S303" t="s">
        <v>803</v>
      </c>
    </row>
    <row r="304" spans="1:19" x14ac:dyDescent="0.25">
      <c r="A304" s="9" t="s">
        <v>786</v>
      </c>
      <c r="B304" s="9" t="str">
        <f t="shared" si="4"/>
        <v>00025284884KOVR</v>
      </c>
      <c r="C304" t="s">
        <v>305</v>
      </c>
      <c r="E304" t="s">
        <v>45</v>
      </c>
      <c r="F304">
        <v>20411454</v>
      </c>
      <c r="G304" t="s">
        <v>830</v>
      </c>
      <c r="H304" t="s">
        <v>48</v>
      </c>
      <c r="I304" t="s">
        <v>56</v>
      </c>
      <c r="J304" s="1">
        <v>45992</v>
      </c>
      <c r="K304" t="s">
        <v>50</v>
      </c>
      <c r="L304" t="s">
        <v>51</v>
      </c>
      <c r="M304" s="2">
        <v>0</v>
      </c>
      <c r="N304" s="2">
        <v>175</v>
      </c>
      <c r="O304">
        <v>1</v>
      </c>
      <c r="P304" s="3">
        <v>1</v>
      </c>
      <c r="Q304" s="2">
        <v>175</v>
      </c>
      <c r="S304" t="s">
        <v>803</v>
      </c>
    </row>
    <row r="305" spans="1:19" x14ac:dyDescent="0.25">
      <c r="A305" s="9" t="s">
        <v>787</v>
      </c>
      <c r="B305" s="9" t="str">
        <f t="shared" si="4"/>
        <v>00025284991KOVR</v>
      </c>
      <c r="C305" t="s">
        <v>306</v>
      </c>
      <c r="E305" t="s">
        <v>307</v>
      </c>
      <c r="F305">
        <v>20411454</v>
      </c>
      <c r="G305" t="s">
        <v>830</v>
      </c>
      <c r="H305" t="s">
        <v>48</v>
      </c>
      <c r="I305" t="s">
        <v>56</v>
      </c>
      <c r="J305" s="1">
        <v>45992</v>
      </c>
      <c r="K305" t="s">
        <v>50</v>
      </c>
      <c r="L305" t="s">
        <v>51</v>
      </c>
      <c r="M305" s="2">
        <v>0</v>
      </c>
      <c r="N305" s="2">
        <v>175</v>
      </c>
      <c r="O305">
        <v>1</v>
      </c>
      <c r="P305" s="3">
        <v>1</v>
      </c>
      <c r="Q305" s="2">
        <v>175</v>
      </c>
      <c r="S305" t="s">
        <v>803</v>
      </c>
    </row>
    <row r="306" spans="1:19" x14ac:dyDescent="0.25">
      <c r="A306" s="9" t="s">
        <v>788</v>
      </c>
      <c r="B306" s="9" t="str">
        <f t="shared" si="4"/>
        <v>00025285582KOVR</v>
      </c>
      <c r="C306" t="s">
        <v>308</v>
      </c>
      <c r="E306" t="s">
        <v>45</v>
      </c>
      <c r="F306">
        <v>20411454</v>
      </c>
      <c r="G306" t="s">
        <v>830</v>
      </c>
      <c r="H306" t="s">
        <v>48</v>
      </c>
      <c r="I306" t="s">
        <v>56</v>
      </c>
      <c r="J306" s="1">
        <v>46023</v>
      </c>
      <c r="K306" t="s">
        <v>50</v>
      </c>
      <c r="L306" t="s">
        <v>51</v>
      </c>
      <c r="M306" s="2">
        <v>0</v>
      </c>
      <c r="N306" s="2">
        <v>175</v>
      </c>
      <c r="O306">
        <v>1</v>
      </c>
      <c r="P306" s="3">
        <v>1</v>
      </c>
      <c r="Q306" s="2">
        <v>175</v>
      </c>
      <c r="S306" t="s">
        <v>803</v>
      </c>
    </row>
    <row r="307" spans="1:19" x14ac:dyDescent="0.25">
      <c r="A307" s="9" t="s">
        <v>789</v>
      </c>
      <c r="B307" s="9" t="str">
        <f t="shared" si="4"/>
        <v>00025286207KOVR</v>
      </c>
      <c r="C307" t="s">
        <v>309</v>
      </c>
      <c r="E307" t="s">
        <v>45</v>
      </c>
      <c r="F307">
        <v>20411454</v>
      </c>
      <c r="G307" t="s">
        <v>830</v>
      </c>
      <c r="H307" t="s">
        <v>48</v>
      </c>
      <c r="I307" t="s">
        <v>56</v>
      </c>
      <c r="J307" s="1">
        <v>46023</v>
      </c>
      <c r="K307" t="s">
        <v>50</v>
      </c>
      <c r="L307" t="s">
        <v>51</v>
      </c>
      <c r="M307" s="2">
        <v>0</v>
      </c>
      <c r="N307" s="2">
        <v>175</v>
      </c>
      <c r="O307">
        <v>1</v>
      </c>
      <c r="P307" s="3">
        <v>1</v>
      </c>
      <c r="Q307" s="2">
        <v>175</v>
      </c>
      <c r="S307" t="s">
        <v>803</v>
      </c>
    </row>
    <row r="308" spans="1:19" x14ac:dyDescent="0.25">
      <c r="A308" s="9" t="s">
        <v>790</v>
      </c>
      <c r="B308" s="9" t="str">
        <f t="shared" si="4"/>
        <v>00025286776KOVR</v>
      </c>
      <c r="C308" t="s">
        <v>310</v>
      </c>
      <c r="E308" t="s">
        <v>45</v>
      </c>
      <c r="F308">
        <v>20411454</v>
      </c>
      <c r="G308" t="s">
        <v>830</v>
      </c>
      <c r="H308" t="s">
        <v>48</v>
      </c>
      <c r="I308" t="s">
        <v>56</v>
      </c>
      <c r="J308" s="1">
        <v>46023</v>
      </c>
      <c r="K308" t="s">
        <v>50</v>
      </c>
      <c r="L308" t="s">
        <v>51</v>
      </c>
      <c r="M308" s="2">
        <v>0</v>
      </c>
      <c r="N308" s="2">
        <v>175</v>
      </c>
      <c r="O308">
        <v>1</v>
      </c>
      <c r="P308" s="3">
        <v>1</v>
      </c>
      <c r="Q308" s="2">
        <v>175</v>
      </c>
      <c r="S308" t="s">
        <v>803</v>
      </c>
    </row>
    <row r="309" spans="1:19" x14ac:dyDescent="0.25">
      <c r="A309" s="9" t="s">
        <v>791</v>
      </c>
      <c r="B309" s="9" t="str">
        <f t="shared" si="4"/>
        <v>00025288608KOVR</v>
      </c>
      <c r="C309" t="s">
        <v>311</v>
      </c>
      <c r="E309" t="s">
        <v>169</v>
      </c>
      <c r="F309">
        <v>20411454</v>
      </c>
      <c r="G309" t="s">
        <v>830</v>
      </c>
      <c r="H309" t="s">
        <v>48</v>
      </c>
      <c r="I309" t="s">
        <v>56</v>
      </c>
      <c r="J309" s="1">
        <v>46023</v>
      </c>
      <c r="K309" t="s">
        <v>50</v>
      </c>
      <c r="L309" t="s">
        <v>51</v>
      </c>
      <c r="M309" s="2">
        <v>0</v>
      </c>
      <c r="N309" s="2">
        <v>175</v>
      </c>
      <c r="O309">
        <v>1</v>
      </c>
      <c r="P309" s="3">
        <v>1</v>
      </c>
      <c r="Q309" s="2">
        <v>175</v>
      </c>
      <c r="S309" t="s">
        <v>803</v>
      </c>
    </row>
    <row r="310" spans="1:19" x14ac:dyDescent="0.25">
      <c r="A310" s="9" t="s">
        <v>792</v>
      </c>
      <c r="B310" s="9" t="str">
        <f t="shared" si="4"/>
        <v>00025289285KOVR</v>
      </c>
      <c r="C310" t="s">
        <v>312</v>
      </c>
      <c r="E310" t="s">
        <v>169</v>
      </c>
      <c r="F310">
        <v>20411454</v>
      </c>
      <c r="G310" t="s">
        <v>830</v>
      </c>
      <c r="H310" t="s">
        <v>48</v>
      </c>
      <c r="I310" t="s">
        <v>56</v>
      </c>
      <c r="J310" s="1">
        <v>46023</v>
      </c>
      <c r="K310" t="s">
        <v>50</v>
      </c>
      <c r="L310" t="s">
        <v>51</v>
      </c>
      <c r="M310" s="2">
        <v>0</v>
      </c>
      <c r="N310" s="2">
        <v>175</v>
      </c>
      <c r="O310">
        <v>1</v>
      </c>
      <c r="P310" s="3">
        <v>1</v>
      </c>
      <c r="Q310" s="2">
        <v>175</v>
      </c>
      <c r="S310" t="s">
        <v>803</v>
      </c>
    </row>
    <row r="311" spans="1:19" x14ac:dyDescent="0.25">
      <c r="A311" s="9" t="s">
        <v>816</v>
      </c>
      <c r="B311" s="9" t="str">
        <f t="shared" si="4"/>
        <v>00001650602KOVR</v>
      </c>
      <c r="C311" t="s">
        <v>598</v>
      </c>
      <c r="E311" t="s">
        <v>45</v>
      </c>
      <c r="F311">
        <v>20411454</v>
      </c>
      <c r="G311" t="s">
        <v>830</v>
      </c>
      <c r="H311" t="s">
        <v>599</v>
      </c>
      <c r="I311" t="s">
        <v>56</v>
      </c>
      <c r="J311" s="1">
        <v>46023</v>
      </c>
      <c r="K311" t="s">
        <v>50</v>
      </c>
      <c r="L311" t="s">
        <v>51</v>
      </c>
      <c r="Q311">
        <v>-175</v>
      </c>
      <c r="S311" t="s">
        <v>803</v>
      </c>
    </row>
    <row r="312" spans="1:19" x14ac:dyDescent="0.25">
      <c r="A312" s="9" t="s">
        <v>817</v>
      </c>
      <c r="B312" s="9" t="str">
        <f t="shared" si="4"/>
        <v>00010780651KOVR</v>
      </c>
      <c r="C312" t="s">
        <v>600</v>
      </c>
      <c r="E312" t="s">
        <v>115</v>
      </c>
      <c r="F312">
        <v>20411454</v>
      </c>
      <c r="G312" t="s">
        <v>830</v>
      </c>
      <c r="H312" t="s">
        <v>599</v>
      </c>
      <c r="I312" t="s">
        <v>56</v>
      </c>
      <c r="J312" s="1">
        <v>46023</v>
      </c>
      <c r="K312" t="s">
        <v>50</v>
      </c>
      <c r="L312" t="s">
        <v>51</v>
      </c>
      <c r="Q312">
        <v>-175</v>
      </c>
      <c r="S312" t="s">
        <v>803</v>
      </c>
    </row>
    <row r="313" spans="1:19" x14ac:dyDescent="0.25">
      <c r="A313" s="9" t="s">
        <v>818</v>
      </c>
      <c r="B313" s="9" t="str">
        <f t="shared" si="4"/>
        <v>00010781791KOVR</v>
      </c>
      <c r="C313" t="s">
        <v>601</v>
      </c>
      <c r="E313" t="s">
        <v>115</v>
      </c>
      <c r="F313">
        <v>20411454</v>
      </c>
      <c r="G313" t="s">
        <v>830</v>
      </c>
      <c r="H313" t="s">
        <v>599</v>
      </c>
      <c r="I313" t="s">
        <v>56</v>
      </c>
      <c r="J313" s="1">
        <v>46023</v>
      </c>
      <c r="K313" t="s">
        <v>50</v>
      </c>
      <c r="L313" t="s">
        <v>51</v>
      </c>
      <c r="Q313">
        <v>-175</v>
      </c>
      <c r="S313" t="s">
        <v>803</v>
      </c>
    </row>
    <row r="314" spans="1:19" x14ac:dyDescent="0.25">
      <c r="A314" s="9" t="s">
        <v>819</v>
      </c>
      <c r="B314" s="9" t="str">
        <f t="shared" si="4"/>
        <v>00013001577KOVR</v>
      </c>
      <c r="C314" t="s">
        <v>602</v>
      </c>
      <c r="E314" t="s">
        <v>45</v>
      </c>
      <c r="F314">
        <v>20411454</v>
      </c>
      <c r="G314" t="s">
        <v>830</v>
      </c>
      <c r="H314" t="s">
        <v>599</v>
      </c>
      <c r="I314" t="s">
        <v>56</v>
      </c>
      <c r="J314" s="1">
        <v>46023</v>
      </c>
      <c r="K314" t="s">
        <v>50</v>
      </c>
      <c r="L314" t="s">
        <v>51</v>
      </c>
      <c r="Q314">
        <v>-175</v>
      </c>
      <c r="S314" t="s">
        <v>803</v>
      </c>
    </row>
    <row r="315" spans="1:19" x14ac:dyDescent="0.25">
      <c r="A315" s="9" t="s">
        <v>820</v>
      </c>
      <c r="B315" s="9" t="str">
        <f t="shared" si="4"/>
        <v>00018944104KOVR</v>
      </c>
      <c r="C315" t="s">
        <v>605</v>
      </c>
      <c r="E315" t="s">
        <v>115</v>
      </c>
      <c r="F315">
        <v>20411454</v>
      </c>
      <c r="G315" t="s">
        <v>830</v>
      </c>
      <c r="H315" t="s">
        <v>599</v>
      </c>
      <c r="I315" t="s">
        <v>56</v>
      </c>
      <c r="J315" s="1">
        <v>46023</v>
      </c>
      <c r="K315" t="s">
        <v>50</v>
      </c>
      <c r="L315" t="s">
        <v>51</v>
      </c>
      <c r="Q315">
        <v>-175</v>
      </c>
      <c r="S315" t="s">
        <v>803</v>
      </c>
    </row>
    <row r="316" spans="1:19" x14ac:dyDescent="0.25">
      <c r="A316" s="9" t="s">
        <v>814</v>
      </c>
      <c r="B316" s="9" t="str">
        <f t="shared" si="4"/>
        <v>00023414273KOVR</v>
      </c>
      <c r="C316" t="s">
        <v>606</v>
      </c>
      <c r="E316" t="s">
        <v>149</v>
      </c>
      <c r="F316">
        <v>20411454</v>
      </c>
      <c r="G316" t="s">
        <v>830</v>
      </c>
      <c r="H316" t="s">
        <v>599</v>
      </c>
      <c r="I316" t="s">
        <v>56</v>
      </c>
      <c r="J316" s="1">
        <v>45901</v>
      </c>
      <c r="K316" t="s">
        <v>50</v>
      </c>
      <c r="L316" t="s">
        <v>51</v>
      </c>
      <c r="Q316">
        <v>-14</v>
      </c>
      <c r="S316" t="s">
        <v>803</v>
      </c>
    </row>
    <row r="317" spans="1:19" x14ac:dyDescent="0.25">
      <c r="A317" s="9" t="s">
        <v>821</v>
      </c>
      <c r="B317" s="9" t="str">
        <f t="shared" si="4"/>
        <v>00024000472KOVR</v>
      </c>
      <c r="C317" t="s">
        <v>607</v>
      </c>
      <c r="E317" t="s">
        <v>45</v>
      </c>
      <c r="F317">
        <v>20411454</v>
      </c>
      <c r="G317" t="s">
        <v>830</v>
      </c>
      <c r="H317" t="s">
        <v>599</v>
      </c>
      <c r="I317" t="s">
        <v>56</v>
      </c>
      <c r="J317" s="1">
        <v>46023</v>
      </c>
      <c r="K317" t="s">
        <v>50</v>
      </c>
      <c r="L317" t="s">
        <v>51</v>
      </c>
      <c r="Q317">
        <v>-175</v>
      </c>
      <c r="S317" t="s">
        <v>803</v>
      </c>
    </row>
    <row r="318" spans="1:19" x14ac:dyDescent="0.25">
      <c r="A318" s="9" t="s">
        <v>822</v>
      </c>
      <c r="B318" s="9" t="str">
        <f t="shared" si="4"/>
        <v>00024073748KOVR</v>
      </c>
      <c r="C318" t="s">
        <v>608</v>
      </c>
      <c r="E318" t="s">
        <v>428</v>
      </c>
      <c r="F318">
        <v>20411454</v>
      </c>
      <c r="G318" t="s">
        <v>830</v>
      </c>
      <c r="H318" t="s">
        <v>599</v>
      </c>
      <c r="I318" t="s">
        <v>56</v>
      </c>
      <c r="J318" s="1">
        <v>46023</v>
      </c>
      <c r="K318" t="s">
        <v>50</v>
      </c>
      <c r="L318" t="s">
        <v>51</v>
      </c>
      <c r="Q318">
        <v>-175</v>
      </c>
      <c r="S318" t="s">
        <v>803</v>
      </c>
    </row>
    <row r="319" spans="1:19" x14ac:dyDescent="0.25">
      <c r="A319" s="9" t="s">
        <v>685</v>
      </c>
      <c r="B319" s="9" t="str">
        <f t="shared" si="4"/>
        <v>00024215496KOVR</v>
      </c>
      <c r="C319" t="s">
        <v>176</v>
      </c>
      <c r="E319" t="s">
        <v>45</v>
      </c>
      <c r="F319">
        <v>20411454</v>
      </c>
      <c r="G319" t="s">
        <v>830</v>
      </c>
      <c r="H319" t="s">
        <v>599</v>
      </c>
      <c r="I319" t="s">
        <v>56</v>
      </c>
      <c r="J319" s="1">
        <v>45992</v>
      </c>
      <c r="K319" t="s">
        <v>50</v>
      </c>
      <c r="L319" t="s">
        <v>51</v>
      </c>
      <c r="Q319">
        <v>-175</v>
      </c>
      <c r="S319" t="s">
        <v>803</v>
      </c>
    </row>
    <row r="320" spans="1:19" x14ac:dyDescent="0.25">
      <c r="A320" s="9" t="s">
        <v>823</v>
      </c>
      <c r="B320" s="9" t="str">
        <f t="shared" si="4"/>
        <v>00024267930KOVR</v>
      </c>
      <c r="C320" t="s">
        <v>609</v>
      </c>
      <c r="E320" t="s">
        <v>428</v>
      </c>
      <c r="F320">
        <v>20411454</v>
      </c>
      <c r="G320" t="s">
        <v>830</v>
      </c>
      <c r="H320" t="s">
        <v>599</v>
      </c>
      <c r="I320" t="s">
        <v>56</v>
      </c>
      <c r="J320" s="1">
        <v>46023</v>
      </c>
      <c r="K320" t="s">
        <v>50</v>
      </c>
      <c r="L320" t="s">
        <v>51</v>
      </c>
      <c r="Q320">
        <v>-175</v>
      </c>
      <c r="S320" t="s">
        <v>803</v>
      </c>
    </row>
    <row r="321" spans="1:19" x14ac:dyDescent="0.25">
      <c r="A321" s="9" t="s">
        <v>824</v>
      </c>
      <c r="B321" s="9" t="str">
        <f t="shared" si="4"/>
        <v>00024458012KOVR</v>
      </c>
      <c r="C321" t="s">
        <v>610</v>
      </c>
      <c r="E321" t="s">
        <v>45</v>
      </c>
      <c r="F321">
        <v>20411454</v>
      </c>
      <c r="G321" t="s">
        <v>830</v>
      </c>
      <c r="H321" t="s">
        <v>599</v>
      </c>
      <c r="I321" t="s">
        <v>56</v>
      </c>
      <c r="J321" s="1">
        <v>46023</v>
      </c>
      <c r="K321" t="s">
        <v>50</v>
      </c>
      <c r="L321" t="s">
        <v>51</v>
      </c>
      <c r="Q321">
        <v>-175</v>
      </c>
      <c r="S321" t="s">
        <v>803</v>
      </c>
    </row>
    <row r="322" spans="1:19" x14ac:dyDescent="0.25">
      <c r="A322" s="9" t="s">
        <v>825</v>
      </c>
      <c r="B322" s="9" t="str">
        <f t="shared" si="4"/>
        <v>00024469640KOVR</v>
      </c>
      <c r="C322" t="s">
        <v>611</v>
      </c>
      <c r="E322" t="s">
        <v>227</v>
      </c>
      <c r="F322">
        <v>20411454</v>
      </c>
      <c r="G322" t="s">
        <v>830</v>
      </c>
      <c r="H322" t="s">
        <v>599</v>
      </c>
      <c r="I322" t="s">
        <v>56</v>
      </c>
      <c r="J322" s="1">
        <v>45992</v>
      </c>
      <c r="K322" t="s">
        <v>50</v>
      </c>
      <c r="L322" t="s">
        <v>51</v>
      </c>
      <c r="Q322">
        <v>-175</v>
      </c>
      <c r="S322" t="s">
        <v>803</v>
      </c>
    </row>
    <row r="323" spans="1:19" x14ac:dyDescent="0.25">
      <c r="A323" s="9" t="s">
        <v>826</v>
      </c>
      <c r="B323" s="9" t="str">
        <f t="shared" ref="B323:B350" si="5">CONCATENATE(A323,"OVR")</f>
        <v>00024835556KOVR</v>
      </c>
      <c r="C323" t="s">
        <v>613</v>
      </c>
      <c r="E323" t="s">
        <v>45</v>
      </c>
      <c r="F323">
        <v>20411454</v>
      </c>
      <c r="G323" t="s">
        <v>830</v>
      </c>
      <c r="H323" t="s">
        <v>599</v>
      </c>
      <c r="I323" t="s">
        <v>56</v>
      </c>
      <c r="J323" s="1">
        <v>46023</v>
      </c>
      <c r="K323" t="s">
        <v>50</v>
      </c>
      <c r="L323" t="s">
        <v>51</v>
      </c>
      <c r="Q323">
        <v>-175</v>
      </c>
      <c r="S323" t="s">
        <v>803</v>
      </c>
    </row>
    <row r="324" spans="1:19" x14ac:dyDescent="0.25">
      <c r="A324" s="9" t="s">
        <v>827</v>
      </c>
      <c r="B324" s="9" t="str">
        <f t="shared" si="5"/>
        <v>00025048066KOVR</v>
      </c>
      <c r="C324" t="s">
        <v>614</v>
      </c>
      <c r="E324" t="s">
        <v>615</v>
      </c>
      <c r="F324">
        <v>20411454</v>
      </c>
      <c r="G324" t="s">
        <v>830</v>
      </c>
      <c r="H324" t="s">
        <v>599</v>
      </c>
      <c r="I324" t="s">
        <v>56</v>
      </c>
      <c r="J324" s="1">
        <v>46023</v>
      </c>
      <c r="K324" t="s">
        <v>50</v>
      </c>
      <c r="L324" t="s">
        <v>51</v>
      </c>
      <c r="Q324">
        <v>-175</v>
      </c>
      <c r="S324" t="s">
        <v>803</v>
      </c>
    </row>
    <row r="325" spans="1:19" x14ac:dyDescent="0.25">
      <c r="A325" s="9" t="s">
        <v>635</v>
      </c>
      <c r="B325" s="9" t="str">
        <f t="shared" si="5"/>
        <v>00000076874FOVR</v>
      </c>
      <c r="C325" t="s">
        <v>44</v>
      </c>
      <c r="E325" t="s">
        <v>45</v>
      </c>
      <c r="F325">
        <v>20411454</v>
      </c>
      <c r="G325" t="s">
        <v>830</v>
      </c>
      <c r="H325" t="s">
        <v>48</v>
      </c>
      <c r="I325" t="s">
        <v>49</v>
      </c>
      <c r="J325" s="1">
        <v>46023</v>
      </c>
      <c r="K325" t="s">
        <v>50</v>
      </c>
      <c r="L325" t="s">
        <v>51</v>
      </c>
      <c r="M325" s="2">
        <v>0</v>
      </c>
      <c r="N325" s="2">
        <v>108</v>
      </c>
      <c r="O325">
        <v>1</v>
      </c>
      <c r="P325" s="3">
        <v>1</v>
      </c>
      <c r="Q325" s="2">
        <v>108</v>
      </c>
      <c r="S325" t="s">
        <v>803</v>
      </c>
    </row>
    <row r="326" spans="1:19" x14ac:dyDescent="0.25">
      <c r="A326" s="9" t="s">
        <v>644</v>
      </c>
      <c r="B326" s="9" t="str">
        <f t="shared" si="5"/>
        <v>00010379275KOVR</v>
      </c>
      <c r="C326" t="s">
        <v>79</v>
      </c>
      <c r="E326" t="s">
        <v>45</v>
      </c>
      <c r="F326">
        <v>20411454</v>
      </c>
      <c r="G326" t="s">
        <v>830</v>
      </c>
      <c r="H326" t="s">
        <v>48</v>
      </c>
      <c r="I326" t="s">
        <v>49</v>
      </c>
      <c r="J326" s="1">
        <v>46023</v>
      </c>
      <c r="K326" t="s">
        <v>50</v>
      </c>
      <c r="L326" t="s">
        <v>51</v>
      </c>
      <c r="M326" s="2">
        <v>0</v>
      </c>
      <c r="N326" s="2">
        <v>108</v>
      </c>
      <c r="O326">
        <v>1</v>
      </c>
      <c r="P326" s="3">
        <v>1</v>
      </c>
      <c r="Q326" s="2">
        <v>108</v>
      </c>
      <c r="S326" t="s">
        <v>803</v>
      </c>
    </row>
    <row r="327" spans="1:19" x14ac:dyDescent="0.25">
      <c r="A327" s="9" t="s">
        <v>646</v>
      </c>
      <c r="B327" s="9" t="str">
        <f t="shared" si="5"/>
        <v>00011324892KOVR</v>
      </c>
      <c r="C327" t="s">
        <v>84</v>
      </c>
      <c r="E327" t="s">
        <v>45</v>
      </c>
      <c r="F327">
        <v>20411454</v>
      </c>
      <c r="G327" t="s">
        <v>830</v>
      </c>
      <c r="H327" t="s">
        <v>48</v>
      </c>
      <c r="I327" t="s">
        <v>49</v>
      </c>
      <c r="J327" s="1">
        <v>46023</v>
      </c>
      <c r="K327" t="s">
        <v>50</v>
      </c>
      <c r="L327" t="s">
        <v>51</v>
      </c>
      <c r="M327" s="2">
        <v>0</v>
      </c>
      <c r="N327" s="2">
        <v>108</v>
      </c>
      <c r="O327">
        <v>1</v>
      </c>
      <c r="P327" s="3">
        <v>1</v>
      </c>
      <c r="Q327" s="2">
        <v>108</v>
      </c>
      <c r="S327" t="s">
        <v>803</v>
      </c>
    </row>
    <row r="328" spans="1:19" x14ac:dyDescent="0.25">
      <c r="A328" s="9" t="s">
        <v>648</v>
      </c>
      <c r="B328" s="9" t="str">
        <f t="shared" si="5"/>
        <v>00011760914KOVR</v>
      </c>
      <c r="C328" t="s">
        <v>88</v>
      </c>
      <c r="E328" t="s">
        <v>89</v>
      </c>
      <c r="F328">
        <v>20411454</v>
      </c>
      <c r="G328" t="s">
        <v>830</v>
      </c>
      <c r="H328" t="s">
        <v>48</v>
      </c>
      <c r="I328" t="s">
        <v>49</v>
      </c>
      <c r="J328" s="1">
        <v>46023</v>
      </c>
      <c r="K328" t="s">
        <v>50</v>
      </c>
      <c r="L328" t="s">
        <v>51</v>
      </c>
      <c r="M328" s="2">
        <v>0</v>
      </c>
      <c r="N328" s="2">
        <v>108</v>
      </c>
      <c r="O328">
        <v>1</v>
      </c>
      <c r="P328" s="3">
        <v>1</v>
      </c>
      <c r="Q328" s="2">
        <v>108</v>
      </c>
      <c r="S328" t="s">
        <v>803</v>
      </c>
    </row>
    <row r="329" spans="1:19" x14ac:dyDescent="0.25">
      <c r="A329" s="9" t="s">
        <v>653</v>
      </c>
      <c r="B329" s="9" t="str">
        <f t="shared" si="5"/>
        <v>00013637180KOVR</v>
      </c>
      <c r="C329" t="s">
        <v>101</v>
      </c>
      <c r="E329" t="s">
        <v>89</v>
      </c>
      <c r="F329">
        <v>20411454</v>
      </c>
      <c r="G329" t="s">
        <v>830</v>
      </c>
      <c r="H329" t="s">
        <v>48</v>
      </c>
      <c r="I329" t="s">
        <v>49</v>
      </c>
      <c r="J329" s="1">
        <v>46023</v>
      </c>
      <c r="K329" t="s">
        <v>50</v>
      </c>
      <c r="L329" t="s">
        <v>51</v>
      </c>
      <c r="M329" s="2">
        <v>0</v>
      </c>
      <c r="N329" s="2">
        <v>108</v>
      </c>
      <c r="O329">
        <v>1</v>
      </c>
      <c r="P329" s="3">
        <v>1</v>
      </c>
      <c r="Q329" s="2">
        <v>108</v>
      </c>
      <c r="S329" t="s">
        <v>803</v>
      </c>
    </row>
    <row r="330" spans="1:19" x14ac:dyDescent="0.25">
      <c r="A330" s="9" t="s">
        <v>654</v>
      </c>
      <c r="B330" s="9" t="str">
        <f t="shared" si="5"/>
        <v>00013740734KOVR</v>
      </c>
      <c r="C330" t="s">
        <v>104</v>
      </c>
      <c r="E330" t="s">
        <v>45</v>
      </c>
      <c r="F330">
        <v>20411454</v>
      </c>
      <c r="G330" t="s">
        <v>830</v>
      </c>
      <c r="H330" t="s">
        <v>48</v>
      </c>
      <c r="I330" t="s">
        <v>49</v>
      </c>
      <c r="J330" s="1">
        <v>46023</v>
      </c>
      <c r="K330" t="s">
        <v>50</v>
      </c>
      <c r="L330" t="s">
        <v>51</v>
      </c>
      <c r="M330" s="2">
        <v>0</v>
      </c>
      <c r="N330" s="2">
        <v>108</v>
      </c>
      <c r="O330">
        <v>1</v>
      </c>
      <c r="P330" s="3">
        <v>1</v>
      </c>
      <c r="Q330" s="2">
        <v>108</v>
      </c>
      <c r="S330" t="s">
        <v>803</v>
      </c>
    </row>
    <row r="331" spans="1:19" x14ac:dyDescent="0.25">
      <c r="A331" s="9" t="s">
        <v>656</v>
      </c>
      <c r="B331" s="9" t="str">
        <f t="shared" si="5"/>
        <v>00014500730KOVR</v>
      </c>
      <c r="C331" t="s">
        <v>110</v>
      </c>
      <c r="E331" t="s">
        <v>45</v>
      </c>
      <c r="F331">
        <v>20411454</v>
      </c>
      <c r="G331" t="s">
        <v>830</v>
      </c>
      <c r="H331" t="s">
        <v>48</v>
      </c>
      <c r="I331" t="s">
        <v>49</v>
      </c>
      <c r="J331" s="1">
        <v>46023</v>
      </c>
      <c r="K331" t="s">
        <v>50</v>
      </c>
      <c r="L331" t="s">
        <v>51</v>
      </c>
      <c r="M331" s="2">
        <v>0</v>
      </c>
      <c r="N331" s="2">
        <v>108</v>
      </c>
      <c r="O331">
        <v>1</v>
      </c>
      <c r="P331" s="3">
        <v>1</v>
      </c>
      <c r="Q331" s="2">
        <v>108</v>
      </c>
      <c r="S331" t="s">
        <v>803</v>
      </c>
    </row>
    <row r="332" spans="1:19" x14ac:dyDescent="0.25">
      <c r="A332" s="9" t="s">
        <v>657</v>
      </c>
      <c r="B332" s="9" t="str">
        <f t="shared" si="5"/>
        <v>00014797937KOVR</v>
      </c>
      <c r="C332" t="s">
        <v>111</v>
      </c>
      <c r="E332" t="s">
        <v>83</v>
      </c>
      <c r="F332">
        <v>20411454</v>
      </c>
      <c r="G332" t="s">
        <v>830</v>
      </c>
      <c r="H332" t="s">
        <v>48</v>
      </c>
      <c r="I332" t="s">
        <v>49</v>
      </c>
      <c r="J332" s="1">
        <v>46023</v>
      </c>
      <c r="K332" t="s">
        <v>50</v>
      </c>
      <c r="L332" t="s">
        <v>51</v>
      </c>
      <c r="M332" s="2">
        <v>0</v>
      </c>
      <c r="N332" s="2">
        <v>108</v>
      </c>
      <c r="O332">
        <v>1</v>
      </c>
      <c r="P332" s="3">
        <v>1</v>
      </c>
      <c r="Q332" s="2">
        <v>108</v>
      </c>
      <c r="S332" t="s">
        <v>803</v>
      </c>
    </row>
    <row r="333" spans="1:19" x14ac:dyDescent="0.25">
      <c r="A333" s="9" t="s">
        <v>658</v>
      </c>
      <c r="B333" s="9" t="str">
        <f t="shared" si="5"/>
        <v>00015293185KOVR</v>
      </c>
      <c r="C333" t="s">
        <v>112</v>
      </c>
      <c r="E333" t="s">
        <v>113</v>
      </c>
      <c r="F333">
        <v>20411454</v>
      </c>
      <c r="G333" t="s">
        <v>830</v>
      </c>
      <c r="H333" t="s">
        <v>48</v>
      </c>
      <c r="I333" t="s">
        <v>49</v>
      </c>
      <c r="J333" s="1">
        <v>46023</v>
      </c>
      <c r="K333" t="s">
        <v>50</v>
      </c>
      <c r="L333" t="s">
        <v>51</v>
      </c>
      <c r="M333" s="2">
        <v>0</v>
      </c>
      <c r="N333" s="2">
        <v>108</v>
      </c>
      <c r="O333">
        <v>1</v>
      </c>
      <c r="P333" s="3">
        <v>1</v>
      </c>
      <c r="Q333" s="2">
        <v>108</v>
      </c>
      <c r="S333" t="s">
        <v>803</v>
      </c>
    </row>
    <row r="334" spans="1:19" x14ac:dyDescent="0.25">
      <c r="A334" s="9" t="s">
        <v>661</v>
      </c>
      <c r="B334" s="9" t="str">
        <f t="shared" si="5"/>
        <v>00017506846KOVR</v>
      </c>
      <c r="C334" t="s">
        <v>119</v>
      </c>
      <c r="E334" t="s">
        <v>120</v>
      </c>
      <c r="F334">
        <v>20411454</v>
      </c>
      <c r="G334" t="s">
        <v>830</v>
      </c>
      <c r="H334" t="s">
        <v>48</v>
      </c>
      <c r="I334" t="s">
        <v>49</v>
      </c>
      <c r="J334" s="1">
        <v>46023</v>
      </c>
      <c r="K334" t="s">
        <v>50</v>
      </c>
      <c r="L334" t="s">
        <v>51</v>
      </c>
      <c r="M334" s="2">
        <v>0</v>
      </c>
      <c r="N334" s="2">
        <v>108</v>
      </c>
      <c r="O334">
        <v>1</v>
      </c>
      <c r="P334" s="3">
        <v>1</v>
      </c>
      <c r="Q334" s="2">
        <v>108</v>
      </c>
      <c r="S334" t="s">
        <v>803</v>
      </c>
    </row>
    <row r="335" spans="1:19" x14ac:dyDescent="0.25">
      <c r="A335" s="9" t="s">
        <v>666</v>
      </c>
      <c r="B335" s="9" t="str">
        <f t="shared" si="5"/>
        <v>00020136249KOVR</v>
      </c>
      <c r="C335" t="s">
        <v>130</v>
      </c>
      <c r="E335" t="s">
        <v>45</v>
      </c>
      <c r="F335">
        <v>20411454</v>
      </c>
      <c r="G335" t="s">
        <v>830</v>
      </c>
      <c r="H335" t="s">
        <v>48</v>
      </c>
      <c r="I335" t="s">
        <v>49</v>
      </c>
      <c r="J335" s="1">
        <v>46023</v>
      </c>
      <c r="K335" t="s">
        <v>50</v>
      </c>
      <c r="L335" t="s">
        <v>51</v>
      </c>
      <c r="M335" s="2">
        <v>0</v>
      </c>
      <c r="N335" s="2">
        <v>108</v>
      </c>
      <c r="O335">
        <v>1</v>
      </c>
      <c r="P335" s="3">
        <v>1</v>
      </c>
      <c r="Q335" s="2">
        <v>108</v>
      </c>
      <c r="S335" t="s">
        <v>803</v>
      </c>
    </row>
    <row r="336" spans="1:19" x14ac:dyDescent="0.25">
      <c r="A336" s="9" t="s">
        <v>667</v>
      </c>
      <c r="B336" s="9" t="str">
        <f t="shared" si="5"/>
        <v>00021100644KOVR</v>
      </c>
      <c r="C336" t="s">
        <v>133</v>
      </c>
      <c r="E336" t="s">
        <v>113</v>
      </c>
      <c r="F336">
        <v>20411454</v>
      </c>
      <c r="G336" t="s">
        <v>830</v>
      </c>
      <c r="H336" t="s">
        <v>48</v>
      </c>
      <c r="I336" t="s">
        <v>49</v>
      </c>
      <c r="J336" s="1">
        <v>46023</v>
      </c>
      <c r="K336" t="s">
        <v>50</v>
      </c>
      <c r="L336" t="s">
        <v>51</v>
      </c>
      <c r="M336" s="2">
        <v>0</v>
      </c>
      <c r="N336" s="2">
        <v>108</v>
      </c>
      <c r="O336">
        <v>1</v>
      </c>
      <c r="P336" s="3">
        <v>1</v>
      </c>
      <c r="Q336" s="2">
        <v>108</v>
      </c>
      <c r="S336" t="s">
        <v>803</v>
      </c>
    </row>
    <row r="337" spans="1:19" x14ac:dyDescent="0.25">
      <c r="A337" s="9" t="s">
        <v>668</v>
      </c>
      <c r="B337" s="9" t="str">
        <f t="shared" si="5"/>
        <v>00021696309KOVR</v>
      </c>
      <c r="C337" t="s">
        <v>136</v>
      </c>
      <c r="E337" t="s">
        <v>45</v>
      </c>
      <c r="F337">
        <v>20411454</v>
      </c>
      <c r="G337" t="s">
        <v>830</v>
      </c>
      <c r="H337" t="s">
        <v>48</v>
      </c>
      <c r="I337" t="s">
        <v>49</v>
      </c>
      <c r="J337" s="1">
        <v>46023</v>
      </c>
      <c r="K337" t="s">
        <v>50</v>
      </c>
      <c r="L337" t="s">
        <v>51</v>
      </c>
      <c r="M337" s="2">
        <v>0</v>
      </c>
      <c r="N337" s="2">
        <v>108</v>
      </c>
      <c r="O337">
        <v>1</v>
      </c>
      <c r="P337" s="3">
        <v>1</v>
      </c>
      <c r="Q337" s="2">
        <v>108</v>
      </c>
      <c r="S337" t="s">
        <v>803</v>
      </c>
    </row>
    <row r="338" spans="1:19" x14ac:dyDescent="0.25">
      <c r="A338" s="9" t="s">
        <v>669</v>
      </c>
      <c r="B338" s="9" t="str">
        <f t="shared" si="5"/>
        <v>00021732067KOVR</v>
      </c>
      <c r="C338" t="s">
        <v>139</v>
      </c>
      <c r="E338" t="s">
        <v>45</v>
      </c>
      <c r="F338">
        <v>20411454</v>
      </c>
      <c r="G338" t="s">
        <v>830</v>
      </c>
      <c r="H338" t="s">
        <v>48</v>
      </c>
      <c r="I338" t="s">
        <v>49</v>
      </c>
      <c r="J338" s="1">
        <v>46023</v>
      </c>
      <c r="K338" t="s">
        <v>50</v>
      </c>
      <c r="L338" t="s">
        <v>51</v>
      </c>
      <c r="M338" s="2">
        <v>0</v>
      </c>
      <c r="N338" s="2">
        <v>108</v>
      </c>
      <c r="O338">
        <v>1</v>
      </c>
      <c r="P338" s="3">
        <v>1</v>
      </c>
      <c r="Q338" s="2">
        <v>108</v>
      </c>
      <c r="S338" t="s">
        <v>803</v>
      </c>
    </row>
    <row r="339" spans="1:19" x14ac:dyDescent="0.25">
      <c r="A339" s="9" t="s">
        <v>671</v>
      </c>
      <c r="B339" s="9" t="str">
        <f t="shared" si="5"/>
        <v>00021832888KOVR</v>
      </c>
      <c r="C339" t="s">
        <v>143</v>
      </c>
      <c r="E339" t="s">
        <v>113</v>
      </c>
      <c r="F339">
        <v>20411454</v>
      </c>
      <c r="G339" t="s">
        <v>830</v>
      </c>
      <c r="H339" t="s">
        <v>48</v>
      </c>
      <c r="I339" t="s">
        <v>49</v>
      </c>
      <c r="J339" s="1">
        <v>46023</v>
      </c>
      <c r="K339" t="s">
        <v>50</v>
      </c>
      <c r="L339" t="s">
        <v>51</v>
      </c>
      <c r="M339" s="2">
        <v>0</v>
      </c>
      <c r="N339" s="2">
        <v>108</v>
      </c>
      <c r="O339">
        <v>1</v>
      </c>
      <c r="P339" s="3">
        <v>1</v>
      </c>
      <c r="Q339" s="2">
        <v>108</v>
      </c>
      <c r="S339" t="s">
        <v>803</v>
      </c>
    </row>
    <row r="340" spans="1:19" x14ac:dyDescent="0.25">
      <c r="A340" s="9" t="s">
        <v>672</v>
      </c>
      <c r="B340" s="9" t="str">
        <f t="shared" si="5"/>
        <v>00022080432KOVR</v>
      </c>
      <c r="C340" t="s">
        <v>144</v>
      </c>
      <c r="E340" t="s">
        <v>145</v>
      </c>
      <c r="F340">
        <v>20411454</v>
      </c>
      <c r="G340" t="s">
        <v>830</v>
      </c>
      <c r="H340" t="s">
        <v>48</v>
      </c>
      <c r="I340" t="s">
        <v>49</v>
      </c>
      <c r="J340" s="1">
        <v>46023</v>
      </c>
      <c r="K340" t="s">
        <v>50</v>
      </c>
      <c r="L340" t="s">
        <v>51</v>
      </c>
      <c r="M340" s="2">
        <v>0</v>
      </c>
      <c r="N340" s="2">
        <v>108</v>
      </c>
      <c r="O340">
        <v>1</v>
      </c>
      <c r="P340" s="3">
        <v>1</v>
      </c>
      <c r="Q340" s="2">
        <v>108</v>
      </c>
      <c r="S340" t="s">
        <v>803</v>
      </c>
    </row>
    <row r="341" spans="1:19" x14ac:dyDescent="0.25">
      <c r="A341" s="9" t="s">
        <v>673</v>
      </c>
      <c r="B341" s="9" t="str">
        <f t="shared" si="5"/>
        <v>00022118577KOVR</v>
      </c>
      <c r="C341" t="s">
        <v>148</v>
      </c>
      <c r="E341" t="s">
        <v>149</v>
      </c>
      <c r="F341">
        <v>20411454</v>
      </c>
      <c r="G341" t="s">
        <v>830</v>
      </c>
      <c r="H341" t="s">
        <v>48</v>
      </c>
      <c r="I341" t="s">
        <v>49</v>
      </c>
      <c r="J341" s="1">
        <v>46023</v>
      </c>
      <c r="K341" t="s">
        <v>50</v>
      </c>
      <c r="L341" t="s">
        <v>51</v>
      </c>
      <c r="M341" s="2">
        <v>0</v>
      </c>
      <c r="N341" s="2">
        <v>108</v>
      </c>
      <c r="O341">
        <v>1</v>
      </c>
      <c r="P341" s="3">
        <v>1</v>
      </c>
      <c r="Q341" s="2">
        <v>108</v>
      </c>
      <c r="S341" t="s">
        <v>803</v>
      </c>
    </row>
    <row r="342" spans="1:19" x14ac:dyDescent="0.25">
      <c r="A342" s="9" t="s">
        <v>674</v>
      </c>
      <c r="B342" s="9" t="str">
        <f t="shared" si="5"/>
        <v>00022178549KOVR</v>
      </c>
      <c r="C342" t="s">
        <v>152</v>
      </c>
      <c r="E342" t="s">
        <v>45</v>
      </c>
      <c r="F342">
        <v>20411454</v>
      </c>
      <c r="G342" t="s">
        <v>830</v>
      </c>
      <c r="H342" t="s">
        <v>48</v>
      </c>
      <c r="I342" t="s">
        <v>49</v>
      </c>
      <c r="J342" s="1">
        <v>46023</v>
      </c>
      <c r="K342" t="s">
        <v>50</v>
      </c>
      <c r="L342" t="s">
        <v>51</v>
      </c>
      <c r="M342" s="2">
        <v>0</v>
      </c>
      <c r="N342" s="2">
        <v>108</v>
      </c>
      <c r="O342">
        <v>1</v>
      </c>
      <c r="P342" s="3">
        <v>1</v>
      </c>
      <c r="Q342" s="2">
        <v>108</v>
      </c>
      <c r="S342" t="s">
        <v>803</v>
      </c>
    </row>
    <row r="343" spans="1:19" x14ac:dyDescent="0.25">
      <c r="A343" s="9" t="s">
        <v>675</v>
      </c>
      <c r="B343" s="9" t="str">
        <f t="shared" si="5"/>
        <v>00022444379KOVR</v>
      </c>
      <c r="C343" t="s">
        <v>155</v>
      </c>
      <c r="E343" t="s">
        <v>45</v>
      </c>
      <c r="F343">
        <v>20411454</v>
      </c>
      <c r="G343" t="s">
        <v>830</v>
      </c>
      <c r="H343" t="s">
        <v>48</v>
      </c>
      <c r="I343" t="s">
        <v>49</v>
      </c>
      <c r="J343" s="1">
        <v>46023</v>
      </c>
      <c r="K343" t="s">
        <v>50</v>
      </c>
      <c r="L343" t="s">
        <v>51</v>
      </c>
      <c r="M343" s="2">
        <v>0</v>
      </c>
      <c r="N343" s="2">
        <v>108</v>
      </c>
      <c r="O343">
        <v>1</v>
      </c>
      <c r="P343" s="3">
        <v>1</v>
      </c>
      <c r="Q343" s="2">
        <v>108</v>
      </c>
      <c r="S343" t="s">
        <v>803</v>
      </c>
    </row>
    <row r="344" spans="1:19" x14ac:dyDescent="0.25">
      <c r="A344" s="9" t="s">
        <v>676</v>
      </c>
      <c r="B344" s="9" t="str">
        <f t="shared" si="5"/>
        <v>00022484923KOVR</v>
      </c>
      <c r="C344" t="s">
        <v>156</v>
      </c>
      <c r="E344" t="s">
        <v>45</v>
      </c>
      <c r="F344">
        <v>20411454</v>
      </c>
      <c r="G344" t="s">
        <v>830</v>
      </c>
      <c r="H344" t="s">
        <v>48</v>
      </c>
      <c r="I344" t="s">
        <v>49</v>
      </c>
      <c r="J344" s="1">
        <v>46023</v>
      </c>
      <c r="K344" t="s">
        <v>50</v>
      </c>
      <c r="L344" t="s">
        <v>51</v>
      </c>
      <c r="M344" s="2">
        <v>0</v>
      </c>
      <c r="N344" s="2">
        <v>108</v>
      </c>
      <c r="O344">
        <v>1</v>
      </c>
      <c r="P344" s="3">
        <v>1</v>
      </c>
      <c r="Q344" s="2">
        <v>108</v>
      </c>
      <c r="S344" t="s">
        <v>803</v>
      </c>
    </row>
    <row r="345" spans="1:19" x14ac:dyDescent="0.25">
      <c r="A345" s="9" t="s">
        <v>678</v>
      </c>
      <c r="B345" s="9" t="str">
        <f t="shared" si="5"/>
        <v>00022524693KOVR</v>
      </c>
      <c r="C345" t="s">
        <v>158</v>
      </c>
      <c r="E345" t="s">
        <v>45</v>
      </c>
      <c r="F345">
        <v>20411454</v>
      </c>
      <c r="G345" t="s">
        <v>830</v>
      </c>
      <c r="H345" t="s">
        <v>48</v>
      </c>
      <c r="I345" t="s">
        <v>49</v>
      </c>
      <c r="J345" s="1">
        <v>46023</v>
      </c>
      <c r="K345" t="s">
        <v>50</v>
      </c>
      <c r="L345" t="s">
        <v>51</v>
      </c>
      <c r="M345" s="2">
        <v>0</v>
      </c>
      <c r="N345" s="2">
        <v>108</v>
      </c>
      <c r="O345">
        <v>1</v>
      </c>
      <c r="P345" s="3">
        <v>1</v>
      </c>
      <c r="Q345" s="2">
        <v>108</v>
      </c>
      <c r="S345" t="s">
        <v>803</v>
      </c>
    </row>
    <row r="346" spans="1:19" x14ac:dyDescent="0.25">
      <c r="A346" s="9" t="s">
        <v>679</v>
      </c>
      <c r="B346" s="9" t="str">
        <f t="shared" si="5"/>
        <v>00022550284KOVR</v>
      </c>
      <c r="C346" t="s">
        <v>161</v>
      </c>
      <c r="E346" t="s">
        <v>45</v>
      </c>
      <c r="F346">
        <v>20411454</v>
      </c>
      <c r="G346" t="s">
        <v>830</v>
      </c>
      <c r="H346" t="s">
        <v>48</v>
      </c>
      <c r="I346" t="s">
        <v>49</v>
      </c>
      <c r="J346" s="1">
        <v>46023</v>
      </c>
      <c r="K346" t="s">
        <v>50</v>
      </c>
      <c r="L346" t="s">
        <v>51</v>
      </c>
      <c r="M346" s="2">
        <v>0</v>
      </c>
      <c r="N346" s="2">
        <v>108</v>
      </c>
      <c r="O346">
        <v>1</v>
      </c>
      <c r="P346" s="3">
        <v>1</v>
      </c>
      <c r="Q346" s="2">
        <v>108</v>
      </c>
      <c r="S346" t="s">
        <v>803</v>
      </c>
    </row>
    <row r="347" spans="1:19" x14ac:dyDescent="0.25">
      <c r="A347" s="9" t="s">
        <v>680</v>
      </c>
      <c r="B347" s="9" t="str">
        <f t="shared" si="5"/>
        <v>00022558806KOVR</v>
      </c>
      <c r="C347" t="s">
        <v>164</v>
      </c>
      <c r="E347" t="s">
        <v>45</v>
      </c>
      <c r="F347">
        <v>20411454</v>
      </c>
      <c r="G347" t="s">
        <v>830</v>
      </c>
      <c r="H347" t="s">
        <v>48</v>
      </c>
      <c r="I347" t="s">
        <v>49</v>
      </c>
      <c r="J347" s="1">
        <v>46023</v>
      </c>
      <c r="K347" t="s">
        <v>50</v>
      </c>
      <c r="L347" t="s">
        <v>51</v>
      </c>
      <c r="M347" s="2">
        <v>0</v>
      </c>
      <c r="N347" s="2">
        <v>108</v>
      </c>
      <c r="O347">
        <v>1</v>
      </c>
      <c r="P347" s="3">
        <v>1</v>
      </c>
      <c r="Q347" s="2">
        <v>108</v>
      </c>
      <c r="S347" t="s">
        <v>803</v>
      </c>
    </row>
    <row r="348" spans="1:19" x14ac:dyDescent="0.25">
      <c r="A348" s="9" t="s">
        <v>681</v>
      </c>
      <c r="B348" s="9" t="str">
        <f t="shared" si="5"/>
        <v>00022578716KOVR</v>
      </c>
      <c r="C348" t="s">
        <v>165</v>
      </c>
      <c r="E348" t="s">
        <v>45</v>
      </c>
      <c r="F348">
        <v>20411454</v>
      </c>
      <c r="G348" t="s">
        <v>830</v>
      </c>
      <c r="H348" t="s">
        <v>48</v>
      </c>
      <c r="I348" t="s">
        <v>49</v>
      </c>
      <c r="J348" s="1">
        <v>46023</v>
      </c>
      <c r="K348" t="s">
        <v>50</v>
      </c>
      <c r="L348" t="s">
        <v>51</v>
      </c>
      <c r="M348" s="2">
        <v>0</v>
      </c>
      <c r="N348" s="2">
        <v>108</v>
      </c>
      <c r="O348">
        <v>1</v>
      </c>
      <c r="P348" s="3">
        <v>1</v>
      </c>
      <c r="Q348" s="2">
        <v>108</v>
      </c>
      <c r="S348" t="s">
        <v>803</v>
      </c>
    </row>
    <row r="349" spans="1:19" x14ac:dyDescent="0.25">
      <c r="A349" s="9" t="s">
        <v>815</v>
      </c>
      <c r="B349" s="9" t="str">
        <f t="shared" si="5"/>
        <v>00015059032KOVR</v>
      </c>
      <c r="C349" t="s">
        <v>603</v>
      </c>
      <c r="E349" t="s">
        <v>347</v>
      </c>
      <c r="F349">
        <v>20411454</v>
      </c>
      <c r="G349" t="s">
        <v>830</v>
      </c>
      <c r="H349" t="s">
        <v>599</v>
      </c>
      <c r="I349" t="s">
        <v>49</v>
      </c>
      <c r="J349" s="1">
        <v>45658</v>
      </c>
      <c r="K349" t="s">
        <v>50</v>
      </c>
      <c r="L349" t="s">
        <v>51</v>
      </c>
      <c r="Q349">
        <v>-8.64</v>
      </c>
      <c r="S349" t="s">
        <v>803</v>
      </c>
    </row>
    <row r="350" spans="1:19" x14ac:dyDescent="0.25">
      <c r="A350" s="9" t="s">
        <v>828</v>
      </c>
      <c r="B350" s="9" t="str">
        <f t="shared" si="5"/>
        <v>00017029001KAOVR</v>
      </c>
      <c r="C350" t="s">
        <v>604</v>
      </c>
      <c r="E350" t="s">
        <v>222</v>
      </c>
      <c r="F350">
        <v>20411454</v>
      </c>
      <c r="G350" t="s">
        <v>830</v>
      </c>
      <c r="H350" t="s">
        <v>599</v>
      </c>
      <c r="I350" t="s">
        <v>49</v>
      </c>
      <c r="J350" s="1">
        <v>46023</v>
      </c>
      <c r="K350" t="s">
        <v>50</v>
      </c>
      <c r="L350" t="s">
        <v>51</v>
      </c>
      <c r="Q350">
        <v>-108</v>
      </c>
      <c r="S350" t="s">
        <v>803</v>
      </c>
    </row>
    <row r="351" spans="1:19" s="4" customFormat="1" x14ac:dyDescent="0.25">
      <c r="A351" s="10" t="s">
        <v>736</v>
      </c>
      <c r="B351" s="10" t="s">
        <v>736</v>
      </c>
      <c r="C351" s="4" t="s">
        <v>245</v>
      </c>
      <c r="E351" s="4" t="s">
        <v>45</v>
      </c>
      <c r="F351" s="4">
        <v>19396223</v>
      </c>
      <c r="G351" s="4" t="s">
        <v>118</v>
      </c>
      <c r="H351" s="4" t="s">
        <v>48</v>
      </c>
      <c r="I351" s="4" t="s">
        <v>246</v>
      </c>
      <c r="J351" s="5">
        <v>45992</v>
      </c>
      <c r="K351" s="4" t="s">
        <v>50</v>
      </c>
      <c r="L351" s="4" t="s">
        <v>51</v>
      </c>
      <c r="M351" s="6">
        <v>0</v>
      </c>
      <c r="N351" s="6">
        <v>15</v>
      </c>
      <c r="O351" s="4">
        <v>1</v>
      </c>
      <c r="P351" s="7">
        <v>1</v>
      </c>
      <c r="Q351" s="6">
        <v>15</v>
      </c>
      <c r="S351" s="4" t="s">
        <v>804</v>
      </c>
    </row>
    <row r="352" spans="1:19" s="4" customFormat="1" x14ac:dyDescent="0.25">
      <c r="A352" s="10" t="s">
        <v>829</v>
      </c>
      <c r="B352" s="10" t="s">
        <v>829</v>
      </c>
      <c r="C352" s="4" t="s">
        <v>612</v>
      </c>
      <c r="E352" s="4" t="s">
        <v>89</v>
      </c>
      <c r="F352" s="4">
        <v>16849453</v>
      </c>
      <c r="G352" s="4" t="s">
        <v>103</v>
      </c>
      <c r="H352" s="4" t="s">
        <v>599</v>
      </c>
      <c r="I352" s="4" t="s">
        <v>246</v>
      </c>
      <c r="J352" s="5">
        <v>46023</v>
      </c>
      <c r="K352" s="4" t="s">
        <v>50</v>
      </c>
      <c r="L352" s="4" t="s">
        <v>51</v>
      </c>
      <c r="Q352" s="4">
        <v>-15</v>
      </c>
      <c r="S352" s="4" t="s">
        <v>804</v>
      </c>
    </row>
    <row r="353" spans="1:19" s="4" customFormat="1" x14ac:dyDescent="0.25">
      <c r="A353" s="10" t="s">
        <v>797</v>
      </c>
      <c r="B353" s="10" t="str">
        <f>CONCATENATE(A353,1)</f>
        <v>A043800711</v>
      </c>
      <c r="C353" s="4" t="s">
        <v>589</v>
      </c>
      <c r="E353" s="4" t="s">
        <v>89</v>
      </c>
      <c r="F353" s="4">
        <v>20411454</v>
      </c>
      <c r="G353" s="4" t="s">
        <v>830</v>
      </c>
      <c r="H353" s="4" t="s">
        <v>48</v>
      </c>
      <c r="I353" s="4" t="s">
        <v>590</v>
      </c>
      <c r="J353" s="5">
        <v>46023</v>
      </c>
      <c r="K353" s="4" t="s">
        <v>50</v>
      </c>
      <c r="L353" s="4" t="s">
        <v>51</v>
      </c>
      <c r="M353" s="6">
        <v>0</v>
      </c>
      <c r="N353" s="6">
        <v>31.02</v>
      </c>
      <c r="O353" s="4">
        <v>9</v>
      </c>
      <c r="P353" s="7">
        <v>1</v>
      </c>
      <c r="Q353" s="6">
        <v>279.18</v>
      </c>
      <c r="S353" s="4" t="s">
        <v>590</v>
      </c>
    </row>
    <row r="354" spans="1:19" s="4" customFormat="1" x14ac:dyDescent="0.25">
      <c r="A354" s="10" t="s">
        <v>798</v>
      </c>
      <c r="B354" s="10" t="str">
        <f>CONCATENATE(A354,1)</f>
        <v>A043823911</v>
      </c>
      <c r="C354" s="4" t="s">
        <v>591</v>
      </c>
      <c r="E354" s="4" t="s">
        <v>89</v>
      </c>
      <c r="F354" s="4">
        <v>20411454</v>
      </c>
      <c r="G354" s="4" t="s">
        <v>830</v>
      </c>
      <c r="H354" s="4" t="s">
        <v>48</v>
      </c>
      <c r="I354" s="4" t="s">
        <v>590</v>
      </c>
      <c r="J354" s="5">
        <v>45992</v>
      </c>
      <c r="K354" s="4" t="s">
        <v>50</v>
      </c>
      <c r="L354" s="4" t="s">
        <v>51</v>
      </c>
      <c r="M354" s="6">
        <v>0</v>
      </c>
      <c r="N354" s="6">
        <v>31.02</v>
      </c>
      <c r="O354" s="4">
        <v>9</v>
      </c>
      <c r="P354" s="7">
        <v>1</v>
      </c>
      <c r="Q354" s="6">
        <v>279.18</v>
      </c>
      <c r="S354" s="4" t="s">
        <v>590</v>
      </c>
    </row>
    <row r="355" spans="1:19" s="4" customFormat="1" x14ac:dyDescent="0.25">
      <c r="A355" s="10" t="s">
        <v>800</v>
      </c>
      <c r="B355" s="10" t="str">
        <f>CONCATENATE(A355,1)</f>
        <v>A043844941</v>
      </c>
      <c r="C355" s="4" t="s">
        <v>594</v>
      </c>
      <c r="E355" s="4" t="s">
        <v>69</v>
      </c>
      <c r="F355" s="4">
        <v>20411454</v>
      </c>
      <c r="G355" s="4" t="s">
        <v>830</v>
      </c>
      <c r="H355" s="4" t="s">
        <v>48</v>
      </c>
      <c r="I355" s="4" t="s">
        <v>595</v>
      </c>
      <c r="J355" s="5">
        <v>45992</v>
      </c>
      <c r="K355" s="4" t="s">
        <v>50</v>
      </c>
      <c r="L355" s="4" t="s">
        <v>51</v>
      </c>
      <c r="M355" s="6">
        <v>0</v>
      </c>
      <c r="N355" s="6">
        <v>25.98</v>
      </c>
      <c r="O355" s="4">
        <v>9</v>
      </c>
      <c r="P355" s="7">
        <v>1</v>
      </c>
      <c r="Q355" s="6">
        <v>233.82</v>
      </c>
      <c r="S355" s="4" t="s">
        <v>805</v>
      </c>
    </row>
    <row r="356" spans="1:19" s="4" customFormat="1" x14ac:dyDescent="0.25">
      <c r="A356" s="10" t="s">
        <v>801</v>
      </c>
      <c r="B356" s="10" t="str">
        <f t="shared" ref="B356" si="6">CONCATENATE(A356,1)</f>
        <v>A043846581</v>
      </c>
      <c r="C356" s="4" t="s">
        <v>596</v>
      </c>
      <c r="E356" s="4" t="s">
        <v>69</v>
      </c>
      <c r="F356" s="4">
        <v>20411454</v>
      </c>
      <c r="G356" s="4" t="s">
        <v>830</v>
      </c>
      <c r="H356" s="4" t="s">
        <v>48</v>
      </c>
      <c r="I356" s="4" t="s">
        <v>595</v>
      </c>
      <c r="J356" s="5">
        <v>45992</v>
      </c>
      <c r="K356" s="4" t="s">
        <v>50</v>
      </c>
      <c r="L356" s="4" t="s">
        <v>51</v>
      </c>
      <c r="M356" s="6">
        <v>0</v>
      </c>
      <c r="N356" s="6">
        <v>25.98</v>
      </c>
      <c r="O356" s="4">
        <v>9</v>
      </c>
      <c r="P356" s="7">
        <v>1</v>
      </c>
      <c r="Q356" s="6">
        <v>233.82</v>
      </c>
      <c r="S356" s="4" t="s">
        <v>805</v>
      </c>
    </row>
    <row r="357" spans="1:19" x14ac:dyDescent="0.25">
      <c r="A357" s="9">
        <v>913275310</v>
      </c>
      <c r="B357" s="9" t="str">
        <f t="shared" ref="B357:B404" si="7">CONCATENATE(A357,"OVR")</f>
        <v>913275310OVR</v>
      </c>
      <c r="C357" t="s">
        <v>625</v>
      </c>
      <c r="E357" t="s">
        <v>120</v>
      </c>
      <c r="F357">
        <v>20411454</v>
      </c>
      <c r="G357" t="s">
        <v>830</v>
      </c>
      <c r="H357" t="s">
        <v>599</v>
      </c>
      <c r="I357" t="s">
        <v>626</v>
      </c>
      <c r="J357" s="1">
        <v>45809</v>
      </c>
      <c r="K357" t="s">
        <v>50</v>
      </c>
      <c r="L357" t="s">
        <v>51</v>
      </c>
      <c r="Q357">
        <v>-102.08</v>
      </c>
      <c r="S357" t="s">
        <v>806</v>
      </c>
    </row>
    <row r="358" spans="1:19" x14ac:dyDescent="0.25">
      <c r="A358" s="9">
        <v>924420238</v>
      </c>
      <c r="B358" s="9" t="str">
        <f t="shared" si="7"/>
        <v>924420238OVR</v>
      </c>
      <c r="C358" t="s">
        <v>628</v>
      </c>
      <c r="E358" t="s">
        <v>120</v>
      </c>
      <c r="F358">
        <v>20411454</v>
      </c>
      <c r="G358" t="s">
        <v>830</v>
      </c>
      <c r="H358" t="s">
        <v>599</v>
      </c>
      <c r="I358" t="s">
        <v>626</v>
      </c>
      <c r="J358" s="1">
        <v>45748</v>
      </c>
      <c r="K358" t="s">
        <v>50</v>
      </c>
      <c r="L358" t="s">
        <v>51</v>
      </c>
      <c r="Q358">
        <v>-58.33</v>
      </c>
      <c r="S358" t="s">
        <v>806</v>
      </c>
    </row>
    <row r="359" spans="1:19" x14ac:dyDescent="0.25">
      <c r="A359" s="9">
        <v>951850009</v>
      </c>
      <c r="B359" s="9" t="str">
        <f t="shared" si="7"/>
        <v>951850009OVR</v>
      </c>
      <c r="C359" t="s">
        <v>632</v>
      </c>
      <c r="E359" t="s">
        <v>120</v>
      </c>
      <c r="F359">
        <v>20411454</v>
      </c>
      <c r="G359" t="s">
        <v>830</v>
      </c>
      <c r="H359" t="s">
        <v>599</v>
      </c>
      <c r="I359" t="s">
        <v>626</v>
      </c>
      <c r="J359" s="1">
        <v>45689</v>
      </c>
      <c r="K359" t="s">
        <v>50</v>
      </c>
      <c r="L359" t="s">
        <v>51</v>
      </c>
      <c r="Q359">
        <v>-43.75</v>
      </c>
      <c r="S359" t="s">
        <v>806</v>
      </c>
    </row>
    <row r="360" spans="1:19" x14ac:dyDescent="0.25">
      <c r="A360" s="9">
        <v>134790046</v>
      </c>
      <c r="B360" s="9" t="str">
        <f t="shared" si="7"/>
        <v>134790046OVR</v>
      </c>
      <c r="C360" t="s">
        <v>532</v>
      </c>
      <c r="E360" t="s">
        <v>129</v>
      </c>
      <c r="F360">
        <v>20411454</v>
      </c>
      <c r="G360" t="s">
        <v>830</v>
      </c>
      <c r="H360" t="s">
        <v>48</v>
      </c>
      <c r="I360" t="s">
        <v>533</v>
      </c>
      <c r="J360" s="1">
        <v>46023</v>
      </c>
      <c r="K360" t="s">
        <v>50</v>
      </c>
      <c r="L360" t="s">
        <v>51</v>
      </c>
      <c r="M360" s="2">
        <v>0</v>
      </c>
      <c r="N360" s="2">
        <v>175</v>
      </c>
      <c r="O360">
        <v>1</v>
      </c>
      <c r="P360" s="3">
        <v>1</v>
      </c>
      <c r="Q360" s="2">
        <v>175</v>
      </c>
      <c r="S360" t="s">
        <v>806</v>
      </c>
    </row>
    <row r="361" spans="1:19" x14ac:dyDescent="0.25">
      <c r="A361" s="9">
        <v>134831885</v>
      </c>
      <c r="B361" s="9" t="str">
        <f t="shared" si="7"/>
        <v>134831885OVR</v>
      </c>
      <c r="C361" t="s">
        <v>534</v>
      </c>
      <c r="E361" t="s">
        <v>69</v>
      </c>
      <c r="F361">
        <v>20411454</v>
      </c>
      <c r="G361" t="s">
        <v>830</v>
      </c>
      <c r="H361" t="s">
        <v>48</v>
      </c>
      <c r="I361" t="s">
        <v>533</v>
      </c>
      <c r="J361" s="1">
        <v>46023</v>
      </c>
      <c r="K361" t="s">
        <v>50</v>
      </c>
      <c r="L361" t="s">
        <v>51</v>
      </c>
      <c r="M361" s="2">
        <v>0</v>
      </c>
      <c r="N361" s="2">
        <v>175</v>
      </c>
      <c r="O361">
        <v>1</v>
      </c>
      <c r="P361" s="3">
        <v>1</v>
      </c>
      <c r="Q361" s="2">
        <v>175</v>
      </c>
      <c r="S361" t="s">
        <v>806</v>
      </c>
    </row>
    <row r="362" spans="1:19" x14ac:dyDescent="0.25">
      <c r="A362" s="9">
        <v>900999478</v>
      </c>
      <c r="B362" s="9" t="str">
        <f t="shared" si="7"/>
        <v>900999478OVR</v>
      </c>
      <c r="C362" t="s">
        <v>535</v>
      </c>
      <c r="E362" t="s">
        <v>100</v>
      </c>
      <c r="F362">
        <v>20411454</v>
      </c>
      <c r="G362" t="s">
        <v>830</v>
      </c>
      <c r="H362" t="s">
        <v>48</v>
      </c>
      <c r="I362" t="s">
        <v>533</v>
      </c>
      <c r="J362" s="1">
        <v>46023</v>
      </c>
      <c r="K362" t="s">
        <v>50</v>
      </c>
      <c r="L362" t="s">
        <v>51</v>
      </c>
      <c r="M362" s="2">
        <v>0</v>
      </c>
      <c r="N362" s="2">
        <v>175</v>
      </c>
      <c r="O362">
        <v>1</v>
      </c>
      <c r="P362" s="3">
        <v>1</v>
      </c>
      <c r="Q362" s="2">
        <v>175</v>
      </c>
      <c r="S362" t="s">
        <v>806</v>
      </c>
    </row>
    <row r="363" spans="1:19" x14ac:dyDescent="0.25">
      <c r="A363" s="9">
        <v>903355671</v>
      </c>
      <c r="B363" s="9" t="str">
        <f t="shared" si="7"/>
        <v>903355671OVR</v>
      </c>
      <c r="C363" t="s">
        <v>538</v>
      </c>
      <c r="E363" t="s">
        <v>89</v>
      </c>
      <c r="F363">
        <v>20411454</v>
      </c>
      <c r="G363" t="s">
        <v>830</v>
      </c>
      <c r="H363" t="s">
        <v>48</v>
      </c>
      <c r="I363" t="s">
        <v>533</v>
      </c>
      <c r="J363" s="1">
        <v>46023</v>
      </c>
      <c r="K363" t="s">
        <v>50</v>
      </c>
      <c r="L363" t="s">
        <v>51</v>
      </c>
      <c r="M363" s="2">
        <v>0</v>
      </c>
      <c r="N363" s="2">
        <v>175</v>
      </c>
      <c r="O363">
        <v>1</v>
      </c>
      <c r="P363" s="3">
        <v>1</v>
      </c>
      <c r="Q363" s="2">
        <v>175</v>
      </c>
      <c r="S363" t="s">
        <v>806</v>
      </c>
    </row>
    <row r="364" spans="1:19" x14ac:dyDescent="0.25">
      <c r="A364" s="9">
        <v>905283105</v>
      </c>
      <c r="B364" s="9" t="str">
        <f t="shared" si="7"/>
        <v>905283105OVR</v>
      </c>
      <c r="C364" t="s">
        <v>539</v>
      </c>
      <c r="E364" t="s">
        <v>222</v>
      </c>
      <c r="F364">
        <v>20411454</v>
      </c>
      <c r="G364" t="s">
        <v>830</v>
      </c>
      <c r="H364" t="s">
        <v>48</v>
      </c>
      <c r="I364" t="s">
        <v>533</v>
      </c>
      <c r="J364" s="1">
        <v>46023</v>
      </c>
      <c r="K364" t="s">
        <v>50</v>
      </c>
      <c r="L364" t="s">
        <v>51</v>
      </c>
      <c r="M364" s="2">
        <v>0</v>
      </c>
      <c r="N364" s="2">
        <v>175</v>
      </c>
      <c r="O364">
        <v>1</v>
      </c>
      <c r="P364" s="3">
        <v>1</v>
      </c>
      <c r="Q364" s="2">
        <v>175</v>
      </c>
      <c r="S364" t="s">
        <v>806</v>
      </c>
    </row>
    <row r="365" spans="1:19" x14ac:dyDescent="0.25">
      <c r="A365" s="9">
        <v>908140248</v>
      </c>
      <c r="B365" s="9" t="str">
        <f t="shared" si="7"/>
        <v>908140248OVR</v>
      </c>
      <c r="C365" t="s">
        <v>542</v>
      </c>
      <c r="E365" t="s">
        <v>120</v>
      </c>
      <c r="F365">
        <v>20411454</v>
      </c>
      <c r="G365" t="s">
        <v>830</v>
      </c>
      <c r="H365" t="s">
        <v>48</v>
      </c>
      <c r="I365" t="s">
        <v>533</v>
      </c>
      <c r="J365" s="1">
        <v>46023</v>
      </c>
      <c r="K365" t="s">
        <v>50</v>
      </c>
      <c r="L365" t="s">
        <v>51</v>
      </c>
      <c r="M365" s="2">
        <v>0</v>
      </c>
      <c r="N365" s="2">
        <v>175</v>
      </c>
      <c r="O365">
        <v>1</v>
      </c>
      <c r="P365" s="3">
        <v>1</v>
      </c>
      <c r="Q365" s="2">
        <v>175</v>
      </c>
      <c r="S365" t="s">
        <v>806</v>
      </c>
    </row>
    <row r="366" spans="1:19" x14ac:dyDescent="0.25">
      <c r="A366" s="9">
        <v>909963590</v>
      </c>
      <c r="B366" s="9" t="str">
        <f t="shared" si="7"/>
        <v>909963590OVR</v>
      </c>
      <c r="C366" t="s">
        <v>545</v>
      </c>
      <c r="E366" t="s">
        <v>45</v>
      </c>
      <c r="F366">
        <v>20411454</v>
      </c>
      <c r="G366" t="s">
        <v>830</v>
      </c>
      <c r="H366" t="s">
        <v>48</v>
      </c>
      <c r="I366" t="s">
        <v>533</v>
      </c>
      <c r="J366" s="1">
        <v>46023</v>
      </c>
      <c r="K366" t="s">
        <v>50</v>
      </c>
      <c r="L366" t="s">
        <v>51</v>
      </c>
      <c r="M366" s="2">
        <v>0</v>
      </c>
      <c r="N366" s="2">
        <v>175</v>
      </c>
      <c r="O366">
        <v>1</v>
      </c>
      <c r="P366" s="3">
        <v>1</v>
      </c>
      <c r="Q366" s="2">
        <v>175</v>
      </c>
      <c r="S366" t="s">
        <v>806</v>
      </c>
    </row>
    <row r="367" spans="1:19" x14ac:dyDescent="0.25">
      <c r="A367" s="9">
        <v>911761487</v>
      </c>
      <c r="B367" s="9" t="str">
        <f t="shared" si="7"/>
        <v>911761487OVR</v>
      </c>
      <c r="C367" t="s">
        <v>546</v>
      </c>
      <c r="E367" t="s">
        <v>45</v>
      </c>
      <c r="F367">
        <v>20411454</v>
      </c>
      <c r="G367" t="s">
        <v>830</v>
      </c>
      <c r="H367" t="s">
        <v>48</v>
      </c>
      <c r="I367" t="s">
        <v>533</v>
      </c>
      <c r="J367" s="1">
        <v>46023</v>
      </c>
      <c r="K367" t="s">
        <v>50</v>
      </c>
      <c r="L367" t="s">
        <v>51</v>
      </c>
      <c r="M367" s="2">
        <v>0</v>
      </c>
      <c r="N367" s="2">
        <v>175</v>
      </c>
      <c r="O367">
        <v>1</v>
      </c>
      <c r="P367" s="3">
        <v>1</v>
      </c>
      <c r="Q367" s="2">
        <v>175</v>
      </c>
      <c r="S367" t="s">
        <v>806</v>
      </c>
    </row>
    <row r="368" spans="1:19" x14ac:dyDescent="0.25">
      <c r="A368" s="9">
        <v>913470859</v>
      </c>
      <c r="B368" s="9" t="str">
        <f t="shared" si="7"/>
        <v>913470859OVR</v>
      </c>
      <c r="C368" t="s">
        <v>547</v>
      </c>
      <c r="E368" t="s">
        <v>73</v>
      </c>
      <c r="F368">
        <v>20411454</v>
      </c>
      <c r="G368" t="s">
        <v>830</v>
      </c>
      <c r="H368" t="s">
        <v>48</v>
      </c>
      <c r="I368" t="s">
        <v>533</v>
      </c>
      <c r="J368" s="1">
        <v>46023</v>
      </c>
      <c r="K368" t="s">
        <v>50</v>
      </c>
      <c r="L368" t="s">
        <v>51</v>
      </c>
      <c r="M368" s="2">
        <v>0</v>
      </c>
      <c r="N368" s="2">
        <v>175</v>
      </c>
      <c r="O368">
        <v>1</v>
      </c>
      <c r="P368" s="3">
        <v>1</v>
      </c>
      <c r="Q368" s="2">
        <v>175</v>
      </c>
      <c r="S368" t="s">
        <v>806</v>
      </c>
    </row>
    <row r="369" spans="1:19" x14ac:dyDescent="0.25">
      <c r="A369" s="9">
        <v>914188230</v>
      </c>
      <c r="B369" s="9" t="str">
        <f t="shared" si="7"/>
        <v>914188230OVR</v>
      </c>
      <c r="C369" t="s">
        <v>548</v>
      </c>
      <c r="E369" t="s">
        <v>100</v>
      </c>
      <c r="F369">
        <v>20411454</v>
      </c>
      <c r="G369" t="s">
        <v>830</v>
      </c>
      <c r="H369" t="s">
        <v>48</v>
      </c>
      <c r="I369" t="s">
        <v>533</v>
      </c>
      <c r="J369" s="1">
        <v>46023</v>
      </c>
      <c r="K369" t="s">
        <v>50</v>
      </c>
      <c r="L369" t="s">
        <v>51</v>
      </c>
      <c r="M369" s="2">
        <v>0</v>
      </c>
      <c r="N369" s="2">
        <v>175</v>
      </c>
      <c r="O369">
        <v>1</v>
      </c>
      <c r="P369" s="3">
        <v>1</v>
      </c>
      <c r="Q369" s="2">
        <v>175</v>
      </c>
      <c r="S369" t="s">
        <v>806</v>
      </c>
    </row>
    <row r="370" spans="1:19" x14ac:dyDescent="0.25">
      <c r="A370" s="9">
        <v>914548418</v>
      </c>
      <c r="B370" s="9" t="str">
        <f t="shared" si="7"/>
        <v>914548418OVR</v>
      </c>
      <c r="C370" t="s">
        <v>549</v>
      </c>
      <c r="E370" t="s">
        <v>149</v>
      </c>
      <c r="F370">
        <v>20411454</v>
      </c>
      <c r="G370" t="s">
        <v>830</v>
      </c>
      <c r="H370" t="s">
        <v>48</v>
      </c>
      <c r="I370" t="s">
        <v>533</v>
      </c>
      <c r="J370" s="1">
        <v>46023</v>
      </c>
      <c r="K370" t="s">
        <v>50</v>
      </c>
      <c r="L370" t="s">
        <v>51</v>
      </c>
      <c r="M370" s="2">
        <v>0</v>
      </c>
      <c r="N370" s="2">
        <v>175</v>
      </c>
      <c r="O370">
        <v>1</v>
      </c>
      <c r="P370" s="3">
        <v>1</v>
      </c>
      <c r="Q370" s="2">
        <v>175</v>
      </c>
      <c r="S370" t="s">
        <v>806</v>
      </c>
    </row>
    <row r="371" spans="1:19" x14ac:dyDescent="0.25">
      <c r="A371" s="9">
        <v>915194475</v>
      </c>
      <c r="B371" s="9" t="str">
        <f t="shared" si="7"/>
        <v>915194475OVR</v>
      </c>
      <c r="C371" t="s">
        <v>550</v>
      </c>
      <c r="E371" t="s">
        <v>347</v>
      </c>
      <c r="F371">
        <v>20411454</v>
      </c>
      <c r="G371" t="s">
        <v>830</v>
      </c>
      <c r="H371" t="s">
        <v>48</v>
      </c>
      <c r="I371" t="s">
        <v>533</v>
      </c>
      <c r="J371" s="1">
        <v>46023</v>
      </c>
      <c r="K371" t="s">
        <v>50</v>
      </c>
      <c r="L371" t="s">
        <v>51</v>
      </c>
      <c r="M371" s="2">
        <v>0</v>
      </c>
      <c r="N371" s="2">
        <v>175</v>
      </c>
      <c r="O371">
        <v>1</v>
      </c>
      <c r="P371" s="3">
        <v>1</v>
      </c>
      <c r="Q371" s="2">
        <v>175</v>
      </c>
      <c r="S371" t="s">
        <v>806</v>
      </c>
    </row>
    <row r="372" spans="1:19" x14ac:dyDescent="0.25">
      <c r="A372" s="9">
        <v>927130361</v>
      </c>
      <c r="B372" s="9" t="str">
        <f t="shared" si="7"/>
        <v>927130361OVR</v>
      </c>
      <c r="C372" t="s">
        <v>558</v>
      </c>
      <c r="E372" t="s">
        <v>347</v>
      </c>
      <c r="F372">
        <v>20411454</v>
      </c>
      <c r="G372" t="s">
        <v>830</v>
      </c>
      <c r="H372" t="s">
        <v>48</v>
      </c>
      <c r="I372" t="s">
        <v>533</v>
      </c>
      <c r="J372" s="1">
        <v>46023</v>
      </c>
      <c r="K372" t="s">
        <v>50</v>
      </c>
      <c r="L372" t="s">
        <v>51</v>
      </c>
      <c r="M372" s="2">
        <v>0</v>
      </c>
      <c r="N372" s="2">
        <v>175</v>
      </c>
      <c r="O372">
        <v>1</v>
      </c>
      <c r="P372" s="3">
        <v>1</v>
      </c>
      <c r="Q372" s="2">
        <v>175</v>
      </c>
      <c r="S372" t="s">
        <v>806</v>
      </c>
    </row>
    <row r="373" spans="1:19" x14ac:dyDescent="0.25">
      <c r="A373" s="9">
        <v>928872953</v>
      </c>
      <c r="B373" s="9" t="str">
        <f t="shared" si="7"/>
        <v>928872953OVR</v>
      </c>
      <c r="C373" t="s">
        <v>560</v>
      </c>
      <c r="E373" t="s">
        <v>561</v>
      </c>
      <c r="F373">
        <v>20411454</v>
      </c>
      <c r="G373" t="s">
        <v>830</v>
      </c>
      <c r="H373" t="s">
        <v>48</v>
      </c>
      <c r="I373" t="s">
        <v>533</v>
      </c>
      <c r="J373" s="1">
        <v>46023</v>
      </c>
      <c r="K373" t="s">
        <v>50</v>
      </c>
      <c r="L373" t="s">
        <v>51</v>
      </c>
      <c r="M373" s="2">
        <v>0</v>
      </c>
      <c r="N373" s="2">
        <v>175</v>
      </c>
      <c r="O373">
        <v>1</v>
      </c>
      <c r="P373" s="3">
        <v>1</v>
      </c>
      <c r="Q373" s="2">
        <v>175</v>
      </c>
      <c r="S373" t="s">
        <v>806</v>
      </c>
    </row>
    <row r="374" spans="1:19" x14ac:dyDescent="0.25">
      <c r="A374" s="9">
        <v>929823819</v>
      </c>
      <c r="B374" s="9" t="str">
        <f t="shared" si="7"/>
        <v>929823819OVR</v>
      </c>
      <c r="C374" t="s">
        <v>562</v>
      </c>
      <c r="E374" t="s">
        <v>45</v>
      </c>
      <c r="F374">
        <v>20411454</v>
      </c>
      <c r="G374" t="s">
        <v>830</v>
      </c>
      <c r="H374" t="s">
        <v>48</v>
      </c>
      <c r="I374" t="s">
        <v>533</v>
      </c>
      <c r="J374" s="1">
        <v>46023</v>
      </c>
      <c r="K374" t="s">
        <v>50</v>
      </c>
      <c r="L374" t="s">
        <v>51</v>
      </c>
      <c r="M374" s="2">
        <v>0</v>
      </c>
      <c r="N374" s="2">
        <v>175</v>
      </c>
      <c r="O374">
        <v>1</v>
      </c>
      <c r="P374" s="3">
        <v>1</v>
      </c>
      <c r="Q374" s="2">
        <v>175</v>
      </c>
      <c r="S374" t="s">
        <v>806</v>
      </c>
    </row>
    <row r="375" spans="1:19" x14ac:dyDescent="0.25">
      <c r="A375" s="9">
        <v>932826929</v>
      </c>
      <c r="B375" s="9" t="str">
        <f t="shared" si="7"/>
        <v>932826929OVR</v>
      </c>
      <c r="C375" t="s">
        <v>564</v>
      </c>
      <c r="E375" t="s">
        <v>113</v>
      </c>
      <c r="F375">
        <v>20411454</v>
      </c>
      <c r="G375" t="s">
        <v>830</v>
      </c>
      <c r="H375" t="s">
        <v>48</v>
      </c>
      <c r="I375" t="s">
        <v>533</v>
      </c>
      <c r="J375" s="1">
        <v>46023</v>
      </c>
      <c r="K375" t="s">
        <v>50</v>
      </c>
      <c r="L375" t="s">
        <v>51</v>
      </c>
      <c r="M375" s="2">
        <v>0</v>
      </c>
      <c r="N375" s="2">
        <v>175</v>
      </c>
      <c r="O375">
        <v>1</v>
      </c>
      <c r="P375" s="3">
        <v>1</v>
      </c>
      <c r="Q375" s="2">
        <v>175</v>
      </c>
      <c r="S375" t="s">
        <v>806</v>
      </c>
    </row>
    <row r="376" spans="1:19" x14ac:dyDescent="0.25">
      <c r="A376" s="9">
        <v>936896337</v>
      </c>
      <c r="B376" s="9" t="str">
        <f t="shared" si="7"/>
        <v>936896337OVR</v>
      </c>
      <c r="C376" t="s">
        <v>565</v>
      </c>
      <c r="E376" t="s">
        <v>113</v>
      </c>
      <c r="F376">
        <v>20411454</v>
      </c>
      <c r="G376" t="s">
        <v>830</v>
      </c>
      <c r="H376" t="s">
        <v>48</v>
      </c>
      <c r="I376" t="s">
        <v>533</v>
      </c>
      <c r="J376" s="1">
        <v>45992</v>
      </c>
      <c r="K376" t="s">
        <v>50</v>
      </c>
      <c r="L376" t="s">
        <v>51</v>
      </c>
      <c r="M376" s="2">
        <v>0</v>
      </c>
      <c r="N376" s="2">
        <v>175</v>
      </c>
      <c r="O376">
        <v>1</v>
      </c>
      <c r="P376" s="3">
        <v>1</v>
      </c>
      <c r="Q376" s="2">
        <v>175</v>
      </c>
      <c r="S376" t="s">
        <v>806</v>
      </c>
    </row>
    <row r="377" spans="1:19" x14ac:dyDescent="0.25">
      <c r="A377" s="9">
        <v>938375183</v>
      </c>
      <c r="B377" s="9" t="str">
        <f t="shared" si="7"/>
        <v>938375183OVR</v>
      </c>
      <c r="C377" t="s">
        <v>566</v>
      </c>
      <c r="E377" t="s">
        <v>89</v>
      </c>
      <c r="F377">
        <v>20411454</v>
      </c>
      <c r="G377" t="s">
        <v>830</v>
      </c>
      <c r="H377" t="s">
        <v>48</v>
      </c>
      <c r="I377" t="s">
        <v>533</v>
      </c>
      <c r="J377" s="1">
        <v>46023</v>
      </c>
      <c r="K377" t="s">
        <v>50</v>
      </c>
      <c r="L377" t="s">
        <v>51</v>
      </c>
      <c r="M377" s="2">
        <v>0</v>
      </c>
      <c r="N377" s="2">
        <v>175</v>
      </c>
      <c r="O377">
        <v>1</v>
      </c>
      <c r="P377" s="3">
        <v>1</v>
      </c>
      <c r="Q377" s="2">
        <v>175</v>
      </c>
      <c r="S377" t="s">
        <v>806</v>
      </c>
    </row>
    <row r="378" spans="1:19" x14ac:dyDescent="0.25">
      <c r="A378" s="9">
        <v>960900496</v>
      </c>
      <c r="B378" s="9" t="str">
        <f t="shared" si="7"/>
        <v>960900496OVR</v>
      </c>
      <c r="C378" t="s">
        <v>573</v>
      </c>
      <c r="E378" t="s">
        <v>45</v>
      </c>
      <c r="F378">
        <v>20411454</v>
      </c>
      <c r="G378" t="s">
        <v>830</v>
      </c>
      <c r="H378" t="s">
        <v>48</v>
      </c>
      <c r="I378" t="s">
        <v>533</v>
      </c>
      <c r="J378" s="1">
        <v>46023</v>
      </c>
      <c r="K378" t="s">
        <v>50</v>
      </c>
      <c r="L378" t="s">
        <v>51</v>
      </c>
      <c r="M378" s="2">
        <v>0</v>
      </c>
      <c r="N378" s="2">
        <v>175</v>
      </c>
      <c r="O378">
        <v>1</v>
      </c>
      <c r="P378" s="3">
        <v>1</v>
      </c>
      <c r="Q378" s="2">
        <v>175</v>
      </c>
      <c r="S378" t="s">
        <v>806</v>
      </c>
    </row>
    <row r="379" spans="1:19" x14ac:dyDescent="0.25">
      <c r="A379" s="9">
        <v>961022284</v>
      </c>
      <c r="B379" s="9" t="str">
        <f t="shared" si="7"/>
        <v>961022284OVR</v>
      </c>
      <c r="C379" t="s">
        <v>574</v>
      </c>
      <c r="E379" t="s">
        <v>113</v>
      </c>
      <c r="F379">
        <v>20411454</v>
      </c>
      <c r="G379" t="s">
        <v>830</v>
      </c>
      <c r="H379" t="s">
        <v>48</v>
      </c>
      <c r="I379" t="s">
        <v>533</v>
      </c>
      <c r="J379" s="1">
        <v>46023</v>
      </c>
      <c r="K379" t="s">
        <v>50</v>
      </c>
      <c r="L379" t="s">
        <v>51</v>
      </c>
      <c r="M379" s="2">
        <v>0</v>
      </c>
      <c r="N379" s="2">
        <v>175</v>
      </c>
      <c r="O379">
        <v>1</v>
      </c>
      <c r="P379" s="3">
        <v>1</v>
      </c>
      <c r="Q379" s="2">
        <v>175</v>
      </c>
      <c r="S379" t="s">
        <v>806</v>
      </c>
    </row>
    <row r="380" spans="1:19" x14ac:dyDescent="0.25">
      <c r="A380" s="9">
        <v>965649864</v>
      </c>
      <c r="B380" s="9" t="str">
        <f t="shared" si="7"/>
        <v>965649864OVR</v>
      </c>
      <c r="C380" t="s">
        <v>575</v>
      </c>
      <c r="E380" t="s">
        <v>269</v>
      </c>
      <c r="F380">
        <v>20411454</v>
      </c>
      <c r="G380" t="s">
        <v>830</v>
      </c>
      <c r="H380" t="s">
        <v>48</v>
      </c>
      <c r="I380" t="s">
        <v>533</v>
      </c>
      <c r="J380" s="1">
        <v>46023</v>
      </c>
      <c r="K380" t="s">
        <v>50</v>
      </c>
      <c r="L380" t="s">
        <v>51</v>
      </c>
      <c r="M380" s="2">
        <v>0</v>
      </c>
      <c r="N380" s="2">
        <v>175</v>
      </c>
      <c r="O380">
        <v>1</v>
      </c>
      <c r="P380" s="3">
        <v>1</v>
      </c>
      <c r="Q380" s="2">
        <v>175</v>
      </c>
      <c r="S380" t="s">
        <v>806</v>
      </c>
    </row>
    <row r="381" spans="1:19" x14ac:dyDescent="0.25">
      <c r="A381" s="9">
        <v>973694305</v>
      </c>
      <c r="B381" s="9" t="str">
        <f t="shared" si="7"/>
        <v>973694305OVR</v>
      </c>
      <c r="C381" t="s">
        <v>578</v>
      </c>
      <c r="E381" t="s">
        <v>89</v>
      </c>
      <c r="F381">
        <v>20411454</v>
      </c>
      <c r="G381" t="s">
        <v>830</v>
      </c>
      <c r="H381" t="s">
        <v>48</v>
      </c>
      <c r="I381" t="s">
        <v>533</v>
      </c>
      <c r="J381" s="1">
        <v>46023</v>
      </c>
      <c r="K381" t="s">
        <v>50</v>
      </c>
      <c r="L381" t="s">
        <v>51</v>
      </c>
      <c r="M381" s="2">
        <v>0</v>
      </c>
      <c r="N381" s="2">
        <v>175</v>
      </c>
      <c r="O381">
        <v>1</v>
      </c>
      <c r="P381" s="3">
        <v>1</v>
      </c>
      <c r="Q381" s="2">
        <v>175</v>
      </c>
      <c r="S381" t="s">
        <v>806</v>
      </c>
    </row>
    <row r="382" spans="1:19" x14ac:dyDescent="0.25">
      <c r="A382" s="9">
        <v>973756831</v>
      </c>
      <c r="B382" s="9" t="str">
        <f t="shared" si="7"/>
        <v>973756831OVR</v>
      </c>
      <c r="C382" t="s">
        <v>579</v>
      </c>
      <c r="E382" t="s">
        <v>45</v>
      </c>
      <c r="F382">
        <v>20411454</v>
      </c>
      <c r="G382" t="s">
        <v>830</v>
      </c>
      <c r="H382" t="s">
        <v>48</v>
      </c>
      <c r="I382" t="s">
        <v>533</v>
      </c>
      <c r="J382" s="1">
        <v>46023</v>
      </c>
      <c r="K382" t="s">
        <v>50</v>
      </c>
      <c r="L382" t="s">
        <v>51</v>
      </c>
      <c r="M382" s="2">
        <v>0</v>
      </c>
      <c r="N382" s="2">
        <v>175</v>
      </c>
      <c r="O382">
        <v>1</v>
      </c>
      <c r="P382" s="3">
        <v>1</v>
      </c>
      <c r="Q382" s="2">
        <v>175</v>
      </c>
      <c r="S382" t="s">
        <v>806</v>
      </c>
    </row>
    <row r="383" spans="1:19" x14ac:dyDescent="0.25">
      <c r="A383" s="9">
        <v>976065098</v>
      </c>
      <c r="B383" s="9" t="str">
        <f t="shared" si="7"/>
        <v>976065098OVR</v>
      </c>
      <c r="C383" t="s">
        <v>580</v>
      </c>
      <c r="E383" t="s">
        <v>347</v>
      </c>
      <c r="F383">
        <v>20411454</v>
      </c>
      <c r="G383" t="s">
        <v>830</v>
      </c>
      <c r="H383" t="s">
        <v>48</v>
      </c>
      <c r="I383" t="s">
        <v>533</v>
      </c>
      <c r="J383" s="1">
        <v>46023</v>
      </c>
      <c r="K383" t="s">
        <v>50</v>
      </c>
      <c r="L383" t="s">
        <v>51</v>
      </c>
      <c r="M383" s="2">
        <v>0</v>
      </c>
      <c r="N383" s="2">
        <v>175</v>
      </c>
      <c r="O383">
        <v>1</v>
      </c>
      <c r="P383" s="3">
        <v>1</v>
      </c>
      <c r="Q383" s="2">
        <v>175</v>
      </c>
      <c r="S383" t="s">
        <v>806</v>
      </c>
    </row>
    <row r="384" spans="1:19" x14ac:dyDescent="0.25">
      <c r="A384" s="9">
        <v>977886088</v>
      </c>
      <c r="B384" s="9" t="str">
        <f t="shared" si="7"/>
        <v>977886088OVR</v>
      </c>
      <c r="C384" t="s">
        <v>581</v>
      </c>
      <c r="E384" t="s">
        <v>89</v>
      </c>
      <c r="F384">
        <v>20411454</v>
      </c>
      <c r="G384" t="s">
        <v>830</v>
      </c>
      <c r="H384" t="s">
        <v>48</v>
      </c>
      <c r="I384" t="s">
        <v>533</v>
      </c>
      <c r="J384" s="1">
        <v>46023</v>
      </c>
      <c r="K384" t="s">
        <v>50</v>
      </c>
      <c r="L384" t="s">
        <v>51</v>
      </c>
      <c r="M384" s="2">
        <v>0</v>
      </c>
      <c r="N384" s="2">
        <v>175</v>
      </c>
      <c r="O384">
        <v>1</v>
      </c>
      <c r="P384" s="3">
        <v>1</v>
      </c>
      <c r="Q384" s="2">
        <v>175</v>
      </c>
      <c r="S384" t="s">
        <v>806</v>
      </c>
    </row>
    <row r="385" spans="1:19" x14ac:dyDescent="0.25">
      <c r="A385" s="9">
        <v>979600179</v>
      </c>
      <c r="B385" s="9" t="str">
        <f t="shared" si="7"/>
        <v>979600179OVR</v>
      </c>
      <c r="C385" t="s">
        <v>582</v>
      </c>
      <c r="E385" t="s">
        <v>125</v>
      </c>
      <c r="F385">
        <v>20411454</v>
      </c>
      <c r="G385" t="s">
        <v>830</v>
      </c>
      <c r="H385" t="s">
        <v>48</v>
      </c>
      <c r="I385" t="s">
        <v>533</v>
      </c>
      <c r="J385" s="1">
        <v>46023</v>
      </c>
      <c r="K385" t="s">
        <v>50</v>
      </c>
      <c r="L385" t="s">
        <v>51</v>
      </c>
      <c r="M385" s="2">
        <v>0</v>
      </c>
      <c r="N385" s="2">
        <v>175</v>
      </c>
      <c r="O385">
        <v>1</v>
      </c>
      <c r="P385" s="3">
        <v>1</v>
      </c>
      <c r="Q385" s="2">
        <v>175</v>
      </c>
      <c r="S385" t="s">
        <v>806</v>
      </c>
    </row>
    <row r="386" spans="1:19" x14ac:dyDescent="0.25">
      <c r="A386" s="9">
        <v>979754030</v>
      </c>
      <c r="B386" s="9" t="str">
        <f t="shared" si="7"/>
        <v>979754030OVR</v>
      </c>
      <c r="C386" t="s">
        <v>584</v>
      </c>
      <c r="E386" t="s">
        <v>316</v>
      </c>
      <c r="F386">
        <v>20411454</v>
      </c>
      <c r="G386" t="s">
        <v>830</v>
      </c>
      <c r="H386" t="s">
        <v>48</v>
      </c>
      <c r="I386" t="s">
        <v>533</v>
      </c>
      <c r="J386" s="1">
        <v>46023</v>
      </c>
      <c r="K386" t="s">
        <v>50</v>
      </c>
      <c r="L386" t="s">
        <v>51</v>
      </c>
      <c r="M386" s="2">
        <v>0</v>
      </c>
      <c r="N386" s="2">
        <v>175</v>
      </c>
      <c r="O386">
        <v>1</v>
      </c>
      <c r="P386" s="3">
        <v>1</v>
      </c>
      <c r="Q386" s="2">
        <v>175</v>
      </c>
      <c r="S386" t="s">
        <v>806</v>
      </c>
    </row>
    <row r="387" spans="1:19" x14ac:dyDescent="0.25">
      <c r="A387" s="9">
        <v>988729741</v>
      </c>
      <c r="B387" s="9" t="str">
        <f t="shared" si="7"/>
        <v>988729741OVR</v>
      </c>
      <c r="C387" t="s">
        <v>586</v>
      </c>
      <c r="E387" t="s">
        <v>347</v>
      </c>
      <c r="F387">
        <v>20411454</v>
      </c>
      <c r="G387" t="s">
        <v>830</v>
      </c>
      <c r="H387" t="s">
        <v>48</v>
      </c>
      <c r="I387" t="s">
        <v>533</v>
      </c>
      <c r="J387" s="1">
        <v>46023</v>
      </c>
      <c r="K387" t="s">
        <v>50</v>
      </c>
      <c r="L387" t="s">
        <v>51</v>
      </c>
      <c r="M387" s="2">
        <v>0</v>
      </c>
      <c r="N387" s="2">
        <v>175</v>
      </c>
      <c r="O387">
        <v>1</v>
      </c>
      <c r="P387" s="3">
        <v>1</v>
      </c>
      <c r="Q387" s="2">
        <v>175</v>
      </c>
      <c r="S387" t="s">
        <v>806</v>
      </c>
    </row>
    <row r="388" spans="1:19" x14ac:dyDescent="0.25">
      <c r="A388" s="9">
        <v>966429446</v>
      </c>
      <c r="B388" s="9" t="str">
        <f t="shared" si="7"/>
        <v>966429446OVR</v>
      </c>
      <c r="C388" t="s">
        <v>633</v>
      </c>
      <c r="E388" t="s">
        <v>89</v>
      </c>
      <c r="F388">
        <v>20411454</v>
      </c>
      <c r="G388" t="s">
        <v>830</v>
      </c>
      <c r="H388" t="s">
        <v>599</v>
      </c>
      <c r="I388" t="s">
        <v>533</v>
      </c>
      <c r="J388" s="1">
        <v>46023</v>
      </c>
      <c r="K388" t="s">
        <v>50</v>
      </c>
      <c r="L388" t="s">
        <v>51</v>
      </c>
      <c r="Q388">
        <v>-175</v>
      </c>
      <c r="S388" t="s">
        <v>806</v>
      </c>
    </row>
    <row r="389" spans="1:19" x14ac:dyDescent="0.25">
      <c r="A389" s="9">
        <v>972513660</v>
      </c>
      <c r="B389" s="9" t="str">
        <f t="shared" si="7"/>
        <v>972513660OVR</v>
      </c>
      <c r="C389" t="s">
        <v>634</v>
      </c>
      <c r="E389" t="s">
        <v>113</v>
      </c>
      <c r="F389">
        <v>20411454</v>
      </c>
      <c r="G389" t="s">
        <v>830</v>
      </c>
      <c r="H389" t="s">
        <v>599</v>
      </c>
      <c r="I389" t="s">
        <v>533</v>
      </c>
      <c r="J389" s="1">
        <v>46023</v>
      </c>
      <c r="K389" t="s">
        <v>50</v>
      </c>
      <c r="L389" t="s">
        <v>51</v>
      </c>
      <c r="Q389">
        <v>-175</v>
      </c>
      <c r="S389" t="s">
        <v>806</v>
      </c>
    </row>
    <row r="390" spans="1:19" x14ac:dyDescent="0.25">
      <c r="A390" s="9">
        <v>901037707</v>
      </c>
      <c r="B390" s="9" t="str">
        <f t="shared" si="7"/>
        <v>901037707OVR</v>
      </c>
      <c r="C390" t="s">
        <v>536</v>
      </c>
      <c r="E390" t="s">
        <v>45</v>
      </c>
      <c r="F390">
        <v>20411454</v>
      </c>
      <c r="G390" t="s">
        <v>830</v>
      </c>
      <c r="H390" t="s">
        <v>48</v>
      </c>
      <c r="I390" t="s">
        <v>537</v>
      </c>
      <c r="J390" s="1">
        <v>46023</v>
      </c>
      <c r="K390" t="s">
        <v>50</v>
      </c>
      <c r="L390" t="s">
        <v>51</v>
      </c>
      <c r="M390" s="2">
        <v>0</v>
      </c>
      <c r="N390" s="2">
        <v>113</v>
      </c>
      <c r="O390">
        <v>1</v>
      </c>
      <c r="P390" s="3">
        <v>1</v>
      </c>
      <c r="Q390" s="2">
        <v>113</v>
      </c>
      <c r="S390" t="s">
        <v>806</v>
      </c>
    </row>
    <row r="391" spans="1:19" x14ac:dyDescent="0.25">
      <c r="A391" s="9">
        <v>926065200</v>
      </c>
      <c r="B391" s="9" t="str">
        <f t="shared" si="7"/>
        <v>926065200OVR</v>
      </c>
      <c r="C391" t="s">
        <v>551</v>
      </c>
      <c r="E391" t="s">
        <v>316</v>
      </c>
      <c r="F391">
        <v>20411454</v>
      </c>
      <c r="G391" t="s">
        <v>830</v>
      </c>
      <c r="H391" t="s">
        <v>48</v>
      </c>
      <c r="I391" t="s">
        <v>537</v>
      </c>
      <c r="J391" s="1">
        <v>46023</v>
      </c>
      <c r="K391" t="s">
        <v>50</v>
      </c>
      <c r="L391" t="s">
        <v>51</v>
      </c>
      <c r="M391" s="2">
        <v>0</v>
      </c>
      <c r="N391" s="2">
        <v>113</v>
      </c>
      <c r="O391">
        <v>1</v>
      </c>
      <c r="P391" s="3">
        <v>1</v>
      </c>
      <c r="Q391" s="2">
        <v>113</v>
      </c>
      <c r="S391" t="s">
        <v>806</v>
      </c>
    </row>
    <row r="392" spans="1:19" x14ac:dyDescent="0.25">
      <c r="A392" s="9">
        <v>927960226</v>
      </c>
      <c r="B392" s="9" t="str">
        <f t="shared" si="7"/>
        <v>927960226OVR</v>
      </c>
      <c r="C392" t="s">
        <v>559</v>
      </c>
      <c r="E392" t="s">
        <v>113</v>
      </c>
      <c r="F392">
        <v>20411454</v>
      </c>
      <c r="G392" t="s">
        <v>830</v>
      </c>
      <c r="H392" t="s">
        <v>48</v>
      </c>
      <c r="I392" t="s">
        <v>537</v>
      </c>
      <c r="J392" s="1">
        <v>46023</v>
      </c>
      <c r="K392" t="s">
        <v>50</v>
      </c>
      <c r="L392" t="s">
        <v>51</v>
      </c>
      <c r="M392" s="2">
        <v>0</v>
      </c>
      <c r="N392" s="2">
        <v>113</v>
      </c>
      <c r="O392">
        <v>1</v>
      </c>
      <c r="P392" s="3">
        <v>1</v>
      </c>
      <c r="Q392" s="2">
        <v>113</v>
      </c>
      <c r="S392" t="s">
        <v>806</v>
      </c>
    </row>
    <row r="393" spans="1:19" x14ac:dyDescent="0.25">
      <c r="A393" s="9">
        <v>930958899</v>
      </c>
      <c r="B393" s="9" t="str">
        <f t="shared" si="7"/>
        <v>930958899OVR</v>
      </c>
      <c r="C393" t="s">
        <v>563</v>
      </c>
      <c r="E393" t="s">
        <v>316</v>
      </c>
      <c r="F393">
        <v>20411454</v>
      </c>
      <c r="G393" t="s">
        <v>830</v>
      </c>
      <c r="H393" t="s">
        <v>48</v>
      </c>
      <c r="I393" t="s">
        <v>537</v>
      </c>
      <c r="J393" s="1">
        <v>46023</v>
      </c>
      <c r="K393" t="s">
        <v>50</v>
      </c>
      <c r="L393" t="s">
        <v>51</v>
      </c>
      <c r="M393" s="2">
        <v>0</v>
      </c>
      <c r="N393" s="2">
        <v>113</v>
      </c>
      <c r="O393">
        <v>1</v>
      </c>
      <c r="P393" s="3">
        <v>1</v>
      </c>
      <c r="Q393" s="2">
        <v>113</v>
      </c>
      <c r="S393" t="s">
        <v>806</v>
      </c>
    </row>
    <row r="394" spans="1:19" x14ac:dyDescent="0.25">
      <c r="A394" s="9">
        <v>952495296</v>
      </c>
      <c r="B394" s="9" t="str">
        <f t="shared" si="7"/>
        <v>952495296OVR</v>
      </c>
      <c r="C394" t="s">
        <v>567</v>
      </c>
      <c r="E394" t="s">
        <v>45</v>
      </c>
      <c r="F394">
        <v>20411454</v>
      </c>
      <c r="G394" t="s">
        <v>830</v>
      </c>
      <c r="H394" t="s">
        <v>48</v>
      </c>
      <c r="I394" t="s">
        <v>537</v>
      </c>
      <c r="J394" s="1">
        <v>46023</v>
      </c>
      <c r="K394" t="s">
        <v>50</v>
      </c>
      <c r="L394" t="s">
        <v>51</v>
      </c>
      <c r="M394" s="2">
        <v>0</v>
      </c>
      <c r="N394" s="2">
        <v>113</v>
      </c>
      <c r="O394">
        <v>1</v>
      </c>
      <c r="P394" s="3">
        <v>1</v>
      </c>
      <c r="Q394" s="2">
        <v>113</v>
      </c>
      <c r="S394" t="s">
        <v>806</v>
      </c>
    </row>
    <row r="395" spans="1:19" x14ac:dyDescent="0.25">
      <c r="A395" s="9">
        <v>960467852</v>
      </c>
      <c r="B395" s="9" t="str">
        <f t="shared" si="7"/>
        <v>960467852OVR</v>
      </c>
      <c r="C395" t="s">
        <v>572</v>
      </c>
      <c r="E395" t="s">
        <v>316</v>
      </c>
      <c r="F395">
        <v>20411454</v>
      </c>
      <c r="G395" t="s">
        <v>830</v>
      </c>
      <c r="H395" t="s">
        <v>48</v>
      </c>
      <c r="I395" t="s">
        <v>537</v>
      </c>
      <c r="J395" s="1">
        <v>46023</v>
      </c>
      <c r="K395" t="s">
        <v>50</v>
      </c>
      <c r="L395" t="s">
        <v>51</v>
      </c>
      <c r="M395" s="2">
        <v>0</v>
      </c>
      <c r="N395" s="2">
        <v>113</v>
      </c>
      <c r="O395">
        <v>1</v>
      </c>
      <c r="P395" s="3">
        <v>1</v>
      </c>
      <c r="Q395" s="2">
        <v>113</v>
      </c>
      <c r="S395" t="s">
        <v>806</v>
      </c>
    </row>
    <row r="396" spans="1:19" x14ac:dyDescent="0.25">
      <c r="A396" s="9">
        <v>970961326</v>
      </c>
      <c r="B396" s="9" t="str">
        <f t="shared" si="7"/>
        <v>970961326OVR</v>
      </c>
      <c r="C396" t="s">
        <v>577</v>
      </c>
      <c r="E396" t="s">
        <v>220</v>
      </c>
      <c r="F396">
        <v>20411454</v>
      </c>
      <c r="G396" t="s">
        <v>830</v>
      </c>
      <c r="H396" t="s">
        <v>48</v>
      </c>
      <c r="I396" t="s">
        <v>537</v>
      </c>
      <c r="J396" s="1">
        <v>46023</v>
      </c>
      <c r="K396" t="s">
        <v>50</v>
      </c>
      <c r="L396" t="s">
        <v>51</v>
      </c>
      <c r="M396" s="2">
        <v>0</v>
      </c>
      <c r="N396" s="2">
        <v>113</v>
      </c>
      <c r="O396">
        <v>1</v>
      </c>
      <c r="P396" s="3">
        <v>1</v>
      </c>
      <c r="Q396" s="2">
        <v>113</v>
      </c>
      <c r="S396" t="s">
        <v>806</v>
      </c>
    </row>
    <row r="397" spans="1:19" x14ac:dyDescent="0.25">
      <c r="A397" s="9">
        <v>979705830</v>
      </c>
      <c r="B397" s="9" t="str">
        <f t="shared" si="7"/>
        <v>979705830OVR</v>
      </c>
      <c r="C397" t="s">
        <v>583</v>
      </c>
      <c r="E397" t="s">
        <v>113</v>
      </c>
      <c r="F397">
        <v>20411454</v>
      </c>
      <c r="G397" t="s">
        <v>830</v>
      </c>
      <c r="H397" t="s">
        <v>48</v>
      </c>
      <c r="I397" t="s">
        <v>537</v>
      </c>
      <c r="J397" s="1">
        <v>46023</v>
      </c>
      <c r="K397" t="s">
        <v>50</v>
      </c>
      <c r="L397" t="s">
        <v>51</v>
      </c>
      <c r="M397" s="2">
        <v>0</v>
      </c>
      <c r="N397" s="2">
        <v>113</v>
      </c>
      <c r="O397">
        <v>1</v>
      </c>
      <c r="P397" s="3">
        <v>1</v>
      </c>
      <c r="Q397" s="2">
        <v>113</v>
      </c>
      <c r="S397" t="s">
        <v>806</v>
      </c>
    </row>
    <row r="398" spans="1:19" x14ac:dyDescent="0.25">
      <c r="A398" s="9">
        <v>955821745</v>
      </c>
      <c r="B398" s="9" t="str">
        <f t="shared" si="7"/>
        <v>955821745OVR</v>
      </c>
      <c r="C398" t="s">
        <v>570</v>
      </c>
      <c r="E398" t="s">
        <v>120</v>
      </c>
      <c r="F398">
        <v>20411454</v>
      </c>
      <c r="G398" t="s">
        <v>830</v>
      </c>
      <c r="H398" t="s">
        <v>48</v>
      </c>
      <c r="I398" t="s">
        <v>571</v>
      </c>
      <c r="J398" s="1">
        <v>46023</v>
      </c>
      <c r="K398" t="s">
        <v>50</v>
      </c>
      <c r="L398" t="s">
        <v>51</v>
      </c>
      <c r="M398" s="2">
        <v>0</v>
      </c>
      <c r="N398" s="2">
        <v>72</v>
      </c>
      <c r="O398">
        <v>1</v>
      </c>
      <c r="P398" s="3">
        <v>1</v>
      </c>
      <c r="Q398" s="2">
        <v>72</v>
      </c>
      <c r="R398" t="s">
        <v>569</v>
      </c>
      <c r="S398" t="s">
        <v>806</v>
      </c>
    </row>
    <row r="399" spans="1:19" x14ac:dyDescent="0.25">
      <c r="A399" s="9">
        <v>969876427</v>
      </c>
      <c r="B399" s="9" t="str">
        <f t="shared" si="7"/>
        <v>969876427OVR</v>
      </c>
      <c r="C399" t="s">
        <v>576</v>
      </c>
      <c r="E399" t="s">
        <v>316</v>
      </c>
      <c r="F399">
        <v>20411454</v>
      </c>
      <c r="G399" t="s">
        <v>830</v>
      </c>
      <c r="H399" t="s">
        <v>48</v>
      </c>
      <c r="I399" t="s">
        <v>571</v>
      </c>
      <c r="J399" s="1">
        <v>46023</v>
      </c>
      <c r="K399" t="s">
        <v>50</v>
      </c>
      <c r="L399" t="s">
        <v>51</v>
      </c>
      <c r="M399" s="2">
        <v>0</v>
      </c>
      <c r="N399" s="2">
        <v>72</v>
      </c>
      <c r="O399">
        <v>1</v>
      </c>
      <c r="P399" s="3">
        <v>1</v>
      </c>
      <c r="Q399" s="2">
        <v>72</v>
      </c>
      <c r="R399" t="s">
        <v>569</v>
      </c>
      <c r="S399" t="s">
        <v>806</v>
      </c>
    </row>
    <row r="400" spans="1:19" x14ac:dyDescent="0.25">
      <c r="A400" s="9">
        <v>982017456</v>
      </c>
      <c r="B400" s="9" t="str">
        <f t="shared" si="7"/>
        <v>982017456OVR</v>
      </c>
      <c r="C400" t="s">
        <v>585</v>
      </c>
      <c r="E400" t="s">
        <v>120</v>
      </c>
      <c r="F400">
        <v>20411454</v>
      </c>
      <c r="G400" t="s">
        <v>830</v>
      </c>
      <c r="H400" t="s">
        <v>48</v>
      </c>
      <c r="I400" t="s">
        <v>571</v>
      </c>
      <c r="J400" s="1">
        <v>46023</v>
      </c>
      <c r="K400" t="s">
        <v>50</v>
      </c>
      <c r="L400" t="s">
        <v>51</v>
      </c>
      <c r="M400" s="2">
        <v>0</v>
      </c>
      <c r="N400" s="2">
        <v>72</v>
      </c>
      <c r="O400">
        <v>1</v>
      </c>
      <c r="P400" s="3">
        <v>1</v>
      </c>
      <c r="Q400" s="2">
        <v>72</v>
      </c>
      <c r="R400" t="s">
        <v>569</v>
      </c>
      <c r="S400" t="s">
        <v>806</v>
      </c>
    </row>
    <row r="401" spans="1:20" x14ac:dyDescent="0.25">
      <c r="A401" s="9">
        <v>134193543</v>
      </c>
      <c r="B401" s="9" t="str">
        <f t="shared" si="7"/>
        <v>134193543OVR</v>
      </c>
      <c r="C401" t="s">
        <v>623</v>
      </c>
      <c r="E401" t="s">
        <v>624</v>
      </c>
      <c r="F401">
        <v>20411454</v>
      </c>
      <c r="G401" t="s">
        <v>830</v>
      </c>
      <c r="H401" t="s">
        <v>599</v>
      </c>
      <c r="I401" t="s">
        <v>571</v>
      </c>
      <c r="J401" s="1">
        <v>45931</v>
      </c>
      <c r="K401" t="s">
        <v>50</v>
      </c>
      <c r="L401" t="s">
        <v>51</v>
      </c>
      <c r="Q401">
        <v>-12</v>
      </c>
      <c r="S401" t="s">
        <v>806</v>
      </c>
    </row>
    <row r="402" spans="1:20" x14ac:dyDescent="0.25">
      <c r="A402" s="9">
        <v>926202494</v>
      </c>
      <c r="B402" s="9" t="str">
        <f t="shared" si="7"/>
        <v>926202494OVR</v>
      </c>
      <c r="C402" t="s">
        <v>554</v>
      </c>
      <c r="E402" t="s">
        <v>347</v>
      </c>
      <c r="F402">
        <v>20411454</v>
      </c>
      <c r="G402" t="s">
        <v>830</v>
      </c>
      <c r="H402" t="s">
        <v>48</v>
      </c>
      <c r="I402" t="s">
        <v>557</v>
      </c>
      <c r="J402" s="1">
        <v>45992</v>
      </c>
      <c r="K402" t="s">
        <v>50</v>
      </c>
      <c r="L402" t="s">
        <v>51</v>
      </c>
      <c r="M402" s="2">
        <v>0</v>
      </c>
      <c r="N402" s="2">
        <v>4.17</v>
      </c>
      <c r="O402">
        <v>1</v>
      </c>
      <c r="P402" s="3">
        <v>1</v>
      </c>
      <c r="Q402" s="2">
        <v>4.17</v>
      </c>
      <c r="R402" t="s">
        <v>556</v>
      </c>
      <c r="S402" t="s">
        <v>806</v>
      </c>
    </row>
    <row r="403" spans="1:20" x14ac:dyDescent="0.25">
      <c r="A403" s="9">
        <v>953320892</v>
      </c>
      <c r="B403" s="9" t="str">
        <f t="shared" si="7"/>
        <v>953320892OVR</v>
      </c>
      <c r="C403" t="s">
        <v>568</v>
      </c>
      <c r="E403" t="s">
        <v>89</v>
      </c>
      <c r="F403">
        <v>20411454</v>
      </c>
      <c r="G403" t="s">
        <v>830</v>
      </c>
      <c r="H403" t="s">
        <v>48</v>
      </c>
      <c r="I403" t="s">
        <v>557</v>
      </c>
      <c r="J403" s="1">
        <v>46023</v>
      </c>
      <c r="K403" t="s">
        <v>50</v>
      </c>
      <c r="L403" t="s">
        <v>51</v>
      </c>
      <c r="M403" s="2">
        <v>0</v>
      </c>
      <c r="N403" s="2">
        <v>50</v>
      </c>
      <c r="O403">
        <v>1</v>
      </c>
      <c r="P403" s="3">
        <v>1</v>
      </c>
      <c r="Q403" s="2">
        <v>50</v>
      </c>
      <c r="R403" t="s">
        <v>569</v>
      </c>
      <c r="S403" t="s">
        <v>806</v>
      </c>
    </row>
    <row r="404" spans="1:20" x14ac:dyDescent="0.25">
      <c r="A404" s="9">
        <v>926230943</v>
      </c>
      <c r="B404" s="9" t="str">
        <f t="shared" si="7"/>
        <v>926230943OVR</v>
      </c>
      <c r="C404" t="s">
        <v>629</v>
      </c>
      <c r="E404" t="s">
        <v>45</v>
      </c>
      <c r="F404">
        <v>20411454</v>
      </c>
      <c r="G404" t="s">
        <v>830</v>
      </c>
      <c r="H404" t="s">
        <v>599</v>
      </c>
      <c r="I404" t="s">
        <v>631</v>
      </c>
      <c r="J404" s="1">
        <v>45931</v>
      </c>
      <c r="K404" t="s">
        <v>50</v>
      </c>
      <c r="L404" t="s">
        <v>51</v>
      </c>
      <c r="Q404">
        <v>-28.25</v>
      </c>
      <c r="S404" t="s">
        <v>806</v>
      </c>
    </row>
    <row r="405" spans="1:20" s="4" customFormat="1" x14ac:dyDescent="0.25">
      <c r="A405" s="10">
        <v>913275310</v>
      </c>
      <c r="B405" s="10" t="str">
        <f>CONCATENATE(A405,98)</f>
        <v>91327531098</v>
      </c>
      <c r="C405" s="4" t="s">
        <v>625</v>
      </c>
      <c r="E405" s="4" t="s">
        <v>120</v>
      </c>
      <c r="F405" s="4">
        <v>6634327</v>
      </c>
      <c r="G405" s="4" t="s">
        <v>544</v>
      </c>
      <c r="H405" s="4" t="s">
        <v>599</v>
      </c>
      <c r="I405" s="4" t="s">
        <v>627</v>
      </c>
      <c r="J405" s="5">
        <v>45809</v>
      </c>
      <c r="K405" s="4" t="s">
        <v>50</v>
      </c>
      <c r="L405" s="4" t="s">
        <v>51</v>
      </c>
      <c r="Q405" s="4">
        <v>-365.17</v>
      </c>
      <c r="S405" s="4" t="s">
        <v>808</v>
      </c>
      <c r="T405" s="4" t="s">
        <v>809</v>
      </c>
    </row>
    <row r="406" spans="1:20" s="4" customFormat="1" x14ac:dyDescent="0.25">
      <c r="A406" s="10">
        <v>924420238</v>
      </c>
      <c r="B406" s="10" t="str">
        <f>CONCATENATE(A406,99)</f>
        <v>92442023899</v>
      </c>
      <c r="C406" s="4" t="s">
        <v>628</v>
      </c>
      <c r="E406" s="4" t="s">
        <v>120</v>
      </c>
      <c r="F406" s="4">
        <v>16865615</v>
      </c>
      <c r="G406" s="4" t="s">
        <v>122</v>
      </c>
      <c r="H406" s="4" t="s">
        <v>599</v>
      </c>
      <c r="I406" s="4" t="s">
        <v>627</v>
      </c>
      <c r="J406" s="5">
        <v>45748</v>
      </c>
      <c r="K406" s="4" t="s">
        <v>50</v>
      </c>
      <c r="L406" s="4" t="s">
        <v>51</v>
      </c>
      <c r="Q406" s="4">
        <v>-208.67</v>
      </c>
      <c r="S406" s="4" t="s">
        <v>807</v>
      </c>
      <c r="T406" s="4" t="s">
        <v>810</v>
      </c>
    </row>
    <row r="407" spans="1:20" s="4" customFormat="1" x14ac:dyDescent="0.25">
      <c r="A407" s="10">
        <v>951850009</v>
      </c>
      <c r="B407" s="10" t="str">
        <f>CONCATENATE(A407,99)</f>
        <v>95185000999</v>
      </c>
      <c r="C407" s="4" t="s">
        <v>632</v>
      </c>
      <c r="E407" s="4" t="s">
        <v>120</v>
      </c>
      <c r="F407" s="4">
        <v>16865615</v>
      </c>
      <c r="G407" s="4" t="s">
        <v>122</v>
      </c>
      <c r="H407" s="4" t="s">
        <v>599</v>
      </c>
      <c r="I407" s="4" t="s">
        <v>627</v>
      </c>
      <c r="J407" s="5">
        <v>45689</v>
      </c>
      <c r="K407" s="4" t="s">
        <v>50</v>
      </c>
      <c r="L407" s="4" t="s">
        <v>51</v>
      </c>
      <c r="Q407" s="4">
        <v>-156.5</v>
      </c>
      <c r="S407" s="4" t="s">
        <v>807</v>
      </c>
      <c r="T407" s="4" t="s">
        <v>811</v>
      </c>
    </row>
    <row r="408" spans="1:20" s="4" customFormat="1" x14ac:dyDescent="0.25">
      <c r="A408" s="10">
        <v>926230943</v>
      </c>
      <c r="B408" s="10" t="str">
        <f t="shared" ref="B408:B412" si="8">CONCATENATE(A408,1)</f>
        <v>9262309431</v>
      </c>
      <c r="C408" s="4" t="s">
        <v>629</v>
      </c>
      <c r="E408" s="4" t="s">
        <v>45</v>
      </c>
      <c r="F408" s="4">
        <v>9213293</v>
      </c>
      <c r="G408" s="4" t="s">
        <v>59</v>
      </c>
      <c r="H408" s="4" t="s">
        <v>599</v>
      </c>
      <c r="I408" s="4" t="s">
        <v>630</v>
      </c>
      <c r="J408" s="5">
        <v>45931</v>
      </c>
      <c r="K408" s="4" t="s">
        <v>50</v>
      </c>
      <c r="L408" s="4" t="s">
        <v>51</v>
      </c>
      <c r="Q408" s="4">
        <v>-156.5</v>
      </c>
      <c r="S408" s="4" t="s">
        <v>807</v>
      </c>
      <c r="T408" s="4" t="s">
        <v>811</v>
      </c>
    </row>
    <row r="409" spans="1:20" s="4" customFormat="1" x14ac:dyDescent="0.25">
      <c r="A409" s="10">
        <v>926202494</v>
      </c>
      <c r="B409" s="10" t="str">
        <f t="shared" si="8"/>
        <v>9262024941</v>
      </c>
      <c r="C409" s="4" t="s">
        <v>554</v>
      </c>
      <c r="E409" s="4" t="s">
        <v>347</v>
      </c>
      <c r="F409" s="4">
        <v>9213293</v>
      </c>
      <c r="G409" s="4" t="s">
        <v>59</v>
      </c>
      <c r="H409" s="4" t="s">
        <v>48</v>
      </c>
      <c r="I409" s="4" t="s">
        <v>555</v>
      </c>
      <c r="J409" s="5">
        <v>45992</v>
      </c>
      <c r="K409" s="4" t="s">
        <v>50</v>
      </c>
      <c r="L409" s="4" t="s">
        <v>51</v>
      </c>
      <c r="M409" s="6">
        <v>0</v>
      </c>
      <c r="N409" s="6">
        <v>26.08</v>
      </c>
      <c r="O409" s="4">
        <v>1</v>
      </c>
      <c r="P409" s="7">
        <v>1</v>
      </c>
      <c r="Q409" s="6">
        <v>26.08</v>
      </c>
      <c r="R409" s="4" t="s">
        <v>556</v>
      </c>
      <c r="S409" s="4" t="s">
        <v>807</v>
      </c>
      <c r="T409" s="4" t="s">
        <v>812</v>
      </c>
    </row>
    <row r="410" spans="1:20" s="4" customFormat="1" x14ac:dyDescent="0.25">
      <c r="A410" s="10">
        <v>936896337</v>
      </c>
      <c r="B410" s="10" t="str">
        <f t="shared" si="8"/>
        <v>9368963371</v>
      </c>
      <c r="C410" s="4" t="s">
        <v>565</v>
      </c>
      <c r="E410" s="4" t="s">
        <v>113</v>
      </c>
      <c r="F410" s="4">
        <v>20003537</v>
      </c>
      <c r="G410" s="4" t="s">
        <v>75</v>
      </c>
      <c r="H410" s="4" t="s">
        <v>48</v>
      </c>
      <c r="I410" s="4" t="s">
        <v>555</v>
      </c>
      <c r="J410" s="5">
        <v>45992</v>
      </c>
      <c r="K410" s="4" t="s">
        <v>50</v>
      </c>
      <c r="L410" s="4" t="s">
        <v>51</v>
      </c>
      <c r="M410" s="6">
        <v>0</v>
      </c>
      <c r="N410" s="6">
        <v>26.08</v>
      </c>
      <c r="O410" s="4">
        <v>1</v>
      </c>
      <c r="P410" s="7">
        <v>1</v>
      </c>
      <c r="Q410" s="6">
        <v>26.08</v>
      </c>
      <c r="R410" s="4" t="s">
        <v>556</v>
      </c>
      <c r="S410" s="4" t="s">
        <v>807</v>
      </c>
      <c r="T410" s="4" t="s">
        <v>812</v>
      </c>
    </row>
    <row r="411" spans="1:20" s="4" customFormat="1" x14ac:dyDescent="0.25">
      <c r="A411" s="10">
        <v>134193543</v>
      </c>
      <c r="B411" s="10" t="str">
        <f t="shared" si="8"/>
        <v>1341935431</v>
      </c>
      <c r="C411" s="4" t="s">
        <v>623</v>
      </c>
      <c r="E411" s="4" t="s">
        <v>624</v>
      </c>
      <c r="F411" s="4">
        <v>16633294</v>
      </c>
      <c r="G411" s="4" t="s">
        <v>109</v>
      </c>
      <c r="H411" s="4" t="s">
        <v>599</v>
      </c>
      <c r="I411" s="4" t="s">
        <v>555</v>
      </c>
      <c r="J411" s="5">
        <v>45931</v>
      </c>
      <c r="K411" s="4" t="s">
        <v>50</v>
      </c>
      <c r="L411" s="4" t="s">
        <v>51</v>
      </c>
      <c r="Q411" s="4">
        <v>-52.17</v>
      </c>
      <c r="S411" s="4" t="s">
        <v>807</v>
      </c>
      <c r="T411" s="4" t="s">
        <v>813</v>
      </c>
    </row>
    <row r="412" spans="1:20" s="18" customFormat="1" x14ac:dyDescent="0.25">
      <c r="A412" s="17" t="s">
        <v>796</v>
      </c>
      <c r="B412" s="17" t="str">
        <f t="shared" si="8"/>
        <v>A031629601</v>
      </c>
      <c r="C412" s="18" t="s">
        <v>587</v>
      </c>
      <c r="E412" s="18" t="s">
        <v>227</v>
      </c>
      <c r="F412" s="4">
        <v>6634327</v>
      </c>
      <c r="G412" s="18" t="s">
        <v>544</v>
      </c>
      <c r="H412" s="18" t="s">
        <v>48</v>
      </c>
      <c r="I412" s="18" t="s">
        <v>588</v>
      </c>
      <c r="J412" s="19">
        <v>45992</v>
      </c>
      <c r="K412" s="18" t="s">
        <v>50</v>
      </c>
      <c r="L412" s="18" t="s">
        <v>51</v>
      </c>
      <c r="M412" s="20">
        <v>0</v>
      </c>
      <c r="N412" s="20">
        <v>23.87</v>
      </c>
      <c r="O412" s="18">
        <v>1</v>
      </c>
      <c r="P412" s="21">
        <v>1</v>
      </c>
      <c r="Q412" s="20">
        <v>23.87</v>
      </c>
      <c r="S412" s="18" t="s">
        <v>831</v>
      </c>
    </row>
  </sheetData>
  <sortState xmlns:xlrd2="http://schemas.microsoft.com/office/spreadsheetml/2017/richdata2" ref="A2:AM411">
    <sortCondition ref="I2:I41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E626B-7787-4156-8ABE-B96DEB63866B}">
  <dimension ref="A1:X10"/>
  <sheetViews>
    <sheetView tabSelected="1" workbookViewId="0">
      <selection activeCell="A2" sqref="A2:XFD2"/>
    </sheetView>
  </sheetViews>
  <sheetFormatPr defaultRowHeight="15" x14ac:dyDescent="0.25"/>
  <cols>
    <col min="8" max="8" width="34.85546875" bestFit="1" customWidth="1"/>
    <col min="9" max="9" width="10.140625" bestFit="1" customWidth="1"/>
    <col min="19" max="19" width="17.7109375" bestFit="1" customWidth="1"/>
  </cols>
  <sheetData>
    <row r="1" spans="1:24" x14ac:dyDescent="0.25">
      <c r="A1" t="s">
        <v>8</v>
      </c>
      <c r="B1" t="s">
        <v>9</v>
      </c>
      <c r="C1" t="s">
        <v>10</v>
      </c>
      <c r="D1" t="s">
        <v>12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20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</row>
    <row r="2" spans="1:24" s="24" customFormat="1" x14ac:dyDescent="0.25">
      <c r="A2" s="23" t="s">
        <v>799</v>
      </c>
      <c r="B2" s="24" t="s">
        <v>592</v>
      </c>
      <c r="D2" s="24" t="s">
        <v>45</v>
      </c>
      <c r="F2" s="24" t="s">
        <v>142</v>
      </c>
      <c r="G2" s="24" t="s">
        <v>48</v>
      </c>
      <c r="H2" s="24" t="s">
        <v>593</v>
      </c>
      <c r="I2" s="25">
        <v>46023</v>
      </c>
      <c r="J2" s="24" t="s">
        <v>50</v>
      </c>
      <c r="K2" s="24" t="s">
        <v>51</v>
      </c>
      <c r="L2" s="26">
        <v>0</v>
      </c>
      <c r="M2" s="26">
        <v>9.83</v>
      </c>
      <c r="N2" s="24">
        <v>9</v>
      </c>
      <c r="O2" s="27">
        <v>1</v>
      </c>
      <c r="P2" s="26">
        <v>88.47</v>
      </c>
    </row>
    <row r="3" spans="1:24" s="12" customFormat="1" x14ac:dyDescent="0.25">
      <c r="A3" s="11"/>
      <c r="I3" s="13"/>
      <c r="L3" s="14"/>
      <c r="M3" s="14"/>
      <c r="O3" s="15"/>
      <c r="P3" s="14"/>
      <c r="V3" s="16"/>
      <c r="W3" s="16"/>
      <c r="X3" s="16"/>
    </row>
    <row r="4" spans="1:24" x14ac:dyDescent="0.25">
      <c r="V4" s="16"/>
      <c r="W4" s="16"/>
      <c r="X4" s="16"/>
    </row>
    <row r="5" spans="1:24" x14ac:dyDescent="0.25">
      <c r="V5" s="16"/>
      <c r="W5" s="16"/>
      <c r="X5" s="16"/>
    </row>
    <row r="6" spans="1:24" x14ac:dyDescent="0.25">
      <c r="V6" s="16"/>
      <c r="W6" s="16"/>
      <c r="X6" s="16"/>
    </row>
    <row r="9" spans="1:24" x14ac:dyDescent="0.25">
      <c r="J9" s="22"/>
    </row>
    <row r="10" spans="1:24" x14ac:dyDescent="0.25">
      <c r="J10" s="2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New Business Agent Statement - </vt:lpstr>
      <vt:lpstr>Sheet1</vt:lpstr>
      <vt:lpstr>on hold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</dc:creator>
  <cp:lastModifiedBy>Loula Irene Cabel</cp:lastModifiedBy>
  <dcterms:created xsi:type="dcterms:W3CDTF">2025-12-11T06:05:25Z</dcterms:created>
  <dcterms:modified xsi:type="dcterms:W3CDTF">2026-01-29T21:33:09Z</dcterms:modified>
</cp:coreProperties>
</file>