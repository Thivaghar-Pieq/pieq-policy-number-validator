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7-16-25 to 07-23-25\"/>
    </mc:Choice>
  </mc:AlternateContent>
  <xr:revisionPtr revIDLastSave="0" documentId="13_ncr:1_{60952C62-0861-4B30-95CB-80E7150C0448}" xr6:coauthVersionLast="47" xr6:coauthVersionMax="47" xr10:uidLastSave="{00000000-0000-0000-0000-000000000000}"/>
  <bookViews>
    <workbookView xWindow="28680" yWindow="-120" windowWidth="29040" windowHeight="16440" activeTab="1" xr2:uid="{6C995071-3E34-4270-A98B-6D957EEE4960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43" i="2" l="1"/>
  <c r="B42" i="2"/>
  <c r="B40" i="2"/>
  <c r="B39" i="2"/>
  <c r="B38" i="2"/>
  <c r="B37" i="2"/>
  <c r="B36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<sst xmlns="http://schemas.openxmlformats.org/spreadsheetml/2006/main" count="1014" uniqueCount="230">
  <si>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</si>
  <si>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</si>
  <si>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</si>
  <si>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</si>
  <si>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</si>
  <si>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</si>
  <si>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</si>
  <si>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</si>
  <si>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</si>
  <si>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</si>
  <si>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</si>
  <si>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</si>
  <si>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</si>
  <si>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</si>
  <si>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</si>
  <si>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</si>
  <si>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</si>
  <si>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</si>
  <si>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</si>
  <si>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</si>
  <si>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</si>
  <si>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</si>
  <si>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</si>
  <si>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</si>
  <si>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</si>
  <si>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</si>
  <si>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</si>
  <si>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</si>
  <si>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</si>
  <si>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</si>
  <si>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</si>
  <si>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</si>
  <si>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</si>
  <si>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</si>
  <si>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</si>
  <si>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</si>
  <si>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</si>
  <si>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</si>
  <si>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</si>
  <si>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</si>
  <si>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</si>
  <si>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</si>
  <si>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</si>
  <si>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</si>
  <si>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'00019922531K</t>
  </si>
  <si>
    <t>JAMES PRICE</t>
  </si>
  <si>
    <t>IL</t>
  </si>
  <si>
    <t>'043739</t>
  </si>
  <si>
    <t>ANDREA PETRUNGARO</t>
  </si>
  <si>
    <t>ACTIVE</t>
  </si>
  <si>
    <t>Humana MA 2019+ Level 15- 175/108</t>
  </si>
  <si>
    <t>Monthly</t>
  </si>
  <si>
    <t>AV</t>
  </si>
  <si>
    <t>'00023472220K</t>
  </si>
  <si>
    <t>PEGGY COULOM</t>
  </si>
  <si>
    <t>IN</t>
  </si>
  <si>
    <t>'043682</t>
  </si>
  <si>
    <t>GREGORY TEIPEL</t>
  </si>
  <si>
    <t>'00023473083K</t>
  </si>
  <si>
    <t>LAUREEN KIEMEL</t>
  </si>
  <si>
    <t>'00023473225KPDP</t>
  </si>
  <si>
    <t>LAURIE CALKA</t>
  </si>
  <si>
    <t>MD</t>
  </si>
  <si>
    <t>'043692</t>
  </si>
  <si>
    <t>ADAM RICHTER</t>
  </si>
  <si>
    <t>Humana PDP 2019+ Level 15- 15/0</t>
  </si>
  <si>
    <t>'00023475177K</t>
  </si>
  <si>
    <t>MARK JONES</t>
  </si>
  <si>
    <t>'045605</t>
  </si>
  <si>
    <t>GARY PORTUGAL</t>
  </si>
  <si>
    <t>'00023476665K</t>
  </si>
  <si>
    <t>STEVEN STASKY</t>
  </si>
  <si>
    <t>'045612</t>
  </si>
  <si>
    <t>ANTHONY HUNSBERGER</t>
  </si>
  <si>
    <t>'00023477245K</t>
  </si>
  <si>
    <t>TERRANCE FLANAGAN</t>
  </si>
  <si>
    <t>'041686</t>
  </si>
  <si>
    <t>DALE WALENGA</t>
  </si>
  <si>
    <t>'00023477906KPDP</t>
  </si>
  <si>
    <t>AMER SAJED</t>
  </si>
  <si>
    <t>PA</t>
  </si>
  <si>
    <t>'043689</t>
  </si>
  <si>
    <t>ANNE MARIE KOZACHECK</t>
  </si>
  <si>
    <t>'00023478266KPDP</t>
  </si>
  <si>
    <t>WANDA MYERS</t>
  </si>
  <si>
    <t>'045607</t>
  </si>
  <si>
    <t>PAMELA DEATON</t>
  </si>
  <si>
    <t>'00023482902K</t>
  </si>
  <si>
    <t>GREGG ARENSON</t>
  </si>
  <si>
    <t>'046013</t>
  </si>
  <si>
    <t>'00023483972K</t>
  </si>
  <si>
    <t>BONNIE WILSON</t>
  </si>
  <si>
    <t>FL</t>
  </si>
  <si>
    <t>'00023484838K</t>
  </si>
  <si>
    <t>HAROLD QUINN</t>
  </si>
  <si>
    <t>SC</t>
  </si>
  <si>
    <t>'00023485748K</t>
  </si>
  <si>
    <t>JANAN REYNA</t>
  </si>
  <si>
    <t>'045603</t>
  </si>
  <si>
    <t>ANDREW CHOI</t>
  </si>
  <si>
    <t>'00023486736K</t>
  </si>
  <si>
    <t>JOHN BOLTZ</t>
  </si>
  <si>
    <t>WI</t>
  </si>
  <si>
    <t>'043644</t>
  </si>
  <si>
    <t>TIMOTHY HODGMAN</t>
  </si>
  <si>
    <t>'00023486921K</t>
  </si>
  <si>
    <t>GEORGE LYNCH</t>
  </si>
  <si>
    <t>'045632</t>
  </si>
  <si>
    <t>BARRY SCHUMANN</t>
  </si>
  <si>
    <t>'00023486977K</t>
  </si>
  <si>
    <t>JACKI BIRCKELBAW</t>
  </si>
  <si>
    <t>'043705</t>
  </si>
  <si>
    <t>MICHAEL DUNAVANT</t>
  </si>
  <si>
    <t>'133726021</t>
  </si>
  <si>
    <t>CHRISTINE THOMPSON</t>
  </si>
  <si>
    <t>'043691</t>
  </si>
  <si>
    <t>MICHELLE MCCORKLE</t>
  </si>
  <si>
    <t>UHC MAPD Street payable to upline PA/CT- 2025 Replace</t>
  </si>
  <si>
    <t>5/12 PRORATE</t>
  </si>
  <si>
    <t>'133726021OV</t>
  </si>
  <si>
    <t>UHC MA Direct 2025 New Full</t>
  </si>
  <si>
    <t>'906934810</t>
  </si>
  <si>
    <t>JOHN FELL</t>
  </si>
  <si>
    <t>'045601</t>
  </si>
  <si>
    <t>CAROL FOLEY</t>
  </si>
  <si>
    <t>'906934810OV</t>
  </si>
  <si>
    <t>'939556187</t>
  </si>
  <si>
    <t>JOHN KLEINE</t>
  </si>
  <si>
    <t>'043748</t>
  </si>
  <si>
    <t>SCOTT FINE</t>
  </si>
  <si>
    <t>UHC MAPD Street payable to upline- 2025 Replace</t>
  </si>
  <si>
    <t>6/12 PRORATE</t>
  </si>
  <si>
    <t>'939556187OV</t>
  </si>
  <si>
    <t>UHC MA Direct 2024 New Full</t>
  </si>
  <si>
    <t>'950076252</t>
  </si>
  <si>
    <t>TEENA ROSS</t>
  </si>
  <si>
    <t>NA</t>
  </si>
  <si>
    <t>'950076252OV</t>
  </si>
  <si>
    <t>'971115971</t>
  </si>
  <si>
    <t>MIGUEL MIRANDA</t>
  </si>
  <si>
    <t>'043969</t>
  </si>
  <si>
    <t>STACEY PORTUGAL</t>
  </si>
  <si>
    <t>3/12 PRORATE</t>
  </si>
  <si>
    <t>'971115971OV</t>
  </si>
  <si>
    <t>'973050889</t>
  </si>
  <si>
    <t>GAYLE WASINACK</t>
  </si>
  <si>
    <t>'043637</t>
  </si>
  <si>
    <t>CHRISTIAN TAUGNER</t>
  </si>
  <si>
    <t>'973050889OV</t>
  </si>
  <si>
    <t>'986871451</t>
  </si>
  <si>
    <t>JOSE ALVAREZ</t>
  </si>
  <si>
    <t>TX</t>
  </si>
  <si>
    <t>'986871451OV</t>
  </si>
  <si>
    <t>UHC MA Direct 2025 New Initial Prorated</t>
  </si>
  <si>
    <t>CB</t>
  </si>
  <si>
    <t>'00009933847KACB</t>
  </si>
  <si>
    <t>GARY FUIT</t>
  </si>
  <si>
    <t>CHARGEBACK</t>
  </si>
  <si>
    <t>Humana MA 2019+ Level 15- 175/108 Repl 2024</t>
  </si>
  <si>
    <t>'00019509708KCB</t>
  </si>
  <si>
    <t>MARGARETE SCHLOEGEL</t>
  </si>
  <si>
    <t>'00020132266KCB</t>
  </si>
  <si>
    <t>VICTORIA DAUN</t>
  </si>
  <si>
    <t>'045638</t>
  </si>
  <si>
    <t>RICHARD YALE</t>
  </si>
  <si>
    <t>'00020310714KCB</t>
  </si>
  <si>
    <t>LENORE VICTOR</t>
  </si>
  <si>
    <t>'00020653268KACB</t>
  </si>
  <si>
    <t>PHYLLIS LAWSON-HIMMELBLAU</t>
  </si>
  <si>
    <t>'00020653356KACB</t>
  </si>
  <si>
    <t>BRUCE HIMMELBLAU</t>
  </si>
  <si>
    <t>'00021110606KCB</t>
  </si>
  <si>
    <t>FRANCES GORMAN</t>
  </si>
  <si>
    <t>'00022102658KACB</t>
  </si>
  <si>
    <t>KIRBY SCHNEIDER</t>
  </si>
  <si>
    <t>'045604</t>
  </si>
  <si>
    <t>JEFFREY HORN</t>
  </si>
  <si>
    <t>'00022102833KACB</t>
  </si>
  <si>
    <t>KATHY SCHNEIDER</t>
  </si>
  <si>
    <t>'00023257863KCB</t>
  </si>
  <si>
    <t>'975746907OVPC</t>
  </si>
  <si>
    <t>DARLINO FUSILERO</t>
  </si>
  <si>
    <t>'045613</t>
  </si>
  <si>
    <t>RICARDO SANTOS</t>
  </si>
  <si>
    <t>'975746907PC</t>
  </si>
  <si>
    <t>00019922531K</t>
  </si>
  <si>
    <t>00023472220K</t>
  </si>
  <si>
    <t>00023473083K</t>
  </si>
  <si>
    <t>00023473225KPDP</t>
  </si>
  <si>
    <t>00023475177K</t>
  </si>
  <si>
    <t>00023476665K</t>
  </si>
  <si>
    <t>00023477245K</t>
  </si>
  <si>
    <t>00023477906KPDP</t>
  </si>
  <si>
    <t>00023478266KPDP</t>
  </si>
  <si>
    <t>00023482902K</t>
  </si>
  <si>
    <t>00023483972K</t>
  </si>
  <si>
    <t>00023484838K</t>
  </si>
  <si>
    <t>00023485748K</t>
  </si>
  <si>
    <t>00023486736K</t>
  </si>
  <si>
    <t>00023486921K</t>
  </si>
  <si>
    <t>00023486977K</t>
  </si>
  <si>
    <t>133726021OV</t>
  </si>
  <si>
    <t>906934810OV</t>
  </si>
  <si>
    <t>939556187OV</t>
  </si>
  <si>
    <t>950076252OV</t>
  </si>
  <si>
    <t>971115971OV</t>
  </si>
  <si>
    <t>973050889OV</t>
  </si>
  <si>
    <t>986871451OV</t>
  </si>
  <si>
    <t>00009933847KACB</t>
  </si>
  <si>
    <t>00019509708KCB</t>
  </si>
  <si>
    <t>00020132266KCB</t>
  </si>
  <si>
    <t>00020310714KCB</t>
  </si>
  <si>
    <t>00020653268KACB</t>
  </si>
  <si>
    <t>00020653356KACB</t>
  </si>
  <si>
    <t>00021110606KCB</t>
  </si>
  <si>
    <t>00022102658KACB</t>
  </si>
  <si>
    <t>00022102833KACB</t>
  </si>
  <si>
    <t>00023257863KCB</t>
  </si>
  <si>
    <t>975746907OVPC</t>
  </si>
  <si>
    <t>975746907PC</t>
  </si>
  <si>
    <t>Humana MAPD OVR 2025</t>
  </si>
  <si>
    <t>Humana PDP 2025!</t>
  </si>
  <si>
    <t>UHC MAPD Ovr 2025</t>
  </si>
  <si>
    <t>UHC MAPD 2025*</t>
  </si>
  <si>
    <t>UHC 2025 CT, PA, DC *</t>
  </si>
  <si>
    <t>[%/$=313][prorate=6/12]</t>
  </si>
  <si>
    <t>[%/$=313][prorate=3/12]</t>
  </si>
  <si>
    <t>[%/$=313][prorate=5/12]</t>
  </si>
  <si>
    <t>[%/$=353][prorate=5/12]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</si>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</sst>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186D-0399-40C1-9DD9-72D9350FCF75}">
  <dimension ref="A1:AL43"/>
  <sheetViews>
    <sheetView topLeftCell="A4" workbookViewId="0">
      <selection activeCell="A4"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45861</v>
      </c>
      <c r="B2" s="1">
        <v>45861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45870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5651773</v>
      </c>
    </row>
    <row r="3" spans="1:38" x14ac:dyDescent="0.25">
      <c r="A3" s="1">
        <v>45861</v>
      </c>
      <c r="B3" s="1">
        <v>45861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45931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5651783</v>
      </c>
    </row>
    <row r="4" spans="1:38" x14ac:dyDescent="0.25">
      <c r="A4" s="1">
        <v>45861</v>
      </c>
      <c r="B4" s="1">
        <v>45861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46</v>
      </c>
      <c r="O4" t="s">
        <v>56</v>
      </c>
      <c r="P4" t="s">
        <v>57</v>
      </c>
      <c r="Q4" t="s">
        <v>49</v>
      </c>
      <c r="R4" t="s">
        <v>50</v>
      </c>
      <c r="S4" s="1">
        <v>45870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5651788</v>
      </c>
    </row>
    <row r="5" spans="1:38" x14ac:dyDescent="0.25">
      <c r="A5" s="1">
        <v>45861</v>
      </c>
      <c r="B5" s="1">
        <v>45861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60</v>
      </c>
      <c r="J5" t="s">
        <v>61</v>
      </c>
      <c r="M5" t="s">
        <v>62</v>
      </c>
      <c r="O5" t="s">
        <v>63</v>
      </c>
      <c r="P5" t="s">
        <v>64</v>
      </c>
      <c r="Q5" t="s">
        <v>49</v>
      </c>
      <c r="R5" t="s">
        <v>65</v>
      </c>
      <c r="S5" s="1">
        <v>45870</v>
      </c>
      <c r="U5" t="s">
        <v>51</v>
      </c>
      <c r="X5" t="s">
        <v>52</v>
      </c>
      <c r="Y5" s="2">
        <v>0</v>
      </c>
      <c r="Z5" s="2">
        <v>15</v>
      </c>
      <c r="AA5">
        <v>1</v>
      </c>
      <c r="AB5" s="3">
        <v>1</v>
      </c>
      <c r="AC5" s="2">
        <v>15</v>
      </c>
      <c r="AD5" s="3">
        <v>0</v>
      </c>
      <c r="AE5" s="2">
        <v>0</v>
      </c>
      <c r="AF5" s="2">
        <v>15</v>
      </c>
      <c r="AK5">
        <v>5651790</v>
      </c>
    </row>
    <row r="6" spans="1:38" x14ac:dyDescent="0.25">
      <c r="A6" s="1">
        <v>45861</v>
      </c>
      <c r="B6" s="1">
        <v>45861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66</v>
      </c>
      <c r="J6" t="s">
        <v>67</v>
      </c>
      <c r="M6" t="s">
        <v>46</v>
      </c>
      <c r="O6" t="s">
        <v>68</v>
      </c>
      <c r="P6" t="s">
        <v>69</v>
      </c>
      <c r="Q6" t="s">
        <v>49</v>
      </c>
      <c r="R6" t="s">
        <v>50</v>
      </c>
      <c r="S6" s="1">
        <v>45901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5651794</v>
      </c>
    </row>
    <row r="7" spans="1:38" x14ac:dyDescent="0.25">
      <c r="A7" s="1">
        <v>45861</v>
      </c>
      <c r="B7" s="1">
        <v>45861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70</v>
      </c>
      <c r="J7" t="s">
        <v>71</v>
      </c>
      <c r="M7" t="s">
        <v>46</v>
      </c>
      <c r="O7" t="s">
        <v>72</v>
      </c>
      <c r="P7" t="s">
        <v>73</v>
      </c>
      <c r="Q7" t="s">
        <v>49</v>
      </c>
      <c r="R7" t="s">
        <v>50</v>
      </c>
      <c r="S7" s="1">
        <v>45931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5651800</v>
      </c>
    </row>
    <row r="8" spans="1:38" x14ac:dyDescent="0.25">
      <c r="A8" s="1">
        <v>45861</v>
      </c>
      <c r="B8" s="1">
        <v>45861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74</v>
      </c>
      <c r="J8" t="s">
        <v>75</v>
      </c>
      <c r="M8" t="s">
        <v>46</v>
      </c>
      <c r="O8" t="s">
        <v>76</v>
      </c>
      <c r="P8" t="s">
        <v>77</v>
      </c>
      <c r="Q8" t="s">
        <v>49</v>
      </c>
      <c r="R8" t="s">
        <v>50</v>
      </c>
      <c r="S8" s="1">
        <v>45901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5651802</v>
      </c>
    </row>
    <row r="9" spans="1:38" x14ac:dyDescent="0.25">
      <c r="A9" s="1">
        <v>45861</v>
      </c>
      <c r="B9" s="1">
        <v>45861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78</v>
      </c>
      <c r="J9" t="s">
        <v>79</v>
      </c>
      <c r="M9" t="s">
        <v>80</v>
      </c>
      <c r="O9" t="s">
        <v>81</v>
      </c>
      <c r="P9" t="s">
        <v>82</v>
      </c>
      <c r="Q9" t="s">
        <v>49</v>
      </c>
      <c r="R9" t="s">
        <v>65</v>
      </c>
      <c r="S9" s="1">
        <v>45901</v>
      </c>
      <c r="U9" t="s">
        <v>51</v>
      </c>
      <c r="X9" t="s">
        <v>52</v>
      </c>
      <c r="Y9" s="2">
        <v>0</v>
      </c>
      <c r="Z9" s="2">
        <v>15</v>
      </c>
      <c r="AA9">
        <v>1</v>
      </c>
      <c r="AB9" s="3">
        <v>1</v>
      </c>
      <c r="AC9" s="2">
        <v>15</v>
      </c>
      <c r="AD9" s="3">
        <v>0</v>
      </c>
      <c r="AE9" s="2">
        <v>0</v>
      </c>
      <c r="AF9" s="2">
        <v>15</v>
      </c>
      <c r="AK9">
        <v>5651804</v>
      </c>
    </row>
    <row r="10" spans="1:38" x14ac:dyDescent="0.25">
      <c r="A10" s="1">
        <v>45861</v>
      </c>
      <c r="B10" s="1">
        <v>45861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83</v>
      </c>
      <c r="J10" t="s">
        <v>84</v>
      </c>
      <c r="M10" t="s">
        <v>46</v>
      </c>
      <c r="O10" t="s">
        <v>85</v>
      </c>
      <c r="P10" t="s">
        <v>86</v>
      </c>
      <c r="Q10" t="s">
        <v>49</v>
      </c>
      <c r="R10" t="s">
        <v>65</v>
      </c>
      <c r="S10" s="1">
        <v>45931</v>
      </c>
      <c r="U10" t="s">
        <v>51</v>
      </c>
      <c r="X10" t="s">
        <v>52</v>
      </c>
      <c r="Y10" s="2">
        <v>0</v>
      </c>
      <c r="Z10" s="2">
        <v>15</v>
      </c>
      <c r="AA10">
        <v>1</v>
      </c>
      <c r="AB10" s="3">
        <v>1</v>
      </c>
      <c r="AC10" s="2">
        <v>15</v>
      </c>
      <c r="AD10" s="3">
        <v>0</v>
      </c>
      <c r="AE10" s="2">
        <v>0</v>
      </c>
      <c r="AF10" s="2">
        <v>15</v>
      </c>
      <c r="AK10">
        <v>5651805</v>
      </c>
    </row>
    <row r="11" spans="1:38" x14ac:dyDescent="0.25">
      <c r="A11" s="1">
        <v>45861</v>
      </c>
      <c r="B11" s="1">
        <v>45861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87</v>
      </c>
      <c r="J11" t="s">
        <v>88</v>
      </c>
      <c r="M11" t="s">
        <v>46</v>
      </c>
      <c r="O11" t="s">
        <v>89</v>
      </c>
      <c r="P11" t="s">
        <v>88</v>
      </c>
      <c r="Q11" t="s">
        <v>49</v>
      </c>
      <c r="R11" t="s">
        <v>50</v>
      </c>
      <c r="S11" s="1">
        <v>45870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5651817</v>
      </c>
    </row>
    <row r="12" spans="1:38" x14ac:dyDescent="0.25">
      <c r="A12" s="1">
        <v>45861</v>
      </c>
      <c r="B12" s="1">
        <v>45861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90</v>
      </c>
      <c r="J12" t="s">
        <v>91</v>
      </c>
      <c r="M12" t="s">
        <v>92</v>
      </c>
      <c r="O12" t="s">
        <v>56</v>
      </c>
      <c r="P12" t="s">
        <v>57</v>
      </c>
      <c r="Q12" t="s">
        <v>49</v>
      </c>
      <c r="R12" t="s">
        <v>50</v>
      </c>
      <c r="S12" s="1">
        <v>45870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5651820</v>
      </c>
    </row>
    <row r="13" spans="1:38" x14ac:dyDescent="0.25">
      <c r="A13" s="1">
        <v>45861</v>
      </c>
      <c r="B13" s="1">
        <v>45861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93</v>
      </c>
      <c r="J13" t="s">
        <v>94</v>
      </c>
      <c r="M13" t="s">
        <v>95</v>
      </c>
      <c r="O13" t="s">
        <v>56</v>
      </c>
      <c r="P13" t="s">
        <v>57</v>
      </c>
      <c r="Q13" t="s">
        <v>49</v>
      </c>
      <c r="R13" t="s">
        <v>50</v>
      </c>
      <c r="S13" s="1">
        <v>45870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5651821</v>
      </c>
    </row>
    <row r="14" spans="1:38" x14ac:dyDescent="0.25">
      <c r="A14" s="1">
        <v>45861</v>
      </c>
      <c r="B14" s="1">
        <v>45861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96</v>
      </c>
      <c r="J14" t="s">
        <v>97</v>
      </c>
      <c r="M14" t="s">
        <v>46</v>
      </c>
      <c r="O14" t="s">
        <v>98</v>
      </c>
      <c r="P14" t="s">
        <v>99</v>
      </c>
      <c r="Q14" t="s">
        <v>49</v>
      </c>
      <c r="R14" t="s">
        <v>50</v>
      </c>
      <c r="S14" s="1">
        <v>45870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5651823</v>
      </c>
    </row>
    <row r="15" spans="1:38" x14ac:dyDescent="0.25">
      <c r="A15" s="1">
        <v>45861</v>
      </c>
      <c r="B15" s="1">
        <v>45861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100</v>
      </c>
      <c r="J15" t="s">
        <v>101</v>
      </c>
      <c r="M15" t="s">
        <v>102</v>
      </c>
      <c r="O15" t="s">
        <v>103</v>
      </c>
      <c r="P15" t="s">
        <v>104</v>
      </c>
      <c r="Q15" t="s">
        <v>49</v>
      </c>
      <c r="R15" t="s">
        <v>50</v>
      </c>
      <c r="S15" s="1">
        <v>45870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5651824</v>
      </c>
    </row>
    <row r="16" spans="1:38" x14ac:dyDescent="0.25">
      <c r="A16" s="1">
        <v>45861</v>
      </c>
      <c r="B16" s="1">
        <v>45861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105</v>
      </c>
      <c r="J16" t="s">
        <v>106</v>
      </c>
      <c r="M16" t="s">
        <v>46</v>
      </c>
      <c r="O16" t="s">
        <v>107</v>
      </c>
      <c r="P16" t="s">
        <v>108</v>
      </c>
      <c r="Q16" t="s">
        <v>49</v>
      </c>
      <c r="R16" t="s">
        <v>50</v>
      </c>
      <c r="S16" s="1">
        <v>45870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5651825</v>
      </c>
    </row>
    <row r="17" spans="1:38" x14ac:dyDescent="0.25">
      <c r="A17" s="1">
        <v>45861</v>
      </c>
      <c r="B17" s="1">
        <v>45861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109</v>
      </c>
      <c r="J17" t="s">
        <v>110</v>
      </c>
      <c r="M17" t="s">
        <v>46</v>
      </c>
      <c r="O17" t="s">
        <v>111</v>
      </c>
      <c r="P17" t="s">
        <v>112</v>
      </c>
      <c r="Q17" t="s">
        <v>49</v>
      </c>
      <c r="R17" t="s">
        <v>50</v>
      </c>
      <c r="S17" s="1">
        <v>45901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5651826</v>
      </c>
    </row>
    <row r="18" spans="1:38" x14ac:dyDescent="0.25">
      <c r="A18" s="1">
        <v>45861</v>
      </c>
      <c r="B18" s="1">
        <v>45861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113</v>
      </c>
      <c r="J18" t="s">
        <v>114</v>
      </c>
      <c r="M18" t="s">
        <v>80</v>
      </c>
      <c r="O18" t="s">
        <v>115</v>
      </c>
      <c r="P18" t="s">
        <v>116</v>
      </c>
      <c r="Q18" t="s">
        <v>49</v>
      </c>
      <c r="R18" t="s">
        <v>117</v>
      </c>
      <c r="S18" s="1">
        <v>45870</v>
      </c>
      <c r="U18" t="s">
        <v>51</v>
      </c>
      <c r="X18" t="s">
        <v>52</v>
      </c>
      <c r="Y18" s="2">
        <v>0</v>
      </c>
      <c r="Z18" s="2">
        <v>147.08000000000001</v>
      </c>
      <c r="AA18">
        <v>1</v>
      </c>
      <c r="AB18" s="3">
        <v>1</v>
      </c>
      <c r="AC18" s="2">
        <v>147.08000000000001</v>
      </c>
      <c r="AD18" s="3">
        <v>0</v>
      </c>
      <c r="AE18" s="2">
        <v>0</v>
      </c>
      <c r="AF18" s="2">
        <v>147.08000000000001</v>
      </c>
      <c r="AK18">
        <v>5652023</v>
      </c>
      <c r="AL18" t="s">
        <v>118</v>
      </c>
    </row>
    <row r="19" spans="1:38" x14ac:dyDescent="0.25">
      <c r="A19" s="1">
        <v>45861</v>
      </c>
      <c r="B19" s="1">
        <v>45861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119</v>
      </c>
      <c r="J19" t="s">
        <v>114</v>
      </c>
      <c r="M19" t="s">
        <v>80</v>
      </c>
      <c r="O19" t="s">
        <v>115</v>
      </c>
      <c r="P19" t="s">
        <v>116</v>
      </c>
      <c r="Q19" t="s">
        <v>49</v>
      </c>
      <c r="R19" t="s">
        <v>120</v>
      </c>
      <c r="S19" s="1">
        <v>45870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5652024</v>
      </c>
    </row>
    <row r="20" spans="1:38" x14ac:dyDescent="0.25">
      <c r="A20" s="1">
        <v>45861</v>
      </c>
      <c r="B20" s="1">
        <v>45861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121</v>
      </c>
      <c r="J20" t="s">
        <v>122</v>
      </c>
      <c r="M20" t="s">
        <v>80</v>
      </c>
      <c r="O20" t="s">
        <v>123</v>
      </c>
      <c r="P20" t="s">
        <v>124</v>
      </c>
      <c r="Q20" t="s">
        <v>49</v>
      </c>
      <c r="R20" t="s">
        <v>117</v>
      </c>
      <c r="S20" s="1">
        <v>45870</v>
      </c>
      <c r="U20" t="s">
        <v>51</v>
      </c>
      <c r="X20" t="s">
        <v>52</v>
      </c>
      <c r="Y20" s="2">
        <v>0</v>
      </c>
      <c r="Z20" s="2">
        <v>147.08000000000001</v>
      </c>
      <c r="AA20">
        <v>1</v>
      </c>
      <c r="AB20" s="3">
        <v>1</v>
      </c>
      <c r="AC20" s="2">
        <v>147.08000000000001</v>
      </c>
      <c r="AD20" s="3">
        <v>0</v>
      </c>
      <c r="AE20" s="2">
        <v>0</v>
      </c>
      <c r="AF20" s="2">
        <v>147.08000000000001</v>
      </c>
      <c r="AK20">
        <v>5652001</v>
      </c>
      <c r="AL20" t="s">
        <v>118</v>
      </c>
    </row>
    <row r="21" spans="1:38" x14ac:dyDescent="0.25">
      <c r="A21" s="1">
        <v>45861</v>
      </c>
      <c r="B21" s="1">
        <v>45861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125</v>
      </c>
      <c r="J21" t="s">
        <v>122</v>
      </c>
      <c r="M21" t="s">
        <v>80</v>
      </c>
      <c r="O21" t="s">
        <v>123</v>
      </c>
      <c r="P21" t="s">
        <v>124</v>
      </c>
      <c r="Q21" t="s">
        <v>49</v>
      </c>
      <c r="R21" t="s">
        <v>120</v>
      </c>
      <c r="S21" s="1">
        <v>45870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5652002</v>
      </c>
    </row>
    <row r="22" spans="1:38" x14ac:dyDescent="0.25">
      <c r="A22" s="1">
        <v>45861</v>
      </c>
      <c r="B22" s="1">
        <v>45861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126</v>
      </c>
      <c r="J22" t="s">
        <v>127</v>
      </c>
      <c r="M22" t="s">
        <v>46</v>
      </c>
      <c r="O22" t="s">
        <v>128</v>
      </c>
      <c r="P22" t="s">
        <v>129</v>
      </c>
      <c r="Q22" t="s">
        <v>49</v>
      </c>
      <c r="R22" t="s">
        <v>130</v>
      </c>
      <c r="S22" s="1">
        <v>45839</v>
      </c>
      <c r="U22" t="s">
        <v>51</v>
      </c>
      <c r="X22" t="s">
        <v>52</v>
      </c>
      <c r="Y22" s="2">
        <v>0</v>
      </c>
      <c r="Z22" s="2">
        <v>156.5</v>
      </c>
      <c r="AA22">
        <v>1</v>
      </c>
      <c r="AB22" s="3">
        <v>1</v>
      </c>
      <c r="AC22" s="2">
        <v>156.5</v>
      </c>
      <c r="AD22" s="3">
        <v>0</v>
      </c>
      <c r="AE22" s="2">
        <v>0</v>
      </c>
      <c r="AF22" s="2">
        <v>156.5</v>
      </c>
      <c r="AK22">
        <v>5651990</v>
      </c>
      <c r="AL22" t="s">
        <v>131</v>
      </c>
    </row>
    <row r="23" spans="1:38" x14ac:dyDescent="0.25">
      <c r="A23" s="1">
        <v>45861</v>
      </c>
      <c r="B23" s="1">
        <v>45861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132</v>
      </c>
      <c r="J23" t="s">
        <v>127</v>
      </c>
      <c r="M23" t="s">
        <v>46</v>
      </c>
      <c r="O23" t="s">
        <v>128</v>
      </c>
      <c r="P23" t="s">
        <v>129</v>
      </c>
      <c r="Q23" t="s">
        <v>49</v>
      </c>
      <c r="R23" t="s">
        <v>133</v>
      </c>
      <c r="S23" s="1">
        <v>45839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5651994</v>
      </c>
    </row>
    <row r="24" spans="1:38" x14ac:dyDescent="0.25">
      <c r="A24" s="1">
        <v>45861</v>
      </c>
      <c r="B24" s="1">
        <v>45861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134</v>
      </c>
      <c r="J24" t="s">
        <v>135</v>
      </c>
      <c r="M24" t="s">
        <v>136</v>
      </c>
      <c r="O24" t="s">
        <v>123</v>
      </c>
      <c r="P24" t="s">
        <v>124</v>
      </c>
      <c r="Q24" t="s">
        <v>49</v>
      </c>
      <c r="R24" t="s">
        <v>130</v>
      </c>
      <c r="S24" s="1">
        <v>45839</v>
      </c>
      <c r="U24" t="s">
        <v>51</v>
      </c>
      <c r="X24" t="s">
        <v>52</v>
      </c>
      <c r="Y24" s="2">
        <v>0</v>
      </c>
      <c r="Z24" s="2">
        <v>156.5</v>
      </c>
      <c r="AA24">
        <v>1</v>
      </c>
      <c r="AB24" s="3">
        <v>1</v>
      </c>
      <c r="AC24" s="2">
        <v>156.5</v>
      </c>
      <c r="AD24" s="3">
        <v>0</v>
      </c>
      <c r="AE24" s="2">
        <v>0</v>
      </c>
      <c r="AF24" s="2">
        <v>156.5</v>
      </c>
      <c r="AK24">
        <v>5651995</v>
      </c>
      <c r="AL24" t="s">
        <v>131</v>
      </c>
    </row>
    <row r="25" spans="1:38" x14ac:dyDescent="0.25">
      <c r="A25" s="1">
        <v>45861</v>
      </c>
      <c r="B25" s="1">
        <v>45861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137</v>
      </c>
      <c r="J25" t="s">
        <v>135</v>
      </c>
      <c r="M25" t="s">
        <v>136</v>
      </c>
      <c r="O25" t="s">
        <v>123</v>
      </c>
      <c r="P25" t="s">
        <v>124</v>
      </c>
      <c r="Q25" t="s">
        <v>49</v>
      </c>
      <c r="R25" t="s">
        <v>133</v>
      </c>
      <c r="S25" s="1">
        <v>45839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5652000</v>
      </c>
    </row>
    <row r="26" spans="1:38" x14ac:dyDescent="0.25">
      <c r="A26" s="1">
        <v>45861</v>
      </c>
      <c r="B26" s="1">
        <v>45861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138</v>
      </c>
      <c r="J26" t="s">
        <v>139</v>
      </c>
      <c r="M26" t="s">
        <v>46</v>
      </c>
      <c r="O26" t="s">
        <v>140</v>
      </c>
      <c r="P26" t="s">
        <v>141</v>
      </c>
      <c r="Q26" t="s">
        <v>49</v>
      </c>
      <c r="R26" t="s">
        <v>130</v>
      </c>
      <c r="S26" s="1">
        <v>45931</v>
      </c>
      <c r="U26" t="s">
        <v>51</v>
      </c>
      <c r="X26" t="s">
        <v>52</v>
      </c>
      <c r="Y26" s="2">
        <v>0</v>
      </c>
      <c r="Z26" s="2">
        <v>78.25</v>
      </c>
      <c r="AA26">
        <v>1</v>
      </c>
      <c r="AB26" s="3">
        <v>1</v>
      </c>
      <c r="AC26" s="2">
        <v>78.25</v>
      </c>
      <c r="AD26" s="3">
        <v>0</v>
      </c>
      <c r="AE26" s="2">
        <v>0</v>
      </c>
      <c r="AF26" s="2">
        <v>78.25</v>
      </c>
      <c r="AK26">
        <v>5652003</v>
      </c>
      <c r="AL26" t="s">
        <v>142</v>
      </c>
    </row>
    <row r="27" spans="1:38" x14ac:dyDescent="0.25">
      <c r="A27" s="1">
        <v>45861</v>
      </c>
      <c r="B27" s="1">
        <v>45861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143</v>
      </c>
      <c r="J27" t="s">
        <v>139</v>
      </c>
      <c r="M27" t="s">
        <v>46</v>
      </c>
      <c r="O27" t="s">
        <v>140</v>
      </c>
      <c r="P27" t="s">
        <v>141</v>
      </c>
      <c r="Q27" t="s">
        <v>49</v>
      </c>
      <c r="R27" t="s">
        <v>120</v>
      </c>
      <c r="S27" s="1">
        <v>45931</v>
      </c>
      <c r="U27" t="s">
        <v>51</v>
      </c>
      <c r="X27" t="s">
        <v>52</v>
      </c>
      <c r="Y27" s="2">
        <v>0</v>
      </c>
      <c r="Z27" s="2">
        <v>175</v>
      </c>
      <c r="AA27">
        <v>1</v>
      </c>
      <c r="AB27" s="3">
        <v>1</v>
      </c>
      <c r="AC27" s="2">
        <v>175</v>
      </c>
      <c r="AD27" s="3">
        <v>0</v>
      </c>
      <c r="AE27" s="2">
        <v>0</v>
      </c>
      <c r="AF27" s="2">
        <v>175</v>
      </c>
      <c r="AK27">
        <v>5652006</v>
      </c>
    </row>
    <row r="28" spans="1:38" x14ac:dyDescent="0.25">
      <c r="A28" s="1">
        <v>45861</v>
      </c>
      <c r="B28" s="1">
        <v>45861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144</v>
      </c>
      <c r="J28" t="s">
        <v>145</v>
      </c>
      <c r="M28" t="s">
        <v>102</v>
      </c>
      <c r="O28" t="s">
        <v>146</v>
      </c>
      <c r="P28" t="s">
        <v>147</v>
      </c>
      <c r="Q28" t="s">
        <v>49</v>
      </c>
      <c r="R28" t="s">
        <v>130</v>
      </c>
      <c r="S28" s="1">
        <v>45931</v>
      </c>
      <c r="U28" t="s">
        <v>51</v>
      </c>
      <c r="X28" t="s">
        <v>52</v>
      </c>
      <c r="Y28" s="2">
        <v>0</v>
      </c>
      <c r="Z28" s="2">
        <v>78.25</v>
      </c>
      <c r="AA28">
        <v>1</v>
      </c>
      <c r="AB28" s="3">
        <v>1</v>
      </c>
      <c r="AC28" s="2">
        <v>78.25</v>
      </c>
      <c r="AD28" s="3">
        <v>0</v>
      </c>
      <c r="AE28" s="2">
        <v>0</v>
      </c>
      <c r="AF28" s="2">
        <v>78.25</v>
      </c>
      <c r="AK28">
        <v>5652007</v>
      </c>
      <c r="AL28" t="s">
        <v>142</v>
      </c>
    </row>
    <row r="29" spans="1:38" x14ac:dyDescent="0.25">
      <c r="A29" s="1">
        <v>45861</v>
      </c>
      <c r="B29" s="1">
        <v>45861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148</v>
      </c>
      <c r="J29" t="s">
        <v>145</v>
      </c>
      <c r="M29" t="s">
        <v>102</v>
      </c>
      <c r="O29" t="s">
        <v>146</v>
      </c>
      <c r="P29" t="s">
        <v>147</v>
      </c>
      <c r="Q29" t="s">
        <v>49</v>
      </c>
      <c r="R29" t="s">
        <v>120</v>
      </c>
      <c r="S29" s="1">
        <v>45931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5652009</v>
      </c>
    </row>
    <row r="30" spans="1:38" x14ac:dyDescent="0.25">
      <c r="A30" s="1">
        <v>45861</v>
      </c>
      <c r="B30" s="1">
        <v>45861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149</v>
      </c>
      <c r="J30" t="s">
        <v>150</v>
      </c>
      <c r="M30" t="s">
        <v>151</v>
      </c>
      <c r="O30" t="s">
        <v>68</v>
      </c>
      <c r="P30" t="s">
        <v>69</v>
      </c>
      <c r="Q30" t="s">
        <v>49</v>
      </c>
      <c r="R30" t="s">
        <v>130</v>
      </c>
      <c r="S30" s="1">
        <v>45870</v>
      </c>
      <c r="U30" t="s">
        <v>51</v>
      </c>
      <c r="X30" t="s">
        <v>52</v>
      </c>
      <c r="Y30" s="2">
        <v>0</v>
      </c>
      <c r="Z30" s="2">
        <v>130.41999999999999</v>
      </c>
      <c r="AA30">
        <v>1</v>
      </c>
      <c r="AB30" s="3">
        <v>1</v>
      </c>
      <c r="AC30" s="2">
        <v>130.41999999999999</v>
      </c>
      <c r="AD30" s="3">
        <v>0</v>
      </c>
      <c r="AE30" s="2">
        <v>0</v>
      </c>
      <c r="AF30" s="2">
        <v>130.41999999999999</v>
      </c>
      <c r="AK30">
        <v>5652021</v>
      </c>
      <c r="AL30" t="s">
        <v>118</v>
      </c>
    </row>
    <row r="31" spans="1:38" x14ac:dyDescent="0.25">
      <c r="A31" s="1">
        <v>45861</v>
      </c>
      <c r="B31" s="1">
        <v>45861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152</v>
      </c>
      <c r="J31" t="s">
        <v>150</v>
      </c>
      <c r="M31" t="s">
        <v>151</v>
      </c>
      <c r="O31" t="s">
        <v>68</v>
      </c>
      <c r="P31" t="s">
        <v>69</v>
      </c>
      <c r="Q31" t="s">
        <v>49</v>
      </c>
      <c r="R31" t="s">
        <v>153</v>
      </c>
      <c r="S31" s="1">
        <v>45870</v>
      </c>
      <c r="U31" t="s">
        <v>51</v>
      </c>
      <c r="X31" t="s">
        <v>52</v>
      </c>
      <c r="Y31" s="2">
        <v>0</v>
      </c>
      <c r="Z31" s="2">
        <v>30</v>
      </c>
      <c r="AA31">
        <v>1</v>
      </c>
      <c r="AB31" s="3">
        <v>1</v>
      </c>
      <c r="AC31" s="2">
        <v>30</v>
      </c>
      <c r="AD31" s="3">
        <v>0</v>
      </c>
      <c r="AE31" s="2">
        <v>0</v>
      </c>
      <c r="AF31" s="2">
        <v>30</v>
      </c>
      <c r="AK31">
        <v>5652022</v>
      </c>
      <c r="AL31" t="s">
        <v>118</v>
      </c>
    </row>
    <row r="32" spans="1:38" x14ac:dyDescent="0.25">
      <c r="A32" s="1">
        <v>45861</v>
      </c>
      <c r="B32" s="1">
        <v>45861</v>
      </c>
      <c r="C32" t="s">
        <v>154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155</v>
      </c>
      <c r="J32" t="s">
        <v>156</v>
      </c>
      <c r="M32" t="s">
        <v>136</v>
      </c>
      <c r="O32" t="s">
        <v>72</v>
      </c>
      <c r="P32" t="s">
        <v>73</v>
      </c>
      <c r="Q32" t="s">
        <v>157</v>
      </c>
      <c r="R32" t="s">
        <v>158</v>
      </c>
      <c r="S32" s="1">
        <v>45658</v>
      </c>
      <c r="U32" t="s">
        <v>51</v>
      </c>
      <c r="X32" t="s">
        <v>52</v>
      </c>
      <c r="AF32" s="2">
        <v>108</v>
      </c>
      <c r="AG32" s="2">
        <v>0</v>
      </c>
      <c r="AJ32" s="2">
        <v>108</v>
      </c>
    </row>
    <row r="33" spans="1:36" x14ac:dyDescent="0.25">
      <c r="A33" s="1">
        <v>45861</v>
      </c>
      <c r="B33" s="1">
        <v>45861</v>
      </c>
      <c r="C33" t="s">
        <v>154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159</v>
      </c>
      <c r="J33" t="s">
        <v>160</v>
      </c>
      <c r="M33" t="s">
        <v>136</v>
      </c>
      <c r="O33" t="s">
        <v>111</v>
      </c>
      <c r="P33" t="s">
        <v>112</v>
      </c>
      <c r="Q33" t="s">
        <v>157</v>
      </c>
      <c r="R33" t="s">
        <v>158</v>
      </c>
      <c r="S33" s="1">
        <v>45658</v>
      </c>
      <c r="U33" t="s">
        <v>51</v>
      </c>
      <c r="X33" t="s">
        <v>52</v>
      </c>
      <c r="AF33" s="2">
        <v>108</v>
      </c>
      <c r="AG33" s="2">
        <v>0</v>
      </c>
      <c r="AJ33" s="2">
        <v>108</v>
      </c>
    </row>
    <row r="34" spans="1:36" x14ac:dyDescent="0.25">
      <c r="A34" s="1">
        <v>45861</v>
      </c>
      <c r="B34" s="1">
        <v>45861</v>
      </c>
      <c r="C34" t="s">
        <v>154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161</v>
      </c>
      <c r="J34" t="s">
        <v>162</v>
      </c>
      <c r="M34" t="s">
        <v>136</v>
      </c>
      <c r="O34" t="s">
        <v>163</v>
      </c>
      <c r="P34" t="s">
        <v>164</v>
      </c>
      <c r="Q34" t="s">
        <v>157</v>
      </c>
      <c r="R34" t="s">
        <v>158</v>
      </c>
      <c r="S34" s="1">
        <v>45689</v>
      </c>
      <c r="U34" t="s">
        <v>51</v>
      </c>
      <c r="X34" t="s">
        <v>52</v>
      </c>
      <c r="AF34" s="2">
        <v>108</v>
      </c>
      <c r="AG34" s="2">
        <v>0</v>
      </c>
      <c r="AJ34" s="2">
        <v>108</v>
      </c>
    </row>
    <row r="35" spans="1:36" x14ac:dyDescent="0.25">
      <c r="A35" s="1">
        <v>45861</v>
      </c>
      <c r="B35" s="1">
        <v>45861</v>
      </c>
      <c r="C35" t="s">
        <v>154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165</v>
      </c>
      <c r="J35" t="s">
        <v>166</v>
      </c>
      <c r="M35" t="s">
        <v>136</v>
      </c>
      <c r="O35" t="s">
        <v>163</v>
      </c>
      <c r="P35" t="s">
        <v>164</v>
      </c>
      <c r="Q35" t="s">
        <v>157</v>
      </c>
      <c r="R35" t="s">
        <v>158</v>
      </c>
      <c r="S35" s="1">
        <v>45689</v>
      </c>
      <c r="U35" t="s">
        <v>51</v>
      </c>
      <c r="X35" t="s">
        <v>52</v>
      </c>
      <c r="AF35" s="2">
        <v>108</v>
      </c>
      <c r="AG35" s="2">
        <v>0</v>
      </c>
      <c r="AJ35" s="2">
        <v>108</v>
      </c>
    </row>
    <row r="36" spans="1:36" x14ac:dyDescent="0.25">
      <c r="A36" s="1">
        <v>45861</v>
      </c>
      <c r="B36" s="1">
        <v>45861</v>
      </c>
      <c r="C36" t="s">
        <v>154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167</v>
      </c>
      <c r="J36" t="s">
        <v>168</v>
      </c>
      <c r="M36" t="s">
        <v>136</v>
      </c>
      <c r="O36" t="s">
        <v>163</v>
      </c>
      <c r="P36" t="s">
        <v>164</v>
      </c>
      <c r="Q36" t="s">
        <v>157</v>
      </c>
      <c r="R36" t="s">
        <v>158</v>
      </c>
      <c r="S36" s="1">
        <v>45658</v>
      </c>
      <c r="U36" t="s">
        <v>51</v>
      </c>
      <c r="X36" t="s">
        <v>52</v>
      </c>
      <c r="AF36" s="2">
        <v>108</v>
      </c>
      <c r="AG36" s="2">
        <v>0</v>
      </c>
      <c r="AJ36" s="2">
        <v>108</v>
      </c>
    </row>
    <row r="37" spans="1:36" x14ac:dyDescent="0.25">
      <c r="A37" s="1">
        <v>45861</v>
      </c>
      <c r="B37" s="1">
        <v>45861</v>
      </c>
      <c r="C37" t="s">
        <v>154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169</v>
      </c>
      <c r="J37" t="s">
        <v>170</v>
      </c>
      <c r="M37" t="s">
        <v>136</v>
      </c>
      <c r="O37" t="s">
        <v>163</v>
      </c>
      <c r="P37" t="s">
        <v>164</v>
      </c>
      <c r="Q37" t="s">
        <v>157</v>
      </c>
      <c r="R37" t="s">
        <v>158</v>
      </c>
      <c r="S37" s="1">
        <v>45658</v>
      </c>
      <c r="U37" t="s">
        <v>51</v>
      </c>
      <c r="X37" t="s">
        <v>52</v>
      </c>
      <c r="AF37" s="2">
        <v>108</v>
      </c>
      <c r="AG37" s="2">
        <v>0</v>
      </c>
      <c r="AJ37" s="2">
        <v>108</v>
      </c>
    </row>
    <row r="38" spans="1:36" x14ac:dyDescent="0.25">
      <c r="A38" s="1">
        <v>45861</v>
      </c>
      <c r="B38" s="1">
        <v>45861</v>
      </c>
      <c r="C38" t="s">
        <v>154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171</v>
      </c>
      <c r="J38" t="s">
        <v>172</v>
      </c>
      <c r="M38" t="s">
        <v>136</v>
      </c>
      <c r="O38" t="s">
        <v>123</v>
      </c>
      <c r="P38" t="s">
        <v>124</v>
      </c>
      <c r="Q38" t="s">
        <v>157</v>
      </c>
      <c r="R38" t="s">
        <v>158</v>
      </c>
      <c r="S38" s="1">
        <v>45658</v>
      </c>
      <c r="U38" t="s">
        <v>51</v>
      </c>
      <c r="X38" t="s">
        <v>52</v>
      </c>
      <c r="AF38" s="2">
        <v>108</v>
      </c>
      <c r="AG38" s="2">
        <v>0</v>
      </c>
      <c r="AJ38" s="2">
        <v>108</v>
      </c>
    </row>
    <row r="39" spans="1:36" x14ac:dyDescent="0.25">
      <c r="A39" s="1">
        <v>45861</v>
      </c>
      <c r="B39" s="1">
        <v>45861</v>
      </c>
      <c r="C39" t="s">
        <v>154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173</v>
      </c>
      <c r="J39" t="s">
        <v>174</v>
      </c>
      <c r="M39" t="s">
        <v>136</v>
      </c>
      <c r="O39" t="s">
        <v>175</v>
      </c>
      <c r="P39" t="s">
        <v>176</v>
      </c>
      <c r="Q39" t="s">
        <v>157</v>
      </c>
      <c r="R39" t="s">
        <v>158</v>
      </c>
      <c r="S39" s="1">
        <v>45658</v>
      </c>
      <c r="U39" t="s">
        <v>51</v>
      </c>
      <c r="X39" t="s">
        <v>52</v>
      </c>
      <c r="AF39" s="2">
        <v>108</v>
      </c>
      <c r="AG39" s="2">
        <v>0</v>
      </c>
      <c r="AJ39" s="2">
        <v>108</v>
      </c>
    </row>
    <row r="40" spans="1:36" x14ac:dyDescent="0.25">
      <c r="A40" s="1">
        <v>45861</v>
      </c>
      <c r="B40" s="1">
        <v>45861</v>
      </c>
      <c r="C40" t="s">
        <v>154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177</v>
      </c>
      <c r="J40" t="s">
        <v>178</v>
      </c>
      <c r="M40" t="s">
        <v>136</v>
      </c>
      <c r="O40" t="s">
        <v>175</v>
      </c>
      <c r="P40" t="s">
        <v>176</v>
      </c>
      <c r="Q40" t="s">
        <v>157</v>
      </c>
      <c r="R40" t="s">
        <v>158</v>
      </c>
      <c r="S40" s="1">
        <v>45658</v>
      </c>
      <c r="U40" t="s">
        <v>51</v>
      </c>
      <c r="X40" t="s">
        <v>52</v>
      </c>
      <c r="AF40" s="2">
        <v>108</v>
      </c>
      <c r="AG40" s="2">
        <v>0</v>
      </c>
      <c r="AJ40" s="2">
        <v>108</v>
      </c>
    </row>
    <row r="41" spans="1:36" x14ac:dyDescent="0.25">
      <c r="A41" s="1">
        <v>45861</v>
      </c>
      <c r="B41" s="1">
        <v>45861</v>
      </c>
      <c r="C41" t="s">
        <v>154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179</v>
      </c>
      <c r="J41" t="s">
        <v>135</v>
      </c>
      <c r="M41" t="s">
        <v>95</v>
      </c>
      <c r="O41" t="s">
        <v>123</v>
      </c>
      <c r="P41" t="s">
        <v>124</v>
      </c>
      <c r="Q41" t="s">
        <v>157</v>
      </c>
      <c r="R41" t="s">
        <v>158</v>
      </c>
      <c r="S41" s="1">
        <v>45839</v>
      </c>
      <c r="U41" t="s">
        <v>51</v>
      </c>
      <c r="X41" t="s">
        <v>52</v>
      </c>
      <c r="AF41" s="2">
        <v>108</v>
      </c>
      <c r="AG41" s="2">
        <v>0</v>
      </c>
      <c r="AJ41" s="2">
        <v>108</v>
      </c>
    </row>
    <row r="42" spans="1:36" x14ac:dyDescent="0.25">
      <c r="A42" s="1">
        <v>45861</v>
      </c>
      <c r="B42" s="1">
        <v>45861</v>
      </c>
      <c r="C42" t="s">
        <v>154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180</v>
      </c>
      <c r="J42" t="s">
        <v>181</v>
      </c>
      <c r="M42" t="s">
        <v>46</v>
      </c>
      <c r="O42" t="s">
        <v>182</v>
      </c>
      <c r="P42" t="s">
        <v>183</v>
      </c>
      <c r="Q42" t="s">
        <v>157</v>
      </c>
      <c r="R42" t="s">
        <v>133</v>
      </c>
      <c r="S42" s="1">
        <v>45717</v>
      </c>
      <c r="U42" t="s">
        <v>51</v>
      </c>
      <c r="X42" t="s">
        <v>52</v>
      </c>
      <c r="AF42" s="2">
        <v>175</v>
      </c>
      <c r="AG42" s="2">
        <v>0</v>
      </c>
      <c r="AJ42" s="2">
        <v>93.36</v>
      </c>
    </row>
    <row r="43" spans="1:36" x14ac:dyDescent="0.25">
      <c r="A43" s="1">
        <v>45861</v>
      </c>
      <c r="B43" s="1">
        <v>45861</v>
      </c>
      <c r="C43" t="s">
        <v>154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184</v>
      </c>
      <c r="J43" t="s">
        <v>181</v>
      </c>
      <c r="M43" t="s">
        <v>46</v>
      </c>
      <c r="O43" t="s">
        <v>182</v>
      </c>
      <c r="P43" t="s">
        <v>183</v>
      </c>
      <c r="Q43" t="s">
        <v>157</v>
      </c>
      <c r="R43" t="s">
        <v>130</v>
      </c>
      <c r="S43" s="1">
        <v>45717</v>
      </c>
      <c r="U43" t="s">
        <v>51</v>
      </c>
      <c r="X43" t="s">
        <v>52</v>
      </c>
      <c r="AF43" s="2">
        <v>260.83</v>
      </c>
      <c r="AG43" s="2">
        <v>0</v>
      </c>
      <c r="AJ43" s="2">
        <v>139.13999999999999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8C32-FAE5-4A02-8943-25718E7BDA6F}">
  <dimension ref="A1:P43"/>
  <sheetViews>
    <sheetView tabSelected="1" topLeftCell="A13" workbookViewId="0">
      <selection activeCell="P2" sqref="P2:P43"/>
    </sheetView>
  </sheetViews>
  <sheetFormatPr defaultRowHeight="15" x14ac:dyDescent="0.25"/>
  <cols>
    <col min="1" max="1" width="16.85546875" style="5" bestFit="1" customWidth="1"/>
    <col min="2" max="2" width="16.85546875" style="5" customWidth="1"/>
    <col min="3" max="3" width="29" bestFit="1" customWidth="1"/>
    <col min="6" max="6" width="23.7109375" bestFit="1" customWidth="1"/>
    <col min="8" max="8" width="52.140625" bestFit="1" customWidth="1"/>
    <col min="14" max="14" width="16.140625" bestFit="1" customWidth="1"/>
    <col min="15" max="15" width="23.28515625" bestFit="1" customWidth="1"/>
  </cols>
  <sheetData>
    <row r="1" spans="1:15" x14ac:dyDescent="0.25">
      <c r="A1" s="5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25</v>
      </c>
      <c r="K1" t="s">
        <v>26</v>
      </c>
      <c r="L1" t="s">
        <v>27</v>
      </c>
      <c r="M1" t="s">
        <v>28</v>
      </c>
      <c r="N1" t="s">
        <v>37</v>
      </c>
    </row>
    <row r="2" spans="1:15" x14ac:dyDescent="0.25">
      <c r="A2" s="5" t="s">
        <v>185</v>
      </c>
      <c r="B2" s="5" t="str">
        <f>CONCATENATE(A2,0)</f>
        <v>00019922531K0</v>
      </c>
      <c r="C2" t="s">
        <v>45</v>
      </c>
      <c r="D2" t="s">
        <v>46</v>
      </c>
      <c r="E2">
        <v>20411454</v>
      </c>
      <c r="F2" t="s">
        <v>229</v>
      </c>
      <c r="G2" t="s">
        <v>49</v>
      </c>
      <c r="H2" t="s">
        <v>50</v>
      </c>
      <c r="I2" s="1">
        <v>45870</v>
      </c>
      <c r="J2" s="2">
        <v>175</v>
      </c>
      <c r="K2">
        <v>1</v>
      </c>
      <c r="L2" s="3">
        <v>1</v>
      </c>
      <c r="M2" s="2">
        <v>175</v>
      </c>
      <c r="O2" t="s">
        <v>220</v>
      </c>
    </row>
    <row r="3" spans="1:15" x14ac:dyDescent="0.25">
      <c r="A3" s="5" t="s">
        <v>186</v>
      </c>
      <c r="B3" s="5" t="str">
        <f t="shared" ref="B3:B14" si="0">CONCATENATE(A3,0)</f>
        <v>00023472220K0</v>
      </c>
      <c r="C3" t="s">
        <v>54</v>
      </c>
      <c r="D3" t="s">
        <v>55</v>
      </c>
      <c r="E3">
        <v>20411454</v>
      </c>
      <c r="F3" t="s">
        <v>229</v>
      </c>
      <c r="G3" t="s">
        <v>49</v>
      </c>
      <c r="H3" t="s">
        <v>50</v>
      </c>
      <c r="I3" s="1">
        <v>45931</v>
      </c>
      <c r="J3" s="2">
        <v>175</v>
      </c>
      <c r="K3">
        <v>1</v>
      </c>
      <c r="L3" s="3">
        <v>1</v>
      </c>
      <c r="M3" s="2">
        <v>175</v>
      </c>
      <c r="O3" t="s">
        <v>220</v>
      </c>
    </row>
    <row r="4" spans="1:15" x14ac:dyDescent="0.25">
      <c r="A4" s="5" t="s">
        <v>187</v>
      </c>
      <c r="B4" s="5" t="str">
        <f t="shared" si="0"/>
        <v>00023473083K0</v>
      </c>
      <c r="C4" t="s">
        <v>59</v>
      </c>
      <c r="D4" t="s">
        <v>46</v>
      </c>
      <c r="E4">
        <v>20411454</v>
      </c>
      <c r="F4" t="s">
        <v>229</v>
      </c>
      <c r="G4" t="s">
        <v>49</v>
      </c>
      <c r="H4" t="s">
        <v>50</v>
      </c>
      <c r="I4" s="1">
        <v>45870</v>
      </c>
      <c r="J4" s="2">
        <v>175</v>
      </c>
      <c r="K4">
        <v>1</v>
      </c>
      <c r="L4" s="3">
        <v>1</v>
      </c>
      <c r="M4" s="2">
        <v>175</v>
      </c>
      <c r="O4" t="s">
        <v>220</v>
      </c>
    </row>
    <row r="5" spans="1:15" x14ac:dyDescent="0.25">
      <c r="A5" s="5" t="s">
        <v>189</v>
      </c>
      <c r="B5" s="5" t="str">
        <f t="shared" si="0"/>
        <v>00023475177K0</v>
      </c>
      <c r="C5" t="s">
        <v>67</v>
      </c>
      <c r="D5" t="s">
        <v>46</v>
      </c>
      <c r="E5">
        <v>20411454</v>
      </c>
      <c r="F5" t="s">
        <v>229</v>
      </c>
      <c r="G5" t="s">
        <v>49</v>
      </c>
      <c r="H5" t="s">
        <v>50</v>
      </c>
      <c r="I5" s="1">
        <v>45901</v>
      </c>
      <c r="J5" s="2">
        <v>175</v>
      </c>
      <c r="K5">
        <v>1</v>
      </c>
      <c r="L5" s="3">
        <v>1</v>
      </c>
      <c r="M5" s="2">
        <v>175</v>
      </c>
      <c r="O5" t="s">
        <v>220</v>
      </c>
    </row>
    <row r="6" spans="1:15" x14ac:dyDescent="0.25">
      <c r="A6" s="5" t="s">
        <v>190</v>
      </c>
      <c r="B6" s="5" t="str">
        <f t="shared" si="0"/>
        <v>00023476665K0</v>
      </c>
      <c r="C6" t="s">
        <v>71</v>
      </c>
      <c r="D6" t="s">
        <v>46</v>
      </c>
      <c r="E6">
        <v>20411454</v>
      </c>
      <c r="F6" t="s">
        <v>229</v>
      </c>
      <c r="G6" t="s">
        <v>49</v>
      </c>
      <c r="H6" t="s">
        <v>50</v>
      </c>
      <c r="I6" s="1">
        <v>45931</v>
      </c>
      <c r="J6" s="2">
        <v>175</v>
      </c>
      <c r="K6">
        <v>1</v>
      </c>
      <c r="L6" s="3">
        <v>1</v>
      </c>
      <c r="M6" s="2">
        <v>175</v>
      </c>
      <c r="O6" t="s">
        <v>220</v>
      </c>
    </row>
    <row r="7" spans="1:15" x14ac:dyDescent="0.25">
      <c r="A7" s="5" t="s">
        <v>191</v>
      </c>
      <c r="B7" s="5" t="str">
        <f t="shared" si="0"/>
        <v>00023477245K0</v>
      </c>
      <c r="C7" t="s">
        <v>75</v>
      </c>
      <c r="D7" t="s">
        <v>46</v>
      </c>
      <c r="E7">
        <v>20411454</v>
      </c>
      <c r="F7" t="s">
        <v>229</v>
      </c>
      <c r="G7" t="s">
        <v>49</v>
      </c>
      <c r="H7" t="s">
        <v>50</v>
      </c>
      <c r="I7" s="1">
        <v>45901</v>
      </c>
      <c r="J7" s="2">
        <v>175</v>
      </c>
      <c r="K7">
        <v>1</v>
      </c>
      <c r="L7" s="3">
        <v>1</v>
      </c>
      <c r="M7" s="2">
        <v>175</v>
      </c>
      <c r="O7" t="s">
        <v>220</v>
      </c>
    </row>
    <row r="8" spans="1:15" x14ac:dyDescent="0.25">
      <c r="A8" s="5" t="s">
        <v>194</v>
      </c>
      <c r="B8" s="5" t="str">
        <f t="shared" si="0"/>
        <v>00023482902K0</v>
      </c>
      <c r="C8" t="s">
        <v>88</v>
      </c>
      <c r="D8" t="s">
        <v>46</v>
      </c>
      <c r="E8">
        <v>20411454</v>
      </c>
      <c r="F8" t="s">
        <v>229</v>
      </c>
      <c r="G8" t="s">
        <v>49</v>
      </c>
      <c r="H8" t="s">
        <v>50</v>
      </c>
      <c r="I8" s="1">
        <v>45870</v>
      </c>
      <c r="J8" s="2">
        <v>175</v>
      </c>
      <c r="K8">
        <v>1</v>
      </c>
      <c r="L8" s="3">
        <v>1</v>
      </c>
      <c r="M8" s="2">
        <v>175</v>
      </c>
      <c r="O8" t="s">
        <v>220</v>
      </c>
    </row>
    <row r="9" spans="1:15" x14ac:dyDescent="0.25">
      <c r="A9" s="5" t="s">
        <v>195</v>
      </c>
      <c r="B9" s="5" t="str">
        <f t="shared" si="0"/>
        <v>00023483972K0</v>
      </c>
      <c r="C9" t="s">
        <v>91</v>
      </c>
      <c r="D9" t="s">
        <v>92</v>
      </c>
      <c r="E9">
        <v>20411454</v>
      </c>
      <c r="F9" t="s">
        <v>229</v>
      </c>
      <c r="G9" t="s">
        <v>49</v>
      </c>
      <c r="H9" t="s">
        <v>50</v>
      </c>
      <c r="I9" s="1">
        <v>45870</v>
      </c>
      <c r="J9" s="2">
        <v>175</v>
      </c>
      <c r="K9">
        <v>1</v>
      </c>
      <c r="L9" s="3">
        <v>1</v>
      </c>
      <c r="M9" s="2">
        <v>175</v>
      </c>
      <c r="O9" t="s">
        <v>220</v>
      </c>
    </row>
    <row r="10" spans="1:15" x14ac:dyDescent="0.25">
      <c r="A10" s="5" t="s">
        <v>196</v>
      </c>
      <c r="B10" s="5" t="str">
        <f t="shared" si="0"/>
        <v>00023484838K0</v>
      </c>
      <c r="C10" t="s">
        <v>94</v>
      </c>
      <c r="D10" t="s">
        <v>95</v>
      </c>
      <c r="E10">
        <v>20411454</v>
      </c>
      <c r="F10" t="s">
        <v>229</v>
      </c>
      <c r="G10" t="s">
        <v>49</v>
      </c>
      <c r="H10" t="s">
        <v>50</v>
      </c>
      <c r="I10" s="1">
        <v>45870</v>
      </c>
      <c r="J10" s="2">
        <v>175</v>
      </c>
      <c r="K10">
        <v>1</v>
      </c>
      <c r="L10" s="3">
        <v>1</v>
      </c>
      <c r="M10" s="2">
        <v>175</v>
      </c>
      <c r="O10" t="s">
        <v>220</v>
      </c>
    </row>
    <row r="11" spans="1:15" x14ac:dyDescent="0.25">
      <c r="A11" s="5" t="s">
        <v>197</v>
      </c>
      <c r="B11" s="5" t="str">
        <f t="shared" si="0"/>
        <v>00023485748K0</v>
      </c>
      <c r="C11" t="s">
        <v>97</v>
      </c>
      <c r="D11" t="s">
        <v>46</v>
      </c>
      <c r="E11">
        <v>20411454</v>
      </c>
      <c r="F11" t="s">
        <v>229</v>
      </c>
      <c r="G11" t="s">
        <v>49</v>
      </c>
      <c r="H11" t="s">
        <v>50</v>
      </c>
      <c r="I11" s="1">
        <v>45870</v>
      </c>
      <c r="J11" s="2">
        <v>175</v>
      </c>
      <c r="K11">
        <v>1</v>
      </c>
      <c r="L11" s="3">
        <v>1</v>
      </c>
      <c r="M11" s="2">
        <v>175</v>
      </c>
      <c r="O11" t="s">
        <v>220</v>
      </c>
    </row>
    <row r="12" spans="1:15" x14ac:dyDescent="0.25">
      <c r="A12" s="5" t="s">
        <v>198</v>
      </c>
      <c r="B12" s="5" t="str">
        <f t="shared" si="0"/>
        <v>00023486736K0</v>
      </c>
      <c r="C12" t="s">
        <v>101</v>
      </c>
      <c r="D12" t="s">
        <v>102</v>
      </c>
      <c r="E12">
        <v>20411454</v>
      </c>
      <c r="F12" t="s">
        <v>229</v>
      </c>
      <c r="G12" t="s">
        <v>49</v>
      </c>
      <c r="H12" t="s">
        <v>50</v>
      </c>
      <c r="I12" s="1">
        <v>45870</v>
      </c>
      <c r="J12" s="2">
        <v>175</v>
      </c>
      <c r="K12">
        <v>1</v>
      </c>
      <c r="L12" s="3">
        <v>1</v>
      </c>
      <c r="M12" s="2">
        <v>175</v>
      </c>
      <c r="O12" t="s">
        <v>220</v>
      </c>
    </row>
    <row r="13" spans="1:15" x14ac:dyDescent="0.25">
      <c r="A13" s="5" t="s">
        <v>199</v>
      </c>
      <c r="B13" s="5" t="str">
        <f t="shared" si="0"/>
        <v>00023486921K0</v>
      </c>
      <c r="C13" t="s">
        <v>106</v>
      </c>
      <c r="D13" t="s">
        <v>46</v>
      </c>
      <c r="E13">
        <v>20411454</v>
      </c>
      <c r="F13" t="s">
        <v>229</v>
      </c>
      <c r="G13" t="s">
        <v>49</v>
      </c>
      <c r="H13" t="s">
        <v>50</v>
      </c>
      <c r="I13" s="1">
        <v>45870</v>
      </c>
      <c r="J13" s="2">
        <v>175</v>
      </c>
      <c r="K13">
        <v>1</v>
      </c>
      <c r="L13" s="3">
        <v>1</v>
      </c>
      <c r="M13" s="2">
        <v>175</v>
      </c>
      <c r="O13" t="s">
        <v>220</v>
      </c>
    </row>
    <row r="14" spans="1:15" x14ac:dyDescent="0.25">
      <c r="A14" s="5" t="s">
        <v>200</v>
      </c>
      <c r="B14" s="5" t="str">
        <f t="shared" si="0"/>
        <v>00023486977K0</v>
      </c>
      <c r="C14" t="s">
        <v>110</v>
      </c>
      <c r="D14" t="s">
        <v>46</v>
      </c>
      <c r="E14">
        <v>20411454</v>
      </c>
      <c r="F14" t="s">
        <v>229</v>
      </c>
      <c r="G14" t="s">
        <v>49</v>
      </c>
      <c r="H14" t="s">
        <v>50</v>
      </c>
      <c r="I14" s="1">
        <v>45901</v>
      </c>
      <c r="J14" s="2">
        <v>175</v>
      </c>
      <c r="K14">
        <v>1</v>
      </c>
      <c r="L14" s="3">
        <v>1</v>
      </c>
      <c r="M14" s="2">
        <v>175</v>
      </c>
      <c r="O14" t="s">
        <v>220</v>
      </c>
    </row>
    <row r="15" spans="1:15" x14ac:dyDescent="0.25">
      <c r="A15" s="5" t="s">
        <v>208</v>
      </c>
      <c r="B15" s="5" t="s">
        <v>208</v>
      </c>
      <c r="C15" t="s">
        <v>156</v>
      </c>
      <c r="D15" t="s">
        <v>136</v>
      </c>
      <c r="E15">
        <v>20411454</v>
      </c>
      <c r="F15" t="s">
        <v>229</v>
      </c>
      <c r="G15" t="s">
        <v>157</v>
      </c>
      <c r="H15" t="s">
        <v>158</v>
      </c>
      <c r="I15" s="1">
        <v>45658</v>
      </c>
      <c r="M15" s="4">
        <v>-108</v>
      </c>
      <c r="O15" t="s">
        <v>220</v>
      </c>
    </row>
    <row r="16" spans="1:15" x14ac:dyDescent="0.25">
      <c r="A16" s="5" t="s">
        <v>209</v>
      </c>
      <c r="B16" s="5" t="s">
        <v>209</v>
      </c>
      <c r="C16" t="s">
        <v>160</v>
      </c>
      <c r="D16" t="s">
        <v>136</v>
      </c>
      <c r="E16">
        <v>20411454</v>
      </c>
      <c r="F16" t="s">
        <v>229</v>
      </c>
      <c r="G16" t="s">
        <v>157</v>
      </c>
      <c r="H16" t="s">
        <v>158</v>
      </c>
      <c r="I16" s="1">
        <v>45658</v>
      </c>
      <c r="M16" s="4">
        <v>-108</v>
      </c>
      <c r="O16" t="s">
        <v>220</v>
      </c>
    </row>
    <row r="17" spans="1:15" x14ac:dyDescent="0.25">
      <c r="A17" s="5" t="s">
        <v>210</v>
      </c>
      <c r="B17" s="5" t="s">
        <v>210</v>
      </c>
      <c r="C17" t="s">
        <v>162</v>
      </c>
      <c r="D17" t="s">
        <v>136</v>
      </c>
      <c r="E17">
        <v>20411454</v>
      </c>
      <c r="F17" t="s">
        <v>229</v>
      </c>
      <c r="G17" t="s">
        <v>157</v>
      </c>
      <c r="H17" t="s">
        <v>158</v>
      </c>
      <c r="I17" s="1">
        <v>45689</v>
      </c>
      <c r="M17" s="4">
        <v>-108</v>
      </c>
      <c r="O17" t="s">
        <v>220</v>
      </c>
    </row>
    <row r="18" spans="1:15" x14ac:dyDescent="0.25">
      <c r="A18" s="5" t="s">
        <v>211</v>
      </c>
      <c r="B18" s="5" t="s">
        <v>211</v>
      </c>
      <c r="C18" t="s">
        <v>166</v>
      </c>
      <c r="D18" t="s">
        <v>136</v>
      </c>
      <c r="E18">
        <v>20411454</v>
      </c>
      <c r="F18" t="s">
        <v>229</v>
      </c>
      <c r="G18" t="s">
        <v>157</v>
      </c>
      <c r="H18" t="s">
        <v>158</v>
      </c>
      <c r="I18" s="1">
        <v>45689</v>
      </c>
      <c r="M18" s="4">
        <v>-108</v>
      </c>
      <c r="O18" t="s">
        <v>220</v>
      </c>
    </row>
    <row r="19" spans="1:15" x14ac:dyDescent="0.25">
      <c r="A19" s="5" t="s">
        <v>212</v>
      </c>
      <c r="B19" s="5" t="s">
        <v>212</v>
      </c>
      <c r="C19" t="s">
        <v>168</v>
      </c>
      <c r="D19" t="s">
        <v>136</v>
      </c>
      <c r="E19">
        <v>20411454</v>
      </c>
      <c r="F19" t="s">
        <v>229</v>
      </c>
      <c r="G19" t="s">
        <v>157</v>
      </c>
      <c r="H19" t="s">
        <v>158</v>
      </c>
      <c r="I19" s="1">
        <v>45658</v>
      </c>
      <c r="M19" s="4">
        <v>-108</v>
      </c>
      <c r="O19" t="s">
        <v>220</v>
      </c>
    </row>
    <row r="20" spans="1:15" x14ac:dyDescent="0.25">
      <c r="A20" s="5" t="s">
        <v>213</v>
      </c>
      <c r="B20" s="5" t="s">
        <v>213</v>
      </c>
      <c r="C20" t="s">
        <v>170</v>
      </c>
      <c r="D20" t="s">
        <v>136</v>
      </c>
      <c r="E20">
        <v>20411454</v>
      </c>
      <c r="F20" t="s">
        <v>229</v>
      </c>
      <c r="G20" t="s">
        <v>157</v>
      </c>
      <c r="H20" t="s">
        <v>158</v>
      </c>
      <c r="I20" s="1">
        <v>45658</v>
      </c>
      <c r="M20" s="4">
        <v>-108</v>
      </c>
      <c r="O20" t="s">
        <v>220</v>
      </c>
    </row>
    <row r="21" spans="1:15" x14ac:dyDescent="0.25">
      <c r="A21" s="5" t="s">
        <v>214</v>
      </c>
      <c r="B21" s="5" t="s">
        <v>214</v>
      </c>
      <c r="C21" t="s">
        <v>172</v>
      </c>
      <c r="D21" t="s">
        <v>136</v>
      </c>
      <c r="E21">
        <v>20411454</v>
      </c>
      <c r="F21" t="s">
        <v>229</v>
      </c>
      <c r="G21" t="s">
        <v>157</v>
      </c>
      <c r="H21" t="s">
        <v>158</v>
      </c>
      <c r="I21" s="1">
        <v>45658</v>
      </c>
      <c r="M21" s="4">
        <v>-108</v>
      </c>
      <c r="O21" t="s">
        <v>220</v>
      </c>
    </row>
    <row r="22" spans="1:15" x14ac:dyDescent="0.25">
      <c r="A22" s="5" t="s">
        <v>215</v>
      </c>
      <c r="B22" s="5" t="s">
        <v>215</v>
      </c>
      <c r="C22" t="s">
        <v>174</v>
      </c>
      <c r="D22" t="s">
        <v>136</v>
      </c>
      <c r="E22">
        <v>20411454</v>
      </c>
      <c r="F22" t="s">
        <v>229</v>
      </c>
      <c r="G22" t="s">
        <v>157</v>
      </c>
      <c r="H22" t="s">
        <v>158</v>
      </c>
      <c r="I22" s="1">
        <v>45658</v>
      </c>
      <c r="M22" s="4">
        <v>-108</v>
      </c>
      <c r="O22" t="s">
        <v>220</v>
      </c>
    </row>
    <row r="23" spans="1:15" x14ac:dyDescent="0.25">
      <c r="A23" s="5" t="s">
        <v>216</v>
      </c>
      <c r="B23" s="5" t="s">
        <v>216</v>
      </c>
      <c r="C23" t="s">
        <v>178</v>
      </c>
      <c r="D23" t="s">
        <v>136</v>
      </c>
      <c r="E23">
        <v>20411454</v>
      </c>
      <c r="F23" t="s">
        <v>229</v>
      </c>
      <c r="G23" t="s">
        <v>157</v>
      </c>
      <c r="H23" t="s">
        <v>158</v>
      </c>
      <c r="I23" s="1">
        <v>45658</v>
      </c>
      <c r="M23" s="4">
        <v>-108</v>
      </c>
      <c r="O23" t="s">
        <v>220</v>
      </c>
    </row>
    <row r="24" spans="1:15" x14ac:dyDescent="0.25">
      <c r="A24" s="5" t="s">
        <v>217</v>
      </c>
      <c r="B24" s="5" t="s">
        <v>217</v>
      </c>
      <c r="C24" t="s">
        <v>135</v>
      </c>
      <c r="D24" t="s">
        <v>95</v>
      </c>
      <c r="E24">
        <v>20411454</v>
      </c>
      <c r="F24" t="s">
        <v>229</v>
      </c>
      <c r="G24" t="s">
        <v>157</v>
      </c>
      <c r="H24" t="s">
        <v>158</v>
      </c>
      <c r="I24" s="1">
        <v>45839</v>
      </c>
      <c r="M24" s="4">
        <v>-108</v>
      </c>
      <c r="O24" t="s">
        <v>220</v>
      </c>
    </row>
    <row r="25" spans="1:15" s="7" customFormat="1" x14ac:dyDescent="0.25">
      <c r="A25" s="6" t="s">
        <v>188</v>
      </c>
      <c r="B25" s="6" t="s">
        <v>188</v>
      </c>
      <c r="C25" s="7" t="s">
        <v>61</v>
      </c>
      <c r="D25" s="7" t="s">
        <v>62</v>
      </c>
      <c r="E25" s="7">
        <v>9079571</v>
      </c>
      <c r="F25" s="7" t="s">
        <v>64</v>
      </c>
      <c r="G25" s="7" t="s">
        <v>49</v>
      </c>
      <c r="H25" s="7" t="s">
        <v>65</v>
      </c>
      <c r="I25" s="8">
        <v>45870</v>
      </c>
      <c r="J25" s="9">
        <v>15</v>
      </c>
      <c r="K25" s="7">
        <v>1</v>
      </c>
      <c r="L25" s="10">
        <v>1</v>
      </c>
      <c r="M25" s="9">
        <v>15</v>
      </c>
      <c r="O25" s="7" t="s">
        <v>221</v>
      </c>
    </row>
    <row r="26" spans="1:15" s="7" customFormat="1" x14ac:dyDescent="0.25">
      <c r="A26" s="6" t="s">
        <v>192</v>
      </c>
      <c r="B26" s="6" t="s">
        <v>192</v>
      </c>
      <c r="C26" s="7" t="s">
        <v>79</v>
      </c>
      <c r="D26" s="7" t="s">
        <v>80</v>
      </c>
      <c r="E26" s="7">
        <v>19278370</v>
      </c>
      <c r="F26" s="7" t="s">
        <v>82</v>
      </c>
      <c r="G26" s="7" t="s">
        <v>49</v>
      </c>
      <c r="H26" s="7" t="s">
        <v>65</v>
      </c>
      <c r="I26" s="8">
        <v>45901</v>
      </c>
      <c r="J26" s="9">
        <v>15</v>
      </c>
      <c r="K26" s="7">
        <v>1</v>
      </c>
      <c r="L26" s="10">
        <v>1</v>
      </c>
      <c r="M26" s="9">
        <v>15</v>
      </c>
      <c r="O26" s="7" t="s">
        <v>221</v>
      </c>
    </row>
    <row r="27" spans="1:15" s="7" customFormat="1" x14ac:dyDescent="0.25">
      <c r="A27" s="6" t="s">
        <v>193</v>
      </c>
      <c r="B27" s="6" t="s">
        <v>193</v>
      </c>
      <c r="C27" s="7" t="s">
        <v>84</v>
      </c>
      <c r="D27" s="7" t="s">
        <v>46</v>
      </c>
      <c r="E27" s="7">
        <v>8244481</v>
      </c>
      <c r="F27" s="7" t="s">
        <v>86</v>
      </c>
      <c r="G27" s="7" t="s">
        <v>49</v>
      </c>
      <c r="H27" s="7" t="s">
        <v>65</v>
      </c>
      <c r="I27" s="8">
        <v>45931</v>
      </c>
      <c r="J27" s="9">
        <v>15</v>
      </c>
      <c r="K27" s="7">
        <v>1</v>
      </c>
      <c r="L27" s="10">
        <v>1</v>
      </c>
      <c r="M27" s="9">
        <v>15</v>
      </c>
      <c r="O27" s="7" t="s">
        <v>221</v>
      </c>
    </row>
    <row r="28" spans="1:15" x14ac:dyDescent="0.25">
      <c r="A28" s="5" t="s">
        <v>203</v>
      </c>
      <c r="B28" s="5" t="s">
        <v>203</v>
      </c>
      <c r="C28" t="s">
        <v>127</v>
      </c>
      <c r="D28" t="s">
        <v>46</v>
      </c>
      <c r="E28">
        <v>20411454</v>
      </c>
      <c r="F28" t="s">
        <v>229</v>
      </c>
      <c r="G28" t="s">
        <v>49</v>
      </c>
      <c r="H28" t="s">
        <v>133</v>
      </c>
      <c r="I28" s="1">
        <v>45839</v>
      </c>
      <c r="J28" s="2">
        <v>175</v>
      </c>
      <c r="K28">
        <v>1</v>
      </c>
      <c r="L28" s="3">
        <v>1</v>
      </c>
      <c r="M28" s="2">
        <v>175</v>
      </c>
      <c r="O28" t="s">
        <v>222</v>
      </c>
    </row>
    <row r="29" spans="1:15" x14ac:dyDescent="0.25">
      <c r="A29" s="5" t="s">
        <v>204</v>
      </c>
      <c r="B29" s="5" t="s">
        <v>204</v>
      </c>
      <c r="C29" t="s">
        <v>135</v>
      </c>
      <c r="D29" t="s">
        <v>136</v>
      </c>
      <c r="E29">
        <v>20411454</v>
      </c>
      <c r="F29" t="s">
        <v>229</v>
      </c>
      <c r="G29" t="s">
        <v>49</v>
      </c>
      <c r="H29" t="s">
        <v>133</v>
      </c>
      <c r="I29" s="1">
        <v>45839</v>
      </c>
      <c r="J29" s="2">
        <v>175</v>
      </c>
      <c r="K29">
        <v>1</v>
      </c>
      <c r="L29" s="3">
        <v>1</v>
      </c>
      <c r="M29" s="2">
        <v>175</v>
      </c>
      <c r="O29" t="s">
        <v>222</v>
      </c>
    </row>
    <row r="30" spans="1:15" x14ac:dyDescent="0.25">
      <c r="A30" s="5" t="s">
        <v>218</v>
      </c>
      <c r="B30" s="5" t="s">
        <v>218</v>
      </c>
      <c r="C30" t="s">
        <v>181</v>
      </c>
      <c r="D30" t="s">
        <v>46</v>
      </c>
      <c r="E30">
        <v>20411454</v>
      </c>
      <c r="F30" t="s">
        <v>229</v>
      </c>
      <c r="G30" t="s">
        <v>157</v>
      </c>
      <c r="H30" t="s">
        <v>133</v>
      </c>
      <c r="I30" s="1">
        <v>45717</v>
      </c>
      <c r="M30" s="4">
        <v>-93.36</v>
      </c>
      <c r="O30" t="s">
        <v>222</v>
      </c>
    </row>
    <row r="31" spans="1:15" x14ac:dyDescent="0.25">
      <c r="A31" s="5" t="s">
        <v>201</v>
      </c>
      <c r="B31" s="5" t="s">
        <v>201</v>
      </c>
      <c r="C31" t="s">
        <v>114</v>
      </c>
      <c r="D31" t="s">
        <v>80</v>
      </c>
      <c r="E31">
        <v>20411454</v>
      </c>
      <c r="F31" t="s">
        <v>229</v>
      </c>
      <c r="G31" t="s">
        <v>49</v>
      </c>
      <c r="H31" t="s">
        <v>120</v>
      </c>
      <c r="I31" s="1">
        <v>45870</v>
      </c>
      <c r="J31" s="2">
        <v>175</v>
      </c>
      <c r="K31">
        <v>1</v>
      </c>
      <c r="L31" s="3">
        <v>1</v>
      </c>
      <c r="M31" s="2">
        <v>175</v>
      </c>
      <c r="O31" t="s">
        <v>222</v>
      </c>
    </row>
    <row r="32" spans="1:15" x14ac:dyDescent="0.25">
      <c r="A32" s="5" t="s">
        <v>202</v>
      </c>
      <c r="B32" s="5" t="s">
        <v>202</v>
      </c>
      <c r="C32" t="s">
        <v>122</v>
      </c>
      <c r="D32" t="s">
        <v>80</v>
      </c>
      <c r="E32">
        <v>20411454</v>
      </c>
      <c r="F32" t="s">
        <v>229</v>
      </c>
      <c r="G32" t="s">
        <v>49</v>
      </c>
      <c r="H32" t="s">
        <v>120</v>
      </c>
      <c r="I32" s="1">
        <v>45870</v>
      </c>
      <c r="J32" s="2">
        <v>175</v>
      </c>
      <c r="K32">
        <v>1</v>
      </c>
      <c r="L32" s="3">
        <v>1</v>
      </c>
      <c r="M32" s="2">
        <v>175</v>
      </c>
      <c r="O32" t="s">
        <v>222</v>
      </c>
    </row>
    <row r="33" spans="1:16" x14ac:dyDescent="0.25">
      <c r="A33" s="5" t="s">
        <v>205</v>
      </c>
      <c r="B33" s="5" t="s">
        <v>205</v>
      </c>
      <c r="C33" t="s">
        <v>139</v>
      </c>
      <c r="D33" t="s">
        <v>46</v>
      </c>
      <c r="E33">
        <v>20411454</v>
      </c>
      <c r="F33" t="s">
        <v>229</v>
      </c>
      <c r="G33" t="s">
        <v>49</v>
      </c>
      <c r="H33" t="s">
        <v>120</v>
      </c>
      <c r="I33" s="1">
        <v>45931</v>
      </c>
      <c r="J33" s="2">
        <v>175</v>
      </c>
      <c r="K33">
        <v>1</v>
      </c>
      <c r="L33" s="3">
        <v>1</v>
      </c>
      <c r="M33" s="2">
        <v>175</v>
      </c>
      <c r="O33" t="s">
        <v>222</v>
      </c>
    </row>
    <row r="34" spans="1:16" x14ac:dyDescent="0.25">
      <c r="A34" s="5" t="s">
        <v>206</v>
      </c>
      <c r="B34" s="5" t="s">
        <v>206</v>
      </c>
      <c r="C34" t="s">
        <v>145</v>
      </c>
      <c r="D34" t="s">
        <v>102</v>
      </c>
      <c r="E34">
        <v>20411454</v>
      </c>
      <c r="F34" t="s">
        <v>229</v>
      </c>
      <c r="G34" t="s">
        <v>49</v>
      </c>
      <c r="H34" t="s">
        <v>120</v>
      </c>
      <c r="I34" s="1">
        <v>45931</v>
      </c>
      <c r="J34" s="2">
        <v>175</v>
      </c>
      <c r="K34">
        <v>1</v>
      </c>
      <c r="L34" s="3">
        <v>1</v>
      </c>
      <c r="M34" s="2">
        <v>175</v>
      </c>
      <c r="O34" t="s">
        <v>222</v>
      </c>
    </row>
    <row r="35" spans="1:16" x14ac:dyDescent="0.25">
      <c r="A35" s="5" t="s">
        <v>207</v>
      </c>
      <c r="B35" s="5" t="s">
        <v>207</v>
      </c>
      <c r="C35" t="s">
        <v>150</v>
      </c>
      <c r="D35" t="s">
        <v>151</v>
      </c>
      <c r="E35">
        <v>20411454</v>
      </c>
      <c r="F35" t="s">
        <v>229</v>
      </c>
      <c r="G35" t="s">
        <v>49</v>
      </c>
      <c r="H35" t="s">
        <v>153</v>
      </c>
      <c r="I35" s="1">
        <v>45870</v>
      </c>
      <c r="J35" s="2">
        <v>30</v>
      </c>
      <c r="K35">
        <v>1</v>
      </c>
      <c r="L35" s="3">
        <v>1</v>
      </c>
      <c r="M35" s="2">
        <v>30</v>
      </c>
      <c r="N35" t="s">
        <v>118</v>
      </c>
      <c r="O35" t="s">
        <v>222</v>
      </c>
    </row>
    <row r="36" spans="1:16" s="7" customFormat="1" x14ac:dyDescent="0.25">
      <c r="A36" s="6">
        <v>939556187</v>
      </c>
      <c r="B36" s="6" t="str">
        <f>CONCATENATE(A36,1)</f>
        <v>9395561871</v>
      </c>
      <c r="C36" s="7" t="s">
        <v>127</v>
      </c>
      <c r="D36" s="7" t="s">
        <v>46</v>
      </c>
      <c r="E36" s="7">
        <v>19106640</v>
      </c>
      <c r="F36" s="7" t="s">
        <v>129</v>
      </c>
      <c r="G36" s="7" t="s">
        <v>49</v>
      </c>
      <c r="H36" s="7" t="s">
        <v>130</v>
      </c>
      <c r="I36" s="8">
        <v>45839</v>
      </c>
      <c r="J36" s="9">
        <v>156.5</v>
      </c>
      <c r="K36" s="7">
        <v>1</v>
      </c>
      <c r="L36" s="10">
        <v>1</v>
      </c>
      <c r="M36" s="9">
        <v>156.5</v>
      </c>
      <c r="N36" s="7" t="s">
        <v>131</v>
      </c>
      <c r="O36" s="7" t="s">
        <v>223</v>
      </c>
      <c r="P36" s="7" t="s">
        <v>225</v>
      </c>
    </row>
    <row r="37" spans="1:16" s="7" customFormat="1" x14ac:dyDescent="0.25">
      <c r="A37" s="6">
        <v>950076252</v>
      </c>
      <c r="B37" s="6" t="str">
        <f t="shared" ref="B37:B40" si="1">CONCATENATE(A37,1)</f>
        <v>9500762521</v>
      </c>
      <c r="C37" s="7" t="s">
        <v>135</v>
      </c>
      <c r="D37" s="7" t="s">
        <v>136</v>
      </c>
      <c r="E37" s="7">
        <v>17425766</v>
      </c>
      <c r="F37" s="7" t="s">
        <v>124</v>
      </c>
      <c r="G37" s="7" t="s">
        <v>49</v>
      </c>
      <c r="H37" s="7" t="s">
        <v>130</v>
      </c>
      <c r="I37" s="8">
        <v>45839</v>
      </c>
      <c r="J37" s="9">
        <v>156.5</v>
      </c>
      <c r="K37" s="7">
        <v>1</v>
      </c>
      <c r="L37" s="10">
        <v>1</v>
      </c>
      <c r="M37" s="9">
        <v>156.5</v>
      </c>
      <c r="N37" s="7" t="s">
        <v>131</v>
      </c>
      <c r="O37" s="7" t="s">
        <v>223</v>
      </c>
      <c r="P37" s="7" t="s">
        <v>225</v>
      </c>
    </row>
    <row r="38" spans="1:16" s="7" customFormat="1" x14ac:dyDescent="0.25">
      <c r="A38" s="6">
        <v>971115971</v>
      </c>
      <c r="B38" s="6" t="str">
        <f t="shared" si="1"/>
        <v>9711159711</v>
      </c>
      <c r="C38" s="7" t="s">
        <v>139</v>
      </c>
      <c r="D38" s="7" t="s">
        <v>46</v>
      </c>
      <c r="E38" s="7">
        <v>19645587</v>
      </c>
      <c r="F38" s="7" t="s">
        <v>141</v>
      </c>
      <c r="G38" s="7" t="s">
        <v>49</v>
      </c>
      <c r="H38" s="7" t="s">
        <v>130</v>
      </c>
      <c r="I38" s="8">
        <v>45931</v>
      </c>
      <c r="J38" s="9">
        <v>78.25</v>
      </c>
      <c r="K38" s="7">
        <v>1</v>
      </c>
      <c r="L38" s="10">
        <v>1</v>
      </c>
      <c r="M38" s="9">
        <v>78.25</v>
      </c>
      <c r="N38" s="7" t="s">
        <v>142</v>
      </c>
      <c r="O38" s="7" t="s">
        <v>223</v>
      </c>
      <c r="P38" s="7" t="s">
        <v>226</v>
      </c>
    </row>
    <row r="39" spans="1:16" s="7" customFormat="1" x14ac:dyDescent="0.25">
      <c r="A39" s="6">
        <v>973050889</v>
      </c>
      <c r="B39" s="6" t="str">
        <f t="shared" si="1"/>
        <v>9730508891</v>
      </c>
      <c r="C39" s="7" t="s">
        <v>145</v>
      </c>
      <c r="D39" s="7" t="s">
        <v>102</v>
      </c>
      <c r="E39" s="7">
        <v>19681796</v>
      </c>
      <c r="F39" s="7" t="s">
        <v>147</v>
      </c>
      <c r="G39" s="7" t="s">
        <v>49</v>
      </c>
      <c r="H39" s="7" t="s">
        <v>130</v>
      </c>
      <c r="I39" s="8">
        <v>45931</v>
      </c>
      <c r="J39" s="9">
        <v>78.25</v>
      </c>
      <c r="K39" s="7">
        <v>1</v>
      </c>
      <c r="L39" s="10">
        <v>1</v>
      </c>
      <c r="M39" s="9">
        <v>78.25</v>
      </c>
      <c r="N39" s="7" t="s">
        <v>142</v>
      </c>
      <c r="O39" s="7" t="s">
        <v>223</v>
      </c>
      <c r="P39" s="7" t="s">
        <v>226</v>
      </c>
    </row>
    <row r="40" spans="1:16" s="7" customFormat="1" x14ac:dyDescent="0.25">
      <c r="A40" s="6">
        <v>986871451</v>
      </c>
      <c r="B40" s="6" t="str">
        <f t="shared" si="1"/>
        <v>9868714511</v>
      </c>
      <c r="C40" s="7" t="s">
        <v>150</v>
      </c>
      <c r="D40" s="7" t="s">
        <v>151</v>
      </c>
      <c r="E40" s="7">
        <v>9213293</v>
      </c>
      <c r="F40" s="7" t="s">
        <v>69</v>
      </c>
      <c r="G40" s="7" t="s">
        <v>49</v>
      </c>
      <c r="H40" s="7" t="s">
        <v>130</v>
      </c>
      <c r="I40" s="8">
        <v>45870</v>
      </c>
      <c r="J40" s="9">
        <v>130.41999999999999</v>
      </c>
      <c r="K40" s="7">
        <v>1</v>
      </c>
      <c r="L40" s="10">
        <v>1</v>
      </c>
      <c r="M40" s="9">
        <v>130.41999999999999</v>
      </c>
      <c r="N40" s="7" t="s">
        <v>118</v>
      </c>
      <c r="O40" s="7" t="s">
        <v>223</v>
      </c>
      <c r="P40" s="7" t="s">
        <v>227</v>
      </c>
    </row>
    <row r="41" spans="1:16" s="7" customFormat="1" x14ac:dyDescent="0.25">
      <c r="A41" s="6" t="s">
        <v>219</v>
      </c>
      <c r="B41" s="6" t="s">
        <v>219</v>
      </c>
      <c r="C41" s="7" t="s">
        <v>181</v>
      </c>
      <c r="D41" s="7" t="s">
        <v>46</v>
      </c>
      <c r="E41" s="7">
        <v>19200754</v>
      </c>
      <c r="F41" s="7" t="s">
        <v>183</v>
      </c>
      <c r="G41" s="7" t="s">
        <v>157</v>
      </c>
      <c r="H41" s="7" t="s">
        <v>130</v>
      </c>
      <c r="I41" s="8">
        <v>45717</v>
      </c>
      <c r="M41" s="11">
        <v>-139.13999999999999</v>
      </c>
      <c r="O41" s="7" t="s">
        <v>223</v>
      </c>
      <c r="P41" s="7" t="s">
        <v>227</v>
      </c>
    </row>
    <row r="42" spans="1:16" s="7" customFormat="1" x14ac:dyDescent="0.25">
      <c r="A42" s="6">
        <v>133726021</v>
      </c>
      <c r="B42" s="6" t="str">
        <f t="shared" ref="B42:B43" si="2">CONCATENATE(A42,1)</f>
        <v>1337260211</v>
      </c>
      <c r="C42" s="7" t="s">
        <v>114</v>
      </c>
      <c r="D42" s="7" t="s">
        <v>80</v>
      </c>
      <c r="E42" s="7">
        <v>18710070</v>
      </c>
      <c r="F42" s="7" t="s">
        <v>116</v>
      </c>
      <c r="G42" s="7" t="s">
        <v>49</v>
      </c>
      <c r="H42" s="7" t="s">
        <v>117</v>
      </c>
      <c r="I42" s="8">
        <v>45870</v>
      </c>
      <c r="J42" s="9">
        <v>147.08000000000001</v>
      </c>
      <c r="K42" s="7">
        <v>1</v>
      </c>
      <c r="L42" s="10">
        <v>1</v>
      </c>
      <c r="M42" s="9">
        <v>147.08000000000001</v>
      </c>
      <c r="N42" s="7" t="s">
        <v>118</v>
      </c>
      <c r="O42" s="7" t="s">
        <v>224</v>
      </c>
      <c r="P42" s="7" t="s">
        <v>228</v>
      </c>
    </row>
    <row r="43" spans="1:16" s="7" customFormat="1" x14ac:dyDescent="0.25">
      <c r="A43" s="6">
        <v>906934810</v>
      </c>
      <c r="B43" s="6" t="str">
        <f t="shared" si="2"/>
        <v>9069348101</v>
      </c>
      <c r="C43" s="7" t="s">
        <v>122</v>
      </c>
      <c r="D43" s="7" t="s">
        <v>80</v>
      </c>
      <c r="E43" s="7">
        <v>17425766</v>
      </c>
      <c r="F43" s="7" t="s">
        <v>124</v>
      </c>
      <c r="G43" s="7" t="s">
        <v>49</v>
      </c>
      <c r="H43" s="7" t="s">
        <v>117</v>
      </c>
      <c r="I43" s="8">
        <v>45870</v>
      </c>
      <c r="J43" s="9">
        <v>147.08000000000001</v>
      </c>
      <c r="K43" s="7">
        <v>1</v>
      </c>
      <c r="L43" s="10">
        <v>1</v>
      </c>
      <c r="M43" s="9">
        <v>147.08000000000001</v>
      </c>
      <c r="N43" s="7" t="s">
        <v>118</v>
      </c>
      <c r="O43" s="7" t="s">
        <v>224</v>
      </c>
      <c r="P43" s="7" t="s">
        <v>228</v>
      </c>
    </row>
  </sheetData>
  <sortState xmlns:xlrd2="http://schemas.microsoft.com/office/spreadsheetml/2017/richdata2" ref="A2:AM43">
    <sortCondition ref="H2:H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2025-07-23T18:52:01Z</dcterms:created>
  <dcterms:modified xsi:type="dcterms:W3CDTF">2025-07-29T16:17:13Z</dcterms:modified>
</cp:coreProperties>
</file>