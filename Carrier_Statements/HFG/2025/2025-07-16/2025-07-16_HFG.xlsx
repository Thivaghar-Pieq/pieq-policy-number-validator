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7-16-25 to 07-23-25\"/>
    </mc:Choice>
  </mc:AlternateContent>
  <xr:revisionPtr revIDLastSave="0" documentId="13_ncr:1_{C6E46F70-7D43-4E53-B405-8C6EB9D7D827}" xr6:coauthVersionLast="47" xr6:coauthVersionMax="47" xr10:uidLastSave="{00000000-0000-0000-0000-000000000000}"/>
  <bookViews>
    <workbookView xWindow="28680" yWindow="-120" windowWidth="29040" windowHeight="16440" xr2:uid="{7AC58986-387D-4935-B70D-70DDB574DFB1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8" i="2" l="1"/>
  <c r="B37" i="2"/>
  <c r="B36" i="2"/>
  <c r="B35" i="2"/>
  <c r="B34" i="2"/>
  <c r="B33" i="2"/>
  <c r="B32" i="2"/>
  <c r="B39" i="2"/>
  <c r="B27" i="2"/>
  <c r="B26" i="2"/>
  <c r="B24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R40" i="2"/>
</calcChain>
</file>

<file path=xl/sharedStrings.xml><?xml version="1.0" encoding="utf-8"?>
<sst xmlns="http://schemas.openxmlformats.org/spreadsheetml/2006/main" count="1045" uniqueCount="240">
  <si>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</si>
  <si>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</si>
  <si>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</si>
  <si>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</si>
  <si>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</si>
  <si>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</si>
  <si>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</si>
  <si>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</si>
  <si>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</si>
  <si>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</si>
  <si>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</si>
  <si>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</si>
  <si>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</si>
  <si>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</si>
  <si>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</si>
  <si>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</si>
  <si>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</si>
  <si>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</si>
  <si>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</si>
  <si>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</si>
  <si>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</si>
  <si>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</si>
  <si>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</si>
  <si>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</si>
  <si>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</si>
  <si>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</si>
  <si>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</si>
  <si>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</si>
  <si>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</si>
  <si>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</si>
  <si>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</si>
  <si>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</si>
  <si>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</si>
  <si>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</si>
  <si>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</si>
  <si>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</si>
  <si>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</si>
  <si>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</si>
  <si>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</si>
  <si>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</si>
  <si>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</si>
  <si>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</si>
  <si>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</si>
  <si>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</si>
  <si>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'00022815693K</t>
  </si>
  <si>
    <t>MICHAEL WACHOWIAK</t>
  </si>
  <si>
    <t>WI</t>
  </si>
  <si>
    <t>'045709</t>
  </si>
  <si>
    <t>ESTHER HERRERA-LARSEN</t>
  </si>
  <si>
    <t>ACTIVE</t>
  </si>
  <si>
    <t>Humana MA 2019+ Level 15- 175/108 Repl 2024</t>
  </si>
  <si>
    <t>Monthly</t>
  </si>
  <si>
    <t>AV</t>
  </si>
  <si>
    <t>'00023456696K</t>
  </si>
  <si>
    <t>AIMEE FRAZIER</t>
  </si>
  <si>
    <t>IL</t>
  </si>
  <si>
    <t>'045613</t>
  </si>
  <si>
    <t>RICARDO SANTOS</t>
  </si>
  <si>
    <t>Humana MA 2019+ Level 15- 175/108</t>
  </si>
  <si>
    <t>'00023457237K</t>
  </si>
  <si>
    <t>BILLY WELLS</t>
  </si>
  <si>
    <t>TX</t>
  </si>
  <si>
    <t>'043682</t>
  </si>
  <si>
    <t>GREGORY TEIPEL</t>
  </si>
  <si>
    <t>'00023461863K</t>
  </si>
  <si>
    <t>TAMARA SMITH</t>
  </si>
  <si>
    <t>GA</t>
  </si>
  <si>
    <t>'045712</t>
  </si>
  <si>
    <t>GREGORY HANSFORD</t>
  </si>
  <si>
    <t>'00023462843K</t>
  </si>
  <si>
    <t>IRENE ZUNIGA</t>
  </si>
  <si>
    <t>'101960796400</t>
  </si>
  <si>
    <t>FRANKLIN URAM</t>
  </si>
  <si>
    <t>FL</t>
  </si>
  <si>
    <t>'043679</t>
  </si>
  <si>
    <t>DEBORAH INSKIPT</t>
  </si>
  <si>
    <t>Aetna MAPD NMO to GMO - 4-1-23+  Replace E-App</t>
  </si>
  <si>
    <t>6/12 PRORATE</t>
  </si>
  <si>
    <t>'101993322100</t>
  </si>
  <si>
    <t>CLAUDIA URAM</t>
  </si>
  <si>
    <t>'102179947100</t>
  </si>
  <si>
    <t>WILLIAM MASCHMEYER</t>
  </si>
  <si>
    <t>'045611</t>
  </si>
  <si>
    <t>FRANK LISKOVEC</t>
  </si>
  <si>
    <t>5/12 PRORATE</t>
  </si>
  <si>
    <t>'102179989200</t>
  </si>
  <si>
    <t>SYLVESTER REMELE</t>
  </si>
  <si>
    <t>NA</t>
  </si>
  <si>
    <t>'102180438800</t>
  </si>
  <si>
    <t>MARIA AGUAIZA</t>
  </si>
  <si>
    <t>'102180643300</t>
  </si>
  <si>
    <t>LAURIE ROWE</t>
  </si>
  <si>
    <t>CO</t>
  </si>
  <si>
    <t>'045621</t>
  </si>
  <si>
    <t>HEATHER GESKE</t>
  </si>
  <si>
    <t>'102180688400</t>
  </si>
  <si>
    <t>CARMELLA BURDI</t>
  </si>
  <si>
    <t>'102180919900</t>
  </si>
  <si>
    <t>BECKY FARMER</t>
  </si>
  <si>
    <t>PA</t>
  </si>
  <si>
    <t>'043786</t>
  </si>
  <si>
    <t>MARGARET SMITH</t>
  </si>
  <si>
    <t>'102181196800</t>
  </si>
  <si>
    <t>DIANE SMITH</t>
  </si>
  <si>
    <t>'045612</t>
  </si>
  <si>
    <t>ANTHONY HUNSBERGER</t>
  </si>
  <si>
    <t>'102181527800</t>
  </si>
  <si>
    <t>ANGELA RICHARDS</t>
  </si>
  <si>
    <t>OH</t>
  </si>
  <si>
    <t>'045879</t>
  </si>
  <si>
    <t>JENNIFER HALSAVER</t>
  </si>
  <si>
    <t>'102181870900</t>
  </si>
  <si>
    <t>KAREN SCHNORR</t>
  </si>
  <si>
    <t>'102181883500</t>
  </si>
  <si>
    <t>GENETTE AFFRUNTI</t>
  </si>
  <si>
    <t>IN</t>
  </si>
  <si>
    <t>'102182237600</t>
  </si>
  <si>
    <t>PATRICK BAYSINGER</t>
  </si>
  <si>
    <t>'045632</t>
  </si>
  <si>
    <t>BARRY SCHUMANN</t>
  </si>
  <si>
    <t>4/12 PRORATE</t>
  </si>
  <si>
    <t>'133512318</t>
  </si>
  <si>
    <t>CELINA RODARTE</t>
  </si>
  <si>
    <t>AZ</t>
  </si>
  <si>
    <t>'043969</t>
  </si>
  <si>
    <t>STACEY PORTUGAL</t>
  </si>
  <si>
    <t>UHC MAPD Street payable to upline - 2025 New</t>
  </si>
  <si>
    <t>'133607929</t>
  </si>
  <si>
    <t>ERIN DEMAREST</t>
  </si>
  <si>
    <t>'908476562</t>
  </si>
  <si>
    <t>SARAH HERTEL</t>
  </si>
  <si>
    <t>'045605</t>
  </si>
  <si>
    <t>GARY PORTUGAL</t>
  </si>
  <si>
    <t>'908476562OV</t>
  </si>
  <si>
    <t>UHC MA Direct 2024 New Full</t>
  </si>
  <si>
    <t>'922325896</t>
  </si>
  <si>
    <t>MICHAEL COGSWELL</t>
  </si>
  <si>
    <t>'922326462</t>
  </si>
  <si>
    <t>PAULA GUTZ</t>
  </si>
  <si>
    <t>UT</t>
  </si>
  <si>
    <t>'045642</t>
  </si>
  <si>
    <t>JONATHAN ALOFF</t>
  </si>
  <si>
    <t>'932036093</t>
  </si>
  <si>
    <t>JOHN BELL</t>
  </si>
  <si>
    <t>'932036093OV</t>
  </si>
  <si>
    <t>'960009988</t>
  </si>
  <si>
    <t>ANDREW MADENBERG</t>
  </si>
  <si>
    <t>'986658939</t>
  </si>
  <si>
    <t>RAMZI ORAHA</t>
  </si>
  <si>
    <t>'043618</t>
  </si>
  <si>
    <t>SAADIA ABDUL</t>
  </si>
  <si>
    <t>Active</t>
  </si>
  <si>
    <t>UHC MAPD Street payable to upline- 2025 Pro New</t>
  </si>
  <si>
    <t>'986658939OV</t>
  </si>
  <si>
    <t>UHC MA Direct 2024 New Prorated</t>
  </si>
  <si>
    <t>'A04299419</t>
  </si>
  <si>
    <t>SCOTT GOLDSTEIN</t>
  </si>
  <si>
    <t>UHC AARP Med Supp FL Area 1- Plan  B C F G</t>
  </si>
  <si>
    <t>'A04300973</t>
  </si>
  <si>
    <t>MILDRED RODRIGUEZ</t>
  </si>
  <si>
    <t>'043689</t>
  </si>
  <si>
    <t>ANNE MARIE KOZACHECK</t>
  </si>
  <si>
    <t>UHC AARP Med Supp PA Area 3 2024- Plan  B F G</t>
  </si>
  <si>
    <t>'A04302525</t>
  </si>
  <si>
    <t>KRISTAN SANTEMA</t>
  </si>
  <si>
    <t>'047621</t>
  </si>
  <si>
    <t>TOM SERIO</t>
  </si>
  <si>
    <t>UHC AARP Med Supp IL Area 3  2025- Plan F &amp; G</t>
  </si>
  <si>
    <t>'A04303375</t>
  </si>
  <si>
    <t>TERRY SELF</t>
  </si>
  <si>
    <t>'045937</t>
  </si>
  <si>
    <t>MARSHA SANDEROCK</t>
  </si>
  <si>
    <t>UHC AARP Med Supp PA Area 1 2024- Plan  N</t>
  </si>
  <si>
    <t>CB</t>
  </si>
  <si>
    <t>'00011671337KPC</t>
  </si>
  <si>
    <t>THOMAS SABATINO</t>
  </si>
  <si>
    <t>CHARGEBACK</t>
  </si>
  <si>
    <t>'00022815693KPC</t>
  </si>
  <si>
    <t>'00022903309KPC</t>
  </si>
  <si>
    <t>JANIS JOSLIN</t>
  </si>
  <si>
    <t>'045622</t>
  </si>
  <si>
    <t>JACOB YALE</t>
  </si>
  <si>
    <t>'00023063791KPC</t>
  </si>
  <si>
    <t>TORRES GALINDO</t>
  </si>
  <si>
    <t>'043589</t>
  </si>
  <si>
    <t>JOSE TORRES</t>
  </si>
  <si>
    <t>'102075642100CB</t>
  </si>
  <si>
    <t>VICKIE RAU</t>
  </si>
  <si>
    <t>'045607</t>
  </si>
  <si>
    <t>PAMELA DEATON</t>
  </si>
  <si>
    <t>Aetna MAPD NMO to GMO - 4-1-23+  New E-App</t>
  </si>
  <si>
    <t>'102162259700CB</t>
  </si>
  <si>
    <t>JAY METCALF</t>
  </si>
  <si>
    <t>'133512318CB</t>
  </si>
  <si>
    <t>UHC MAPD Street payable to upline- 2025 Replace</t>
  </si>
  <si>
    <t>'133607929CB</t>
  </si>
  <si>
    <t>'922325896CB</t>
  </si>
  <si>
    <t>'922326462CB</t>
  </si>
  <si>
    <t>'932036093CB</t>
  </si>
  <si>
    <t>'932036093OVCB</t>
  </si>
  <si>
    <t>'960009988CB</t>
  </si>
  <si>
    <t>00022815693K</t>
  </si>
  <si>
    <t>00023456696K</t>
  </si>
  <si>
    <t>00023457237K</t>
  </si>
  <si>
    <t>00023461863K</t>
  </si>
  <si>
    <t>00023462843K</t>
  </si>
  <si>
    <t>908476562OV</t>
  </si>
  <si>
    <t>932036093OV</t>
  </si>
  <si>
    <t>986658939OV</t>
  </si>
  <si>
    <t>A04299419</t>
  </si>
  <si>
    <t>A04303375</t>
  </si>
  <si>
    <t>00011671337KPC</t>
  </si>
  <si>
    <t>00022815693KPC</t>
  </si>
  <si>
    <t>00022903309KPC</t>
  </si>
  <si>
    <t>00023063791KPC</t>
  </si>
  <si>
    <t>102075642100CB</t>
  </si>
  <si>
    <t>102162259700CB</t>
  </si>
  <si>
    <t>133512318CB</t>
  </si>
  <si>
    <t>133607929CB</t>
  </si>
  <si>
    <t>922325896CB</t>
  </si>
  <si>
    <t>922326462CB</t>
  </si>
  <si>
    <t>932036093CB</t>
  </si>
  <si>
    <t>932036093OVCB</t>
  </si>
  <si>
    <t>960009988CB</t>
  </si>
  <si>
    <t>Aetna MAPD OVR 2025</t>
  </si>
  <si>
    <t>Humana MAPD OVR 2025</t>
  </si>
  <si>
    <t>UHC AARP MS FL Area 1- Plan B C F G</t>
  </si>
  <si>
    <t>UHC AARP MS PA Area 1 2024- Plan N</t>
  </si>
  <si>
    <t>UHC MAPD Ovr 2025</t>
  </si>
  <si>
    <t>UHC MAPD 2025*</t>
  </si>
  <si>
    <t>UHC 2025</t>
  </si>
  <si>
    <t>[%/$=313][prorate=12/12]</t>
  </si>
  <si>
    <t>[%/$=626]</t>
  </si>
  <si>
    <t>[%/$=313][prorate=6/12]</t>
  </si>
  <si>
    <t>[%/$=313][prorate=4/12]</t>
  </si>
  <si>
    <t>[%/$=313][prorate=7/12]</t>
  </si>
  <si>
    <t>[%/$=313][prorate=5/12]</t>
  </si>
  <si>
    <t>Main Line Benefits</t>
  </si>
  <si>
    <t>UHC AARP Med Supp PA Area 3 2024- Plan B F G</t>
  </si>
  <si>
    <t>UHC AARP Med Supp IL Area 3 2025- Plan F &amp;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</si>
</sst>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A515-4A0C-4DB5-A71E-2AF412D1A085}">
  <dimension ref="A1:AL47"/>
  <sheetViews>
    <sheetView tabSelected="1" topLeftCell="I16" workbookViewId="0">
      <selection activeCell="Z36" sqref="Z3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45854</v>
      </c>
      <c r="B2" s="1">
        <v>45854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45839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5651468</v>
      </c>
    </row>
    <row r="3" spans="1:38" x14ac:dyDescent="0.25">
      <c r="A3" s="1">
        <v>45854</v>
      </c>
      <c r="B3" s="1">
        <v>45854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45839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5651495</v>
      </c>
    </row>
    <row r="4" spans="1:38" x14ac:dyDescent="0.25">
      <c r="A4" s="1">
        <v>45854</v>
      </c>
      <c r="B4" s="1">
        <v>45854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49</v>
      </c>
      <c r="R4" t="s">
        <v>58</v>
      </c>
      <c r="S4" s="1">
        <v>45839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5651504</v>
      </c>
    </row>
    <row r="5" spans="1:38" x14ac:dyDescent="0.25">
      <c r="A5" s="1">
        <v>45854</v>
      </c>
      <c r="B5" s="1">
        <v>45854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66</v>
      </c>
      <c r="O5" t="s">
        <v>67</v>
      </c>
      <c r="P5" t="s">
        <v>68</v>
      </c>
      <c r="Q5" t="s">
        <v>49</v>
      </c>
      <c r="R5" t="s">
        <v>58</v>
      </c>
      <c r="S5" s="1">
        <v>45931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5651519</v>
      </c>
    </row>
    <row r="6" spans="1:38" x14ac:dyDescent="0.25">
      <c r="A6" s="1">
        <v>45854</v>
      </c>
      <c r="B6" s="1">
        <v>45854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61</v>
      </c>
      <c r="O6" t="s">
        <v>67</v>
      </c>
      <c r="P6" t="s">
        <v>68</v>
      </c>
      <c r="Q6" t="s">
        <v>49</v>
      </c>
      <c r="R6" t="s">
        <v>58</v>
      </c>
      <c r="S6" s="1">
        <v>45870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5651523</v>
      </c>
    </row>
    <row r="7" spans="1:38" x14ac:dyDescent="0.25">
      <c r="A7" s="1">
        <v>45854</v>
      </c>
      <c r="B7" s="1">
        <v>45854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73</v>
      </c>
      <c r="O7" t="s">
        <v>74</v>
      </c>
      <c r="P7" t="s">
        <v>75</v>
      </c>
      <c r="Q7" t="s">
        <v>49</v>
      </c>
      <c r="R7" t="s">
        <v>76</v>
      </c>
      <c r="S7" s="1">
        <v>45839</v>
      </c>
      <c r="U7" t="s">
        <v>51</v>
      </c>
      <c r="X7" t="s">
        <v>52</v>
      </c>
      <c r="Y7" s="2">
        <v>0</v>
      </c>
      <c r="Z7" s="2">
        <v>25</v>
      </c>
      <c r="AA7">
        <v>1</v>
      </c>
      <c r="AB7" s="3">
        <v>1</v>
      </c>
      <c r="AC7" s="2">
        <v>25</v>
      </c>
      <c r="AD7" s="3">
        <v>0</v>
      </c>
      <c r="AE7" s="2">
        <v>0</v>
      </c>
      <c r="AF7" s="2">
        <v>25</v>
      </c>
      <c r="AK7">
        <v>5651339</v>
      </c>
      <c r="AL7" t="s">
        <v>77</v>
      </c>
    </row>
    <row r="8" spans="1:38" x14ac:dyDescent="0.25">
      <c r="A8" s="1">
        <v>45854</v>
      </c>
      <c r="B8" s="1">
        <v>45854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73</v>
      </c>
      <c r="O8" t="s">
        <v>74</v>
      </c>
      <c r="P8" t="s">
        <v>75</v>
      </c>
      <c r="Q8" t="s">
        <v>49</v>
      </c>
      <c r="R8" t="s">
        <v>76</v>
      </c>
      <c r="S8" s="1">
        <v>45839</v>
      </c>
      <c r="U8" t="s">
        <v>51</v>
      </c>
      <c r="X8" t="s">
        <v>52</v>
      </c>
      <c r="Y8" s="2">
        <v>0</v>
      </c>
      <c r="Z8" s="2">
        <v>25</v>
      </c>
      <c r="AA8">
        <v>1</v>
      </c>
      <c r="AB8" s="3">
        <v>1</v>
      </c>
      <c r="AC8" s="2">
        <v>25</v>
      </c>
      <c r="AD8" s="3">
        <v>0</v>
      </c>
      <c r="AE8" s="2">
        <v>0</v>
      </c>
      <c r="AF8" s="2">
        <v>25</v>
      </c>
      <c r="AK8">
        <v>5651340</v>
      </c>
      <c r="AL8" t="s">
        <v>77</v>
      </c>
    </row>
    <row r="9" spans="1:38" x14ac:dyDescent="0.25">
      <c r="A9" s="1">
        <v>45854</v>
      </c>
      <c r="B9" s="1">
        <v>45854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46</v>
      </c>
      <c r="O9" t="s">
        <v>82</v>
      </c>
      <c r="P9" t="s">
        <v>83</v>
      </c>
      <c r="Q9" t="s">
        <v>49</v>
      </c>
      <c r="R9" t="s">
        <v>76</v>
      </c>
      <c r="S9" s="1">
        <v>45870</v>
      </c>
      <c r="U9" t="s">
        <v>51</v>
      </c>
      <c r="X9" t="s">
        <v>52</v>
      </c>
      <c r="Y9" s="2">
        <v>0</v>
      </c>
      <c r="Z9" s="2">
        <v>20.83</v>
      </c>
      <c r="AA9">
        <v>1</v>
      </c>
      <c r="AB9" s="3">
        <v>1</v>
      </c>
      <c r="AC9" s="2">
        <v>20.83</v>
      </c>
      <c r="AD9" s="3">
        <v>0</v>
      </c>
      <c r="AE9" s="2">
        <v>0</v>
      </c>
      <c r="AF9" s="2">
        <v>20.83</v>
      </c>
      <c r="AK9">
        <v>5651335</v>
      </c>
      <c r="AL9" t="s">
        <v>84</v>
      </c>
    </row>
    <row r="10" spans="1:38" x14ac:dyDescent="0.25">
      <c r="A10" s="1">
        <v>45854</v>
      </c>
      <c r="B10" s="1">
        <v>45854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87</v>
      </c>
      <c r="O10" t="s">
        <v>74</v>
      </c>
      <c r="P10" t="s">
        <v>75</v>
      </c>
      <c r="Q10" t="s">
        <v>49</v>
      </c>
      <c r="R10" t="s">
        <v>76</v>
      </c>
      <c r="S10" s="1">
        <v>45839</v>
      </c>
      <c r="U10" t="s">
        <v>51</v>
      </c>
      <c r="X10" t="s">
        <v>52</v>
      </c>
      <c r="Y10" s="2">
        <v>0</v>
      </c>
      <c r="Z10" s="2">
        <v>25</v>
      </c>
      <c r="AA10">
        <v>1</v>
      </c>
      <c r="AB10" s="3">
        <v>1</v>
      </c>
      <c r="AC10" s="2">
        <v>25</v>
      </c>
      <c r="AD10" s="3">
        <v>0</v>
      </c>
      <c r="AE10" s="2">
        <v>0</v>
      </c>
      <c r="AF10" s="2">
        <v>25</v>
      </c>
      <c r="AK10">
        <v>5651341</v>
      </c>
      <c r="AL10" t="s">
        <v>77</v>
      </c>
    </row>
    <row r="11" spans="1:38" x14ac:dyDescent="0.25">
      <c r="A11" s="1">
        <v>45854</v>
      </c>
      <c r="B11" s="1">
        <v>45854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88</v>
      </c>
      <c r="J11" t="s">
        <v>89</v>
      </c>
      <c r="M11" t="s">
        <v>55</v>
      </c>
      <c r="O11" t="s">
        <v>47</v>
      </c>
      <c r="P11" t="s">
        <v>48</v>
      </c>
      <c r="Q11" t="s">
        <v>49</v>
      </c>
      <c r="R11" t="s">
        <v>76</v>
      </c>
      <c r="S11" s="1">
        <v>45839</v>
      </c>
      <c r="U11" t="s">
        <v>51</v>
      </c>
      <c r="X11" t="s">
        <v>52</v>
      </c>
      <c r="Y11" s="2">
        <v>0</v>
      </c>
      <c r="Z11" s="2">
        <v>25</v>
      </c>
      <c r="AA11">
        <v>1</v>
      </c>
      <c r="AB11" s="3">
        <v>1</v>
      </c>
      <c r="AC11" s="2">
        <v>25</v>
      </c>
      <c r="AD11" s="3">
        <v>0</v>
      </c>
      <c r="AE11" s="2">
        <v>0</v>
      </c>
      <c r="AF11" s="2">
        <v>25</v>
      </c>
      <c r="AK11">
        <v>5651342</v>
      </c>
      <c r="AL11" t="s">
        <v>77</v>
      </c>
    </row>
    <row r="12" spans="1:38" x14ac:dyDescent="0.25">
      <c r="A12" s="1">
        <v>45854</v>
      </c>
      <c r="B12" s="1">
        <v>45854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91</v>
      </c>
      <c r="M12" t="s">
        <v>92</v>
      </c>
      <c r="O12" t="s">
        <v>93</v>
      </c>
      <c r="P12" t="s">
        <v>94</v>
      </c>
      <c r="Q12" t="s">
        <v>49</v>
      </c>
      <c r="R12" t="s">
        <v>76</v>
      </c>
      <c r="S12" s="1">
        <v>45870</v>
      </c>
      <c r="U12" t="s">
        <v>51</v>
      </c>
      <c r="X12" t="s">
        <v>52</v>
      </c>
      <c r="Y12" s="2">
        <v>0</v>
      </c>
      <c r="Z12" s="2">
        <v>20.83</v>
      </c>
      <c r="AA12">
        <v>1</v>
      </c>
      <c r="AB12" s="3">
        <v>1</v>
      </c>
      <c r="AC12" s="2">
        <v>20.83</v>
      </c>
      <c r="AD12" s="3">
        <v>0</v>
      </c>
      <c r="AE12" s="2">
        <v>0</v>
      </c>
      <c r="AF12" s="2">
        <v>20.83</v>
      </c>
      <c r="AK12">
        <v>5651336</v>
      </c>
      <c r="AL12" t="s">
        <v>84</v>
      </c>
    </row>
    <row r="13" spans="1:38" x14ac:dyDescent="0.25">
      <c r="A13" s="1">
        <v>45854</v>
      </c>
      <c r="B13" s="1">
        <v>45854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95</v>
      </c>
      <c r="J13" t="s">
        <v>96</v>
      </c>
      <c r="M13" t="s">
        <v>55</v>
      </c>
      <c r="O13" t="s">
        <v>62</v>
      </c>
      <c r="P13" t="s">
        <v>63</v>
      </c>
      <c r="Q13" t="s">
        <v>49</v>
      </c>
      <c r="R13" t="s">
        <v>76</v>
      </c>
      <c r="S13" s="1">
        <v>45870</v>
      </c>
      <c r="U13" t="s">
        <v>51</v>
      </c>
      <c r="X13" t="s">
        <v>52</v>
      </c>
      <c r="Y13" s="2">
        <v>0</v>
      </c>
      <c r="Z13" s="2">
        <v>20.83</v>
      </c>
      <c r="AA13">
        <v>1</v>
      </c>
      <c r="AB13" s="3">
        <v>1</v>
      </c>
      <c r="AC13" s="2">
        <v>20.83</v>
      </c>
      <c r="AD13" s="3">
        <v>0</v>
      </c>
      <c r="AE13" s="2">
        <v>0</v>
      </c>
      <c r="AF13" s="2">
        <v>20.83</v>
      </c>
      <c r="AK13">
        <v>5651337</v>
      </c>
      <c r="AL13" t="s">
        <v>84</v>
      </c>
    </row>
    <row r="14" spans="1:38" x14ac:dyDescent="0.25">
      <c r="A14" s="1">
        <v>45854</v>
      </c>
      <c r="B14" s="1">
        <v>45854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97</v>
      </c>
      <c r="J14" t="s">
        <v>98</v>
      </c>
      <c r="M14" t="s">
        <v>99</v>
      </c>
      <c r="O14" t="s">
        <v>100</v>
      </c>
      <c r="P14" t="s">
        <v>101</v>
      </c>
      <c r="Q14" t="s">
        <v>49</v>
      </c>
      <c r="R14" t="s">
        <v>76</v>
      </c>
      <c r="S14" s="1">
        <v>45839</v>
      </c>
      <c r="U14" t="s">
        <v>51</v>
      </c>
      <c r="X14" t="s">
        <v>52</v>
      </c>
      <c r="Y14" s="2">
        <v>0</v>
      </c>
      <c r="Z14" s="2">
        <v>25</v>
      </c>
      <c r="AA14">
        <v>1</v>
      </c>
      <c r="AB14" s="3">
        <v>1</v>
      </c>
      <c r="AC14" s="2">
        <v>25</v>
      </c>
      <c r="AD14" s="3">
        <v>0</v>
      </c>
      <c r="AE14" s="2">
        <v>0</v>
      </c>
      <c r="AF14" s="2">
        <v>25</v>
      </c>
      <c r="AK14">
        <v>5651343</v>
      </c>
      <c r="AL14" t="s">
        <v>77</v>
      </c>
    </row>
    <row r="15" spans="1:38" x14ac:dyDescent="0.25">
      <c r="A15" s="1">
        <v>45854</v>
      </c>
      <c r="B15" s="1">
        <v>45854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55</v>
      </c>
      <c r="O15" t="s">
        <v>104</v>
      </c>
      <c r="P15" t="s">
        <v>105</v>
      </c>
      <c r="Q15" t="s">
        <v>49</v>
      </c>
      <c r="R15" t="s">
        <v>76</v>
      </c>
      <c r="S15" s="1">
        <v>45839</v>
      </c>
      <c r="U15" t="s">
        <v>51</v>
      </c>
      <c r="X15" t="s">
        <v>52</v>
      </c>
      <c r="Y15" s="2">
        <v>0</v>
      </c>
      <c r="Z15" s="2">
        <v>25</v>
      </c>
      <c r="AA15">
        <v>1</v>
      </c>
      <c r="AB15" s="3">
        <v>1</v>
      </c>
      <c r="AC15" s="2">
        <v>25</v>
      </c>
      <c r="AD15" s="3">
        <v>0</v>
      </c>
      <c r="AE15" s="2">
        <v>0</v>
      </c>
      <c r="AF15" s="2">
        <v>25</v>
      </c>
      <c r="AK15">
        <v>5651344</v>
      </c>
      <c r="AL15" t="s">
        <v>77</v>
      </c>
    </row>
    <row r="16" spans="1:38" x14ac:dyDescent="0.25">
      <c r="A16" s="1">
        <v>45854</v>
      </c>
      <c r="B16" s="1">
        <v>45854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106</v>
      </c>
      <c r="J16" t="s">
        <v>107</v>
      </c>
      <c r="M16" t="s">
        <v>108</v>
      </c>
      <c r="O16" t="s">
        <v>109</v>
      </c>
      <c r="P16" t="s">
        <v>110</v>
      </c>
      <c r="Q16" t="s">
        <v>49</v>
      </c>
      <c r="R16" t="s">
        <v>76</v>
      </c>
      <c r="S16" s="1">
        <v>45839</v>
      </c>
      <c r="U16" t="s">
        <v>51</v>
      </c>
      <c r="X16" t="s">
        <v>52</v>
      </c>
      <c r="Y16" s="2">
        <v>0</v>
      </c>
      <c r="Z16" s="2">
        <v>25</v>
      </c>
      <c r="AA16">
        <v>1</v>
      </c>
      <c r="AB16" s="3">
        <v>1</v>
      </c>
      <c r="AC16" s="2">
        <v>25</v>
      </c>
      <c r="AD16" s="3">
        <v>0</v>
      </c>
      <c r="AE16" s="2">
        <v>0</v>
      </c>
      <c r="AF16" s="2">
        <v>25</v>
      </c>
      <c r="AK16">
        <v>5651345</v>
      </c>
      <c r="AL16" t="s">
        <v>77</v>
      </c>
    </row>
    <row r="17" spans="1:38" x14ac:dyDescent="0.25">
      <c r="A17" s="1">
        <v>45854</v>
      </c>
      <c r="B17" s="1">
        <v>45854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111</v>
      </c>
      <c r="J17" t="s">
        <v>112</v>
      </c>
      <c r="M17" t="s">
        <v>55</v>
      </c>
      <c r="O17" t="s">
        <v>104</v>
      </c>
      <c r="P17" t="s">
        <v>105</v>
      </c>
      <c r="Q17" t="s">
        <v>49</v>
      </c>
      <c r="R17" t="s">
        <v>76</v>
      </c>
      <c r="S17" s="1">
        <v>45839</v>
      </c>
      <c r="U17" t="s">
        <v>51</v>
      </c>
      <c r="X17" t="s">
        <v>52</v>
      </c>
      <c r="Y17" s="2">
        <v>0</v>
      </c>
      <c r="Z17" s="2">
        <v>25</v>
      </c>
      <c r="AA17">
        <v>1</v>
      </c>
      <c r="AB17" s="3">
        <v>1</v>
      </c>
      <c r="AC17" s="2">
        <v>25</v>
      </c>
      <c r="AD17" s="3">
        <v>0</v>
      </c>
      <c r="AE17" s="2">
        <v>0</v>
      </c>
      <c r="AF17" s="2">
        <v>25</v>
      </c>
      <c r="AK17">
        <v>5651346</v>
      </c>
      <c r="AL17" t="s">
        <v>77</v>
      </c>
    </row>
    <row r="18" spans="1:38" x14ac:dyDescent="0.25">
      <c r="A18" s="1">
        <v>45854</v>
      </c>
      <c r="B18" s="1">
        <v>45854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113</v>
      </c>
      <c r="J18" t="s">
        <v>114</v>
      </c>
      <c r="M18" t="s">
        <v>115</v>
      </c>
      <c r="O18" t="s">
        <v>82</v>
      </c>
      <c r="P18" t="s">
        <v>83</v>
      </c>
      <c r="Q18" t="s">
        <v>49</v>
      </c>
      <c r="R18" t="s">
        <v>76</v>
      </c>
      <c r="S18" s="1">
        <v>45870</v>
      </c>
      <c r="U18" t="s">
        <v>51</v>
      </c>
      <c r="X18" t="s">
        <v>52</v>
      </c>
      <c r="Y18" s="2">
        <v>0</v>
      </c>
      <c r="Z18" s="2">
        <v>20.83</v>
      </c>
      <c r="AA18">
        <v>1</v>
      </c>
      <c r="AB18" s="3">
        <v>1</v>
      </c>
      <c r="AC18" s="2">
        <v>20.83</v>
      </c>
      <c r="AD18" s="3">
        <v>0</v>
      </c>
      <c r="AE18" s="2">
        <v>0</v>
      </c>
      <c r="AF18" s="2">
        <v>20.83</v>
      </c>
      <c r="AK18">
        <v>5651338</v>
      </c>
      <c r="AL18" t="s">
        <v>84</v>
      </c>
    </row>
    <row r="19" spans="1:38" x14ac:dyDescent="0.25">
      <c r="A19" s="1">
        <v>45854</v>
      </c>
      <c r="B19" s="1">
        <v>45854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116</v>
      </c>
      <c r="J19" t="s">
        <v>117</v>
      </c>
      <c r="M19" t="s">
        <v>55</v>
      </c>
      <c r="O19" t="s">
        <v>118</v>
      </c>
      <c r="P19" t="s">
        <v>119</v>
      </c>
      <c r="Q19" t="s">
        <v>49</v>
      </c>
      <c r="R19" t="s">
        <v>76</v>
      </c>
      <c r="S19" s="1">
        <v>45901</v>
      </c>
      <c r="U19" t="s">
        <v>51</v>
      </c>
      <c r="X19" t="s">
        <v>52</v>
      </c>
      <c r="Y19" s="2">
        <v>0</v>
      </c>
      <c r="Z19" s="2">
        <v>16.670000000000002</v>
      </c>
      <c r="AA19">
        <v>1</v>
      </c>
      <c r="AB19" s="3">
        <v>1</v>
      </c>
      <c r="AC19" s="2">
        <v>16.670000000000002</v>
      </c>
      <c r="AD19" s="3">
        <v>0</v>
      </c>
      <c r="AE19" s="2">
        <v>0</v>
      </c>
      <c r="AF19" s="2">
        <v>16.670000000000002</v>
      </c>
      <c r="AK19">
        <v>5651334</v>
      </c>
      <c r="AL19" t="s">
        <v>120</v>
      </c>
    </row>
    <row r="20" spans="1:38" x14ac:dyDescent="0.25">
      <c r="A20" s="1">
        <v>45854</v>
      </c>
      <c r="B20" s="1">
        <v>45854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121</v>
      </c>
      <c r="J20" t="s">
        <v>122</v>
      </c>
      <c r="M20" t="s">
        <v>123</v>
      </c>
      <c r="O20" t="s">
        <v>124</v>
      </c>
      <c r="P20" t="s">
        <v>125</v>
      </c>
      <c r="Q20" t="s">
        <v>49</v>
      </c>
      <c r="R20" t="s">
        <v>126</v>
      </c>
      <c r="S20" s="1">
        <v>45839</v>
      </c>
      <c r="U20" t="s">
        <v>51</v>
      </c>
      <c r="X20" t="s">
        <v>52</v>
      </c>
      <c r="Y20" s="2">
        <v>0</v>
      </c>
      <c r="Z20" s="2">
        <v>626</v>
      </c>
      <c r="AA20">
        <v>1</v>
      </c>
      <c r="AB20" s="3">
        <v>1</v>
      </c>
      <c r="AC20" s="2">
        <v>626</v>
      </c>
      <c r="AD20" s="3">
        <v>0</v>
      </c>
      <c r="AE20" s="2">
        <v>0</v>
      </c>
      <c r="AF20" s="2">
        <v>626</v>
      </c>
      <c r="AK20">
        <v>5651554</v>
      </c>
    </row>
    <row r="21" spans="1:38" x14ac:dyDescent="0.25">
      <c r="A21" s="1">
        <v>45854</v>
      </c>
      <c r="B21" s="1">
        <v>45854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127</v>
      </c>
      <c r="J21" t="s">
        <v>128</v>
      </c>
      <c r="M21" t="s">
        <v>73</v>
      </c>
      <c r="O21" t="s">
        <v>124</v>
      </c>
      <c r="P21" t="s">
        <v>125</v>
      </c>
      <c r="Q21" t="s">
        <v>49</v>
      </c>
      <c r="R21" t="s">
        <v>126</v>
      </c>
      <c r="S21" s="1">
        <v>45901</v>
      </c>
      <c r="U21" t="s">
        <v>51</v>
      </c>
      <c r="X21" t="s">
        <v>52</v>
      </c>
      <c r="Y21" s="2">
        <v>0</v>
      </c>
      <c r="Z21" s="2">
        <v>626</v>
      </c>
      <c r="AA21">
        <v>1</v>
      </c>
      <c r="AB21" s="3">
        <v>1</v>
      </c>
      <c r="AC21" s="2">
        <v>626</v>
      </c>
      <c r="AD21" s="3">
        <v>0</v>
      </c>
      <c r="AE21" s="2">
        <v>0</v>
      </c>
      <c r="AF21" s="2">
        <v>626</v>
      </c>
      <c r="AK21">
        <v>5651557</v>
      </c>
    </row>
    <row r="22" spans="1:38" x14ac:dyDescent="0.25">
      <c r="A22" s="1">
        <v>45854</v>
      </c>
      <c r="B22" s="1">
        <v>45854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129</v>
      </c>
      <c r="J22" t="s">
        <v>130</v>
      </c>
      <c r="M22" t="s">
        <v>123</v>
      </c>
      <c r="O22" t="s">
        <v>131</v>
      </c>
      <c r="P22" t="s">
        <v>132</v>
      </c>
      <c r="Q22" t="s">
        <v>49</v>
      </c>
      <c r="R22" t="s">
        <v>126</v>
      </c>
      <c r="S22" s="1">
        <v>45839</v>
      </c>
      <c r="U22" t="s">
        <v>51</v>
      </c>
      <c r="X22" t="s">
        <v>52</v>
      </c>
      <c r="Y22" s="2">
        <v>0</v>
      </c>
      <c r="Z22" s="2">
        <v>626</v>
      </c>
      <c r="AA22">
        <v>1</v>
      </c>
      <c r="AB22" s="3">
        <v>1</v>
      </c>
      <c r="AC22" s="2">
        <v>626</v>
      </c>
      <c r="AD22" s="3">
        <v>0</v>
      </c>
      <c r="AE22" s="2">
        <v>0</v>
      </c>
      <c r="AF22" s="2">
        <v>626</v>
      </c>
      <c r="AK22">
        <v>5651653</v>
      </c>
    </row>
    <row r="23" spans="1:38" x14ac:dyDescent="0.25">
      <c r="A23" s="1">
        <v>45854</v>
      </c>
      <c r="B23" s="1">
        <v>45854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133</v>
      </c>
      <c r="J23" t="s">
        <v>130</v>
      </c>
      <c r="M23" t="s">
        <v>123</v>
      </c>
      <c r="O23" t="s">
        <v>131</v>
      </c>
      <c r="P23" t="s">
        <v>132</v>
      </c>
      <c r="Q23" t="s">
        <v>49</v>
      </c>
      <c r="R23" t="s">
        <v>134</v>
      </c>
      <c r="S23" s="1">
        <v>45839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5651652</v>
      </c>
    </row>
    <row r="24" spans="1:38" x14ac:dyDescent="0.25">
      <c r="A24" s="1">
        <v>45854</v>
      </c>
      <c r="B24" s="1">
        <v>45854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135</v>
      </c>
      <c r="J24" t="s">
        <v>136</v>
      </c>
      <c r="M24" t="s">
        <v>115</v>
      </c>
      <c r="O24" t="s">
        <v>124</v>
      </c>
      <c r="P24" t="s">
        <v>125</v>
      </c>
      <c r="Q24" t="s">
        <v>49</v>
      </c>
      <c r="R24" t="s">
        <v>126</v>
      </c>
      <c r="S24" s="1">
        <v>45901</v>
      </c>
      <c r="U24" t="s">
        <v>51</v>
      </c>
      <c r="X24" t="s">
        <v>52</v>
      </c>
      <c r="Y24" s="2">
        <v>0</v>
      </c>
      <c r="Z24" s="2">
        <v>626</v>
      </c>
      <c r="AA24">
        <v>1</v>
      </c>
      <c r="AB24" s="3">
        <v>1</v>
      </c>
      <c r="AC24" s="2">
        <v>626</v>
      </c>
      <c r="AD24" s="3">
        <v>0</v>
      </c>
      <c r="AE24" s="2">
        <v>0</v>
      </c>
      <c r="AF24" s="2">
        <v>626</v>
      </c>
      <c r="AK24">
        <v>5651593</v>
      </c>
    </row>
    <row r="25" spans="1:38" x14ac:dyDescent="0.25">
      <c r="A25" s="1">
        <v>45854</v>
      </c>
      <c r="B25" s="1">
        <v>45854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137</v>
      </c>
      <c r="J25" t="s">
        <v>138</v>
      </c>
      <c r="M25" t="s">
        <v>139</v>
      </c>
      <c r="O25" t="s">
        <v>140</v>
      </c>
      <c r="P25" t="s">
        <v>141</v>
      </c>
      <c r="Q25" t="s">
        <v>49</v>
      </c>
      <c r="R25" t="s">
        <v>126</v>
      </c>
      <c r="S25" s="1">
        <v>45839</v>
      </c>
      <c r="U25" t="s">
        <v>51</v>
      </c>
      <c r="X25" t="s">
        <v>52</v>
      </c>
      <c r="Y25" s="2">
        <v>0</v>
      </c>
      <c r="Z25" s="2">
        <v>626</v>
      </c>
      <c r="AA25">
        <v>1</v>
      </c>
      <c r="AB25" s="3">
        <v>1</v>
      </c>
      <c r="AC25" s="2">
        <v>626</v>
      </c>
      <c r="AD25" s="3">
        <v>0</v>
      </c>
      <c r="AE25" s="2">
        <v>0</v>
      </c>
      <c r="AF25" s="2">
        <v>626</v>
      </c>
      <c r="AK25">
        <v>5651594</v>
      </c>
    </row>
    <row r="26" spans="1:38" x14ac:dyDescent="0.25">
      <c r="A26" s="1">
        <v>45854</v>
      </c>
      <c r="B26" s="1">
        <v>45854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142</v>
      </c>
      <c r="J26" t="s">
        <v>143</v>
      </c>
      <c r="M26" t="s">
        <v>55</v>
      </c>
      <c r="O26" t="s">
        <v>56</v>
      </c>
      <c r="P26" t="s">
        <v>57</v>
      </c>
      <c r="Q26" t="s">
        <v>49</v>
      </c>
      <c r="R26" t="s">
        <v>126</v>
      </c>
      <c r="S26" s="1">
        <v>45809</v>
      </c>
      <c r="U26" t="s">
        <v>51</v>
      </c>
      <c r="X26" t="s">
        <v>52</v>
      </c>
      <c r="Y26" s="2">
        <v>0</v>
      </c>
      <c r="Z26" s="2">
        <v>626</v>
      </c>
      <c r="AA26">
        <v>1</v>
      </c>
      <c r="AB26" s="3">
        <v>1</v>
      </c>
      <c r="AC26" s="2">
        <v>626</v>
      </c>
      <c r="AD26" s="3">
        <v>0</v>
      </c>
      <c r="AE26" s="2">
        <v>0</v>
      </c>
      <c r="AF26" s="2">
        <v>626</v>
      </c>
      <c r="AK26">
        <v>5651602</v>
      </c>
    </row>
    <row r="27" spans="1:38" x14ac:dyDescent="0.25">
      <c r="A27" s="1">
        <v>45854</v>
      </c>
      <c r="B27" s="1">
        <v>45854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144</v>
      </c>
      <c r="J27" t="s">
        <v>143</v>
      </c>
      <c r="M27" t="s">
        <v>55</v>
      </c>
      <c r="O27" t="s">
        <v>56</v>
      </c>
      <c r="P27" t="s">
        <v>57</v>
      </c>
      <c r="Q27" t="s">
        <v>49</v>
      </c>
      <c r="R27" t="s">
        <v>134</v>
      </c>
      <c r="S27" s="1">
        <v>45809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5651603</v>
      </c>
    </row>
    <row r="28" spans="1:38" x14ac:dyDescent="0.25">
      <c r="A28" s="1">
        <v>45854</v>
      </c>
      <c r="B28" s="1">
        <v>45854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145</v>
      </c>
      <c r="J28" t="s">
        <v>146</v>
      </c>
      <c r="M28" t="s">
        <v>55</v>
      </c>
      <c r="O28" t="s">
        <v>131</v>
      </c>
      <c r="P28" t="s">
        <v>132</v>
      </c>
      <c r="Q28" t="s">
        <v>49</v>
      </c>
      <c r="R28" t="s">
        <v>126</v>
      </c>
      <c r="S28" s="1">
        <v>45870</v>
      </c>
      <c r="U28" t="s">
        <v>51</v>
      </c>
      <c r="X28" t="s">
        <v>52</v>
      </c>
      <c r="Y28" s="2">
        <v>0</v>
      </c>
      <c r="Z28" s="2">
        <v>626</v>
      </c>
      <c r="AA28">
        <v>1</v>
      </c>
      <c r="AB28" s="3">
        <v>1</v>
      </c>
      <c r="AC28" s="2">
        <v>626</v>
      </c>
      <c r="AD28" s="3">
        <v>0</v>
      </c>
      <c r="AE28" s="2">
        <v>0</v>
      </c>
      <c r="AF28" s="2">
        <v>626</v>
      </c>
      <c r="AK28">
        <v>5651626</v>
      </c>
    </row>
    <row r="29" spans="1:38" x14ac:dyDescent="0.25">
      <c r="A29" s="1">
        <v>45854</v>
      </c>
      <c r="B29" s="1">
        <v>45854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147</v>
      </c>
      <c r="J29" t="s">
        <v>148</v>
      </c>
      <c r="M29" t="s">
        <v>55</v>
      </c>
      <c r="O29" t="s">
        <v>149</v>
      </c>
      <c r="P29" t="s">
        <v>150</v>
      </c>
      <c r="Q29" t="s">
        <v>151</v>
      </c>
      <c r="R29" t="s">
        <v>152</v>
      </c>
      <c r="S29" s="1">
        <v>45839</v>
      </c>
      <c r="U29" t="s">
        <v>51</v>
      </c>
      <c r="X29" t="s">
        <v>52</v>
      </c>
      <c r="Y29" s="2">
        <v>0</v>
      </c>
      <c r="Z29" s="2">
        <v>313</v>
      </c>
      <c r="AA29">
        <v>1</v>
      </c>
      <c r="AB29" s="3">
        <v>1</v>
      </c>
      <c r="AC29" s="2">
        <v>313</v>
      </c>
      <c r="AD29" s="3">
        <v>0</v>
      </c>
      <c r="AE29" s="2">
        <v>0</v>
      </c>
      <c r="AF29" s="2">
        <v>313</v>
      </c>
      <c r="AK29">
        <v>5651664</v>
      </c>
      <c r="AL29" t="s">
        <v>77</v>
      </c>
    </row>
    <row r="30" spans="1:38" x14ac:dyDescent="0.25">
      <c r="A30" s="1">
        <v>45854</v>
      </c>
      <c r="B30" s="1">
        <v>45854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153</v>
      </c>
      <c r="J30" t="s">
        <v>148</v>
      </c>
      <c r="M30" t="s">
        <v>55</v>
      </c>
      <c r="O30" t="s">
        <v>149</v>
      </c>
      <c r="P30" t="s">
        <v>150</v>
      </c>
      <c r="Q30" t="s">
        <v>49</v>
      </c>
      <c r="R30" t="s">
        <v>154</v>
      </c>
      <c r="S30" s="1">
        <v>45839</v>
      </c>
      <c r="U30" t="s">
        <v>51</v>
      </c>
      <c r="X30" t="s">
        <v>52</v>
      </c>
      <c r="Y30" s="2">
        <v>0</v>
      </c>
      <c r="Z30" s="2">
        <v>87.5</v>
      </c>
      <c r="AA30">
        <v>1</v>
      </c>
      <c r="AB30" s="3">
        <v>1</v>
      </c>
      <c r="AC30" s="2">
        <v>87.5</v>
      </c>
      <c r="AD30" s="3">
        <v>0</v>
      </c>
      <c r="AE30" s="2">
        <v>0</v>
      </c>
      <c r="AF30" s="2">
        <v>87.5</v>
      </c>
      <c r="AK30">
        <v>5651665</v>
      </c>
      <c r="AL30" t="s">
        <v>77</v>
      </c>
    </row>
    <row r="31" spans="1:38" x14ac:dyDescent="0.25">
      <c r="A31" s="1">
        <v>45854</v>
      </c>
      <c r="B31" s="1">
        <v>45854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155</v>
      </c>
      <c r="J31" t="s">
        <v>156</v>
      </c>
      <c r="M31" t="s">
        <v>73</v>
      </c>
      <c r="O31" t="s">
        <v>131</v>
      </c>
      <c r="P31" t="s">
        <v>132</v>
      </c>
      <c r="Q31" t="s">
        <v>49</v>
      </c>
      <c r="R31" t="s">
        <v>157</v>
      </c>
      <c r="S31" s="1">
        <v>45870</v>
      </c>
      <c r="U31" t="s">
        <v>51</v>
      </c>
      <c r="X31" t="s">
        <v>52</v>
      </c>
      <c r="Y31" s="2">
        <v>0</v>
      </c>
      <c r="Z31" s="2">
        <v>58.19</v>
      </c>
      <c r="AA31">
        <v>9</v>
      </c>
      <c r="AB31" s="3">
        <v>1</v>
      </c>
      <c r="AC31" s="2">
        <v>523.71</v>
      </c>
      <c r="AD31" s="3">
        <v>0</v>
      </c>
      <c r="AE31" s="2">
        <v>0</v>
      </c>
      <c r="AF31" s="2">
        <v>523.71</v>
      </c>
      <c r="AK31">
        <v>5651539</v>
      </c>
    </row>
    <row r="32" spans="1:38" s="6" customFormat="1" x14ac:dyDescent="0.25">
      <c r="A32" s="7">
        <v>45854</v>
      </c>
      <c r="B32" s="7">
        <v>45854</v>
      </c>
      <c r="C32" s="6" t="s">
        <v>38</v>
      </c>
      <c r="D32" s="6" t="s">
        <v>39</v>
      </c>
      <c r="E32" s="6" t="s">
        <v>40</v>
      </c>
      <c r="F32" s="6" t="s">
        <v>41</v>
      </c>
      <c r="G32" s="6" t="s">
        <v>42</v>
      </c>
      <c r="H32" s="6" t="s">
        <v>43</v>
      </c>
      <c r="I32" s="6" t="s">
        <v>158</v>
      </c>
      <c r="J32" s="6" t="s">
        <v>159</v>
      </c>
      <c r="M32" s="6" t="s">
        <v>99</v>
      </c>
      <c r="O32" s="6" t="s">
        <v>160</v>
      </c>
      <c r="P32" s="6" t="s">
        <v>161</v>
      </c>
      <c r="Q32" s="6" t="s">
        <v>49</v>
      </c>
      <c r="R32" s="6" t="s">
        <v>162</v>
      </c>
      <c r="S32" s="7">
        <v>45839</v>
      </c>
      <c r="U32" s="6" t="s">
        <v>51</v>
      </c>
      <c r="X32" s="6" t="s">
        <v>52</v>
      </c>
      <c r="Y32" s="8">
        <v>0</v>
      </c>
      <c r="Z32" s="8">
        <v>29.52</v>
      </c>
      <c r="AA32" s="6">
        <v>9</v>
      </c>
      <c r="AB32" s="9">
        <v>1</v>
      </c>
      <c r="AC32" s="8">
        <v>265.68</v>
      </c>
      <c r="AD32" s="9">
        <v>0</v>
      </c>
      <c r="AE32" s="8">
        <v>0</v>
      </c>
      <c r="AF32" s="8">
        <v>265.68</v>
      </c>
      <c r="AH32" s="6" t="s">
        <v>238</v>
      </c>
      <c r="AK32" s="6">
        <v>5651538</v>
      </c>
    </row>
    <row r="33" spans="1:37" s="6" customFormat="1" x14ac:dyDescent="0.25">
      <c r="A33" s="7">
        <v>45854</v>
      </c>
      <c r="B33" s="7">
        <v>45854</v>
      </c>
      <c r="C33" s="6" t="s">
        <v>38</v>
      </c>
      <c r="D33" s="6" t="s">
        <v>39</v>
      </c>
      <c r="E33" s="6" t="s">
        <v>40</v>
      </c>
      <c r="F33" s="6" t="s">
        <v>41</v>
      </c>
      <c r="G33" s="6" t="s">
        <v>42</v>
      </c>
      <c r="H33" s="6" t="s">
        <v>43</v>
      </c>
      <c r="I33" s="6" t="s">
        <v>163</v>
      </c>
      <c r="J33" s="6" t="s">
        <v>164</v>
      </c>
      <c r="M33" s="6" t="s">
        <v>55</v>
      </c>
      <c r="O33" s="6" t="s">
        <v>165</v>
      </c>
      <c r="P33" s="6" t="s">
        <v>166</v>
      </c>
      <c r="Q33" s="6" t="s">
        <v>49</v>
      </c>
      <c r="R33" s="6" t="s">
        <v>167</v>
      </c>
      <c r="S33" s="7">
        <v>45839</v>
      </c>
      <c r="U33" s="6" t="s">
        <v>51</v>
      </c>
      <c r="X33" s="6" t="s">
        <v>52</v>
      </c>
      <c r="Y33" s="8">
        <v>0</v>
      </c>
      <c r="Z33" s="8">
        <v>27</v>
      </c>
      <c r="AA33" s="6">
        <v>9</v>
      </c>
      <c r="AB33" s="9">
        <v>1</v>
      </c>
      <c r="AC33" s="8">
        <v>243</v>
      </c>
      <c r="AD33" s="9">
        <v>0</v>
      </c>
      <c r="AE33" s="8">
        <v>0</v>
      </c>
      <c r="AF33" s="8">
        <v>243</v>
      </c>
      <c r="AH33" s="6" t="s">
        <v>239</v>
      </c>
      <c r="AK33" s="6">
        <v>5651541</v>
      </c>
    </row>
    <row r="34" spans="1:37" x14ac:dyDescent="0.25">
      <c r="A34" s="1">
        <v>45854</v>
      </c>
      <c r="B34" s="1">
        <v>45854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168</v>
      </c>
      <c r="J34" t="s">
        <v>169</v>
      </c>
      <c r="M34" t="s">
        <v>115</v>
      </c>
      <c r="O34" t="s">
        <v>170</v>
      </c>
      <c r="P34" t="s">
        <v>171</v>
      </c>
      <c r="Q34" t="s">
        <v>49</v>
      </c>
      <c r="R34" t="s">
        <v>172</v>
      </c>
      <c r="S34" s="1">
        <v>45870</v>
      </c>
      <c r="U34" t="s">
        <v>51</v>
      </c>
      <c r="X34" t="s">
        <v>52</v>
      </c>
      <c r="Y34" s="2">
        <v>0</v>
      </c>
      <c r="Z34" s="2">
        <v>31.02</v>
      </c>
      <c r="AA34">
        <v>9</v>
      </c>
      <c r="AB34" s="3">
        <v>1</v>
      </c>
      <c r="AC34" s="2">
        <v>279.18</v>
      </c>
      <c r="AD34" s="3">
        <v>0</v>
      </c>
      <c r="AE34" s="2">
        <v>0</v>
      </c>
      <c r="AF34" s="2">
        <v>279.18</v>
      </c>
      <c r="AK34">
        <v>5651540</v>
      </c>
    </row>
    <row r="35" spans="1:37" x14ac:dyDescent="0.25">
      <c r="A35" s="1">
        <v>45854</v>
      </c>
      <c r="B35" s="1">
        <v>45854</v>
      </c>
      <c r="C35" t="s">
        <v>173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174</v>
      </c>
      <c r="J35" t="s">
        <v>175</v>
      </c>
      <c r="M35" t="s">
        <v>87</v>
      </c>
      <c r="O35" t="s">
        <v>118</v>
      </c>
      <c r="P35" t="s">
        <v>119</v>
      </c>
      <c r="Q35" t="s">
        <v>176</v>
      </c>
      <c r="R35" t="s">
        <v>50</v>
      </c>
      <c r="S35" s="1">
        <v>45658</v>
      </c>
      <c r="U35" t="s">
        <v>51</v>
      </c>
      <c r="X35" t="s">
        <v>52</v>
      </c>
      <c r="AF35" s="2">
        <v>108</v>
      </c>
      <c r="AG35" s="2">
        <v>0</v>
      </c>
      <c r="AJ35" s="2">
        <v>54</v>
      </c>
    </row>
    <row r="36" spans="1:37" x14ac:dyDescent="0.25">
      <c r="A36" s="1">
        <v>45854</v>
      </c>
      <c r="B36" s="1">
        <v>45854</v>
      </c>
      <c r="C36" t="s">
        <v>173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177</v>
      </c>
      <c r="J36" t="s">
        <v>45</v>
      </c>
      <c r="M36" t="s">
        <v>87</v>
      </c>
      <c r="O36" t="s">
        <v>47</v>
      </c>
      <c r="P36" t="s">
        <v>48</v>
      </c>
      <c r="Q36" t="s">
        <v>176</v>
      </c>
      <c r="R36" t="s">
        <v>58</v>
      </c>
      <c r="S36" s="1">
        <v>45658</v>
      </c>
      <c r="U36" t="s">
        <v>51</v>
      </c>
      <c r="X36" t="s">
        <v>52</v>
      </c>
      <c r="AF36" s="2">
        <v>175</v>
      </c>
      <c r="AG36" s="2">
        <v>0</v>
      </c>
      <c r="AJ36" s="2">
        <v>87.5</v>
      </c>
    </row>
    <row r="37" spans="1:37" x14ac:dyDescent="0.25">
      <c r="A37" s="1">
        <v>45854</v>
      </c>
      <c r="B37" s="1">
        <v>45854</v>
      </c>
      <c r="C37" t="s">
        <v>173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178</v>
      </c>
      <c r="J37" t="s">
        <v>179</v>
      </c>
      <c r="M37" t="s">
        <v>87</v>
      </c>
      <c r="O37" t="s">
        <v>180</v>
      </c>
      <c r="P37" t="s">
        <v>181</v>
      </c>
      <c r="Q37" t="s">
        <v>176</v>
      </c>
      <c r="R37" t="s">
        <v>58</v>
      </c>
      <c r="S37" s="1">
        <v>45658</v>
      </c>
      <c r="U37" t="s">
        <v>51</v>
      </c>
      <c r="X37" t="s">
        <v>52</v>
      </c>
      <c r="AF37" s="2">
        <v>175</v>
      </c>
      <c r="AG37" s="2">
        <v>0</v>
      </c>
      <c r="AJ37" s="2">
        <v>87.5</v>
      </c>
    </row>
    <row r="38" spans="1:37" x14ac:dyDescent="0.25">
      <c r="A38" s="1">
        <v>45854</v>
      </c>
      <c r="B38" s="1">
        <v>45854</v>
      </c>
      <c r="C38" t="s">
        <v>173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182</v>
      </c>
      <c r="J38" t="s">
        <v>183</v>
      </c>
      <c r="M38" t="s">
        <v>55</v>
      </c>
      <c r="O38" t="s">
        <v>184</v>
      </c>
      <c r="P38" t="s">
        <v>185</v>
      </c>
      <c r="Q38" t="s">
        <v>176</v>
      </c>
      <c r="R38" t="s">
        <v>58</v>
      </c>
      <c r="S38" s="1">
        <v>45778</v>
      </c>
      <c r="U38" t="s">
        <v>51</v>
      </c>
      <c r="X38" t="s">
        <v>52</v>
      </c>
      <c r="AF38" s="2">
        <v>175</v>
      </c>
      <c r="AG38" s="2">
        <v>0</v>
      </c>
      <c r="AJ38" s="2">
        <v>87.5</v>
      </c>
    </row>
    <row r="39" spans="1:37" x14ac:dyDescent="0.25">
      <c r="A39" s="1">
        <v>45854</v>
      </c>
      <c r="B39" s="1">
        <v>45854</v>
      </c>
      <c r="C39" t="s">
        <v>173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186</v>
      </c>
      <c r="J39" t="s">
        <v>187</v>
      </c>
      <c r="M39" t="s">
        <v>55</v>
      </c>
      <c r="O39" t="s">
        <v>188</v>
      </c>
      <c r="P39" t="s">
        <v>189</v>
      </c>
      <c r="Q39" t="s">
        <v>176</v>
      </c>
      <c r="R39" t="s">
        <v>190</v>
      </c>
      <c r="S39" s="1">
        <v>45658</v>
      </c>
      <c r="U39" t="s">
        <v>51</v>
      </c>
      <c r="X39" t="s">
        <v>52</v>
      </c>
      <c r="AF39" s="2">
        <v>50</v>
      </c>
      <c r="AG39" s="2">
        <v>0</v>
      </c>
      <c r="AJ39" s="2">
        <v>25</v>
      </c>
    </row>
    <row r="40" spans="1:37" x14ac:dyDescent="0.25">
      <c r="A40" s="1">
        <v>45854</v>
      </c>
      <c r="B40" s="1">
        <v>45854</v>
      </c>
      <c r="C40" t="s">
        <v>173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191</v>
      </c>
      <c r="J40" t="s">
        <v>192</v>
      </c>
      <c r="M40" t="s">
        <v>46</v>
      </c>
      <c r="O40" t="s">
        <v>124</v>
      </c>
      <c r="P40" t="s">
        <v>125</v>
      </c>
      <c r="Q40" t="s">
        <v>176</v>
      </c>
      <c r="R40" t="s">
        <v>190</v>
      </c>
      <c r="S40" s="1">
        <v>45809</v>
      </c>
      <c r="U40" t="s">
        <v>51</v>
      </c>
      <c r="X40" t="s">
        <v>52</v>
      </c>
      <c r="AF40" s="2">
        <v>50</v>
      </c>
      <c r="AG40" s="2">
        <v>0</v>
      </c>
      <c r="AJ40" s="2">
        <v>50</v>
      </c>
    </row>
    <row r="41" spans="1:37" x14ac:dyDescent="0.25">
      <c r="A41" s="1">
        <v>45854</v>
      </c>
      <c r="B41" s="1">
        <v>45854</v>
      </c>
      <c r="C41" t="s">
        <v>173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193</v>
      </c>
      <c r="J41" t="s">
        <v>122</v>
      </c>
      <c r="M41" t="s">
        <v>123</v>
      </c>
      <c r="O41" t="s">
        <v>124</v>
      </c>
      <c r="P41" t="s">
        <v>125</v>
      </c>
      <c r="Q41" t="s">
        <v>176</v>
      </c>
      <c r="R41" t="s">
        <v>194</v>
      </c>
      <c r="S41" s="1">
        <v>45839</v>
      </c>
      <c r="U41" t="s">
        <v>51</v>
      </c>
      <c r="X41" t="s">
        <v>52</v>
      </c>
      <c r="AF41" s="2">
        <v>156.5</v>
      </c>
      <c r="AG41" s="2">
        <v>0</v>
      </c>
      <c r="AJ41" s="2">
        <v>156.5</v>
      </c>
    </row>
    <row r="42" spans="1:37" x14ac:dyDescent="0.25">
      <c r="A42" s="1">
        <v>45854</v>
      </c>
      <c r="B42" s="1">
        <v>45854</v>
      </c>
      <c r="C42" t="s">
        <v>173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195</v>
      </c>
      <c r="J42" t="s">
        <v>128</v>
      </c>
      <c r="M42" t="s">
        <v>73</v>
      </c>
      <c r="O42" t="s">
        <v>124</v>
      </c>
      <c r="P42" t="s">
        <v>125</v>
      </c>
      <c r="Q42" t="s">
        <v>176</v>
      </c>
      <c r="R42" t="s">
        <v>194</v>
      </c>
      <c r="S42" s="1">
        <v>45901</v>
      </c>
      <c r="U42" t="s">
        <v>51</v>
      </c>
      <c r="X42" t="s">
        <v>52</v>
      </c>
      <c r="AF42" s="2">
        <v>104.33</v>
      </c>
      <c r="AG42" s="2">
        <v>0</v>
      </c>
      <c r="AJ42" s="2">
        <v>104.33</v>
      </c>
    </row>
    <row r="43" spans="1:37" x14ac:dyDescent="0.25">
      <c r="A43" s="1">
        <v>45854</v>
      </c>
      <c r="B43" s="1">
        <v>45854</v>
      </c>
      <c r="C43" t="s">
        <v>173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196</v>
      </c>
      <c r="J43" t="s">
        <v>136</v>
      </c>
      <c r="M43" t="s">
        <v>115</v>
      </c>
      <c r="O43" t="s">
        <v>124</v>
      </c>
      <c r="P43" t="s">
        <v>125</v>
      </c>
      <c r="Q43" t="s">
        <v>176</v>
      </c>
      <c r="R43" t="s">
        <v>194</v>
      </c>
      <c r="S43" s="1">
        <v>45901</v>
      </c>
      <c r="U43" t="s">
        <v>51</v>
      </c>
      <c r="X43" t="s">
        <v>52</v>
      </c>
      <c r="AF43" s="2">
        <v>104.33</v>
      </c>
      <c r="AG43" s="2">
        <v>0</v>
      </c>
      <c r="AJ43" s="2">
        <v>104.33</v>
      </c>
    </row>
    <row r="44" spans="1:37" x14ac:dyDescent="0.25">
      <c r="A44" s="1">
        <v>45854</v>
      </c>
      <c r="B44" s="1">
        <v>45854</v>
      </c>
      <c r="C44" t="s">
        <v>173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197</v>
      </c>
      <c r="J44" t="s">
        <v>138</v>
      </c>
      <c r="M44" t="s">
        <v>139</v>
      </c>
      <c r="O44" t="s">
        <v>140</v>
      </c>
      <c r="P44" t="s">
        <v>141</v>
      </c>
      <c r="Q44" t="s">
        <v>176</v>
      </c>
      <c r="R44" t="s">
        <v>194</v>
      </c>
      <c r="S44" s="1">
        <v>45839</v>
      </c>
      <c r="U44" t="s">
        <v>51</v>
      </c>
      <c r="X44" t="s">
        <v>52</v>
      </c>
      <c r="AF44" s="2">
        <v>156.5</v>
      </c>
      <c r="AG44" s="2">
        <v>0</v>
      </c>
      <c r="AJ44" s="2">
        <v>156.5</v>
      </c>
    </row>
    <row r="45" spans="1:37" x14ac:dyDescent="0.25">
      <c r="A45" s="1">
        <v>45854</v>
      </c>
      <c r="B45" s="1">
        <v>45854</v>
      </c>
      <c r="C45" t="s">
        <v>173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198</v>
      </c>
      <c r="J45" t="s">
        <v>143</v>
      </c>
      <c r="M45" t="s">
        <v>55</v>
      </c>
      <c r="O45" t="s">
        <v>56</v>
      </c>
      <c r="P45" t="s">
        <v>57</v>
      </c>
      <c r="Q45" t="s">
        <v>176</v>
      </c>
      <c r="R45" t="s">
        <v>194</v>
      </c>
      <c r="S45" s="1">
        <v>45809</v>
      </c>
      <c r="U45" t="s">
        <v>51</v>
      </c>
      <c r="X45" t="s">
        <v>52</v>
      </c>
      <c r="AF45" s="2">
        <v>182.58</v>
      </c>
      <c r="AG45" s="2">
        <v>0</v>
      </c>
      <c r="AJ45" s="2">
        <v>182.58</v>
      </c>
    </row>
    <row r="46" spans="1:37" x14ac:dyDescent="0.25">
      <c r="A46" s="1">
        <v>45854</v>
      </c>
      <c r="B46" s="1">
        <v>45854</v>
      </c>
      <c r="C46" t="s">
        <v>173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199</v>
      </c>
      <c r="J46" t="s">
        <v>143</v>
      </c>
      <c r="M46" t="s">
        <v>55</v>
      </c>
      <c r="O46" t="s">
        <v>56</v>
      </c>
      <c r="P46" t="s">
        <v>57</v>
      </c>
      <c r="Q46" t="s">
        <v>176</v>
      </c>
      <c r="R46" t="s">
        <v>134</v>
      </c>
      <c r="S46" s="1">
        <v>45809</v>
      </c>
      <c r="U46" t="s">
        <v>51</v>
      </c>
      <c r="X46" t="s">
        <v>52</v>
      </c>
      <c r="AF46" s="2">
        <v>175</v>
      </c>
      <c r="AG46" s="2">
        <v>0</v>
      </c>
      <c r="AJ46" s="2">
        <v>175</v>
      </c>
    </row>
    <row r="47" spans="1:37" x14ac:dyDescent="0.25">
      <c r="A47" s="1">
        <v>45854</v>
      </c>
      <c r="B47" s="1">
        <v>45854</v>
      </c>
      <c r="C47" t="s">
        <v>173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200</v>
      </c>
      <c r="J47" t="s">
        <v>146</v>
      </c>
      <c r="M47" t="s">
        <v>55</v>
      </c>
      <c r="O47" t="s">
        <v>131</v>
      </c>
      <c r="P47" t="s">
        <v>132</v>
      </c>
      <c r="Q47" t="s">
        <v>176</v>
      </c>
      <c r="R47" t="s">
        <v>194</v>
      </c>
      <c r="S47" s="1">
        <v>45870</v>
      </c>
      <c r="U47" t="s">
        <v>51</v>
      </c>
      <c r="X47" t="s">
        <v>52</v>
      </c>
      <c r="AF47" s="2">
        <v>130.41999999999999</v>
      </c>
      <c r="AG47" s="2">
        <v>0</v>
      </c>
      <c r="AJ47" s="2">
        <v>130.41999999999999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1F69-E55F-4B18-A82B-35FA5A88D3A7}">
  <dimension ref="A1:R45"/>
  <sheetViews>
    <sheetView topLeftCell="A12" workbookViewId="0">
      <selection activeCell="O39" sqref="O39"/>
    </sheetView>
  </sheetViews>
  <sheetFormatPr defaultRowHeight="15" x14ac:dyDescent="0.25"/>
  <cols>
    <col min="1" max="1" width="16" style="4" bestFit="1" customWidth="1"/>
    <col min="2" max="2" width="16" style="4" customWidth="1"/>
    <col min="3" max="3" width="21.85546875" bestFit="1" customWidth="1"/>
    <col min="4" max="4" width="5.5703125" bestFit="1" customWidth="1"/>
    <col min="5" max="5" width="15.7109375" bestFit="1" customWidth="1"/>
    <col min="6" max="6" width="23.7109375" bestFit="1" customWidth="1"/>
    <col min="7" max="7" width="47.140625" bestFit="1" customWidth="1"/>
    <col min="8" max="8" width="10.140625" bestFit="1" customWidth="1"/>
    <col min="13" max="13" width="16.140625" bestFit="1" customWidth="1"/>
    <col min="14" max="14" width="34.140625" bestFit="1" customWidth="1"/>
  </cols>
  <sheetData>
    <row r="1" spans="1:14" x14ac:dyDescent="0.25">
      <c r="A1" s="4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25</v>
      </c>
      <c r="J1" t="s">
        <v>26</v>
      </c>
      <c r="K1" t="s">
        <v>27</v>
      </c>
      <c r="L1" t="s">
        <v>28</v>
      </c>
      <c r="M1" t="s">
        <v>37</v>
      </c>
    </row>
    <row r="2" spans="1:14" s="6" customFormat="1" x14ac:dyDescent="0.25">
      <c r="A2" s="5" t="s">
        <v>215</v>
      </c>
      <c r="B2" s="5" t="s">
        <v>215</v>
      </c>
      <c r="C2" s="6" t="s">
        <v>187</v>
      </c>
      <c r="D2" s="6" t="s">
        <v>55</v>
      </c>
      <c r="E2" s="6">
        <v>20411454</v>
      </c>
      <c r="F2" s="6" t="s">
        <v>237</v>
      </c>
      <c r="G2" s="6" t="s">
        <v>190</v>
      </c>
      <c r="H2" s="7">
        <v>45658</v>
      </c>
      <c r="L2" s="6">
        <v>-25</v>
      </c>
      <c r="N2" s="6" t="s">
        <v>224</v>
      </c>
    </row>
    <row r="3" spans="1:14" s="6" customFormat="1" x14ac:dyDescent="0.25">
      <c r="A3" s="5" t="s">
        <v>216</v>
      </c>
      <c r="B3" s="5" t="s">
        <v>216</v>
      </c>
      <c r="C3" s="6" t="s">
        <v>192</v>
      </c>
      <c r="D3" s="6" t="s">
        <v>46</v>
      </c>
      <c r="E3" s="6">
        <v>20411454</v>
      </c>
      <c r="F3" s="6" t="s">
        <v>237</v>
      </c>
      <c r="G3" s="6" t="s">
        <v>190</v>
      </c>
      <c r="H3" s="7">
        <v>45809</v>
      </c>
      <c r="L3" s="6">
        <v>-50</v>
      </c>
      <c r="N3" s="6" t="s">
        <v>224</v>
      </c>
    </row>
    <row r="4" spans="1:14" s="6" customFormat="1" x14ac:dyDescent="0.25">
      <c r="A4" s="5">
        <v>101960796400</v>
      </c>
      <c r="B4" s="5" t="str">
        <f t="shared" ref="B4:B24" si="0">CONCATENATE(A4,0)</f>
        <v>1019607964000</v>
      </c>
      <c r="C4" s="6" t="s">
        <v>72</v>
      </c>
      <c r="D4" s="6" t="s">
        <v>73</v>
      </c>
      <c r="E4" s="6">
        <v>20411454</v>
      </c>
      <c r="F4" s="6" t="s">
        <v>237</v>
      </c>
      <c r="G4" s="6" t="s">
        <v>76</v>
      </c>
      <c r="H4" s="7">
        <v>45839</v>
      </c>
      <c r="I4" s="8">
        <v>25</v>
      </c>
      <c r="J4" s="6">
        <v>1</v>
      </c>
      <c r="K4" s="9">
        <v>1</v>
      </c>
      <c r="L4" s="8">
        <v>25</v>
      </c>
      <c r="M4" s="6" t="s">
        <v>77</v>
      </c>
      <c r="N4" s="6" t="s">
        <v>224</v>
      </c>
    </row>
    <row r="5" spans="1:14" s="6" customFormat="1" x14ac:dyDescent="0.25">
      <c r="A5" s="5">
        <v>101993322100</v>
      </c>
      <c r="B5" s="5" t="str">
        <f t="shared" si="0"/>
        <v>1019933221000</v>
      </c>
      <c r="C5" s="6" t="s">
        <v>79</v>
      </c>
      <c r="D5" s="6" t="s">
        <v>73</v>
      </c>
      <c r="E5" s="6">
        <v>20411454</v>
      </c>
      <c r="F5" s="6" t="s">
        <v>237</v>
      </c>
      <c r="G5" s="6" t="s">
        <v>76</v>
      </c>
      <c r="H5" s="7">
        <v>45839</v>
      </c>
      <c r="I5" s="8">
        <v>25</v>
      </c>
      <c r="J5" s="6">
        <v>1</v>
      </c>
      <c r="K5" s="9">
        <v>1</v>
      </c>
      <c r="L5" s="8">
        <v>25</v>
      </c>
      <c r="M5" s="6" t="s">
        <v>77</v>
      </c>
      <c r="N5" s="6" t="s">
        <v>224</v>
      </c>
    </row>
    <row r="6" spans="1:14" s="6" customFormat="1" x14ac:dyDescent="0.25">
      <c r="A6" s="5">
        <v>102179947100</v>
      </c>
      <c r="B6" s="5" t="str">
        <f t="shared" si="0"/>
        <v>1021799471000</v>
      </c>
      <c r="C6" s="6" t="s">
        <v>81</v>
      </c>
      <c r="D6" s="6" t="s">
        <v>46</v>
      </c>
      <c r="E6" s="6">
        <v>20411454</v>
      </c>
      <c r="F6" s="6" t="s">
        <v>237</v>
      </c>
      <c r="G6" s="6" t="s">
        <v>76</v>
      </c>
      <c r="H6" s="7">
        <v>45870</v>
      </c>
      <c r="I6" s="8">
        <v>20.83</v>
      </c>
      <c r="J6" s="6">
        <v>1</v>
      </c>
      <c r="K6" s="9">
        <v>1</v>
      </c>
      <c r="L6" s="8">
        <v>20.83</v>
      </c>
      <c r="M6" s="6" t="s">
        <v>84</v>
      </c>
      <c r="N6" s="6" t="s">
        <v>224</v>
      </c>
    </row>
    <row r="7" spans="1:14" s="6" customFormat="1" x14ac:dyDescent="0.25">
      <c r="A7" s="5">
        <v>102179989200</v>
      </c>
      <c r="B7" s="5" t="str">
        <f t="shared" si="0"/>
        <v>1021799892000</v>
      </c>
      <c r="C7" s="6" t="s">
        <v>86</v>
      </c>
      <c r="D7" s="6" t="s">
        <v>87</v>
      </c>
      <c r="E7" s="6">
        <v>20411454</v>
      </c>
      <c r="F7" s="6" t="s">
        <v>237</v>
      </c>
      <c r="G7" s="6" t="s">
        <v>76</v>
      </c>
      <c r="H7" s="7">
        <v>45839</v>
      </c>
      <c r="I7" s="8">
        <v>25</v>
      </c>
      <c r="J7" s="6">
        <v>1</v>
      </c>
      <c r="K7" s="9">
        <v>1</v>
      </c>
      <c r="L7" s="8">
        <v>25</v>
      </c>
      <c r="M7" s="6" t="s">
        <v>77</v>
      </c>
      <c r="N7" s="6" t="s">
        <v>224</v>
      </c>
    </row>
    <row r="8" spans="1:14" s="6" customFormat="1" x14ac:dyDescent="0.25">
      <c r="A8" s="5">
        <v>102180438800</v>
      </c>
      <c r="B8" s="5" t="str">
        <f t="shared" si="0"/>
        <v>1021804388000</v>
      </c>
      <c r="C8" s="6" t="s">
        <v>89</v>
      </c>
      <c r="D8" s="6" t="s">
        <v>55</v>
      </c>
      <c r="E8" s="6">
        <v>20411454</v>
      </c>
      <c r="F8" s="6" t="s">
        <v>237</v>
      </c>
      <c r="G8" s="6" t="s">
        <v>76</v>
      </c>
      <c r="H8" s="7">
        <v>45839</v>
      </c>
      <c r="I8" s="8">
        <v>25</v>
      </c>
      <c r="J8" s="6">
        <v>1</v>
      </c>
      <c r="K8" s="9">
        <v>1</v>
      </c>
      <c r="L8" s="8">
        <v>25</v>
      </c>
      <c r="M8" s="6" t="s">
        <v>77</v>
      </c>
      <c r="N8" s="6" t="s">
        <v>224</v>
      </c>
    </row>
    <row r="9" spans="1:14" s="6" customFormat="1" x14ac:dyDescent="0.25">
      <c r="A9" s="5">
        <v>102180643300</v>
      </c>
      <c r="B9" s="5" t="str">
        <f t="shared" si="0"/>
        <v>1021806433000</v>
      </c>
      <c r="C9" s="6" t="s">
        <v>91</v>
      </c>
      <c r="D9" s="6" t="s">
        <v>92</v>
      </c>
      <c r="E9" s="6">
        <v>20411454</v>
      </c>
      <c r="F9" s="6" t="s">
        <v>237</v>
      </c>
      <c r="G9" s="6" t="s">
        <v>76</v>
      </c>
      <c r="H9" s="7">
        <v>45870</v>
      </c>
      <c r="I9" s="8">
        <v>20.83</v>
      </c>
      <c r="J9" s="6">
        <v>1</v>
      </c>
      <c r="K9" s="9">
        <v>1</v>
      </c>
      <c r="L9" s="8">
        <v>20.83</v>
      </c>
      <c r="M9" s="6" t="s">
        <v>84</v>
      </c>
      <c r="N9" s="6" t="s">
        <v>224</v>
      </c>
    </row>
    <row r="10" spans="1:14" s="6" customFormat="1" x14ac:dyDescent="0.25">
      <c r="A10" s="5">
        <v>102180688400</v>
      </c>
      <c r="B10" s="5" t="str">
        <f t="shared" si="0"/>
        <v>1021806884000</v>
      </c>
      <c r="C10" s="6" t="s">
        <v>96</v>
      </c>
      <c r="D10" s="6" t="s">
        <v>55</v>
      </c>
      <c r="E10" s="6">
        <v>20411454</v>
      </c>
      <c r="F10" s="6" t="s">
        <v>237</v>
      </c>
      <c r="G10" s="6" t="s">
        <v>76</v>
      </c>
      <c r="H10" s="7">
        <v>45870</v>
      </c>
      <c r="I10" s="8">
        <v>20.83</v>
      </c>
      <c r="J10" s="6">
        <v>1</v>
      </c>
      <c r="K10" s="9">
        <v>1</v>
      </c>
      <c r="L10" s="8">
        <v>20.83</v>
      </c>
      <c r="M10" s="6" t="s">
        <v>84</v>
      </c>
      <c r="N10" s="6" t="s">
        <v>224</v>
      </c>
    </row>
    <row r="11" spans="1:14" s="6" customFormat="1" x14ac:dyDescent="0.25">
      <c r="A11" s="5">
        <v>102180919900</v>
      </c>
      <c r="B11" s="5" t="str">
        <f t="shared" si="0"/>
        <v>1021809199000</v>
      </c>
      <c r="C11" s="6" t="s">
        <v>98</v>
      </c>
      <c r="D11" s="6" t="s">
        <v>99</v>
      </c>
      <c r="E11" s="6">
        <v>20411454</v>
      </c>
      <c r="F11" s="6" t="s">
        <v>237</v>
      </c>
      <c r="G11" s="6" t="s">
        <v>76</v>
      </c>
      <c r="H11" s="7">
        <v>45839</v>
      </c>
      <c r="I11" s="8">
        <v>25</v>
      </c>
      <c r="J11" s="6">
        <v>1</v>
      </c>
      <c r="K11" s="9">
        <v>1</v>
      </c>
      <c r="L11" s="8">
        <v>25</v>
      </c>
      <c r="M11" s="6" t="s">
        <v>77</v>
      </c>
      <c r="N11" s="6" t="s">
        <v>224</v>
      </c>
    </row>
    <row r="12" spans="1:14" s="6" customFormat="1" x14ac:dyDescent="0.25">
      <c r="A12" s="5">
        <v>102181196800</v>
      </c>
      <c r="B12" s="5" t="str">
        <f t="shared" si="0"/>
        <v>1021811968000</v>
      </c>
      <c r="C12" s="6" t="s">
        <v>103</v>
      </c>
      <c r="D12" s="6" t="s">
        <v>55</v>
      </c>
      <c r="E12" s="6">
        <v>20411454</v>
      </c>
      <c r="F12" s="6" t="s">
        <v>237</v>
      </c>
      <c r="G12" s="6" t="s">
        <v>76</v>
      </c>
      <c r="H12" s="7">
        <v>45839</v>
      </c>
      <c r="I12" s="8">
        <v>25</v>
      </c>
      <c r="J12" s="6">
        <v>1</v>
      </c>
      <c r="K12" s="9">
        <v>1</v>
      </c>
      <c r="L12" s="8">
        <v>25</v>
      </c>
      <c r="M12" s="6" t="s">
        <v>77</v>
      </c>
      <c r="N12" s="6" t="s">
        <v>224</v>
      </c>
    </row>
    <row r="13" spans="1:14" s="6" customFormat="1" x14ac:dyDescent="0.25">
      <c r="A13" s="5">
        <v>102181527800</v>
      </c>
      <c r="B13" s="5" t="str">
        <f t="shared" si="0"/>
        <v>1021815278000</v>
      </c>
      <c r="C13" s="6" t="s">
        <v>107</v>
      </c>
      <c r="D13" s="6" t="s">
        <v>108</v>
      </c>
      <c r="E13" s="6">
        <v>20411454</v>
      </c>
      <c r="F13" s="6" t="s">
        <v>237</v>
      </c>
      <c r="G13" s="6" t="s">
        <v>76</v>
      </c>
      <c r="H13" s="7">
        <v>45839</v>
      </c>
      <c r="I13" s="8">
        <v>25</v>
      </c>
      <c r="J13" s="6">
        <v>1</v>
      </c>
      <c r="K13" s="9">
        <v>1</v>
      </c>
      <c r="L13" s="8">
        <v>25</v>
      </c>
      <c r="M13" s="6" t="s">
        <v>77</v>
      </c>
      <c r="N13" s="6" t="s">
        <v>224</v>
      </c>
    </row>
    <row r="14" spans="1:14" s="6" customFormat="1" x14ac:dyDescent="0.25">
      <c r="A14" s="5">
        <v>102181870900</v>
      </c>
      <c r="B14" s="5" t="str">
        <f t="shared" si="0"/>
        <v>1021818709000</v>
      </c>
      <c r="C14" s="6" t="s">
        <v>112</v>
      </c>
      <c r="D14" s="6" t="s">
        <v>55</v>
      </c>
      <c r="E14" s="6">
        <v>20411454</v>
      </c>
      <c r="F14" s="6" t="s">
        <v>237</v>
      </c>
      <c r="G14" s="6" t="s">
        <v>76</v>
      </c>
      <c r="H14" s="7">
        <v>45839</v>
      </c>
      <c r="I14" s="8">
        <v>25</v>
      </c>
      <c r="J14" s="6">
        <v>1</v>
      </c>
      <c r="K14" s="9">
        <v>1</v>
      </c>
      <c r="L14" s="8">
        <v>25</v>
      </c>
      <c r="M14" s="6" t="s">
        <v>77</v>
      </c>
      <c r="N14" s="6" t="s">
        <v>224</v>
      </c>
    </row>
    <row r="15" spans="1:14" s="6" customFormat="1" x14ac:dyDescent="0.25">
      <c r="A15" s="5">
        <v>102181883500</v>
      </c>
      <c r="B15" s="5" t="str">
        <f t="shared" si="0"/>
        <v>1021818835000</v>
      </c>
      <c r="C15" s="6" t="s">
        <v>114</v>
      </c>
      <c r="D15" s="6" t="s">
        <v>115</v>
      </c>
      <c r="E15" s="6">
        <v>20411454</v>
      </c>
      <c r="F15" s="6" t="s">
        <v>237</v>
      </c>
      <c r="G15" s="6" t="s">
        <v>76</v>
      </c>
      <c r="H15" s="7">
        <v>45870</v>
      </c>
      <c r="I15" s="8">
        <v>20.83</v>
      </c>
      <c r="J15" s="6">
        <v>1</v>
      </c>
      <c r="K15" s="9">
        <v>1</v>
      </c>
      <c r="L15" s="8">
        <v>20.83</v>
      </c>
      <c r="M15" s="6" t="s">
        <v>84</v>
      </c>
      <c r="N15" s="6" t="s">
        <v>224</v>
      </c>
    </row>
    <row r="16" spans="1:14" s="6" customFormat="1" x14ac:dyDescent="0.25">
      <c r="A16" s="5">
        <v>102182237600</v>
      </c>
      <c r="B16" s="5" t="str">
        <f t="shared" si="0"/>
        <v>1021822376000</v>
      </c>
      <c r="C16" s="6" t="s">
        <v>117</v>
      </c>
      <c r="D16" s="6" t="s">
        <v>55</v>
      </c>
      <c r="E16" s="6">
        <v>20411454</v>
      </c>
      <c r="F16" s="6" t="s">
        <v>237</v>
      </c>
      <c r="G16" s="6" t="s">
        <v>76</v>
      </c>
      <c r="H16" s="7">
        <v>45901</v>
      </c>
      <c r="I16" s="8">
        <v>16.670000000000002</v>
      </c>
      <c r="J16" s="6">
        <v>1</v>
      </c>
      <c r="K16" s="9">
        <v>1</v>
      </c>
      <c r="L16" s="8">
        <v>16.670000000000002</v>
      </c>
      <c r="M16" s="6" t="s">
        <v>120</v>
      </c>
      <c r="N16" s="6" t="s">
        <v>224</v>
      </c>
    </row>
    <row r="17" spans="1:15" s="6" customFormat="1" x14ac:dyDescent="0.25">
      <c r="A17" s="5" t="s">
        <v>202</v>
      </c>
      <c r="B17" s="5" t="str">
        <f t="shared" si="0"/>
        <v>00023456696K0</v>
      </c>
      <c r="C17" s="6" t="s">
        <v>54</v>
      </c>
      <c r="D17" s="6" t="s">
        <v>55</v>
      </c>
      <c r="E17" s="6">
        <v>20411454</v>
      </c>
      <c r="F17" s="6" t="s">
        <v>237</v>
      </c>
      <c r="G17" s="6" t="s">
        <v>58</v>
      </c>
      <c r="H17" s="7">
        <v>45839</v>
      </c>
      <c r="I17" s="8">
        <v>175</v>
      </c>
      <c r="J17" s="6">
        <v>1</v>
      </c>
      <c r="K17" s="9">
        <v>1</v>
      </c>
      <c r="L17" s="8">
        <v>175</v>
      </c>
      <c r="N17" s="6" t="s">
        <v>225</v>
      </c>
    </row>
    <row r="18" spans="1:15" s="6" customFormat="1" x14ac:dyDescent="0.25">
      <c r="A18" s="5" t="s">
        <v>203</v>
      </c>
      <c r="B18" s="5" t="str">
        <f t="shared" si="0"/>
        <v>00023457237K0</v>
      </c>
      <c r="C18" s="6" t="s">
        <v>60</v>
      </c>
      <c r="D18" s="6" t="s">
        <v>61</v>
      </c>
      <c r="E18" s="6">
        <v>20411454</v>
      </c>
      <c r="F18" s="6" t="s">
        <v>237</v>
      </c>
      <c r="G18" s="6" t="s">
        <v>58</v>
      </c>
      <c r="H18" s="7">
        <v>45839</v>
      </c>
      <c r="I18" s="8">
        <v>175</v>
      </c>
      <c r="J18" s="6">
        <v>1</v>
      </c>
      <c r="K18" s="9">
        <v>1</v>
      </c>
      <c r="L18" s="8">
        <v>175</v>
      </c>
      <c r="N18" s="6" t="s">
        <v>225</v>
      </c>
    </row>
    <row r="19" spans="1:15" s="6" customFormat="1" x14ac:dyDescent="0.25">
      <c r="A19" s="5" t="s">
        <v>204</v>
      </c>
      <c r="B19" s="5" t="str">
        <f t="shared" si="0"/>
        <v>00023461863K0</v>
      </c>
      <c r="C19" s="6" t="s">
        <v>65</v>
      </c>
      <c r="D19" s="6" t="s">
        <v>66</v>
      </c>
      <c r="E19" s="6">
        <v>20411454</v>
      </c>
      <c r="F19" s="6" t="s">
        <v>237</v>
      </c>
      <c r="G19" s="6" t="s">
        <v>58</v>
      </c>
      <c r="H19" s="7">
        <v>45931</v>
      </c>
      <c r="I19" s="8">
        <v>175</v>
      </c>
      <c r="J19" s="6">
        <v>1</v>
      </c>
      <c r="K19" s="9">
        <v>1</v>
      </c>
      <c r="L19" s="8">
        <v>175</v>
      </c>
      <c r="N19" s="6" t="s">
        <v>225</v>
      </c>
    </row>
    <row r="20" spans="1:15" s="6" customFormat="1" x14ac:dyDescent="0.25">
      <c r="A20" s="5" t="s">
        <v>205</v>
      </c>
      <c r="B20" s="5" t="str">
        <f t="shared" si="0"/>
        <v>00023462843K0</v>
      </c>
      <c r="C20" s="6" t="s">
        <v>70</v>
      </c>
      <c r="D20" s="6" t="s">
        <v>61</v>
      </c>
      <c r="E20" s="6">
        <v>20411454</v>
      </c>
      <c r="F20" s="6" t="s">
        <v>237</v>
      </c>
      <c r="G20" s="6" t="s">
        <v>58</v>
      </c>
      <c r="H20" s="7">
        <v>45870</v>
      </c>
      <c r="I20" s="8">
        <v>175</v>
      </c>
      <c r="J20" s="6">
        <v>1</v>
      </c>
      <c r="K20" s="9">
        <v>1</v>
      </c>
      <c r="L20" s="8">
        <v>175</v>
      </c>
      <c r="N20" s="6" t="s">
        <v>225</v>
      </c>
    </row>
    <row r="21" spans="1:15" s="6" customFormat="1" x14ac:dyDescent="0.25">
      <c r="A21" s="5" t="s">
        <v>212</v>
      </c>
      <c r="B21" s="5" t="s">
        <v>212</v>
      </c>
      <c r="C21" s="6" t="s">
        <v>45</v>
      </c>
      <c r="D21" s="6" t="s">
        <v>87</v>
      </c>
      <c r="E21" s="6">
        <v>20411454</v>
      </c>
      <c r="F21" s="6" t="s">
        <v>237</v>
      </c>
      <c r="G21" s="6" t="s">
        <v>58</v>
      </c>
      <c r="H21" s="7">
        <v>45658</v>
      </c>
      <c r="L21" s="6">
        <v>-87.5</v>
      </c>
      <c r="N21" s="6" t="s">
        <v>225</v>
      </c>
    </row>
    <row r="22" spans="1:15" s="6" customFormat="1" x14ac:dyDescent="0.25">
      <c r="A22" s="5" t="s">
        <v>213</v>
      </c>
      <c r="B22" s="5" t="s">
        <v>213</v>
      </c>
      <c r="C22" s="6" t="s">
        <v>179</v>
      </c>
      <c r="D22" s="6" t="s">
        <v>87</v>
      </c>
      <c r="E22" s="6">
        <v>20411454</v>
      </c>
      <c r="F22" s="6" t="s">
        <v>237</v>
      </c>
      <c r="G22" s="6" t="s">
        <v>58</v>
      </c>
      <c r="H22" s="7">
        <v>45658</v>
      </c>
      <c r="L22" s="6">
        <v>-87.5</v>
      </c>
      <c r="N22" s="6" t="s">
        <v>225</v>
      </c>
    </row>
    <row r="23" spans="1:15" s="6" customFormat="1" x14ac:dyDescent="0.25">
      <c r="A23" s="5" t="s">
        <v>214</v>
      </c>
      <c r="B23" s="5" t="s">
        <v>214</v>
      </c>
      <c r="C23" s="6" t="s">
        <v>183</v>
      </c>
      <c r="D23" s="6" t="s">
        <v>55</v>
      </c>
      <c r="E23" s="6">
        <v>20411454</v>
      </c>
      <c r="F23" s="6" t="s">
        <v>237</v>
      </c>
      <c r="G23" s="6" t="s">
        <v>58</v>
      </c>
      <c r="H23" s="7">
        <v>45778</v>
      </c>
      <c r="L23" s="6">
        <v>-87.5</v>
      </c>
      <c r="N23" s="6" t="s">
        <v>225</v>
      </c>
    </row>
    <row r="24" spans="1:15" s="6" customFormat="1" x14ac:dyDescent="0.25">
      <c r="A24" s="5" t="s">
        <v>201</v>
      </c>
      <c r="B24" s="5" t="str">
        <f t="shared" si="0"/>
        <v>00022815693K0</v>
      </c>
      <c r="C24" s="6" t="s">
        <v>45</v>
      </c>
      <c r="D24" s="6" t="s">
        <v>46</v>
      </c>
      <c r="E24" s="6">
        <v>20411454</v>
      </c>
      <c r="F24" s="6" t="s">
        <v>237</v>
      </c>
      <c r="G24" s="6" t="s">
        <v>50</v>
      </c>
      <c r="H24" s="7">
        <v>45839</v>
      </c>
      <c r="I24" s="8">
        <v>108</v>
      </c>
      <c r="J24" s="6">
        <v>1</v>
      </c>
      <c r="K24" s="9">
        <v>1</v>
      </c>
      <c r="L24" s="8">
        <v>108</v>
      </c>
      <c r="N24" s="6" t="s">
        <v>225</v>
      </c>
    </row>
    <row r="25" spans="1:15" s="6" customFormat="1" x14ac:dyDescent="0.25">
      <c r="A25" s="5" t="s">
        <v>211</v>
      </c>
      <c r="B25" s="5" t="s">
        <v>211</v>
      </c>
      <c r="C25" s="6" t="s">
        <v>175</v>
      </c>
      <c r="D25" s="6" t="s">
        <v>87</v>
      </c>
      <c r="E25" s="6">
        <v>20411454</v>
      </c>
      <c r="F25" s="6" t="s">
        <v>237</v>
      </c>
      <c r="G25" s="6" t="s">
        <v>50</v>
      </c>
      <c r="H25" s="7">
        <v>45658</v>
      </c>
      <c r="L25" s="6">
        <v>-54</v>
      </c>
      <c r="N25" s="6" t="s">
        <v>225</v>
      </c>
    </row>
    <row r="26" spans="1:15" x14ac:dyDescent="0.25">
      <c r="A26" s="4" t="s">
        <v>209</v>
      </c>
      <c r="B26" s="4" t="str">
        <f>CONCATENATE(A26,1)</f>
        <v>A042994191</v>
      </c>
      <c r="C26" t="s">
        <v>156</v>
      </c>
      <c r="D26" t="s">
        <v>73</v>
      </c>
      <c r="E26">
        <v>9213293</v>
      </c>
      <c r="F26" t="s">
        <v>132</v>
      </c>
      <c r="G26" t="s">
        <v>157</v>
      </c>
      <c r="H26" s="1">
        <v>45870</v>
      </c>
      <c r="I26" s="2">
        <v>58.19</v>
      </c>
      <c r="J26">
        <v>9</v>
      </c>
      <c r="K26" s="3">
        <v>1</v>
      </c>
      <c r="L26" s="2">
        <v>523.71</v>
      </c>
      <c r="N26" t="s">
        <v>226</v>
      </c>
    </row>
    <row r="27" spans="1:15" x14ac:dyDescent="0.25">
      <c r="A27" s="4" t="s">
        <v>210</v>
      </c>
      <c r="B27" s="4" t="str">
        <f>CONCATENATE(A27,1)</f>
        <v>A043033751</v>
      </c>
      <c r="C27" t="s">
        <v>169</v>
      </c>
      <c r="D27" t="s">
        <v>115</v>
      </c>
      <c r="E27">
        <v>20724564</v>
      </c>
      <c r="F27" t="s">
        <v>171</v>
      </c>
      <c r="G27" t="s">
        <v>172</v>
      </c>
      <c r="H27" s="1">
        <v>45870</v>
      </c>
      <c r="I27" s="2">
        <v>31.02</v>
      </c>
      <c r="J27">
        <v>9</v>
      </c>
      <c r="K27" s="3">
        <v>1</v>
      </c>
      <c r="L27" s="2">
        <v>279.18</v>
      </c>
      <c r="N27" t="s">
        <v>227</v>
      </c>
    </row>
    <row r="28" spans="1:15" s="6" customFormat="1" x14ac:dyDescent="0.25">
      <c r="A28" s="5" t="s">
        <v>206</v>
      </c>
      <c r="B28" s="5" t="s">
        <v>206</v>
      </c>
      <c r="C28" s="6" t="s">
        <v>130</v>
      </c>
      <c r="D28" s="6" t="s">
        <v>123</v>
      </c>
      <c r="E28" s="6">
        <v>20411454</v>
      </c>
      <c r="F28" s="6" t="s">
        <v>237</v>
      </c>
      <c r="G28" s="6" t="s">
        <v>134</v>
      </c>
      <c r="H28" s="7">
        <v>45839</v>
      </c>
      <c r="I28" s="8">
        <v>175</v>
      </c>
      <c r="J28" s="6">
        <v>1</v>
      </c>
      <c r="K28" s="9">
        <v>1</v>
      </c>
      <c r="L28" s="8">
        <v>175</v>
      </c>
      <c r="N28" s="6" t="s">
        <v>228</v>
      </c>
    </row>
    <row r="29" spans="1:15" s="6" customFormat="1" x14ac:dyDescent="0.25">
      <c r="A29" s="5" t="s">
        <v>207</v>
      </c>
      <c r="B29" s="5" t="s">
        <v>207</v>
      </c>
      <c r="C29" s="6" t="s">
        <v>143</v>
      </c>
      <c r="D29" s="6" t="s">
        <v>55</v>
      </c>
      <c r="E29" s="6">
        <v>20411454</v>
      </c>
      <c r="F29" s="6" t="s">
        <v>237</v>
      </c>
      <c r="G29" s="6" t="s">
        <v>134</v>
      </c>
      <c r="H29" s="7">
        <v>45809</v>
      </c>
      <c r="I29" s="8">
        <v>175</v>
      </c>
      <c r="J29" s="6">
        <v>1</v>
      </c>
      <c r="K29" s="9">
        <v>1</v>
      </c>
      <c r="L29" s="8">
        <v>175</v>
      </c>
      <c r="N29" s="6" t="s">
        <v>228</v>
      </c>
    </row>
    <row r="30" spans="1:15" s="6" customFormat="1" x14ac:dyDescent="0.25">
      <c r="A30" s="5" t="s">
        <v>222</v>
      </c>
      <c r="B30" s="5" t="s">
        <v>222</v>
      </c>
      <c r="C30" s="6" t="s">
        <v>143</v>
      </c>
      <c r="D30" s="6" t="s">
        <v>55</v>
      </c>
      <c r="E30" s="6">
        <v>20411454</v>
      </c>
      <c r="F30" s="6" t="s">
        <v>237</v>
      </c>
      <c r="G30" s="6" t="s">
        <v>134</v>
      </c>
      <c r="H30" s="7">
        <v>45809</v>
      </c>
      <c r="L30" s="6">
        <v>-175</v>
      </c>
      <c r="N30" s="6" t="s">
        <v>228</v>
      </c>
    </row>
    <row r="31" spans="1:15" s="6" customFormat="1" x14ac:dyDescent="0.25">
      <c r="A31" s="5" t="s">
        <v>208</v>
      </c>
      <c r="B31" s="5" t="s">
        <v>208</v>
      </c>
      <c r="C31" s="6" t="s">
        <v>148</v>
      </c>
      <c r="D31" s="6" t="s">
        <v>55</v>
      </c>
      <c r="E31" s="6">
        <v>20411454</v>
      </c>
      <c r="F31" s="6" t="s">
        <v>237</v>
      </c>
      <c r="G31" s="6" t="s">
        <v>154</v>
      </c>
      <c r="H31" s="7">
        <v>45839</v>
      </c>
      <c r="I31" s="8">
        <v>87.5</v>
      </c>
      <c r="J31" s="6">
        <v>1</v>
      </c>
      <c r="K31" s="9">
        <v>1</v>
      </c>
      <c r="L31" s="8">
        <v>87.5</v>
      </c>
      <c r="M31" s="6" t="s">
        <v>77</v>
      </c>
      <c r="N31" s="6" t="s">
        <v>228</v>
      </c>
    </row>
    <row r="32" spans="1:15" x14ac:dyDescent="0.25">
      <c r="A32" s="4">
        <v>133512318</v>
      </c>
      <c r="B32" s="4" t="str">
        <f>CONCATENATE(A32,98)</f>
        <v>13351231898</v>
      </c>
      <c r="C32" t="s">
        <v>122</v>
      </c>
      <c r="D32" t="s">
        <v>123</v>
      </c>
      <c r="E32">
        <v>19645587</v>
      </c>
      <c r="F32" t="s">
        <v>125</v>
      </c>
      <c r="G32" t="s">
        <v>126</v>
      </c>
      <c r="H32" s="1">
        <v>45839</v>
      </c>
      <c r="I32" s="2">
        <v>626</v>
      </c>
      <c r="J32">
        <v>1</v>
      </c>
      <c r="K32" s="3">
        <v>1</v>
      </c>
      <c r="L32" s="2">
        <v>626</v>
      </c>
      <c r="N32" t="s">
        <v>230</v>
      </c>
      <c r="O32" t="s">
        <v>232</v>
      </c>
    </row>
    <row r="33" spans="1:18" x14ac:dyDescent="0.25">
      <c r="A33" s="4">
        <v>133607929</v>
      </c>
      <c r="B33" s="4" t="str">
        <f t="shared" ref="B33:B38" si="1">CONCATENATE(A33,98)</f>
        <v>13360792998</v>
      </c>
      <c r="C33" t="s">
        <v>128</v>
      </c>
      <c r="D33" t="s">
        <v>73</v>
      </c>
      <c r="E33">
        <v>19645587</v>
      </c>
      <c r="F33" t="s">
        <v>125</v>
      </c>
      <c r="G33" t="s">
        <v>126</v>
      </c>
      <c r="H33" s="1">
        <v>45901</v>
      </c>
      <c r="I33" s="2">
        <v>626</v>
      </c>
      <c r="J33">
        <v>1</v>
      </c>
      <c r="K33" s="3">
        <v>1</v>
      </c>
      <c r="L33" s="2">
        <v>626</v>
      </c>
      <c r="N33" t="s">
        <v>230</v>
      </c>
      <c r="O33" t="s">
        <v>232</v>
      </c>
    </row>
    <row r="34" spans="1:18" x14ac:dyDescent="0.25">
      <c r="A34" s="4">
        <v>908476562</v>
      </c>
      <c r="B34" s="4" t="str">
        <f t="shared" si="1"/>
        <v>90847656298</v>
      </c>
      <c r="C34" t="s">
        <v>130</v>
      </c>
      <c r="D34" t="s">
        <v>123</v>
      </c>
      <c r="E34">
        <v>9213293</v>
      </c>
      <c r="F34" t="s">
        <v>132</v>
      </c>
      <c r="G34" t="s">
        <v>126</v>
      </c>
      <c r="H34" s="1">
        <v>45839</v>
      </c>
      <c r="I34" s="2">
        <v>626</v>
      </c>
      <c r="J34">
        <v>1</v>
      </c>
      <c r="K34" s="3">
        <v>1</v>
      </c>
      <c r="L34" s="2">
        <v>626</v>
      </c>
      <c r="N34" t="s">
        <v>230</v>
      </c>
      <c r="O34" t="s">
        <v>232</v>
      </c>
    </row>
    <row r="35" spans="1:18" x14ac:dyDescent="0.25">
      <c r="A35" s="4">
        <v>922325896</v>
      </c>
      <c r="B35" s="4" t="str">
        <f t="shared" si="1"/>
        <v>92232589698</v>
      </c>
      <c r="C35" t="s">
        <v>136</v>
      </c>
      <c r="D35" t="s">
        <v>115</v>
      </c>
      <c r="E35">
        <v>19645587</v>
      </c>
      <c r="F35" t="s">
        <v>125</v>
      </c>
      <c r="G35" t="s">
        <v>126</v>
      </c>
      <c r="H35" s="1">
        <v>45901</v>
      </c>
      <c r="I35" s="2">
        <v>626</v>
      </c>
      <c r="J35">
        <v>1</v>
      </c>
      <c r="K35" s="3">
        <v>1</v>
      </c>
      <c r="L35" s="2">
        <v>626</v>
      </c>
      <c r="N35" t="s">
        <v>230</v>
      </c>
      <c r="O35" t="s">
        <v>232</v>
      </c>
    </row>
    <row r="36" spans="1:18" x14ac:dyDescent="0.25">
      <c r="A36" s="4">
        <v>922326462</v>
      </c>
      <c r="B36" s="4" t="str">
        <f t="shared" si="1"/>
        <v>92232646298</v>
      </c>
      <c r="C36" t="s">
        <v>138</v>
      </c>
      <c r="D36" t="s">
        <v>139</v>
      </c>
      <c r="E36">
        <v>16683808</v>
      </c>
      <c r="F36" t="s">
        <v>141</v>
      </c>
      <c r="G36" t="s">
        <v>126</v>
      </c>
      <c r="H36" s="1">
        <v>45839</v>
      </c>
      <c r="I36" s="2">
        <v>626</v>
      </c>
      <c r="J36">
        <v>1</v>
      </c>
      <c r="K36" s="3">
        <v>1</v>
      </c>
      <c r="L36" s="2">
        <v>626</v>
      </c>
      <c r="N36" t="s">
        <v>230</v>
      </c>
      <c r="O36" t="s">
        <v>232</v>
      </c>
    </row>
    <row r="37" spans="1:18" x14ac:dyDescent="0.25">
      <c r="A37" s="4">
        <v>932036093</v>
      </c>
      <c r="B37" s="4" t="str">
        <f t="shared" si="1"/>
        <v>93203609398</v>
      </c>
      <c r="C37" t="s">
        <v>143</v>
      </c>
      <c r="D37" t="s">
        <v>55</v>
      </c>
      <c r="E37">
        <v>19200754</v>
      </c>
      <c r="F37" t="s">
        <v>57</v>
      </c>
      <c r="G37" t="s">
        <v>126</v>
      </c>
      <c r="H37" s="1">
        <v>45809</v>
      </c>
      <c r="I37" s="2">
        <v>626</v>
      </c>
      <c r="J37">
        <v>1</v>
      </c>
      <c r="K37" s="3">
        <v>1</v>
      </c>
      <c r="L37" s="2">
        <v>626</v>
      </c>
      <c r="N37" t="s">
        <v>230</v>
      </c>
      <c r="O37" t="s">
        <v>232</v>
      </c>
    </row>
    <row r="38" spans="1:18" x14ac:dyDescent="0.25">
      <c r="A38" s="4">
        <v>960009988</v>
      </c>
      <c r="B38" s="4" t="str">
        <f t="shared" si="1"/>
        <v>96000998898</v>
      </c>
      <c r="C38" t="s">
        <v>146</v>
      </c>
      <c r="D38" t="s">
        <v>55</v>
      </c>
      <c r="E38">
        <v>9213293</v>
      </c>
      <c r="F38" t="s">
        <v>132</v>
      </c>
      <c r="G38" t="s">
        <v>126</v>
      </c>
      <c r="H38" s="1">
        <v>45870</v>
      </c>
      <c r="I38" s="2">
        <v>626</v>
      </c>
      <c r="J38">
        <v>1</v>
      </c>
      <c r="K38" s="3">
        <v>1</v>
      </c>
      <c r="L38" s="2">
        <v>626</v>
      </c>
      <c r="N38" t="s">
        <v>230</v>
      </c>
      <c r="O38" t="s">
        <v>232</v>
      </c>
    </row>
    <row r="39" spans="1:18" x14ac:dyDescent="0.25">
      <c r="A39" s="4">
        <v>986658939</v>
      </c>
      <c r="B39" s="4" t="str">
        <f t="shared" ref="B39" si="2">CONCATENATE(A39,1)</f>
        <v>9866589391</v>
      </c>
      <c r="C39" t="s">
        <v>148</v>
      </c>
      <c r="D39" t="s">
        <v>55</v>
      </c>
      <c r="E39">
        <v>19396223</v>
      </c>
      <c r="F39" t="s">
        <v>150</v>
      </c>
      <c r="G39" t="s">
        <v>152</v>
      </c>
      <c r="H39" s="1">
        <v>45839</v>
      </c>
      <c r="I39" s="2">
        <v>313</v>
      </c>
      <c r="J39">
        <v>1</v>
      </c>
      <c r="K39" s="3">
        <v>1</v>
      </c>
      <c r="L39" s="2">
        <v>313</v>
      </c>
      <c r="M39" t="s">
        <v>77</v>
      </c>
      <c r="N39" t="s">
        <v>229</v>
      </c>
      <c r="O39" t="s">
        <v>231</v>
      </c>
    </row>
    <row r="40" spans="1:18" x14ac:dyDescent="0.25">
      <c r="A40" s="4" t="s">
        <v>217</v>
      </c>
      <c r="B40" s="4" t="s">
        <v>217</v>
      </c>
      <c r="C40" t="s">
        <v>122</v>
      </c>
      <c r="D40" t="s">
        <v>123</v>
      </c>
      <c r="E40">
        <v>19645587</v>
      </c>
      <c r="F40" t="s">
        <v>125</v>
      </c>
      <c r="G40" t="s">
        <v>194</v>
      </c>
      <c r="H40" s="1">
        <v>45839</v>
      </c>
      <c r="L40">
        <v>-156.5</v>
      </c>
      <c r="N40" t="s">
        <v>229</v>
      </c>
      <c r="O40" t="s">
        <v>233</v>
      </c>
      <c r="R40">
        <f>313/12*5</f>
        <v>130.41666666666666</v>
      </c>
    </row>
    <row r="41" spans="1:18" x14ac:dyDescent="0.25">
      <c r="A41" s="4" t="s">
        <v>218</v>
      </c>
      <c r="B41" s="4" t="s">
        <v>218</v>
      </c>
      <c r="C41" t="s">
        <v>128</v>
      </c>
      <c r="D41" t="s">
        <v>73</v>
      </c>
      <c r="E41">
        <v>19645587</v>
      </c>
      <c r="F41" t="s">
        <v>125</v>
      </c>
      <c r="G41" t="s">
        <v>194</v>
      </c>
      <c r="H41" s="1">
        <v>45901</v>
      </c>
      <c r="L41">
        <v>-104.33</v>
      </c>
      <c r="N41" t="s">
        <v>229</v>
      </c>
      <c r="O41" t="s">
        <v>234</v>
      </c>
    </row>
    <row r="42" spans="1:18" x14ac:dyDescent="0.25">
      <c r="A42" s="4" t="s">
        <v>219</v>
      </c>
      <c r="B42" s="4" t="s">
        <v>219</v>
      </c>
      <c r="C42" t="s">
        <v>136</v>
      </c>
      <c r="D42" t="s">
        <v>115</v>
      </c>
      <c r="E42">
        <v>19645587</v>
      </c>
      <c r="F42" t="s">
        <v>125</v>
      </c>
      <c r="G42" t="s">
        <v>194</v>
      </c>
      <c r="H42" s="1">
        <v>45901</v>
      </c>
      <c r="L42">
        <v>-104.33</v>
      </c>
      <c r="N42" t="s">
        <v>229</v>
      </c>
      <c r="O42" t="s">
        <v>234</v>
      </c>
    </row>
    <row r="43" spans="1:18" x14ac:dyDescent="0.25">
      <c r="A43" s="4" t="s">
        <v>220</v>
      </c>
      <c r="B43" s="4" t="s">
        <v>220</v>
      </c>
      <c r="C43" t="s">
        <v>138</v>
      </c>
      <c r="D43" t="s">
        <v>139</v>
      </c>
      <c r="E43">
        <v>16683808</v>
      </c>
      <c r="F43" t="s">
        <v>141</v>
      </c>
      <c r="G43" t="s">
        <v>194</v>
      </c>
      <c r="H43" s="1">
        <v>45839</v>
      </c>
      <c r="L43">
        <v>-156.5</v>
      </c>
      <c r="N43" t="s">
        <v>229</v>
      </c>
      <c r="O43" t="s">
        <v>233</v>
      </c>
    </row>
    <row r="44" spans="1:18" x14ac:dyDescent="0.25">
      <c r="A44" s="4" t="s">
        <v>221</v>
      </c>
      <c r="B44" s="4" t="s">
        <v>221</v>
      </c>
      <c r="C44" t="s">
        <v>143</v>
      </c>
      <c r="D44" t="s">
        <v>55</v>
      </c>
      <c r="E44">
        <v>19200754</v>
      </c>
      <c r="F44" t="s">
        <v>57</v>
      </c>
      <c r="G44" t="s">
        <v>194</v>
      </c>
      <c r="H44" s="1">
        <v>45809</v>
      </c>
      <c r="L44">
        <v>-182.58</v>
      </c>
      <c r="N44" t="s">
        <v>229</v>
      </c>
      <c r="O44" t="s">
        <v>235</v>
      </c>
    </row>
    <row r="45" spans="1:18" x14ac:dyDescent="0.25">
      <c r="A45" s="4" t="s">
        <v>223</v>
      </c>
      <c r="B45" s="4" t="s">
        <v>223</v>
      </c>
      <c r="C45" t="s">
        <v>146</v>
      </c>
      <c r="D45" t="s">
        <v>55</v>
      </c>
      <c r="E45">
        <v>9213293</v>
      </c>
      <c r="F45" t="s">
        <v>132</v>
      </c>
      <c r="G45" t="s">
        <v>194</v>
      </c>
      <c r="H45" s="1">
        <v>45870</v>
      </c>
      <c r="L45">
        <v>-130.41999999999999</v>
      </c>
      <c r="N45" t="s">
        <v>229</v>
      </c>
      <c r="O45" t="s">
        <v>236</v>
      </c>
    </row>
  </sheetData>
  <sortState xmlns:xlrd2="http://schemas.microsoft.com/office/spreadsheetml/2017/richdata2" ref="A2:AM45">
    <sortCondition ref="G2:G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2025-07-23T18:52:22Z</dcterms:created>
  <dcterms:modified xsi:type="dcterms:W3CDTF">2025-07-29T18:47:53Z</dcterms:modified>
</cp:coreProperties>
</file>