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0-08-25\"/>
    </mc:Choice>
  </mc:AlternateContent>
  <xr:revisionPtr revIDLastSave="0" documentId="13_ncr:1_{E00EBC0F-E327-4840-B3A6-428BE8A12B29}" xr6:coauthVersionLast="47" xr6:coauthVersionMax="47" xr10:uidLastSave="{00000000-0000-0000-0000-000000000000}"/>
  <bookViews>
    <workbookView xWindow="-55905" yWindow="1995" windowWidth="21600" windowHeight="11295" activeTab="1" xr2:uid="{6AB76E13-315A-4C8E-B4A3-3E42601D425A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2" l="1"/>
  <c r="B45" i="2"/>
  <c r="B44" i="2"/>
  <c r="B43" i="2"/>
  <c r="B42" i="2"/>
  <c r="B37" i="2"/>
  <c r="B36" i="2"/>
  <c r="B35" i="2"/>
  <c r="B29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<sst xmlns="http://schemas.openxmlformats.org/spreadsheetml/2006/main" count="1121" uniqueCount="260">
  <si>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</si>
  <si>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</si>
  <si>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</si>
  <si>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</si>
  <si>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</si>
  <si>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</si>
  <si>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</si>
  <si>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</si>
  <si>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</si>
  <si>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</si>
  <si>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</si>
  <si>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</si>
  <si>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</si>
  <si>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</si>
  <si>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</si>
  <si>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</si>
  <si>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</si>
  <si>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</si>
  <si>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</si>
  <si>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</si>
  <si>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</si>
  <si>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</si>
  <si>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</si>
  <si>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</si>
  <si>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</si>
  <si>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</si>
  <si>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</si>
  <si>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</si>
  <si>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</si>
  <si>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</si>
  <si>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</si>
  <si>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</si>
  <si>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</si>
  <si>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</si>
  <si>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</si>
  <si>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</si>
  <si>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</si>
  <si>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</si>
  <si>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</si>
  <si>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</si>
  <si>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</si>
  <si>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</si>
  <si>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</si>
  <si>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</si>
  <si>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'00012632504K</t>
  </si>
  <si>
    <t>EDWIN ROBINSON</t>
  </si>
  <si>
    <t>IL</t>
  </si>
  <si>
    <t>'045712</t>
  </si>
  <si>
    <t>GREGORY HANSFORD</t>
  </si>
  <si>
    <t>ACTIVE</t>
  </si>
  <si>
    <t>Humana MA 2019+ Level 15- 175/108</t>
  </si>
  <si>
    <t>Monthly</t>
  </si>
  <si>
    <t>AV</t>
  </si>
  <si>
    <t>'00020102843K</t>
  </si>
  <si>
    <t>RUTH RAMIREZ</t>
  </si>
  <si>
    <t>TX</t>
  </si>
  <si>
    <t>'045605</t>
  </si>
  <si>
    <t>GARY PORTUGAL</t>
  </si>
  <si>
    <t>Humana MA 2019+ Level 15- 175/108 Repl 2024</t>
  </si>
  <si>
    <t>'00020496635K</t>
  </si>
  <si>
    <t>HERMAN JACKSON</t>
  </si>
  <si>
    <t>SC</t>
  </si>
  <si>
    <t>'045638</t>
  </si>
  <si>
    <t>RICHARD YALE</t>
  </si>
  <si>
    <t>'00023244763K</t>
  </si>
  <si>
    <t>MARK CARR</t>
  </si>
  <si>
    <t>NA</t>
  </si>
  <si>
    <t>Active</t>
  </si>
  <si>
    <t>Humana MA Bonus Upload 10-08-2025.xlsx</t>
  </si>
  <si>
    <t>'00023681821K</t>
  </si>
  <si>
    <t>JULIE KINKAID</t>
  </si>
  <si>
    <t>KS</t>
  </si>
  <si>
    <t>'043682</t>
  </si>
  <si>
    <t>GREGORY TEIPEL</t>
  </si>
  <si>
    <t>'00023696222KPDP</t>
  </si>
  <si>
    <t>DIANE PIPER</t>
  </si>
  <si>
    <t>IN</t>
  </si>
  <si>
    <t>'045937</t>
  </si>
  <si>
    <t>MARSHA SANDEROCK</t>
  </si>
  <si>
    <t>Humana PDP 2019+ Level 15- 15/0</t>
  </si>
  <si>
    <t>'00023713473K</t>
  </si>
  <si>
    <t>STEPHAN FRAZIER</t>
  </si>
  <si>
    <t>'00023713486K</t>
  </si>
  <si>
    <t>BRENDA JOHNSON KING</t>
  </si>
  <si>
    <t>'045603</t>
  </si>
  <si>
    <t>ANDREW CHOI</t>
  </si>
  <si>
    <t>'00023713767K</t>
  </si>
  <si>
    <t>MARANDA STEVENS</t>
  </si>
  <si>
    <t>'00023714206K</t>
  </si>
  <si>
    <t>ELIZABETH ESQUIBEL</t>
  </si>
  <si>
    <t>'043618</t>
  </si>
  <si>
    <t>SAADIA ABDUL</t>
  </si>
  <si>
    <t>'00023714553K</t>
  </si>
  <si>
    <t>VANESSA BROWN</t>
  </si>
  <si>
    <t>TN</t>
  </si>
  <si>
    <t>'00023714695K</t>
  </si>
  <si>
    <t>JACOB WEINRIB</t>
  </si>
  <si>
    <t>'045709</t>
  </si>
  <si>
    <t>ESTHER HERRERA-LARSEN</t>
  </si>
  <si>
    <t>'00023718130K</t>
  </si>
  <si>
    <t>AUDREY WILLIS</t>
  </si>
  <si>
    <t>GA</t>
  </si>
  <si>
    <t>'045885</t>
  </si>
  <si>
    <t>CHAD BENDER</t>
  </si>
  <si>
    <t>'00023720343K</t>
  </si>
  <si>
    <t>CATHLEEN KOESTER</t>
  </si>
  <si>
    <t>'00023737049K</t>
  </si>
  <si>
    <t>SARANTOS THEODORAKAKIS</t>
  </si>
  <si>
    <t>'00023741805KPDP</t>
  </si>
  <si>
    <t>CARL MAGNA</t>
  </si>
  <si>
    <t>'00023743187K</t>
  </si>
  <si>
    <t>GEORGIA THEODORAKAKIS</t>
  </si>
  <si>
    <t>'00023749870KPDP</t>
  </si>
  <si>
    <t>JAMES ANDRE</t>
  </si>
  <si>
    <t>'045671</t>
  </si>
  <si>
    <t>ROBERT SHAPIRO</t>
  </si>
  <si>
    <t>'00023750585K</t>
  </si>
  <si>
    <t>STEVEN PECK</t>
  </si>
  <si>
    <t>'045607</t>
  </si>
  <si>
    <t>PAMELA DEATON</t>
  </si>
  <si>
    <t>'00023755097K</t>
  </si>
  <si>
    <t>TAMMY OTTO</t>
  </si>
  <si>
    <t>'045612</t>
  </si>
  <si>
    <t>ANTHONY HUNSBERGER</t>
  </si>
  <si>
    <t>'00023755638K</t>
  </si>
  <si>
    <t>NIKKI CHURA</t>
  </si>
  <si>
    <t>'00023758535K</t>
  </si>
  <si>
    <t>KENNETH RAYSBY</t>
  </si>
  <si>
    <t>'045622</t>
  </si>
  <si>
    <t>JACOB YALE</t>
  </si>
  <si>
    <t>'102194922600</t>
  </si>
  <si>
    <t>ROBERT POLETYNSKI</t>
  </si>
  <si>
    <t>'045717</t>
  </si>
  <si>
    <t>RONALD MAX</t>
  </si>
  <si>
    <t>Aetna MAPD NMO to GMO - 4-1-23+  Replace Paper</t>
  </si>
  <si>
    <t>3/12 PRORATE</t>
  </si>
  <si>
    <t>'102195172200</t>
  </si>
  <si>
    <t>JANIE JOHNSON</t>
  </si>
  <si>
    <t>NJ</t>
  </si>
  <si>
    <t>'045673</t>
  </si>
  <si>
    <t>MARK ROCCIA</t>
  </si>
  <si>
    <t>Aetna MAPD NMO to MMO - 2025+ Replace E-App</t>
  </si>
  <si>
    <t>1/12 PRORATE</t>
  </si>
  <si>
    <t>'102195182600</t>
  </si>
  <si>
    <t>MICHAEL MULDOWNEY</t>
  </si>
  <si>
    <t>PA</t>
  </si>
  <si>
    <t>'043689</t>
  </si>
  <si>
    <t>ANNE MARIE KOZACHECK</t>
  </si>
  <si>
    <t>'102195185500</t>
  </si>
  <si>
    <t>DIANE GRAHL</t>
  </si>
  <si>
    <t>FL</t>
  </si>
  <si>
    <t>Aetna MAPD NMO to MMO - 2025+ Replace Paper</t>
  </si>
  <si>
    <t>2/12 PRORATE</t>
  </si>
  <si>
    <t>'102195495700</t>
  </si>
  <si>
    <t>KENNETH DALEY</t>
  </si>
  <si>
    <t>'043867</t>
  </si>
  <si>
    <t>RYAN STOCKER</t>
  </si>
  <si>
    <t>'912350422</t>
  </si>
  <si>
    <t>SANDRA BOWDEN</t>
  </si>
  <si>
    <t>IA</t>
  </si>
  <si>
    <t>'045613</t>
  </si>
  <si>
    <t>RICARDO SANTOS</t>
  </si>
  <si>
    <t>UHC MAPD Street payable to upline- 2025 Replace</t>
  </si>
  <si>
    <t>'912350422OV</t>
  </si>
  <si>
    <t>UHC MA Direct 2025 New Full</t>
  </si>
  <si>
    <t>'938919011</t>
  </si>
  <si>
    <t>PATRICK BARTKOWSKI</t>
  </si>
  <si>
    <t>'043969</t>
  </si>
  <si>
    <t>STACEY PORTUGAL</t>
  </si>
  <si>
    <t>'938919011OV</t>
  </si>
  <si>
    <t>'964798677</t>
  </si>
  <si>
    <t>JOHNNY HOLT</t>
  </si>
  <si>
    <t>'043705</t>
  </si>
  <si>
    <t>MICHAEL DUNAVANT</t>
  </si>
  <si>
    <t>'964798677OV</t>
  </si>
  <si>
    <t>UHC MA Direct 2025 New Full - Other</t>
  </si>
  <si>
    <t>'985533411</t>
  </si>
  <si>
    <t>DONNA VINCENT</t>
  </si>
  <si>
    <t>12/12 PRORATE</t>
  </si>
  <si>
    <t>'985533411OV</t>
  </si>
  <si>
    <t>UHC MA Direct 2024 New Full</t>
  </si>
  <si>
    <t>'A02824541</t>
  </si>
  <si>
    <t>BEVERLY SHUMAKER</t>
  </si>
  <si>
    <t>'041686</t>
  </si>
  <si>
    <t>DALE WALENGA</t>
  </si>
  <si>
    <t>UHC AARP Med Supp TN Plan F &amp; G</t>
  </si>
  <si>
    <t>'A04164004</t>
  </si>
  <si>
    <t>STEPHEN SHUMAKER</t>
  </si>
  <si>
    <t>'A04335067</t>
  </si>
  <si>
    <t>UHC AARP Med Supp 2025+ IN All Plans</t>
  </si>
  <si>
    <t>CB</t>
  </si>
  <si>
    <t>'00020496635KPC</t>
  </si>
  <si>
    <t>CHARGEBACK</t>
  </si>
  <si>
    <t>'00023289673KPC</t>
  </si>
  <si>
    <t>BRUCE RADCLIFF</t>
  </si>
  <si>
    <t>'102075322100PC</t>
  </si>
  <si>
    <t>RAMON GARCIA</t>
  </si>
  <si>
    <t>Aetna MAPD NMO to GMO - 4-1-23+  New E-App</t>
  </si>
  <si>
    <t>'102144960200PC</t>
  </si>
  <si>
    <t>SOLOMON DOE</t>
  </si>
  <si>
    <t>'043743</t>
  </si>
  <si>
    <t>FREDERICK GBASSANA</t>
  </si>
  <si>
    <t>Aetna MAPD NMO to GMO - 4-1-23+  Replace E-App</t>
  </si>
  <si>
    <t>'441W21795PC</t>
  </si>
  <si>
    <t>WILLIAM OSTRANDER</t>
  </si>
  <si>
    <t>Anthem MA 2025</t>
  </si>
  <si>
    <t>'4G93WA4FJ75CB</t>
  </si>
  <si>
    <t>RAFAEL OSUNA</t>
  </si>
  <si>
    <t>NV</t>
  </si>
  <si>
    <t>Wellcare MA 2025 MGA</t>
  </si>
  <si>
    <t>'58R5A1U71CB</t>
  </si>
  <si>
    <t>ALAN SEIZYS</t>
  </si>
  <si>
    <t>Cigna MAPD FMO to GA 1-1-19+ - New</t>
  </si>
  <si>
    <t>00012632504K</t>
  </si>
  <si>
    <t>00023244763K</t>
  </si>
  <si>
    <t>00023681821K</t>
  </si>
  <si>
    <t>00023713473K</t>
  </si>
  <si>
    <t>00023713486K</t>
  </si>
  <si>
    <t>00023713767K</t>
  </si>
  <si>
    <t>00023714206K</t>
  </si>
  <si>
    <t>00023714553K</t>
  </si>
  <si>
    <t>00023714695K</t>
  </si>
  <si>
    <t>00023718130K</t>
  </si>
  <si>
    <t>00023720343K</t>
  </si>
  <si>
    <t>00023737049K</t>
  </si>
  <si>
    <t>00023743187K</t>
  </si>
  <si>
    <t>00023750585K</t>
  </si>
  <si>
    <t>00023755097K</t>
  </si>
  <si>
    <t>00023755638K</t>
  </si>
  <si>
    <t>00023758535K</t>
  </si>
  <si>
    <t>00020102843K</t>
  </si>
  <si>
    <t>00023696222KPDP</t>
  </si>
  <si>
    <t>00023741805KPDP</t>
  </si>
  <si>
    <t>00023749870KPDP</t>
  </si>
  <si>
    <t>A04335067</t>
  </si>
  <si>
    <t>A02824541</t>
  </si>
  <si>
    <t>A04164004</t>
  </si>
  <si>
    <t>Aetna MAPD OVR 2025</t>
  </si>
  <si>
    <t>Anthem MAPD 2025 OVR</t>
  </si>
  <si>
    <t>Cigna MAPD 2025 Ovr</t>
  </si>
  <si>
    <t>Humana MAPD OVR 2025</t>
  </si>
  <si>
    <t>Humana PDP 2025!</t>
  </si>
  <si>
    <t>UHC MAPD Ovr 2025</t>
  </si>
  <si>
    <t>UHC MAPD 2025*</t>
  </si>
  <si>
    <t>Wellcare MAPD Ovr</t>
  </si>
  <si>
    <t>4G93WA4FJ75OVR</t>
  </si>
  <si>
    <t>[%/$=313][prorate=3/12]</t>
  </si>
  <si>
    <t>[%/$=313][prorate=12/12]</t>
  </si>
  <si>
    <t>102075322100OVR</t>
  </si>
  <si>
    <t>102144960200OVR</t>
  </si>
  <si>
    <t>441W21795OVR</t>
  </si>
  <si>
    <t>58R5A1U71OVR</t>
  </si>
  <si>
    <t>00023289673KOVR</t>
  </si>
  <si>
    <t>00020496635KOVR</t>
  </si>
  <si>
    <t>985533411OVR</t>
  </si>
  <si>
    <t>912350422OVR</t>
  </si>
  <si>
    <t>938919011OVR</t>
  </si>
  <si>
    <t>964798677OVR</t>
  </si>
  <si>
    <t>Main Line Benefits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</si>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</sst>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0C80-AF15-4AA9-8BE7-C3FC284850DA}">
  <dimension ref="A1:AL46"/>
  <sheetViews>
    <sheetView topLeftCell="W15" workbookViewId="0">
      <selection activeCell="J26" sqref="A1:AL4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7.42578125" bestFit="1" customWidth="1"/>
    <col min="10" max="10" width="26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3.7109375" bestFit="1" customWidth="1"/>
    <col min="17" max="17" width="12.85546875" bestFit="1" customWidth="1"/>
    <col min="18" max="18" width="47.140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45938</v>
      </c>
      <c r="B2" s="1">
        <v>45938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45931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5869357</v>
      </c>
    </row>
    <row r="3" spans="1:38" x14ac:dyDescent="0.25">
      <c r="A3" s="1">
        <v>45938</v>
      </c>
      <c r="B3" s="1">
        <v>45938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45931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5869333</v>
      </c>
    </row>
    <row r="4" spans="1:38" x14ac:dyDescent="0.25">
      <c r="A4" s="1">
        <v>45938</v>
      </c>
      <c r="B4" s="1">
        <v>45938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49</v>
      </c>
      <c r="R4" t="s">
        <v>58</v>
      </c>
      <c r="S4" s="1">
        <v>45931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5869334</v>
      </c>
    </row>
    <row r="5" spans="1:38" x14ac:dyDescent="0.25">
      <c r="A5" s="1">
        <v>45938</v>
      </c>
      <c r="B5" s="1">
        <v>45938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66</v>
      </c>
      <c r="O5" t="s">
        <v>56</v>
      </c>
      <c r="P5" t="s">
        <v>57</v>
      </c>
      <c r="Q5" t="s">
        <v>67</v>
      </c>
      <c r="R5" t="s">
        <v>50</v>
      </c>
      <c r="S5" s="1">
        <v>45839</v>
      </c>
      <c r="U5" t="s">
        <v>51</v>
      </c>
      <c r="X5" t="s">
        <v>52</v>
      </c>
      <c r="Y5" s="2">
        <v>0</v>
      </c>
      <c r="Z5" s="2">
        <v>43.75</v>
      </c>
      <c r="AA5">
        <v>1</v>
      </c>
      <c r="AB5" s="3">
        <v>1</v>
      </c>
      <c r="AC5" s="2">
        <v>43.75</v>
      </c>
      <c r="AD5" s="3">
        <v>0</v>
      </c>
      <c r="AE5" s="2">
        <v>0</v>
      </c>
      <c r="AF5" s="2">
        <v>43.75</v>
      </c>
      <c r="AK5">
        <v>0</v>
      </c>
      <c r="AL5" t="s">
        <v>68</v>
      </c>
    </row>
    <row r="6" spans="1:38" x14ac:dyDescent="0.25">
      <c r="A6" s="1">
        <v>45938</v>
      </c>
      <c r="B6" s="1">
        <v>45938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71</v>
      </c>
      <c r="O6" t="s">
        <v>72</v>
      </c>
      <c r="P6" t="s">
        <v>73</v>
      </c>
      <c r="Q6" t="s">
        <v>49</v>
      </c>
      <c r="R6" t="s">
        <v>50</v>
      </c>
      <c r="S6" s="1">
        <v>45992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5869439</v>
      </c>
    </row>
    <row r="7" spans="1:38" x14ac:dyDescent="0.25">
      <c r="A7" s="1">
        <v>45938</v>
      </c>
      <c r="B7" s="1">
        <v>45938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74</v>
      </c>
      <c r="J7" t="s">
        <v>75</v>
      </c>
      <c r="M7" t="s">
        <v>76</v>
      </c>
      <c r="O7" t="s">
        <v>77</v>
      </c>
      <c r="P7" t="s">
        <v>78</v>
      </c>
      <c r="Q7" t="s">
        <v>49</v>
      </c>
      <c r="R7" t="s">
        <v>79</v>
      </c>
      <c r="S7" s="1">
        <v>45931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5869317</v>
      </c>
    </row>
    <row r="8" spans="1:38" x14ac:dyDescent="0.25">
      <c r="A8" s="1">
        <v>45938</v>
      </c>
      <c r="B8" s="1">
        <v>45938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80</v>
      </c>
      <c r="J8" t="s">
        <v>81</v>
      </c>
      <c r="M8" t="s">
        <v>46</v>
      </c>
      <c r="O8" t="s">
        <v>62</v>
      </c>
      <c r="P8" t="s">
        <v>63</v>
      </c>
      <c r="Q8" t="s">
        <v>49</v>
      </c>
      <c r="R8" t="s">
        <v>50</v>
      </c>
      <c r="S8" s="1">
        <v>45931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5869451</v>
      </c>
    </row>
    <row r="9" spans="1:38" x14ac:dyDescent="0.25">
      <c r="A9" s="1">
        <v>45938</v>
      </c>
      <c r="B9" s="1">
        <v>45938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46</v>
      </c>
      <c r="O9" t="s">
        <v>84</v>
      </c>
      <c r="P9" t="s">
        <v>85</v>
      </c>
      <c r="Q9" t="s">
        <v>49</v>
      </c>
      <c r="R9" t="s">
        <v>50</v>
      </c>
      <c r="S9" s="1">
        <v>45962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5869452</v>
      </c>
    </row>
    <row r="10" spans="1:38" x14ac:dyDescent="0.25">
      <c r="A10" s="1">
        <v>45938</v>
      </c>
      <c r="B10" s="1">
        <v>45938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86</v>
      </c>
      <c r="J10" t="s">
        <v>87</v>
      </c>
      <c r="M10" t="s">
        <v>46</v>
      </c>
      <c r="O10" t="s">
        <v>56</v>
      </c>
      <c r="P10" t="s">
        <v>57</v>
      </c>
      <c r="Q10" t="s">
        <v>49</v>
      </c>
      <c r="R10" t="s">
        <v>50</v>
      </c>
      <c r="S10" s="1">
        <v>45931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5869454</v>
      </c>
    </row>
    <row r="11" spans="1:38" x14ac:dyDescent="0.25">
      <c r="A11" s="1">
        <v>45938</v>
      </c>
      <c r="B11" s="1">
        <v>45938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89</v>
      </c>
      <c r="M11" t="s">
        <v>46</v>
      </c>
      <c r="O11" t="s">
        <v>90</v>
      </c>
      <c r="P11" t="s">
        <v>91</v>
      </c>
      <c r="Q11" t="s">
        <v>49</v>
      </c>
      <c r="R11" t="s">
        <v>50</v>
      </c>
      <c r="S11" s="1">
        <v>45931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5869455</v>
      </c>
    </row>
    <row r="12" spans="1:38" x14ac:dyDescent="0.25">
      <c r="A12" s="1">
        <v>45938</v>
      </c>
      <c r="B12" s="1">
        <v>45938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94</v>
      </c>
      <c r="O12" t="s">
        <v>72</v>
      </c>
      <c r="P12" t="s">
        <v>73</v>
      </c>
      <c r="Q12" t="s">
        <v>49</v>
      </c>
      <c r="R12" t="s">
        <v>50</v>
      </c>
      <c r="S12" s="1">
        <v>45962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5869458</v>
      </c>
    </row>
    <row r="13" spans="1:38" x14ac:dyDescent="0.25">
      <c r="A13" s="1">
        <v>45938</v>
      </c>
      <c r="B13" s="1">
        <v>45938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95</v>
      </c>
      <c r="J13" t="s">
        <v>96</v>
      </c>
      <c r="M13" t="s">
        <v>46</v>
      </c>
      <c r="O13" t="s">
        <v>97</v>
      </c>
      <c r="P13" t="s">
        <v>98</v>
      </c>
      <c r="Q13" t="s">
        <v>49</v>
      </c>
      <c r="R13" t="s">
        <v>50</v>
      </c>
      <c r="S13" s="1">
        <v>45931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5869459</v>
      </c>
    </row>
    <row r="14" spans="1:38" x14ac:dyDescent="0.25">
      <c r="A14" s="1">
        <v>45938</v>
      </c>
      <c r="B14" s="1">
        <v>45938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99</v>
      </c>
      <c r="J14" t="s">
        <v>100</v>
      </c>
      <c r="M14" t="s">
        <v>101</v>
      </c>
      <c r="O14" t="s">
        <v>102</v>
      </c>
      <c r="P14" t="s">
        <v>103</v>
      </c>
      <c r="Q14" t="s">
        <v>49</v>
      </c>
      <c r="R14" t="s">
        <v>50</v>
      </c>
      <c r="S14" s="1">
        <v>45931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5869463</v>
      </c>
    </row>
    <row r="15" spans="1:38" x14ac:dyDescent="0.25">
      <c r="A15" s="1">
        <v>45938</v>
      </c>
      <c r="B15" s="1">
        <v>45938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104</v>
      </c>
      <c r="J15" t="s">
        <v>105</v>
      </c>
      <c r="M15" t="s">
        <v>46</v>
      </c>
      <c r="O15" t="s">
        <v>72</v>
      </c>
      <c r="P15" t="s">
        <v>73</v>
      </c>
      <c r="Q15" t="s">
        <v>49</v>
      </c>
      <c r="R15" t="s">
        <v>50</v>
      </c>
      <c r="S15" s="1">
        <v>45931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5869464</v>
      </c>
    </row>
    <row r="16" spans="1:38" x14ac:dyDescent="0.25">
      <c r="A16" s="1">
        <v>45938</v>
      </c>
      <c r="B16" s="1">
        <v>45938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106</v>
      </c>
      <c r="J16" t="s">
        <v>107</v>
      </c>
      <c r="M16" t="s">
        <v>46</v>
      </c>
      <c r="O16" t="s">
        <v>84</v>
      </c>
      <c r="P16" t="s">
        <v>85</v>
      </c>
      <c r="Q16" t="s">
        <v>49</v>
      </c>
      <c r="R16" t="s">
        <v>50</v>
      </c>
      <c r="S16" s="1">
        <v>45962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5869466</v>
      </c>
    </row>
    <row r="17" spans="1:38" x14ac:dyDescent="0.25">
      <c r="A17" s="1">
        <v>45938</v>
      </c>
      <c r="B17" s="1">
        <v>45938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76</v>
      </c>
      <c r="O17" t="s">
        <v>77</v>
      </c>
      <c r="P17" t="s">
        <v>78</v>
      </c>
      <c r="Q17" t="s">
        <v>49</v>
      </c>
      <c r="R17" t="s">
        <v>79</v>
      </c>
      <c r="S17" s="1">
        <v>45931</v>
      </c>
      <c r="U17" t="s">
        <v>51</v>
      </c>
      <c r="X17" t="s">
        <v>52</v>
      </c>
      <c r="Y17" s="2">
        <v>0</v>
      </c>
      <c r="Z17" s="2">
        <v>15</v>
      </c>
      <c r="AA17">
        <v>1</v>
      </c>
      <c r="AB17" s="3">
        <v>1</v>
      </c>
      <c r="AC17" s="2">
        <v>15</v>
      </c>
      <c r="AD17" s="3">
        <v>0</v>
      </c>
      <c r="AE17" s="2">
        <v>0</v>
      </c>
      <c r="AF17" s="2">
        <v>15</v>
      </c>
      <c r="AK17">
        <v>5869318</v>
      </c>
    </row>
    <row r="18" spans="1:38" x14ac:dyDescent="0.25">
      <c r="A18" s="1">
        <v>45938</v>
      </c>
      <c r="B18" s="1">
        <v>45938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46</v>
      </c>
      <c r="O18" t="s">
        <v>84</v>
      </c>
      <c r="P18" t="s">
        <v>85</v>
      </c>
      <c r="Q18" t="s">
        <v>49</v>
      </c>
      <c r="R18" t="s">
        <v>50</v>
      </c>
      <c r="S18" s="1">
        <v>45962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5869467</v>
      </c>
    </row>
    <row r="19" spans="1:38" x14ac:dyDescent="0.25">
      <c r="A19" s="1">
        <v>45938</v>
      </c>
      <c r="B19" s="1">
        <v>45938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112</v>
      </c>
      <c r="J19" t="s">
        <v>113</v>
      </c>
      <c r="M19" t="s">
        <v>46</v>
      </c>
      <c r="O19" t="s">
        <v>114</v>
      </c>
      <c r="P19" t="s">
        <v>115</v>
      </c>
      <c r="Q19" t="s">
        <v>49</v>
      </c>
      <c r="R19" t="s">
        <v>79</v>
      </c>
      <c r="S19" s="1">
        <v>45962</v>
      </c>
      <c r="U19" t="s">
        <v>51</v>
      </c>
      <c r="X19" t="s">
        <v>52</v>
      </c>
      <c r="Y19" s="2">
        <v>0</v>
      </c>
      <c r="Z19" s="2">
        <v>15</v>
      </c>
      <c r="AA19">
        <v>1</v>
      </c>
      <c r="AB19" s="3">
        <v>1</v>
      </c>
      <c r="AC19" s="2">
        <v>15</v>
      </c>
      <c r="AD19" s="3">
        <v>0</v>
      </c>
      <c r="AE19" s="2">
        <v>0</v>
      </c>
      <c r="AF19" s="2">
        <v>15</v>
      </c>
      <c r="AK19">
        <v>5869319</v>
      </c>
    </row>
    <row r="20" spans="1:38" x14ac:dyDescent="0.25">
      <c r="A20" s="1">
        <v>45938</v>
      </c>
      <c r="B20" s="1">
        <v>45938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116</v>
      </c>
      <c r="J20" t="s">
        <v>117</v>
      </c>
      <c r="M20" t="s">
        <v>46</v>
      </c>
      <c r="O20" t="s">
        <v>118</v>
      </c>
      <c r="P20" t="s">
        <v>119</v>
      </c>
      <c r="Q20" t="s">
        <v>49</v>
      </c>
      <c r="R20" t="s">
        <v>50</v>
      </c>
      <c r="S20" s="1">
        <v>45992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5869474</v>
      </c>
    </row>
    <row r="21" spans="1:38" x14ac:dyDescent="0.25">
      <c r="A21" s="1">
        <v>45938</v>
      </c>
      <c r="B21" s="1">
        <v>45938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120</v>
      </c>
      <c r="J21" t="s">
        <v>121</v>
      </c>
      <c r="M21" t="s">
        <v>46</v>
      </c>
      <c r="O21" t="s">
        <v>122</v>
      </c>
      <c r="P21" t="s">
        <v>123</v>
      </c>
      <c r="Q21" t="s">
        <v>49</v>
      </c>
      <c r="R21" t="s">
        <v>50</v>
      </c>
      <c r="S21" s="1">
        <v>45931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5869485</v>
      </c>
    </row>
    <row r="22" spans="1:38" x14ac:dyDescent="0.25">
      <c r="A22" s="1">
        <v>45938</v>
      </c>
      <c r="B22" s="1">
        <v>45938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124</v>
      </c>
      <c r="J22" t="s">
        <v>125</v>
      </c>
      <c r="M22" t="s">
        <v>46</v>
      </c>
      <c r="O22" t="s">
        <v>122</v>
      </c>
      <c r="P22" t="s">
        <v>123</v>
      </c>
      <c r="Q22" t="s">
        <v>49</v>
      </c>
      <c r="R22" t="s">
        <v>50</v>
      </c>
      <c r="S22" s="1">
        <v>45962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5869489</v>
      </c>
    </row>
    <row r="23" spans="1:38" x14ac:dyDescent="0.25">
      <c r="A23" s="1">
        <v>45938</v>
      </c>
      <c r="B23" s="1">
        <v>45938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126</v>
      </c>
      <c r="J23" t="s">
        <v>127</v>
      </c>
      <c r="M23" t="s">
        <v>46</v>
      </c>
      <c r="O23" t="s">
        <v>128</v>
      </c>
      <c r="P23" t="s">
        <v>129</v>
      </c>
      <c r="Q23" t="s">
        <v>49</v>
      </c>
      <c r="R23" t="s">
        <v>50</v>
      </c>
      <c r="S23" s="1">
        <v>45931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5869498</v>
      </c>
    </row>
    <row r="24" spans="1:38" x14ac:dyDescent="0.25">
      <c r="A24" s="1">
        <v>45938</v>
      </c>
      <c r="B24" s="1">
        <v>45938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61</v>
      </c>
      <c r="O24" t="s">
        <v>132</v>
      </c>
      <c r="P24" t="s">
        <v>133</v>
      </c>
      <c r="Q24" t="s">
        <v>49</v>
      </c>
      <c r="R24" t="s">
        <v>134</v>
      </c>
      <c r="S24" s="1">
        <v>45931</v>
      </c>
      <c r="U24" t="s">
        <v>51</v>
      </c>
      <c r="X24" t="s">
        <v>52</v>
      </c>
      <c r="Y24" s="2">
        <v>0</v>
      </c>
      <c r="Z24" s="2">
        <v>10</v>
      </c>
      <c r="AA24">
        <v>1</v>
      </c>
      <c r="AB24" s="3">
        <v>1</v>
      </c>
      <c r="AC24" s="2">
        <v>10</v>
      </c>
      <c r="AD24" s="3">
        <v>0</v>
      </c>
      <c r="AE24" s="2">
        <v>0</v>
      </c>
      <c r="AF24" s="2">
        <v>10</v>
      </c>
      <c r="AK24">
        <v>5869105</v>
      </c>
      <c r="AL24" t="s">
        <v>135</v>
      </c>
    </row>
    <row r="25" spans="1:38" x14ac:dyDescent="0.25">
      <c r="A25" s="1">
        <v>45938</v>
      </c>
      <c r="B25" s="1">
        <v>45938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136</v>
      </c>
      <c r="J25" t="s">
        <v>137</v>
      </c>
      <c r="M25" t="s">
        <v>138</v>
      </c>
      <c r="O25" t="s">
        <v>139</v>
      </c>
      <c r="P25" t="s">
        <v>140</v>
      </c>
      <c r="Q25" t="s">
        <v>67</v>
      </c>
      <c r="R25" t="s">
        <v>141</v>
      </c>
      <c r="S25" s="1">
        <v>45992</v>
      </c>
      <c r="U25" t="s">
        <v>51</v>
      </c>
      <c r="X25" t="s">
        <v>52</v>
      </c>
      <c r="Y25" s="2">
        <v>0</v>
      </c>
      <c r="Z25" s="2">
        <v>2.08</v>
      </c>
      <c r="AA25">
        <v>1</v>
      </c>
      <c r="AB25" s="3">
        <v>1</v>
      </c>
      <c r="AC25" s="2">
        <v>2.08</v>
      </c>
      <c r="AD25" s="3">
        <v>0</v>
      </c>
      <c r="AE25" s="2">
        <v>0</v>
      </c>
      <c r="AF25" s="2">
        <v>2.08</v>
      </c>
      <c r="AK25">
        <v>5869149</v>
      </c>
      <c r="AL25" t="s">
        <v>142</v>
      </c>
    </row>
    <row r="26" spans="1:38" x14ac:dyDescent="0.25">
      <c r="A26" s="1">
        <v>45938</v>
      </c>
      <c r="B26" s="1">
        <v>45938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143</v>
      </c>
      <c r="J26" t="s">
        <v>144</v>
      </c>
      <c r="M26" t="s">
        <v>145</v>
      </c>
      <c r="O26" t="s">
        <v>146</v>
      </c>
      <c r="P26" t="s">
        <v>147</v>
      </c>
      <c r="Q26" t="s">
        <v>67</v>
      </c>
      <c r="R26" t="s">
        <v>141</v>
      </c>
      <c r="S26" s="1">
        <v>45931</v>
      </c>
      <c r="U26" t="s">
        <v>51</v>
      </c>
      <c r="X26" t="s">
        <v>52</v>
      </c>
      <c r="Y26" s="2">
        <v>0</v>
      </c>
      <c r="Z26" s="2">
        <v>6.25</v>
      </c>
      <c r="AA26">
        <v>1</v>
      </c>
      <c r="AB26" s="3">
        <v>1</v>
      </c>
      <c r="AC26" s="2">
        <v>6.25</v>
      </c>
      <c r="AD26" s="3">
        <v>0</v>
      </c>
      <c r="AE26" s="2">
        <v>0</v>
      </c>
      <c r="AF26" s="2">
        <v>6.25</v>
      </c>
      <c r="AK26">
        <v>5869153</v>
      </c>
      <c r="AL26" t="s">
        <v>135</v>
      </c>
    </row>
    <row r="27" spans="1:38" x14ac:dyDescent="0.25">
      <c r="A27" s="1">
        <v>45938</v>
      </c>
      <c r="B27" s="1">
        <v>45938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148</v>
      </c>
      <c r="J27" t="s">
        <v>149</v>
      </c>
      <c r="M27" t="s">
        <v>150</v>
      </c>
      <c r="O27" t="s">
        <v>62</v>
      </c>
      <c r="P27" t="s">
        <v>63</v>
      </c>
      <c r="Q27" t="s">
        <v>67</v>
      </c>
      <c r="R27" t="s">
        <v>151</v>
      </c>
      <c r="S27" s="1">
        <v>45962</v>
      </c>
      <c r="U27" t="s">
        <v>51</v>
      </c>
      <c r="X27" t="s">
        <v>52</v>
      </c>
      <c r="Y27" s="2">
        <v>0</v>
      </c>
      <c r="Z27" s="2">
        <v>2.5</v>
      </c>
      <c r="AA27">
        <v>1</v>
      </c>
      <c r="AB27" s="3">
        <v>1</v>
      </c>
      <c r="AC27" s="2">
        <v>2.5</v>
      </c>
      <c r="AD27" s="3">
        <v>0</v>
      </c>
      <c r="AE27" s="2">
        <v>0</v>
      </c>
      <c r="AF27" s="2">
        <v>2.5</v>
      </c>
      <c r="AK27">
        <v>5869154</v>
      </c>
      <c r="AL27" t="s">
        <v>152</v>
      </c>
    </row>
    <row r="28" spans="1:38" x14ac:dyDescent="0.25">
      <c r="A28" s="1">
        <v>45938</v>
      </c>
      <c r="B28" s="1">
        <v>45938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153</v>
      </c>
      <c r="J28" t="s">
        <v>154</v>
      </c>
      <c r="M28" t="s">
        <v>145</v>
      </c>
      <c r="O28" t="s">
        <v>155</v>
      </c>
      <c r="P28" t="s">
        <v>156</v>
      </c>
      <c r="Q28" t="s">
        <v>67</v>
      </c>
      <c r="R28" t="s">
        <v>141</v>
      </c>
      <c r="S28" s="1">
        <v>45931</v>
      </c>
      <c r="U28" t="s">
        <v>51</v>
      </c>
      <c r="X28" t="s">
        <v>52</v>
      </c>
      <c r="Y28" s="2">
        <v>0</v>
      </c>
      <c r="Z28" s="2">
        <v>6.25</v>
      </c>
      <c r="AA28">
        <v>1</v>
      </c>
      <c r="AB28" s="3">
        <v>1</v>
      </c>
      <c r="AC28" s="2">
        <v>6.25</v>
      </c>
      <c r="AD28" s="3">
        <v>0</v>
      </c>
      <c r="AE28" s="2">
        <v>0</v>
      </c>
      <c r="AF28" s="2">
        <v>6.25</v>
      </c>
      <c r="AK28">
        <v>5869207</v>
      </c>
      <c r="AL28" t="s">
        <v>135</v>
      </c>
    </row>
    <row r="29" spans="1:38" x14ac:dyDescent="0.25">
      <c r="A29" s="1">
        <v>45938</v>
      </c>
      <c r="B29" s="1">
        <v>45938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157</v>
      </c>
      <c r="J29" t="s">
        <v>158</v>
      </c>
      <c r="M29" t="s">
        <v>159</v>
      </c>
      <c r="O29" t="s">
        <v>160</v>
      </c>
      <c r="P29" t="s">
        <v>161</v>
      </c>
      <c r="Q29" t="s">
        <v>49</v>
      </c>
      <c r="R29" t="s">
        <v>162</v>
      </c>
      <c r="S29" s="1">
        <v>45931</v>
      </c>
      <c r="U29" t="s">
        <v>51</v>
      </c>
      <c r="X29" t="s">
        <v>52</v>
      </c>
      <c r="Y29" s="2">
        <v>0</v>
      </c>
      <c r="Z29" s="2">
        <v>78.25</v>
      </c>
      <c r="AA29">
        <v>1</v>
      </c>
      <c r="AB29" s="3">
        <v>1</v>
      </c>
      <c r="AC29" s="2">
        <v>78.25</v>
      </c>
      <c r="AD29" s="3">
        <v>0</v>
      </c>
      <c r="AE29" s="2">
        <v>0</v>
      </c>
      <c r="AF29" s="2">
        <v>78.25</v>
      </c>
      <c r="AK29">
        <v>5869639</v>
      </c>
      <c r="AL29" t="s">
        <v>135</v>
      </c>
    </row>
    <row r="30" spans="1:38" x14ac:dyDescent="0.25">
      <c r="A30" s="1">
        <v>45938</v>
      </c>
      <c r="B30" s="1">
        <v>45938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163</v>
      </c>
      <c r="J30" t="s">
        <v>158</v>
      </c>
      <c r="M30" t="s">
        <v>159</v>
      </c>
      <c r="O30" t="s">
        <v>160</v>
      </c>
      <c r="P30" t="s">
        <v>161</v>
      </c>
      <c r="Q30" t="s">
        <v>49</v>
      </c>
      <c r="R30" t="s">
        <v>164</v>
      </c>
      <c r="S30" s="1">
        <v>45931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5869640</v>
      </c>
    </row>
    <row r="31" spans="1:38" x14ac:dyDescent="0.25">
      <c r="A31" s="1">
        <v>45938</v>
      </c>
      <c r="B31" s="1">
        <v>45938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165</v>
      </c>
      <c r="J31" t="s">
        <v>166</v>
      </c>
      <c r="M31" t="s">
        <v>150</v>
      </c>
      <c r="O31" t="s">
        <v>167</v>
      </c>
      <c r="P31" t="s">
        <v>168</v>
      </c>
      <c r="Q31" t="s">
        <v>49</v>
      </c>
      <c r="R31" t="s">
        <v>162</v>
      </c>
      <c r="S31" s="1">
        <v>45931</v>
      </c>
      <c r="U31" t="s">
        <v>51</v>
      </c>
      <c r="X31" t="s">
        <v>52</v>
      </c>
      <c r="Y31" s="2">
        <v>0</v>
      </c>
      <c r="Z31" s="2">
        <v>78.25</v>
      </c>
      <c r="AA31">
        <v>1</v>
      </c>
      <c r="AB31" s="3">
        <v>1</v>
      </c>
      <c r="AC31" s="2">
        <v>78.25</v>
      </c>
      <c r="AD31" s="3">
        <v>0</v>
      </c>
      <c r="AE31" s="2">
        <v>0</v>
      </c>
      <c r="AF31" s="2">
        <v>78.25</v>
      </c>
      <c r="AK31">
        <v>5869641</v>
      </c>
      <c r="AL31" t="s">
        <v>135</v>
      </c>
    </row>
    <row r="32" spans="1:38" x14ac:dyDescent="0.25">
      <c r="A32" s="1">
        <v>45938</v>
      </c>
      <c r="B32" s="1">
        <v>45938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169</v>
      </c>
      <c r="J32" t="s">
        <v>166</v>
      </c>
      <c r="M32" t="s">
        <v>150</v>
      </c>
      <c r="O32" t="s">
        <v>167</v>
      </c>
      <c r="P32" t="s">
        <v>168</v>
      </c>
      <c r="Q32" t="s">
        <v>49</v>
      </c>
      <c r="R32" t="s">
        <v>164</v>
      </c>
      <c r="S32" s="1">
        <v>45931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5869642</v>
      </c>
    </row>
    <row r="33" spans="1:38" x14ac:dyDescent="0.25">
      <c r="A33" s="1">
        <v>45938</v>
      </c>
      <c r="B33" s="1">
        <v>45938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170</v>
      </c>
      <c r="J33" t="s">
        <v>171</v>
      </c>
      <c r="M33" t="s">
        <v>46</v>
      </c>
      <c r="O33" t="s">
        <v>172</v>
      </c>
      <c r="P33" t="s">
        <v>173</v>
      </c>
      <c r="Q33" t="s">
        <v>49</v>
      </c>
      <c r="R33" t="s">
        <v>162</v>
      </c>
      <c r="S33" s="1">
        <v>45931</v>
      </c>
      <c r="U33" t="s">
        <v>51</v>
      </c>
      <c r="X33" t="s">
        <v>52</v>
      </c>
      <c r="Y33" s="2">
        <v>0</v>
      </c>
      <c r="Z33" s="2">
        <v>78.25</v>
      </c>
      <c r="AA33">
        <v>1</v>
      </c>
      <c r="AB33" s="3">
        <v>1</v>
      </c>
      <c r="AC33" s="2">
        <v>78.25</v>
      </c>
      <c r="AD33" s="3">
        <v>0</v>
      </c>
      <c r="AE33" s="2">
        <v>0</v>
      </c>
      <c r="AF33" s="2">
        <v>78.25</v>
      </c>
      <c r="AK33">
        <v>5869637</v>
      </c>
      <c r="AL33" t="s">
        <v>135</v>
      </c>
    </row>
    <row r="34" spans="1:38" x14ac:dyDescent="0.25">
      <c r="A34" s="1">
        <v>45938</v>
      </c>
      <c r="B34" s="1">
        <v>45938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174</v>
      </c>
      <c r="J34" t="s">
        <v>171</v>
      </c>
      <c r="M34" t="s">
        <v>46</v>
      </c>
      <c r="O34" t="s">
        <v>172</v>
      </c>
      <c r="P34" t="s">
        <v>173</v>
      </c>
      <c r="Q34" t="s">
        <v>49</v>
      </c>
      <c r="R34" t="s">
        <v>175</v>
      </c>
      <c r="S34" s="1">
        <v>45931</v>
      </c>
      <c r="U34" t="s">
        <v>51</v>
      </c>
      <c r="X34" t="s">
        <v>52</v>
      </c>
      <c r="Y34" s="2">
        <v>0</v>
      </c>
      <c r="Z34" s="2">
        <v>113</v>
      </c>
      <c r="AA34">
        <v>1</v>
      </c>
      <c r="AB34" s="3">
        <v>1</v>
      </c>
      <c r="AC34" s="2">
        <v>113</v>
      </c>
      <c r="AD34" s="3">
        <v>0</v>
      </c>
      <c r="AE34" s="2">
        <v>0</v>
      </c>
      <c r="AF34" s="2">
        <v>113</v>
      </c>
      <c r="AK34">
        <v>5869638</v>
      </c>
    </row>
    <row r="35" spans="1:38" x14ac:dyDescent="0.25">
      <c r="A35" s="1">
        <v>45938</v>
      </c>
      <c r="B35" s="1">
        <v>45938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176</v>
      </c>
      <c r="J35" t="s">
        <v>177</v>
      </c>
      <c r="M35" t="s">
        <v>94</v>
      </c>
      <c r="O35" t="s">
        <v>56</v>
      </c>
      <c r="P35" t="s">
        <v>57</v>
      </c>
      <c r="Q35" t="s">
        <v>49</v>
      </c>
      <c r="R35" t="s">
        <v>162</v>
      </c>
      <c r="S35" s="1">
        <v>45658</v>
      </c>
      <c r="U35" t="s">
        <v>51</v>
      </c>
      <c r="X35" t="s">
        <v>52</v>
      </c>
      <c r="Y35" s="2">
        <v>0</v>
      </c>
      <c r="Z35" s="2">
        <v>313</v>
      </c>
      <c r="AA35">
        <v>1</v>
      </c>
      <c r="AB35" s="3">
        <v>1</v>
      </c>
      <c r="AC35" s="2">
        <v>313</v>
      </c>
      <c r="AD35" s="3">
        <v>0</v>
      </c>
      <c r="AE35" s="2">
        <v>0</v>
      </c>
      <c r="AF35" s="2">
        <v>313</v>
      </c>
      <c r="AK35">
        <v>5869647</v>
      </c>
      <c r="AL35" t="s">
        <v>178</v>
      </c>
    </row>
    <row r="36" spans="1:38" x14ac:dyDescent="0.25">
      <c r="A36" s="1">
        <v>45938</v>
      </c>
      <c r="B36" s="1">
        <v>45938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179</v>
      </c>
      <c r="J36" t="s">
        <v>177</v>
      </c>
      <c r="M36" t="s">
        <v>94</v>
      </c>
      <c r="O36" t="s">
        <v>56</v>
      </c>
      <c r="P36" t="s">
        <v>57</v>
      </c>
      <c r="Q36" t="s">
        <v>49</v>
      </c>
      <c r="R36" t="s">
        <v>180</v>
      </c>
      <c r="S36" s="1">
        <v>45658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5869648</v>
      </c>
    </row>
    <row r="37" spans="1:38" x14ac:dyDescent="0.25">
      <c r="A37" s="1">
        <v>45938</v>
      </c>
      <c r="B37" s="1">
        <v>45938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181</v>
      </c>
      <c r="J37" t="s">
        <v>182</v>
      </c>
      <c r="M37" t="s">
        <v>94</v>
      </c>
      <c r="O37" t="s">
        <v>183</v>
      </c>
      <c r="P37" t="s">
        <v>184</v>
      </c>
      <c r="Q37" t="s">
        <v>49</v>
      </c>
      <c r="R37" t="s">
        <v>185</v>
      </c>
      <c r="S37" s="1">
        <v>45658</v>
      </c>
      <c r="U37" t="s">
        <v>51</v>
      </c>
      <c r="X37" t="s">
        <v>52</v>
      </c>
      <c r="Y37" s="2">
        <v>0</v>
      </c>
      <c r="Z37" s="2">
        <v>33</v>
      </c>
      <c r="AA37">
        <v>9</v>
      </c>
      <c r="AB37" s="3">
        <v>1</v>
      </c>
      <c r="AC37" s="2">
        <v>297</v>
      </c>
      <c r="AD37" s="3">
        <v>0</v>
      </c>
      <c r="AE37" s="2">
        <v>0</v>
      </c>
      <c r="AF37" s="2">
        <v>297</v>
      </c>
      <c r="AK37">
        <v>5869513</v>
      </c>
    </row>
    <row r="38" spans="1:38" x14ac:dyDescent="0.25">
      <c r="A38" s="1">
        <v>45938</v>
      </c>
      <c r="B38" s="1">
        <v>45938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186</v>
      </c>
      <c r="J38" t="s">
        <v>187</v>
      </c>
      <c r="M38" t="s">
        <v>94</v>
      </c>
      <c r="O38" t="s">
        <v>183</v>
      </c>
      <c r="P38" t="s">
        <v>184</v>
      </c>
      <c r="Q38" t="s">
        <v>49</v>
      </c>
      <c r="R38" t="s">
        <v>185</v>
      </c>
      <c r="S38" s="1">
        <v>45658</v>
      </c>
      <c r="U38" t="s">
        <v>51</v>
      </c>
      <c r="X38" t="s">
        <v>52</v>
      </c>
      <c r="Y38" s="2">
        <v>0</v>
      </c>
      <c r="Z38" s="2">
        <v>33</v>
      </c>
      <c r="AA38">
        <v>9</v>
      </c>
      <c r="AB38" s="3">
        <v>1</v>
      </c>
      <c r="AC38" s="2">
        <v>297</v>
      </c>
      <c r="AD38" s="3">
        <v>0</v>
      </c>
      <c r="AE38" s="2">
        <v>0</v>
      </c>
      <c r="AF38" s="2">
        <v>297</v>
      </c>
      <c r="AK38">
        <v>5869512</v>
      </c>
    </row>
    <row r="39" spans="1:38" x14ac:dyDescent="0.25">
      <c r="A39" s="1">
        <v>45938</v>
      </c>
      <c r="B39" s="1">
        <v>45938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188</v>
      </c>
      <c r="J39" t="s">
        <v>75</v>
      </c>
      <c r="M39" t="s">
        <v>76</v>
      </c>
      <c r="O39" t="s">
        <v>77</v>
      </c>
      <c r="P39" t="s">
        <v>78</v>
      </c>
      <c r="Q39" t="s">
        <v>49</v>
      </c>
      <c r="R39" t="s">
        <v>189</v>
      </c>
      <c r="S39" s="1">
        <v>45931</v>
      </c>
      <c r="U39" t="s">
        <v>51</v>
      </c>
      <c r="X39" t="s">
        <v>52</v>
      </c>
      <c r="Y39" s="2">
        <v>0</v>
      </c>
      <c r="Z39" s="2">
        <v>31.02</v>
      </c>
      <c r="AA39">
        <v>9</v>
      </c>
      <c r="AB39" s="3">
        <v>1</v>
      </c>
      <c r="AC39" s="2">
        <v>279.18</v>
      </c>
      <c r="AD39" s="3">
        <v>0</v>
      </c>
      <c r="AE39" s="2">
        <v>0</v>
      </c>
      <c r="AF39" s="2">
        <v>279.18</v>
      </c>
      <c r="AK39">
        <v>5869514</v>
      </c>
    </row>
    <row r="40" spans="1:38" x14ac:dyDescent="0.25">
      <c r="A40" s="1">
        <v>45938</v>
      </c>
      <c r="B40" s="1">
        <v>45938</v>
      </c>
      <c r="C40" t="s">
        <v>190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191</v>
      </c>
      <c r="J40" t="s">
        <v>60</v>
      </c>
      <c r="M40" t="s">
        <v>66</v>
      </c>
      <c r="O40" t="s">
        <v>172</v>
      </c>
      <c r="P40" t="s">
        <v>173</v>
      </c>
      <c r="Q40" t="s">
        <v>192</v>
      </c>
      <c r="R40" t="s">
        <v>58</v>
      </c>
      <c r="S40" s="1">
        <v>45658</v>
      </c>
      <c r="U40" t="s">
        <v>51</v>
      </c>
      <c r="X40" t="s">
        <v>52</v>
      </c>
      <c r="AF40" s="2">
        <v>108</v>
      </c>
      <c r="AG40" s="2">
        <v>0</v>
      </c>
      <c r="AJ40" s="2">
        <v>27</v>
      </c>
    </row>
    <row r="41" spans="1:38" x14ac:dyDescent="0.25">
      <c r="A41" s="1">
        <v>45938</v>
      </c>
      <c r="B41" s="1">
        <v>45938</v>
      </c>
      <c r="C41" t="s">
        <v>190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193</v>
      </c>
      <c r="J41" t="s">
        <v>194</v>
      </c>
      <c r="M41" t="s">
        <v>66</v>
      </c>
      <c r="O41" t="s">
        <v>118</v>
      </c>
      <c r="P41" t="s">
        <v>119</v>
      </c>
      <c r="Q41" t="s">
        <v>192</v>
      </c>
      <c r="R41" t="s">
        <v>50</v>
      </c>
      <c r="S41" s="1">
        <v>45809</v>
      </c>
      <c r="U41" t="s">
        <v>51</v>
      </c>
      <c r="X41" t="s">
        <v>52</v>
      </c>
      <c r="AF41" s="2">
        <v>175</v>
      </c>
      <c r="AG41" s="2">
        <v>0</v>
      </c>
      <c r="AJ41" s="2">
        <v>117.25</v>
      </c>
    </row>
    <row r="42" spans="1:38" x14ac:dyDescent="0.25">
      <c r="A42" s="1">
        <v>45938</v>
      </c>
      <c r="B42" s="1">
        <v>45938</v>
      </c>
      <c r="C42" t="s">
        <v>190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195</v>
      </c>
      <c r="J42" t="s">
        <v>196</v>
      </c>
      <c r="M42" t="s">
        <v>46</v>
      </c>
      <c r="O42" t="s">
        <v>56</v>
      </c>
      <c r="P42" t="s">
        <v>57</v>
      </c>
      <c r="Q42" t="s">
        <v>192</v>
      </c>
      <c r="R42" t="s">
        <v>197</v>
      </c>
      <c r="S42" s="1">
        <v>45658</v>
      </c>
      <c r="U42" t="s">
        <v>51</v>
      </c>
      <c r="X42" t="s">
        <v>52</v>
      </c>
      <c r="AF42" s="2">
        <v>50</v>
      </c>
      <c r="AG42" s="2">
        <v>0</v>
      </c>
      <c r="AJ42" s="2">
        <v>12.5</v>
      </c>
    </row>
    <row r="43" spans="1:38" x14ac:dyDescent="0.25">
      <c r="A43" s="1">
        <v>45938</v>
      </c>
      <c r="B43" s="1">
        <v>45938</v>
      </c>
      <c r="C43" t="s">
        <v>190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198</v>
      </c>
      <c r="J43" t="s">
        <v>199</v>
      </c>
      <c r="M43" t="s">
        <v>145</v>
      </c>
      <c r="O43" t="s">
        <v>200</v>
      </c>
      <c r="P43" t="s">
        <v>201</v>
      </c>
      <c r="Q43" t="s">
        <v>192</v>
      </c>
      <c r="R43" t="s">
        <v>202</v>
      </c>
      <c r="S43" s="1">
        <v>45689</v>
      </c>
      <c r="U43" t="s">
        <v>51</v>
      </c>
      <c r="X43" t="s">
        <v>52</v>
      </c>
      <c r="AF43" s="2">
        <v>45.83</v>
      </c>
      <c r="AG43" s="2">
        <v>0</v>
      </c>
      <c r="AJ43" s="2">
        <v>12.5</v>
      </c>
    </row>
    <row r="44" spans="1:38" x14ac:dyDescent="0.25">
      <c r="A44" s="1">
        <v>45938</v>
      </c>
      <c r="B44" s="1">
        <v>45938</v>
      </c>
      <c r="C44" t="s">
        <v>190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203</v>
      </c>
      <c r="J44" t="s">
        <v>204</v>
      </c>
      <c r="M44" t="s">
        <v>66</v>
      </c>
      <c r="O44" t="s">
        <v>47</v>
      </c>
      <c r="P44" t="s">
        <v>48</v>
      </c>
      <c r="Q44" t="s">
        <v>192</v>
      </c>
      <c r="R44" t="s">
        <v>205</v>
      </c>
      <c r="S44" s="1">
        <v>45658</v>
      </c>
      <c r="U44" t="s">
        <v>51</v>
      </c>
      <c r="X44" t="s">
        <v>52</v>
      </c>
      <c r="AF44" s="2">
        <v>175</v>
      </c>
      <c r="AG44" s="2">
        <v>0</v>
      </c>
      <c r="AJ44" s="2">
        <v>72.959999999999994</v>
      </c>
    </row>
    <row r="45" spans="1:38" x14ac:dyDescent="0.25">
      <c r="A45" s="1">
        <v>45938</v>
      </c>
      <c r="B45" s="1">
        <v>45938</v>
      </c>
      <c r="C45" t="s">
        <v>190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206</v>
      </c>
      <c r="J45" t="s">
        <v>207</v>
      </c>
      <c r="M45" t="s">
        <v>208</v>
      </c>
      <c r="O45" t="s">
        <v>56</v>
      </c>
      <c r="P45" t="s">
        <v>57</v>
      </c>
      <c r="Q45" t="s">
        <v>192</v>
      </c>
      <c r="R45" t="s">
        <v>209</v>
      </c>
      <c r="S45" s="1">
        <v>45931</v>
      </c>
      <c r="U45" t="s">
        <v>51</v>
      </c>
      <c r="X45" t="s">
        <v>52</v>
      </c>
      <c r="AF45" s="2">
        <v>100</v>
      </c>
      <c r="AG45" s="2">
        <v>0</v>
      </c>
      <c r="AJ45" s="2">
        <v>100</v>
      </c>
    </row>
    <row r="46" spans="1:38" x14ac:dyDescent="0.25">
      <c r="A46" s="1">
        <v>45938</v>
      </c>
      <c r="B46" s="1">
        <v>45938</v>
      </c>
      <c r="C46" t="s">
        <v>190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210</v>
      </c>
      <c r="J46" t="s">
        <v>211</v>
      </c>
      <c r="M46" t="s">
        <v>46</v>
      </c>
      <c r="O46" t="s">
        <v>167</v>
      </c>
      <c r="P46" t="s">
        <v>168</v>
      </c>
      <c r="Q46" t="s">
        <v>192</v>
      </c>
      <c r="R46" t="s">
        <v>212</v>
      </c>
      <c r="S46" s="1">
        <v>45931</v>
      </c>
      <c r="U46" t="s">
        <v>51</v>
      </c>
      <c r="X46" t="s">
        <v>52</v>
      </c>
      <c r="AF46" s="2">
        <v>100</v>
      </c>
      <c r="AG46" s="2">
        <v>0</v>
      </c>
      <c r="AJ46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0006-CBE3-421A-907A-9EE91CA49057}">
  <dimension ref="A1:X46"/>
  <sheetViews>
    <sheetView tabSelected="1" topLeftCell="B1" workbookViewId="0">
      <selection activeCell="B44" sqref="B44"/>
    </sheetView>
  </sheetViews>
  <sheetFormatPr defaultRowHeight="15" x14ac:dyDescent="0.25"/>
  <cols>
    <col min="1" max="2" width="23.28515625" style="4" customWidth="1"/>
    <col min="3" max="3" width="12.5703125" customWidth="1"/>
    <col min="6" max="6" width="11.5703125" customWidth="1"/>
    <col min="7" max="7" width="23.7109375" bestFit="1" customWidth="1"/>
    <col min="9" max="9" width="47.140625" bestFit="1" customWidth="1"/>
    <col min="10" max="10" width="10.140625" bestFit="1" customWidth="1"/>
    <col min="18" max="18" width="34.140625" bestFit="1" customWidth="1"/>
    <col min="19" max="19" width="24.140625" bestFit="1" customWidth="1"/>
  </cols>
  <sheetData>
    <row r="1" spans="1:18" x14ac:dyDescent="0.25">
      <c r="A1" s="4" t="s">
        <v>8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37</v>
      </c>
    </row>
    <row r="2" spans="1:18" x14ac:dyDescent="0.25">
      <c r="A2" s="4" t="s">
        <v>248</v>
      </c>
      <c r="B2" s="4" t="s">
        <v>248</v>
      </c>
      <c r="C2" t="s">
        <v>196</v>
      </c>
      <c r="E2" t="s">
        <v>46</v>
      </c>
      <c r="F2">
        <v>20411454</v>
      </c>
      <c r="G2" t="s">
        <v>258</v>
      </c>
      <c r="H2" t="s">
        <v>192</v>
      </c>
      <c r="I2" t="s">
        <v>197</v>
      </c>
      <c r="J2" s="1">
        <v>45658</v>
      </c>
      <c r="K2" t="s">
        <v>52</v>
      </c>
      <c r="P2">
        <v>-12.5</v>
      </c>
      <c r="R2" t="s">
        <v>237</v>
      </c>
    </row>
    <row r="3" spans="1:18" x14ac:dyDescent="0.25">
      <c r="A3" s="4" t="s">
        <v>249</v>
      </c>
      <c r="B3" s="4" t="s">
        <v>249</v>
      </c>
      <c r="C3" t="s">
        <v>199</v>
      </c>
      <c r="E3" t="s">
        <v>145</v>
      </c>
      <c r="F3">
        <v>20411454</v>
      </c>
      <c r="G3" t="s">
        <v>258</v>
      </c>
      <c r="H3" t="s">
        <v>192</v>
      </c>
      <c r="I3" t="s">
        <v>202</v>
      </c>
      <c r="J3" s="1">
        <v>45689</v>
      </c>
      <c r="K3" t="s">
        <v>52</v>
      </c>
      <c r="P3">
        <v>-12.5</v>
      </c>
      <c r="R3" t="s">
        <v>237</v>
      </c>
    </row>
    <row r="4" spans="1:18" x14ac:dyDescent="0.25">
      <c r="A4" s="4">
        <v>102194922600</v>
      </c>
      <c r="B4" s="4" t="str">
        <f>CONCATENATE(A4, "OVR")</f>
        <v>102194922600OVR</v>
      </c>
      <c r="C4" t="s">
        <v>131</v>
      </c>
      <c r="E4" t="s">
        <v>61</v>
      </c>
      <c r="F4">
        <v>20411454</v>
      </c>
      <c r="G4" t="s">
        <v>258</v>
      </c>
      <c r="H4" t="s">
        <v>49</v>
      </c>
      <c r="I4" t="s">
        <v>134</v>
      </c>
      <c r="J4" s="1">
        <v>45931</v>
      </c>
      <c r="K4" t="s">
        <v>52</v>
      </c>
      <c r="L4" s="2">
        <v>0</v>
      </c>
      <c r="M4" s="2">
        <v>10</v>
      </c>
      <c r="N4">
        <v>1</v>
      </c>
      <c r="O4" s="3">
        <v>1</v>
      </c>
      <c r="P4" s="2">
        <v>10</v>
      </c>
      <c r="Q4" t="s">
        <v>135</v>
      </c>
      <c r="R4" t="s">
        <v>237</v>
      </c>
    </row>
    <row r="5" spans="1:18" x14ac:dyDescent="0.25">
      <c r="A5" s="4">
        <v>102195172200</v>
      </c>
      <c r="B5" s="4" t="str">
        <f t="shared" ref="B5:B8" si="0">CONCATENATE(A5, "OVR")</f>
        <v>102195172200OVR</v>
      </c>
      <c r="C5" t="s">
        <v>137</v>
      </c>
      <c r="E5" t="s">
        <v>138</v>
      </c>
      <c r="F5">
        <v>20411454</v>
      </c>
      <c r="G5" t="s">
        <v>258</v>
      </c>
      <c r="H5" t="s">
        <v>67</v>
      </c>
      <c r="I5" t="s">
        <v>141</v>
      </c>
      <c r="J5" s="1">
        <v>45992</v>
      </c>
      <c r="K5" t="s">
        <v>52</v>
      </c>
      <c r="L5" s="2">
        <v>0</v>
      </c>
      <c r="M5" s="2">
        <v>2.08</v>
      </c>
      <c r="N5">
        <v>1</v>
      </c>
      <c r="O5" s="3">
        <v>1</v>
      </c>
      <c r="P5" s="2">
        <v>2.08</v>
      </c>
      <c r="Q5" t="s">
        <v>142</v>
      </c>
      <c r="R5" t="s">
        <v>237</v>
      </c>
    </row>
    <row r="6" spans="1:18" x14ac:dyDescent="0.25">
      <c r="A6" s="4">
        <v>102195182600</v>
      </c>
      <c r="B6" s="4" t="str">
        <f t="shared" si="0"/>
        <v>102195182600OVR</v>
      </c>
      <c r="C6" t="s">
        <v>144</v>
      </c>
      <c r="E6" t="s">
        <v>145</v>
      </c>
      <c r="F6">
        <v>20411454</v>
      </c>
      <c r="G6" t="s">
        <v>258</v>
      </c>
      <c r="H6" t="s">
        <v>67</v>
      </c>
      <c r="I6" t="s">
        <v>141</v>
      </c>
      <c r="J6" s="1">
        <v>45931</v>
      </c>
      <c r="K6" t="s">
        <v>52</v>
      </c>
      <c r="L6" s="2">
        <v>0</v>
      </c>
      <c r="M6" s="2">
        <v>6.25</v>
      </c>
      <c r="N6">
        <v>1</v>
      </c>
      <c r="O6" s="3">
        <v>1</v>
      </c>
      <c r="P6" s="2">
        <v>6.25</v>
      </c>
      <c r="Q6" t="s">
        <v>135</v>
      </c>
      <c r="R6" t="s">
        <v>237</v>
      </c>
    </row>
    <row r="7" spans="1:18" x14ac:dyDescent="0.25">
      <c r="A7" s="4">
        <v>102195495700</v>
      </c>
      <c r="B7" s="4" t="str">
        <f t="shared" si="0"/>
        <v>102195495700OVR</v>
      </c>
      <c r="C7" t="s">
        <v>154</v>
      </c>
      <c r="E7" t="s">
        <v>145</v>
      </c>
      <c r="F7">
        <v>20411454</v>
      </c>
      <c r="G7" t="s">
        <v>258</v>
      </c>
      <c r="H7" t="s">
        <v>67</v>
      </c>
      <c r="I7" t="s">
        <v>141</v>
      </c>
      <c r="J7" s="1">
        <v>45931</v>
      </c>
      <c r="K7" t="s">
        <v>52</v>
      </c>
      <c r="L7" s="2">
        <v>0</v>
      </c>
      <c r="M7" s="2">
        <v>6.25</v>
      </c>
      <c r="N7">
        <v>1</v>
      </c>
      <c r="O7" s="3">
        <v>1</v>
      </c>
      <c r="P7" s="2">
        <v>6.25</v>
      </c>
      <c r="Q7" t="s">
        <v>135</v>
      </c>
      <c r="R7" t="s">
        <v>237</v>
      </c>
    </row>
    <row r="8" spans="1:18" x14ac:dyDescent="0.25">
      <c r="A8" s="4">
        <v>102195185500</v>
      </c>
      <c r="B8" s="4" t="str">
        <f t="shared" si="0"/>
        <v>102195185500OVR</v>
      </c>
      <c r="C8" t="s">
        <v>149</v>
      </c>
      <c r="E8" t="s">
        <v>150</v>
      </c>
      <c r="F8">
        <v>20411454</v>
      </c>
      <c r="G8" t="s">
        <v>258</v>
      </c>
      <c r="H8" t="s">
        <v>67</v>
      </c>
      <c r="I8" t="s">
        <v>151</v>
      </c>
      <c r="J8" s="1">
        <v>45962</v>
      </c>
      <c r="K8" t="s">
        <v>52</v>
      </c>
      <c r="L8" s="2">
        <v>0</v>
      </c>
      <c r="M8" s="2">
        <v>2.5</v>
      </c>
      <c r="N8">
        <v>1</v>
      </c>
      <c r="O8" s="3">
        <v>1</v>
      </c>
      <c r="P8" s="2">
        <v>2.5</v>
      </c>
      <c r="Q8" t="s">
        <v>152</v>
      </c>
      <c r="R8" t="s">
        <v>237</v>
      </c>
    </row>
    <row r="9" spans="1:18" x14ac:dyDescent="0.25">
      <c r="A9" s="4" t="s">
        <v>250</v>
      </c>
      <c r="B9" s="4" t="s">
        <v>250</v>
      </c>
      <c r="C9" t="s">
        <v>204</v>
      </c>
      <c r="E9" t="s">
        <v>66</v>
      </c>
      <c r="F9">
        <v>20411454</v>
      </c>
      <c r="G9" t="s">
        <v>258</v>
      </c>
      <c r="H9" t="s">
        <v>192</v>
      </c>
      <c r="I9" t="s">
        <v>205</v>
      </c>
      <c r="J9" s="1">
        <v>45658</v>
      </c>
      <c r="K9" t="s">
        <v>52</v>
      </c>
      <c r="P9">
        <v>-72.959999999999994</v>
      </c>
      <c r="R9" t="s">
        <v>238</v>
      </c>
    </row>
    <row r="10" spans="1:18" x14ac:dyDescent="0.25">
      <c r="A10" s="4" t="s">
        <v>251</v>
      </c>
      <c r="B10" s="4" t="s">
        <v>251</v>
      </c>
      <c r="C10" t="s">
        <v>211</v>
      </c>
      <c r="E10" t="s">
        <v>46</v>
      </c>
      <c r="F10">
        <v>20411454</v>
      </c>
      <c r="G10" t="s">
        <v>258</v>
      </c>
      <c r="H10" t="s">
        <v>192</v>
      </c>
      <c r="I10" t="s">
        <v>212</v>
      </c>
      <c r="J10" s="1">
        <v>45931</v>
      </c>
      <c r="K10" t="s">
        <v>52</v>
      </c>
      <c r="P10">
        <v>-100</v>
      </c>
      <c r="R10" t="s">
        <v>239</v>
      </c>
    </row>
    <row r="11" spans="1:18" x14ac:dyDescent="0.25">
      <c r="A11" s="4" t="s">
        <v>213</v>
      </c>
      <c r="B11" s="4" t="str">
        <f t="shared" ref="B11:B27" si="1">CONCATENATE(A11, "OVR")</f>
        <v>00012632504KOVR</v>
      </c>
      <c r="C11" t="s">
        <v>45</v>
      </c>
      <c r="E11" t="s">
        <v>46</v>
      </c>
      <c r="F11">
        <v>20411454</v>
      </c>
      <c r="G11" t="s">
        <v>258</v>
      </c>
      <c r="H11" t="s">
        <v>49</v>
      </c>
      <c r="I11" t="s">
        <v>50</v>
      </c>
      <c r="J11" s="1">
        <v>45931</v>
      </c>
      <c r="K11" t="s">
        <v>52</v>
      </c>
      <c r="L11" s="2">
        <v>0</v>
      </c>
      <c r="M11" s="2">
        <v>175</v>
      </c>
      <c r="N11">
        <v>1</v>
      </c>
      <c r="O11" s="3">
        <v>1</v>
      </c>
      <c r="P11" s="2">
        <v>175</v>
      </c>
      <c r="R11" t="s">
        <v>240</v>
      </c>
    </row>
    <row r="12" spans="1:18" x14ac:dyDescent="0.25">
      <c r="A12" s="4" t="s">
        <v>214</v>
      </c>
      <c r="B12" s="4" t="str">
        <f t="shared" si="1"/>
        <v>00023244763KOVR</v>
      </c>
      <c r="C12" t="s">
        <v>65</v>
      </c>
      <c r="E12" t="s">
        <v>66</v>
      </c>
      <c r="F12">
        <v>20411454</v>
      </c>
      <c r="G12" t="s">
        <v>258</v>
      </c>
      <c r="H12" t="s">
        <v>67</v>
      </c>
      <c r="I12" t="s">
        <v>50</v>
      </c>
      <c r="J12" s="1">
        <v>45839</v>
      </c>
      <c r="K12" t="s">
        <v>52</v>
      </c>
      <c r="L12" s="2">
        <v>0</v>
      </c>
      <c r="M12" s="2">
        <v>43.75</v>
      </c>
      <c r="N12">
        <v>1</v>
      </c>
      <c r="O12" s="3">
        <v>1</v>
      </c>
      <c r="P12" s="2">
        <v>43.75</v>
      </c>
      <c r="Q12" t="s">
        <v>68</v>
      </c>
      <c r="R12" t="s">
        <v>240</v>
      </c>
    </row>
    <row r="13" spans="1:18" x14ac:dyDescent="0.25">
      <c r="A13" s="4" t="s">
        <v>215</v>
      </c>
      <c r="B13" s="4" t="str">
        <f t="shared" si="1"/>
        <v>00023681821KOVR</v>
      </c>
      <c r="C13" t="s">
        <v>70</v>
      </c>
      <c r="E13" t="s">
        <v>71</v>
      </c>
      <c r="F13">
        <v>20411454</v>
      </c>
      <c r="G13" t="s">
        <v>258</v>
      </c>
      <c r="H13" t="s">
        <v>49</v>
      </c>
      <c r="I13" t="s">
        <v>50</v>
      </c>
      <c r="J13" s="1">
        <v>45992</v>
      </c>
      <c r="K13" t="s">
        <v>52</v>
      </c>
      <c r="L13" s="2">
        <v>0</v>
      </c>
      <c r="M13" s="2">
        <v>175</v>
      </c>
      <c r="N13">
        <v>1</v>
      </c>
      <c r="O13" s="3">
        <v>1</v>
      </c>
      <c r="P13" s="2">
        <v>175</v>
      </c>
      <c r="R13" t="s">
        <v>240</v>
      </c>
    </row>
    <row r="14" spans="1:18" x14ac:dyDescent="0.25">
      <c r="A14" s="4" t="s">
        <v>216</v>
      </c>
      <c r="B14" s="4" t="str">
        <f t="shared" si="1"/>
        <v>00023713473KOVR</v>
      </c>
      <c r="C14" t="s">
        <v>81</v>
      </c>
      <c r="E14" t="s">
        <v>46</v>
      </c>
      <c r="F14">
        <v>20411454</v>
      </c>
      <c r="G14" t="s">
        <v>258</v>
      </c>
      <c r="H14" t="s">
        <v>49</v>
      </c>
      <c r="I14" t="s">
        <v>50</v>
      </c>
      <c r="J14" s="1">
        <v>45931</v>
      </c>
      <c r="K14" t="s">
        <v>52</v>
      </c>
      <c r="L14" s="2">
        <v>0</v>
      </c>
      <c r="M14" s="2">
        <v>175</v>
      </c>
      <c r="N14">
        <v>1</v>
      </c>
      <c r="O14" s="3">
        <v>1</v>
      </c>
      <c r="P14" s="2">
        <v>175</v>
      </c>
      <c r="R14" t="s">
        <v>240</v>
      </c>
    </row>
    <row r="15" spans="1:18" x14ac:dyDescent="0.25">
      <c r="A15" s="4" t="s">
        <v>217</v>
      </c>
      <c r="B15" s="4" t="str">
        <f t="shared" si="1"/>
        <v>00023713486KOVR</v>
      </c>
      <c r="C15" t="s">
        <v>83</v>
      </c>
      <c r="E15" t="s">
        <v>46</v>
      </c>
      <c r="F15">
        <v>20411454</v>
      </c>
      <c r="G15" t="s">
        <v>258</v>
      </c>
      <c r="H15" t="s">
        <v>49</v>
      </c>
      <c r="I15" t="s">
        <v>50</v>
      </c>
      <c r="J15" s="1">
        <v>45962</v>
      </c>
      <c r="K15" t="s">
        <v>52</v>
      </c>
      <c r="L15" s="2">
        <v>0</v>
      </c>
      <c r="M15" s="2">
        <v>175</v>
      </c>
      <c r="N15">
        <v>1</v>
      </c>
      <c r="O15" s="3">
        <v>1</v>
      </c>
      <c r="P15" s="2">
        <v>175</v>
      </c>
      <c r="R15" t="s">
        <v>240</v>
      </c>
    </row>
    <row r="16" spans="1:18" x14ac:dyDescent="0.25">
      <c r="A16" s="4" t="s">
        <v>218</v>
      </c>
      <c r="B16" s="4" t="str">
        <f t="shared" si="1"/>
        <v>00023713767KOVR</v>
      </c>
      <c r="C16" t="s">
        <v>87</v>
      </c>
      <c r="E16" t="s">
        <v>46</v>
      </c>
      <c r="F16">
        <v>20411454</v>
      </c>
      <c r="G16" t="s">
        <v>258</v>
      </c>
      <c r="H16" t="s">
        <v>49</v>
      </c>
      <c r="I16" t="s">
        <v>50</v>
      </c>
      <c r="J16" s="1">
        <v>45931</v>
      </c>
      <c r="K16" t="s">
        <v>52</v>
      </c>
      <c r="L16" s="2">
        <v>0</v>
      </c>
      <c r="M16" s="2">
        <v>175</v>
      </c>
      <c r="N16">
        <v>1</v>
      </c>
      <c r="O16" s="3">
        <v>1</v>
      </c>
      <c r="P16" s="2">
        <v>175</v>
      </c>
      <c r="R16" t="s">
        <v>240</v>
      </c>
    </row>
    <row r="17" spans="1:24" x14ac:dyDescent="0.25">
      <c r="A17" s="4" t="s">
        <v>219</v>
      </c>
      <c r="B17" s="4" t="str">
        <f t="shared" si="1"/>
        <v>00023714206KOVR</v>
      </c>
      <c r="C17" t="s">
        <v>89</v>
      </c>
      <c r="E17" t="s">
        <v>46</v>
      </c>
      <c r="F17">
        <v>20411454</v>
      </c>
      <c r="G17" t="s">
        <v>258</v>
      </c>
      <c r="H17" t="s">
        <v>49</v>
      </c>
      <c r="I17" t="s">
        <v>50</v>
      </c>
      <c r="J17" s="1">
        <v>45931</v>
      </c>
      <c r="K17" t="s">
        <v>52</v>
      </c>
      <c r="L17" s="2">
        <v>0</v>
      </c>
      <c r="M17" s="2">
        <v>175</v>
      </c>
      <c r="N17">
        <v>1</v>
      </c>
      <c r="O17" s="3">
        <v>1</v>
      </c>
      <c r="P17" s="2">
        <v>175</v>
      </c>
      <c r="R17" t="s">
        <v>240</v>
      </c>
    </row>
    <row r="18" spans="1:24" x14ac:dyDescent="0.25">
      <c r="A18" s="4" t="s">
        <v>220</v>
      </c>
      <c r="B18" s="4" t="str">
        <f t="shared" si="1"/>
        <v>00023714553KOVR</v>
      </c>
      <c r="C18" t="s">
        <v>93</v>
      </c>
      <c r="E18" t="s">
        <v>94</v>
      </c>
      <c r="F18">
        <v>20411454</v>
      </c>
      <c r="G18" t="s">
        <v>258</v>
      </c>
      <c r="H18" t="s">
        <v>49</v>
      </c>
      <c r="I18" t="s">
        <v>50</v>
      </c>
      <c r="J18" s="1">
        <v>45962</v>
      </c>
      <c r="K18" t="s">
        <v>52</v>
      </c>
      <c r="L18" s="2">
        <v>0</v>
      </c>
      <c r="M18" s="2">
        <v>175</v>
      </c>
      <c r="N18">
        <v>1</v>
      </c>
      <c r="O18" s="3">
        <v>1</v>
      </c>
      <c r="P18" s="2">
        <v>175</v>
      </c>
      <c r="R18" t="s">
        <v>240</v>
      </c>
    </row>
    <row r="19" spans="1:24" x14ac:dyDescent="0.25">
      <c r="A19" s="4" t="s">
        <v>221</v>
      </c>
      <c r="B19" s="4" t="str">
        <f t="shared" si="1"/>
        <v>00023714695KOVR</v>
      </c>
      <c r="C19" t="s">
        <v>96</v>
      </c>
      <c r="E19" t="s">
        <v>46</v>
      </c>
      <c r="F19">
        <v>20411454</v>
      </c>
      <c r="G19" t="s">
        <v>258</v>
      </c>
      <c r="H19" t="s">
        <v>49</v>
      </c>
      <c r="I19" t="s">
        <v>50</v>
      </c>
      <c r="J19" s="1">
        <v>45931</v>
      </c>
      <c r="K19" t="s">
        <v>52</v>
      </c>
      <c r="L19" s="2">
        <v>0</v>
      </c>
      <c r="M19" s="2">
        <v>175</v>
      </c>
      <c r="N19">
        <v>1</v>
      </c>
      <c r="O19" s="3">
        <v>1</v>
      </c>
      <c r="P19" s="2">
        <v>175</v>
      </c>
      <c r="R19" t="s">
        <v>240</v>
      </c>
    </row>
    <row r="20" spans="1:24" x14ac:dyDescent="0.25">
      <c r="A20" s="4" t="s">
        <v>222</v>
      </c>
      <c r="B20" s="4" t="str">
        <f t="shared" si="1"/>
        <v>00023718130KOVR</v>
      </c>
      <c r="C20" t="s">
        <v>100</v>
      </c>
      <c r="E20" t="s">
        <v>101</v>
      </c>
      <c r="F20">
        <v>20411454</v>
      </c>
      <c r="G20" t="s">
        <v>258</v>
      </c>
      <c r="H20" t="s">
        <v>49</v>
      </c>
      <c r="I20" t="s">
        <v>50</v>
      </c>
      <c r="J20" s="1">
        <v>45931</v>
      </c>
      <c r="K20" t="s">
        <v>52</v>
      </c>
      <c r="L20" s="2">
        <v>0</v>
      </c>
      <c r="M20" s="2">
        <v>175</v>
      </c>
      <c r="N20">
        <v>1</v>
      </c>
      <c r="O20" s="3">
        <v>1</v>
      </c>
      <c r="P20" s="2">
        <v>175</v>
      </c>
      <c r="R20" t="s">
        <v>240</v>
      </c>
    </row>
    <row r="21" spans="1:24" x14ac:dyDescent="0.25">
      <c r="A21" s="4" t="s">
        <v>223</v>
      </c>
      <c r="B21" s="4" t="str">
        <f t="shared" si="1"/>
        <v>00023720343KOVR</v>
      </c>
      <c r="C21" t="s">
        <v>105</v>
      </c>
      <c r="E21" t="s">
        <v>46</v>
      </c>
      <c r="F21">
        <v>20411454</v>
      </c>
      <c r="G21" t="s">
        <v>258</v>
      </c>
      <c r="H21" t="s">
        <v>49</v>
      </c>
      <c r="I21" t="s">
        <v>50</v>
      </c>
      <c r="J21" s="1">
        <v>45931</v>
      </c>
      <c r="K21" t="s">
        <v>52</v>
      </c>
      <c r="L21" s="2">
        <v>0</v>
      </c>
      <c r="M21" s="2">
        <v>175</v>
      </c>
      <c r="N21">
        <v>1</v>
      </c>
      <c r="O21" s="3">
        <v>1</v>
      </c>
      <c r="P21" s="2">
        <v>175</v>
      </c>
      <c r="R21" t="s">
        <v>240</v>
      </c>
    </row>
    <row r="22" spans="1:24" x14ac:dyDescent="0.25">
      <c r="A22" s="4" t="s">
        <v>224</v>
      </c>
      <c r="B22" s="4" t="str">
        <f t="shared" si="1"/>
        <v>00023737049KOVR</v>
      </c>
      <c r="C22" t="s">
        <v>107</v>
      </c>
      <c r="E22" t="s">
        <v>46</v>
      </c>
      <c r="F22">
        <v>20411454</v>
      </c>
      <c r="G22" t="s">
        <v>258</v>
      </c>
      <c r="H22" t="s">
        <v>49</v>
      </c>
      <c r="I22" t="s">
        <v>50</v>
      </c>
      <c r="J22" s="1">
        <v>45962</v>
      </c>
      <c r="K22" t="s">
        <v>52</v>
      </c>
      <c r="L22" s="2">
        <v>0</v>
      </c>
      <c r="M22" s="2">
        <v>175</v>
      </c>
      <c r="N22">
        <v>1</v>
      </c>
      <c r="O22" s="3">
        <v>1</v>
      </c>
      <c r="P22" s="2">
        <v>175</v>
      </c>
      <c r="R22" t="s">
        <v>240</v>
      </c>
    </row>
    <row r="23" spans="1:24" x14ac:dyDescent="0.25">
      <c r="A23" s="4" t="s">
        <v>225</v>
      </c>
      <c r="B23" s="4" t="str">
        <f t="shared" si="1"/>
        <v>00023743187KOVR</v>
      </c>
      <c r="C23" t="s">
        <v>111</v>
      </c>
      <c r="E23" t="s">
        <v>46</v>
      </c>
      <c r="F23">
        <v>20411454</v>
      </c>
      <c r="G23" t="s">
        <v>258</v>
      </c>
      <c r="H23" t="s">
        <v>49</v>
      </c>
      <c r="I23" t="s">
        <v>50</v>
      </c>
      <c r="J23" s="1">
        <v>45962</v>
      </c>
      <c r="K23" t="s">
        <v>52</v>
      </c>
      <c r="L23" s="2">
        <v>0</v>
      </c>
      <c r="M23" s="2">
        <v>175</v>
      </c>
      <c r="N23">
        <v>1</v>
      </c>
      <c r="O23" s="3">
        <v>1</v>
      </c>
      <c r="P23" s="2">
        <v>175</v>
      </c>
      <c r="R23" t="s">
        <v>240</v>
      </c>
    </row>
    <row r="24" spans="1:24" x14ac:dyDescent="0.25">
      <c r="A24" s="4" t="s">
        <v>226</v>
      </c>
      <c r="B24" s="4" t="str">
        <f t="shared" si="1"/>
        <v>00023750585KOVR</v>
      </c>
      <c r="C24" t="s">
        <v>117</v>
      </c>
      <c r="E24" t="s">
        <v>46</v>
      </c>
      <c r="F24">
        <v>20411454</v>
      </c>
      <c r="G24" t="s">
        <v>258</v>
      </c>
      <c r="H24" t="s">
        <v>49</v>
      </c>
      <c r="I24" t="s">
        <v>50</v>
      </c>
      <c r="J24" s="1">
        <v>45992</v>
      </c>
      <c r="K24" t="s">
        <v>52</v>
      </c>
      <c r="L24" s="2">
        <v>0</v>
      </c>
      <c r="M24" s="2">
        <v>175</v>
      </c>
      <c r="N24">
        <v>1</v>
      </c>
      <c r="O24" s="3">
        <v>1</v>
      </c>
      <c r="P24" s="2">
        <v>175</v>
      </c>
      <c r="R24" t="s">
        <v>240</v>
      </c>
    </row>
    <row r="25" spans="1:24" x14ac:dyDescent="0.25">
      <c r="A25" s="4" t="s">
        <v>227</v>
      </c>
      <c r="B25" s="4" t="str">
        <f t="shared" si="1"/>
        <v>00023755097KOVR</v>
      </c>
      <c r="C25" t="s">
        <v>121</v>
      </c>
      <c r="E25" t="s">
        <v>46</v>
      </c>
      <c r="F25">
        <v>20411454</v>
      </c>
      <c r="G25" t="s">
        <v>258</v>
      </c>
      <c r="H25" t="s">
        <v>49</v>
      </c>
      <c r="I25" t="s">
        <v>50</v>
      </c>
      <c r="J25" s="1">
        <v>45931</v>
      </c>
      <c r="K25" t="s">
        <v>52</v>
      </c>
      <c r="L25" s="2">
        <v>0</v>
      </c>
      <c r="M25" s="2">
        <v>175</v>
      </c>
      <c r="N25">
        <v>1</v>
      </c>
      <c r="O25" s="3">
        <v>1</v>
      </c>
      <c r="P25" s="2">
        <v>175</v>
      </c>
      <c r="R25" t="s">
        <v>240</v>
      </c>
    </row>
    <row r="26" spans="1:24" x14ac:dyDescent="0.25">
      <c r="A26" s="4" t="s">
        <v>228</v>
      </c>
      <c r="B26" s="4" t="str">
        <f t="shared" si="1"/>
        <v>00023755638KOVR</v>
      </c>
      <c r="C26" t="s">
        <v>125</v>
      </c>
      <c r="E26" t="s">
        <v>46</v>
      </c>
      <c r="F26">
        <v>20411454</v>
      </c>
      <c r="G26" t="s">
        <v>258</v>
      </c>
      <c r="H26" t="s">
        <v>49</v>
      </c>
      <c r="I26" t="s">
        <v>50</v>
      </c>
      <c r="J26" s="1">
        <v>45962</v>
      </c>
      <c r="K26" t="s">
        <v>52</v>
      </c>
      <c r="L26" s="2">
        <v>0</v>
      </c>
      <c r="M26" s="2">
        <v>175</v>
      </c>
      <c r="N26">
        <v>1</v>
      </c>
      <c r="O26" s="3">
        <v>1</v>
      </c>
      <c r="P26" s="2">
        <v>175</v>
      </c>
      <c r="R26" t="s">
        <v>240</v>
      </c>
    </row>
    <row r="27" spans="1:24" x14ac:dyDescent="0.25">
      <c r="A27" s="4" t="s">
        <v>229</v>
      </c>
      <c r="B27" s="4" t="str">
        <f t="shared" si="1"/>
        <v>00023758535KOVR</v>
      </c>
      <c r="C27" t="s">
        <v>127</v>
      </c>
      <c r="E27" t="s">
        <v>46</v>
      </c>
      <c r="F27">
        <v>20411454</v>
      </c>
      <c r="G27" t="s">
        <v>258</v>
      </c>
      <c r="H27" t="s">
        <v>49</v>
      </c>
      <c r="I27" t="s">
        <v>50</v>
      </c>
      <c r="J27" s="1">
        <v>45931</v>
      </c>
      <c r="K27" t="s">
        <v>52</v>
      </c>
      <c r="L27" s="2">
        <v>0</v>
      </c>
      <c r="M27" s="2">
        <v>175</v>
      </c>
      <c r="N27">
        <v>1</v>
      </c>
      <c r="O27" s="3">
        <v>1</v>
      </c>
      <c r="P27" s="2">
        <v>175</v>
      </c>
      <c r="R27" t="s">
        <v>240</v>
      </c>
    </row>
    <row r="28" spans="1:24" x14ac:dyDescent="0.25">
      <c r="A28" s="4" t="s">
        <v>252</v>
      </c>
      <c r="B28" s="4" t="s">
        <v>252</v>
      </c>
      <c r="C28" t="s">
        <v>194</v>
      </c>
      <c r="E28" t="s">
        <v>66</v>
      </c>
      <c r="F28">
        <v>20411454</v>
      </c>
      <c r="G28" t="s">
        <v>258</v>
      </c>
      <c r="H28" t="s">
        <v>192</v>
      </c>
      <c r="I28" t="s">
        <v>50</v>
      </c>
      <c r="J28" s="1">
        <v>45809</v>
      </c>
      <c r="K28" t="s">
        <v>52</v>
      </c>
      <c r="P28">
        <v>-117.25</v>
      </c>
      <c r="R28" t="s">
        <v>240</v>
      </c>
    </row>
    <row r="29" spans="1:24" x14ac:dyDescent="0.25">
      <c r="A29" s="4" t="s">
        <v>230</v>
      </c>
      <c r="B29" s="4" t="str">
        <f>CONCATENATE(A29, "OVR")</f>
        <v>00020102843KOVR</v>
      </c>
      <c r="C29" t="s">
        <v>54</v>
      </c>
      <c r="E29" t="s">
        <v>55</v>
      </c>
      <c r="F29">
        <v>20411454</v>
      </c>
      <c r="G29" t="s">
        <v>258</v>
      </c>
      <c r="H29" t="s">
        <v>49</v>
      </c>
      <c r="I29" t="s">
        <v>58</v>
      </c>
      <c r="J29" s="1">
        <v>45931</v>
      </c>
      <c r="K29" t="s">
        <v>52</v>
      </c>
      <c r="L29" s="2">
        <v>0</v>
      </c>
      <c r="M29" s="2">
        <v>108</v>
      </c>
      <c r="N29">
        <v>1</v>
      </c>
      <c r="O29" s="3">
        <v>1</v>
      </c>
      <c r="P29" s="2">
        <v>108</v>
      </c>
      <c r="R29" t="s">
        <v>240</v>
      </c>
    </row>
    <row r="30" spans="1:24" x14ac:dyDescent="0.25">
      <c r="A30" s="4" t="s">
        <v>253</v>
      </c>
      <c r="B30" s="4" t="s">
        <v>253</v>
      </c>
      <c r="C30" t="s">
        <v>60</v>
      </c>
      <c r="E30" t="s">
        <v>61</v>
      </c>
      <c r="F30">
        <v>20411454</v>
      </c>
      <c r="G30" t="s">
        <v>258</v>
      </c>
      <c r="H30" t="s">
        <v>49</v>
      </c>
      <c r="I30" t="s">
        <v>58</v>
      </c>
      <c r="J30" s="1">
        <v>45931</v>
      </c>
      <c r="K30" t="s">
        <v>52</v>
      </c>
      <c r="L30" s="2">
        <v>0</v>
      </c>
      <c r="M30" s="2">
        <v>108</v>
      </c>
      <c r="N30">
        <v>1</v>
      </c>
      <c r="O30" s="3">
        <v>1</v>
      </c>
      <c r="P30" s="2">
        <v>108</v>
      </c>
      <c r="R30" t="s">
        <v>240</v>
      </c>
    </row>
    <row r="31" spans="1:24" x14ac:dyDescent="0.25">
      <c r="A31" s="4" t="s">
        <v>253</v>
      </c>
      <c r="B31" s="4" t="s">
        <v>253</v>
      </c>
      <c r="C31" t="s">
        <v>60</v>
      </c>
      <c r="E31" t="s">
        <v>66</v>
      </c>
      <c r="F31">
        <v>20411454</v>
      </c>
      <c r="G31" t="s">
        <v>258</v>
      </c>
      <c r="H31" t="s">
        <v>192</v>
      </c>
      <c r="I31" t="s">
        <v>58</v>
      </c>
      <c r="J31" s="1">
        <v>45658</v>
      </c>
      <c r="K31" t="s">
        <v>52</v>
      </c>
      <c r="P31">
        <v>-27</v>
      </c>
      <c r="R31" t="s">
        <v>240</v>
      </c>
    </row>
    <row r="32" spans="1:24" s="6" customFormat="1" x14ac:dyDescent="0.25">
      <c r="A32" s="5" t="s">
        <v>231</v>
      </c>
      <c r="B32" s="5" t="s">
        <v>231</v>
      </c>
      <c r="C32" s="6" t="s">
        <v>75</v>
      </c>
      <c r="E32" s="6" t="s">
        <v>76</v>
      </c>
      <c r="F32" s="6">
        <v>20724564</v>
      </c>
      <c r="G32" s="6" t="s">
        <v>78</v>
      </c>
      <c r="H32" s="6" t="s">
        <v>49</v>
      </c>
      <c r="I32" s="6" t="s">
        <v>79</v>
      </c>
      <c r="J32" s="7">
        <v>45931</v>
      </c>
      <c r="K32" s="6" t="s">
        <v>52</v>
      </c>
      <c r="L32" s="8">
        <v>0</v>
      </c>
      <c r="M32" s="8">
        <v>15</v>
      </c>
      <c r="N32" s="6">
        <v>1</v>
      </c>
      <c r="O32" s="9">
        <v>1</v>
      </c>
      <c r="P32" s="8">
        <v>15</v>
      </c>
      <c r="R32" s="6" t="s">
        <v>241</v>
      </c>
      <c r="U32" s="6" t="s">
        <v>94</v>
      </c>
      <c r="V32" s="6">
        <v>1</v>
      </c>
      <c r="W32" s="6">
        <v>12</v>
      </c>
      <c r="X32" s="6">
        <v>378</v>
      </c>
    </row>
    <row r="33" spans="1:24" s="6" customFormat="1" x14ac:dyDescent="0.25">
      <c r="A33" s="5" t="s">
        <v>232</v>
      </c>
      <c r="B33" s="5" t="s">
        <v>232</v>
      </c>
      <c r="C33" s="6" t="s">
        <v>109</v>
      </c>
      <c r="E33" s="6" t="s">
        <v>76</v>
      </c>
      <c r="F33" s="6">
        <v>20724564</v>
      </c>
      <c r="G33" s="6" t="s">
        <v>78</v>
      </c>
      <c r="H33" s="6" t="s">
        <v>49</v>
      </c>
      <c r="I33" s="6" t="s">
        <v>79</v>
      </c>
      <c r="J33" s="7">
        <v>45931</v>
      </c>
      <c r="K33" s="6" t="s">
        <v>52</v>
      </c>
      <c r="L33" s="8">
        <v>0</v>
      </c>
      <c r="M33" s="8">
        <v>15</v>
      </c>
      <c r="N33" s="6">
        <v>1</v>
      </c>
      <c r="O33" s="9">
        <v>1</v>
      </c>
      <c r="P33" s="8">
        <v>15</v>
      </c>
      <c r="R33" s="6" t="s">
        <v>241</v>
      </c>
      <c r="V33" s="6">
        <v>13</v>
      </c>
      <c r="W33" s="6">
        <f>12*6</f>
        <v>72</v>
      </c>
      <c r="X33" s="6">
        <v>242</v>
      </c>
    </row>
    <row r="34" spans="1:24" s="6" customFormat="1" x14ac:dyDescent="0.25">
      <c r="A34" s="5" t="s">
        <v>233</v>
      </c>
      <c r="B34" s="5" t="s">
        <v>233</v>
      </c>
      <c r="C34" s="6" t="s">
        <v>113</v>
      </c>
      <c r="E34" s="6" t="s">
        <v>46</v>
      </c>
      <c r="F34" s="6">
        <v>7565575</v>
      </c>
      <c r="G34" s="6" t="s">
        <v>115</v>
      </c>
      <c r="H34" s="6" t="s">
        <v>49</v>
      </c>
      <c r="I34" s="6" t="s">
        <v>79</v>
      </c>
      <c r="J34" s="7">
        <v>45962</v>
      </c>
      <c r="K34" s="6" t="s">
        <v>52</v>
      </c>
      <c r="L34" s="8">
        <v>0</v>
      </c>
      <c r="M34" s="8">
        <v>15</v>
      </c>
      <c r="N34" s="6">
        <v>1</v>
      </c>
      <c r="O34" s="9">
        <v>1</v>
      </c>
      <c r="P34" s="8">
        <v>15</v>
      </c>
      <c r="R34" s="6" t="s">
        <v>241</v>
      </c>
      <c r="V34" s="6">
        <v>73</v>
      </c>
      <c r="W34" s="6">
        <v>120</v>
      </c>
      <c r="X34" s="6">
        <v>121</v>
      </c>
    </row>
    <row r="35" spans="1:24" s="6" customFormat="1" x14ac:dyDescent="0.25">
      <c r="A35" s="5" t="s">
        <v>234</v>
      </c>
      <c r="B35" s="5" t="str">
        <f>CONCATENATE(A35,1)</f>
        <v>A043350671</v>
      </c>
      <c r="C35" s="6" t="s">
        <v>75</v>
      </c>
      <c r="E35" s="6" t="s">
        <v>76</v>
      </c>
      <c r="F35" s="6">
        <v>20724564</v>
      </c>
      <c r="G35" s="6" t="s">
        <v>78</v>
      </c>
      <c r="H35" s="6" t="s">
        <v>49</v>
      </c>
      <c r="I35" s="6" t="s">
        <v>189</v>
      </c>
      <c r="J35" s="7">
        <v>45931</v>
      </c>
      <c r="K35" s="6" t="s">
        <v>52</v>
      </c>
      <c r="L35" s="8">
        <v>0</v>
      </c>
      <c r="M35" s="8">
        <v>31.02</v>
      </c>
      <c r="N35" s="6">
        <v>9</v>
      </c>
      <c r="O35" s="9">
        <v>1</v>
      </c>
      <c r="P35" s="8">
        <v>279.18</v>
      </c>
      <c r="R35" s="6" t="s">
        <v>189</v>
      </c>
      <c r="V35" s="6">
        <v>121</v>
      </c>
      <c r="W35" s="6">
        <v>0</v>
      </c>
      <c r="X35" s="6">
        <v>48.4</v>
      </c>
    </row>
    <row r="36" spans="1:24" s="6" customFormat="1" x14ac:dyDescent="0.25">
      <c r="A36" s="5" t="s">
        <v>235</v>
      </c>
      <c r="B36" s="5" t="str">
        <f t="shared" ref="B36:B37" si="2">CONCATENATE(A36,1)</f>
        <v>A028245411</v>
      </c>
      <c r="C36" s="6" t="s">
        <v>182</v>
      </c>
      <c r="E36" s="6" t="s">
        <v>94</v>
      </c>
      <c r="F36" s="6">
        <v>8325282</v>
      </c>
      <c r="G36" s="6" t="s">
        <v>184</v>
      </c>
      <c r="H36" s="6" t="s">
        <v>49</v>
      </c>
      <c r="I36" s="6" t="s">
        <v>185</v>
      </c>
      <c r="J36" s="7">
        <v>45658</v>
      </c>
      <c r="K36" s="6" t="s">
        <v>52</v>
      </c>
      <c r="L36" s="8">
        <v>0</v>
      </c>
      <c r="M36" s="8">
        <v>33</v>
      </c>
      <c r="N36" s="6">
        <v>9</v>
      </c>
      <c r="O36" s="9">
        <v>1</v>
      </c>
      <c r="P36" s="8">
        <v>297</v>
      </c>
      <c r="R36" s="6" t="s">
        <v>185</v>
      </c>
      <c r="U36" s="6" t="s">
        <v>259</v>
      </c>
      <c r="V36" s="6">
        <v>1</v>
      </c>
      <c r="W36" s="6">
        <v>12</v>
      </c>
      <c r="X36" s="6">
        <v>330</v>
      </c>
    </row>
    <row r="37" spans="1:24" s="6" customFormat="1" x14ac:dyDescent="0.25">
      <c r="A37" s="5" t="s">
        <v>236</v>
      </c>
      <c r="B37" s="5" t="str">
        <f t="shared" si="2"/>
        <v>A041640041</v>
      </c>
      <c r="C37" s="6" t="s">
        <v>187</v>
      </c>
      <c r="E37" s="6" t="s">
        <v>94</v>
      </c>
      <c r="F37" s="6">
        <v>8325282</v>
      </c>
      <c r="G37" s="6" t="s">
        <v>184</v>
      </c>
      <c r="H37" s="6" t="s">
        <v>49</v>
      </c>
      <c r="I37" s="6" t="s">
        <v>185</v>
      </c>
      <c r="J37" s="7">
        <v>45658</v>
      </c>
      <c r="K37" s="6" t="s">
        <v>52</v>
      </c>
      <c r="L37" s="8">
        <v>0</v>
      </c>
      <c r="M37" s="8">
        <v>33</v>
      </c>
      <c r="N37" s="6">
        <v>9</v>
      </c>
      <c r="O37" s="9">
        <v>1</v>
      </c>
      <c r="P37" s="8">
        <v>297</v>
      </c>
      <c r="R37" s="6" t="s">
        <v>185</v>
      </c>
      <c r="V37" s="6">
        <v>13</v>
      </c>
      <c r="W37" s="6">
        <v>72</v>
      </c>
      <c r="X37" s="6">
        <v>330</v>
      </c>
    </row>
    <row r="38" spans="1:24" x14ac:dyDescent="0.25">
      <c r="A38" s="4" t="s">
        <v>254</v>
      </c>
      <c r="B38" s="4" t="s">
        <v>254</v>
      </c>
      <c r="C38" t="s">
        <v>177</v>
      </c>
      <c r="E38" t="s">
        <v>94</v>
      </c>
      <c r="F38">
        <v>20411454</v>
      </c>
      <c r="G38" t="s">
        <v>258</v>
      </c>
      <c r="H38" t="s">
        <v>49</v>
      </c>
      <c r="I38" t="s">
        <v>180</v>
      </c>
      <c r="J38" s="1">
        <v>45658</v>
      </c>
      <c r="K38" t="s">
        <v>52</v>
      </c>
      <c r="L38" s="2">
        <v>0</v>
      </c>
      <c r="M38" s="2">
        <v>175</v>
      </c>
      <c r="N38">
        <v>1</v>
      </c>
      <c r="O38" s="3">
        <v>1</v>
      </c>
      <c r="P38" s="2">
        <v>175</v>
      </c>
      <c r="R38" t="s">
        <v>242</v>
      </c>
      <c r="V38" s="6">
        <v>73</v>
      </c>
      <c r="W38" s="6">
        <v>120</v>
      </c>
      <c r="X38" s="6">
        <v>40</v>
      </c>
    </row>
    <row r="39" spans="1:24" x14ac:dyDescent="0.25">
      <c r="A39" s="4" t="s">
        <v>255</v>
      </c>
      <c r="B39" s="4" t="s">
        <v>255</v>
      </c>
      <c r="C39" t="s">
        <v>158</v>
      </c>
      <c r="E39" t="s">
        <v>159</v>
      </c>
      <c r="F39">
        <v>20411454</v>
      </c>
      <c r="G39" t="s">
        <v>258</v>
      </c>
      <c r="H39" t="s">
        <v>49</v>
      </c>
      <c r="I39" t="s">
        <v>164</v>
      </c>
      <c r="J39" s="1">
        <v>45931</v>
      </c>
      <c r="K39" t="s">
        <v>52</v>
      </c>
      <c r="L39" s="2">
        <v>0</v>
      </c>
      <c r="M39" s="2">
        <v>175</v>
      </c>
      <c r="N39">
        <v>1</v>
      </c>
      <c r="O39" s="3">
        <v>1</v>
      </c>
      <c r="P39" s="2">
        <v>175</v>
      </c>
      <c r="R39" t="s">
        <v>242</v>
      </c>
      <c r="V39" s="6">
        <v>121</v>
      </c>
      <c r="W39" s="6">
        <v>0</v>
      </c>
      <c r="X39" s="6">
        <v>40</v>
      </c>
    </row>
    <row r="40" spans="1:24" x14ac:dyDescent="0.25">
      <c r="A40" s="4" t="s">
        <v>256</v>
      </c>
      <c r="B40" s="4" t="s">
        <v>256</v>
      </c>
      <c r="C40" t="s">
        <v>166</v>
      </c>
      <c r="E40" t="s">
        <v>150</v>
      </c>
      <c r="F40">
        <v>20411454</v>
      </c>
      <c r="G40" t="s">
        <v>258</v>
      </c>
      <c r="H40" t="s">
        <v>49</v>
      </c>
      <c r="I40" t="s">
        <v>164</v>
      </c>
      <c r="J40" s="1">
        <v>45931</v>
      </c>
      <c r="K40" t="s">
        <v>52</v>
      </c>
      <c r="L40" s="2">
        <v>0</v>
      </c>
      <c r="M40" s="2">
        <v>175</v>
      </c>
      <c r="N40">
        <v>1</v>
      </c>
      <c r="O40" s="3">
        <v>1</v>
      </c>
      <c r="P40" s="2">
        <v>175</v>
      </c>
      <c r="R40" t="s">
        <v>242</v>
      </c>
    </row>
    <row r="41" spans="1:24" x14ac:dyDescent="0.25">
      <c r="A41" s="4" t="s">
        <v>257</v>
      </c>
      <c r="B41" s="4" t="s">
        <v>257</v>
      </c>
      <c r="C41" t="s">
        <v>171</v>
      </c>
      <c r="E41" t="s">
        <v>46</v>
      </c>
      <c r="F41">
        <v>20411454</v>
      </c>
      <c r="G41" t="s">
        <v>258</v>
      </c>
      <c r="H41" t="s">
        <v>49</v>
      </c>
      <c r="I41" t="s">
        <v>175</v>
      </c>
      <c r="J41" s="1">
        <v>45931</v>
      </c>
      <c r="K41" t="s">
        <v>52</v>
      </c>
      <c r="L41" s="2">
        <v>0</v>
      </c>
      <c r="M41" s="2">
        <v>113</v>
      </c>
      <c r="N41">
        <v>1</v>
      </c>
      <c r="O41" s="3">
        <v>1</v>
      </c>
      <c r="P41" s="2">
        <v>113</v>
      </c>
      <c r="R41" t="s">
        <v>242</v>
      </c>
    </row>
    <row r="42" spans="1:24" s="6" customFormat="1" x14ac:dyDescent="0.25">
      <c r="A42" s="5">
        <v>912350422</v>
      </c>
      <c r="B42" s="5" t="str">
        <f t="shared" ref="B42:B45" si="3">CONCATENATE(A42,1)</f>
        <v>9123504221</v>
      </c>
      <c r="C42" s="6" t="s">
        <v>158</v>
      </c>
      <c r="E42" s="6" t="s">
        <v>159</v>
      </c>
      <c r="F42" s="6">
        <v>19200754</v>
      </c>
      <c r="G42" s="6" t="s">
        <v>161</v>
      </c>
      <c r="H42" s="6" t="s">
        <v>49</v>
      </c>
      <c r="I42" s="6" t="s">
        <v>162</v>
      </c>
      <c r="J42" s="7">
        <v>45931</v>
      </c>
      <c r="K42" s="6" t="s">
        <v>52</v>
      </c>
      <c r="L42" s="8">
        <v>0</v>
      </c>
      <c r="M42" s="8">
        <v>78.25</v>
      </c>
      <c r="N42" s="6">
        <v>1</v>
      </c>
      <c r="O42" s="9">
        <v>1</v>
      </c>
      <c r="P42" s="8">
        <v>78.25</v>
      </c>
      <c r="Q42" s="6" t="s">
        <v>135</v>
      </c>
      <c r="R42" s="6" t="s">
        <v>243</v>
      </c>
      <c r="S42" s="6" t="s">
        <v>246</v>
      </c>
    </row>
    <row r="43" spans="1:24" s="6" customFormat="1" x14ac:dyDescent="0.25">
      <c r="A43" s="5">
        <v>938919011</v>
      </c>
      <c r="B43" s="5" t="str">
        <f t="shared" si="3"/>
        <v>9389190111</v>
      </c>
      <c r="C43" s="6" t="s">
        <v>166</v>
      </c>
      <c r="E43" s="6" t="s">
        <v>150</v>
      </c>
      <c r="F43" s="6">
        <v>19645587</v>
      </c>
      <c r="G43" s="6" t="s">
        <v>168</v>
      </c>
      <c r="H43" s="6" t="s">
        <v>49</v>
      </c>
      <c r="I43" s="6" t="s">
        <v>162</v>
      </c>
      <c r="J43" s="7">
        <v>45931</v>
      </c>
      <c r="K43" s="6" t="s">
        <v>52</v>
      </c>
      <c r="L43" s="8">
        <v>0</v>
      </c>
      <c r="M43" s="8">
        <v>78.25</v>
      </c>
      <c r="N43" s="6">
        <v>1</v>
      </c>
      <c r="O43" s="9">
        <v>1</v>
      </c>
      <c r="P43" s="8">
        <v>78.25</v>
      </c>
      <c r="Q43" s="6" t="s">
        <v>135</v>
      </c>
      <c r="R43" s="6" t="s">
        <v>243</v>
      </c>
      <c r="S43" s="6" t="s">
        <v>246</v>
      </c>
    </row>
    <row r="44" spans="1:24" s="6" customFormat="1" x14ac:dyDescent="0.25">
      <c r="A44" s="5">
        <v>964798677</v>
      </c>
      <c r="B44" s="5" t="str">
        <f t="shared" si="3"/>
        <v>9647986771</v>
      </c>
      <c r="C44" s="6" t="s">
        <v>171</v>
      </c>
      <c r="E44" s="6" t="s">
        <v>46</v>
      </c>
      <c r="F44" s="6">
        <v>18828278</v>
      </c>
      <c r="G44" s="6" t="s">
        <v>173</v>
      </c>
      <c r="H44" s="6" t="s">
        <v>49</v>
      </c>
      <c r="I44" s="6" t="s">
        <v>162</v>
      </c>
      <c r="J44" s="7">
        <v>45931</v>
      </c>
      <c r="K44" s="6" t="s">
        <v>52</v>
      </c>
      <c r="L44" s="8">
        <v>0</v>
      </c>
      <c r="M44" s="8">
        <v>78.25</v>
      </c>
      <c r="N44" s="6">
        <v>1</v>
      </c>
      <c r="O44" s="9">
        <v>1</v>
      </c>
      <c r="P44" s="8">
        <v>78.25</v>
      </c>
      <c r="Q44" s="6" t="s">
        <v>135</v>
      </c>
      <c r="R44" s="6" t="s">
        <v>243</v>
      </c>
      <c r="S44" s="6" t="s">
        <v>246</v>
      </c>
    </row>
    <row r="45" spans="1:24" s="6" customFormat="1" x14ac:dyDescent="0.25">
      <c r="A45" s="5">
        <v>985533411</v>
      </c>
      <c r="B45" s="5" t="str">
        <f t="shared" si="3"/>
        <v>9855334111</v>
      </c>
      <c r="C45" s="6" t="s">
        <v>177</v>
      </c>
      <c r="E45" s="6" t="s">
        <v>94</v>
      </c>
      <c r="F45" s="6">
        <v>9213293</v>
      </c>
      <c r="G45" s="6" t="s">
        <v>57</v>
      </c>
      <c r="H45" s="6" t="s">
        <v>49</v>
      </c>
      <c r="I45" s="6" t="s">
        <v>162</v>
      </c>
      <c r="J45" s="7">
        <v>45658</v>
      </c>
      <c r="K45" s="6" t="s">
        <v>52</v>
      </c>
      <c r="L45" s="8">
        <v>0</v>
      </c>
      <c r="M45" s="8">
        <v>313</v>
      </c>
      <c r="N45" s="6">
        <v>1</v>
      </c>
      <c r="O45" s="9">
        <v>1</v>
      </c>
      <c r="P45" s="8">
        <v>313</v>
      </c>
      <c r="Q45" s="6" t="s">
        <v>178</v>
      </c>
      <c r="R45" s="6" t="s">
        <v>243</v>
      </c>
      <c r="S45" s="6" t="s">
        <v>247</v>
      </c>
    </row>
    <row r="46" spans="1:24" x14ac:dyDescent="0.25">
      <c r="A46" s="4" t="s">
        <v>245</v>
      </c>
      <c r="B46" s="4" t="s">
        <v>245</v>
      </c>
      <c r="C46" t="s">
        <v>207</v>
      </c>
      <c r="E46" t="s">
        <v>208</v>
      </c>
      <c r="F46">
        <v>20411454</v>
      </c>
      <c r="G46" t="s">
        <v>258</v>
      </c>
      <c r="H46" t="s">
        <v>192</v>
      </c>
      <c r="I46" t="s">
        <v>209</v>
      </c>
      <c r="J46" s="1">
        <v>45931</v>
      </c>
      <c r="K46" t="s">
        <v>52</v>
      </c>
      <c r="P46">
        <v>-100</v>
      </c>
      <c r="R46" t="s">
        <v>244</v>
      </c>
    </row>
  </sheetData>
  <sortState xmlns:xlrd2="http://schemas.microsoft.com/office/spreadsheetml/2017/richdata2" ref="A2:AM46">
    <sortCondition ref="I2:I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2025-10-10T11:32:15Z</dcterms:created>
  <dcterms:modified xsi:type="dcterms:W3CDTF">2025-10-14T12:32:53Z</dcterms:modified>
</cp:coreProperties>
</file>