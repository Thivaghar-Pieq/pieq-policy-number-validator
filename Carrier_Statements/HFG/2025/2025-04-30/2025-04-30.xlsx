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4-30-25\"/>
    </mc:Choice>
  </mc:AlternateContent>
  <xr:revisionPtr revIDLastSave="0" documentId="13_ncr:1_{E8C7AF7B-960D-4A58-A0BB-5AC631175D56}" xr6:coauthVersionLast="47" xr6:coauthVersionMax="47" xr10:uidLastSave="{00000000-0000-0000-0000-000000000000}"/>
  <bookViews>
    <workbookView xWindow="-57720" yWindow="-45" windowWidth="29040" windowHeight="15720" activeTab="1" xr2:uid="{14901790-078F-4F45-A121-CC560A4514E8}"/>
  </bookViews>
  <sheets>
    <sheet name="New Business Agent Statement - " sheetId="1" r:id="rId1"/>
    <sheet name="Sheet1" sheetId="2" r:id="rId2"/>
  </sheets>
  <definedNames>
    <definedName name="_xlnm._FilterDatabase" localSheetId="0" hidden="1">'New Business Agent Statement - '!$A$1:$V$89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2" l="1"/>
  <c r="B87" i="2"/>
  <c r="B84" i="2"/>
  <c r="B83" i="2"/>
  <c r="B82" i="2"/>
  <c r="B81" i="2"/>
  <c r="B86" i="2"/>
  <c r="B85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</calcChain>
</file>

<file path=xl/sharedStrings.xml><?xml version="1.0" encoding="utf-8"?>
<sst xmlns="http://schemas.openxmlformats.org/spreadsheetml/2006/main" count="1002" uniqueCount="207">
  <si>
    <t>V20180401</t>
  </si>
  <si>
    <t>Policy Number</t>
  </si>
  <si>
    <t>Policyholder Name</t>
  </si>
  <si>
    <t>State</t>
  </si>
  <si>
    <t>Writing Agent ID</t>
  </si>
  <si>
    <t>Writing Agent Name</t>
  </si>
  <si>
    <t>Policy Status</t>
  </si>
  <si>
    <t>Product</t>
  </si>
  <si>
    <t>Issue Date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</si>
  <si>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</si>
  <si>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</si>
  <si>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</si>
  <si>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</si>
  <si>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</si>
  <si>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</si>
  <si>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</si>
  <si>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</si>
  <si>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</si>
  <si>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</si>
  <si>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</si>
  <si>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</si>
  <si>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</si>
  <si>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DHARAM SHAH</t>
  </si>
  <si>
    <t>NA</t>
  </si>
  <si>
    <t>FRANK LISKOVEC</t>
  </si>
  <si>
    <t>ACTIVE</t>
  </si>
  <si>
    <t>Humana MA 2019+ Level 15- 175/108 Repl 2024</t>
  </si>
  <si>
    <t>HELENE REID</t>
  </si>
  <si>
    <t>THOMAS KUCAN</t>
  </si>
  <si>
    <t>Humana PDP 2019+ Level 15- 15/0</t>
  </si>
  <si>
    <t>LARRY GIBSON</t>
  </si>
  <si>
    <t>MICHAEL DUNAVANT</t>
  </si>
  <si>
    <t>KIMBERLY HACK</t>
  </si>
  <si>
    <t>JACOB YALE</t>
  </si>
  <si>
    <t>EDMUNDO NORIEGA-GARCIA</t>
  </si>
  <si>
    <t>RICHARD YALE</t>
  </si>
  <si>
    <t>Active</t>
  </si>
  <si>
    <t>Humana MA 2019+ Level 15- 175/108</t>
  </si>
  <si>
    <t>Humana MA Bonus Upload 04-30-2025.xlsx</t>
  </si>
  <si>
    <t>MARY DERDA</t>
  </si>
  <si>
    <t>PAUL ROBINSON</t>
  </si>
  <si>
    <t>MICHAEL O DELL</t>
  </si>
  <si>
    <t>ANDREW O DELL</t>
  </si>
  <si>
    <t>ROBERT JAROS</t>
  </si>
  <si>
    <t>GREGORY TEIPEL</t>
  </si>
  <si>
    <t>EVEROL FINDLEY</t>
  </si>
  <si>
    <t>ANNE MARIE KOZACHECK</t>
  </si>
  <si>
    <t>MALKATO SEMENOVA</t>
  </si>
  <si>
    <t>JUSTIN DIMMITT</t>
  </si>
  <si>
    <t>JULIE BROOKSHIER</t>
  </si>
  <si>
    <t>PAMELA DEATON</t>
  </si>
  <si>
    <t>MITCHELL WIGGINS</t>
  </si>
  <si>
    <t>GREGORY HANSFORD</t>
  </si>
  <si>
    <t>JOHN WOHLFEIL</t>
  </si>
  <si>
    <t>ANTHONY HUNSBERGER</t>
  </si>
  <si>
    <t>BRUCE RADCLIFF</t>
  </si>
  <si>
    <t>SYLVIA GALINDO</t>
  </si>
  <si>
    <t>CANDACE NITTI</t>
  </si>
  <si>
    <t>DALE WALENGA</t>
  </si>
  <si>
    <t>Aetna MAPD NMO to GMO - 4-1-23+  Replace E-App</t>
  </si>
  <si>
    <t>9/12 PRORATE</t>
  </si>
  <si>
    <t>TETE SORMALAH</t>
  </si>
  <si>
    <t>PA</t>
  </si>
  <si>
    <t>FREDERICK GBASSANA</t>
  </si>
  <si>
    <t>Aetna MAPD NMO to GMO - 4-1-23+  New E-App</t>
  </si>
  <si>
    <t>BARBARA BUSTERNA</t>
  </si>
  <si>
    <t>MARGARET FINNEGAN</t>
  </si>
  <si>
    <t>8/12 PRORATE</t>
  </si>
  <si>
    <t>JANET MURPHY RYAN</t>
  </si>
  <si>
    <t>IL</t>
  </si>
  <si>
    <t>CHRISTIAN TAUGNER</t>
  </si>
  <si>
    <t>CAROLYN RANDLE</t>
  </si>
  <si>
    <t>WILLIE WELLS</t>
  </si>
  <si>
    <t>JEFFREY OLSEN</t>
  </si>
  <si>
    <t>CO</t>
  </si>
  <si>
    <t>HEATHER GESKE</t>
  </si>
  <si>
    <t>DONALD JOHNSON</t>
  </si>
  <si>
    <t>WI</t>
  </si>
  <si>
    <t>STACEY PORTUGAL</t>
  </si>
  <si>
    <t>RICHARD BERGER</t>
  </si>
  <si>
    <t>MARGARET SMITH</t>
  </si>
  <si>
    <t>STEPHANIE SMITH</t>
  </si>
  <si>
    <t>BARRY SCHUMANN</t>
  </si>
  <si>
    <t>TONI DHUSE</t>
  </si>
  <si>
    <t>CONNIE EPLIN</t>
  </si>
  <si>
    <t>BARBARA BEIL</t>
  </si>
  <si>
    <t>TIMOTHY HODGMAN</t>
  </si>
  <si>
    <t>JULIE MCNEILL</t>
  </si>
  <si>
    <t>SHARON GRAFE</t>
  </si>
  <si>
    <t>KS</t>
  </si>
  <si>
    <t>JACK DESIK</t>
  </si>
  <si>
    <t>JEFFREY HORN</t>
  </si>
  <si>
    <t>STEPHANIE ADAMS</t>
  </si>
  <si>
    <t>MAUREEN RUSNAK</t>
  </si>
  <si>
    <t>ANDREW CHOI</t>
  </si>
  <si>
    <t>DIANNE KRIVANEK</t>
  </si>
  <si>
    <t>TIMOTHY POWERS</t>
  </si>
  <si>
    <t>WILLIAM KRIVANEK</t>
  </si>
  <si>
    <t>BRENDA VRONOSKI</t>
  </si>
  <si>
    <t>MARSHA MAIOLI</t>
  </si>
  <si>
    <t>DEBORAH INSKIPT</t>
  </si>
  <si>
    <t>JAY METCALF</t>
  </si>
  <si>
    <t>FRANK DARNLEY STEVENSON</t>
  </si>
  <si>
    <t>SCOTT JINDRA</t>
  </si>
  <si>
    <t>LORI HAGLER</t>
  </si>
  <si>
    <t>JILL DECOUX</t>
  </si>
  <si>
    <t>MAUREEN KOHNE</t>
  </si>
  <si>
    <t>7/12 PRORATE</t>
  </si>
  <si>
    <t>LAURA HOLMES</t>
  </si>
  <si>
    <t>KIERAN MURRAY</t>
  </si>
  <si>
    <t>GARY PORTUGAL</t>
  </si>
  <si>
    <t>NIK LEE</t>
  </si>
  <si>
    <t>NANCY SMITH</t>
  </si>
  <si>
    <t>THOMAS PARDUE</t>
  </si>
  <si>
    <t>STEPHEN FABIO</t>
  </si>
  <si>
    <t>PATRICK COLLINS</t>
  </si>
  <si>
    <t>SCOTT FINE</t>
  </si>
  <si>
    <t>Cigna MAPD FMO to GA 1-1-19+ - New</t>
  </si>
  <si>
    <t>STEPHEN GRONSKY</t>
  </si>
  <si>
    <t>MICHELLE MCCORKLE</t>
  </si>
  <si>
    <t>AMANDA THOMPSON</t>
  </si>
  <si>
    <t>RICARDO SANTOS</t>
  </si>
  <si>
    <t>UHC MAPD Street payable to upline- 2025 Replace</t>
  </si>
  <si>
    <t>UHC MA Direct 2024 New Full</t>
  </si>
  <si>
    <t>RICKY JUGGER</t>
  </si>
  <si>
    <t>FL</t>
  </si>
  <si>
    <t>CONSTANCE LOVE</t>
  </si>
  <si>
    <t>UHC AARP Med Supp PA Area 1 2024- Plan  N</t>
  </si>
  <si>
    <t>SANDRA SMITH</t>
  </si>
  <si>
    <t>UHC AARP Med Supp IL Area 1- Plan  B C F G</t>
  </si>
  <si>
    <t>ERROL SEVERNS</t>
  </si>
  <si>
    <t>CHARGEBACK</t>
  </si>
  <si>
    <t>GILBERT GRIFFIN</t>
  </si>
  <si>
    <t>JONATHAN ALOFF</t>
  </si>
  <si>
    <t>LEILA TOWB-ZUCKERMAN</t>
  </si>
  <si>
    <t>PAUL DECKER</t>
  </si>
  <si>
    <t>KATHY SCHAFER</t>
  </si>
  <si>
    <t>UHC PDP Street payable to upline - 2025 New</t>
  </si>
  <si>
    <t>GERALD RUSCITTI</t>
  </si>
  <si>
    <t>BART SECHRIST</t>
  </si>
  <si>
    <t>Aetna MAPD NMO to GMO - 4-1-23+  Replace Paper</t>
  </si>
  <si>
    <t>Aetna MAPD OVR 2025</t>
  </si>
  <si>
    <t>Cigna MAPD 2025 Ovr</t>
  </si>
  <si>
    <t>Humana MAPD OVR 2025</t>
  </si>
  <si>
    <t>Humana PDP 2025!</t>
  </si>
  <si>
    <t>UHC MAPD Ovr 2025</t>
  </si>
  <si>
    <t>UHC PDP 2025!</t>
  </si>
  <si>
    <t>UHC AARP MS IL Area 1 - Plan B C F G</t>
  </si>
  <si>
    <t>UHC AARP MS PA Area 1 2024- Plan N</t>
  </si>
  <si>
    <t>UHC MAPD 2025*</t>
  </si>
  <si>
    <t>[%/$=313][prorate=8/12]</t>
  </si>
  <si>
    <t>102075803400PC</t>
  </si>
  <si>
    <t>101463901900CB</t>
  </si>
  <si>
    <t>101877929000CB</t>
  </si>
  <si>
    <t>102038220200CB</t>
  </si>
  <si>
    <t>102155527500CB</t>
  </si>
  <si>
    <t>102155610900CB</t>
  </si>
  <si>
    <t>102156720800CB</t>
  </si>
  <si>
    <t>102157190800CB</t>
  </si>
  <si>
    <t>102157214200CB</t>
  </si>
  <si>
    <t>102157543300CB</t>
  </si>
  <si>
    <t>102157554700CB</t>
  </si>
  <si>
    <t>102157613500CB</t>
  </si>
  <si>
    <t>102160093600CB</t>
  </si>
  <si>
    <t>102160124800CB</t>
  </si>
  <si>
    <t>102160410700CB</t>
  </si>
  <si>
    <t>102160449600CB</t>
  </si>
  <si>
    <t>102160975500CB</t>
  </si>
  <si>
    <t>102161176900CB</t>
  </si>
  <si>
    <t>102161201900CB</t>
  </si>
  <si>
    <t>102161969300CB</t>
  </si>
  <si>
    <t>102162023700CB</t>
  </si>
  <si>
    <t>102162259700CB</t>
  </si>
  <si>
    <t>102162335400CB</t>
  </si>
  <si>
    <t>102162344100CB</t>
  </si>
  <si>
    <t>102163213000CB</t>
  </si>
  <si>
    <t>102158685300CB</t>
  </si>
  <si>
    <t>48F2X5X26</t>
  </si>
  <si>
    <t>78L3F1U61</t>
  </si>
  <si>
    <t>00022982390K</t>
  </si>
  <si>
    <t>00023187920K</t>
  </si>
  <si>
    <t>00023212074K</t>
  </si>
  <si>
    <t>00023277367K</t>
  </si>
  <si>
    <t>00023277864K</t>
  </si>
  <si>
    <t>00023284262K</t>
  </si>
  <si>
    <t>00023285265K</t>
  </si>
  <si>
    <t>00023286702K</t>
  </si>
  <si>
    <t>00023288467K</t>
  </si>
  <si>
    <t>00023289673K</t>
  </si>
  <si>
    <t>00023292002K</t>
  </si>
  <si>
    <t>00020162315KPC</t>
  </si>
  <si>
    <t>00023040671KPC</t>
  </si>
  <si>
    <t>00002377726K</t>
  </si>
  <si>
    <t>00017736015K</t>
  </si>
  <si>
    <t>00020578637K</t>
  </si>
  <si>
    <t>00009751546KPC</t>
  </si>
  <si>
    <t>00013204306KPC</t>
  </si>
  <si>
    <t>00016126193KPDP</t>
  </si>
  <si>
    <t>00023282336KPDP</t>
  </si>
  <si>
    <t>A04263096</t>
  </si>
  <si>
    <t>A04261852</t>
  </si>
  <si>
    <t>911246279OV</t>
  </si>
  <si>
    <t>911536941OV</t>
  </si>
  <si>
    <t>023065880PDPOVCB</t>
  </si>
  <si>
    <t>Main Line Benefits</t>
  </si>
  <si>
    <t>18828278SUB2 </t>
  </si>
  <si>
    <t>023065880PDPOV1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</si>
</sst>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6F27-C11B-46FF-A6E8-1E826ADB83A7}">
  <dimension ref="A1:V89"/>
  <sheetViews>
    <sheetView topLeftCell="A28" workbookViewId="0">
      <selection activeCell="B2" sqref="B2"/>
    </sheetView>
  </sheetViews>
  <sheetFormatPr defaultRowHeight="15" x14ac:dyDescent="0.25"/>
  <cols>
    <col min="1" max="1" width="10.140625" bestFit="1" customWidth="1"/>
    <col min="2" max="2" width="19.140625" style="9" bestFit="1" customWidth="1"/>
    <col min="3" max="3" width="26.5703125" bestFit="1" customWidth="1"/>
    <col min="4" max="4" width="5.28515625" bestFit="1" customWidth="1"/>
    <col min="5" max="5" width="15" bestFit="1" customWidth="1"/>
    <col min="6" max="6" width="23.140625" bestFit="1" customWidth="1"/>
    <col min="7" max="7" width="12.5703125" bestFit="1" customWidth="1"/>
    <col min="8" max="8" width="45.85546875" bestFit="1" customWidth="1"/>
    <col min="9" max="9" width="10.140625" bestFit="1" customWidth="1"/>
    <col min="10" max="10" width="16.140625" bestFit="1" customWidth="1"/>
    <col min="11" max="11" width="16.7109375" bestFit="1" customWidth="1"/>
    <col min="12" max="12" width="16.5703125" bestFit="1" customWidth="1"/>
    <col min="13" max="13" width="18" bestFit="1" customWidth="1"/>
    <col min="14" max="14" width="11.5703125" bestFit="1" customWidth="1"/>
    <col min="15" max="15" width="14.7109375" bestFit="1" customWidth="1"/>
    <col min="16" max="16" width="9.5703125" bestFit="1" customWidth="1"/>
    <col min="17" max="17" width="12.7109375" bestFit="1" customWidth="1"/>
    <col min="18" max="18" width="19" bestFit="1" customWidth="1"/>
    <col min="19" max="19" width="18" bestFit="1" customWidth="1"/>
    <col min="20" max="20" width="11.42578125" bestFit="1" customWidth="1"/>
    <col min="21" max="21" width="14" bestFit="1" customWidth="1"/>
    <col min="22" max="22" width="39.28515625" bestFit="1" customWidth="1"/>
  </cols>
  <sheetData>
    <row r="1" spans="1:22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45777</v>
      </c>
      <c r="B2" s="9">
        <v>102160975500</v>
      </c>
      <c r="C2" t="s">
        <v>93</v>
      </c>
      <c r="D2" t="s">
        <v>69</v>
      </c>
      <c r="E2">
        <v>45603</v>
      </c>
      <c r="F2" t="s">
        <v>94</v>
      </c>
      <c r="G2" t="s">
        <v>25</v>
      </c>
      <c r="H2" t="s">
        <v>64</v>
      </c>
      <c r="I2" s="1">
        <v>45748</v>
      </c>
      <c r="J2" s="2">
        <v>50</v>
      </c>
      <c r="K2">
        <v>1</v>
      </c>
      <c r="L2" s="3">
        <v>1</v>
      </c>
      <c r="M2" s="2">
        <v>50</v>
      </c>
      <c r="N2" s="3">
        <v>0</v>
      </c>
      <c r="O2" s="2">
        <v>0</v>
      </c>
      <c r="P2" s="2">
        <v>50</v>
      </c>
      <c r="U2">
        <v>5379761</v>
      </c>
    </row>
    <row r="3" spans="1:22" x14ac:dyDescent="0.25">
      <c r="A3" s="1">
        <v>45777</v>
      </c>
      <c r="B3" s="9" t="s">
        <v>167</v>
      </c>
      <c r="C3" t="s">
        <v>93</v>
      </c>
      <c r="D3" t="s">
        <v>69</v>
      </c>
      <c r="E3">
        <v>45603</v>
      </c>
      <c r="F3" t="s">
        <v>94</v>
      </c>
      <c r="G3" t="s">
        <v>131</v>
      </c>
      <c r="H3" t="s">
        <v>59</v>
      </c>
      <c r="I3" s="1">
        <v>45748</v>
      </c>
      <c r="P3" s="2">
        <v>37.5</v>
      </c>
      <c r="Q3" s="2">
        <v>0</v>
      </c>
      <c r="T3" s="2">
        <v>37.5</v>
      </c>
    </row>
    <row r="4" spans="1:22" x14ac:dyDescent="0.25">
      <c r="A4" s="1">
        <v>45777</v>
      </c>
      <c r="B4" s="9" t="s">
        <v>190</v>
      </c>
      <c r="C4" t="s">
        <v>134</v>
      </c>
      <c r="D4" t="s">
        <v>23</v>
      </c>
      <c r="E4">
        <v>45603</v>
      </c>
      <c r="F4" t="s">
        <v>94</v>
      </c>
      <c r="G4" t="s">
        <v>131</v>
      </c>
      <c r="H4" t="s">
        <v>37</v>
      </c>
      <c r="I4" s="1">
        <v>45658</v>
      </c>
      <c r="P4" s="2">
        <v>175</v>
      </c>
      <c r="Q4" s="2">
        <v>0</v>
      </c>
      <c r="T4" s="2">
        <v>87.5</v>
      </c>
    </row>
    <row r="5" spans="1:22" x14ac:dyDescent="0.25">
      <c r="A5" s="1">
        <v>45777</v>
      </c>
      <c r="B5" s="9" t="s">
        <v>181</v>
      </c>
      <c r="C5" t="s">
        <v>41</v>
      </c>
      <c r="D5" t="s">
        <v>23</v>
      </c>
      <c r="E5">
        <v>45875</v>
      </c>
      <c r="F5" t="s">
        <v>42</v>
      </c>
      <c r="G5" t="s">
        <v>25</v>
      </c>
      <c r="H5" t="s">
        <v>37</v>
      </c>
      <c r="I5" s="1">
        <v>45748</v>
      </c>
      <c r="J5" s="2">
        <v>175</v>
      </c>
      <c r="K5">
        <v>1</v>
      </c>
      <c r="L5" s="3">
        <v>1</v>
      </c>
      <c r="M5" s="2">
        <v>175</v>
      </c>
      <c r="N5" s="3">
        <v>0</v>
      </c>
      <c r="O5" s="2">
        <v>0</v>
      </c>
      <c r="P5" s="2">
        <v>175</v>
      </c>
      <c r="U5">
        <v>5379945</v>
      </c>
    </row>
    <row r="6" spans="1:22" x14ac:dyDescent="0.25">
      <c r="A6" s="1">
        <v>45777</v>
      </c>
      <c r="B6" s="9" t="s">
        <v>183</v>
      </c>
      <c r="C6" t="s">
        <v>45</v>
      </c>
      <c r="D6" t="s">
        <v>23</v>
      </c>
      <c r="E6">
        <v>43689</v>
      </c>
      <c r="F6" t="s">
        <v>46</v>
      </c>
      <c r="G6" t="s">
        <v>25</v>
      </c>
      <c r="H6" t="s">
        <v>37</v>
      </c>
      <c r="I6" s="1">
        <v>45778</v>
      </c>
      <c r="J6" s="2">
        <v>175</v>
      </c>
      <c r="K6">
        <v>1</v>
      </c>
      <c r="L6" s="3">
        <v>1</v>
      </c>
      <c r="M6" s="2">
        <v>175</v>
      </c>
      <c r="N6" s="3">
        <v>0</v>
      </c>
      <c r="O6" s="2">
        <v>0</v>
      </c>
      <c r="P6" s="2">
        <v>175</v>
      </c>
      <c r="U6">
        <v>5379975</v>
      </c>
    </row>
    <row r="7" spans="1:22" x14ac:dyDescent="0.25">
      <c r="A7" s="1">
        <v>45777</v>
      </c>
      <c r="B7" s="9" t="s">
        <v>200</v>
      </c>
      <c r="C7" t="s">
        <v>126</v>
      </c>
      <c r="D7" t="s">
        <v>62</v>
      </c>
      <c r="E7">
        <v>43689</v>
      </c>
      <c r="F7" t="s">
        <v>46</v>
      </c>
      <c r="G7" t="s">
        <v>25</v>
      </c>
      <c r="H7" t="s">
        <v>127</v>
      </c>
      <c r="I7" s="1">
        <v>45839</v>
      </c>
      <c r="J7" s="2">
        <v>31.02</v>
      </c>
      <c r="K7">
        <v>9</v>
      </c>
      <c r="L7" s="3">
        <v>1</v>
      </c>
      <c r="M7" s="2">
        <v>279.18</v>
      </c>
      <c r="N7" s="3">
        <v>0</v>
      </c>
      <c r="O7" s="2">
        <v>0</v>
      </c>
      <c r="P7" s="2">
        <v>279.18</v>
      </c>
      <c r="U7">
        <v>5380040</v>
      </c>
    </row>
    <row r="8" spans="1:22" x14ac:dyDescent="0.25">
      <c r="A8" s="1">
        <v>45777</v>
      </c>
      <c r="B8" s="9">
        <v>102157543300</v>
      </c>
      <c r="C8" t="s">
        <v>83</v>
      </c>
      <c r="D8" t="s">
        <v>69</v>
      </c>
      <c r="E8">
        <v>45612</v>
      </c>
      <c r="F8" t="s">
        <v>54</v>
      </c>
      <c r="G8" t="s">
        <v>25</v>
      </c>
      <c r="H8" t="s">
        <v>64</v>
      </c>
      <c r="I8" s="1">
        <v>45748</v>
      </c>
      <c r="J8" s="2">
        <v>50</v>
      </c>
      <c r="K8">
        <v>1</v>
      </c>
      <c r="L8" s="3">
        <v>1</v>
      </c>
      <c r="M8" s="2">
        <v>50</v>
      </c>
      <c r="N8" s="3">
        <v>0</v>
      </c>
      <c r="O8" s="2">
        <v>0</v>
      </c>
      <c r="P8" s="2">
        <v>50</v>
      </c>
      <c r="U8">
        <v>5379714</v>
      </c>
    </row>
    <row r="9" spans="1:22" x14ac:dyDescent="0.25">
      <c r="A9" s="1">
        <v>45777</v>
      </c>
      <c r="B9" s="9">
        <v>102160093600</v>
      </c>
      <c r="C9" t="s">
        <v>87</v>
      </c>
      <c r="D9" t="s">
        <v>69</v>
      </c>
      <c r="E9">
        <v>45612</v>
      </c>
      <c r="F9" t="s">
        <v>54</v>
      </c>
      <c r="G9" t="s">
        <v>25</v>
      </c>
      <c r="H9" t="s">
        <v>64</v>
      </c>
      <c r="I9" s="1">
        <v>45748</v>
      </c>
      <c r="J9" s="2">
        <v>50</v>
      </c>
      <c r="K9">
        <v>1</v>
      </c>
      <c r="L9" s="3">
        <v>1</v>
      </c>
      <c r="M9" s="2">
        <v>50</v>
      </c>
      <c r="N9" s="3">
        <v>0</v>
      </c>
      <c r="O9" s="2">
        <v>0</v>
      </c>
      <c r="P9" s="2">
        <v>50</v>
      </c>
      <c r="U9">
        <v>5379750</v>
      </c>
    </row>
    <row r="10" spans="1:22" x14ac:dyDescent="0.25">
      <c r="A10" s="1">
        <v>45777</v>
      </c>
      <c r="B10" s="9" t="s">
        <v>160</v>
      </c>
      <c r="C10" t="s">
        <v>83</v>
      </c>
      <c r="D10" t="s">
        <v>69</v>
      </c>
      <c r="E10">
        <v>45612</v>
      </c>
      <c r="F10" t="s">
        <v>54</v>
      </c>
      <c r="G10" t="s">
        <v>131</v>
      </c>
      <c r="H10" t="s">
        <v>59</v>
      </c>
      <c r="I10" s="1">
        <v>45748</v>
      </c>
      <c r="P10" s="2">
        <v>37.5</v>
      </c>
      <c r="Q10" s="2">
        <v>0</v>
      </c>
      <c r="T10" s="2">
        <v>37.5</v>
      </c>
    </row>
    <row r="11" spans="1:22" x14ac:dyDescent="0.25">
      <c r="A11" s="1">
        <v>45777</v>
      </c>
      <c r="B11" s="9" t="s">
        <v>163</v>
      </c>
      <c r="C11" t="s">
        <v>87</v>
      </c>
      <c r="D11" t="s">
        <v>69</v>
      </c>
      <c r="E11">
        <v>45612</v>
      </c>
      <c r="F11" t="s">
        <v>54</v>
      </c>
      <c r="G11" t="s">
        <v>131</v>
      </c>
      <c r="H11" t="s">
        <v>59</v>
      </c>
      <c r="I11" s="1">
        <v>45748</v>
      </c>
      <c r="P11" s="2">
        <v>37.5</v>
      </c>
      <c r="Q11" s="2">
        <v>0</v>
      </c>
      <c r="T11" s="2">
        <v>37.5</v>
      </c>
    </row>
    <row r="12" spans="1:22" x14ac:dyDescent="0.25">
      <c r="A12" s="1">
        <v>45777</v>
      </c>
      <c r="B12" s="9" t="s">
        <v>187</v>
      </c>
      <c r="C12" t="s">
        <v>53</v>
      </c>
      <c r="D12" t="s">
        <v>23</v>
      </c>
      <c r="E12">
        <v>45612</v>
      </c>
      <c r="F12" t="s">
        <v>54</v>
      </c>
      <c r="G12" t="s">
        <v>25</v>
      </c>
      <c r="H12" t="s">
        <v>37</v>
      </c>
      <c r="I12" s="1">
        <v>45839</v>
      </c>
      <c r="J12" s="2">
        <v>175</v>
      </c>
      <c r="K12">
        <v>1</v>
      </c>
      <c r="L12" s="3">
        <v>1</v>
      </c>
      <c r="M12" s="2">
        <v>175</v>
      </c>
      <c r="N12" s="3">
        <v>0</v>
      </c>
      <c r="O12" s="2">
        <v>0</v>
      </c>
      <c r="P12" s="2">
        <v>175</v>
      </c>
      <c r="U12">
        <v>5380006</v>
      </c>
    </row>
    <row r="13" spans="1:22" x14ac:dyDescent="0.25">
      <c r="A13" s="1">
        <v>45777</v>
      </c>
      <c r="B13" s="9">
        <v>102157214200</v>
      </c>
      <c r="C13" t="s">
        <v>81</v>
      </c>
      <c r="D13" t="s">
        <v>69</v>
      </c>
      <c r="E13">
        <v>45632</v>
      </c>
      <c r="F13" t="s">
        <v>82</v>
      </c>
      <c r="G13" t="s">
        <v>25</v>
      </c>
      <c r="H13" t="s">
        <v>64</v>
      </c>
      <c r="I13" s="1">
        <v>45748</v>
      </c>
      <c r="J13" s="2">
        <v>50</v>
      </c>
      <c r="K13">
        <v>1</v>
      </c>
      <c r="L13" s="3">
        <v>1</v>
      </c>
      <c r="M13" s="2">
        <v>50</v>
      </c>
      <c r="N13" s="3">
        <v>0</v>
      </c>
      <c r="O13" s="2">
        <v>0</v>
      </c>
      <c r="P13" s="2">
        <v>50</v>
      </c>
      <c r="U13">
        <v>5379709</v>
      </c>
    </row>
    <row r="14" spans="1:22" x14ac:dyDescent="0.25">
      <c r="A14" s="1">
        <v>45777</v>
      </c>
      <c r="B14" s="9" t="s">
        <v>159</v>
      </c>
      <c r="C14" t="s">
        <v>81</v>
      </c>
      <c r="D14" t="s">
        <v>69</v>
      </c>
      <c r="E14">
        <v>45632</v>
      </c>
      <c r="F14" t="s">
        <v>82</v>
      </c>
      <c r="G14" t="s">
        <v>131</v>
      </c>
      <c r="H14" t="s">
        <v>59</v>
      </c>
      <c r="I14" s="1">
        <v>45748</v>
      </c>
      <c r="P14" s="2">
        <v>37.5</v>
      </c>
      <c r="Q14" s="2">
        <v>0</v>
      </c>
      <c r="T14" s="2">
        <v>37.5</v>
      </c>
    </row>
    <row r="15" spans="1:22" x14ac:dyDescent="0.25">
      <c r="A15" s="1">
        <v>45777</v>
      </c>
      <c r="B15" s="9">
        <v>101877929000</v>
      </c>
      <c r="C15" t="s">
        <v>68</v>
      </c>
      <c r="D15" t="s">
        <v>69</v>
      </c>
      <c r="E15">
        <v>43637</v>
      </c>
      <c r="F15" t="s">
        <v>70</v>
      </c>
      <c r="G15" t="s">
        <v>25</v>
      </c>
      <c r="H15" t="s">
        <v>64</v>
      </c>
      <c r="I15" s="1">
        <v>45748</v>
      </c>
      <c r="J15" s="2">
        <v>50</v>
      </c>
      <c r="K15">
        <v>1</v>
      </c>
      <c r="L15" s="3">
        <v>1</v>
      </c>
      <c r="M15" s="2">
        <v>50</v>
      </c>
      <c r="N15" s="3">
        <v>0</v>
      </c>
      <c r="O15" s="2">
        <v>0</v>
      </c>
      <c r="P15" s="2">
        <v>50</v>
      </c>
      <c r="U15">
        <v>5379675</v>
      </c>
    </row>
    <row r="16" spans="1:22" x14ac:dyDescent="0.25">
      <c r="A16" s="1">
        <v>45777</v>
      </c>
      <c r="B16" s="9" t="s">
        <v>153</v>
      </c>
      <c r="C16" t="s">
        <v>68</v>
      </c>
      <c r="D16" t="s">
        <v>69</v>
      </c>
      <c r="E16">
        <v>43637</v>
      </c>
      <c r="F16" t="s">
        <v>70</v>
      </c>
      <c r="G16" t="s">
        <v>131</v>
      </c>
      <c r="H16" t="s">
        <v>59</v>
      </c>
      <c r="I16" s="1">
        <v>45748</v>
      </c>
      <c r="P16" s="2">
        <v>37.5</v>
      </c>
      <c r="Q16" s="2">
        <v>0</v>
      </c>
      <c r="T16" s="2">
        <v>37.5</v>
      </c>
    </row>
    <row r="17" spans="1:22" x14ac:dyDescent="0.25">
      <c r="A17" s="1">
        <v>45777</v>
      </c>
      <c r="B17" s="9" t="s">
        <v>151</v>
      </c>
      <c r="C17" t="s">
        <v>138</v>
      </c>
      <c r="D17" t="s">
        <v>69</v>
      </c>
      <c r="E17">
        <v>41686</v>
      </c>
      <c r="F17" t="s">
        <v>58</v>
      </c>
      <c r="G17" t="s">
        <v>131</v>
      </c>
      <c r="H17" t="s">
        <v>64</v>
      </c>
      <c r="I17" s="1">
        <v>45658</v>
      </c>
      <c r="P17" s="2">
        <v>50</v>
      </c>
      <c r="Q17" s="2">
        <v>0</v>
      </c>
      <c r="T17" s="2">
        <v>33.340000000000003</v>
      </c>
    </row>
    <row r="18" spans="1:22" x14ac:dyDescent="0.25">
      <c r="A18" s="1">
        <v>45777</v>
      </c>
      <c r="B18" s="9">
        <v>101382709900</v>
      </c>
      <c r="C18" t="s">
        <v>57</v>
      </c>
      <c r="E18">
        <v>41686</v>
      </c>
      <c r="F18" t="s">
        <v>58</v>
      </c>
      <c r="G18" t="s">
        <v>25</v>
      </c>
      <c r="H18" t="s">
        <v>59</v>
      </c>
      <c r="I18" s="1">
        <v>45748</v>
      </c>
      <c r="J18" s="2">
        <v>37.5</v>
      </c>
      <c r="K18">
        <v>1</v>
      </c>
      <c r="L18" s="3">
        <v>1</v>
      </c>
      <c r="M18" s="2">
        <v>37.5</v>
      </c>
      <c r="N18" s="3">
        <v>0</v>
      </c>
      <c r="O18" s="2">
        <v>0</v>
      </c>
      <c r="P18" s="2">
        <v>37.5</v>
      </c>
      <c r="U18">
        <v>5379626</v>
      </c>
      <c r="V18" t="s">
        <v>60</v>
      </c>
    </row>
    <row r="19" spans="1:22" x14ac:dyDescent="0.25">
      <c r="A19" s="1">
        <v>45777</v>
      </c>
      <c r="B19" s="9" t="s">
        <v>199</v>
      </c>
      <c r="C19" t="s">
        <v>128</v>
      </c>
      <c r="D19" t="s">
        <v>69</v>
      </c>
      <c r="E19">
        <v>41686</v>
      </c>
      <c r="F19" t="s">
        <v>58</v>
      </c>
      <c r="G19" t="s">
        <v>25</v>
      </c>
      <c r="H19" t="s">
        <v>129</v>
      </c>
      <c r="I19" s="1">
        <v>45809</v>
      </c>
      <c r="J19" s="2">
        <v>31.98</v>
      </c>
      <c r="K19">
        <v>9</v>
      </c>
      <c r="L19" s="3">
        <v>1</v>
      </c>
      <c r="M19" s="2">
        <v>287.82</v>
      </c>
      <c r="N19" s="3">
        <v>0</v>
      </c>
      <c r="O19" s="2">
        <v>0</v>
      </c>
      <c r="P19" s="2">
        <v>287.82</v>
      </c>
      <c r="U19">
        <v>5380039</v>
      </c>
    </row>
    <row r="20" spans="1:22" x14ac:dyDescent="0.25">
      <c r="A20" s="1">
        <v>45777</v>
      </c>
      <c r="B20" s="9">
        <v>102162023700</v>
      </c>
      <c r="C20" t="s">
        <v>99</v>
      </c>
      <c r="D20" t="s">
        <v>62</v>
      </c>
      <c r="E20">
        <v>43679</v>
      </c>
      <c r="F20" t="s">
        <v>100</v>
      </c>
      <c r="G20" t="s">
        <v>25</v>
      </c>
      <c r="H20" t="s">
        <v>64</v>
      </c>
      <c r="I20" s="1">
        <v>45809</v>
      </c>
      <c r="J20" s="2">
        <v>50</v>
      </c>
      <c r="K20">
        <v>1</v>
      </c>
      <c r="L20" s="3">
        <v>1</v>
      </c>
      <c r="M20" s="2">
        <v>50</v>
      </c>
      <c r="N20" s="3">
        <v>0</v>
      </c>
      <c r="O20" s="2">
        <v>0</v>
      </c>
      <c r="P20" s="2">
        <v>50</v>
      </c>
      <c r="U20">
        <v>5379781</v>
      </c>
    </row>
    <row r="21" spans="1:22" x14ac:dyDescent="0.25">
      <c r="A21" s="1">
        <v>45777</v>
      </c>
      <c r="B21" s="9">
        <v>102162335400</v>
      </c>
      <c r="C21" t="s">
        <v>102</v>
      </c>
      <c r="D21" t="s">
        <v>62</v>
      </c>
      <c r="E21">
        <v>43679</v>
      </c>
      <c r="F21" t="s">
        <v>100</v>
      </c>
      <c r="G21" t="s">
        <v>25</v>
      </c>
      <c r="H21" t="s">
        <v>64</v>
      </c>
      <c r="I21" s="1">
        <v>45778</v>
      </c>
      <c r="J21" s="2">
        <v>50</v>
      </c>
      <c r="K21">
        <v>1</v>
      </c>
      <c r="L21" s="3">
        <v>1</v>
      </c>
      <c r="M21" s="2">
        <v>50</v>
      </c>
      <c r="N21" s="3">
        <v>0</v>
      </c>
      <c r="O21" s="2">
        <v>0</v>
      </c>
      <c r="P21" s="2">
        <v>50</v>
      </c>
      <c r="U21">
        <v>5379783</v>
      </c>
    </row>
    <row r="22" spans="1:22" x14ac:dyDescent="0.25">
      <c r="A22" s="1">
        <v>45777</v>
      </c>
      <c r="B22" s="9">
        <v>102164482000</v>
      </c>
      <c r="C22" t="s">
        <v>106</v>
      </c>
      <c r="E22">
        <v>43679</v>
      </c>
      <c r="F22" t="s">
        <v>100</v>
      </c>
      <c r="G22" t="s">
        <v>25</v>
      </c>
      <c r="H22" t="s">
        <v>59</v>
      </c>
      <c r="I22" s="1">
        <v>45809</v>
      </c>
      <c r="J22" s="2">
        <v>29.17</v>
      </c>
      <c r="K22">
        <v>1</v>
      </c>
      <c r="L22" s="3">
        <v>1</v>
      </c>
      <c r="M22" s="2">
        <v>29.17</v>
      </c>
      <c r="N22" s="3">
        <v>0</v>
      </c>
      <c r="O22" s="2">
        <v>0</v>
      </c>
      <c r="P22" s="2">
        <v>29.17</v>
      </c>
      <c r="U22">
        <v>5379648</v>
      </c>
      <c r="V22" t="s">
        <v>107</v>
      </c>
    </row>
    <row r="23" spans="1:22" x14ac:dyDescent="0.25">
      <c r="A23" s="1">
        <v>45777</v>
      </c>
      <c r="B23" s="9" t="s">
        <v>171</v>
      </c>
      <c r="C23" t="s">
        <v>99</v>
      </c>
      <c r="D23" t="s">
        <v>62</v>
      </c>
      <c r="E23">
        <v>43679</v>
      </c>
      <c r="F23" t="s">
        <v>100</v>
      </c>
      <c r="G23" t="s">
        <v>131</v>
      </c>
      <c r="H23" t="s">
        <v>59</v>
      </c>
      <c r="I23" s="1">
        <v>45809</v>
      </c>
      <c r="P23" s="2">
        <v>29.17</v>
      </c>
      <c r="Q23" s="2">
        <v>0</v>
      </c>
      <c r="T23" s="2">
        <v>29.17</v>
      </c>
    </row>
    <row r="24" spans="1:22" x14ac:dyDescent="0.25">
      <c r="A24" s="1">
        <v>45777</v>
      </c>
      <c r="B24" s="9" t="s">
        <v>173</v>
      </c>
      <c r="C24" t="s">
        <v>102</v>
      </c>
      <c r="D24" t="s">
        <v>62</v>
      </c>
      <c r="E24">
        <v>43679</v>
      </c>
      <c r="F24" t="s">
        <v>100</v>
      </c>
      <c r="G24" t="s">
        <v>131</v>
      </c>
      <c r="H24" t="s">
        <v>59</v>
      </c>
      <c r="I24" s="1">
        <v>45778</v>
      </c>
      <c r="P24" s="2">
        <v>33.33</v>
      </c>
      <c r="Q24" s="2">
        <v>0</v>
      </c>
      <c r="T24" s="2">
        <v>33.33</v>
      </c>
    </row>
    <row r="25" spans="1:22" x14ac:dyDescent="0.25">
      <c r="A25" s="1">
        <v>45777</v>
      </c>
      <c r="B25" s="9">
        <v>102155527500</v>
      </c>
      <c r="C25" t="s">
        <v>72</v>
      </c>
      <c r="D25" t="s">
        <v>69</v>
      </c>
      <c r="E25">
        <v>45611</v>
      </c>
      <c r="F25" t="s">
        <v>24</v>
      </c>
      <c r="G25" t="s">
        <v>25</v>
      </c>
      <c r="H25" t="s">
        <v>64</v>
      </c>
      <c r="I25" s="1">
        <v>45717</v>
      </c>
      <c r="J25" s="2">
        <v>50</v>
      </c>
      <c r="K25">
        <v>1</v>
      </c>
      <c r="L25" s="3">
        <v>1</v>
      </c>
      <c r="M25" s="2">
        <v>50</v>
      </c>
      <c r="N25" s="3">
        <v>0</v>
      </c>
      <c r="O25" s="2">
        <v>0</v>
      </c>
      <c r="P25" s="2">
        <v>50</v>
      </c>
      <c r="U25">
        <v>5379683</v>
      </c>
    </row>
    <row r="26" spans="1:22" x14ac:dyDescent="0.25">
      <c r="A26" s="1">
        <v>45777</v>
      </c>
      <c r="B26" s="9" t="s">
        <v>155</v>
      </c>
      <c r="C26" t="s">
        <v>72</v>
      </c>
      <c r="D26" t="s">
        <v>69</v>
      </c>
      <c r="E26">
        <v>45611</v>
      </c>
      <c r="F26" t="s">
        <v>24</v>
      </c>
      <c r="G26" t="s">
        <v>131</v>
      </c>
      <c r="H26" t="s">
        <v>59</v>
      </c>
      <c r="I26" s="1">
        <v>45717</v>
      </c>
      <c r="P26" s="2">
        <v>41.67</v>
      </c>
      <c r="Q26" s="2">
        <v>0</v>
      </c>
      <c r="T26" s="2">
        <v>41.67</v>
      </c>
    </row>
    <row r="27" spans="1:22" x14ac:dyDescent="0.25">
      <c r="A27" s="1">
        <v>45777</v>
      </c>
      <c r="B27" s="9" t="s">
        <v>192</v>
      </c>
      <c r="C27" t="s">
        <v>22</v>
      </c>
      <c r="D27" t="s">
        <v>23</v>
      </c>
      <c r="E27">
        <v>45611</v>
      </c>
      <c r="F27" t="s">
        <v>24</v>
      </c>
      <c r="G27" t="s">
        <v>25</v>
      </c>
      <c r="H27" t="s">
        <v>26</v>
      </c>
      <c r="I27" s="1">
        <v>45778</v>
      </c>
      <c r="J27" s="2">
        <v>108</v>
      </c>
      <c r="K27">
        <v>1</v>
      </c>
      <c r="L27" s="3">
        <v>1</v>
      </c>
      <c r="M27" s="2">
        <v>108</v>
      </c>
      <c r="N27" s="3">
        <v>0</v>
      </c>
      <c r="O27" s="2">
        <v>0</v>
      </c>
      <c r="P27" s="2">
        <v>108</v>
      </c>
      <c r="U27">
        <v>5379902</v>
      </c>
    </row>
    <row r="28" spans="1:22" x14ac:dyDescent="0.25">
      <c r="A28" s="1">
        <v>45777</v>
      </c>
      <c r="B28" s="9">
        <v>101463901900</v>
      </c>
      <c r="C28" t="s">
        <v>61</v>
      </c>
      <c r="D28" t="s">
        <v>62</v>
      </c>
      <c r="E28">
        <v>43743</v>
      </c>
      <c r="F28" t="s">
        <v>63</v>
      </c>
      <c r="G28" t="s">
        <v>25</v>
      </c>
      <c r="H28" t="s">
        <v>64</v>
      </c>
      <c r="I28" s="1">
        <v>45748</v>
      </c>
      <c r="J28" s="2">
        <v>50</v>
      </c>
      <c r="K28">
        <v>1</v>
      </c>
      <c r="L28" s="3">
        <v>1</v>
      </c>
      <c r="M28" s="2">
        <v>50</v>
      </c>
      <c r="N28" s="3">
        <v>0</v>
      </c>
      <c r="O28" s="2">
        <v>0</v>
      </c>
      <c r="P28" s="2">
        <v>50</v>
      </c>
      <c r="U28">
        <v>5379674</v>
      </c>
    </row>
    <row r="29" spans="1:22" x14ac:dyDescent="0.25">
      <c r="A29" s="1">
        <v>45777</v>
      </c>
      <c r="B29" s="9" t="s">
        <v>152</v>
      </c>
      <c r="C29" t="s">
        <v>61</v>
      </c>
      <c r="D29" t="s">
        <v>62</v>
      </c>
      <c r="E29">
        <v>43743</v>
      </c>
      <c r="F29" t="s">
        <v>63</v>
      </c>
      <c r="G29" t="s">
        <v>131</v>
      </c>
      <c r="H29" t="s">
        <v>59</v>
      </c>
      <c r="I29" s="1">
        <v>45748</v>
      </c>
      <c r="P29" s="2">
        <v>37.5</v>
      </c>
      <c r="Q29" s="2">
        <v>0</v>
      </c>
      <c r="T29" s="2">
        <v>37.5</v>
      </c>
    </row>
    <row r="30" spans="1:22" x14ac:dyDescent="0.25">
      <c r="A30" s="1">
        <v>45777</v>
      </c>
      <c r="B30" s="9">
        <v>102165156900</v>
      </c>
      <c r="C30" t="s">
        <v>109</v>
      </c>
      <c r="E30">
        <v>45605</v>
      </c>
      <c r="F30" t="s">
        <v>110</v>
      </c>
      <c r="G30" t="s">
        <v>25</v>
      </c>
      <c r="H30" t="s">
        <v>59</v>
      </c>
      <c r="I30" s="1">
        <v>45809</v>
      </c>
      <c r="J30" s="2">
        <v>29.17</v>
      </c>
      <c r="K30">
        <v>1</v>
      </c>
      <c r="L30" s="3">
        <v>1</v>
      </c>
      <c r="M30" s="2">
        <v>29.17</v>
      </c>
      <c r="N30" s="3">
        <v>0</v>
      </c>
      <c r="O30" s="2">
        <v>0</v>
      </c>
      <c r="P30" s="2">
        <v>29.17</v>
      </c>
      <c r="U30">
        <v>5379661</v>
      </c>
      <c r="V30" t="s">
        <v>107</v>
      </c>
    </row>
    <row r="31" spans="1:22" x14ac:dyDescent="0.25">
      <c r="A31" s="1">
        <v>45777</v>
      </c>
      <c r="B31" s="9">
        <v>102038220200</v>
      </c>
      <c r="C31" t="s">
        <v>71</v>
      </c>
      <c r="D31" t="s">
        <v>69</v>
      </c>
      <c r="E31">
        <v>45712</v>
      </c>
      <c r="F31" t="s">
        <v>52</v>
      </c>
      <c r="G31" t="s">
        <v>25</v>
      </c>
      <c r="H31" t="s">
        <v>64</v>
      </c>
      <c r="I31" s="1">
        <v>45748</v>
      </c>
      <c r="J31" s="2">
        <v>50</v>
      </c>
      <c r="K31">
        <v>1</v>
      </c>
      <c r="L31" s="3">
        <v>1</v>
      </c>
      <c r="M31" s="2">
        <v>50</v>
      </c>
      <c r="N31" s="3">
        <v>0</v>
      </c>
      <c r="O31" s="2">
        <v>0</v>
      </c>
      <c r="P31" s="2">
        <v>50</v>
      </c>
      <c r="U31">
        <v>5379677</v>
      </c>
    </row>
    <row r="32" spans="1:22" x14ac:dyDescent="0.25">
      <c r="A32" s="1">
        <v>45777</v>
      </c>
      <c r="B32" s="9">
        <v>102164369100</v>
      </c>
      <c r="C32" t="s">
        <v>105</v>
      </c>
      <c r="E32">
        <v>45712</v>
      </c>
      <c r="F32" t="s">
        <v>52</v>
      </c>
      <c r="G32" t="s">
        <v>25</v>
      </c>
      <c r="H32" t="s">
        <v>59</v>
      </c>
      <c r="I32" s="1">
        <v>45778</v>
      </c>
      <c r="J32" s="2">
        <v>33.33</v>
      </c>
      <c r="K32">
        <v>1</v>
      </c>
      <c r="L32" s="3">
        <v>1</v>
      </c>
      <c r="M32" s="2">
        <v>33.33</v>
      </c>
      <c r="N32" s="3">
        <v>0</v>
      </c>
      <c r="O32" s="2">
        <v>0</v>
      </c>
      <c r="P32" s="2">
        <v>33.33</v>
      </c>
      <c r="U32">
        <v>5379644</v>
      </c>
      <c r="V32" t="s">
        <v>67</v>
      </c>
    </row>
    <row r="33" spans="1:22" x14ac:dyDescent="0.25">
      <c r="A33" s="1">
        <v>45777</v>
      </c>
      <c r="B33" s="9" t="s">
        <v>154</v>
      </c>
      <c r="C33" t="s">
        <v>71</v>
      </c>
      <c r="D33" t="s">
        <v>69</v>
      </c>
      <c r="E33">
        <v>45712</v>
      </c>
      <c r="F33" t="s">
        <v>52</v>
      </c>
      <c r="G33" t="s">
        <v>131</v>
      </c>
      <c r="H33" t="s">
        <v>59</v>
      </c>
      <c r="I33" s="1">
        <v>45748</v>
      </c>
      <c r="P33" s="2">
        <v>37.5</v>
      </c>
      <c r="Q33" s="2">
        <v>0</v>
      </c>
      <c r="T33" s="2">
        <v>37.5</v>
      </c>
    </row>
    <row r="34" spans="1:22" x14ac:dyDescent="0.25">
      <c r="A34" s="1">
        <v>45777</v>
      </c>
      <c r="B34" s="9" t="s">
        <v>186</v>
      </c>
      <c r="C34" t="s">
        <v>51</v>
      </c>
      <c r="D34" t="s">
        <v>23</v>
      </c>
      <c r="E34">
        <v>45712</v>
      </c>
      <c r="F34" t="s">
        <v>52</v>
      </c>
      <c r="G34" t="s">
        <v>25</v>
      </c>
      <c r="H34" t="s">
        <v>37</v>
      </c>
      <c r="I34" s="1">
        <v>45778</v>
      </c>
      <c r="J34" s="2">
        <v>175</v>
      </c>
      <c r="K34">
        <v>1</v>
      </c>
      <c r="L34" s="3">
        <v>1</v>
      </c>
      <c r="M34" s="2">
        <v>175</v>
      </c>
      <c r="N34" s="3">
        <v>0</v>
      </c>
      <c r="O34" s="2">
        <v>0</v>
      </c>
      <c r="P34" s="2">
        <v>175</v>
      </c>
      <c r="U34">
        <v>5380004</v>
      </c>
    </row>
    <row r="35" spans="1:22" x14ac:dyDescent="0.25">
      <c r="A35" s="1">
        <v>45777</v>
      </c>
      <c r="B35" s="9">
        <v>102157554700</v>
      </c>
      <c r="C35" t="s">
        <v>84</v>
      </c>
      <c r="D35" t="s">
        <v>69</v>
      </c>
      <c r="E35">
        <v>43682</v>
      </c>
      <c r="F35" t="s">
        <v>44</v>
      </c>
      <c r="G35" t="s">
        <v>25</v>
      </c>
      <c r="H35" t="s">
        <v>64</v>
      </c>
      <c r="I35" s="1">
        <v>45748</v>
      </c>
      <c r="J35" s="2">
        <v>50</v>
      </c>
      <c r="K35">
        <v>1</v>
      </c>
      <c r="L35" s="3">
        <v>1</v>
      </c>
      <c r="M35" s="2">
        <v>50</v>
      </c>
      <c r="N35" s="3">
        <v>0</v>
      </c>
      <c r="O35" s="2">
        <v>0</v>
      </c>
      <c r="P35" s="2">
        <v>50</v>
      </c>
      <c r="U35">
        <v>5379716</v>
      </c>
    </row>
    <row r="36" spans="1:22" x14ac:dyDescent="0.25">
      <c r="A36" s="1">
        <v>45777</v>
      </c>
      <c r="B36" s="9">
        <v>102160124800</v>
      </c>
      <c r="C36" t="s">
        <v>88</v>
      </c>
      <c r="D36" t="s">
        <v>89</v>
      </c>
      <c r="E36">
        <v>43682</v>
      </c>
      <c r="F36" t="s">
        <v>44</v>
      </c>
      <c r="G36" t="s">
        <v>25</v>
      </c>
      <c r="H36" t="s">
        <v>64</v>
      </c>
      <c r="I36" s="1">
        <v>45778</v>
      </c>
      <c r="J36" s="2">
        <v>50</v>
      </c>
      <c r="K36">
        <v>1</v>
      </c>
      <c r="L36" s="3">
        <v>1</v>
      </c>
      <c r="M36" s="2">
        <v>50</v>
      </c>
      <c r="N36" s="3">
        <v>0</v>
      </c>
      <c r="O36" s="2">
        <v>0</v>
      </c>
      <c r="P36" s="2">
        <v>50</v>
      </c>
      <c r="U36">
        <v>5379751</v>
      </c>
    </row>
    <row r="37" spans="1:22" x14ac:dyDescent="0.25">
      <c r="A37" s="1">
        <v>45777</v>
      </c>
      <c r="B37" s="9">
        <v>102160449600</v>
      </c>
      <c r="C37" t="s">
        <v>92</v>
      </c>
      <c r="D37" t="s">
        <v>69</v>
      </c>
      <c r="E37">
        <v>43682</v>
      </c>
      <c r="F37" t="s">
        <v>44</v>
      </c>
      <c r="G37" t="s">
        <v>25</v>
      </c>
      <c r="H37" t="s">
        <v>64</v>
      </c>
      <c r="I37" s="1">
        <v>45748</v>
      </c>
      <c r="J37" s="2">
        <v>50</v>
      </c>
      <c r="K37">
        <v>1</v>
      </c>
      <c r="L37" s="3">
        <v>1</v>
      </c>
      <c r="M37" s="2">
        <v>50</v>
      </c>
      <c r="N37" s="3">
        <v>0</v>
      </c>
      <c r="O37" s="2">
        <v>0</v>
      </c>
      <c r="P37" s="2">
        <v>50</v>
      </c>
      <c r="U37">
        <v>5379757</v>
      </c>
    </row>
    <row r="38" spans="1:22" x14ac:dyDescent="0.25">
      <c r="A38" s="1">
        <v>45777</v>
      </c>
      <c r="B38" s="9">
        <v>102165144500</v>
      </c>
      <c r="C38" t="s">
        <v>108</v>
      </c>
      <c r="E38">
        <v>43682</v>
      </c>
      <c r="F38" t="s">
        <v>44</v>
      </c>
      <c r="G38" t="s">
        <v>25</v>
      </c>
      <c r="H38" t="s">
        <v>59</v>
      </c>
      <c r="I38" s="1">
        <v>45778</v>
      </c>
      <c r="J38" s="2">
        <v>33.33</v>
      </c>
      <c r="K38">
        <v>1</v>
      </c>
      <c r="L38" s="3">
        <v>1</v>
      </c>
      <c r="M38" s="2">
        <v>33.33</v>
      </c>
      <c r="N38" s="3">
        <v>0</v>
      </c>
      <c r="O38" s="2">
        <v>0</v>
      </c>
      <c r="P38" s="2">
        <v>33.33</v>
      </c>
      <c r="U38">
        <v>5379660</v>
      </c>
      <c r="V38" t="s">
        <v>67</v>
      </c>
    </row>
    <row r="39" spans="1:22" x14ac:dyDescent="0.25">
      <c r="A39" s="1">
        <v>45777</v>
      </c>
      <c r="B39" s="9" t="s">
        <v>161</v>
      </c>
      <c r="C39" t="s">
        <v>84</v>
      </c>
      <c r="D39" t="s">
        <v>69</v>
      </c>
      <c r="E39">
        <v>43682</v>
      </c>
      <c r="F39" t="s">
        <v>44</v>
      </c>
      <c r="G39" t="s">
        <v>131</v>
      </c>
      <c r="H39" t="s">
        <v>59</v>
      </c>
      <c r="I39" s="1">
        <v>45748</v>
      </c>
      <c r="P39" s="2">
        <v>37.5</v>
      </c>
      <c r="Q39" s="2">
        <v>0</v>
      </c>
      <c r="T39" s="2">
        <v>37.5</v>
      </c>
    </row>
    <row r="40" spans="1:22" x14ac:dyDescent="0.25">
      <c r="A40" s="1">
        <v>45777</v>
      </c>
      <c r="B40" s="9" t="s">
        <v>164</v>
      </c>
      <c r="C40" t="s">
        <v>88</v>
      </c>
      <c r="D40" t="s">
        <v>89</v>
      </c>
      <c r="E40">
        <v>43682</v>
      </c>
      <c r="F40" t="s">
        <v>44</v>
      </c>
      <c r="G40" t="s">
        <v>131</v>
      </c>
      <c r="H40" t="s">
        <v>59</v>
      </c>
      <c r="I40" s="1">
        <v>45778</v>
      </c>
      <c r="P40" s="2">
        <v>33.33</v>
      </c>
      <c r="Q40" s="2">
        <v>0</v>
      </c>
      <c r="T40" s="2">
        <v>33.33</v>
      </c>
    </row>
    <row r="41" spans="1:22" x14ac:dyDescent="0.25">
      <c r="A41" s="1">
        <v>45777</v>
      </c>
      <c r="B41" s="9" t="s">
        <v>166</v>
      </c>
      <c r="C41" t="s">
        <v>92</v>
      </c>
      <c r="D41" t="s">
        <v>69</v>
      </c>
      <c r="E41">
        <v>43682</v>
      </c>
      <c r="F41" t="s">
        <v>44</v>
      </c>
      <c r="G41" t="s">
        <v>131</v>
      </c>
      <c r="H41" t="s">
        <v>59</v>
      </c>
      <c r="I41" s="1">
        <v>45748</v>
      </c>
      <c r="P41" s="2">
        <v>37.5</v>
      </c>
      <c r="Q41" s="2">
        <v>0</v>
      </c>
      <c r="T41" s="2">
        <v>37.5</v>
      </c>
    </row>
    <row r="42" spans="1:22" x14ac:dyDescent="0.25">
      <c r="A42" s="1">
        <v>45777</v>
      </c>
      <c r="B42" s="9" t="s">
        <v>182</v>
      </c>
      <c r="C42" t="s">
        <v>43</v>
      </c>
      <c r="D42" t="s">
        <v>23</v>
      </c>
      <c r="E42">
        <v>43682</v>
      </c>
      <c r="F42" t="s">
        <v>44</v>
      </c>
      <c r="G42" t="s">
        <v>25</v>
      </c>
      <c r="H42" t="s">
        <v>37</v>
      </c>
      <c r="I42" s="1">
        <v>45778</v>
      </c>
      <c r="J42" s="2">
        <v>175</v>
      </c>
      <c r="K42">
        <v>1</v>
      </c>
      <c r="L42" s="3">
        <v>1</v>
      </c>
      <c r="M42" s="2">
        <v>175</v>
      </c>
      <c r="N42" s="3">
        <v>0</v>
      </c>
      <c r="O42" s="2">
        <v>0</v>
      </c>
      <c r="P42" s="2">
        <v>175</v>
      </c>
      <c r="U42">
        <v>5379973</v>
      </c>
    </row>
    <row r="43" spans="1:22" x14ac:dyDescent="0.25">
      <c r="A43" s="1">
        <v>45777</v>
      </c>
      <c r="B43" s="9" t="s">
        <v>184</v>
      </c>
      <c r="C43" t="s">
        <v>48</v>
      </c>
      <c r="D43" t="s">
        <v>23</v>
      </c>
      <c r="E43">
        <v>43682</v>
      </c>
      <c r="F43" t="s">
        <v>44</v>
      </c>
      <c r="G43" t="s">
        <v>25</v>
      </c>
      <c r="H43" t="s">
        <v>37</v>
      </c>
      <c r="I43" s="1">
        <v>45809</v>
      </c>
      <c r="J43" s="2">
        <v>175</v>
      </c>
      <c r="K43">
        <v>1</v>
      </c>
      <c r="L43" s="3">
        <v>1</v>
      </c>
      <c r="M43" s="2">
        <v>175</v>
      </c>
      <c r="N43" s="3">
        <v>0</v>
      </c>
      <c r="O43" s="2">
        <v>0</v>
      </c>
      <c r="P43" s="2">
        <v>175</v>
      </c>
      <c r="U43">
        <v>5379996</v>
      </c>
    </row>
    <row r="44" spans="1:22" x14ac:dyDescent="0.25">
      <c r="A44" s="1">
        <v>45777</v>
      </c>
      <c r="B44" s="9" t="s">
        <v>189</v>
      </c>
      <c r="C44" t="s">
        <v>56</v>
      </c>
      <c r="D44" t="s">
        <v>23</v>
      </c>
      <c r="E44">
        <v>43682</v>
      </c>
      <c r="F44" t="s">
        <v>44</v>
      </c>
      <c r="G44" t="s">
        <v>25</v>
      </c>
      <c r="H44" t="s">
        <v>37</v>
      </c>
      <c r="I44" s="1">
        <v>45778</v>
      </c>
      <c r="J44" s="2">
        <v>175</v>
      </c>
      <c r="K44">
        <v>1</v>
      </c>
      <c r="L44" s="3">
        <v>1</v>
      </c>
      <c r="M44" s="2">
        <v>175</v>
      </c>
      <c r="N44" s="3">
        <v>0</v>
      </c>
      <c r="O44" s="2">
        <v>0</v>
      </c>
      <c r="P44" s="2">
        <v>175</v>
      </c>
      <c r="U44">
        <v>5380026</v>
      </c>
    </row>
    <row r="45" spans="1:22" x14ac:dyDescent="0.25">
      <c r="A45" s="1">
        <v>45777</v>
      </c>
      <c r="B45" s="9">
        <v>102155610900</v>
      </c>
      <c r="C45" t="s">
        <v>73</v>
      </c>
      <c r="D45" t="s">
        <v>74</v>
      </c>
      <c r="E45">
        <v>45621</v>
      </c>
      <c r="F45" t="s">
        <v>75</v>
      </c>
      <c r="G45" t="s">
        <v>25</v>
      </c>
      <c r="H45" t="s">
        <v>64</v>
      </c>
      <c r="I45" s="1">
        <v>45717</v>
      </c>
      <c r="J45" s="2">
        <v>50</v>
      </c>
      <c r="K45">
        <v>1</v>
      </c>
      <c r="L45" s="3">
        <v>1</v>
      </c>
      <c r="M45" s="2">
        <v>50</v>
      </c>
      <c r="N45" s="3">
        <v>0</v>
      </c>
      <c r="O45" s="2">
        <v>0</v>
      </c>
      <c r="P45" s="2">
        <v>50</v>
      </c>
      <c r="U45">
        <v>5379686</v>
      </c>
    </row>
    <row r="46" spans="1:22" x14ac:dyDescent="0.25">
      <c r="A46" s="1">
        <v>45777</v>
      </c>
      <c r="B46" s="9" t="s">
        <v>156</v>
      </c>
      <c r="C46" t="s">
        <v>73</v>
      </c>
      <c r="D46" t="s">
        <v>74</v>
      </c>
      <c r="E46">
        <v>45621</v>
      </c>
      <c r="F46" t="s">
        <v>75</v>
      </c>
      <c r="G46" t="s">
        <v>131</v>
      </c>
      <c r="H46" t="s">
        <v>59</v>
      </c>
      <c r="I46" s="1">
        <v>45717</v>
      </c>
      <c r="P46" s="2">
        <v>41.67</v>
      </c>
      <c r="Q46" s="2">
        <v>0</v>
      </c>
      <c r="T46" s="2">
        <v>41.67</v>
      </c>
    </row>
    <row r="47" spans="1:22" x14ac:dyDescent="0.25">
      <c r="A47" s="1">
        <v>45777</v>
      </c>
      <c r="B47" s="9">
        <v>102162344100</v>
      </c>
      <c r="C47" t="s">
        <v>103</v>
      </c>
      <c r="D47" t="s">
        <v>69</v>
      </c>
      <c r="E47">
        <v>45622</v>
      </c>
      <c r="F47" t="s">
        <v>33</v>
      </c>
      <c r="G47" t="s">
        <v>25</v>
      </c>
      <c r="H47" t="s">
        <v>64</v>
      </c>
      <c r="I47" s="1">
        <v>45748</v>
      </c>
      <c r="J47" s="2">
        <v>50</v>
      </c>
      <c r="K47">
        <v>1</v>
      </c>
      <c r="L47" s="3">
        <v>1</v>
      </c>
      <c r="M47" s="2">
        <v>50</v>
      </c>
      <c r="N47" s="3">
        <v>0</v>
      </c>
      <c r="O47" s="2">
        <v>0</v>
      </c>
      <c r="P47" s="2">
        <v>50</v>
      </c>
      <c r="U47">
        <v>5379784</v>
      </c>
    </row>
    <row r="48" spans="1:22" x14ac:dyDescent="0.25">
      <c r="A48" s="1">
        <v>45777</v>
      </c>
      <c r="B48" s="9" t="s">
        <v>174</v>
      </c>
      <c r="C48" t="s">
        <v>103</v>
      </c>
      <c r="D48" t="s">
        <v>69</v>
      </c>
      <c r="E48">
        <v>45622</v>
      </c>
      <c r="F48" t="s">
        <v>33</v>
      </c>
      <c r="G48" t="s">
        <v>131</v>
      </c>
      <c r="H48" t="s">
        <v>59</v>
      </c>
      <c r="I48" s="1">
        <v>45748</v>
      </c>
      <c r="P48" s="2">
        <v>37.5</v>
      </c>
      <c r="Q48" s="2">
        <v>0</v>
      </c>
      <c r="T48" s="2">
        <v>37.5</v>
      </c>
    </row>
    <row r="49" spans="1:22" x14ac:dyDescent="0.25">
      <c r="A49" s="1">
        <v>45777</v>
      </c>
      <c r="B49" s="9" t="s">
        <v>194</v>
      </c>
      <c r="C49" t="s">
        <v>32</v>
      </c>
      <c r="D49" t="s">
        <v>23</v>
      </c>
      <c r="E49">
        <v>45622</v>
      </c>
      <c r="F49" t="s">
        <v>33</v>
      </c>
      <c r="G49" t="s">
        <v>25</v>
      </c>
      <c r="H49" t="s">
        <v>26</v>
      </c>
      <c r="I49" s="1">
        <v>45778</v>
      </c>
      <c r="J49" s="2">
        <v>108</v>
      </c>
      <c r="K49">
        <v>1</v>
      </c>
      <c r="L49" s="3">
        <v>1</v>
      </c>
      <c r="M49" s="2">
        <v>108</v>
      </c>
      <c r="N49" s="3">
        <v>0</v>
      </c>
      <c r="O49" s="2">
        <v>0</v>
      </c>
      <c r="P49" s="2">
        <v>108</v>
      </c>
      <c r="U49">
        <v>5379929</v>
      </c>
    </row>
    <row r="50" spans="1:22" x14ac:dyDescent="0.25">
      <c r="A50" s="1">
        <v>45777</v>
      </c>
      <c r="B50" s="9">
        <v>102160410700</v>
      </c>
      <c r="C50" t="s">
        <v>90</v>
      </c>
      <c r="D50" t="s">
        <v>69</v>
      </c>
      <c r="E50">
        <v>45604</v>
      </c>
      <c r="F50" t="s">
        <v>91</v>
      </c>
      <c r="G50" t="s">
        <v>25</v>
      </c>
      <c r="H50" t="s">
        <v>64</v>
      </c>
      <c r="I50" s="1">
        <v>45748</v>
      </c>
      <c r="J50" s="2">
        <v>50</v>
      </c>
      <c r="K50">
        <v>1</v>
      </c>
      <c r="L50" s="3">
        <v>1</v>
      </c>
      <c r="M50" s="2">
        <v>50</v>
      </c>
      <c r="N50" s="3">
        <v>0</v>
      </c>
      <c r="O50" s="2">
        <v>0</v>
      </c>
      <c r="P50" s="2">
        <v>50</v>
      </c>
      <c r="U50">
        <v>5379755</v>
      </c>
    </row>
    <row r="51" spans="1:22" x14ac:dyDescent="0.25">
      <c r="A51" s="1">
        <v>45777</v>
      </c>
      <c r="B51" s="9" t="s">
        <v>165</v>
      </c>
      <c r="C51" t="s">
        <v>90</v>
      </c>
      <c r="D51" t="s">
        <v>69</v>
      </c>
      <c r="E51">
        <v>45604</v>
      </c>
      <c r="F51" t="s">
        <v>91</v>
      </c>
      <c r="G51" t="s">
        <v>131</v>
      </c>
      <c r="H51" t="s">
        <v>59</v>
      </c>
      <c r="I51" s="1">
        <v>45748</v>
      </c>
      <c r="P51" s="2">
        <v>37.5</v>
      </c>
      <c r="Q51" s="2">
        <v>0</v>
      </c>
      <c r="T51" s="2">
        <v>37.5</v>
      </c>
    </row>
    <row r="52" spans="1:22" x14ac:dyDescent="0.25">
      <c r="A52" s="1">
        <v>45777</v>
      </c>
      <c r="B52" s="9" t="s">
        <v>191</v>
      </c>
      <c r="C52" t="s">
        <v>135</v>
      </c>
      <c r="D52" t="s">
        <v>23</v>
      </c>
      <c r="E52">
        <v>45604</v>
      </c>
      <c r="F52" t="s">
        <v>91</v>
      </c>
      <c r="G52" t="s">
        <v>131</v>
      </c>
      <c r="H52" t="s">
        <v>37</v>
      </c>
      <c r="I52" s="1">
        <v>45689</v>
      </c>
      <c r="P52" s="2">
        <v>175</v>
      </c>
      <c r="Q52" s="2">
        <v>0</v>
      </c>
      <c r="T52" s="2">
        <v>131.25</v>
      </c>
    </row>
    <row r="53" spans="1:22" x14ac:dyDescent="0.25">
      <c r="A53" s="1">
        <v>45777</v>
      </c>
      <c r="B53" s="9" t="s">
        <v>196</v>
      </c>
      <c r="C53" t="s">
        <v>132</v>
      </c>
      <c r="D53" t="s">
        <v>23</v>
      </c>
      <c r="E53">
        <v>45642</v>
      </c>
      <c r="F53" t="s">
        <v>133</v>
      </c>
      <c r="G53" t="s">
        <v>131</v>
      </c>
      <c r="H53" t="s">
        <v>26</v>
      </c>
      <c r="I53" s="1">
        <v>45658</v>
      </c>
      <c r="P53" s="2">
        <v>108</v>
      </c>
      <c r="Q53" s="2">
        <v>0</v>
      </c>
      <c r="T53" s="2">
        <v>72.36</v>
      </c>
    </row>
    <row r="54" spans="1:22" x14ac:dyDescent="0.25">
      <c r="A54" s="1">
        <v>45777</v>
      </c>
      <c r="B54" s="9">
        <v>101645939000</v>
      </c>
      <c r="C54" t="s">
        <v>65</v>
      </c>
      <c r="E54">
        <v>45828</v>
      </c>
      <c r="F54" t="s">
        <v>66</v>
      </c>
      <c r="G54" t="s">
        <v>25</v>
      </c>
      <c r="H54" t="s">
        <v>59</v>
      </c>
      <c r="I54" s="1">
        <v>45778</v>
      </c>
      <c r="J54" s="2">
        <v>33.33</v>
      </c>
      <c r="K54">
        <v>1</v>
      </c>
      <c r="L54" s="3">
        <v>1</v>
      </c>
      <c r="M54" s="2">
        <v>33.33</v>
      </c>
      <c r="N54" s="3">
        <v>0</v>
      </c>
      <c r="O54" s="2">
        <v>0</v>
      </c>
      <c r="P54" s="2">
        <v>33.33</v>
      </c>
      <c r="U54">
        <v>5379628</v>
      </c>
      <c r="V54" t="s">
        <v>67</v>
      </c>
    </row>
    <row r="55" spans="1:22" x14ac:dyDescent="0.25">
      <c r="A55" s="1">
        <v>45777</v>
      </c>
      <c r="B55" s="9">
        <v>102157190800</v>
      </c>
      <c r="C55" t="s">
        <v>79</v>
      </c>
      <c r="D55" t="s">
        <v>62</v>
      </c>
      <c r="E55">
        <v>43786</v>
      </c>
      <c r="F55" t="s">
        <v>80</v>
      </c>
      <c r="G55" t="s">
        <v>25</v>
      </c>
      <c r="H55" t="s">
        <v>64</v>
      </c>
      <c r="I55" s="1">
        <v>45748</v>
      </c>
      <c r="J55" s="2">
        <v>50</v>
      </c>
      <c r="K55">
        <v>1</v>
      </c>
      <c r="L55" s="3">
        <v>1</v>
      </c>
      <c r="M55" s="2">
        <v>50</v>
      </c>
      <c r="N55" s="3">
        <v>0</v>
      </c>
      <c r="O55" s="2">
        <v>0</v>
      </c>
      <c r="P55" s="2">
        <v>50</v>
      </c>
      <c r="U55">
        <v>5379708</v>
      </c>
    </row>
    <row r="56" spans="1:22" x14ac:dyDescent="0.25">
      <c r="A56" s="1">
        <v>45777</v>
      </c>
      <c r="B56" s="9">
        <v>102161969300</v>
      </c>
      <c r="C56" t="s">
        <v>98</v>
      </c>
      <c r="D56" t="s">
        <v>62</v>
      </c>
      <c r="E56">
        <v>43786</v>
      </c>
      <c r="F56" t="s">
        <v>80</v>
      </c>
      <c r="G56" t="s">
        <v>25</v>
      </c>
      <c r="H56" t="s">
        <v>64</v>
      </c>
      <c r="I56" s="1">
        <v>45809</v>
      </c>
      <c r="J56" s="2">
        <v>50</v>
      </c>
      <c r="K56">
        <v>1</v>
      </c>
      <c r="L56" s="3">
        <v>1</v>
      </c>
      <c r="M56" s="2">
        <v>50</v>
      </c>
      <c r="N56" s="3">
        <v>0</v>
      </c>
      <c r="O56" s="2">
        <v>0</v>
      </c>
      <c r="P56" s="2">
        <v>50</v>
      </c>
      <c r="U56">
        <v>5379778</v>
      </c>
    </row>
    <row r="57" spans="1:22" x14ac:dyDescent="0.25">
      <c r="A57" s="1">
        <v>45777</v>
      </c>
      <c r="B57" s="9" t="s">
        <v>158</v>
      </c>
      <c r="C57" t="s">
        <v>79</v>
      </c>
      <c r="D57" t="s">
        <v>62</v>
      </c>
      <c r="E57">
        <v>43786</v>
      </c>
      <c r="F57" t="s">
        <v>80</v>
      </c>
      <c r="G57" t="s">
        <v>131</v>
      </c>
      <c r="H57" t="s">
        <v>59</v>
      </c>
      <c r="I57" s="1">
        <v>45748</v>
      </c>
      <c r="P57" s="2">
        <v>37.5</v>
      </c>
      <c r="Q57" s="2">
        <v>0</v>
      </c>
      <c r="T57" s="2">
        <v>37.5</v>
      </c>
    </row>
    <row r="58" spans="1:22" x14ac:dyDescent="0.25">
      <c r="A58" s="1">
        <v>45777</v>
      </c>
      <c r="B58" s="9" t="s">
        <v>170</v>
      </c>
      <c r="C58" t="s">
        <v>98</v>
      </c>
      <c r="D58" t="s">
        <v>62</v>
      </c>
      <c r="E58">
        <v>43786</v>
      </c>
      <c r="F58" t="s">
        <v>80</v>
      </c>
      <c r="G58" t="s">
        <v>131</v>
      </c>
      <c r="H58" t="s">
        <v>59</v>
      </c>
      <c r="I58" s="1">
        <v>45809</v>
      </c>
      <c r="P58" s="2">
        <v>29.17</v>
      </c>
      <c r="Q58" s="2">
        <v>0</v>
      </c>
      <c r="T58" s="2">
        <v>29.17</v>
      </c>
    </row>
    <row r="59" spans="1:22" x14ac:dyDescent="0.25">
      <c r="A59" s="1">
        <v>45777</v>
      </c>
      <c r="B59" s="9" t="s">
        <v>193</v>
      </c>
      <c r="C59" t="s">
        <v>30</v>
      </c>
      <c r="D59" t="s">
        <v>23</v>
      </c>
      <c r="E59">
        <v>43705</v>
      </c>
      <c r="F59" t="s">
        <v>31</v>
      </c>
      <c r="G59" t="s">
        <v>25</v>
      </c>
      <c r="H59" t="s">
        <v>26</v>
      </c>
      <c r="I59" s="1">
        <v>45778</v>
      </c>
      <c r="J59" s="2">
        <v>108</v>
      </c>
      <c r="K59">
        <v>1</v>
      </c>
      <c r="L59" s="3">
        <v>1</v>
      </c>
      <c r="M59" s="2">
        <v>108</v>
      </c>
      <c r="N59" s="3">
        <v>0</v>
      </c>
      <c r="O59" s="2">
        <v>0</v>
      </c>
      <c r="P59" s="2">
        <v>108</v>
      </c>
      <c r="U59">
        <v>5379922</v>
      </c>
    </row>
    <row r="60" spans="1:22" x14ac:dyDescent="0.25">
      <c r="A60" s="1">
        <v>45777</v>
      </c>
      <c r="B60" s="9" t="s">
        <v>203</v>
      </c>
      <c r="C60" t="s">
        <v>136</v>
      </c>
      <c r="D60" t="s">
        <v>69</v>
      </c>
      <c r="E60">
        <v>43705</v>
      </c>
      <c r="F60" t="s">
        <v>31</v>
      </c>
      <c r="G60" t="s">
        <v>131</v>
      </c>
      <c r="H60" t="s">
        <v>137</v>
      </c>
      <c r="I60" s="1">
        <v>45748</v>
      </c>
      <c r="P60" s="2">
        <v>109</v>
      </c>
      <c r="Q60" s="2">
        <v>0</v>
      </c>
      <c r="T60" s="2">
        <v>109</v>
      </c>
    </row>
    <row r="61" spans="1:22" x14ac:dyDescent="0.25">
      <c r="A61" s="1">
        <v>45777</v>
      </c>
      <c r="B61" s="9" t="s">
        <v>176</v>
      </c>
      <c r="C61" t="s">
        <v>139</v>
      </c>
      <c r="D61" t="s">
        <v>62</v>
      </c>
      <c r="E61">
        <v>43691</v>
      </c>
      <c r="F61" t="s">
        <v>119</v>
      </c>
      <c r="G61" t="s">
        <v>131</v>
      </c>
      <c r="H61" t="s">
        <v>140</v>
      </c>
      <c r="I61" s="1">
        <v>45717</v>
      </c>
      <c r="P61" s="2">
        <v>33.33</v>
      </c>
      <c r="Q61" s="2">
        <v>0</v>
      </c>
      <c r="T61" s="2">
        <v>33.33</v>
      </c>
    </row>
    <row r="62" spans="1:22" x14ac:dyDescent="0.25">
      <c r="A62" s="1">
        <v>45777</v>
      </c>
      <c r="B62" s="9" t="s">
        <v>178</v>
      </c>
      <c r="C62" t="s">
        <v>118</v>
      </c>
      <c r="D62" t="s">
        <v>62</v>
      </c>
      <c r="E62">
        <v>43691</v>
      </c>
      <c r="F62" t="s">
        <v>119</v>
      </c>
      <c r="G62" t="s">
        <v>25</v>
      </c>
      <c r="H62" t="s">
        <v>117</v>
      </c>
      <c r="I62" s="1">
        <v>45748</v>
      </c>
      <c r="J62" s="2">
        <v>100</v>
      </c>
      <c r="K62">
        <v>1</v>
      </c>
      <c r="L62" s="3">
        <v>1</v>
      </c>
      <c r="M62" s="2">
        <v>100</v>
      </c>
      <c r="N62" s="3">
        <v>0</v>
      </c>
      <c r="O62" s="2">
        <v>0</v>
      </c>
      <c r="P62" s="2">
        <v>100</v>
      </c>
      <c r="U62">
        <v>5379848</v>
      </c>
    </row>
    <row r="63" spans="1:22" x14ac:dyDescent="0.25">
      <c r="A63" s="1">
        <v>45777</v>
      </c>
      <c r="B63" s="9" t="s">
        <v>185</v>
      </c>
      <c r="C63" t="s">
        <v>49</v>
      </c>
      <c r="D63" t="s">
        <v>23</v>
      </c>
      <c r="E63">
        <v>45607</v>
      </c>
      <c r="F63" t="s">
        <v>50</v>
      </c>
      <c r="G63" t="s">
        <v>25</v>
      </c>
      <c r="H63" t="s">
        <v>37</v>
      </c>
      <c r="I63" s="1">
        <v>45778</v>
      </c>
      <c r="J63" s="2">
        <v>175</v>
      </c>
      <c r="K63">
        <v>1</v>
      </c>
      <c r="L63" s="3">
        <v>1</v>
      </c>
      <c r="M63" s="2">
        <v>175</v>
      </c>
      <c r="N63" s="3">
        <v>0</v>
      </c>
      <c r="O63" s="2">
        <v>0</v>
      </c>
      <c r="P63" s="2">
        <v>175</v>
      </c>
      <c r="U63">
        <v>5379997</v>
      </c>
    </row>
    <row r="64" spans="1:22" x14ac:dyDescent="0.25">
      <c r="A64" s="1">
        <v>45777</v>
      </c>
      <c r="B64" s="9" t="s">
        <v>188</v>
      </c>
      <c r="C64" t="s">
        <v>55</v>
      </c>
      <c r="D64" t="s">
        <v>23</v>
      </c>
      <c r="E64">
        <v>45607</v>
      </c>
      <c r="F64" t="s">
        <v>50</v>
      </c>
      <c r="G64" t="s">
        <v>25</v>
      </c>
      <c r="H64" t="s">
        <v>37</v>
      </c>
      <c r="I64" s="1">
        <v>45809</v>
      </c>
      <c r="J64" s="2">
        <v>175</v>
      </c>
      <c r="K64">
        <v>1</v>
      </c>
      <c r="L64" s="3">
        <v>1</v>
      </c>
      <c r="M64" s="2">
        <v>175</v>
      </c>
      <c r="N64" s="3">
        <v>0</v>
      </c>
      <c r="O64" s="2">
        <v>0</v>
      </c>
      <c r="P64" s="2">
        <v>175</v>
      </c>
      <c r="U64">
        <v>5380012</v>
      </c>
    </row>
    <row r="65" spans="1:22" x14ac:dyDescent="0.25">
      <c r="A65" s="1">
        <v>45777</v>
      </c>
      <c r="B65" s="9" t="s">
        <v>195</v>
      </c>
      <c r="C65" t="s">
        <v>130</v>
      </c>
      <c r="D65" t="s">
        <v>23</v>
      </c>
      <c r="E65">
        <v>45607</v>
      </c>
      <c r="F65" t="s">
        <v>50</v>
      </c>
      <c r="G65" t="s">
        <v>131</v>
      </c>
      <c r="H65" t="s">
        <v>26</v>
      </c>
      <c r="I65" s="1">
        <v>45658</v>
      </c>
      <c r="P65" s="2">
        <v>108</v>
      </c>
      <c r="Q65" s="2">
        <v>0</v>
      </c>
      <c r="T65" s="2">
        <v>72.36</v>
      </c>
    </row>
    <row r="66" spans="1:22" x14ac:dyDescent="0.25">
      <c r="A66" s="1">
        <v>45777</v>
      </c>
      <c r="B66" s="9" t="s">
        <v>180</v>
      </c>
      <c r="C66" t="s">
        <v>39</v>
      </c>
      <c r="D66" t="s">
        <v>23</v>
      </c>
      <c r="E66">
        <v>43629</v>
      </c>
      <c r="F66" t="s">
        <v>40</v>
      </c>
      <c r="G66" t="s">
        <v>25</v>
      </c>
      <c r="H66" t="s">
        <v>37</v>
      </c>
      <c r="I66" s="1">
        <v>45778</v>
      </c>
      <c r="J66" s="2">
        <v>175</v>
      </c>
      <c r="K66">
        <v>1</v>
      </c>
      <c r="L66" s="3">
        <v>1</v>
      </c>
      <c r="M66" s="2">
        <v>175</v>
      </c>
      <c r="N66" s="3">
        <v>0</v>
      </c>
      <c r="O66" s="2">
        <v>0</v>
      </c>
      <c r="P66" s="2">
        <v>175</v>
      </c>
      <c r="U66">
        <v>5379942</v>
      </c>
    </row>
    <row r="67" spans="1:22" x14ac:dyDescent="0.25">
      <c r="A67" s="1">
        <v>45777</v>
      </c>
      <c r="B67" s="9" t="s">
        <v>201</v>
      </c>
      <c r="C67" t="s">
        <v>120</v>
      </c>
      <c r="D67" t="s">
        <v>69</v>
      </c>
      <c r="E67">
        <v>45613</v>
      </c>
      <c r="F67" t="s">
        <v>121</v>
      </c>
      <c r="G67" t="s">
        <v>25</v>
      </c>
      <c r="H67" t="s">
        <v>123</v>
      </c>
      <c r="I67" s="1">
        <v>45778</v>
      </c>
      <c r="J67" s="2">
        <v>175</v>
      </c>
      <c r="K67">
        <v>1</v>
      </c>
      <c r="L67" s="3">
        <v>1</v>
      </c>
      <c r="M67" s="2">
        <v>175</v>
      </c>
      <c r="N67" s="3">
        <v>0</v>
      </c>
      <c r="O67" s="2">
        <v>0</v>
      </c>
      <c r="P67" s="2">
        <v>175</v>
      </c>
      <c r="U67">
        <v>5380142</v>
      </c>
    </row>
    <row r="68" spans="1:22" x14ac:dyDescent="0.25">
      <c r="A68" s="1">
        <v>45777</v>
      </c>
      <c r="B68" s="9">
        <v>911246279</v>
      </c>
      <c r="C68" t="s">
        <v>120</v>
      </c>
      <c r="D68" t="s">
        <v>69</v>
      </c>
      <c r="E68">
        <v>45613</v>
      </c>
      <c r="F68" t="s">
        <v>121</v>
      </c>
      <c r="G68" t="s">
        <v>25</v>
      </c>
      <c r="H68" t="s">
        <v>122</v>
      </c>
      <c r="I68" s="1">
        <v>45778</v>
      </c>
      <c r="J68" s="2">
        <v>208.67</v>
      </c>
      <c r="K68">
        <v>1</v>
      </c>
      <c r="L68" s="3">
        <v>1</v>
      </c>
      <c r="M68" s="2">
        <v>208.67</v>
      </c>
      <c r="N68" s="3">
        <v>0</v>
      </c>
      <c r="O68" s="2">
        <v>0</v>
      </c>
      <c r="P68" s="2">
        <v>208.67</v>
      </c>
      <c r="U68">
        <v>5380141</v>
      </c>
      <c r="V68" t="s">
        <v>67</v>
      </c>
    </row>
    <row r="69" spans="1:22" x14ac:dyDescent="0.25">
      <c r="A69" s="1">
        <v>45777</v>
      </c>
      <c r="B69" s="9" t="s">
        <v>179</v>
      </c>
      <c r="C69" t="s">
        <v>34</v>
      </c>
      <c r="D69" t="s">
        <v>23</v>
      </c>
      <c r="E69">
        <v>45638</v>
      </c>
      <c r="F69" t="s">
        <v>35</v>
      </c>
      <c r="G69" t="s">
        <v>36</v>
      </c>
      <c r="H69" t="s">
        <v>37</v>
      </c>
      <c r="I69" s="1">
        <v>45689</v>
      </c>
      <c r="J69" s="2">
        <v>131.25</v>
      </c>
      <c r="K69">
        <v>1</v>
      </c>
      <c r="L69" s="3">
        <v>1</v>
      </c>
      <c r="M69" s="2">
        <v>131.25</v>
      </c>
      <c r="N69" s="3">
        <v>0</v>
      </c>
      <c r="O69" s="2">
        <v>0</v>
      </c>
      <c r="P69" s="2">
        <v>131.25</v>
      </c>
      <c r="U69">
        <v>0</v>
      </c>
      <c r="V69" t="s">
        <v>38</v>
      </c>
    </row>
    <row r="70" spans="1:22" x14ac:dyDescent="0.25">
      <c r="A70" s="1">
        <v>45777</v>
      </c>
      <c r="B70" s="9" t="s">
        <v>177</v>
      </c>
      <c r="C70" t="s">
        <v>115</v>
      </c>
      <c r="D70" t="s">
        <v>69</v>
      </c>
      <c r="E70">
        <v>43748</v>
      </c>
      <c r="F70" t="s">
        <v>116</v>
      </c>
      <c r="G70" t="s">
        <v>25</v>
      </c>
      <c r="H70" t="s">
        <v>117</v>
      </c>
      <c r="I70" s="1">
        <v>45778</v>
      </c>
      <c r="J70" s="2">
        <v>100</v>
      </c>
      <c r="K70">
        <v>1</v>
      </c>
      <c r="L70" s="3">
        <v>1</v>
      </c>
      <c r="M70" s="2">
        <v>100</v>
      </c>
      <c r="N70" s="3">
        <v>0</v>
      </c>
      <c r="O70" s="2">
        <v>0</v>
      </c>
      <c r="P70" s="2">
        <v>100</v>
      </c>
      <c r="U70">
        <v>5379847</v>
      </c>
    </row>
    <row r="71" spans="1:22" x14ac:dyDescent="0.25">
      <c r="A71" s="1">
        <v>45777</v>
      </c>
      <c r="B71" s="9">
        <v>102156720800</v>
      </c>
      <c r="C71" t="s">
        <v>76</v>
      </c>
      <c r="D71" t="s">
        <v>77</v>
      </c>
      <c r="E71">
        <v>43969</v>
      </c>
      <c r="F71" t="s">
        <v>78</v>
      </c>
      <c r="G71" t="s">
        <v>25</v>
      </c>
      <c r="H71" t="s">
        <v>64</v>
      </c>
      <c r="I71" s="1">
        <v>45809</v>
      </c>
      <c r="J71" s="2">
        <v>50</v>
      </c>
      <c r="K71">
        <v>1</v>
      </c>
      <c r="L71" s="3">
        <v>1</v>
      </c>
      <c r="M71" s="2">
        <v>50</v>
      </c>
      <c r="N71" s="3">
        <v>0</v>
      </c>
      <c r="O71" s="2">
        <v>0</v>
      </c>
      <c r="P71" s="2">
        <v>50</v>
      </c>
      <c r="U71">
        <v>5379702</v>
      </c>
    </row>
    <row r="72" spans="1:22" x14ac:dyDescent="0.25">
      <c r="A72" s="1">
        <v>45777</v>
      </c>
      <c r="B72" s="9">
        <v>102162259700</v>
      </c>
      <c r="C72" t="s">
        <v>101</v>
      </c>
      <c r="D72" t="s">
        <v>77</v>
      </c>
      <c r="E72">
        <v>43969</v>
      </c>
      <c r="F72" t="s">
        <v>78</v>
      </c>
      <c r="G72" t="s">
        <v>25</v>
      </c>
      <c r="H72" t="s">
        <v>64</v>
      </c>
      <c r="I72" s="1">
        <v>45809</v>
      </c>
      <c r="J72" s="2">
        <v>50</v>
      </c>
      <c r="K72">
        <v>1</v>
      </c>
      <c r="L72" s="3">
        <v>1</v>
      </c>
      <c r="M72" s="2">
        <v>50</v>
      </c>
      <c r="N72" s="3">
        <v>0</v>
      </c>
      <c r="O72" s="2">
        <v>0</v>
      </c>
      <c r="P72" s="2">
        <v>50</v>
      </c>
      <c r="U72">
        <v>5379782</v>
      </c>
    </row>
    <row r="73" spans="1:22" x14ac:dyDescent="0.25">
      <c r="A73" s="1">
        <v>45777</v>
      </c>
      <c r="B73" s="9">
        <v>102163213000</v>
      </c>
      <c r="C73" t="s">
        <v>104</v>
      </c>
      <c r="D73" t="s">
        <v>69</v>
      </c>
      <c r="E73">
        <v>43969</v>
      </c>
      <c r="F73" t="s">
        <v>78</v>
      </c>
      <c r="G73" t="s">
        <v>25</v>
      </c>
      <c r="H73" t="s">
        <v>64</v>
      </c>
      <c r="I73" s="1">
        <v>45748</v>
      </c>
      <c r="J73" s="2">
        <v>50</v>
      </c>
      <c r="K73">
        <v>1</v>
      </c>
      <c r="L73" s="3">
        <v>1</v>
      </c>
      <c r="M73" s="2">
        <v>50</v>
      </c>
      <c r="N73" s="3">
        <v>0</v>
      </c>
      <c r="O73" s="2">
        <v>0</v>
      </c>
      <c r="P73" s="2">
        <v>50</v>
      </c>
      <c r="U73">
        <v>5379798</v>
      </c>
    </row>
    <row r="74" spans="1:22" x14ac:dyDescent="0.25">
      <c r="A74" s="1">
        <v>45777</v>
      </c>
      <c r="B74" s="9">
        <v>102165383900</v>
      </c>
      <c r="C74" t="s">
        <v>111</v>
      </c>
      <c r="E74">
        <v>43969</v>
      </c>
      <c r="F74" t="s">
        <v>78</v>
      </c>
      <c r="G74" t="s">
        <v>25</v>
      </c>
      <c r="H74" t="s">
        <v>59</v>
      </c>
      <c r="I74" s="1">
        <v>45778</v>
      </c>
      <c r="J74" s="2">
        <v>33.33</v>
      </c>
      <c r="K74">
        <v>1</v>
      </c>
      <c r="L74" s="3">
        <v>1</v>
      </c>
      <c r="M74" s="2">
        <v>33.33</v>
      </c>
      <c r="N74" s="3">
        <v>0</v>
      </c>
      <c r="O74" s="2">
        <v>0</v>
      </c>
      <c r="P74" s="2">
        <v>33.33</v>
      </c>
      <c r="U74">
        <v>5379667</v>
      </c>
      <c r="V74" t="s">
        <v>67</v>
      </c>
    </row>
    <row r="75" spans="1:22" x14ac:dyDescent="0.25">
      <c r="A75" s="1">
        <v>45777</v>
      </c>
      <c r="B75" s="9" t="s">
        <v>157</v>
      </c>
      <c r="C75" t="s">
        <v>76</v>
      </c>
      <c r="D75" t="s">
        <v>77</v>
      </c>
      <c r="E75">
        <v>43969</v>
      </c>
      <c r="F75" t="s">
        <v>78</v>
      </c>
      <c r="G75" t="s">
        <v>131</v>
      </c>
      <c r="H75" t="s">
        <v>59</v>
      </c>
      <c r="I75" s="1">
        <v>45809</v>
      </c>
      <c r="P75" s="2">
        <v>29.17</v>
      </c>
      <c r="Q75" s="2">
        <v>0</v>
      </c>
      <c r="T75" s="2">
        <v>29.17</v>
      </c>
    </row>
    <row r="76" spans="1:22" x14ac:dyDescent="0.25">
      <c r="A76" s="1">
        <v>45777</v>
      </c>
      <c r="B76" s="9" t="s">
        <v>172</v>
      </c>
      <c r="C76" t="s">
        <v>101</v>
      </c>
      <c r="D76" t="s">
        <v>77</v>
      </c>
      <c r="E76">
        <v>43969</v>
      </c>
      <c r="F76" t="s">
        <v>78</v>
      </c>
      <c r="G76" t="s">
        <v>131</v>
      </c>
      <c r="H76" t="s">
        <v>59</v>
      </c>
      <c r="I76" s="1">
        <v>45809</v>
      </c>
      <c r="P76" s="2">
        <v>29.17</v>
      </c>
      <c r="Q76" s="2">
        <v>0</v>
      </c>
      <c r="T76" s="2">
        <v>29.17</v>
      </c>
    </row>
    <row r="77" spans="1:22" x14ac:dyDescent="0.25">
      <c r="A77" s="1">
        <v>45777</v>
      </c>
      <c r="B77" s="9" t="s">
        <v>175</v>
      </c>
      <c r="C77" t="s">
        <v>104</v>
      </c>
      <c r="D77" t="s">
        <v>69</v>
      </c>
      <c r="E77">
        <v>43969</v>
      </c>
      <c r="F77" t="s">
        <v>78</v>
      </c>
      <c r="G77" t="s">
        <v>131</v>
      </c>
      <c r="H77" t="s">
        <v>59</v>
      </c>
      <c r="I77" s="1">
        <v>45748</v>
      </c>
      <c r="P77" s="2">
        <v>37.5</v>
      </c>
      <c r="Q77" s="2">
        <v>0</v>
      </c>
      <c r="T77" s="2">
        <v>37.5</v>
      </c>
    </row>
    <row r="78" spans="1:22" x14ac:dyDescent="0.25">
      <c r="A78" s="1">
        <v>45777</v>
      </c>
      <c r="B78" s="9" t="s">
        <v>202</v>
      </c>
      <c r="C78" t="s">
        <v>124</v>
      </c>
      <c r="D78" t="s">
        <v>125</v>
      </c>
      <c r="E78">
        <v>43969</v>
      </c>
      <c r="F78" t="s">
        <v>78</v>
      </c>
      <c r="G78" t="s">
        <v>25</v>
      </c>
      <c r="H78" t="s">
        <v>123</v>
      </c>
      <c r="I78" s="1">
        <v>45778</v>
      </c>
      <c r="J78" s="2">
        <v>175</v>
      </c>
      <c r="K78">
        <v>1</v>
      </c>
      <c r="L78" s="3">
        <v>1</v>
      </c>
      <c r="M78" s="2">
        <v>175</v>
      </c>
      <c r="N78" s="3">
        <v>0</v>
      </c>
      <c r="O78" s="2">
        <v>0</v>
      </c>
      <c r="P78" s="2">
        <v>175</v>
      </c>
      <c r="U78">
        <v>5380144</v>
      </c>
    </row>
    <row r="79" spans="1:22" x14ac:dyDescent="0.25">
      <c r="A79" s="1">
        <v>45777</v>
      </c>
      <c r="B79" s="9">
        <v>911536941</v>
      </c>
      <c r="C79" t="s">
        <v>124</v>
      </c>
      <c r="D79" t="s">
        <v>125</v>
      </c>
      <c r="E79">
        <v>43969</v>
      </c>
      <c r="F79" t="s">
        <v>78</v>
      </c>
      <c r="G79" t="s">
        <v>25</v>
      </c>
      <c r="H79" t="s">
        <v>122</v>
      </c>
      <c r="I79" s="1">
        <v>45778</v>
      </c>
      <c r="J79" s="2">
        <v>208.67</v>
      </c>
      <c r="K79">
        <v>1</v>
      </c>
      <c r="L79" s="3">
        <v>1</v>
      </c>
      <c r="M79" s="2">
        <v>208.67</v>
      </c>
      <c r="N79" s="3">
        <v>0</v>
      </c>
      <c r="O79" s="2">
        <v>0</v>
      </c>
      <c r="P79" s="2">
        <v>208.67</v>
      </c>
      <c r="U79">
        <v>5380143</v>
      </c>
      <c r="V79" t="s">
        <v>67</v>
      </c>
    </row>
    <row r="80" spans="1:22" x14ac:dyDescent="0.25">
      <c r="A80" s="1">
        <v>45777</v>
      </c>
      <c r="B80" s="9" t="s">
        <v>197</v>
      </c>
      <c r="C80" t="s">
        <v>27</v>
      </c>
      <c r="D80" t="s">
        <v>23</v>
      </c>
      <c r="E80">
        <v>43690</v>
      </c>
      <c r="F80" t="s">
        <v>28</v>
      </c>
      <c r="G80" t="s">
        <v>25</v>
      </c>
      <c r="H80" t="s">
        <v>29</v>
      </c>
      <c r="I80" s="1">
        <v>45778</v>
      </c>
      <c r="J80" s="2">
        <v>15</v>
      </c>
      <c r="K80">
        <v>1</v>
      </c>
      <c r="L80" s="3">
        <v>1</v>
      </c>
      <c r="M80" s="2">
        <v>15</v>
      </c>
      <c r="N80" s="3">
        <v>0</v>
      </c>
      <c r="O80" s="2">
        <v>0</v>
      </c>
      <c r="P80" s="2">
        <v>15</v>
      </c>
      <c r="U80">
        <v>5379917</v>
      </c>
    </row>
    <row r="81" spans="1:22" x14ac:dyDescent="0.25">
      <c r="A81" s="1">
        <v>45777</v>
      </c>
      <c r="B81" s="9" t="s">
        <v>198</v>
      </c>
      <c r="C81" t="s">
        <v>47</v>
      </c>
      <c r="D81" t="s">
        <v>23</v>
      </c>
      <c r="E81">
        <v>43690</v>
      </c>
      <c r="F81" t="s">
        <v>28</v>
      </c>
      <c r="G81" t="s">
        <v>25</v>
      </c>
      <c r="H81" t="s">
        <v>29</v>
      </c>
      <c r="I81" s="1">
        <v>45778</v>
      </c>
      <c r="J81" s="2">
        <v>15</v>
      </c>
      <c r="K81">
        <v>1</v>
      </c>
      <c r="L81" s="3">
        <v>1</v>
      </c>
      <c r="M81" s="2">
        <v>15</v>
      </c>
      <c r="N81" s="3">
        <v>0</v>
      </c>
      <c r="O81" s="2">
        <v>0</v>
      </c>
      <c r="P81" s="2">
        <v>15</v>
      </c>
      <c r="U81">
        <v>5379988</v>
      </c>
    </row>
    <row r="82" spans="1:22" x14ac:dyDescent="0.25">
      <c r="A82" s="1">
        <v>45777</v>
      </c>
      <c r="B82" s="9">
        <v>102165414000</v>
      </c>
      <c r="C82" t="s">
        <v>112</v>
      </c>
      <c r="E82">
        <v>43638</v>
      </c>
      <c r="F82" t="s">
        <v>113</v>
      </c>
      <c r="G82" t="s">
        <v>25</v>
      </c>
      <c r="H82" t="s">
        <v>59</v>
      </c>
      <c r="I82" s="1">
        <v>45778</v>
      </c>
      <c r="J82" s="2">
        <v>33.33</v>
      </c>
      <c r="K82">
        <v>1</v>
      </c>
      <c r="L82" s="3">
        <v>1</v>
      </c>
      <c r="M82" s="2">
        <v>33.33</v>
      </c>
      <c r="N82" s="3">
        <v>0</v>
      </c>
      <c r="O82" s="2">
        <v>0</v>
      </c>
      <c r="P82" s="2">
        <v>33.33</v>
      </c>
      <c r="U82">
        <v>5379670</v>
      </c>
      <c r="V82" t="s">
        <v>67</v>
      </c>
    </row>
    <row r="83" spans="1:22" x14ac:dyDescent="0.25">
      <c r="A83" s="1">
        <v>45777</v>
      </c>
      <c r="B83" s="9">
        <v>102157613500</v>
      </c>
      <c r="C83" t="s">
        <v>85</v>
      </c>
      <c r="D83" t="s">
        <v>69</v>
      </c>
      <c r="E83">
        <v>43644</v>
      </c>
      <c r="F83" t="s">
        <v>86</v>
      </c>
      <c r="G83" t="s">
        <v>25</v>
      </c>
      <c r="H83" t="s">
        <v>64</v>
      </c>
      <c r="I83" s="1">
        <v>45748</v>
      </c>
      <c r="J83" s="2">
        <v>50</v>
      </c>
      <c r="K83">
        <v>1</v>
      </c>
      <c r="L83" s="3">
        <v>1</v>
      </c>
      <c r="M83" s="2">
        <v>50</v>
      </c>
      <c r="N83" s="3">
        <v>0</v>
      </c>
      <c r="O83" s="2">
        <v>0</v>
      </c>
      <c r="P83" s="2">
        <v>50</v>
      </c>
      <c r="U83">
        <v>5379717</v>
      </c>
    </row>
    <row r="84" spans="1:22" x14ac:dyDescent="0.25">
      <c r="A84" s="1">
        <v>45777</v>
      </c>
      <c r="B84" s="9" t="s">
        <v>162</v>
      </c>
      <c r="C84" t="s">
        <v>85</v>
      </c>
      <c r="D84" t="s">
        <v>69</v>
      </c>
      <c r="E84">
        <v>43644</v>
      </c>
      <c r="F84" t="s">
        <v>86</v>
      </c>
      <c r="G84" t="s">
        <v>131</v>
      </c>
      <c r="H84" t="s">
        <v>59</v>
      </c>
      <c r="I84" s="1">
        <v>45748</v>
      </c>
      <c r="P84" s="2">
        <v>37.5</v>
      </c>
      <c r="Q84" s="2">
        <v>0</v>
      </c>
      <c r="T84" s="2">
        <v>37.5</v>
      </c>
    </row>
    <row r="85" spans="1:22" x14ac:dyDescent="0.25">
      <c r="A85" s="1">
        <v>45777</v>
      </c>
      <c r="B85" s="9">
        <v>102161176900</v>
      </c>
      <c r="C85" t="s">
        <v>95</v>
      </c>
      <c r="D85" t="s">
        <v>62</v>
      </c>
      <c r="E85">
        <v>43611</v>
      </c>
      <c r="F85" t="s">
        <v>96</v>
      </c>
      <c r="G85" t="s">
        <v>25</v>
      </c>
      <c r="H85" t="s">
        <v>64</v>
      </c>
      <c r="I85" s="1">
        <v>45748</v>
      </c>
      <c r="J85" s="2">
        <v>50</v>
      </c>
      <c r="K85">
        <v>1</v>
      </c>
      <c r="L85" s="3">
        <v>1</v>
      </c>
      <c r="M85" s="2">
        <v>50</v>
      </c>
      <c r="N85" s="3">
        <v>0</v>
      </c>
      <c r="O85" s="2">
        <v>0</v>
      </c>
      <c r="P85" s="2">
        <v>50</v>
      </c>
      <c r="U85">
        <v>5379767</v>
      </c>
    </row>
    <row r="86" spans="1:22" x14ac:dyDescent="0.25">
      <c r="A86" s="1">
        <v>45777</v>
      </c>
      <c r="B86" s="9">
        <v>102161201900</v>
      </c>
      <c r="C86" t="s">
        <v>97</v>
      </c>
      <c r="D86" t="s">
        <v>62</v>
      </c>
      <c r="E86">
        <v>43611</v>
      </c>
      <c r="F86" t="s">
        <v>96</v>
      </c>
      <c r="G86" t="s">
        <v>25</v>
      </c>
      <c r="H86" t="s">
        <v>64</v>
      </c>
      <c r="I86" s="1">
        <v>45748</v>
      </c>
      <c r="J86" s="2">
        <v>50</v>
      </c>
      <c r="K86">
        <v>1</v>
      </c>
      <c r="L86" s="3">
        <v>1</v>
      </c>
      <c r="M86" s="2">
        <v>50</v>
      </c>
      <c r="N86" s="3">
        <v>0</v>
      </c>
      <c r="O86" s="2">
        <v>0</v>
      </c>
      <c r="P86" s="2">
        <v>50</v>
      </c>
      <c r="U86">
        <v>5379768</v>
      </c>
    </row>
    <row r="87" spans="1:22" x14ac:dyDescent="0.25">
      <c r="A87" s="1">
        <v>45777</v>
      </c>
      <c r="B87" s="9">
        <v>102165563500</v>
      </c>
      <c r="C87" t="s">
        <v>114</v>
      </c>
      <c r="E87">
        <v>43611</v>
      </c>
      <c r="F87" t="s">
        <v>96</v>
      </c>
      <c r="G87" t="s">
        <v>25</v>
      </c>
      <c r="H87" t="s">
        <v>59</v>
      </c>
      <c r="I87" s="1">
        <v>45778</v>
      </c>
      <c r="J87" s="2">
        <v>33.33</v>
      </c>
      <c r="K87">
        <v>1</v>
      </c>
      <c r="L87" s="3">
        <v>1</v>
      </c>
      <c r="M87" s="2">
        <v>33.33</v>
      </c>
      <c r="N87" s="3">
        <v>0</v>
      </c>
      <c r="O87" s="2">
        <v>0</v>
      </c>
      <c r="P87" s="2">
        <v>33.33</v>
      </c>
      <c r="U87">
        <v>5379672</v>
      </c>
      <c r="V87" t="s">
        <v>67</v>
      </c>
    </row>
    <row r="88" spans="1:22" x14ac:dyDescent="0.25">
      <c r="A88" s="1">
        <v>45777</v>
      </c>
      <c r="B88" s="9" t="s">
        <v>168</v>
      </c>
      <c r="C88" t="s">
        <v>95</v>
      </c>
      <c r="D88" t="s">
        <v>62</v>
      </c>
      <c r="E88">
        <v>43611</v>
      </c>
      <c r="F88" t="s">
        <v>96</v>
      </c>
      <c r="G88" t="s">
        <v>131</v>
      </c>
      <c r="H88" t="s">
        <v>59</v>
      </c>
      <c r="I88" s="1">
        <v>45748</v>
      </c>
      <c r="P88" s="2">
        <v>37.5</v>
      </c>
      <c r="Q88" s="2">
        <v>0</v>
      </c>
      <c r="T88" s="2">
        <v>37.5</v>
      </c>
    </row>
    <row r="89" spans="1:22" x14ac:dyDescent="0.25">
      <c r="A89" s="1">
        <v>45777</v>
      </c>
      <c r="B89" s="9" t="s">
        <v>169</v>
      </c>
      <c r="C89" t="s">
        <v>97</v>
      </c>
      <c r="D89" t="s">
        <v>62</v>
      </c>
      <c r="E89">
        <v>43611</v>
      </c>
      <c r="F89" t="s">
        <v>96</v>
      </c>
      <c r="G89" t="s">
        <v>131</v>
      </c>
      <c r="H89" t="s">
        <v>59</v>
      </c>
      <c r="I89" s="1">
        <v>45748</v>
      </c>
      <c r="P89" s="2">
        <v>37.5</v>
      </c>
      <c r="Q89" s="2">
        <v>0</v>
      </c>
      <c r="T89" s="2">
        <v>37.5</v>
      </c>
    </row>
  </sheetData>
  <sortState xmlns:xlrd2="http://schemas.microsoft.com/office/spreadsheetml/2017/richdata2" ref="A2:V89">
    <sortCondition ref="H2:H8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AEE-11F7-4FE5-B8AC-D59343396324}">
  <dimension ref="A1:N89"/>
  <sheetViews>
    <sheetView tabSelected="1" topLeftCell="A61" workbookViewId="0">
      <selection activeCell="B89" sqref="B89"/>
    </sheetView>
  </sheetViews>
  <sheetFormatPr defaultRowHeight="15" x14ac:dyDescent="0.25"/>
  <cols>
    <col min="1" max="1" width="19.140625" style="7" bestFit="1" customWidth="1"/>
    <col min="2" max="2" width="19.140625" customWidth="1"/>
    <col min="3" max="3" width="26.5703125" bestFit="1" customWidth="1"/>
    <col min="4" max="4" width="5.28515625" bestFit="1" customWidth="1"/>
    <col min="5" max="5" width="11.85546875" customWidth="1"/>
    <col min="6" max="6" width="23.140625" bestFit="1" customWidth="1"/>
    <col min="7" max="7" width="45.85546875" bestFit="1" customWidth="1"/>
    <col min="8" max="8" width="10.140625" bestFit="1" customWidth="1"/>
    <col min="9" max="9" width="16.140625" bestFit="1" customWidth="1"/>
    <col min="10" max="10" width="16.7109375" bestFit="1" customWidth="1"/>
    <col min="11" max="11" width="18" bestFit="1" customWidth="1"/>
    <col min="12" max="12" width="39.28515625" bestFit="1" customWidth="1"/>
    <col min="13" max="13" width="33.42578125" bestFit="1" customWidth="1"/>
  </cols>
  <sheetData>
    <row r="1" spans="1:13" x14ac:dyDescent="0.25">
      <c r="A1" s="7" t="s">
        <v>1</v>
      </c>
      <c r="C1" t="s">
        <v>2</v>
      </c>
      <c r="D1" t="s">
        <v>3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21</v>
      </c>
    </row>
    <row r="2" spans="1:13" x14ac:dyDescent="0.25">
      <c r="A2" s="7">
        <v>101463901900</v>
      </c>
      <c r="B2" t="str">
        <f>CONCATENATE(A2,0)</f>
        <v>1014639019000</v>
      </c>
      <c r="C2" t="s">
        <v>61</v>
      </c>
      <c r="D2" t="s">
        <v>62</v>
      </c>
      <c r="E2">
        <v>20411454</v>
      </c>
      <c r="F2" t="s">
        <v>204</v>
      </c>
      <c r="G2" t="s">
        <v>64</v>
      </c>
      <c r="H2" s="1">
        <v>45748</v>
      </c>
      <c r="I2" s="2">
        <v>50</v>
      </c>
      <c r="J2">
        <v>1</v>
      </c>
      <c r="K2" s="2">
        <v>50</v>
      </c>
      <c r="M2" t="s">
        <v>141</v>
      </c>
    </row>
    <row r="3" spans="1:13" x14ac:dyDescent="0.25">
      <c r="A3" s="7">
        <v>101877929000</v>
      </c>
      <c r="B3" t="str">
        <f t="shared" ref="B3:B66" si="0">CONCATENATE(A3,0)</f>
        <v>1018779290000</v>
      </c>
      <c r="C3" t="s">
        <v>68</v>
      </c>
      <c r="D3" t="s">
        <v>69</v>
      </c>
      <c r="E3">
        <v>20411454</v>
      </c>
      <c r="F3" t="s">
        <v>204</v>
      </c>
      <c r="G3" t="s">
        <v>64</v>
      </c>
      <c r="H3" s="1">
        <v>45748</v>
      </c>
      <c r="I3" s="2">
        <v>50</v>
      </c>
      <c r="J3">
        <v>1</v>
      </c>
      <c r="K3" s="2">
        <v>50</v>
      </c>
      <c r="M3" t="s">
        <v>141</v>
      </c>
    </row>
    <row r="4" spans="1:13" x14ac:dyDescent="0.25">
      <c r="A4" s="7">
        <v>102038220200</v>
      </c>
      <c r="B4" t="str">
        <f t="shared" si="0"/>
        <v>1020382202000</v>
      </c>
      <c r="C4" t="s">
        <v>71</v>
      </c>
      <c r="D4" t="s">
        <v>69</v>
      </c>
      <c r="E4">
        <v>20411454</v>
      </c>
      <c r="F4" t="s">
        <v>204</v>
      </c>
      <c r="G4" t="s">
        <v>64</v>
      </c>
      <c r="H4" s="1">
        <v>45748</v>
      </c>
      <c r="I4" s="2">
        <v>50</v>
      </c>
      <c r="J4">
        <v>1</v>
      </c>
      <c r="K4" s="2">
        <v>50</v>
      </c>
      <c r="M4" t="s">
        <v>141</v>
      </c>
    </row>
    <row r="5" spans="1:13" x14ac:dyDescent="0.25">
      <c r="A5" s="7">
        <v>102155527500</v>
      </c>
      <c r="B5" t="str">
        <f t="shared" si="0"/>
        <v>1021555275000</v>
      </c>
      <c r="C5" t="s">
        <v>72</v>
      </c>
      <c r="D5" t="s">
        <v>69</v>
      </c>
      <c r="E5">
        <v>20411454</v>
      </c>
      <c r="F5" t="s">
        <v>204</v>
      </c>
      <c r="G5" t="s">
        <v>64</v>
      </c>
      <c r="H5" s="1">
        <v>45717</v>
      </c>
      <c r="I5" s="2">
        <v>50</v>
      </c>
      <c r="J5">
        <v>1</v>
      </c>
      <c r="K5" s="2">
        <v>50</v>
      </c>
      <c r="M5" t="s">
        <v>141</v>
      </c>
    </row>
    <row r="6" spans="1:13" x14ac:dyDescent="0.25">
      <c r="A6" s="7">
        <v>102155610900</v>
      </c>
      <c r="B6" t="str">
        <f t="shared" si="0"/>
        <v>1021556109000</v>
      </c>
      <c r="C6" t="s">
        <v>73</v>
      </c>
      <c r="D6" t="s">
        <v>74</v>
      </c>
      <c r="E6">
        <v>20411454</v>
      </c>
      <c r="F6" t="s">
        <v>204</v>
      </c>
      <c r="G6" t="s">
        <v>64</v>
      </c>
      <c r="H6" s="1">
        <v>45717</v>
      </c>
      <c r="I6" s="2">
        <v>50</v>
      </c>
      <c r="J6">
        <v>1</v>
      </c>
      <c r="K6" s="2">
        <v>50</v>
      </c>
      <c r="M6" t="s">
        <v>141</v>
      </c>
    </row>
    <row r="7" spans="1:13" x14ac:dyDescent="0.25">
      <c r="A7" s="7">
        <v>102156720800</v>
      </c>
      <c r="B7" t="str">
        <f t="shared" si="0"/>
        <v>1021567208000</v>
      </c>
      <c r="C7" t="s">
        <v>76</v>
      </c>
      <c r="D7" t="s">
        <v>77</v>
      </c>
      <c r="E7">
        <v>20411454</v>
      </c>
      <c r="F7" t="s">
        <v>204</v>
      </c>
      <c r="G7" t="s">
        <v>64</v>
      </c>
      <c r="H7" s="1">
        <v>45809</v>
      </c>
      <c r="I7" s="2">
        <v>50</v>
      </c>
      <c r="J7">
        <v>1</v>
      </c>
      <c r="K7" s="2">
        <v>50</v>
      </c>
      <c r="M7" t="s">
        <v>141</v>
      </c>
    </row>
    <row r="8" spans="1:13" x14ac:dyDescent="0.25">
      <c r="A8" s="7">
        <v>102157190800</v>
      </c>
      <c r="B8" t="str">
        <f t="shared" si="0"/>
        <v>1021571908000</v>
      </c>
      <c r="C8" t="s">
        <v>79</v>
      </c>
      <c r="D8" t="s">
        <v>62</v>
      </c>
      <c r="E8">
        <v>20411454</v>
      </c>
      <c r="F8" t="s">
        <v>204</v>
      </c>
      <c r="G8" t="s">
        <v>64</v>
      </c>
      <c r="H8" s="1">
        <v>45748</v>
      </c>
      <c r="I8" s="2">
        <v>50</v>
      </c>
      <c r="J8">
        <v>1</v>
      </c>
      <c r="K8" s="2">
        <v>50</v>
      </c>
      <c r="M8" t="s">
        <v>141</v>
      </c>
    </row>
    <row r="9" spans="1:13" x14ac:dyDescent="0.25">
      <c r="A9" s="7">
        <v>102157214200</v>
      </c>
      <c r="B9" t="str">
        <f t="shared" si="0"/>
        <v>1021572142000</v>
      </c>
      <c r="C9" t="s">
        <v>81</v>
      </c>
      <c r="D9" t="s">
        <v>69</v>
      </c>
      <c r="E9">
        <v>20411454</v>
      </c>
      <c r="F9" t="s">
        <v>204</v>
      </c>
      <c r="G9" t="s">
        <v>64</v>
      </c>
      <c r="H9" s="1">
        <v>45748</v>
      </c>
      <c r="I9" s="2">
        <v>50</v>
      </c>
      <c r="J9">
        <v>1</v>
      </c>
      <c r="K9" s="2">
        <v>50</v>
      </c>
      <c r="M9" t="s">
        <v>141</v>
      </c>
    </row>
    <row r="10" spans="1:13" x14ac:dyDescent="0.25">
      <c r="A10" s="7">
        <v>102157543300</v>
      </c>
      <c r="B10" t="str">
        <f t="shared" si="0"/>
        <v>1021575433000</v>
      </c>
      <c r="C10" t="s">
        <v>83</v>
      </c>
      <c r="D10" t="s">
        <v>69</v>
      </c>
      <c r="E10">
        <v>20411454</v>
      </c>
      <c r="F10" t="s">
        <v>204</v>
      </c>
      <c r="G10" t="s">
        <v>64</v>
      </c>
      <c r="H10" s="1">
        <v>45748</v>
      </c>
      <c r="I10" s="2">
        <v>50</v>
      </c>
      <c r="J10">
        <v>1</v>
      </c>
      <c r="K10" s="2">
        <v>50</v>
      </c>
      <c r="M10" t="s">
        <v>141</v>
      </c>
    </row>
    <row r="11" spans="1:13" x14ac:dyDescent="0.25">
      <c r="A11" s="7">
        <v>102157554700</v>
      </c>
      <c r="B11" t="str">
        <f t="shared" si="0"/>
        <v>1021575547000</v>
      </c>
      <c r="C11" t="s">
        <v>84</v>
      </c>
      <c r="D11" t="s">
        <v>69</v>
      </c>
      <c r="E11">
        <v>20411454</v>
      </c>
      <c r="F11" t="s">
        <v>204</v>
      </c>
      <c r="G11" t="s">
        <v>64</v>
      </c>
      <c r="H11" s="1">
        <v>45748</v>
      </c>
      <c r="I11" s="2">
        <v>50</v>
      </c>
      <c r="J11">
        <v>1</v>
      </c>
      <c r="K11" s="2">
        <v>50</v>
      </c>
      <c r="M11" t="s">
        <v>141</v>
      </c>
    </row>
    <row r="12" spans="1:13" x14ac:dyDescent="0.25">
      <c r="A12" s="7">
        <v>102157613500</v>
      </c>
      <c r="B12" t="str">
        <f t="shared" si="0"/>
        <v>1021576135000</v>
      </c>
      <c r="C12" t="s">
        <v>85</v>
      </c>
      <c r="D12" t="s">
        <v>69</v>
      </c>
      <c r="E12">
        <v>20411454</v>
      </c>
      <c r="F12" t="s">
        <v>204</v>
      </c>
      <c r="G12" t="s">
        <v>64</v>
      </c>
      <c r="H12" s="1">
        <v>45748</v>
      </c>
      <c r="I12" s="2">
        <v>50</v>
      </c>
      <c r="J12">
        <v>1</v>
      </c>
      <c r="K12" s="2">
        <v>50</v>
      </c>
      <c r="M12" t="s">
        <v>141</v>
      </c>
    </row>
    <row r="13" spans="1:13" x14ac:dyDescent="0.25">
      <c r="A13" s="7">
        <v>102160093600</v>
      </c>
      <c r="B13" t="str">
        <f t="shared" si="0"/>
        <v>1021600936000</v>
      </c>
      <c r="C13" t="s">
        <v>87</v>
      </c>
      <c r="D13" t="s">
        <v>69</v>
      </c>
      <c r="E13">
        <v>20411454</v>
      </c>
      <c r="F13" t="s">
        <v>204</v>
      </c>
      <c r="G13" t="s">
        <v>64</v>
      </c>
      <c r="H13" s="1">
        <v>45748</v>
      </c>
      <c r="I13" s="2">
        <v>50</v>
      </c>
      <c r="J13">
        <v>1</v>
      </c>
      <c r="K13" s="2">
        <v>50</v>
      </c>
      <c r="M13" t="s">
        <v>141</v>
      </c>
    </row>
    <row r="14" spans="1:13" x14ac:dyDescent="0.25">
      <c r="A14" s="7">
        <v>102160124800</v>
      </c>
      <c r="B14" t="str">
        <f t="shared" si="0"/>
        <v>1021601248000</v>
      </c>
      <c r="C14" t="s">
        <v>88</v>
      </c>
      <c r="D14" t="s">
        <v>89</v>
      </c>
      <c r="E14">
        <v>20411454</v>
      </c>
      <c r="F14" t="s">
        <v>204</v>
      </c>
      <c r="G14" t="s">
        <v>64</v>
      </c>
      <c r="H14" s="1">
        <v>45778</v>
      </c>
      <c r="I14" s="2">
        <v>50</v>
      </c>
      <c r="J14">
        <v>1</v>
      </c>
      <c r="K14" s="2">
        <v>50</v>
      </c>
      <c r="M14" t="s">
        <v>141</v>
      </c>
    </row>
    <row r="15" spans="1:13" x14ac:dyDescent="0.25">
      <c r="A15" s="7">
        <v>102160410700</v>
      </c>
      <c r="B15" t="str">
        <f t="shared" si="0"/>
        <v>1021604107000</v>
      </c>
      <c r="C15" t="s">
        <v>90</v>
      </c>
      <c r="D15" t="s">
        <v>69</v>
      </c>
      <c r="E15">
        <v>20411454</v>
      </c>
      <c r="F15" t="s">
        <v>204</v>
      </c>
      <c r="G15" t="s">
        <v>64</v>
      </c>
      <c r="H15" s="1">
        <v>45748</v>
      </c>
      <c r="I15" s="2">
        <v>50</v>
      </c>
      <c r="J15">
        <v>1</v>
      </c>
      <c r="K15" s="2">
        <v>50</v>
      </c>
      <c r="M15" t="s">
        <v>141</v>
      </c>
    </row>
    <row r="16" spans="1:13" x14ac:dyDescent="0.25">
      <c r="A16" s="7">
        <v>102160449600</v>
      </c>
      <c r="B16" t="str">
        <f t="shared" si="0"/>
        <v>1021604496000</v>
      </c>
      <c r="C16" t="s">
        <v>92</v>
      </c>
      <c r="D16" t="s">
        <v>69</v>
      </c>
      <c r="E16">
        <v>20411454</v>
      </c>
      <c r="F16" t="s">
        <v>204</v>
      </c>
      <c r="G16" t="s">
        <v>64</v>
      </c>
      <c r="H16" s="1">
        <v>45748</v>
      </c>
      <c r="I16" s="2">
        <v>50</v>
      </c>
      <c r="J16">
        <v>1</v>
      </c>
      <c r="K16" s="2">
        <v>50</v>
      </c>
      <c r="M16" t="s">
        <v>141</v>
      </c>
    </row>
    <row r="17" spans="1:13" x14ac:dyDescent="0.25">
      <c r="A17" s="7">
        <v>102160975500</v>
      </c>
      <c r="B17" t="str">
        <f t="shared" si="0"/>
        <v>1021609755000</v>
      </c>
      <c r="C17" t="s">
        <v>93</v>
      </c>
      <c r="D17" t="s">
        <v>69</v>
      </c>
      <c r="E17">
        <v>20411454</v>
      </c>
      <c r="F17" t="s">
        <v>204</v>
      </c>
      <c r="G17" t="s">
        <v>64</v>
      </c>
      <c r="H17" s="1">
        <v>45748</v>
      </c>
      <c r="I17" s="2">
        <v>50</v>
      </c>
      <c r="J17">
        <v>1</v>
      </c>
      <c r="K17" s="2">
        <v>50</v>
      </c>
      <c r="M17" t="s">
        <v>141</v>
      </c>
    </row>
    <row r="18" spans="1:13" x14ac:dyDescent="0.25">
      <c r="A18" s="7">
        <v>102161176900</v>
      </c>
      <c r="B18" t="str">
        <f t="shared" si="0"/>
        <v>1021611769000</v>
      </c>
      <c r="C18" t="s">
        <v>95</v>
      </c>
      <c r="D18" t="s">
        <v>62</v>
      </c>
      <c r="E18">
        <v>20411454</v>
      </c>
      <c r="F18" t="s">
        <v>204</v>
      </c>
      <c r="G18" t="s">
        <v>64</v>
      </c>
      <c r="H18" s="1">
        <v>45748</v>
      </c>
      <c r="I18" s="2">
        <v>50</v>
      </c>
      <c r="J18">
        <v>1</v>
      </c>
      <c r="K18" s="2">
        <v>50</v>
      </c>
      <c r="M18" t="s">
        <v>141</v>
      </c>
    </row>
    <row r="19" spans="1:13" x14ac:dyDescent="0.25">
      <c r="A19" s="7">
        <v>102161201900</v>
      </c>
      <c r="B19" t="str">
        <f t="shared" si="0"/>
        <v>1021612019000</v>
      </c>
      <c r="C19" t="s">
        <v>97</v>
      </c>
      <c r="D19" t="s">
        <v>62</v>
      </c>
      <c r="E19">
        <v>20411454</v>
      </c>
      <c r="F19" t="s">
        <v>204</v>
      </c>
      <c r="G19" t="s">
        <v>64</v>
      </c>
      <c r="H19" s="1">
        <v>45748</v>
      </c>
      <c r="I19" s="2">
        <v>50</v>
      </c>
      <c r="J19">
        <v>1</v>
      </c>
      <c r="K19" s="2">
        <v>50</v>
      </c>
      <c r="M19" t="s">
        <v>141</v>
      </c>
    </row>
    <row r="20" spans="1:13" x14ac:dyDescent="0.25">
      <c r="A20" s="7">
        <v>102161969300</v>
      </c>
      <c r="B20" t="str">
        <f t="shared" si="0"/>
        <v>1021619693000</v>
      </c>
      <c r="C20" t="s">
        <v>98</v>
      </c>
      <c r="D20" t="s">
        <v>62</v>
      </c>
      <c r="E20">
        <v>20411454</v>
      </c>
      <c r="F20" t="s">
        <v>204</v>
      </c>
      <c r="G20" t="s">
        <v>64</v>
      </c>
      <c r="H20" s="1">
        <v>45809</v>
      </c>
      <c r="I20" s="2">
        <v>50</v>
      </c>
      <c r="J20">
        <v>1</v>
      </c>
      <c r="K20" s="2">
        <v>50</v>
      </c>
      <c r="M20" t="s">
        <v>141</v>
      </c>
    </row>
    <row r="21" spans="1:13" x14ac:dyDescent="0.25">
      <c r="A21" s="7">
        <v>102162023700</v>
      </c>
      <c r="B21" t="str">
        <f t="shared" si="0"/>
        <v>1021620237000</v>
      </c>
      <c r="C21" t="s">
        <v>99</v>
      </c>
      <c r="D21" t="s">
        <v>62</v>
      </c>
      <c r="E21">
        <v>20411454</v>
      </c>
      <c r="F21" t="s">
        <v>204</v>
      </c>
      <c r="G21" t="s">
        <v>64</v>
      </c>
      <c r="H21" s="1">
        <v>45809</v>
      </c>
      <c r="I21" s="2">
        <v>50</v>
      </c>
      <c r="J21">
        <v>1</v>
      </c>
      <c r="K21" s="2">
        <v>50</v>
      </c>
      <c r="M21" t="s">
        <v>141</v>
      </c>
    </row>
    <row r="22" spans="1:13" x14ac:dyDescent="0.25">
      <c r="A22" s="7">
        <v>102162259700</v>
      </c>
      <c r="B22" t="str">
        <f t="shared" si="0"/>
        <v>1021622597000</v>
      </c>
      <c r="C22" t="s">
        <v>101</v>
      </c>
      <c r="D22" t="s">
        <v>77</v>
      </c>
      <c r="E22">
        <v>20411454</v>
      </c>
      <c r="F22" t="s">
        <v>204</v>
      </c>
      <c r="G22" t="s">
        <v>64</v>
      </c>
      <c r="H22" s="1">
        <v>45809</v>
      </c>
      <c r="I22" s="2">
        <v>50</v>
      </c>
      <c r="J22">
        <v>1</v>
      </c>
      <c r="K22" s="2">
        <v>50</v>
      </c>
      <c r="M22" t="s">
        <v>141</v>
      </c>
    </row>
    <row r="23" spans="1:13" x14ac:dyDescent="0.25">
      <c r="A23" s="7">
        <v>102162335400</v>
      </c>
      <c r="B23" t="str">
        <f t="shared" si="0"/>
        <v>1021623354000</v>
      </c>
      <c r="C23" t="s">
        <v>102</v>
      </c>
      <c r="D23" t="s">
        <v>62</v>
      </c>
      <c r="E23">
        <v>20411454</v>
      </c>
      <c r="F23" t="s">
        <v>204</v>
      </c>
      <c r="G23" t="s">
        <v>64</v>
      </c>
      <c r="H23" s="1">
        <v>45778</v>
      </c>
      <c r="I23" s="2">
        <v>50</v>
      </c>
      <c r="J23">
        <v>1</v>
      </c>
      <c r="K23" s="2">
        <v>50</v>
      </c>
      <c r="M23" t="s">
        <v>141</v>
      </c>
    </row>
    <row r="24" spans="1:13" x14ac:dyDescent="0.25">
      <c r="A24" s="7">
        <v>102162344100</v>
      </c>
      <c r="B24" t="str">
        <f t="shared" si="0"/>
        <v>1021623441000</v>
      </c>
      <c r="C24" t="s">
        <v>103</v>
      </c>
      <c r="D24" t="s">
        <v>69</v>
      </c>
      <c r="E24">
        <v>20411454</v>
      </c>
      <c r="F24" t="s">
        <v>204</v>
      </c>
      <c r="G24" t="s">
        <v>64</v>
      </c>
      <c r="H24" s="1">
        <v>45748</v>
      </c>
      <c r="I24" s="2">
        <v>50</v>
      </c>
      <c r="J24">
        <v>1</v>
      </c>
      <c r="K24" s="2">
        <v>50</v>
      </c>
      <c r="M24" t="s">
        <v>141</v>
      </c>
    </row>
    <row r="25" spans="1:13" x14ac:dyDescent="0.25">
      <c r="A25" s="7">
        <v>102163213000</v>
      </c>
      <c r="B25" t="str">
        <f t="shared" si="0"/>
        <v>1021632130000</v>
      </c>
      <c r="C25" t="s">
        <v>104</v>
      </c>
      <c r="D25" t="s">
        <v>69</v>
      </c>
      <c r="E25">
        <v>20411454</v>
      </c>
      <c r="F25" t="s">
        <v>204</v>
      </c>
      <c r="G25" t="s">
        <v>64</v>
      </c>
      <c r="H25" s="1">
        <v>45748</v>
      </c>
      <c r="I25" s="2">
        <v>50</v>
      </c>
      <c r="J25">
        <v>1</v>
      </c>
      <c r="K25" s="2">
        <v>50</v>
      </c>
      <c r="M25" t="s">
        <v>141</v>
      </c>
    </row>
    <row r="26" spans="1:13" x14ac:dyDescent="0.25">
      <c r="A26" s="7" t="s">
        <v>151</v>
      </c>
      <c r="B26" t="str">
        <f t="shared" si="0"/>
        <v>102075803400PC0</v>
      </c>
      <c r="C26" t="s">
        <v>138</v>
      </c>
      <c r="D26" t="s">
        <v>69</v>
      </c>
      <c r="E26">
        <v>20411454</v>
      </c>
      <c r="F26" t="s">
        <v>204</v>
      </c>
      <c r="G26" t="s">
        <v>64</v>
      </c>
      <c r="H26" s="1">
        <v>45658</v>
      </c>
      <c r="K26">
        <v>-33.340000000000003</v>
      </c>
      <c r="M26" t="s">
        <v>141</v>
      </c>
    </row>
    <row r="27" spans="1:13" x14ac:dyDescent="0.25">
      <c r="A27" s="7">
        <v>101382709900</v>
      </c>
      <c r="B27" t="str">
        <f t="shared" si="0"/>
        <v>1013827099000</v>
      </c>
      <c r="C27" t="s">
        <v>57</v>
      </c>
      <c r="E27">
        <v>20411454</v>
      </c>
      <c r="F27" t="s">
        <v>204</v>
      </c>
      <c r="G27" t="s">
        <v>59</v>
      </c>
      <c r="H27" s="1">
        <v>45748</v>
      </c>
      <c r="I27" s="2">
        <v>37.5</v>
      </c>
      <c r="J27">
        <v>1</v>
      </c>
      <c r="K27" s="2">
        <v>37.5</v>
      </c>
      <c r="L27" t="s">
        <v>60</v>
      </c>
      <c r="M27" t="s">
        <v>141</v>
      </c>
    </row>
    <row r="28" spans="1:13" x14ac:dyDescent="0.25">
      <c r="A28" s="7">
        <v>101645939000</v>
      </c>
      <c r="B28" t="str">
        <f t="shared" si="0"/>
        <v>1016459390000</v>
      </c>
      <c r="C28" t="s">
        <v>65</v>
      </c>
      <c r="E28">
        <v>20411454</v>
      </c>
      <c r="F28" t="s">
        <v>204</v>
      </c>
      <c r="G28" t="s">
        <v>59</v>
      </c>
      <c r="H28" s="1">
        <v>45778</v>
      </c>
      <c r="I28" s="2">
        <v>33.33</v>
      </c>
      <c r="J28">
        <v>1</v>
      </c>
      <c r="K28" s="2">
        <v>33.33</v>
      </c>
      <c r="L28" t="s">
        <v>67</v>
      </c>
      <c r="M28" t="s">
        <v>141</v>
      </c>
    </row>
    <row r="29" spans="1:13" x14ac:dyDescent="0.25">
      <c r="A29" s="7">
        <v>102164369100</v>
      </c>
      <c r="B29" t="str">
        <f t="shared" si="0"/>
        <v>1021643691000</v>
      </c>
      <c r="C29" t="s">
        <v>105</v>
      </c>
      <c r="E29">
        <v>20411454</v>
      </c>
      <c r="F29" t="s">
        <v>204</v>
      </c>
      <c r="G29" t="s">
        <v>59</v>
      </c>
      <c r="H29" s="1">
        <v>45778</v>
      </c>
      <c r="I29" s="2">
        <v>33.33</v>
      </c>
      <c r="J29">
        <v>1</v>
      </c>
      <c r="K29" s="2">
        <v>33.33</v>
      </c>
      <c r="L29" t="s">
        <v>67</v>
      </c>
      <c r="M29" t="s">
        <v>141</v>
      </c>
    </row>
    <row r="30" spans="1:13" x14ac:dyDescent="0.25">
      <c r="A30" s="7">
        <v>102164482000</v>
      </c>
      <c r="B30" t="str">
        <f t="shared" si="0"/>
        <v>1021644820000</v>
      </c>
      <c r="C30" t="s">
        <v>106</v>
      </c>
      <c r="E30">
        <v>20411454</v>
      </c>
      <c r="F30" t="s">
        <v>204</v>
      </c>
      <c r="G30" t="s">
        <v>59</v>
      </c>
      <c r="H30" s="1">
        <v>45809</v>
      </c>
      <c r="I30" s="2">
        <v>29.17</v>
      </c>
      <c r="J30">
        <v>1</v>
      </c>
      <c r="K30" s="2">
        <v>29.17</v>
      </c>
      <c r="L30" t="s">
        <v>107</v>
      </c>
      <c r="M30" t="s">
        <v>141</v>
      </c>
    </row>
    <row r="31" spans="1:13" x14ac:dyDescent="0.25">
      <c r="A31" s="7">
        <v>102165144500</v>
      </c>
      <c r="B31" t="str">
        <f t="shared" si="0"/>
        <v>1021651445000</v>
      </c>
      <c r="C31" t="s">
        <v>108</v>
      </c>
      <c r="E31">
        <v>20411454</v>
      </c>
      <c r="F31" t="s">
        <v>204</v>
      </c>
      <c r="G31" t="s">
        <v>59</v>
      </c>
      <c r="H31" s="1">
        <v>45778</v>
      </c>
      <c r="I31" s="2">
        <v>33.33</v>
      </c>
      <c r="J31">
        <v>1</v>
      </c>
      <c r="K31" s="2">
        <v>33.33</v>
      </c>
      <c r="L31" t="s">
        <v>67</v>
      </c>
      <c r="M31" t="s">
        <v>141</v>
      </c>
    </row>
    <row r="32" spans="1:13" x14ac:dyDescent="0.25">
      <c r="A32" s="7">
        <v>102165156900</v>
      </c>
      <c r="B32" t="str">
        <f t="shared" si="0"/>
        <v>1021651569000</v>
      </c>
      <c r="C32" t="s">
        <v>109</v>
      </c>
      <c r="E32">
        <v>20411454</v>
      </c>
      <c r="F32" t="s">
        <v>204</v>
      </c>
      <c r="G32" t="s">
        <v>59</v>
      </c>
      <c r="H32" s="1">
        <v>45809</v>
      </c>
      <c r="I32" s="2">
        <v>29.17</v>
      </c>
      <c r="J32">
        <v>1</v>
      </c>
      <c r="K32" s="2">
        <v>29.17</v>
      </c>
      <c r="L32" t="s">
        <v>107</v>
      </c>
      <c r="M32" t="s">
        <v>141</v>
      </c>
    </row>
    <row r="33" spans="1:13" x14ac:dyDescent="0.25">
      <c r="A33" s="7">
        <v>102165383900</v>
      </c>
      <c r="B33" t="str">
        <f t="shared" si="0"/>
        <v>1021653839000</v>
      </c>
      <c r="C33" t="s">
        <v>111</v>
      </c>
      <c r="E33">
        <v>20411454</v>
      </c>
      <c r="F33" t="s">
        <v>204</v>
      </c>
      <c r="G33" t="s">
        <v>59</v>
      </c>
      <c r="H33" s="1">
        <v>45778</v>
      </c>
      <c r="I33" s="2">
        <v>33.33</v>
      </c>
      <c r="J33">
        <v>1</v>
      </c>
      <c r="K33" s="2">
        <v>33.33</v>
      </c>
      <c r="L33" t="s">
        <v>67</v>
      </c>
      <c r="M33" t="s">
        <v>141</v>
      </c>
    </row>
    <row r="34" spans="1:13" x14ac:dyDescent="0.25">
      <c r="A34" s="7">
        <v>102165414000</v>
      </c>
      <c r="B34" t="str">
        <f t="shared" si="0"/>
        <v>1021654140000</v>
      </c>
      <c r="C34" t="s">
        <v>112</v>
      </c>
      <c r="E34">
        <v>20411454</v>
      </c>
      <c r="F34" t="s">
        <v>204</v>
      </c>
      <c r="G34" t="s">
        <v>59</v>
      </c>
      <c r="H34" s="1">
        <v>45778</v>
      </c>
      <c r="I34" s="2">
        <v>33.33</v>
      </c>
      <c r="J34">
        <v>1</v>
      </c>
      <c r="K34" s="2">
        <v>33.33</v>
      </c>
      <c r="L34" t="s">
        <v>67</v>
      </c>
      <c r="M34" t="s">
        <v>141</v>
      </c>
    </row>
    <row r="35" spans="1:13" x14ac:dyDescent="0.25">
      <c r="A35" s="7">
        <v>102165563500</v>
      </c>
      <c r="B35" t="str">
        <f t="shared" si="0"/>
        <v>1021655635000</v>
      </c>
      <c r="C35" t="s">
        <v>114</v>
      </c>
      <c r="E35">
        <v>20411454</v>
      </c>
      <c r="F35" t="s">
        <v>204</v>
      </c>
      <c r="G35" t="s">
        <v>59</v>
      </c>
      <c r="H35" s="1">
        <v>45778</v>
      </c>
      <c r="I35" s="2">
        <v>33.33</v>
      </c>
      <c r="J35">
        <v>1</v>
      </c>
      <c r="K35" s="2">
        <v>33.33</v>
      </c>
      <c r="L35" t="s">
        <v>67</v>
      </c>
      <c r="M35" t="s">
        <v>141</v>
      </c>
    </row>
    <row r="36" spans="1:13" x14ac:dyDescent="0.25">
      <c r="A36" s="7" t="s">
        <v>152</v>
      </c>
      <c r="B36" t="str">
        <f t="shared" si="0"/>
        <v>101463901900CB0</v>
      </c>
      <c r="C36" t="s">
        <v>61</v>
      </c>
      <c r="D36" t="s">
        <v>62</v>
      </c>
      <c r="E36">
        <v>20411454</v>
      </c>
      <c r="F36" t="s">
        <v>204</v>
      </c>
      <c r="G36" t="s">
        <v>59</v>
      </c>
      <c r="H36" s="1">
        <v>45748</v>
      </c>
      <c r="K36">
        <v>-37.5</v>
      </c>
      <c r="M36" t="s">
        <v>141</v>
      </c>
    </row>
    <row r="37" spans="1:13" x14ac:dyDescent="0.25">
      <c r="A37" s="7" t="s">
        <v>153</v>
      </c>
      <c r="B37" t="str">
        <f t="shared" si="0"/>
        <v>101877929000CB0</v>
      </c>
      <c r="C37" t="s">
        <v>68</v>
      </c>
      <c r="D37" t="s">
        <v>69</v>
      </c>
      <c r="E37">
        <v>20411454</v>
      </c>
      <c r="F37" t="s">
        <v>204</v>
      </c>
      <c r="G37" t="s">
        <v>59</v>
      </c>
      <c r="H37" s="1">
        <v>45748</v>
      </c>
      <c r="K37">
        <v>-37.5</v>
      </c>
      <c r="M37" t="s">
        <v>141</v>
      </c>
    </row>
    <row r="38" spans="1:13" x14ac:dyDescent="0.25">
      <c r="A38" s="7" t="s">
        <v>154</v>
      </c>
      <c r="B38" t="str">
        <f t="shared" si="0"/>
        <v>102038220200CB0</v>
      </c>
      <c r="C38" t="s">
        <v>71</v>
      </c>
      <c r="D38" t="s">
        <v>69</v>
      </c>
      <c r="E38">
        <v>20411454</v>
      </c>
      <c r="F38" t="s">
        <v>204</v>
      </c>
      <c r="G38" t="s">
        <v>59</v>
      </c>
      <c r="H38" s="1">
        <v>45748</v>
      </c>
      <c r="K38">
        <v>-37.5</v>
      </c>
      <c r="M38" t="s">
        <v>141</v>
      </c>
    </row>
    <row r="39" spans="1:13" x14ac:dyDescent="0.25">
      <c r="A39" s="7" t="s">
        <v>155</v>
      </c>
      <c r="B39" t="str">
        <f>CONCATENATE(A39,0)</f>
        <v>102155527500CB0</v>
      </c>
      <c r="C39" t="s">
        <v>72</v>
      </c>
      <c r="D39">
        <v>20411454</v>
      </c>
      <c r="E39">
        <v>20411454</v>
      </c>
      <c r="F39" t="s">
        <v>204</v>
      </c>
      <c r="G39" t="s">
        <v>59</v>
      </c>
      <c r="H39" s="1">
        <v>45717</v>
      </c>
      <c r="K39">
        <v>-41.67</v>
      </c>
      <c r="M39" t="s">
        <v>141</v>
      </c>
    </row>
    <row r="40" spans="1:13" x14ac:dyDescent="0.25">
      <c r="A40" s="7" t="s">
        <v>156</v>
      </c>
      <c r="B40" t="str">
        <f t="shared" si="0"/>
        <v>102155610900CB0</v>
      </c>
      <c r="C40" t="s">
        <v>73</v>
      </c>
      <c r="D40">
        <v>20411454</v>
      </c>
      <c r="E40">
        <v>20411454</v>
      </c>
      <c r="F40" t="s">
        <v>204</v>
      </c>
      <c r="G40" t="s">
        <v>59</v>
      </c>
      <c r="H40" s="1">
        <v>45717</v>
      </c>
      <c r="K40">
        <v>-41.67</v>
      </c>
      <c r="M40" t="s">
        <v>141</v>
      </c>
    </row>
    <row r="41" spans="1:13" x14ac:dyDescent="0.25">
      <c r="A41" s="7" t="s">
        <v>157</v>
      </c>
      <c r="B41" t="str">
        <f t="shared" si="0"/>
        <v>102156720800CB0</v>
      </c>
      <c r="C41" t="s">
        <v>76</v>
      </c>
      <c r="D41">
        <v>20411454</v>
      </c>
      <c r="E41">
        <v>20411454</v>
      </c>
      <c r="F41" t="s">
        <v>204</v>
      </c>
      <c r="G41" t="s">
        <v>59</v>
      </c>
      <c r="H41" s="1">
        <v>45809</v>
      </c>
      <c r="K41">
        <v>-29.17</v>
      </c>
      <c r="M41" t="s">
        <v>141</v>
      </c>
    </row>
    <row r="42" spans="1:13" x14ac:dyDescent="0.25">
      <c r="A42" s="7" t="s">
        <v>158</v>
      </c>
      <c r="B42" t="str">
        <f t="shared" si="0"/>
        <v>102157190800CB0</v>
      </c>
      <c r="C42" t="s">
        <v>79</v>
      </c>
      <c r="D42">
        <v>20411454</v>
      </c>
      <c r="E42">
        <v>20411454</v>
      </c>
      <c r="F42" t="s">
        <v>204</v>
      </c>
      <c r="G42" t="s">
        <v>59</v>
      </c>
      <c r="H42" s="1">
        <v>45748</v>
      </c>
      <c r="K42">
        <v>-37.5</v>
      </c>
      <c r="M42" t="s">
        <v>141</v>
      </c>
    </row>
    <row r="43" spans="1:13" x14ac:dyDescent="0.25">
      <c r="A43" s="7" t="s">
        <v>159</v>
      </c>
      <c r="B43" t="str">
        <f t="shared" si="0"/>
        <v>102157214200CB0</v>
      </c>
      <c r="C43" t="s">
        <v>81</v>
      </c>
      <c r="D43">
        <v>20411454</v>
      </c>
      <c r="E43">
        <v>20411454</v>
      </c>
      <c r="F43" t="s">
        <v>204</v>
      </c>
      <c r="G43" t="s">
        <v>59</v>
      </c>
      <c r="H43" s="1">
        <v>45748</v>
      </c>
      <c r="K43">
        <v>-37.5</v>
      </c>
      <c r="M43" t="s">
        <v>141</v>
      </c>
    </row>
    <row r="44" spans="1:13" x14ac:dyDescent="0.25">
      <c r="A44" s="7" t="s">
        <v>160</v>
      </c>
      <c r="B44" t="str">
        <f t="shared" si="0"/>
        <v>102157543300CB0</v>
      </c>
      <c r="C44" t="s">
        <v>83</v>
      </c>
      <c r="D44">
        <v>20411454</v>
      </c>
      <c r="E44">
        <v>20411454</v>
      </c>
      <c r="F44" t="s">
        <v>204</v>
      </c>
      <c r="G44" t="s">
        <v>59</v>
      </c>
      <c r="H44" s="1">
        <v>45748</v>
      </c>
      <c r="K44">
        <v>-37.5</v>
      </c>
      <c r="M44" t="s">
        <v>141</v>
      </c>
    </row>
    <row r="45" spans="1:13" x14ac:dyDescent="0.25">
      <c r="A45" s="7" t="s">
        <v>161</v>
      </c>
      <c r="B45" t="str">
        <f t="shared" si="0"/>
        <v>102157554700CB0</v>
      </c>
      <c r="C45" t="s">
        <v>84</v>
      </c>
      <c r="D45">
        <v>20411454</v>
      </c>
      <c r="E45">
        <v>20411454</v>
      </c>
      <c r="F45" t="s">
        <v>204</v>
      </c>
      <c r="G45" t="s">
        <v>59</v>
      </c>
      <c r="H45" s="1">
        <v>45748</v>
      </c>
      <c r="K45">
        <v>-37.5</v>
      </c>
      <c r="M45" t="s">
        <v>141</v>
      </c>
    </row>
    <row r="46" spans="1:13" x14ac:dyDescent="0.25">
      <c r="A46" s="7" t="s">
        <v>162</v>
      </c>
      <c r="B46" t="str">
        <f t="shared" si="0"/>
        <v>102157613500CB0</v>
      </c>
      <c r="C46" t="s">
        <v>85</v>
      </c>
      <c r="D46">
        <v>20411454</v>
      </c>
      <c r="E46">
        <v>20411454</v>
      </c>
      <c r="F46" t="s">
        <v>204</v>
      </c>
      <c r="G46" t="s">
        <v>59</v>
      </c>
      <c r="H46" s="1">
        <v>45748</v>
      </c>
      <c r="K46">
        <v>-37.5</v>
      </c>
      <c r="M46" t="s">
        <v>141</v>
      </c>
    </row>
    <row r="47" spans="1:13" x14ac:dyDescent="0.25">
      <c r="A47" s="7" t="s">
        <v>163</v>
      </c>
      <c r="B47" t="str">
        <f t="shared" si="0"/>
        <v>102160093600CB0</v>
      </c>
      <c r="C47" t="s">
        <v>87</v>
      </c>
      <c r="D47">
        <v>20411454</v>
      </c>
      <c r="E47">
        <v>20411454</v>
      </c>
      <c r="F47" t="s">
        <v>204</v>
      </c>
      <c r="G47" t="s">
        <v>59</v>
      </c>
      <c r="H47" s="1">
        <v>45748</v>
      </c>
      <c r="K47">
        <v>-37.5</v>
      </c>
      <c r="M47" t="s">
        <v>141</v>
      </c>
    </row>
    <row r="48" spans="1:13" x14ac:dyDescent="0.25">
      <c r="A48" s="7" t="s">
        <v>164</v>
      </c>
      <c r="B48" t="str">
        <f t="shared" si="0"/>
        <v>102160124800CB0</v>
      </c>
      <c r="C48" t="s">
        <v>88</v>
      </c>
      <c r="D48">
        <v>20411454</v>
      </c>
      <c r="E48">
        <v>20411454</v>
      </c>
      <c r="F48" t="s">
        <v>204</v>
      </c>
      <c r="G48" t="s">
        <v>59</v>
      </c>
      <c r="H48" s="1">
        <v>45778</v>
      </c>
      <c r="K48">
        <v>-33.33</v>
      </c>
      <c r="M48" t="s">
        <v>141</v>
      </c>
    </row>
    <row r="49" spans="1:13" x14ac:dyDescent="0.25">
      <c r="A49" s="7" t="s">
        <v>165</v>
      </c>
      <c r="B49" t="str">
        <f t="shared" si="0"/>
        <v>102160410700CB0</v>
      </c>
      <c r="C49" t="s">
        <v>90</v>
      </c>
      <c r="D49">
        <v>20411454</v>
      </c>
      <c r="E49">
        <v>20411454</v>
      </c>
      <c r="F49" t="s">
        <v>204</v>
      </c>
      <c r="G49" t="s">
        <v>59</v>
      </c>
      <c r="H49" s="1">
        <v>45748</v>
      </c>
      <c r="K49">
        <v>-37.5</v>
      </c>
      <c r="M49" t="s">
        <v>141</v>
      </c>
    </row>
    <row r="50" spans="1:13" x14ac:dyDescent="0.25">
      <c r="A50" s="7" t="s">
        <v>166</v>
      </c>
      <c r="B50" t="str">
        <f t="shared" si="0"/>
        <v>102160449600CB0</v>
      </c>
      <c r="C50" t="s">
        <v>92</v>
      </c>
      <c r="D50">
        <v>20411454</v>
      </c>
      <c r="E50">
        <v>20411454</v>
      </c>
      <c r="F50" t="s">
        <v>204</v>
      </c>
      <c r="G50" t="s">
        <v>59</v>
      </c>
      <c r="H50" s="1">
        <v>45748</v>
      </c>
      <c r="K50">
        <v>-37.5</v>
      </c>
      <c r="M50" t="s">
        <v>141</v>
      </c>
    </row>
    <row r="51" spans="1:13" x14ac:dyDescent="0.25">
      <c r="A51" s="7" t="s">
        <v>167</v>
      </c>
      <c r="B51" t="str">
        <f t="shared" si="0"/>
        <v>102160975500CB0</v>
      </c>
      <c r="C51" t="s">
        <v>93</v>
      </c>
      <c r="D51">
        <v>20411454</v>
      </c>
      <c r="E51">
        <v>20411454</v>
      </c>
      <c r="F51" t="s">
        <v>204</v>
      </c>
      <c r="G51" t="s">
        <v>59</v>
      </c>
      <c r="H51" s="1">
        <v>45748</v>
      </c>
      <c r="K51">
        <v>-37.5</v>
      </c>
      <c r="M51" t="s">
        <v>141</v>
      </c>
    </row>
    <row r="52" spans="1:13" x14ac:dyDescent="0.25">
      <c r="A52" s="7" t="s">
        <v>168</v>
      </c>
      <c r="B52" t="str">
        <f t="shared" si="0"/>
        <v>102161176900CB0</v>
      </c>
      <c r="C52" t="s">
        <v>95</v>
      </c>
      <c r="D52">
        <v>20411454</v>
      </c>
      <c r="E52">
        <v>20411454</v>
      </c>
      <c r="F52" t="s">
        <v>204</v>
      </c>
      <c r="G52" t="s">
        <v>59</v>
      </c>
      <c r="H52" s="1">
        <v>45748</v>
      </c>
      <c r="K52">
        <v>-37.5</v>
      </c>
      <c r="M52" t="s">
        <v>141</v>
      </c>
    </row>
    <row r="53" spans="1:13" x14ac:dyDescent="0.25">
      <c r="A53" s="7" t="s">
        <v>169</v>
      </c>
      <c r="B53" t="str">
        <f t="shared" si="0"/>
        <v>102161201900CB0</v>
      </c>
      <c r="C53" t="s">
        <v>97</v>
      </c>
      <c r="D53">
        <v>20411454</v>
      </c>
      <c r="E53">
        <v>20411454</v>
      </c>
      <c r="F53" t="s">
        <v>204</v>
      </c>
      <c r="G53" t="s">
        <v>59</v>
      </c>
      <c r="H53" s="1">
        <v>45748</v>
      </c>
      <c r="K53">
        <v>-37.5</v>
      </c>
      <c r="M53" t="s">
        <v>141</v>
      </c>
    </row>
    <row r="54" spans="1:13" x14ac:dyDescent="0.25">
      <c r="A54" s="7" t="s">
        <v>170</v>
      </c>
      <c r="B54" t="str">
        <f t="shared" si="0"/>
        <v>102161969300CB0</v>
      </c>
      <c r="C54" t="s">
        <v>98</v>
      </c>
      <c r="D54">
        <v>20411454</v>
      </c>
      <c r="E54">
        <v>20411454</v>
      </c>
      <c r="F54" t="s">
        <v>204</v>
      </c>
      <c r="G54" t="s">
        <v>59</v>
      </c>
      <c r="H54" s="1">
        <v>45809</v>
      </c>
      <c r="K54">
        <v>-29.17</v>
      </c>
      <c r="M54" t="s">
        <v>141</v>
      </c>
    </row>
    <row r="55" spans="1:13" x14ac:dyDescent="0.25">
      <c r="A55" s="7" t="s">
        <v>171</v>
      </c>
      <c r="B55" t="str">
        <f t="shared" si="0"/>
        <v>102162023700CB0</v>
      </c>
      <c r="C55" t="s">
        <v>99</v>
      </c>
      <c r="D55">
        <v>20411454</v>
      </c>
      <c r="E55">
        <v>20411454</v>
      </c>
      <c r="F55" t="s">
        <v>204</v>
      </c>
      <c r="G55" t="s">
        <v>59</v>
      </c>
      <c r="H55" s="1">
        <v>45809</v>
      </c>
      <c r="K55">
        <v>-29.17</v>
      </c>
      <c r="M55" t="s">
        <v>141</v>
      </c>
    </row>
    <row r="56" spans="1:13" x14ac:dyDescent="0.25">
      <c r="A56" s="7" t="s">
        <v>172</v>
      </c>
      <c r="B56" t="str">
        <f t="shared" si="0"/>
        <v>102162259700CB0</v>
      </c>
      <c r="C56" t="s">
        <v>101</v>
      </c>
      <c r="D56">
        <v>20411454</v>
      </c>
      <c r="E56">
        <v>20411454</v>
      </c>
      <c r="F56" t="s">
        <v>204</v>
      </c>
      <c r="G56" t="s">
        <v>59</v>
      </c>
      <c r="H56" s="1">
        <v>45809</v>
      </c>
      <c r="K56">
        <v>-29.17</v>
      </c>
      <c r="M56" t="s">
        <v>141</v>
      </c>
    </row>
    <row r="57" spans="1:13" x14ac:dyDescent="0.25">
      <c r="A57" s="7" t="s">
        <v>173</v>
      </c>
      <c r="B57" t="str">
        <f t="shared" si="0"/>
        <v>102162335400CB0</v>
      </c>
      <c r="C57" t="s">
        <v>102</v>
      </c>
      <c r="D57">
        <v>20411454</v>
      </c>
      <c r="E57">
        <v>20411454</v>
      </c>
      <c r="F57" t="s">
        <v>204</v>
      </c>
      <c r="G57" t="s">
        <v>59</v>
      </c>
      <c r="H57" s="1">
        <v>45778</v>
      </c>
      <c r="K57">
        <v>-33.33</v>
      </c>
      <c r="M57" t="s">
        <v>141</v>
      </c>
    </row>
    <row r="58" spans="1:13" x14ac:dyDescent="0.25">
      <c r="A58" s="7" t="s">
        <v>174</v>
      </c>
      <c r="B58" t="str">
        <f t="shared" si="0"/>
        <v>102162344100CB0</v>
      </c>
      <c r="C58" t="s">
        <v>103</v>
      </c>
      <c r="D58">
        <v>20411454</v>
      </c>
      <c r="E58">
        <v>20411454</v>
      </c>
      <c r="F58" t="s">
        <v>204</v>
      </c>
      <c r="G58" t="s">
        <v>59</v>
      </c>
      <c r="H58" s="1">
        <v>45748</v>
      </c>
      <c r="K58">
        <v>-37.5</v>
      </c>
      <c r="M58" t="s">
        <v>141</v>
      </c>
    </row>
    <row r="59" spans="1:13" x14ac:dyDescent="0.25">
      <c r="A59" s="7" t="s">
        <v>175</v>
      </c>
      <c r="B59" t="str">
        <f t="shared" si="0"/>
        <v>102163213000CB0</v>
      </c>
      <c r="C59" t="s">
        <v>104</v>
      </c>
      <c r="D59">
        <v>20411454</v>
      </c>
      <c r="E59">
        <v>20411454</v>
      </c>
      <c r="F59" t="s">
        <v>204</v>
      </c>
      <c r="G59" t="s">
        <v>59</v>
      </c>
      <c r="H59" s="1">
        <v>45748</v>
      </c>
      <c r="K59">
        <v>-37.5</v>
      </c>
      <c r="M59" t="s">
        <v>141</v>
      </c>
    </row>
    <row r="60" spans="1:13" x14ac:dyDescent="0.25">
      <c r="A60" s="7" t="s">
        <v>176</v>
      </c>
      <c r="B60" t="str">
        <f t="shared" si="0"/>
        <v>102158685300CB0</v>
      </c>
      <c r="C60" t="s">
        <v>139</v>
      </c>
      <c r="D60">
        <v>20411454</v>
      </c>
      <c r="E60">
        <v>20411454</v>
      </c>
      <c r="F60" t="s">
        <v>204</v>
      </c>
      <c r="G60" t="s">
        <v>140</v>
      </c>
      <c r="H60" s="1">
        <v>45717</v>
      </c>
      <c r="K60">
        <v>-33.33</v>
      </c>
      <c r="M60" t="s">
        <v>141</v>
      </c>
    </row>
    <row r="61" spans="1:13" x14ac:dyDescent="0.25">
      <c r="A61" s="7" t="s">
        <v>177</v>
      </c>
      <c r="B61" t="str">
        <f>CONCATENATE(A61,0)</f>
        <v>48F2X5X260</v>
      </c>
      <c r="C61" t="s">
        <v>115</v>
      </c>
      <c r="D61">
        <v>20411454</v>
      </c>
      <c r="E61">
        <v>20411454</v>
      </c>
      <c r="F61" t="s">
        <v>204</v>
      </c>
      <c r="G61" t="s">
        <v>117</v>
      </c>
      <c r="H61" s="1">
        <v>45778</v>
      </c>
      <c r="I61" s="2">
        <v>100</v>
      </c>
      <c r="J61">
        <v>1</v>
      </c>
      <c r="K61" s="2">
        <v>100</v>
      </c>
      <c r="M61" t="s">
        <v>142</v>
      </c>
    </row>
    <row r="62" spans="1:13" x14ac:dyDescent="0.25">
      <c r="A62" s="7" t="s">
        <v>178</v>
      </c>
      <c r="B62" t="str">
        <f t="shared" si="0"/>
        <v>78L3F1U610</v>
      </c>
      <c r="C62" t="s">
        <v>118</v>
      </c>
      <c r="D62">
        <v>20411454</v>
      </c>
      <c r="E62">
        <v>20411454</v>
      </c>
      <c r="F62" t="s">
        <v>204</v>
      </c>
      <c r="G62" t="s">
        <v>117</v>
      </c>
      <c r="H62" s="1">
        <v>45748</v>
      </c>
      <c r="I62" s="2">
        <v>100</v>
      </c>
      <c r="J62">
        <v>1</v>
      </c>
      <c r="K62" s="2">
        <v>100</v>
      </c>
      <c r="M62" t="s">
        <v>142</v>
      </c>
    </row>
    <row r="63" spans="1:13" x14ac:dyDescent="0.25">
      <c r="A63" s="7" t="s">
        <v>179</v>
      </c>
      <c r="B63" t="str">
        <f t="shared" si="0"/>
        <v>00022982390K0</v>
      </c>
      <c r="C63" t="s">
        <v>34</v>
      </c>
      <c r="D63">
        <v>20411454</v>
      </c>
      <c r="E63">
        <v>20411454</v>
      </c>
      <c r="F63" t="s">
        <v>204</v>
      </c>
      <c r="G63" t="s">
        <v>37</v>
      </c>
      <c r="H63" s="1">
        <v>45689</v>
      </c>
      <c r="I63" s="2">
        <v>131.25</v>
      </c>
      <c r="J63">
        <v>1</v>
      </c>
      <c r="K63" s="2">
        <v>131.25</v>
      </c>
      <c r="L63" t="s">
        <v>38</v>
      </c>
      <c r="M63" t="s">
        <v>143</v>
      </c>
    </row>
    <row r="64" spans="1:13" x14ac:dyDescent="0.25">
      <c r="A64" s="7" t="s">
        <v>180</v>
      </c>
      <c r="B64" t="str">
        <f t="shared" si="0"/>
        <v>00023187920K0</v>
      </c>
      <c r="C64" t="s">
        <v>39</v>
      </c>
      <c r="D64">
        <v>20411454</v>
      </c>
      <c r="E64">
        <v>20411454</v>
      </c>
      <c r="F64" t="s">
        <v>204</v>
      </c>
      <c r="G64" t="s">
        <v>37</v>
      </c>
      <c r="H64" s="1">
        <v>45778</v>
      </c>
      <c r="I64" s="2">
        <v>175</v>
      </c>
      <c r="J64">
        <v>1</v>
      </c>
      <c r="K64" s="2">
        <v>175</v>
      </c>
      <c r="M64" t="s">
        <v>143</v>
      </c>
    </row>
    <row r="65" spans="1:13" x14ac:dyDescent="0.25">
      <c r="A65" s="7" t="s">
        <v>181</v>
      </c>
      <c r="B65" t="str">
        <f t="shared" si="0"/>
        <v>00023212074K0</v>
      </c>
      <c r="C65" t="s">
        <v>41</v>
      </c>
      <c r="D65" t="s">
        <v>23</v>
      </c>
      <c r="E65">
        <v>20411454</v>
      </c>
      <c r="F65" t="s">
        <v>204</v>
      </c>
      <c r="G65" t="s">
        <v>37</v>
      </c>
      <c r="H65" s="1">
        <v>45748</v>
      </c>
      <c r="I65" s="2">
        <v>175</v>
      </c>
      <c r="J65">
        <v>1</v>
      </c>
      <c r="K65" s="2">
        <v>175</v>
      </c>
      <c r="M65" t="s">
        <v>143</v>
      </c>
    </row>
    <row r="66" spans="1:13" x14ac:dyDescent="0.25">
      <c r="A66" s="7" t="s">
        <v>182</v>
      </c>
      <c r="B66" t="str">
        <f t="shared" si="0"/>
        <v>00023277367K0</v>
      </c>
      <c r="C66" t="s">
        <v>43</v>
      </c>
      <c r="D66" t="s">
        <v>23</v>
      </c>
      <c r="E66">
        <v>20411454</v>
      </c>
      <c r="F66" t="s">
        <v>204</v>
      </c>
      <c r="G66" t="s">
        <v>37</v>
      </c>
      <c r="H66" s="1">
        <v>45778</v>
      </c>
      <c r="I66" s="2">
        <v>175</v>
      </c>
      <c r="J66">
        <v>1</v>
      </c>
      <c r="K66" s="2">
        <v>175</v>
      </c>
      <c r="M66" t="s">
        <v>143</v>
      </c>
    </row>
    <row r="67" spans="1:13" x14ac:dyDescent="0.25">
      <c r="A67" s="7" t="s">
        <v>183</v>
      </c>
      <c r="B67" t="str">
        <f t="shared" ref="B67:B80" si="1">CONCATENATE(A67,0)</f>
        <v>00023277864K0</v>
      </c>
      <c r="C67" t="s">
        <v>45</v>
      </c>
      <c r="D67" t="s">
        <v>23</v>
      </c>
      <c r="E67">
        <v>20411454</v>
      </c>
      <c r="F67" t="s">
        <v>204</v>
      </c>
      <c r="G67" t="s">
        <v>37</v>
      </c>
      <c r="H67" s="1">
        <v>45778</v>
      </c>
      <c r="I67" s="2">
        <v>175</v>
      </c>
      <c r="J67">
        <v>1</v>
      </c>
      <c r="K67" s="2">
        <v>175</v>
      </c>
      <c r="M67" t="s">
        <v>143</v>
      </c>
    </row>
    <row r="68" spans="1:13" x14ac:dyDescent="0.25">
      <c r="A68" s="7" t="s">
        <v>184</v>
      </c>
      <c r="B68" t="str">
        <f t="shared" si="1"/>
        <v>00023284262K0</v>
      </c>
      <c r="C68" t="s">
        <v>48</v>
      </c>
      <c r="D68" t="s">
        <v>23</v>
      </c>
      <c r="E68">
        <v>20411454</v>
      </c>
      <c r="F68" t="s">
        <v>204</v>
      </c>
      <c r="G68" t="s">
        <v>37</v>
      </c>
      <c r="H68" s="1">
        <v>45809</v>
      </c>
      <c r="I68" s="2">
        <v>175</v>
      </c>
      <c r="J68">
        <v>1</v>
      </c>
      <c r="K68" s="2">
        <v>175</v>
      </c>
      <c r="M68" t="s">
        <v>143</v>
      </c>
    </row>
    <row r="69" spans="1:13" x14ac:dyDescent="0.25">
      <c r="A69" s="7" t="s">
        <v>185</v>
      </c>
      <c r="B69" t="str">
        <f t="shared" si="1"/>
        <v>00023285265K0</v>
      </c>
      <c r="C69" t="s">
        <v>49</v>
      </c>
      <c r="D69" t="s">
        <v>23</v>
      </c>
      <c r="E69">
        <v>20411454</v>
      </c>
      <c r="F69" t="s">
        <v>204</v>
      </c>
      <c r="G69" t="s">
        <v>37</v>
      </c>
      <c r="H69" s="1">
        <v>45778</v>
      </c>
      <c r="I69" s="2">
        <v>175</v>
      </c>
      <c r="J69">
        <v>1</v>
      </c>
      <c r="K69" s="2">
        <v>175</v>
      </c>
      <c r="M69" t="s">
        <v>143</v>
      </c>
    </row>
    <row r="70" spans="1:13" x14ac:dyDescent="0.25">
      <c r="A70" s="7" t="s">
        <v>186</v>
      </c>
      <c r="B70" t="str">
        <f t="shared" si="1"/>
        <v>00023286702K0</v>
      </c>
      <c r="C70" t="s">
        <v>51</v>
      </c>
      <c r="D70" t="s">
        <v>23</v>
      </c>
      <c r="E70">
        <v>20411454</v>
      </c>
      <c r="F70" t="s">
        <v>204</v>
      </c>
      <c r="G70" t="s">
        <v>37</v>
      </c>
      <c r="H70" s="1">
        <v>45778</v>
      </c>
      <c r="I70" s="2">
        <v>175</v>
      </c>
      <c r="J70">
        <v>1</v>
      </c>
      <c r="K70" s="2">
        <v>175</v>
      </c>
      <c r="M70" t="s">
        <v>143</v>
      </c>
    </row>
    <row r="71" spans="1:13" x14ac:dyDescent="0.25">
      <c r="A71" s="7" t="s">
        <v>187</v>
      </c>
      <c r="B71" t="str">
        <f t="shared" si="1"/>
        <v>00023288467K0</v>
      </c>
      <c r="C71" t="s">
        <v>53</v>
      </c>
      <c r="D71" t="s">
        <v>23</v>
      </c>
      <c r="E71">
        <v>20411454</v>
      </c>
      <c r="F71" t="s">
        <v>204</v>
      </c>
      <c r="G71" t="s">
        <v>37</v>
      </c>
      <c r="H71" s="1">
        <v>45839</v>
      </c>
      <c r="I71" s="2">
        <v>175</v>
      </c>
      <c r="J71">
        <v>1</v>
      </c>
      <c r="K71" s="2">
        <v>175</v>
      </c>
      <c r="M71" t="s">
        <v>143</v>
      </c>
    </row>
    <row r="72" spans="1:13" x14ac:dyDescent="0.25">
      <c r="A72" s="7" t="s">
        <v>188</v>
      </c>
      <c r="B72" t="str">
        <f t="shared" si="1"/>
        <v>00023289673K0</v>
      </c>
      <c r="C72" t="s">
        <v>55</v>
      </c>
      <c r="D72" t="s">
        <v>23</v>
      </c>
      <c r="E72">
        <v>20411454</v>
      </c>
      <c r="F72" t="s">
        <v>204</v>
      </c>
      <c r="G72" t="s">
        <v>37</v>
      </c>
      <c r="H72" s="1">
        <v>45809</v>
      </c>
      <c r="I72" s="2">
        <v>175</v>
      </c>
      <c r="J72">
        <v>1</v>
      </c>
      <c r="K72" s="2">
        <v>175</v>
      </c>
      <c r="M72" t="s">
        <v>143</v>
      </c>
    </row>
    <row r="73" spans="1:13" x14ac:dyDescent="0.25">
      <c r="A73" s="7" t="s">
        <v>189</v>
      </c>
      <c r="B73" t="str">
        <f t="shared" si="1"/>
        <v>00023292002K0</v>
      </c>
      <c r="C73" t="s">
        <v>56</v>
      </c>
      <c r="D73" t="s">
        <v>23</v>
      </c>
      <c r="E73">
        <v>20411454</v>
      </c>
      <c r="F73" t="s">
        <v>204</v>
      </c>
      <c r="G73" t="s">
        <v>37</v>
      </c>
      <c r="H73" s="1">
        <v>45778</v>
      </c>
      <c r="I73" s="2">
        <v>175</v>
      </c>
      <c r="J73">
        <v>1</v>
      </c>
      <c r="K73" s="2">
        <v>175</v>
      </c>
      <c r="M73" t="s">
        <v>143</v>
      </c>
    </row>
    <row r="74" spans="1:13" x14ac:dyDescent="0.25">
      <c r="A74" s="7" t="s">
        <v>190</v>
      </c>
      <c r="B74" t="str">
        <f t="shared" si="1"/>
        <v>00020162315KPC0</v>
      </c>
      <c r="C74" t="s">
        <v>134</v>
      </c>
      <c r="D74" t="s">
        <v>23</v>
      </c>
      <c r="E74">
        <v>20411454</v>
      </c>
      <c r="F74" t="s">
        <v>204</v>
      </c>
      <c r="G74" t="s">
        <v>37</v>
      </c>
      <c r="H74" s="1">
        <v>45658</v>
      </c>
      <c r="K74">
        <v>-87.5</v>
      </c>
      <c r="M74" t="s">
        <v>143</v>
      </c>
    </row>
    <row r="75" spans="1:13" x14ac:dyDescent="0.25">
      <c r="A75" s="7" t="s">
        <v>191</v>
      </c>
      <c r="B75" t="str">
        <f t="shared" si="1"/>
        <v>00023040671KPC0</v>
      </c>
      <c r="C75" t="s">
        <v>135</v>
      </c>
      <c r="D75" t="s">
        <v>23</v>
      </c>
      <c r="E75">
        <v>20411454</v>
      </c>
      <c r="F75" t="s">
        <v>204</v>
      </c>
      <c r="G75" t="s">
        <v>37</v>
      </c>
      <c r="H75" s="1">
        <v>45689</v>
      </c>
      <c r="K75">
        <v>-131.25</v>
      </c>
      <c r="M75" t="s">
        <v>143</v>
      </c>
    </row>
    <row r="76" spans="1:13" x14ac:dyDescent="0.25">
      <c r="A76" s="7" t="s">
        <v>192</v>
      </c>
      <c r="B76" t="str">
        <f t="shared" si="1"/>
        <v>00002377726K0</v>
      </c>
      <c r="C76" t="s">
        <v>22</v>
      </c>
      <c r="D76" t="s">
        <v>23</v>
      </c>
      <c r="E76">
        <v>20411454</v>
      </c>
      <c r="F76" t="s">
        <v>204</v>
      </c>
      <c r="G76" t="s">
        <v>26</v>
      </c>
      <c r="H76" s="1">
        <v>45778</v>
      </c>
      <c r="I76" s="2">
        <v>108</v>
      </c>
      <c r="J76">
        <v>1</v>
      </c>
      <c r="K76" s="2">
        <v>108</v>
      </c>
      <c r="M76" t="s">
        <v>143</v>
      </c>
    </row>
    <row r="77" spans="1:13" x14ac:dyDescent="0.25">
      <c r="A77" s="7" t="s">
        <v>193</v>
      </c>
      <c r="B77" t="str">
        <f t="shared" si="1"/>
        <v>00017736015K0</v>
      </c>
      <c r="C77" t="s">
        <v>30</v>
      </c>
      <c r="D77" t="s">
        <v>23</v>
      </c>
      <c r="E77">
        <v>20411454</v>
      </c>
      <c r="F77" t="s">
        <v>204</v>
      </c>
      <c r="G77" t="s">
        <v>26</v>
      </c>
      <c r="H77" s="1">
        <v>45778</v>
      </c>
      <c r="I77" s="2">
        <v>108</v>
      </c>
      <c r="J77">
        <v>1</v>
      </c>
      <c r="K77" s="2">
        <v>108</v>
      </c>
      <c r="M77" t="s">
        <v>143</v>
      </c>
    </row>
    <row r="78" spans="1:13" x14ac:dyDescent="0.25">
      <c r="A78" s="7" t="s">
        <v>194</v>
      </c>
      <c r="B78" t="str">
        <f t="shared" si="1"/>
        <v>00020578637K0</v>
      </c>
      <c r="C78" t="s">
        <v>32</v>
      </c>
      <c r="D78" t="s">
        <v>23</v>
      </c>
      <c r="E78">
        <v>20411454</v>
      </c>
      <c r="F78" t="s">
        <v>204</v>
      </c>
      <c r="G78" t="s">
        <v>26</v>
      </c>
      <c r="H78" s="1">
        <v>45778</v>
      </c>
      <c r="I78" s="2">
        <v>108</v>
      </c>
      <c r="J78">
        <v>1</v>
      </c>
      <c r="K78" s="2">
        <v>108</v>
      </c>
      <c r="M78" t="s">
        <v>143</v>
      </c>
    </row>
    <row r="79" spans="1:13" x14ac:dyDescent="0.25">
      <c r="A79" s="7" t="s">
        <v>195</v>
      </c>
      <c r="B79" t="str">
        <f t="shared" si="1"/>
        <v>00009751546KPC0</v>
      </c>
      <c r="C79" t="s">
        <v>130</v>
      </c>
      <c r="D79" t="s">
        <v>23</v>
      </c>
      <c r="E79">
        <v>20411454</v>
      </c>
      <c r="F79" t="s">
        <v>204</v>
      </c>
      <c r="G79" t="s">
        <v>26</v>
      </c>
      <c r="H79" s="1">
        <v>45658</v>
      </c>
      <c r="K79">
        <v>-72.36</v>
      </c>
      <c r="M79" t="s">
        <v>143</v>
      </c>
    </row>
    <row r="80" spans="1:13" x14ac:dyDescent="0.25">
      <c r="A80" s="7" t="s">
        <v>196</v>
      </c>
      <c r="B80" t="str">
        <f t="shared" si="1"/>
        <v>00013204306KPC0</v>
      </c>
      <c r="C80" t="s">
        <v>132</v>
      </c>
      <c r="D80" t="s">
        <v>23</v>
      </c>
      <c r="E80">
        <v>20411454</v>
      </c>
      <c r="F80" t="s">
        <v>204</v>
      </c>
      <c r="G80" t="s">
        <v>26</v>
      </c>
      <c r="H80" s="1">
        <v>45658</v>
      </c>
      <c r="K80">
        <v>-72.36</v>
      </c>
      <c r="M80" t="s">
        <v>143</v>
      </c>
    </row>
    <row r="81" spans="1:14" s="5" customFormat="1" x14ac:dyDescent="0.25">
      <c r="A81" s="8" t="s">
        <v>197</v>
      </c>
      <c r="B81" s="5" t="str">
        <f>CONCATENATE(A81,1)</f>
        <v>00016126193KPDP1</v>
      </c>
      <c r="C81" s="5" t="s">
        <v>27</v>
      </c>
      <c r="D81" s="5" t="s">
        <v>23</v>
      </c>
      <c r="E81" s="5">
        <v>16202925</v>
      </c>
      <c r="F81" s="5" t="s">
        <v>28</v>
      </c>
      <c r="G81" s="5" t="s">
        <v>29</v>
      </c>
      <c r="H81" s="4">
        <v>45778</v>
      </c>
      <c r="I81" s="6">
        <v>15</v>
      </c>
      <c r="J81" s="5">
        <v>1</v>
      </c>
      <c r="K81" s="6">
        <v>15</v>
      </c>
      <c r="M81" s="5" t="s">
        <v>144</v>
      </c>
    </row>
    <row r="82" spans="1:14" s="5" customFormat="1" x14ac:dyDescent="0.25">
      <c r="A82" s="8" t="s">
        <v>198</v>
      </c>
      <c r="B82" s="5" t="str">
        <f t="shared" ref="B82:B84" si="2">CONCATENATE(A82,1)</f>
        <v>00023282336KPDP1</v>
      </c>
      <c r="C82" s="5" t="s">
        <v>47</v>
      </c>
      <c r="D82" s="5" t="s">
        <v>23</v>
      </c>
      <c r="E82" s="5">
        <v>16202925</v>
      </c>
      <c r="F82" s="5" t="s">
        <v>28</v>
      </c>
      <c r="G82" s="5" t="s">
        <v>29</v>
      </c>
      <c r="H82" s="4">
        <v>45778</v>
      </c>
      <c r="I82" s="6">
        <v>15</v>
      </c>
      <c r="J82" s="5">
        <v>1</v>
      </c>
      <c r="K82" s="6">
        <v>15</v>
      </c>
      <c r="M82" s="5" t="s">
        <v>144</v>
      </c>
    </row>
    <row r="83" spans="1:14" s="5" customFormat="1" x14ac:dyDescent="0.25">
      <c r="A83" s="8" t="s">
        <v>199</v>
      </c>
      <c r="B83" s="5" t="str">
        <f t="shared" si="2"/>
        <v>A042630961</v>
      </c>
      <c r="C83" s="5" t="s">
        <v>128</v>
      </c>
      <c r="D83" s="5" t="s">
        <v>69</v>
      </c>
      <c r="E83" s="5">
        <v>8325282</v>
      </c>
      <c r="F83" s="5" t="s">
        <v>58</v>
      </c>
      <c r="G83" s="5" t="s">
        <v>129</v>
      </c>
      <c r="H83" s="4">
        <v>45809</v>
      </c>
      <c r="I83" s="6">
        <v>31.98</v>
      </c>
      <c r="J83" s="5">
        <v>9</v>
      </c>
      <c r="K83" s="6">
        <v>287.82</v>
      </c>
      <c r="M83" s="5" t="s">
        <v>147</v>
      </c>
    </row>
    <row r="84" spans="1:14" s="5" customFormat="1" x14ac:dyDescent="0.25">
      <c r="A84" s="8" t="s">
        <v>200</v>
      </c>
      <c r="B84" s="5" t="str">
        <f t="shared" si="2"/>
        <v>A042618521</v>
      </c>
      <c r="C84" s="5" t="s">
        <v>126</v>
      </c>
      <c r="D84" s="5" t="s">
        <v>62</v>
      </c>
      <c r="E84" s="5">
        <v>19278370</v>
      </c>
      <c r="F84" s="5" t="s">
        <v>46</v>
      </c>
      <c r="G84" s="5" t="s">
        <v>127</v>
      </c>
      <c r="H84" s="4">
        <v>45839</v>
      </c>
      <c r="I84" s="6">
        <v>31.02</v>
      </c>
      <c r="J84" s="5">
        <v>9</v>
      </c>
      <c r="K84" s="6">
        <v>279.18</v>
      </c>
      <c r="M84" s="5" t="s">
        <v>148</v>
      </c>
    </row>
    <row r="85" spans="1:14" x14ac:dyDescent="0.25">
      <c r="A85" s="7" t="s">
        <v>201</v>
      </c>
      <c r="B85" t="str">
        <f t="shared" ref="B85:B86" si="3">CONCATENATE(A85,0)</f>
        <v>911246279OV0</v>
      </c>
      <c r="C85" t="s">
        <v>120</v>
      </c>
      <c r="D85" t="s">
        <v>69</v>
      </c>
      <c r="E85">
        <v>20411454</v>
      </c>
      <c r="F85" t="s">
        <v>204</v>
      </c>
      <c r="G85" t="s">
        <v>123</v>
      </c>
      <c r="H85" s="1">
        <v>45778</v>
      </c>
      <c r="I85" s="2">
        <v>175</v>
      </c>
      <c r="J85">
        <v>1</v>
      </c>
      <c r="K85" s="2">
        <v>175</v>
      </c>
      <c r="M85" t="s">
        <v>145</v>
      </c>
    </row>
    <row r="86" spans="1:14" x14ac:dyDescent="0.25">
      <c r="A86" s="7" t="s">
        <v>202</v>
      </c>
      <c r="B86" t="str">
        <f t="shared" si="3"/>
        <v>911536941OV0</v>
      </c>
      <c r="C86" t="s">
        <v>124</v>
      </c>
      <c r="D86" t="s">
        <v>125</v>
      </c>
      <c r="E86">
        <v>20411454</v>
      </c>
      <c r="F86" t="s">
        <v>204</v>
      </c>
      <c r="G86" t="s">
        <v>123</v>
      </c>
      <c r="H86" s="1">
        <v>45778</v>
      </c>
      <c r="I86" s="2">
        <v>175</v>
      </c>
      <c r="J86">
        <v>1</v>
      </c>
      <c r="K86" s="2">
        <v>175</v>
      </c>
      <c r="M86" t="s">
        <v>145</v>
      </c>
    </row>
    <row r="87" spans="1:14" s="5" customFormat="1" x14ac:dyDescent="0.25">
      <c r="A87" s="8">
        <v>911246279</v>
      </c>
      <c r="B87" s="5" t="str">
        <f t="shared" ref="B87:B88" si="4">CONCATENATE(A87,1)</f>
        <v>9112462791</v>
      </c>
      <c r="C87" s="5" t="s">
        <v>120</v>
      </c>
      <c r="D87" s="5" t="s">
        <v>69</v>
      </c>
      <c r="E87" s="5">
        <v>19200754</v>
      </c>
      <c r="F87" s="5" t="s">
        <v>121</v>
      </c>
      <c r="G87" s="5" t="s">
        <v>122</v>
      </c>
      <c r="H87" s="4">
        <v>45778</v>
      </c>
      <c r="I87" s="6">
        <v>208.67</v>
      </c>
      <c r="J87" s="5">
        <v>1</v>
      </c>
      <c r="K87" s="6">
        <v>208.67</v>
      </c>
      <c r="L87" s="5" t="s">
        <v>67</v>
      </c>
      <c r="M87" s="5" t="s">
        <v>149</v>
      </c>
      <c r="N87" s="5" t="s">
        <v>150</v>
      </c>
    </row>
    <row r="88" spans="1:14" s="5" customFormat="1" x14ac:dyDescent="0.25">
      <c r="A88" s="8">
        <v>911536941</v>
      </c>
      <c r="B88" s="5" t="str">
        <f t="shared" si="4"/>
        <v>9115369411</v>
      </c>
      <c r="C88" s="5" t="s">
        <v>124</v>
      </c>
      <c r="D88" s="5" t="s">
        <v>125</v>
      </c>
      <c r="E88" s="5">
        <v>19645587</v>
      </c>
      <c r="F88" s="5" t="s">
        <v>78</v>
      </c>
      <c r="G88" s="5" t="s">
        <v>122</v>
      </c>
      <c r="H88" s="4">
        <v>45778</v>
      </c>
      <c r="I88" s="6">
        <v>208.67</v>
      </c>
      <c r="J88" s="5">
        <v>1</v>
      </c>
      <c r="K88" s="6">
        <v>208.67</v>
      </c>
      <c r="L88" s="5" t="s">
        <v>67</v>
      </c>
      <c r="M88" s="5" t="s">
        <v>149</v>
      </c>
      <c r="N88" s="5" t="s">
        <v>150</v>
      </c>
    </row>
    <row r="89" spans="1:14" s="5" customFormat="1" x14ac:dyDescent="0.25">
      <c r="A89" s="8" t="s">
        <v>203</v>
      </c>
      <c r="B89" s="8" t="s">
        <v>206</v>
      </c>
      <c r="C89" s="5" t="s">
        <v>136</v>
      </c>
      <c r="D89" s="5" t="s">
        <v>69</v>
      </c>
      <c r="E89" s="5" t="s">
        <v>205</v>
      </c>
      <c r="F89" s="5" t="s">
        <v>31</v>
      </c>
      <c r="G89" s="5" t="s">
        <v>137</v>
      </c>
      <c r="H89" s="4">
        <v>45748</v>
      </c>
      <c r="K89" s="5">
        <v>-109</v>
      </c>
      <c r="M89" s="5" t="s">
        <v>146</v>
      </c>
    </row>
  </sheetData>
  <sortState xmlns:xlrd2="http://schemas.microsoft.com/office/spreadsheetml/2017/richdata2" ref="A2:AN89">
    <sortCondition ref="G2:G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2025-05-01T18:40:04Z</dcterms:created>
  <dcterms:modified xsi:type="dcterms:W3CDTF">2025-05-07T14:23:54Z</dcterms:modified>
</cp:coreProperties>
</file>